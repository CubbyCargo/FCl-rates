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D6194C3F-41E5-4DC5-850C-CF69400CA460}" xr6:coauthVersionLast="47" xr6:coauthVersionMax="47" xr10:uidLastSave="{00000000-0000-0000-0000-000000000000}"/>
  <bookViews>
    <workbookView xWindow="28680" yWindow="-120" windowWidth="29040" windowHeight="15720" activeTab="3" xr2:uid="{493693A0-0616-4273-B364-7C8DEB21885C}"/>
  </bookViews>
  <sheets>
    <sheet name="TT" sheetId="28" r:id="rId1"/>
    <sheet name="GUY" sheetId="25" r:id="rId2"/>
    <sheet name="SUR" sheetId="21" r:id="rId3"/>
    <sheet name="Trinidad Exports" sheetId="27" r:id="rId4"/>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5" l="1"/>
  <c r="E36" i="25"/>
  <c r="E41" i="28"/>
  <c r="E38" i="28"/>
  <c r="E37" i="28"/>
  <c r="E16" i="21"/>
  <c r="E14" i="21"/>
  <c r="E11" i="21"/>
  <c r="E74" i="28"/>
  <c r="E73" i="28"/>
  <c r="E68" i="28"/>
  <c r="E67" i="28"/>
  <c r="E63" i="28"/>
  <c r="E75" i="21"/>
  <c r="E74" i="21"/>
  <c r="E71" i="21"/>
  <c r="E70" i="21"/>
  <c r="E67" i="21"/>
  <c r="E66" i="21"/>
  <c r="E63" i="21"/>
  <c r="E62" i="21"/>
  <c r="E59" i="21"/>
  <c r="E58" i="21"/>
  <c r="E55" i="21"/>
  <c r="E54" i="21"/>
  <c r="E71" i="25"/>
  <c r="E70" i="25"/>
  <c r="E67" i="25"/>
  <c r="E63" i="25"/>
  <c r="E62" i="25"/>
  <c r="E61" i="25"/>
  <c r="E60" i="25"/>
  <c r="E64" i="28"/>
  <c r="E59" i="25"/>
  <c r="E58" i="25"/>
  <c r="E56" i="25"/>
  <c r="E96" i="28"/>
  <c r="E80" i="28"/>
  <c r="E79" i="28"/>
  <c r="E78" i="28"/>
  <c r="E77" i="28"/>
  <c r="E76" i="28"/>
  <c r="E75" i="28"/>
  <c r="E72" i="28"/>
  <c r="E71" i="28"/>
  <c r="E70" i="28"/>
  <c r="E69" i="28"/>
  <c r="E66" i="28"/>
  <c r="E65" i="28"/>
  <c r="E62" i="28"/>
  <c r="E61" i="28"/>
  <c r="E60" i="28"/>
  <c r="E59" i="28"/>
  <c r="I121" i="28"/>
  <c r="K121" i="28"/>
  <c r="E104" i="28"/>
  <c r="E100" i="28"/>
  <c r="E92" i="28"/>
  <c r="E88" i="28"/>
  <c r="E84" i="28"/>
  <c r="I40" i="28"/>
  <c r="K40" i="28"/>
  <c r="E13" i="28"/>
  <c r="E12" i="28"/>
  <c r="L104" i="28"/>
  <c r="N104" i="28"/>
  <c r="E103" i="28"/>
  <c r="L103" i="28"/>
  <c r="N103" i="28"/>
  <c r="L100" i="28"/>
  <c r="N100" i="28"/>
  <c r="E99" i="28"/>
  <c r="L99" i="28"/>
  <c r="N99" i="28"/>
  <c r="L96" i="28"/>
  <c r="N96" i="28"/>
  <c r="E95" i="28"/>
  <c r="L95" i="28"/>
  <c r="N95" i="28"/>
  <c r="L92" i="28"/>
  <c r="N92" i="28"/>
  <c r="E91" i="28"/>
  <c r="L91" i="28"/>
  <c r="N91" i="28"/>
  <c r="L88" i="28"/>
  <c r="N88" i="28"/>
  <c r="E87" i="28"/>
  <c r="L87" i="28"/>
  <c r="N87" i="28"/>
  <c r="E83" i="28"/>
  <c r="L83" i="28"/>
  <c r="N83" i="28"/>
  <c r="L80" i="28"/>
  <c r="N80" i="28"/>
  <c r="L79" i="28"/>
  <c r="N79" i="28"/>
  <c r="L78" i="28"/>
  <c r="N78" i="28"/>
  <c r="L77" i="28"/>
  <c r="N77" i="28"/>
  <c r="L76" i="28"/>
  <c r="N76" i="28"/>
  <c r="L75" i="28"/>
  <c r="N75" i="28"/>
  <c r="L72" i="28"/>
  <c r="N72" i="28"/>
  <c r="L71" i="28"/>
  <c r="N71" i="28"/>
  <c r="L70" i="28"/>
  <c r="N70" i="28"/>
  <c r="L69" i="28"/>
  <c r="N69" i="28"/>
  <c r="L62" i="28"/>
  <c r="N62" i="28"/>
  <c r="L61" i="28"/>
  <c r="N61" i="28"/>
  <c r="L59" i="28"/>
  <c r="N59" i="28"/>
  <c r="J70" i="25"/>
  <c r="L70" i="25"/>
  <c r="J67" i="25"/>
  <c r="L67" i="25"/>
  <c r="E66" i="25"/>
  <c r="J66" i="25"/>
  <c r="L66" i="25"/>
  <c r="J63" i="25"/>
  <c r="L63" i="25"/>
  <c r="J62" i="25"/>
  <c r="L62" i="25"/>
  <c r="J61" i="25"/>
  <c r="L61" i="25"/>
  <c r="J60" i="25"/>
  <c r="L60" i="25"/>
  <c r="J58" i="25"/>
  <c r="L58" i="25"/>
  <c r="E57" i="25"/>
  <c r="J57" i="25"/>
  <c r="L57" i="25"/>
  <c r="J56" i="25"/>
  <c r="L56" i="25"/>
  <c r="L68" i="28"/>
  <c r="N68" i="28"/>
  <c r="L67" i="28"/>
  <c r="N67" i="28"/>
  <c r="L64" i="28"/>
  <c r="N64" i="28"/>
  <c r="L63" i="28"/>
  <c r="N63" i="28"/>
  <c r="L60" i="28"/>
  <c r="N60" i="28"/>
  <c r="J71" i="25"/>
  <c r="L71" i="25"/>
  <c r="J59" i="25"/>
  <c r="L59" i="25"/>
  <c r="L66" i="28"/>
  <c r="N66" i="28"/>
  <c r="L65" i="28"/>
  <c r="N65" i="28"/>
  <c r="I39" i="28"/>
  <c r="K39" i="28"/>
  <c r="K54" i="21"/>
  <c r="M54" i="21"/>
  <c r="I36" i="25"/>
  <c r="K36" i="25"/>
  <c r="I41" i="28"/>
  <c r="K41" i="28"/>
  <c r="E139" i="28"/>
  <c r="K139" i="28"/>
  <c r="M139" i="28"/>
  <c r="L9" i="27"/>
  <c r="N9" i="27"/>
  <c r="E15" i="21"/>
  <c r="E13" i="21"/>
  <c r="E12" i="21"/>
  <c r="E18" i="25"/>
  <c r="K18" i="25"/>
  <c r="M18" i="25"/>
  <c r="E17" i="25"/>
  <c r="K17" i="25"/>
  <c r="M17" i="25"/>
  <c r="E16" i="25"/>
  <c r="K16" i="25"/>
  <c r="M16" i="25"/>
  <c r="E15" i="25"/>
  <c r="K15" i="25"/>
  <c r="M15" i="25"/>
  <c r="E12" i="25"/>
  <c r="E14" i="25"/>
  <c r="K14" i="25"/>
  <c r="M14" i="25"/>
  <c r="E13" i="25"/>
  <c r="K13" i="25"/>
  <c r="M13" i="25"/>
  <c r="E11" i="25"/>
  <c r="E25" i="27"/>
  <c r="I25" i="27"/>
  <c r="K25" i="27"/>
  <c r="E24" i="27"/>
  <c r="I24" i="27"/>
  <c r="K24" i="27"/>
  <c r="K189" i="28"/>
  <c r="M189" i="28"/>
  <c r="K190" i="28"/>
  <c r="M190" i="28"/>
  <c r="J177" i="28"/>
  <c r="L177" i="28"/>
  <c r="J176" i="28"/>
  <c r="L176" i="28"/>
  <c r="K164" i="28"/>
  <c r="M164" i="28"/>
  <c r="K163" i="28"/>
  <c r="M163" i="28"/>
  <c r="I38" i="25"/>
  <c r="K38" i="25"/>
  <c r="I37" i="25"/>
  <c r="K37" i="25"/>
  <c r="K108" i="21"/>
  <c r="M108" i="21"/>
  <c r="K107" i="21"/>
  <c r="M107" i="21"/>
  <c r="J123" i="25"/>
  <c r="L123" i="25"/>
  <c r="J122" i="25"/>
  <c r="L122" i="25"/>
  <c r="K145" i="28"/>
  <c r="M145" i="28"/>
  <c r="K144" i="28"/>
  <c r="M144" i="28"/>
  <c r="I38" i="28"/>
  <c r="K38" i="28"/>
  <c r="I37" i="28"/>
  <c r="K37" i="28"/>
  <c r="K75" i="21"/>
  <c r="M75" i="21"/>
  <c r="K74" i="21"/>
  <c r="M74" i="21"/>
  <c r="K71" i="21"/>
  <c r="M71" i="21"/>
  <c r="K70" i="21"/>
  <c r="M70" i="21"/>
  <c r="K67" i="21"/>
  <c r="M67" i="21"/>
  <c r="K66" i="21"/>
  <c r="M66" i="21"/>
  <c r="L73" i="28"/>
  <c r="N73" i="28"/>
  <c r="K15" i="21"/>
  <c r="M15" i="21"/>
  <c r="E21" i="28"/>
  <c r="K21" i="28"/>
  <c r="M21" i="28"/>
  <c r="E20" i="28"/>
  <c r="K20" i="28"/>
  <c r="M20" i="28"/>
  <c r="E19" i="28"/>
  <c r="K19" i="28"/>
  <c r="M19" i="28"/>
  <c r="E18" i="28"/>
  <c r="K18" i="28"/>
  <c r="M18" i="28"/>
  <c r="E17" i="28"/>
  <c r="K17" i="28"/>
  <c r="M17" i="28"/>
  <c r="E16" i="28"/>
  <c r="K16" i="28"/>
  <c r="M16" i="28"/>
  <c r="E15" i="28"/>
  <c r="K15" i="28"/>
  <c r="M15" i="28"/>
  <c r="E14" i="28"/>
  <c r="K14" i="28"/>
  <c r="M14" i="28"/>
  <c r="K12" i="25"/>
  <c r="M12" i="25"/>
  <c r="E110" i="21"/>
  <c r="K110" i="21"/>
  <c r="E109" i="21"/>
  <c r="K109" i="21"/>
  <c r="M109" i="21"/>
  <c r="M110" i="21"/>
  <c r="K147" i="28"/>
  <c r="M147" i="28"/>
  <c r="E125" i="25"/>
  <c r="J125" i="25"/>
  <c r="L125" i="25"/>
  <c r="E124" i="25"/>
  <c r="J124" i="25"/>
  <c r="L124" i="25"/>
  <c r="J21" i="27"/>
  <c r="L21" i="27"/>
  <c r="J20" i="27"/>
  <c r="L20" i="27"/>
  <c r="E138" i="28"/>
  <c r="K138" i="28"/>
  <c r="M138" i="28"/>
  <c r="K146" i="28"/>
  <c r="M146" i="28"/>
  <c r="K137" i="28"/>
  <c r="M137" i="28"/>
  <c r="I122" i="28"/>
  <c r="K122" i="28"/>
  <c r="L74" i="28"/>
  <c r="N74" i="28"/>
  <c r="L84" i="28"/>
  <c r="N84" i="28"/>
  <c r="K10" i="28"/>
  <c r="M10" i="28"/>
  <c r="K11" i="28"/>
  <c r="M11" i="28"/>
  <c r="K12" i="28"/>
  <c r="M12" i="28"/>
  <c r="K13" i="28"/>
  <c r="M13" i="28"/>
  <c r="L13" i="27"/>
  <c r="L12" i="27"/>
  <c r="N16" i="27"/>
  <c r="N17" i="27"/>
  <c r="P17" i="27"/>
  <c r="P16" i="27"/>
  <c r="N13" i="27"/>
  <c r="N12" i="27"/>
  <c r="K55" i="21"/>
  <c r="M55" i="21"/>
  <c r="K63" i="21"/>
  <c r="M63" i="21"/>
  <c r="K62" i="21"/>
  <c r="M62" i="21"/>
  <c r="K59" i="21"/>
  <c r="M59" i="21"/>
  <c r="K58" i="21"/>
  <c r="M58" i="21"/>
  <c r="K11" i="21"/>
  <c r="M11" i="21"/>
  <c r="J110" i="25"/>
  <c r="L110" i="25"/>
  <c r="J109" i="25"/>
  <c r="L109" i="25"/>
  <c r="J90" i="25"/>
  <c r="L90" i="25"/>
  <c r="J89" i="25"/>
  <c r="L89" i="25"/>
  <c r="VGN66" i="25"/>
  <c r="VGP66" i="25"/>
  <c r="VFX66" i="25"/>
  <c r="VFZ66" i="25"/>
  <c r="VFH66" i="25"/>
  <c r="VFJ66" i="25"/>
  <c r="VER66" i="25"/>
  <c r="VET66" i="25"/>
  <c r="VEB66" i="25"/>
  <c r="VED66" i="25"/>
  <c r="VDL66" i="25"/>
  <c r="VDN66" i="25"/>
  <c r="VCV66" i="25"/>
  <c r="VCX66" i="25"/>
  <c r="VCF66" i="25"/>
  <c r="VCH66" i="25"/>
  <c r="VBP66" i="25"/>
  <c r="VBR66" i="25"/>
  <c r="VAZ66" i="25"/>
  <c r="VBB66" i="25"/>
  <c r="VAJ66" i="25"/>
  <c r="VAL66" i="25"/>
  <c r="UZT66" i="25"/>
  <c r="UZV66" i="25"/>
  <c r="UZD66" i="25"/>
  <c r="UZF66" i="25"/>
  <c r="UYN66" i="25"/>
  <c r="UYP66" i="25"/>
  <c r="UXX66" i="25"/>
  <c r="UXZ66" i="25"/>
  <c r="UXH66" i="25"/>
  <c r="UXJ66" i="25"/>
  <c r="UWR66" i="25"/>
  <c r="UWT66" i="25"/>
  <c r="UWB66" i="25"/>
  <c r="UWD66" i="25"/>
  <c r="UVL66" i="25"/>
  <c r="UVN66" i="25"/>
  <c r="UUV66" i="25"/>
  <c r="UUX66" i="25"/>
  <c r="UUF66" i="25"/>
  <c r="UUH66" i="25"/>
  <c r="UTP66" i="25"/>
  <c r="UTR66" i="25"/>
  <c r="USZ66" i="25"/>
  <c r="UTB66" i="25"/>
  <c r="USJ66" i="25"/>
  <c r="USL66" i="25"/>
  <c r="URT66" i="25"/>
  <c r="URV66" i="25"/>
  <c r="URD66" i="25"/>
  <c r="URF66" i="25"/>
  <c r="UQN66" i="25"/>
  <c r="UQP66" i="25"/>
  <c r="UPX66" i="25"/>
  <c r="UPZ66" i="25"/>
  <c r="UPH66" i="25"/>
  <c r="UPJ66" i="25"/>
  <c r="UOR66" i="25"/>
  <c r="UOT66" i="25"/>
  <c r="UOB66" i="25"/>
  <c r="UOD66" i="25"/>
  <c r="UNL66" i="25"/>
  <c r="UNN66" i="25"/>
  <c r="UMV66" i="25"/>
  <c r="UMX66" i="25"/>
  <c r="UMF66" i="25"/>
  <c r="UMH66" i="25"/>
  <c r="ULP66" i="25"/>
  <c r="ULR66" i="25"/>
  <c r="UKZ66" i="25"/>
  <c r="ULB66" i="25"/>
  <c r="UKJ66" i="25"/>
  <c r="UKL66" i="25"/>
  <c r="UJT66" i="25"/>
  <c r="UJV66" i="25"/>
  <c r="UJD66" i="25"/>
  <c r="UJF66" i="25"/>
  <c r="UIN66" i="25"/>
  <c r="UIP66" i="25"/>
  <c r="UHX66" i="25"/>
  <c r="UHZ66" i="25"/>
  <c r="UHH66" i="25"/>
  <c r="UHJ66" i="25"/>
  <c r="UGR66" i="25"/>
  <c r="UGT66" i="25"/>
  <c r="UGB66" i="25"/>
  <c r="UGD66" i="25"/>
  <c r="UFL66" i="25"/>
  <c r="UFN66" i="25"/>
  <c r="UEV66" i="25"/>
  <c r="UEX66" i="25"/>
  <c r="UEF66" i="25"/>
  <c r="UEH66" i="25"/>
  <c r="UDP66" i="25"/>
  <c r="UDR66" i="25"/>
  <c r="UCZ66" i="25"/>
  <c r="UDB66" i="25"/>
  <c r="UCJ66" i="25"/>
  <c r="UCL66" i="25"/>
  <c r="UBT66" i="25"/>
  <c r="UBV66" i="25"/>
  <c r="UBD66" i="25"/>
  <c r="UBF66" i="25"/>
  <c r="UAN66" i="25"/>
  <c r="UAP66" i="25"/>
  <c r="TZX66" i="25"/>
  <c r="TZZ66" i="25"/>
  <c r="TZH66" i="25"/>
  <c r="TZJ66" i="25"/>
  <c r="TYR66" i="25"/>
  <c r="TYT66" i="25"/>
  <c r="TYB66" i="25"/>
  <c r="TYD66" i="25"/>
  <c r="TXL66" i="25"/>
  <c r="TXN66" i="25"/>
  <c r="TWV66" i="25"/>
  <c r="TWX66" i="25"/>
  <c r="TWF66" i="25"/>
  <c r="TWH66" i="25"/>
  <c r="TVP66" i="25"/>
  <c r="TVR66" i="25"/>
  <c r="TUZ66" i="25"/>
  <c r="TVB66" i="25"/>
  <c r="TUJ66" i="25"/>
  <c r="TUL66" i="25"/>
  <c r="TTT66" i="25"/>
  <c r="TTV66" i="25"/>
  <c r="TTD66" i="25"/>
  <c r="TTF66" i="25"/>
  <c r="TSN66" i="25"/>
  <c r="TSP66" i="25"/>
  <c r="TRX66" i="25"/>
  <c r="TRZ66" i="25"/>
  <c r="TRH66" i="25"/>
  <c r="TRJ66" i="25"/>
  <c r="TQR66" i="25"/>
  <c r="TQT66" i="25"/>
  <c r="TQB66" i="25"/>
  <c r="TQD66" i="25"/>
  <c r="TPL66" i="25"/>
  <c r="TPN66" i="25"/>
  <c r="TOV66" i="25"/>
  <c r="TOX66" i="25"/>
  <c r="TOF66" i="25"/>
  <c r="TOH66" i="25"/>
  <c r="TNP66" i="25"/>
  <c r="TNR66" i="25"/>
  <c r="TMZ66" i="25"/>
  <c r="TNB66" i="25"/>
  <c r="TMJ66" i="25"/>
  <c r="TML66" i="25"/>
  <c r="TLT66" i="25"/>
  <c r="TLV66" i="25"/>
  <c r="TLD66" i="25"/>
  <c r="TLF66" i="25"/>
  <c r="TKN66" i="25"/>
  <c r="TKP66" i="25"/>
  <c r="TJX66" i="25"/>
  <c r="TJZ66" i="25"/>
  <c r="TJH66" i="25"/>
  <c r="TJJ66" i="25"/>
  <c r="TIR66" i="25"/>
  <c r="TIT66" i="25"/>
  <c r="TIB66" i="25"/>
  <c r="TID66" i="25"/>
  <c r="THL66" i="25"/>
  <c r="THN66" i="25"/>
  <c r="TGV66" i="25"/>
  <c r="TGX66" i="25"/>
  <c r="TGF66" i="25"/>
  <c r="TGH66" i="25"/>
  <c r="TFP66" i="25"/>
  <c r="TFR66" i="25"/>
  <c r="TEZ66" i="25"/>
  <c r="TFB66" i="25"/>
  <c r="TEJ66" i="25"/>
  <c r="TEL66" i="25"/>
  <c r="TDT66" i="25"/>
  <c r="TDV66" i="25"/>
  <c r="TDD66" i="25"/>
  <c r="TDF66" i="25"/>
  <c r="TCN66" i="25"/>
  <c r="TCP66" i="25"/>
  <c r="TBX66" i="25"/>
  <c r="TBZ66" i="25"/>
  <c r="TBH66" i="25"/>
  <c r="TBJ66" i="25"/>
  <c r="TAR66" i="25"/>
  <c r="TAT66" i="25"/>
  <c r="TAB66" i="25"/>
  <c r="TAD66" i="25"/>
  <c r="SZL66" i="25"/>
  <c r="SZN66" i="25"/>
  <c r="SYV66" i="25"/>
  <c r="SYX66" i="25"/>
  <c r="SYF66" i="25"/>
  <c r="SYH66" i="25"/>
  <c r="SXP66" i="25"/>
  <c r="SXR66" i="25"/>
  <c r="SWZ66" i="25"/>
  <c r="SXB66" i="25"/>
  <c r="SWJ66" i="25"/>
  <c r="SWL66" i="25"/>
  <c r="SVT66" i="25"/>
  <c r="SVV66" i="25"/>
  <c r="SVD66" i="25"/>
  <c r="SVF66" i="25"/>
  <c r="SUN66" i="25"/>
  <c r="SUP66" i="25"/>
  <c r="STX66" i="25"/>
  <c r="STZ66" i="25"/>
  <c r="STH66" i="25"/>
  <c r="STJ66" i="25"/>
  <c r="SSR66" i="25"/>
  <c r="SST66" i="25"/>
  <c r="SSB66" i="25"/>
  <c r="SSD66" i="25"/>
  <c r="SRL66" i="25"/>
  <c r="SRN66" i="25"/>
  <c r="SQV66" i="25"/>
  <c r="SQX66" i="25"/>
  <c r="SQF66" i="25"/>
  <c r="SQH66" i="25"/>
  <c r="SPP66" i="25"/>
  <c r="SPR66" i="25"/>
  <c r="SOZ66" i="25"/>
  <c r="SPB66" i="25"/>
  <c r="SOJ66" i="25"/>
  <c r="SOL66" i="25"/>
  <c r="SNT66" i="25"/>
  <c r="SNV66" i="25"/>
  <c r="SND66" i="25"/>
  <c r="SNF66" i="25"/>
  <c r="SMN66" i="25"/>
  <c r="SMP66" i="25"/>
  <c r="SLX66" i="25"/>
  <c r="SLZ66" i="25"/>
  <c r="SLH66" i="25"/>
  <c r="SLJ66" i="25"/>
  <c r="SKR66" i="25"/>
  <c r="SKT66" i="25"/>
  <c r="SKB66" i="25"/>
  <c r="SKD66" i="25"/>
  <c r="SJL66" i="25"/>
  <c r="SJN66" i="25"/>
  <c r="SIV66" i="25"/>
  <c r="SIX66" i="25"/>
  <c r="SIF66" i="25"/>
  <c r="SIH66" i="25"/>
  <c r="SHP66" i="25"/>
  <c r="SHR66" i="25"/>
  <c r="SGZ66" i="25"/>
  <c r="SHB66" i="25"/>
  <c r="SGJ66" i="25"/>
  <c r="SGL66" i="25"/>
  <c r="SFT66" i="25"/>
  <c r="SFV66" i="25"/>
  <c r="SFD66" i="25"/>
  <c r="SFF66" i="25"/>
  <c r="SEN66" i="25"/>
  <c r="SEP66" i="25"/>
  <c r="SDX66" i="25"/>
  <c r="SDZ66" i="25"/>
  <c r="SDH66" i="25"/>
  <c r="SDJ66" i="25"/>
  <c r="SCR66" i="25"/>
  <c r="SCT66" i="25"/>
  <c r="SCB66" i="25"/>
  <c r="SCD66" i="25"/>
  <c r="SBL66" i="25"/>
  <c r="SBN66" i="25"/>
  <c r="SAV66" i="25"/>
  <c r="SAX66" i="25"/>
  <c r="SAF66" i="25"/>
  <c r="SAH66" i="25"/>
  <c r="RZP66" i="25"/>
  <c r="RZR66" i="25"/>
  <c r="RYZ66" i="25"/>
  <c r="RZB66" i="25"/>
  <c r="RYJ66" i="25"/>
  <c r="RYL66" i="25"/>
  <c r="RXT66" i="25"/>
  <c r="RXV66" i="25"/>
  <c r="RXD66" i="25"/>
  <c r="RXF66" i="25"/>
  <c r="QZT66" i="25"/>
  <c r="QZV66" i="25"/>
  <c r="QZD66" i="25"/>
  <c r="QZF66" i="25"/>
  <c r="QYN66" i="25"/>
  <c r="QYP66" i="25"/>
  <c r="QXX66" i="25"/>
  <c r="QXZ66" i="25"/>
  <c r="QXH66" i="25"/>
  <c r="QXJ66" i="25"/>
  <c r="QWR66" i="25"/>
  <c r="QWT66" i="25"/>
  <c r="QWB66" i="25"/>
  <c r="QWD66" i="25"/>
  <c r="QVL66" i="25"/>
  <c r="QVN66" i="25"/>
  <c r="QUV66" i="25"/>
  <c r="QUX66" i="25"/>
  <c r="QUF66" i="25"/>
  <c r="QUH66" i="25"/>
  <c r="QTP66" i="25"/>
  <c r="QTR66" i="25"/>
  <c r="QSZ66" i="25"/>
  <c r="QTB66" i="25"/>
  <c r="QSJ66" i="25"/>
  <c r="QSL66" i="25"/>
  <c r="QRT66" i="25"/>
  <c r="QRV66" i="25"/>
  <c r="QRD66" i="25"/>
  <c r="QRF66" i="25"/>
  <c r="QQN66" i="25"/>
  <c r="QQP66" i="25"/>
  <c r="QPX66" i="25"/>
  <c r="QPZ66" i="25"/>
  <c r="QPH66" i="25"/>
  <c r="QPJ66" i="25"/>
  <c r="QOR66" i="25"/>
  <c r="QOT66" i="25"/>
  <c r="QOB66" i="25"/>
  <c r="QOD66" i="25"/>
  <c r="QNL66" i="25"/>
  <c r="QNN66" i="25"/>
  <c r="QMV66" i="25"/>
  <c r="QMX66" i="25"/>
  <c r="QMF66" i="25"/>
  <c r="QMH66" i="25"/>
  <c r="QLP66" i="25"/>
  <c r="QLR66" i="25"/>
  <c r="QKZ66" i="25"/>
  <c r="QLB66" i="25"/>
  <c r="QKJ66" i="25"/>
  <c r="QKL66" i="25"/>
  <c r="QJT66" i="25"/>
  <c r="QJV66" i="25"/>
  <c r="QJD66" i="25"/>
  <c r="QJF66" i="25"/>
  <c r="QIN66" i="25"/>
  <c r="QIP66" i="25"/>
  <c r="QHX66" i="25"/>
  <c r="QHZ66" i="25"/>
  <c r="QHH66" i="25"/>
  <c r="QHJ66" i="25"/>
  <c r="QGR66" i="25"/>
  <c r="QGT66" i="25"/>
  <c r="QGB66" i="25"/>
  <c r="QGD66" i="25"/>
  <c r="QFL66" i="25"/>
  <c r="QFN66" i="25"/>
  <c r="QEV66" i="25"/>
  <c r="QEX66" i="25"/>
  <c r="QEF66" i="25"/>
  <c r="QEH66" i="25"/>
  <c r="QDP66" i="25"/>
  <c r="QDR66" i="25"/>
  <c r="QCZ66" i="25"/>
  <c r="QDB66" i="25"/>
  <c r="QCJ66" i="25"/>
  <c r="QCL66" i="25"/>
  <c r="QBT66" i="25"/>
  <c r="QBV66" i="25"/>
  <c r="QBD66" i="25"/>
  <c r="QBF66" i="25"/>
  <c r="QAN66" i="25"/>
  <c r="QAP66" i="25"/>
  <c r="PZX66" i="25"/>
  <c r="PZZ66" i="25"/>
  <c r="PZH66" i="25"/>
  <c r="PZJ66" i="25"/>
  <c r="PYR66" i="25"/>
  <c r="PYT66" i="25"/>
  <c r="PYB66" i="25"/>
  <c r="PYD66" i="25"/>
  <c r="PXL66" i="25"/>
  <c r="PXN66" i="25"/>
  <c r="PWV66" i="25"/>
  <c r="PWX66" i="25"/>
  <c r="PWF66" i="25"/>
  <c r="PWH66" i="25"/>
  <c r="PVP66" i="25"/>
  <c r="PVR66" i="25"/>
  <c r="PUZ66" i="25"/>
  <c r="PVB66" i="25"/>
  <c r="PUJ66" i="25"/>
  <c r="PUL66" i="25"/>
  <c r="PTT66" i="25"/>
  <c r="PTV66" i="25"/>
  <c r="PTD66" i="25"/>
  <c r="PTF66" i="25"/>
  <c r="PSN66" i="25"/>
  <c r="PSP66" i="25"/>
  <c r="PRX66" i="25"/>
  <c r="PRZ66" i="25"/>
  <c r="PRH66" i="25"/>
  <c r="PRJ66" i="25"/>
  <c r="PQR66" i="25"/>
  <c r="PQT66" i="25"/>
  <c r="PQB66" i="25"/>
  <c r="PQD66" i="25"/>
  <c r="PPL66" i="25"/>
  <c r="PPN66" i="25"/>
  <c r="POV66" i="25"/>
  <c r="POX66" i="25"/>
  <c r="POF66" i="25"/>
  <c r="POH66" i="25"/>
  <c r="PNP66" i="25"/>
  <c r="PNR66" i="25"/>
  <c r="PMZ66" i="25"/>
  <c r="PNB66" i="25"/>
  <c r="PMJ66" i="25"/>
  <c r="PML66" i="25"/>
  <c r="PLT66" i="25"/>
  <c r="PLV66" i="25"/>
  <c r="PLD66" i="25"/>
  <c r="PLF66" i="25"/>
  <c r="PKN66" i="25"/>
  <c r="PKP66" i="25"/>
  <c r="PJX66" i="25"/>
  <c r="PJZ66" i="25"/>
  <c r="PJH66" i="25"/>
  <c r="PJJ66" i="25"/>
  <c r="PIR66" i="25"/>
  <c r="PIT66" i="25"/>
  <c r="PIB66" i="25"/>
  <c r="PID66" i="25"/>
  <c r="PHL66" i="25"/>
  <c r="PHN66" i="25"/>
  <c r="PGV66" i="25"/>
  <c r="PGX66" i="25"/>
  <c r="PGF66" i="25"/>
  <c r="PGH66" i="25"/>
  <c r="PFP66" i="25"/>
  <c r="PFR66" i="25"/>
  <c r="PEZ66" i="25"/>
  <c r="PFB66" i="25"/>
  <c r="PEJ66" i="25"/>
  <c r="PEL66" i="25"/>
  <c r="PDT66" i="25"/>
  <c r="PDV66" i="25"/>
  <c r="PDD66" i="25"/>
  <c r="PDF66" i="25"/>
  <c r="PCN66" i="25"/>
  <c r="PCP66" i="25"/>
  <c r="PBX66" i="25"/>
  <c r="PBZ66" i="25"/>
  <c r="PBH66" i="25"/>
  <c r="PBJ66" i="25"/>
  <c r="PAR66" i="25"/>
  <c r="PAT66" i="25"/>
  <c r="PAB66" i="25"/>
  <c r="PAD66" i="25"/>
  <c r="OZL66" i="25"/>
  <c r="OZN66" i="25"/>
  <c r="OYV66" i="25"/>
  <c r="OYX66" i="25"/>
  <c r="OYF66" i="25"/>
  <c r="OYH66" i="25"/>
  <c r="OXP66" i="25"/>
  <c r="OXR66" i="25"/>
  <c r="OWZ66" i="25"/>
  <c r="OXB66" i="25"/>
  <c r="OWJ66" i="25"/>
  <c r="OWL66" i="25"/>
  <c r="OVT66" i="25"/>
  <c r="OVV66" i="25"/>
  <c r="OVD66" i="25"/>
  <c r="OVF66" i="25"/>
  <c r="OUN66" i="25"/>
  <c r="OUP66" i="25"/>
  <c r="OTX66" i="25"/>
  <c r="OTZ66" i="25"/>
  <c r="OTH66" i="25"/>
  <c r="OTJ66" i="25"/>
  <c r="OSR66" i="25"/>
  <c r="OST66" i="25"/>
  <c r="OSB66" i="25"/>
  <c r="OSD66" i="25"/>
  <c r="ORL66" i="25"/>
  <c r="ORN66" i="25"/>
  <c r="OQV66" i="25"/>
  <c r="OQX66" i="25"/>
  <c r="OQF66" i="25"/>
  <c r="OQH66" i="25"/>
  <c r="OPP66" i="25"/>
  <c r="OPR66" i="25"/>
  <c r="OOZ66" i="25"/>
  <c r="OPB66" i="25"/>
  <c r="OOJ66" i="25"/>
  <c r="OOL66" i="25"/>
  <c r="ONT66" i="25"/>
  <c r="ONV66" i="25"/>
  <c r="OND66" i="25"/>
  <c r="ONF66" i="25"/>
  <c r="OMN66" i="25"/>
  <c r="OMP66" i="25"/>
  <c r="OLX66" i="25"/>
  <c r="OLZ66" i="25"/>
  <c r="OLH66" i="25"/>
  <c r="OLJ66" i="25"/>
  <c r="OKR66" i="25"/>
  <c r="OKT66" i="25"/>
  <c r="OKB66" i="25"/>
  <c r="OKD66" i="25"/>
  <c r="OJL66" i="25"/>
  <c r="OJN66" i="25"/>
  <c r="OIV66" i="25"/>
  <c r="OIX66" i="25"/>
  <c r="OIF66" i="25"/>
  <c r="OIH66" i="25"/>
  <c r="OHP66" i="25"/>
  <c r="OHR66" i="25"/>
  <c r="OGZ66" i="25"/>
  <c r="OHB66" i="25"/>
  <c r="OGJ66" i="25"/>
  <c r="OGL66" i="25"/>
  <c r="OFT66" i="25"/>
  <c r="OFV66" i="25"/>
  <c r="OFD66" i="25"/>
  <c r="OFF66" i="25"/>
  <c r="OEN66" i="25"/>
  <c r="OEP66" i="25"/>
  <c r="ODX66" i="25"/>
  <c r="ODZ66" i="25"/>
  <c r="ODH66" i="25"/>
  <c r="ODJ66" i="25"/>
  <c r="OCR66" i="25"/>
  <c r="OCT66" i="25"/>
  <c r="OCB66" i="25"/>
  <c r="OCD66" i="25"/>
  <c r="OBL66" i="25"/>
  <c r="OBN66" i="25"/>
  <c r="OAV66" i="25"/>
  <c r="OAX66" i="25"/>
  <c r="OAF66" i="25"/>
  <c r="OAH66" i="25"/>
  <c r="NZP66" i="25"/>
  <c r="NZR66" i="25"/>
  <c r="NYZ66" i="25"/>
  <c r="NZB66" i="25"/>
  <c r="NYJ66" i="25"/>
  <c r="NYL66" i="25"/>
  <c r="NXT66" i="25"/>
  <c r="NXV66" i="25"/>
  <c r="NXD66" i="25"/>
  <c r="NXF66" i="25"/>
  <c r="NWN66" i="25"/>
  <c r="NWP66" i="25"/>
  <c r="NVX66" i="25"/>
  <c r="NVZ66" i="25"/>
  <c r="NVH66" i="25"/>
  <c r="NVJ66" i="25"/>
  <c r="NUR66" i="25"/>
  <c r="NUT66" i="25"/>
  <c r="NUB66" i="25"/>
  <c r="NUD66" i="25"/>
  <c r="NTL66" i="25"/>
  <c r="NTN66" i="25"/>
  <c r="NSV66" i="25"/>
  <c r="NSX66" i="25"/>
  <c r="NSF66" i="25"/>
  <c r="NSH66" i="25"/>
  <c r="NRP66" i="25"/>
  <c r="NRR66" i="25"/>
  <c r="NQZ66" i="25"/>
  <c r="NRB66" i="25"/>
  <c r="NQJ66" i="25"/>
  <c r="NQL66" i="25"/>
  <c r="NPT66" i="25"/>
  <c r="NPV66" i="25"/>
  <c r="NPD66" i="25"/>
  <c r="NPF66" i="25"/>
  <c r="NON66" i="25"/>
  <c r="NOP66" i="25"/>
  <c r="NNX66" i="25"/>
  <c r="NNZ66" i="25"/>
  <c r="NNH66" i="25"/>
  <c r="NNJ66" i="25"/>
  <c r="NMR66" i="25"/>
  <c r="NMT66" i="25"/>
  <c r="NMB66" i="25"/>
  <c r="NMD66" i="25"/>
  <c r="NLL66" i="25"/>
  <c r="NLN66" i="25"/>
  <c r="NKV66" i="25"/>
  <c r="NKX66" i="25"/>
  <c r="NKF66" i="25"/>
  <c r="NKH66" i="25"/>
  <c r="NJP66" i="25"/>
  <c r="NJR66" i="25"/>
  <c r="NIZ66" i="25"/>
  <c r="NJB66" i="25"/>
  <c r="NIJ66" i="25"/>
  <c r="NIL66" i="25"/>
  <c r="NHT66" i="25"/>
  <c r="NHV66" i="25"/>
  <c r="NHD66" i="25"/>
  <c r="NHF66" i="25"/>
  <c r="NGN66" i="25"/>
  <c r="NGP66" i="25"/>
  <c r="NFX66" i="25"/>
  <c r="NFZ66" i="25"/>
  <c r="NFH66" i="25"/>
  <c r="NFJ66" i="25"/>
  <c r="NER66" i="25"/>
  <c r="NET66" i="25"/>
  <c r="NEB66" i="25"/>
  <c r="NED66" i="25"/>
  <c r="NDL66" i="25"/>
  <c r="NDN66" i="25"/>
  <c r="NCV66" i="25"/>
  <c r="NCX66" i="25"/>
  <c r="NCF66" i="25"/>
  <c r="NCH66" i="25"/>
  <c r="NBP66" i="25"/>
  <c r="NBR66" i="25"/>
  <c r="NAZ66" i="25"/>
  <c r="NBB66" i="25"/>
  <c r="NAJ66" i="25"/>
  <c r="NAL66" i="25"/>
  <c r="MZT66" i="25"/>
  <c r="MZV66" i="25"/>
  <c r="MZD66" i="25"/>
  <c r="MZF66" i="25"/>
  <c r="MYN66" i="25"/>
  <c r="MYP66" i="25"/>
  <c r="MXX66" i="25"/>
  <c r="MXZ66" i="25"/>
  <c r="MXH66" i="25"/>
  <c r="MXJ66" i="25"/>
  <c r="MWR66" i="25"/>
  <c r="MWT66" i="25"/>
  <c r="MWB66" i="25"/>
  <c r="MWD66" i="25"/>
  <c r="MVL66" i="25"/>
  <c r="MVN66" i="25"/>
  <c r="MUV66" i="25"/>
  <c r="MUX66" i="25"/>
  <c r="MUF66" i="25"/>
  <c r="MUH66" i="25"/>
  <c r="MTP66" i="25"/>
  <c r="MTR66" i="25"/>
  <c r="MSZ66" i="25"/>
  <c r="MTB66" i="25"/>
  <c r="MSJ66" i="25"/>
  <c r="MSL66" i="25"/>
  <c r="MRT66" i="25"/>
  <c r="MRV66" i="25"/>
  <c r="MRD66" i="25"/>
  <c r="MRF66" i="25"/>
  <c r="MQN66" i="25"/>
  <c r="MQP66" i="25"/>
  <c r="MPX66" i="25"/>
  <c r="MPZ66" i="25"/>
  <c r="MPH66" i="25"/>
  <c r="MPJ66" i="25"/>
  <c r="MOR66" i="25"/>
  <c r="MOT66" i="25"/>
  <c r="MOB66" i="25"/>
  <c r="MOD66" i="25"/>
  <c r="MNL66" i="25"/>
  <c r="MNN66" i="25"/>
  <c r="MMV66" i="25"/>
  <c r="MMX66" i="25"/>
  <c r="MMF66" i="25"/>
  <c r="MMH66" i="25"/>
  <c r="MLP66" i="25"/>
  <c r="MLR66" i="25"/>
  <c r="MKZ66" i="25"/>
  <c r="MLB66" i="25"/>
  <c r="MKJ66" i="25"/>
  <c r="MKL66" i="25"/>
  <c r="MJT66" i="25"/>
  <c r="MJV66" i="25"/>
  <c r="MJD66" i="25"/>
  <c r="MJF66" i="25"/>
  <c r="MIN66" i="25"/>
  <c r="MIP66" i="25"/>
  <c r="MHX66" i="25"/>
  <c r="MHZ66" i="25"/>
  <c r="MHH66" i="25"/>
  <c r="MHJ66" i="25"/>
  <c r="MGR66" i="25"/>
  <c r="MGT66" i="25"/>
  <c r="MGB66" i="25"/>
  <c r="MGD66" i="25"/>
  <c r="MFL66" i="25"/>
  <c r="MFN66" i="25"/>
  <c r="MEV66" i="25"/>
  <c r="MEX66" i="25"/>
  <c r="MEF66" i="25"/>
  <c r="MEH66" i="25"/>
  <c r="MDP66" i="25"/>
  <c r="MDR66" i="25"/>
  <c r="MCZ66" i="25"/>
  <c r="MDB66" i="25"/>
  <c r="MCJ66" i="25"/>
  <c r="MCL66" i="25"/>
  <c r="MBT66" i="25"/>
  <c r="MBV66" i="25"/>
  <c r="MBD66" i="25"/>
  <c r="MBF66" i="25"/>
  <c r="MAN66" i="25"/>
  <c r="MAP66" i="25"/>
  <c r="LZX66" i="25"/>
  <c r="LZZ66" i="25"/>
  <c r="LZH66" i="25"/>
  <c r="LZJ66" i="25"/>
  <c r="LYR66" i="25"/>
  <c r="LYT66" i="25"/>
  <c r="LYB66" i="25"/>
  <c r="LYD66" i="25"/>
  <c r="LXL66" i="25"/>
  <c r="LXN66" i="25"/>
  <c r="LWV66" i="25"/>
  <c r="LWX66" i="25"/>
  <c r="LWF66" i="25"/>
  <c r="LWH66" i="25"/>
  <c r="LVP66" i="25"/>
  <c r="LVR66" i="25"/>
  <c r="LUZ66" i="25"/>
  <c r="LVB66" i="25"/>
  <c r="LUJ66" i="25"/>
  <c r="LUL66" i="25"/>
  <c r="LTT66" i="25"/>
  <c r="LTV66" i="25"/>
  <c r="LTD66" i="25"/>
  <c r="LTF66" i="25"/>
  <c r="LSN66" i="25"/>
  <c r="LSP66" i="25"/>
  <c r="LRX66" i="25"/>
  <c r="LRZ66" i="25"/>
  <c r="LRH66" i="25"/>
  <c r="LRJ66" i="25"/>
  <c r="LQR66" i="25"/>
  <c r="LQT66" i="25"/>
  <c r="LQB66" i="25"/>
  <c r="LQD66" i="25"/>
  <c r="LPL66" i="25"/>
  <c r="LPN66" i="25"/>
  <c r="LOV66" i="25"/>
  <c r="LOX66" i="25"/>
  <c r="LOF66" i="25"/>
  <c r="LOH66" i="25"/>
  <c r="LNP66" i="25"/>
  <c r="LNR66" i="25"/>
  <c r="LMZ66" i="25"/>
  <c r="LNB66" i="25"/>
  <c r="LMJ66" i="25"/>
  <c r="LML66" i="25"/>
  <c r="LLT66" i="25"/>
  <c r="LLV66" i="25"/>
  <c r="LLD66" i="25"/>
  <c r="LLF66" i="25"/>
  <c r="LKN66" i="25"/>
  <c r="LKP66" i="25"/>
  <c r="LJX66" i="25"/>
  <c r="LJZ66" i="25"/>
  <c r="LJH66" i="25"/>
  <c r="LJJ66" i="25"/>
  <c r="LIR66" i="25"/>
  <c r="LIT66" i="25"/>
  <c r="LIB66" i="25"/>
  <c r="LID66" i="25"/>
  <c r="LHL66" i="25"/>
  <c r="LHN66" i="25"/>
  <c r="LGV66" i="25"/>
  <c r="LGX66" i="25"/>
  <c r="LGF66" i="25"/>
  <c r="LGH66" i="25"/>
  <c r="LFP66" i="25"/>
  <c r="LFR66" i="25"/>
  <c r="LEZ66" i="25"/>
  <c r="LFB66" i="25"/>
  <c r="LEJ66" i="25"/>
  <c r="LEL66" i="25"/>
  <c r="LDT66" i="25"/>
  <c r="LDV66" i="25"/>
  <c r="LDD66" i="25"/>
  <c r="LDF66" i="25"/>
  <c r="LCN66" i="25"/>
  <c r="LCP66" i="25"/>
  <c r="LBX66" i="25"/>
  <c r="LBZ66" i="25"/>
  <c r="LBH66" i="25"/>
  <c r="LBJ66" i="25"/>
  <c r="LAR66" i="25"/>
  <c r="LAT66" i="25"/>
  <c r="LAB66" i="25"/>
  <c r="LAD66" i="25"/>
  <c r="KZL66" i="25"/>
  <c r="KZN66" i="25"/>
  <c r="KYV66" i="25"/>
  <c r="KYX66" i="25"/>
  <c r="KYF66" i="25"/>
  <c r="KYH66" i="25"/>
  <c r="KXP66" i="25"/>
  <c r="KXR66" i="25"/>
  <c r="KWZ66" i="25"/>
  <c r="KXB66" i="25"/>
  <c r="KWJ66" i="25"/>
  <c r="KWL66" i="25"/>
  <c r="KVT66" i="25"/>
  <c r="KVV66" i="25"/>
  <c r="KVD66" i="25"/>
  <c r="KVF66" i="25"/>
  <c r="KUN66" i="25"/>
  <c r="KUP66" i="25"/>
  <c r="KTX66" i="25"/>
  <c r="KTZ66" i="25"/>
  <c r="KTH66" i="25"/>
  <c r="KTJ66" i="25"/>
  <c r="KSR66" i="25"/>
  <c r="KST66" i="25"/>
  <c r="KSB66" i="25"/>
  <c r="KSD66" i="25"/>
  <c r="KRL66" i="25"/>
  <c r="KRN66" i="25"/>
  <c r="KQV66" i="25"/>
  <c r="KQX66" i="25"/>
  <c r="KQF66" i="25"/>
  <c r="KQH66" i="25"/>
  <c r="KPP66" i="25"/>
  <c r="KPR66" i="25"/>
  <c r="KOZ66" i="25"/>
  <c r="KPB66" i="25"/>
  <c r="KOJ66" i="25"/>
  <c r="KOL66" i="25"/>
  <c r="KNT66" i="25"/>
  <c r="KNV66" i="25"/>
  <c r="KND66" i="25"/>
  <c r="KNF66" i="25"/>
  <c r="KMN66" i="25"/>
  <c r="KMP66" i="25"/>
  <c r="KLX66" i="25"/>
  <c r="KLZ66" i="25"/>
  <c r="KLH66" i="25"/>
  <c r="KLJ66" i="25"/>
  <c r="KKR66" i="25"/>
  <c r="KKT66" i="25"/>
  <c r="KKB66" i="25"/>
  <c r="KKD66" i="25"/>
  <c r="KJL66" i="25"/>
  <c r="KJN66" i="25"/>
  <c r="KIV66" i="25"/>
  <c r="KIX66" i="25"/>
  <c r="KIF66" i="25"/>
  <c r="KIH66" i="25"/>
  <c r="KHP66" i="25"/>
  <c r="KHR66" i="25"/>
  <c r="KGZ66" i="25"/>
  <c r="KHB66" i="25"/>
  <c r="KGJ66" i="25"/>
  <c r="KGL66" i="25"/>
  <c r="KFT66" i="25"/>
  <c r="KFV66" i="25"/>
  <c r="KFD66" i="25"/>
  <c r="KFF66" i="25"/>
  <c r="KEN66" i="25"/>
  <c r="KEP66" i="25"/>
  <c r="KDX66" i="25"/>
  <c r="KDZ66" i="25"/>
  <c r="KDH66" i="25"/>
  <c r="KDJ66" i="25"/>
  <c r="KCR66" i="25"/>
  <c r="KCT66" i="25"/>
  <c r="KCB66" i="25"/>
  <c r="KCD66" i="25"/>
  <c r="KBL66" i="25"/>
  <c r="KBN66" i="25"/>
  <c r="KAV66" i="25"/>
  <c r="KAX66" i="25"/>
  <c r="KAF66" i="25"/>
  <c r="KAH66" i="25"/>
  <c r="JZP66" i="25"/>
  <c r="JZR66" i="25"/>
  <c r="JYZ66" i="25"/>
  <c r="JZB66" i="25"/>
  <c r="JYJ66" i="25"/>
  <c r="JYL66" i="25"/>
  <c r="JXT66" i="25"/>
  <c r="JXV66" i="25"/>
  <c r="JXD66" i="25"/>
  <c r="JXF66" i="25"/>
  <c r="JWN66" i="25"/>
  <c r="JWP66" i="25"/>
  <c r="JVX66" i="25"/>
  <c r="JVZ66" i="25"/>
  <c r="JVH66" i="25"/>
  <c r="JVJ66" i="25"/>
  <c r="JUR66" i="25"/>
  <c r="JUT66" i="25"/>
  <c r="JUB66" i="25"/>
  <c r="JUD66" i="25"/>
  <c r="JTL66" i="25"/>
  <c r="JTN66" i="25"/>
  <c r="JSV66" i="25"/>
  <c r="JSX66" i="25"/>
  <c r="JSF66" i="25"/>
  <c r="JSH66" i="25"/>
  <c r="JRP66" i="25"/>
  <c r="JRR66" i="25"/>
  <c r="JQZ66" i="25"/>
  <c r="JRB66" i="25"/>
  <c r="JQJ66" i="25"/>
  <c r="JQL66" i="25"/>
  <c r="JPT66" i="25"/>
  <c r="JPV66" i="25"/>
  <c r="JPD66" i="25"/>
  <c r="JPF66" i="25"/>
  <c r="JON66" i="25"/>
  <c r="JOP66" i="25"/>
  <c r="JNX66" i="25"/>
  <c r="JNZ66" i="25"/>
  <c r="JNH66" i="25"/>
  <c r="JNJ66" i="25"/>
  <c r="JMR66" i="25"/>
  <c r="JMT66" i="25"/>
  <c r="JMB66" i="25"/>
  <c r="JMD66" i="25"/>
  <c r="JLL66" i="25"/>
  <c r="JLN66" i="25"/>
  <c r="JKV66" i="25"/>
  <c r="JKX66" i="25"/>
  <c r="JKF66" i="25"/>
  <c r="JKH66" i="25"/>
  <c r="JJP66" i="25"/>
  <c r="JJR66" i="25"/>
  <c r="JIZ66" i="25"/>
  <c r="JJB66" i="25"/>
  <c r="JIJ66" i="25"/>
  <c r="JIL66" i="25"/>
  <c r="JHT66" i="25"/>
  <c r="JHV66" i="25"/>
  <c r="JHD66" i="25"/>
  <c r="JHF66" i="25"/>
  <c r="JGN66" i="25"/>
  <c r="JGP66" i="25"/>
  <c r="JFX66" i="25"/>
  <c r="JFZ66" i="25"/>
  <c r="JFH66" i="25"/>
  <c r="JFJ66" i="25"/>
  <c r="JER66" i="25"/>
  <c r="JET66" i="25"/>
  <c r="JEB66" i="25"/>
  <c r="JED66" i="25"/>
  <c r="JDL66" i="25"/>
  <c r="JDN66" i="25"/>
  <c r="JCV66" i="25"/>
  <c r="JCX66" i="25"/>
  <c r="JCF66" i="25"/>
  <c r="JCH66" i="25"/>
  <c r="JBP66" i="25"/>
  <c r="JBR66" i="25"/>
  <c r="JAZ66" i="25"/>
  <c r="JBB66" i="25"/>
  <c r="JAJ66" i="25"/>
  <c r="JAL66" i="25"/>
  <c r="IZT66" i="25"/>
  <c r="IZV66" i="25"/>
  <c r="IZD66" i="25"/>
  <c r="IZF66" i="25"/>
  <c r="IYN66" i="25"/>
  <c r="IYP66" i="25"/>
  <c r="IXX66" i="25"/>
  <c r="IXZ66" i="25"/>
  <c r="IXH66" i="25"/>
  <c r="IXJ66" i="25"/>
  <c r="IWR66" i="25"/>
  <c r="IWT66" i="25"/>
  <c r="IWB66" i="25"/>
  <c r="IWD66" i="25"/>
  <c r="IVL66" i="25"/>
  <c r="IVN66" i="25"/>
  <c r="IUV66" i="25"/>
  <c r="IUX66" i="25"/>
  <c r="IUF66" i="25"/>
  <c r="IUH66" i="25"/>
  <c r="ITP66" i="25"/>
  <c r="ITR66" i="25"/>
  <c r="ISZ66" i="25"/>
  <c r="ITB66" i="25"/>
  <c r="ISJ66" i="25"/>
  <c r="ISL66" i="25"/>
  <c r="IRT66" i="25"/>
  <c r="IRV66" i="25"/>
  <c r="IRD66" i="25"/>
  <c r="IRF66" i="25"/>
  <c r="IQN66" i="25"/>
  <c r="IQP66" i="25"/>
  <c r="IPX66" i="25"/>
  <c r="IPZ66" i="25"/>
  <c r="IPH66" i="25"/>
  <c r="IPJ66" i="25"/>
  <c r="IOR66" i="25"/>
  <c r="IOT66" i="25"/>
  <c r="IOB66" i="25"/>
  <c r="IOD66" i="25"/>
  <c r="INL66" i="25"/>
  <c r="INN66" i="25"/>
  <c r="IMV66" i="25"/>
  <c r="IMX66" i="25"/>
  <c r="IMF66" i="25"/>
  <c r="IMH66" i="25"/>
  <c r="ILP66" i="25"/>
  <c r="ILR66" i="25"/>
  <c r="IKZ66" i="25"/>
  <c r="ILB66" i="25"/>
  <c r="IKJ66" i="25"/>
  <c r="IKL66" i="25"/>
  <c r="IJT66" i="25"/>
  <c r="IJV66" i="25"/>
  <c r="IJD66" i="25"/>
  <c r="IJF66" i="25"/>
  <c r="IIN66" i="25"/>
  <c r="IIP66" i="25"/>
  <c r="IHX66" i="25"/>
  <c r="IHZ66" i="25"/>
  <c r="IHH66" i="25"/>
  <c r="IHJ66" i="25"/>
  <c r="IGR66" i="25"/>
  <c r="IGT66" i="25"/>
  <c r="IGB66" i="25"/>
  <c r="IGD66" i="25"/>
  <c r="IFL66" i="25"/>
  <c r="IFN66" i="25"/>
  <c r="IEV66" i="25"/>
  <c r="IEX66" i="25"/>
  <c r="IEF66" i="25"/>
  <c r="IEH66" i="25"/>
  <c r="IDP66" i="25"/>
  <c r="IDR66" i="25"/>
  <c r="ICZ66" i="25"/>
  <c r="IDB66" i="25"/>
  <c r="ICJ66" i="25"/>
  <c r="ICL66" i="25"/>
  <c r="IBT66" i="25"/>
  <c r="IBV66" i="25"/>
  <c r="IBD66" i="25"/>
  <c r="IBF66" i="25"/>
  <c r="IAN66" i="25"/>
  <c r="IAP66" i="25"/>
  <c r="HZX66" i="25"/>
  <c r="HZZ66" i="25"/>
  <c r="HZH66" i="25"/>
  <c r="HZJ66" i="25"/>
  <c r="HYR66" i="25"/>
  <c r="HYT66" i="25"/>
  <c r="HYB66" i="25"/>
  <c r="HYD66" i="25"/>
  <c r="HXL66" i="25"/>
  <c r="HXN66" i="25"/>
  <c r="HWV66" i="25"/>
  <c r="HWX66" i="25"/>
  <c r="HWF66" i="25"/>
  <c r="HWH66" i="25"/>
  <c r="HVP66" i="25"/>
  <c r="HVR66" i="25"/>
  <c r="HUZ66" i="25"/>
  <c r="HVB66" i="25"/>
  <c r="HUJ66" i="25"/>
  <c r="HUL66" i="25"/>
  <c r="HTT66" i="25"/>
  <c r="HTV66" i="25"/>
  <c r="HTD66" i="25"/>
  <c r="HTF66" i="25"/>
  <c r="HSN66" i="25"/>
  <c r="HSP66" i="25"/>
  <c r="HRX66" i="25"/>
  <c r="HRZ66" i="25"/>
  <c r="HRH66" i="25"/>
  <c r="HRJ66" i="25"/>
  <c r="HQR66" i="25"/>
  <c r="HQT66" i="25"/>
  <c r="HQB66" i="25"/>
  <c r="HQD66" i="25"/>
  <c r="HPL66" i="25"/>
  <c r="HPN66" i="25"/>
  <c r="HOV66" i="25"/>
  <c r="HOX66" i="25"/>
  <c r="HOF66" i="25"/>
  <c r="HOH66" i="25"/>
  <c r="HNP66" i="25"/>
  <c r="HNR66" i="25"/>
  <c r="HMZ66" i="25"/>
  <c r="HNB66" i="25"/>
  <c r="HMJ66" i="25"/>
  <c r="HML66" i="25"/>
  <c r="HLT66" i="25"/>
  <c r="HLV66" i="25"/>
  <c r="HLD66" i="25"/>
  <c r="HLF66" i="25"/>
  <c r="HKN66" i="25"/>
  <c r="HKP66" i="25"/>
  <c r="HJX66" i="25"/>
  <c r="HJZ66" i="25"/>
  <c r="HJH66" i="25"/>
  <c r="HJJ66" i="25"/>
  <c r="HIR66" i="25"/>
  <c r="HIT66" i="25"/>
  <c r="HIB66" i="25"/>
  <c r="HID66" i="25"/>
  <c r="HHL66" i="25"/>
  <c r="HHN66" i="25"/>
  <c r="HGV66" i="25"/>
  <c r="HGX66" i="25"/>
  <c r="HGF66" i="25"/>
  <c r="HGH66" i="25"/>
  <c r="HFP66" i="25"/>
  <c r="HFR66" i="25"/>
  <c r="HEZ66" i="25"/>
  <c r="HFB66" i="25"/>
  <c r="HEJ66" i="25"/>
  <c r="HEL66" i="25"/>
  <c r="HDT66" i="25"/>
  <c r="HDV66" i="25"/>
  <c r="HDD66" i="25"/>
  <c r="HDF66" i="25"/>
  <c r="HCN66" i="25"/>
  <c r="HCP66" i="25"/>
  <c r="HBX66" i="25"/>
  <c r="HBZ66" i="25"/>
  <c r="HBH66" i="25"/>
  <c r="HBJ66" i="25"/>
  <c r="HAR66" i="25"/>
  <c r="HAT66" i="25"/>
  <c r="HAB66" i="25"/>
  <c r="HAD66" i="25"/>
  <c r="GZL66" i="25"/>
  <c r="GZN66" i="25"/>
  <c r="GYV66" i="25"/>
  <c r="GYX66" i="25"/>
  <c r="GYF66" i="25"/>
  <c r="GYH66" i="25"/>
  <c r="GXP66" i="25"/>
  <c r="GXR66" i="25"/>
  <c r="GWZ66" i="25"/>
  <c r="GXB66" i="25"/>
  <c r="GWJ66" i="25"/>
  <c r="GWL66" i="25"/>
  <c r="GVT66" i="25"/>
  <c r="GVV66" i="25"/>
  <c r="GVD66" i="25"/>
  <c r="GVF66" i="25"/>
  <c r="GUN66" i="25"/>
  <c r="GUP66" i="25"/>
  <c r="GTX66" i="25"/>
  <c r="GTZ66" i="25"/>
  <c r="GTH66" i="25"/>
  <c r="GTJ66" i="25"/>
  <c r="GSR66" i="25"/>
  <c r="GST66" i="25"/>
  <c r="GSB66" i="25"/>
  <c r="GSD66" i="25"/>
  <c r="GRL66" i="25"/>
  <c r="GRN66" i="25"/>
  <c r="GQV66" i="25"/>
  <c r="GQX66" i="25"/>
  <c r="GQF66" i="25"/>
  <c r="GQH66" i="25"/>
  <c r="GPP66" i="25"/>
  <c r="GPR66" i="25"/>
  <c r="GOZ66" i="25"/>
  <c r="GPB66" i="25"/>
  <c r="GOJ66" i="25"/>
  <c r="GOL66" i="25"/>
  <c r="GNT66" i="25"/>
  <c r="GNV66" i="25"/>
  <c r="GND66" i="25"/>
  <c r="GNF66" i="25"/>
  <c r="GMN66" i="25"/>
  <c r="GMP66" i="25"/>
  <c r="GLX66" i="25"/>
  <c r="GLZ66" i="25"/>
  <c r="GLH66" i="25"/>
  <c r="GLJ66" i="25"/>
  <c r="GKR66" i="25"/>
  <c r="GKT66" i="25"/>
  <c r="GKB66" i="25"/>
  <c r="GKD66" i="25"/>
  <c r="GJL66" i="25"/>
  <c r="GJN66" i="25"/>
  <c r="GIV66" i="25"/>
  <c r="GIX66" i="25"/>
  <c r="GIF66" i="25"/>
  <c r="GIH66" i="25"/>
  <c r="GHP66" i="25"/>
  <c r="GHR66" i="25"/>
  <c r="GGZ66" i="25"/>
  <c r="GHB66" i="25"/>
  <c r="GGJ66" i="25"/>
  <c r="GGL66" i="25"/>
  <c r="GFT66" i="25"/>
  <c r="GFV66" i="25"/>
  <c r="GFD66" i="25"/>
  <c r="GFF66" i="25"/>
  <c r="GEN66" i="25"/>
  <c r="GEP66" i="25"/>
  <c r="GDX66" i="25"/>
  <c r="GDZ66" i="25"/>
  <c r="GDH66" i="25"/>
  <c r="GDJ66" i="25"/>
  <c r="GCR66" i="25"/>
  <c r="GCT66" i="25"/>
  <c r="GCB66" i="25"/>
  <c r="GCD66" i="25"/>
  <c r="GBL66" i="25"/>
  <c r="GBN66" i="25"/>
  <c r="GAV66" i="25"/>
  <c r="GAX66" i="25"/>
  <c r="GAF66" i="25"/>
  <c r="GAH66" i="25"/>
  <c r="FZP66" i="25"/>
  <c r="FZR66" i="25"/>
  <c r="FYZ66" i="25"/>
  <c r="FZB66" i="25"/>
  <c r="FYJ66" i="25"/>
  <c r="FYL66" i="25"/>
  <c r="FXT66" i="25"/>
  <c r="FXV66" i="25"/>
  <c r="FXD66" i="25"/>
  <c r="FXF66" i="25"/>
  <c r="FWN66" i="25"/>
  <c r="FWP66" i="25"/>
  <c r="FVX66" i="25"/>
  <c r="FVZ66" i="25"/>
  <c r="FVH66" i="25"/>
  <c r="FVJ66" i="25"/>
  <c r="FUR66" i="25"/>
  <c r="FUT66" i="25"/>
  <c r="FUB66" i="25"/>
  <c r="FUD66" i="25"/>
  <c r="FTL66" i="25"/>
  <c r="FTN66" i="25"/>
  <c r="FSV66" i="25"/>
  <c r="FSX66" i="25"/>
  <c r="FSF66" i="25"/>
  <c r="FSH66" i="25"/>
  <c r="FRP66" i="25"/>
  <c r="FRR66" i="25"/>
  <c r="FQZ66" i="25"/>
  <c r="FRB66" i="25"/>
  <c r="FQJ66" i="25"/>
  <c r="FQL66" i="25"/>
  <c r="FPT66" i="25"/>
  <c r="FPV66" i="25"/>
  <c r="FPD66" i="25"/>
  <c r="FPF66" i="25"/>
  <c r="FON66" i="25"/>
  <c r="FOP66" i="25"/>
  <c r="FNX66" i="25"/>
  <c r="FNZ66" i="25"/>
  <c r="FNH66" i="25"/>
  <c r="FNJ66" i="25"/>
  <c r="FMR66" i="25"/>
  <c r="FMT66" i="25"/>
  <c r="FMB66" i="25"/>
  <c r="FMD66" i="25"/>
  <c r="FLL66" i="25"/>
  <c r="FLN66" i="25"/>
  <c r="FKV66" i="25"/>
  <c r="FKX66" i="25"/>
  <c r="FKF66" i="25"/>
  <c r="FKH66" i="25"/>
  <c r="FJP66" i="25"/>
  <c r="FJR66" i="25"/>
  <c r="FIZ66" i="25"/>
  <c r="FJB66" i="25"/>
  <c r="FIJ66" i="25"/>
  <c r="FIL66" i="25"/>
  <c r="FHT66" i="25"/>
  <c r="FHV66" i="25"/>
  <c r="FHD66" i="25"/>
  <c r="FHF66" i="25"/>
  <c r="FGN66" i="25"/>
  <c r="FGP66" i="25"/>
  <c r="FFX66" i="25"/>
  <c r="FFZ66" i="25"/>
  <c r="FFH66" i="25"/>
  <c r="FFJ66" i="25"/>
  <c r="FER66" i="25"/>
  <c r="FET66" i="25"/>
  <c r="FEB66" i="25"/>
  <c r="FED66" i="25"/>
  <c r="FDL66" i="25"/>
  <c r="FDN66" i="25"/>
  <c r="FCV66" i="25"/>
  <c r="FCX66" i="25"/>
  <c r="FCF66" i="25"/>
  <c r="FCH66" i="25"/>
  <c r="FBP66" i="25"/>
  <c r="FBR66" i="25"/>
  <c r="FAZ66" i="25"/>
  <c r="FBB66" i="25"/>
  <c r="FAJ66" i="25"/>
  <c r="FAL66" i="25"/>
  <c r="EZT66" i="25"/>
  <c r="EZV66" i="25"/>
  <c r="EZD66" i="25"/>
  <c r="EZF66" i="25"/>
  <c r="EYN66" i="25"/>
  <c r="EYP66" i="25"/>
  <c r="EXX66" i="25"/>
  <c r="EXZ66" i="25"/>
  <c r="EXH66" i="25"/>
  <c r="EXJ66" i="25"/>
  <c r="EWR66" i="25"/>
  <c r="EWT66" i="25"/>
  <c r="EWB66" i="25"/>
  <c r="EWD66" i="25"/>
  <c r="EVL66" i="25"/>
  <c r="EVN66" i="25"/>
  <c r="EUV66" i="25"/>
  <c r="EUX66" i="25"/>
  <c r="EUF66" i="25"/>
  <c r="EUH66" i="25"/>
  <c r="ETP66" i="25"/>
  <c r="ETR66" i="25"/>
  <c r="ESZ66" i="25"/>
  <c r="ETB66" i="25"/>
  <c r="ESJ66" i="25"/>
  <c r="ESL66" i="25"/>
  <c r="ERT66" i="25"/>
  <c r="ERV66" i="25"/>
  <c r="ERD66" i="25"/>
  <c r="ERF66" i="25"/>
  <c r="EQN66" i="25"/>
  <c r="EQP66" i="25"/>
  <c r="EPX66" i="25"/>
  <c r="EPZ66" i="25"/>
  <c r="EPH66" i="25"/>
  <c r="EPJ66" i="25"/>
  <c r="EOR66" i="25"/>
  <c r="EOT66" i="25"/>
  <c r="EOB66" i="25"/>
  <c r="EOD66" i="25"/>
  <c r="ENL66" i="25"/>
  <c r="ENN66" i="25"/>
  <c r="EMV66" i="25"/>
  <c r="EMX66" i="25"/>
  <c r="EMF66" i="25"/>
  <c r="EMH66" i="25"/>
  <c r="ELP66" i="25"/>
  <c r="ELR66" i="25"/>
  <c r="EKZ66" i="25"/>
  <c r="ELB66" i="25"/>
  <c r="EKJ66" i="25"/>
  <c r="EKL66" i="25"/>
  <c r="EJT66" i="25"/>
  <c r="EJV66" i="25"/>
  <c r="EJD66" i="25"/>
  <c r="EJF66" i="25"/>
  <c r="EIN66" i="25"/>
  <c r="EIP66" i="25"/>
  <c r="EHX66" i="25"/>
  <c r="EHZ66" i="25"/>
  <c r="EHH66" i="25"/>
  <c r="EHJ66" i="25"/>
  <c r="EGR66" i="25"/>
  <c r="EGT66" i="25"/>
  <c r="EGB66" i="25"/>
  <c r="EGD66" i="25"/>
  <c r="EFL66" i="25"/>
  <c r="EFN66" i="25"/>
  <c r="EEV66" i="25"/>
  <c r="EEX66" i="25"/>
  <c r="EEF66" i="25"/>
  <c r="EEH66" i="25"/>
  <c r="EDP66" i="25"/>
  <c r="EDR66" i="25"/>
  <c r="ECZ66" i="25"/>
  <c r="EDB66" i="25"/>
  <c r="ECJ66" i="25"/>
  <c r="ECL66" i="25"/>
  <c r="EBT66" i="25"/>
  <c r="EBV66" i="25"/>
  <c r="EBD66" i="25"/>
  <c r="EBF66" i="25"/>
  <c r="EAN66" i="25"/>
  <c r="EAP66" i="25"/>
  <c r="DZX66" i="25"/>
  <c r="DZZ66" i="25"/>
  <c r="DZH66" i="25"/>
  <c r="DZJ66" i="25"/>
  <c r="DYR66" i="25"/>
  <c r="DYT66" i="25"/>
  <c r="DYB66" i="25"/>
  <c r="DYD66" i="25"/>
  <c r="DXL66" i="25"/>
  <c r="DXN66" i="25"/>
  <c r="DWV66" i="25"/>
  <c r="DWX66" i="25"/>
  <c r="DWF66" i="25"/>
  <c r="DWH66" i="25"/>
  <c r="DVP66" i="25"/>
  <c r="DVR66" i="25"/>
  <c r="DUZ66" i="25"/>
  <c r="DVB66" i="25"/>
  <c r="DUJ66" i="25"/>
  <c r="DUL66" i="25"/>
  <c r="DTT66" i="25"/>
  <c r="DTV66" i="25"/>
  <c r="DTD66" i="25"/>
  <c r="DTF66" i="25"/>
  <c r="DSN66" i="25"/>
  <c r="DSP66" i="25"/>
  <c r="DRX66" i="25"/>
  <c r="DRZ66" i="25"/>
  <c r="DRH66" i="25"/>
  <c r="DRJ66" i="25"/>
  <c r="DQR66" i="25"/>
  <c r="DQT66" i="25"/>
  <c r="DQB66" i="25"/>
  <c r="DQD66" i="25"/>
  <c r="DPL66" i="25"/>
  <c r="DPN66" i="25"/>
  <c r="DOV66" i="25"/>
  <c r="DOX66" i="25"/>
  <c r="DOF66" i="25"/>
  <c r="DOH66" i="25"/>
  <c r="DNP66" i="25"/>
  <c r="DNR66" i="25"/>
  <c r="K11" i="25"/>
  <c r="M11" i="25"/>
  <c r="J36" i="21"/>
  <c r="L36" i="21"/>
  <c r="J35" i="21"/>
  <c r="L35" i="21"/>
  <c r="J34" i="21"/>
  <c r="L34" i="21"/>
  <c r="J92" i="21"/>
  <c r="L92" i="21"/>
  <c r="J91" i="21"/>
  <c r="L91" i="21"/>
  <c r="K16" i="21"/>
  <c r="M16" i="21"/>
  <c r="K14" i="21"/>
  <c r="M14" i="21"/>
  <c r="K13" i="21"/>
  <c r="M13" i="21"/>
  <c r="K12" i="21"/>
  <c r="M12" i="21"/>
</calcChain>
</file>

<file path=xl/sharedStrings.xml><?xml version="1.0" encoding="utf-8"?>
<sst xmlns="http://schemas.openxmlformats.org/spreadsheetml/2006/main" count="4249" uniqueCount="214">
  <si>
    <t>USA / TRINIDAD SHIPPING TARIFF</t>
  </si>
  <si>
    <t>POL</t>
  </si>
  <si>
    <t>POD</t>
  </si>
  <si>
    <t>OF/Bunker</t>
  </si>
  <si>
    <t xml:space="preserve">THC </t>
  </si>
  <si>
    <t>LAC</t>
  </si>
  <si>
    <t>ISPS</t>
  </si>
  <si>
    <t>Container Inspection</t>
  </si>
  <si>
    <t>Peak season Surcharge</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</si>
  <si>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</si>
  <si>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</si>
  <si>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</si>
  <si>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</si>
  <si>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</si>
  <si>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</si>
  <si>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</si>
  <si>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</si>
  <si>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</si>
  <si>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</si>
  <si>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</si>
  <si>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30/11/2026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</si>
  <si>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</si>
  <si>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</si>
  <si>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</si>
  <si>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</si>
  <si>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</si>
  <si>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</si>
  <si>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</si>
  <si>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</si>
  <si>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</si>
  <si>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</si>
  <si>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</si>
  <si>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</si>
  <si>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</si>
  <si>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</si>
  <si>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</si>
  <si>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</si>
  <si>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</si>
  <si>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</si>
  <si>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</si>
  <si>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</si>
  <si>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Santos/Imbituba/Salvador (TILES)</t>
  </si>
  <si>
    <t>23-28</t>
  </si>
  <si>
    <t>CMA CGM</t>
  </si>
  <si>
    <t>Space is available</t>
  </si>
  <si>
    <t>Santos/Salvador/Itajaí (TILES)</t>
  </si>
  <si>
    <t xml:space="preserve">MSC are having issues with shortage of 20ft containers </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</si>
  <si>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</si>
  <si>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</si>
  <si>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</si>
  <si>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</si>
  <si>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</si>
  <si>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</si>
  <si>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</si>
  <si>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</si>
  <si>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</si>
  <si>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08/11/2026</t>
  </si>
  <si>
    <t>Space is becoming more available, advanced bookings are still high advised.</t>
  </si>
  <si>
    <t xml:space="preserve">Gaoming </t>
  </si>
  <si>
    <t>Shanghai/Xiamen/Tianjin/Shenzhen/Ningbo/Qingdao/Hong Kong/Xingang/Yantian</t>
  </si>
  <si>
    <t>07/11/2026</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</si>
  <si>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</si>
  <si>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</si>
  <si>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</si>
  <si>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</si>
  <si>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</si>
  <si>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</si>
  <si>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</si>
  <si>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</si>
  <si>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</si>
  <si>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</si>
  <si>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</si>
  <si>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</si>
  <si>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</si>
  <si>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</si>
  <si>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</si>
  <si>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</si>
  <si>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</si>
  <si>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</si>
  <si>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</si>
  <si>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</si>
  <si>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</si>
  <si>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</si>
  <si>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</si>
  <si>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</si>
  <si>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</si>
  <si>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</si>
  <si>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</si>
  <si>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</si>
  <si>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</si>
  <si>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</si>
  <si>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</si>
  <si>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14 days</t>
  </si>
  <si>
    <t>14/11/2026</t>
  </si>
  <si>
    <t>TURKEY / TRINIDAD SHIPPING TARIFF</t>
  </si>
  <si>
    <t>ISPS&amp;Container Inspection</t>
  </si>
  <si>
    <t>Docs</t>
  </si>
  <si>
    <t>Gemlik (TILES)</t>
  </si>
  <si>
    <t>Port-of-Spain</t>
  </si>
  <si>
    <t>55-65</t>
  </si>
  <si>
    <t>Gebze/ Gemlik / Aliaga/ Istanbul</t>
  </si>
  <si>
    <t>COLOMBIA / TRINIDAD SHIPPING TARIFF</t>
  </si>
  <si>
    <t>Buenaventura</t>
  </si>
  <si>
    <t>16-20</t>
  </si>
  <si>
    <t>Maersk</t>
  </si>
  <si>
    <t>Cartagena</t>
  </si>
  <si>
    <t>MEXICO / TRINIDAD SHIPPING TARIFF</t>
  </si>
  <si>
    <t>Altamira</t>
  </si>
  <si>
    <t>Port-of-Spain/ Point Lisas</t>
  </si>
  <si>
    <t>CMA</t>
  </si>
  <si>
    <t>GUYANA TO TRINIDAD SHIPPING TARIFF</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</si>
  <si>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</si>
  <si>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</si>
  <si>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</si>
  <si>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</si>
  <si>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</si>
  <si>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</si>
  <si>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</si>
  <si>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</si>
  <si>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</si>
  <si>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</si>
  <si>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</si>
  <si>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Peak Season Surcharge</t>
  </si>
  <si>
    <t>Free Days</t>
  </si>
  <si>
    <t>12-15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</si>
  <si>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</si>
  <si>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</si>
  <si>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</si>
  <si>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</si>
  <si>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</si>
  <si>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</si>
  <si>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</si>
  <si>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</si>
  <si>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</si>
  <si>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</si>
  <si>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 xml:space="preserve"> Included </t>
  </si>
  <si>
    <t>21 Days</t>
  </si>
  <si>
    <t>Space is available, sailings are booking quickly so advanced bookings are recommended.</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</si>
  <si>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</si>
  <si>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</si>
  <si>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</si>
  <si>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</si>
  <si>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</si>
  <si>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</si>
  <si>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</si>
  <si>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</si>
  <si>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</si>
  <si>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</si>
  <si>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</si>
  <si>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</si>
  <si>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</si>
  <si>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</si>
  <si>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</si>
  <si>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</si>
  <si>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</si>
  <si>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</si>
  <si>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</si>
  <si>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</si>
  <si>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</si>
  <si>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</si>
  <si>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</si>
  <si>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</si>
  <si>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</si>
  <si>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</si>
  <si>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</si>
  <si>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</si>
  <si>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</si>
  <si>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</si>
  <si>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</si>
  <si>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</si>
  <si>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40HC</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</si>
  <si>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</si>
  <si>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</si>
  <si>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</si>
  <si>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</si>
  <si>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</si>
  <si>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</si>
  <si>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</si>
  <si>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</si>
  <si>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</si>
  <si>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</si>
  <si>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</si>
  <si>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</si>
  <si>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</si>
  <si>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</si>
  <si>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</si>
  <si>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</si>
  <si>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</si>
  <si>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</si>
  <si>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</si>
  <si>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</si>
  <si>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</si>
  <si>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</si>
  <si>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</si>
  <si>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</si>
  <si>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</si>
  <si>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</si>
  <si>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</si>
  <si>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</si>
  <si>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</si>
  <si>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</si>
  <si>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Emergency Fuel Surcharge</t>
  </si>
  <si>
    <t xml:space="preserve">OTHC </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</si>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</sst>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27">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0" fontId="0" fillId="5" borderId="6" xfId="0" applyFill="1" applyBorder="1"/>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8" fontId="9" fillId="5" borderId="1" xfId="0" applyNumberFormat="1" applyFont="1" applyFill="1" applyBorder="1"/>
    <xf numFmtId="0" fontId="0" fillId="5" borderId="24" xfId="0" applyFill="1" applyBorder="1"/>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0"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1" xfId="0" applyFont="1" applyFill="1" applyBorder="1" applyAlignment="1">
      <alignment horizontal="left"/>
    </xf>
    <xf numFmtId="0" fontId="0" fillId="5" borderId="31"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0" xfId="0" applyFont="1" applyFill="1" applyBorder="1" applyAlignment="1">
      <alignment horizontal="center"/>
    </xf>
    <xf numFmtId="0" fontId="2" fillId="5" borderId="31"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1" xfId="0" applyFont="1" applyFill="1" applyBorder="1" applyAlignment="1">
      <alignment horizontal="center" vertical="center"/>
    </xf>
    <xf numFmtId="0" fontId="0" fillId="5" borderId="0" xfId="0" applyFill="1" applyAlignment="1">
      <alignment horizont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25" xfId="0" applyFill="1" applyBorder="1" applyAlignment="1">
      <alignment horizontal="center" vertical="center" wrapText="1"/>
    </xf>
    <xf numFmtId="0" fontId="2" fillId="5" borderId="26" xfId="0" applyFont="1" applyFill="1" applyBorder="1" applyAlignment="1">
      <alignment horizontal="center" wrapText="1"/>
    </xf>
    <xf numFmtId="0" fontId="7" fillId="5" borderId="1" xfId="0" applyFont="1" applyFill="1" applyBorder="1" applyAlignment="1">
      <alignment vertical="center"/>
    </xf>
    <xf numFmtId="0" fontId="0" fillId="5" borderId="30"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1"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0" xfId="0" applyBorder="1"/>
    <xf numFmtId="8" fontId="9" fillId="0" borderId="60" xfId="0" applyNumberFormat="1" applyFont="1" applyBorder="1"/>
    <xf numFmtId="44" fontId="0" fillId="0" borderId="60" xfId="1" applyFont="1" applyBorder="1"/>
    <xf numFmtId="44" fontId="0" fillId="0" borderId="60" xfId="1" applyFont="1" applyBorder="1" applyAlignment="1">
      <alignment horizontal="right"/>
    </xf>
    <xf numFmtId="8" fontId="2" fillId="0" borderId="60" xfId="1" applyNumberFormat="1" applyFont="1" applyBorder="1"/>
    <xf numFmtId="0" fontId="0" fillId="0" borderId="60" xfId="0" applyBorder="1" applyAlignment="1">
      <alignment horizontal="left"/>
    </xf>
    <xf numFmtId="14" fontId="0" fillId="0" borderId="60" xfId="0" applyNumberFormat="1" applyBorder="1" applyAlignment="1">
      <alignment vertical="center"/>
    </xf>
    <xf numFmtId="0" fontId="2" fillId="0" borderId="60" xfId="0" applyFont="1" applyBorder="1" applyAlignment="1">
      <alignment horizontal="center" vertical="center" wrapText="1"/>
    </xf>
    <xf numFmtId="0" fontId="0" fillId="0" borderId="61" xfId="0" applyBorder="1"/>
    <xf numFmtId="0" fontId="4" fillId="2" borderId="5" xfId="0" applyFont="1" applyFill="1" applyBorder="1" applyAlignment="1">
      <alignment horizontal="left"/>
    </xf>
    <xf numFmtId="0" fontId="0" fillId="0" borderId="62" xfId="0" applyBorder="1"/>
    <xf numFmtId="8" fontId="2" fillId="0" borderId="1" xfId="1" applyNumberFormat="1" applyFont="1" applyBorder="1" applyAlignment="1">
      <alignment horizontal="center"/>
    </xf>
    <xf numFmtId="8" fontId="13" fillId="0" borderId="24" xfId="0" applyNumberFormat="1" applyFont="1" applyBorder="1"/>
    <xf numFmtId="8" fontId="13" fillId="0" borderId="24" xfId="0" applyNumberFormat="1" applyFont="1" applyBorder="1" applyAlignment="1">
      <alignment horizontal="right"/>
    </xf>
    <xf numFmtId="8" fontId="2" fillId="0" borderId="24" xfId="1" applyNumberFormat="1" applyFont="1" applyFill="1" applyBorder="1"/>
    <xf numFmtId="44" fontId="0" fillId="0" borderId="24" xfId="1" applyFont="1" applyFill="1" applyBorder="1"/>
    <xf numFmtId="0" fontId="0" fillId="0" borderId="24"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44" xfId="0" applyFont="1" applyFill="1" applyBorder="1" applyAlignment="1">
      <alignment vertical="center"/>
    </xf>
    <xf numFmtId="0" fontId="6" fillId="3" borderId="45"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0"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8" fontId="9" fillId="0" borderId="1" xfId="0" applyNumberFormat="1" applyFont="1" applyBorder="1" applyAlignment="1">
      <alignment horizontal="right"/>
    </xf>
    <xf numFmtId="0" fontId="7" fillId="5" borderId="3" xfId="0" applyFont="1" applyFill="1" applyBorder="1"/>
    <xf numFmtId="0" fontId="7" fillId="5" borderId="15" xfId="0" applyFont="1" applyFill="1" applyBorder="1"/>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2" xfId="0" applyFont="1" applyFill="1" applyBorder="1" applyAlignment="1">
      <alignment horizontal="left" vertical="center"/>
    </xf>
    <xf numFmtId="0" fontId="6" fillId="3" borderId="43" xfId="0" applyFont="1" applyFill="1" applyBorder="1" applyAlignment="1">
      <alignment horizontal="left" vertical="center"/>
    </xf>
    <xf numFmtId="0" fontId="0" fillId="5" borderId="44" xfId="0" applyFill="1" applyBorder="1" applyAlignment="1">
      <alignment horizontal="center" wrapText="1"/>
    </xf>
    <xf numFmtId="0" fontId="0" fillId="5" borderId="45" xfId="0" applyFill="1" applyBorder="1" applyAlignment="1">
      <alignment horizontal="center" wrapText="1"/>
    </xf>
    <xf numFmtId="0" fontId="0" fillId="5" borderId="46" xfId="0" applyFill="1" applyBorder="1" applyAlignment="1">
      <alignment horizontal="center" wrapText="1"/>
    </xf>
    <xf numFmtId="0" fontId="0" fillId="5" borderId="47" xfId="0" applyFill="1" applyBorder="1" applyAlignment="1">
      <alignment horizontal="center" wrapText="1"/>
    </xf>
    <xf numFmtId="0" fontId="0" fillId="5" borderId="0" xfId="0" applyFill="1" applyAlignment="1">
      <alignment horizontal="center" wrapText="1"/>
    </xf>
    <xf numFmtId="0" fontId="0" fillId="5" borderId="48" xfId="0" applyFill="1" applyBorder="1" applyAlignment="1">
      <alignment horizontal="center" wrapText="1"/>
    </xf>
    <xf numFmtId="0" fontId="0" fillId="5" borderId="49" xfId="0" applyFill="1" applyBorder="1" applyAlignment="1">
      <alignment horizontal="center" wrapText="1"/>
    </xf>
    <xf numFmtId="0" fontId="0" fillId="5" borderId="50" xfId="0" applyFill="1" applyBorder="1" applyAlignment="1">
      <alignment horizontal="center" wrapText="1"/>
    </xf>
    <xf numFmtId="0" fontId="0" fillId="5" borderId="51" xfId="0" applyFill="1" applyBorder="1" applyAlignment="1">
      <alignment horizontal="center" wrapText="1"/>
    </xf>
    <xf numFmtId="0" fontId="8" fillId="4" borderId="1" xfId="0" applyFont="1" applyFill="1" applyBorder="1"/>
    <xf numFmtId="0" fontId="7" fillId="5" borderId="0" xfId="0" applyFont="1" applyFill="1"/>
    <xf numFmtId="0" fontId="8" fillId="4" borderId="20" xfId="0" applyFont="1" applyFill="1" applyBorder="1"/>
    <xf numFmtId="0" fontId="8" fillId="4" borderId="19" xfId="0" applyFont="1" applyFill="1" applyBorder="1"/>
    <xf numFmtId="0" fontId="11" fillId="3" borderId="13" xfId="0" applyFont="1" applyFill="1" applyBorder="1" applyAlignment="1">
      <alignment horizontal="center"/>
    </xf>
    <xf numFmtId="0" fontId="0" fillId="5" borderId="30" xfId="0" applyFill="1" applyBorder="1" applyAlignment="1">
      <alignment horizontal="center" vertical="center" wrapText="1"/>
    </xf>
    <xf numFmtId="0" fontId="7" fillId="5" borderId="1" xfId="0" applyFont="1" applyFill="1" applyBorder="1" applyAlignment="1">
      <alignment vertical="center"/>
    </xf>
    <xf numFmtId="0" fontId="11" fillId="3" borderId="33" xfId="0" applyFont="1" applyFill="1" applyBorder="1" applyAlignment="1">
      <alignment horizontal="center"/>
    </xf>
    <xf numFmtId="0" fontId="11" fillId="3" borderId="34" xfId="0" applyFont="1" applyFill="1" applyBorder="1" applyAlignment="1">
      <alignment horizontal="center"/>
    </xf>
    <xf numFmtId="0" fontId="11" fillId="3" borderId="35"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4" fillId="2" borderId="1"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1" fillId="3" borderId="36" xfId="0" applyFont="1" applyFill="1" applyBorder="1" applyAlignment="1">
      <alignment horizontal="center"/>
    </xf>
    <xf numFmtId="0" fontId="11" fillId="3" borderId="37" xfId="0" applyFont="1" applyFill="1" applyBorder="1" applyAlignment="1">
      <alignment horizontal="center"/>
    </xf>
    <xf numFmtId="0" fontId="4" fillId="2" borderId="1" xfId="0" applyFont="1" applyFill="1" applyBorder="1" applyAlignment="1">
      <alignment horizontal="left"/>
    </xf>
    <xf numFmtId="0" fontId="7" fillId="5" borderId="30" xfId="0" applyFont="1" applyFill="1" applyBorder="1" applyAlignment="1">
      <alignment horizontal="center" vertical="center"/>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5" borderId="54" xfId="0" applyFont="1" applyFill="1" applyBorder="1" applyAlignment="1">
      <alignment horizontal="center" vertical="center" wrapText="1"/>
    </xf>
    <xf numFmtId="0" fontId="2" fillId="5" borderId="55" xfId="0" applyFont="1" applyFill="1" applyBorder="1" applyAlignment="1">
      <alignment horizontal="center" vertical="center" wrapText="1"/>
    </xf>
    <xf numFmtId="0" fontId="2" fillId="5" borderId="57" xfId="0" applyFont="1" applyFill="1" applyBorder="1" applyAlignment="1">
      <alignment horizontal="center" vertical="center" wrapText="1"/>
    </xf>
    <xf numFmtId="0" fontId="0" fillId="5" borderId="1" xfId="0" applyFill="1" applyBorder="1" applyAlignment="1">
      <alignment horizontal="center" wrapText="1"/>
    </xf>
    <xf numFmtId="0" fontId="7" fillId="5"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2" fillId="5" borderId="58" xfId="0" applyFont="1" applyFill="1" applyBorder="1" applyAlignment="1">
      <alignment horizontal="center" vertical="center" wrapText="1"/>
    </xf>
    <xf numFmtId="0" fontId="0" fillId="5" borderId="30" xfId="0" applyFill="1" applyBorder="1" applyAlignment="1">
      <alignment horizontal="center" vertical="center"/>
    </xf>
    <xf numFmtId="0" fontId="7" fillId="5" borderId="24" xfId="0" applyFont="1" applyFill="1" applyBorder="1" applyAlignment="1">
      <alignment vertical="center"/>
    </xf>
    <xf numFmtId="0" fontId="5" fillId="3" borderId="1"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25" xfId="0" applyFill="1" applyBorder="1" applyAlignment="1">
      <alignment horizontal="center" wrapText="1"/>
    </xf>
    <xf numFmtId="0" fontId="0" fillId="5" borderId="26" xfId="0" applyFill="1" applyBorder="1" applyAlignment="1">
      <alignment horizontal="center" wrapText="1"/>
    </xf>
    <xf numFmtId="0" fontId="0" fillId="5" borderId="27" xfId="0" applyFill="1" applyBorder="1" applyAlignment="1">
      <alignment horizontal="center" wrapText="1"/>
    </xf>
    <xf numFmtId="0" fontId="0" fillId="5" borderId="28" xfId="0" applyFill="1" applyBorder="1" applyAlignment="1">
      <alignment horizontal="center" wrapText="1"/>
    </xf>
    <xf numFmtId="0" fontId="0" fillId="5" borderId="29" xfId="0" applyFill="1" applyBorder="1" applyAlignment="1">
      <alignment horizontal="center" wrapText="1"/>
    </xf>
    <xf numFmtId="0" fontId="0" fillId="5" borderId="32" xfId="0" applyFill="1" applyBorder="1" applyAlignment="1">
      <alignment horizontal="center" vertical="center" wrapText="1"/>
    </xf>
    <xf numFmtId="0" fontId="5" fillId="3" borderId="41" xfId="0" applyFont="1" applyFill="1" applyBorder="1" applyAlignment="1">
      <alignment horizontal="center" vertical="center"/>
    </xf>
    <xf numFmtId="0" fontId="5" fillId="3" borderId="13"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5" fillId="3" borderId="33" xfId="0" applyFont="1" applyFill="1" applyBorder="1" applyAlignment="1">
      <alignment horizontal="center" vertical="center"/>
    </xf>
    <xf numFmtId="0" fontId="5" fillId="3" borderId="34" xfId="0" applyFont="1" applyFill="1" applyBorder="1" applyAlignment="1">
      <alignment horizontal="center" vertical="center"/>
    </xf>
    <xf numFmtId="0" fontId="5" fillId="3" borderId="35" xfId="0" applyFont="1" applyFill="1" applyBorder="1" applyAlignment="1">
      <alignment horizontal="center" vertical="center"/>
    </xf>
    <xf numFmtId="0" fontId="4" fillId="2" borderId="37" xfId="0" applyFont="1" applyFill="1" applyBorder="1" applyAlignment="1">
      <alignment horizontal="center" vertical="center"/>
    </xf>
    <xf numFmtId="0" fontId="15" fillId="0" borderId="30"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36"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37"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2" xfId="0" applyFont="1" applyFill="1" applyBorder="1" applyAlignment="1">
      <alignment horizontal="center" vertical="center"/>
    </xf>
    <xf numFmtId="0" fontId="0" fillId="0" borderId="38" xfId="0" applyBorder="1" applyAlignment="1">
      <alignment horizontal="center" vertical="center" wrapText="1"/>
    </xf>
    <xf numFmtId="0" fontId="0" fillId="0" borderId="59" xfId="0" applyBorder="1" applyAlignment="1">
      <alignment horizontal="center" vertical="center" wrapText="1"/>
    </xf>
    <xf numFmtId="0" fontId="7" fillId="0" borderId="2" xfId="0" applyFont="1" applyBorder="1" applyAlignment="1">
      <alignment horizontal="center" vertical="center"/>
    </xf>
    <xf numFmtId="0" fontId="7" fillId="0" borderId="56" xfId="0" applyFont="1" applyBorder="1" applyAlignment="1">
      <alignment horizontal="center" vertical="center"/>
    </xf>
    <xf numFmtId="0" fontId="15" fillId="6" borderId="30"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5" borderId="38" xfId="0" applyFont="1" applyFill="1" applyBorder="1" applyAlignment="1">
      <alignment horizontal="center" vertical="center" wrapText="1"/>
    </xf>
    <xf numFmtId="0" fontId="15" fillId="5" borderId="53"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15" fillId="0" borderId="38" xfId="0" applyFont="1" applyBorder="1" applyAlignment="1">
      <alignment horizontal="center" vertical="center" wrapText="1"/>
    </xf>
    <xf numFmtId="0" fontId="15" fillId="0" borderId="53"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54" xfId="0" applyFont="1" applyFill="1" applyBorder="1" applyAlignment="1">
      <alignment horizontal="center" vertical="center"/>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0" fillId="5" borderId="39" xfId="0" applyFill="1" applyBorder="1" applyAlignment="1">
      <alignment horizontal="center" vertical="center"/>
    </xf>
    <xf numFmtId="0" fontId="0" fillId="5" borderId="40"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6" fillId="3" borderId="18" xfId="0" applyFont="1" applyFill="1" applyBorder="1" applyAlignment="1">
      <alignment horizontal="center" vertical="center"/>
    </xf>
    <xf numFmtId="0" fontId="6" fillId="3" borderId="42" xfId="0" applyFont="1" applyFill="1" applyBorder="1" applyAlignment="1">
      <alignment horizontal="center" vertical="center"/>
    </xf>
    <xf numFmtId="0" fontId="6" fillId="3" borderId="43" xfId="0" applyFont="1" applyFill="1" applyBorder="1" applyAlignment="1">
      <alignment horizontal="center" vertical="center"/>
    </xf>
    <xf numFmtId="0" fontId="0" fillId="0" borderId="30" xfId="0" applyBorder="1" applyAlignment="1">
      <alignment horizontal="center" vertical="center" wrapText="1"/>
    </xf>
    <xf numFmtId="0" fontId="0" fillId="0" borderId="1" xfId="0" applyBorder="1" applyAlignment="1">
      <alignment horizontal="center" vertical="center"/>
    </xf>
    <xf numFmtId="0" fontId="0" fillId="0" borderId="53"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20"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63" xfId="0" applyFont="1" applyFill="1" applyBorder="1" applyAlignment="1">
      <alignment horizontal="center" vertical="center"/>
    </xf>
    <xf numFmtId="0" fontId="5" fillId="3" borderId="9"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48</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111</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129</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155</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181</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46</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79</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99</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113</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2"/>
  <sheetViews>
    <sheetView topLeftCell="A14" zoomScale="90" zoomScaleNormal="90" workbookViewId="0">
      <selection activeCell="T23" sqref="T1:T1048576"/>
    </sheetView>
  </sheetViews>
  <sheetFormatPr defaultColWidth="8.88671875" defaultRowHeight="14.4" x14ac:dyDescent="0.3"/>
  <cols>
    <col min="1" max="1" width="8.88671875" style="17"/>
    <col min="2" max="2" width="45.5546875" style="17" customWidth="1"/>
    <col min="3" max="3" width="21.33203125" style="17" bestFit="1" customWidth="1"/>
    <col min="4" max="4" width="5.6640625" style="17" bestFit="1" customWidth="1"/>
    <col min="5" max="5" width="14" style="17" customWidth="1"/>
    <col min="6" max="6" width="11.6640625" style="40" bestFit="1" customWidth="1"/>
    <col min="7" max="7" width="13" style="40" customWidth="1"/>
    <col min="8" max="8" width="14.88671875" style="40" customWidth="1"/>
    <col min="9" max="9" width="16.6640625" style="40" bestFit="1" customWidth="1"/>
    <col min="10" max="10" width="17.44140625" style="17" customWidth="1"/>
    <col min="11" max="11" width="16.6640625" style="17" bestFit="1" customWidth="1"/>
    <col min="12" max="12" width="16.109375" style="17" bestFit="1" customWidth="1"/>
    <col min="13" max="13" width="17.88671875" style="17" customWidth="1"/>
    <col min="14" max="14" width="16.33203125" style="17" customWidth="1"/>
    <col min="15" max="15" width="13" style="17" customWidth="1"/>
    <col min="16" max="16" width="14.109375" style="17" customWidth="1"/>
    <col min="17" max="17" width="14.44140625" style="17" customWidth="1"/>
    <col min="18" max="18" width="42" style="17" customWidth="1"/>
    <col min="19" max="19" width="15.33203125" style="17" customWidth="1"/>
    <col min="20" max="20" width="8.88671875" style="17" customWidth="1"/>
    <col min="21" max="22" width="9.109375" style="17" bestFit="1" customWidth="1"/>
    <col min="23" max="23" width="10.33203125" style="17" bestFit="1" customWidth="1"/>
    <col min="24" max="16384" width="8.88671875" style="17"/>
  </cols>
  <sheetData>
    <row r="7" spans="2:17" x14ac:dyDescent="0.3">
      <c r="B7" s="16"/>
      <c r="C7" s="16"/>
      <c r="D7" s="16"/>
      <c r="E7" s="16"/>
      <c r="F7" s="16"/>
      <c r="G7" s="16"/>
      <c r="H7" s="16"/>
      <c r="I7" s="16"/>
      <c r="J7" s="16"/>
      <c r="K7" s="16"/>
      <c r="L7" s="16"/>
      <c r="M7" s="16"/>
      <c r="N7" s="16"/>
      <c r="O7" s="16"/>
      <c r="P7" s="16"/>
    </row>
    <row r="8" spans="2:17" ht="28.8" x14ac:dyDescent="0.3">
      <c r="B8" s="257" t="s">
        <v>0</v>
      </c>
      <c r="C8" s="257"/>
      <c r="D8" s="257"/>
      <c r="E8" s="257"/>
      <c r="F8" s="257"/>
      <c r="G8" s="257"/>
      <c r="H8" s="257"/>
      <c r="I8" s="257"/>
      <c r="J8" s="257"/>
      <c r="K8" s="257"/>
      <c r="L8" s="257"/>
      <c r="M8" s="257"/>
      <c r="N8" s="257"/>
      <c r="O8" s="257"/>
      <c r="P8" s="257"/>
    </row>
    <row r="9" spans="2:17" ht="28.8" x14ac:dyDescent="0.3">
      <c r="B9" s="4" t="s">
        <v>1</v>
      </c>
      <c r="C9" s="223" t="s">
        <v>2</v>
      </c>
      <c r="D9" s="223"/>
      <c r="E9" s="92" t="s">
        <v>3</v>
      </c>
      <c r="F9" s="92" t="s">
        <v>4</v>
      </c>
      <c r="G9" s="92" t="s">
        <v>5</v>
      </c>
      <c r="H9" s="92" t="s">
        <v>6</v>
      </c>
      <c r="I9" s="3" t="s">
        <v>7</v>
      </c>
      <c r="J9" s="3" t="s">
        <v>8</v>
      </c>
      <c r="K9" s="3" t="s">
        <v>9</v>
      </c>
      <c r="L9" s="3" t="s">
        <v>10</v>
      </c>
      <c r="M9" s="3" t="s">
        <v>11</v>
      </c>
      <c r="N9" s="92" t="s">
        <v>12</v>
      </c>
      <c r="O9" s="92" t="s">
        <v>13</v>
      </c>
      <c r="P9" s="4" t="s">
        <v>14</v>
      </c>
    </row>
    <row r="10" spans="2:17" x14ac:dyDescent="0.3">
      <c r="B10" s="299" t="s">
        <v>15</v>
      </c>
      <c r="C10" s="299" t="s">
        <v>16</v>
      </c>
      <c r="D10" s="18" t="s">
        <v>17</v>
      </c>
      <c r="E10" s="19">
        <v>1700</v>
      </c>
      <c r="F10" s="20">
        <v>410</v>
      </c>
      <c r="G10" s="20">
        <v>80</v>
      </c>
      <c r="H10" s="20" t="s">
        <v>18</v>
      </c>
      <c r="I10" s="20" t="s">
        <v>18</v>
      </c>
      <c r="J10" s="20">
        <v>250</v>
      </c>
      <c r="K10" s="21">
        <f t="shared" ref="K10:K21" si="0">SUM(E10:J10)</f>
        <v>2440</v>
      </c>
      <c r="L10" s="22">
        <v>200</v>
      </c>
      <c r="M10" s="21">
        <f t="shared" ref="M10:M21" si="1">K10+L10</f>
        <v>2640</v>
      </c>
      <c r="N10" s="86" t="s">
        <v>19</v>
      </c>
      <c r="O10" s="184" t="s">
        <v>20</v>
      </c>
      <c r="P10" s="23" t="s">
        <v>21</v>
      </c>
    </row>
    <row r="11" spans="2:17" x14ac:dyDescent="0.3">
      <c r="B11" s="300"/>
      <c r="C11" s="300"/>
      <c r="D11" s="18" t="s">
        <v>22</v>
      </c>
      <c r="E11" s="19">
        <v>2700</v>
      </c>
      <c r="F11" s="20">
        <v>410</v>
      </c>
      <c r="G11" s="20">
        <v>80</v>
      </c>
      <c r="H11" s="20" t="s">
        <v>18</v>
      </c>
      <c r="I11" s="20" t="s">
        <v>18</v>
      </c>
      <c r="J11" s="20">
        <v>500</v>
      </c>
      <c r="K11" s="21">
        <f t="shared" si="0"/>
        <v>3690</v>
      </c>
      <c r="L11" s="22">
        <v>200</v>
      </c>
      <c r="M11" s="21">
        <f t="shared" si="1"/>
        <v>3890</v>
      </c>
      <c r="N11" s="86" t="s">
        <v>19</v>
      </c>
      <c r="O11" s="184" t="s">
        <v>20</v>
      </c>
      <c r="P11" s="23" t="s">
        <v>21</v>
      </c>
    </row>
    <row r="12" spans="2:17" x14ac:dyDescent="0.3">
      <c r="B12" s="300"/>
      <c r="C12" s="299" t="s">
        <v>16</v>
      </c>
      <c r="D12" s="82" t="s">
        <v>17</v>
      </c>
      <c r="E12" s="19">
        <f>(1275)+525</f>
        <v>1800</v>
      </c>
      <c r="F12" s="20">
        <v>355</v>
      </c>
      <c r="G12" s="20">
        <v>80</v>
      </c>
      <c r="H12" s="20">
        <v>14</v>
      </c>
      <c r="I12" s="20">
        <v>15</v>
      </c>
      <c r="J12" s="20">
        <v>250</v>
      </c>
      <c r="K12" s="21">
        <f t="shared" si="0"/>
        <v>2514</v>
      </c>
      <c r="L12" s="22">
        <v>200</v>
      </c>
      <c r="M12" s="21">
        <f t="shared" si="1"/>
        <v>2714</v>
      </c>
      <c r="N12" s="86" t="s">
        <v>19</v>
      </c>
      <c r="O12" s="184" t="s">
        <v>20</v>
      </c>
      <c r="P12" s="23" t="s">
        <v>23</v>
      </c>
    </row>
    <row r="13" spans="2:17" x14ac:dyDescent="0.3">
      <c r="B13" s="300"/>
      <c r="C13" s="300"/>
      <c r="D13" s="82" t="s">
        <v>22</v>
      </c>
      <c r="E13" s="19">
        <f>(1935)+515</f>
        <v>2450</v>
      </c>
      <c r="F13" s="20">
        <v>355</v>
      </c>
      <c r="G13" s="20">
        <v>80</v>
      </c>
      <c r="H13" s="20">
        <v>14</v>
      </c>
      <c r="I13" s="20">
        <v>25</v>
      </c>
      <c r="J13" s="20">
        <v>500</v>
      </c>
      <c r="K13" s="21">
        <f t="shared" si="0"/>
        <v>3424</v>
      </c>
      <c r="L13" s="22">
        <v>200</v>
      </c>
      <c r="M13" s="21">
        <f t="shared" si="1"/>
        <v>3624</v>
      </c>
      <c r="N13" s="86" t="s">
        <v>19</v>
      </c>
      <c r="O13" s="184" t="s">
        <v>20</v>
      </c>
      <c r="P13" s="23" t="s">
        <v>23</v>
      </c>
      <c r="Q13" s="24"/>
    </row>
    <row r="14" spans="2:17" x14ac:dyDescent="0.3">
      <c r="B14" s="301" t="s">
        <v>24</v>
      </c>
      <c r="C14" s="241" t="s">
        <v>16</v>
      </c>
      <c r="D14" s="18" t="s">
        <v>17</v>
      </c>
      <c r="E14" s="19">
        <f>(1225+265)+500</f>
        <v>1990</v>
      </c>
      <c r="F14" s="20">
        <v>355</v>
      </c>
      <c r="G14" s="20">
        <v>80</v>
      </c>
      <c r="H14" s="20">
        <v>14</v>
      </c>
      <c r="I14" s="20">
        <v>15</v>
      </c>
      <c r="J14" s="20">
        <v>250</v>
      </c>
      <c r="K14" s="21">
        <f t="shared" si="0"/>
        <v>2704</v>
      </c>
      <c r="L14" s="22">
        <v>200</v>
      </c>
      <c r="M14" s="21">
        <f t="shared" si="1"/>
        <v>2904</v>
      </c>
      <c r="N14" s="86" t="s">
        <v>25</v>
      </c>
      <c r="O14" s="184" t="s">
        <v>20</v>
      </c>
      <c r="P14" s="23" t="s">
        <v>23</v>
      </c>
    </row>
    <row r="15" spans="2:17" x14ac:dyDescent="0.3">
      <c r="B15" s="302"/>
      <c r="C15" s="241"/>
      <c r="D15" s="18" t="s">
        <v>22</v>
      </c>
      <c r="E15" s="19">
        <f>(1950+530)+500</f>
        <v>2980</v>
      </c>
      <c r="F15" s="20">
        <v>355</v>
      </c>
      <c r="G15" s="20">
        <v>80</v>
      </c>
      <c r="H15" s="20">
        <v>14</v>
      </c>
      <c r="I15" s="20">
        <v>25</v>
      </c>
      <c r="J15" s="20">
        <v>500</v>
      </c>
      <c r="K15" s="21">
        <f t="shared" si="0"/>
        <v>3954</v>
      </c>
      <c r="L15" s="22">
        <v>200</v>
      </c>
      <c r="M15" s="21">
        <f t="shared" si="1"/>
        <v>4154</v>
      </c>
      <c r="N15" s="86" t="s">
        <v>25</v>
      </c>
      <c r="O15" s="184" t="s">
        <v>20</v>
      </c>
      <c r="P15" s="23" t="s">
        <v>23</v>
      </c>
    </row>
    <row r="16" spans="2:17" x14ac:dyDescent="0.3">
      <c r="B16" s="301" t="s">
        <v>26</v>
      </c>
      <c r="C16" s="301" t="s">
        <v>16</v>
      </c>
      <c r="D16" s="18" t="s">
        <v>17</v>
      </c>
      <c r="E16" s="19">
        <f>(1425+265)+500</f>
        <v>2190</v>
      </c>
      <c r="F16" s="20">
        <v>355</v>
      </c>
      <c r="G16" s="20">
        <v>80</v>
      </c>
      <c r="H16" s="20">
        <v>14</v>
      </c>
      <c r="I16" s="20">
        <v>15</v>
      </c>
      <c r="J16" s="20">
        <v>250</v>
      </c>
      <c r="K16" s="21">
        <f t="shared" si="0"/>
        <v>2904</v>
      </c>
      <c r="L16" s="22">
        <v>200</v>
      </c>
      <c r="M16" s="21">
        <f t="shared" si="1"/>
        <v>3104</v>
      </c>
      <c r="N16" s="86" t="s">
        <v>27</v>
      </c>
      <c r="O16" s="184" t="s">
        <v>20</v>
      </c>
      <c r="P16" s="23" t="s">
        <v>23</v>
      </c>
    </row>
    <row r="17" spans="2:17" x14ac:dyDescent="0.3">
      <c r="B17" s="302"/>
      <c r="C17" s="302"/>
      <c r="D17" s="18" t="s">
        <v>22</v>
      </c>
      <c r="E17" s="19">
        <f>(2350+530)+500</f>
        <v>3380</v>
      </c>
      <c r="F17" s="20">
        <v>355</v>
      </c>
      <c r="G17" s="20">
        <v>80</v>
      </c>
      <c r="H17" s="20">
        <v>14</v>
      </c>
      <c r="I17" s="20">
        <v>25</v>
      </c>
      <c r="J17" s="20">
        <v>500</v>
      </c>
      <c r="K17" s="21">
        <f t="shared" si="0"/>
        <v>4354</v>
      </c>
      <c r="L17" s="22">
        <v>200</v>
      </c>
      <c r="M17" s="21">
        <f t="shared" si="1"/>
        <v>4554</v>
      </c>
      <c r="N17" s="86" t="s">
        <v>27</v>
      </c>
      <c r="O17" s="184" t="s">
        <v>20</v>
      </c>
      <c r="P17" s="23" t="s">
        <v>23</v>
      </c>
    </row>
    <row r="18" spans="2:17" x14ac:dyDescent="0.3">
      <c r="B18" s="301" t="s">
        <v>28</v>
      </c>
      <c r="C18" s="241" t="s">
        <v>29</v>
      </c>
      <c r="D18" s="18" t="s">
        <v>17</v>
      </c>
      <c r="E18" s="19">
        <f>(1225+265)+500</f>
        <v>1990</v>
      </c>
      <c r="F18" s="20">
        <v>355</v>
      </c>
      <c r="G18" s="20">
        <v>80</v>
      </c>
      <c r="H18" s="20">
        <v>14</v>
      </c>
      <c r="I18" s="20">
        <v>15</v>
      </c>
      <c r="J18" s="20">
        <v>250</v>
      </c>
      <c r="K18" s="21">
        <f t="shared" si="0"/>
        <v>2704</v>
      </c>
      <c r="L18" s="22">
        <v>200</v>
      </c>
      <c r="M18" s="21">
        <f t="shared" si="1"/>
        <v>2904</v>
      </c>
      <c r="N18" s="86" t="s">
        <v>30</v>
      </c>
      <c r="O18" s="184" t="s">
        <v>20</v>
      </c>
      <c r="P18" s="23" t="s">
        <v>23</v>
      </c>
      <c r="Q18" s="24"/>
    </row>
    <row r="19" spans="2:17" x14ac:dyDescent="0.3">
      <c r="B19" s="305"/>
      <c r="C19" s="241"/>
      <c r="D19" s="18" t="s">
        <v>22</v>
      </c>
      <c r="E19" s="19">
        <f>(1950+530)+500</f>
        <v>2980</v>
      </c>
      <c r="F19" s="20">
        <v>355</v>
      </c>
      <c r="G19" s="20">
        <v>80</v>
      </c>
      <c r="H19" s="20">
        <v>14</v>
      </c>
      <c r="I19" s="20">
        <v>25</v>
      </c>
      <c r="J19" s="20">
        <v>500</v>
      </c>
      <c r="K19" s="21">
        <f t="shared" si="0"/>
        <v>3954</v>
      </c>
      <c r="L19" s="22">
        <v>200</v>
      </c>
      <c r="M19" s="21">
        <f t="shared" si="1"/>
        <v>4154</v>
      </c>
      <c r="N19" s="86" t="s">
        <v>30</v>
      </c>
      <c r="O19" s="184" t="s">
        <v>20</v>
      </c>
      <c r="P19" s="23" t="s">
        <v>23</v>
      </c>
      <c r="Q19" s="24"/>
    </row>
    <row r="20" spans="2:17" x14ac:dyDescent="0.3">
      <c r="B20" s="305"/>
      <c r="C20" s="241" t="s">
        <v>16</v>
      </c>
      <c r="D20" s="18" t="s">
        <v>17</v>
      </c>
      <c r="E20" s="19">
        <f>(1225+265)+500</f>
        <v>1990</v>
      </c>
      <c r="F20" s="20">
        <v>355</v>
      </c>
      <c r="G20" s="20">
        <v>80</v>
      </c>
      <c r="H20" s="20">
        <v>14</v>
      </c>
      <c r="I20" s="20">
        <v>15</v>
      </c>
      <c r="J20" s="20">
        <v>250</v>
      </c>
      <c r="K20" s="21">
        <f t="shared" si="0"/>
        <v>2704</v>
      </c>
      <c r="L20" s="22">
        <v>200</v>
      </c>
      <c r="M20" s="21">
        <f t="shared" si="1"/>
        <v>2904</v>
      </c>
      <c r="N20" s="86" t="s">
        <v>31</v>
      </c>
      <c r="O20" s="184" t="s">
        <v>20</v>
      </c>
      <c r="P20" s="23" t="s">
        <v>23</v>
      </c>
    </row>
    <row r="21" spans="2:17" x14ac:dyDescent="0.3">
      <c r="B21" s="302"/>
      <c r="C21" s="241"/>
      <c r="D21" s="18" t="s">
        <v>22</v>
      </c>
      <c r="E21" s="19">
        <f>(1950+530)+500</f>
        <v>2980</v>
      </c>
      <c r="F21" s="20">
        <v>355</v>
      </c>
      <c r="G21" s="20">
        <v>80</v>
      </c>
      <c r="H21" s="20">
        <v>14</v>
      </c>
      <c r="I21" s="20">
        <v>25</v>
      </c>
      <c r="J21" s="20">
        <v>500</v>
      </c>
      <c r="K21" s="21">
        <f t="shared" si="0"/>
        <v>3954</v>
      </c>
      <c r="L21" s="22">
        <v>200</v>
      </c>
      <c r="M21" s="21">
        <f t="shared" si="1"/>
        <v>4154</v>
      </c>
      <c r="N21" s="86" t="s">
        <v>31</v>
      </c>
      <c r="O21" s="184" t="s">
        <v>20</v>
      </c>
      <c r="P21" s="23" t="s">
        <v>23</v>
      </c>
    </row>
    <row r="22" spans="2:17" x14ac:dyDescent="0.3">
      <c r="B22" s="25"/>
      <c r="C22" s="25"/>
      <c r="D22" s="26"/>
      <c r="E22" s="87"/>
      <c r="F22" s="69"/>
      <c r="G22" s="69"/>
      <c r="H22" s="69"/>
      <c r="I22" s="69"/>
      <c r="J22" s="72"/>
      <c r="K22" s="72"/>
      <c r="L22" s="72"/>
      <c r="M22" s="71"/>
      <c r="N22" s="72"/>
      <c r="O22" s="71"/>
      <c r="P22" s="27"/>
      <c r="Q22" s="26"/>
    </row>
    <row r="23" spans="2:17" ht="15.6" x14ac:dyDescent="0.3">
      <c r="B23" s="160" t="s">
        <v>32</v>
      </c>
      <c r="C23" s="161"/>
      <c r="D23" s="161"/>
      <c r="E23" s="161"/>
      <c r="F23" s="161"/>
      <c r="G23" s="161"/>
      <c r="H23" s="161"/>
      <c r="I23" s="161"/>
      <c r="J23" s="161"/>
      <c r="K23" s="161"/>
      <c r="L23" s="161"/>
      <c r="M23" s="161"/>
      <c r="N23" s="161"/>
      <c r="O23" s="161"/>
      <c r="P23" s="161"/>
    </row>
    <row r="24" spans="2:17" ht="14.4" customHeight="1" x14ac:dyDescent="0.3">
      <c r="B24" s="239" t="s">
        <v>33</v>
      </c>
      <c r="C24" s="239"/>
      <c r="D24" s="239"/>
      <c r="E24" s="239"/>
      <c r="F24" s="239"/>
      <c r="G24" s="239"/>
      <c r="H24" s="239"/>
      <c r="I24" s="239"/>
      <c r="J24" s="239"/>
      <c r="K24" s="239"/>
      <c r="L24" s="239"/>
      <c r="M24" s="239"/>
      <c r="N24" s="239"/>
      <c r="O24" s="239"/>
      <c r="P24" s="239"/>
    </row>
    <row r="25" spans="2:17" x14ac:dyDescent="0.3">
      <c r="B25" s="239"/>
      <c r="C25" s="239"/>
      <c r="D25" s="239"/>
      <c r="E25" s="239"/>
      <c r="F25" s="239"/>
      <c r="G25" s="239"/>
      <c r="H25" s="239"/>
      <c r="I25" s="239"/>
      <c r="J25" s="239"/>
      <c r="K25" s="239"/>
      <c r="L25" s="239"/>
      <c r="M25" s="239"/>
      <c r="N25" s="239"/>
      <c r="O25" s="239"/>
      <c r="P25" s="239"/>
    </row>
    <row r="26" spans="2:17" x14ac:dyDescent="0.3">
      <c r="B26" s="239"/>
      <c r="C26" s="239"/>
      <c r="D26" s="239"/>
      <c r="E26" s="239"/>
      <c r="F26" s="239"/>
      <c r="G26" s="239"/>
      <c r="H26" s="239"/>
      <c r="I26" s="239"/>
      <c r="J26" s="239"/>
      <c r="K26" s="239"/>
      <c r="L26" s="239"/>
      <c r="M26" s="239"/>
      <c r="N26" s="239"/>
      <c r="O26" s="239"/>
      <c r="P26" s="239"/>
    </row>
    <row r="27" spans="2:17" x14ac:dyDescent="0.3">
      <c r="B27" s="239"/>
      <c r="C27" s="239"/>
      <c r="D27" s="239"/>
      <c r="E27" s="239"/>
      <c r="F27" s="239"/>
      <c r="G27" s="239"/>
      <c r="H27" s="239"/>
      <c r="I27" s="239"/>
      <c r="J27" s="239"/>
      <c r="K27" s="239"/>
      <c r="L27" s="239"/>
      <c r="M27" s="239"/>
      <c r="N27" s="239"/>
      <c r="O27" s="239"/>
      <c r="P27" s="239"/>
    </row>
    <row r="28" spans="2:17" x14ac:dyDescent="0.3">
      <c r="B28" s="28"/>
      <c r="C28" s="28"/>
      <c r="D28" s="28"/>
      <c r="E28" s="28"/>
      <c r="F28" s="28"/>
      <c r="G28" s="28"/>
      <c r="H28" s="28"/>
      <c r="I28" s="28"/>
      <c r="J28" s="28"/>
      <c r="K28" s="28"/>
      <c r="L28" s="28"/>
      <c r="M28" s="28"/>
      <c r="N28" s="28"/>
      <c r="O28" s="28"/>
      <c r="P28" s="28"/>
      <c r="Q28" s="28"/>
    </row>
    <row r="29" spans="2:17" x14ac:dyDescent="0.3">
      <c r="B29" s="28"/>
      <c r="C29" s="28"/>
      <c r="D29" s="28"/>
      <c r="E29" s="28"/>
      <c r="F29" s="28"/>
      <c r="G29" s="28"/>
      <c r="H29" s="28"/>
      <c r="I29" s="28"/>
      <c r="J29" s="28"/>
      <c r="K29" s="28"/>
      <c r="L29" s="28"/>
      <c r="M29" s="28"/>
      <c r="N29" s="28"/>
      <c r="O29" s="28"/>
      <c r="P29" s="28"/>
      <c r="Q29" s="28"/>
    </row>
    <row r="30" spans="2:17" x14ac:dyDescent="0.3">
      <c r="B30" s="28"/>
      <c r="C30" s="28"/>
      <c r="D30" s="28"/>
      <c r="E30" s="28"/>
      <c r="F30" s="28"/>
      <c r="G30" s="28"/>
      <c r="H30" s="28"/>
      <c r="I30" s="28"/>
      <c r="J30" s="28"/>
      <c r="K30" s="28"/>
      <c r="L30" s="28"/>
      <c r="M30" s="28"/>
      <c r="N30" s="28"/>
      <c r="O30" s="28"/>
      <c r="P30" s="28"/>
      <c r="Q30" s="28"/>
    </row>
    <row r="31" spans="2:17" x14ac:dyDescent="0.3">
      <c r="B31" s="28"/>
      <c r="C31" s="28"/>
      <c r="D31" s="28"/>
      <c r="E31" s="28"/>
      <c r="F31" s="28"/>
      <c r="G31" s="28"/>
      <c r="H31" s="28"/>
      <c r="I31" s="28"/>
      <c r="J31" s="28"/>
      <c r="K31" s="28"/>
      <c r="L31" s="28"/>
      <c r="M31" s="28"/>
      <c r="N31" s="28"/>
      <c r="O31" s="28"/>
      <c r="P31" s="28"/>
      <c r="Q31" s="28"/>
    </row>
    <row r="32" spans="2:17" x14ac:dyDescent="0.3">
      <c r="B32" s="28"/>
      <c r="C32" s="28"/>
      <c r="D32" s="28"/>
      <c r="E32" s="28"/>
      <c r="F32" s="28"/>
      <c r="G32" s="28"/>
      <c r="H32" s="28"/>
      <c r="I32" s="28"/>
      <c r="J32" s="28"/>
      <c r="K32" s="28"/>
      <c r="L32" s="28"/>
      <c r="M32" s="28"/>
      <c r="N32" s="28"/>
      <c r="O32" s="28"/>
      <c r="P32" s="28"/>
      <c r="Q32" s="28"/>
    </row>
    <row r="33" spans="2:17" x14ac:dyDescent="0.3">
      <c r="B33" s="28"/>
      <c r="C33" s="28"/>
      <c r="D33" s="28"/>
      <c r="E33" s="28"/>
      <c r="F33" s="28"/>
      <c r="G33" s="28"/>
      <c r="H33" s="28"/>
      <c r="I33" s="28"/>
      <c r="J33" s="28"/>
      <c r="K33" s="28"/>
      <c r="L33" s="28"/>
      <c r="M33" s="28"/>
      <c r="N33" s="28"/>
      <c r="O33" s="28"/>
      <c r="P33" s="28"/>
      <c r="Q33" s="28"/>
    </row>
    <row r="34" spans="2:17" x14ac:dyDescent="0.3">
      <c r="B34" s="25"/>
      <c r="C34" s="25"/>
      <c r="D34" s="26"/>
      <c r="E34" s="87"/>
      <c r="F34" s="69"/>
      <c r="G34" s="69"/>
      <c r="H34" s="69"/>
      <c r="I34" s="69"/>
      <c r="J34" s="72"/>
      <c r="K34" s="72"/>
      <c r="L34" s="72"/>
      <c r="M34" s="71"/>
      <c r="N34" s="72"/>
      <c r="O34" s="71"/>
      <c r="P34" s="27"/>
      <c r="Q34" s="26"/>
    </row>
    <row r="35" spans="2:17" ht="28.8" x14ac:dyDescent="0.3">
      <c r="B35" s="303" t="s">
        <v>34</v>
      </c>
      <c r="C35" s="271"/>
      <c r="D35" s="271"/>
      <c r="E35" s="271"/>
      <c r="F35" s="271"/>
      <c r="G35" s="271"/>
      <c r="H35" s="271"/>
      <c r="I35" s="271"/>
      <c r="J35" s="271"/>
      <c r="K35" s="271"/>
      <c r="L35" s="271"/>
      <c r="M35" s="271"/>
      <c r="N35" s="271"/>
      <c r="O35" s="271"/>
      <c r="P35" s="271"/>
    </row>
    <row r="36" spans="2:17" ht="28.8" x14ac:dyDescent="0.3">
      <c r="B36" s="92" t="s">
        <v>1</v>
      </c>
      <c r="C36" s="223" t="s">
        <v>2</v>
      </c>
      <c r="D36" s="223"/>
      <c r="E36" s="92" t="s">
        <v>3</v>
      </c>
      <c r="F36" s="92" t="s">
        <v>4</v>
      </c>
      <c r="G36" s="11" t="s">
        <v>35</v>
      </c>
      <c r="H36" s="98" t="s">
        <v>6</v>
      </c>
      <c r="I36" s="3" t="s">
        <v>9</v>
      </c>
      <c r="J36" s="3" t="s">
        <v>10</v>
      </c>
      <c r="K36" s="3" t="s">
        <v>11</v>
      </c>
      <c r="L36" s="92" t="s">
        <v>12</v>
      </c>
      <c r="M36" s="92" t="s">
        <v>13</v>
      </c>
      <c r="N36" s="92" t="s">
        <v>14</v>
      </c>
      <c r="O36" s="223" t="s">
        <v>36</v>
      </c>
      <c r="P36" s="223"/>
    </row>
    <row r="37" spans="2:17" x14ac:dyDescent="0.3">
      <c r="B37" s="304" t="s">
        <v>37</v>
      </c>
      <c r="C37" s="108" t="s">
        <v>16</v>
      </c>
      <c r="D37" s="18" t="s">
        <v>17</v>
      </c>
      <c r="E37" s="114">
        <f>CEILING((((4374+11+150+800+50)*1.15)),50)</f>
        <v>6200</v>
      </c>
      <c r="F37" s="176">
        <v>340</v>
      </c>
      <c r="G37" s="176">
        <v>85</v>
      </c>
      <c r="H37" s="20">
        <v>10</v>
      </c>
      <c r="I37" s="32">
        <f>SUM(E37:H37)</f>
        <v>6635</v>
      </c>
      <c r="J37" s="22">
        <v>200</v>
      </c>
      <c r="K37" s="21">
        <f>I37+J37</f>
        <v>6835</v>
      </c>
      <c r="L37" s="33" t="s">
        <v>38</v>
      </c>
      <c r="M37" s="184" t="s">
        <v>20</v>
      </c>
      <c r="N37" s="112" t="s">
        <v>39</v>
      </c>
      <c r="O37" s="224" t="s">
        <v>40</v>
      </c>
      <c r="P37" s="225"/>
    </row>
    <row r="38" spans="2:17" x14ac:dyDescent="0.3">
      <c r="B38" s="304"/>
      <c r="C38" s="108" t="s">
        <v>16</v>
      </c>
      <c r="D38" s="18" t="s">
        <v>22</v>
      </c>
      <c r="E38" s="114">
        <f>CEILING((((4800+11+1248+800+50)*1.15)),50)</f>
        <v>7950</v>
      </c>
      <c r="F38" s="176">
        <v>340</v>
      </c>
      <c r="G38" s="176">
        <v>85</v>
      </c>
      <c r="H38" s="176">
        <v>18</v>
      </c>
      <c r="I38" s="32">
        <f>SUM(E38:H38)</f>
        <v>8393</v>
      </c>
      <c r="J38" s="22">
        <v>200</v>
      </c>
      <c r="K38" s="21">
        <f>I38+J38</f>
        <v>8593</v>
      </c>
      <c r="L38" s="33" t="s">
        <v>38</v>
      </c>
      <c r="M38" s="184" t="s">
        <v>20</v>
      </c>
      <c r="N38" s="112" t="s">
        <v>39</v>
      </c>
      <c r="O38" s="228"/>
      <c r="P38" s="229"/>
    </row>
    <row r="39" spans="2:17" ht="14.4" customHeight="1" x14ac:dyDescent="0.3">
      <c r="B39" s="162" t="s">
        <v>41</v>
      </c>
      <c r="C39" s="108" t="s">
        <v>29</v>
      </c>
      <c r="D39" s="18" t="s">
        <v>17</v>
      </c>
      <c r="E39" s="185">
        <v>5245</v>
      </c>
      <c r="F39" s="20">
        <v>355</v>
      </c>
      <c r="G39" s="20">
        <v>80</v>
      </c>
      <c r="H39" s="20">
        <v>30</v>
      </c>
      <c r="I39" s="32">
        <f>SUM(E39:H39)</f>
        <v>5710</v>
      </c>
      <c r="J39" s="22">
        <v>200</v>
      </c>
      <c r="K39" s="21">
        <f>I39+J39</f>
        <v>5910</v>
      </c>
      <c r="L39" s="33" t="s">
        <v>42</v>
      </c>
      <c r="M39" s="184" t="s">
        <v>20</v>
      </c>
      <c r="N39" s="65" t="s">
        <v>43</v>
      </c>
      <c r="O39" s="242" t="s">
        <v>44</v>
      </c>
      <c r="P39" s="242"/>
    </row>
    <row r="40" spans="2:17" ht="29.4" customHeight="1" x14ac:dyDescent="0.3">
      <c r="B40" s="162" t="s">
        <v>45</v>
      </c>
      <c r="C40" s="108" t="s">
        <v>29</v>
      </c>
      <c r="D40" s="18" t="s">
        <v>17</v>
      </c>
      <c r="E40" s="185">
        <v>5945</v>
      </c>
      <c r="F40" s="20">
        <v>340</v>
      </c>
      <c r="G40" s="20">
        <v>85</v>
      </c>
      <c r="H40" s="20">
        <v>10</v>
      </c>
      <c r="I40" s="32">
        <f>SUM(E40:H40)</f>
        <v>6380</v>
      </c>
      <c r="J40" s="22">
        <v>200</v>
      </c>
      <c r="K40" s="21">
        <f>I40+J40</f>
        <v>6580</v>
      </c>
      <c r="L40" s="33" t="s">
        <v>42</v>
      </c>
      <c r="M40" s="184" t="s">
        <v>20</v>
      </c>
      <c r="N40" s="112" t="s">
        <v>39</v>
      </c>
      <c r="O40" s="258" t="s">
        <v>46</v>
      </c>
      <c r="P40" s="259"/>
    </row>
    <row r="41" spans="2:17" ht="14.4" customHeight="1" x14ac:dyDescent="0.3">
      <c r="B41" s="162" t="s">
        <v>47</v>
      </c>
      <c r="C41" s="108" t="s">
        <v>16</v>
      </c>
      <c r="D41" s="18" t="s">
        <v>22</v>
      </c>
      <c r="E41" s="114">
        <f>CEILING((((6209+50)*1.13)),50)</f>
        <v>7100</v>
      </c>
      <c r="F41" s="176">
        <v>340</v>
      </c>
      <c r="G41" s="176">
        <v>85</v>
      </c>
      <c r="H41" s="20">
        <v>10</v>
      </c>
      <c r="I41" s="32">
        <f>SUM(E41:H41)</f>
        <v>7535</v>
      </c>
      <c r="J41" s="22">
        <v>200</v>
      </c>
      <c r="K41" s="21">
        <f>I41+J41</f>
        <v>7735</v>
      </c>
      <c r="L41" s="33" t="s">
        <v>38</v>
      </c>
      <c r="M41" s="184" t="s">
        <v>20</v>
      </c>
      <c r="N41" s="112" t="s">
        <v>39</v>
      </c>
      <c r="O41" s="242" t="s">
        <v>44</v>
      </c>
      <c r="P41" s="242"/>
    </row>
    <row r="42" spans="2:17" x14ac:dyDescent="0.3">
      <c r="B42" s="35"/>
      <c r="C42" s="97"/>
      <c r="D42" s="26"/>
      <c r="E42" s="36"/>
      <c r="F42" s="36"/>
      <c r="G42" s="36"/>
      <c r="H42" s="97"/>
      <c r="I42" s="69"/>
      <c r="J42" s="70"/>
      <c r="K42" s="70"/>
      <c r="L42" s="70"/>
      <c r="M42" s="71"/>
      <c r="N42" s="72"/>
      <c r="O42" s="37"/>
      <c r="P42" s="27"/>
      <c r="Q42" s="97"/>
    </row>
    <row r="43" spans="2:17" ht="15.6" x14ac:dyDescent="0.3">
      <c r="B43" s="5" t="s">
        <v>32</v>
      </c>
      <c r="C43" s="6"/>
      <c r="D43" s="6"/>
      <c r="E43" s="6"/>
      <c r="F43" s="6"/>
      <c r="G43" s="6"/>
      <c r="H43" s="6"/>
      <c r="I43" s="6"/>
      <c r="J43" s="6"/>
      <c r="K43" s="6"/>
      <c r="L43" s="6"/>
      <c r="M43" s="6"/>
      <c r="N43" s="6"/>
      <c r="O43" s="6"/>
      <c r="P43" s="6"/>
      <c r="Q43" s="7"/>
    </row>
    <row r="44" spans="2:17" x14ac:dyDescent="0.3">
      <c r="B44" s="217" t="s">
        <v>33</v>
      </c>
      <c r="C44" s="218"/>
      <c r="D44" s="218"/>
      <c r="E44" s="218"/>
      <c r="F44" s="218"/>
      <c r="G44" s="218"/>
      <c r="H44" s="218"/>
      <c r="I44" s="218"/>
      <c r="J44" s="218"/>
      <c r="K44" s="218"/>
      <c r="L44" s="218"/>
      <c r="M44" s="218"/>
      <c r="N44" s="218"/>
      <c r="O44" s="218"/>
      <c r="P44" s="218"/>
      <c r="Q44" s="219"/>
    </row>
    <row r="45" spans="2:17" x14ac:dyDescent="0.3">
      <c r="B45" s="217"/>
      <c r="C45" s="218"/>
      <c r="D45" s="218"/>
      <c r="E45" s="218"/>
      <c r="F45" s="218"/>
      <c r="G45" s="218"/>
      <c r="H45" s="218"/>
      <c r="I45" s="218"/>
      <c r="J45" s="218"/>
      <c r="K45" s="218"/>
      <c r="L45" s="218"/>
      <c r="M45" s="218"/>
      <c r="N45" s="218"/>
      <c r="O45" s="218"/>
      <c r="P45" s="218"/>
      <c r="Q45" s="219"/>
    </row>
    <row r="46" spans="2:17" x14ac:dyDescent="0.3">
      <c r="B46" s="217"/>
      <c r="C46" s="218"/>
      <c r="D46" s="218"/>
      <c r="E46" s="218"/>
      <c r="F46" s="218"/>
      <c r="G46" s="218"/>
      <c r="H46" s="218"/>
      <c r="I46" s="218"/>
      <c r="J46" s="218"/>
      <c r="K46" s="218"/>
      <c r="L46" s="218"/>
      <c r="M46" s="218"/>
      <c r="N46" s="218"/>
      <c r="O46" s="218"/>
      <c r="P46" s="218"/>
      <c r="Q46" s="219"/>
    </row>
    <row r="47" spans="2:17" x14ac:dyDescent="0.3">
      <c r="B47" s="220"/>
      <c r="C47" s="221"/>
      <c r="D47" s="221"/>
      <c r="E47" s="221"/>
      <c r="F47" s="221"/>
      <c r="G47" s="221"/>
      <c r="H47" s="221"/>
      <c r="I47" s="221"/>
      <c r="J47" s="221"/>
      <c r="K47" s="221"/>
      <c r="L47" s="221"/>
      <c r="M47" s="221"/>
      <c r="N47" s="221"/>
      <c r="O47" s="221"/>
      <c r="P47" s="221"/>
      <c r="Q47" s="222"/>
    </row>
    <row r="48" spans="2:17" x14ac:dyDescent="0.3">
      <c r="B48" s="28"/>
      <c r="C48" s="28"/>
      <c r="D48" s="28"/>
      <c r="E48" s="28"/>
      <c r="F48" s="28"/>
      <c r="G48" s="28"/>
      <c r="H48" s="28"/>
      <c r="I48" s="28"/>
      <c r="J48" s="28"/>
      <c r="K48" s="28"/>
      <c r="L48" s="28"/>
      <c r="M48" s="28"/>
      <c r="N48" s="28"/>
      <c r="O48" s="28"/>
      <c r="P48" s="28"/>
      <c r="Q48" s="85"/>
    </row>
    <row r="49" spans="2:19" x14ac:dyDescent="0.3">
      <c r="B49" s="28"/>
      <c r="C49" s="28"/>
      <c r="D49" s="28"/>
      <c r="E49" s="28"/>
      <c r="F49" s="28"/>
      <c r="G49" s="28"/>
      <c r="H49" s="28"/>
      <c r="I49" s="28"/>
      <c r="J49" s="28"/>
      <c r="K49" s="28"/>
      <c r="L49" s="28"/>
      <c r="M49" s="28"/>
      <c r="N49" s="28"/>
      <c r="O49" s="28"/>
      <c r="P49" s="28"/>
      <c r="Q49" s="28"/>
    </row>
    <row r="50" spans="2:19" x14ac:dyDescent="0.3">
      <c r="B50" s="28"/>
      <c r="C50" s="28"/>
      <c r="D50" s="28"/>
      <c r="E50" s="28"/>
      <c r="F50" s="28"/>
      <c r="G50" s="28"/>
      <c r="H50" s="28"/>
      <c r="I50" s="28"/>
      <c r="J50" s="28"/>
      <c r="K50" s="28"/>
      <c r="L50" s="28"/>
      <c r="M50" s="28"/>
      <c r="N50" s="28"/>
      <c r="O50" s="28"/>
      <c r="P50" s="28"/>
      <c r="Q50" s="28"/>
    </row>
    <row r="51" spans="2:19" x14ac:dyDescent="0.3">
      <c r="B51" s="28"/>
      <c r="C51" s="28"/>
      <c r="D51" s="28"/>
      <c r="E51" s="28"/>
      <c r="F51" s="28"/>
      <c r="G51" s="28"/>
      <c r="H51" s="28"/>
      <c r="I51" s="28"/>
      <c r="J51" s="28"/>
      <c r="K51" s="28"/>
      <c r="L51" s="28"/>
      <c r="M51" s="28"/>
      <c r="N51" s="28"/>
      <c r="O51" s="28"/>
      <c r="P51" s="28"/>
      <c r="Q51" s="28"/>
    </row>
    <row r="52" spans="2:19" x14ac:dyDescent="0.3">
      <c r="B52" s="28"/>
      <c r="C52" s="28"/>
      <c r="D52" s="28"/>
      <c r="E52" s="28"/>
      <c r="F52" s="28"/>
      <c r="G52" s="28"/>
      <c r="H52" s="28"/>
      <c r="I52" s="28"/>
      <c r="J52" s="28"/>
      <c r="K52" s="28"/>
      <c r="L52" s="28"/>
      <c r="M52" s="28"/>
      <c r="N52" s="28"/>
      <c r="O52" s="28"/>
      <c r="P52" s="28"/>
      <c r="Q52" s="28"/>
    </row>
    <row r="53" spans="2:19" x14ac:dyDescent="0.3">
      <c r="B53" s="28"/>
      <c r="C53" s="28"/>
      <c r="D53" s="28"/>
      <c r="E53" s="28"/>
      <c r="F53" s="28"/>
      <c r="G53" s="28"/>
      <c r="H53" s="28"/>
      <c r="I53" s="28"/>
      <c r="J53" s="28"/>
      <c r="K53" s="28"/>
      <c r="L53" s="28"/>
      <c r="M53" s="28"/>
      <c r="N53" s="28"/>
      <c r="O53" s="28"/>
      <c r="P53" s="28"/>
      <c r="Q53" s="28"/>
    </row>
    <row r="54" spans="2:19" x14ac:dyDescent="0.3">
      <c r="B54" s="28"/>
      <c r="C54" s="28"/>
      <c r="D54" s="28"/>
      <c r="E54" s="28"/>
      <c r="F54" s="28"/>
      <c r="G54" s="28"/>
      <c r="H54" s="28"/>
      <c r="I54" s="28"/>
      <c r="J54" s="28"/>
      <c r="K54" s="28"/>
      <c r="L54" s="28"/>
      <c r="M54" s="28"/>
      <c r="N54" s="28"/>
      <c r="O54" s="28"/>
      <c r="P54" s="28"/>
      <c r="Q54" s="28"/>
    </row>
    <row r="55" spans="2:19" x14ac:dyDescent="0.3">
      <c r="B55" s="28"/>
      <c r="C55" s="28"/>
      <c r="D55" s="28"/>
      <c r="E55" s="28"/>
      <c r="F55" s="28"/>
      <c r="G55" s="28"/>
      <c r="H55" s="28"/>
      <c r="I55" s="28"/>
      <c r="J55" s="28"/>
      <c r="K55" s="28"/>
      <c r="L55" s="28"/>
      <c r="M55" s="28"/>
      <c r="N55" s="28"/>
      <c r="O55" s="28"/>
      <c r="P55" s="28"/>
      <c r="Q55" s="28"/>
    </row>
    <row r="56" spans="2:19" ht="15" thickBot="1" x14ac:dyDescent="0.35">
      <c r="B56" s="25"/>
      <c r="C56" s="25"/>
      <c r="D56" s="26"/>
      <c r="E56" s="87"/>
      <c r="F56" s="69"/>
      <c r="G56" s="69"/>
      <c r="H56" s="69"/>
      <c r="I56" s="69"/>
      <c r="J56" s="72"/>
      <c r="K56" s="72"/>
      <c r="L56" s="72"/>
      <c r="M56" s="71"/>
      <c r="N56" s="72"/>
      <c r="O56" s="71"/>
      <c r="P56" s="27"/>
      <c r="Q56" s="26"/>
      <c r="R56" s="26"/>
    </row>
    <row r="57" spans="2:19" ht="28.8" x14ac:dyDescent="0.3">
      <c r="B57" s="260" t="s">
        <v>48</v>
      </c>
      <c r="C57" s="261"/>
      <c r="D57" s="261"/>
      <c r="E57" s="261"/>
      <c r="F57" s="261"/>
      <c r="G57" s="261"/>
      <c r="H57" s="261"/>
      <c r="I57" s="261"/>
      <c r="J57" s="261"/>
      <c r="K57" s="261"/>
      <c r="L57" s="261"/>
      <c r="M57" s="261"/>
      <c r="N57" s="261"/>
      <c r="O57" s="261"/>
      <c r="P57" s="261"/>
      <c r="Q57" s="261"/>
      <c r="R57" s="261"/>
      <c r="S57" s="262"/>
    </row>
    <row r="58" spans="2:19" ht="28.8" x14ac:dyDescent="0.3">
      <c r="B58" s="68" t="s">
        <v>1</v>
      </c>
      <c r="C58" s="223" t="s">
        <v>2</v>
      </c>
      <c r="D58" s="223"/>
      <c r="E58" s="92" t="s">
        <v>3</v>
      </c>
      <c r="F58" s="92" t="s">
        <v>4</v>
      </c>
      <c r="G58" s="92" t="s">
        <v>5</v>
      </c>
      <c r="H58" s="92" t="s">
        <v>6</v>
      </c>
      <c r="I58" s="3" t="s">
        <v>49</v>
      </c>
      <c r="J58" s="3" t="s">
        <v>50</v>
      </c>
      <c r="K58" s="3" t="s">
        <v>51</v>
      </c>
      <c r="L58" s="3" t="s">
        <v>52</v>
      </c>
      <c r="M58" s="3" t="s">
        <v>10</v>
      </c>
      <c r="N58" s="152" t="s">
        <v>11</v>
      </c>
      <c r="O58" s="152" t="s">
        <v>12</v>
      </c>
      <c r="P58" s="4" t="s">
        <v>13</v>
      </c>
      <c r="Q58" s="4" t="s">
        <v>14</v>
      </c>
      <c r="R58" s="293" t="s">
        <v>36</v>
      </c>
      <c r="S58" s="294"/>
    </row>
    <row r="59" spans="2:19" x14ac:dyDescent="0.3">
      <c r="B59" s="264" t="s">
        <v>53</v>
      </c>
      <c r="C59" s="265" t="s">
        <v>54</v>
      </c>
      <c r="D59" s="109" t="s">
        <v>17</v>
      </c>
      <c r="E59" s="110">
        <f>CEILING((((8750+297+115)*1.13)-340)-150,50)</f>
        <v>9900</v>
      </c>
      <c r="F59" s="176">
        <v>340</v>
      </c>
      <c r="G59" s="176">
        <v>85</v>
      </c>
      <c r="H59" s="176">
        <v>18</v>
      </c>
      <c r="I59" s="176">
        <v>10</v>
      </c>
      <c r="J59" s="176">
        <v>75</v>
      </c>
      <c r="K59" s="176">
        <v>75</v>
      </c>
      <c r="L59" s="111">
        <f t="shared" ref="L59:L60" si="2">SUM(E59:K59)</f>
        <v>10503</v>
      </c>
      <c r="M59" s="177">
        <v>200</v>
      </c>
      <c r="N59" s="111">
        <f t="shared" ref="N59:N60" si="3">SUM(L59:M59)</f>
        <v>10703</v>
      </c>
      <c r="O59" s="112" t="s">
        <v>55</v>
      </c>
      <c r="P59" s="180" t="s">
        <v>56</v>
      </c>
      <c r="Q59" s="112" t="s">
        <v>39</v>
      </c>
      <c r="R59" s="295" t="s">
        <v>57</v>
      </c>
      <c r="S59" s="296"/>
    </row>
    <row r="60" spans="2:19" x14ac:dyDescent="0.3">
      <c r="B60" s="264"/>
      <c r="C60" s="265"/>
      <c r="D60" s="109" t="s">
        <v>22</v>
      </c>
      <c r="E60" s="110">
        <f>CEILING((((8850+297+115)*1.13)-340)-150,50)</f>
        <v>10000</v>
      </c>
      <c r="F60" s="176">
        <v>340</v>
      </c>
      <c r="G60" s="176">
        <v>85</v>
      </c>
      <c r="H60" s="176">
        <v>18</v>
      </c>
      <c r="I60" s="176">
        <v>10</v>
      </c>
      <c r="J60" s="176">
        <v>75</v>
      </c>
      <c r="K60" s="176">
        <v>75</v>
      </c>
      <c r="L60" s="111">
        <f t="shared" si="2"/>
        <v>10603</v>
      </c>
      <c r="M60" s="177">
        <v>200</v>
      </c>
      <c r="N60" s="111">
        <f t="shared" si="3"/>
        <v>10803</v>
      </c>
      <c r="O60" s="112" t="s">
        <v>55</v>
      </c>
      <c r="P60" s="180" t="s">
        <v>56</v>
      </c>
      <c r="Q60" s="112" t="s">
        <v>39</v>
      </c>
      <c r="R60" s="295"/>
      <c r="S60" s="296"/>
    </row>
    <row r="61" spans="2:19" ht="14.4" customHeight="1" x14ac:dyDescent="0.3">
      <c r="B61" s="264" t="s">
        <v>58</v>
      </c>
      <c r="C61" s="265" t="s">
        <v>54</v>
      </c>
      <c r="D61" s="109" t="s">
        <v>17</v>
      </c>
      <c r="E61" s="110">
        <f>CEILING((((8900+297+115)*1.13)-340)-150,50)</f>
        <v>10050</v>
      </c>
      <c r="F61" s="176">
        <v>340</v>
      </c>
      <c r="G61" s="176">
        <v>85</v>
      </c>
      <c r="H61" s="176">
        <v>18</v>
      </c>
      <c r="I61" s="176">
        <v>10</v>
      </c>
      <c r="J61" s="176">
        <v>75</v>
      </c>
      <c r="K61" s="176">
        <v>75</v>
      </c>
      <c r="L61" s="111">
        <f t="shared" ref="L61:L80" si="4">SUM(E61:K61)</f>
        <v>10653</v>
      </c>
      <c r="M61" s="177">
        <v>200</v>
      </c>
      <c r="N61" s="111">
        <f t="shared" ref="N61:N80" si="5">SUM(L61:M61)</f>
        <v>10853</v>
      </c>
      <c r="O61" s="112" t="s">
        <v>55</v>
      </c>
      <c r="P61" s="180" t="s">
        <v>56</v>
      </c>
      <c r="Q61" s="112" t="s">
        <v>39</v>
      </c>
      <c r="R61" s="295"/>
      <c r="S61" s="296"/>
    </row>
    <row r="62" spans="2:19" x14ac:dyDescent="0.3">
      <c r="B62" s="264"/>
      <c r="C62" s="265"/>
      <c r="D62" s="109" t="s">
        <v>22</v>
      </c>
      <c r="E62" s="110">
        <f>CEILING((((9070+297+115)*1.13)-340)-150,50)</f>
        <v>10250</v>
      </c>
      <c r="F62" s="176">
        <v>340</v>
      </c>
      <c r="G62" s="176">
        <v>85</v>
      </c>
      <c r="H62" s="176">
        <v>18</v>
      </c>
      <c r="I62" s="176">
        <v>10</v>
      </c>
      <c r="J62" s="176">
        <v>75</v>
      </c>
      <c r="K62" s="176">
        <v>75</v>
      </c>
      <c r="L62" s="111">
        <f t="shared" si="4"/>
        <v>10853</v>
      </c>
      <c r="M62" s="177">
        <v>200</v>
      </c>
      <c r="N62" s="111">
        <f t="shared" si="5"/>
        <v>11053</v>
      </c>
      <c r="O62" s="112" t="s">
        <v>55</v>
      </c>
      <c r="P62" s="180" t="s">
        <v>56</v>
      </c>
      <c r="Q62" s="112" t="s">
        <v>39</v>
      </c>
      <c r="R62" s="297"/>
      <c r="S62" s="298"/>
    </row>
    <row r="63" spans="2:19" ht="14.4" customHeight="1" x14ac:dyDescent="0.3">
      <c r="B63" s="287" t="s">
        <v>59</v>
      </c>
      <c r="C63" s="289" t="s">
        <v>29</v>
      </c>
      <c r="D63" s="88" t="s">
        <v>17</v>
      </c>
      <c r="E63" s="90">
        <f>CEILING(((8740+115+289)*1.12)-439,50)</f>
        <v>9850</v>
      </c>
      <c r="F63" s="66">
        <v>289</v>
      </c>
      <c r="G63" s="66">
        <v>84.38</v>
      </c>
      <c r="H63" s="66">
        <v>15</v>
      </c>
      <c r="I63" s="66">
        <v>40</v>
      </c>
      <c r="J63" s="66">
        <v>75</v>
      </c>
      <c r="K63" s="66">
        <v>75</v>
      </c>
      <c r="L63" s="67">
        <f t="shared" si="4"/>
        <v>10428.379999999999</v>
      </c>
      <c r="M63" s="151">
        <v>200</v>
      </c>
      <c r="N63" s="67">
        <f t="shared" si="5"/>
        <v>10628.38</v>
      </c>
      <c r="O63" s="65" t="s">
        <v>55</v>
      </c>
      <c r="P63" s="180" t="s">
        <v>60</v>
      </c>
      <c r="Q63" s="65" t="s">
        <v>61</v>
      </c>
      <c r="R63" s="224" t="s">
        <v>62</v>
      </c>
      <c r="S63" s="225"/>
    </row>
    <row r="64" spans="2:19" x14ac:dyDescent="0.3">
      <c r="B64" s="288"/>
      <c r="C64" s="290"/>
      <c r="D64" s="88" t="s">
        <v>22</v>
      </c>
      <c r="E64" s="90">
        <f>CEILING(((8880+115+289)*1.12)-439,50)</f>
        <v>10000</v>
      </c>
      <c r="F64" s="66">
        <v>289</v>
      </c>
      <c r="G64" s="66">
        <v>84.38</v>
      </c>
      <c r="H64" s="66">
        <v>15</v>
      </c>
      <c r="I64" s="66">
        <v>40</v>
      </c>
      <c r="J64" s="66">
        <v>75</v>
      </c>
      <c r="K64" s="66">
        <v>75</v>
      </c>
      <c r="L64" s="67">
        <f t="shared" si="4"/>
        <v>10578.38</v>
      </c>
      <c r="M64" s="151">
        <v>200</v>
      </c>
      <c r="N64" s="67">
        <f t="shared" si="5"/>
        <v>10778.38</v>
      </c>
      <c r="O64" s="65" t="s">
        <v>55</v>
      </c>
      <c r="P64" s="180" t="s">
        <v>60</v>
      </c>
      <c r="Q64" s="65" t="s">
        <v>61</v>
      </c>
      <c r="R64" s="228"/>
      <c r="S64" s="229"/>
    </row>
    <row r="65" spans="2:19" ht="24" customHeight="1" x14ac:dyDescent="0.3">
      <c r="B65" s="264" t="s">
        <v>63</v>
      </c>
      <c r="C65" s="265" t="s">
        <v>54</v>
      </c>
      <c r="D65" s="109" t="s">
        <v>17</v>
      </c>
      <c r="E65" s="110">
        <f>CEILING((((8850+297+115)*1.13)-340)-150,50)</f>
        <v>10000</v>
      </c>
      <c r="F65" s="176">
        <v>340</v>
      </c>
      <c r="G65" s="176">
        <v>85</v>
      </c>
      <c r="H65" s="176">
        <v>18</v>
      </c>
      <c r="I65" s="176">
        <v>10</v>
      </c>
      <c r="J65" s="176">
        <v>75</v>
      </c>
      <c r="K65" s="176">
        <v>75</v>
      </c>
      <c r="L65" s="111">
        <f t="shared" si="4"/>
        <v>10603</v>
      </c>
      <c r="M65" s="177">
        <v>200</v>
      </c>
      <c r="N65" s="111">
        <f t="shared" si="5"/>
        <v>10803</v>
      </c>
      <c r="O65" s="112" t="s">
        <v>55</v>
      </c>
      <c r="P65" s="180" t="s">
        <v>56</v>
      </c>
      <c r="Q65" s="112" t="s">
        <v>39</v>
      </c>
      <c r="R65" s="266" t="s">
        <v>64</v>
      </c>
      <c r="S65" s="267"/>
    </row>
    <row r="66" spans="2:19" x14ac:dyDescent="0.3">
      <c r="B66" s="264"/>
      <c r="C66" s="265"/>
      <c r="D66" s="109" t="s">
        <v>22</v>
      </c>
      <c r="E66" s="110">
        <f>CEILING((((8950+297+115)*1.13)-340)-150,50)</f>
        <v>10100</v>
      </c>
      <c r="F66" s="176">
        <v>340</v>
      </c>
      <c r="G66" s="176">
        <v>85</v>
      </c>
      <c r="H66" s="176">
        <v>18</v>
      </c>
      <c r="I66" s="176">
        <v>10</v>
      </c>
      <c r="J66" s="176">
        <v>75</v>
      </c>
      <c r="K66" s="176">
        <v>75</v>
      </c>
      <c r="L66" s="111">
        <f t="shared" si="4"/>
        <v>10703</v>
      </c>
      <c r="M66" s="177">
        <v>200</v>
      </c>
      <c r="N66" s="111">
        <f t="shared" si="5"/>
        <v>10903</v>
      </c>
      <c r="O66" s="112" t="s">
        <v>55</v>
      </c>
      <c r="P66" s="180" t="s">
        <v>56</v>
      </c>
      <c r="Q66" s="112" t="s">
        <v>39</v>
      </c>
      <c r="R66" s="268"/>
      <c r="S66" s="269"/>
    </row>
    <row r="67" spans="2:19" ht="14.4" customHeight="1" x14ac:dyDescent="0.3">
      <c r="B67" s="287" t="s">
        <v>65</v>
      </c>
      <c r="C67" s="289" t="s">
        <v>29</v>
      </c>
      <c r="D67" s="88" t="s">
        <v>17</v>
      </c>
      <c r="E67" s="90">
        <f>CEILING(((8790+115+289)*1.12)-439,50)</f>
        <v>9900</v>
      </c>
      <c r="F67" s="163">
        <v>289</v>
      </c>
      <c r="G67" s="163">
        <v>84.38</v>
      </c>
      <c r="H67" s="163">
        <v>15</v>
      </c>
      <c r="I67" s="163">
        <v>40</v>
      </c>
      <c r="J67" s="163">
        <v>75</v>
      </c>
      <c r="K67" s="163">
        <v>75</v>
      </c>
      <c r="L67" s="67">
        <f t="shared" si="4"/>
        <v>10478.379999999999</v>
      </c>
      <c r="M67" s="151">
        <v>200</v>
      </c>
      <c r="N67" s="67">
        <f t="shared" si="5"/>
        <v>10678.38</v>
      </c>
      <c r="O67" s="65" t="s">
        <v>55</v>
      </c>
      <c r="P67" s="180" t="s">
        <v>60</v>
      </c>
      <c r="Q67" s="65" t="s">
        <v>61</v>
      </c>
      <c r="R67" s="224" t="s">
        <v>62</v>
      </c>
      <c r="S67" s="225"/>
    </row>
    <row r="68" spans="2:19" x14ac:dyDescent="0.3">
      <c r="B68" s="288"/>
      <c r="C68" s="290"/>
      <c r="D68" s="88" t="s">
        <v>22</v>
      </c>
      <c r="E68" s="90">
        <f>CEILING(((9080+115+289)*1.12)-439,50)</f>
        <v>10200</v>
      </c>
      <c r="F68" s="163">
        <v>289</v>
      </c>
      <c r="G68" s="163">
        <v>84.38</v>
      </c>
      <c r="H68" s="163">
        <v>15</v>
      </c>
      <c r="I68" s="163">
        <v>40</v>
      </c>
      <c r="J68" s="163">
        <v>75</v>
      </c>
      <c r="K68" s="163">
        <v>75</v>
      </c>
      <c r="L68" s="67">
        <f t="shared" si="4"/>
        <v>10778.38</v>
      </c>
      <c r="M68" s="151">
        <v>200</v>
      </c>
      <c r="N68" s="67">
        <f t="shared" si="5"/>
        <v>10978.38</v>
      </c>
      <c r="O68" s="65" t="s">
        <v>55</v>
      </c>
      <c r="P68" s="180" t="s">
        <v>60</v>
      </c>
      <c r="Q68" s="65" t="s">
        <v>61</v>
      </c>
      <c r="R68" s="228"/>
      <c r="S68" s="229"/>
    </row>
    <row r="69" spans="2:19" x14ac:dyDescent="0.3">
      <c r="B69" s="291" t="s">
        <v>66</v>
      </c>
      <c r="C69" s="265" t="s">
        <v>54</v>
      </c>
      <c r="D69" s="109" t="s">
        <v>17</v>
      </c>
      <c r="E69" s="110">
        <f>CEILING((((8880+297+115)*1.13)-340)-150,50)</f>
        <v>10050</v>
      </c>
      <c r="F69" s="176">
        <v>340</v>
      </c>
      <c r="G69" s="176">
        <v>85</v>
      </c>
      <c r="H69" s="176">
        <v>18</v>
      </c>
      <c r="I69" s="176">
        <v>10</v>
      </c>
      <c r="J69" s="176">
        <v>75</v>
      </c>
      <c r="K69" s="176">
        <v>75</v>
      </c>
      <c r="L69" s="111">
        <f t="shared" si="4"/>
        <v>10653</v>
      </c>
      <c r="M69" s="177">
        <v>200</v>
      </c>
      <c r="N69" s="111">
        <f t="shared" si="5"/>
        <v>10853</v>
      </c>
      <c r="O69" s="112" t="s">
        <v>55</v>
      </c>
      <c r="P69" s="180" t="s">
        <v>56</v>
      </c>
      <c r="Q69" s="112" t="s">
        <v>39</v>
      </c>
      <c r="R69" s="266" t="s">
        <v>64</v>
      </c>
      <c r="S69" s="267"/>
    </row>
    <row r="70" spans="2:19" x14ac:dyDescent="0.3">
      <c r="B70" s="292"/>
      <c r="C70" s="265"/>
      <c r="D70" s="109" t="s">
        <v>22</v>
      </c>
      <c r="E70" s="110">
        <f>CEILING((((9105+297+115)*1.13)-340)-150,50)</f>
        <v>10300</v>
      </c>
      <c r="F70" s="176">
        <v>340</v>
      </c>
      <c r="G70" s="176">
        <v>85</v>
      </c>
      <c r="H70" s="176">
        <v>18</v>
      </c>
      <c r="I70" s="176">
        <v>10</v>
      </c>
      <c r="J70" s="176">
        <v>75</v>
      </c>
      <c r="K70" s="176">
        <v>75</v>
      </c>
      <c r="L70" s="111">
        <f t="shared" si="4"/>
        <v>10903</v>
      </c>
      <c r="M70" s="177">
        <v>200</v>
      </c>
      <c r="N70" s="111">
        <f t="shared" si="5"/>
        <v>11103</v>
      </c>
      <c r="O70" s="112" t="s">
        <v>55</v>
      </c>
      <c r="P70" s="180" t="s">
        <v>56</v>
      </c>
      <c r="Q70" s="112" t="s">
        <v>39</v>
      </c>
      <c r="R70" s="268"/>
      <c r="S70" s="269"/>
    </row>
    <row r="71" spans="2:19" ht="14.4" customHeight="1" x14ac:dyDescent="0.3">
      <c r="B71" s="264" t="s">
        <v>67</v>
      </c>
      <c r="C71" s="265" t="s">
        <v>54</v>
      </c>
      <c r="D71" s="109" t="s">
        <v>17</v>
      </c>
      <c r="E71" s="110">
        <f>CEILING((((8949+297+115)*1.13)-340)-150,50)</f>
        <v>10100</v>
      </c>
      <c r="F71" s="176">
        <v>340</v>
      </c>
      <c r="G71" s="176">
        <v>85</v>
      </c>
      <c r="H71" s="176">
        <v>18</v>
      </c>
      <c r="I71" s="176">
        <v>10</v>
      </c>
      <c r="J71" s="176">
        <v>75</v>
      </c>
      <c r="K71" s="176">
        <v>75</v>
      </c>
      <c r="L71" s="111">
        <f t="shared" si="4"/>
        <v>10703</v>
      </c>
      <c r="M71" s="177">
        <v>200</v>
      </c>
      <c r="N71" s="111">
        <f t="shared" si="5"/>
        <v>10903</v>
      </c>
      <c r="O71" s="112" t="s">
        <v>55</v>
      </c>
      <c r="P71" s="180" t="s">
        <v>56</v>
      </c>
      <c r="Q71" s="112" t="s">
        <v>39</v>
      </c>
      <c r="R71" s="268"/>
      <c r="S71" s="269"/>
    </row>
    <row r="72" spans="2:19" x14ac:dyDescent="0.3">
      <c r="B72" s="264"/>
      <c r="C72" s="265"/>
      <c r="D72" s="109" t="s">
        <v>22</v>
      </c>
      <c r="E72" s="110">
        <f>CEILING((((9154+297+115)*1.13)-340)-150,50)</f>
        <v>10350</v>
      </c>
      <c r="F72" s="176">
        <v>340</v>
      </c>
      <c r="G72" s="176">
        <v>85</v>
      </c>
      <c r="H72" s="176">
        <v>18</v>
      </c>
      <c r="I72" s="176">
        <v>10</v>
      </c>
      <c r="J72" s="176">
        <v>75</v>
      </c>
      <c r="K72" s="176">
        <v>75</v>
      </c>
      <c r="L72" s="111">
        <f t="shared" si="4"/>
        <v>10953</v>
      </c>
      <c r="M72" s="177">
        <v>200</v>
      </c>
      <c r="N72" s="111">
        <f t="shared" si="5"/>
        <v>11153</v>
      </c>
      <c r="O72" s="112" t="s">
        <v>55</v>
      </c>
      <c r="P72" s="180" t="s">
        <v>56</v>
      </c>
      <c r="Q72" s="112" t="s">
        <v>39</v>
      </c>
      <c r="R72" s="285"/>
      <c r="S72" s="286"/>
    </row>
    <row r="73" spans="2:19" x14ac:dyDescent="0.3">
      <c r="B73" s="282" t="s">
        <v>68</v>
      </c>
      <c r="C73" s="283" t="s">
        <v>29</v>
      </c>
      <c r="D73" s="154" t="s">
        <v>17</v>
      </c>
      <c r="E73" s="110">
        <f>CEILING(((8700+115+340)*1.12)-490,50)</f>
        <v>9800</v>
      </c>
      <c r="F73" s="155">
        <v>340</v>
      </c>
      <c r="G73" s="155">
        <v>97.87</v>
      </c>
      <c r="H73" s="155">
        <v>15</v>
      </c>
      <c r="I73" s="155">
        <v>40</v>
      </c>
      <c r="J73" s="155">
        <v>75</v>
      </c>
      <c r="K73" s="155">
        <v>75</v>
      </c>
      <c r="L73" s="67">
        <f t="shared" si="4"/>
        <v>10442.870000000001</v>
      </c>
      <c r="M73" s="151">
        <v>200</v>
      </c>
      <c r="N73" s="67">
        <f t="shared" si="5"/>
        <v>10642.87</v>
      </c>
      <c r="O73" s="65" t="s">
        <v>55</v>
      </c>
      <c r="P73" s="180" t="s">
        <v>60</v>
      </c>
      <c r="Q73" s="156" t="s">
        <v>69</v>
      </c>
      <c r="R73" s="273" t="s">
        <v>70</v>
      </c>
      <c r="S73" s="274"/>
    </row>
    <row r="74" spans="2:19" x14ac:dyDescent="0.3">
      <c r="B74" s="282"/>
      <c r="C74" s="284"/>
      <c r="D74" s="154" t="s">
        <v>22</v>
      </c>
      <c r="E74" s="110">
        <f>CEILING(((8800+115+340)*1.12)-490,50)</f>
        <v>9900</v>
      </c>
      <c r="F74" s="155">
        <v>340</v>
      </c>
      <c r="G74" s="155">
        <v>97.87</v>
      </c>
      <c r="H74" s="155">
        <v>15</v>
      </c>
      <c r="I74" s="155">
        <v>40</v>
      </c>
      <c r="J74" s="155">
        <v>75</v>
      </c>
      <c r="K74" s="155">
        <v>75</v>
      </c>
      <c r="L74" s="67">
        <f t="shared" si="4"/>
        <v>10542.87</v>
      </c>
      <c r="M74" s="151">
        <v>200</v>
      </c>
      <c r="N74" s="67">
        <f t="shared" si="5"/>
        <v>10742.87</v>
      </c>
      <c r="O74" s="65" t="s">
        <v>55</v>
      </c>
      <c r="P74" s="180" t="s">
        <v>60</v>
      </c>
      <c r="Q74" s="156" t="s">
        <v>69</v>
      </c>
      <c r="R74" s="275"/>
      <c r="S74" s="276"/>
    </row>
    <row r="75" spans="2:19" ht="14.4" customHeight="1" x14ac:dyDescent="0.3">
      <c r="B75" s="264" t="s">
        <v>71</v>
      </c>
      <c r="C75" s="265" t="s">
        <v>54</v>
      </c>
      <c r="D75" s="109" t="s">
        <v>17</v>
      </c>
      <c r="E75" s="110">
        <f>CEILING(((8981+115+340)*1.12)-490,50)</f>
        <v>10100</v>
      </c>
      <c r="F75" s="176">
        <v>340</v>
      </c>
      <c r="G75" s="176">
        <v>85</v>
      </c>
      <c r="H75" s="176">
        <v>18</v>
      </c>
      <c r="I75" s="176">
        <v>10</v>
      </c>
      <c r="J75" s="176">
        <v>75</v>
      </c>
      <c r="K75" s="176">
        <v>75</v>
      </c>
      <c r="L75" s="111">
        <f t="shared" si="4"/>
        <v>10703</v>
      </c>
      <c r="M75" s="177">
        <v>200</v>
      </c>
      <c r="N75" s="111">
        <f t="shared" si="5"/>
        <v>10903</v>
      </c>
      <c r="O75" s="112" t="s">
        <v>55</v>
      </c>
      <c r="P75" s="180" t="s">
        <v>56</v>
      </c>
      <c r="Q75" s="112" t="s">
        <v>39</v>
      </c>
      <c r="R75" s="266" t="s">
        <v>64</v>
      </c>
      <c r="S75" s="267"/>
    </row>
    <row r="76" spans="2:19" x14ac:dyDescent="0.3">
      <c r="B76" s="264"/>
      <c r="C76" s="265"/>
      <c r="D76" s="109" t="s">
        <v>22</v>
      </c>
      <c r="E76" s="110">
        <f>CEILING(((9312+115+340)*1.12)-490,50)</f>
        <v>10450</v>
      </c>
      <c r="F76" s="176">
        <v>340</v>
      </c>
      <c r="G76" s="176">
        <v>85</v>
      </c>
      <c r="H76" s="176">
        <v>18</v>
      </c>
      <c r="I76" s="176">
        <v>10</v>
      </c>
      <c r="J76" s="176">
        <v>75</v>
      </c>
      <c r="K76" s="176">
        <v>75</v>
      </c>
      <c r="L76" s="111">
        <f t="shared" si="4"/>
        <v>11053</v>
      </c>
      <c r="M76" s="177">
        <v>200</v>
      </c>
      <c r="N76" s="111">
        <f t="shared" si="5"/>
        <v>11253</v>
      </c>
      <c r="O76" s="112" t="s">
        <v>55</v>
      </c>
      <c r="P76" s="180" t="s">
        <v>56</v>
      </c>
      <c r="Q76" s="112" t="s">
        <v>39</v>
      </c>
      <c r="R76" s="268"/>
      <c r="S76" s="269"/>
    </row>
    <row r="77" spans="2:19" ht="14.4" customHeight="1" x14ac:dyDescent="0.3">
      <c r="B77" s="264" t="s">
        <v>72</v>
      </c>
      <c r="C77" s="265" t="s">
        <v>54</v>
      </c>
      <c r="D77" s="109" t="s">
        <v>17</v>
      </c>
      <c r="E77" s="110">
        <f>CEILING(((8810+115+340)*1.12)-490,50)</f>
        <v>9900</v>
      </c>
      <c r="F77" s="176">
        <v>340</v>
      </c>
      <c r="G77" s="176">
        <v>85</v>
      </c>
      <c r="H77" s="176">
        <v>18</v>
      </c>
      <c r="I77" s="176">
        <v>10</v>
      </c>
      <c r="J77" s="176">
        <v>75</v>
      </c>
      <c r="K77" s="176">
        <v>75</v>
      </c>
      <c r="L77" s="111">
        <f t="shared" si="4"/>
        <v>10503</v>
      </c>
      <c r="M77" s="177">
        <v>200</v>
      </c>
      <c r="N77" s="111">
        <f t="shared" si="5"/>
        <v>10703</v>
      </c>
      <c r="O77" s="112" t="s">
        <v>55</v>
      </c>
      <c r="P77" s="180" t="s">
        <v>56</v>
      </c>
      <c r="Q77" s="112" t="s">
        <v>39</v>
      </c>
      <c r="R77" s="268"/>
      <c r="S77" s="269"/>
    </row>
    <row r="78" spans="2:19" x14ac:dyDescent="0.3">
      <c r="B78" s="264"/>
      <c r="C78" s="265"/>
      <c r="D78" s="109" t="s">
        <v>22</v>
      </c>
      <c r="E78" s="110">
        <f>CEILING(((8970+115+340)*1.12)-490,50)</f>
        <v>10100</v>
      </c>
      <c r="F78" s="176">
        <v>340</v>
      </c>
      <c r="G78" s="176">
        <v>85</v>
      </c>
      <c r="H78" s="176">
        <v>18</v>
      </c>
      <c r="I78" s="176">
        <v>10</v>
      </c>
      <c r="J78" s="176">
        <v>75</v>
      </c>
      <c r="K78" s="176">
        <v>75</v>
      </c>
      <c r="L78" s="111">
        <f t="shared" si="4"/>
        <v>10703</v>
      </c>
      <c r="M78" s="177">
        <v>200</v>
      </c>
      <c r="N78" s="111">
        <f t="shared" si="5"/>
        <v>10903</v>
      </c>
      <c r="O78" s="112" t="s">
        <v>55</v>
      </c>
      <c r="P78" s="180" t="s">
        <v>56</v>
      </c>
      <c r="Q78" s="112" t="s">
        <v>39</v>
      </c>
      <c r="R78" s="268"/>
      <c r="S78" s="269"/>
    </row>
    <row r="79" spans="2:19" ht="14.4" customHeight="1" x14ac:dyDescent="0.3">
      <c r="B79" s="264" t="s">
        <v>73</v>
      </c>
      <c r="C79" s="265" t="s">
        <v>54</v>
      </c>
      <c r="D79" s="109" t="s">
        <v>17</v>
      </c>
      <c r="E79" s="110">
        <f>CEILING(((9032+115+340)*1.12)-490,50)</f>
        <v>10150</v>
      </c>
      <c r="F79" s="176">
        <v>340</v>
      </c>
      <c r="G79" s="176">
        <v>85</v>
      </c>
      <c r="H79" s="176">
        <v>18</v>
      </c>
      <c r="I79" s="176">
        <v>10</v>
      </c>
      <c r="J79" s="176">
        <v>75</v>
      </c>
      <c r="K79" s="176">
        <v>75</v>
      </c>
      <c r="L79" s="111">
        <f t="shared" si="4"/>
        <v>10753</v>
      </c>
      <c r="M79" s="177">
        <v>200</v>
      </c>
      <c r="N79" s="111">
        <f t="shared" si="5"/>
        <v>10953</v>
      </c>
      <c r="O79" s="112" t="s">
        <v>55</v>
      </c>
      <c r="P79" s="180" t="s">
        <v>56</v>
      </c>
      <c r="Q79" s="112" t="s">
        <v>39</v>
      </c>
      <c r="R79" s="268"/>
      <c r="S79" s="269"/>
    </row>
    <row r="80" spans="2:19" ht="15" customHeight="1" thickBot="1" x14ac:dyDescent="0.35">
      <c r="B80" s="264"/>
      <c r="C80" s="265"/>
      <c r="D80" s="109" t="s">
        <v>22</v>
      </c>
      <c r="E80" s="110">
        <f>CEILING(((9354+115+340)*1.12)-490,50)</f>
        <v>10500</v>
      </c>
      <c r="F80" s="176">
        <v>340</v>
      </c>
      <c r="G80" s="176">
        <v>85</v>
      </c>
      <c r="H80" s="176">
        <v>18</v>
      </c>
      <c r="I80" s="176">
        <v>10</v>
      </c>
      <c r="J80" s="176">
        <v>75</v>
      </c>
      <c r="K80" s="176">
        <v>75</v>
      </c>
      <c r="L80" s="111">
        <f t="shared" si="4"/>
        <v>11103</v>
      </c>
      <c r="M80" s="177">
        <v>200</v>
      </c>
      <c r="N80" s="111">
        <f t="shared" si="5"/>
        <v>11303</v>
      </c>
      <c r="O80" s="112" t="s">
        <v>55</v>
      </c>
      <c r="P80" s="180" t="s">
        <v>56</v>
      </c>
      <c r="Q80" s="112" t="s">
        <v>39</v>
      </c>
      <c r="R80" s="285"/>
      <c r="S80" s="286"/>
    </row>
    <row r="81" spans="2:19" ht="28.8" x14ac:dyDescent="0.3">
      <c r="B81" s="260" t="s">
        <v>74</v>
      </c>
      <c r="C81" s="261"/>
      <c r="D81" s="261"/>
      <c r="E81" s="261"/>
      <c r="F81" s="261"/>
      <c r="G81" s="261"/>
      <c r="H81" s="261"/>
      <c r="I81" s="261"/>
      <c r="J81" s="261"/>
      <c r="K81" s="261"/>
      <c r="L81" s="261"/>
      <c r="M81" s="261"/>
      <c r="N81" s="261"/>
      <c r="O81" s="261"/>
      <c r="P81" s="261"/>
      <c r="Q81" s="261"/>
      <c r="R81" s="257"/>
      <c r="S81" s="277"/>
    </row>
    <row r="82" spans="2:19" ht="28.8" x14ac:dyDescent="0.3">
      <c r="B82" s="68" t="s">
        <v>1</v>
      </c>
      <c r="C82" s="188" t="s">
        <v>2</v>
      </c>
      <c r="D82" s="189"/>
      <c r="E82" s="92" t="s">
        <v>3</v>
      </c>
      <c r="F82" s="92" t="s">
        <v>4</v>
      </c>
      <c r="G82" s="92" t="s">
        <v>5</v>
      </c>
      <c r="H82" s="92" t="s">
        <v>6</v>
      </c>
      <c r="I82" s="3" t="s">
        <v>49</v>
      </c>
      <c r="J82" s="3" t="s">
        <v>50</v>
      </c>
      <c r="K82" s="3" t="s">
        <v>51</v>
      </c>
      <c r="L82" s="3" t="s">
        <v>52</v>
      </c>
      <c r="M82" s="3" t="s">
        <v>10</v>
      </c>
      <c r="N82" s="3" t="s">
        <v>11</v>
      </c>
      <c r="O82" s="3" t="s">
        <v>12</v>
      </c>
      <c r="P82" s="92" t="s">
        <v>13</v>
      </c>
      <c r="Q82" s="92" t="s">
        <v>14</v>
      </c>
      <c r="R82" s="188" t="s">
        <v>36</v>
      </c>
      <c r="S82" s="263"/>
    </row>
    <row r="83" spans="2:19" ht="14.4" customHeight="1" x14ac:dyDescent="0.3">
      <c r="B83" s="278" t="s">
        <v>75</v>
      </c>
      <c r="C83" s="280" t="s">
        <v>76</v>
      </c>
      <c r="D83" s="109" t="s">
        <v>17</v>
      </c>
      <c r="E83" s="110">
        <f>CEILING((((9100+297+115)*1.13)-340)-150,50)</f>
        <v>10300</v>
      </c>
      <c r="F83" s="176">
        <v>340</v>
      </c>
      <c r="G83" s="176">
        <v>85</v>
      </c>
      <c r="H83" s="176">
        <v>18</v>
      </c>
      <c r="I83" s="176">
        <v>10</v>
      </c>
      <c r="J83" s="66">
        <v>75</v>
      </c>
      <c r="K83" s="66">
        <v>75</v>
      </c>
      <c r="L83" s="145">
        <f>SUM(E83:K83)</f>
        <v>10903</v>
      </c>
      <c r="M83" s="164">
        <v>200</v>
      </c>
      <c r="N83" s="145">
        <f>SUM(L83:M83)</f>
        <v>11103</v>
      </c>
      <c r="O83" s="65" t="s">
        <v>55</v>
      </c>
      <c r="P83" s="180" t="s">
        <v>56</v>
      </c>
      <c r="Q83" s="112" t="s">
        <v>39</v>
      </c>
      <c r="R83" s="273" t="s">
        <v>57</v>
      </c>
      <c r="S83" s="274"/>
    </row>
    <row r="84" spans="2:19" ht="15" thickBot="1" x14ac:dyDescent="0.35">
      <c r="B84" s="279"/>
      <c r="C84" s="281"/>
      <c r="D84" s="109" t="s">
        <v>22</v>
      </c>
      <c r="E84" s="110">
        <f>CEILING((((9200+297+115)*1.13)-340)-150,50)</f>
        <v>10400</v>
      </c>
      <c r="F84" s="176">
        <v>340</v>
      </c>
      <c r="G84" s="176">
        <v>85</v>
      </c>
      <c r="H84" s="176">
        <v>18</v>
      </c>
      <c r="I84" s="176">
        <v>10</v>
      </c>
      <c r="J84" s="66">
        <v>75</v>
      </c>
      <c r="K84" s="66">
        <v>75</v>
      </c>
      <c r="L84" s="145">
        <f>SUM(E84:K84)</f>
        <v>11003</v>
      </c>
      <c r="M84" s="164">
        <v>200</v>
      </c>
      <c r="N84" s="145">
        <f>SUM(L84:M84)</f>
        <v>11203</v>
      </c>
      <c r="O84" s="65" t="s">
        <v>55</v>
      </c>
      <c r="P84" s="180" t="s">
        <v>56</v>
      </c>
      <c r="Q84" s="112" t="s">
        <v>39</v>
      </c>
      <c r="R84" s="275"/>
      <c r="S84" s="276"/>
    </row>
    <row r="85" spans="2:19" ht="28.8" x14ac:dyDescent="0.3">
      <c r="B85" s="260" t="s">
        <v>77</v>
      </c>
      <c r="C85" s="261"/>
      <c r="D85" s="261"/>
      <c r="E85" s="261"/>
      <c r="F85" s="261"/>
      <c r="G85" s="261"/>
      <c r="H85" s="261"/>
      <c r="I85" s="261"/>
      <c r="J85" s="261"/>
      <c r="K85" s="261"/>
      <c r="L85" s="261"/>
      <c r="M85" s="261"/>
      <c r="N85" s="261"/>
      <c r="O85" s="261"/>
      <c r="P85" s="261"/>
      <c r="Q85" s="261"/>
      <c r="R85" s="261"/>
      <c r="S85" s="262"/>
    </row>
    <row r="86" spans="2:19" ht="28.8" x14ac:dyDescent="0.3">
      <c r="B86" s="68" t="s">
        <v>1</v>
      </c>
      <c r="C86" s="188" t="s">
        <v>2</v>
      </c>
      <c r="D86" s="189"/>
      <c r="E86" s="92" t="s">
        <v>3</v>
      </c>
      <c r="F86" s="92" t="s">
        <v>4</v>
      </c>
      <c r="G86" s="92" t="s">
        <v>5</v>
      </c>
      <c r="H86" s="92" t="s">
        <v>6</v>
      </c>
      <c r="I86" s="3" t="s">
        <v>49</v>
      </c>
      <c r="J86" s="3" t="s">
        <v>50</v>
      </c>
      <c r="K86" s="3" t="s">
        <v>51</v>
      </c>
      <c r="L86" s="3" t="s">
        <v>52</v>
      </c>
      <c r="M86" s="3" t="s">
        <v>10</v>
      </c>
      <c r="N86" s="3" t="s">
        <v>11</v>
      </c>
      <c r="O86" s="3" t="s">
        <v>12</v>
      </c>
      <c r="P86" s="92" t="s">
        <v>13</v>
      </c>
      <c r="Q86" s="92" t="s">
        <v>14</v>
      </c>
      <c r="R86" s="188" t="s">
        <v>36</v>
      </c>
      <c r="S86" s="263"/>
    </row>
    <row r="87" spans="2:19" ht="14.4" customHeight="1" x14ac:dyDescent="0.3">
      <c r="B87" s="264" t="s">
        <v>78</v>
      </c>
      <c r="C87" s="265" t="s">
        <v>76</v>
      </c>
      <c r="D87" s="109" t="s">
        <v>17</v>
      </c>
      <c r="E87" s="110">
        <f>CEILING((((9108+297+115)*1.12)-340)-150,50)</f>
        <v>10200</v>
      </c>
      <c r="F87" s="176">
        <v>340</v>
      </c>
      <c r="G87" s="176">
        <v>85</v>
      </c>
      <c r="H87" s="176">
        <v>18</v>
      </c>
      <c r="I87" s="176">
        <v>10</v>
      </c>
      <c r="J87" s="176">
        <v>75</v>
      </c>
      <c r="K87" s="176">
        <v>75</v>
      </c>
      <c r="L87" s="111">
        <f>SUM(E87:K87)</f>
        <v>10803</v>
      </c>
      <c r="M87" s="177">
        <v>200</v>
      </c>
      <c r="N87" s="111">
        <f>SUM(L87:M87)</f>
        <v>11003</v>
      </c>
      <c r="O87" s="112" t="s">
        <v>79</v>
      </c>
      <c r="P87" s="180" t="s">
        <v>56</v>
      </c>
      <c r="Q87" s="112" t="s">
        <v>39</v>
      </c>
      <c r="R87" s="273" t="s">
        <v>57</v>
      </c>
      <c r="S87" s="274"/>
    </row>
    <row r="88" spans="2:19" x14ac:dyDescent="0.3">
      <c r="B88" s="264"/>
      <c r="C88" s="265"/>
      <c r="D88" s="109" t="s">
        <v>22</v>
      </c>
      <c r="E88" s="110">
        <f>CEILING((((9366+297+115)*1.12)-340)-150,50)</f>
        <v>10500</v>
      </c>
      <c r="F88" s="176">
        <v>340</v>
      </c>
      <c r="G88" s="176">
        <v>85</v>
      </c>
      <c r="H88" s="176">
        <v>18</v>
      </c>
      <c r="I88" s="176">
        <v>10</v>
      </c>
      <c r="J88" s="176">
        <v>75</v>
      </c>
      <c r="K88" s="176">
        <v>75</v>
      </c>
      <c r="L88" s="111">
        <f>SUM(E88:K88)</f>
        <v>11103</v>
      </c>
      <c r="M88" s="177">
        <v>200</v>
      </c>
      <c r="N88" s="111">
        <f>SUM(L88:M88)</f>
        <v>11303</v>
      </c>
      <c r="O88" s="112" t="s">
        <v>79</v>
      </c>
      <c r="P88" s="180" t="s">
        <v>56</v>
      </c>
      <c r="Q88" s="112" t="s">
        <v>39</v>
      </c>
      <c r="R88" s="275"/>
      <c r="S88" s="276"/>
    </row>
    <row r="89" spans="2:19" ht="28.8" x14ac:dyDescent="0.3">
      <c r="B89" s="270" t="s">
        <v>80</v>
      </c>
      <c r="C89" s="271"/>
      <c r="D89" s="271"/>
      <c r="E89" s="271"/>
      <c r="F89" s="271"/>
      <c r="G89" s="271"/>
      <c r="H89" s="271"/>
      <c r="I89" s="271"/>
      <c r="J89" s="271"/>
      <c r="K89" s="271"/>
      <c r="L89" s="271"/>
      <c r="M89" s="271"/>
      <c r="N89" s="271"/>
      <c r="O89" s="271"/>
      <c r="P89" s="271"/>
      <c r="Q89" s="271"/>
      <c r="R89" s="271"/>
      <c r="S89" s="272"/>
    </row>
    <row r="90" spans="2:19" ht="28.8" x14ac:dyDescent="0.3">
      <c r="B90" s="68" t="s">
        <v>1</v>
      </c>
      <c r="C90" s="188" t="s">
        <v>2</v>
      </c>
      <c r="D90" s="189"/>
      <c r="E90" s="92" t="s">
        <v>3</v>
      </c>
      <c r="F90" s="92" t="s">
        <v>4</v>
      </c>
      <c r="G90" s="92" t="s">
        <v>5</v>
      </c>
      <c r="H90" s="92" t="s">
        <v>6</v>
      </c>
      <c r="I90" s="3" t="s">
        <v>49</v>
      </c>
      <c r="J90" s="3" t="s">
        <v>50</v>
      </c>
      <c r="K90" s="3" t="s">
        <v>51</v>
      </c>
      <c r="L90" s="3" t="s">
        <v>52</v>
      </c>
      <c r="M90" s="3" t="s">
        <v>10</v>
      </c>
      <c r="N90" s="3" t="s">
        <v>11</v>
      </c>
      <c r="O90" s="3" t="s">
        <v>12</v>
      </c>
      <c r="P90" s="92" t="s">
        <v>13</v>
      </c>
      <c r="Q90" s="92" t="s">
        <v>14</v>
      </c>
      <c r="R90" s="188" t="s">
        <v>36</v>
      </c>
      <c r="S90" s="263"/>
    </row>
    <row r="91" spans="2:19" ht="14.4" customHeight="1" x14ac:dyDescent="0.3">
      <c r="B91" s="264" t="s">
        <v>81</v>
      </c>
      <c r="C91" s="265" t="s">
        <v>76</v>
      </c>
      <c r="D91" s="109" t="s">
        <v>17</v>
      </c>
      <c r="E91" s="110">
        <f>CEILING((((9100+297+115)*1.13)-340)-150,50)</f>
        <v>10300</v>
      </c>
      <c r="F91" s="176">
        <v>340</v>
      </c>
      <c r="G91" s="176">
        <v>85</v>
      </c>
      <c r="H91" s="176">
        <v>18</v>
      </c>
      <c r="I91" s="176">
        <v>10</v>
      </c>
      <c r="J91" s="176">
        <v>75</v>
      </c>
      <c r="K91" s="176">
        <v>75</v>
      </c>
      <c r="L91" s="111">
        <f>SUM(E91:K91)</f>
        <v>10903</v>
      </c>
      <c r="M91" s="177">
        <v>200</v>
      </c>
      <c r="N91" s="111">
        <f>SUM(L91:M91)</f>
        <v>11103</v>
      </c>
      <c r="O91" s="112" t="s">
        <v>79</v>
      </c>
      <c r="P91" s="180" t="s">
        <v>56</v>
      </c>
      <c r="Q91" s="112" t="s">
        <v>39</v>
      </c>
      <c r="R91" s="273" t="s">
        <v>57</v>
      </c>
      <c r="S91" s="274"/>
    </row>
    <row r="92" spans="2:19" ht="14.4" customHeight="1" x14ac:dyDescent="0.3">
      <c r="B92" s="264"/>
      <c r="C92" s="265"/>
      <c r="D92" s="109" t="s">
        <v>22</v>
      </c>
      <c r="E92" s="110">
        <f>CEILING((((9200+297+115)*1.13)-340)-150,50)</f>
        <v>10400</v>
      </c>
      <c r="F92" s="176">
        <v>340</v>
      </c>
      <c r="G92" s="176">
        <v>85</v>
      </c>
      <c r="H92" s="176">
        <v>18</v>
      </c>
      <c r="I92" s="176">
        <v>10</v>
      </c>
      <c r="J92" s="176">
        <v>75</v>
      </c>
      <c r="K92" s="176">
        <v>75</v>
      </c>
      <c r="L92" s="111">
        <f>SUM(E92:K92)</f>
        <v>11003</v>
      </c>
      <c r="M92" s="177">
        <v>200</v>
      </c>
      <c r="N92" s="111">
        <f>SUM(L92:M92)</f>
        <v>11203</v>
      </c>
      <c r="O92" s="112" t="s">
        <v>79</v>
      </c>
      <c r="P92" s="180" t="s">
        <v>56</v>
      </c>
      <c r="Q92" s="112" t="s">
        <v>39</v>
      </c>
      <c r="R92" s="275"/>
      <c r="S92" s="276"/>
    </row>
    <row r="93" spans="2:19" ht="28.8" x14ac:dyDescent="0.3">
      <c r="B93" s="270" t="s">
        <v>82</v>
      </c>
      <c r="C93" s="271"/>
      <c r="D93" s="271"/>
      <c r="E93" s="271"/>
      <c r="F93" s="271"/>
      <c r="G93" s="271"/>
      <c r="H93" s="271"/>
      <c r="I93" s="271"/>
      <c r="J93" s="271"/>
      <c r="K93" s="271"/>
      <c r="L93" s="271"/>
      <c r="M93" s="271"/>
      <c r="N93" s="271"/>
      <c r="O93" s="271"/>
      <c r="P93" s="271"/>
      <c r="Q93" s="271"/>
      <c r="R93" s="271"/>
      <c r="S93" s="272"/>
    </row>
    <row r="94" spans="2:19" ht="28.8" x14ac:dyDescent="0.3">
      <c r="B94" s="68" t="s">
        <v>1</v>
      </c>
      <c r="C94" s="188" t="s">
        <v>2</v>
      </c>
      <c r="D94" s="189"/>
      <c r="E94" s="92" t="s">
        <v>3</v>
      </c>
      <c r="F94" s="92" t="s">
        <v>4</v>
      </c>
      <c r="G94" s="92" t="s">
        <v>5</v>
      </c>
      <c r="H94" s="92" t="s">
        <v>6</v>
      </c>
      <c r="I94" s="3" t="s">
        <v>49</v>
      </c>
      <c r="J94" s="3" t="s">
        <v>50</v>
      </c>
      <c r="K94" s="3" t="s">
        <v>51</v>
      </c>
      <c r="L94" s="3" t="s">
        <v>52</v>
      </c>
      <c r="M94" s="3" t="s">
        <v>10</v>
      </c>
      <c r="N94" s="3" t="s">
        <v>11</v>
      </c>
      <c r="O94" s="3" t="s">
        <v>12</v>
      </c>
      <c r="P94" s="92" t="s">
        <v>13</v>
      </c>
      <c r="Q94" s="92" t="s">
        <v>14</v>
      </c>
      <c r="R94" s="188" t="s">
        <v>36</v>
      </c>
      <c r="S94" s="263"/>
    </row>
    <row r="95" spans="2:19" ht="14.4" customHeight="1" x14ac:dyDescent="0.3">
      <c r="B95" s="264" t="s">
        <v>83</v>
      </c>
      <c r="C95" s="265" t="s">
        <v>76</v>
      </c>
      <c r="D95" s="109" t="s">
        <v>17</v>
      </c>
      <c r="E95" s="110">
        <f>CEILING((((9220+297+115)*1.12)-340)-150,50)</f>
        <v>10300</v>
      </c>
      <c r="F95" s="176">
        <v>340</v>
      </c>
      <c r="G95" s="176">
        <v>85</v>
      </c>
      <c r="H95" s="176">
        <v>18</v>
      </c>
      <c r="I95" s="176">
        <v>10</v>
      </c>
      <c r="J95" s="176">
        <v>75</v>
      </c>
      <c r="K95" s="176">
        <v>75</v>
      </c>
      <c r="L95" s="111">
        <f>SUM(E95:K95)</f>
        <v>10903</v>
      </c>
      <c r="M95" s="177">
        <v>200</v>
      </c>
      <c r="N95" s="111">
        <f>SUM(L95:M95)</f>
        <v>11103</v>
      </c>
      <c r="O95" s="112" t="s">
        <v>79</v>
      </c>
      <c r="P95" s="180" t="s">
        <v>56</v>
      </c>
      <c r="Q95" s="112" t="s">
        <v>39</v>
      </c>
      <c r="R95" s="273" t="s">
        <v>57</v>
      </c>
      <c r="S95" s="274"/>
    </row>
    <row r="96" spans="2:19" ht="15" thickBot="1" x14ac:dyDescent="0.35">
      <c r="B96" s="264"/>
      <c r="C96" s="265"/>
      <c r="D96" s="109" t="s">
        <v>22</v>
      </c>
      <c r="E96" s="110">
        <f>CEILING((((9420+297+115)*1.12)-340)-150,50)</f>
        <v>10550</v>
      </c>
      <c r="F96" s="176">
        <v>340</v>
      </c>
      <c r="G96" s="176">
        <v>85</v>
      </c>
      <c r="H96" s="176">
        <v>18</v>
      </c>
      <c r="I96" s="176">
        <v>10</v>
      </c>
      <c r="J96" s="176">
        <v>75</v>
      </c>
      <c r="K96" s="176">
        <v>75</v>
      </c>
      <c r="L96" s="111">
        <f>SUM(E96:K96)</f>
        <v>11153</v>
      </c>
      <c r="M96" s="177">
        <v>200</v>
      </c>
      <c r="N96" s="111">
        <f>SUM(L96:M96)</f>
        <v>11353</v>
      </c>
      <c r="O96" s="112" t="s">
        <v>79</v>
      </c>
      <c r="P96" s="180" t="s">
        <v>56</v>
      </c>
      <c r="Q96" s="112" t="s">
        <v>39</v>
      </c>
      <c r="R96" s="275"/>
      <c r="S96" s="276"/>
    </row>
    <row r="97" spans="2:20" ht="28.8" x14ac:dyDescent="0.3">
      <c r="B97" s="260" t="s">
        <v>84</v>
      </c>
      <c r="C97" s="261"/>
      <c r="D97" s="261"/>
      <c r="E97" s="261"/>
      <c r="F97" s="261"/>
      <c r="G97" s="261"/>
      <c r="H97" s="261"/>
      <c r="I97" s="261"/>
      <c r="J97" s="261"/>
      <c r="K97" s="261"/>
      <c r="L97" s="261"/>
      <c r="M97" s="261"/>
      <c r="N97" s="261"/>
      <c r="O97" s="261"/>
      <c r="P97" s="261"/>
      <c r="Q97" s="261"/>
      <c r="R97" s="257"/>
      <c r="S97" s="257"/>
    </row>
    <row r="98" spans="2:20" ht="28.8" x14ac:dyDescent="0.3">
      <c r="B98" s="68" t="s">
        <v>1</v>
      </c>
      <c r="C98" s="188" t="s">
        <v>2</v>
      </c>
      <c r="D98" s="189"/>
      <c r="E98" s="92" t="s">
        <v>3</v>
      </c>
      <c r="F98" s="92" t="s">
        <v>4</v>
      </c>
      <c r="G98" s="92" t="s">
        <v>5</v>
      </c>
      <c r="H98" s="92" t="s">
        <v>6</v>
      </c>
      <c r="I98" s="3" t="s">
        <v>49</v>
      </c>
      <c r="J98" s="3" t="s">
        <v>50</v>
      </c>
      <c r="K98" s="3" t="s">
        <v>51</v>
      </c>
      <c r="L98" s="3" t="s">
        <v>52</v>
      </c>
      <c r="M98" s="3" t="s">
        <v>10</v>
      </c>
      <c r="N98" s="3" t="s">
        <v>11</v>
      </c>
      <c r="O98" s="3" t="s">
        <v>12</v>
      </c>
      <c r="P98" s="92" t="s">
        <v>13</v>
      </c>
      <c r="Q98" s="92" t="s">
        <v>14</v>
      </c>
      <c r="R98" s="188" t="s">
        <v>36</v>
      </c>
      <c r="S98" s="263"/>
    </row>
    <row r="99" spans="2:20" x14ac:dyDescent="0.3">
      <c r="B99" s="264" t="s">
        <v>85</v>
      </c>
      <c r="C99" s="265" t="s">
        <v>76</v>
      </c>
      <c r="D99" s="109" t="s">
        <v>17</v>
      </c>
      <c r="E99" s="110">
        <f>CEILING((((9100+297+115)*1.13)-340)-150,50)</f>
        <v>10300</v>
      </c>
      <c r="F99" s="176">
        <v>340</v>
      </c>
      <c r="G99" s="176">
        <v>85</v>
      </c>
      <c r="H99" s="176">
        <v>18</v>
      </c>
      <c r="I99" s="176">
        <v>10</v>
      </c>
      <c r="J99" s="176">
        <v>75</v>
      </c>
      <c r="K99" s="176">
        <v>75</v>
      </c>
      <c r="L99" s="111">
        <f>SUM(E99:K99)</f>
        <v>10903</v>
      </c>
      <c r="M99" s="177">
        <v>200</v>
      </c>
      <c r="N99" s="111">
        <f>SUM(L99:M99)</f>
        <v>11103</v>
      </c>
      <c r="O99" s="112" t="s">
        <v>79</v>
      </c>
      <c r="P99" s="180" t="s">
        <v>56</v>
      </c>
      <c r="Q99" s="112" t="s">
        <v>39</v>
      </c>
      <c r="R99" s="266" t="s">
        <v>86</v>
      </c>
      <c r="S99" s="267"/>
      <c r="T99"/>
    </row>
    <row r="100" spans="2:20" ht="15" thickBot="1" x14ac:dyDescent="0.35">
      <c r="B100" s="264"/>
      <c r="C100" s="265"/>
      <c r="D100" s="109" t="s">
        <v>22</v>
      </c>
      <c r="E100" s="110">
        <f>CEILING((((9200+297+115)*1.13)-340)-150,50)</f>
        <v>10400</v>
      </c>
      <c r="F100" s="176">
        <v>340</v>
      </c>
      <c r="G100" s="176">
        <v>85</v>
      </c>
      <c r="H100" s="176">
        <v>18</v>
      </c>
      <c r="I100" s="176">
        <v>10</v>
      </c>
      <c r="J100" s="176">
        <v>75</v>
      </c>
      <c r="K100" s="176">
        <v>75</v>
      </c>
      <c r="L100" s="111">
        <f>SUM(E100:K100)</f>
        <v>11003</v>
      </c>
      <c r="M100" s="177">
        <v>200</v>
      </c>
      <c r="N100" s="111">
        <f>SUM(L100:M100)</f>
        <v>11203</v>
      </c>
      <c r="O100" s="112" t="s">
        <v>79</v>
      </c>
      <c r="P100" s="180" t="s">
        <v>56</v>
      </c>
      <c r="Q100" s="112" t="s">
        <v>39</v>
      </c>
      <c r="R100" s="268"/>
      <c r="S100" s="269"/>
      <c r="T100"/>
    </row>
    <row r="101" spans="2:20" ht="28.8" x14ac:dyDescent="0.3">
      <c r="B101" s="260" t="s">
        <v>87</v>
      </c>
      <c r="C101" s="261"/>
      <c r="D101" s="261"/>
      <c r="E101" s="261"/>
      <c r="F101" s="261"/>
      <c r="G101" s="261"/>
      <c r="H101" s="261"/>
      <c r="I101" s="261"/>
      <c r="J101" s="261"/>
      <c r="K101" s="261"/>
      <c r="L101" s="261"/>
      <c r="M101" s="261"/>
      <c r="N101" s="261"/>
      <c r="O101" s="261"/>
      <c r="P101" s="261"/>
      <c r="Q101" s="261"/>
      <c r="R101" s="261"/>
      <c r="S101" s="262"/>
    </row>
    <row r="102" spans="2:20" ht="28.8" x14ac:dyDescent="0.3">
      <c r="B102" s="68" t="s">
        <v>1</v>
      </c>
      <c r="C102" s="188" t="s">
        <v>2</v>
      </c>
      <c r="D102" s="189"/>
      <c r="E102" s="92" t="s">
        <v>3</v>
      </c>
      <c r="F102" s="92" t="s">
        <v>4</v>
      </c>
      <c r="G102" s="92" t="s">
        <v>5</v>
      </c>
      <c r="H102" s="92" t="s">
        <v>6</v>
      </c>
      <c r="I102" s="3" t="s">
        <v>49</v>
      </c>
      <c r="J102" s="3" t="s">
        <v>50</v>
      </c>
      <c r="K102" s="3" t="s">
        <v>51</v>
      </c>
      <c r="L102" s="3" t="s">
        <v>52</v>
      </c>
      <c r="M102" s="3" t="s">
        <v>10</v>
      </c>
      <c r="N102" s="3" t="s">
        <v>11</v>
      </c>
      <c r="O102" s="3" t="s">
        <v>12</v>
      </c>
      <c r="P102" s="92" t="s">
        <v>13</v>
      </c>
      <c r="Q102" s="92" t="s">
        <v>14</v>
      </c>
      <c r="R102" s="188" t="s">
        <v>36</v>
      </c>
      <c r="S102" s="263"/>
    </row>
    <row r="103" spans="2:20" x14ac:dyDescent="0.3">
      <c r="B103" s="264" t="s">
        <v>88</v>
      </c>
      <c r="C103" s="265" t="s">
        <v>29</v>
      </c>
      <c r="D103" s="109" t="s">
        <v>17</v>
      </c>
      <c r="E103" s="110">
        <f>CEILING((((9250+297+115)*1.13)-340)-150,50)</f>
        <v>10450</v>
      </c>
      <c r="F103" s="176">
        <v>340</v>
      </c>
      <c r="G103" s="176">
        <v>85</v>
      </c>
      <c r="H103" s="176">
        <v>18</v>
      </c>
      <c r="I103" s="176">
        <v>10</v>
      </c>
      <c r="J103" s="176">
        <v>75</v>
      </c>
      <c r="K103" s="176">
        <v>75</v>
      </c>
      <c r="L103" s="111">
        <f>SUM(E103:K103)</f>
        <v>11053</v>
      </c>
      <c r="M103" s="177">
        <v>200</v>
      </c>
      <c r="N103" s="111">
        <f>SUM(L103:M103)</f>
        <v>11253</v>
      </c>
      <c r="O103" s="112" t="s">
        <v>79</v>
      </c>
      <c r="P103" s="180" t="s">
        <v>56</v>
      </c>
      <c r="Q103" s="112" t="s">
        <v>39</v>
      </c>
      <c r="R103" s="266" t="s">
        <v>86</v>
      </c>
      <c r="S103" s="267"/>
      <c r="T103"/>
    </row>
    <row r="104" spans="2:20" x14ac:dyDescent="0.3">
      <c r="B104" s="264"/>
      <c r="C104" s="265"/>
      <c r="D104" s="109" t="s">
        <v>22</v>
      </c>
      <c r="E104" s="110">
        <f>CEILING((((9450+297+115)*1.13)-340)-150,50)</f>
        <v>10700</v>
      </c>
      <c r="F104" s="176">
        <v>340</v>
      </c>
      <c r="G104" s="176">
        <v>85</v>
      </c>
      <c r="H104" s="176">
        <v>18</v>
      </c>
      <c r="I104" s="176">
        <v>10</v>
      </c>
      <c r="J104" s="176">
        <v>75</v>
      </c>
      <c r="K104" s="176">
        <v>75</v>
      </c>
      <c r="L104" s="111">
        <f>SUM(E104:K104)</f>
        <v>11303</v>
      </c>
      <c r="M104" s="177">
        <v>200</v>
      </c>
      <c r="N104" s="111">
        <f>SUM(L104:M104)</f>
        <v>11503</v>
      </c>
      <c r="O104" s="112" t="s">
        <v>79</v>
      </c>
      <c r="P104" s="180" t="s">
        <v>56</v>
      </c>
      <c r="Q104" s="112" t="s">
        <v>39</v>
      </c>
      <c r="R104" s="268"/>
      <c r="S104" s="269"/>
      <c r="T104"/>
    </row>
    <row r="105" spans="2:20" ht="15" thickBot="1" x14ac:dyDescent="0.35">
      <c r="B105" s="104"/>
      <c r="C105" s="35"/>
      <c r="D105" s="101"/>
      <c r="E105" s="102"/>
      <c r="F105" s="165"/>
      <c r="G105" s="165"/>
      <c r="H105" s="165"/>
      <c r="I105" s="165"/>
      <c r="J105" s="165"/>
      <c r="K105" s="165"/>
      <c r="L105" s="166"/>
      <c r="M105" s="165"/>
      <c r="N105" s="166"/>
      <c r="O105" s="48"/>
      <c r="P105" s="27"/>
      <c r="Q105" s="48"/>
      <c r="R105" s="103"/>
      <c r="S105" s="105"/>
    </row>
    <row r="106" spans="2:20" ht="15.6" x14ac:dyDescent="0.3">
      <c r="B106" s="247" t="s">
        <v>32</v>
      </c>
      <c r="C106" s="248"/>
      <c r="D106" s="248"/>
      <c r="E106" s="248"/>
      <c r="F106" s="248"/>
      <c r="G106" s="248"/>
      <c r="H106" s="248"/>
      <c r="I106" s="248"/>
      <c r="J106" s="248"/>
      <c r="K106" s="248"/>
      <c r="L106" s="248"/>
      <c r="M106" s="248"/>
      <c r="N106" s="248"/>
      <c r="O106" s="248"/>
      <c r="P106" s="248"/>
      <c r="Q106" s="248"/>
      <c r="R106" s="248"/>
      <c r="S106" s="249"/>
    </row>
    <row r="107" spans="2:20" x14ac:dyDescent="0.3">
      <c r="B107" s="250" t="s">
        <v>33</v>
      </c>
      <c r="C107" s="200"/>
      <c r="D107" s="200"/>
      <c r="E107" s="200"/>
      <c r="F107" s="200"/>
      <c r="G107" s="200"/>
      <c r="H107" s="200"/>
      <c r="I107" s="200"/>
      <c r="J107" s="200"/>
      <c r="K107" s="200"/>
      <c r="L107" s="200"/>
      <c r="M107" s="200"/>
      <c r="N107" s="200"/>
      <c r="O107" s="200"/>
      <c r="P107" s="200"/>
      <c r="Q107" s="200"/>
      <c r="R107" s="200"/>
      <c r="S107" s="251"/>
    </row>
    <row r="108" spans="2:20" x14ac:dyDescent="0.3">
      <c r="B108" s="250"/>
      <c r="C108" s="200"/>
      <c r="D108" s="200"/>
      <c r="E108" s="200"/>
      <c r="F108" s="200"/>
      <c r="G108" s="200"/>
      <c r="H108" s="200"/>
      <c r="I108" s="200"/>
      <c r="J108" s="200"/>
      <c r="K108" s="200"/>
      <c r="L108" s="200"/>
      <c r="M108" s="200"/>
      <c r="N108" s="200"/>
      <c r="O108" s="200"/>
      <c r="P108" s="200"/>
      <c r="Q108" s="200"/>
      <c r="R108" s="200"/>
      <c r="S108" s="251"/>
    </row>
    <row r="109" spans="2:20" x14ac:dyDescent="0.3">
      <c r="B109" s="250"/>
      <c r="C109" s="200"/>
      <c r="D109" s="200"/>
      <c r="E109" s="200"/>
      <c r="F109" s="200"/>
      <c r="G109" s="200"/>
      <c r="H109" s="200"/>
      <c r="I109" s="200"/>
      <c r="J109" s="200"/>
      <c r="K109" s="200"/>
      <c r="L109" s="200"/>
      <c r="M109" s="200"/>
      <c r="N109" s="200"/>
      <c r="O109" s="200"/>
      <c r="P109" s="200"/>
      <c r="Q109" s="200"/>
      <c r="R109" s="200"/>
      <c r="S109" s="251"/>
    </row>
    <row r="110" spans="2:20" ht="15" thickBot="1" x14ac:dyDescent="0.35">
      <c r="B110" s="252"/>
      <c r="C110" s="253"/>
      <c r="D110" s="253"/>
      <c r="E110" s="253"/>
      <c r="F110" s="253"/>
      <c r="G110" s="253"/>
      <c r="H110" s="253"/>
      <c r="I110" s="253"/>
      <c r="J110" s="253"/>
      <c r="K110" s="253"/>
      <c r="L110" s="253"/>
      <c r="M110" s="253"/>
      <c r="N110" s="253"/>
      <c r="O110" s="253"/>
      <c r="P110" s="253"/>
      <c r="Q110" s="253"/>
      <c r="R110" s="253"/>
      <c r="S110" s="254"/>
    </row>
    <row r="119" spans="2:17" ht="28.8" x14ac:dyDescent="0.3">
      <c r="B119" s="246" t="s">
        <v>89</v>
      </c>
      <c r="C119" s="246"/>
      <c r="D119" s="246"/>
      <c r="E119" s="246"/>
      <c r="F119" s="246"/>
      <c r="G119" s="246"/>
      <c r="H119" s="246"/>
      <c r="I119" s="246"/>
      <c r="J119" s="246"/>
      <c r="K119" s="246"/>
      <c r="L119" s="246"/>
      <c r="M119" s="246"/>
      <c r="N119" s="246"/>
      <c r="O119" s="246"/>
      <c r="P119" s="246"/>
      <c r="Q119" s="100"/>
    </row>
    <row r="120" spans="2:17" ht="28.8" x14ac:dyDescent="0.3">
      <c r="B120" s="92" t="s">
        <v>1</v>
      </c>
      <c r="C120" s="223" t="s">
        <v>2</v>
      </c>
      <c r="D120" s="223"/>
      <c r="E120" s="92" t="s">
        <v>3</v>
      </c>
      <c r="F120" s="92" t="s">
        <v>4</v>
      </c>
      <c r="G120" s="11" t="s">
        <v>90</v>
      </c>
      <c r="H120" s="98" t="s">
        <v>6</v>
      </c>
      <c r="I120" s="3" t="s">
        <v>9</v>
      </c>
      <c r="J120" s="3" t="s">
        <v>10</v>
      </c>
      <c r="K120" s="3" t="s">
        <v>11</v>
      </c>
      <c r="L120" s="92" t="s">
        <v>12</v>
      </c>
      <c r="M120" s="92" t="s">
        <v>13</v>
      </c>
      <c r="N120" s="92" t="s">
        <v>14</v>
      </c>
      <c r="O120" s="223" t="s">
        <v>36</v>
      </c>
      <c r="P120" s="223"/>
      <c r="Q120" s="223"/>
    </row>
    <row r="121" spans="2:17" ht="14.4" customHeight="1" x14ac:dyDescent="0.3">
      <c r="B121" s="240" t="s">
        <v>91</v>
      </c>
      <c r="C121" s="241" t="s">
        <v>16</v>
      </c>
      <c r="D121" s="18" t="s">
        <v>17</v>
      </c>
      <c r="E121" s="29">
        <v>1600</v>
      </c>
      <c r="F121" s="29">
        <v>289</v>
      </c>
      <c r="G121" s="176">
        <v>84.38</v>
      </c>
      <c r="H121" s="176">
        <v>18</v>
      </c>
      <c r="I121" s="32">
        <f>SUM(E121:H121)</f>
        <v>1991.38</v>
      </c>
      <c r="J121" s="22">
        <v>200</v>
      </c>
      <c r="K121" s="21">
        <f>I121+J121</f>
        <v>2191.38</v>
      </c>
      <c r="L121" s="112" t="s">
        <v>92</v>
      </c>
      <c r="M121" s="180" t="s">
        <v>93</v>
      </c>
      <c r="N121" s="18" t="s">
        <v>61</v>
      </c>
      <c r="O121" s="242" t="s">
        <v>44</v>
      </c>
      <c r="P121" s="242"/>
      <c r="Q121" s="242"/>
    </row>
    <row r="122" spans="2:17" x14ac:dyDescent="0.3">
      <c r="B122" s="240"/>
      <c r="C122" s="241"/>
      <c r="D122" s="18" t="s">
        <v>22</v>
      </c>
      <c r="E122" s="29">
        <v>1900</v>
      </c>
      <c r="F122" s="29">
        <v>289</v>
      </c>
      <c r="G122" s="176">
        <v>84.38</v>
      </c>
      <c r="H122" s="176">
        <v>18</v>
      </c>
      <c r="I122" s="32">
        <f>SUM(E122:H122)</f>
        <v>2291.38</v>
      </c>
      <c r="J122" s="22">
        <v>200</v>
      </c>
      <c r="K122" s="21">
        <f>I122+J122</f>
        <v>2491.38</v>
      </c>
      <c r="L122" s="112" t="s">
        <v>92</v>
      </c>
      <c r="M122" s="180" t="s">
        <v>93</v>
      </c>
      <c r="N122" s="18" t="s">
        <v>61</v>
      </c>
      <c r="O122" s="242"/>
      <c r="P122" s="242"/>
      <c r="Q122" s="242"/>
    </row>
    <row r="123" spans="2:17" x14ac:dyDescent="0.3">
      <c r="B123" s="35"/>
      <c r="C123" s="97"/>
      <c r="D123" s="26"/>
      <c r="E123" s="36"/>
      <c r="F123" s="36"/>
      <c r="G123" s="36"/>
      <c r="H123" s="97"/>
      <c r="I123" s="69"/>
      <c r="J123" s="70"/>
      <c r="K123" s="70"/>
      <c r="L123" s="70"/>
      <c r="M123" s="71"/>
      <c r="N123" s="72"/>
      <c r="O123" s="37"/>
      <c r="P123" s="27"/>
      <c r="Q123" s="97"/>
    </row>
    <row r="124" spans="2:17" ht="15.6" x14ac:dyDescent="0.3">
      <c r="B124" s="5" t="s">
        <v>32</v>
      </c>
      <c r="C124" s="6"/>
      <c r="D124" s="6"/>
      <c r="E124" s="6"/>
      <c r="F124" s="6"/>
      <c r="G124" s="6"/>
      <c r="H124" s="6"/>
      <c r="I124" s="6"/>
      <c r="J124" s="6"/>
      <c r="K124" s="6"/>
      <c r="L124" s="6"/>
      <c r="M124" s="6"/>
      <c r="N124" s="6"/>
      <c r="O124" s="6"/>
      <c r="P124" s="6"/>
      <c r="Q124" s="7"/>
    </row>
    <row r="125" spans="2:17" x14ac:dyDescent="0.3">
      <c r="B125" s="217" t="s">
        <v>33</v>
      </c>
      <c r="C125" s="218"/>
      <c r="D125" s="218"/>
      <c r="E125" s="218"/>
      <c r="F125" s="218"/>
      <c r="G125" s="218"/>
      <c r="H125" s="218"/>
      <c r="I125" s="218"/>
      <c r="J125" s="218"/>
      <c r="K125" s="218"/>
      <c r="L125" s="218"/>
      <c r="M125" s="218"/>
      <c r="N125" s="218"/>
      <c r="O125" s="218"/>
      <c r="P125" s="218"/>
      <c r="Q125" s="219"/>
    </row>
    <row r="126" spans="2:17" x14ac:dyDescent="0.3">
      <c r="B126" s="217"/>
      <c r="C126" s="218"/>
      <c r="D126" s="218"/>
      <c r="E126" s="218"/>
      <c r="F126" s="218"/>
      <c r="G126" s="218"/>
      <c r="H126" s="218"/>
      <c r="I126" s="218"/>
      <c r="J126" s="218"/>
      <c r="K126" s="218"/>
      <c r="L126" s="218"/>
      <c r="M126" s="218"/>
      <c r="N126" s="218"/>
      <c r="O126" s="218"/>
      <c r="P126" s="218"/>
      <c r="Q126" s="219"/>
    </row>
    <row r="127" spans="2:17" x14ac:dyDescent="0.3">
      <c r="B127" s="217"/>
      <c r="C127" s="218"/>
      <c r="D127" s="218"/>
      <c r="E127" s="218"/>
      <c r="F127" s="218"/>
      <c r="G127" s="218"/>
      <c r="H127" s="218"/>
      <c r="I127" s="218"/>
      <c r="J127" s="218"/>
      <c r="K127" s="218"/>
      <c r="L127" s="218"/>
      <c r="M127" s="218"/>
      <c r="N127" s="218"/>
      <c r="O127" s="218"/>
      <c r="P127" s="218"/>
      <c r="Q127" s="219"/>
    </row>
    <row r="128" spans="2:17" x14ac:dyDescent="0.3">
      <c r="B128" s="220"/>
      <c r="C128" s="221"/>
      <c r="D128" s="221"/>
      <c r="E128" s="221"/>
      <c r="F128" s="221"/>
      <c r="G128" s="221"/>
      <c r="H128" s="221"/>
      <c r="I128" s="221"/>
      <c r="J128" s="221"/>
      <c r="K128" s="221"/>
      <c r="L128" s="221"/>
      <c r="M128" s="221"/>
      <c r="N128" s="221"/>
      <c r="O128" s="221"/>
      <c r="P128" s="221"/>
      <c r="Q128" s="222"/>
    </row>
    <row r="129" spans="2:17" x14ac:dyDescent="0.3">
      <c r="B129" s="28"/>
      <c r="C129" s="28"/>
      <c r="D129" s="28"/>
      <c r="E129" s="28"/>
      <c r="F129" s="28"/>
      <c r="G129" s="28"/>
      <c r="H129" s="28"/>
      <c r="I129" s="28"/>
      <c r="J129" s="28"/>
      <c r="K129" s="28"/>
      <c r="L129" s="28"/>
      <c r="M129" s="28"/>
      <c r="N129" s="28"/>
      <c r="O129" s="28"/>
      <c r="P129" s="28"/>
      <c r="Q129" s="28"/>
    </row>
    <row r="134" spans="2:17" ht="15" thickBot="1" x14ac:dyDescent="0.35"/>
    <row r="135" spans="2:17" ht="28.8" x14ac:dyDescent="0.3">
      <c r="B135" s="260" t="s">
        <v>94</v>
      </c>
      <c r="C135" s="261"/>
      <c r="D135" s="261"/>
      <c r="E135" s="261"/>
      <c r="F135" s="261"/>
      <c r="G135" s="261"/>
      <c r="H135" s="261"/>
      <c r="I135" s="261"/>
      <c r="J135" s="261"/>
      <c r="K135" s="261"/>
      <c r="L135" s="261"/>
      <c r="M135" s="261"/>
      <c r="N135" s="261"/>
      <c r="O135" s="261"/>
      <c r="P135" s="261"/>
    </row>
    <row r="136" spans="2:17" ht="28.8" x14ac:dyDescent="0.3">
      <c r="B136" s="68" t="s">
        <v>1</v>
      </c>
      <c r="C136" s="223" t="s">
        <v>2</v>
      </c>
      <c r="D136" s="223"/>
      <c r="E136" s="92" t="s">
        <v>3</v>
      </c>
      <c r="F136" s="92" t="s">
        <v>4</v>
      </c>
      <c r="G136" s="92" t="s">
        <v>5</v>
      </c>
      <c r="H136" s="3" t="s">
        <v>95</v>
      </c>
      <c r="I136" s="3" t="s">
        <v>50</v>
      </c>
      <c r="J136" s="3" t="s">
        <v>96</v>
      </c>
      <c r="K136" s="3" t="s">
        <v>52</v>
      </c>
      <c r="L136" s="3" t="s">
        <v>10</v>
      </c>
      <c r="M136" s="3" t="s">
        <v>11</v>
      </c>
      <c r="N136" s="3" t="s">
        <v>12</v>
      </c>
      <c r="O136" s="92" t="s">
        <v>13</v>
      </c>
      <c r="P136" s="92" t="s">
        <v>14</v>
      </c>
    </row>
    <row r="137" spans="2:17" x14ac:dyDescent="0.3">
      <c r="B137" s="107" t="s">
        <v>97</v>
      </c>
      <c r="C137" s="96" t="s">
        <v>98</v>
      </c>
      <c r="D137" s="88" t="s">
        <v>17</v>
      </c>
      <c r="E137" s="90">
        <v>1500</v>
      </c>
      <c r="F137" s="176">
        <v>340</v>
      </c>
      <c r="G137" s="176">
        <v>85</v>
      </c>
      <c r="H137" s="176">
        <v>24</v>
      </c>
      <c r="I137" s="66">
        <v>75</v>
      </c>
      <c r="J137" s="66">
        <v>75</v>
      </c>
      <c r="K137" s="67">
        <f>SUM(E137:J137)</f>
        <v>2099</v>
      </c>
      <c r="L137" s="66">
        <v>200</v>
      </c>
      <c r="M137" s="67">
        <f>SUM(K137:L137)</f>
        <v>2299</v>
      </c>
      <c r="N137" s="65" t="s">
        <v>99</v>
      </c>
      <c r="O137" s="180" t="s">
        <v>93</v>
      </c>
      <c r="P137" s="65" t="s">
        <v>39</v>
      </c>
    </row>
    <row r="138" spans="2:17" x14ac:dyDescent="0.3">
      <c r="B138" s="210" t="s">
        <v>100</v>
      </c>
      <c r="C138" s="240" t="s">
        <v>29</v>
      </c>
      <c r="D138" s="88" t="s">
        <v>17</v>
      </c>
      <c r="E138" s="90">
        <f>CEILING(((1997+75+340)*1.15)-(340+150),50)</f>
        <v>2300</v>
      </c>
      <c r="F138" s="176">
        <v>340</v>
      </c>
      <c r="G138" s="176">
        <v>85</v>
      </c>
      <c r="H138" s="66">
        <v>24</v>
      </c>
      <c r="I138" s="66">
        <v>75</v>
      </c>
      <c r="J138" s="66">
        <v>75</v>
      </c>
      <c r="K138" s="67">
        <f>SUM(E138:J138)</f>
        <v>2899</v>
      </c>
      <c r="L138" s="66">
        <v>200</v>
      </c>
      <c r="M138" s="67">
        <f>SUM(K138:L138)</f>
        <v>3099</v>
      </c>
      <c r="N138" s="65" t="s">
        <v>99</v>
      </c>
      <c r="O138" s="180" t="s">
        <v>93</v>
      </c>
      <c r="P138" s="65" t="s">
        <v>39</v>
      </c>
    </row>
    <row r="139" spans="2:17" x14ac:dyDescent="0.3">
      <c r="B139" s="210"/>
      <c r="C139" s="240"/>
      <c r="D139" s="88" t="s">
        <v>22</v>
      </c>
      <c r="E139" s="90">
        <f>CEILING(((3165+75+340)*1.15)-(340+150),50)</f>
        <v>3650</v>
      </c>
      <c r="F139" s="176">
        <v>340</v>
      </c>
      <c r="G139" s="176">
        <v>85</v>
      </c>
      <c r="H139" s="66">
        <v>24</v>
      </c>
      <c r="I139" s="66">
        <v>75</v>
      </c>
      <c r="J139" s="66">
        <v>75</v>
      </c>
      <c r="K139" s="67">
        <f>SUM(E139:J139)</f>
        <v>4249</v>
      </c>
      <c r="L139" s="66">
        <v>200</v>
      </c>
      <c r="M139" s="67">
        <f>SUM(K139:L139)</f>
        <v>4449</v>
      </c>
      <c r="N139" s="65" t="s">
        <v>99</v>
      </c>
      <c r="O139" s="180" t="s">
        <v>93</v>
      </c>
      <c r="P139" s="65" t="s">
        <v>39</v>
      </c>
    </row>
    <row r="141" spans="2:17" ht="15" thickBot="1" x14ac:dyDescent="0.35"/>
    <row r="142" spans="2:17" ht="28.8" x14ac:dyDescent="0.3">
      <c r="B142" s="260" t="s">
        <v>101</v>
      </c>
      <c r="C142" s="261"/>
      <c r="D142" s="261"/>
      <c r="E142" s="261"/>
      <c r="F142" s="261"/>
      <c r="G142" s="261"/>
      <c r="H142" s="261"/>
      <c r="I142" s="261"/>
      <c r="J142" s="261"/>
      <c r="K142" s="261"/>
      <c r="L142" s="261"/>
      <c r="M142" s="261"/>
      <c r="N142" s="261"/>
      <c r="O142" s="261"/>
      <c r="P142" s="261"/>
    </row>
    <row r="143" spans="2:17" ht="28.8" x14ac:dyDescent="0.3">
      <c r="B143" s="68" t="s">
        <v>1</v>
      </c>
      <c r="C143" s="223" t="s">
        <v>2</v>
      </c>
      <c r="D143" s="223"/>
      <c r="E143" s="92" t="s">
        <v>3</v>
      </c>
      <c r="F143" s="92" t="s">
        <v>4</v>
      </c>
      <c r="G143" s="92" t="s">
        <v>5</v>
      </c>
      <c r="H143" s="92" t="s">
        <v>6</v>
      </c>
      <c r="I143" s="3" t="s">
        <v>50</v>
      </c>
      <c r="J143" s="3" t="s">
        <v>96</v>
      </c>
      <c r="K143" s="3" t="s">
        <v>52</v>
      </c>
      <c r="L143" s="3" t="s">
        <v>10</v>
      </c>
      <c r="M143" s="3" t="s">
        <v>11</v>
      </c>
      <c r="N143" s="3" t="s">
        <v>12</v>
      </c>
      <c r="O143" s="92" t="s">
        <v>13</v>
      </c>
      <c r="P143" s="92" t="s">
        <v>14</v>
      </c>
    </row>
    <row r="144" spans="2:17" x14ac:dyDescent="0.3">
      <c r="B144" s="240" t="s">
        <v>102</v>
      </c>
      <c r="C144" s="240" t="s">
        <v>16</v>
      </c>
      <c r="D144" s="88" t="s">
        <v>17</v>
      </c>
      <c r="E144" s="66">
        <v>1800</v>
      </c>
      <c r="F144" s="66">
        <v>370</v>
      </c>
      <c r="G144" s="66">
        <v>50</v>
      </c>
      <c r="H144" s="66">
        <v>0</v>
      </c>
      <c r="I144" s="66">
        <v>75</v>
      </c>
      <c r="J144" s="66">
        <v>75</v>
      </c>
      <c r="K144" s="67">
        <f>SUM(E144:J144)</f>
        <v>2370</v>
      </c>
      <c r="L144" s="66">
        <v>200</v>
      </c>
      <c r="M144" s="67">
        <f>SUM(K144:L144)</f>
        <v>2570</v>
      </c>
      <c r="N144" s="65" t="s">
        <v>103</v>
      </c>
      <c r="O144" s="180" t="s">
        <v>93</v>
      </c>
      <c r="P144" s="65" t="s">
        <v>104</v>
      </c>
    </row>
    <row r="145" spans="2:17" x14ac:dyDescent="0.3">
      <c r="B145" s="240"/>
      <c r="C145" s="240"/>
      <c r="D145" s="88" t="s">
        <v>22</v>
      </c>
      <c r="E145" s="66">
        <v>2200</v>
      </c>
      <c r="F145" s="66">
        <v>370</v>
      </c>
      <c r="G145" s="66">
        <v>50</v>
      </c>
      <c r="H145" s="66">
        <v>0</v>
      </c>
      <c r="I145" s="66">
        <v>75</v>
      </c>
      <c r="J145" s="66">
        <v>75</v>
      </c>
      <c r="K145" s="67">
        <f>SUM(E145:J145)</f>
        <v>2770</v>
      </c>
      <c r="L145" s="66">
        <v>200</v>
      </c>
      <c r="M145" s="67">
        <f>SUM(K145:L145)</f>
        <v>2970</v>
      </c>
      <c r="N145" s="65" t="s">
        <v>103</v>
      </c>
      <c r="O145" s="180" t="s">
        <v>93</v>
      </c>
      <c r="P145" s="65" t="s">
        <v>104</v>
      </c>
    </row>
    <row r="146" spans="2:17" x14ac:dyDescent="0.3">
      <c r="B146" s="240" t="s">
        <v>105</v>
      </c>
      <c r="C146" s="240" t="s">
        <v>29</v>
      </c>
      <c r="D146" s="88" t="s">
        <v>17</v>
      </c>
      <c r="E146" s="66">
        <v>1050</v>
      </c>
      <c r="F146" s="66">
        <v>289</v>
      </c>
      <c r="G146" s="66">
        <v>84.38</v>
      </c>
      <c r="H146" s="66">
        <v>55</v>
      </c>
      <c r="I146" s="66">
        <v>75</v>
      </c>
      <c r="J146" s="66">
        <v>75</v>
      </c>
      <c r="K146" s="67">
        <f>SUM(E146:J146)</f>
        <v>1628.38</v>
      </c>
      <c r="L146" s="66">
        <v>200</v>
      </c>
      <c r="M146" s="67">
        <f>SUM(K146:L146)</f>
        <v>1828.38</v>
      </c>
      <c r="N146" s="65" t="s">
        <v>103</v>
      </c>
      <c r="O146" s="180" t="s">
        <v>93</v>
      </c>
      <c r="P146" s="65" t="s">
        <v>61</v>
      </c>
    </row>
    <row r="147" spans="2:17" x14ac:dyDescent="0.3">
      <c r="B147" s="240"/>
      <c r="C147" s="240"/>
      <c r="D147" s="88" t="s">
        <v>22</v>
      </c>
      <c r="E147" s="66">
        <v>1500</v>
      </c>
      <c r="F147" s="66">
        <v>289</v>
      </c>
      <c r="G147" s="66">
        <v>84.38</v>
      </c>
      <c r="H147" s="66">
        <v>55</v>
      </c>
      <c r="I147" s="66">
        <v>75</v>
      </c>
      <c r="J147" s="66">
        <v>75</v>
      </c>
      <c r="K147" s="67">
        <f>SUM(E147:J147)</f>
        <v>2078.38</v>
      </c>
      <c r="L147" s="66">
        <v>200</v>
      </c>
      <c r="M147" s="67">
        <f>SUM(K147:L147)</f>
        <v>2278.38</v>
      </c>
      <c r="N147" s="65" t="s">
        <v>103</v>
      </c>
      <c r="O147" s="180" t="s">
        <v>93</v>
      </c>
      <c r="P147" s="65" t="s">
        <v>61</v>
      </c>
    </row>
    <row r="148" spans="2:17" x14ac:dyDescent="0.3">
      <c r="F148" s="17"/>
      <c r="G148" s="17"/>
      <c r="H148" s="17"/>
      <c r="I148" s="17"/>
    </row>
    <row r="149" spans="2:17" ht="15.6" x14ac:dyDescent="0.3">
      <c r="B149" s="5" t="s">
        <v>32</v>
      </c>
      <c r="C149" s="6"/>
      <c r="D149" s="6"/>
      <c r="E149" s="6"/>
      <c r="F149" s="6"/>
      <c r="G149" s="6"/>
      <c r="H149" s="6"/>
      <c r="I149" s="6"/>
      <c r="J149" s="6"/>
      <c r="K149" s="6"/>
      <c r="L149" s="6"/>
      <c r="M149" s="6"/>
      <c r="N149" s="6"/>
      <c r="O149" s="6"/>
      <c r="P149" s="6"/>
      <c r="Q149" s="7"/>
    </row>
    <row r="150" spans="2:17" x14ac:dyDescent="0.3">
      <c r="B150" s="217" t="s">
        <v>33</v>
      </c>
      <c r="C150" s="218"/>
      <c r="D150" s="218"/>
      <c r="E150" s="218"/>
      <c r="F150" s="218"/>
      <c r="G150" s="218"/>
      <c r="H150" s="218"/>
      <c r="I150" s="218"/>
      <c r="J150" s="218"/>
      <c r="K150" s="218"/>
      <c r="L150" s="218"/>
      <c r="M150" s="218"/>
      <c r="N150" s="218"/>
      <c r="O150" s="218"/>
      <c r="P150" s="218"/>
      <c r="Q150" s="219"/>
    </row>
    <row r="151" spans="2:17" x14ac:dyDescent="0.3">
      <c r="B151" s="217"/>
      <c r="C151" s="218"/>
      <c r="D151" s="218"/>
      <c r="E151" s="218"/>
      <c r="F151" s="218"/>
      <c r="G151" s="218"/>
      <c r="H151" s="218"/>
      <c r="I151" s="218"/>
      <c r="J151" s="218"/>
      <c r="K151" s="218"/>
      <c r="L151" s="218"/>
      <c r="M151" s="218"/>
      <c r="N151" s="218"/>
      <c r="O151" s="218"/>
      <c r="P151" s="218"/>
      <c r="Q151" s="219"/>
    </row>
    <row r="152" spans="2:17" x14ac:dyDescent="0.3">
      <c r="B152" s="217"/>
      <c r="C152" s="218"/>
      <c r="D152" s="218"/>
      <c r="E152" s="218"/>
      <c r="F152" s="218"/>
      <c r="G152" s="218"/>
      <c r="H152" s="218"/>
      <c r="I152" s="218"/>
      <c r="J152" s="218"/>
      <c r="K152" s="218"/>
      <c r="L152" s="218"/>
      <c r="M152" s="218"/>
      <c r="N152" s="218"/>
      <c r="O152" s="218"/>
      <c r="P152" s="218"/>
      <c r="Q152" s="219"/>
    </row>
    <row r="153" spans="2:17" x14ac:dyDescent="0.3">
      <c r="B153" s="220"/>
      <c r="C153" s="221"/>
      <c r="D153" s="221"/>
      <c r="E153" s="221"/>
      <c r="F153" s="221"/>
      <c r="G153" s="221"/>
      <c r="H153" s="221"/>
      <c r="I153" s="221"/>
      <c r="J153" s="221"/>
      <c r="K153" s="221"/>
      <c r="L153" s="221"/>
      <c r="M153" s="221"/>
      <c r="N153" s="221"/>
      <c r="O153" s="221"/>
      <c r="P153" s="221"/>
      <c r="Q153" s="222"/>
    </row>
    <row r="155" spans="2:17" x14ac:dyDescent="0.3">
      <c r="B155" s="28"/>
      <c r="C155" s="28"/>
      <c r="D155" s="28"/>
      <c r="E155" s="28"/>
      <c r="F155" s="28"/>
      <c r="G155" s="28"/>
      <c r="H155" s="28"/>
      <c r="I155" s="28"/>
      <c r="J155" s="28"/>
      <c r="K155" s="28"/>
      <c r="L155" s="28"/>
      <c r="M155" s="28"/>
      <c r="N155" s="28"/>
      <c r="O155" s="28"/>
      <c r="P155" s="28"/>
    </row>
    <row r="160" spans="2:17" ht="15" thickBot="1" x14ac:dyDescent="0.35"/>
    <row r="161" spans="2:17" ht="28.8" x14ac:dyDescent="0.3">
      <c r="B161" s="260" t="s">
        <v>106</v>
      </c>
      <c r="C161" s="261"/>
      <c r="D161" s="261"/>
      <c r="E161" s="261"/>
      <c r="F161" s="261"/>
      <c r="G161" s="261"/>
      <c r="H161" s="261"/>
      <c r="I161" s="261"/>
      <c r="J161" s="261"/>
      <c r="K161" s="261"/>
      <c r="L161" s="261"/>
      <c r="M161" s="261"/>
      <c r="N161" s="261"/>
      <c r="O161" s="261"/>
      <c r="P161" s="261"/>
    </row>
    <row r="162" spans="2:17" ht="28.8" x14ac:dyDescent="0.3">
      <c r="B162" s="68" t="s">
        <v>1</v>
      </c>
      <c r="C162" s="223" t="s">
        <v>2</v>
      </c>
      <c r="D162" s="223"/>
      <c r="E162" s="92" t="s">
        <v>3</v>
      </c>
      <c r="F162" s="92" t="s">
        <v>4</v>
      </c>
      <c r="G162" s="92" t="s">
        <v>5</v>
      </c>
      <c r="H162" s="92" t="s">
        <v>6</v>
      </c>
      <c r="I162" s="3" t="s">
        <v>50</v>
      </c>
      <c r="J162" s="3" t="s">
        <v>96</v>
      </c>
      <c r="K162" s="3" t="s">
        <v>52</v>
      </c>
      <c r="L162" s="3" t="s">
        <v>10</v>
      </c>
      <c r="M162" s="3" t="s">
        <v>11</v>
      </c>
      <c r="N162" s="3" t="s">
        <v>12</v>
      </c>
      <c r="O162" s="92" t="s">
        <v>13</v>
      </c>
      <c r="P162" s="92" t="s">
        <v>14</v>
      </c>
    </row>
    <row r="163" spans="2:17" x14ac:dyDescent="0.3">
      <c r="B163" s="210" t="s">
        <v>107</v>
      </c>
      <c r="C163" s="240" t="s">
        <v>108</v>
      </c>
      <c r="D163" s="88" t="s">
        <v>17</v>
      </c>
      <c r="E163" s="90">
        <v>1550</v>
      </c>
      <c r="F163" s="66">
        <v>340</v>
      </c>
      <c r="G163" s="66">
        <v>80</v>
      </c>
      <c r="H163" s="66">
        <v>18</v>
      </c>
      <c r="I163" s="66">
        <v>75</v>
      </c>
      <c r="J163" s="66">
        <v>75</v>
      </c>
      <c r="K163" s="67">
        <f>SUM(E163:J163)</f>
        <v>2138</v>
      </c>
      <c r="L163" s="66">
        <v>200</v>
      </c>
      <c r="M163" s="67">
        <f>SUM(K163:L163)</f>
        <v>2338</v>
      </c>
      <c r="N163" s="65" t="s">
        <v>99</v>
      </c>
      <c r="O163" s="180" t="s">
        <v>93</v>
      </c>
      <c r="P163" s="65" t="s">
        <v>109</v>
      </c>
    </row>
    <row r="164" spans="2:17" x14ac:dyDescent="0.3">
      <c r="B164" s="210"/>
      <c r="C164" s="240"/>
      <c r="D164" s="88" t="s">
        <v>22</v>
      </c>
      <c r="E164" s="90">
        <v>2700</v>
      </c>
      <c r="F164" s="66">
        <v>340</v>
      </c>
      <c r="G164" s="66">
        <v>80</v>
      </c>
      <c r="H164" s="66">
        <v>18</v>
      </c>
      <c r="I164" s="66">
        <v>75</v>
      </c>
      <c r="J164" s="66">
        <v>75</v>
      </c>
      <c r="K164" s="67">
        <f>SUM(E164:J164)</f>
        <v>3288</v>
      </c>
      <c r="L164" s="66">
        <v>200</v>
      </c>
      <c r="M164" s="67">
        <f>SUM(K164:L164)</f>
        <v>3488</v>
      </c>
      <c r="N164" s="65" t="s">
        <v>99</v>
      </c>
      <c r="O164" s="180" t="s">
        <v>93</v>
      </c>
      <c r="P164" s="65" t="s">
        <v>109</v>
      </c>
    </row>
    <row r="166" spans="2:17" ht="15.6" x14ac:dyDescent="0.3">
      <c r="B166" s="5" t="s">
        <v>32</v>
      </c>
      <c r="C166" s="6"/>
      <c r="D166" s="6"/>
      <c r="E166" s="6"/>
      <c r="F166" s="6"/>
      <c r="G166" s="6"/>
      <c r="H166" s="6"/>
      <c r="I166" s="6"/>
      <c r="J166" s="6"/>
      <c r="K166" s="6"/>
      <c r="L166" s="6"/>
      <c r="M166" s="6"/>
      <c r="N166" s="6"/>
      <c r="O166" s="6"/>
      <c r="P166" s="6"/>
      <c r="Q166" s="7"/>
    </row>
    <row r="167" spans="2:17" x14ac:dyDescent="0.3">
      <c r="B167" s="217" t="s">
        <v>33</v>
      </c>
      <c r="C167" s="218"/>
      <c r="D167" s="218"/>
      <c r="E167" s="218"/>
      <c r="F167" s="218"/>
      <c r="G167" s="218"/>
      <c r="H167" s="218"/>
      <c r="I167" s="218"/>
      <c r="J167" s="218"/>
      <c r="K167" s="218"/>
      <c r="L167" s="218"/>
      <c r="M167" s="218"/>
      <c r="N167" s="218"/>
      <c r="O167" s="218"/>
      <c r="P167" s="218"/>
      <c r="Q167" s="219"/>
    </row>
    <row r="168" spans="2:17" x14ac:dyDescent="0.3">
      <c r="B168" s="217"/>
      <c r="C168" s="218"/>
      <c r="D168" s="218"/>
      <c r="E168" s="218"/>
      <c r="F168" s="218"/>
      <c r="G168" s="218"/>
      <c r="H168" s="218"/>
      <c r="I168" s="218"/>
      <c r="J168" s="218"/>
      <c r="K168" s="218"/>
      <c r="L168" s="218"/>
      <c r="M168" s="218"/>
      <c r="N168" s="218"/>
      <c r="O168" s="218"/>
      <c r="P168" s="218"/>
      <c r="Q168" s="219"/>
    </row>
    <row r="169" spans="2:17" x14ac:dyDescent="0.3">
      <c r="B169" s="217"/>
      <c r="C169" s="218"/>
      <c r="D169" s="218"/>
      <c r="E169" s="218"/>
      <c r="F169" s="218"/>
      <c r="G169" s="218"/>
      <c r="H169" s="218"/>
      <c r="I169" s="218"/>
      <c r="J169" s="218"/>
      <c r="K169" s="218"/>
      <c r="L169" s="218"/>
      <c r="M169" s="218"/>
      <c r="N169" s="218"/>
      <c r="O169" s="218"/>
      <c r="P169" s="218"/>
      <c r="Q169" s="219"/>
    </row>
    <row r="170" spans="2:17" x14ac:dyDescent="0.3">
      <c r="B170" s="220"/>
      <c r="C170" s="221"/>
      <c r="D170" s="221"/>
      <c r="E170" s="221"/>
      <c r="F170" s="221"/>
      <c r="G170" s="221"/>
      <c r="H170" s="221"/>
      <c r="I170" s="221"/>
      <c r="J170" s="221"/>
      <c r="K170" s="221"/>
      <c r="L170" s="221"/>
      <c r="M170" s="221"/>
      <c r="N170" s="221"/>
      <c r="O170" s="221"/>
      <c r="P170" s="221"/>
      <c r="Q170" s="222"/>
    </row>
    <row r="171" spans="2:17" x14ac:dyDescent="0.3">
      <c r="B171" s="28"/>
      <c r="C171" s="28"/>
      <c r="D171" s="28"/>
      <c r="E171" s="28"/>
      <c r="F171" s="28"/>
      <c r="G171" s="28"/>
      <c r="H171" s="28"/>
      <c r="I171" s="28"/>
      <c r="J171" s="28"/>
      <c r="K171" s="28"/>
      <c r="L171" s="28"/>
      <c r="M171" s="28"/>
      <c r="N171" s="28"/>
      <c r="O171" s="28"/>
      <c r="P171" s="28"/>
      <c r="Q171" s="28"/>
    </row>
    <row r="172" spans="2:17" x14ac:dyDescent="0.3">
      <c r="B172" s="28"/>
      <c r="C172" s="28"/>
      <c r="D172" s="28"/>
      <c r="E172" s="28"/>
      <c r="F172" s="28"/>
      <c r="G172" s="28"/>
      <c r="H172" s="28"/>
      <c r="I172" s="28"/>
      <c r="J172" s="28"/>
      <c r="K172" s="28"/>
      <c r="L172" s="28"/>
      <c r="M172" s="28"/>
      <c r="N172" s="28"/>
      <c r="O172" s="28"/>
      <c r="P172" s="28"/>
      <c r="Q172" s="28"/>
    </row>
    <row r="174" spans="2:17" ht="28.8" x14ac:dyDescent="0.3">
      <c r="B174" s="256" t="s">
        <v>110</v>
      </c>
      <c r="C174" s="257"/>
      <c r="D174" s="257"/>
      <c r="E174" s="257"/>
      <c r="F174" s="257"/>
      <c r="G174" s="257"/>
      <c r="H174" s="257"/>
      <c r="I174" s="257"/>
      <c r="J174" s="257"/>
      <c r="K174" s="257"/>
      <c r="L174" s="257"/>
      <c r="M174" s="257"/>
      <c r="N174" s="257"/>
      <c r="O174" s="257"/>
    </row>
    <row r="175" spans="2:17" ht="72" x14ac:dyDescent="0.3">
      <c r="B175" s="68" t="s">
        <v>1</v>
      </c>
      <c r="C175" s="223" t="s">
        <v>2</v>
      </c>
      <c r="D175" s="223"/>
      <c r="E175" s="92" t="s">
        <v>3</v>
      </c>
      <c r="F175" s="3" t="s">
        <v>111</v>
      </c>
      <c r="G175" s="3" t="s">
        <v>112</v>
      </c>
      <c r="H175" s="3" t="s">
        <v>96</v>
      </c>
      <c r="I175" s="3" t="s">
        <v>113</v>
      </c>
      <c r="J175" s="3" t="s">
        <v>52</v>
      </c>
      <c r="K175" s="3" t="s">
        <v>10</v>
      </c>
      <c r="L175" s="3" t="s">
        <v>11</v>
      </c>
      <c r="M175" s="3" t="s">
        <v>12</v>
      </c>
      <c r="N175" s="92" t="s">
        <v>13</v>
      </c>
      <c r="O175" s="92" t="s">
        <v>14</v>
      </c>
    </row>
    <row r="176" spans="2:17" x14ac:dyDescent="0.3">
      <c r="B176" s="289" t="s">
        <v>114</v>
      </c>
      <c r="C176" s="240" t="s">
        <v>16</v>
      </c>
      <c r="D176" s="88" t="s">
        <v>17</v>
      </c>
      <c r="E176" s="114">
        <v>750</v>
      </c>
      <c r="F176" s="66">
        <v>65</v>
      </c>
      <c r="G176" s="66">
        <v>410</v>
      </c>
      <c r="H176" s="66">
        <v>60</v>
      </c>
      <c r="I176" s="159">
        <v>54.7</v>
      </c>
      <c r="J176" s="67">
        <f>SUM(E176:I176)</f>
        <v>1339.7</v>
      </c>
      <c r="K176" s="66">
        <v>200</v>
      </c>
      <c r="L176" s="67">
        <f>J176+K176</f>
        <v>1539.7</v>
      </c>
      <c r="M176" s="153" t="s">
        <v>115</v>
      </c>
      <c r="N176" s="180" t="s">
        <v>93</v>
      </c>
      <c r="O176" s="65" t="s">
        <v>21</v>
      </c>
    </row>
    <row r="177" spans="2:16" x14ac:dyDescent="0.3">
      <c r="B177" s="290"/>
      <c r="C177" s="240"/>
      <c r="D177" s="88" t="s">
        <v>22</v>
      </c>
      <c r="E177" s="114">
        <v>1200</v>
      </c>
      <c r="F177" s="66">
        <v>65</v>
      </c>
      <c r="G177" s="66">
        <v>410</v>
      </c>
      <c r="H177" s="66">
        <v>60</v>
      </c>
      <c r="I177" s="159">
        <v>54.7</v>
      </c>
      <c r="J177" s="67">
        <f>SUM(E177:I177)</f>
        <v>1789.7</v>
      </c>
      <c r="K177" s="66">
        <v>200</v>
      </c>
      <c r="L177" s="67">
        <f>J177+K177</f>
        <v>1989.7</v>
      </c>
      <c r="M177" s="153" t="s">
        <v>115</v>
      </c>
      <c r="N177" s="180" t="s">
        <v>93</v>
      </c>
      <c r="O177" s="65" t="s">
        <v>21</v>
      </c>
    </row>
    <row r="181" spans="2:16" x14ac:dyDescent="0.3">
      <c r="B181" s="28"/>
      <c r="C181" s="28"/>
      <c r="D181" s="28"/>
      <c r="E181" s="28"/>
      <c r="F181" s="28"/>
      <c r="G181" s="28"/>
      <c r="H181" s="28"/>
      <c r="I181" s="28"/>
      <c r="J181" s="28"/>
      <c r="K181" s="28"/>
      <c r="L181" s="28"/>
      <c r="M181" s="28"/>
      <c r="N181" s="28"/>
      <c r="O181" s="28"/>
      <c r="P181" s="28"/>
    </row>
    <row r="186" spans="2:16" ht="15" thickBot="1" x14ac:dyDescent="0.35"/>
    <row r="187" spans="2:16" ht="28.8" x14ac:dyDescent="0.3">
      <c r="B187" s="260" t="s">
        <v>116</v>
      </c>
      <c r="C187" s="261"/>
      <c r="D187" s="261"/>
      <c r="E187" s="261"/>
      <c r="F187" s="261"/>
      <c r="G187" s="261"/>
      <c r="H187" s="261"/>
      <c r="I187" s="261"/>
      <c r="J187" s="261"/>
      <c r="K187" s="261"/>
      <c r="L187" s="261"/>
      <c r="M187" s="261"/>
      <c r="N187" s="261"/>
      <c r="O187" s="261"/>
      <c r="P187" s="261"/>
    </row>
    <row r="188" spans="2:16" ht="28.8" x14ac:dyDescent="0.3">
      <c r="B188" s="68" t="s">
        <v>1</v>
      </c>
      <c r="C188" s="223" t="s">
        <v>2</v>
      </c>
      <c r="D188" s="223"/>
      <c r="E188" s="92" t="s">
        <v>3</v>
      </c>
      <c r="F188" s="92" t="s">
        <v>4</v>
      </c>
      <c r="G188" s="92" t="s">
        <v>5</v>
      </c>
      <c r="H188" s="92" t="s">
        <v>117</v>
      </c>
      <c r="I188" s="3" t="s">
        <v>50</v>
      </c>
      <c r="J188" s="3" t="s">
        <v>96</v>
      </c>
      <c r="K188" s="3" t="s">
        <v>52</v>
      </c>
      <c r="L188" s="3" t="s">
        <v>10</v>
      </c>
      <c r="M188" s="3" t="s">
        <v>11</v>
      </c>
      <c r="N188" s="3" t="s">
        <v>12</v>
      </c>
      <c r="O188" s="92" t="s">
        <v>13</v>
      </c>
      <c r="P188" s="92" t="s">
        <v>14</v>
      </c>
    </row>
    <row r="189" spans="2:16" x14ac:dyDescent="0.3">
      <c r="B189" s="210" t="s">
        <v>118</v>
      </c>
      <c r="C189" s="240" t="s">
        <v>98</v>
      </c>
      <c r="D189" s="88" t="s">
        <v>17</v>
      </c>
      <c r="E189" s="90">
        <v>1700</v>
      </c>
      <c r="F189" s="66">
        <v>340</v>
      </c>
      <c r="G189" s="66">
        <v>97.87</v>
      </c>
      <c r="H189" s="66">
        <v>55</v>
      </c>
      <c r="I189" s="66" t="s">
        <v>119</v>
      </c>
      <c r="J189" s="66" t="s">
        <v>119</v>
      </c>
      <c r="K189" s="67">
        <f>SUM(E189:J189)</f>
        <v>2192.87</v>
      </c>
      <c r="L189" s="66">
        <v>200</v>
      </c>
      <c r="M189" s="67">
        <f>SUM(K189:L189)</f>
        <v>2392.87</v>
      </c>
      <c r="N189" s="179" t="s">
        <v>120</v>
      </c>
      <c r="O189" s="180" t="s">
        <v>93</v>
      </c>
      <c r="P189" s="65" t="s">
        <v>69</v>
      </c>
    </row>
    <row r="190" spans="2:16" x14ac:dyDescent="0.3">
      <c r="B190" s="210"/>
      <c r="C190" s="240"/>
      <c r="D190" s="88" t="s">
        <v>22</v>
      </c>
      <c r="E190" s="90">
        <v>2050</v>
      </c>
      <c r="F190" s="66">
        <v>340</v>
      </c>
      <c r="G190" s="66">
        <v>97.87</v>
      </c>
      <c r="H190" s="66">
        <v>55</v>
      </c>
      <c r="I190" s="66" t="s">
        <v>119</v>
      </c>
      <c r="J190" s="66" t="s">
        <v>119</v>
      </c>
      <c r="K190" s="67">
        <f>SUM(E190:J190)</f>
        <v>2542.87</v>
      </c>
      <c r="L190" s="66">
        <v>200</v>
      </c>
      <c r="M190" s="67">
        <f>SUM(K190:L190)</f>
        <v>2742.87</v>
      </c>
      <c r="N190" s="179" t="s">
        <v>120</v>
      </c>
      <c r="O190" s="180" t="s">
        <v>93</v>
      </c>
      <c r="P190" s="65" t="s">
        <v>69</v>
      </c>
    </row>
    <row r="1048572" spans="3:3" x14ac:dyDescent="0.3">
      <c r="C1048572" s="96"/>
    </row>
  </sheetData>
  <mergeCells count="123">
    <mergeCell ref="B174:O174"/>
    <mergeCell ref="B187:P187"/>
    <mergeCell ref="C188:D188"/>
    <mergeCell ref="B189:B190"/>
    <mergeCell ref="C189:C190"/>
    <mergeCell ref="C175:D175"/>
    <mergeCell ref="B176:B177"/>
    <mergeCell ref="C176:C177"/>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79:C80"/>
    <mergeCell ref="C20:C21"/>
    <mergeCell ref="B24:P27"/>
    <mergeCell ref="O41:P41"/>
    <mergeCell ref="B44:Q47"/>
    <mergeCell ref="B57:S57"/>
    <mergeCell ref="C58:D58"/>
    <mergeCell ref="R58:S58"/>
    <mergeCell ref="B61:B62"/>
    <mergeCell ref="C61:C62"/>
    <mergeCell ref="R75:S80"/>
    <mergeCell ref="B75:B76"/>
    <mergeCell ref="C75:C76"/>
    <mergeCell ref="B77:B78"/>
    <mergeCell ref="C77:C78"/>
    <mergeCell ref="B59:B60"/>
    <mergeCell ref="C59:C60"/>
    <mergeCell ref="R59:S62"/>
    <mergeCell ref="R73:S74"/>
    <mergeCell ref="B63:B64"/>
    <mergeCell ref="C63:C64"/>
    <mergeCell ref="B65:B66"/>
    <mergeCell ref="C65:C66"/>
    <mergeCell ref="R65:S66"/>
    <mergeCell ref="R63:S64"/>
    <mergeCell ref="R67:S68"/>
    <mergeCell ref="B71:B72"/>
    <mergeCell ref="C71:C72"/>
    <mergeCell ref="B73:B74"/>
    <mergeCell ref="C73:C74"/>
    <mergeCell ref="R69:S72"/>
    <mergeCell ref="B67:B68"/>
    <mergeCell ref="C67:C68"/>
    <mergeCell ref="B69:B70"/>
    <mergeCell ref="C69:C70"/>
    <mergeCell ref="B85:S85"/>
    <mergeCell ref="C86:D86"/>
    <mergeCell ref="R86:S86"/>
    <mergeCell ref="B87:B88"/>
    <mergeCell ref="C87:C88"/>
    <mergeCell ref="B79:B80"/>
    <mergeCell ref="R87:S88"/>
    <mergeCell ref="B81:S81"/>
    <mergeCell ref="C82:D82"/>
    <mergeCell ref="R82:S82"/>
    <mergeCell ref="B83:B84"/>
    <mergeCell ref="C83:C84"/>
    <mergeCell ref="R83:S84"/>
    <mergeCell ref="B93:S93"/>
    <mergeCell ref="C94:D94"/>
    <mergeCell ref="R94:S94"/>
    <mergeCell ref="B89:S89"/>
    <mergeCell ref="B95:B96"/>
    <mergeCell ref="C95:C96"/>
    <mergeCell ref="R95:S96"/>
    <mergeCell ref="C90:D90"/>
    <mergeCell ref="R90:S90"/>
    <mergeCell ref="B91:B92"/>
    <mergeCell ref="C91:C92"/>
    <mergeCell ref="R91:S92"/>
    <mergeCell ref="C121:C122"/>
    <mergeCell ref="O121:Q122"/>
    <mergeCell ref="B101:S101"/>
    <mergeCell ref="C102:D102"/>
    <mergeCell ref="R102:S102"/>
    <mergeCell ref="B103:B104"/>
    <mergeCell ref="C103:C104"/>
    <mergeCell ref="R103:S104"/>
    <mergeCell ref="B97:S97"/>
    <mergeCell ref="C98:D98"/>
    <mergeCell ref="R98:S98"/>
    <mergeCell ref="B99:B100"/>
    <mergeCell ref="C99:C100"/>
    <mergeCell ref="R99:S100"/>
    <mergeCell ref="O40:P40"/>
    <mergeCell ref="B161:P161"/>
    <mergeCell ref="C162:D162"/>
    <mergeCell ref="B163:B164"/>
    <mergeCell ref="C163:C164"/>
    <mergeCell ref="B167:Q170"/>
    <mergeCell ref="C143:D143"/>
    <mergeCell ref="B146:B147"/>
    <mergeCell ref="C146:C147"/>
    <mergeCell ref="B150:Q153"/>
    <mergeCell ref="B125:Q128"/>
    <mergeCell ref="B135:P135"/>
    <mergeCell ref="C136:D136"/>
    <mergeCell ref="B138:B139"/>
    <mergeCell ref="C138:C139"/>
    <mergeCell ref="B142:P142"/>
    <mergeCell ref="B144:B145"/>
    <mergeCell ref="C144:C145"/>
    <mergeCell ref="B106:S106"/>
    <mergeCell ref="B107:S110"/>
    <mergeCell ref="B119:P119"/>
    <mergeCell ref="C120:D120"/>
    <mergeCell ref="O120:Q120"/>
    <mergeCell ref="B121:B12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5"/>
  <sheetViews>
    <sheetView topLeftCell="D16" zoomScale="101" zoomScaleNormal="100" zoomScaleSheetLayoutView="100" workbookViewId="0">
      <selection activeCell="U16" sqref="U1:U1048576"/>
    </sheetView>
  </sheetViews>
  <sheetFormatPr defaultColWidth="8.5546875" defaultRowHeight="14.4" x14ac:dyDescent="0.3"/>
  <cols>
    <col min="1" max="1" width="8.88671875" style="17" customWidth="1"/>
    <col min="2" max="2" width="41.6640625" style="17" customWidth="1"/>
    <col min="3" max="3" width="11.6640625" style="26" bestFit="1" customWidth="1"/>
    <col min="4" max="4" width="7.109375" style="17" bestFit="1" customWidth="1"/>
    <col min="5" max="5" width="12.33203125" style="17" customWidth="1"/>
    <col min="6" max="6" width="13.5546875" style="17" customWidth="1"/>
    <col min="7" max="7" width="11.6640625" style="17" customWidth="1"/>
    <col min="8" max="8" width="14.44140625" style="17" bestFit="1" customWidth="1"/>
    <col min="9" max="9" width="14.44140625" style="17" customWidth="1"/>
    <col min="10" max="10" width="16" style="17" bestFit="1" customWidth="1"/>
    <col min="11" max="11" width="13.5546875" style="17" customWidth="1"/>
    <col min="12" max="12" width="16.109375" style="17" customWidth="1"/>
    <col min="13" max="13" width="11.33203125" style="17" customWidth="1"/>
    <col min="14" max="14" width="12.109375" style="17" customWidth="1"/>
    <col min="15" max="15" width="11.33203125" style="17" bestFit="1" customWidth="1"/>
    <col min="16" max="16" width="33.5546875" style="17" customWidth="1"/>
    <col min="17" max="17" width="10.44140625" style="17" customWidth="1"/>
    <col min="18" max="18" width="10.33203125" style="17" customWidth="1"/>
    <col min="19" max="19" width="14.44140625" style="17" customWidth="1"/>
    <col min="20" max="20" width="9.33203125" style="17" customWidth="1"/>
    <col min="21" max="16384" width="8.5546875" style="17"/>
  </cols>
  <sheetData>
    <row r="9" spans="2:17" ht="28.8" x14ac:dyDescent="0.3">
      <c r="B9" s="257" t="s">
        <v>121</v>
      </c>
      <c r="C9" s="257"/>
      <c r="D9" s="257"/>
      <c r="E9" s="257"/>
      <c r="F9" s="257"/>
      <c r="G9" s="257"/>
      <c r="H9" s="257"/>
      <c r="I9" s="257"/>
      <c r="J9" s="257"/>
      <c r="K9" s="257"/>
      <c r="L9" s="257"/>
      <c r="M9" s="257"/>
      <c r="N9" s="257"/>
      <c r="O9" s="257"/>
      <c r="P9" s="257"/>
      <c r="Q9" s="257"/>
    </row>
    <row r="10" spans="2:17" ht="28.8" x14ac:dyDescent="0.3">
      <c r="B10" s="1" t="s">
        <v>1</v>
      </c>
      <c r="C10" s="232" t="s">
        <v>2</v>
      </c>
      <c r="D10" s="232"/>
      <c r="E10" s="8" t="s">
        <v>3</v>
      </c>
      <c r="F10" s="9" t="s">
        <v>4</v>
      </c>
      <c r="G10" s="9" t="s">
        <v>5</v>
      </c>
      <c r="H10" s="9" t="s">
        <v>6</v>
      </c>
      <c r="I10" s="79" t="s">
        <v>7</v>
      </c>
      <c r="J10" s="79" t="s">
        <v>122</v>
      </c>
      <c r="K10" s="2" t="s">
        <v>9</v>
      </c>
      <c r="L10" s="2" t="s">
        <v>10</v>
      </c>
      <c r="M10" s="2" t="s">
        <v>11</v>
      </c>
      <c r="N10" s="8" t="s">
        <v>12</v>
      </c>
      <c r="O10" s="9" t="s">
        <v>13</v>
      </c>
      <c r="P10" s="10" t="s">
        <v>14</v>
      </c>
      <c r="Q10" s="15" t="s">
        <v>123</v>
      </c>
    </row>
    <row r="11" spans="2:17" x14ac:dyDescent="0.3">
      <c r="B11" s="241" t="s">
        <v>15</v>
      </c>
      <c r="C11" s="241" t="s">
        <v>114</v>
      </c>
      <c r="D11" s="41" t="s">
        <v>17</v>
      </c>
      <c r="E11" s="122">
        <f>(2025)+550</f>
        <v>2575</v>
      </c>
      <c r="F11" s="122">
        <v>175</v>
      </c>
      <c r="G11" s="122">
        <v>75</v>
      </c>
      <c r="H11" s="122">
        <v>14</v>
      </c>
      <c r="I11" s="122">
        <v>50</v>
      </c>
      <c r="J11" s="122">
        <v>250</v>
      </c>
      <c r="K11" s="170">
        <f t="shared" ref="K11:K18" si="0">SUM(D11:J11)</f>
        <v>3139</v>
      </c>
      <c r="L11" s="44">
        <v>200</v>
      </c>
      <c r="M11" s="43">
        <f t="shared" ref="M11:M18" si="1">K11+L11</f>
        <v>3339</v>
      </c>
      <c r="N11" s="45" t="s">
        <v>124</v>
      </c>
      <c r="O11" s="184" t="s">
        <v>20</v>
      </c>
      <c r="P11" s="39" t="s">
        <v>23</v>
      </c>
      <c r="Q11" s="39" t="s">
        <v>125</v>
      </c>
    </row>
    <row r="12" spans="2:17" x14ac:dyDescent="0.3">
      <c r="B12" s="241"/>
      <c r="C12" s="241"/>
      <c r="D12" s="41" t="s">
        <v>22</v>
      </c>
      <c r="E12" s="122">
        <f>(3450)+680</f>
        <v>4130</v>
      </c>
      <c r="F12" s="122">
        <v>225</v>
      </c>
      <c r="G12" s="122">
        <v>75</v>
      </c>
      <c r="H12" s="122">
        <v>14</v>
      </c>
      <c r="I12" s="122">
        <v>50</v>
      </c>
      <c r="J12" s="122">
        <v>500</v>
      </c>
      <c r="K12" s="170">
        <f t="shared" si="0"/>
        <v>4994</v>
      </c>
      <c r="L12" s="44">
        <v>200</v>
      </c>
      <c r="M12" s="43">
        <f t="shared" si="1"/>
        <v>5194</v>
      </c>
      <c r="N12" s="45" t="s">
        <v>124</v>
      </c>
      <c r="O12" s="184" t="s">
        <v>20</v>
      </c>
      <c r="P12" s="39" t="s">
        <v>23</v>
      </c>
      <c r="Q12" s="39" t="s">
        <v>125</v>
      </c>
    </row>
    <row r="13" spans="2:17" x14ac:dyDescent="0.3">
      <c r="B13" s="241" t="s">
        <v>24</v>
      </c>
      <c r="C13" s="241" t="s">
        <v>114</v>
      </c>
      <c r="D13" s="41" t="s">
        <v>17</v>
      </c>
      <c r="E13" s="122">
        <f>(2575)+560</f>
        <v>3135</v>
      </c>
      <c r="F13" s="122">
        <v>175</v>
      </c>
      <c r="G13" s="122">
        <v>75</v>
      </c>
      <c r="H13" s="122">
        <v>14</v>
      </c>
      <c r="I13" s="122">
        <v>50</v>
      </c>
      <c r="J13" s="122">
        <v>250</v>
      </c>
      <c r="K13" s="170">
        <f t="shared" si="0"/>
        <v>3699</v>
      </c>
      <c r="L13" s="44">
        <v>200</v>
      </c>
      <c r="M13" s="43">
        <f t="shared" si="1"/>
        <v>3899</v>
      </c>
      <c r="N13" s="45" t="s">
        <v>92</v>
      </c>
      <c r="O13" s="184" t="s">
        <v>20</v>
      </c>
      <c r="P13" s="39" t="s">
        <v>23</v>
      </c>
      <c r="Q13" s="39" t="s">
        <v>125</v>
      </c>
    </row>
    <row r="14" spans="2:17" x14ac:dyDescent="0.3">
      <c r="B14" s="241"/>
      <c r="C14" s="241"/>
      <c r="D14" s="41" t="s">
        <v>22</v>
      </c>
      <c r="E14" s="122">
        <f>(3875)+600</f>
        <v>4475</v>
      </c>
      <c r="F14" s="122">
        <v>225</v>
      </c>
      <c r="G14" s="122">
        <v>75</v>
      </c>
      <c r="H14" s="122">
        <v>14</v>
      </c>
      <c r="I14" s="122">
        <v>50</v>
      </c>
      <c r="J14" s="122">
        <v>500</v>
      </c>
      <c r="K14" s="170">
        <f t="shared" si="0"/>
        <v>5339</v>
      </c>
      <c r="L14" s="44">
        <v>200</v>
      </c>
      <c r="M14" s="43">
        <f t="shared" si="1"/>
        <v>5539</v>
      </c>
      <c r="N14" s="45" t="s">
        <v>92</v>
      </c>
      <c r="O14" s="184" t="s">
        <v>20</v>
      </c>
      <c r="P14" s="39" t="s">
        <v>23</v>
      </c>
      <c r="Q14" s="39" t="s">
        <v>125</v>
      </c>
    </row>
    <row r="15" spans="2:17" x14ac:dyDescent="0.3">
      <c r="B15" s="301" t="s">
        <v>26</v>
      </c>
      <c r="C15" s="241" t="s">
        <v>114</v>
      </c>
      <c r="D15" s="41" t="s">
        <v>17</v>
      </c>
      <c r="E15" s="122">
        <f>(3045)+550</f>
        <v>3595</v>
      </c>
      <c r="F15" s="122">
        <v>175</v>
      </c>
      <c r="G15" s="122">
        <v>75</v>
      </c>
      <c r="H15" s="122">
        <v>14</v>
      </c>
      <c r="I15" s="122">
        <v>50</v>
      </c>
      <c r="J15" s="122">
        <v>250</v>
      </c>
      <c r="K15" s="170">
        <f t="shared" si="0"/>
        <v>4159</v>
      </c>
      <c r="L15" s="44">
        <v>200</v>
      </c>
      <c r="M15" s="43">
        <f t="shared" si="1"/>
        <v>4359</v>
      </c>
      <c r="N15" s="45" t="s">
        <v>126</v>
      </c>
      <c r="O15" s="184" t="s">
        <v>20</v>
      </c>
      <c r="P15" s="39" t="s">
        <v>23</v>
      </c>
      <c r="Q15" s="39" t="s">
        <v>125</v>
      </c>
    </row>
    <row r="16" spans="2:17" x14ac:dyDescent="0.3">
      <c r="B16" s="301"/>
      <c r="C16" s="241"/>
      <c r="D16" s="41" t="s">
        <v>22</v>
      </c>
      <c r="E16" s="122">
        <f>(4450)+680</f>
        <v>5130</v>
      </c>
      <c r="F16" s="122">
        <v>225</v>
      </c>
      <c r="G16" s="122">
        <v>75</v>
      </c>
      <c r="H16" s="122">
        <v>14</v>
      </c>
      <c r="I16" s="122">
        <v>50</v>
      </c>
      <c r="J16" s="122">
        <v>500</v>
      </c>
      <c r="K16" s="170">
        <f t="shared" si="0"/>
        <v>5994</v>
      </c>
      <c r="L16" s="44">
        <v>200</v>
      </c>
      <c r="M16" s="43">
        <f t="shared" si="1"/>
        <v>6194</v>
      </c>
      <c r="N16" s="45" t="s">
        <v>126</v>
      </c>
      <c r="O16" s="184" t="s">
        <v>20</v>
      </c>
      <c r="P16" s="39" t="s">
        <v>23</v>
      </c>
      <c r="Q16" s="39" t="s">
        <v>125</v>
      </c>
    </row>
    <row r="17" spans="2:18" x14ac:dyDescent="0.3">
      <c r="B17" s="241" t="s">
        <v>127</v>
      </c>
      <c r="C17" s="241" t="s">
        <v>114</v>
      </c>
      <c r="D17" s="41" t="s">
        <v>17</v>
      </c>
      <c r="E17" s="122">
        <f>(3575)+550</f>
        <v>4125</v>
      </c>
      <c r="F17" s="122">
        <v>175</v>
      </c>
      <c r="G17" s="122">
        <v>75</v>
      </c>
      <c r="H17" s="122">
        <v>14</v>
      </c>
      <c r="I17" s="122">
        <v>50</v>
      </c>
      <c r="J17" s="122">
        <v>250</v>
      </c>
      <c r="K17" s="170">
        <f t="shared" si="0"/>
        <v>4689</v>
      </c>
      <c r="L17" s="44">
        <v>200</v>
      </c>
      <c r="M17" s="43">
        <f t="shared" si="1"/>
        <v>4889</v>
      </c>
      <c r="N17" s="45" t="s">
        <v>128</v>
      </c>
      <c r="O17" s="184" t="s">
        <v>20</v>
      </c>
      <c r="P17" s="39" t="s">
        <v>23</v>
      </c>
      <c r="Q17" s="39" t="s">
        <v>125</v>
      </c>
    </row>
    <row r="18" spans="2:18" x14ac:dyDescent="0.3">
      <c r="B18" s="241"/>
      <c r="C18" s="241"/>
      <c r="D18" s="41" t="s">
        <v>22</v>
      </c>
      <c r="E18" s="122">
        <f>(3775)+680</f>
        <v>4455</v>
      </c>
      <c r="F18" s="122">
        <v>225</v>
      </c>
      <c r="G18" s="122">
        <v>75</v>
      </c>
      <c r="H18" s="122">
        <v>14</v>
      </c>
      <c r="I18" s="122">
        <v>50</v>
      </c>
      <c r="J18" s="122">
        <v>500</v>
      </c>
      <c r="K18" s="170">
        <f t="shared" si="0"/>
        <v>5319</v>
      </c>
      <c r="L18" s="44">
        <v>200</v>
      </c>
      <c r="M18" s="43">
        <f t="shared" si="1"/>
        <v>5519</v>
      </c>
      <c r="N18" s="45" t="s">
        <v>128</v>
      </c>
      <c r="O18" s="184" t="s">
        <v>20</v>
      </c>
      <c r="P18" s="39" t="s">
        <v>23</v>
      </c>
      <c r="Q18" s="39" t="s">
        <v>125</v>
      </c>
    </row>
    <row r="19" spans="2:18" x14ac:dyDescent="0.3">
      <c r="B19" s="25"/>
      <c r="C19" s="25"/>
      <c r="E19" s="54"/>
      <c r="F19" s="50"/>
      <c r="G19" s="50"/>
      <c r="H19" s="50"/>
      <c r="I19" s="50"/>
      <c r="J19" s="51"/>
      <c r="K19" s="51"/>
      <c r="L19" s="51"/>
      <c r="M19" s="51"/>
      <c r="N19" s="49"/>
      <c r="O19" s="51"/>
      <c r="P19" s="52"/>
      <c r="Q19" s="27"/>
    </row>
    <row r="20" spans="2:18" ht="15.6" x14ac:dyDescent="0.3">
      <c r="B20" s="306" t="s">
        <v>32</v>
      </c>
      <c r="C20" s="307"/>
      <c r="D20" s="307"/>
      <c r="E20" s="307"/>
      <c r="F20" s="307"/>
      <c r="G20" s="307"/>
      <c r="H20" s="307"/>
      <c r="I20" s="307"/>
      <c r="J20" s="307"/>
      <c r="K20" s="307"/>
      <c r="L20" s="307"/>
      <c r="M20" s="307"/>
      <c r="N20" s="307"/>
      <c r="O20" s="307"/>
      <c r="P20" s="307"/>
      <c r="Q20" s="307"/>
      <c r="R20" s="308"/>
    </row>
    <row r="21" spans="2:18" ht="14.4" customHeight="1" x14ac:dyDescent="0.3">
      <c r="B21" s="196" t="s">
        <v>33</v>
      </c>
      <c r="C21" s="197"/>
      <c r="D21" s="197"/>
      <c r="E21" s="197"/>
      <c r="F21" s="197"/>
      <c r="G21" s="197"/>
      <c r="H21" s="197"/>
      <c r="I21" s="197"/>
      <c r="J21" s="197"/>
      <c r="K21" s="197"/>
      <c r="L21" s="197"/>
      <c r="M21" s="197"/>
      <c r="N21" s="197"/>
      <c r="O21" s="197"/>
      <c r="P21" s="197"/>
      <c r="Q21" s="197"/>
      <c r="R21" s="198"/>
    </row>
    <row r="22" spans="2:18" x14ac:dyDescent="0.3">
      <c r="B22" s="199"/>
      <c r="C22" s="200"/>
      <c r="D22" s="200"/>
      <c r="E22" s="200"/>
      <c r="F22" s="200"/>
      <c r="G22" s="200"/>
      <c r="H22" s="200"/>
      <c r="I22" s="200"/>
      <c r="J22" s="200"/>
      <c r="K22" s="200"/>
      <c r="L22" s="200"/>
      <c r="M22" s="200"/>
      <c r="N22" s="200"/>
      <c r="O22" s="200"/>
      <c r="P22" s="200"/>
      <c r="Q22" s="200"/>
      <c r="R22" s="201"/>
    </row>
    <row r="23" spans="2:18" x14ac:dyDescent="0.3">
      <c r="B23" s="199"/>
      <c r="C23" s="200"/>
      <c r="D23" s="200"/>
      <c r="E23" s="200"/>
      <c r="F23" s="200"/>
      <c r="G23" s="200"/>
      <c r="H23" s="200"/>
      <c r="I23" s="200"/>
      <c r="J23" s="200"/>
      <c r="K23" s="200"/>
      <c r="L23" s="200"/>
      <c r="M23" s="200"/>
      <c r="N23" s="200"/>
      <c r="O23" s="200"/>
      <c r="P23" s="200"/>
      <c r="Q23" s="200"/>
      <c r="R23" s="201"/>
    </row>
    <row r="24" spans="2:18" x14ac:dyDescent="0.3">
      <c r="B24" s="202"/>
      <c r="C24" s="203"/>
      <c r="D24" s="203"/>
      <c r="E24" s="203"/>
      <c r="F24" s="203"/>
      <c r="G24" s="203"/>
      <c r="H24" s="203"/>
      <c r="I24" s="203"/>
      <c r="J24" s="203"/>
      <c r="K24" s="203"/>
      <c r="L24" s="203"/>
      <c r="M24" s="203"/>
      <c r="N24" s="203"/>
      <c r="O24" s="203"/>
      <c r="P24" s="203"/>
      <c r="Q24" s="203"/>
      <c r="R24" s="204"/>
    </row>
    <row r="25" spans="2:18" x14ac:dyDescent="0.3">
      <c r="B25" s="25"/>
      <c r="C25" s="25"/>
      <c r="E25" s="54"/>
      <c r="F25" s="50"/>
      <c r="G25" s="50"/>
      <c r="H25" s="50"/>
      <c r="I25" s="50"/>
      <c r="J25" s="51"/>
      <c r="K25" s="51"/>
      <c r="L25" s="51"/>
      <c r="M25" s="51"/>
      <c r="N25" s="49"/>
      <c r="O25" s="51"/>
      <c r="P25" s="52"/>
      <c r="Q25" s="27"/>
    </row>
    <row r="26" spans="2:18" x14ac:dyDescent="0.3">
      <c r="B26" s="25"/>
      <c r="C26" s="25"/>
      <c r="E26" s="54"/>
      <c r="F26" s="50"/>
      <c r="G26" s="50"/>
      <c r="H26" s="50"/>
      <c r="I26" s="50"/>
      <c r="J26" s="51"/>
      <c r="K26" s="51"/>
      <c r="L26" s="51"/>
      <c r="M26" s="51"/>
      <c r="N26" s="49"/>
      <c r="O26" s="51"/>
      <c r="P26" s="52"/>
      <c r="Q26" s="27"/>
    </row>
    <row r="27" spans="2:18" x14ac:dyDescent="0.3">
      <c r="B27" s="25"/>
      <c r="C27" s="25"/>
      <c r="E27" s="54"/>
      <c r="F27" s="50"/>
      <c r="G27" s="50"/>
      <c r="H27" s="50"/>
      <c r="I27" s="50"/>
      <c r="J27" s="51"/>
      <c r="K27" s="51"/>
      <c r="L27" s="51"/>
      <c r="M27" s="51"/>
      <c r="N27" s="49"/>
      <c r="O27" s="51"/>
      <c r="P27" s="52"/>
      <c r="Q27" s="27"/>
    </row>
    <row r="28" spans="2:18" x14ac:dyDescent="0.3">
      <c r="B28" s="25"/>
      <c r="C28" s="25"/>
      <c r="E28" s="54"/>
      <c r="F28" s="50"/>
      <c r="G28" s="50"/>
      <c r="H28" s="50"/>
      <c r="I28" s="50"/>
      <c r="J28" s="51"/>
      <c r="K28" s="51"/>
      <c r="L28" s="51"/>
      <c r="M28" s="51"/>
      <c r="N28" s="49"/>
      <c r="O28" s="51"/>
      <c r="P28" s="52"/>
      <c r="Q28" s="27"/>
    </row>
    <row r="29" spans="2:18" x14ac:dyDescent="0.3">
      <c r="B29" s="25"/>
      <c r="C29" s="25"/>
      <c r="E29" s="54"/>
      <c r="F29" s="50"/>
      <c r="G29" s="50"/>
      <c r="H29" s="50"/>
      <c r="I29" s="50"/>
      <c r="J29" s="51"/>
      <c r="K29" s="51"/>
      <c r="L29" s="51"/>
      <c r="M29" s="51"/>
      <c r="N29" s="49"/>
      <c r="O29" s="51"/>
      <c r="P29" s="52"/>
      <c r="Q29" s="27"/>
    </row>
    <row r="30" spans="2:18" x14ac:dyDescent="0.3">
      <c r="B30" s="25"/>
      <c r="C30" s="25"/>
      <c r="E30" s="54"/>
      <c r="F30" s="50"/>
      <c r="G30" s="50"/>
      <c r="H30" s="50"/>
      <c r="I30" s="50"/>
      <c r="J30" s="51"/>
      <c r="K30" s="51"/>
      <c r="L30" s="51"/>
      <c r="M30" s="51"/>
      <c r="N30" s="49"/>
      <c r="O30" s="51"/>
      <c r="P30" s="52"/>
      <c r="Q30" s="27"/>
    </row>
    <row r="31" spans="2:18" x14ac:dyDescent="0.3">
      <c r="B31" s="25"/>
      <c r="C31" s="25"/>
      <c r="E31" s="54"/>
      <c r="F31" s="50"/>
      <c r="G31" s="50"/>
      <c r="H31" s="50"/>
      <c r="I31" s="50"/>
      <c r="J31" s="51"/>
      <c r="K31" s="51"/>
      <c r="L31" s="51"/>
      <c r="M31" s="51"/>
      <c r="N31" s="49"/>
      <c r="O31" s="51"/>
      <c r="P31" s="52"/>
      <c r="Q31" s="27"/>
    </row>
    <row r="32" spans="2:18" x14ac:dyDescent="0.3">
      <c r="B32" s="25"/>
      <c r="C32" s="25"/>
      <c r="E32" s="54"/>
      <c r="F32" s="50"/>
      <c r="G32" s="50"/>
      <c r="H32" s="50"/>
      <c r="I32" s="50"/>
      <c r="J32" s="51"/>
      <c r="K32" s="51"/>
      <c r="L32" s="51"/>
      <c r="M32" s="51"/>
      <c r="N32" s="49"/>
      <c r="O32" s="51"/>
      <c r="P32" s="52"/>
      <c r="Q32" s="27"/>
    </row>
    <row r="33" spans="2:19" x14ac:dyDescent="0.3">
      <c r="B33" s="25"/>
      <c r="C33" s="25"/>
      <c r="E33" s="54"/>
      <c r="F33" s="50"/>
      <c r="G33" s="50"/>
      <c r="H33" s="50"/>
      <c r="I33" s="50"/>
      <c r="J33" s="51"/>
      <c r="K33" s="51"/>
      <c r="L33" s="51"/>
      <c r="M33" s="51"/>
      <c r="N33" s="49"/>
      <c r="O33" s="51"/>
      <c r="P33" s="52"/>
      <c r="Q33" s="27"/>
    </row>
    <row r="34" spans="2:19" ht="28.8" x14ac:dyDescent="0.3">
      <c r="B34" s="303" t="s">
        <v>129</v>
      </c>
      <c r="C34" s="303"/>
      <c r="D34" s="303"/>
      <c r="E34" s="303"/>
      <c r="F34" s="303"/>
      <c r="G34" s="303"/>
      <c r="H34" s="303"/>
      <c r="I34" s="303"/>
      <c r="J34" s="303"/>
      <c r="K34" s="303"/>
      <c r="L34" s="303"/>
      <c r="M34" s="303"/>
      <c r="N34" s="303"/>
      <c r="O34" s="303"/>
      <c r="P34" s="303"/>
      <c r="Q34" s="303"/>
      <c r="R34" s="303"/>
    </row>
    <row r="35" spans="2:19" ht="28.8" x14ac:dyDescent="0.3">
      <c r="B35" s="1" t="s">
        <v>1</v>
      </c>
      <c r="C35" s="232" t="s">
        <v>2</v>
      </c>
      <c r="D35" s="232"/>
      <c r="E35" s="98" t="s">
        <v>130</v>
      </c>
      <c r="F35" s="98" t="s">
        <v>131</v>
      </c>
      <c r="G35" s="11" t="s">
        <v>90</v>
      </c>
      <c r="H35" s="98" t="s">
        <v>6</v>
      </c>
      <c r="I35" s="2" t="s">
        <v>9</v>
      </c>
      <c r="J35" s="2" t="s">
        <v>10</v>
      </c>
      <c r="K35" s="2" t="s">
        <v>11</v>
      </c>
      <c r="L35" s="8" t="s">
        <v>12</v>
      </c>
      <c r="M35" s="9" t="s">
        <v>13</v>
      </c>
      <c r="N35" s="9" t="s">
        <v>14</v>
      </c>
      <c r="O35" s="95" t="s">
        <v>123</v>
      </c>
      <c r="P35" s="223" t="s">
        <v>36</v>
      </c>
      <c r="Q35" s="223"/>
      <c r="R35" s="223"/>
    </row>
    <row r="36" spans="2:19" ht="14.4" customHeight="1" x14ac:dyDescent="0.3">
      <c r="B36" s="304" t="s">
        <v>132</v>
      </c>
      <c r="C36" s="241" t="s">
        <v>114</v>
      </c>
      <c r="D36" s="41" t="s">
        <v>17</v>
      </c>
      <c r="E36" s="122">
        <f>CEILING((((6425+75)*1.15)),50)</f>
        <v>7500</v>
      </c>
      <c r="F36" s="122">
        <v>370</v>
      </c>
      <c r="G36" s="122">
        <v>100</v>
      </c>
      <c r="H36" s="122">
        <v>18</v>
      </c>
      <c r="I36" s="170">
        <f t="shared" ref="I36:I38" si="2">SUM(E36:H36)</f>
        <v>7988</v>
      </c>
      <c r="J36" s="122">
        <v>200</v>
      </c>
      <c r="K36" s="170">
        <f t="shared" ref="K36:K38" si="3">I36+J36</f>
        <v>8188</v>
      </c>
      <c r="L36" s="33" t="s">
        <v>133</v>
      </c>
      <c r="M36" s="184" t="s">
        <v>20</v>
      </c>
      <c r="N36" s="18" t="s">
        <v>104</v>
      </c>
      <c r="O36" s="41" t="s">
        <v>125</v>
      </c>
      <c r="P36" s="224" t="s">
        <v>134</v>
      </c>
      <c r="Q36" s="319"/>
      <c r="R36" s="225"/>
    </row>
    <row r="37" spans="2:19" x14ac:dyDescent="0.3">
      <c r="B37" s="304"/>
      <c r="C37" s="241"/>
      <c r="D37" s="41" t="s">
        <v>22</v>
      </c>
      <c r="E37" s="122">
        <f>CEILING((((7259+75)*1.15)),50)</f>
        <v>8450</v>
      </c>
      <c r="F37" s="122">
        <v>370</v>
      </c>
      <c r="G37" s="122">
        <v>100</v>
      </c>
      <c r="H37" s="122">
        <v>18</v>
      </c>
      <c r="I37" s="170">
        <f t="shared" si="2"/>
        <v>8938</v>
      </c>
      <c r="J37" s="122">
        <v>200</v>
      </c>
      <c r="K37" s="170">
        <f t="shared" si="3"/>
        <v>9138</v>
      </c>
      <c r="L37" s="78" t="s">
        <v>133</v>
      </c>
      <c r="M37" s="184" t="s">
        <v>20</v>
      </c>
      <c r="N37" s="18" t="s">
        <v>104</v>
      </c>
      <c r="O37" s="41" t="s">
        <v>125</v>
      </c>
      <c r="P37" s="226"/>
      <c r="Q37" s="320"/>
      <c r="R37" s="227"/>
    </row>
    <row r="38" spans="2:19" x14ac:dyDescent="0.3">
      <c r="B38" s="162" t="s">
        <v>41</v>
      </c>
      <c r="C38" s="18" t="s">
        <v>114</v>
      </c>
      <c r="D38" s="41" t="s">
        <v>17</v>
      </c>
      <c r="E38" s="122">
        <v>6000</v>
      </c>
      <c r="F38" s="122" t="s">
        <v>135</v>
      </c>
      <c r="G38" s="122">
        <v>100</v>
      </c>
      <c r="H38" s="122">
        <v>18</v>
      </c>
      <c r="I38" s="170">
        <f t="shared" si="2"/>
        <v>6118</v>
      </c>
      <c r="J38" s="122">
        <v>200</v>
      </c>
      <c r="K38" s="170">
        <f t="shared" si="3"/>
        <v>6318</v>
      </c>
      <c r="L38" s="78">
        <v>35</v>
      </c>
      <c r="M38" s="184" t="s">
        <v>20</v>
      </c>
      <c r="N38" s="18" t="s">
        <v>43</v>
      </c>
      <c r="O38" s="41" t="s">
        <v>136</v>
      </c>
      <c r="P38" s="258" t="s">
        <v>137</v>
      </c>
      <c r="Q38" s="314"/>
      <c r="R38" s="259"/>
    </row>
    <row r="39" spans="2:19" x14ac:dyDescent="0.3">
      <c r="B39" s="35"/>
      <c r="E39" s="36"/>
      <c r="F39" s="36"/>
      <c r="G39" s="36"/>
      <c r="H39" s="36"/>
      <c r="I39" s="36"/>
      <c r="J39" s="51"/>
      <c r="K39" s="51"/>
      <c r="L39" s="51"/>
      <c r="M39" s="51"/>
      <c r="N39" s="49"/>
      <c r="O39" s="51"/>
      <c r="P39" s="97"/>
      <c r="Q39" s="83"/>
      <c r="R39" s="76"/>
      <c r="S39" s="84"/>
    </row>
    <row r="40" spans="2:19" ht="15.6" x14ac:dyDescent="0.3">
      <c r="B40" s="5" t="s">
        <v>32</v>
      </c>
      <c r="C40" s="6"/>
      <c r="D40" s="6"/>
      <c r="E40" s="6"/>
      <c r="F40" s="6"/>
      <c r="G40" s="6"/>
      <c r="H40" s="6"/>
      <c r="I40" s="6"/>
      <c r="J40" s="6"/>
      <c r="K40" s="6"/>
      <c r="L40" s="6"/>
      <c r="M40" s="6"/>
      <c r="N40" s="6"/>
      <c r="O40" s="6"/>
      <c r="P40" s="6"/>
      <c r="Q40" s="6"/>
      <c r="R40" s="6"/>
      <c r="S40" s="7"/>
    </row>
    <row r="41" spans="2:19" x14ac:dyDescent="0.3">
      <c r="B41" s="217" t="s">
        <v>33</v>
      </c>
      <c r="C41" s="217"/>
      <c r="D41" s="217"/>
      <c r="E41" s="217"/>
      <c r="F41" s="217"/>
      <c r="G41" s="217"/>
      <c r="H41" s="217"/>
      <c r="I41" s="217"/>
      <c r="J41" s="217"/>
      <c r="K41" s="217"/>
      <c r="L41" s="217"/>
      <c r="M41" s="217"/>
      <c r="N41" s="217"/>
      <c r="O41" s="217"/>
      <c r="P41" s="217"/>
      <c r="Q41" s="217"/>
      <c r="R41" s="217"/>
      <c r="S41" s="217"/>
    </row>
    <row r="42" spans="2:19" x14ac:dyDescent="0.3">
      <c r="B42" s="217"/>
      <c r="C42" s="217"/>
      <c r="D42" s="217"/>
      <c r="E42" s="217"/>
      <c r="F42" s="217"/>
      <c r="G42" s="217"/>
      <c r="H42" s="217"/>
      <c r="I42" s="217"/>
      <c r="J42" s="217"/>
      <c r="K42" s="217"/>
      <c r="L42" s="217"/>
      <c r="M42" s="217"/>
      <c r="N42" s="217"/>
      <c r="O42" s="217"/>
      <c r="P42" s="217"/>
      <c r="Q42" s="217"/>
      <c r="R42" s="217"/>
      <c r="S42" s="217"/>
    </row>
    <row r="43" spans="2:19" x14ac:dyDescent="0.3">
      <c r="B43" s="217"/>
      <c r="C43" s="217"/>
      <c r="D43" s="217"/>
      <c r="E43" s="217"/>
      <c r="F43" s="217"/>
      <c r="G43" s="217"/>
      <c r="H43" s="217"/>
      <c r="I43" s="217"/>
      <c r="J43" s="217"/>
      <c r="K43" s="217"/>
      <c r="L43" s="217"/>
      <c r="M43" s="217"/>
      <c r="N43" s="217"/>
      <c r="O43" s="217"/>
      <c r="P43" s="217"/>
      <c r="Q43" s="217"/>
      <c r="R43" s="217"/>
      <c r="S43" s="217"/>
    </row>
    <row r="44" spans="2:19" x14ac:dyDescent="0.3">
      <c r="B44" s="220"/>
      <c r="C44" s="220"/>
      <c r="D44" s="220"/>
      <c r="E44" s="220"/>
      <c r="F44" s="220"/>
      <c r="G44" s="220"/>
      <c r="H44" s="220"/>
      <c r="I44" s="220"/>
      <c r="J44" s="220"/>
      <c r="K44" s="220"/>
      <c r="L44" s="220"/>
      <c r="M44" s="220"/>
      <c r="N44" s="220"/>
      <c r="O44" s="220"/>
      <c r="P44" s="220"/>
      <c r="Q44" s="220"/>
      <c r="R44" s="220"/>
      <c r="S44" s="220"/>
    </row>
    <row r="45" spans="2:19" x14ac:dyDescent="0.3">
      <c r="B45" s="35"/>
      <c r="E45" s="36"/>
      <c r="F45" s="36"/>
      <c r="G45" s="36"/>
      <c r="H45" s="36"/>
      <c r="I45" s="36"/>
      <c r="J45" s="51"/>
      <c r="K45" s="51"/>
      <c r="L45" s="51"/>
      <c r="M45" s="51"/>
      <c r="N45" s="49"/>
      <c r="O45" s="51"/>
      <c r="P45" s="97"/>
      <c r="Q45" s="27"/>
      <c r="R45" s="97"/>
    </row>
    <row r="46" spans="2:19" x14ac:dyDescent="0.3">
      <c r="B46" s="35"/>
      <c r="E46" s="36"/>
      <c r="F46" s="36"/>
      <c r="G46" s="36"/>
      <c r="H46" s="36"/>
      <c r="I46" s="36"/>
      <c r="J46" s="51"/>
      <c r="K46" s="51"/>
      <c r="L46" s="51"/>
      <c r="M46" s="51"/>
      <c r="N46" s="49"/>
      <c r="O46" s="51"/>
      <c r="P46" s="97"/>
      <c r="Q46" s="27"/>
      <c r="R46" s="97"/>
    </row>
    <row r="47" spans="2:19" x14ac:dyDescent="0.3">
      <c r="B47" s="35"/>
      <c r="E47" s="36"/>
      <c r="F47" s="36"/>
      <c r="G47" s="36"/>
      <c r="H47" s="36"/>
      <c r="I47" s="36"/>
      <c r="J47" s="51"/>
      <c r="K47" s="51"/>
      <c r="L47" s="51"/>
      <c r="M47" s="51"/>
      <c r="N47" s="49"/>
      <c r="O47" s="51"/>
      <c r="P47" s="97"/>
      <c r="Q47" s="27"/>
      <c r="R47" s="97"/>
    </row>
    <row r="48" spans="2:19" x14ac:dyDescent="0.3">
      <c r="B48" s="35"/>
      <c r="E48" s="36"/>
      <c r="F48" s="36"/>
      <c r="G48" s="36"/>
      <c r="H48" s="36"/>
      <c r="I48" s="36"/>
      <c r="J48" s="51"/>
      <c r="K48" s="51"/>
      <c r="L48" s="51"/>
      <c r="M48" s="51"/>
      <c r="N48" s="49"/>
      <c r="O48" s="51"/>
      <c r="P48" s="97"/>
      <c r="Q48" s="27"/>
      <c r="R48" s="97"/>
    </row>
    <row r="49" spans="2:18" ht="14.4" customHeight="1" x14ac:dyDescent="0.3">
      <c r="B49" s="35"/>
      <c r="E49" s="36"/>
      <c r="F49" s="36"/>
      <c r="G49" s="36"/>
      <c r="H49" s="36"/>
      <c r="I49" s="36"/>
      <c r="J49" s="51"/>
      <c r="K49" s="51"/>
      <c r="L49" s="49" t="s">
        <v>138</v>
      </c>
      <c r="M49" s="49"/>
      <c r="N49" s="49"/>
      <c r="O49" s="51"/>
      <c r="P49" s="97"/>
      <c r="Q49" s="27"/>
      <c r="R49" s="97"/>
    </row>
    <row r="50" spans="2:18" x14ac:dyDescent="0.3">
      <c r="B50" s="35"/>
      <c r="E50" s="36"/>
      <c r="F50" s="36"/>
      <c r="G50" s="36"/>
      <c r="H50" s="36"/>
      <c r="I50" s="36"/>
      <c r="J50" s="51"/>
      <c r="K50" s="51"/>
      <c r="L50" s="49"/>
      <c r="M50" s="49"/>
      <c r="N50" s="49"/>
      <c r="O50" s="51"/>
      <c r="P50" s="97"/>
      <c r="Q50" s="27"/>
      <c r="R50" s="97"/>
    </row>
    <row r="51" spans="2:18" x14ac:dyDescent="0.3">
      <c r="B51" s="35"/>
      <c r="E51" s="36"/>
      <c r="F51" s="36"/>
      <c r="G51" s="36"/>
      <c r="H51" s="36"/>
      <c r="I51" s="36"/>
      <c r="J51" s="51"/>
      <c r="K51" s="51"/>
      <c r="L51" s="49"/>
      <c r="M51" s="49"/>
      <c r="N51" s="49"/>
      <c r="O51" s="51"/>
      <c r="P51" s="97"/>
      <c r="Q51" s="27"/>
      <c r="R51" s="97"/>
    </row>
    <row r="52" spans="2:18" x14ac:dyDescent="0.3">
      <c r="B52" s="35"/>
      <c r="E52" s="36"/>
      <c r="F52" s="36"/>
      <c r="G52" s="36"/>
      <c r="H52" s="36"/>
      <c r="I52" s="36"/>
      <c r="J52" s="51"/>
      <c r="K52" s="51"/>
      <c r="L52" s="49"/>
      <c r="M52" s="49"/>
      <c r="N52" s="49"/>
      <c r="O52" s="51"/>
      <c r="P52" s="97"/>
      <c r="Q52" s="27"/>
      <c r="R52" s="97"/>
    </row>
    <row r="53" spans="2:18" ht="15" thickBot="1" x14ac:dyDescent="0.35">
      <c r="B53" s="35"/>
      <c r="E53" s="36"/>
      <c r="F53" s="36"/>
      <c r="G53" s="36"/>
      <c r="H53" s="36"/>
      <c r="I53" s="36"/>
      <c r="J53" s="51"/>
      <c r="K53" s="51"/>
      <c r="L53" s="51"/>
      <c r="M53" s="51"/>
      <c r="N53" s="49"/>
      <c r="O53" s="51"/>
      <c r="P53" s="97"/>
      <c r="Q53" s="27"/>
      <c r="R53" s="97"/>
    </row>
    <row r="54" spans="2:18" ht="28.8" x14ac:dyDescent="0.3">
      <c r="B54" s="260" t="s">
        <v>139</v>
      </c>
      <c r="C54" s="260"/>
      <c r="D54" s="260"/>
      <c r="E54" s="260"/>
      <c r="F54" s="260"/>
      <c r="G54" s="260"/>
      <c r="H54" s="260"/>
      <c r="I54" s="260"/>
      <c r="J54" s="260"/>
      <c r="K54" s="260"/>
      <c r="L54" s="260"/>
      <c r="M54" s="260"/>
      <c r="N54" s="260"/>
      <c r="O54" s="260"/>
      <c r="P54" s="260"/>
      <c r="Q54" s="260"/>
    </row>
    <row r="55" spans="2:18" ht="28.8" x14ac:dyDescent="0.3">
      <c r="B55" s="68" t="s">
        <v>1</v>
      </c>
      <c r="C55" s="223" t="s">
        <v>2</v>
      </c>
      <c r="D55" s="223"/>
      <c r="E55" s="92" t="s">
        <v>3</v>
      </c>
      <c r="F55" s="92" t="s">
        <v>4</v>
      </c>
      <c r="G55" s="92" t="s">
        <v>117</v>
      </c>
      <c r="H55" s="92" t="s">
        <v>51</v>
      </c>
      <c r="I55" s="3" t="s">
        <v>140</v>
      </c>
      <c r="J55" s="3" t="s">
        <v>52</v>
      </c>
      <c r="K55" s="3" t="s">
        <v>10</v>
      </c>
      <c r="L55" s="3" t="s">
        <v>11</v>
      </c>
      <c r="M55" s="3" t="s">
        <v>12</v>
      </c>
      <c r="N55" s="92" t="s">
        <v>13</v>
      </c>
      <c r="O55" s="92" t="s">
        <v>14</v>
      </c>
      <c r="P55" s="92" t="s">
        <v>141</v>
      </c>
      <c r="Q55" s="93" t="s">
        <v>142</v>
      </c>
    </row>
    <row r="56" spans="2:18" ht="22.95" customHeight="1" x14ac:dyDescent="0.3">
      <c r="B56" s="309" t="s">
        <v>143</v>
      </c>
      <c r="C56" s="310" t="s">
        <v>114</v>
      </c>
      <c r="D56" s="113" t="s">
        <v>17</v>
      </c>
      <c r="E56" s="115">
        <f>CEILING((((10700+297+115)*1.12)- 85)-150,50)</f>
        <v>12250</v>
      </c>
      <c r="F56" s="115">
        <v>85</v>
      </c>
      <c r="G56" s="115">
        <v>215</v>
      </c>
      <c r="H56" s="115">
        <v>75</v>
      </c>
      <c r="I56" s="115">
        <v>150</v>
      </c>
      <c r="J56" s="174">
        <f t="shared" ref="J56:J63" si="4">SUM(E56:I56)</f>
        <v>12775</v>
      </c>
      <c r="K56" s="115">
        <v>200</v>
      </c>
      <c r="L56" s="174">
        <f t="shared" ref="L56:L63" si="5">SUM(J56:K56)</f>
        <v>12975</v>
      </c>
      <c r="M56" s="117" t="s">
        <v>99</v>
      </c>
      <c r="N56" s="180" t="s">
        <v>60</v>
      </c>
      <c r="O56" s="175" t="s">
        <v>39</v>
      </c>
      <c r="P56" s="312" t="s">
        <v>57</v>
      </c>
      <c r="Q56" s="113" t="s">
        <v>92</v>
      </c>
    </row>
    <row r="57" spans="2:18" x14ac:dyDescent="0.3">
      <c r="B57" s="309"/>
      <c r="C57" s="310"/>
      <c r="D57" s="113" t="s">
        <v>22</v>
      </c>
      <c r="E57" s="115">
        <f>CEILING((((10700+297+115)*1.12)- 85)-150,50)</f>
        <v>12250</v>
      </c>
      <c r="F57" s="115">
        <v>85</v>
      </c>
      <c r="G57" s="115">
        <v>215</v>
      </c>
      <c r="H57" s="115">
        <v>75</v>
      </c>
      <c r="I57" s="115">
        <v>150</v>
      </c>
      <c r="J57" s="174">
        <f t="shared" si="4"/>
        <v>12775</v>
      </c>
      <c r="K57" s="115">
        <v>200</v>
      </c>
      <c r="L57" s="174">
        <f t="shared" si="5"/>
        <v>12975</v>
      </c>
      <c r="M57" s="117" t="s">
        <v>99</v>
      </c>
      <c r="N57" s="180" t="s">
        <v>60</v>
      </c>
      <c r="O57" s="175" t="s">
        <v>39</v>
      </c>
      <c r="P57" s="313"/>
      <c r="Q57" s="113" t="s">
        <v>92</v>
      </c>
    </row>
    <row r="58" spans="2:18" x14ac:dyDescent="0.3">
      <c r="B58" s="309" t="s">
        <v>144</v>
      </c>
      <c r="C58" s="310" t="s">
        <v>114</v>
      </c>
      <c r="D58" s="113" t="s">
        <v>17</v>
      </c>
      <c r="E58" s="115">
        <f>CEILING((((10850+297+115)*1.12)- 85)-150,50)</f>
        <v>12400</v>
      </c>
      <c r="F58" s="115">
        <v>85</v>
      </c>
      <c r="G58" s="115">
        <v>215</v>
      </c>
      <c r="H58" s="115">
        <v>75</v>
      </c>
      <c r="I58" s="115">
        <v>150</v>
      </c>
      <c r="J58" s="174">
        <f t="shared" ref="J58:J61" si="6">SUM(E58:I58)</f>
        <v>12925</v>
      </c>
      <c r="K58" s="115">
        <v>200</v>
      </c>
      <c r="L58" s="174">
        <f t="shared" ref="L58:L61" si="7">SUM(J58:K58)</f>
        <v>13125</v>
      </c>
      <c r="M58" s="117" t="s">
        <v>99</v>
      </c>
      <c r="N58" s="180" t="s">
        <v>60</v>
      </c>
      <c r="O58" s="175" t="s">
        <v>39</v>
      </c>
      <c r="P58" s="313"/>
      <c r="Q58" s="113" t="s">
        <v>92</v>
      </c>
    </row>
    <row r="59" spans="2:18" ht="28.95" customHeight="1" x14ac:dyDescent="0.3">
      <c r="B59" s="309"/>
      <c r="C59" s="310"/>
      <c r="D59" s="113" t="s">
        <v>22</v>
      </c>
      <c r="E59" s="115">
        <f>CEILING((((10920+297+115)*1.12)- 85)-150,50)</f>
        <v>12500</v>
      </c>
      <c r="F59" s="115">
        <v>85</v>
      </c>
      <c r="G59" s="115">
        <v>215</v>
      </c>
      <c r="H59" s="115">
        <v>75</v>
      </c>
      <c r="I59" s="115">
        <v>150</v>
      </c>
      <c r="J59" s="174">
        <f t="shared" si="6"/>
        <v>13025</v>
      </c>
      <c r="K59" s="115">
        <v>200</v>
      </c>
      <c r="L59" s="174">
        <f t="shared" si="7"/>
        <v>13225</v>
      </c>
      <c r="M59" s="117" t="s">
        <v>99</v>
      </c>
      <c r="N59" s="180" t="s">
        <v>60</v>
      </c>
      <c r="O59" s="175" t="s">
        <v>39</v>
      </c>
      <c r="P59" s="315"/>
      <c r="Q59" s="113" t="s">
        <v>92</v>
      </c>
    </row>
    <row r="60" spans="2:18" ht="14.4" customHeight="1" x14ac:dyDescent="0.3">
      <c r="B60" s="309" t="s">
        <v>145</v>
      </c>
      <c r="C60" s="310" t="s">
        <v>114</v>
      </c>
      <c r="D60" s="113" t="s">
        <v>17</v>
      </c>
      <c r="E60" s="115">
        <f>CEILING((((10600+40+115)*1.12)- 150)-150,50)</f>
        <v>11750</v>
      </c>
      <c r="F60" s="115">
        <v>216.6</v>
      </c>
      <c r="G60" s="115">
        <v>335</v>
      </c>
      <c r="H60" s="115">
        <v>75</v>
      </c>
      <c r="I60" s="115">
        <v>150</v>
      </c>
      <c r="J60" s="174">
        <f>SUM(E60:I60)</f>
        <v>12526.6</v>
      </c>
      <c r="K60" s="115">
        <v>200</v>
      </c>
      <c r="L60" s="174">
        <f t="shared" si="7"/>
        <v>12726.6</v>
      </c>
      <c r="M60" s="117" t="s">
        <v>99</v>
      </c>
      <c r="N60" s="180" t="s">
        <v>60</v>
      </c>
      <c r="O60" s="175" t="s">
        <v>61</v>
      </c>
      <c r="P60" s="316" t="s">
        <v>62</v>
      </c>
      <c r="Q60" s="113" t="s">
        <v>146</v>
      </c>
    </row>
    <row r="61" spans="2:18" x14ac:dyDescent="0.3">
      <c r="B61" s="309"/>
      <c r="C61" s="310"/>
      <c r="D61" s="113" t="s">
        <v>22</v>
      </c>
      <c r="E61" s="115">
        <f>CEILING((((10800+80+115)*1.12)- 150)-150,50)</f>
        <v>12050</v>
      </c>
      <c r="F61" s="115">
        <v>216.6</v>
      </c>
      <c r="G61" s="115">
        <v>335</v>
      </c>
      <c r="H61" s="115">
        <v>75</v>
      </c>
      <c r="I61" s="115">
        <v>150</v>
      </c>
      <c r="J61" s="174">
        <f t="shared" si="6"/>
        <v>12826.6</v>
      </c>
      <c r="K61" s="115">
        <v>200</v>
      </c>
      <c r="L61" s="174">
        <f t="shared" si="7"/>
        <v>13026.6</v>
      </c>
      <c r="M61" s="117" t="s">
        <v>99</v>
      </c>
      <c r="N61" s="180" t="s">
        <v>60</v>
      </c>
      <c r="O61" s="175" t="s">
        <v>61</v>
      </c>
      <c r="P61" s="317"/>
      <c r="Q61" s="113" t="s">
        <v>146</v>
      </c>
    </row>
    <row r="62" spans="2:18" x14ac:dyDescent="0.3">
      <c r="B62" s="309" t="s">
        <v>147</v>
      </c>
      <c r="C62" s="310" t="s">
        <v>114</v>
      </c>
      <c r="D62" s="113" t="s">
        <v>17</v>
      </c>
      <c r="E62" s="115">
        <f>CEILING((((10650+40+115)*1.12)- 85)-150,50)</f>
        <v>11900</v>
      </c>
      <c r="F62" s="115">
        <v>216.6</v>
      </c>
      <c r="G62" s="115">
        <v>335</v>
      </c>
      <c r="H62" s="115">
        <v>75</v>
      </c>
      <c r="I62" s="115">
        <v>150</v>
      </c>
      <c r="J62" s="174">
        <f t="shared" si="4"/>
        <v>12676.6</v>
      </c>
      <c r="K62" s="115">
        <v>200</v>
      </c>
      <c r="L62" s="174">
        <f t="shared" si="5"/>
        <v>12876.6</v>
      </c>
      <c r="M62" s="117" t="s">
        <v>99</v>
      </c>
      <c r="N62" s="180" t="s">
        <v>60</v>
      </c>
      <c r="O62" s="175" t="s">
        <v>61</v>
      </c>
      <c r="P62" s="317"/>
      <c r="Q62" s="113" t="s">
        <v>146</v>
      </c>
    </row>
    <row r="63" spans="2:18" x14ac:dyDescent="0.3">
      <c r="B63" s="309"/>
      <c r="C63" s="310"/>
      <c r="D63" s="113" t="s">
        <v>22</v>
      </c>
      <c r="E63" s="115">
        <f>CEILING((((10900+80+115)*1.12)- 85)-150,50)</f>
        <v>12200</v>
      </c>
      <c r="F63" s="115">
        <v>216.6</v>
      </c>
      <c r="G63" s="115">
        <v>335</v>
      </c>
      <c r="H63" s="115">
        <v>75</v>
      </c>
      <c r="I63" s="115">
        <v>150</v>
      </c>
      <c r="J63" s="174">
        <f t="shared" si="4"/>
        <v>12976.6</v>
      </c>
      <c r="K63" s="115">
        <v>200</v>
      </c>
      <c r="L63" s="174">
        <f t="shared" si="5"/>
        <v>13176.6</v>
      </c>
      <c r="M63" s="117" t="s">
        <v>99</v>
      </c>
      <c r="N63" s="180" t="s">
        <v>60</v>
      </c>
      <c r="O63" s="175" t="s">
        <v>61</v>
      </c>
      <c r="P63" s="318"/>
      <c r="Q63" s="113" t="s">
        <v>146</v>
      </c>
    </row>
    <row r="64" spans="2:18" ht="28.8" x14ac:dyDescent="0.3">
      <c r="B64" s="270" t="s">
        <v>148</v>
      </c>
      <c r="C64" s="270"/>
      <c r="D64" s="256"/>
      <c r="E64" s="256"/>
      <c r="F64" s="270"/>
      <c r="G64" s="256"/>
      <c r="H64" s="256"/>
      <c r="I64" s="270"/>
      <c r="J64" s="256"/>
      <c r="K64" s="256"/>
      <c r="L64" s="256"/>
      <c r="M64" s="270"/>
      <c r="N64" s="256"/>
      <c r="O64" s="256"/>
      <c r="P64" s="256"/>
      <c r="Q64" s="256"/>
    </row>
    <row r="65" spans="2:62 3072:12198 12789:15082" ht="28.8" x14ac:dyDescent="0.3">
      <c r="B65" s="68" t="s">
        <v>1</v>
      </c>
      <c r="C65" s="223" t="s">
        <v>2</v>
      </c>
      <c r="D65" s="223"/>
      <c r="E65" s="8" t="s">
        <v>3</v>
      </c>
      <c r="F65" s="8" t="s">
        <v>4</v>
      </c>
      <c r="G65" s="8" t="s">
        <v>117</v>
      </c>
      <c r="H65" s="1" t="s">
        <v>51</v>
      </c>
      <c r="I65" s="63" t="s">
        <v>140</v>
      </c>
      <c r="J65" s="2" t="s">
        <v>9</v>
      </c>
      <c r="K65" s="2" t="s">
        <v>10</v>
      </c>
      <c r="L65" s="2" t="s">
        <v>11</v>
      </c>
      <c r="M65" s="8" t="s">
        <v>12</v>
      </c>
      <c r="N65" s="95" t="s">
        <v>13</v>
      </c>
      <c r="O65" s="95" t="s">
        <v>14</v>
      </c>
      <c r="P65" s="143" t="s">
        <v>141</v>
      </c>
      <c r="Q65" s="74" t="s">
        <v>142</v>
      </c>
    </row>
    <row r="66" spans="2:62 3072:12198 12789:15082" x14ac:dyDescent="0.3">
      <c r="B66" s="278" t="s">
        <v>149</v>
      </c>
      <c r="C66" s="178" t="s">
        <v>114</v>
      </c>
      <c r="D66" s="114" t="s">
        <v>17</v>
      </c>
      <c r="E66" s="115">
        <f>CEILING((((10900+297+50+85)*1.12)- 85)-150,50)</f>
        <v>12500</v>
      </c>
      <c r="F66" s="115">
        <v>85</v>
      </c>
      <c r="G66" s="115">
        <v>215</v>
      </c>
      <c r="H66" s="115">
        <v>75</v>
      </c>
      <c r="I66" s="115">
        <v>150</v>
      </c>
      <c r="J66" s="174">
        <f t="shared" ref="J66:J67" si="8">SUM(E66:I66)</f>
        <v>13025</v>
      </c>
      <c r="K66" s="115">
        <v>200</v>
      </c>
      <c r="L66" s="174">
        <f t="shared" ref="L66:L67" si="9">SUM(J66:K66)</f>
        <v>13225</v>
      </c>
      <c r="M66" s="117" t="s">
        <v>99</v>
      </c>
      <c r="N66" s="180" t="s">
        <v>60</v>
      </c>
      <c r="O66" s="175" t="s">
        <v>39</v>
      </c>
      <c r="P66" s="312" t="s">
        <v>57</v>
      </c>
      <c r="Q66" s="119" t="s">
        <v>92</v>
      </c>
      <c r="R66" s="142"/>
      <c r="S66" s="135"/>
      <c r="T66" s="136"/>
      <c r="U66" s="137"/>
      <c r="V66" s="136"/>
      <c r="W66" s="138"/>
      <c r="X66" s="136"/>
      <c r="Y66" s="138"/>
      <c r="Z66" s="139"/>
      <c r="AA66" s="140"/>
      <c r="AB66" s="134"/>
      <c r="AC66" s="141"/>
      <c r="AD66" s="144"/>
      <c r="AE66" s="125"/>
      <c r="AF66" s="133"/>
      <c r="AG66"/>
      <c r="AH66" s="126"/>
      <c r="AI66" s="127"/>
      <c r="AJ66" s="128"/>
      <c r="AK66" s="128"/>
      <c r="AL66" s="127"/>
      <c r="AM66" s="129"/>
      <c r="AN66" s="127"/>
      <c r="AO66" s="129"/>
      <c r="AP66" s="130"/>
      <c r="AQ66" s="131"/>
      <c r="AR66"/>
      <c r="AS66" s="132"/>
      <c r="AT66"/>
      <c r="AU66" s="125"/>
      <c r="AV66" s="133"/>
      <c r="AW66"/>
      <c r="AX66" s="126"/>
      <c r="AY66" s="127"/>
      <c r="AZ66" s="128"/>
      <c r="BA66" s="128"/>
      <c r="BB66" s="127"/>
      <c r="BC66" s="129"/>
      <c r="BD66" s="127"/>
      <c r="BE66" s="129"/>
      <c r="BF66" s="130"/>
      <c r="BG66" s="131"/>
      <c r="BH66"/>
      <c r="BI66" s="132"/>
      <c r="BJ66"/>
      <c r="DND66" s="118">
        <v>45845</v>
      </c>
      <c r="DNE66" s="113" t="s">
        <v>39</v>
      </c>
      <c r="DNF66" s="169"/>
      <c r="DNG66" s="119" t="s">
        <v>92</v>
      </c>
      <c r="DNH66" s="167"/>
      <c r="DNI66" s="168"/>
      <c r="DNJ66" s="113" t="s">
        <v>22</v>
      </c>
      <c r="DNK66" s="114">
        <v>8150</v>
      </c>
      <c r="DNL66" s="122">
        <v>85</v>
      </c>
      <c r="DNM66" s="123">
        <v>215</v>
      </c>
      <c r="DNN66" s="123">
        <v>75</v>
      </c>
      <c r="DNO66" s="122">
        <v>150</v>
      </c>
      <c r="DNP66" s="124">
        <f>SUM(DNK66:DNO66)</f>
        <v>8675</v>
      </c>
      <c r="DNQ66" s="122">
        <v>200</v>
      </c>
      <c r="DNR66" s="124">
        <f>SUM(DNP66:DNQ66)</f>
        <v>8875</v>
      </c>
      <c r="DNS66" s="117" t="s">
        <v>99</v>
      </c>
      <c r="DNT66" s="118">
        <v>45845</v>
      </c>
      <c r="DNU66" s="113" t="s">
        <v>39</v>
      </c>
      <c r="DNV66" s="169"/>
      <c r="DNW66" s="119" t="s">
        <v>92</v>
      </c>
      <c r="DNX66" s="167"/>
      <c r="DNY66" s="168"/>
      <c r="DNZ66" s="113" t="s">
        <v>22</v>
      </c>
      <c r="DOA66" s="114">
        <v>8150</v>
      </c>
      <c r="DOB66" s="122">
        <v>85</v>
      </c>
      <c r="DOC66" s="123">
        <v>215</v>
      </c>
      <c r="DOD66" s="123">
        <v>75</v>
      </c>
      <c r="DOE66" s="122">
        <v>150</v>
      </c>
      <c r="DOF66" s="124">
        <f>SUM(DOA66:DOE66)</f>
        <v>8675</v>
      </c>
      <c r="DOG66" s="122">
        <v>200</v>
      </c>
      <c r="DOH66" s="124">
        <f>SUM(DOF66:DOG66)</f>
        <v>8875</v>
      </c>
      <c r="DOI66" s="117" t="s">
        <v>99</v>
      </c>
      <c r="DOJ66" s="118">
        <v>45845</v>
      </c>
      <c r="DOK66" s="113" t="s">
        <v>39</v>
      </c>
      <c r="DOL66" s="169"/>
      <c r="DOM66" s="119" t="s">
        <v>92</v>
      </c>
      <c r="DON66" s="167"/>
      <c r="DOO66" s="168"/>
      <c r="DOP66" s="113" t="s">
        <v>22</v>
      </c>
      <c r="DOQ66" s="114">
        <v>8150</v>
      </c>
      <c r="DOR66" s="122">
        <v>85</v>
      </c>
      <c r="DOS66" s="123">
        <v>215</v>
      </c>
      <c r="DOT66" s="123">
        <v>75</v>
      </c>
      <c r="DOU66" s="122">
        <v>150</v>
      </c>
      <c r="DOV66" s="124">
        <f>SUM(DOQ66:DOU66)</f>
        <v>8675</v>
      </c>
      <c r="DOW66" s="122">
        <v>200</v>
      </c>
      <c r="DOX66" s="124">
        <f>SUM(DOV66:DOW66)</f>
        <v>8875</v>
      </c>
      <c r="DOY66" s="117" t="s">
        <v>99</v>
      </c>
      <c r="DOZ66" s="118">
        <v>45845</v>
      </c>
      <c r="DPA66" s="113" t="s">
        <v>39</v>
      </c>
      <c r="DPB66" s="169"/>
      <c r="DPC66" s="119" t="s">
        <v>92</v>
      </c>
      <c r="DPD66" s="167"/>
      <c r="DPE66" s="168"/>
      <c r="DPF66" s="113" t="s">
        <v>22</v>
      </c>
      <c r="DPG66" s="114">
        <v>8150</v>
      </c>
      <c r="DPH66" s="122">
        <v>85</v>
      </c>
      <c r="DPI66" s="123">
        <v>215</v>
      </c>
      <c r="DPJ66" s="123">
        <v>75</v>
      </c>
      <c r="DPK66" s="122">
        <v>150</v>
      </c>
      <c r="DPL66" s="124">
        <f>SUM(DPG66:DPK66)</f>
        <v>8675</v>
      </c>
      <c r="DPM66" s="122">
        <v>200</v>
      </c>
      <c r="DPN66" s="124">
        <f>SUM(DPL66:DPM66)</f>
        <v>8875</v>
      </c>
      <c r="DPO66" s="117" t="s">
        <v>99</v>
      </c>
      <c r="DPP66" s="118">
        <v>45845</v>
      </c>
      <c r="DPQ66" s="113" t="s">
        <v>39</v>
      </c>
      <c r="DPR66" s="169"/>
      <c r="DPS66" s="119" t="s">
        <v>92</v>
      </c>
      <c r="DPT66" s="167"/>
      <c r="DPU66" s="168"/>
      <c r="DPV66" s="113" t="s">
        <v>22</v>
      </c>
      <c r="DPW66" s="114">
        <v>8150</v>
      </c>
      <c r="DPX66" s="122">
        <v>85</v>
      </c>
      <c r="DPY66" s="123">
        <v>215</v>
      </c>
      <c r="DPZ66" s="123">
        <v>75</v>
      </c>
      <c r="DQA66" s="122">
        <v>150</v>
      </c>
      <c r="DQB66" s="124">
        <f>SUM(DPW66:DQA66)</f>
        <v>8675</v>
      </c>
      <c r="DQC66" s="122">
        <v>200</v>
      </c>
      <c r="DQD66" s="124">
        <f>SUM(DQB66:DQC66)</f>
        <v>8875</v>
      </c>
      <c r="DQE66" s="117" t="s">
        <v>99</v>
      </c>
      <c r="DQF66" s="118">
        <v>45845</v>
      </c>
      <c r="DQG66" s="113" t="s">
        <v>39</v>
      </c>
      <c r="DQH66" s="169"/>
      <c r="DQI66" s="119" t="s">
        <v>92</v>
      </c>
      <c r="DQJ66" s="167"/>
      <c r="DQK66" s="168"/>
      <c r="DQL66" s="113" t="s">
        <v>22</v>
      </c>
      <c r="DQM66" s="114">
        <v>8150</v>
      </c>
      <c r="DQN66" s="122">
        <v>85</v>
      </c>
      <c r="DQO66" s="123">
        <v>215</v>
      </c>
      <c r="DQP66" s="123">
        <v>75</v>
      </c>
      <c r="DQQ66" s="122">
        <v>150</v>
      </c>
      <c r="DQR66" s="124">
        <f>SUM(DQM66:DQQ66)</f>
        <v>8675</v>
      </c>
      <c r="DQS66" s="122">
        <v>200</v>
      </c>
      <c r="DQT66" s="124">
        <f>SUM(DQR66:DQS66)</f>
        <v>8875</v>
      </c>
      <c r="DQU66" s="117" t="s">
        <v>99</v>
      </c>
      <c r="DQV66" s="118">
        <v>45845</v>
      </c>
      <c r="DQW66" s="113" t="s">
        <v>39</v>
      </c>
      <c r="DQX66" s="169"/>
      <c r="DQY66" s="119" t="s">
        <v>92</v>
      </c>
      <c r="DQZ66" s="167"/>
      <c r="DRA66" s="168"/>
      <c r="DRB66" s="113" t="s">
        <v>22</v>
      </c>
      <c r="DRC66" s="114">
        <v>8150</v>
      </c>
      <c r="DRD66" s="122">
        <v>85</v>
      </c>
      <c r="DRE66" s="123">
        <v>215</v>
      </c>
      <c r="DRF66" s="123">
        <v>75</v>
      </c>
      <c r="DRG66" s="122">
        <v>150</v>
      </c>
      <c r="DRH66" s="124">
        <f>SUM(DRC66:DRG66)</f>
        <v>8675</v>
      </c>
      <c r="DRI66" s="122">
        <v>200</v>
      </c>
      <c r="DRJ66" s="124">
        <f>SUM(DRH66:DRI66)</f>
        <v>8875</v>
      </c>
      <c r="DRK66" s="117" t="s">
        <v>99</v>
      </c>
      <c r="DRL66" s="118">
        <v>45845</v>
      </c>
      <c r="DRM66" s="113" t="s">
        <v>39</v>
      </c>
      <c r="DRN66" s="169"/>
      <c r="DRO66" s="119" t="s">
        <v>92</v>
      </c>
      <c r="DRP66" s="167"/>
      <c r="DRQ66" s="168"/>
      <c r="DRR66" s="113" t="s">
        <v>22</v>
      </c>
      <c r="DRS66" s="114">
        <v>8150</v>
      </c>
      <c r="DRT66" s="122">
        <v>85</v>
      </c>
      <c r="DRU66" s="123">
        <v>215</v>
      </c>
      <c r="DRV66" s="123">
        <v>75</v>
      </c>
      <c r="DRW66" s="122">
        <v>150</v>
      </c>
      <c r="DRX66" s="124">
        <f>SUM(DRS66:DRW66)</f>
        <v>8675</v>
      </c>
      <c r="DRY66" s="122">
        <v>200</v>
      </c>
      <c r="DRZ66" s="124">
        <f>SUM(DRX66:DRY66)</f>
        <v>8875</v>
      </c>
      <c r="DSA66" s="117" t="s">
        <v>99</v>
      </c>
      <c r="DSB66" s="118">
        <v>45845</v>
      </c>
      <c r="DSC66" s="113" t="s">
        <v>39</v>
      </c>
      <c r="DSD66" s="169"/>
      <c r="DSE66" s="119" t="s">
        <v>92</v>
      </c>
      <c r="DSF66" s="167"/>
      <c r="DSG66" s="168"/>
      <c r="DSH66" s="113" t="s">
        <v>22</v>
      </c>
      <c r="DSI66" s="114">
        <v>8150</v>
      </c>
      <c r="DSJ66" s="122">
        <v>85</v>
      </c>
      <c r="DSK66" s="123">
        <v>215</v>
      </c>
      <c r="DSL66" s="123">
        <v>75</v>
      </c>
      <c r="DSM66" s="122">
        <v>150</v>
      </c>
      <c r="DSN66" s="124">
        <f>SUM(DSI66:DSM66)</f>
        <v>8675</v>
      </c>
      <c r="DSO66" s="122">
        <v>200</v>
      </c>
      <c r="DSP66" s="124">
        <f>SUM(DSN66:DSO66)</f>
        <v>8875</v>
      </c>
      <c r="DSQ66" s="117" t="s">
        <v>99</v>
      </c>
      <c r="DSR66" s="118">
        <v>45845</v>
      </c>
      <c r="DSS66" s="113" t="s">
        <v>39</v>
      </c>
      <c r="DST66" s="169"/>
      <c r="DSU66" s="119" t="s">
        <v>92</v>
      </c>
      <c r="DSV66" s="167"/>
      <c r="DSW66" s="168"/>
      <c r="DSX66" s="113" t="s">
        <v>22</v>
      </c>
      <c r="DSY66" s="114">
        <v>8150</v>
      </c>
      <c r="DSZ66" s="122">
        <v>85</v>
      </c>
      <c r="DTA66" s="123">
        <v>215</v>
      </c>
      <c r="DTB66" s="123">
        <v>75</v>
      </c>
      <c r="DTC66" s="122">
        <v>150</v>
      </c>
      <c r="DTD66" s="124">
        <f>SUM(DSY66:DTC66)</f>
        <v>8675</v>
      </c>
      <c r="DTE66" s="122">
        <v>200</v>
      </c>
      <c r="DTF66" s="124">
        <f>SUM(DTD66:DTE66)</f>
        <v>8875</v>
      </c>
      <c r="DTG66" s="117" t="s">
        <v>99</v>
      </c>
      <c r="DTH66" s="118">
        <v>45845</v>
      </c>
      <c r="DTI66" s="113" t="s">
        <v>39</v>
      </c>
      <c r="DTJ66" s="169"/>
      <c r="DTK66" s="119" t="s">
        <v>92</v>
      </c>
      <c r="DTL66" s="167"/>
      <c r="DTM66" s="168"/>
      <c r="DTN66" s="113" t="s">
        <v>22</v>
      </c>
      <c r="DTO66" s="114">
        <v>8150</v>
      </c>
      <c r="DTP66" s="122">
        <v>85</v>
      </c>
      <c r="DTQ66" s="123">
        <v>215</v>
      </c>
      <c r="DTR66" s="123">
        <v>75</v>
      </c>
      <c r="DTS66" s="122">
        <v>150</v>
      </c>
      <c r="DTT66" s="124">
        <f>SUM(DTO66:DTS66)</f>
        <v>8675</v>
      </c>
      <c r="DTU66" s="122">
        <v>200</v>
      </c>
      <c r="DTV66" s="124">
        <f>SUM(DTT66:DTU66)</f>
        <v>8875</v>
      </c>
      <c r="DTW66" s="117" t="s">
        <v>99</v>
      </c>
      <c r="DTX66" s="118">
        <v>45845</v>
      </c>
      <c r="DTY66" s="113" t="s">
        <v>39</v>
      </c>
      <c r="DTZ66" s="169"/>
      <c r="DUA66" s="119" t="s">
        <v>92</v>
      </c>
      <c r="DUB66" s="167"/>
      <c r="DUC66" s="168"/>
      <c r="DUD66" s="113" t="s">
        <v>22</v>
      </c>
      <c r="DUE66" s="114">
        <v>8150</v>
      </c>
      <c r="DUF66" s="122">
        <v>85</v>
      </c>
      <c r="DUG66" s="123">
        <v>215</v>
      </c>
      <c r="DUH66" s="123">
        <v>75</v>
      </c>
      <c r="DUI66" s="122">
        <v>150</v>
      </c>
      <c r="DUJ66" s="124">
        <f>SUM(DUE66:DUI66)</f>
        <v>8675</v>
      </c>
      <c r="DUK66" s="122">
        <v>200</v>
      </c>
      <c r="DUL66" s="124">
        <f>SUM(DUJ66:DUK66)</f>
        <v>8875</v>
      </c>
      <c r="DUM66" s="117" t="s">
        <v>99</v>
      </c>
      <c r="DUN66" s="118">
        <v>45845</v>
      </c>
      <c r="DUO66" s="113" t="s">
        <v>39</v>
      </c>
      <c r="DUP66" s="169"/>
      <c r="DUQ66" s="119" t="s">
        <v>92</v>
      </c>
      <c r="DUR66" s="167"/>
      <c r="DUS66" s="168"/>
      <c r="DUT66" s="113" t="s">
        <v>22</v>
      </c>
      <c r="DUU66" s="114">
        <v>8150</v>
      </c>
      <c r="DUV66" s="122">
        <v>85</v>
      </c>
      <c r="DUW66" s="123">
        <v>215</v>
      </c>
      <c r="DUX66" s="123">
        <v>75</v>
      </c>
      <c r="DUY66" s="122">
        <v>150</v>
      </c>
      <c r="DUZ66" s="124">
        <f>SUM(DUU66:DUY66)</f>
        <v>8675</v>
      </c>
      <c r="DVA66" s="122">
        <v>200</v>
      </c>
      <c r="DVB66" s="124">
        <f>SUM(DUZ66:DVA66)</f>
        <v>8875</v>
      </c>
      <c r="DVC66" s="117" t="s">
        <v>99</v>
      </c>
      <c r="DVD66" s="118">
        <v>45845</v>
      </c>
      <c r="DVE66" s="113" t="s">
        <v>39</v>
      </c>
      <c r="DVF66" s="169"/>
      <c r="DVG66" s="119" t="s">
        <v>92</v>
      </c>
      <c r="DVH66" s="167"/>
      <c r="DVI66" s="168"/>
      <c r="DVJ66" s="113" t="s">
        <v>22</v>
      </c>
      <c r="DVK66" s="114">
        <v>8150</v>
      </c>
      <c r="DVL66" s="122">
        <v>85</v>
      </c>
      <c r="DVM66" s="123">
        <v>215</v>
      </c>
      <c r="DVN66" s="123">
        <v>75</v>
      </c>
      <c r="DVO66" s="122">
        <v>150</v>
      </c>
      <c r="DVP66" s="124">
        <f>SUM(DVK66:DVO66)</f>
        <v>8675</v>
      </c>
      <c r="DVQ66" s="122">
        <v>200</v>
      </c>
      <c r="DVR66" s="124">
        <f>SUM(DVP66:DVQ66)</f>
        <v>8875</v>
      </c>
      <c r="DVS66" s="117" t="s">
        <v>99</v>
      </c>
      <c r="DVT66" s="118">
        <v>45845</v>
      </c>
      <c r="DVU66" s="113" t="s">
        <v>39</v>
      </c>
      <c r="DVV66" s="169"/>
      <c r="DVW66" s="119" t="s">
        <v>92</v>
      </c>
      <c r="DVX66" s="167"/>
      <c r="DVY66" s="168"/>
      <c r="DVZ66" s="113" t="s">
        <v>22</v>
      </c>
      <c r="DWA66" s="114">
        <v>8150</v>
      </c>
      <c r="DWB66" s="122">
        <v>85</v>
      </c>
      <c r="DWC66" s="123">
        <v>215</v>
      </c>
      <c r="DWD66" s="123">
        <v>75</v>
      </c>
      <c r="DWE66" s="122">
        <v>150</v>
      </c>
      <c r="DWF66" s="124">
        <f>SUM(DWA66:DWE66)</f>
        <v>8675</v>
      </c>
      <c r="DWG66" s="122">
        <v>200</v>
      </c>
      <c r="DWH66" s="124">
        <f>SUM(DWF66:DWG66)</f>
        <v>8875</v>
      </c>
      <c r="DWI66" s="117" t="s">
        <v>99</v>
      </c>
      <c r="DWJ66" s="118">
        <v>45845</v>
      </c>
      <c r="DWK66" s="113" t="s">
        <v>39</v>
      </c>
      <c r="DWL66" s="169"/>
      <c r="DWM66" s="119" t="s">
        <v>92</v>
      </c>
      <c r="DWN66" s="167"/>
      <c r="DWO66" s="168"/>
      <c r="DWP66" s="113" t="s">
        <v>22</v>
      </c>
      <c r="DWQ66" s="114">
        <v>8150</v>
      </c>
      <c r="DWR66" s="122">
        <v>85</v>
      </c>
      <c r="DWS66" s="123">
        <v>215</v>
      </c>
      <c r="DWT66" s="123">
        <v>75</v>
      </c>
      <c r="DWU66" s="122">
        <v>150</v>
      </c>
      <c r="DWV66" s="124">
        <f>SUM(DWQ66:DWU66)</f>
        <v>8675</v>
      </c>
      <c r="DWW66" s="122">
        <v>200</v>
      </c>
      <c r="DWX66" s="124">
        <f>SUM(DWV66:DWW66)</f>
        <v>8875</v>
      </c>
      <c r="DWY66" s="117" t="s">
        <v>99</v>
      </c>
      <c r="DWZ66" s="118">
        <v>45845</v>
      </c>
      <c r="DXA66" s="113" t="s">
        <v>39</v>
      </c>
      <c r="DXB66" s="169"/>
      <c r="DXC66" s="119" t="s">
        <v>92</v>
      </c>
      <c r="DXD66" s="167"/>
      <c r="DXE66" s="168"/>
      <c r="DXF66" s="113" t="s">
        <v>22</v>
      </c>
      <c r="DXG66" s="114">
        <v>8150</v>
      </c>
      <c r="DXH66" s="122">
        <v>85</v>
      </c>
      <c r="DXI66" s="123">
        <v>215</v>
      </c>
      <c r="DXJ66" s="123">
        <v>75</v>
      </c>
      <c r="DXK66" s="122">
        <v>150</v>
      </c>
      <c r="DXL66" s="124">
        <f>SUM(DXG66:DXK66)</f>
        <v>8675</v>
      </c>
      <c r="DXM66" s="122">
        <v>200</v>
      </c>
      <c r="DXN66" s="124">
        <f>SUM(DXL66:DXM66)</f>
        <v>8875</v>
      </c>
      <c r="DXO66" s="117" t="s">
        <v>99</v>
      </c>
      <c r="DXP66" s="118">
        <v>45845</v>
      </c>
      <c r="DXQ66" s="113" t="s">
        <v>39</v>
      </c>
      <c r="DXR66" s="169"/>
      <c r="DXS66" s="119" t="s">
        <v>92</v>
      </c>
      <c r="DXT66" s="167"/>
      <c r="DXU66" s="168"/>
      <c r="DXV66" s="113" t="s">
        <v>22</v>
      </c>
      <c r="DXW66" s="114">
        <v>8150</v>
      </c>
      <c r="DXX66" s="122">
        <v>85</v>
      </c>
      <c r="DXY66" s="123">
        <v>215</v>
      </c>
      <c r="DXZ66" s="123">
        <v>75</v>
      </c>
      <c r="DYA66" s="122">
        <v>150</v>
      </c>
      <c r="DYB66" s="124">
        <f>SUM(DXW66:DYA66)</f>
        <v>8675</v>
      </c>
      <c r="DYC66" s="122">
        <v>200</v>
      </c>
      <c r="DYD66" s="124">
        <f>SUM(DYB66:DYC66)</f>
        <v>8875</v>
      </c>
      <c r="DYE66" s="117" t="s">
        <v>99</v>
      </c>
      <c r="DYF66" s="118">
        <v>45845</v>
      </c>
      <c r="DYG66" s="113" t="s">
        <v>39</v>
      </c>
      <c r="DYH66" s="169"/>
      <c r="DYI66" s="119" t="s">
        <v>92</v>
      </c>
      <c r="DYJ66" s="167"/>
      <c r="DYK66" s="168"/>
      <c r="DYL66" s="113" t="s">
        <v>22</v>
      </c>
      <c r="DYM66" s="114">
        <v>8150</v>
      </c>
      <c r="DYN66" s="122">
        <v>85</v>
      </c>
      <c r="DYO66" s="123">
        <v>215</v>
      </c>
      <c r="DYP66" s="123">
        <v>75</v>
      </c>
      <c r="DYQ66" s="122">
        <v>150</v>
      </c>
      <c r="DYR66" s="124">
        <f>SUM(DYM66:DYQ66)</f>
        <v>8675</v>
      </c>
      <c r="DYS66" s="122">
        <v>200</v>
      </c>
      <c r="DYT66" s="124">
        <f>SUM(DYR66:DYS66)</f>
        <v>8875</v>
      </c>
      <c r="DYU66" s="117" t="s">
        <v>99</v>
      </c>
      <c r="DYV66" s="118">
        <v>45845</v>
      </c>
      <c r="DYW66" s="113" t="s">
        <v>39</v>
      </c>
      <c r="DYX66" s="169"/>
      <c r="DYY66" s="119" t="s">
        <v>92</v>
      </c>
      <c r="DYZ66" s="167"/>
      <c r="DZA66" s="168"/>
      <c r="DZB66" s="113" t="s">
        <v>22</v>
      </c>
      <c r="DZC66" s="114">
        <v>8150</v>
      </c>
      <c r="DZD66" s="122">
        <v>85</v>
      </c>
      <c r="DZE66" s="123">
        <v>215</v>
      </c>
      <c r="DZF66" s="123">
        <v>75</v>
      </c>
      <c r="DZG66" s="122">
        <v>150</v>
      </c>
      <c r="DZH66" s="124">
        <f>SUM(DZC66:DZG66)</f>
        <v>8675</v>
      </c>
      <c r="DZI66" s="122">
        <v>200</v>
      </c>
      <c r="DZJ66" s="124">
        <f>SUM(DZH66:DZI66)</f>
        <v>8875</v>
      </c>
      <c r="DZK66" s="117" t="s">
        <v>99</v>
      </c>
      <c r="DZL66" s="118">
        <v>45845</v>
      </c>
      <c r="DZM66" s="113" t="s">
        <v>39</v>
      </c>
      <c r="DZN66" s="169"/>
      <c r="DZO66" s="119" t="s">
        <v>92</v>
      </c>
      <c r="DZP66" s="167"/>
      <c r="DZQ66" s="168"/>
      <c r="DZR66" s="113" t="s">
        <v>22</v>
      </c>
      <c r="DZS66" s="114">
        <v>8150</v>
      </c>
      <c r="DZT66" s="122">
        <v>85</v>
      </c>
      <c r="DZU66" s="123">
        <v>215</v>
      </c>
      <c r="DZV66" s="123">
        <v>75</v>
      </c>
      <c r="DZW66" s="122">
        <v>150</v>
      </c>
      <c r="DZX66" s="124">
        <f>SUM(DZS66:DZW66)</f>
        <v>8675</v>
      </c>
      <c r="DZY66" s="122">
        <v>200</v>
      </c>
      <c r="DZZ66" s="124">
        <f>SUM(DZX66:DZY66)</f>
        <v>8875</v>
      </c>
      <c r="EAA66" s="117" t="s">
        <v>99</v>
      </c>
      <c r="EAB66" s="118">
        <v>45845</v>
      </c>
      <c r="EAC66" s="113" t="s">
        <v>39</v>
      </c>
      <c r="EAD66" s="169"/>
      <c r="EAE66" s="119" t="s">
        <v>92</v>
      </c>
      <c r="EAF66" s="167"/>
      <c r="EAG66" s="168"/>
      <c r="EAH66" s="113" t="s">
        <v>22</v>
      </c>
      <c r="EAI66" s="114">
        <v>8150</v>
      </c>
      <c r="EAJ66" s="122">
        <v>85</v>
      </c>
      <c r="EAK66" s="123">
        <v>215</v>
      </c>
      <c r="EAL66" s="123">
        <v>75</v>
      </c>
      <c r="EAM66" s="122">
        <v>150</v>
      </c>
      <c r="EAN66" s="124">
        <f>SUM(EAI66:EAM66)</f>
        <v>8675</v>
      </c>
      <c r="EAO66" s="122">
        <v>200</v>
      </c>
      <c r="EAP66" s="124">
        <f>SUM(EAN66:EAO66)</f>
        <v>8875</v>
      </c>
      <c r="EAQ66" s="117" t="s">
        <v>99</v>
      </c>
      <c r="EAR66" s="118">
        <v>45845</v>
      </c>
      <c r="EAS66" s="113" t="s">
        <v>39</v>
      </c>
      <c r="EAT66" s="169"/>
      <c r="EAU66" s="119" t="s">
        <v>92</v>
      </c>
      <c r="EAV66" s="167"/>
      <c r="EAW66" s="168"/>
      <c r="EAX66" s="113" t="s">
        <v>22</v>
      </c>
      <c r="EAY66" s="114">
        <v>8150</v>
      </c>
      <c r="EAZ66" s="122">
        <v>85</v>
      </c>
      <c r="EBA66" s="123">
        <v>215</v>
      </c>
      <c r="EBB66" s="123">
        <v>75</v>
      </c>
      <c r="EBC66" s="122">
        <v>150</v>
      </c>
      <c r="EBD66" s="124">
        <f>SUM(EAY66:EBC66)</f>
        <v>8675</v>
      </c>
      <c r="EBE66" s="122">
        <v>200</v>
      </c>
      <c r="EBF66" s="124">
        <f>SUM(EBD66:EBE66)</f>
        <v>8875</v>
      </c>
      <c r="EBG66" s="117" t="s">
        <v>99</v>
      </c>
      <c r="EBH66" s="118">
        <v>45845</v>
      </c>
      <c r="EBI66" s="113" t="s">
        <v>39</v>
      </c>
      <c r="EBJ66" s="169"/>
      <c r="EBK66" s="119" t="s">
        <v>92</v>
      </c>
      <c r="EBL66" s="167"/>
      <c r="EBM66" s="168"/>
      <c r="EBN66" s="113" t="s">
        <v>22</v>
      </c>
      <c r="EBO66" s="114">
        <v>8150</v>
      </c>
      <c r="EBP66" s="122">
        <v>85</v>
      </c>
      <c r="EBQ66" s="123">
        <v>215</v>
      </c>
      <c r="EBR66" s="123">
        <v>75</v>
      </c>
      <c r="EBS66" s="122">
        <v>150</v>
      </c>
      <c r="EBT66" s="124">
        <f>SUM(EBO66:EBS66)</f>
        <v>8675</v>
      </c>
      <c r="EBU66" s="122">
        <v>200</v>
      </c>
      <c r="EBV66" s="124">
        <f>SUM(EBT66:EBU66)</f>
        <v>8875</v>
      </c>
      <c r="EBW66" s="117" t="s">
        <v>99</v>
      </c>
      <c r="EBX66" s="118">
        <v>45845</v>
      </c>
      <c r="EBY66" s="113" t="s">
        <v>39</v>
      </c>
      <c r="EBZ66" s="169"/>
      <c r="ECA66" s="119" t="s">
        <v>92</v>
      </c>
      <c r="ECB66" s="167"/>
      <c r="ECC66" s="168"/>
      <c r="ECD66" s="113" t="s">
        <v>22</v>
      </c>
      <c r="ECE66" s="114">
        <v>8150</v>
      </c>
      <c r="ECF66" s="122">
        <v>85</v>
      </c>
      <c r="ECG66" s="123">
        <v>215</v>
      </c>
      <c r="ECH66" s="123">
        <v>75</v>
      </c>
      <c r="ECI66" s="122">
        <v>150</v>
      </c>
      <c r="ECJ66" s="124">
        <f>SUM(ECE66:ECI66)</f>
        <v>8675</v>
      </c>
      <c r="ECK66" s="122">
        <v>200</v>
      </c>
      <c r="ECL66" s="124">
        <f>SUM(ECJ66:ECK66)</f>
        <v>8875</v>
      </c>
      <c r="ECM66" s="117" t="s">
        <v>99</v>
      </c>
      <c r="ECN66" s="118">
        <v>45845</v>
      </c>
      <c r="ECO66" s="113" t="s">
        <v>39</v>
      </c>
      <c r="ECP66" s="169"/>
      <c r="ECQ66" s="119" t="s">
        <v>92</v>
      </c>
      <c r="ECR66" s="167"/>
      <c r="ECS66" s="168"/>
      <c r="ECT66" s="113" t="s">
        <v>22</v>
      </c>
      <c r="ECU66" s="114">
        <v>8150</v>
      </c>
      <c r="ECV66" s="122">
        <v>85</v>
      </c>
      <c r="ECW66" s="123">
        <v>215</v>
      </c>
      <c r="ECX66" s="123">
        <v>75</v>
      </c>
      <c r="ECY66" s="122">
        <v>150</v>
      </c>
      <c r="ECZ66" s="124">
        <f>SUM(ECU66:ECY66)</f>
        <v>8675</v>
      </c>
      <c r="EDA66" s="122">
        <v>200</v>
      </c>
      <c r="EDB66" s="124">
        <f>SUM(ECZ66:EDA66)</f>
        <v>8875</v>
      </c>
      <c r="EDC66" s="117" t="s">
        <v>99</v>
      </c>
      <c r="EDD66" s="118">
        <v>45845</v>
      </c>
      <c r="EDE66" s="113" t="s">
        <v>39</v>
      </c>
      <c r="EDF66" s="169"/>
      <c r="EDG66" s="119" t="s">
        <v>92</v>
      </c>
      <c r="EDH66" s="167"/>
      <c r="EDI66" s="168"/>
      <c r="EDJ66" s="113" t="s">
        <v>22</v>
      </c>
      <c r="EDK66" s="114">
        <v>8150</v>
      </c>
      <c r="EDL66" s="122">
        <v>85</v>
      </c>
      <c r="EDM66" s="123">
        <v>215</v>
      </c>
      <c r="EDN66" s="123">
        <v>75</v>
      </c>
      <c r="EDO66" s="122">
        <v>150</v>
      </c>
      <c r="EDP66" s="124">
        <f>SUM(EDK66:EDO66)</f>
        <v>8675</v>
      </c>
      <c r="EDQ66" s="122">
        <v>200</v>
      </c>
      <c r="EDR66" s="124">
        <f>SUM(EDP66:EDQ66)</f>
        <v>8875</v>
      </c>
      <c r="EDS66" s="117" t="s">
        <v>99</v>
      </c>
      <c r="EDT66" s="118">
        <v>45845</v>
      </c>
      <c r="EDU66" s="113" t="s">
        <v>39</v>
      </c>
      <c r="EDV66" s="169"/>
      <c r="EDW66" s="119" t="s">
        <v>92</v>
      </c>
      <c r="EDX66" s="167"/>
      <c r="EDY66" s="168"/>
      <c r="EDZ66" s="113" t="s">
        <v>22</v>
      </c>
      <c r="EEA66" s="114">
        <v>8150</v>
      </c>
      <c r="EEB66" s="122">
        <v>85</v>
      </c>
      <c r="EEC66" s="123">
        <v>215</v>
      </c>
      <c r="EED66" s="123">
        <v>75</v>
      </c>
      <c r="EEE66" s="122">
        <v>150</v>
      </c>
      <c r="EEF66" s="124">
        <f>SUM(EEA66:EEE66)</f>
        <v>8675</v>
      </c>
      <c r="EEG66" s="122">
        <v>200</v>
      </c>
      <c r="EEH66" s="124">
        <f>SUM(EEF66:EEG66)</f>
        <v>8875</v>
      </c>
      <c r="EEI66" s="117" t="s">
        <v>99</v>
      </c>
      <c r="EEJ66" s="118">
        <v>45845</v>
      </c>
      <c r="EEK66" s="113" t="s">
        <v>39</v>
      </c>
      <c r="EEL66" s="169"/>
      <c r="EEM66" s="119" t="s">
        <v>92</v>
      </c>
      <c r="EEN66" s="167"/>
      <c r="EEO66" s="168"/>
      <c r="EEP66" s="113" t="s">
        <v>22</v>
      </c>
      <c r="EEQ66" s="114">
        <v>8150</v>
      </c>
      <c r="EER66" s="122">
        <v>85</v>
      </c>
      <c r="EES66" s="123">
        <v>215</v>
      </c>
      <c r="EET66" s="123">
        <v>75</v>
      </c>
      <c r="EEU66" s="122">
        <v>150</v>
      </c>
      <c r="EEV66" s="124">
        <f>SUM(EEQ66:EEU66)</f>
        <v>8675</v>
      </c>
      <c r="EEW66" s="122">
        <v>200</v>
      </c>
      <c r="EEX66" s="124">
        <f>SUM(EEV66:EEW66)</f>
        <v>8875</v>
      </c>
      <c r="EEY66" s="117" t="s">
        <v>99</v>
      </c>
      <c r="EEZ66" s="118">
        <v>45845</v>
      </c>
      <c r="EFA66" s="113" t="s">
        <v>39</v>
      </c>
      <c r="EFB66" s="169"/>
      <c r="EFC66" s="119" t="s">
        <v>92</v>
      </c>
      <c r="EFD66" s="167"/>
      <c r="EFE66" s="168"/>
      <c r="EFF66" s="113" t="s">
        <v>22</v>
      </c>
      <c r="EFG66" s="114">
        <v>8150</v>
      </c>
      <c r="EFH66" s="122">
        <v>85</v>
      </c>
      <c r="EFI66" s="123">
        <v>215</v>
      </c>
      <c r="EFJ66" s="123">
        <v>75</v>
      </c>
      <c r="EFK66" s="122">
        <v>150</v>
      </c>
      <c r="EFL66" s="124">
        <f>SUM(EFG66:EFK66)</f>
        <v>8675</v>
      </c>
      <c r="EFM66" s="122">
        <v>200</v>
      </c>
      <c r="EFN66" s="124">
        <f>SUM(EFL66:EFM66)</f>
        <v>8875</v>
      </c>
      <c r="EFO66" s="117" t="s">
        <v>99</v>
      </c>
      <c r="EFP66" s="118">
        <v>45845</v>
      </c>
      <c r="EFQ66" s="113" t="s">
        <v>39</v>
      </c>
      <c r="EFR66" s="169"/>
      <c r="EFS66" s="119" t="s">
        <v>92</v>
      </c>
      <c r="EFT66" s="167"/>
      <c r="EFU66" s="168"/>
      <c r="EFV66" s="113" t="s">
        <v>22</v>
      </c>
      <c r="EFW66" s="114">
        <v>8150</v>
      </c>
      <c r="EFX66" s="122">
        <v>85</v>
      </c>
      <c r="EFY66" s="123">
        <v>215</v>
      </c>
      <c r="EFZ66" s="123">
        <v>75</v>
      </c>
      <c r="EGA66" s="122">
        <v>150</v>
      </c>
      <c r="EGB66" s="124">
        <f>SUM(EFW66:EGA66)</f>
        <v>8675</v>
      </c>
      <c r="EGC66" s="122">
        <v>200</v>
      </c>
      <c r="EGD66" s="124">
        <f>SUM(EGB66:EGC66)</f>
        <v>8875</v>
      </c>
      <c r="EGE66" s="117" t="s">
        <v>99</v>
      </c>
      <c r="EGF66" s="118">
        <v>45845</v>
      </c>
      <c r="EGG66" s="113" t="s">
        <v>39</v>
      </c>
      <c r="EGH66" s="169"/>
      <c r="EGI66" s="119" t="s">
        <v>92</v>
      </c>
      <c r="EGJ66" s="167"/>
      <c r="EGK66" s="168"/>
      <c r="EGL66" s="113" t="s">
        <v>22</v>
      </c>
      <c r="EGM66" s="114">
        <v>8150</v>
      </c>
      <c r="EGN66" s="122">
        <v>85</v>
      </c>
      <c r="EGO66" s="123">
        <v>215</v>
      </c>
      <c r="EGP66" s="123">
        <v>75</v>
      </c>
      <c r="EGQ66" s="122">
        <v>150</v>
      </c>
      <c r="EGR66" s="124">
        <f>SUM(EGM66:EGQ66)</f>
        <v>8675</v>
      </c>
      <c r="EGS66" s="122">
        <v>200</v>
      </c>
      <c r="EGT66" s="124">
        <f>SUM(EGR66:EGS66)</f>
        <v>8875</v>
      </c>
      <c r="EGU66" s="117" t="s">
        <v>99</v>
      </c>
      <c r="EGV66" s="118">
        <v>45845</v>
      </c>
      <c r="EGW66" s="113" t="s">
        <v>39</v>
      </c>
      <c r="EGX66" s="169"/>
      <c r="EGY66" s="119" t="s">
        <v>92</v>
      </c>
      <c r="EGZ66" s="167"/>
      <c r="EHA66" s="168"/>
      <c r="EHB66" s="113" t="s">
        <v>22</v>
      </c>
      <c r="EHC66" s="114">
        <v>8150</v>
      </c>
      <c r="EHD66" s="122">
        <v>85</v>
      </c>
      <c r="EHE66" s="123">
        <v>215</v>
      </c>
      <c r="EHF66" s="123">
        <v>75</v>
      </c>
      <c r="EHG66" s="122">
        <v>150</v>
      </c>
      <c r="EHH66" s="124">
        <f>SUM(EHC66:EHG66)</f>
        <v>8675</v>
      </c>
      <c r="EHI66" s="122">
        <v>200</v>
      </c>
      <c r="EHJ66" s="124">
        <f>SUM(EHH66:EHI66)</f>
        <v>8875</v>
      </c>
      <c r="EHK66" s="117" t="s">
        <v>99</v>
      </c>
      <c r="EHL66" s="118">
        <v>45845</v>
      </c>
      <c r="EHM66" s="113" t="s">
        <v>39</v>
      </c>
      <c r="EHN66" s="169"/>
      <c r="EHO66" s="119" t="s">
        <v>92</v>
      </c>
      <c r="EHP66" s="167"/>
      <c r="EHQ66" s="168"/>
      <c r="EHR66" s="113" t="s">
        <v>22</v>
      </c>
      <c r="EHS66" s="114">
        <v>8150</v>
      </c>
      <c r="EHT66" s="122">
        <v>85</v>
      </c>
      <c r="EHU66" s="123">
        <v>215</v>
      </c>
      <c r="EHV66" s="123">
        <v>75</v>
      </c>
      <c r="EHW66" s="122">
        <v>150</v>
      </c>
      <c r="EHX66" s="124">
        <f>SUM(EHS66:EHW66)</f>
        <v>8675</v>
      </c>
      <c r="EHY66" s="122">
        <v>200</v>
      </c>
      <c r="EHZ66" s="124">
        <f>SUM(EHX66:EHY66)</f>
        <v>8875</v>
      </c>
      <c r="EIA66" s="117" t="s">
        <v>99</v>
      </c>
      <c r="EIB66" s="118">
        <v>45845</v>
      </c>
      <c r="EIC66" s="113" t="s">
        <v>39</v>
      </c>
      <c r="EID66" s="169"/>
      <c r="EIE66" s="119" t="s">
        <v>92</v>
      </c>
      <c r="EIF66" s="167"/>
      <c r="EIG66" s="168"/>
      <c r="EIH66" s="113" t="s">
        <v>22</v>
      </c>
      <c r="EII66" s="114">
        <v>8150</v>
      </c>
      <c r="EIJ66" s="122">
        <v>85</v>
      </c>
      <c r="EIK66" s="123">
        <v>215</v>
      </c>
      <c r="EIL66" s="123">
        <v>75</v>
      </c>
      <c r="EIM66" s="122">
        <v>150</v>
      </c>
      <c r="EIN66" s="124">
        <f>SUM(EII66:EIM66)</f>
        <v>8675</v>
      </c>
      <c r="EIO66" s="122">
        <v>200</v>
      </c>
      <c r="EIP66" s="124">
        <f>SUM(EIN66:EIO66)</f>
        <v>8875</v>
      </c>
      <c r="EIQ66" s="117" t="s">
        <v>99</v>
      </c>
      <c r="EIR66" s="118">
        <v>45845</v>
      </c>
      <c r="EIS66" s="113" t="s">
        <v>39</v>
      </c>
      <c r="EIT66" s="169"/>
      <c r="EIU66" s="119" t="s">
        <v>92</v>
      </c>
      <c r="EIV66" s="167"/>
      <c r="EIW66" s="168"/>
      <c r="EIX66" s="113" t="s">
        <v>22</v>
      </c>
      <c r="EIY66" s="114">
        <v>8150</v>
      </c>
      <c r="EIZ66" s="122">
        <v>85</v>
      </c>
      <c r="EJA66" s="123">
        <v>215</v>
      </c>
      <c r="EJB66" s="123">
        <v>75</v>
      </c>
      <c r="EJC66" s="122">
        <v>150</v>
      </c>
      <c r="EJD66" s="124">
        <f>SUM(EIY66:EJC66)</f>
        <v>8675</v>
      </c>
      <c r="EJE66" s="122">
        <v>200</v>
      </c>
      <c r="EJF66" s="124">
        <f>SUM(EJD66:EJE66)</f>
        <v>8875</v>
      </c>
      <c r="EJG66" s="117" t="s">
        <v>99</v>
      </c>
      <c r="EJH66" s="118">
        <v>45845</v>
      </c>
      <c r="EJI66" s="113" t="s">
        <v>39</v>
      </c>
      <c r="EJJ66" s="169"/>
      <c r="EJK66" s="119" t="s">
        <v>92</v>
      </c>
      <c r="EJL66" s="167"/>
      <c r="EJM66" s="168"/>
      <c r="EJN66" s="113" t="s">
        <v>22</v>
      </c>
      <c r="EJO66" s="114">
        <v>8150</v>
      </c>
      <c r="EJP66" s="122">
        <v>85</v>
      </c>
      <c r="EJQ66" s="123">
        <v>215</v>
      </c>
      <c r="EJR66" s="123">
        <v>75</v>
      </c>
      <c r="EJS66" s="122">
        <v>150</v>
      </c>
      <c r="EJT66" s="124">
        <f>SUM(EJO66:EJS66)</f>
        <v>8675</v>
      </c>
      <c r="EJU66" s="122">
        <v>200</v>
      </c>
      <c r="EJV66" s="124">
        <f>SUM(EJT66:EJU66)</f>
        <v>8875</v>
      </c>
      <c r="EJW66" s="117" t="s">
        <v>99</v>
      </c>
      <c r="EJX66" s="118">
        <v>45845</v>
      </c>
      <c r="EJY66" s="113" t="s">
        <v>39</v>
      </c>
      <c r="EJZ66" s="169"/>
      <c r="EKA66" s="119" t="s">
        <v>92</v>
      </c>
      <c r="EKB66" s="167"/>
      <c r="EKC66" s="168"/>
      <c r="EKD66" s="113" t="s">
        <v>22</v>
      </c>
      <c r="EKE66" s="114">
        <v>8150</v>
      </c>
      <c r="EKF66" s="122">
        <v>85</v>
      </c>
      <c r="EKG66" s="123">
        <v>215</v>
      </c>
      <c r="EKH66" s="123">
        <v>75</v>
      </c>
      <c r="EKI66" s="122">
        <v>150</v>
      </c>
      <c r="EKJ66" s="124">
        <f>SUM(EKE66:EKI66)</f>
        <v>8675</v>
      </c>
      <c r="EKK66" s="122">
        <v>200</v>
      </c>
      <c r="EKL66" s="124">
        <f>SUM(EKJ66:EKK66)</f>
        <v>8875</v>
      </c>
      <c r="EKM66" s="117" t="s">
        <v>99</v>
      </c>
      <c r="EKN66" s="118">
        <v>45845</v>
      </c>
      <c r="EKO66" s="113" t="s">
        <v>39</v>
      </c>
      <c r="EKP66" s="169"/>
      <c r="EKQ66" s="119" t="s">
        <v>92</v>
      </c>
      <c r="EKR66" s="167"/>
      <c r="EKS66" s="168"/>
      <c r="EKT66" s="113" t="s">
        <v>22</v>
      </c>
      <c r="EKU66" s="114">
        <v>8150</v>
      </c>
      <c r="EKV66" s="122">
        <v>85</v>
      </c>
      <c r="EKW66" s="123">
        <v>215</v>
      </c>
      <c r="EKX66" s="123">
        <v>75</v>
      </c>
      <c r="EKY66" s="122">
        <v>150</v>
      </c>
      <c r="EKZ66" s="124">
        <f>SUM(EKU66:EKY66)</f>
        <v>8675</v>
      </c>
      <c r="ELA66" s="122">
        <v>200</v>
      </c>
      <c r="ELB66" s="124">
        <f>SUM(EKZ66:ELA66)</f>
        <v>8875</v>
      </c>
      <c r="ELC66" s="117" t="s">
        <v>99</v>
      </c>
      <c r="ELD66" s="118">
        <v>45845</v>
      </c>
      <c r="ELE66" s="113" t="s">
        <v>39</v>
      </c>
      <c r="ELF66" s="169"/>
      <c r="ELG66" s="119" t="s">
        <v>92</v>
      </c>
      <c r="ELH66" s="167"/>
      <c r="ELI66" s="168"/>
      <c r="ELJ66" s="113" t="s">
        <v>22</v>
      </c>
      <c r="ELK66" s="114">
        <v>8150</v>
      </c>
      <c r="ELL66" s="122">
        <v>85</v>
      </c>
      <c r="ELM66" s="123">
        <v>215</v>
      </c>
      <c r="ELN66" s="123">
        <v>75</v>
      </c>
      <c r="ELO66" s="122">
        <v>150</v>
      </c>
      <c r="ELP66" s="124">
        <f>SUM(ELK66:ELO66)</f>
        <v>8675</v>
      </c>
      <c r="ELQ66" s="122">
        <v>200</v>
      </c>
      <c r="ELR66" s="124">
        <f>SUM(ELP66:ELQ66)</f>
        <v>8875</v>
      </c>
      <c r="ELS66" s="117" t="s">
        <v>99</v>
      </c>
      <c r="ELT66" s="118">
        <v>45845</v>
      </c>
      <c r="ELU66" s="113" t="s">
        <v>39</v>
      </c>
      <c r="ELV66" s="169"/>
      <c r="ELW66" s="119" t="s">
        <v>92</v>
      </c>
      <c r="ELX66" s="167"/>
      <c r="ELY66" s="168"/>
      <c r="ELZ66" s="113" t="s">
        <v>22</v>
      </c>
      <c r="EMA66" s="114">
        <v>8150</v>
      </c>
      <c r="EMB66" s="122">
        <v>85</v>
      </c>
      <c r="EMC66" s="123">
        <v>215</v>
      </c>
      <c r="EMD66" s="123">
        <v>75</v>
      </c>
      <c r="EME66" s="122">
        <v>150</v>
      </c>
      <c r="EMF66" s="124">
        <f>SUM(EMA66:EME66)</f>
        <v>8675</v>
      </c>
      <c r="EMG66" s="122">
        <v>200</v>
      </c>
      <c r="EMH66" s="124">
        <f>SUM(EMF66:EMG66)</f>
        <v>8875</v>
      </c>
      <c r="EMI66" s="117" t="s">
        <v>99</v>
      </c>
      <c r="EMJ66" s="118">
        <v>45845</v>
      </c>
      <c r="EMK66" s="113" t="s">
        <v>39</v>
      </c>
      <c r="EML66" s="169"/>
      <c r="EMM66" s="119" t="s">
        <v>92</v>
      </c>
      <c r="EMN66" s="167"/>
      <c r="EMO66" s="168"/>
      <c r="EMP66" s="113" t="s">
        <v>22</v>
      </c>
      <c r="EMQ66" s="114">
        <v>8150</v>
      </c>
      <c r="EMR66" s="122">
        <v>85</v>
      </c>
      <c r="EMS66" s="123">
        <v>215</v>
      </c>
      <c r="EMT66" s="123">
        <v>75</v>
      </c>
      <c r="EMU66" s="122">
        <v>150</v>
      </c>
      <c r="EMV66" s="124">
        <f>SUM(EMQ66:EMU66)</f>
        <v>8675</v>
      </c>
      <c r="EMW66" s="122">
        <v>200</v>
      </c>
      <c r="EMX66" s="124">
        <f>SUM(EMV66:EMW66)</f>
        <v>8875</v>
      </c>
      <c r="EMY66" s="117" t="s">
        <v>99</v>
      </c>
      <c r="EMZ66" s="118">
        <v>45845</v>
      </c>
      <c r="ENA66" s="113" t="s">
        <v>39</v>
      </c>
      <c r="ENB66" s="169"/>
      <c r="ENC66" s="119" t="s">
        <v>92</v>
      </c>
      <c r="END66" s="167"/>
      <c r="ENE66" s="168"/>
      <c r="ENF66" s="113" t="s">
        <v>22</v>
      </c>
      <c r="ENG66" s="114">
        <v>8150</v>
      </c>
      <c r="ENH66" s="122">
        <v>85</v>
      </c>
      <c r="ENI66" s="123">
        <v>215</v>
      </c>
      <c r="ENJ66" s="123">
        <v>75</v>
      </c>
      <c r="ENK66" s="122">
        <v>150</v>
      </c>
      <c r="ENL66" s="124">
        <f>SUM(ENG66:ENK66)</f>
        <v>8675</v>
      </c>
      <c r="ENM66" s="122">
        <v>200</v>
      </c>
      <c r="ENN66" s="124">
        <f>SUM(ENL66:ENM66)</f>
        <v>8875</v>
      </c>
      <c r="ENO66" s="117" t="s">
        <v>99</v>
      </c>
      <c r="ENP66" s="118">
        <v>45845</v>
      </c>
      <c r="ENQ66" s="113" t="s">
        <v>39</v>
      </c>
      <c r="ENR66" s="169"/>
      <c r="ENS66" s="119" t="s">
        <v>92</v>
      </c>
      <c r="ENT66" s="167"/>
      <c r="ENU66" s="168"/>
      <c r="ENV66" s="113" t="s">
        <v>22</v>
      </c>
      <c r="ENW66" s="114">
        <v>8150</v>
      </c>
      <c r="ENX66" s="122">
        <v>85</v>
      </c>
      <c r="ENY66" s="123">
        <v>215</v>
      </c>
      <c r="ENZ66" s="123">
        <v>75</v>
      </c>
      <c r="EOA66" s="122">
        <v>150</v>
      </c>
      <c r="EOB66" s="124">
        <f>SUM(ENW66:EOA66)</f>
        <v>8675</v>
      </c>
      <c r="EOC66" s="122">
        <v>200</v>
      </c>
      <c r="EOD66" s="124">
        <f>SUM(EOB66:EOC66)</f>
        <v>8875</v>
      </c>
      <c r="EOE66" s="117" t="s">
        <v>99</v>
      </c>
      <c r="EOF66" s="118">
        <v>45845</v>
      </c>
      <c r="EOG66" s="113" t="s">
        <v>39</v>
      </c>
      <c r="EOH66" s="169"/>
      <c r="EOI66" s="119" t="s">
        <v>92</v>
      </c>
      <c r="EOJ66" s="167"/>
      <c r="EOK66" s="168"/>
      <c r="EOL66" s="113" t="s">
        <v>22</v>
      </c>
      <c r="EOM66" s="114">
        <v>8150</v>
      </c>
      <c r="EON66" s="122">
        <v>85</v>
      </c>
      <c r="EOO66" s="123">
        <v>215</v>
      </c>
      <c r="EOP66" s="123">
        <v>75</v>
      </c>
      <c r="EOQ66" s="122">
        <v>150</v>
      </c>
      <c r="EOR66" s="124">
        <f>SUM(EOM66:EOQ66)</f>
        <v>8675</v>
      </c>
      <c r="EOS66" s="122">
        <v>200</v>
      </c>
      <c r="EOT66" s="124">
        <f>SUM(EOR66:EOS66)</f>
        <v>8875</v>
      </c>
      <c r="EOU66" s="117" t="s">
        <v>99</v>
      </c>
      <c r="EOV66" s="118">
        <v>45845</v>
      </c>
      <c r="EOW66" s="113" t="s">
        <v>39</v>
      </c>
      <c r="EOX66" s="169"/>
      <c r="EOY66" s="119" t="s">
        <v>92</v>
      </c>
      <c r="EOZ66" s="167"/>
      <c r="EPA66" s="168"/>
      <c r="EPB66" s="113" t="s">
        <v>22</v>
      </c>
      <c r="EPC66" s="114">
        <v>8150</v>
      </c>
      <c r="EPD66" s="122">
        <v>85</v>
      </c>
      <c r="EPE66" s="123">
        <v>215</v>
      </c>
      <c r="EPF66" s="123">
        <v>75</v>
      </c>
      <c r="EPG66" s="122">
        <v>150</v>
      </c>
      <c r="EPH66" s="124">
        <f>SUM(EPC66:EPG66)</f>
        <v>8675</v>
      </c>
      <c r="EPI66" s="122">
        <v>200</v>
      </c>
      <c r="EPJ66" s="124">
        <f>SUM(EPH66:EPI66)</f>
        <v>8875</v>
      </c>
      <c r="EPK66" s="117" t="s">
        <v>99</v>
      </c>
      <c r="EPL66" s="118">
        <v>45845</v>
      </c>
      <c r="EPM66" s="113" t="s">
        <v>39</v>
      </c>
      <c r="EPN66" s="169"/>
      <c r="EPO66" s="119" t="s">
        <v>92</v>
      </c>
      <c r="EPP66" s="167"/>
      <c r="EPQ66" s="168"/>
      <c r="EPR66" s="113" t="s">
        <v>22</v>
      </c>
      <c r="EPS66" s="114">
        <v>8150</v>
      </c>
      <c r="EPT66" s="122">
        <v>85</v>
      </c>
      <c r="EPU66" s="123">
        <v>215</v>
      </c>
      <c r="EPV66" s="123">
        <v>75</v>
      </c>
      <c r="EPW66" s="122">
        <v>150</v>
      </c>
      <c r="EPX66" s="124">
        <f>SUM(EPS66:EPW66)</f>
        <v>8675</v>
      </c>
      <c r="EPY66" s="122">
        <v>200</v>
      </c>
      <c r="EPZ66" s="124">
        <f>SUM(EPX66:EPY66)</f>
        <v>8875</v>
      </c>
      <c r="EQA66" s="117" t="s">
        <v>99</v>
      </c>
      <c r="EQB66" s="118">
        <v>45845</v>
      </c>
      <c r="EQC66" s="113" t="s">
        <v>39</v>
      </c>
      <c r="EQD66" s="169"/>
      <c r="EQE66" s="119" t="s">
        <v>92</v>
      </c>
      <c r="EQF66" s="167"/>
      <c r="EQG66" s="168"/>
      <c r="EQH66" s="113" t="s">
        <v>22</v>
      </c>
      <c r="EQI66" s="114">
        <v>8150</v>
      </c>
      <c r="EQJ66" s="122">
        <v>85</v>
      </c>
      <c r="EQK66" s="123">
        <v>215</v>
      </c>
      <c r="EQL66" s="123">
        <v>75</v>
      </c>
      <c r="EQM66" s="122">
        <v>150</v>
      </c>
      <c r="EQN66" s="124">
        <f>SUM(EQI66:EQM66)</f>
        <v>8675</v>
      </c>
      <c r="EQO66" s="122">
        <v>200</v>
      </c>
      <c r="EQP66" s="124">
        <f>SUM(EQN66:EQO66)</f>
        <v>8875</v>
      </c>
      <c r="EQQ66" s="117" t="s">
        <v>99</v>
      </c>
      <c r="EQR66" s="118">
        <v>45845</v>
      </c>
      <c r="EQS66" s="113" t="s">
        <v>39</v>
      </c>
      <c r="EQT66" s="169"/>
      <c r="EQU66" s="119" t="s">
        <v>92</v>
      </c>
      <c r="EQV66" s="167"/>
      <c r="EQW66" s="168"/>
      <c r="EQX66" s="113" t="s">
        <v>22</v>
      </c>
      <c r="EQY66" s="114">
        <v>8150</v>
      </c>
      <c r="EQZ66" s="122">
        <v>85</v>
      </c>
      <c r="ERA66" s="123">
        <v>215</v>
      </c>
      <c r="ERB66" s="123">
        <v>75</v>
      </c>
      <c r="ERC66" s="122">
        <v>150</v>
      </c>
      <c r="ERD66" s="124">
        <f>SUM(EQY66:ERC66)</f>
        <v>8675</v>
      </c>
      <c r="ERE66" s="122">
        <v>200</v>
      </c>
      <c r="ERF66" s="124">
        <f>SUM(ERD66:ERE66)</f>
        <v>8875</v>
      </c>
      <c r="ERG66" s="117" t="s">
        <v>99</v>
      </c>
      <c r="ERH66" s="118">
        <v>45845</v>
      </c>
      <c r="ERI66" s="113" t="s">
        <v>39</v>
      </c>
      <c r="ERJ66" s="169"/>
      <c r="ERK66" s="119" t="s">
        <v>92</v>
      </c>
      <c r="ERL66" s="167"/>
      <c r="ERM66" s="168"/>
      <c r="ERN66" s="113" t="s">
        <v>22</v>
      </c>
      <c r="ERO66" s="114">
        <v>8150</v>
      </c>
      <c r="ERP66" s="122">
        <v>85</v>
      </c>
      <c r="ERQ66" s="123">
        <v>215</v>
      </c>
      <c r="ERR66" s="123">
        <v>75</v>
      </c>
      <c r="ERS66" s="122">
        <v>150</v>
      </c>
      <c r="ERT66" s="124">
        <f>SUM(ERO66:ERS66)</f>
        <v>8675</v>
      </c>
      <c r="ERU66" s="122">
        <v>200</v>
      </c>
      <c r="ERV66" s="124">
        <f>SUM(ERT66:ERU66)</f>
        <v>8875</v>
      </c>
      <c r="ERW66" s="117" t="s">
        <v>99</v>
      </c>
      <c r="ERX66" s="118">
        <v>45845</v>
      </c>
      <c r="ERY66" s="113" t="s">
        <v>39</v>
      </c>
      <c r="ERZ66" s="169"/>
      <c r="ESA66" s="119" t="s">
        <v>92</v>
      </c>
      <c r="ESB66" s="167"/>
      <c r="ESC66" s="168"/>
      <c r="ESD66" s="113" t="s">
        <v>22</v>
      </c>
      <c r="ESE66" s="114">
        <v>8150</v>
      </c>
      <c r="ESF66" s="122">
        <v>85</v>
      </c>
      <c r="ESG66" s="123">
        <v>215</v>
      </c>
      <c r="ESH66" s="123">
        <v>75</v>
      </c>
      <c r="ESI66" s="122">
        <v>150</v>
      </c>
      <c r="ESJ66" s="124">
        <f>SUM(ESE66:ESI66)</f>
        <v>8675</v>
      </c>
      <c r="ESK66" s="122">
        <v>200</v>
      </c>
      <c r="ESL66" s="124">
        <f>SUM(ESJ66:ESK66)</f>
        <v>8875</v>
      </c>
      <c r="ESM66" s="117" t="s">
        <v>99</v>
      </c>
      <c r="ESN66" s="118">
        <v>45845</v>
      </c>
      <c r="ESO66" s="113" t="s">
        <v>39</v>
      </c>
      <c r="ESP66" s="169"/>
      <c r="ESQ66" s="119" t="s">
        <v>92</v>
      </c>
      <c r="ESR66" s="167"/>
      <c r="ESS66" s="168"/>
      <c r="EST66" s="113" t="s">
        <v>22</v>
      </c>
      <c r="ESU66" s="114">
        <v>8150</v>
      </c>
      <c r="ESV66" s="122">
        <v>85</v>
      </c>
      <c r="ESW66" s="123">
        <v>215</v>
      </c>
      <c r="ESX66" s="123">
        <v>75</v>
      </c>
      <c r="ESY66" s="122">
        <v>150</v>
      </c>
      <c r="ESZ66" s="124">
        <f>SUM(ESU66:ESY66)</f>
        <v>8675</v>
      </c>
      <c r="ETA66" s="122">
        <v>200</v>
      </c>
      <c r="ETB66" s="124">
        <f>SUM(ESZ66:ETA66)</f>
        <v>8875</v>
      </c>
      <c r="ETC66" s="117" t="s">
        <v>99</v>
      </c>
      <c r="ETD66" s="118">
        <v>45845</v>
      </c>
      <c r="ETE66" s="113" t="s">
        <v>39</v>
      </c>
      <c r="ETF66" s="169"/>
      <c r="ETG66" s="119" t="s">
        <v>92</v>
      </c>
      <c r="ETH66" s="167"/>
      <c r="ETI66" s="168"/>
      <c r="ETJ66" s="113" t="s">
        <v>22</v>
      </c>
      <c r="ETK66" s="114">
        <v>8150</v>
      </c>
      <c r="ETL66" s="122">
        <v>85</v>
      </c>
      <c r="ETM66" s="123">
        <v>215</v>
      </c>
      <c r="ETN66" s="123">
        <v>75</v>
      </c>
      <c r="ETO66" s="122">
        <v>150</v>
      </c>
      <c r="ETP66" s="124">
        <f>SUM(ETK66:ETO66)</f>
        <v>8675</v>
      </c>
      <c r="ETQ66" s="122">
        <v>200</v>
      </c>
      <c r="ETR66" s="124">
        <f>SUM(ETP66:ETQ66)</f>
        <v>8875</v>
      </c>
      <c r="ETS66" s="117" t="s">
        <v>99</v>
      </c>
      <c r="ETT66" s="118">
        <v>45845</v>
      </c>
      <c r="ETU66" s="113" t="s">
        <v>39</v>
      </c>
      <c r="ETV66" s="169"/>
      <c r="ETW66" s="119" t="s">
        <v>92</v>
      </c>
      <c r="ETX66" s="167"/>
      <c r="ETY66" s="168"/>
      <c r="ETZ66" s="113" t="s">
        <v>22</v>
      </c>
      <c r="EUA66" s="114">
        <v>8150</v>
      </c>
      <c r="EUB66" s="122">
        <v>85</v>
      </c>
      <c r="EUC66" s="123">
        <v>215</v>
      </c>
      <c r="EUD66" s="123">
        <v>75</v>
      </c>
      <c r="EUE66" s="122">
        <v>150</v>
      </c>
      <c r="EUF66" s="124">
        <f>SUM(EUA66:EUE66)</f>
        <v>8675</v>
      </c>
      <c r="EUG66" s="122">
        <v>200</v>
      </c>
      <c r="EUH66" s="124">
        <f>SUM(EUF66:EUG66)</f>
        <v>8875</v>
      </c>
      <c r="EUI66" s="117" t="s">
        <v>99</v>
      </c>
      <c r="EUJ66" s="118">
        <v>45845</v>
      </c>
      <c r="EUK66" s="113" t="s">
        <v>39</v>
      </c>
      <c r="EUL66" s="169"/>
      <c r="EUM66" s="119" t="s">
        <v>92</v>
      </c>
      <c r="EUN66" s="167"/>
      <c r="EUO66" s="168"/>
      <c r="EUP66" s="113" t="s">
        <v>22</v>
      </c>
      <c r="EUQ66" s="114">
        <v>8150</v>
      </c>
      <c r="EUR66" s="122">
        <v>85</v>
      </c>
      <c r="EUS66" s="123">
        <v>215</v>
      </c>
      <c r="EUT66" s="123">
        <v>75</v>
      </c>
      <c r="EUU66" s="122">
        <v>150</v>
      </c>
      <c r="EUV66" s="124">
        <f>SUM(EUQ66:EUU66)</f>
        <v>8675</v>
      </c>
      <c r="EUW66" s="122">
        <v>200</v>
      </c>
      <c r="EUX66" s="124">
        <f>SUM(EUV66:EUW66)</f>
        <v>8875</v>
      </c>
      <c r="EUY66" s="117" t="s">
        <v>99</v>
      </c>
      <c r="EUZ66" s="118">
        <v>45845</v>
      </c>
      <c r="EVA66" s="113" t="s">
        <v>39</v>
      </c>
      <c r="EVB66" s="169"/>
      <c r="EVC66" s="119" t="s">
        <v>92</v>
      </c>
      <c r="EVD66" s="167"/>
      <c r="EVE66" s="168"/>
      <c r="EVF66" s="113" t="s">
        <v>22</v>
      </c>
      <c r="EVG66" s="114">
        <v>8150</v>
      </c>
      <c r="EVH66" s="122">
        <v>85</v>
      </c>
      <c r="EVI66" s="123">
        <v>215</v>
      </c>
      <c r="EVJ66" s="123">
        <v>75</v>
      </c>
      <c r="EVK66" s="122">
        <v>150</v>
      </c>
      <c r="EVL66" s="124">
        <f>SUM(EVG66:EVK66)</f>
        <v>8675</v>
      </c>
      <c r="EVM66" s="122">
        <v>200</v>
      </c>
      <c r="EVN66" s="124">
        <f>SUM(EVL66:EVM66)</f>
        <v>8875</v>
      </c>
      <c r="EVO66" s="117" t="s">
        <v>99</v>
      </c>
      <c r="EVP66" s="118">
        <v>45845</v>
      </c>
      <c r="EVQ66" s="113" t="s">
        <v>39</v>
      </c>
      <c r="EVR66" s="169"/>
      <c r="EVS66" s="119" t="s">
        <v>92</v>
      </c>
      <c r="EVT66" s="167"/>
      <c r="EVU66" s="168"/>
      <c r="EVV66" s="113" t="s">
        <v>22</v>
      </c>
      <c r="EVW66" s="114">
        <v>8150</v>
      </c>
      <c r="EVX66" s="122">
        <v>85</v>
      </c>
      <c r="EVY66" s="123">
        <v>215</v>
      </c>
      <c r="EVZ66" s="123">
        <v>75</v>
      </c>
      <c r="EWA66" s="122">
        <v>150</v>
      </c>
      <c r="EWB66" s="124">
        <f>SUM(EVW66:EWA66)</f>
        <v>8675</v>
      </c>
      <c r="EWC66" s="122">
        <v>200</v>
      </c>
      <c r="EWD66" s="124">
        <f>SUM(EWB66:EWC66)</f>
        <v>8875</v>
      </c>
      <c r="EWE66" s="117" t="s">
        <v>99</v>
      </c>
      <c r="EWF66" s="118">
        <v>45845</v>
      </c>
      <c r="EWG66" s="113" t="s">
        <v>39</v>
      </c>
      <c r="EWH66" s="169"/>
      <c r="EWI66" s="119" t="s">
        <v>92</v>
      </c>
      <c r="EWJ66" s="167"/>
      <c r="EWK66" s="168"/>
      <c r="EWL66" s="113" t="s">
        <v>22</v>
      </c>
      <c r="EWM66" s="114">
        <v>8150</v>
      </c>
      <c r="EWN66" s="122">
        <v>85</v>
      </c>
      <c r="EWO66" s="123">
        <v>215</v>
      </c>
      <c r="EWP66" s="123">
        <v>75</v>
      </c>
      <c r="EWQ66" s="122">
        <v>150</v>
      </c>
      <c r="EWR66" s="124">
        <f>SUM(EWM66:EWQ66)</f>
        <v>8675</v>
      </c>
      <c r="EWS66" s="122">
        <v>200</v>
      </c>
      <c r="EWT66" s="124">
        <f>SUM(EWR66:EWS66)</f>
        <v>8875</v>
      </c>
      <c r="EWU66" s="117" t="s">
        <v>99</v>
      </c>
      <c r="EWV66" s="118">
        <v>45845</v>
      </c>
      <c r="EWW66" s="113" t="s">
        <v>39</v>
      </c>
      <c r="EWX66" s="169"/>
      <c r="EWY66" s="119" t="s">
        <v>92</v>
      </c>
      <c r="EWZ66" s="167"/>
      <c r="EXA66" s="168"/>
      <c r="EXB66" s="113" t="s">
        <v>22</v>
      </c>
      <c r="EXC66" s="114">
        <v>8150</v>
      </c>
      <c r="EXD66" s="122">
        <v>85</v>
      </c>
      <c r="EXE66" s="123">
        <v>215</v>
      </c>
      <c r="EXF66" s="123">
        <v>75</v>
      </c>
      <c r="EXG66" s="122">
        <v>150</v>
      </c>
      <c r="EXH66" s="124">
        <f>SUM(EXC66:EXG66)</f>
        <v>8675</v>
      </c>
      <c r="EXI66" s="122">
        <v>200</v>
      </c>
      <c r="EXJ66" s="124">
        <f>SUM(EXH66:EXI66)</f>
        <v>8875</v>
      </c>
      <c r="EXK66" s="117" t="s">
        <v>99</v>
      </c>
      <c r="EXL66" s="118">
        <v>45845</v>
      </c>
      <c r="EXM66" s="113" t="s">
        <v>39</v>
      </c>
      <c r="EXN66" s="169"/>
      <c r="EXO66" s="119" t="s">
        <v>92</v>
      </c>
      <c r="EXP66" s="167"/>
      <c r="EXQ66" s="168"/>
      <c r="EXR66" s="113" t="s">
        <v>22</v>
      </c>
      <c r="EXS66" s="114">
        <v>8150</v>
      </c>
      <c r="EXT66" s="122">
        <v>85</v>
      </c>
      <c r="EXU66" s="123">
        <v>215</v>
      </c>
      <c r="EXV66" s="123">
        <v>75</v>
      </c>
      <c r="EXW66" s="122">
        <v>150</v>
      </c>
      <c r="EXX66" s="124">
        <f>SUM(EXS66:EXW66)</f>
        <v>8675</v>
      </c>
      <c r="EXY66" s="122">
        <v>200</v>
      </c>
      <c r="EXZ66" s="124">
        <f>SUM(EXX66:EXY66)</f>
        <v>8875</v>
      </c>
      <c r="EYA66" s="117" t="s">
        <v>99</v>
      </c>
      <c r="EYB66" s="118">
        <v>45845</v>
      </c>
      <c r="EYC66" s="113" t="s">
        <v>39</v>
      </c>
      <c r="EYD66" s="169"/>
      <c r="EYE66" s="119" t="s">
        <v>92</v>
      </c>
      <c r="EYF66" s="167"/>
      <c r="EYG66" s="168"/>
      <c r="EYH66" s="113" t="s">
        <v>22</v>
      </c>
      <c r="EYI66" s="114">
        <v>8150</v>
      </c>
      <c r="EYJ66" s="122">
        <v>85</v>
      </c>
      <c r="EYK66" s="123">
        <v>215</v>
      </c>
      <c r="EYL66" s="123">
        <v>75</v>
      </c>
      <c r="EYM66" s="122">
        <v>150</v>
      </c>
      <c r="EYN66" s="124">
        <f>SUM(EYI66:EYM66)</f>
        <v>8675</v>
      </c>
      <c r="EYO66" s="122">
        <v>200</v>
      </c>
      <c r="EYP66" s="124">
        <f>SUM(EYN66:EYO66)</f>
        <v>8875</v>
      </c>
      <c r="EYQ66" s="117" t="s">
        <v>99</v>
      </c>
      <c r="EYR66" s="118">
        <v>45845</v>
      </c>
      <c r="EYS66" s="113" t="s">
        <v>39</v>
      </c>
      <c r="EYT66" s="169"/>
      <c r="EYU66" s="119" t="s">
        <v>92</v>
      </c>
      <c r="EYV66" s="167"/>
      <c r="EYW66" s="168"/>
      <c r="EYX66" s="113" t="s">
        <v>22</v>
      </c>
      <c r="EYY66" s="114">
        <v>8150</v>
      </c>
      <c r="EYZ66" s="122">
        <v>85</v>
      </c>
      <c r="EZA66" s="123">
        <v>215</v>
      </c>
      <c r="EZB66" s="123">
        <v>75</v>
      </c>
      <c r="EZC66" s="122">
        <v>150</v>
      </c>
      <c r="EZD66" s="124">
        <f>SUM(EYY66:EZC66)</f>
        <v>8675</v>
      </c>
      <c r="EZE66" s="122">
        <v>200</v>
      </c>
      <c r="EZF66" s="124">
        <f>SUM(EZD66:EZE66)</f>
        <v>8875</v>
      </c>
      <c r="EZG66" s="117" t="s">
        <v>99</v>
      </c>
      <c r="EZH66" s="118">
        <v>45845</v>
      </c>
      <c r="EZI66" s="113" t="s">
        <v>39</v>
      </c>
      <c r="EZJ66" s="169"/>
      <c r="EZK66" s="119" t="s">
        <v>92</v>
      </c>
      <c r="EZL66" s="167"/>
      <c r="EZM66" s="168"/>
      <c r="EZN66" s="113" t="s">
        <v>22</v>
      </c>
      <c r="EZO66" s="114">
        <v>8150</v>
      </c>
      <c r="EZP66" s="122">
        <v>85</v>
      </c>
      <c r="EZQ66" s="123">
        <v>215</v>
      </c>
      <c r="EZR66" s="123">
        <v>75</v>
      </c>
      <c r="EZS66" s="122">
        <v>150</v>
      </c>
      <c r="EZT66" s="124">
        <f>SUM(EZO66:EZS66)</f>
        <v>8675</v>
      </c>
      <c r="EZU66" s="122">
        <v>200</v>
      </c>
      <c r="EZV66" s="124">
        <f>SUM(EZT66:EZU66)</f>
        <v>8875</v>
      </c>
      <c r="EZW66" s="117" t="s">
        <v>99</v>
      </c>
      <c r="EZX66" s="118">
        <v>45845</v>
      </c>
      <c r="EZY66" s="113" t="s">
        <v>39</v>
      </c>
      <c r="EZZ66" s="169"/>
      <c r="FAA66" s="119" t="s">
        <v>92</v>
      </c>
      <c r="FAB66" s="167"/>
      <c r="FAC66" s="168"/>
      <c r="FAD66" s="113" t="s">
        <v>22</v>
      </c>
      <c r="FAE66" s="114">
        <v>8150</v>
      </c>
      <c r="FAF66" s="122">
        <v>85</v>
      </c>
      <c r="FAG66" s="123">
        <v>215</v>
      </c>
      <c r="FAH66" s="123">
        <v>75</v>
      </c>
      <c r="FAI66" s="122">
        <v>150</v>
      </c>
      <c r="FAJ66" s="124">
        <f>SUM(FAE66:FAI66)</f>
        <v>8675</v>
      </c>
      <c r="FAK66" s="122">
        <v>200</v>
      </c>
      <c r="FAL66" s="124">
        <f>SUM(FAJ66:FAK66)</f>
        <v>8875</v>
      </c>
      <c r="FAM66" s="117" t="s">
        <v>99</v>
      </c>
      <c r="FAN66" s="118">
        <v>45845</v>
      </c>
      <c r="FAO66" s="113" t="s">
        <v>39</v>
      </c>
      <c r="FAP66" s="169"/>
      <c r="FAQ66" s="119" t="s">
        <v>92</v>
      </c>
      <c r="FAR66" s="167"/>
      <c r="FAS66" s="168"/>
      <c r="FAT66" s="113" t="s">
        <v>22</v>
      </c>
      <c r="FAU66" s="114">
        <v>8150</v>
      </c>
      <c r="FAV66" s="122">
        <v>85</v>
      </c>
      <c r="FAW66" s="123">
        <v>215</v>
      </c>
      <c r="FAX66" s="123">
        <v>75</v>
      </c>
      <c r="FAY66" s="122">
        <v>150</v>
      </c>
      <c r="FAZ66" s="124">
        <f>SUM(FAU66:FAY66)</f>
        <v>8675</v>
      </c>
      <c r="FBA66" s="122">
        <v>200</v>
      </c>
      <c r="FBB66" s="124">
        <f>SUM(FAZ66:FBA66)</f>
        <v>8875</v>
      </c>
      <c r="FBC66" s="117" t="s">
        <v>99</v>
      </c>
      <c r="FBD66" s="118">
        <v>45845</v>
      </c>
      <c r="FBE66" s="113" t="s">
        <v>39</v>
      </c>
      <c r="FBF66" s="169"/>
      <c r="FBG66" s="119" t="s">
        <v>92</v>
      </c>
      <c r="FBH66" s="167"/>
      <c r="FBI66" s="168"/>
      <c r="FBJ66" s="113" t="s">
        <v>22</v>
      </c>
      <c r="FBK66" s="114">
        <v>8150</v>
      </c>
      <c r="FBL66" s="122">
        <v>85</v>
      </c>
      <c r="FBM66" s="123">
        <v>215</v>
      </c>
      <c r="FBN66" s="123">
        <v>75</v>
      </c>
      <c r="FBO66" s="122">
        <v>150</v>
      </c>
      <c r="FBP66" s="124">
        <f>SUM(FBK66:FBO66)</f>
        <v>8675</v>
      </c>
      <c r="FBQ66" s="122">
        <v>200</v>
      </c>
      <c r="FBR66" s="124">
        <f>SUM(FBP66:FBQ66)</f>
        <v>8875</v>
      </c>
      <c r="FBS66" s="117" t="s">
        <v>99</v>
      </c>
      <c r="FBT66" s="118">
        <v>45845</v>
      </c>
      <c r="FBU66" s="113" t="s">
        <v>39</v>
      </c>
      <c r="FBV66" s="169"/>
      <c r="FBW66" s="119" t="s">
        <v>92</v>
      </c>
      <c r="FBX66" s="167"/>
      <c r="FBY66" s="168"/>
      <c r="FBZ66" s="113" t="s">
        <v>22</v>
      </c>
      <c r="FCA66" s="114">
        <v>8150</v>
      </c>
      <c r="FCB66" s="122">
        <v>85</v>
      </c>
      <c r="FCC66" s="123">
        <v>215</v>
      </c>
      <c r="FCD66" s="123">
        <v>75</v>
      </c>
      <c r="FCE66" s="122">
        <v>150</v>
      </c>
      <c r="FCF66" s="124">
        <f>SUM(FCA66:FCE66)</f>
        <v>8675</v>
      </c>
      <c r="FCG66" s="122">
        <v>200</v>
      </c>
      <c r="FCH66" s="124">
        <f>SUM(FCF66:FCG66)</f>
        <v>8875</v>
      </c>
      <c r="FCI66" s="117" t="s">
        <v>99</v>
      </c>
      <c r="FCJ66" s="118">
        <v>45845</v>
      </c>
      <c r="FCK66" s="113" t="s">
        <v>39</v>
      </c>
      <c r="FCL66" s="169"/>
      <c r="FCM66" s="119" t="s">
        <v>92</v>
      </c>
      <c r="FCN66" s="167"/>
      <c r="FCO66" s="168"/>
      <c r="FCP66" s="113" t="s">
        <v>22</v>
      </c>
      <c r="FCQ66" s="114">
        <v>8150</v>
      </c>
      <c r="FCR66" s="122">
        <v>85</v>
      </c>
      <c r="FCS66" s="123">
        <v>215</v>
      </c>
      <c r="FCT66" s="123">
        <v>75</v>
      </c>
      <c r="FCU66" s="122">
        <v>150</v>
      </c>
      <c r="FCV66" s="124">
        <f>SUM(FCQ66:FCU66)</f>
        <v>8675</v>
      </c>
      <c r="FCW66" s="122">
        <v>200</v>
      </c>
      <c r="FCX66" s="124">
        <f>SUM(FCV66:FCW66)</f>
        <v>8875</v>
      </c>
      <c r="FCY66" s="117" t="s">
        <v>99</v>
      </c>
      <c r="FCZ66" s="118">
        <v>45845</v>
      </c>
      <c r="FDA66" s="113" t="s">
        <v>39</v>
      </c>
      <c r="FDB66" s="169"/>
      <c r="FDC66" s="119" t="s">
        <v>92</v>
      </c>
      <c r="FDD66" s="167"/>
      <c r="FDE66" s="168"/>
      <c r="FDF66" s="113" t="s">
        <v>22</v>
      </c>
      <c r="FDG66" s="114">
        <v>8150</v>
      </c>
      <c r="FDH66" s="122">
        <v>85</v>
      </c>
      <c r="FDI66" s="123">
        <v>215</v>
      </c>
      <c r="FDJ66" s="123">
        <v>75</v>
      </c>
      <c r="FDK66" s="122">
        <v>150</v>
      </c>
      <c r="FDL66" s="124">
        <f>SUM(FDG66:FDK66)</f>
        <v>8675</v>
      </c>
      <c r="FDM66" s="122">
        <v>200</v>
      </c>
      <c r="FDN66" s="124">
        <f>SUM(FDL66:FDM66)</f>
        <v>8875</v>
      </c>
      <c r="FDO66" s="117" t="s">
        <v>99</v>
      </c>
      <c r="FDP66" s="118">
        <v>45845</v>
      </c>
      <c r="FDQ66" s="113" t="s">
        <v>39</v>
      </c>
      <c r="FDR66" s="169"/>
      <c r="FDS66" s="119" t="s">
        <v>92</v>
      </c>
      <c r="FDT66" s="167"/>
      <c r="FDU66" s="168"/>
      <c r="FDV66" s="113" t="s">
        <v>22</v>
      </c>
      <c r="FDW66" s="114">
        <v>8150</v>
      </c>
      <c r="FDX66" s="122">
        <v>85</v>
      </c>
      <c r="FDY66" s="123">
        <v>215</v>
      </c>
      <c r="FDZ66" s="123">
        <v>75</v>
      </c>
      <c r="FEA66" s="122">
        <v>150</v>
      </c>
      <c r="FEB66" s="124">
        <f>SUM(FDW66:FEA66)</f>
        <v>8675</v>
      </c>
      <c r="FEC66" s="122">
        <v>200</v>
      </c>
      <c r="FED66" s="124">
        <f>SUM(FEB66:FEC66)</f>
        <v>8875</v>
      </c>
      <c r="FEE66" s="117" t="s">
        <v>99</v>
      </c>
      <c r="FEF66" s="118">
        <v>45845</v>
      </c>
      <c r="FEG66" s="113" t="s">
        <v>39</v>
      </c>
      <c r="FEH66" s="169"/>
      <c r="FEI66" s="119" t="s">
        <v>92</v>
      </c>
      <c r="FEJ66" s="167"/>
      <c r="FEK66" s="168"/>
      <c r="FEL66" s="113" t="s">
        <v>22</v>
      </c>
      <c r="FEM66" s="114">
        <v>8150</v>
      </c>
      <c r="FEN66" s="122">
        <v>85</v>
      </c>
      <c r="FEO66" s="123">
        <v>215</v>
      </c>
      <c r="FEP66" s="123">
        <v>75</v>
      </c>
      <c r="FEQ66" s="122">
        <v>150</v>
      </c>
      <c r="FER66" s="124">
        <f>SUM(FEM66:FEQ66)</f>
        <v>8675</v>
      </c>
      <c r="FES66" s="122">
        <v>200</v>
      </c>
      <c r="FET66" s="124">
        <f>SUM(FER66:FES66)</f>
        <v>8875</v>
      </c>
      <c r="FEU66" s="117" t="s">
        <v>99</v>
      </c>
      <c r="FEV66" s="118">
        <v>45845</v>
      </c>
      <c r="FEW66" s="113" t="s">
        <v>39</v>
      </c>
      <c r="FEX66" s="169"/>
      <c r="FEY66" s="119" t="s">
        <v>92</v>
      </c>
      <c r="FEZ66" s="167"/>
      <c r="FFA66" s="168"/>
      <c r="FFB66" s="113" t="s">
        <v>22</v>
      </c>
      <c r="FFC66" s="114">
        <v>8150</v>
      </c>
      <c r="FFD66" s="122">
        <v>85</v>
      </c>
      <c r="FFE66" s="123">
        <v>215</v>
      </c>
      <c r="FFF66" s="123">
        <v>75</v>
      </c>
      <c r="FFG66" s="122">
        <v>150</v>
      </c>
      <c r="FFH66" s="124">
        <f>SUM(FFC66:FFG66)</f>
        <v>8675</v>
      </c>
      <c r="FFI66" s="122">
        <v>200</v>
      </c>
      <c r="FFJ66" s="124">
        <f>SUM(FFH66:FFI66)</f>
        <v>8875</v>
      </c>
      <c r="FFK66" s="117" t="s">
        <v>99</v>
      </c>
      <c r="FFL66" s="118">
        <v>45845</v>
      </c>
      <c r="FFM66" s="113" t="s">
        <v>39</v>
      </c>
      <c r="FFN66" s="169"/>
      <c r="FFO66" s="119" t="s">
        <v>92</v>
      </c>
      <c r="FFP66" s="167"/>
      <c r="FFQ66" s="168"/>
      <c r="FFR66" s="113" t="s">
        <v>22</v>
      </c>
      <c r="FFS66" s="114">
        <v>8150</v>
      </c>
      <c r="FFT66" s="122">
        <v>85</v>
      </c>
      <c r="FFU66" s="123">
        <v>215</v>
      </c>
      <c r="FFV66" s="123">
        <v>75</v>
      </c>
      <c r="FFW66" s="122">
        <v>150</v>
      </c>
      <c r="FFX66" s="124">
        <f>SUM(FFS66:FFW66)</f>
        <v>8675</v>
      </c>
      <c r="FFY66" s="122">
        <v>200</v>
      </c>
      <c r="FFZ66" s="124">
        <f>SUM(FFX66:FFY66)</f>
        <v>8875</v>
      </c>
      <c r="FGA66" s="117" t="s">
        <v>99</v>
      </c>
      <c r="FGB66" s="118">
        <v>45845</v>
      </c>
      <c r="FGC66" s="113" t="s">
        <v>39</v>
      </c>
      <c r="FGD66" s="169"/>
      <c r="FGE66" s="119" t="s">
        <v>92</v>
      </c>
      <c r="FGF66" s="167"/>
      <c r="FGG66" s="168"/>
      <c r="FGH66" s="113" t="s">
        <v>22</v>
      </c>
      <c r="FGI66" s="114">
        <v>8150</v>
      </c>
      <c r="FGJ66" s="122">
        <v>85</v>
      </c>
      <c r="FGK66" s="123">
        <v>215</v>
      </c>
      <c r="FGL66" s="123">
        <v>75</v>
      </c>
      <c r="FGM66" s="122">
        <v>150</v>
      </c>
      <c r="FGN66" s="124">
        <f>SUM(FGI66:FGM66)</f>
        <v>8675</v>
      </c>
      <c r="FGO66" s="122">
        <v>200</v>
      </c>
      <c r="FGP66" s="124">
        <f>SUM(FGN66:FGO66)</f>
        <v>8875</v>
      </c>
      <c r="FGQ66" s="117" t="s">
        <v>99</v>
      </c>
      <c r="FGR66" s="118">
        <v>45845</v>
      </c>
      <c r="FGS66" s="113" t="s">
        <v>39</v>
      </c>
      <c r="FGT66" s="169"/>
      <c r="FGU66" s="119" t="s">
        <v>92</v>
      </c>
      <c r="FGV66" s="167"/>
      <c r="FGW66" s="168"/>
      <c r="FGX66" s="113" t="s">
        <v>22</v>
      </c>
      <c r="FGY66" s="114">
        <v>8150</v>
      </c>
      <c r="FGZ66" s="122">
        <v>85</v>
      </c>
      <c r="FHA66" s="123">
        <v>215</v>
      </c>
      <c r="FHB66" s="123">
        <v>75</v>
      </c>
      <c r="FHC66" s="122">
        <v>150</v>
      </c>
      <c r="FHD66" s="124">
        <f>SUM(FGY66:FHC66)</f>
        <v>8675</v>
      </c>
      <c r="FHE66" s="122">
        <v>200</v>
      </c>
      <c r="FHF66" s="124">
        <f>SUM(FHD66:FHE66)</f>
        <v>8875</v>
      </c>
      <c r="FHG66" s="117" t="s">
        <v>99</v>
      </c>
      <c r="FHH66" s="118">
        <v>45845</v>
      </c>
      <c r="FHI66" s="113" t="s">
        <v>39</v>
      </c>
      <c r="FHJ66" s="169"/>
      <c r="FHK66" s="119" t="s">
        <v>92</v>
      </c>
      <c r="FHL66" s="167"/>
      <c r="FHM66" s="168"/>
      <c r="FHN66" s="113" t="s">
        <v>22</v>
      </c>
      <c r="FHO66" s="114">
        <v>8150</v>
      </c>
      <c r="FHP66" s="122">
        <v>85</v>
      </c>
      <c r="FHQ66" s="123">
        <v>215</v>
      </c>
      <c r="FHR66" s="123">
        <v>75</v>
      </c>
      <c r="FHS66" s="122">
        <v>150</v>
      </c>
      <c r="FHT66" s="124">
        <f>SUM(FHO66:FHS66)</f>
        <v>8675</v>
      </c>
      <c r="FHU66" s="122">
        <v>200</v>
      </c>
      <c r="FHV66" s="124">
        <f>SUM(FHT66:FHU66)</f>
        <v>8875</v>
      </c>
      <c r="FHW66" s="117" t="s">
        <v>99</v>
      </c>
      <c r="FHX66" s="118">
        <v>45845</v>
      </c>
      <c r="FHY66" s="113" t="s">
        <v>39</v>
      </c>
      <c r="FHZ66" s="169"/>
      <c r="FIA66" s="119" t="s">
        <v>92</v>
      </c>
      <c r="FIB66" s="167"/>
      <c r="FIC66" s="168"/>
      <c r="FID66" s="113" t="s">
        <v>22</v>
      </c>
      <c r="FIE66" s="114">
        <v>8150</v>
      </c>
      <c r="FIF66" s="122">
        <v>85</v>
      </c>
      <c r="FIG66" s="123">
        <v>215</v>
      </c>
      <c r="FIH66" s="123">
        <v>75</v>
      </c>
      <c r="FII66" s="122">
        <v>150</v>
      </c>
      <c r="FIJ66" s="124">
        <f>SUM(FIE66:FII66)</f>
        <v>8675</v>
      </c>
      <c r="FIK66" s="122">
        <v>200</v>
      </c>
      <c r="FIL66" s="124">
        <f>SUM(FIJ66:FIK66)</f>
        <v>8875</v>
      </c>
      <c r="FIM66" s="117" t="s">
        <v>99</v>
      </c>
      <c r="FIN66" s="118">
        <v>45845</v>
      </c>
      <c r="FIO66" s="113" t="s">
        <v>39</v>
      </c>
      <c r="FIP66" s="169"/>
      <c r="FIQ66" s="119" t="s">
        <v>92</v>
      </c>
      <c r="FIR66" s="167"/>
      <c r="FIS66" s="168"/>
      <c r="FIT66" s="113" t="s">
        <v>22</v>
      </c>
      <c r="FIU66" s="114">
        <v>8150</v>
      </c>
      <c r="FIV66" s="122">
        <v>85</v>
      </c>
      <c r="FIW66" s="123">
        <v>215</v>
      </c>
      <c r="FIX66" s="123">
        <v>75</v>
      </c>
      <c r="FIY66" s="122">
        <v>150</v>
      </c>
      <c r="FIZ66" s="124">
        <f>SUM(FIU66:FIY66)</f>
        <v>8675</v>
      </c>
      <c r="FJA66" s="122">
        <v>200</v>
      </c>
      <c r="FJB66" s="124">
        <f>SUM(FIZ66:FJA66)</f>
        <v>8875</v>
      </c>
      <c r="FJC66" s="117" t="s">
        <v>99</v>
      </c>
      <c r="FJD66" s="118">
        <v>45845</v>
      </c>
      <c r="FJE66" s="113" t="s">
        <v>39</v>
      </c>
      <c r="FJF66" s="169"/>
      <c r="FJG66" s="119" t="s">
        <v>92</v>
      </c>
      <c r="FJH66" s="167"/>
      <c r="FJI66" s="168"/>
      <c r="FJJ66" s="113" t="s">
        <v>22</v>
      </c>
      <c r="FJK66" s="114">
        <v>8150</v>
      </c>
      <c r="FJL66" s="122">
        <v>85</v>
      </c>
      <c r="FJM66" s="123">
        <v>215</v>
      </c>
      <c r="FJN66" s="123">
        <v>75</v>
      </c>
      <c r="FJO66" s="122">
        <v>150</v>
      </c>
      <c r="FJP66" s="124">
        <f>SUM(FJK66:FJO66)</f>
        <v>8675</v>
      </c>
      <c r="FJQ66" s="122">
        <v>200</v>
      </c>
      <c r="FJR66" s="124">
        <f>SUM(FJP66:FJQ66)</f>
        <v>8875</v>
      </c>
      <c r="FJS66" s="117" t="s">
        <v>99</v>
      </c>
      <c r="FJT66" s="118">
        <v>45845</v>
      </c>
      <c r="FJU66" s="113" t="s">
        <v>39</v>
      </c>
      <c r="FJV66" s="169"/>
      <c r="FJW66" s="119" t="s">
        <v>92</v>
      </c>
      <c r="FJX66" s="167"/>
      <c r="FJY66" s="168"/>
      <c r="FJZ66" s="113" t="s">
        <v>22</v>
      </c>
      <c r="FKA66" s="114">
        <v>8150</v>
      </c>
      <c r="FKB66" s="122">
        <v>85</v>
      </c>
      <c r="FKC66" s="123">
        <v>215</v>
      </c>
      <c r="FKD66" s="123">
        <v>75</v>
      </c>
      <c r="FKE66" s="122">
        <v>150</v>
      </c>
      <c r="FKF66" s="124">
        <f>SUM(FKA66:FKE66)</f>
        <v>8675</v>
      </c>
      <c r="FKG66" s="122">
        <v>200</v>
      </c>
      <c r="FKH66" s="124">
        <f>SUM(FKF66:FKG66)</f>
        <v>8875</v>
      </c>
      <c r="FKI66" s="117" t="s">
        <v>99</v>
      </c>
      <c r="FKJ66" s="118">
        <v>45845</v>
      </c>
      <c r="FKK66" s="113" t="s">
        <v>39</v>
      </c>
      <c r="FKL66" s="169"/>
      <c r="FKM66" s="119" t="s">
        <v>92</v>
      </c>
      <c r="FKN66" s="167"/>
      <c r="FKO66" s="168"/>
      <c r="FKP66" s="113" t="s">
        <v>22</v>
      </c>
      <c r="FKQ66" s="114">
        <v>8150</v>
      </c>
      <c r="FKR66" s="122">
        <v>85</v>
      </c>
      <c r="FKS66" s="123">
        <v>215</v>
      </c>
      <c r="FKT66" s="123">
        <v>75</v>
      </c>
      <c r="FKU66" s="122">
        <v>150</v>
      </c>
      <c r="FKV66" s="124">
        <f>SUM(FKQ66:FKU66)</f>
        <v>8675</v>
      </c>
      <c r="FKW66" s="122">
        <v>200</v>
      </c>
      <c r="FKX66" s="124">
        <f>SUM(FKV66:FKW66)</f>
        <v>8875</v>
      </c>
      <c r="FKY66" s="117" t="s">
        <v>99</v>
      </c>
      <c r="FKZ66" s="118">
        <v>45845</v>
      </c>
      <c r="FLA66" s="113" t="s">
        <v>39</v>
      </c>
      <c r="FLB66" s="169"/>
      <c r="FLC66" s="119" t="s">
        <v>92</v>
      </c>
      <c r="FLD66" s="167"/>
      <c r="FLE66" s="168"/>
      <c r="FLF66" s="113" t="s">
        <v>22</v>
      </c>
      <c r="FLG66" s="114">
        <v>8150</v>
      </c>
      <c r="FLH66" s="122">
        <v>85</v>
      </c>
      <c r="FLI66" s="123">
        <v>215</v>
      </c>
      <c r="FLJ66" s="123">
        <v>75</v>
      </c>
      <c r="FLK66" s="122">
        <v>150</v>
      </c>
      <c r="FLL66" s="124">
        <f>SUM(FLG66:FLK66)</f>
        <v>8675</v>
      </c>
      <c r="FLM66" s="122">
        <v>200</v>
      </c>
      <c r="FLN66" s="124">
        <f>SUM(FLL66:FLM66)</f>
        <v>8875</v>
      </c>
      <c r="FLO66" s="117" t="s">
        <v>99</v>
      </c>
      <c r="FLP66" s="118">
        <v>45845</v>
      </c>
      <c r="FLQ66" s="113" t="s">
        <v>39</v>
      </c>
      <c r="FLR66" s="169"/>
      <c r="FLS66" s="119" t="s">
        <v>92</v>
      </c>
      <c r="FLT66" s="167"/>
      <c r="FLU66" s="168"/>
      <c r="FLV66" s="113" t="s">
        <v>22</v>
      </c>
      <c r="FLW66" s="114">
        <v>8150</v>
      </c>
      <c r="FLX66" s="122">
        <v>85</v>
      </c>
      <c r="FLY66" s="123">
        <v>215</v>
      </c>
      <c r="FLZ66" s="123">
        <v>75</v>
      </c>
      <c r="FMA66" s="122">
        <v>150</v>
      </c>
      <c r="FMB66" s="124">
        <f>SUM(FLW66:FMA66)</f>
        <v>8675</v>
      </c>
      <c r="FMC66" s="122">
        <v>200</v>
      </c>
      <c r="FMD66" s="124">
        <f>SUM(FMB66:FMC66)</f>
        <v>8875</v>
      </c>
      <c r="FME66" s="117" t="s">
        <v>99</v>
      </c>
      <c r="FMF66" s="118">
        <v>45845</v>
      </c>
      <c r="FMG66" s="113" t="s">
        <v>39</v>
      </c>
      <c r="FMH66" s="169"/>
      <c r="FMI66" s="119" t="s">
        <v>92</v>
      </c>
      <c r="FMJ66" s="167"/>
      <c r="FMK66" s="168"/>
      <c r="FML66" s="113" t="s">
        <v>22</v>
      </c>
      <c r="FMM66" s="114">
        <v>8150</v>
      </c>
      <c r="FMN66" s="122">
        <v>85</v>
      </c>
      <c r="FMO66" s="123">
        <v>215</v>
      </c>
      <c r="FMP66" s="123">
        <v>75</v>
      </c>
      <c r="FMQ66" s="122">
        <v>150</v>
      </c>
      <c r="FMR66" s="124">
        <f>SUM(FMM66:FMQ66)</f>
        <v>8675</v>
      </c>
      <c r="FMS66" s="122">
        <v>200</v>
      </c>
      <c r="FMT66" s="124">
        <f>SUM(FMR66:FMS66)</f>
        <v>8875</v>
      </c>
      <c r="FMU66" s="117" t="s">
        <v>99</v>
      </c>
      <c r="FMV66" s="118">
        <v>45845</v>
      </c>
      <c r="FMW66" s="113" t="s">
        <v>39</v>
      </c>
      <c r="FMX66" s="169"/>
      <c r="FMY66" s="119" t="s">
        <v>92</v>
      </c>
      <c r="FMZ66" s="167"/>
      <c r="FNA66" s="168"/>
      <c r="FNB66" s="113" t="s">
        <v>22</v>
      </c>
      <c r="FNC66" s="114">
        <v>8150</v>
      </c>
      <c r="FND66" s="122">
        <v>85</v>
      </c>
      <c r="FNE66" s="123">
        <v>215</v>
      </c>
      <c r="FNF66" s="123">
        <v>75</v>
      </c>
      <c r="FNG66" s="122">
        <v>150</v>
      </c>
      <c r="FNH66" s="124">
        <f>SUM(FNC66:FNG66)</f>
        <v>8675</v>
      </c>
      <c r="FNI66" s="122">
        <v>200</v>
      </c>
      <c r="FNJ66" s="124">
        <f>SUM(FNH66:FNI66)</f>
        <v>8875</v>
      </c>
      <c r="FNK66" s="117" t="s">
        <v>99</v>
      </c>
      <c r="FNL66" s="118">
        <v>45845</v>
      </c>
      <c r="FNM66" s="113" t="s">
        <v>39</v>
      </c>
      <c r="FNN66" s="169"/>
      <c r="FNO66" s="119" t="s">
        <v>92</v>
      </c>
      <c r="FNP66" s="167"/>
      <c r="FNQ66" s="168"/>
      <c r="FNR66" s="113" t="s">
        <v>22</v>
      </c>
      <c r="FNS66" s="114">
        <v>8150</v>
      </c>
      <c r="FNT66" s="122">
        <v>85</v>
      </c>
      <c r="FNU66" s="123">
        <v>215</v>
      </c>
      <c r="FNV66" s="123">
        <v>75</v>
      </c>
      <c r="FNW66" s="122">
        <v>150</v>
      </c>
      <c r="FNX66" s="124">
        <f>SUM(FNS66:FNW66)</f>
        <v>8675</v>
      </c>
      <c r="FNY66" s="122">
        <v>200</v>
      </c>
      <c r="FNZ66" s="124">
        <f>SUM(FNX66:FNY66)</f>
        <v>8875</v>
      </c>
      <c r="FOA66" s="117" t="s">
        <v>99</v>
      </c>
      <c r="FOB66" s="118">
        <v>45845</v>
      </c>
      <c r="FOC66" s="113" t="s">
        <v>39</v>
      </c>
      <c r="FOD66" s="169"/>
      <c r="FOE66" s="119" t="s">
        <v>92</v>
      </c>
      <c r="FOF66" s="167"/>
      <c r="FOG66" s="168"/>
      <c r="FOH66" s="113" t="s">
        <v>22</v>
      </c>
      <c r="FOI66" s="114">
        <v>8150</v>
      </c>
      <c r="FOJ66" s="122">
        <v>85</v>
      </c>
      <c r="FOK66" s="123">
        <v>215</v>
      </c>
      <c r="FOL66" s="123">
        <v>75</v>
      </c>
      <c r="FOM66" s="122">
        <v>150</v>
      </c>
      <c r="FON66" s="124">
        <f>SUM(FOI66:FOM66)</f>
        <v>8675</v>
      </c>
      <c r="FOO66" s="122">
        <v>200</v>
      </c>
      <c r="FOP66" s="124">
        <f>SUM(FON66:FOO66)</f>
        <v>8875</v>
      </c>
      <c r="FOQ66" s="117" t="s">
        <v>99</v>
      </c>
      <c r="FOR66" s="118">
        <v>45845</v>
      </c>
      <c r="FOS66" s="113" t="s">
        <v>39</v>
      </c>
      <c r="FOT66" s="169"/>
      <c r="FOU66" s="119" t="s">
        <v>92</v>
      </c>
      <c r="FOV66" s="167"/>
      <c r="FOW66" s="168"/>
      <c r="FOX66" s="113" t="s">
        <v>22</v>
      </c>
      <c r="FOY66" s="114">
        <v>8150</v>
      </c>
      <c r="FOZ66" s="122">
        <v>85</v>
      </c>
      <c r="FPA66" s="123">
        <v>215</v>
      </c>
      <c r="FPB66" s="123">
        <v>75</v>
      </c>
      <c r="FPC66" s="122">
        <v>150</v>
      </c>
      <c r="FPD66" s="124">
        <f>SUM(FOY66:FPC66)</f>
        <v>8675</v>
      </c>
      <c r="FPE66" s="122">
        <v>200</v>
      </c>
      <c r="FPF66" s="124">
        <f>SUM(FPD66:FPE66)</f>
        <v>8875</v>
      </c>
      <c r="FPG66" s="117" t="s">
        <v>99</v>
      </c>
      <c r="FPH66" s="118">
        <v>45845</v>
      </c>
      <c r="FPI66" s="113" t="s">
        <v>39</v>
      </c>
      <c r="FPJ66" s="169"/>
      <c r="FPK66" s="119" t="s">
        <v>92</v>
      </c>
      <c r="FPL66" s="167"/>
      <c r="FPM66" s="168"/>
      <c r="FPN66" s="113" t="s">
        <v>22</v>
      </c>
      <c r="FPO66" s="114">
        <v>8150</v>
      </c>
      <c r="FPP66" s="122">
        <v>85</v>
      </c>
      <c r="FPQ66" s="123">
        <v>215</v>
      </c>
      <c r="FPR66" s="123">
        <v>75</v>
      </c>
      <c r="FPS66" s="122">
        <v>150</v>
      </c>
      <c r="FPT66" s="124">
        <f>SUM(FPO66:FPS66)</f>
        <v>8675</v>
      </c>
      <c r="FPU66" s="122">
        <v>200</v>
      </c>
      <c r="FPV66" s="124">
        <f>SUM(FPT66:FPU66)</f>
        <v>8875</v>
      </c>
      <c r="FPW66" s="117" t="s">
        <v>99</v>
      </c>
      <c r="FPX66" s="118">
        <v>45845</v>
      </c>
      <c r="FPY66" s="113" t="s">
        <v>39</v>
      </c>
      <c r="FPZ66" s="169"/>
      <c r="FQA66" s="119" t="s">
        <v>92</v>
      </c>
      <c r="FQB66" s="167"/>
      <c r="FQC66" s="168"/>
      <c r="FQD66" s="113" t="s">
        <v>22</v>
      </c>
      <c r="FQE66" s="114">
        <v>8150</v>
      </c>
      <c r="FQF66" s="122">
        <v>85</v>
      </c>
      <c r="FQG66" s="123">
        <v>215</v>
      </c>
      <c r="FQH66" s="123">
        <v>75</v>
      </c>
      <c r="FQI66" s="122">
        <v>150</v>
      </c>
      <c r="FQJ66" s="124">
        <f>SUM(FQE66:FQI66)</f>
        <v>8675</v>
      </c>
      <c r="FQK66" s="122">
        <v>200</v>
      </c>
      <c r="FQL66" s="124">
        <f>SUM(FQJ66:FQK66)</f>
        <v>8875</v>
      </c>
      <c r="FQM66" s="117" t="s">
        <v>99</v>
      </c>
      <c r="FQN66" s="118">
        <v>45845</v>
      </c>
      <c r="FQO66" s="113" t="s">
        <v>39</v>
      </c>
      <c r="FQP66" s="169"/>
      <c r="FQQ66" s="119" t="s">
        <v>92</v>
      </c>
      <c r="FQR66" s="167"/>
      <c r="FQS66" s="168"/>
      <c r="FQT66" s="113" t="s">
        <v>22</v>
      </c>
      <c r="FQU66" s="114">
        <v>8150</v>
      </c>
      <c r="FQV66" s="122">
        <v>85</v>
      </c>
      <c r="FQW66" s="123">
        <v>215</v>
      </c>
      <c r="FQX66" s="123">
        <v>75</v>
      </c>
      <c r="FQY66" s="122">
        <v>150</v>
      </c>
      <c r="FQZ66" s="124">
        <f>SUM(FQU66:FQY66)</f>
        <v>8675</v>
      </c>
      <c r="FRA66" s="122">
        <v>200</v>
      </c>
      <c r="FRB66" s="124">
        <f>SUM(FQZ66:FRA66)</f>
        <v>8875</v>
      </c>
      <c r="FRC66" s="117" t="s">
        <v>99</v>
      </c>
      <c r="FRD66" s="118">
        <v>45845</v>
      </c>
      <c r="FRE66" s="113" t="s">
        <v>39</v>
      </c>
      <c r="FRF66" s="169"/>
      <c r="FRG66" s="119" t="s">
        <v>92</v>
      </c>
      <c r="FRH66" s="167"/>
      <c r="FRI66" s="168"/>
      <c r="FRJ66" s="113" t="s">
        <v>22</v>
      </c>
      <c r="FRK66" s="114">
        <v>8150</v>
      </c>
      <c r="FRL66" s="122">
        <v>85</v>
      </c>
      <c r="FRM66" s="123">
        <v>215</v>
      </c>
      <c r="FRN66" s="123">
        <v>75</v>
      </c>
      <c r="FRO66" s="122">
        <v>150</v>
      </c>
      <c r="FRP66" s="124">
        <f>SUM(FRK66:FRO66)</f>
        <v>8675</v>
      </c>
      <c r="FRQ66" s="122">
        <v>200</v>
      </c>
      <c r="FRR66" s="124">
        <f>SUM(FRP66:FRQ66)</f>
        <v>8875</v>
      </c>
      <c r="FRS66" s="117" t="s">
        <v>99</v>
      </c>
      <c r="FRT66" s="118">
        <v>45845</v>
      </c>
      <c r="FRU66" s="113" t="s">
        <v>39</v>
      </c>
      <c r="FRV66" s="169"/>
      <c r="FRW66" s="119" t="s">
        <v>92</v>
      </c>
      <c r="FRX66" s="167"/>
      <c r="FRY66" s="168"/>
      <c r="FRZ66" s="113" t="s">
        <v>22</v>
      </c>
      <c r="FSA66" s="114">
        <v>8150</v>
      </c>
      <c r="FSB66" s="122">
        <v>85</v>
      </c>
      <c r="FSC66" s="123">
        <v>215</v>
      </c>
      <c r="FSD66" s="123">
        <v>75</v>
      </c>
      <c r="FSE66" s="122">
        <v>150</v>
      </c>
      <c r="FSF66" s="124">
        <f>SUM(FSA66:FSE66)</f>
        <v>8675</v>
      </c>
      <c r="FSG66" s="122">
        <v>200</v>
      </c>
      <c r="FSH66" s="124">
        <f>SUM(FSF66:FSG66)</f>
        <v>8875</v>
      </c>
      <c r="FSI66" s="117" t="s">
        <v>99</v>
      </c>
      <c r="FSJ66" s="118">
        <v>45845</v>
      </c>
      <c r="FSK66" s="113" t="s">
        <v>39</v>
      </c>
      <c r="FSL66" s="169"/>
      <c r="FSM66" s="119" t="s">
        <v>92</v>
      </c>
      <c r="FSN66" s="167"/>
      <c r="FSO66" s="168"/>
      <c r="FSP66" s="113" t="s">
        <v>22</v>
      </c>
      <c r="FSQ66" s="114">
        <v>8150</v>
      </c>
      <c r="FSR66" s="122">
        <v>85</v>
      </c>
      <c r="FSS66" s="123">
        <v>215</v>
      </c>
      <c r="FST66" s="123">
        <v>75</v>
      </c>
      <c r="FSU66" s="122">
        <v>150</v>
      </c>
      <c r="FSV66" s="124">
        <f>SUM(FSQ66:FSU66)</f>
        <v>8675</v>
      </c>
      <c r="FSW66" s="122">
        <v>200</v>
      </c>
      <c r="FSX66" s="124">
        <f>SUM(FSV66:FSW66)</f>
        <v>8875</v>
      </c>
      <c r="FSY66" s="117" t="s">
        <v>99</v>
      </c>
      <c r="FSZ66" s="118">
        <v>45845</v>
      </c>
      <c r="FTA66" s="113" t="s">
        <v>39</v>
      </c>
      <c r="FTB66" s="169"/>
      <c r="FTC66" s="119" t="s">
        <v>92</v>
      </c>
      <c r="FTD66" s="167"/>
      <c r="FTE66" s="168"/>
      <c r="FTF66" s="113" t="s">
        <v>22</v>
      </c>
      <c r="FTG66" s="114">
        <v>8150</v>
      </c>
      <c r="FTH66" s="122">
        <v>85</v>
      </c>
      <c r="FTI66" s="123">
        <v>215</v>
      </c>
      <c r="FTJ66" s="123">
        <v>75</v>
      </c>
      <c r="FTK66" s="122">
        <v>150</v>
      </c>
      <c r="FTL66" s="124">
        <f>SUM(FTG66:FTK66)</f>
        <v>8675</v>
      </c>
      <c r="FTM66" s="122">
        <v>200</v>
      </c>
      <c r="FTN66" s="124">
        <f>SUM(FTL66:FTM66)</f>
        <v>8875</v>
      </c>
      <c r="FTO66" s="117" t="s">
        <v>99</v>
      </c>
      <c r="FTP66" s="118">
        <v>45845</v>
      </c>
      <c r="FTQ66" s="113" t="s">
        <v>39</v>
      </c>
      <c r="FTR66" s="169"/>
      <c r="FTS66" s="119" t="s">
        <v>92</v>
      </c>
      <c r="FTT66" s="167"/>
      <c r="FTU66" s="168"/>
      <c r="FTV66" s="113" t="s">
        <v>22</v>
      </c>
      <c r="FTW66" s="114">
        <v>8150</v>
      </c>
      <c r="FTX66" s="122">
        <v>85</v>
      </c>
      <c r="FTY66" s="123">
        <v>215</v>
      </c>
      <c r="FTZ66" s="123">
        <v>75</v>
      </c>
      <c r="FUA66" s="122">
        <v>150</v>
      </c>
      <c r="FUB66" s="124">
        <f>SUM(FTW66:FUA66)</f>
        <v>8675</v>
      </c>
      <c r="FUC66" s="122">
        <v>200</v>
      </c>
      <c r="FUD66" s="124">
        <f>SUM(FUB66:FUC66)</f>
        <v>8875</v>
      </c>
      <c r="FUE66" s="117" t="s">
        <v>99</v>
      </c>
      <c r="FUF66" s="118">
        <v>45845</v>
      </c>
      <c r="FUG66" s="113" t="s">
        <v>39</v>
      </c>
      <c r="FUH66" s="169"/>
      <c r="FUI66" s="119" t="s">
        <v>92</v>
      </c>
      <c r="FUJ66" s="167"/>
      <c r="FUK66" s="168"/>
      <c r="FUL66" s="113" t="s">
        <v>22</v>
      </c>
      <c r="FUM66" s="114">
        <v>8150</v>
      </c>
      <c r="FUN66" s="122">
        <v>85</v>
      </c>
      <c r="FUO66" s="123">
        <v>215</v>
      </c>
      <c r="FUP66" s="123">
        <v>75</v>
      </c>
      <c r="FUQ66" s="122">
        <v>150</v>
      </c>
      <c r="FUR66" s="124">
        <f>SUM(FUM66:FUQ66)</f>
        <v>8675</v>
      </c>
      <c r="FUS66" s="122">
        <v>200</v>
      </c>
      <c r="FUT66" s="124">
        <f>SUM(FUR66:FUS66)</f>
        <v>8875</v>
      </c>
      <c r="FUU66" s="117" t="s">
        <v>99</v>
      </c>
      <c r="FUV66" s="118">
        <v>45845</v>
      </c>
      <c r="FUW66" s="113" t="s">
        <v>39</v>
      </c>
      <c r="FUX66" s="169"/>
      <c r="FUY66" s="119" t="s">
        <v>92</v>
      </c>
      <c r="FUZ66" s="167"/>
      <c r="FVA66" s="168"/>
      <c r="FVB66" s="113" t="s">
        <v>22</v>
      </c>
      <c r="FVC66" s="114">
        <v>8150</v>
      </c>
      <c r="FVD66" s="122">
        <v>85</v>
      </c>
      <c r="FVE66" s="123">
        <v>215</v>
      </c>
      <c r="FVF66" s="123">
        <v>75</v>
      </c>
      <c r="FVG66" s="122">
        <v>150</v>
      </c>
      <c r="FVH66" s="124">
        <f>SUM(FVC66:FVG66)</f>
        <v>8675</v>
      </c>
      <c r="FVI66" s="122">
        <v>200</v>
      </c>
      <c r="FVJ66" s="124">
        <f>SUM(FVH66:FVI66)</f>
        <v>8875</v>
      </c>
      <c r="FVK66" s="117" t="s">
        <v>99</v>
      </c>
      <c r="FVL66" s="118">
        <v>45845</v>
      </c>
      <c r="FVM66" s="113" t="s">
        <v>39</v>
      </c>
      <c r="FVN66" s="169"/>
      <c r="FVO66" s="119" t="s">
        <v>92</v>
      </c>
      <c r="FVP66" s="167"/>
      <c r="FVQ66" s="168"/>
      <c r="FVR66" s="113" t="s">
        <v>22</v>
      </c>
      <c r="FVS66" s="114">
        <v>8150</v>
      </c>
      <c r="FVT66" s="122">
        <v>85</v>
      </c>
      <c r="FVU66" s="123">
        <v>215</v>
      </c>
      <c r="FVV66" s="123">
        <v>75</v>
      </c>
      <c r="FVW66" s="122">
        <v>150</v>
      </c>
      <c r="FVX66" s="124">
        <f>SUM(FVS66:FVW66)</f>
        <v>8675</v>
      </c>
      <c r="FVY66" s="122">
        <v>200</v>
      </c>
      <c r="FVZ66" s="124">
        <f>SUM(FVX66:FVY66)</f>
        <v>8875</v>
      </c>
      <c r="FWA66" s="117" t="s">
        <v>99</v>
      </c>
      <c r="FWB66" s="118">
        <v>45845</v>
      </c>
      <c r="FWC66" s="113" t="s">
        <v>39</v>
      </c>
      <c r="FWD66" s="169"/>
      <c r="FWE66" s="119" t="s">
        <v>92</v>
      </c>
      <c r="FWF66" s="167"/>
      <c r="FWG66" s="168"/>
      <c r="FWH66" s="113" t="s">
        <v>22</v>
      </c>
      <c r="FWI66" s="114">
        <v>8150</v>
      </c>
      <c r="FWJ66" s="122">
        <v>85</v>
      </c>
      <c r="FWK66" s="123">
        <v>215</v>
      </c>
      <c r="FWL66" s="123">
        <v>75</v>
      </c>
      <c r="FWM66" s="122">
        <v>150</v>
      </c>
      <c r="FWN66" s="124">
        <f>SUM(FWI66:FWM66)</f>
        <v>8675</v>
      </c>
      <c r="FWO66" s="122">
        <v>200</v>
      </c>
      <c r="FWP66" s="124">
        <f>SUM(FWN66:FWO66)</f>
        <v>8875</v>
      </c>
      <c r="FWQ66" s="117" t="s">
        <v>99</v>
      </c>
      <c r="FWR66" s="118">
        <v>45845</v>
      </c>
      <c r="FWS66" s="113" t="s">
        <v>39</v>
      </c>
      <c r="FWT66" s="169"/>
      <c r="FWU66" s="119" t="s">
        <v>92</v>
      </c>
      <c r="FWV66" s="167"/>
      <c r="FWW66" s="168"/>
      <c r="FWX66" s="113" t="s">
        <v>22</v>
      </c>
      <c r="FWY66" s="114">
        <v>8150</v>
      </c>
      <c r="FWZ66" s="122">
        <v>85</v>
      </c>
      <c r="FXA66" s="123">
        <v>215</v>
      </c>
      <c r="FXB66" s="123">
        <v>75</v>
      </c>
      <c r="FXC66" s="122">
        <v>150</v>
      </c>
      <c r="FXD66" s="124">
        <f>SUM(FWY66:FXC66)</f>
        <v>8675</v>
      </c>
      <c r="FXE66" s="122">
        <v>200</v>
      </c>
      <c r="FXF66" s="124">
        <f>SUM(FXD66:FXE66)</f>
        <v>8875</v>
      </c>
      <c r="FXG66" s="117" t="s">
        <v>99</v>
      </c>
      <c r="FXH66" s="118">
        <v>45845</v>
      </c>
      <c r="FXI66" s="113" t="s">
        <v>39</v>
      </c>
      <c r="FXJ66" s="169"/>
      <c r="FXK66" s="119" t="s">
        <v>92</v>
      </c>
      <c r="FXL66" s="167"/>
      <c r="FXM66" s="168"/>
      <c r="FXN66" s="113" t="s">
        <v>22</v>
      </c>
      <c r="FXO66" s="114">
        <v>8150</v>
      </c>
      <c r="FXP66" s="122">
        <v>85</v>
      </c>
      <c r="FXQ66" s="123">
        <v>215</v>
      </c>
      <c r="FXR66" s="123">
        <v>75</v>
      </c>
      <c r="FXS66" s="122">
        <v>150</v>
      </c>
      <c r="FXT66" s="124">
        <f>SUM(FXO66:FXS66)</f>
        <v>8675</v>
      </c>
      <c r="FXU66" s="122">
        <v>200</v>
      </c>
      <c r="FXV66" s="124">
        <f>SUM(FXT66:FXU66)</f>
        <v>8875</v>
      </c>
      <c r="FXW66" s="117" t="s">
        <v>99</v>
      </c>
      <c r="FXX66" s="118">
        <v>45845</v>
      </c>
      <c r="FXY66" s="113" t="s">
        <v>39</v>
      </c>
      <c r="FXZ66" s="169"/>
      <c r="FYA66" s="119" t="s">
        <v>92</v>
      </c>
      <c r="FYB66" s="167"/>
      <c r="FYC66" s="168"/>
      <c r="FYD66" s="113" t="s">
        <v>22</v>
      </c>
      <c r="FYE66" s="114">
        <v>8150</v>
      </c>
      <c r="FYF66" s="122">
        <v>85</v>
      </c>
      <c r="FYG66" s="123">
        <v>215</v>
      </c>
      <c r="FYH66" s="123">
        <v>75</v>
      </c>
      <c r="FYI66" s="122">
        <v>150</v>
      </c>
      <c r="FYJ66" s="124">
        <f>SUM(FYE66:FYI66)</f>
        <v>8675</v>
      </c>
      <c r="FYK66" s="122">
        <v>200</v>
      </c>
      <c r="FYL66" s="124">
        <f>SUM(FYJ66:FYK66)</f>
        <v>8875</v>
      </c>
      <c r="FYM66" s="117" t="s">
        <v>99</v>
      </c>
      <c r="FYN66" s="118">
        <v>45845</v>
      </c>
      <c r="FYO66" s="113" t="s">
        <v>39</v>
      </c>
      <c r="FYP66" s="169"/>
      <c r="FYQ66" s="119" t="s">
        <v>92</v>
      </c>
      <c r="FYR66" s="167"/>
      <c r="FYS66" s="168"/>
      <c r="FYT66" s="113" t="s">
        <v>22</v>
      </c>
      <c r="FYU66" s="114">
        <v>8150</v>
      </c>
      <c r="FYV66" s="122">
        <v>85</v>
      </c>
      <c r="FYW66" s="123">
        <v>215</v>
      </c>
      <c r="FYX66" s="123">
        <v>75</v>
      </c>
      <c r="FYY66" s="122">
        <v>150</v>
      </c>
      <c r="FYZ66" s="124">
        <f>SUM(FYU66:FYY66)</f>
        <v>8675</v>
      </c>
      <c r="FZA66" s="122">
        <v>200</v>
      </c>
      <c r="FZB66" s="124">
        <f>SUM(FYZ66:FZA66)</f>
        <v>8875</v>
      </c>
      <c r="FZC66" s="117" t="s">
        <v>99</v>
      </c>
      <c r="FZD66" s="118">
        <v>45845</v>
      </c>
      <c r="FZE66" s="113" t="s">
        <v>39</v>
      </c>
      <c r="FZF66" s="169"/>
      <c r="FZG66" s="119" t="s">
        <v>92</v>
      </c>
      <c r="FZH66" s="167"/>
      <c r="FZI66" s="168"/>
      <c r="FZJ66" s="113" t="s">
        <v>22</v>
      </c>
      <c r="FZK66" s="114">
        <v>8150</v>
      </c>
      <c r="FZL66" s="122">
        <v>85</v>
      </c>
      <c r="FZM66" s="123">
        <v>215</v>
      </c>
      <c r="FZN66" s="123">
        <v>75</v>
      </c>
      <c r="FZO66" s="122">
        <v>150</v>
      </c>
      <c r="FZP66" s="124">
        <f>SUM(FZK66:FZO66)</f>
        <v>8675</v>
      </c>
      <c r="FZQ66" s="122">
        <v>200</v>
      </c>
      <c r="FZR66" s="124">
        <f>SUM(FZP66:FZQ66)</f>
        <v>8875</v>
      </c>
      <c r="FZS66" s="117" t="s">
        <v>99</v>
      </c>
      <c r="FZT66" s="118">
        <v>45845</v>
      </c>
      <c r="FZU66" s="113" t="s">
        <v>39</v>
      </c>
      <c r="FZV66" s="169"/>
      <c r="FZW66" s="119" t="s">
        <v>92</v>
      </c>
      <c r="FZX66" s="167"/>
      <c r="FZY66" s="168"/>
      <c r="FZZ66" s="113" t="s">
        <v>22</v>
      </c>
      <c r="GAA66" s="114">
        <v>8150</v>
      </c>
      <c r="GAB66" s="122">
        <v>85</v>
      </c>
      <c r="GAC66" s="123">
        <v>215</v>
      </c>
      <c r="GAD66" s="123">
        <v>75</v>
      </c>
      <c r="GAE66" s="122">
        <v>150</v>
      </c>
      <c r="GAF66" s="124">
        <f>SUM(GAA66:GAE66)</f>
        <v>8675</v>
      </c>
      <c r="GAG66" s="122">
        <v>200</v>
      </c>
      <c r="GAH66" s="124">
        <f>SUM(GAF66:GAG66)</f>
        <v>8875</v>
      </c>
      <c r="GAI66" s="117" t="s">
        <v>99</v>
      </c>
      <c r="GAJ66" s="118">
        <v>45845</v>
      </c>
      <c r="GAK66" s="113" t="s">
        <v>39</v>
      </c>
      <c r="GAL66" s="169"/>
      <c r="GAM66" s="119" t="s">
        <v>92</v>
      </c>
      <c r="GAN66" s="167"/>
      <c r="GAO66" s="168"/>
      <c r="GAP66" s="113" t="s">
        <v>22</v>
      </c>
      <c r="GAQ66" s="114">
        <v>8150</v>
      </c>
      <c r="GAR66" s="122">
        <v>85</v>
      </c>
      <c r="GAS66" s="123">
        <v>215</v>
      </c>
      <c r="GAT66" s="123">
        <v>75</v>
      </c>
      <c r="GAU66" s="122">
        <v>150</v>
      </c>
      <c r="GAV66" s="124">
        <f>SUM(GAQ66:GAU66)</f>
        <v>8675</v>
      </c>
      <c r="GAW66" s="122">
        <v>200</v>
      </c>
      <c r="GAX66" s="124">
        <f>SUM(GAV66:GAW66)</f>
        <v>8875</v>
      </c>
      <c r="GAY66" s="117" t="s">
        <v>99</v>
      </c>
      <c r="GAZ66" s="118">
        <v>45845</v>
      </c>
      <c r="GBA66" s="113" t="s">
        <v>39</v>
      </c>
      <c r="GBB66" s="169"/>
      <c r="GBC66" s="119" t="s">
        <v>92</v>
      </c>
      <c r="GBD66" s="167"/>
      <c r="GBE66" s="168"/>
      <c r="GBF66" s="113" t="s">
        <v>22</v>
      </c>
      <c r="GBG66" s="114">
        <v>8150</v>
      </c>
      <c r="GBH66" s="122">
        <v>85</v>
      </c>
      <c r="GBI66" s="123">
        <v>215</v>
      </c>
      <c r="GBJ66" s="123">
        <v>75</v>
      </c>
      <c r="GBK66" s="122">
        <v>150</v>
      </c>
      <c r="GBL66" s="124">
        <f>SUM(GBG66:GBK66)</f>
        <v>8675</v>
      </c>
      <c r="GBM66" s="122">
        <v>200</v>
      </c>
      <c r="GBN66" s="124">
        <f>SUM(GBL66:GBM66)</f>
        <v>8875</v>
      </c>
      <c r="GBO66" s="117" t="s">
        <v>99</v>
      </c>
      <c r="GBP66" s="118">
        <v>45845</v>
      </c>
      <c r="GBQ66" s="113" t="s">
        <v>39</v>
      </c>
      <c r="GBR66" s="169"/>
      <c r="GBS66" s="119" t="s">
        <v>92</v>
      </c>
      <c r="GBT66" s="167"/>
      <c r="GBU66" s="168"/>
      <c r="GBV66" s="113" t="s">
        <v>22</v>
      </c>
      <c r="GBW66" s="114">
        <v>8150</v>
      </c>
      <c r="GBX66" s="122">
        <v>85</v>
      </c>
      <c r="GBY66" s="123">
        <v>215</v>
      </c>
      <c r="GBZ66" s="123">
        <v>75</v>
      </c>
      <c r="GCA66" s="122">
        <v>150</v>
      </c>
      <c r="GCB66" s="124">
        <f>SUM(GBW66:GCA66)</f>
        <v>8675</v>
      </c>
      <c r="GCC66" s="122">
        <v>200</v>
      </c>
      <c r="GCD66" s="124">
        <f>SUM(GCB66:GCC66)</f>
        <v>8875</v>
      </c>
      <c r="GCE66" s="117" t="s">
        <v>99</v>
      </c>
      <c r="GCF66" s="118">
        <v>45845</v>
      </c>
      <c r="GCG66" s="113" t="s">
        <v>39</v>
      </c>
      <c r="GCH66" s="169"/>
      <c r="GCI66" s="119" t="s">
        <v>92</v>
      </c>
      <c r="GCJ66" s="167"/>
      <c r="GCK66" s="168"/>
      <c r="GCL66" s="113" t="s">
        <v>22</v>
      </c>
      <c r="GCM66" s="114">
        <v>8150</v>
      </c>
      <c r="GCN66" s="122">
        <v>85</v>
      </c>
      <c r="GCO66" s="123">
        <v>215</v>
      </c>
      <c r="GCP66" s="123">
        <v>75</v>
      </c>
      <c r="GCQ66" s="122">
        <v>150</v>
      </c>
      <c r="GCR66" s="124">
        <f>SUM(GCM66:GCQ66)</f>
        <v>8675</v>
      </c>
      <c r="GCS66" s="122">
        <v>200</v>
      </c>
      <c r="GCT66" s="124">
        <f>SUM(GCR66:GCS66)</f>
        <v>8875</v>
      </c>
      <c r="GCU66" s="117" t="s">
        <v>99</v>
      </c>
      <c r="GCV66" s="118">
        <v>45845</v>
      </c>
      <c r="GCW66" s="113" t="s">
        <v>39</v>
      </c>
      <c r="GCX66" s="169"/>
      <c r="GCY66" s="119" t="s">
        <v>92</v>
      </c>
      <c r="GCZ66" s="167"/>
      <c r="GDA66" s="168"/>
      <c r="GDB66" s="113" t="s">
        <v>22</v>
      </c>
      <c r="GDC66" s="114">
        <v>8150</v>
      </c>
      <c r="GDD66" s="122">
        <v>85</v>
      </c>
      <c r="GDE66" s="123">
        <v>215</v>
      </c>
      <c r="GDF66" s="123">
        <v>75</v>
      </c>
      <c r="GDG66" s="122">
        <v>150</v>
      </c>
      <c r="GDH66" s="124">
        <f>SUM(GDC66:GDG66)</f>
        <v>8675</v>
      </c>
      <c r="GDI66" s="122">
        <v>200</v>
      </c>
      <c r="GDJ66" s="124">
        <f>SUM(GDH66:GDI66)</f>
        <v>8875</v>
      </c>
      <c r="GDK66" s="117" t="s">
        <v>99</v>
      </c>
      <c r="GDL66" s="118">
        <v>45845</v>
      </c>
      <c r="GDM66" s="113" t="s">
        <v>39</v>
      </c>
      <c r="GDN66" s="169"/>
      <c r="GDO66" s="119" t="s">
        <v>92</v>
      </c>
      <c r="GDP66" s="167"/>
      <c r="GDQ66" s="168"/>
      <c r="GDR66" s="113" t="s">
        <v>22</v>
      </c>
      <c r="GDS66" s="114">
        <v>8150</v>
      </c>
      <c r="GDT66" s="122">
        <v>85</v>
      </c>
      <c r="GDU66" s="123">
        <v>215</v>
      </c>
      <c r="GDV66" s="123">
        <v>75</v>
      </c>
      <c r="GDW66" s="122">
        <v>150</v>
      </c>
      <c r="GDX66" s="124">
        <f>SUM(GDS66:GDW66)</f>
        <v>8675</v>
      </c>
      <c r="GDY66" s="122">
        <v>200</v>
      </c>
      <c r="GDZ66" s="124">
        <f>SUM(GDX66:GDY66)</f>
        <v>8875</v>
      </c>
      <c r="GEA66" s="117" t="s">
        <v>99</v>
      </c>
      <c r="GEB66" s="118">
        <v>45845</v>
      </c>
      <c r="GEC66" s="113" t="s">
        <v>39</v>
      </c>
      <c r="GED66" s="169"/>
      <c r="GEE66" s="119" t="s">
        <v>92</v>
      </c>
      <c r="GEF66" s="167"/>
      <c r="GEG66" s="168"/>
      <c r="GEH66" s="113" t="s">
        <v>22</v>
      </c>
      <c r="GEI66" s="114">
        <v>8150</v>
      </c>
      <c r="GEJ66" s="122">
        <v>85</v>
      </c>
      <c r="GEK66" s="123">
        <v>215</v>
      </c>
      <c r="GEL66" s="123">
        <v>75</v>
      </c>
      <c r="GEM66" s="122">
        <v>150</v>
      </c>
      <c r="GEN66" s="124">
        <f>SUM(GEI66:GEM66)</f>
        <v>8675</v>
      </c>
      <c r="GEO66" s="122">
        <v>200</v>
      </c>
      <c r="GEP66" s="124">
        <f>SUM(GEN66:GEO66)</f>
        <v>8875</v>
      </c>
      <c r="GEQ66" s="117" t="s">
        <v>99</v>
      </c>
      <c r="GER66" s="118">
        <v>45845</v>
      </c>
      <c r="GES66" s="113" t="s">
        <v>39</v>
      </c>
      <c r="GET66" s="169"/>
      <c r="GEU66" s="119" t="s">
        <v>92</v>
      </c>
      <c r="GEV66" s="167"/>
      <c r="GEW66" s="168"/>
      <c r="GEX66" s="113" t="s">
        <v>22</v>
      </c>
      <c r="GEY66" s="114">
        <v>8150</v>
      </c>
      <c r="GEZ66" s="122">
        <v>85</v>
      </c>
      <c r="GFA66" s="123">
        <v>215</v>
      </c>
      <c r="GFB66" s="123">
        <v>75</v>
      </c>
      <c r="GFC66" s="122">
        <v>150</v>
      </c>
      <c r="GFD66" s="124">
        <f>SUM(GEY66:GFC66)</f>
        <v>8675</v>
      </c>
      <c r="GFE66" s="122">
        <v>200</v>
      </c>
      <c r="GFF66" s="124">
        <f>SUM(GFD66:GFE66)</f>
        <v>8875</v>
      </c>
      <c r="GFG66" s="117" t="s">
        <v>99</v>
      </c>
      <c r="GFH66" s="118">
        <v>45845</v>
      </c>
      <c r="GFI66" s="113" t="s">
        <v>39</v>
      </c>
      <c r="GFJ66" s="169"/>
      <c r="GFK66" s="119" t="s">
        <v>92</v>
      </c>
      <c r="GFL66" s="167"/>
      <c r="GFM66" s="168"/>
      <c r="GFN66" s="113" t="s">
        <v>22</v>
      </c>
      <c r="GFO66" s="114">
        <v>8150</v>
      </c>
      <c r="GFP66" s="122">
        <v>85</v>
      </c>
      <c r="GFQ66" s="123">
        <v>215</v>
      </c>
      <c r="GFR66" s="123">
        <v>75</v>
      </c>
      <c r="GFS66" s="122">
        <v>150</v>
      </c>
      <c r="GFT66" s="124">
        <f>SUM(GFO66:GFS66)</f>
        <v>8675</v>
      </c>
      <c r="GFU66" s="122">
        <v>200</v>
      </c>
      <c r="GFV66" s="124">
        <f>SUM(GFT66:GFU66)</f>
        <v>8875</v>
      </c>
      <c r="GFW66" s="117" t="s">
        <v>99</v>
      </c>
      <c r="GFX66" s="118">
        <v>45845</v>
      </c>
      <c r="GFY66" s="113" t="s">
        <v>39</v>
      </c>
      <c r="GFZ66" s="169"/>
      <c r="GGA66" s="119" t="s">
        <v>92</v>
      </c>
      <c r="GGB66" s="167"/>
      <c r="GGC66" s="168"/>
      <c r="GGD66" s="113" t="s">
        <v>22</v>
      </c>
      <c r="GGE66" s="114">
        <v>8150</v>
      </c>
      <c r="GGF66" s="122">
        <v>85</v>
      </c>
      <c r="GGG66" s="123">
        <v>215</v>
      </c>
      <c r="GGH66" s="123">
        <v>75</v>
      </c>
      <c r="GGI66" s="122">
        <v>150</v>
      </c>
      <c r="GGJ66" s="124">
        <f>SUM(GGE66:GGI66)</f>
        <v>8675</v>
      </c>
      <c r="GGK66" s="122">
        <v>200</v>
      </c>
      <c r="GGL66" s="124">
        <f>SUM(GGJ66:GGK66)</f>
        <v>8875</v>
      </c>
      <c r="GGM66" s="117" t="s">
        <v>99</v>
      </c>
      <c r="GGN66" s="118">
        <v>45845</v>
      </c>
      <c r="GGO66" s="113" t="s">
        <v>39</v>
      </c>
      <c r="GGP66" s="169"/>
      <c r="GGQ66" s="119" t="s">
        <v>92</v>
      </c>
      <c r="GGR66" s="167"/>
      <c r="GGS66" s="168"/>
      <c r="GGT66" s="113" t="s">
        <v>22</v>
      </c>
      <c r="GGU66" s="114">
        <v>8150</v>
      </c>
      <c r="GGV66" s="122">
        <v>85</v>
      </c>
      <c r="GGW66" s="123">
        <v>215</v>
      </c>
      <c r="GGX66" s="123">
        <v>75</v>
      </c>
      <c r="GGY66" s="122">
        <v>150</v>
      </c>
      <c r="GGZ66" s="124">
        <f>SUM(GGU66:GGY66)</f>
        <v>8675</v>
      </c>
      <c r="GHA66" s="122">
        <v>200</v>
      </c>
      <c r="GHB66" s="124">
        <f>SUM(GGZ66:GHA66)</f>
        <v>8875</v>
      </c>
      <c r="GHC66" s="117" t="s">
        <v>99</v>
      </c>
      <c r="GHD66" s="118">
        <v>45845</v>
      </c>
      <c r="GHE66" s="113" t="s">
        <v>39</v>
      </c>
      <c r="GHF66" s="169"/>
      <c r="GHG66" s="119" t="s">
        <v>92</v>
      </c>
      <c r="GHH66" s="167"/>
      <c r="GHI66" s="168"/>
      <c r="GHJ66" s="113" t="s">
        <v>22</v>
      </c>
      <c r="GHK66" s="114">
        <v>8150</v>
      </c>
      <c r="GHL66" s="122">
        <v>85</v>
      </c>
      <c r="GHM66" s="123">
        <v>215</v>
      </c>
      <c r="GHN66" s="123">
        <v>75</v>
      </c>
      <c r="GHO66" s="122">
        <v>150</v>
      </c>
      <c r="GHP66" s="124">
        <f>SUM(GHK66:GHO66)</f>
        <v>8675</v>
      </c>
      <c r="GHQ66" s="122">
        <v>200</v>
      </c>
      <c r="GHR66" s="124">
        <f>SUM(GHP66:GHQ66)</f>
        <v>8875</v>
      </c>
      <c r="GHS66" s="117" t="s">
        <v>99</v>
      </c>
      <c r="GHT66" s="118">
        <v>45845</v>
      </c>
      <c r="GHU66" s="113" t="s">
        <v>39</v>
      </c>
      <c r="GHV66" s="169"/>
      <c r="GHW66" s="119" t="s">
        <v>92</v>
      </c>
      <c r="GHX66" s="167"/>
      <c r="GHY66" s="168"/>
      <c r="GHZ66" s="113" t="s">
        <v>22</v>
      </c>
      <c r="GIA66" s="114">
        <v>8150</v>
      </c>
      <c r="GIB66" s="122">
        <v>85</v>
      </c>
      <c r="GIC66" s="123">
        <v>215</v>
      </c>
      <c r="GID66" s="123">
        <v>75</v>
      </c>
      <c r="GIE66" s="122">
        <v>150</v>
      </c>
      <c r="GIF66" s="124">
        <f>SUM(GIA66:GIE66)</f>
        <v>8675</v>
      </c>
      <c r="GIG66" s="122">
        <v>200</v>
      </c>
      <c r="GIH66" s="124">
        <f>SUM(GIF66:GIG66)</f>
        <v>8875</v>
      </c>
      <c r="GII66" s="117" t="s">
        <v>99</v>
      </c>
      <c r="GIJ66" s="118">
        <v>45845</v>
      </c>
      <c r="GIK66" s="113" t="s">
        <v>39</v>
      </c>
      <c r="GIL66" s="169"/>
      <c r="GIM66" s="119" t="s">
        <v>92</v>
      </c>
      <c r="GIN66" s="167"/>
      <c r="GIO66" s="168"/>
      <c r="GIP66" s="113" t="s">
        <v>22</v>
      </c>
      <c r="GIQ66" s="114">
        <v>8150</v>
      </c>
      <c r="GIR66" s="122">
        <v>85</v>
      </c>
      <c r="GIS66" s="123">
        <v>215</v>
      </c>
      <c r="GIT66" s="123">
        <v>75</v>
      </c>
      <c r="GIU66" s="122">
        <v>150</v>
      </c>
      <c r="GIV66" s="124">
        <f>SUM(GIQ66:GIU66)</f>
        <v>8675</v>
      </c>
      <c r="GIW66" s="122">
        <v>200</v>
      </c>
      <c r="GIX66" s="124">
        <f>SUM(GIV66:GIW66)</f>
        <v>8875</v>
      </c>
      <c r="GIY66" s="117" t="s">
        <v>99</v>
      </c>
      <c r="GIZ66" s="118">
        <v>45845</v>
      </c>
      <c r="GJA66" s="113" t="s">
        <v>39</v>
      </c>
      <c r="GJB66" s="169"/>
      <c r="GJC66" s="119" t="s">
        <v>92</v>
      </c>
      <c r="GJD66" s="167"/>
      <c r="GJE66" s="168"/>
      <c r="GJF66" s="113" t="s">
        <v>22</v>
      </c>
      <c r="GJG66" s="114">
        <v>8150</v>
      </c>
      <c r="GJH66" s="122">
        <v>85</v>
      </c>
      <c r="GJI66" s="123">
        <v>215</v>
      </c>
      <c r="GJJ66" s="123">
        <v>75</v>
      </c>
      <c r="GJK66" s="122">
        <v>150</v>
      </c>
      <c r="GJL66" s="124">
        <f>SUM(GJG66:GJK66)</f>
        <v>8675</v>
      </c>
      <c r="GJM66" s="122">
        <v>200</v>
      </c>
      <c r="GJN66" s="124">
        <f>SUM(GJL66:GJM66)</f>
        <v>8875</v>
      </c>
      <c r="GJO66" s="117" t="s">
        <v>99</v>
      </c>
      <c r="GJP66" s="118">
        <v>45845</v>
      </c>
      <c r="GJQ66" s="113" t="s">
        <v>39</v>
      </c>
      <c r="GJR66" s="169"/>
      <c r="GJS66" s="119" t="s">
        <v>92</v>
      </c>
      <c r="GJT66" s="167"/>
      <c r="GJU66" s="168"/>
      <c r="GJV66" s="113" t="s">
        <v>22</v>
      </c>
      <c r="GJW66" s="114">
        <v>8150</v>
      </c>
      <c r="GJX66" s="122">
        <v>85</v>
      </c>
      <c r="GJY66" s="123">
        <v>215</v>
      </c>
      <c r="GJZ66" s="123">
        <v>75</v>
      </c>
      <c r="GKA66" s="122">
        <v>150</v>
      </c>
      <c r="GKB66" s="124">
        <f>SUM(GJW66:GKA66)</f>
        <v>8675</v>
      </c>
      <c r="GKC66" s="122">
        <v>200</v>
      </c>
      <c r="GKD66" s="124">
        <f>SUM(GKB66:GKC66)</f>
        <v>8875</v>
      </c>
      <c r="GKE66" s="117" t="s">
        <v>99</v>
      </c>
      <c r="GKF66" s="118">
        <v>45845</v>
      </c>
      <c r="GKG66" s="113" t="s">
        <v>39</v>
      </c>
      <c r="GKH66" s="169"/>
      <c r="GKI66" s="119" t="s">
        <v>92</v>
      </c>
      <c r="GKJ66" s="167"/>
      <c r="GKK66" s="168"/>
      <c r="GKL66" s="113" t="s">
        <v>22</v>
      </c>
      <c r="GKM66" s="114">
        <v>8150</v>
      </c>
      <c r="GKN66" s="122">
        <v>85</v>
      </c>
      <c r="GKO66" s="123">
        <v>215</v>
      </c>
      <c r="GKP66" s="123">
        <v>75</v>
      </c>
      <c r="GKQ66" s="122">
        <v>150</v>
      </c>
      <c r="GKR66" s="124">
        <f>SUM(GKM66:GKQ66)</f>
        <v>8675</v>
      </c>
      <c r="GKS66" s="122">
        <v>200</v>
      </c>
      <c r="GKT66" s="124">
        <f>SUM(GKR66:GKS66)</f>
        <v>8875</v>
      </c>
      <c r="GKU66" s="117" t="s">
        <v>99</v>
      </c>
      <c r="GKV66" s="118">
        <v>45845</v>
      </c>
      <c r="GKW66" s="113" t="s">
        <v>39</v>
      </c>
      <c r="GKX66" s="169"/>
      <c r="GKY66" s="119" t="s">
        <v>92</v>
      </c>
      <c r="GKZ66" s="167"/>
      <c r="GLA66" s="168"/>
      <c r="GLB66" s="113" t="s">
        <v>22</v>
      </c>
      <c r="GLC66" s="114">
        <v>8150</v>
      </c>
      <c r="GLD66" s="122">
        <v>85</v>
      </c>
      <c r="GLE66" s="123">
        <v>215</v>
      </c>
      <c r="GLF66" s="123">
        <v>75</v>
      </c>
      <c r="GLG66" s="122">
        <v>150</v>
      </c>
      <c r="GLH66" s="124">
        <f>SUM(GLC66:GLG66)</f>
        <v>8675</v>
      </c>
      <c r="GLI66" s="122">
        <v>200</v>
      </c>
      <c r="GLJ66" s="124">
        <f>SUM(GLH66:GLI66)</f>
        <v>8875</v>
      </c>
      <c r="GLK66" s="117" t="s">
        <v>99</v>
      </c>
      <c r="GLL66" s="118">
        <v>45845</v>
      </c>
      <c r="GLM66" s="113" t="s">
        <v>39</v>
      </c>
      <c r="GLN66" s="169"/>
      <c r="GLO66" s="119" t="s">
        <v>92</v>
      </c>
      <c r="GLP66" s="167"/>
      <c r="GLQ66" s="168"/>
      <c r="GLR66" s="113" t="s">
        <v>22</v>
      </c>
      <c r="GLS66" s="114">
        <v>8150</v>
      </c>
      <c r="GLT66" s="122">
        <v>85</v>
      </c>
      <c r="GLU66" s="123">
        <v>215</v>
      </c>
      <c r="GLV66" s="123">
        <v>75</v>
      </c>
      <c r="GLW66" s="122">
        <v>150</v>
      </c>
      <c r="GLX66" s="124">
        <f>SUM(GLS66:GLW66)</f>
        <v>8675</v>
      </c>
      <c r="GLY66" s="122">
        <v>200</v>
      </c>
      <c r="GLZ66" s="124">
        <f>SUM(GLX66:GLY66)</f>
        <v>8875</v>
      </c>
      <c r="GMA66" s="117" t="s">
        <v>99</v>
      </c>
      <c r="GMB66" s="118">
        <v>45845</v>
      </c>
      <c r="GMC66" s="113" t="s">
        <v>39</v>
      </c>
      <c r="GMD66" s="169"/>
      <c r="GME66" s="119" t="s">
        <v>92</v>
      </c>
      <c r="GMF66" s="167"/>
      <c r="GMG66" s="168"/>
      <c r="GMH66" s="113" t="s">
        <v>22</v>
      </c>
      <c r="GMI66" s="114">
        <v>8150</v>
      </c>
      <c r="GMJ66" s="122">
        <v>85</v>
      </c>
      <c r="GMK66" s="123">
        <v>215</v>
      </c>
      <c r="GML66" s="123">
        <v>75</v>
      </c>
      <c r="GMM66" s="122">
        <v>150</v>
      </c>
      <c r="GMN66" s="124">
        <f>SUM(GMI66:GMM66)</f>
        <v>8675</v>
      </c>
      <c r="GMO66" s="122">
        <v>200</v>
      </c>
      <c r="GMP66" s="124">
        <f>SUM(GMN66:GMO66)</f>
        <v>8875</v>
      </c>
      <c r="GMQ66" s="117" t="s">
        <v>99</v>
      </c>
      <c r="GMR66" s="118">
        <v>45845</v>
      </c>
      <c r="GMS66" s="113" t="s">
        <v>39</v>
      </c>
      <c r="GMT66" s="169"/>
      <c r="GMU66" s="119" t="s">
        <v>92</v>
      </c>
      <c r="GMV66" s="167"/>
      <c r="GMW66" s="168"/>
      <c r="GMX66" s="113" t="s">
        <v>22</v>
      </c>
      <c r="GMY66" s="114">
        <v>8150</v>
      </c>
      <c r="GMZ66" s="122">
        <v>85</v>
      </c>
      <c r="GNA66" s="123">
        <v>215</v>
      </c>
      <c r="GNB66" s="123">
        <v>75</v>
      </c>
      <c r="GNC66" s="122">
        <v>150</v>
      </c>
      <c r="GND66" s="124">
        <f>SUM(GMY66:GNC66)</f>
        <v>8675</v>
      </c>
      <c r="GNE66" s="122">
        <v>200</v>
      </c>
      <c r="GNF66" s="124">
        <f>SUM(GND66:GNE66)</f>
        <v>8875</v>
      </c>
      <c r="GNG66" s="117" t="s">
        <v>99</v>
      </c>
      <c r="GNH66" s="118">
        <v>45845</v>
      </c>
      <c r="GNI66" s="113" t="s">
        <v>39</v>
      </c>
      <c r="GNJ66" s="169"/>
      <c r="GNK66" s="119" t="s">
        <v>92</v>
      </c>
      <c r="GNL66" s="167"/>
      <c r="GNM66" s="168"/>
      <c r="GNN66" s="113" t="s">
        <v>22</v>
      </c>
      <c r="GNO66" s="114">
        <v>8150</v>
      </c>
      <c r="GNP66" s="122">
        <v>85</v>
      </c>
      <c r="GNQ66" s="123">
        <v>215</v>
      </c>
      <c r="GNR66" s="123">
        <v>75</v>
      </c>
      <c r="GNS66" s="122">
        <v>150</v>
      </c>
      <c r="GNT66" s="124">
        <f>SUM(GNO66:GNS66)</f>
        <v>8675</v>
      </c>
      <c r="GNU66" s="122">
        <v>200</v>
      </c>
      <c r="GNV66" s="124">
        <f>SUM(GNT66:GNU66)</f>
        <v>8875</v>
      </c>
      <c r="GNW66" s="117" t="s">
        <v>99</v>
      </c>
      <c r="GNX66" s="118">
        <v>45845</v>
      </c>
      <c r="GNY66" s="113" t="s">
        <v>39</v>
      </c>
      <c r="GNZ66" s="169"/>
      <c r="GOA66" s="119" t="s">
        <v>92</v>
      </c>
      <c r="GOB66" s="167"/>
      <c r="GOC66" s="168"/>
      <c r="GOD66" s="113" t="s">
        <v>22</v>
      </c>
      <c r="GOE66" s="114">
        <v>8150</v>
      </c>
      <c r="GOF66" s="122">
        <v>85</v>
      </c>
      <c r="GOG66" s="123">
        <v>215</v>
      </c>
      <c r="GOH66" s="123">
        <v>75</v>
      </c>
      <c r="GOI66" s="122">
        <v>150</v>
      </c>
      <c r="GOJ66" s="124">
        <f>SUM(GOE66:GOI66)</f>
        <v>8675</v>
      </c>
      <c r="GOK66" s="122">
        <v>200</v>
      </c>
      <c r="GOL66" s="124">
        <f>SUM(GOJ66:GOK66)</f>
        <v>8875</v>
      </c>
      <c r="GOM66" s="117" t="s">
        <v>99</v>
      </c>
      <c r="GON66" s="118">
        <v>45845</v>
      </c>
      <c r="GOO66" s="113" t="s">
        <v>39</v>
      </c>
      <c r="GOP66" s="169"/>
      <c r="GOQ66" s="119" t="s">
        <v>92</v>
      </c>
      <c r="GOR66" s="167"/>
      <c r="GOS66" s="168"/>
      <c r="GOT66" s="113" t="s">
        <v>22</v>
      </c>
      <c r="GOU66" s="114">
        <v>8150</v>
      </c>
      <c r="GOV66" s="122">
        <v>85</v>
      </c>
      <c r="GOW66" s="123">
        <v>215</v>
      </c>
      <c r="GOX66" s="123">
        <v>75</v>
      </c>
      <c r="GOY66" s="122">
        <v>150</v>
      </c>
      <c r="GOZ66" s="124">
        <f>SUM(GOU66:GOY66)</f>
        <v>8675</v>
      </c>
      <c r="GPA66" s="122">
        <v>200</v>
      </c>
      <c r="GPB66" s="124">
        <f>SUM(GOZ66:GPA66)</f>
        <v>8875</v>
      </c>
      <c r="GPC66" s="117" t="s">
        <v>99</v>
      </c>
      <c r="GPD66" s="118">
        <v>45845</v>
      </c>
      <c r="GPE66" s="113" t="s">
        <v>39</v>
      </c>
      <c r="GPF66" s="169"/>
      <c r="GPG66" s="119" t="s">
        <v>92</v>
      </c>
      <c r="GPH66" s="167"/>
      <c r="GPI66" s="168"/>
      <c r="GPJ66" s="113" t="s">
        <v>22</v>
      </c>
      <c r="GPK66" s="114">
        <v>8150</v>
      </c>
      <c r="GPL66" s="122">
        <v>85</v>
      </c>
      <c r="GPM66" s="123">
        <v>215</v>
      </c>
      <c r="GPN66" s="123">
        <v>75</v>
      </c>
      <c r="GPO66" s="122">
        <v>150</v>
      </c>
      <c r="GPP66" s="124">
        <f>SUM(GPK66:GPO66)</f>
        <v>8675</v>
      </c>
      <c r="GPQ66" s="122">
        <v>200</v>
      </c>
      <c r="GPR66" s="124">
        <f>SUM(GPP66:GPQ66)</f>
        <v>8875</v>
      </c>
      <c r="GPS66" s="117" t="s">
        <v>99</v>
      </c>
      <c r="GPT66" s="118">
        <v>45845</v>
      </c>
      <c r="GPU66" s="113" t="s">
        <v>39</v>
      </c>
      <c r="GPV66" s="169"/>
      <c r="GPW66" s="119" t="s">
        <v>92</v>
      </c>
      <c r="GPX66" s="167"/>
      <c r="GPY66" s="168"/>
      <c r="GPZ66" s="113" t="s">
        <v>22</v>
      </c>
      <c r="GQA66" s="114">
        <v>8150</v>
      </c>
      <c r="GQB66" s="122">
        <v>85</v>
      </c>
      <c r="GQC66" s="123">
        <v>215</v>
      </c>
      <c r="GQD66" s="123">
        <v>75</v>
      </c>
      <c r="GQE66" s="122">
        <v>150</v>
      </c>
      <c r="GQF66" s="124">
        <f>SUM(GQA66:GQE66)</f>
        <v>8675</v>
      </c>
      <c r="GQG66" s="122">
        <v>200</v>
      </c>
      <c r="GQH66" s="124">
        <f>SUM(GQF66:GQG66)</f>
        <v>8875</v>
      </c>
      <c r="GQI66" s="117" t="s">
        <v>99</v>
      </c>
      <c r="GQJ66" s="118">
        <v>45845</v>
      </c>
      <c r="GQK66" s="113" t="s">
        <v>39</v>
      </c>
      <c r="GQL66" s="169"/>
      <c r="GQM66" s="119" t="s">
        <v>92</v>
      </c>
      <c r="GQN66" s="167"/>
      <c r="GQO66" s="168"/>
      <c r="GQP66" s="113" t="s">
        <v>22</v>
      </c>
      <c r="GQQ66" s="114">
        <v>8150</v>
      </c>
      <c r="GQR66" s="122">
        <v>85</v>
      </c>
      <c r="GQS66" s="123">
        <v>215</v>
      </c>
      <c r="GQT66" s="123">
        <v>75</v>
      </c>
      <c r="GQU66" s="122">
        <v>150</v>
      </c>
      <c r="GQV66" s="124">
        <f>SUM(GQQ66:GQU66)</f>
        <v>8675</v>
      </c>
      <c r="GQW66" s="122">
        <v>200</v>
      </c>
      <c r="GQX66" s="124">
        <f>SUM(GQV66:GQW66)</f>
        <v>8875</v>
      </c>
      <c r="GQY66" s="117" t="s">
        <v>99</v>
      </c>
      <c r="GQZ66" s="118">
        <v>45845</v>
      </c>
      <c r="GRA66" s="113" t="s">
        <v>39</v>
      </c>
      <c r="GRB66" s="169"/>
      <c r="GRC66" s="119" t="s">
        <v>92</v>
      </c>
      <c r="GRD66" s="167"/>
      <c r="GRE66" s="168"/>
      <c r="GRF66" s="113" t="s">
        <v>22</v>
      </c>
      <c r="GRG66" s="114">
        <v>8150</v>
      </c>
      <c r="GRH66" s="122">
        <v>85</v>
      </c>
      <c r="GRI66" s="123">
        <v>215</v>
      </c>
      <c r="GRJ66" s="123">
        <v>75</v>
      </c>
      <c r="GRK66" s="122">
        <v>150</v>
      </c>
      <c r="GRL66" s="124">
        <f>SUM(GRG66:GRK66)</f>
        <v>8675</v>
      </c>
      <c r="GRM66" s="122">
        <v>200</v>
      </c>
      <c r="GRN66" s="124">
        <f>SUM(GRL66:GRM66)</f>
        <v>8875</v>
      </c>
      <c r="GRO66" s="117" t="s">
        <v>99</v>
      </c>
      <c r="GRP66" s="118">
        <v>45845</v>
      </c>
      <c r="GRQ66" s="113" t="s">
        <v>39</v>
      </c>
      <c r="GRR66" s="169"/>
      <c r="GRS66" s="119" t="s">
        <v>92</v>
      </c>
      <c r="GRT66" s="167"/>
      <c r="GRU66" s="168"/>
      <c r="GRV66" s="113" t="s">
        <v>22</v>
      </c>
      <c r="GRW66" s="114">
        <v>8150</v>
      </c>
      <c r="GRX66" s="122">
        <v>85</v>
      </c>
      <c r="GRY66" s="123">
        <v>215</v>
      </c>
      <c r="GRZ66" s="123">
        <v>75</v>
      </c>
      <c r="GSA66" s="122">
        <v>150</v>
      </c>
      <c r="GSB66" s="124">
        <f>SUM(GRW66:GSA66)</f>
        <v>8675</v>
      </c>
      <c r="GSC66" s="122">
        <v>200</v>
      </c>
      <c r="GSD66" s="124">
        <f>SUM(GSB66:GSC66)</f>
        <v>8875</v>
      </c>
      <c r="GSE66" s="117" t="s">
        <v>99</v>
      </c>
      <c r="GSF66" s="118">
        <v>45845</v>
      </c>
      <c r="GSG66" s="113" t="s">
        <v>39</v>
      </c>
      <c r="GSH66" s="169"/>
      <c r="GSI66" s="119" t="s">
        <v>92</v>
      </c>
      <c r="GSJ66" s="167"/>
      <c r="GSK66" s="168"/>
      <c r="GSL66" s="113" t="s">
        <v>22</v>
      </c>
      <c r="GSM66" s="114">
        <v>8150</v>
      </c>
      <c r="GSN66" s="122">
        <v>85</v>
      </c>
      <c r="GSO66" s="123">
        <v>215</v>
      </c>
      <c r="GSP66" s="123">
        <v>75</v>
      </c>
      <c r="GSQ66" s="122">
        <v>150</v>
      </c>
      <c r="GSR66" s="124">
        <f>SUM(GSM66:GSQ66)</f>
        <v>8675</v>
      </c>
      <c r="GSS66" s="122">
        <v>200</v>
      </c>
      <c r="GST66" s="124">
        <f>SUM(GSR66:GSS66)</f>
        <v>8875</v>
      </c>
      <c r="GSU66" s="117" t="s">
        <v>99</v>
      </c>
      <c r="GSV66" s="118">
        <v>45845</v>
      </c>
      <c r="GSW66" s="113" t="s">
        <v>39</v>
      </c>
      <c r="GSX66" s="169"/>
      <c r="GSY66" s="119" t="s">
        <v>92</v>
      </c>
      <c r="GSZ66" s="167"/>
      <c r="GTA66" s="168"/>
      <c r="GTB66" s="113" t="s">
        <v>22</v>
      </c>
      <c r="GTC66" s="114">
        <v>8150</v>
      </c>
      <c r="GTD66" s="122">
        <v>85</v>
      </c>
      <c r="GTE66" s="123">
        <v>215</v>
      </c>
      <c r="GTF66" s="123">
        <v>75</v>
      </c>
      <c r="GTG66" s="122">
        <v>150</v>
      </c>
      <c r="GTH66" s="124">
        <f>SUM(GTC66:GTG66)</f>
        <v>8675</v>
      </c>
      <c r="GTI66" s="122">
        <v>200</v>
      </c>
      <c r="GTJ66" s="124">
        <f>SUM(GTH66:GTI66)</f>
        <v>8875</v>
      </c>
      <c r="GTK66" s="117" t="s">
        <v>99</v>
      </c>
      <c r="GTL66" s="118">
        <v>45845</v>
      </c>
      <c r="GTM66" s="113" t="s">
        <v>39</v>
      </c>
      <c r="GTN66" s="169"/>
      <c r="GTO66" s="119" t="s">
        <v>92</v>
      </c>
      <c r="GTP66" s="167"/>
      <c r="GTQ66" s="168"/>
      <c r="GTR66" s="113" t="s">
        <v>22</v>
      </c>
      <c r="GTS66" s="114">
        <v>8150</v>
      </c>
      <c r="GTT66" s="122">
        <v>85</v>
      </c>
      <c r="GTU66" s="123">
        <v>215</v>
      </c>
      <c r="GTV66" s="123">
        <v>75</v>
      </c>
      <c r="GTW66" s="122">
        <v>150</v>
      </c>
      <c r="GTX66" s="124">
        <f>SUM(GTS66:GTW66)</f>
        <v>8675</v>
      </c>
      <c r="GTY66" s="122">
        <v>200</v>
      </c>
      <c r="GTZ66" s="124">
        <f>SUM(GTX66:GTY66)</f>
        <v>8875</v>
      </c>
      <c r="GUA66" s="117" t="s">
        <v>99</v>
      </c>
      <c r="GUB66" s="118">
        <v>45845</v>
      </c>
      <c r="GUC66" s="113" t="s">
        <v>39</v>
      </c>
      <c r="GUD66" s="169"/>
      <c r="GUE66" s="119" t="s">
        <v>92</v>
      </c>
      <c r="GUF66" s="167"/>
      <c r="GUG66" s="168"/>
      <c r="GUH66" s="113" t="s">
        <v>22</v>
      </c>
      <c r="GUI66" s="114">
        <v>8150</v>
      </c>
      <c r="GUJ66" s="122">
        <v>85</v>
      </c>
      <c r="GUK66" s="123">
        <v>215</v>
      </c>
      <c r="GUL66" s="123">
        <v>75</v>
      </c>
      <c r="GUM66" s="122">
        <v>150</v>
      </c>
      <c r="GUN66" s="124">
        <f>SUM(GUI66:GUM66)</f>
        <v>8675</v>
      </c>
      <c r="GUO66" s="122">
        <v>200</v>
      </c>
      <c r="GUP66" s="124">
        <f>SUM(GUN66:GUO66)</f>
        <v>8875</v>
      </c>
      <c r="GUQ66" s="117" t="s">
        <v>99</v>
      </c>
      <c r="GUR66" s="118">
        <v>45845</v>
      </c>
      <c r="GUS66" s="113" t="s">
        <v>39</v>
      </c>
      <c r="GUT66" s="169"/>
      <c r="GUU66" s="119" t="s">
        <v>92</v>
      </c>
      <c r="GUV66" s="167"/>
      <c r="GUW66" s="168"/>
      <c r="GUX66" s="113" t="s">
        <v>22</v>
      </c>
      <c r="GUY66" s="114">
        <v>8150</v>
      </c>
      <c r="GUZ66" s="122">
        <v>85</v>
      </c>
      <c r="GVA66" s="123">
        <v>215</v>
      </c>
      <c r="GVB66" s="123">
        <v>75</v>
      </c>
      <c r="GVC66" s="122">
        <v>150</v>
      </c>
      <c r="GVD66" s="124">
        <f>SUM(GUY66:GVC66)</f>
        <v>8675</v>
      </c>
      <c r="GVE66" s="122">
        <v>200</v>
      </c>
      <c r="GVF66" s="124">
        <f>SUM(GVD66:GVE66)</f>
        <v>8875</v>
      </c>
      <c r="GVG66" s="117" t="s">
        <v>99</v>
      </c>
      <c r="GVH66" s="118">
        <v>45845</v>
      </c>
      <c r="GVI66" s="113" t="s">
        <v>39</v>
      </c>
      <c r="GVJ66" s="169"/>
      <c r="GVK66" s="119" t="s">
        <v>92</v>
      </c>
      <c r="GVL66" s="167"/>
      <c r="GVM66" s="168"/>
      <c r="GVN66" s="113" t="s">
        <v>22</v>
      </c>
      <c r="GVO66" s="114">
        <v>8150</v>
      </c>
      <c r="GVP66" s="122">
        <v>85</v>
      </c>
      <c r="GVQ66" s="123">
        <v>215</v>
      </c>
      <c r="GVR66" s="123">
        <v>75</v>
      </c>
      <c r="GVS66" s="122">
        <v>150</v>
      </c>
      <c r="GVT66" s="124">
        <f>SUM(GVO66:GVS66)</f>
        <v>8675</v>
      </c>
      <c r="GVU66" s="122">
        <v>200</v>
      </c>
      <c r="GVV66" s="124">
        <f>SUM(GVT66:GVU66)</f>
        <v>8875</v>
      </c>
      <c r="GVW66" s="117" t="s">
        <v>99</v>
      </c>
      <c r="GVX66" s="118">
        <v>45845</v>
      </c>
      <c r="GVY66" s="113" t="s">
        <v>39</v>
      </c>
      <c r="GVZ66" s="169"/>
      <c r="GWA66" s="119" t="s">
        <v>92</v>
      </c>
      <c r="GWB66" s="167"/>
      <c r="GWC66" s="168"/>
      <c r="GWD66" s="113" t="s">
        <v>22</v>
      </c>
      <c r="GWE66" s="114">
        <v>8150</v>
      </c>
      <c r="GWF66" s="122">
        <v>85</v>
      </c>
      <c r="GWG66" s="123">
        <v>215</v>
      </c>
      <c r="GWH66" s="123">
        <v>75</v>
      </c>
      <c r="GWI66" s="122">
        <v>150</v>
      </c>
      <c r="GWJ66" s="124">
        <f>SUM(GWE66:GWI66)</f>
        <v>8675</v>
      </c>
      <c r="GWK66" s="122">
        <v>200</v>
      </c>
      <c r="GWL66" s="124">
        <f>SUM(GWJ66:GWK66)</f>
        <v>8875</v>
      </c>
      <c r="GWM66" s="117" t="s">
        <v>99</v>
      </c>
      <c r="GWN66" s="118">
        <v>45845</v>
      </c>
      <c r="GWO66" s="113" t="s">
        <v>39</v>
      </c>
      <c r="GWP66" s="169"/>
      <c r="GWQ66" s="119" t="s">
        <v>92</v>
      </c>
      <c r="GWR66" s="167"/>
      <c r="GWS66" s="168"/>
      <c r="GWT66" s="113" t="s">
        <v>22</v>
      </c>
      <c r="GWU66" s="114">
        <v>8150</v>
      </c>
      <c r="GWV66" s="122">
        <v>85</v>
      </c>
      <c r="GWW66" s="123">
        <v>215</v>
      </c>
      <c r="GWX66" s="123">
        <v>75</v>
      </c>
      <c r="GWY66" s="122">
        <v>150</v>
      </c>
      <c r="GWZ66" s="124">
        <f>SUM(GWU66:GWY66)</f>
        <v>8675</v>
      </c>
      <c r="GXA66" s="122">
        <v>200</v>
      </c>
      <c r="GXB66" s="124">
        <f>SUM(GWZ66:GXA66)</f>
        <v>8875</v>
      </c>
      <c r="GXC66" s="117" t="s">
        <v>99</v>
      </c>
      <c r="GXD66" s="118">
        <v>45845</v>
      </c>
      <c r="GXE66" s="113" t="s">
        <v>39</v>
      </c>
      <c r="GXF66" s="169"/>
      <c r="GXG66" s="119" t="s">
        <v>92</v>
      </c>
      <c r="GXH66" s="167"/>
      <c r="GXI66" s="168"/>
      <c r="GXJ66" s="113" t="s">
        <v>22</v>
      </c>
      <c r="GXK66" s="114">
        <v>8150</v>
      </c>
      <c r="GXL66" s="122">
        <v>85</v>
      </c>
      <c r="GXM66" s="123">
        <v>215</v>
      </c>
      <c r="GXN66" s="123">
        <v>75</v>
      </c>
      <c r="GXO66" s="122">
        <v>150</v>
      </c>
      <c r="GXP66" s="124">
        <f>SUM(GXK66:GXO66)</f>
        <v>8675</v>
      </c>
      <c r="GXQ66" s="122">
        <v>200</v>
      </c>
      <c r="GXR66" s="124">
        <f>SUM(GXP66:GXQ66)</f>
        <v>8875</v>
      </c>
      <c r="GXS66" s="117" t="s">
        <v>99</v>
      </c>
      <c r="GXT66" s="118">
        <v>45845</v>
      </c>
      <c r="GXU66" s="113" t="s">
        <v>39</v>
      </c>
      <c r="GXV66" s="169"/>
      <c r="GXW66" s="119" t="s">
        <v>92</v>
      </c>
      <c r="GXX66" s="167"/>
      <c r="GXY66" s="168"/>
      <c r="GXZ66" s="113" t="s">
        <v>22</v>
      </c>
      <c r="GYA66" s="114">
        <v>8150</v>
      </c>
      <c r="GYB66" s="122">
        <v>85</v>
      </c>
      <c r="GYC66" s="123">
        <v>215</v>
      </c>
      <c r="GYD66" s="123">
        <v>75</v>
      </c>
      <c r="GYE66" s="122">
        <v>150</v>
      </c>
      <c r="GYF66" s="124">
        <f>SUM(GYA66:GYE66)</f>
        <v>8675</v>
      </c>
      <c r="GYG66" s="122">
        <v>200</v>
      </c>
      <c r="GYH66" s="124">
        <f>SUM(GYF66:GYG66)</f>
        <v>8875</v>
      </c>
      <c r="GYI66" s="117" t="s">
        <v>99</v>
      </c>
      <c r="GYJ66" s="118">
        <v>45845</v>
      </c>
      <c r="GYK66" s="113" t="s">
        <v>39</v>
      </c>
      <c r="GYL66" s="169"/>
      <c r="GYM66" s="119" t="s">
        <v>92</v>
      </c>
      <c r="GYN66" s="167"/>
      <c r="GYO66" s="168"/>
      <c r="GYP66" s="113" t="s">
        <v>22</v>
      </c>
      <c r="GYQ66" s="114">
        <v>8150</v>
      </c>
      <c r="GYR66" s="122">
        <v>85</v>
      </c>
      <c r="GYS66" s="123">
        <v>215</v>
      </c>
      <c r="GYT66" s="123">
        <v>75</v>
      </c>
      <c r="GYU66" s="122">
        <v>150</v>
      </c>
      <c r="GYV66" s="124">
        <f>SUM(GYQ66:GYU66)</f>
        <v>8675</v>
      </c>
      <c r="GYW66" s="122">
        <v>200</v>
      </c>
      <c r="GYX66" s="124">
        <f>SUM(GYV66:GYW66)</f>
        <v>8875</v>
      </c>
      <c r="GYY66" s="117" t="s">
        <v>99</v>
      </c>
      <c r="GYZ66" s="118">
        <v>45845</v>
      </c>
      <c r="GZA66" s="113" t="s">
        <v>39</v>
      </c>
      <c r="GZB66" s="169"/>
      <c r="GZC66" s="119" t="s">
        <v>92</v>
      </c>
      <c r="GZD66" s="167"/>
      <c r="GZE66" s="168"/>
      <c r="GZF66" s="113" t="s">
        <v>22</v>
      </c>
      <c r="GZG66" s="114">
        <v>8150</v>
      </c>
      <c r="GZH66" s="122">
        <v>85</v>
      </c>
      <c r="GZI66" s="123">
        <v>215</v>
      </c>
      <c r="GZJ66" s="123">
        <v>75</v>
      </c>
      <c r="GZK66" s="122">
        <v>150</v>
      </c>
      <c r="GZL66" s="124">
        <f>SUM(GZG66:GZK66)</f>
        <v>8675</v>
      </c>
      <c r="GZM66" s="122">
        <v>200</v>
      </c>
      <c r="GZN66" s="124">
        <f>SUM(GZL66:GZM66)</f>
        <v>8875</v>
      </c>
      <c r="GZO66" s="117" t="s">
        <v>99</v>
      </c>
      <c r="GZP66" s="118">
        <v>45845</v>
      </c>
      <c r="GZQ66" s="113" t="s">
        <v>39</v>
      </c>
      <c r="GZR66" s="169"/>
      <c r="GZS66" s="119" t="s">
        <v>92</v>
      </c>
      <c r="GZT66" s="167"/>
      <c r="GZU66" s="168"/>
      <c r="GZV66" s="113" t="s">
        <v>22</v>
      </c>
      <c r="GZW66" s="114">
        <v>8150</v>
      </c>
      <c r="GZX66" s="122">
        <v>85</v>
      </c>
      <c r="GZY66" s="123">
        <v>215</v>
      </c>
      <c r="GZZ66" s="123">
        <v>75</v>
      </c>
      <c r="HAA66" s="122">
        <v>150</v>
      </c>
      <c r="HAB66" s="124">
        <f>SUM(GZW66:HAA66)</f>
        <v>8675</v>
      </c>
      <c r="HAC66" s="122">
        <v>200</v>
      </c>
      <c r="HAD66" s="124">
        <f>SUM(HAB66:HAC66)</f>
        <v>8875</v>
      </c>
      <c r="HAE66" s="117" t="s">
        <v>99</v>
      </c>
      <c r="HAF66" s="118">
        <v>45845</v>
      </c>
      <c r="HAG66" s="113" t="s">
        <v>39</v>
      </c>
      <c r="HAH66" s="169"/>
      <c r="HAI66" s="119" t="s">
        <v>92</v>
      </c>
      <c r="HAJ66" s="167"/>
      <c r="HAK66" s="168"/>
      <c r="HAL66" s="113" t="s">
        <v>22</v>
      </c>
      <c r="HAM66" s="114">
        <v>8150</v>
      </c>
      <c r="HAN66" s="122">
        <v>85</v>
      </c>
      <c r="HAO66" s="123">
        <v>215</v>
      </c>
      <c r="HAP66" s="123">
        <v>75</v>
      </c>
      <c r="HAQ66" s="122">
        <v>150</v>
      </c>
      <c r="HAR66" s="124">
        <f>SUM(HAM66:HAQ66)</f>
        <v>8675</v>
      </c>
      <c r="HAS66" s="122">
        <v>200</v>
      </c>
      <c r="HAT66" s="124">
        <f>SUM(HAR66:HAS66)</f>
        <v>8875</v>
      </c>
      <c r="HAU66" s="117" t="s">
        <v>99</v>
      </c>
      <c r="HAV66" s="118">
        <v>45845</v>
      </c>
      <c r="HAW66" s="113" t="s">
        <v>39</v>
      </c>
      <c r="HAX66" s="169"/>
      <c r="HAY66" s="119" t="s">
        <v>92</v>
      </c>
      <c r="HAZ66" s="167"/>
      <c r="HBA66" s="168"/>
      <c r="HBB66" s="113" t="s">
        <v>22</v>
      </c>
      <c r="HBC66" s="114">
        <v>8150</v>
      </c>
      <c r="HBD66" s="122">
        <v>85</v>
      </c>
      <c r="HBE66" s="123">
        <v>215</v>
      </c>
      <c r="HBF66" s="123">
        <v>75</v>
      </c>
      <c r="HBG66" s="122">
        <v>150</v>
      </c>
      <c r="HBH66" s="124">
        <f>SUM(HBC66:HBG66)</f>
        <v>8675</v>
      </c>
      <c r="HBI66" s="122">
        <v>200</v>
      </c>
      <c r="HBJ66" s="124">
        <f>SUM(HBH66:HBI66)</f>
        <v>8875</v>
      </c>
      <c r="HBK66" s="117" t="s">
        <v>99</v>
      </c>
      <c r="HBL66" s="118">
        <v>45845</v>
      </c>
      <c r="HBM66" s="113" t="s">
        <v>39</v>
      </c>
      <c r="HBN66" s="169"/>
      <c r="HBO66" s="119" t="s">
        <v>92</v>
      </c>
      <c r="HBP66" s="167"/>
      <c r="HBQ66" s="168"/>
      <c r="HBR66" s="113" t="s">
        <v>22</v>
      </c>
      <c r="HBS66" s="114">
        <v>8150</v>
      </c>
      <c r="HBT66" s="122">
        <v>85</v>
      </c>
      <c r="HBU66" s="123">
        <v>215</v>
      </c>
      <c r="HBV66" s="123">
        <v>75</v>
      </c>
      <c r="HBW66" s="122">
        <v>150</v>
      </c>
      <c r="HBX66" s="124">
        <f>SUM(HBS66:HBW66)</f>
        <v>8675</v>
      </c>
      <c r="HBY66" s="122">
        <v>200</v>
      </c>
      <c r="HBZ66" s="124">
        <f>SUM(HBX66:HBY66)</f>
        <v>8875</v>
      </c>
      <c r="HCA66" s="117" t="s">
        <v>99</v>
      </c>
      <c r="HCB66" s="118">
        <v>45845</v>
      </c>
      <c r="HCC66" s="113" t="s">
        <v>39</v>
      </c>
      <c r="HCD66" s="169"/>
      <c r="HCE66" s="119" t="s">
        <v>92</v>
      </c>
      <c r="HCF66" s="167"/>
      <c r="HCG66" s="168"/>
      <c r="HCH66" s="113" t="s">
        <v>22</v>
      </c>
      <c r="HCI66" s="114">
        <v>8150</v>
      </c>
      <c r="HCJ66" s="122">
        <v>85</v>
      </c>
      <c r="HCK66" s="123">
        <v>215</v>
      </c>
      <c r="HCL66" s="123">
        <v>75</v>
      </c>
      <c r="HCM66" s="122">
        <v>150</v>
      </c>
      <c r="HCN66" s="124">
        <f>SUM(HCI66:HCM66)</f>
        <v>8675</v>
      </c>
      <c r="HCO66" s="122">
        <v>200</v>
      </c>
      <c r="HCP66" s="124">
        <f>SUM(HCN66:HCO66)</f>
        <v>8875</v>
      </c>
      <c r="HCQ66" s="117" t="s">
        <v>99</v>
      </c>
      <c r="HCR66" s="118">
        <v>45845</v>
      </c>
      <c r="HCS66" s="113" t="s">
        <v>39</v>
      </c>
      <c r="HCT66" s="169"/>
      <c r="HCU66" s="119" t="s">
        <v>92</v>
      </c>
      <c r="HCV66" s="167"/>
      <c r="HCW66" s="168"/>
      <c r="HCX66" s="113" t="s">
        <v>22</v>
      </c>
      <c r="HCY66" s="114">
        <v>8150</v>
      </c>
      <c r="HCZ66" s="122">
        <v>85</v>
      </c>
      <c r="HDA66" s="123">
        <v>215</v>
      </c>
      <c r="HDB66" s="123">
        <v>75</v>
      </c>
      <c r="HDC66" s="122">
        <v>150</v>
      </c>
      <c r="HDD66" s="124">
        <f>SUM(HCY66:HDC66)</f>
        <v>8675</v>
      </c>
      <c r="HDE66" s="122">
        <v>200</v>
      </c>
      <c r="HDF66" s="124">
        <f>SUM(HDD66:HDE66)</f>
        <v>8875</v>
      </c>
      <c r="HDG66" s="117" t="s">
        <v>99</v>
      </c>
      <c r="HDH66" s="118">
        <v>45845</v>
      </c>
      <c r="HDI66" s="113" t="s">
        <v>39</v>
      </c>
      <c r="HDJ66" s="169"/>
      <c r="HDK66" s="119" t="s">
        <v>92</v>
      </c>
      <c r="HDL66" s="167"/>
      <c r="HDM66" s="168"/>
      <c r="HDN66" s="113" t="s">
        <v>22</v>
      </c>
      <c r="HDO66" s="114">
        <v>8150</v>
      </c>
      <c r="HDP66" s="122">
        <v>85</v>
      </c>
      <c r="HDQ66" s="123">
        <v>215</v>
      </c>
      <c r="HDR66" s="123">
        <v>75</v>
      </c>
      <c r="HDS66" s="122">
        <v>150</v>
      </c>
      <c r="HDT66" s="124">
        <f>SUM(HDO66:HDS66)</f>
        <v>8675</v>
      </c>
      <c r="HDU66" s="122">
        <v>200</v>
      </c>
      <c r="HDV66" s="124">
        <f>SUM(HDT66:HDU66)</f>
        <v>8875</v>
      </c>
      <c r="HDW66" s="117" t="s">
        <v>99</v>
      </c>
      <c r="HDX66" s="118">
        <v>45845</v>
      </c>
      <c r="HDY66" s="113" t="s">
        <v>39</v>
      </c>
      <c r="HDZ66" s="169"/>
      <c r="HEA66" s="119" t="s">
        <v>92</v>
      </c>
      <c r="HEB66" s="167"/>
      <c r="HEC66" s="168"/>
      <c r="HED66" s="113" t="s">
        <v>22</v>
      </c>
      <c r="HEE66" s="114">
        <v>8150</v>
      </c>
      <c r="HEF66" s="122">
        <v>85</v>
      </c>
      <c r="HEG66" s="123">
        <v>215</v>
      </c>
      <c r="HEH66" s="123">
        <v>75</v>
      </c>
      <c r="HEI66" s="122">
        <v>150</v>
      </c>
      <c r="HEJ66" s="124">
        <f>SUM(HEE66:HEI66)</f>
        <v>8675</v>
      </c>
      <c r="HEK66" s="122">
        <v>200</v>
      </c>
      <c r="HEL66" s="124">
        <f>SUM(HEJ66:HEK66)</f>
        <v>8875</v>
      </c>
      <c r="HEM66" s="117" t="s">
        <v>99</v>
      </c>
      <c r="HEN66" s="118">
        <v>45845</v>
      </c>
      <c r="HEO66" s="113" t="s">
        <v>39</v>
      </c>
      <c r="HEP66" s="169"/>
      <c r="HEQ66" s="119" t="s">
        <v>92</v>
      </c>
      <c r="HER66" s="167"/>
      <c r="HES66" s="168"/>
      <c r="HET66" s="113" t="s">
        <v>22</v>
      </c>
      <c r="HEU66" s="114">
        <v>8150</v>
      </c>
      <c r="HEV66" s="122">
        <v>85</v>
      </c>
      <c r="HEW66" s="123">
        <v>215</v>
      </c>
      <c r="HEX66" s="123">
        <v>75</v>
      </c>
      <c r="HEY66" s="122">
        <v>150</v>
      </c>
      <c r="HEZ66" s="124">
        <f>SUM(HEU66:HEY66)</f>
        <v>8675</v>
      </c>
      <c r="HFA66" s="122">
        <v>200</v>
      </c>
      <c r="HFB66" s="124">
        <f>SUM(HEZ66:HFA66)</f>
        <v>8875</v>
      </c>
      <c r="HFC66" s="117" t="s">
        <v>99</v>
      </c>
      <c r="HFD66" s="118">
        <v>45845</v>
      </c>
      <c r="HFE66" s="113" t="s">
        <v>39</v>
      </c>
      <c r="HFF66" s="169"/>
      <c r="HFG66" s="119" t="s">
        <v>92</v>
      </c>
      <c r="HFH66" s="167"/>
      <c r="HFI66" s="168"/>
      <c r="HFJ66" s="113" t="s">
        <v>22</v>
      </c>
      <c r="HFK66" s="114">
        <v>8150</v>
      </c>
      <c r="HFL66" s="122">
        <v>85</v>
      </c>
      <c r="HFM66" s="123">
        <v>215</v>
      </c>
      <c r="HFN66" s="123">
        <v>75</v>
      </c>
      <c r="HFO66" s="122">
        <v>150</v>
      </c>
      <c r="HFP66" s="124">
        <f>SUM(HFK66:HFO66)</f>
        <v>8675</v>
      </c>
      <c r="HFQ66" s="122">
        <v>200</v>
      </c>
      <c r="HFR66" s="124">
        <f>SUM(HFP66:HFQ66)</f>
        <v>8875</v>
      </c>
      <c r="HFS66" s="117" t="s">
        <v>99</v>
      </c>
      <c r="HFT66" s="118">
        <v>45845</v>
      </c>
      <c r="HFU66" s="113" t="s">
        <v>39</v>
      </c>
      <c r="HFV66" s="169"/>
      <c r="HFW66" s="119" t="s">
        <v>92</v>
      </c>
      <c r="HFX66" s="167"/>
      <c r="HFY66" s="168"/>
      <c r="HFZ66" s="113" t="s">
        <v>22</v>
      </c>
      <c r="HGA66" s="114">
        <v>8150</v>
      </c>
      <c r="HGB66" s="122">
        <v>85</v>
      </c>
      <c r="HGC66" s="123">
        <v>215</v>
      </c>
      <c r="HGD66" s="123">
        <v>75</v>
      </c>
      <c r="HGE66" s="122">
        <v>150</v>
      </c>
      <c r="HGF66" s="124">
        <f>SUM(HGA66:HGE66)</f>
        <v>8675</v>
      </c>
      <c r="HGG66" s="122">
        <v>200</v>
      </c>
      <c r="HGH66" s="124">
        <f>SUM(HGF66:HGG66)</f>
        <v>8875</v>
      </c>
      <c r="HGI66" s="117" t="s">
        <v>99</v>
      </c>
      <c r="HGJ66" s="118">
        <v>45845</v>
      </c>
      <c r="HGK66" s="113" t="s">
        <v>39</v>
      </c>
      <c r="HGL66" s="169"/>
      <c r="HGM66" s="119" t="s">
        <v>92</v>
      </c>
      <c r="HGN66" s="167"/>
      <c r="HGO66" s="168"/>
      <c r="HGP66" s="113" t="s">
        <v>22</v>
      </c>
      <c r="HGQ66" s="114">
        <v>8150</v>
      </c>
      <c r="HGR66" s="122">
        <v>85</v>
      </c>
      <c r="HGS66" s="123">
        <v>215</v>
      </c>
      <c r="HGT66" s="123">
        <v>75</v>
      </c>
      <c r="HGU66" s="122">
        <v>150</v>
      </c>
      <c r="HGV66" s="124">
        <f>SUM(HGQ66:HGU66)</f>
        <v>8675</v>
      </c>
      <c r="HGW66" s="122">
        <v>200</v>
      </c>
      <c r="HGX66" s="124">
        <f>SUM(HGV66:HGW66)</f>
        <v>8875</v>
      </c>
      <c r="HGY66" s="117" t="s">
        <v>99</v>
      </c>
      <c r="HGZ66" s="118">
        <v>45845</v>
      </c>
      <c r="HHA66" s="113" t="s">
        <v>39</v>
      </c>
      <c r="HHB66" s="169"/>
      <c r="HHC66" s="119" t="s">
        <v>92</v>
      </c>
      <c r="HHD66" s="167"/>
      <c r="HHE66" s="168"/>
      <c r="HHF66" s="113" t="s">
        <v>22</v>
      </c>
      <c r="HHG66" s="114">
        <v>8150</v>
      </c>
      <c r="HHH66" s="122">
        <v>85</v>
      </c>
      <c r="HHI66" s="123">
        <v>215</v>
      </c>
      <c r="HHJ66" s="123">
        <v>75</v>
      </c>
      <c r="HHK66" s="122">
        <v>150</v>
      </c>
      <c r="HHL66" s="124">
        <f>SUM(HHG66:HHK66)</f>
        <v>8675</v>
      </c>
      <c r="HHM66" s="122">
        <v>200</v>
      </c>
      <c r="HHN66" s="124">
        <f>SUM(HHL66:HHM66)</f>
        <v>8875</v>
      </c>
      <c r="HHO66" s="117" t="s">
        <v>99</v>
      </c>
      <c r="HHP66" s="118">
        <v>45845</v>
      </c>
      <c r="HHQ66" s="113" t="s">
        <v>39</v>
      </c>
      <c r="HHR66" s="169"/>
      <c r="HHS66" s="119" t="s">
        <v>92</v>
      </c>
      <c r="HHT66" s="167"/>
      <c r="HHU66" s="168"/>
      <c r="HHV66" s="113" t="s">
        <v>22</v>
      </c>
      <c r="HHW66" s="114">
        <v>8150</v>
      </c>
      <c r="HHX66" s="122">
        <v>85</v>
      </c>
      <c r="HHY66" s="123">
        <v>215</v>
      </c>
      <c r="HHZ66" s="123">
        <v>75</v>
      </c>
      <c r="HIA66" s="122">
        <v>150</v>
      </c>
      <c r="HIB66" s="124">
        <f>SUM(HHW66:HIA66)</f>
        <v>8675</v>
      </c>
      <c r="HIC66" s="122">
        <v>200</v>
      </c>
      <c r="HID66" s="124">
        <f>SUM(HIB66:HIC66)</f>
        <v>8875</v>
      </c>
      <c r="HIE66" s="117" t="s">
        <v>99</v>
      </c>
      <c r="HIF66" s="118">
        <v>45845</v>
      </c>
      <c r="HIG66" s="113" t="s">
        <v>39</v>
      </c>
      <c r="HIH66" s="169"/>
      <c r="HII66" s="119" t="s">
        <v>92</v>
      </c>
      <c r="HIJ66" s="167"/>
      <c r="HIK66" s="168"/>
      <c r="HIL66" s="113" t="s">
        <v>22</v>
      </c>
      <c r="HIM66" s="114">
        <v>8150</v>
      </c>
      <c r="HIN66" s="122">
        <v>85</v>
      </c>
      <c r="HIO66" s="123">
        <v>215</v>
      </c>
      <c r="HIP66" s="123">
        <v>75</v>
      </c>
      <c r="HIQ66" s="122">
        <v>150</v>
      </c>
      <c r="HIR66" s="124">
        <f>SUM(HIM66:HIQ66)</f>
        <v>8675</v>
      </c>
      <c r="HIS66" s="122">
        <v>200</v>
      </c>
      <c r="HIT66" s="124">
        <f>SUM(HIR66:HIS66)</f>
        <v>8875</v>
      </c>
      <c r="HIU66" s="117" t="s">
        <v>99</v>
      </c>
      <c r="HIV66" s="118">
        <v>45845</v>
      </c>
      <c r="HIW66" s="113" t="s">
        <v>39</v>
      </c>
      <c r="HIX66" s="169"/>
      <c r="HIY66" s="119" t="s">
        <v>92</v>
      </c>
      <c r="HIZ66" s="167"/>
      <c r="HJA66" s="168"/>
      <c r="HJB66" s="113" t="s">
        <v>22</v>
      </c>
      <c r="HJC66" s="114">
        <v>8150</v>
      </c>
      <c r="HJD66" s="122">
        <v>85</v>
      </c>
      <c r="HJE66" s="123">
        <v>215</v>
      </c>
      <c r="HJF66" s="123">
        <v>75</v>
      </c>
      <c r="HJG66" s="122">
        <v>150</v>
      </c>
      <c r="HJH66" s="124">
        <f>SUM(HJC66:HJG66)</f>
        <v>8675</v>
      </c>
      <c r="HJI66" s="122">
        <v>200</v>
      </c>
      <c r="HJJ66" s="124">
        <f>SUM(HJH66:HJI66)</f>
        <v>8875</v>
      </c>
      <c r="HJK66" s="117" t="s">
        <v>99</v>
      </c>
      <c r="HJL66" s="118">
        <v>45845</v>
      </c>
      <c r="HJM66" s="113" t="s">
        <v>39</v>
      </c>
      <c r="HJN66" s="169"/>
      <c r="HJO66" s="119" t="s">
        <v>92</v>
      </c>
      <c r="HJP66" s="167"/>
      <c r="HJQ66" s="168"/>
      <c r="HJR66" s="113" t="s">
        <v>22</v>
      </c>
      <c r="HJS66" s="114">
        <v>8150</v>
      </c>
      <c r="HJT66" s="122">
        <v>85</v>
      </c>
      <c r="HJU66" s="123">
        <v>215</v>
      </c>
      <c r="HJV66" s="123">
        <v>75</v>
      </c>
      <c r="HJW66" s="122">
        <v>150</v>
      </c>
      <c r="HJX66" s="124">
        <f>SUM(HJS66:HJW66)</f>
        <v>8675</v>
      </c>
      <c r="HJY66" s="122">
        <v>200</v>
      </c>
      <c r="HJZ66" s="124">
        <f>SUM(HJX66:HJY66)</f>
        <v>8875</v>
      </c>
      <c r="HKA66" s="117" t="s">
        <v>99</v>
      </c>
      <c r="HKB66" s="118">
        <v>45845</v>
      </c>
      <c r="HKC66" s="113" t="s">
        <v>39</v>
      </c>
      <c r="HKD66" s="169"/>
      <c r="HKE66" s="119" t="s">
        <v>92</v>
      </c>
      <c r="HKF66" s="167"/>
      <c r="HKG66" s="168"/>
      <c r="HKH66" s="113" t="s">
        <v>22</v>
      </c>
      <c r="HKI66" s="114">
        <v>8150</v>
      </c>
      <c r="HKJ66" s="122">
        <v>85</v>
      </c>
      <c r="HKK66" s="123">
        <v>215</v>
      </c>
      <c r="HKL66" s="123">
        <v>75</v>
      </c>
      <c r="HKM66" s="122">
        <v>150</v>
      </c>
      <c r="HKN66" s="124">
        <f>SUM(HKI66:HKM66)</f>
        <v>8675</v>
      </c>
      <c r="HKO66" s="122">
        <v>200</v>
      </c>
      <c r="HKP66" s="124">
        <f>SUM(HKN66:HKO66)</f>
        <v>8875</v>
      </c>
      <c r="HKQ66" s="117" t="s">
        <v>99</v>
      </c>
      <c r="HKR66" s="118">
        <v>45845</v>
      </c>
      <c r="HKS66" s="113" t="s">
        <v>39</v>
      </c>
      <c r="HKT66" s="169"/>
      <c r="HKU66" s="119" t="s">
        <v>92</v>
      </c>
      <c r="HKV66" s="167"/>
      <c r="HKW66" s="168"/>
      <c r="HKX66" s="113" t="s">
        <v>22</v>
      </c>
      <c r="HKY66" s="114">
        <v>8150</v>
      </c>
      <c r="HKZ66" s="122">
        <v>85</v>
      </c>
      <c r="HLA66" s="123">
        <v>215</v>
      </c>
      <c r="HLB66" s="123">
        <v>75</v>
      </c>
      <c r="HLC66" s="122">
        <v>150</v>
      </c>
      <c r="HLD66" s="124">
        <f>SUM(HKY66:HLC66)</f>
        <v>8675</v>
      </c>
      <c r="HLE66" s="122">
        <v>200</v>
      </c>
      <c r="HLF66" s="124">
        <f>SUM(HLD66:HLE66)</f>
        <v>8875</v>
      </c>
      <c r="HLG66" s="117" t="s">
        <v>99</v>
      </c>
      <c r="HLH66" s="118">
        <v>45845</v>
      </c>
      <c r="HLI66" s="113" t="s">
        <v>39</v>
      </c>
      <c r="HLJ66" s="169"/>
      <c r="HLK66" s="119" t="s">
        <v>92</v>
      </c>
      <c r="HLL66" s="167"/>
      <c r="HLM66" s="168"/>
      <c r="HLN66" s="113" t="s">
        <v>22</v>
      </c>
      <c r="HLO66" s="114">
        <v>8150</v>
      </c>
      <c r="HLP66" s="122">
        <v>85</v>
      </c>
      <c r="HLQ66" s="123">
        <v>215</v>
      </c>
      <c r="HLR66" s="123">
        <v>75</v>
      </c>
      <c r="HLS66" s="122">
        <v>150</v>
      </c>
      <c r="HLT66" s="124">
        <f>SUM(HLO66:HLS66)</f>
        <v>8675</v>
      </c>
      <c r="HLU66" s="122">
        <v>200</v>
      </c>
      <c r="HLV66" s="124">
        <f>SUM(HLT66:HLU66)</f>
        <v>8875</v>
      </c>
      <c r="HLW66" s="117" t="s">
        <v>99</v>
      </c>
      <c r="HLX66" s="118">
        <v>45845</v>
      </c>
      <c r="HLY66" s="113" t="s">
        <v>39</v>
      </c>
      <c r="HLZ66" s="169"/>
      <c r="HMA66" s="119" t="s">
        <v>92</v>
      </c>
      <c r="HMB66" s="167"/>
      <c r="HMC66" s="168"/>
      <c r="HMD66" s="113" t="s">
        <v>22</v>
      </c>
      <c r="HME66" s="114">
        <v>8150</v>
      </c>
      <c r="HMF66" s="122">
        <v>85</v>
      </c>
      <c r="HMG66" s="123">
        <v>215</v>
      </c>
      <c r="HMH66" s="123">
        <v>75</v>
      </c>
      <c r="HMI66" s="122">
        <v>150</v>
      </c>
      <c r="HMJ66" s="124">
        <f>SUM(HME66:HMI66)</f>
        <v>8675</v>
      </c>
      <c r="HMK66" s="122">
        <v>200</v>
      </c>
      <c r="HML66" s="124">
        <f>SUM(HMJ66:HMK66)</f>
        <v>8875</v>
      </c>
      <c r="HMM66" s="117" t="s">
        <v>99</v>
      </c>
      <c r="HMN66" s="118">
        <v>45845</v>
      </c>
      <c r="HMO66" s="113" t="s">
        <v>39</v>
      </c>
      <c r="HMP66" s="169"/>
      <c r="HMQ66" s="119" t="s">
        <v>92</v>
      </c>
      <c r="HMR66" s="167"/>
      <c r="HMS66" s="168"/>
      <c r="HMT66" s="113" t="s">
        <v>22</v>
      </c>
      <c r="HMU66" s="114">
        <v>8150</v>
      </c>
      <c r="HMV66" s="122">
        <v>85</v>
      </c>
      <c r="HMW66" s="123">
        <v>215</v>
      </c>
      <c r="HMX66" s="123">
        <v>75</v>
      </c>
      <c r="HMY66" s="122">
        <v>150</v>
      </c>
      <c r="HMZ66" s="124">
        <f>SUM(HMU66:HMY66)</f>
        <v>8675</v>
      </c>
      <c r="HNA66" s="122">
        <v>200</v>
      </c>
      <c r="HNB66" s="124">
        <f>SUM(HMZ66:HNA66)</f>
        <v>8875</v>
      </c>
      <c r="HNC66" s="117" t="s">
        <v>99</v>
      </c>
      <c r="HND66" s="118">
        <v>45845</v>
      </c>
      <c r="HNE66" s="113" t="s">
        <v>39</v>
      </c>
      <c r="HNF66" s="169"/>
      <c r="HNG66" s="119" t="s">
        <v>92</v>
      </c>
      <c r="HNH66" s="167"/>
      <c r="HNI66" s="168"/>
      <c r="HNJ66" s="113" t="s">
        <v>22</v>
      </c>
      <c r="HNK66" s="114">
        <v>8150</v>
      </c>
      <c r="HNL66" s="122">
        <v>85</v>
      </c>
      <c r="HNM66" s="123">
        <v>215</v>
      </c>
      <c r="HNN66" s="123">
        <v>75</v>
      </c>
      <c r="HNO66" s="122">
        <v>150</v>
      </c>
      <c r="HNP66" s="124">
        <f>SUM(HNK66:HNO66)</f>
        <v>8675</v>
      </c>
      <c r="HNQ66" s="122">
        <v>200</v>
      </c>
      <c r="HNR66" s="124">
        <f>SUM(HNP66:HNQ66)</f>
        <v>8875</v>
      </c>
      <c r="HNS66" s="117" t="s">
        <v>99</v>
      </c>
      <c r="HNT66" s="118">
        <v>45845</v>
      </c>
      <c r="HNU66" s="113" t="s">
        <v>39</v>
      </c>
      <c r="HNV66" s="169"/>
      <c r="HNW66" s="119" t="s">
        <v>92</v>
      </c>
      <c r="HNX66" s="167"/>
      <c r="HNY66" s="168"/>
      <c r="HNZ66" s="113" t="s">
        <v>22</v>
      </c>
      <c r="HOA66" s="114">
        <v>8150</v>
      </c>
      <c r="HOB66" s="122">
        <v>85</v>
      </c>
      <c r="HOC66" s="123">
        <v>215</v>
      </c>
      <c r="HOD66" s="123">
        <v>75</v>
      </c>
      <c r="HOE66" s="122">
        <v>150</v>
      </c>
      <c r="HOF66" s="124">
        <f>SUM(HOA66:HOE66)</f>
        <v>8675</v>
      </c>
      <c r="HOG66" s="122">
        <v>200</v>
      </c>
      <c r="HOH66" s="124">
        <f>SUM(HOF66:HOG66)</f>
        <v>8875</v>
      </c>
      <c r="HOI66" s="117" t="s">
        <v>99</v>
      </c>
      <c r="HOJ66" s="118">
        <v>45845</v>
      </c>
      <c r="HOK66" s="113" t="s">
        <v>39</v>
      </c>
      <c r="HOL66" s="169"/>
      <c r="HOM66" s="119" t="s">
        <v>92</v>
      </c>
      <c r="HON66" s="167"/>
      <c r="HOO66" s="168"/>
      <c r="HOP66" s="113" t="s">
        <v>22</v>
      </c>
      <c r="HOQ66" s="114">
        <v>8150</v>
      </c>
      <c r="HOR66" s="122">
        <v>85</v>
      </c>
      <c r="HOS66" s="123">
        <v>215</v>
      </c>
      <c r="HOT66" s="123">
        <v>75</v>
      </c>
      <c r="HOU66" s="122">
        <v>150</v>
      </c>
      <c r="HOV66" s="124">
        <f>SUM(HOQ66:HOU66)</f>
        <v>8675</v>
      </c>
      <c r="HOW66" s="122">
        <v>200</v>
      </c>
      <c r="HOX66" s="124">
        <f>SUM(HOV66:HOW66)</f>
        <v>8875</v>
      </c>
      <c r="HOY66" s="117" t="s">
        <v>99</v>
      </c>
      <c r="HOZ66" s="118">
        <v>45845</v>
      </c>
      <c r="HPA66" s="113" t="s">
        <v>39</v>
      </c>
      <c r="HPB66" s="169"/>
      <c r="HPC66" s="119" t="s">
        <v>92</v>
      </c>
      <c r="HPD66" s="167"/>
      <c r="HPE66" s="168"/>
      <c r="HPF66" s="113" t="s">
        <v>22</v>
      </c>
      <c r="HPG66" s="114">
        <v>8150</v>
      </c>
      <c r="HPH66" s="122">
        <v>85</v>
      </c>
      <c r="HPI66" s="123">
        <v>215</v>
      </c>
      <c r="HPJ66" s="123">
        <v>75</v>
      </c>
      <c r="HPK66" s="122">
        <v>150</v>
      </c>
      <c r="HPL66" s="124">
        <f>SUM(HPG66:HPK66)</f>
        <v>8675</v>
      </c>
      <c r="HPM66" s="122">
        <v>200</v>
      </c>
      <c r="HPN66" s="124">
        <f>SUM(HPL66:HPM66)</f>
        <v>8875</v>
      </c>
      <c r="HPO66" s="117" t="s">
        <v>99</v>
      </c>
      <c r="HPP66" s="118">
        <v>45845</v>
      </c>
      <c r="HPQ66" s="113" t="s">
        <v>39</v>
      </c>
      <c r="HPR66" s="169"/>
      <c r="HPS66" s="119" t="s">
        <v>92</v>
      </c>
      <c r="HPT66" s="167"/>
      <c r="HPU66" s="168"/>
      <c r="HPV66" s="113" t="s">
        <v>22</v>
      </c>
      <c r="HPW66" s="114">
        <v>8150</v>
      </c>
      <c r="HPX66" s="122">
        <v>85</v>
      </c>
      <c r="HPY66" s="123">
        <v>215</v>
      </c>
      <c r="HPZ66" s="123">
        <v>75</v>
      </c>
      <c r="HQA66" s="122">
        <v>150</v>
      </c>
      <c r="HQB66" s="124">
        <f>SUM(HPW66:HQA66)</f>
        <v>8675</v>
      </c>
      <c r="HQC66" s="122">
        <v>200</v>
      </c>
      <c r="HQD66" s="124">
        <f>SUM(HQB66:HQC66)</f>
        <v>8875</v>
      </c>
      <c r="HQE66" s="117" t="s">
        <v>99</v>
      </c>
      <c r="HQF66" s="118">
        <v>45845</v>
      </c>
      <c r="HQG66" s="113" t="s">
        <v>39</v>
      </c>
      <c r="HQH66" s="169"/>
      <c r="HQI66" s="119" t="s">
        <v>92</v>
      </c>
      <c r="HQJ66" s="167"/>
      <c r="HQK66" s="168"/>
      <c r="HQL66" s="113" t="s">
        <v>22</v>
      </c>
      <c r="HQM66" s="114">
        <v>8150</v>
      </c>
      <c r="HQN66" s="122">
        <v>85</v>
      </c>
      <c r="HQO66" s="123">
        <v>215</v>
      </c>
      <c r="HQP66" s="123">
        <v>75</v>
      </c>
      <c r="HQQ66" s="122">
        <v>150</v>
      </c>
      <c r="HQR66" s="124">
        <f>SUM(HQM66:HQQ66)</f>
        <v>8675</v>
      </c>
      <c r="HQS66" s="122">
        <v>200</v>
      </c>
      <c r="HQT66" s="124">
        <f>SUM(HQR66:HQS66)</f>
        <v>8875</v>
      </c>
      <c r="HQU66" s="117" t="s">
        <v>99</v>
      </c>
      <c r="HQV66" s="118">
        <v>45845</v>
      </c>
      <c r="HQW66" s="113" t="s">
        <v>39</v>
      </c>
      <c r="HQX66" s="169"/>
      <c r="HQY66" s="119" t="s">
        <v>92</v>
      </c>
      <c r="HQZ66" s="167"/>
      <c r="HRA66" s="168"/>
      <c r="HRB66" s="113" t="s">
        <v>22</v>
      </c>
      <c r="HRC66" s="114">
        <v>8150</v>
      </c>
      <c r="HRD66" s="122">
        <v>85</v>
      </c>
      <c r="HRE66" s="123">
        <v>215</v>
      </c>
      <c r="HRF66" s="123">
        <v>75</v>
      </c>
      <c r="HRG66" s="122">
        <v>150</v>
      </c>
      <c r="HRH66" s="124">
        <f>SUM(HRC66:HRG66)</f>
        <v>8675</v>
      </c>
      <c r="HRI66" s="122">
        <v>200</v>
      </c>
      <c r="HRJ66" s="124">
        <f>SUM(HRH66:HRI66)</f>
        <v>8875</v>
      </c>
      <c r="HRK66" s="117" t="s">
        <v>99</v>
      </c>
      <c r="HRL66" s="118">
        <v>45845</v>
      </c>
      <c r="HRM66" s="113" t="s">
        <v>39</v>
      </c>
      <c r="HRN66" s="169"/>
      <c r="HRO66" s="119" t="s">
        <v>92</v>
      </c>
      <c r="HRP66" s="167"/>
      <c r="HRQ66" s="168"/>
      <c r="HRR66" s="113" t="s">
        <v>22</v>
      </c>
      <c r="HRS66" s="114">
        <v>8150</v>
      </c>
      <c r="HRT66" s="122">
        <v>85</v>
      </c>
      <c r="HRU66" s="123">
        <v>215</v>
      </c>
      <c r="HRV66" s="123">
        <v>75</v>
      </c>
      <c r="HRW66" s="122">
        <v>150</v>
      </c>
      <c r="HRX66" s="124">
        <f>SUM(HRS66:HRW66)</f>
        <v>8675</v>
      </c>
      <c r="HRY66" s="122">
        <v>200</v>
      </c>
      <c r="HRZ66" s="124">
        <f>SUM(HRX66:HRY66)</f>
        <v>8875</v>
      </c>
      <c r="HSA66" s="117" t="s">
        <v>99</v>
      </c>
      <c r="HSB66" s="118">
        <v>45845</v>
      </c>
      <c r="HSC66" s="113" t="s">
        <v>39</v>
      </c>
      <c r="HSD66" s="169"/>
      <c r="HSE66" s="119" t="s">
        <v>92</v>
      </c>
      <c r="HSF66" s="167"/>
      <c r="HSG66" s="168"/>
      <c r="HSH66" s="113" t="s">
        <v>22</v>
      </c>
      <c r="HSI66" s="114">
        <v>8150</v>
      </c>
      <c r="HSJ66" s="122">
        <v>85</v>
      </c>
      <c r="HSK66" s="123">
        <v>215</v>
      </c>
      <c r="HSL66" s="123">
        <v>75</v>
      </c>
      <c r="HSM66" s="122">
        <v>150</v>
      </c>
      <c r="HSN66" s="124">
        <f>SUM(HSI66:HSM66)</f>
        <v>8675</v>
      </c>
      <c r="HSO66" s="122">
        <v>200</v>
      </c>
      <c r="HSP66" s="124">
        <f>SUM(HSN66:HSO66)</f>
        <v>8875</v>
      </c>
      <c r="HSQ66" s="117" t="s">
        <v>99</v>
      </c>
      <c r="HSR66" s="118">
        <v>45845</v>
      </c>
      <c r="HSS66" s="113" t="s">
        <v>39</v>
      </c>
      <c r="HST66" s="169"/>
      <c r="HSU66" s="119" t="s">
        <v>92</v>
      </c>
      <c r="HSV66" s="167"/>
      <c r="HSW66" s="168"/>
      <c r="HSX66" s="113" t="s">
        <v>22</v>
      </c>
      <c r="HSY66" s="114">
        <v>8150</v>
      </c>
      <c r="HSZ66" s="122">
        <v>85</v>
      </c>
      <c r="HTA66" s="123">
        <v>215</v>
      </c>
      <c r="HTB66" s="123">
        <v>75</v>
      </c>
      <c r="HTC66" s="122">
        <v>150</v>
      </c>
      <c r="HTD66" s="124">
        <f>SUM(HSY66:HTC66)</f>
        <v>8675</v>
      </c>
      <c r="HTE66" s="122">
        <v>200</v>
      </c>
      <c r="HTF66" s="124">
        <f>SUM(HTD66:HTE66)</f>
        <v>8875</v>
      </c>
      <c r="HTG66" s="117" t="s">
        <v>99</v>
      </c>
      <c r="HTH66" s="118">
        <v>45845</v>
      </c>
      <c r="HTI66" s="113" t="s">
        <v>39</v>
      </c>
      <c r="HTJ66" s="169"/>
      <c r="HTK66" s="119" t="s">
        <v>92</v>
      </c>
      <c r="HTL66" s="167"/>
      <c r="HTM66" s="168"/>
      <c r="HTN66" s="113" t="s">
        <v>22</v>
      </c>
      <c r="HTO66" s="114">
        <v>8150</v>
      </c>
      <c r="HTP66" s="122">
        <v>85</v>
      </c>
      <c r="HTQ66" s="123">
        <v>215</v>
      </c>
      <c r="HTR66" s="123">
        <v>75</v>
      </c>
      <c r="HTS66" s="122">
        <v>150</v>
      </c>
      <c r="HTT66" s="124">
        <f>SUM(HTO66:HTS66)</f>
        <v>8675</v>
      </c>
      <c r="HTU66" s="122">
        <v>200</v>
      </c>
      <c r="HTV66" s="124">
        <f>SUM(HTT66:HTU66)</f>
        <v>8875</v>
      </c>
      <c r="HTW66" s="117" t="s">
        <v>99</v>
      </c>
      <c r="HTX66" s="118">
        <v>45845</v>
      </c>
      <c r="HTY66" s="113" t="s">
        <v>39</v>
      </c>
      <c r="HTZ66" s="169"/>
      <c r="HUA66" s="119" t="s">
        <v>92</v>
      </c>
      <c r="HUB66" s="167"/>
      <c r="HUC66" s="168"/>
      <c r="HUD66" s="113" t="s">
        <v>22</v>
      </c>
      <c r="HUE66" s="114">
        <v>8150</v>
      </c>
      <c r="HUF66" s="122">
        <v>85</v>
      </c>
      <c r="HUG66" s="123">
        <v>215</v>
      </c>
      <c r="HUH66" s="123">
        <v>75</v>
      </c>
      <c r="HUI66" s="122">
        <v>150</v>
      </c>
      <c r="HUJ66" s="124">
        <f>SUM(HUE66:HUI66)</f>
        <v>8675</v>
      </c>
      <c r="HUK66" s="122">
        <v>200</v>
      </c>
      <c r="HUL66" s="124">
        <f>SUM(HUJ66:HUK66)</f>
        <v>8875</v>
      </c>
      <c r="HUM66" s="117" t="s">
        <v>99</v>
      </c>
      <c r="HUN66" s="118">
        <v>45845</v>
      </c>
      <c r="HUO66" s="113" t="s">
        <v>39</v>
      </c>
      <c r="HUP66" s="169"/>
      <c r="HUQ66" s="119" t="s">
        <v>92</v>
      </c>
      <c r="HUR66" s="167"/>
      <c r="HUS66" s="168"/>
      <c r="HUT66" s="113" t="s">
        <v>22</v>
      </c>
      <c r="HUU66" s="114">
        <v>8150</v>
      </c>
      <c r="HUV66" s="122">
        <v>85</v>
      </c>
      <c r="HUW66" s="123">
        <v>215</v>
      </c>
      <c r="HUX66" s="123">
        <v>75</v>
      </c>
      <c r="HUY66" s="122">
        <v>150</v>
      </c>
      <c r="HUZ66" s="124">
        <f>SUM(HUU66:HUY66)</f>
        <v>8675</v>
      </c>
      <c r="HVA66" s="122">
        <v>200</v>
      </c>
      <c r="HVB66" s="124">
        <f>SUM(HUZ66:HVA66)</f>
        <v>8875</v>
      </c>
      <c r="HVC66" s="117" t="s">
        <v>99</v>
      </c>
      <c r="HVD66" s="118">
        <v>45845</v>
      </c>
      <c r="HVE66" s="113" t="s">
        <v>39</v>
      </c>
      <c r="HVF66" s="169"/>
      <c r="HVG66" s="119" t="s">
        <v>92</v>
      </c>
      <c r="HVH66" s="167"/>
      <c r="HVI66" s="168"/>
      <c r="HVJ66" s="113" t="s">
        <v>22</v>
      </c>
      <c r="HVK66" s="114">
        <v>8150</v>
      </c>
      <c r="HVL66" s="122">
        <v>85</v>
      </c>
      <c r="HVM66" s="123">
        <v>215</v>
      </c>
      <c r="HVN66" s="123">
        <v>75</v>
      </c>
      <c r="HVO66" s="122">
        <v>150</v>
      </c>
      <c r="HVP66" s="124">
        <f>SUM(HVK66:HVO66)</f>
        <v>8675</v>
      </c>
      <c r="HVQ66" s="122">
        <v>200</v>
      </c>
      <c r="HVR66" s="124">
        <f>SUM(HVP66:HVQ66)</f>
        <v>8875</v>
      </c>
      <c r="HVS66" s="117" t="s">
        <v>99</v>
      </c>
      <c r="HVT66" s="118">
        <v>45845</v>
      </c>
      <c r="HVU66" s="113" t="s">
        <v>39</v>
      </c>
      <c r="HVV66" s="169"/>
      <c r="HVW66" s="119" t="s">
        <v>92</v>
      </c>
      <c r="HVX66" s="167"/>
      <c r="HVY66" s="168"/>
      <c r="HVZ66" s="113" t="s">
        <v>22</v>
      </c>
      <c r="HWA66" s="114">
        <v>8150</v>
      </c>
      <c r="HWB66" s="122">
        <v>85</v>
      </c>
      <c r="HWC66" s="123">
        <v>215</v>
      </c>
      <c r="HWD66" s="123">
        <v>75</v>
      </c>
      <c r="HWE66" s="122">
        <v>150</v>
      </c>
      <c r="HWF66" s="124">
        <f>SUM(HWA66:HWE66)</f>
        <v>8675</v>
      </c>
      <c r="HWG66" s="122">
        <v>200</v>
      </c>
      <c r="HWH66" s="124">
        <f>SUM(HWF66:HWG66)</f>
        <v>8875</v>
      </c>
      <c r="HWI66" s="117" t="s">
        <v>99</v>
      </c>
      <c r="HWJ66" s="118">
        <v>45845</v>
      </c>
      <c r="HWK66" s="113" t="s">
        <v>39</v>
      </c>
      <c r="HWL66" s="169"/>
      <c r="HWM66" s="119" t="s">
        <v>92</v>
      </c>
      <c r="HWN66" s="167"/>
      <c r="HWO66" s="168"/>
      <c r="HWP66" s="113" t="s">
        <v>22</v>
      </c>
      <c r="HWQ66" s="114">
        <v>8150</v>
      </c>
      <c r="HWR66" s="122">
        <v>85</v>
      </c>
      <c r="HWS66" s="123">
        <v>215</v>
      </c>
      <c r="HWT66" s="123">
        <v>75</v>
      </c>
      <c r="HWU66" s="122">
        <v>150</v>
      </c>
      <c r="HWV66" s="124">
        <f>SUM(HWQ66:HWU66)</f>
        <v>8675</v>
      </c>
      <c r="HWW66" s="122">
        <v>200</v>
      </c>
      <c r="HWX66" s="124">
        <f>SUM(HWV66:HWW66)</f>
        <v>8875</v>
      </c>
      <c r="HWY66" s="117" t="s">
        <v>99</v>
      </c>
      <c r="HWZ66" s="118">
        <v>45845</v>
      </c>
      <c r="HXA66" s="113" t="s">
        <v>39</v>
      </c>
      <c r="HXB66" s="169"/>
      <c r="HXC66" s="119" t="s">
        <v>92</v>
      </c>
      <c r="HXD66" s="167"/>
      <c r="HXE66" s="168"/>
      <c r="HXF66" s="113" t="s">
        <v>22</v>
      </c>
      <c r="HXG66" s="114">
        <v>8150</v>
      </c>
      <c r="HXH66" s="122">
        <v>85</v>
      </c>
      <c r="HXI66" s="123">
        <v>215</v>
      </c>
      <c r="HXJ66" s="123">
        <v>75</v>
      </c>
      <c r="HXK66" s="122">
        <v>150</v>
      </c>
      <c r="HXL66" s="124">
        <f>SUM(HXG66:HXK66)</f>
        <v>8675</v>
      </c>
      <c r="HXM66" s="122">
        <v>200</v>
      </c>
      <c r="HXN66" s="124">
        <f>SUM(HXL66:HXM66)</f>
        <v>8875</v>
      </c>
      <c r="HXO66" s="117" t="s">
        <v>99</v>
      </c>
      <c r="HXP66" s="118">
        <v>45845</v>
      </c>
      <c r="HXQ66" s="113" t="s">
        <v>39</v>
      </c>
      <c r="HXR66" s="169"/>
      <c r="HXS66" s="119" t="s">
        <v>92</v>
      </c>
      <c r="HXT66" s="167"/>
      <c r="HXU66" s="168"/>
      <c r="HXV66" s="113" t="s">
        <v>22</v>
      </c>
      <c r="HXW66" s="114">
        <v>8150</v>
      </c>
      <c r="HXX66" s="122">
        <v>85</v>
      </c>
      <c r="HXY66" s="123">
        <v>215</v>
      </c>
      <c r="HXZ66" s="123">
        <v>75</v>
      </c>
      <c r="HYA66" s="122">
        <v>150</v>
      </c>
      <c r="HYB66" s="124">
        <f>SUM(HXW66:HYA66)</f>
        <v>8675</v>
      </c>
      <c r="HYC66" s="122">
        <v>200</v>
      </c>
      <c r="HYD66" s="124">
        <f>SUM(HYB66:HYC66)</f>
        <v>8875</v>
      </c>
      <c r="HYE66" s="117" t="s">
        <v>99</v>
      </c>
      <c r="HYF66" s="118">
        <v>45845</v>
      </c>
      <c r="HYG66" s="113" t="s">
        <v>39</v>
      </c>
      <c r="HYH66" s="169"/>
      <c r="HYI66" s="119" t="s">
        <v>92</v>
      </c>
      <c r="HYJ66" s="167"/>
      <c r="HYK66" s="168"/>
      <c r="HYL66" s="113" t="s">
        <v>22</v>
      </c>
      <c r="HYM66" s="114">
        <v>8150</v>
      </c>
      <c r="HYN66" s="122">
        <v>85</v>
      </c>
      <c r="HYO66" s="123">
        <v>215</v>
      </c>
      <c r="HYP66" s="123">
        <v>75</v>
      </c>
      <c r="HYQ66" s="122">
        <v>150</v>
      </c>
      <c r="HYR66" s="124">
        <f>SUM(HYM66:HYQ66)</f>
        <v>8675</v>
      </c>
      <c r="HYS66" s="122">
        <v>200</v>
      </c>
      <c r="HYT66" s="124">
        <f>SUM(HYR66:HYS66)</f>
        <v>8875</v>
      </c>
      <c r="HYU66" s="117" t="s">
        <v>99</v>
      </c>
      <c r="HYV66" s="118">
        <v>45845</v>
      </c>
      <c r="HYW66" s="113" t="s">
        <v>39</v>
      </c>
      <c r="HYX66" s="169"/>
      <c r="HYY66" s="119" t="s">
        <v>92</v>
      </c>
      <c r="HYZ66" s="167"/>
      <c r="HZA66" s="168"/>
      <c r="HZB66" s="113" t="s">
        <v>22</v>
      </c>
      <c r="HZC66" s="114">
        <v>8150</v>
      </c>
      <c r="HZD66" s="122">
        <v>85</v>
      </c>
      <c r="HZE66" s="123">
        <v>215</v>
      </c>
      <c r="HZF66" s="123">
        <v>75</v>
      </c>
      <c r="HZG66" s="122">
        <v>150</v>
      </c>
      <c r="HZH66" s="124">
        <f>SUM(HZC66:HZG66)</f>
        <v>8675</v>
      </c>
      <c r="HZI66" s="122">
        <v>200</v>
      </c>
      <c r="HZJ66" s="124">
        <f>SUM(HZH66:HZI66)</f>
        <v>8875</v>
      </c>
      <c r="HZK66" s="117" t="s">
        <v>99</v>
      </c>
      <c r="HZL66" s="118">
        <v>45845</v>
      </c>
      <c r="HZM66" s="113" t="s">
        <v>39</v>
      </c>
      <c r="HZN66" s="169"/>
      <c r="HZO66" s="119" t="s">
        <v>92</v>
      </c>
      <c r="HZP66" s="167"/>
      <c r="HZQ66" s="168"/>
      <c r="HZR66" s="113" t="s">
        <v>22</v>
      </c>
      <c r="HZS66" s="114">
        <v>8150</v>
      </c>
      <c r="HZT66" s="122">
        <v>85</v>
      </c>
      <c r="HZU66" s="123">
        <v>215</v>
      </c>
      <c r="HZV66" s="123">
        <v>75</v>
      </c>
      <c r="HZW66" s="122">
        <v>150</v>
      </c>
      <c r="HZX66" s="124">
        <f>SUM(HZS66:HZW66)</f>
        <v>8675</v>
      </c>
      <c r="HZY66" s="122">
        <v>200</v>
      </c>
      <c r="HZZ66" s="124">
        <f>SUM(HZX66:HZY66)</f>
        <v>8875</v>
      </c>
      <c r="IAA66" s="117" t="s">
        <v>99</v>
      </c>
      <c r="IAB66" s="118">
        <v>45845</v>
      </c>
      <c r="IAC66" s="113" t="s">
        <v>39</v>
      </c>
      <c r="IAD66" s="169"/>
      <c r="IAE66" s="119" t="s">
        <v>92</v>
      </c>
      <c r="IAF66" s="167"/>
      <c r="IAG66" s="168"/>
      <c r="IAH66" s="113" t="s">
        <v>22</v>
      </c>
      <c r="IAI66" s="114">
        <v>8150</v>
      </c>
      <c r="IAJ66" s="122">
        <v>85</v>
      </c>
      <c r="IAK66" s="123">
        <v>215</v>
      </c>
      <c r="IAL66" s="123">
        <v>75</v>
      </c>
      <c r="IAM66" s="122">
        <v>150</v>
      </c>
      <c r="IAN66" s="124">
        <f>SUM(IAI66:IAM66)</f>
        <v>8675</v>
      </c>
      <c r="IAO66" s="122">
        <v>200</v>
      </c>
      <c r="IAP66" s="124">
        <f>SUM(IAN66:IAO66)</f>
        <v>8875</v>
      </c>
      <c r="IAQ66" s="117" t="s">
        <v>99</v>
      </c>
      <c r="IAR66" s="118">
        <v>45845</v>
      </c>
      <c r="IAS66" s="113" t="s">
        <v>39</v>
      </c>
      <c r="IAT66" s="169"/>
      <c r="IAU66" s="119" t="s">
        <v>92</v>
      </c>
      <c r="IAV66" s="167"/>
      <c r="IAW66" s="168"/>
      <c r="IAX66" s="113" t="s">
        <v>22</v>
      </c>
      <c r="IAY66" s="114">
        <v>8150</v>
      </c>
      <c r="IAZ66" s="122">
        <v>85</v>
      </c>
      <c r="IBA66" s="123">
        <v>215</v>
      </c>
      <c r="IBB66" s="123">
        <v>75</v>
      </c>
      <c r="IBC66" s="122">
        <v>150</v>
      </c>
      <c r="IBD66" s="124">
        <f>SUM(IAY66:IBC66)</f>
        <v>8675</v>
      </c>
      <c r="IBE66" s="122">
        <v>200</v>
      </c>
      <c r="IBF66" s="124">
        <f>SUM(IBD66:IBE66)</f>
        <v>8875</v>
      </c>
      <c r="IBG66" s="117" t="s">
        <v>99</v>
      </c>
      <c r="IBH66" s="118">
        <v>45845</v>
      </c>
      <c r="IBI66" s="113" t="s">
        <v>39</v>
      </c>
      <c r="IBJ66" s="169"/>
      <c r="IBK66" s="119" t="s">
        <v>92</v>
      </c>
      <c r="IBL66" s="167"/>
      <c r="IBM66" s="168"/>
      <c r="IBN66" s="113" t="s">
        <v>22</v>
      </c>
      <c r="IBO66" s="114">
        <v>8150</v>
      </c>
      <c r="IBP66" s="122">
        <v>85</v>
      </c>
      <c r="IBQ66" s="123">
        <v>215</v>
      </c>
      <c r="IBR66" s="123">
        <v>75</v>
      </c>
      <c r="IBS66" s="122">
        <v>150</v>
      </c>
      <c r="IBT66" s="124">
        <f>SUM(IBO66:IBS66)</f>
        <v>8675</v>
      </c>
      <c r="IBU66" s="122">
        <v>200</v>
      </c>
      <c r="IBV66" s="124">
        <f>SUM(IBT66:IBU66)</f>
        <v>8875</v>
      </c>
      <c r="IBW66" s="117" t="s">
        <v>99</v>
      </c>
      <c r="IBX66" s="118">
        <v>45845</v>
      </c>
      <c r="IBY66" s="113" t="s">
        <v>39</v>
      </c>
      <c r="IBZ66" s="169"/>
      <c r="ICA66" s="119" t="s">
        <v>92</v>
      </c>
      <c r="ICB66" s="167"/>
      <c r="ICC66" s="168"/>
      <c r="ICD66" s="113" t="s">
        <v>22</v>
      </c>
      <c r="ICE66" s="114">
        <v>8150</v>
      </c>
      <c r="ICF66" s="122">
        <v>85</v>
      </c>
      <c r="ICG66" s="123">
        <v>215</v>
      </c>
      <c r="ICH66" s="123">
        <v>75</v>
      </c>
      <c r="ICI66" s="122">
        <v>150</v>
      </c>
      <c r="ICJ66" s="124">
        <f>SUM(ICE66:ICI66)</f>
        <v>8675</v>
      </c>
      <c r="ICK66" s="122">
        <v>200</v>
      </c>
      <c r="ICL66" s="124">
        <f>SUM(ICJ66:ICK66)</f>
        <v>8875</v>
      </c>
      <c r="ICM66" s="117" t="s">
        <v>99</v>
      </c>
      <c r="ICN66" s="118">
        <v>45845</v>
      </c>
      <c r="ICO66" s="113" t="s">
        <v>39</v>
      </c>
      <c r="ICP66" s="169"/>
      <c r="ICQ66" s="119" t="s">
        <v>92</v>
      </c>
      <c r="ICR66" s="167"/>
      <c r="ICS66" s="168"/>
      <c r="ICT66" s="113" t="s">
        <v>22</v>
      </c>
      <c r="ICU66" s="114">
        <v>8150</v>
      </c>
      <c r="ICV66" s="122">
        <v>85</v>
      </c>
      <c r="ICW66" s="123">
        <v>215</v>
      </c>
      <c r="ICX66" s="123">
        <v>75</v>
      </c>
      <c r="ICY66" s="122">
        <v>150</v>
      </c>
      <c r="ICZ66" s="124">
        <f>SUM(ICU66:ICY66)</f>
        <v>8675</v>
      </c>
      <c r="IDA66" s="122">
        <v>200</v>
      </c>
      <c r="IDB66" s="124">
        <f>SUM(ICZ66:IDA66)</f>
        <v>8875</v>
      </c>
      <c r="IDC66" s="117" t="s">
        <v>99</v>
      </c>
      <c r="IDD66" s="118">
        <v>45845</v>
      </c>
      <c r="IDE66" s="113" t="s">
        <v>39</v>
      </c>
      <c r="IDF66" s="169"/>
      <c r="IDG66" s="119" t="s">
        <v>92</v>
      </c>
      <c r="IDH66" s="167"/>
      <c r="IDI66" s="168"/>
      <c r="IDJ66" s="113" t="s">
        <v>22</v>
      </c>
      <c r="IDK66" s="114">
        <v>8150</v>
      </c>
      <c r="IDL66" s="122">
        <v>85</v>
      </c>
      <c r="IDM66" s="123">
        <v>215</v>
      </c>
      <c r="IDN66" s="123">
        <v>75</v>
      </c>
      <c r="IDO66" s="122">
        <v>150</v>
      </c>
      <c r="IDP66" s="124">
        <f>SUM(IDK66:IDO66)</f>
        <v>8675</v>
      </c>
      <c r="IDQ66" s="122">
        <v>200</v>
      </c>
      <c r="IDR66" s="124">
        <f>SUM(IDP66:IDQ66)</f>
        <v>8875</v>
      </c>
      <c r="IDS66" s="117" t="s">
        <v>99</v>
      </c>
      <c r="IDT66" s="118">
        <v>45845</v>
      </c>
      <c r="IDU66" s="113" t="s">
        <v>39</v>
      </c>
      <c r="IDV66" s="169"/>
      <c r="IDW66" s="119" t="s">
        <v>92</v>
      </c>
      <c r="IDX66" s="167"/>
      <c r="IDY66" s="168"/>
      <c r="IDZ66" s="113" t="s">
        <v>22</v>
      </c>
      <c r="IEA66" s="114">
        <v>8150</v>
      </c>
      <c r="IEB66" s="122">
        <v>85</v>
      </c>
      <c r="IEC66" s="123">
        <v>215</v>
      </c>
      <c r="IED66" s="123">
        <v>75</v>
      </c>
      <c r="IEE66" s="122">
        <v>150</v>
      </c>
      <c r="IEF66" s="124">
        <f>SUM(IEA66:IEE66)</f>
        <v>8675</v>
      </c>
      <c r="IEG66" s="122">
        <v>200</v>
      </c>
      <c r="IEH66" s="124">
        <f>SUM(IEF66:IEG66)</f>
        <v>8875</v>
      </c>
      <c r="IEI66" s="117" t="s">
        <v>99</v>
      </c>
      <c r="IEJ66" s="118">
        <v>45845</v>
      </c>
      <c r="IEK66" s="113" t="s">
        <v>39</v>
      </c>
      <c r="IEL66" s="169"/>
      <c r="IEM66" s="119" t="s">
        <v>92</v>
      </c>
      <c r="IEN66" s="167"/>
      <c r="IEO66" s="168"/>
      <c r="IEP66" s="113" t="s">
        <v>22</v>
      </c>
      <c r="IEQ66" s="114">
        <v>8150</v>
      </c>
      <c r="IER66" s="122">
        <v>85</v>
      </c>
      <c r="IES66" s="123">
        <v>215</v>
      </c>
      <c r="IET66" s="123">
        <v>75</v>
      </c>
      <c r="IEU66" s="122">
        <v>150</v>
      </c>
      <c r="IEV66" s="124">
        <f>SUM(IEQ66:IEU66)</f>
        <v>8675</v>
      </c>
      <c r="IEW66" s="122">
        <v>200</v>
      </c>
      <c r="IEX66" s="124">
        <f>SUM(IEV66:IEW66)</f>
        <v>8875</v>
      </c>
      <c r="IEY66" s="117" t="s">
        <v>99</v>
      </c>
      <c r="IEZ66" s="118">
        <v>45845</v>
      </c>
      <c r="IFA66" s="113" t="s">
        <v>39</v>
      </c>
      <c r="IFB66" s="169"/>
      <c r="IFC66" s="119" t="s">
        <v>92</v>
      </c>
      <c r="IFD66" s="167"/>
      <c r="IFE66" s="168"/>
      <c r="IFF66" s="113" t="s">
        <v>22</v>
      </c>
      <c r="IFG66" s="114">
        <v>8150</v>
      </c>
      <c r="IFH66" s="122">
        <v>85</v>
      </c>
      <c r="IFI66" s="123">
        <v>215</v>
      </c>
      <c r="IFJ66" s="123">
        <v>75</v>
      </c>
      <c r="IFK66" s="122">
        <v>150</v>
      </c>
      <c r="IFL66" s="124">
        <f>SUM(IFG66:IFK66)</f>
        <v>8675</v>
      </c>
      <c r="IFM66" s="122">
        <v>200</v>
      </c>
      <c r="IFN66" s="124">
        <f>SUM(IFL66:IFM66)</f>
        <v>8875</v>
      </c>
      <c r="IFO66" s="117" t="s">
        <v>99</v>
      </c>
      <c r="IFP66" s="118">
        <v>45845</v>
      </c>
      <c r="IFQ66" s="113" t="s">
        <v>39</v>
      </c>
      <c r="IFR66" s="169"/>
      <c r="IFS66" s="119" t="s">
        <v>92</v>
      </c>
      <c r="IFT66" s="167"/>
      <c r="IFU66" s="168"/>
      <c r="IFV66" s="113" t="s">
        <v>22</v>
      </c>
      <c r="IFW66" s="114">
        <v>8150</v>
      </c>
      <c r="IFX66" s="122">
        <v>85</v>
      </c>
      <c r="IFY66" s="123">
        <v>215</v>
      </c>
      <c r="IFZ66" s="123">
        <v>75</v>
      </c>
      <c r="IGA66" s="122">
        <v>150</v>
      </c>
      <c r="IGB66" s="124">
        <f>SUM(IFW66:IGA66)</f>
        <v>8675</v>
      </c>
      <c r="IGC66" s="122">
        <v>200</v>
      </c>
      <c r="IGD66" s="124">
        <f>SUM(IGB66:IGC66)</f>
        <v>8875</v>
      </c>
      <c r="IGE66" s="117" t="s">
        <v>99</v>
      </c>
      <c r="IGF66" s="118">
        <v>45845</v>
      </c>
      <c r="IGG66" s="113" t="s">
        <v>39</v>
      </c>
      <c r="IGH66" s="169"/>
      <c r="IGI66" s="119" t="s">
        <v>92</v>
      </c>
      <c r="IGJ66" s="167"/>
      <c r="IGK66" s="168"/>
      <c r="IGL66" s="113" t="s">
        <v>22</v>
      </c>
      <c r="IGM66" s="114">
        <v>8150</v>
      </c>
      <c r="IGN66" s="122">
        <v>85</v>
      </c>
      <c r="IGO66" s="123">
        <v>215</v>
      </c>
      <c r="IGP66" s="123">
        <v>75</v>
      </c>
      <c r="IGQ66" s="122">
        <v>150</v>
      </c>
      <c r="IGR66" s="124">
        <f>SUM(IGM66:IGQ66)</f>
        <v>8675</v>
      </c>
      <c r="IGS66" s="122">
        <v>200</v>
      </c>
      <c r="IGT66" s="124">
        <f>SUM(IGR66:IGS66)</f>
        <v>8875</v>
      </c>
      <c r="IGU66" s="117" t="s">
        <v>99</v>
      </c>
      <c r="IGV66" s="118">
        <v>45845</v>
      </c>
      <c r="IGW66" s="113" t="s">
        <v>39</v>
      </c>
      <c r="IGX66" s="169"/>
      <c r="IGY66" s="119" t="s">
        <v>92</v>
      </c>
      <c r="IGZ66" s="167"/>
      <c r="IHA66" s="168"/>
      <c r="IHB66" s="113" t="s">
        <v>22</v>
      </c>
      <c r="IHC66" s="114">
        <v>8150</v>
      </c>
      <c r="IHD66" s="122">
        <v>85</v>
      </c>
      <c r="IHE66" s="123">
        <v>215</v>
      </c>
      <c r="IHF66" s="123">
        <v>75</v>
      </c>
      <c r="IHG66" s="122">
        <v>150</v>
      </c>
      <c r="IHH66" s="124">
        <f>SUM(IHC66:IHG66)</f>
        <v>8675</v>
      </c>
      <c r="IHI66" s="122">
        <v>200</v>
      </c>
      <c r="IHJ66" s="124">
        <f>SUM(IHH66:IHI66)</f>
        <v>8875</v>
      </c>
      <c r="IHK66" s="117" t="s">
        <v>99</v>
      </c>
      <c r="IHL66" s="118">
        <v>45845</v>
      </c>
      <c r="IHM66" s="113" t="s">
        <v>39</v>
      </c>
      <c r="IHN66" s="169"/>
      <c r="IHO66" s="119" t="s">
        <v>92</v>
      </c>
      <c r="IHP66" s="167"/>
      <c r="IHQ66" s="168"/>
      <c r="IHR66" s="113" t="s">
        <v>22</v>
      </c>
      <c r="IHS66" s="114">
        <v>8150</v>
      </c>
      <c r="IHT66" s="122">
        <v>85</v>
      </c>
      <c r="IHU66" s="123">
        <v>215</v>
      </c>
      <c r="IHV66" s="123">
        <v>75</v>
      </c>
      <c r="IHW66" s="122">
        <v>150</v>
      </c>
      <c r="IHX66" s="124">
        <f>SUM(IHS66:IHW66)</f>
        <v>8675</v>
      </c>
      <c r="IHY66" s="122">
        <v>200</v>
      </c>
      <c r="IHZ66" s="124">
        <f>SUM(IHX66:IHY66)</f>
        <v>8875</v>
      </c>
      <c r="IIA66" s="117" t="s">
        <v>99</v>
      </c>
      <c r="IIB66" s="118">
        <v>45845</v>
      </c>
      <c r="IIC66" s="113" t="s">
        <v>39</v>
      </c>
      <c r="IID66" s="169"/>
      <c r="IIE66" s="119" t="s">
        <v>92</v>
      </c>
      <c r="IIF66" s="167"/>
      <c r="IIG66" s="168"/>
      <c r="IIH66" s="113" t="s">
        <v>22</v>
      </c>
      <c r="III66" s="114">
        <v>8150</v>
      </c>
      <c r="IIJ66" s="122">
        <v>85</v>
      </c>
      <c r="IIK66" s="123">
        <v>215</v>
      </c>
      <c r="IIL66" s="123">
        <v>75</v>
      </c>
      <c r="IIM66" s="122">
        <v>150</v>
      </c>
      <c r="IIN66" s="124">
        <f>SUM(III66:IIM66)</f>
        <v>8675</v>
      </c>
      <c r="IIO66" s="122">
        <v>200</v>
      </c>
      <c r="IIP66" s="124">
        <f>SUM(IIN66:IIO66)</f>
        <v>8875</v>
      </c>
      <c r="IIQ66" s="117" t="s">
        <v>99</v>
      </c>
      <c r="IIR66" s="118">
        <v>45845</v>
      </c>
      <c r="IIS66" s="113" t="s">
        <v>39</v>
      </c>
      <c r="IIT66" s="169"/>
      <c r="IIU66" s="119" t="s">
        <v>92</v>
      </c>
      <c r="IIV66" s="167"/>
      <c r="IIW66" s="168"/>
      <c r="IIX66" s="113" t="s">
        <v>22</v>
      </c>
      <c r="IIY66" s="114">
        <v>8150</v>
      </c>
      <c r="IIZ66" s="122">
        <v>85</v>
      </c>
      <c r="IJA66" s="123">
        <v>215</v>
      </c>
      <c r="IJB66" s="123">
        <v>75</v>
      </c>
      <c r="IJC66" s="122">
        <v>150</v>
      </c>
      <c r="IJD66" s="124">
        <f>SUM(IIY66:IJC66)</f>
        <v>8675</v>
      </c>
      <c r="IJE66" s="122">
        <v>200</v>
      </c>
      <c r="IJF66" s="124">
        <f>SUM(IJD66:IJE66)</f>
        <v>8875</v>
      </c>
      <c r="IJG66" s="117" t="s">
        <v>99</v>
      </c>
      <c r="IJH66" s="118">
        <v>45845</v>
      </c>
      <c r="IJI66" s="113" t="s">
        <v>39</v>
      </c>
      <c r="IJJ66" s="169"/>
      <c r="IJK66" s="119" t="s">
        <v>92</v>
      </c>
      <c r="IJL66" s="167"/>
      <c r="IJM66" s="168"/>
      <c r="IJN66" s="113" t="s">
        <v>22</v>
      </c>
      <c r="IJO66" s="114">
        <v>8150</v>
      </c>
      <c r="IJP66" s="122">
        <v>85</v>
      </c>
      <c r="IJQ66" s="123">
        <v>215</v>
      </c>
      <c r="IJR66" s="123">
        <v>75</v>
      </c>
      <c r="IJS66" s="122">
        <v>150</v>
      </c>
      <c r="IJT66" s="124">
        <f>SUM(IJO66:IJS66)</f>
        <v>8675</v>
      </c>
      <c r="IJU66" s="122">
        <v>200</v>
      </c>
      <c r="IJV66" s="124">
        <f>SUM(IJT66:IJU66)</f>
        <v>8875</v>
      </c>
      <c r="IJW66" s="117" t="s">
        <v>99</v>
      </c>
      <c r="IJX66" s="118">
        <v>45845</v>
      </c>
      <c r="IJY66" s="113" t="s">
        <v>39</v>
      </c>
      <c r="IJZ66" s="169"/>
      <c r="IKA66" s="119" t="s">
        <v>92</v>
      </c>
      <c r="IKB66" s="167"/>
      <c r="IKC66" s="168"/>
      <c r="IKD66" s="113" t="s">
        <v>22</v>
      </c>
      <c r="IKE66" s="114">
        <v>8150</v>
      </c>
      <c r="IKF66" s="122">
        <v>85</v>
      </c>
      <c r="IKG66" s="123">
        <v>215</v>
      </c>
      <c r="IKH66" s="123">
        <v>75</v>
      </c>
      <c r="IKI66" s="122">
        <v>150</v>
      </c>
      <c r="IKJ66" s="124">
        <f>SUM(IKE66:IKI66)</f>
        <v>8675</v>
      </c>
      <c r="IKK66" s="122">
        <v>200</v>
      </c>
      <c r="IKL66" s="124">
        <f>SUM(IKJ66:IKK66)</f>
        <v>8875</v>
      </c>
      <c r="IKM66" s="117" t="s">
        <v>99</v>
      </c>
      <c r="IKN66" s="118">
        <v>45845</v>
      </c>
      <c r="IKO66" s="113" t="s">
        <v>39</v>
      </c>
      <c r="IKP66" s="169"/>
      <c r="IKQ66" s="119" t="s">
        <v>92</v>
      </c>
      <c r="IKR66" s="167"/>
      <c r="IKS66" s="168"/>
      <c r="IKT66" s="113" t="s">
        <v>22</v>
      </c>
      <c r="IKU66" s="114">
        <v>8150</v>
      </c>
      <c r="IKV66" s="122">
        <v>85</v>
      </c>
      <c r="IKW66" s="123">
        <v>215</v>
      </c>
      <c r="IKX66" s="123">
        <v>75</v>
      </c>
      <c r="IKY66" s="122">
        <v>150</v>
      </c>
      <c r="IKZ66" s="124">
        <f>SUM(IKU66:IKY66)</f>
        <v>8675</v>
      </c>
      <c r="ILA66" s="122">
        <v>200</v>
      </c>
      <c r="ILB66" s="124">
        <f>SUM(IKZ66:ILA66)</f>
        <v>8875</v>
      </c>
      <c r="ILC66" s="117" t="s">
        <v>99</v>
      </c>
      <c r="ILD66" s="118">
        <v>45845</v>
      </c>
      <c r="ILE66" s="113" t="s">
        <v>39</v>
      </c>
      <c r="ILF66" s="169"/>
      <c r="ILG66" s="119" t="s">
        <v>92</v>
      </c>
      <c r="ILH66" s="167"/>
      <c r="ILI66" s="168"/>
      <c r="ILJ66" s="113" t="s">
        <v>22</v>
      </c>
      <c r="ILK66" s="114">
        <v>8150</v>
      </c>
      <c r="ILL66" s="122">
        <v>85</v>
      </c>
      <c r="ILM66" s="123">
        <v>215</v>
      </c>
      <c r="ILN66" s="123">
        <v>75</v>
      </c>
      <c r="ILO66" s="122">
        <v>150</v>
      </c>
      <c r="ILP66" s="124">
        <f>SUM(ILK66:ILO66)</f>
        <v>8675</v>
      </c>
      <c r="ILQ66" s="122">
        <v>200</v>
      </c>
      <c r="ILR66" s="124">
        <f>SUM(ILP66:ILQ66)</f>
        <v>8875</v>
      </c>
      <c r="ILS66" s="117" t="s">
        <v>99</v>
      </c>
      <c r="ILT66" s="118">
        <v>45845</v>
      </c>
      <c r="ILU66" s="113" t="s">
        <v>39</v>
      </c>
      <c r="ILV66" s="169"/>
      <c r="ILW66" s="119" t="s">
        <v>92</v>
      </c>
      <c r="ILX66" s="167"/>
      <c r="ILY66" s="168"/>
      <c r="ILZ66" s="113" t="s">
        <v>22</v>
      </c>
      <c r="IMA66" s="114">
        <v>8150</v>
      </c>
      <c r="IMB66" s="122">
        <v>85</v>
      </c>
      <c r="IMC66" s="123">
        <v>215</v>
      </c>
      <c r="IMD66" s="123">
        <v>75</v>
      </c>
      <c r="IME66" s="122">
        <v>150</v>
      </c>
      <c r="IMF66" s="124">
        <f>SUM(IMA66:IME66)</f>
        <v>8675</v>
      </c>
      <c r="IMG66" s="122">
        <v>200</v>
      </c>
      <c r="IMH66" s="124">
        <f>SUM(IMF66:IMG66)</f>
        <v>8875</v>
      </c>
      <c r="IMI66" s="117" t="s">
        <v>99</v>
      </c>
      <c r="IMJ66" s="118">
        <v>45845</v>
      </c>
      <c r="IMK66" s="113" t="s">
        <v>39</v>
      </c>
      <c r="IML66" s="169"/>
      <c r="IMM66" s="119" t="s">
        <v>92</v>
      </c>
      <c r="IMN66" s="167"/>
      <c r="IMO66" s="168"/>
      <c r="IMP66" s="113" t="s">
        <v>22</v>
      </c>
      <c r="IMQ66" s="114">
        <v>8150</v>
      </c>
      <c r="IMR66" s="122">
        <v>85</v>
      </c>
      <c r="IMS66" s="123">
        <v>215</v>
      </c>
      <c r="IMT66" s="123">
        <v>75</v>
      </c>
      <c r="IMU66" s="122">
        <v>150</v>
      </c>
      <c r="IMV66" s="124">
        <f>SUM(IMQ66:IMU66)</f>
        <v>8675</v>
      </c>
      <c r="IMW66" s="122">
        <v>200</v>
      </c>
      <c r="IMX66" s="124">
        <f>SUM(IMV66:IMW66)</f>
        <v>8875</v>
      </c>
      <c r="IMY66" s="117" t="s">
        <v>99</v>
      </c>
      <c r="IMZ66" s="118">
        <v>45845</v>
      </c>
      <c r="INA66" s="113" t="s">
        <v>39</v>
      </c>
      <c r="INB66" s="169"/>
      <c r="INC66" s="119" t="s">
        <v>92</v>
      </c>
      <c r="IND66" s="167"/>
      <c r="INE66" s="168"/>
      <c r="INF66" s="113" t="s">
        <v>22</v>
      </c>
      <c r="ING66" s="114">
        <v>8150</v>
      </c>
      <c r="INH66" s="122">
        <v>85</v>
      </c>
      <c r="INI66" s="123">
        <v>215</v>
      </c>
      <c r="INJ66" s="123">
        <v>75</v>
      </c>
      <c r="INK66" s="122">
        <v>150</v>
      </c>
      <c r="INL66" s="124">
        <f>SUM(ING66:INK66)</f>
        <v>8675</v>
      </c>
      <c r="INM66" s="122">
        <v>200</v>
      </c>
      <c r="INN66" s="124">
        <f>SUM(INL66:INM66)</f>
        <v>8875</v>
      </c>
      <c r="INO66" s="117" t="s">
        <v>99</v>
      </c>
      <c r="INP66" s="118">
        <v>45845</v>
      </c>
      <c r="INQ66" s="113" t="s">
        <v>39</v>
      </c>
      <c r="INR66" s="169"/>
      <c r="INS66" s="119" t="s">
        <v>92</v>
      </c>
      <c r="INT66" s="167"/>
      <c r="INU66" s="168"/>
      <c r="INV66" s="113" t="s">
        <v>22</v>
      </c>
      <c r="INW66" s="114">
        <v>8150</v>
      </c>
      <c r="INX66" s="122">
        <v>85</v>
      </c>
      <c r="INY66" s="123">
        <v>215</v>
      </c>
      <c r="INZ66" s="123">
        <v>75</v>
      </c>
      <c r="IOA66" s="122">
        <v>150</v>
      </c>
      <c r="IOB66" s="124">
        <f>SUM(INW66:IOA66)</f>
        <v>8675</v>
      </c>
      <c r="IOC66" s="122">
        <v>200</v>
      </c>
      <c r="IOD66" s="124">
        <f>SUM(IOB66:IOC66)</f>
        <v>8875</v>
      </c>
      <c r="IOE66" s="117" t="s">
        <v>99</v>
      </c>
      <c r="IOF66" s="118">
        <v>45845</v>
      </c>
      <c r="IOG66" s="113" t="s">
        <v>39</v>
      </c>
      <c r="IOH66" s="169"/>
      <c r="IOI66" s="119" t="s">
        <v>92</v>
      </c>
      <c r="IOJ66" s="167"/>
      <c r="IOK66" s="168"/>
      <c r="IOL66" s="113" t="s">
        <v>22</v>
      </c>
      <c r="IOM66" s="114">
        <v>8150</v>
      </c>
      <c r="ION66" s="122">
        <v>85</v>
      </c>
      <c r="IOO66" s="123">
        <v>215</v>
      </c>
      <c r="IOP66" s="123">
        <v>75</v>
      </c>
      <c r="IOQ66" s="122">
        <v>150</v>
      </c>
      <c r="IOR66" s="124">
        <f>SUM(IOM66:IOQ66)</f>
        <v>8675</v>
      </c>
      <c r="IOS66" s="122">
        <v>200</v>
      </c>
      <c r="IOT66" s="124">
        <f>SUM(IOR66:IOS66)</f>
        <v>8875</v>
      </c>
      <c r="IOU66" s="117" t="s">
        <v>99</v>
      </c>
      <c r="IOV66" s="118">
        <v>45845</v>
      </c>
      <c r="IOW66" s="113" t="s">
        <v>39</v>
      </c>
      <c r="IOX66" s="169"/>
      <c r="IOY66" s="119" t="s">
        <v>92</v>
      </c>
      <c r="IOZ66" s="167"/>
      <c r="IPA66" s="168"/>
      <c r="IPB66" s="113" t="s">
        <v>22</v>
      </c>
      <c r="IPC66" s="114">
        <v>8150</v>
      </c>
      <c r="IPD66" s="122">
        <v>85</v>
      </c>
      <c r="IPE66" s="123">
        <v>215</v>
      </c>
      <c r="IPF66" s="123">
        <v>75</v>
      </c>
      <c r="IPG66" s="122">
        <v>150</v>
      </c>
      <c r="IPH66" s="124">
        <f>SUM(IPC66:IPG66)</f>
        <v>8675</v>
      </c>
      <c r="IPI66" s="122">
        <v>200</v>
      </c>
      <c r="IPJ66" s="124">
        <f>SUM(IPH66:IPI66)</f>
        <v>8875</v>
      </c>
      <c r="IPK66" s="117" t="s">
        <v>99</v>
      </c>
      <c r="IPL66" s="118">
        <v>45845</v>
      </c>
      <c r="IPM66" s="113" t="s">
        <v>39</v>
      </c>
      <c r="IPN66" s="169"/>
      <c r="IPO66" s="119" t="s">
        <v>92</v>
      </c>
      <c r="IPP66" s="167"/>
      <c r="IPQ66" s="168"/>
      <c r="IPR66" s="113" t="s">
        <v>22</v>
      </c>
      <c r="IPS66" s="114">
        <v>8150</v>
      </c>
      <c r="IPT66" s="122">
        <v>85</v>
      </c>
      <c r="IPU66" s="123">
        <v>215</v>
      </c>
      <c r="IPV66" s="123">
        <v>75</v>
      </c>
      <c r="IPW66" s="122">
        <v>150</v>
      </c>
      <c r="IPX66" s="124">
        <f>SUM(IPS66:IPW66)</f>
        <v>8675</v>
      </c>
      <c r="IPY66" s="122">
        <v>200</v>
      </c>
      <c r="IPZ66" s="124">
        <f>SUM(IPX66:IPY66)</f>
        <v>8875</v>
      </c>
      <c r="IQA66" s="117" t="s">
        <v>99</v>
      </c>
      <c r="IQB66" s="118">
        <v>45845</v>
      </c>
      <c r="IQC66" s="113" t="s">
        <v>39</v>
      </c>
      <c r="IQD66" s="169"/>
      <c r="IQE66" s="119" t="s">
        <v>92</v>
      </c>
      <c r="IQF66" s="167"/>
      <c r="IQG66" s="168"/>
      <c r="IQH66" s="113" t="s">
        <v>22</v>
      </c>
      <c r="IQI66" s="114">
        <v>8150</v>
      </c>
      <c r="IQJ66" s="122">
        <v>85</v>
      </c>
      <c r="IQK66" s="123">
        <v>215</v>
      </c>
      <c r="IQL66" s="123">
        <v>75</v>
      </c>
      <c r="IQM66" s="122">
        <v>150</v>
      </c>
      <c r="IQN66" s="124">
        <f>SUM(IQI66:IQM66)</f>
        <v>8675</v>
      </c>
      <c r="IQO66" s="122">
        <v>200</v>
      </c>
      <c r="IQP66" s="124">
        <f>SUM(IQN66:IQO66)</f>
        <v>8875</v>
      </c>
      <c r="IQQ66" s="117" t="s">
        <v>99</v>
      </c>
      <c r="IQR66" s="118">
        <v>45845</v>
      </c>
      <c r="IQS66" s="113" t="s">
        <v>39</v>
      </c>
      <c r="IQT66" s="169"/>
      <c r="IQU66" s="119" t="s">
        <v>92</v>
      </c>
      <c r="IQV66" s="167"/>
      <c r="IQW66" s="168"/>
      <c r="IQX66" s="113" t="s">
        <v>22</v>
      </c>
      <c r="IQY66" s="114">
        <v>8150</v>
      </c>
      <c r="IQZ66" s="122">
        <v>85</v>
      </c>
      <c r="IRA66" s="123">
        <v>215</v>
      </c>
      <c r="IRB66" s="123">
        <v>75</v>
      </c>
      <c r="IRC66" s="122">
        <v>150</v>
      </c>
      <c r="IRD66" s="124">
        <f>SUM(IQY66:IRC66)</f>
        <v>8675</v>
      </c>
      <c r="IRE66" s="122">
        <v>200</v>
      </c>
      <c r="IRF66" s="124">
        <f>SUM(IRD66:IRE66)</f>
        <v>8875</v>
      </c>
      <c r="IRG66" s="117" t="s">
        <v>99</v>
      </c>
      <c r="IRH66" s="118">
        <v>45845</v>
      </c>
      <c r="IRI66" s="113" t="s">
        <v>39</v>
      </c>
      <c r="IRJ66" s="169"/>
      <c r="IRK66" s="119" t="s">
        <v>92</v>
      </c>
      <c r="IRL66" s="167"/>
      <c r="IRM66" s="168"/>
      <c r="IRN66" s="113" t="s">
        <v>22</v>
      </c>
      <c r="IRO66" s="114">
        <v>8150</v>
      </c>
      <c r="IRP66" s="122">
        <v>85</v>
      </c>
      <c r="IRQ66" s="123">
        <v>215</v>
      </c>
      <c r="IRR66" s="123">
        <v>75</v>
      </c>
      <c r="IRS66" s="122">
        <v>150</v>
      </c>
      <c r="IRT66" s="124">
        <f>SUM(IRO66:IRS66)</f>
        <v>8675</v>
      </c>
      <c r="IRU66" s="122">
        <v>200</v>
      </c>
      <c r="IRV66" s="124">
        <f>SUM(IRT66:IRU66)</f>
        <v>8875</v>
      </c>
      <c r="IRW66" s="117" t="s">
        <v>99</v>
      </c>
      <c r="IRX66" s="118">
        <v>45845</v>
      </c>
      <c r="IRY66" s="113" t="s">
        <v>39</v>
      </c>
      <c r="IRZ66" s="169"/>
      <c r="ISA66" s="119" t="s">
        <v>92</v>
      </c>
      <c r="ISB66" s="167"/>
      <c r="ISC66" s="168"/>
      <c r="ISD66" s="113" t="s">
        <v>22</v>
      </c>
      <c r="ISE66" s="114">
        <v>8150</v>
      </c>
      <c r="ISF66" s="122">
        <v>85</v>
      </c>
      <c r="ISG66" s="123">
        <v>215</v>
      </c>
      <c r="ISH66" s="123">
        <v>75</v>
      </c>
      <c r="ISI66" s="122">
        <v>150</v>
      </c>
      <c r="ISJ66" s="124">
        <f>SUM(ISE66:ISI66)</f>
        <v>8675</v>
      </c>
      <c r="ISK66" s="122">
        <v>200</v>
      </c>
      <c r="ISL66" s="124">
        <f>SUM(ISJ66:ISK66)</f>
        <v>8875</v>
      </c>
      <c r="ISM66" s="117" t="s">
        <v>99</v>
      </c>
      <c r="ISN66" s="118">
        <v>45845</v>
      </c>
      <c r="ISO66" s="113" t="s">
        <v>39</v>
      </c>
      <c r="ISP66" s="169"/>
      <c r="ISQ66" s="119" t="s">
        <v>92</v>
      </c>
      <c r="ISR66" s="167"/>
      <c r="ISS66" s="168"/>
      <c r="IST66" s="113" t="s">
        <v>22</v>
      </c>
      <c r="ISU66" s="114">
        <v>8150</v>
      </c>
      <c r="ISV66" s="122">
        <v>85</v>
      </c>
      <c r="ISW66" s="123">
        <v>215</v>
      </c>
      <c r="ISX66" s="123">
        <v>75</v>
      </c>
      <c r="ISY66" s="122">
        <v>150</v>
      </c>
      <c r="ISZ66" s="124">
        <f>SUM(ISU66:ISY66)</f>
        <v>8675</v>
      </c>
      <c r="ITA66" s="122">
        <v>200</v>
      </c>
      <c r="ITB66" s="124">
        <f>SUM(ISZ66:ITA66)</f>
        <v>8875</v>
      </c>
      <c r="ITC66" s="117" t="s">
        <v>99</v>
      </c>
      <c r="ITD66" s="118">
        <v>45845</v>
      </c>
      <c r="ITE66" s="113" t="s">
        <v>39</v>
      </c>
      <c r="ITF66" s="169"/>
      <c r="ITG66" s="119" t="s">
        <v>92</v>
      </c>
      <c r="ITH66" s="167"/>
      <c r="ITI66" s="168"/>
      <c r="ITJ66" s="113" t="s">
        <v>22</v>
      </c>
      <c r="ITK66" s="114">
        <v>8150</v>
      </c>
      <c r="ITL66" s="122">
        <v>85</v>
      </c>
      <c r="ITM66" s="123">
        <v>215</v>
      </c>
      <c r="ITN66" s="123">
        <v>75</v>
      </c>
      <c r="ITO66" s="122">
        <v>150</v>
      </c>
      <c r="ITP66" s="124">
        <f>SUM(ITK66:ITO66)</f>
        <v>8675</v>
      </c>
      <c r="ITQ66" s="122">
        <v>200</v>
      </c>
      <c r="ITR66" s="124">
        <f>SUM(ITP66:ITQ66)</f>
        <v>8875</v>
      </c>
      <c r="ITS66" s="117" t="s">
        <v>99</v>
      </c>
      <c r="ITT66" s="118">
        <v>45845</v>
      </c>
      <c r="ITU66" s="113" t="s">
        <v>39</v>
      </c>
      <c r="ITV66" s="169"/>
      <c r="ITW66" s="119" t="s">
        <v>92</v>
      </c>
      <c r="ITX66" s="167"/>
      <c r="ITY66" s="168"/>
      <c r="ITZ66" s="113" t="s">
        <v>22</v>
      </c>
      <c r="IUA66" s="114">
        <v>8150</v>
      </c>
      <c r="IUB66" s="122">
        <v>85</v>
      </c>
      <c r="IUC66" s="123">
        <v>215</v>
      </c>
      <c r="IUD66" s="123">
        <v>75</v>
      </c>
      <c r="IUE66" s="122">
        <v>150</v>
      </c>
      <c r="IUF66" s="124">
        <f>SUM(IUA66:IUE66)</f>
        <v>8675</v>
      </c>
      <c r="IUG66" s="122">
        <v>200</v>
      </c>
      <c r="IUH66" s="124">
        <f>SUM(IUF66:IUG66)</f>
        <v>8875</v>
      </c>
      <c r="IUI66" s="117" t="s">
        <v>99</v>
      </c>
      <c r="IUJ66" s="118">
        <v>45845</v>
      </c>
      <c r="IUK66" s="113" t="s">
        <v>39</v>
      </c>
      <c r="IUL66" s="169"/>
      <c r="IUM66" s="119" t="s">
        <v>92</v>
      </c>
      <c r="IUN66" s="167"/>
      <c r="IUO66" s="168"/>
      <c r="IUP66" s="113" t="s">
        <v>22</v>
      </c>
      <c r="IUQ66" s="114">
        <v>8150</v>
      </c>
      <c r="IUR66" s="122">
        <v>85</v>
      </c>
      <c r="IUS66" s="123">
        <v>215</v>
      </c>
      <c r="IUT66" s="123">
        <v>75</v>
      </c>
      <c r="IUU66" s="122">
        <v>150</v>
      </c>
      <c r="IUV66" s="124">
        <f>SUM(IUQ66:IUU66)</f>
        <v>8675</v>
      </c>
      <c r="IUW66" s="122">
        <v>200</v>
      </c>
      <c r="IUX66" s="124">
        <f>SUM(IUV66:IUW66)</f>
        <v>8875</v>
      </c>
      <c r="IUY66" s="117" t="s">
        <v>99</v>
      </c>
      <c r="IUZ66" s="118">
        <v>45845</v>
      </c>
      <c r="IVA66" s="113" t="s">
        <v>39</v>
      </c>
      <c r="IVB66" s="169"/>
      <c r="IVC66" s="119" t="s">
        <v>92</v>
      </c>
      <c r="IVD66" s="167"/>
      <c r="IVE66" s="168"/>
      <c r="IVF66" s="113" t="s">
        <v>22</v>
      </c>
      <c r="IVG66" s="114">
        <v>8150</v>
      </c>
      <c r="IVH66" s="122">
        <v>85</v>
      </c>
      <c r="IVI66" s="123">
        <v>215</v>
      </c>
      <c r="IVJ66" s="123">
        <v>75</v>
      </c>
      <c r="IVK66" s="122">
        <v>150</v>
      </c>
      <c r="IVL66" s="124">
        <f>SUM(IVG66:IVK66)</f>
        <v>8675</v>
      </c>
      <c r="IVM66" s="122">
        <v>200</v>
      </c>
      <c r="IVN66" s="124">
        <f>SUM(IVL66:IVM66)</f>
        <v>8875</v>
      </c>
      <c r="IVO66" s="117" t="s">
        <v>99</v>
      </c>
      <c r="IVP66" s="118">
        <v>45845</v>
      </c>
      <c r="IVQ66" s="113" t="s">
        <v>39</v>
      </c>
      <c r="IVR66" s="169"/>
      <c r="IVS66" s="119" t="s">
        <v>92</v>
      </c>
      <c r="IVT66" s="167"/>
      <c r="IVU66" s="168"/>
      <c r="IVV66" s="113" t="s">
        <v>22</v>
      </c>
      <c r="IVW66" s="114">
        <v>8150</v>
      </c>
      <c r="IVX66" s="122">
        <v>85</v>
      </c>
      <c r="IVY66" s="123">
        <v>215</v>
      </c>
      <c r="IVZ66" s="123">
        <v>75</v>
      </c>
      <c r="IWA66" s="122">
        <v>150</v>
      </c>
      <c r="IWB66" s="124">
        <f>SUM(IVW66:IWA66)</f>
        <v>8675</v>
      </c>
      <c r="IWC66" s="122">
        <v>200</v>
      </c>
      <c r="IWD66" s="124">
        <f>SUM(IWB66:IWC66)</f>
        <v>8875</v>
      </c>
      <c r="IWE66" s="117" t="s">
        <v>99</v>
      </c>
      <c r="IWF66" s="118">
        <v>45845</v>
      </c>
      <c r="IWG66" s="113" t="s">
        <v>39</v>
      </c>
      <c r="IWH66" s="169"/>
      <c r="IWI66" s="119" t="s">
        <v>92</v>
      </c>
      <c r="IWJ66" s="167"/>
      <c r="IWK66" s="168"/>
      <c r="IWL66" s="113" t="s">
        <v>22</v>
      </c>
      <c r="IWM66" s="114">
        <v>8150</v>
      </c>
      <c r="IWN66" s="122">
        <v>85</v>
      </c>
      <c r="IWO66" s="123">
        <v>215</v>
      </c>
      <c r="IWP66" s="123">
        <v>75</v>
      </c>
      <c r="IWQ66" s="122">
        <v>150</v>
      </c>
      <c r="IWR66" s="124">
        <f>SUM(IWM66:IWQ66)</f>
        <v>8675</v>
      </c>
      <c r="IWS66" s="122">
        <v>200</v>
      </c>
      <c r="IWT66" s="124">
        <f>SUM(IWR66:IWS66)</f>
        <v>8875</v>
      </c>
      <c r="IWU66" s="117" t="s">
        <v>99</v>
      </c>
      <c r="IWV66" s="118">
        <v>45845</v>
      </c>
      <c r="IWW66" s="113" t="s">
        <v>39</v>
      </c>
      <c r="IWX66" s="169"/>
      <c r="IWY66" s="119" t="s">
        <v>92</v>
      </c>
      <c r="IWZ66" s="167"/>
      <c r="IXA66" s="168"/>
      <c r="IXB66" s="113" t="s">
        <v>22</v>
      </c>
      <c r="IXC66" s="114">
        <v>8150</v>
      </c>
      <c r="IXD66" s="122">
        <v>85</v>
      </c>
      <c r="IXE66" s="123">
        <v>215</v>
      </c>
      <c r="IXF66" s="123">
        <v>75</v>
      </c>
      <c r="IXG66" s="122">
        <v>150</v>
      </c>
      <c r="IXH66" s="124">
        <f>SUM(IXC66:IXG66)</f>
        <v>8675</v>
      </c>
      <c r="IXI66" s="122">
        <v>200</v>
      </c>
      <c r="IXJ66" s="124">
        <f>SUM(IXH66:IXI66)</f>
        <v>8875</v>
      </c>
      <c r="IXK66" s="117" t="s">
        <v>99</v>
      </c>
      <c r="IXL66" s="118">
        <v>45845</v>
      </c>
      <c r="IXM66" s="113" t="s">
        <v>39</v>
      </c>
      <c r="IXN66" s="169"/>
      <c r="IXO66" s="119" t="s">
        <v>92</v>
      </c>
      <c r="IXP66" s="167"/>
      <c r="IXQ66" s="168"/>
      <c r="IXR66" s="113" t="s">
        <v>22</v>
      </c>
      <c r="IXS66" s="114">
        <v>8150</v>
      </c>
      <c r="IXT66" s="122">
        <v>85</v>
      </c>
      <c r="IXU66" s="123">
        <v>215</v>
      </c>
      <c r="IXV66" s="123">
        <v>75</v>
      </c>
      <c r="IXW66" s="122">
        <v>150</v>
      </c>
      <c r="IXX66" s="124">
        <f>SUM(IXS66:IXW66)</f>
        <v>8675</v>
      </c>
      <c r="IXY66" s="122">
        <v>200</v>
      </c>
      <c r="IXZ66" s="124">
        <f>SUM(IXX66:IXY66)</f>
        <v>8875</v>
      </c>
      <c r="IYA66" s="117" t="s">
        <v>99</v>
      </c>
      <c r="IYB66" s="118">
        <v>45845</v>
      </c>
      <c r="IYC66" s="113" t="s">
        <v>39</v>
      </c>
      <c r="IYD66" s="169"/>
      <c r="IYE66" s="119" t="s">
        <v>92</v>
      </c>
      <c r="IYF66" s="167"/>
      <c r="IYG66" s="168"/>
      <c r="IYH66" s="113" t="s">
        <v>22</v>
      </c>
      <c r="IYI66" s="114">
        <v>8150</v>
      </c>
      <c r="IYJ66" s="122">
        <v>85</v>
      </c>
      <c r="IYK66" s="123">
        <v>215</v>
      </c>
      <c r="IYL66" s="123">
        <v>75</v>
      </c>
      <c r="IYM66" s="122">
        <v>150</v>
      </c>
      <c r="IYN66" s="124">
        <f>SUM(IYI66:IYM66)</f>
        <v>8675</v>
      </c>
      <c r="IYO66" s="122">
        <v>200</v>
      </c>
      <c r="IYP66" s="124">
        <f>SUM(IYN66:IYO66)</f>
        <v>8875</v>
      </c>
      <c r="IYQ66" s="117" t="s">
        <v>99</v>
      </c>
      <c r="IYR66" s="118">
        <v>45845</v>
      </c>
      <c r="IYS66" s="113" t="s">
        <v>39</v>
      </c>
      <c r="IYT66" s="169"/>
      <c r="IYU66" s="119" t="s">
        <v>92</v>
      </c>
      <c r="IYV66" s="167"/>
      <c r="IYW66" s="168"/>
      <c r="IYX66" s="113" t="s">
        <v>22</v>
      </c>
      <c r="IYY66" s="114">
        <v>8150</v>
      </c>
      <c r="IYZ66" s="122">
        <v>85</v>
      </c>
      <c r="IZA66" s="123">
        <v>215</v>
      </c>
      <c r="IZB66" s="123">
        <v>75</v>
      </c>
      <c r="IZC66" s="122">
        <v>150</v>
      </c>
      <c r="IZD66" s="124">
        <f>SUM(IYY66:IZC66)</f>
        <v>8675</v>
      </c>
      <c r="IZE66" s="122">
        <v>200</v>
      </c>
      <c r="IZF66" s="124">
        <f>SUM(IZD66:IZE66)</f>
        <v>8875</v>
      </c>
      <c r="IZG66" s="117" t="s">
        <v>99</v>
      </c>
      <c r="IZH66" s="118">
        <v>45845</v>
      </c>
      <c r="IZI66" s="113" t="s">
        <v>39</v>
      </c>
      <c r="IZJ66" s="169"/>
      <c r="IZK66" s="119" t="s">
        <v>92</v>
      </c>
      <c r="IZL66" s="167"/>
      <c r="IZM66" s="168"/>
      <c r="IZN66" s="113" t="s">
        <v>22</v>
      </c>
      <c r="IZO66" s="114">
        <v>8150</v>
      </c>
      <c r="IZP66" s="122">
        <v>85</v>
      </c>
      <c r="IZQ66" s="123">
        <v>215</v>
      </c>
      <c r="IZR66" s="123">
        <v>75</v>
      </c>
      <c r="IZS66" s="122">
        <v>150</v>
      </c>
      <c r="IZT66" s="124">
        <f>SUM(IZO66:IZS66)</f>
        <v>8675</v>
      </c>
      <c r="IZU66" s="122">
        <v>200</v>
      </c>
      <c r="IZV66" s="124">
        <f>SUM(IZT66:IZU66)</f>
        <v>8875</v>
      </c>
      <c r="IZW66" s="117" t="s">
        <v>99</v>
      </c>
      <c r="IZX66" s="118">
        <v>45845</v>
      </c>
      <c r="IZY66" s="113" t="s">
        <v>39</v>
      </c>
      <c r="IZZ66" s="169"/>
      <c r="JAA66" s="119" t="s">
        <v>92</v>
      </c>
      <c r="JAB66" s="167"/>
      <c r="JAC66" s="168"/>
      <c r="JAD66" s="113" t="s">
        <v>22</v>
      </c>
      <c r="JAE66" s="114">
        <v>8150</v>
      </c>
      <c r="JAF66" s="122">
        <v>85</v>
      </c>
      <c r="JAG66" s="123">
        <v>215</v>
      </c>
      <c r="JAH66" s="123">
        <v>75</v>
      </c>
      <c r="JAI66" s="122">
        <v>150</v>
      </c>
      <c r="JAJ66" s="124">
        <f>SUM(JAE66:JAI66)</f>
        <v>8675</v>
      </c>
      <c r="JAK66" s="122">
        <v>200</v>
      </c>
      <c r="JAL66" s="124">
        <f>SUM(JAJ66:JAK66)</f>
        <v>8875</v>
      </c>
      <c r="JAM66" s="117" t="s">
        <v>99</v>
      </c>
      <c r="JAN66" s="118">
        <v>45845</v>
      </c>
      <c r="JAO66" s="113" t="s">
        <v>39</v>
      </c>
      <c r="JAP66" s="169"/>
      <c r="JAQ66" s="119" t="s">
        <v>92</v>
      </c>
      <c r="JAR66" s="167"/>
      <c r="JAS66" s="168"/>
      <c r="JAT66" s="113" t="s">
        <v>22</v>
      </c>
      <c r="JAU66" s="114">
        <v>8150</v>
      </c>
      <c r="JAV66" s="122">
        <v>85</v>
      </c>
      <c r="JAW66" s="123">
        <v>215</v>
      </c>
      <c r="JAX66" s="123">
        <v>75</v>
      </c>
      <c r="JAY66" s="122">
        <v>150</v>
      </c>
      <c r="JAZ66" s="124">
        <f>SUM(JAU66:JAY66)</f>
        <v>8675</v>
      </c>
      <c r="JBA66" s="122">
        <v>200</v>
      </c>
      <c r="JBB66" s="124">
        <f>SUM(JAZ66:JBA66)</f>
        <v>8875</v>
      </c>
      <c r="JBC66" s="117" t="s">
        <v>99</v>
      </c>
      <c r="JBD66" s="118">
        <v>45845</v>
      </c>
      <c r="JBE66" s="113" t="s">
        <v>39</v>
      </c>
      <c r="JBF66" s="169"/>
      <c r="JBG66" s="119" t="s">
        <v>92</v>
      </c>
      <c r="JBH66" s="167"/>
      <c r="JBI66" s="168"/>
      <c r="JBJ66" s="113" t="s">
        <v>22</v>
      </c>
      <c r="JBK66" s="114">
        <v>8150</v>
      </c>
      <c r="JBL66" s="122">
        <v>85</v>
      </c>
      <c r="JBM66" s="123">
        <v>215</v>
      </c>
      <c r="JBN66" s="123">
        <v>75</v>
      </c>
      <c r="JBO66" s="122">
        <v>150</v>
      </c>
      <c r="JBP66" s="124">
        <f>SUM(JBK66:JBO66)</f>
        <v>8675</v>
      </c>
      <c r="JBQ66" s="122">
        <v>200</v>
      </c>
      <c r="JBR66" s="124">
        <f>SUM(JBP66:JBQ66)</f>
        <v>8875</v>
      </c>
      <c r="JBS66" s="117" t="s">
        <v>99</v>
      </c>
      <c r="JBT66" s="118">
        <v>45845</v>
      </c>
      <c r="JBU66" s="113" t="s">
        <v>39</v>
      </c>
      <c r="JBV66" s="169"/>
      <c r="JBW66" s="119" t="s">
        <v>92</v>
      </c>
      <c r="JBX66" s="167"/>
      <c r="JBY66" s="168"/>
      <c r="JBZ66" s="113" t="s">
        <v>22</v>
      </c>
      <c r="JCA66" s="114">
        <v>8150</v>
      </c>
      <c r="JCB66" s="122">
        <v>85</v>
      </c>
      <c r="JCC66" s="123">
        <v>215</v>
      </c>
      <c r="JCD66" s="123">
        <v>75</v>
      </c>
      <c r="JCE66" s="122">
        <v>150</v>
      </c>
      <c r="JCF66" s="124">
        <f>SUM(JCA66:JCE66)</f>
        <v>8675</v>
      </c>
      <c r="JCG66" s="122">
        <v>200</v>
      </c>
      <c r="JCH66" s="124">
        <f>SUM(JCF66:JCG66)</f>
        <v>8875</v>
      </c>
      <c r="JCI66" s="117" t="s">
        <v>99</v>
      </c>
      <c r="JCJ66" s="118">
        <v>45845</v>
      </c>
      <c r="JCK66" s="113" t="s">
        <v>39</v>
      </c>
      <c r="JCL66" s="169"/>
      <c r="JCM66" s="119" t="s">
        <v>92</v>
      </c>
      <c r="JCN66" s="167"/>
      <c r="JCO66" s="168"/>
      <c r="JCP66" s="113" t="s">
        <v>22</v>
      </c>
      <c r="JCQ66" s="114">
        <v>8150</v>
      </c>
      <c r="JCR66" s="122">
        <v>85</v>
      </c>
      <c r="JCS66" s="123">
        <v>215</v>
      </c>
      <c r="JCT66" s="123">
        <v>75</v>
      </c>
      <c r="JCU66" s="122">
        <v>150</v>
      </c>
      <c r="JCV66" s="124">
        <f>SUM(JCQ66:JCU66)</f>
        <v>8675</v>
      </c>
      <c r="JCW66" s="122">
        <v>200</v>
      </c>
      <c r="JCX66" s="124">
        <f>SUM(JCV66:JCW66)</f>
        <v>8875</v>
      </c>
      <c r="JCY66" s="117" t="s">
        <v>99</v>
      </c>
      <c r="JCZ66" s="118">
        <v>45845</v>
      </c>
      <c r="JDA66" s="113" t="s">
        <v>39</v>
      </c>
      <c r="JDB66" s="169"/>
      <c r="JDC66" s="119" t="s">
        <v>92</v>
      </c>
      <c r="JDD66" s="167"/>
      <c r="JDE66" s="168"/>
      <c r="JDF66" s="113" t="s">
        <v>22</v>
      </c>
      <c r="JDG66" s="114">
        <v>8150</v>
      </c>
      <c r="JDH66" s="122">
        <v>85</v>
      </c>
      <c r="JDI66" s="123">
        <v>215</v>
      </c>
      <c r="JDJ66" s="123">
        <v>75</v>
      </c>
      <c r="JDK66" s="122">
        <v>150</v>
      </c>
      <c r="JDL66" s="124">
        <f>SUM(JDG66:JDK66)</f>
        <v>8675</v>
      </c>
      <c r="JDM66" s="122">
        <v>200</v>
      </c>
      <c r="JDN66" s="124">
        <f>SUM(JDL66:JDM66)</f>
        <v>8875</v>
      </c>
      <c r="JDO66" s="117" t="s">
        <v>99</v>
      </c>
      <c r="JDP66" s="118">
        <v>45845</v>
      </c>
      <c r="JDQ66" s="113" t="s">
        <v>39</v>
      </c>
      <c r="JDR66" s="169"/>
      <c r="JDS66" s="119" t="s">
        <v>92</v>
      </c>
      <c r="JDT66" s="167"/>
      <c r="JDU66" s="168"/>
      <c r="JDV66" s="113" t="s">
        <v>22</v>
      </c>
      <c r="JDW66" s="114">
        <v>8150</v>
      </c>
      <c r="JDX66" s="122">
        <v>85</v>
      </c>
      <c r="JDY66" s="123">
        <v>215</v>
      </c>
      <c r="JDZ66" s="123">
        <v>75</v>
      </c>
      <c r="JEA66" s="122">
        <v>150</v>
      </c>
      <c r="JEB66" s="124">
        <f>SUM(JDW66:JEA66)</f>
        <v>8675</v>
      </c>
      <c r="JEC66" s="122">
        <v>200</v>
      </c>
      <c r="JED66" s="124">
        <f>SUM(JEB66:JEC66)</f>
        <v>8875</v>
      </c>
      <c r="JEE66" s="117" t="s">
        <v>99</v>
      </c>
      <c r="JEF66" s="118">
        <v>45845</v>
      </c>
      <c r="JEG66" s="113" t="s">
        <v>39</v>
      </c>
      <c r="JEH66" s="169"/>
      <c r="JEI66" s="119" t="s">
        <v>92</v>
      </c>
      <c r="JEJ66" s="167"/>
      <c r="JEK66" s="168"/>
      <c r="JEL66" s="113" t="s">
        <v>22</v>
      </c>
      <c r="JEM66" s="114">
        <v>8150</v>
      </c>
      <c r="JEN66" s="122">
        <v>85</v>
      </c>
      <c r="JEO66" s="123">
        <v>215</v>
      </c>
      <c r="JEP66" s="123">
        <v>75</v>
      </c>
      <c r="JEQ66" s="122">
        <v>150</v>
      </c>
      <c r="JER66" s="124">
        <f>SUM(JEM66:JEQ66)</f>
        <v>8675</v>
      </c>
      <c r="JES66" s="122">
        <v>200</v>
      </c>
      <c r="JET66" s="124">
        <f>SUM(JER66:JES66)</f>
        <v>8875</v>
      </c>
      <c r="JEU66" s="117" t="s">
        <v>99</v>
      </c>
      <c r="JEV66" s="118">
        <v>45845</v>
      </c>
      <c r="JEW66" s="113" t="s">
        <v>39</v>
      </c>
      <c r="JEX66" s="169"/>
      <c r="JEY66" s="119" t="s">
        <v>92</v>
      </c>
      <c r="JEZ66" s="167"/>
      <c r="JFA66" s="168"/>
      <c r="JFB66" s="113" t="s">
        <v>22</v>
      </c>
      <c r="JFC66" s="114">
        <v>8150</v>
      </c>
      <c r="JFD66" s="122">
        <v>85</v>
      </c>
      <c r="JFE66" s="123">
        <v>215</v>
      </c>
      <c r="JFF66" s="123">
        <v>75</v>
      </c>
      <c r="JFG66" s="122">
        <v>150</v>
      </c>
      <c r="JFH66" s="124">
        <f>SUM(JFC66:JFG66)</f>
        <v>8675</v>
      </c>
      <c r="JFI66" s="122">
        <v>200</v>
      </c>
      <c r="JFJ66" s="124">
        <f>SUM(JFH66:JFI66)</f>
        <v>8875</v>
      </c>
      <c r="JFK66" s="117" t="s">
        <v>99</v>
      </c>
      <c r="JFL66" s="118">
        <v>45845</v>
      </c>
      <c r="JFM66" s="113" t="s">
        <v>39</v>
      </c>
      <c r="JFN66" s="169"/>
      <c r="JFO66" s="119" t="s">
        <v>92</v>
      </c>
      <c r="JFP66" s="167"/>
      <c r="JFQ66" s="168"/>
      <c r="JFR66" s="113" t="s">
        <v>22</v>
      </c>
      <c r="JFS66" s="114">
        <v>8150</v>
      </c>
      <c r="JFT66" s="122">
        <v>85</v>
      </c>
      <c r="JFU66" s="123">
        <v>215</v>
      </c>
      <c r="JFV66" s="123">
        <v>75</v>
      </c>
      <c r="JFW66" s="122">
        <v>150</v>
      </c>
      <c r="JFX66" s="124">
        <f>SUM(JFS66:JFW66)</f>
        <v>8675</v>
      </c>
      <c r="JFY66" s="122">
        <v>200</v>
      </c>
      <c r="JFZ66" s="124">
        <f>SUM(JFX66:JFY66)</f>
        <v>8875</v>
      </c>
      <c r="JGA66" s="117" t="s">
        <v>99</v>
      </c>
      <c r="JGB66" s="118">
        <v>45845</v>
      </c>
      <c r="JGC66" s="113" t="s">
        <v>39</v>
      </c>
      <c r="JGD66" s="169"/>
      <c r="JGE66" s="119" t="s">
        <v>92</v>
      </c>
      <c r="JGF66" s="167"/>
      <c r="JGG66" s="168"/>
      <c r="JGH66" s="113" t="s">
        <v>22</v>
      </c>
      <c r="JGI66" s="114">
        <v>8150</v>
      </c>
      <c r="JGJ66" s="122">
        <v>85</v>
      </c>
      <c r="JGK66" s="123">
        <v>215</v>
      </c>
      <c r="JGL66" s="123">
        <v>75</v>
      </c>
      <c r="JGM66" s="122">
        <v>150</v>
      </c>
      <c r="JGN66" s="124">
        <f>SUM(JGI66:JGM66)</f>
        <v>8675</v>
      </c>
      <c r="JGO66" s="122">
        <v>200</v>
      </c>
      <c r="JGP66" s="124">
        <f>SUM(JGN66:JGO66)</f>
        <v>8875</v>
      </c>
      <c r="JGQ66" s="117" t="s">
        <v>99</v>
      </c>
      <c r="JGR66" s="118">
        <v>45845</v>
      </c>
      <c r="JGS66" s="113" t="s">
        <v>39</v>
      </c>
      <c r="JGT66" s="169"/>
      <c r="JGU66" s="119" t="s">
        <v>92</v>
      </c>
      <c r="JGV66" s="167"/>
      <c r="JGW66" s="168"/>
      <c r="JGX66" s="113" t="s">
        <v>22</v>
      </c>
      <c r="JGY66" s="114">
        <v>8150</v>
      </c>
      <c r="JGZ66" s="122">
        <v>85</v>
      </c>
      <c r="JHA66" s="123">
        <v>215</v>
      </c>
      <c r="JHB66" s="123">
        <v>75</v>
      </c>
      <c r="JHC66" s="122">
        <v>150</v>
      </c>
      <c r="JHD66" s="124">
        <f>SUM(JGY66:JHC66)</f>
        <v>8675</v>
      </c>
      <c r="JHE66" s="122">
        <v>200</v>
      </c>
      <c r="JHF66" s="124">
        <f>SUM(JHD66:JHE66)</f>
        <v>8875</v>
      </c>
      <c r="JHG66" s="117" t="s">
        <v>99</v>
      </c>
      <c r="JHH66" s="118">
        <v>45845</v>
      </c>
      <c r="JHI66" s="113" t="s">
        <v>39</v>
      </c>
      <c r="JHJ66" s="169"/>
      <c r="JHK66" s="119" t="s">
        <v>92</v>
      </c>
      <c r="JHL66" s="167"/>
      <c r="JHM66" s="168"/>
      <c r="JHN66" s="113" t="s">
        <v>22</v>
      </c>
      <c r="JHO66" s="114">
        <v>8150</v>
      </c>
      <c r="JHP66" s="122">
        <v>85</v>
      </c>
      <c r="JHQ66" s="123">
        <v>215</v>
      </c>
      <c r="JHR66" s="123">
        <v>75</v>
      </c>
      <c r="JHS66" s="122">
        <v>150</v>
      </c>
      <c r="JHT66" s="124">
        <f>SUM(JHO66:JHS66)</f>
        <v>8675</v>
      </c>
      <c r="JHU66" s="122">
        <v>200</v>
      </c>
      <c r="JHV66" s="124">
        <f>SUM(JHT66:JHU66)</f>
        <v>8875</v>
      </c>
      <c r="JHW66" s="117" t="s">
        <v>99</v>
      </c>
      <c r="JHX66" s="118">
        <v>45845</v>
      </c>
      <c r="JHY66" s="113" t="s">
        <v>39</v>
      </c>
      <c r="JHZ66" s="169"/>
      <c r="JIA66" s="119" t="s">
        <v>92</v>
      </c>
      <c r="JIB66" s="167"/>
      <c r="JIC66" s="168"/>
      <c r="JID66" s="113" t="s">
        <v>22</v>
      </c>
      <c r="JIE66" s="114">
        <v>8150</v>
      </c>
      <c r="JIF66" s="122">
        <v>85</v>
      </c>
      <c r="JIG66" s="123">
        <v>215</v>
      </c>
      <c r="JIH66" s="123">
        <v>75</v>
      </c>
      <c r="JII66" s="122">
        <v>150</v>
      </c>
      <c r="JIJ66" s="124">
        <f>SUM(JIE66:JII66)</f>
        <v>8675</v>
      </c>
      <c r="JIK66" s="122">
        <v>200</v>
      </c>
      <c r="JIL66" s="124">
        <f>SUM(JIJ66:JIK66)</f>
        <v>8875</v>
      </c>
      <c r="JIM66" s="117" t="s">
        <v>99</v>
      </c>
      <c r="JIN66" s="118">
        <v>45845</v>
      </c>
      <c r="JIO66" s="113" t="s">
        <v>39</v>
      </c>
      <c r="JIP66" s="169"/>
      <c r="JIQ66" s="119" t="s">
        <v>92</v>
      </c>
      <c r="JIR66" s="167"/>
      <c r="JIS66" s="168"/>
      <c r="JIT66" s="113" t="s">
        <v>22</v>
      </c>
      <c r="JIU66" s="114">
        <v>8150</v>
      </c>
      <c r="JIV66" s="122">
        <v>85</v>
      </c>
      <c r="JIW66" s="123">
        <v>215</v>
      </c>
      <c r="JIX66" s="123">
        <v>75</v>
      </c>
      <c r="JIY66" s="122">
        <v>150</v>
      </c>
      <c r="JIZ66" s="124">
        <f>SUM(JIU66:JIY66)</f>
        <v>8675</v>
      </c>
      <c r="JJA66" s="122">
        <v>200</v>
      </c>
      <c r="JJB66" s="124">
        <f>SUM(JIZ66:JJA66)</f>
        <v>8875</v>
      </c>
      <c r="JJC66" s="117" t="s">
        <v>99</v>
      </c>
      <c r="JJD66" s="118">
        <v>45845</v>
      </c>
      <c r="JJE66" s="113" t="s">
        <v>39</v>
      </c>
      <c r="JJF66" s="169"/>
      <c r="JJG66" s="119" t="s">
        <v>92</v>
      </c>
      <c r="JJH66" s="167"/>
      <c r="JJI66" s="168"/>
      <c r="JJJ66" s="113" t="s">
        <v>22</v>
      </c>
      <c r="JJK66" s="114">
        <v>8150</v>
      </c>
      <c r="JJL66" s="122">
        <v>85</v>
      </c>
      <c r="JJM66" s="123">
        <v>215</v>
      </c>
      <c r="JJN66" s="123">
        <v>75</v>
      </c>
      <c r="JJO66" s="122">
        <v>150</v>
      </c>
      <c r="JJP66" s="124">
        <f>SUM(JJK66:JJO66)</f>
        <v>8675</v>
      </c>
      <c r="JJQ66" s="122">
        <v>200</v>
      </c>
      <c r="JJR66" s="124">
        <f>SUM(JJP66:JJQ66)</f>
        <v>8875</v>
      </c>
      <c r="JJS66" s="117" t="s">
        <v>99</v>
      </c>
      <c r="JJT66" s="118">
        <v>45845</v>
      </c>
      <c r="JJU66" s="113" t="s">
        <v>39</v>
      </c>
      <c r="JJV66" s="169"/>
      <c r="JJW66" s="119" t="s">
        <v>92</v>
      </c>
      <c r="JJX66" s="167"/>
      <c r="JJY66" s="168"/>
      <c r="JJZ66" s="113" t="s">
        <v>22</v>
      </c>
      <c r="JKA66" s="114">
        <v>8150</v>
      </c>
      <c r="JKB66" s="122">
        <v>85</v>
      </c>
      <c r="JKC66" s="123">
        <v>215</v>
      </c>
      <c r="JKD66" s="123">
        <v>75</v>
      </c>
      <c r="JKE66" s="122">
        <v>150</v>
      </c>
      <c r="JKF66" s="124">
        <f>SUM(JKA66:JKE66)</f>
        <v>8675</v>
      </c>
      <c r="JKG66" s="122">
        <v>200</v>
      </c>
      <c r="JKH66" s="124">
        <f>SUM(JKF66:JKG66)</f>
        <v>8875</v>
      </c>
      <c r="JKI66" s="117" t="s">
        <v>99</v>
      </c>
      <c r="JKJ66" s="118">
        <v>45845</v>
      </c>
      <c r="JKK66" s="113" t="s">
        <v>39</v>
      </c>
      <c r="JKL66" s="169"/>
      <c r="JKM66" s="119" t="s">
        <v>92</v>
      </c>
      <c r="JKN66" s="167"/>
      <c r="JKO66" s="168"/>
      <c r="JKP66" s="113" t="s">
        <v>22</v>
      </c>
      <c r="JKQ66" s="114">
        <v>8150</v>
      </c>
      <c r="JKR66" s="122">
        <v>85</v>
      </c>
      <c r="JKS66" s="123">
        <v>215</v>
      </c>
      <c r="JKT66" s="123">
        <v>75</v>
      </c>
      <c r="JKU66" s="122">
        <v>150</v>
      </c>
      <c r="JKV66" s="124">
        <f>SUM(JKQ66:JKU66)</f>
        <v>8675</v>
      </c>
      <c r="JKW66" s="122">
        <v>200</v>
      </c>
      <c r="JKX66" s="124">
        <f>SUM(JKV66:JKW66)</f>
        <v>8875</v>
      </c>
      <c r="JKY66" s="117" t="s">
        <v>99</v>
      </c>
      <c r="JKZ66" s="118">
        <v>45845</v>
      </c>
      <c r="JLA66" s="113" t="s">
        <v>39</v>
      </c>
      <c r="JLB66" s="169"/>
      <c r="JLC66" s="119" t="s">
        <v>92</v>
      </c>
      <c r="JLD66" s="167"/>
      <c r="JLE66" s="168"/>
      <c r="JLF66" s="113" t="s">
        <v>22</v>
      </c>
      <c r="JLG66" s="114">
        <v>8150</v>
      </c>
      <c r="JLH66" s="122">
        <v>85</v>
      </c>
      <c r="JLI66" s="123">
        <v>215</v>
      </c>
      <c r="JLJ66" s="123">
        <v>75</v>
      </c>
      <c r="JLK66" s="122">
        <v>150</v>
      </c>
      <c r="JLL66" s="124">
        <f>SUM(JLG66:JLK66)</f>
        <v>8675</v>
      </c>
      <c r="JLM66" s="122">
        <v>200</v>
      </c>
      <c r="JLN66" s="124">
        <f>SUM(JLL66:JLM66)</f>
        <v>8875</v>
      </c>
      <c r="JLO66" s="117" t="s">
        <v>99</v>
      </c>
      <c r="JLP66" s="118">
        <v>45845</v>
      </c>
      <c r="JLQ66" s="113" t="s">
        <v>39</v>
      </c>
      <c r="JLR66" s="169"/>
      <c r="JLS66" s="119" t="s">
        <v>92</v>
      </c>
      <c r="JLT66" s="167"/>
      <c r="JLU66" s="168"/>
      <c r="JLV66" s="113" t="s">
        <v>22</v>
      </c>
      <c r="JLW66" s="114">
        <v>8150</v>
      </c>
      <c r="JLX66" s="122">
        <v>85</v>
      </c>
      <c r="JLY66" s="123">
        <v>215</v>
      </c>
      <c r="JLZ66" s="123">
        <v>75</v>
      </c>
      <c r="JMA66" s="122">
        <v>150</v>
      </c>
      <c r="JMB66" s="124">
        <f>SUM(JLW66:JMA66)</f>
        <v>8675</v>
      </c>
      <c r="JMC66" s="122">
        <v>200</v>
      </c>
      <c r="JMD66" s="124">
        <f>SUM(JMB66:JMC66)</f>
        <v>8875</v>
      </c>
      <c r="JME66" s="117" t="s">
        <v>99</v>
      </c>
      <c r="JMF66" s="118">
        <v>45845</v>
      </c>
      <c r="JMG66" s="113" t="s">
        <v>39</v>
      </c>
      <c r="JMH66" s="169"/>
      <c r="JMI66" s="119" t="s">
        <v>92</v>
      </c>
      <c r="JMJ66" s="167"/>
      <c r="JMK66" s="168"/>
      <c r="JML66" s="113" t="s">
        <v>22</v>
      </c>
      <c r="JMM66" s="114">
        <v>8150</v>
      </c>
      <c r="JMN66" s="122">
        <v>85</v>
      </c>
      <c r="JMO66" s="123">
        <v>215</v>
      </c>
      <c r="JMP66" s="123">
        <v>75</v>
      </c>
      <c r="JMQ66" s="122">
        <v>150</v>
      </c>
      <c r="JMR66" s="124">
        <f>SUM(JMM66:JMQ66)</f>
        <v>8675</v>
      </c>
      <c r="JMS66" s="122">
        <v>200</v>
      </c>
      <c r="JMT66" s="124">
        <f>SUM(JMR66:JMS66)</f>
        <v>8875</v>
      </c>
      <c r="JMU66" s="117" t="s">
        <v>99</v>
      </c>
      <c r="JMV66" s="118">
        <v>45845</v>
      </c>
      <c r="JMW66" s="113" t="s">
        <v>39</v>
      </c>
      <c r="JMX66" s="169"/>
      <c r="JMY66" s="119" t="s">
        <v>92</v>
      </c>
      <c r="JMZ66" s="167"/>
      <c r="JNA66" s="168"/>
      <c r="JNB66" s="113" t="s">
        <v>22</v>
      </c>
      <c r="JNC66" s="114">
        <v>8150</v>
      </c>
      <c r="JND66" s="122">
        <v>85</v>
      </c>
      <c r="JNE66" s="123">
        <v>215</v>
      </c>
      <c r="JNF66" s="123">
        <v>75</v>
      </c>
      <c r="JNG66" s="122">
        <v>150</v>
      </c>
      <c r="JNH66" s="124">
        <f>SUM(JNC66:JNG66)</f>
        <v>8675</v>
      </c>
      <c r="JNI66" s="122">
        <v>200</v>
      </c>
      <c r="JNJ66" s="124">
        <f>SUM(JNH66:JNI66)</f>
        <v>8875</v>
      </c>
      <c r="JNK66" s="117" t="s">
        <v>99</v>
      </c>
      <c r="JNL66" s="118">
        <v>45845</v>
      </c>
      <c r="JNM66" s="113" t="s">
        <v>39</v>
      </c>
      <c r="JNN66" s="169"/>
      <c r="JNO66" s="119" t="s">
        <v>92</v>
      </c>
      <c r="JNP66" s="167"/>
      <c r="JNQ66" s="168"/>
      <c r="JNR66" s="113" t="s">
        <v>22</v>
      </c>
      <c r="JNS66" s="114">
        <v>8150</v>
      </c>
      <c r="JNT66" s="122">
        <v>85</v>
      </c>
      <c r="JNU66" s="123">
        <v>215</v>
      </c>
      <c r="JNV66" s="123">
        <v>75</v>
      </c>
      <c r="JNW66" s="122">
        <v>150</v>
      </c>
      <c r="JNX66" s="124">
        <f>SUM(JNS66:JNW66)</f>
        <v>8675</v>
      </c>
      <c r="JNY66" s="122">
        <v>200</v>
      </c>
      <c r="JNZ66" s="124">
        <f>SUM(JNX66:JNY66)</f>
        <v>8875</v>
      </c>
      <c r="JOA66" s="117" t="s">
        <v>99</v>
      </c>
      <c r="JOB66" s="118">
        <v>45845</v>
      </c>
      <c r="JOC66" s="113" t="s">
        <v>39</v>
      </c>
      <c r="JOD66" s="169"/>
      <c r="JOE66" s="119" t="s">
        <v>92</v>
      </c>
      <c r="JOF66" s="167"/>
      <c r="JOG66" s="168"/>
      <c r="JOH66" s="113" t="s">
        <v>22</v>
      </c>
      <c r="JOI66" s="114">
        <v>8150</v>
      </c>
      <c r="JOJ66" s="122">
        <v>85</v>
      </c>
      <c r="JOK66" s="123">
        <v>215</v>
      </c>
      <c r="JOL66" s="123">
        <v>75</v>
      </c>
      <c r="JOM66" s="122">
        <v>150</v>
      </c>
      <c r="JON66" s="124">
        <f>SUM(JOI66:JOM66)</f>
        <v>8675</v>
      </c>
      <c r="JOO66" s="122">
        <v>200</v>
      </c>
      <c r="JOP66" s="124">
        <f>SUM(JON66:JOO66)</f>
        <v>8875</v>
      </c>
      <c r="JOQ66" s="117" t="s">
        <v>99</v>
      </c>
      <c r="JOR66" s="118">
        <v>45845</v>
      </c>
      <c r="JOS66" s="113" t="s">
        <v>39</v>
      </c>
      <c r="JOT66" s="169"/>
      <c r="JOU66" s="119" t="s">
        <v>92</v>
      </c>
      <c r="JOV66" s="167"/>
      <c r="JOW66" s="168"/>
      <c r="JOX66" s="113" t="s">
        <v>22</v>
      </c>
      <c r="JOY66" s="114">
        <v>8150</v>
      </c>
      <c r="JOZ66" s="122">
        <v>85</v>
      </c>
      <c r="JPA66" s="123">
        <v>215</v>
      </c>
      <c r="JPB66" s="123">
        <v>75</v>
      </c>
      <c r="JPC66" s="122">
        <v>150</v>
      </c>
      <c r="JPD66" s="124">
        <f>SUM(JOY66:JPC66)</f>
        <v>8675</v>
      </c>
      <c r="JPE66" s="122">
        <v>200</v>
      </c>
      <c r="JPF66" s="124">
        <f>SUM(JPD66:JPE66)</f>
        <v>8875</v>
      </c>
      <c r="JPG66" s="117" t="s">
        <v>99</v>
      </c>
      <c r="JPH66" s="118">
        <v>45845</v>
      </c>
      <c r="JPI66" s="113" t="s">
        <v>39</v>
      </c>
      <c r="JPJ66" s="169"/>
      <c r="JPK66" s="119" t="s">
        <v>92</v>
      </c>
      <c r="JPL66" s="167"/>
      <c r="JPM66" s="168"/>
      <c r="JPN66" s="113" t="s">
        <v>22</v>
      </c>
      <c r="JPO66" s="114">
        <v>8150</v>
      </c>
      <c r="JPP66" s="122">
        <v>85</v>
      </c>
      <c r="JPQ66" s="123">
        <v>215</v>
      </c>
      <c r="JPR66" s="123">
        <v>75</v>
      </c>
      <c r="JPS66" s="122">
        <v>150</v>
      </c>
      <c r="JPT66" s="124">
        <f>SUM(JPO66:JPS66)</f>
        <v>8675</v>
      </c>
      <c r="JPU66" s="122">
        <v>200</v>
      </c>
      <c r="JPV66" s="124">
        <f>SUM(JPT66:JPU66)</f>
        <v>8875</v>
      </c>
      <c r="JPW66" s="117" t="s">
        <v>99</v>
      </c>
      <c r="JPX66" s="118">
        <v>45845</v>
      </c>
      <c r="JPY66" s="113" t="s">
        <v>39</v>
      </c>
      <c r="JPZ66" s="169"/>
      <c r="JQA66" s="119" t="s">
        <v>92</v>
      </c>
      <c r="JQB66" s="167"/>
      <c r="JQC66" s="168"/>
      <c r="JQD66" s="113" t="s">
        <v>22</v>
      </c>
      <c r="JQE66" s="114">
        <v>8150</v>
      </c>
      <c r="JQF66" s="122">
        <v>85</v>
      </c>
      <c r="JQG66" s="123">
        <v>215</v>
      </c>
      <c r="JQH66" s="123">
        <v>75</v>
      </c>
      <c r="JQI66" s="122">
        <v>150</v>
      </c>
      <c r="JQJ66" s="124">
        <f>SUM(JQE66:JQI66)</f>
        <v>8675</v>
      </c>
      <c r="JQK66" s="122">
        <v>200</v>
      </c>
      <c r="JQL66" s="124">
        <f>SUM(JQJ66:JQK66)</f>
        <v>8875</v>
      </c>
      <c r="JQM66" s="117" t="s">
        <v>99</v>
      </c>
      <c r="JQN66" s="118">
        <v>45845</v>
      </c>
      <c r="JQO66" s="113" t="s">
        <v>39</v>
      </c>
      <c r="JQP66" s="169"/>
      <c r="JQQ66" s="119" t="s">
        <v>92</v>
      </c>
      <c r="JQR66" s="167"/>
      <c r="JQS66" s="168"/>
      <c r="JQT66" s="113" t="s">
        <v>22</v>
      </c>
      <c r="JQU66" s="114">
        <v>8150</v>
      </c>
      <c r="JQV66" s="122">
        <v>85</v>
      </c>
      <c r="JQW66" s="123">
        <v>215</v>
      </c>
      <c r="JQX66" s="123">
        <v>75</v>
      </c>
      <c r="JQY66" s="122">
        <v>150</v>
      </c>
      <c r="JQZ66" s="124">
        <f>SUM(JQU66:JQY66)</f>
        <v>8675</v>
      </c>
      <c r="JRA66" s="122">
        <v>200</v>
      </c>
      <c r="JRB66" s="124">
        <f>SUM(JQZ66:JRA66)</f>
        <v>8875</v>
      </c>
      <c r="JRC66" s="117" t="s">
        <v>99</v>
      </c>
      <c r="JRD66" s="118">
        <v>45845</v>
      </c>
      <c r="JRE66" s="113" t="s">
        <v>39</v>
      </c>
      <c r="JRF66" s="169"/>
      <c r="JRG66" s="119" t="s">
        <v>92</v>
      </c>
      <c r="JRH66" s="167"/>
      <c r="JRI66" s="168"/>
      <c r="JRJ66" s="113" t="s">
        <v>22</v>
      </c>
      <c r="JRK66" s="114">
        <v>8150</v>
      </c>
      <c r="JRL66" s="122">
        <v>85</v>
      </c>
      <c r="JRM66" s="123">
        <v>215</v>
      </c>
      <c r="JRN66" s="123">
        <v>75</v>
      </c>
      <c r="JRO66" s="122">
        <v>150</v>
      </c>
      <c r="JRP66" s="124">
        <f>SUM(JRK66:JRO66)</f>
        <v>8675</v>
      </c>
      <c r="JRQ66" s="122">
        <v>200</v>
      </c>
      <c r="JRR66" s="124">
        <f>SUM(JRP66:JRQ66)</f>
        <v>8875</v>
      </c>
      <c r="JRS66" s="117" t="s">
        <v>99</v>
      </c>
      <c r="JRT66" s="118">
        <v>45845</v>
      </c>
      <c r="JRU66" s="113" t="s">
        <v>39</v>
      </c>
      <c r="JRV66" s="169"/>
      <c r="JRW66" s="119" t="s">
        <v>92</v>
      </c>
      <c r="JRX66" s="167"/>
      <c r="JRY66" s="168"/>
      <c r="JRZ66" s="113" t="s">
        <v>22</v>
      </c>
      <c r="JSA66" s="114">
        <v>8150</v>
      </c>
      <c r="JSB66" s="122">
        <v>85</v>
      </c>
      <c r="JSC66" s="123">
        <v>215</v>
      </c>
      <c r="JSD66" s="123">
        <v>75</v>
      </c>
      <c r="JSE66" s="122">
        <v>150</v>
      </c>
      <c r="JSF66" s="124">
        <f>SUM(JSA66:JSE66)</f>
        <v>8675</v>
      </c>
      <c r="JSG66" s="122">
        <v>200</v>
      </c>
      <c r="JSH66" s="124">
        <f>SUM(JSF66:JSG66)</f>
        <v>8875</v>
      </c>
      <c r="JSI66" s="117" t="s">
        <v>99</v>
      </c>
      <c r="JSJ66" s="118">
        <v>45845</v>
      </c>
      <c r="JSK66" s="113" t="s">
        <v>39</v>
      </c>
      <c r="JSL66" s="169"/>
      <c r="JSM66" s="119" t="s">
        <v>92</v>
      </c>
      <c r="JSN66" s="167"/>
      <c r="JSO66" s="168"/>
      <c r="JSP66" s="113" t="s">
        <v>22</v>
      </c>
      <c r="JSQ66" s="114">
        <v>8150</v>
      </c>
      <c r="JSR66" s="122">
        <v>85</v>
      </c>
      <c r="JSS66" s="123">
        <v>215</v>
      </c>
      <c r="JST66" s="123">
        <v>75</v>
      </c>
      <c r="JSU66" s="122">
        <v>150</v>
      </c>
      <c r="JSV66" s="124">
        <f>SUM(JSQ66:JSU66)</f>
        <v>8675</v>
      </c>
      <c r="JSW66" s="122">
        <v>200</v>
      </c>
      <c r="JSX66" s="124">
        <f>SUM(JSV66:JSW66)</f>
        <v>8875</v>
      </c>
      <c r="JSY66" s="117" t="s">
        <v>99</v>
      </c>
      <c r="JSZ66" s="118">
        <v>45845</v>
      </c>
      <c r="JTA66" s="113" t="s">
        <v>39</v>
      </c>
      <c r="JTB66" s="169"/>
      <c r="JTC66" s="119" t="s">
        <v>92</v>
      </c>
      <c r="JTD66" s="167"/>
      <c r="JTE66" s="168"/>
      <c r="JTF66" s="113" t="s">
        <v>22</v>
      </c>
      <c r="JTG66" s="114">
        <v>8150</v>
      </c>
      <c r="JTH66" s="122">
        <v>85</v>
      </c>
      <c r="JTI66" s="123">
        <v>215</v>
      </c>
      <c r="JTJ66" s="123">
        <v>75</v>
      </c>
      <c r="JTK66" s="122">
        <v>150</v>
      </c>
      <c r="JTL66" s="124">
        <f>SUM(JTG66:JTK66)</f>
        <v>8675</v>
      </c>
      <c r="JTM66" s="122">
        <v>200</v>
      </c>
      <c r="JTN66" s="124">
        <f>SUM(JTL66:JTM66)</f>
        <v>8875</v>
      </c>
      <c r="JTO66" s="117" t="s">
        <v>99</v>
      </c>
      <c r="JTP66" s="118">
        <v>45845</v>
      </c>
      <c r="JTQ66" s="113" t="s">
        <v>39</v>
      </c>
      <c r="JTR66" s="169"/>
      <c r="JTS66" s="119" t="s">
        <v>92</v>
      </c>
      <c r="JTT66" s="167"/>
      <c r="JTU66" s="168"/>
      <c r="JTV66" s="113" t="s">
        <v>22</v>
      </c>
      <c r="JTW66" s="114">
        <v>8150</v>
      </c>
      <c r="JTX66" s="122">
        <v>85</v>
      </c>
      <c r="JTY66" s="123">
        <v>215</v>
      </c>
      <c r="JTZ66" s="123">
        <v>75</v>
      </c>
      <c r="JUA66" s="122">
        <v>150</v>
      </c>
      <c r="JUB66" s="124">
        <f>SUM(JTW66:JUA66)</f>
        <v>8675</v>
      </c>
      <c r="JUC66" s="122">
        <v>200</v>
      </c>
      <c r="JUD66" s="124">
        <f>SUM(JUB66:JUC66)</f>
        <v>8875</v>
      </c>
      <c r="JUE66" s="117" t="s">
        <v>99</v>
      </c>
      <c r="JUF66" s="118">
        <v>45845</v>
      </c>
      <c r="JUG66" s="113" t="s">
        <v>39</v>
      </c>
      <c r="JUH66" s="169"/>
      <c r="JUI66" s="119" t="s">
        <v>92</v>
      </c>
      <c r="JUJ66" s="167"/>
      <c r="JUK66" s="168"/>
      <c r="JUL66" s="113" t="s">
        <v>22</v>
      </c>
      <c r="JUM66" s="114">
        <v>8150</v>
      </c>
      <c r="JUN66" s="122">
        <v>85</v>
      </c>
      <c r="JUO66" s="123">
        <v>215</v>
      </c>
      <c r="JUP66" s="123">
        <v>75</v>
      </c>
      <c r="JUQ66" s="122">
        <v>150</v>
      </c>
      <c r="JUR66" s="124">
        <f>SUM(JUM66:JUQ66)</f>
        <v>8675</v>
      </c>
      <c r="JUS66" s="122">
        <v>200</v>
      </c>
      <c r="JUT66" s="124">
        <f>SUM(JUR66:JUS66)</f>
        <v>8875</v>
      </c>
      <c r="JUU66" s="117" t="s">
        <v>99</v>
      </c>
      <c r="JUV66" s="118">
        <v>45845</v>
      </c>
      <c r="JUW66" s="113" t="s">
        <v>39</v>
      </c>
      <c r="JUX66" s="169"/>
      <c r="JUY66" s="119" t="s">
        <v>92</v>
      </c>
      <c r="JUZ66" s="167"/>
      <c r="JVA66" s="168"/>
      <c r="JVB66" s="113" t="s">
        <v>22</v>
      </c>
      <c r="JVC66" s="114">
        <v>8150</v>
      </c>
      <c r="JVD66" s="122">
        <v>85</v>
      </c>
      <c r="JVE66" s="123">
        <v>215</v>
      </c>
      <c r="JVF66" s="123">
        <v>75</v>
      </c>
      <c r="JVG66" s="122">
        <v>150</v>
      </c>
      <c r="JVH66" s="124">
        <f>SUM(JVC66:JVG66)</f>
        <v>8675</v>
      </c>
      <c r="JVI66" s="122">
        <v>200</v>
      </c>
      <c r="JVJ66" s="124">
        <f>SUM(JVH66:JVI66)</f>
        <v>8875</v>
      </c>
      <c r="JVK66" s="117" t="s">
        <v>99</v>
      </c>
      <c r="JVL66" s="118">
        <v>45845</v>
      </c>
      <c r="JVM66" s="113" t="s">
        <v>39</v>
      </c>
      <c r="JVN66" s="169"/>
      <c r="JVO66" s="119" t="s">
        <v>92</v>
      </c>
      <c r="JVP66" s="167"/>
      <c r="JVQ66" s="168"/>
      <c r="JVR66" s="113" t="s">
        <v>22</v>
      </c>
      <c r="JVS66" s="114">
        <v>8150</v>
      </c>
      <c r="JVT66" s="122">
        <v>85</v>
      </c>
      <c r="JVU66" s="123">
        <v>215</v>
      </c>
      <c r="JVV66" s="123">
        <v>75</v>
      </c>
      <c r="JVW66" s="122">
        <v>150</v>
      </c>
      <c r="JVX66" s="124">
        <f>SUM(JVS66:JVW66)</f>
        <v>8675</v>
      </c>
      <c r="JVY66" s="122">
        <v>200</v>
      </c>
      <c r="JVZ66" s="124">
        <f>SUM(JVX66:JVY66)</f>
        <v>8875</v>
      </c>
      <c r="JWA66" s="117" t="s">
        <v>99</v>
      </c>
      <c r="JWB66" s="118">
        <v>45845</v>
      </c>
      <c r="JWC66" s="113" t="s">
        <v>39</v>
      </c>
      <c r="JWD66" s="169"/>
      <c r="JWE66" s="119" t="s">
        <v>92</v>
      </c>
      <c r="JWF66" s="167"/>
      <c r="JWG66" s="168"/>
      <c r="JWH66" s="113" t="s">
        <v>22</v>
      </c>
      <c r="JWI66" s="114">
        <v>8150</v>
      </c>
      <c r="JWJ66" s="122">
        <v>85</v>
      </c>
      <c r="JWK66" s="123">
        <v>215</v>
      </c>
      <c r="JWL66" s="123">
        <v>75</v>
      </c>
      <c r="JWM66" s="122">
        <v>150</v>
      </c>
      <c r="JWN66" s="124">
        <f>SUM(JWI66:JWM66)</f>
        <v>8675</v>
      </c>
      <c r="JWO66" s="122">
        <v>200</v>
      </c>
      <c r="JWP66" s="124">
        <f>SUM(JWN66:JWO66)</f>
        <v>8875</v>
      </c>
      <c r="JWQ66" s="117" t="s">
        <v>99</v>
      </c>
      <c r="JWR66" s="118">
        <v>45845</v>
      </c>
      <c r="JWS66" s="113" t="s">
        <v>39</v>
      </c>
      <c r="JWT66" s="169"/>
      <c r="JWU66" s="119" t="s">
        <v>92</v>
      </c>
      <c r="JWV66" s="167"/>
      <c r="JWW66" s="168"/>
      <c r="JWX66" s="113" t="s">
        <v>22</v>
      </c>
      <c r="JWY66" s="114">
        <v>8150</v>
      </c>
      <c r="JWZ66" s="122">
        <v>85</v>
      </c>
      <c r="JXA66" s="123">
        <v>215</v>
      </c>
      <c r="JXB66" s="123">
        <v>75</v>
      </c>
      <c r="JXC66" s="122">
        <v>150</v>
      </c>
      <c r="JXD66" s="124">
        <f>SUM(JWY66:JXC66)</f>
        <v>8675</v>
      </c>
      <c r="JXE66" s="122">
        <v>200</v>
      </c>
      <c r="JXF66" s="124">
        <f>SUM(JXD66:JXE66)</f>
        <v>8875</v>
      </c>
      <c r="JXG66" s="117" t="s">
        <v>99</v>
      </c>
      <c r="JXH66" s="118">
        <v>45845</v>
      </c>
      <c r="JXI66" s="113" t="s">
        <v>39</v>
      </c>
      <c r="JXJ66" s="169"/>
      <c r="JXK66" s="119" t="s">
        <v>92</v>
      </c>
      <c r="JXL66" s="167"/>
      <c r="JXM66" s="168"/>
      <c r="JXN66" s="113" t="s">
        <v>22</v>
      </c>
      <c r="JXO66" s="114">
        <v>8150</v>
      </c>
      <c r="JXP66" s="122">
        <v>85</v>
      </c>
      <c r="JXQ66" s="123">
        <v>215</v>
      </c>
      <c r="JXR66" s="123">
        <v>75</v>
      </c>
      <c r="JXS66" s="122">
        <v>150</v>
      </c>
      <c r="JXT66" s="124">
        <f>SUM(JXO66:JXS66)</f>
        <v>8675</v>
      </c>
      <c r="JXU66" s="122">
        <v>200</v>
      </c>
      <c r="JXV66" s="124">
        <f>SUM(JXT66:JXU66)</f>
        <v>8875</v>
      </c>
      <c r="JXW66" s="117" t="s">
        <v>99</v>
      </c>
      <c r="JXX66" s="118">
        <v>45845</v>
      </c>
      <c r="JXY66" s="113" t="s">
        <v>39</v>
      </c>
      <c r="JXZ66" s="169"/>
      <c r="JYA66" s="119" t="s">
        <v>92</v>
      </c>
      <c r="JYB66" s="167"/>
      <c r="JYC66" s="168"/>
      <c r="JYD66" s="113" t="s">
        <v>22</v>
      </c>
      <c r="JYE66" s="114">
        <v>8150</v>
      </c>
      <c r="JYF66" s="122">
        <v>85</v>
      </c>
      <c r="JYG66" s="123">
        <v>215</v>
      </c>
      <c r="JYH66" s="123">
        <v>75</v>
      </c>
      <c r="JYI66" s="122">
        <v>150</v>
      </c>
      <c r="JYJ66" s="124">
        <f>SUM(JYE66:JYI66)</f>
        <v>8675</v>
      </c>
      <c r="JYK66" s="122">
        <v>200</v>
      </c>
      <c r="JYL66" s="124">
        <f>SUM(JYJ66:JYK66)</f>
        <v>8875</v>
      </c>
      <c r="JYM66" s="117" t="s">
        <v>99</v>
      </c>
      <c r="JYN66" s="118">
        <v>45845</v>
      </c>
      <c r="JYO66" s="113" t="s">
        <v>39</v>
      </c>
      <c r="JYP66" s="169"/>
      <c r="JYQ66" s="119" t="s">
        <v>92</v>
      </c>
      <c r="JYR66" s="167"/>
      <c r="JYS66" s="168"/>
      <c r="JYT66" s="113" t="s">
        <v>22</v>
      </c>
      <c r="JYU66" s="114">
        <v>8150</v>
      </c>
      <c r="JYV66" s="122">
        <v>85</v>
      </c>
      <c r="JYW66" s="123">
        <v>215</v>
      </c>
      <c r="JYX66" s="123">
        <v>75</v>
      </c>
      <c r="JYY66" s="122">
        <v>150</v>
      </c>
      <c r="JYZ66" s="124">
        <f>SUM(JYU66:JYY66)</f>
        <v>8675</v>
      </c>
      <c r="JZA66" s="122">
        <v>200</v>
      </c>
      <c r="JZB66" s="124">
        <f>SUM(JYZ66:JZA66)</f>
        <v>8875</v>
      </c>
      <c r="JZC66" s="117" t="s">
        <v>99</v>
      </c>
      <c r="JZD66" s="118">
        <v>45845</v>
      </c>
      <c r="JZE66" s="113" t="s">
        <v>39</v>
      </c>
      <c r="JZF66" s="169"/>
      <c r="JZG66" s="119" t="s">
        <v>92</v>
      </c>
      <c r="JZH66" s="167"/>
      <c r="JZI66" s="168"/>
      <c r="JZJ66" s="113" t="s">
        <v>22</v>
      </c>
      <c r="JZK66" s="114">
        <v>8150</v>
      </c>
      <c r="JZL66" s="122">
        <v>85</v>
      </c>
      <c r="JZM66" s="123">
        <v>215</v>
      </c>
      <c r="JZN66" s="123">
        <v>75</v>
      </c>
      <c r="JZO66" s="122">
        <v>150</v>
      </c>
      <c r="JZP66" s="124">
        <f>SUM(JZK66:JZO66)</f>
        <v>8675</v>
      </c>
      <c r="JZQ66" s="122">
        <v>200</v>
      </c>
      <c r="JZR66" s="124">
        <f>SUM(JZP66:JZQ66)</f>
        <v>8875</v>
      </c>
      <c r="JZS66" s="117" t="s">
        <v>99</v>
      </c>
      <c r="JZT66" s="118">
        <v>45845</v>
      </c>
      <c r="JZU66" s="113" t="s">
        <v>39</v>
      </c>
      <c r="JZV66" s="169"/>
      <c r="JZW66" s="119" t="s">
        <v>92</v>
      </c>
      <c r="JZX66" s="167"/>
      <c r="JZY66" s="168"/>
      <c r="JZZ66" s="113" t="s">
        <v>22</v>
      </c>
      <c r="KAA66" s="114">
        <v>8150</v>
      </c>
      <c r="KAB66" s="122">
        <v>85</v>
      </c>
      <c r="KAC66" s="123">
        <v>215</v>
      </c>
      <c r="KAD66" s="123">
        <v>75</v>
      </c>
      <c r="KAE66" s="122">
        <v>150</v>
      </c>
      <c r="KAF66" s="124">
        <f>SUM(KAA66:KAE66)</f>
        <v>8675</v>
      </c>
      <c r="KAG66" s="122">
        <v>200</v>
      </c>
      <c r="KAH66" s="124">
        <f>SUM(KAF66:KAG66)</f>
        <v>8875</v>
      </c>
      <c r="KAI66" s="117" t="s">
        <v>99</v>
      </c>
      <c r="KAJ66" s="118">
        <v>45845</v>
      </c>
      <c r="KAK66" s="113" t="s">
        <v>39</v>
      </c>
      <c r="KAL66" s="169"/>
      <c r="KAM66" s="119" t="s">
        <v>92</v>
      </c>
      <c r="KAN66" s="167"/>
      <c r="KAO66" s="168"/>
      <c r="KAP66" s="113" t="s">
        <v>22</v>
      </c>
      <c r="KAQ66" s="114">
        <v>8150</v>
      </c>
      <c r="KAR66" s="122">
        <v>85</v>
      </c>
      <c r="KAS66" s="123">
        <v>215</v>
      </c>
      <c r="KAT66" s="123">
        <v>75</v>
      </c>
      <c r="KAU66" s="122">
        <v>150</v>
      </c>
      <c r="KAV66" s="124">
        <f>SUM(KAQ66:KAU66)</f>
        <v>8675</v>
      </c>
      <c r="KAW66" s="122">
        <v>200</v>
      </c>
      <c r="KAX66" s="124">
        <f>SUM(KAV66:KAW66)</f>
        <v>8875</v>
      </c>
      <c r="KAY66" s="117" t="s">
        <v>99</v>
      </c>
      <c r="KAZ66" s="118">
        <v>45845</v>
      </c>
      <c r="KBA66" s="113" t="s">
        <v>39</v>
      </c>
      <c r="KBB66" s="169"/>
      <c r="KBC66" s="119" t="s">
        <v>92</v>
      </c>
      <c r="KBD66" s="167"/>
      <c r="KBE66" s="168"/>
      <c r="KBF66" s="113" t="s">
        <v>22</v>
      </c>
      <c r="KBG66" s="114">
        <v>8150</v>
      </c>
      <c r="KBH66" s="122">
        <v>85</v>
      </c>
      <c r="KBI66" s="123">
        <v>215</v>
      </c>
      <c r="KBJ66" s="123">
        <v>75</v>
      </c>
      <c r="KBK66" s="122">
        <v>150</v>
      </c>
      <c r="KBL66" s="124">
        <f>SUM(KBG66:KBK66)</f>
        <v>8675</v>
      </c>
      <c r="KBM66" s="122">
        <v>200</v>
      </c>
      <c r="KBN66" s="124">
        <f>SUM(KBL66:KBM66)</f>
        <v>8875</v>
      </c>
      <c r="KBO66" s="117" t="s">
        <v>99</v>
      </c>
      <c r="KBP66" s="118">
        <v>45845</v>
      </c>
      <c r="KBQ66" s="113" t="s">
        <v>39</v>
      </c>
      <c r="KBR66" s="169"/>
      <c r="KBS66" s="119" t="s">
        <v>92</v>
      </c>
      <c r="KBT66" s="167"/>
      <c r="KBU66" s="168"/>
      <c r="KBV66" s="113" t="s">
        <v>22</v>
      </c>
      <c r="KBW66" s="114">
        <v>8150</v>
      </c>
      <c r="KBX66" s="122">
        <v>85</v>
      </c>
      <c r="KBY66" s="123">
        <v>215</v>
      </c>
      <c r="KBZ66" s="123">
        <v>75</v>
      </c>
      <c r="KCA66" s="122">
        <v>150</v>
      </c>
      <c r="KCB66" s="124">
        <f>SUM(KBW66:KCA66)</f>
        <v>8675</v>
      </c>
      <c r="KCC66" s="122">
        <v>200</v>
      </c>
      <c r="KCD66" s="124">
        <f>SUM(KCB66:KCC66)</f>
        <v>8875</v>
      </c>
      <c r="KCE66" s="117" t="s">
        <v>99</v>
      </c>
      <c r="KCF66" s="118">
        <v>45845</v>
      </c>
      <c r="KCG66" s="113" t="s">
        <v>39</v>
      </c>
      <c r="KCH66" s="169"/>
      <c r="KCI66" s="119" t="s">
        <v>92</v>
      </c>
      <c r="KCJ66" s="167"/>
      <c r="KCK66" s="168"/>
      <c r="KCL66" s="113" t="s">
        <v>22</v>
      </c>
      <c r="KCM66" s="114">
        <v>8150</v>
      </c>
      <c r="KCN66" s="122">
        <v>85</v>
      </c>
      <c r="KCO66" s="123">
        <v>215</v>
      </c>
      <c r="KCP66" s="123">
        <v>75</v>
      </c>
      <c r="KCQ66" s="122">
        <v>150</v>
      </c>
      <c r="KCR66" s="124">
        <f>SUM(KCM66:KCQ66)</f>
        <v>8675</v>
      </c>
      <c r="KCS66" s="122">
        <v>200</v>
      </c>
      <c r="KCT66" s="124">
        <f>SUM(KCR66:KCS66)</f>
        <v>8875</v>
      </c>
      <c r="KCU66" s="117" t="s">
        <v>99</v>
      </c>
      <c r="KCV66" s="118">
        <v>45845</v>
      </c>
      <c r="KCW66" s="113" t="s">
        <v>39</v>
      </c>
      <c r="KCX66" s="169"/>
      <c r="KCY66" s="119" t="s">
        <v>92</v>
      </c>
      <c r="KCZ66" s="167"/>
      <c r="KDA66" s="168"/>
      <c r="KDB66" s="113" t="s">
        <v>22</v>
      </c>
      <c r="KDC66" s="114">
        <v>8150</v>
      </c>
      <c r="KDD66" s="122">
        <v>85</v>
      </c>
      <c r="KDE66" s="123">
        <v>215</v>
      </c>
      <c r="KDF66" s="123">
        <v>75</v>
      </c>
      <c r="KDG66" s="122">
        <v>150</v>
      </c>
      <c r="KDH66" s="124">
        <f>SUM(KDC66:KDG66)</f>
        <v>8675</v>
      </c>
      <c r="KDI66" s="122">
        <v>200</v>
      </c>
      <c r="KDJ66" s="124">
        <f>SUM(KDH66:KDI66)</f>
        <v>8875</v>
      </c>
      <c r="KDK66" s="117" t="s">
        <v>99</v>
      </c>
      <c r="KDL66" s="118">
        <v>45845</v>
      </c>
      <c r="KDM66" s="113" t="s">
        <v>39</v>
      </c>
      <c r="KDN66" s="169"/>
      <c r="KDO66" s="119" t="s">
        <v>92</v>
      </c>
      <c r="KDP66" s="167"/>
      <c r="KDQ66" s="168"/>
      <c r="KDR66" s="113" t="s">
        <v>22</v>
      </c>
      <c r="KDS66" s="114">
        <v>8150</v>
      </c>
      <c r="KDT66" s="122">
        <v>85</v>
      </c>
      <c r="KDU66" s="123">
        <v>215</v>
      </c>
      <c r="KDV66" s="123">
        <v>75</v>
      </c>
      <c r="KDW66" s="122">
        <v>150</v>
      </c>
      <c r="KDX66" s="124">
        <f>SUM(KDS66:KDW66)</f>
        <v>8675</v>
      </c>
      <c r="KDY66" s="122">
        <v>200</v>
      </c>
      <c r="KDZ66" s="124">
        <f>SUM(KDX66:KDY66)</f>
        <v>8875</v>
      </c>
      <c r="KEA66" s="117" t="s">
        <v>99</v>
      </c>
      <c r="KEB66" s="118">
        <v>45845</v>
      </c>
      <c r="KEC66" s="113" t="s">
        <v>39</v>
      </c>
      <c r="KED66" s="169"/>
      <c r="KEE66" s="119" t="s">
        <v>92</v>
      </c>
      <c r="KEF66" s="167"/>
      <c r="KEG66" s="168"/>
      <c r="KEH66" s="113" t="s">
        <v>22</v>
      </c>
      <c r="KEI66" s="114">
        <v>8150</v>
      </c>
      <c r="KEJ66" s="122">
        <v>85</v>
      </c>
      <c r="KEK66" s="123">
        <v>215</v>
      </c>
      <c r="KEL66" s="123">
        <v>75</v>
      </c>
      <c r="KEM66" s="122">
        <v>150</v>
      </c>
      <c r="KEN66" s="124">
        <f>SUM(KEI66:KEM66)</f>
        <v>8675</v>
      </c>
      <c r="KEO66" s="122">
        <v>200</v>
      </c>
      <c r="KEP66" s="124">
        <f>SUM(KEN66:KEO66)</f>
        <v>8875</v>
      </c>
      <c r="KEQ66" s="117" t="s">
        <v>99</v>
      </c>
      <c r="KER66" s="118">
        <v>45845</v>
      </c>
      <c r="KES66" s="113" t="s">
        <v>39</v>
      </c>
      <c r="KET66" s="169"/>
      <c r="KEU66" s="119" t="s">
        <v>92</v>
      </c>
      <c r="KEV66" s="167"/>
      <c r="KEW66" s="168"/>
      <c r="KEX66" s="113" t="s">
        <v>22</v>
      </c>
      <c r="KEY66" s="114">
        <v>8150</v>
      </c>
      <c r="KEZ66" s="122">
        <v>85</v>
      </c>
      <c r="KFA66" s="123">
        <v>215</v>
      </c>
      <c r="KFB66" s="123">
        <v>75</v>
      </c>
      <c r="KFC66" s="122">
        <v>150</v>
      </c>
      <c r="KFD66" s="124">
        <f>SUM(KEY66:KFC66)</f>
        <v>8675</v>
      </c>
      <c r="KFE66" s="122">
        <v>200</v>
      </c>
      <c r="KFF66" s="124">
        <f>SUM(KFD66:KFE66)</f>
        <v>8875</v>
      </c>
      <c r="KFG66" s="117" t="s">
        <v>99</v>
      </c>
      <c r="KFH66" s="118">
        <v>45845</v>
      </c>
      <c r="KFI66" s="113" t="s">
        <v>39</v>
      </c>
      <c r="KFJ66" s="169"/>
      <c r="KFK66" s="119" t="s">
        <v>92</v>
      </c>
      <c r="KFL66" s="167"/>
      <c r="KFM66" s="168"/>
      <c r="KFN66" s="113" t="s">
        <v>22</v>
      </c>
      <c r="KFO66" s="114">
        <v>8150</v>
      </c>
      <c r="KFP66" s="122">
        <v>85</v>
      </c>
      <c r="KFQ66" s="123">
        <v>215</v>
      </c>
      <c r="KFR66" s="123">
        <v>75</v>
      </c>
      <c r="KFS66" s="122">
        <v>150</v>
      </c>
      <c r="KFT66" s="124">
        <f>SUM(KFO66:KFS66)</f>
        <v>8675</v>
      </c>
      <c r="KFU66" s="122">
        <v>200</v>
      </c>
      <c r="KFV66" s="124">
        <f>SUM(KFT66:KFU66)</f>
        <v>8875</v>
      </c>
      <c r="KFW66" s="117" t="s">
        <v>99</v>
      </c>
      <c r="KFX66" s="118">
        <v>45845</v>
      </c>
      <c r="KFY66" s="113" t="s">
        <v>39</v>
      </c>
      <c r="KFZ66" s="169"/>
      <c r="KGA66" s="119" t="s">
        <v>92</v>
      </c>
      <c r="KGB66" s="167"/>
      <c r="KGC66" s="168"/>
      <c r="KGD66" s="113" t="s">
        <v>22</v>
      </c>
      <c r="KGE66" s="114">
        <v>8150</v>
      </c>
      <c r="KGF66" s="122">
        <v>85</v>
      </c>
      <c r="KGG66" s="123">
        <v>215</v>
      </c>
      <c r="KGH66" s="123">
        <v>75</v>
      </c>
      <c r="KGI66" s="122">
        <v>150</v>
      </c>
      <c r="KGJ66" s="124">
        <f>SUM(KGE66:KGI66)</f>
        <v>8675</v>
      </c>
      <c r="KGK66" s="122">
        <v>200</v>
      </c>
      <c r="KGL66" s="124">
        <f>SUM(KGJ66:KGK66)</f>
        <v>8875</v>
      </c>
      <c r="KGM66" s="117" t="s">
        <v>99</v>
      </c>
      <c r="KGN66" s="118">
        <v>45845</v>
      </c>
      <c r="KGO66" s="113" t="s">
        <v>39</v>
      </c>
      <c r="KGP66" s="169"/>
      <c r="KGQ66" s="119" t="s">
        <v>92</v>
      </c>
      <c r="KGR66" s="167"/>
      <c r="KGS66" s="168"/>
      <c r="KGT66" s="113" t="s">
        <v>22</v>
      </c>
      <c r="KGU66" s="114">
        <v>8150</v>
      </c>
      <c r="KGV66" s="122">
        <v>85</v>
      </c>
      <c r="KGW66" s="123">
        <v>215</v>
      </c>
      <c r="KGX66" s="123">
        <v>75</v>
      </c>
      <c r="KGY66" s="122">
        <v>150</v>
      </c>
      <c r="KGZ66" s="124">
        <f>SUM(KGU66:KGY66)</f>
        <v>8675</v>
      </c>
      <c r="KHA66" s="122">
        <v>200</v>
      </c>
      <c r="KHB66" s="124">
        <f>SUM(KGZ66:KHA66)</f>
        <v>8875</v>
      </c>
      <c r="KHC66" s="117" t="s">
        <v>99</v>
      </c>
      <c r="KHD66" s="118">
        <v>45845</v>
      </c>
      <c r="KHE66" s="113" t="s">
        <v>39</v>
      </c>
      <c r="KHF66" s="169"/>
      <c r="KHG66" s="119" t="s">
        <v>92</v>
      </c>
      <c r="KHH66" s="167"/>
      <c r="KHI66" s="168"/>
      <c r="KHJ66" s="113" t="s">
        <v>22</v>
      </c>
      <c r="KHK66" s="114">
        <v>8150</v>
      </c>
      <c r="KHL66" s="122">
        <v>85</v>
      </c>
      <c r="KHM66" s="123">
        <v>215</v>
      </c>
      <c r="KHN66" s="123">
        <v>75</v>
      </c>
      <c r="KHO66" s="122">
        <v>150</v>
      </c>
      <c r="KHP66" s="124">
        <f>SUM(KHK66:KHO66)</f>
        <v>8675</v>
      </c>
      <c r="KHQ66" s="122">
        <v>200</v>
      </c>
      <c r="KHR66" s="124">
        <f>SUM(KHP66:KHQ66)</f>
        <v>8875</v>
      </c>
      <c r="KHS66" s="117" t="s">
        <v>99</v>
      </c>
      <c r="KHT66" s="118">
        <v>45845</v>
      </c>
      <c r="KHU66" s="113" t="s">
        <v>39</v>
      </c>
      <c r="KHV66" s="169"/>
      <c r="KHW66" s="119" t="s">
        <v>92</v>
      </c>
      <c r="KHX66" s="167"/>
      <c r="KHY66" s="168"/>
      <c r="KHZ66" s="113" t="s">
        <v>22</v>
      </c>
      <c r="KIA66" s="114">
        <v>8150</v>
      </c>
      <c r="KIB66" s="122">
        <v>85</v>
      </c>
      <c r="KIC66" s="123">
        <v>215</v>
      </c>
      <c r="KID66" s="123">
        <v>75</v>
      </c>
      <c r="KIE66" s="122">
        <v>150</v>
      </c>
      <c r="KIF66" s="124">
        <f>SUM(KIA66:KIE66)</f>
        <v>8675</v>
      </c>
      <c r="KIG66" s="122">
        <v>200</v>
      </c>
      <c r="KIH66" s="124">
        <f>SUM(KIF66:KIG66)</f>
        <v>8875</v>
      </c>
      <c r="KII66" s="117" t="s">
        <v>99</v>
      </c>
      <c r="KIJ66" s="118">
        <v>45845</v>
      </c>
      <c r="KIK66" s="113" t="s">
        <v>39</v>
      </c>
      <c r="KIL66" s="169"/>
      <c r="KIM66" s="119" t="s">
        <v>92</v>
      </c>
      <c r="KIN66" s="167"/>
      <c r="KIO66" s="168"/>
      <c r="KIP66" s="113" t="s">
        <v>22</v>
      </c>
      <c r="KIQ66" s="114">
        <v>8150</v>
      </c>
      <c r="KIR66" s="122">
        <v>85</v>
      </c>
      <c r="KIS66" s="123">
        <v>215</v>
      </c>
      <c r="KIT66" s="123">
        <v>75</v>
      </c>
      <c r="KIU66" s="122">
        <v>150</v>
      </c>
      <c r="KIV66" s="124">
        <f>SUM(KIQ66:KIU66)</f>
        <v>8675</v>
      </c>
      <c r="KIW66" s="122">
        <v>200</v>
      </c>
      <c r="KIX66" s="124">
        <f>SUM(KIV66:KIW66)</f>
        <v>8875</v>
      </c>
      <c r="KIY66" s="117" t="s">
        <v>99</v>
      </c>
      <c r="KIZ66" s="118">
        <v>45845</v>
      </c>
      <c r="KJA66" s="113" t="s">
        <v>39</v>
      </c>
      <c r="KJB66" s="169"/>
      <c r="KJC66" s="119" t="s">
        <v>92</v>
      </c>
      <c r="KJD66" s="167"/>
      <c r="KJE66" s="168"/>
      <c r="KJF66" s="113" t="s">
        <v>22</v>
      </c>
      <c r="KJG66" s="114">
        <v>8150</v>
      </c>
      <c r="KJH66" s="122">
        <v>85</v>
      </c>
      <c r="KJI66" s="123">
        <v>215</v>
      </c>
      <c r="KJJ66" s="123">
        <v>75</v>
      </c>
      <c r="KJK66" s="122">
        <v>150</v>
      </c>
      <c r="KJL66" s="124">
        <f>SUM(KJG66:KJK66)</f>
        <v>8675</v>
      </c>
      <c r="KJM66" s="122">
        <v>200</v>
      </c>
      <c r="KJN66" s="124">
        <f>SUM(KJL66:KJM66)</f>
        <v>8875</v>
      </c>
      <c r="KJO66" s="117" t="s">
        <v>99</v>
      </c>
      <c r="KJP66" s="118">
        <v>45845</v>
      </c>
      <c r="KJQ66" s="113" t="s">
        <v>39</v>
      </c>
      <c r="KJR66" s="169"/>
      <c r="KJS66" s="119" t="s">
        <v>92</v>
      </c>
      <c r="KJT66" s="167"/>
      <c r="KJU66" s="168"/>
      <c r="KJV66" s="113" t="s">
        <v>22</v>
      </c>
      <c r="KJW66" s="114">
        <v>8150</v>
      </c>
      <c r="KJX66" s="122">
        <v>85</v>
      </c>
      <c r="KJY66" s="123">
        <v>215</v>
      </c>
      <c r="KJZ66" s="123">
        <v>75</v>
      </c>
      <c r="KKA66" s="122">
        <v>150</v>
      </c>
      <c r="KKB66" s="124">
        <f>SUM(KJW66:KKA66)</f>
        <v>8675</v>
      </c>
      <c r="KKC66" s="122">
        <v>200</v>
      </c>
      <c r="KKD66" s="124">
        <f>SUM(KKB66:KKC66)</f>
        <v>8875</v>
      </c>
      <c r="KKE66" s="117" t="s">
        <v>99</v>
      </c>
      <c r="KKF66" s="118">
        <v>45845</v>
      </c>
      <c r="KKG66" s="113" t="s">
        <v>39</v>
      </c>
      <c r="KKH66" s="169"/>
      <c r="KKI66" s="119" t="s">
        <v>92</v>
      </c>
      <c r="KKJ66" s="167"/>
      <c r="KKK66" s="168"/>
      <c r="KKL66" s="113" t="s">
        <v>22</v>
      </c>
      <c r="KKM66" s="114">
        <v>8150</v>
      </c>
      <c r="KKN66" s="122">
        <v>85</v>
      </c>
      <c r="KKO66" s="123">
        <v>215</v>
      </c>
      <c r="KKP66" s="123">
        <v>75</v>
      </c>
      <c r="KKQ66" s="122">
        <v>150</v>
      </c>
      <c r="KKR66" s="124">
        <f>SUM(KKM66:KKQ66)</f>
        <v>8675</v>
      </c>
      <c r="KKS66" s="122">
        <v>200</v>
      </c>
      <c r="KKT66" s="124">
        <f>SUM(KKR66:KKS66)</f>
        <v>8875</v>
      </c>
      <c r="KKU66" s="117" t="s">
        <v>99</v>
      </c>
      <c r="KKV66" s="118">
        <v>45845</v>
      </c>
      <c r="KKW66" s="113" t="s">
        <v>39</v>
      </c>
      <c r="KKX66" s="169"/>
      <c r="KKY66" s="119" t="s">
        <v>92</v>
      </c>
      <c r="KKZ66" s="167"/>
      <c r="KLA66" s="168"/>
      <c r="KLB66" s="113" t="s">
        <v>22</v>
      </c>
      <c r="KLC66" s="114">
        <v>8150</v>
      </c>
      <c r="KLD66" s="122">
        <v>85</v>
      </c>
      <c r="KLE66" s="123">
        <v>215</v>
      </c>
      <c r="KLF66" s="123">
        <v>75</v>
      </c>
      <c r="KLG66" s="122">
        <v>150</v>
      </c>
      <c r="KLH66" s="124">
        <f>SUM(KLC66:KLG66)</f>
        <v>8675</v>
      </c>
      <c r="KLI66" s="122">
        <v>200</v>
      </c>
      <c r="KLJ66" s="124">
        <f>SUM(KLH66:KLI66)</f>
        <v>8875</v>
      </c>
      <c r="KLK66" s="117" t="s">
        <v>99</v>
      </c>
      <c r="KLL66" s="118">
        <v>45845</v>
      </c>
      <c r="KLM66" s="113" t="s">
        <v>39</v>
      </c>
      <c r="KLN66" s="169"/>
      <c r="KLO66" s="119" t="s">
        <v>92</v>
      </c>
      <c r="KLP66" s="167"/>
      <c r="KLQ66" s="168"/>
      <c r="KLR66" s="113" t="s">
        <v>22</v>
      </c>
      <c r="KLS66" s="114">
        <v>8150</v>
      </c>
      <c r="KLT66" s="122">
        <v>85</v>
      </c>
      <c r="KLU66" s="123">
        <v>215</v>
      </c>
      <c r="KLV66" s="123">
        <v>75</v>
      </c>
      <c r="KLW66" s="122">
        <v>150</v>
      </c>
      <c r="KLX66" s="124">
        <f>SUM(KLS66:KLW66)</f>
        <v>8675</v>
      </c>
      <c r="KLY66" s="122">
        <v>200</v>
      </c>
      <c r="KLZ66" s="124">
        <f>SUM(KLX66:KLY66)</f>
        <v>8875</v>
      </c>
      <c r="KMA66" s="117" t="s">
        <v>99</v>
      </c>
      <c r="KMB66" s="118">
        <v>45845</v>
      </c>
      <c r="KMC66" s="113" t="s">
        <v>39</v>
      </c>
      <c r="KMD66" s="169"/>
      <c r="KME66" s="119" t="s">
        <v>92</v>
      </c>
      <c r="KMF66" s="167"/>
      <c r="KMG66" s="168"/>
      <c r="KMH66" s="113" t="s">
        <v>22</v>
      </c>
      <c r="KMI66" s="114">
        <v>8150</v>
      </c>
      <c r="KMJ66" s="122">
        <v>85</v>
      </c>
      <c r="KMK66" s="123">
        <v>215</v>
      </c>
      <c r="KML66" s="123">
        <v>75</v>
      </c>
      <c r="KMM66" s="122">
        <v>150</v>
      </c>
      <c r="KMN66" s="124">
        <f>SUM(KMI66:KMM66)</f>
        <v>8675</v>
      </c>
      <c r="KMO66" s="122">
        <v>200</v>
      </c>
      <c r="KMP66" s="124">
        <f>SUM(KMN66:KMO66)</f>
        <v>8875</v>
      </c>
      <c r="KMQ66" s="117" t="s">
        <v>99</v>
      </c>
      <c r="KMR66" s="118">
        <v>45845</v>
      </c>
      <c r="KMS66" s="113" t="s">
        <v>39</v>
      </c>
      <c r="KMT66" s="169"/>
      <c r="KMU66" s="119" t="s">
        <v>92</v>
      </c>
      <c r="KMV66" s="167"/>
      <c r="KMW66" s="168"/>
      <c r="KMX66" s="113" t="s">
        <v>22</v>
      </c>
      <c r="KMY66" s="114">
        <v>8150</v>
      </c>
      <c r="KMZ66" s="122">
        <v>85</v>
      </c>
      <c r="KNA66" s="123">
        <v>215</v>
      </c>
      <c r="KNB66" s="123">
        <v>75</v>
      </c>
      <c r="KNC66" s="122">
        <v>150</v>
      </c>
      <c r="KND66" s="124">
        <f>SUM(KMY66:KNC66)</f>
        <v>8675</v>
      </c>
      <c r="KNE66" s="122">
        <v>200</v>
      </c>
      <c r="KNF66" s="124">
        <f>SUM(KND66:KNE66)</f>
        <v>8875</v>
      </c>
      <c r="KNG66" s="117" t="s">
        <v>99</v>
      </c>
      <c r="KNH66" s="118">
        <v>45845</v>
      </c>
      <c r="KNI66" s="113" t="s">
        <v>39</v>
      </c>
      <c r="KNJ66" s="169"/>
      <c r="KNK66" s="119" t="s">
        <v>92</v>
      </c>
      <c r="KNL66" s="167"/>
      <c r="KNM66" s="168"/>
      <c r="KNN66" s="113" t="s">
        <v>22</v>
      </c>
      <c r="KNO66" s="114">
        <v>8150</v>
      </c>
      <c r="KNP66" s="122">
        <v>85</v>
      </c>
      <c r="KNQ66" s="123">
        <v>215</v>
      </c>
      <c r="KNR66" s="123">
        <v>75</v>
      </c>
      <c r="KNS66" s="122">
        <v>150</v>
      </c>
      <c r="KNT66" s="124">
        <f>SUM(KNO66:KNS66)</f>
        <v>8675</v>
      </c>
      <c r="KNU66" s="122">
        <v>200</v>
      </c>
      <c r="KNV66" s="124">
        <f>SUM(KNT66:KNU66)</f>
        <v>8875</v>
      </c>
      <c r="KNW66" s="117" t="s">
        <v>99</v>
      </c>
      <c r="KNX66" s="118">
        <v>45845</v>
      </c>
      <c r="KNY66" s="113" t="s">
        <v>39</v>
      </c>
      <c r="KNZ66" s="169"/>
      <c r="KOA66" s="119" t="s">
        <v>92</v>
      </c>
      <c r="KOB66" s="167"/>
      <c r="KOC66" s="168"/>
      <c r="KOD66" s="113" t="s">
        <v>22</v>
      </c>
      <c r="KOE66" s="114">
        <v>8150</v>
      </c>
      <c r="KOF66" s="122">
        <v>85</v>
      </c>
      <c r="KOG66" s="123">
        <v>215</v>
      </c>
      <c r="KOH66" s="123">
        <v>75</v>
      </c>
      <c r="KOI66" s="122">
        <v>150</v>
      </c>
      <c r="KOJ66" s="124">
        <f>SUM(KOE66:KOI66)</f>
        <v>8675</v>
      </c>
      <c r="KOK66" s="122">
        <v>200</v>
      </c>
      <c r="KOL66" s="124">
        <f>SUM(KOJ66:KOK66)</f>
        <v>8875</v>
      </c>
      <c r="KOM66" s="117" t="s">
        <v>99</v>
      </c>
      <c r="KON66" s="118">
        <v>45845</v>
      </c>
      <c r="KOO66" s="113" t="s">
        <v>39</v>
      </c>
      <c r="KOP66" s="169"/>
      <c r="KOQ66" s="119" t="s">
        <v>92</v>
      </c>
      <c r="KOR66" s="167"/>
      <c r="KOS66" s="168"/>
      <c r="KOT66" s="113" t="s">
        <v>22</v>
      </c>
      <c r="KOU66" s="114">
        <v>8150</v>
      </c>
      <c r="KOV66" s="122">
        <v>85</v>
      </c>
      <c r="KOW66" s="123">
        <v>215</v>
      </c>
      <c r="KOX66" s="123">
        <v>75</v>
      </c>
      <c r="KOY66" s="122">
        <v>150</v>
      </c>
      <c r="KOZ66" s="124">
        <f>SUM(KOU66:KOY66)</f>
        <v>8675</v>
      </c>
      <c r="KPA66" s="122">
        <v>200</v>
      </c>
      <c r="KPB66" s="124">
        <f>SUM(KOZ66:KPA66)</f>
        <v>8875</v>
      </c>
      <c r="KPC66" s="117" t="s">
        <v>99</v>
      </c>
      <c r="KPD66" s="118">
        <v>45845</v>
      </c>
      <c r="KPE66" s="113" t="s">
        <v>39</v>
      </c>
      <c r="KPF66" s="169"/>
      <c r="KPG66" s="119" t="s">
        <v>92</v>
      </c>
      <c r="KPH66" s="167"/>
      <c r="KPI66" s="168"/>
      <c r="KPJ66" s="113" t="s">
        <v>22</v>
      </c>
      <c r="KPK66" s="114">
        <v>8150</v>
      </c>
      <c r="KPL66" s="122">
        <v>85</v>
      </c>
      <c r="KPM66" s="123">
        <v>215</v>
      </c>
      <c r="KPN66" s="123">
        <v>75</v>
      </c>
      <c r="KPO66" s="122">
        <v>150</v>
      </c>
      <c r="KPP66" s="124">
        <f>SUM(KPK66:KPO66)</f>
        <v>8675</v>
      </c>
      <c r="KPQ66" s="122">
        <v>200</v>
      </c>
      <c r="KPR66" s="124">
        <f>SUM(KPP66:KPQ66)</f>
        <v>8875</v>
      </c>
      <c r="KPS66" s="117" t="s">
        <v>99</v>
      </c>
      <c r="KPT66" s="118">
        <v>45845</v>
      </c>
      <c r="KPU66" s="113" t="s">
        <v>39</v>
      </c>
      <c r="KPV66" s="169"/>
      <c r="KPW66" s="119" t="s">
        <v>92</v>
      </c>
      <c r="KPX66" s="167"/>
      <c r="KPY66" s="168"/>
      <c r="KPZ66" s="113" t="s">
        <v>22</v>
      </c>
      <c r="KQA66" s="114">
        <v>8150</v>
      </c>
      <c r="KQB66" s="122">
        <v>85</v>
      </c>
      <c r="KQC66" s="123">
        <v>215</v>
      </c>
      <c r="KQD66" s="123">
        <v>75</v>
      </c>
      <c r="KQE66" s="122">
        <v>150</v>
      </c>
      <c r="KQF66" s="124">
        <f>SUM(KQA66:KQE66)</f>
        <v>8675</v>
      </c>
      <c r="KQG66" s="122">
        <v>200</v>
      </c>
      <c r="KQH66" s="124">
        <f>SUM(KQF66:KQG66)</f>
        <v>8875</v>
      </c>
      <c r="KQI66" s="117" t="s">
        <v>99</v>
      </c>
      <c r="KQJ66" s="118">
        <v>45845</v>
      </c>
      <c r="KQK66" s="113" t="s">
        <v>39</v>
      </c>
      <c r="KQL66" s="169"/>
      <c r="KQM66" s="119" t="s">
        <v>92</v>
      </c>
      <c r="KQN66" s="167"/>
      <c r="KQO66" s="168"/>
      <c r="KQP66" s="113" t="s">
        <v>22</v>
      </c>
      <c r="KQQ66" s="114">
        <v>8150</v>
      </c>
      <c r="KQR66" s="122">
        <v>85</v>
      </c>
      <c r="KQS66" s="123">
        <v>215</v>
      </c>
      <c r="KQT66" s="123">
        <v>75</v>
      </c>
      <c r="KQU66" s="122">
        <v>150</v>
      </c>
      <c r="KQV66" s="124">
        <f>SUM(KQQ66:KQU66)</f>
        <v>8675</v>
      </c>
      <c r="KQW66" s="122">
        <v>200</v>
      </c>
      <c r="KQX66" s="124">
        <f>SUM(KQV66:KQW66)</f>
        <v>8875</v>
      </c>
      <c r="KQY66" s="117" t="s">
        <v>99</v>
      </c>
      <c r="KQZ66" s="118">
        <v>45845</v>
      </c>
      <c r="KRA66" s="113" t="s">
        <v>39</v>
      </c>
      <c r="KRB66" s="169"/>
      <c r="KRC66" s="119" t="s">
        <v>92</v>
      </c>
      <c r="KRD66" s="167"/>
      <c r="KRE66" s="168"/>
      <c r="KRF66" s="113" t="s">
        <v>22</v>
      </c>
      <c r="KRG66" s="114">
        <v>8150</v>
      </c>
      <c r="KRH66" s="122">
        <v>85</v>
      </c>
      <c r="KRI66" s="123">
        <v>215</v>
      </c>
      <c r="KRJ66" s="123">
        <v>75</v>
      </c>
      <c r="KRK66" s="122">
        <v>150</v>
      </c>
      <c r="KRL66" s="124">
        <f>SUM(KRG66:KRK66)</f>
        <v>8675</v>
      </c>
      <c r="KRM66" s="122">
        <v>200</v>
      </c>
      <c r="KRN66" s="124">
        <f>SUM(KRL66:KRM66)</f>
        <v>8875</v>
      </c>
      <c r="KRO66" s="117" t="s">
        <v>99</v>
      </c>
      <c r="KRP66" s="118">
        <v>45845</v>
      </c>
      <c r="KRQ66" s="113" t="s">
        <v>39</v>
      </c>
      <c r="KRR66" s="169"/>
      <c r="KRS66" s="119" t="s">
        <v>92</v>
      </c>
      <c r="KRT66" s="167"/>
      <c r="KRU66" s="168"/>
      <c r="KRV66" s="113" t="s">
        <v>22</v>
      </c>
      <c r="KRW66" s="114">
        <v>8150</v>
      </c>
      <c r="KRX66" s="122">
        <v>85</v>
      </c>
      <c r="KRY66" s="123">
        <v>215</v>
      </c>
      <c r="KRZ66" s="123">
        <v>75</v>
      </c>
      <c r="KSA66" s="122">
        <v>150</v>
      </c>
      <c r="KSB66" s="124">
        <f>SUM(KRW66:KSA66)</f>
        <v>8675</v>
      </c>
      <c r="KSC66" s="122">
        <v>200</v>
      </c>
      <c r="KSD66" s="124">
        <f>SUM(KSB66:KSC66)</f>
        <v>8875</v>
      </c>
      <c r="KSE66" s="117" t="s">
        <v>99</v>
      </c>
      <c r="KSF66" s="118">
        <v>45845</v>
      </c>
      <c r="KSG66" s="113" t="s">
        <v>39</v>
      </c>
      <c r="KSH66" s="169"/>
      <c r="KSI66" s="119" t="s">
        <v>92</v>
      </c>
      <c r="KSJ66" s="167"/>
      <c r="KSK66" s="168"/>
      <c r="KSL66" s="113" t="s">
        <v>22</v>
      </c>
      <c r="KSM66" s="114">
        <v>8150</v>
      </c>
      <c r="KSN66" s="122">
        <v>85</v>
      </c>
      <c r="KSO66" s="123">
        <v>215</v>
      </c>
      <c r="KSP66" s="123">
        <v>75</v>
      </c>
      <c r="KSQ66" s="122">
        <v>150</v>
      </c>
      <c r="KSR66" s="124">
        <f>SUM(KSM66:KSQ66)</f>
        <v>8675</v>
      </c>
      <c r="KSS66" s="122">
        <v>200</v>
      </c>
      <c r="KST66" s="124">
        <f>SUM(KSR66:KSS66)</f>
        <v>8875</v>
      </c>
      <c r="KSU66" s="117" t="s">
        <v>99</v>
      </c>
      <c r="KSV66" s="118">
        <v>45845</v>
      </c>
      <c r="KSW66" s="113" t="s">
        <v>39</v>
      </c>
      <c r="KSX66" s="169"/>
      <c r="KSY66" s="119" t="s">
        <v>92</v>
      </c>
      <c r="KSZ66" s="167"/>
      <c r="KTA66" s="168"/>
      <c r="KTB66" s="113" t="s">
        <v>22</v>
      </c>
      <c r="KTC66" s="114">
        <v>8150</v>
      </c>
      <c r="KTD66" s="122">
        <v>85</v>
      </c>
      <c r="KTE66" s="123">
        <v>215</v>
      </c>
      <c r="KTF66" s="123">
        <v>75</v>
      </c>
      <c r="KTG66" s="122">
        <v>150</v>
      </c>
      <c r="KTH66" s="124">
        <f>SUM(KTC66:KTG66)</f>
        <v>8675</v>
      </c>
      <c r="KTI66" s="122">
        <v>200</v>
      </c>
      <c r="KTJ66" s="124">
        <f>SUM(KTH66:KTI66)</f>
        <v>8875</v>
      </c>
      <c r="KTK66" s="117" t="s">
        <v>99</v>
      </c>
      <c r="KTL66" s="118">
        <v>45845</v>
      </c>
      <c r="KTM66" s="113" t="s">
        <v>39</v>
      </c>
      <c r="KTN66" s="169"/>
      <c r="KTO66" s="119" t="s">
        <v>92</v>
      </c>
      <c r="KTP66" s="167"/>
      <c r="KTQ66" s="168"/>
      <c r="KTR66" s="113" t="s">
        <v>22</v>
      </c>
      <c r="KTS66" s="114">
        <v>8150</v>
      </c>
      <c r="KTT66" s="122">
        <v>85</v>
      </c>
      <c r="KTU66" s="123">
        <v>215</v>
      </c>
      <c r="KTV66" s="123">
        <v>75</v>
      </c>
      <c r="KTW66" s="122">
        <v>150</v>
      </c>
      <c r="KTX66" s="124">
        <f>SUM(KTS66:KTW66)</f>
        <v>8675</v>
      </c>
      <c r="KTY66" s="122">
        <v>200</v>
      </c>
      <c r="KTZ66" s="124">
        <f>SUM(KTX66:KTY66)</f>
        <v>8875</v>
      </c>
      <c r="KUA66" s="117" t="s">
        <v>99</v>
      </c>
      <c r="KUB66" s="118">
        <v>45845</v>
      </c>
      <c r="KUC66" s="113" t="s">
        <v>39</v>
      </c>
      <c r="KUD66" s="169"/>
      <c r="KUE66" s="119" t="s">
        <v>92</v>
      </c>
      <c r="KUF66" s="167"/>
      <c r="KUG66" s="168"/>
      <c r="KUH66" s="113" t="s">
        <v>22</v>
      </c>
      <c r="KUI66" s="114">
        <v>8150</v>
      </c>
      <c r="KUJ66" s="122">
        <v>85</v>
      </c>
      <c r="KUK66" s="123">
        <v>215</v>
      </c>
      <c r="KUL66" s="123">
        <v>75</v>
      </c>
      <c r="KUM66" s="122">
        <v>150</v>
      </c>
      <c r="KUN66" s="124">
        <f>SUM(KUI66:KUM66)</f>
        <v>8675</v>
      </c>
      <c r="KUO66" s="122">
        <v>200</v>
      </c>
      <c r="KUP66" s="124">
        <f>SUM(KUN66:KUO66)</f>
        <v>8875</v>
      </c>
      <c r="KUQ66" s="117" t="s">
        <v>99</v>
      </c>
      <c r="KUR66" s="118">
        <v>45845</v>
      </c>
      <c r="KUS66" s="113" t="s">
        <v>39</v>
      </c>
      <c r="KUT66" s="169"/>
      <c r="KUU66" s="119" t="s">
        <v>92</v>
      </c>
      <c r="KUV66" s="167"/>
      <c r="KUW66" s="168"/>
      <c r="KUX66" s="113" t="s">
        <v>22</v>
      </c>
      <c r="KUY66" s="114">
        <v>8150</v>
      </c>
      <c r="KUZ66" s="122">
        <v>85</v>
      </c>
      <c r="KVA66" s="123">
        <v>215</v>
      </c>
      <c r="KVB66" s="123">
        <v>75</v>
      </c>
      <c r="KVC66" s="122">
        <v>150</v>
      </c>
      <c r="KVD66" s="124">
        <f>SUM(KUY66:KVC66)</f>
        <v>8675</v>
      </c>
      <c r="KVE66" s="122">
        <v>200</v>
      </c>
      <c r="KVF66" s="124">
        <f>SUM(KVD66:KVE66)</f>
        <v>8875</v>
      </c>
      <c r="KVG66" s="117" t="s">
        <v>99</v>
      </c>
      <c r="KVH66" s="118">
        <v>45845</v>
      </c>
      <c r="KVI66" s="113" t="s">
        <v>39</v>
      </c>
      <c r="KVJ66" s="169"/>
      <c r="KVK66" s="119" t="s">
        <v>92</v>
      </c>
      <c r="KVL66" s="167"/>
      <c r="KVM66" s="168"/>
      <c r="KVN66" s="113" t="s">
        <v>22</v>
      </c>
      <c r="KVO66" s="114">
        <v>8150</v>
      </c>
      <c r="KVP66" s="122">
        <v>85</v>
      </c>
      <c r="KVQ66" s="123">
        <v>215</v>
      </c>
      <c r="KVR66" s="123">
        <v>75</v>
      </c>
      <c r="KVS66" s="122">
        <v>150</v>
      </c>
      <c r="KVT66" s="124">
        <f>SUM(KVO66:KVS66)</f>
        <v>8675</v>
      </c>
      <c r="KVU66" s="122">
        <v>200</v>
      </c>
      <c r="KVV66" s="124">
        <f>SUM(KVT66:KVU66)</f>
        <v>8875</v>
      </c>
      <c r="KVW66" s="117" t="s">
        <v>99</v>
      </c>
      <c r="KVX66" s="118">
        <v>45845</v>
      </c>
      <c r="KVY66" s="113" t="s">
        <v>39</v>
      </c>
      <c r="KVZ66" s="169"/>
      <c r="KWA66" s="119" t="s">
        <v>92</v>
      </c>
      <c r="KWB66" s="167"/>
      <c r="KWC66" s="168"/>
      <c r="KWD66" s="113" t="s">
        <v>22</v>
      </c>
      <c r="KWE66" s="114">
        <v>8150</v>
      </c>
      <c r="KWF66" s="122">
        <v>85</v>
      </c>
      <c r="KWG66" s="123">
        <v>215</v>
      </c>
      <c r="KWH66" s="123">
        <v>75</v>
      </c>
      <c r="KWI66" s="122">
        <v>150</v>
      </c>
      <c r="KWJ66" s="124">
        <f>SUM(KWE66:KWI66)</f>
        <v>8675</v>
      </c>
      <c r="KWK66" s="122">
        <v>200</v>
      </c>
      <c r="KWL66" s="124">
        <f>SUM(KWJ66:KWK66)</f>
        <v>8875</v>
      </c>
      <c r="KWM66" s="117" t="s">
        <v>99</v>
      </c>
      <c r="KWN66" s="118">
        <v>45845</v>
      </c>
      <c r="KWO66" s="113" t="s">
        <v>39</v>
      </c>
      <c r="KWP66" s="169"/>
      <c r="KWQ66" s="119" t="s">
        <v>92</v>
      </c>
      <c r="KWR66" s="167"/>
      <c r="KWS66" s="168"/>
      <c r="KWT66" s="113" t="s">
        <v>22</v>
      </c>
      <c r="KWU66" s="114">
        <v>8150</v>
      </c>
      <c r="KWV66" s="122">
        <v>85</v>
      </c>
      <c r="KWW66" s="123">
        <v>215</v>
      </c>
      <c r="KWX66" s="123">
        <v>75</v>
      </c>
      <c r="KWY66" s="122">
        <v>150</v>
      </c>
      <c r="KWZ66" s="124">
        <f>SUM(KWU66:KWY66)</f>
        <v>8675</v>
      </c>
      <c r="KXA66" s="122">
        <v>200</v>
      </c>
      <c r="KXB66" s="124">
        <f>SUM(KWZ66:KXA66)</f>
        <v>8875</v>
      </c>
      <c r="KXC66" s="117" t="s">
        <v>99</v>
      </c>
      <c r="KXD66" s="118">
        <v>45845</v>
      </c>
      <c r="KXE66" s="113" t="s">
        <v>39</v>
      </c>
      <c r="KXF66" s="169"/>
      <c r="KXG66" s="119" t="s">
        <v>92</v>
      </c>
      <c r="KXH66" s="167"/>
      <c r="KXI66" s="168"/>
      <c r="KXJ66" s="113" t="s">
        <v>22</v>
      </c>
      <c r="KXK66" s="114">
        <v>8150</v>
      </c>
      <c r="KXL66" s="122">
        <v>85</v>
      </c>
      <c r="KXM66" s="123">
        <v>215</v>
      </c>
      <c r="KXN66" s="123">
        <v>75</v>
      </c>
      <c r="KXO66" s="122">
        <v>150</v>
      </c>
      <c r="KXP66" s="124">
        <f>SUM(KXK66:KXO66)</f>
        <v>8675</v>
      </c>
      <c r="KXQ66" s="122">
        <v>200</v>
      </c>
      <c r="KXR66" s="124">
        <f>SUM(KXP66:KXQ66)</f>
        <v>8875</v>
      </c>
      <c r="KXS66" s="117" t="s">
        <v>99</v>
      </c>
      <c r="KXT66" s="118">
        <v>45845</v>
      </c>
      <c r="KXU66" s="113" t="s">
        <v>39</v>
      </c>
      <c r="KXV66" s="169"/>
      <c r="KXW66" s="119" t="s">
        <v>92</v>
      </c>
      <c r="KXX66" s="167"/>
      <c r="KXY66" s="168"/>
      <c r="KXZ66" s="113" t="s">
        <v>22</v>
      </c>
      <c r="KYA66" s="114">
        <v>8150</v>
      </c>
      <c r="KYB66" s="122">
        <v>85</v>
      </c>
      <c r="KYC66" s="123">
        <v>215</v>
      </c>
      <c r="KYD66" s="123">
        <v>75</v>
      </c>
      <c r="KYE66" s="122">
        <v>150</v>
      </c>
      <c r="KYF66" s="124">
        <f>SUM(KYA66:KYE66)</f>
        <v>8675</v>
      </c>
      <c r="KYG66" s="122">
        <v>200</v>
      </c>
      <c r="KYH66" s="124">
        <f>SUM(KYF66:KYG66)</f>
        <v>8875</v>
      </c>
      <c r="KYI66" s="117" t="s">
        <v>99</v>
      </c>
      <c r="KYJ66" s="118">
        <v>45845</v>
      </c>
      <c r="KYK66" s="113" t="s">
        <v>39</v>
      </c>
      <c r="KYL66" s="169"/>
      <c r="KYM66" s="119" t="s">
        <v>92</v>
      </c>
      <c r="KYN66" s="167"/>
      <c r="KYO66" s="168"/>
      <c r="KYP66" s="113" t="s">
        <v>22</v>
      </c>
      <c r="KYQ66" s="114">
        <v>8150</v>
      </c>
      <c r="KYR66" s="122">
        <v>85</v>
      </c>
      <c r="KYS66" s="123">
        <v>215</v>
      </c>
      <c r="KYT66" s="123">
        <v>75</v>
      </c>
      <c r="KYU66" s="122">
        <v>150</v>
      </c>
      <c r="KYV66" s="124">
        <f>SUM(KYQ66:KYU66)</f>
        <v>8675</v>
      </c>
      <c r="KYW66" s="122">
        <v>200</v>
      </c>
      <c r="KYX66" s="124">
        <f>SUM(KYV66:KYW66)</f>
        <v>8875</v>
      </c>
      <c r="KYY66" s="117" t="s">
        <v>99</v>
      </c>
      <c r="KYZ66" s="118">
        <v>45845</v>
      </c>
      <c r="KZA66" s="113" t="s">
        <v>39</v>
      </c>
      <c r="KZB66" s="169"/>
      <c r="KZC66" s="119" t="s">
        <v>92</v>
      </c>
      <c r="KZD66" s="167"/>
      <c r="KZE66" s="168"/>
      <c r="KZF66" s="113" t="s">
        <v>22</v>
      </c>
      <c r="KZG66" s="114">
        <v>8150</v>
      </c>
      <c r="KZH66" s="122">
        <v>85</v>
      </c>
      <c r="KZI66" s="123">
        <v>215</v>
      </c>
      <c r="KZJ66" s="123">
        <v>75</v>
      </c>
      <c r="KZK66" s="122">
        <v>150</v>
      </c>
      <c r="KZL66" s="124">
        <f>SUM(KZG66:KZK66)</f>
        <v>8675</v>
      </c>
      <c r="KZM66" s="122">
        <v>200</v>
      </c>
      <c r="KZN66" s="124">
        <f>SUM(KZL66:KZM66)</f>
        <v>8875</v>
      </c>
      <c r="KZO66" s="117" t="s">
        <v>99</v>
      </c>
      <c r="KZP66" s="118">
        <v>45845</v>
      </c>
      <c r="KZQ66" s="113" t="s">
        <v>39</v>
      </c>
      <c r="KZR66" s="169"/>
      <c r="KZS66" s="119" t="s">
        <v>92</v>
      </c>
      <c r="KZT66" s="167"/>
      <c r="KZU66" s="168"/>
      <c r="KZV66" s="113" t="s">
        <v>22</v>
      </c>
      <c r="KZW66" s="114">
        <v>8150</v>
      </c>
      <c r="KZX66" s="122">
        <v>85</v>
      </c>
      <c r="KZY66" s="123">
        <v>215</v>
      </c>
      <c r="KZZ66" s="123">
        <v>75</v>
      </c>
      <c r="LAA66" s="122">
        <v>150</v>
      </c>
      <c r="LAB66" s="124">
        <f>SUM(KZW66:LAA66)</f>
        <v>8675</v>
      </c>
      <c r="LAC66" s="122">
        <v>200</v>
      </c>
      <c r="LAD66" s="124">
        <f>SUM(LAB66:LAC66)</f>
        <v>8875</v>
      </c>
      <c r="LAE66" s="117" t="s">
        <v>99</v>
      </c>
      <c r="LAF66" s="118">
        <v>45845</v>
      </c>
      <c r="LAG66" s="113" t="s">
        <v>39</v>
      </c>
      <c r="LAH66" s="169"/>
      <c r="LAI66" s="119" t="s">
        <v>92</v>
      </c>
      <c r="LAJ66" s="167"/>
      <c r="LAK66" s="168"/>
      <c r="LAL66" s="113" t="s">
        <v>22</v>
      </c>
      <c r="LAM66" s="114">
        <v>8150</v>
      </c>
      <c r="LAN66" s="122">
        <v>85</v>
      </c>
      <c r="LAO66" s="123">
        <v>215</v>
      </c>
      <c r="LAP66" s="123">
        <v>75</v>
      </c>
      <c r="LAQ66" s="122">
        <v>150</v>
      </c>
      <c r="LAR66" s="124">
        <f>SUM(LAM66:LAQ66)</f>
        <v>8675</v>
      </c>
      <c r="LAS66" s="122">
        <v>200</v>
      </c>
      <c r="LAT66" s="124">
        <f>SUM(LAR66:LAS66)</f>
        <v>8875</v>
      </c>
      <c r="LAU66" s="117" t="s">
        <v>99</v>
      </c>
      <c r="LAV66" s="118">
        <v>45845</v>
      </c>
      <c r="LAW66" s="113" t="s">
        <v>39</v>
      </c>
      <c r="LAX66" s="169"/>
      <c r="LAY66" s="119" t="s">
        <v>92</v>
      </c>
      <c r="LAZ66" s="167"/>
      <c r="LBA66" s="168"/>
      <c r="LBB66" s="113" t="s">
        <v>22</v>
      </c>
      <c r="LBC66" s="114">
        <v>8150</v>
      </c>
      <c r="LBD66" s="122">
        <v>85</v>
      </c>
      <c r="LBE66" s="123">
        <v>215</v>
      </c>
      <c r="LBF66" s="123">
        <v>75</v>
      </c>
      <c r="LBG66" s="122">
        <v>150</v>
      </c>
      <c r="LBH66" s="124">
        <f>SUM(LBC66:LBG66)</f>
        <v>8675</v>
      </c>
      <c r="LBI66" s="122">
        <v>200</v>
      </c>
      <c r="LBJ66" s="124">
        <f>SUM(LBH66:LBI66)</f>
        <v>8875</v>
      </c>
      <c r="LBK66" s="117" t="s">
        <v>99</v>
      </c>
      <c r="LBL66" s="118">
        <v>45845</v>
      </c>
      <c r="LBM66" s="113" t="s">
        <v>39</v>
      </c>
      <c r="LBN66" s="169"/>
      <c r="LBO66" s="119" t="s">
        <v>92</v>
      </c>
      <c r="LBP66" s="167"/>
      <c r="LBQ66" s="168"/>
      <c r="LBR66" s="113" t="s">
        <v>22</v>
      </c>
      <c r="LBS66" s="114">
        <v>8150</v>
      </c>
      <c r="LBT66" s="122">
        <v>85</v>
      </c>
      <c r="LBU66" s="123">
        <v>215</v>
      </c>
      <c r="LBV66" s="123">
        <v>75</v>
      </c>
      <c r="LBW66" s="122">
        <v>150</v>
      </c>
      <c r="LBX66" s="124">
        <f>SUM(LBS66:LBW66)</f>
        <v>8675</v>
      </c>
      <c r="LBY66" s="122">
        <v>200</v>
      </c>
      <c r="LBZ66" s="124">
        <f>SUM(LBX66:LBY66)</f>
        <v>8875</v>
      </c>
      <c r="LCA66" s="117" t="s">
        <v>99</v>
      </c>
      <c r="LCB66" s="118">
        <v>45845</v>
      </c>
      <c r="LCC66" s="113" t="s">
        <v>39</v>
      </c>
      <c r="LCD66" s="169"/>
      <c r="LCE66" s="119" t="s">
        <v>92</v>
      </c>
      <c r="LCF66" s="167"/>
      <c r="LCG66" s="168"/>
      <c r="LCH66" s="113" t="s">
        <v>22</v>
      </c>
      <c r="LCI66" s="114">
        <v>8150</v>
      </c>
      <c r="LCJ66" s="122">
        <v>85</v>
      </c>
      <c r="LCK66" s="123">
        <v>215</v>
      </c>
      <c r="LCL66" s="123">
        <v>75</v>
      </c>
      <c r="LCM66" s="122">
        <v>150</v>
      </c>
      <c r="LCN66" s="124">
        <f>SUM(LCI66:LCM66)</f>
        <v>8675</v>
      </c>
      <c r="LCO66" s="122">
        <v>200</v>
      </c>
      <c r="LCP66" s="124">
        <f>SUM(LCN66:LCO66)</f>
        <v>8875</v>
      </c>
      <c r="LCQ66" s="117" t="s">
        <v>99</v>
      </c>
      <c r="LCR66" s="118">
        <v>45845</v>
      </c>
      <c r="LCS66" s="113" t="s">
        <v>39</v>
      </c>
      <c r="LCT66" s="169"/>
      <c r="LCU66" s="119" t="s">
        <v>92</v>
      </c>
      <c r="LCV66" s="167"/>
      <c r="LCW66" s="168"/>
      <c r="LCX66" s="113" t="s">
        <v>22</v>
      </c>
      <c r="LCY66" s="114">
        <v>8150</v>
      </c>
      <c r="LCZ66" s="122">
        <v>85</v>
      </c>
      <c r="LDA66" s="123">
        <v>215</v>
      </c>
      <c r="LDB66" s="123">
        <v>75</v>
      </c>
      <c r="LDC66" s="122">
        <v>150</v>
      </c>
      <c r="LDD66" s="124">
        <f>SUM(LCY66:LDC66)</f>
        <v>8675</v>
      </c>
      <c r="LDE66" s="122">
        <v>200</v>
      </c>
      <c r="LDF66" s="124">
        <f>SUM(LDD66:LDE66)</f>
        <v>8875</v>
      </c>
      <c r="LDG66" s="117" t="s">
        <v>99</v>
      </c>
      <c r="LDH66" s="118">
        <v>45845</v>
      </c>
      <c r="LDI66" s="113" t="s">
        <v>39</v>
      </c>
      <c r="LDJ66" s="169"/>
      <c r="LDK66" s="119" t="s">
        <v>92</v>
      </c>
      <c r="LDL66" s="167"/>
      <c r="LDM66" s="168"/>
      <c r="LDN66" s="113" t="s">
        <v>22</v>
      </c>
      <c r="LDO66" s="114">
        <v>8150</v>
      </c>
      <c r="LDP66" s="122">
        <v>85</v>
      </c>
      <c r="LDQ66" s="123">
        <v>215</v>
      </c>
      <c r="LDR66" s="123">
        <v>75</v>
      </c>
      <c r="LDS66" s="122">
        <v>150</v>
      </c>
      <c r="LDT66" s="124">
        <f>SUM(LDO66:LDS66)</f>
        <v>8675</v>
      </c>
      <c r="LDU66" s="122">
        <v>200</v>
      </c>
      <c r="LDV66" s="124">
        <f>SUM(LDT66:LDU66)</f>
        <v>8875</v>
      </c>
      <c r="LDW66" s="117" t="s">
        <v>99</v>
      </c>
      <c r="LDX66" s="118">
        <v>45845</v>
      </c>
      <c r="LDY66" s="113" t="s">
        <v>39</v>
      </c>
      <c r="LDZ66" s="169"/>
      <c r="LEA66" s="119" t="s">
        <v>92</v>
      </c>
      <c r="LEB66" s="167"/>
      <c r="LEC66" s="168"/>
      <c r="LED66" s="113" t="s">
        <v>22</v>
      </c>
      <c r="LEE66" s="114">
        <v>8150</v>
      </c>
      <c r="LEF66" s="122">
        <v>85</v>
      </c>
      <c r="LEG66" s="123">
        <v>215</v>
      </c>
      <c r="LEH66" s="123">
        <v>75</v>
      </c>
      <c r="LEI66" s="122">
        <v>150</v>
      </c>
      <c r="LEJ66" s="124">
        <f>SUM(LEE66:LEI66)</f>
        <v>8675</v>
      </c>
      <c r="LEK66" s="122">
        <v>200</v>
      </c>
      <c r="LEL66" s="124">
        <f>SUM(LEJ66:LEK66)</f>
        <v>8875</v>
      </c>
      <c r="LEM66" s="117" t="s">
        <v>99</v>
      </c>
      <c r="LEN66" s="118">
        <v>45845</v>
      </c>
      <c r="LEO66" s="113" t="s">
        <v>39</v>
      </c>
      <c r="LEP66" s="169"/>
      <c r="LEQ66" s="119" t="s">
        <v>92</v>
      </c>
      <c r="LER66" s="167"/>
      <c r="LES66" s="168"/>
      <c r="LET66" s="113" t="s">
        <v>22</v>
      </c>
      <c r="LEU66" s="114">
        <v>8150</v>
      </c>
      <c r="LEV66" s="122">
        <v>85</v>
      </c>
      <c r="LEW66" s="123">
        <v>215</v>
      </c>
      <c r="LEX66" s="123">
        <v>75</v>
      </c>
      <c r="LEY66" s="122">
        <v>150</v>
      </c>
      <c r="LEZ66" s="124">
        <f>SUM(LEU66:LEY66)</f>
        <v>8675</v>
      </c>
      <c r="LFA66" s="122">
        <v>200</v>
      </c>
      <c r="LFB66" s="124">
        <f>SUM(LEZ66:LFA66)</f>
        <v>8875</v>
      </c>
      <c r="LFC66" s="117" t="s">
        <v>99</v>
      </c>
      <c r="LFD66" s="118">
        <v>45845</v>
      </c>
      <c r="LFE66" s="113" t="s">
        <v>39</v>
      </c>
      <c r="LFF66" s="169"/>
      <c r="LFG66" s="119" t="s">
        <v>92</v>
      </c>
      <c r="LFH66" s="167"/>
      <c r="LFI66" s="168"/>
      <c r="LFJ66" s="113" t="s">
        <v>22</v>
      </c>
      <c r="LFK66" s="114">
        <v>8150</v>
      </c>
      <c r="LFL66" s="122">
        <v>85</v>
      </c>
      <c r="LFM66" s="123">
        <v>215</v>
      </c>
      <c r="LFN66" s="123">
        <v>75</v>
      </c>
      <c r="LFO66" s="122">
        <v>150</v>
      </c>
      <c r="LFP66" s="124">
        <f>SUM(LFK66:LFO66)</f>
        <v>8675</v>
      </c>
      <c r="LFQ66" s="122">
        <v>200</v>
      </c>
      <c r="LFR66" s="124">
        <f>SUM(LFP66:LFQ66)</f>
        <v>8875</v>
      </c>
      <c r="LFS66" s="117" t="s">
        <v>99</v>
      </c>
      <c r="LFT66" s="118">
        <v>45845</v>
      </c>
      <c r="LFU66" s="113" t="s">
        <v>39</v>
      </c>
      <c r="LFV66" s="169"/>
      <c r="LFW66" s="119" t="s">
        <v>92</v>
      </c>
      <c r="LFX66" s="167"/>
      <c r="LFY66" s="168"/>
      <c r="LFZ66" s="113" t="s">
        <v>22</v>
      </c>
      <c r="LGA66" s="114">
        <v>8150</v>
      </c>
      <c r="LGB66" s="122">
        <v>85</v>
      </c>
      <c r="LGC66" s="123">
        <v>215</v>
      </c>
      <c r="LGD66" s="123">
        <v>75</v>
      </c>
      <c r="LGE66" s="122">
        <v>150</v>
      </c>
      <c r="LGF66" s="124">
        <f>SUM(LGA66:LGE66)</f>
        <v>8675</v>
      </c>
      <c r="LGG66" s="122">
        <v>200</v>
      </c>
      <c r="LGH66" s="124">
        <f>SUM(LGF66:LGG66)</f>
        <v>8875</v>
      </c>
      <c r="LGI66" s="117" t="s">
        <v>99</v>
      </c>
      <c r="LGJ66" s="118">
        <v>45845</v>
      </c>
      <c r="LGK66" s="113" t="s">
        <v>39</v>
      </c>
      <c r="LGL66" s="169"/>
      <c r="LGM66" s="119" t="s">
        <v>92</v>
      </c>
      <c r="LGN66" s="167"/>
      <c r="LGO66" s="168"/>
      <c r="LGP66" s="113" t="s">
        <v>22</v>
      </c>
      <c r="LGQ66" s="114">
        <v>8150</v>
      </c>
      <c r="LGR66" s="122">
        <v>85</v>
      </c>
      <c r="LGS66" s="123">
        <v>215</v>
      </c>
      <c r="LGT66" s="123">
        <v>75</v>
      </c>
      <c r="LGU66" s="122">
        <v>150</v>
      </c>
      <c r="LGV66" s="124">
        <f>SUM(LGQ66:LGU66)</f>
        <v>8675</v>
      </c>
      <c r="LGW66" s="122">
        <v>200</v>
      </c>
      <c r="LGX66" s="124">
        <f>SUM(LGV66:LGW66)</f>
        <v>8875</v>
      </c>
      <c r="LGY66" s="117" t="s">
        <v>99</v>
      </c>
      <c r="LGZ66" s="118">
        <v>45845</v>
      </c>
      <c r="LHA66" s="113" t="s">
        <v>39</v>
      </c>
      <c r="LHB66" s="169"/>
      <c r="LHC66" s="119" t="s">
        <v>92</v>
      </c>
      <c r="LHD66" s="167"/>
      <c r="LHE66" s="168"/>
      <c r="LHF66" s="113" t="s">
        <v>22</v>
      </c>
      <c r="LHG66" s="114">
        <v>8150</v>
      </c>
      <c r="LHH66" s="122">
        <v>85</v>
      </c>
      <c r="LHI66" s="123">
        <v>215</v>
      </c>
      <c r="LHJ66" s="123">
        <v>75</v>
      </c>
      <c r="LHK66" s="122">
        <v>150</v>
      </c>
      <c r="LHL66" s="124">
        <f>SUM(LHG66:LHK66)</f>
        <v>8675</v>
      </c>
      <c r="LHM66" s="122">
        <v>200</v>
      </c>
      <c r="LHN66" s="124">
        <f>SUM(LHL66:LHM66)</f>
        <v>8875</v>
      </c>
      <c r="LHO66" s="117" t="s">
        <v>99</v>
      </c>
      <c r="LHP66" s="118">
        <v>45845</v>
      </c>
      <c r="LHQ66" s="113" t="s">
        <v>39</v>
      </c>
      <c r="LHR66" s="169"/>
      <c r="LHS66" s="119" t="s">
        <v>92</v>
      </c>
      <c r="LHT66" s="167"/>
      <c r="LHU66" s="168"/>
      <c r="LHV66" s="113" t="s">
        <v>22</v>
      </c>
      <c r="LHW66" s="114">
        <v>8150</v>
      </c>
      <c r="LHX66" s="122">
        <v>85</v>
      </c>
      <c r="LHY66" s="123">
        <v>215</v>
      </c>
      <c r="LHZ66" s="123">
        <v>75</v>
      </c>
      <c r="LIA66" s="122">
        <v>150</v>
      </c>
      <c r="LIB66" s="124">
        <f>SUM(LHW66:LIA66)</f>
        <v>8675</v>
      </c>
      <c r="LIC66" s="122">
        <v>200</v>
      </c>
      <c r="LID66" s="124">
        <f>SUM(LIB66:LIC66)</f>
        <v>8875</v>
      </c>
      <c r="LIE66" s="117" t="s">
        <v>99</v>
      </c>
      <c r="LIF66" s="118">
        <v>45845</v>
      </c>
      <c r="LIG66" s="113" t="s">
        <v>39</v>
      </c>
      <c r="LIH66" s="169"/>
      <c r="LII66" s="119" t="s">
        <v>92</v>
      </c>
      <c r="LIJ66" s="167"/>
      <c r="LIK66" s="168"/>
      <c r="LIL66" s="113" t="s">
        <v>22</v>
      </c>
      <c r="LIM66" s="114">
        <v>8150</v>
      </c>
      <c r="LIN66" s="122">
        <v>85</v>
      </c>
      <c r="LIO66" s="123">
        <v>215</v>
      </c>
      <c r="LIP66" s="123">
        <v>75</v>
      </c>
      <c r="LIQ66" s="122">
        <v>150</v>
      </c>
      <c r="LIR66" s="124">
        <f>SUM(LIM66:LIQ66)</f>
        <v>8675</v>
      </c>
      <c r="LIS66" s="122">
        <v>200</v>
      </c>
      <c r="LIT66" s="124">
        <f>SUM(LIR66:LIS66)</f>
        <v>8875</v>
      </c>
      <c r="LIU66" s="117" t="s">
        <v>99</v>
      </c>
      <c r="LIV66" s="118">
        <v>45845</v>
      </c>
      <c r="LIW66" s="113" t="s">
        <v>39</v>
      </c>
      <c r="LIX66" s="169"/>
      <c r="LIY66" s="119" t="s">
        <v>92</v>
      </c>
      <c r="LIZ66" s="167"/>
      <c r="LJA66" s="168"/>
      <c r="LJB66" s="113" t="s">
        <v>22</v>
      </c>
      <c r="LJC66" s="114">
        <v>8150</v>
      </c>
      <c r="LJD66" s="122">
        <v>85</v>
      </c>
      <c r="LJE66" s="123">
        <v>215</v>
      </c>
      <c r="LJF66" s="123">
        <v>75</v>
      </c>
      <c r="LJG66" s="122">
        <v>150</v>
      </c>
      <c r="LJH66" s="124">
        <f>SUM(LJC66:LJG66)</f>
        <v>8675</v>
      </c>
      <c r="LJI66" s="122">
        <v>200</v>
      </c>
      <c r="LJJ66" s="124">
        <f>SUM(LJH66:LJI66)</f>
        <v>8875</v>
      </c>
      <c r="LJK66" s="117" t="s">
        <v>99</v>
      </c>
      <c r="LJL66" s="118">
        <v>45845</v>
      </c>
      <c r="LJM66" s="113" t="s">
        <v>39</v>
      </c>
      <c r="LJN66" s="169"/>
      <c r="LJO66" s="119" t="s">
        <v>92</v>
      </c>
      <c r="LJP66" s="167"/>
      <c r="LJQ66" s="168"/>
      <c r="LJR66" s="113" t="s">
        <v>22</v>
      </c>
      <c r="LJS66" s="114">
        <v>8150</v>
      </c>
      <c r="LJT66" s="122">
        <v>85</v>
      </c>
      <c r="LJU66" s="123">
        <v>215</v>
      </c>
      <c r="LJV66" s="123">
        <v>75</v>
      </c>
      <c r="LJW66" s="122">
        <v>150</v>
      </c>
      <c r="LJX66" s="124">
        <f>SUM(LJS66:LJW66)</f>
        <v>8675</v>
      </c>
      <c r="LJY66" s="122">
        <v>200</v>
      </c>
      <c r="LJZ66" s="124">
        <f>SUM(LJX66:LJY66)</f>
        <v>8875</v>
      </c>
      <c r="LKA66" s="117" t="s">
        <v>99</v>
      </c>
      <c r="LKB66" s="118">
        <v>45845</v>
      </c>
      <c r="LKC66" s="113" t="s">
        <v>39</v>
      </c>
      <c r="LKD66" s="169"/>
      <c r="LKE66" s="119" t="s">
        <v>92</v>
      </c>
      <c r="LKF66" s="167"/>
      <c r="LKG66" s="168"/>
      <c r="LKH66" s="113" t="s">
        <v>22</v>
      </c>
      <c r="LKI66" s="114">
        <v>8150</v>
      </c>
      <c r="LKJ66" s="122">
        <v>85</v>
      </c>
      <c r="LKK66" s="123">
        <v>215</v>
      </c>
      <c r="LKL66" s="123">
        <v>75</v>
      </c>
      <c r="LKM66" s="122">
        <v>150</v>
      </c>
      <c r="LKN66" s="124">
        <f>SUM(LKI66:LKM66)</f>
        <v>8675</v>
      </c>
      <c r="LKO66" s="122">
        <v>200</v>
      </c>
      <c r="LKP66" s="124">
        <f>SUM(LKN66:LKO66)</f>
        <v>8875</v>
      </c>
      <c r="LKQ66" s="117" t="s">
        <v>99</v>
      </c>
      <c r="LKR66" s="118">
        <v>45845</v>
      </c>
      <c r="LKS66" s="113" t="s">
        <v>39</v>
      </c>
      <c r="LKT66" s="169"/>
      <c r="LKU66" s="119" t="s">
        <v>92</v>
      </c>
      <c r="LKV66" s="167"/>
      <c r="LKW66" s="168"/>
      <c r="LKX66" s="113" t="s">
        <v>22</v>
      </c>
      <c r="LKY66" s="114">
        <v>8150</v>
      </c>
      <c r="LKZ66" s="122">
        <v>85</v>
      </c>
      <c r="LLA66" s="123">
        <v>215</v>
      </c>
      <c r="LLB66" s="123">
        <v>75</v>
      </c>
      <c r="LLC66" s="122">
        <v>150</v>
      </c>
      <c r="LLD66" s="124">
        <f>SUM(LKY66:LLC66)</f>
        <v>8675</v>
      </c>
      <c r="LLE66" s="122">
        <v>200</v>
      </c>
      <c r="LLF66" s="124">
        <f>SUM(LLD66:LLE66)</f>
        <v>8875</v>
      </c>
      <c r="LLG66" s="117" t="s">
        <v>99</v>
      </c>
      <c r="LLH66" s="118">
        <v>45845</v>
      </c>
      <c r="LLI66" s="113" t="s">
        <v>39</v>
      </c>
      <c r="LLJ66" s="169"/>
      <c r="LLK66" s="119" t="s">
        <v>92</v>
      </c>
      <c r="LLL66" s="167"/>
      <c r="LLM66" s="168"/>
      <c r="LLN66" s="113" t="s">
        <v>22</v>
      </c>
      <c r="LLO66" s="114">
        <v>8150</v>
      </c>
      <c r="LLP66" s="122">
        <v>85</v>
      </c>
      <c r="LLQ66" s="123">
        <v>215</v>
      </c>
      <c r="LLR66" s="123">
        <v>75</v>
      </c>
      <c r="LLS66" s="122">
        <v>150</v>
      </c>
      <c r="LLT66" s="124">
        <f>SUM(LLO66:LLS66)</f>
        <v>8675</v>
      </c>
      <c r="LLU66" s="122">
        <v>200</v>
      </c>
      <c r="LLV66" s="124">
        <f>SUM(LLT66:LLU66)</f>
        <v>8875</v>
      </c>
      <c r="LLW66" s="117" t="s">
        <v>99</v>
      </c>
      <c r="LLX66" s="118">
        <v>45845</v>
      </c>
      <c r="LLY66" s="113" t="s">
        <v>39</v>
      </c>
      <c r="LLZ66" s="169"/>
      <c r="LMA66" s="119" t="s">
        <v>92</v>
      </c>
      <c r="LMB66" s="167"/>
      <c r="LMC66" s="168"/>
      <c r="LMD66" s="113" t="s">
        <v>22</v>
      </c>
      <c r="LME66" s="114">
        <v>8150</v>
      </c>
      <c r="LMF66" s="122">
        <v>85</v>
      </c>
      <c r="LMG66" s="123">
        <v>215</v>
      </c>
      <c r="LMH66" s="123">
        <v>75</v>
      </c>
      <c r="LMI66" s="122">
        <v>150</v>
      </c>
      <c r="LMJ66" s="124">
        <f>SUM(LME66:LMI66)</f>
        <v>8675</v>
      </c>
      <c r="LMK66" s="122">
        <v>200</v>
      </c>
      <c r="LML66" s="124">
        <f>SUM(LMJ66:LMK66)</f>
        <v>8875</v>
      </c>
      <c r="LMM66" s="117" t="s">
        <v>99</v>
      </c>
      <c r="LMN66" s="118">
        <v>45845</v>
      </c>
      <c r="LMO66" s="113" t="s">
        <v>39</v>
      </c>
      <c r="LMP66" s="169"/>
      <c r="LMQ66" s="119" t="s">
        <v>92</v>
      </c>
      <c r="LMR66" s="167"/>
      <c r="LMS66" s="168"/>
      <c r="LMT66" s="113" t="s">
        <v>22</v>
      </c>
      <c r="LMU66" s="114">
        <v>8150</v>
      </c>
      <c r="LMV66" s="122">
        <v>85</v>
      </c>
      <c r="LMW66" s="123">
        <v>215</v>
      </c>
      <c r="LMX66" s="123">
        <v>75</v>
      </c>
      <c r="LMY66" s="122">
        <v>150</v>
      </c>
      <c r="LMZ66" s="124">
        <f>SUM(LMU66:LMY66)</f>
        <v>8675</v>
      </c>
      <c r="LNA66" s="122">
        <v>200</v>
      </c>
      <c r="LNB66" s="124">
        <f>SUM(LMZ66:LNA66)</f>
        <v>8875</v>
      </c>
      <c r="LNC66" s="117" t="s">
        <v>99</v>
      </c>
      <c r="LND66" s="118">
        <v>45845</v>
      </c>
      <c r="LNE66" s="113" t="s">
        <v>39</v>
      </c>
      <c r="LNF66" s="169"/>
      <c r="LNG66" s="119" t="s">
        <v>92</v>
      </c>
      <c r="LNH66" s="167"/>
      <c r="LNI66" s="168"/>
      <c r="LNJ66" s="113" t="s">
        <v>22</v>
      </c>
      <c r="LNK66" s="114">
        <v>8150</v>
      </c>
      <c r="LNL66" s="122">
        <v>85</v>
      </c>
      <c r="LNM66" s="123">
        <v>215</v>
      </c>
      <c r="LNN66" s="123">
        <v>75</v>
      </c>
      <c r="LNO66" s="122">
        <v>150</v>
      </c>
      <c r="LNP66" s="124">
        <f>SUM(LNK66:LNO66)</f>
        <v>8675</v>
      </c>
      <c r="LNQ66" s="122">
        <v>200</v>
      </c>
      <c r="LNR66" s="124">
        <f>SUM(LNP66:LNQ66)</f>
        <v>8875</v>
      </c>
      <c r="LNS66" s="117" t="s">
        <v>99</v>
      </c>
      <c r="LNT66" s="118">
        <v>45845</v>
      </c>
      <c r="LNU66" s="113" t="s">
        <v>39</v>
      </c>
      <c r="LNV66" s="169"/>
      <c r="LNW66" s="119" t="s">
        <v>92</v>
      </c>
      <c r="LNX66" s="167"/>
      <c r="LNY66" s="168"/>
      <c r="LNZ66" s="113" t="s">
        <v>22</v>
      </c>
      <c r="LOA66" s="114">
        <v>8150</v>
      </c>
      <c r="LOB66" s="122">
        <v>85</v>
      </c>
      <c r="LOC66" s="123">
        <v>215</v>
      </c>
      <c r="LOD66" s="123">
        <v>75</v>
      </c>
      <c r="LOE66" s="122">
        <v>150</v>
      </c>
      <c r="LOF66" s="124">
        <f>SUM(LOA66:LOE66)</f>
        <v>8675</v>
      </c>
      <c r="LOG66" s="122">
        <v>200</v>
      </c>
      <c r="LOH66" s="124">
        <f>SUM(LOF66:LOG66)</f>
        <v>8875</v>
      </c>
      <c r="LOI66" s="117" t="s">
        <v>99</v>
      </c>
      <c r="LOJ66" s="118">
        <v>45845</v>
      </c>
      <c r="LOK66" s="113" t="s">
        <v>39</v>
      </c>
      <c r="LOL66" s="169"/>
      <c r="LOM66" s="119" t="s">
        <v>92</v>
      </c>
      <c r="LON66" s="167"/>
      <c r="LOO66" s="168"/>
      <c r="LOP66" s="113" t="s">
        <v>22</v>
      </c>
      <c r="LOQ66" s="114">
        <v>8150</v>
      </c>
      <c r="LOR66" s="122">
        <v>85</v>
      </c>
      <c r="LOS66" s="123">
        <v>215</v>
      </c>
      <c r="LOT66" s="123">
        <v>75</v>
      </c>
      <c r="LOU66" s="122">
        <v>150</v>
      </c>
      <c r="LOV66" s="124">
        <f>SUM(LOQ66:LOU66)</f>
        <v>8675</v>
      </c>
      <c r="LOW66" s="122">
        <v>200</v>
      </c>
      <c r="LOX66" s="124">
        <f>SUM(LOV66:LOW66)</f>
        <v>8875</v>
      </c>
      <c r="LOY66" s="117" t="s">
        <v>99</v>
      </c>
      <c r="LOZ66" s="118">
        <v>45845</v>
      </c>
      <c r="LPA66" s="113" t="s">
        <v>39</v>
      </c>
      <c r="LPB66" s="169"/>
      <c r="LPC66" s="119" t="s">
        <v>92</v>
      </c>
      <c r="LPD66" s="167"/>
      <c r="LPE66" s="168"/>
      <c r="LPF66" s="113" t="s">
        <v>22</v>
      </c>
      <c r="LPG66" s="114">
        <v>8150</v>
      </c>
      <c r="LPH66" s="122">
        <v>85</v>
      </c>
      <c r="LPI66" s="123">
        <v>215</v>
      </c>
      <c r="LPJ66" s="123">
        <v>75</v>
      </c>
      <c r="LPK66" s="122">
        <v>150</v>
      </c>
      <c r="LPL66" s="124">
        <f>SUM(LPG66:LPK66)</f>
        <v>8675</v>
      </c>
      <c r="LPM66" s="122">
        <v>200</v>
      </c>
      <c r="LPN66" s="124">
        <f>SUM(LPL66:LPM66)</f>
        <v>8875</v>
      </c>
      <c r="LPO66" s="117" t="s">
        <v>99</v>
      </c>
      <c r="LPP66" s="118">
        <v>45845</v>
      </c>
      <c r="LPQ66" s="113" t="s">
        <v>39</v>
      </c>
      <c r="LPR66" s="169"/>
      <c r="LPS66" s="119" t="s">
        <v>92</v>
      </c>
      <c r="LPT66" s="167"/>
      <c r="LPU66" s="168"/>
      <c r="LPV66" s="113" t="s">
        <v>22</v>
      </c>
      <c r="LPW66" s="114">
        <v>8150</v>
      </c>
      <c r="LPX66" s="122">
        <v>85</v>
      </c>
      <c r="LPY66" s="123">
        <v>215</v>
      </c>
      <c r="LPZ66" s="123">
        <v>75</v>
      </c>
      <c r="LQA66" s="122">
        <v>150</v>
      </c>
      <c r="LQB66" s="124">
        <f>SUM(LPW66:LQA66)</f>
        <v>8675</v>
      </c>
      <c r="LQC66" s="122">
        <v>200</v>
      </c>
      <c r="LQD66" s="124">
        <f>SUM(LQB66:LQC66)</f>
        <v>8875</v>
      </c>
      <c r="LQE66" s="117" t="s">
        <v>99</v>
      </c>
      <c r="LQF66" s="118">
        <v>45845</v>
      </c>
      <c r="LQG66" s="113" t="s">
        <v>39</v>
      </c>
      <c r="LQH66" s="169"/>
      <c r="LQI66" s="119" t="s">
        <v>92</v>
      </c>
      <c r="LQJ66" s="167"/>
      <c r="LQK66" s="168"/>
      <c r="LQL66" s="113" t="s">
        <v>22</v>
      </c>
      <c r="LQM66" s="114">
        <v>8150</v>
      </c>
      <c r="LQN66" s="122">
        <v>85</v>
      </c>
      <c r="LQO66" s="123">
        <v>215</v>
      </c>
      <c r="LQP66" s="123">
        <v>75</v>
      </c>
      <c r="LQQ66" s="122">
        <v>150</v>
      </c>
      <c r="LQR66" s="124">
        <f>SUM(LQM66:LQQ66)</f>
        <v>8675</v>
      </c>
      <c r="LQS66" s="122">
        <v>200</v>
      </c>
      <c r="LQT66" s="124">
        <f>SUM(LQR66:LQS66)</f>
        <v>8875</v>
      </c>
      <c r="LQU66" s="117" t="s">
        <v>99</v>
      </c>
      <c r="LQV66" s="118">
        <v>45845</v>
      </c>
      <c r="LQW66" s="113" t="s">
        <v>39</v>
      </c>
      <c r="LQX66" s="169"/>
      <c r="LQY66" s="119" t="s">
        <v>92</v>
      </c>
      <c r="LQZ66" s="167"/>
      <c r="LRA66" s="168"/>
      <c r="LRB66" s="113" t="s">
        <v>22</v>
      </c>
      <c r="LRC66" s="114">
        <v>8150</v>
      </c>
      <c r="LRD66" s="122">
        <v>85</v>
      </c>
      <c r="LRE66" s="123">
        <v>215</v>
      </c>
      <c r="LRF66" s="123">
        <v>75</v>
      </c>
      <c r="LRG66" s="122">
        <v>150</v>
      </c>
      <c r="LRH66" s="124">
        <f>SUM(LRC66:LRG66)</f>
        <v>8675</v>
      </c>
      <c r="LRI66" s="122">
        <v>200</v>
      </c>
      <c r="LRJ66" s="124">
        <f>SUM(LRH66:LRI66)</f>
        <v>8875</v>
      </c>
      <c r="LRK66" s="117" t="s">
        <v>99</v>
      </c>
      <c r="LRL66" s="118">
        <v>45845</v>
      </c>
      <c r="LRM66" s="113" t="s">
        <v>39</v>
      </c>
      <c r="LRN66" s="169"/>
      <c r="LRO66" s="119" t="s">
        <v>92</v>
      </c>
      <c r="LRP66" s="167"/>
      <c r="LRQ66" s="168"/>
      <c r="LRR66" s="113" t="s">
        <v>22</v>
      </c>
      <c r="LRS66" s="114">
        <v>8150</v>
      </c>
      <c r="LRT66" s="122">
        <v>85</v>
      </c>
      <c r="LRU66" s="123">
        <v>215</v>
      </c>
      <c r="LRV66" s="123">
        <v>75</v>
      </c>
      <c r="LRW66" s="122">
        <v>150</v>
      </c>
      <c r="LRX66" s="124">
        <f>SUM(LRS66:LRW66)</f>
        <v>8675</v>
      </c>
      <c r="LRY66" s="122">
        <v>200</v>
      </c>
      <c r="LRZ66" s="124">
        <f>SUM(LRX66:LRY66)</f>
        <v>8875</v>
      </c>
      <c r="LSA66" s="117" t="s">
        <v>99</v>
      </c>
      <c r="LSB66" s="118">
        <v>45845</v>
      </c>
      <c r="LSC66" s="113" t="s">
        <v>39</v>
      </c>
      <c r="LSD66" s="169"/>
      <c r="LSE66" s="119" t="s">
        <v>92</v>
      </c>
      <c r="LSF66" s="167"/>
      <c r="LSG66" s="168"/>
      <c r="LSH66" s="113" t="s">
        <v>22</v>
      </c>
      <c r="LSI66" s="114">
        <v>8150</v>
      </c>
      <c r="LSJ66" s="122">
        <v>85</v>
      </c>
      <c r="LSK66" s="123">
        <v>215</v>
      </c>
      <c r="LSL66" s="123">
        <v>75</v>
      </c>
      <c r="LSM66" s="122">
        <v>150</v>
      </c>
      <c r="LSN66" s="124">
        <f>SUM(LSI66:LSM66)</f>
        <v>8675</v>
      </c>
      <c r="LSO66" s="122">
        <v>200</v>
      </c>
      <c r="LSP66" s="124">
        <f>SUM(LSN66:LSO66)</f>
        <v>8875</v>
      </c>
      <c r="LSQ66" s="117" t="s">
        <v>99</v>
      </c>
      <c r="LSR66" s="118">
        <v>45845</v>
      </c>
      <c r="LSS66" s="113" t="s">
        <v>39</v>
      </c>
      <c r="LST66" s="169"/>
      <c r="LSU66" s="119" t="s">
        <v>92</v>
      </c>
      <c r="LSV66" s="167"/>
      <c r="LSW66" s="168"/>
      <c r="LSX66" s="113" t="s">
        <v>22</v>
      </c>
      <c r="LSY66" s="114">
        <v>8150</v>
      </c>
      <c r="LSZ66" s="122">
        <v>85</v>
      </c>
      <c r="LTA66" s="123">
        <v>215</v>
      </c>
      <c r="LTB66" s="123">
        <v>75</v>
      </c>
      <c r="LTC66" s="122">
        <v>150</v>
      </c>
      <c r="LTD66" s="124">
        <f>SUM(LSY66:LTC66)</f>
        <v>8675</v>
      </c>
      <c r="LTE66" s="122">
        <v>200</v>
      </c>
      <c r="LTF66" s="124">
        <f>SUM(LTD66:LTE66)</f>
        <v>8875</v>
      </c>
      <c r="LTG66" s="117" t="s">
        <v>99</v>
      </c>
      <c r="LTH66" s="118">
        <v>45845</v>
      </c>
      <c r="LTI66" s="113" t="s">
        <v>39</v>
      </c>
      <c r="LTJ66" s="169"/>
      <c r="LTK66" s="119" t="s">
        <v>92</v>
      </c>
      <c r="LTL66" s="167"/>
      <c r="LTM66" s="168"/>
      <c r="LTN66" s="113" t="s">
        <v>22</v>
      </c>
      <c r="LTO66" s="114">
        <v>8150</v>
      </c>
      <c r="LTP66" s="122">
        <v>85</v>
      </c>
      <c r="LTQ66" s="123">
        <v>215</v>
      </c>
      <c r="LTR66" s="123">
        <v>75</v>
      </c>
      <c r="LTS66" s="122">
        <v>150</v>
      </c>
      <c r="LTT66" s="124">
        <f>SUM(LTO66:LTS66)</f>
        <v>8675</v>
      </c>
      <c r="LTU66" s="122">
        <v>200</v>
      </c>
      <c r="LTV66" s="124">
        <f>SUM(LTT66:LTU66)</f>
        <v>8875</v>
      </c>
      <c r="LTW66" s="117" t="s">
        <v>99</v>
      </c>
      <c r="LTX66" s="118">
        <v>45845</v>
      </c>
      <c r="LTY66" s="113" t="s">
        <v>39</v>
      </c>
      <c r="LTZ66" s="169"/>
      <c r="LUA66" s="119" t="s">
        <v>92</v>
      </c>
      <c r="LUB66" s="167"/>
      <c r="LUC66" s="168"/>
      <c r="LUD66" s="113" t="s">
        <v>22</v>
      </c>
      <c r="LUE66" s="114">
        <v>8150</v>
      </c>
      <c r="LUF66" s="122">
        <v>85</v>
      </c>
      <c r="LUG66" s="123">
        <v>215</v>
      </c>
      <c r="LUH66" s="123">
        <v>75</v>
      </c>
      <c r="LUI66" s="122">
        <v>150</v>
      </c>
      <c r="LUJ66" s="124">
        <f>SUM(LUE66:LUI66)</f>
        <v>8675</v>
      </c>
      <c r="LUK66" s="122">
        <v>200</v>
      </c>
      <c r="LUL66" s="124">
        <f>SUM(LUJ66:LUK66)</f>
        <v>8875</v>
      </c>
      <c r="LUM66" s="117" t="s">
        <v>99</v>
      </c>
      <c r="LUN66" s="118">
        <v>45845</v>
      </c>
      <c r="LUO66" s="113" t="s">
        <v>39</v>
      </c>
      <c r="LUP66" s="169"/>
      <c r="LUQ66" s="119" t="s">
        <v>92</v>
      </c>
      <c r="LUR66" s="167"/>
      <c r="LUS66" s="168"/>
      <c r="LUT66" s="113" t="s">
        <v>22</v>
      </c>
      <c r="LUU66" s="114">
        <v>8150</v>
      </c>
      <c r="LUV66" s="122">
        <v>85</v>
      </c>
      <c r="LUW66" s="123">
        <v>215</v>
      </c>
      <c r="LUX66" s="123">
        <v>75</v>
      </c>
      <c r="LUY66" s="122">
        <v>150</v>
      </c>
      <c r="LUZ66" s="124">
        <f>SUM(LUU66:LUY66)</f>
        <v>8675</v>
      </c>
      <c r="LVA66" s="122">
        <v>200</v>
      </c>
      <c r="LVB66" s="124">
        <f>SUM(LUZ66:LVA66)</f>
        <v>8875</v>
      </c>
      <c r="LVC66" s="117" t="s">
        <v>99</v>
      </c>
      <c r="LVD66" s="118">
        <v>45845</v>
      </c>
      <c r="LVE66" s="113" t="s">
        <v>39</v>
      </c>
      <c r="LVF66" s="169"/>
      <c r="LVG66" s="119" t="s">
        <v>92</v>
      </c>
      <c r="LVH66" s="167"/>
      <c r="LVI66" s="168"/>
      <c r="LVJ66" s="113" t="s">
        <v>22</v>
      </c>
      <c r="LVK66" s="114">
        <v>8150</v>
      </c>
      <c r="LVL66" s="122">
        <v>85</v>
      </c>
      <c r="LVM66" s="123">
        <v>215</v>
      </c>
      <c r="LVN66" s="123">
        <v>75</v>
      </c>
      <c r="LVO66" s="122">
        <v>150</v>
      </c>
      <c r="LVP66" s="124">
        <f>SUM(LVK66:LVO66)</f>
        <v>8675</v>
      </c>
      <c r="LVQ66" s="122">
        <v>200</v>
      </c>
      <c r="LVR66" s="124">
        <f>SUM(LVP66:LVQ66)</f>
        <v>8875</v>
      </c>
      <c r="LVS66" s="117" t="s">
        <v>99</v>
      </c>
      <c r="LVT66" s="118">
        <v>45845</v>
      </c>
      <c r="LVU66" s="113" t="s">
        <v>39</v>
      </c>
      <c r="LVV66" s="169"/>
      <c r="LVW66" s="119" t="s">
        <v>92</v>
      </c>
      <c r="LVX66" s="167"/>
      <c r="LVY66" s="168"/>
      <c r="LVZ66" s="113" t="s">
        <v>22</v>
      </c>
      <c r="LWA66" s="114">
        <v>8150</v>
      </c>
      <c r="LWB66" s="122">
        <v>85</v>
      </c>
      <c r="LWC66" s="123">
        <v>215</v>
      </c>
      <c r="LWD66" s="123">
        <v>75</v>
      </c>
      <c r="LWE66" s="122">
        <v>150</v>
      </c>
      <c r="LWF66" s="124">
        <f>SUM(LWA66:LWE66)</f>
        <v>8675</v>
      </c>
      <c r="LWG66" s="122">
        <v>200</v>
      </c>
      <c r="LWH66" s="124">
        <f>SUM(LWF66:LWG66)</f>
        <v>8875</v>
      </c>
      <c r="LWI66" s="117" t="s">
        <v>99</v>
      </c>
      <c r="LWJ66" s="118">
        <v>45845</v>
      </c>
      <c r="LWK66" s="113" t="s">
        <v>39</v>
      </c>
      <c r="LWL66" s="169"/>
      <c r="LWM66" s="119" t="s">
        <v>92</v>
      </c>
      <c r="LWN66" s="167"/>
      <c r="LWO66" s="168"/>
      <c r="LWP66" s="113" t="s">
        <v>22</v>
      </c>
      <c r="LWQ66" s="114">
        <v>8150</v>
      </c>
      <c r="LWR66" s="122">
        <v>85</v>
      </c>
      <c r="LWS66" s="123">
        <v>215</v>
      </c>
      <c r="LWT66" s="123">
        <v>75</v>
      </c>
      <c r="LWU66" s="122">
        <v>150</v>
      </c>
      <c r="LWV66" s="124">
        <f>SUM(LWQ66:LWU66)</f>
        <v>8675</v>
      </c>
      <c r="LWW66" s="122">
        <v>200</v>
      </c>
      <c r="LWX66" s="124">
        <f>SUM(LWV66:LWW66)</f>
        <v>8875</v>
      </c>
      <c r="LWY66" s="117" t="s">
        <v>99</v>
      </c>
      <c r="LWZ66" s="118">
        <v>45845</v>
      </c>
      <c r="LXA66" s="113" t="s">
        <v>39</v>
      </c>
      <c r="LXB66" s="169"/>
      <c r="LXC66" s="119" t="s">
        <v>92</v>
      </c>
      <c r="LXD66" s="167"/>
      <c r="LXE66" s="168"/>
      <c r="LXF66" s="113" t="s">
        <v>22</v>
      </c>
      <c r="LXG66" s="114">
        <v>8150</v>
      </c>
      <c r="LXH66" s="122">
        <v>85</v>
      </c>
      <c r="LXI66" s="123">
        <v>215</v>
      </c>
      <c r="LXJ66" s="123">
        <v>75</v>
      </c>
      <c r="LXK66" s="122">
        <v>150</v>
      </c>
      <c r="LXL66" s="124">
        <f>SUM(LXG66:LXK66)</f>
        <v>8675</v>
      </c>
      <c r="LXM66" s="122">
        <v>200</v>
      </c>
      <c r="LXN66" s="124">
        <f>SUM(LXL66:LXM66)</f>
        <v>8875</v>
      </c>
      <c r="LXO66" s="117" t="s">
        <v>99</v>
      </c>
      <c r="LXP66" s="118">
        <v>45845</v>
      </c>
      <c r="LXQ66" s="113" t="s">
        <v>39</v>
      </c>
      <c r="LXR66" s="169"/>
      <c r="LXS66" s="119" t="s">
        <v>92</v>
      </c>
      <c r="LXT66" s="167"/>
      <c r="LXU66" s="168"/>
      <c r="LXV66" s="113" t="s">
        <v>22</v>
      </c>
      <c r="LXW66" s="114">
        <v>8150</v>
      </c>
      <c r="LXX66" s="122">
        <v>85</v>
      </c>
      <c r="LXY66" s="123">
        <v>215</v>
      </c>
      <c r="LXZ66" s="123">
        <v>75</v>
      </c>
      <c r="LYA66" s="122">
        <v>150</v>
      </c>
      <c r="LYB66" s="124">
        <f>SUM(LXW66:LYA66)</f>
        <v>8675</v>
      </c>
      <c r="LYC66" s="122">
        <v>200</v>
      </c>
      <c r="LYD66" s="124">
        <f>SUM(LYB66:LYC66)</f>
        <v>8875</v>
      </c>
      <c r="LYE66" s="117" t="s">
        <v>99</v>
      </c>
      <c r="LYF66" s="118">
        <v>45845</v>
      </c>
      <c r="LYG66" s="113" t="s">
        <v>39</v>
      </c>
      <c r="LYH66" s="169"/>
      <c r="LYI66" s="119" t="s">
        <v>92</v>
      </c>
      <c r="LYJ66" s="167"/>
      <c r="LYK66" s="168"/>
      <c r="LYL66" s="113" t="s">
        <v>22</v>
      </c>
      <c r="LYM66" s="114">
        <v>8150</v>
      </c>
      <c r="LYN66" s="122">
        <v>85</v>
      </c>
      <c r="LYO66" s="123">
        <v>215</v>
      </c>
      <c r="LYP66" s="123">
        <v>75</v>
      </c>
      <c r="LYQ66" s="122">
        <v>150</v>
      </c>
      <c r="LYR66" s="124">
        <f>SUM(LYM66:LYQ66)</f>
        <v>8675</v>
      </c>
      <c r="LYS66" s="122">
        <v>200</v>
      </c>
      <c r="LYT66" s="124">
        <f>SUM(LYR66:LYS66)</f>
        <v>8875</v>
      </c>
      <c r="LYU66" s="117" t="s">
        <v>99</v>
      </c>
      <c r="LYV66" s="118">
        <v>45845</v>
      </c>
      <c r="LYW66" s="113" t="s">
        <v>39</v>
      </c>
      <c r="LYX66" s="169"/>
      <c r="LYY66" s="119" t="s">
        <v>92</v>
      </c>
      <c r="LYZ66" s="167"/>
      <c r="LZA66" s="168"/>
      <c r="LZB66" s="113" t="s">
        <v>22</v>
      </c>
      <c r="LZC66" s="114">
        <v>8150</v>
      </c>
      <c r="LZD66" s="122">
        <v>85</v>
      </c>
      <c r="LZE66" s="123">
        <v>215</v>
      </c>
      <c r="LZF66" s="123">
        <v>75</v>
      </c>
      <c r="LZG66" s="122">
        <v>150</v>
      </c>
      <c r="LZH66" s="124">
        <f>SUM(LZC66:LZG66)</f>
        <v>8675</v>
      </c>
      <c r="LZI66" s="122">
        <v>200</v>
      </c>
      <c r="LZJ66" s="124">
        <f>SUM(LZH66:LZI66)</f>
        <v>8875</v>
      </c>
      <c r="LZK66" s="117" t="s">
        <v>99</v>
      </c>
      <c r="LZL66" s="118">
        <v>45845</v>
      </c>
      <c r="LZM66" s="113" t="s">
        <v>39</v>
      </c>
      <c r="LZN66" s="169"/>
      <c r="LZO66" s="119" t="s">
        <v>92</v>
      </c>
      <c r="LZP66" s="167"/>
      <c r="LZQ66" s="168"/>
      <c r="LZR66" s="113" t="s">
        <v>22</v>
      </c>
      <c r="LZS66" s="114">
        <v>8150</v>
      </c>
      <c r="LZT66" s="122">
        <v>85</v>
      </c>
      <c r="LZU66" s="123">
        <v>215</v>
      </c>
      <c r="LZV66" s="123">
        <v>75</v>
      </c>
      <c r="LZW66" s="122">
        <v>150</v>
      </c>
      <c r="LZX66" s="124">
        <f>SUM(LZS66:LZW66)</f>
        <v>8675</v>
      </c>
      <c r="LZY66" s="122">
        <v>200</v>
      </c>
      <c r="LZZ66" s="124">
        <f>SUM(LZX66:LZY66)</f>
        <v>8875</v>
      </c>
      <c r="MAA66" s="117" t="s">
        <v>99</v>
      </c>
      <c r="MAB66" s="118">
        <v>45845</v>
      </c>
      <c r="MAC66" s="113" t="s">
        <v>39</v>
      </c>
      <c r="MAD66" s="169"/>
      <c r="MAE66" s="119" t="s">
        <v>92</v>
      </c>
      <c r="MAF66" s="167"/>
      <c r="MAG66" s="168"/>
      <c r="MAH66" s="113" t="s">
        <v>22</v>
      </c>
      <c r="MAI66" s="114">
        <v>8150</v>
      </c>
      <c r="MAJ66" s="122">
        <v>85</v>
      </c>
      <c r="MAK66" s="123">
        <v>215</v>
      </c>
      <c r="MAL66" s="123">
        <v>75</v>
      </c>
      <c r="MAM66" s="122">
        <v>150</v>
      </c>
      <c r="MAN66" s="124">
        <f>SUM(MAI66:MAM66)</f>
        <v>8675</v>
      </c>
      <c r="MAO66" s="122">
        <v>200</v>
      </c>
      <c r="MAP66" s="124">
        <f>SUM(MAN66:MAO66)</f>
        <v>8875</v>
      </c>
      <c r="MAQ66" s="117" t="s">
        <v>99</v>
      </c>
      <c r="MAR66" s="118">
        <v>45845</v>
      </c>
      <c r="MAS66" s="113" t="s">
        <v>39</v>
      </c>
      <c r="MAT66" s="169"/>
      <c r="MAU66" s="119" t="s">
        <v>92</v>
      </c>
      <c r="MAV66" s="167"/>
      <c r="MAW66" s="168"/>
      <c r="MAX66" s="113" t="s">
        <v>22</v>
      </c>
      <c r="MAY66" s="114">
        <v>8150</v>
      </c>
      <c r="MAZ66" s="122">
        <v>85</v>
      </c>
      <c r="MBA66" s="123">
        <v>215</v>
      </c>
      <c r="MBB66" s="123">
        <v>75</v>
      </c>
      <c r="MBC66" s="122">
        <v>150</v>
      </c>
      <c r="MBD66" s="124">
        <f>SUM(MAY66:MBC66)</f>
        <v>8675</v>
      </c>
      <c r="MBE66" s="122">
        <v>200</v>
      </c>
      <c r="MBF66" s="124">
        <f>SUM(MBD66:MBE66)</f>
        <v>8875</v>
      </c>
      <c r="MBG66" s="117" t="s">
        <v>99</v>
      </c>
      <c r="MBH66" s="118">
        <v>45845</v>
      </c>
      <c r="MBI66" s="113" t="s">
        <v>39</v>
      </c>
      <c r="MBJ66" s="169"/>
      <c r="MBK66" s="119" t="s">
        <v>92</v>
      </c>
      <c r="MBL66" s="167"/>
      <c r="MBM66" s="168"/>
      <c r="MBN66" s="113" t="s">
        <v>22</v>
      </c>
      <c r="MBO66" s="114">
        <v>8150</v>
      </c>
      <c r="MBP66" s="122">
        <v>85</v>
      </c>
      <c r="MBQ66" s="123">
        <v>215</v>
      </c>
      <c r="MBR66" s="123">
        <v>75</v>
      </c>
      <c r="MBS66" s="122">
        <v>150</v>
      </c>
      <c r="MBT66" s="124">
        <f>SUM(MBO66:MBS66)</f>
        <v>8675</v>
      </c>
      <c r="MBU66" s="122">
        <v>200</v>
      </c>
      <c r="MBV66" s="124">
        <f>SUM(MBT66:MBU66)</f>
        <v>8875</v>
      </c>
      <c r="MBW66" s="117" t="s">
        <v>99</v>
      </c>
      <c r="MBX66" s="118">
        <v>45845</v>
      </c>
      <c r="MBY66" s="113" t="s">
        <v>39</v>
      </c>
      <c r="MBZ66" s="169"/>
      <c r="MCA66" s="119" t="s">
        <v>92</v>
      </c>
      <c r="MCB66" s="167"/>
      <c r="MCC66" s="168"/>
      <c r="MCD66" s="113" t="s">
        <v>22</v>
      </c>
      <c r="MCE66" s="114">
        <v>8150</v>
      </c>
      <c r="MCF66" s="122">
        <v>85</v>
      </c>
      <c r="MCG66" s="123">
        <v>215</v>
      </c>
      <c r="MCH66" s="123">
        <v>75</v>
      </c>
      <c r="MCI66" s="122">
        <v>150</v>
      </c>
      <c r="MCJ66" s="124">
        <f>SUM(MCE66:MCI66)</f>
        <v>8675</v>
      </c>
      <c r="MCK66" s="122">
        <v>200</v>
      </c>
      <c r="MCL66" s="124">
        <f>SUM(MCJ66:MCK66)</f>
        <v>8875</v>
      </c>
      <c r="MCM66" s="117" t="s">
        <v>99</v>
      </c>
      <c r="MCN66" s="118">
        <v>45845</v>
      </c>
      <c r="MCO66" s="113" t="s">
        <v>39</v>
      </c>
      <c r="MCP66" s="169"/>
      <c r="MCQ66" s="119" t="s">
        <v>92</v>
      </c>
      <c r="MCR66" s="167"/>
      <c r="MCS66" s="168"/>
      <c r="MCT66" s="113" t="s">
        <v>22</v>
      </c>
      <c r="MCU66" s="114">
        <v>8150</v>
      </c>
      <c r="MCV66" s="122">
        <v>85</v>
      </c>
      <c r="MCW66" s="123">
        <v>215</v>
      </c>
      <c r="MCX66" s="123">
        <v>75</v>
      </c>
      <c r="MCY66" s="122">
        <v>150</v>
      </c>
      <c r="MCZ66" s="124">
        <f>SUM(MCU66:MCY66)</f>
        <v>8675</v>
      </c>
      <c r="MDA66" s="122">
        <v>200</v>
      </c>
      <c r="MDB66" s="124">
        <f>SUM(MCZ66:MDA66)</f>
        <v>8875</v>
      </c>
      <c r="MDC66" s="117" t="s">
        <v>99</v>
      </c>
      <c r="MDD66" s="118">
        <v>45845</v>
      </c>
      <c r="MDE66" s="113" t="s">
        <v>39</v>
      </c>
      <c r="MDF66" s="169"/>
      <c r="MDG66" s="119" t="s">
        <v>92</v>
      </c>
      <c r="MDH66" s="167"/>
      <c r="MDI66" s="168"/>
      <c r="MDJ66" s="113" t="s">
        <v>22</v>
      </c>
      <c r="MDK66" s="114">
        <v>8150</v>
      </c>
      <c r="MDL66" s="122">
        <v>85</v>
      </c>
      <c r="MDM66" s="123">
        <v>215</v>
      </c>
      <c r="MDN66" s="123">
        <v>75</v>
      </c>
      <c r="MDO66" s="122">
        <v>150</v>
      </c>
      <c r="MDP66" s="124">
        <f>SUM(MDK66:MDO66)</f>
        <v>8675</v>
      </c>
      <c r="MDQ66" s="122">
        <v>200</v>
      </c>
      <c r="MDR66" s="124">
        <f>SUM(MDP66:MDQ66)</f>
        <v>8875</v>
      </c>
      <c r="MDS66" s="117" t="s">
        <v>99</v>
      </c>
      <c r="MDT66" s="118">
        <v>45845</v>
      </c>
      <c r="MDU66" s="113" t="s">
        <v>39</v>
      </c>
      <c r="MDV66" s="169"/>
      <c r="MDW66" s="119" t="s">
        <v>92</v>
      </c>
      <c r="MDX66" s="167"/>
      <c r="MDY66" s="168"/>
      <c r="MDZ66" s="113" t="s">
        <v>22</v>
      </c>
      <c r="MEA66" s="114">
        <v>8150</v>
      </c>
      <c r="MEB66" s="122">
        <v>85</v>
      </c>
      <c r="MEC66" s="123">
        <v>215</v>
      </c>
      <c r="MED66" s="123">
        <v>75</v>
      </c>
      <c r="MEE66" s="122">
        <v>150</v>
      </c>
      <c r="MEF66" s="124">
        <f>SUM(MEA66:MEE66)</f>
        <v>8675</v>
      </c>
      <c r="MEG66" s="122">
        <v>200</v>
      </c>
      <c r="MEH66" s="124">
        <f>SUM(MEF66:MEG66)</f>
        <v>8875</v>
      </c>
      <c r="MEI66" s="117" t="s">
        <v>99</v>
      </c>
      <c r="MEJ66" s="118">
        <v>45845</v>
      </c>
      <c r="MEK66" s="113" t="s">
        <v>39</v>
      </c>
      <c r="MEL66" s="169"/>
      <c r="MEM66" s="119" t="s">
        <v>92</v>
      </c>
      <c r="MEN66" s="167"/>
      <c r="MEO66" s="168"/>
      <c r="MEP66" s="113" t="s">
        <v>22</v>
      </c>
      <c r="MEQ66" s="114">
        <v>8150</v>
      </c>
      <c r="MER66" s="122">
        <v>85</v>
      </c>
      <c r="MES66" s="123">
        <v>215</v>
      </c>
      <c r="MET66" s="123">
        <v>75</v>
      </c>
      <c r="MEU66" s="122">
        <v>150</v>
      </c>
      <c r="MEV66" s="124">
        <f>SUM(MEQ66:MEU66)</f>
        <v>8675</v>
      </c>
      <c r="MEW66" s="122">
        <v>200</v>
      </c>
      <c r="MEX66" s="124">
        <f>SUM(MEV66:MEW66)</f>
        <v>8875</v>
      </c>
      <c r="MEY66" s="117" t="s">
        <v>99</v>
      </c>
      <c r="MEZ66" s="118">
        <v>45845</v>
      </c>
      <c r="MFA66" s="113" t="s">
        <v>39</v>
      </c>
      <c r="MFB66" s="169"/>
      <c r="MFC66" s="119" t="s">
        <v>92</v>
      </c>
      <c r="MFD66" s="167"/>
      <c r="MFE66" s="168"/>
      <c r="MFF66" s="113" t="s">
        <v>22</v>
      </c>
      <c r="MFG66" s="114">
        <v>8150</v>
      </c>
      <c r="MFH66" s="122">
        <v>85</v>
      </c>
      <c r="MFI66" s="123">
        <v>215</v>
      </c>
      <c r="MFJ66" s="123">
        <v>75</v>
      </c>
      <c r="MFK66" s="122">
        <v>150</v>
      </c>
      <c r="MFL66" s="124">
        <f>SUM(MFG66:MFK66)</f>
        <v>8675</v>
      </c>
      <c r="MFM66" s="122">
        <v>200</v>
      </c>
      <c r="MFN66" s="124">
        <f>SUM(MFL66:MFM66)</f>
        <v>8875</v>
      </c>
      <c r="MFO66" s="117" t="s">
        <v>99</v>
      </c>
      <c r="MFP66" s="118">
        <v>45845</v>
      </c>
      <c r="MFQ66" s="113" t="s">
        <v>39</v>
      </c>
      <c r="MFR66" s="169"/>
      <c r="MFS66" s="119" t="s">
        <v>92</v>
      </c>
      <c r="MFT66" s="167"/>
      <c r="MFU66" s="168"/>
      <c r="MFV66" s="113" t="s">
        <v>22</v>
      </c>
      <c r="MFW66" s="114">
        <v>8150</v>
      </c>
      <c r="MFX66" s="122">
        <v>85</v>
      </c>
      <c r="MFY66" s="123">
        <v>215</v>
      </c>
      <c r="MFZ66" s="123">
        <v>75</v>
      </c>
      <c r="MGA66" s="122">
        <v>150</v>
      </c>
      <c r="MGB66" s="124">
        <f>SUM(MFW66:MGA66)</f>
        <v>8675</v>
      </c>
      <c r="MGC66" s="122">
        <v>200</v>
      </c>
      <c r="MGD66" s="124">
        <f>SUM(MGB66:MGC66)</f>
        <v>8875</v>
      </c>
      <c r="MGE66" s="117" t="s">
        <v>99</v>
      </c>
      <c r="MGF66" s="118">
        <v>45845</v>
      </c>
      <c r="MGG66" s="113" t="s">
        <v>39</v>
      </c>
      <c r="MGH66" s="169"/>
      <c r="MGI66" s="119" t="s">
        <v>92</v>
      </c>
      <c r="MGJ66" s="167"/>
      <c r="MGK66" s="168"/>
      <c r="MGL66" s="113" t="s">
        <v>22</v>
      </c>
      <c r="MGM66" s="114">
        <v>8150</v>
      </c>
      <c r="MGN66" s="122">
        <v>85</v>
      </c>
      <c r="MGO66" s="123">
        <v>215</v>
      </c>
      <c r="MGP66" s="123">
        <v>75</v>
      </c>
      <c r="MGQ66" s="122">
        <v>150</v>
      </c>
      <c r="MGR66" s="124">
        <f>SUM(MGM66:MGQ66)</f>
        <v>8675</v>
      </c>
      <c r="MGS66" s="122">
        <v>200</v>
      </c>
      <c r="MGT66" s="124">
        <f>SUM(MGR66:MGS66)</f>
        <v>8875</v>
      </c>
      <c r="MGU66" s="117" t="s">
        <v>99</v>
      </c>
      <c r="MGV66" s="118">
        <v>45845</v>
      </c>
      <c r="MGW66" s="113" t="s">
        <v>39</v>
      </c>
      <c r="MGX66" s="169"/>
      <c r="MGY66" s="119" t="s">
        <v>92</v>
      </c>
      <c r="MGZ66" s="167"/>
      <c r="MHA66" s="168"/>
      <c r="MHB66" s="113" t="s">
        <v>22</v>
      </c>
      <c r="MHC66" s="114">
        <v>8150</v>
      </c>
      <c r="MHD66" s="122">
        <v>85</v>
      </c>
      <c r="MHE66" s="123">
        <v>215</v>
      </c>
      <c r="MHF66" s="123">
        <v>75</v>
      </c>
      <c r="MHG66" s="122">
        <v>150</v>
      </c>
      <c r="MHH66" s="124">
        <f>SUM(MHC66:MHG66)</f>
        <v>8675</v>
      </c>
      <c r="MHI66" s="122">
        <v>200</v>
      </c>
      <c r="MHJ66" s="124">
        <f>SUM(MHH66:MHI66)</f>
        <v>8875</v>
      </c>
      <c r="MHK66" s="117" t="s">
        <v>99</v>
      </c>
      <c r="MHL66" s="118">
        <v>45845</v>
      </c>
      <c r="MHM66" s="113" t="s">
        <v>39</v>
      </c>
      <c r="MHN66" s="169"/>
      <c r="MHO66" s="119" t="s">
        <v>92</v>
      </c>
      <c r="MHP66" s="167"/>
      <c r="MHQ66" s="168"/>
      <c r="MHR66" s="113" t="s">
        <v>22</v>
      </c>
      <c r="MHS66" s="114">
        <v>8150</v>
      </c>
      <c r="MHT66" s="122">
        <v>85</v>
      </c>
      <c r="MHU66" s="123">
        <v>215</v>
      </c>
      <c r="MHV66" s="123">
        <v>75</v>
      </c>
      <c r="MHW66" s="122">
        <v>150</v>
      </c>
      <c r="MHX66" s="124">
        <f>SUM(MHS66:MHW66)</f>
        <v>8675</v>
      </c>
      <c r="MHY66" s="122">
        <v>200</v>
      </c>
      <c r="MHZ66" s="124">
        <f>SUM(MHX66:MHY66)</f>
        <v>8875</v>
      </c>
      <c r="MIA66" s="117" t="s">
        <v>99</v>
      </c>
      <c r="MIB66" s="118">
        <v>45845</v>
      </c>
      <c r="MIC66" s="113" t="s">
        <v>39</v>
      </c>
      <c r="MID66" s="169"/>
      <c r="MIE66" s="119" t="s">
        <v>92</v>
      </c>
      <c r="MIF66" s="167"/>
      <c r="MIG66" s="168"/>
      <c r="MIH66" s="113" t="s">
        <v>22</v>
      </c>
      <c r="MII66" s="114">
        <v>8150</v>
      </c>
      <c r="MIJ66" s="122">
        <v>85</v>
      </c>
      <c r="MIK66" s="123">
        <v>215</v>
      </c>
      <c r="MIL66" s="123">
        <v>75</v>
      </c>
      <c r="MIM66" s="122">
        <v>150</v>
      </c>
      <c r="MIN66" s="124">
        <f>SUM(MII66:MIM66)</f>
        <v>8675</v>
      </c>
      <c r="MIO66" s="122">
        <v>200</v>
      </c>
      <c r="MIP66" s="124">
        <f>SUM(MIN66:MIO66)</f>
        <v>8875</v>
      </c>
      <c r="MIQ66" s="117" t="s">
        <v>99</v>
      </c>
      <c r="MIR66" s="118">
        <v>45845</v>
      </c>
      <c r="MIS66" s="113" t="s">
        <v>39</v>
      </c>
      <c r="MIT66" s="169"/>
      <c r="MIU66" s="119" t="s">
        <v>92</v>
      </c>
      <c r="MIV66" s="167"/>
      <c r="MIW66" s="168"/>
      <c r="MIX66" s="113" t="s">
        <v>22</v>
      </c>
      <c r="MIY66" s="114">
        <v>8150</v>
      </c>
      <c r="MIZ66" s="122">
        <v>85</v>
      </c>
      <c r="MJA66" s="123">
        <v>215</v>
      </c>
      <c r="MJB66" s="123">
        <v>75</v>
      </c>
      <c r="MJC66" s="122">
        <v>150</v>
      </c>
      <c r="MJD66" s="124">
        <f>SUM(MIY66:MJC66)</f>
        <v>8675</v>
      </c>
      <c r="MJE66" s="122">
        <v>200</v>
      </c>
      <c r="MJF66" s="124">
        <f>SUM(MJD66:MJE66)</f>
        <v>8875</v>
      </c>
      <c r="MJG66" s="117" t="s">
        <v>99</v>
      </c>
      <c r="MJH66" s="118">
        <v>45845</v>
      </c>
      <c r="MJI66" s="113" t="s">
        <v>39</v>
      </c>
      <c r="MJJ66" s="169"/>
      <c r="MJK66" s="119" t="s">
        <v>92</v>
      </c>
      <c r="MJL66" s="167"/>
      <c r="MJM66" s="168"/>
      <c r="MJN66" s="113" t="s">
        <v>22</v>
      </c>
      <c r="MJO66" s="114">
        <v>8150</v>
      </c>
      <c r="MJP66" s="122">
        <v>85</v>
      </c>
      <c r="MJQ66" s="123">
        <v>215</v>
      </c>
      <c r="MJR66" s="123">
        <v>75</v>
      </c>
      <c r="MJS66" s="122">
        <v>150</v>
      </c>
      <c r="MJT66" s="124">
        <f>SUM(MJO66:MJS66)</f>
        <v>8675</v>
      </c>
      <c r="MJU66" s="122">
        <v>200</v>
      </c>
      <c r="MJV66" s="124">
        <f>SUM(MJT66:MJU66)</f>
        <v>8875</v>
      </c>
      <c r="MJW66" s="117" t="s">
        <v>99</v>
      </c>
      <c r="MJX66" s="118">
        <v>45845</v>
      </c>
      <c r="MJY66" s="113" t="s">
        <v>39</v>
      </c>
      <c r="MJZ66" s="169"/>
      <c r="MKA66" s="119" t="s">
        <v>92</v>
      </c>
      <c r="MKB66" s="167"/>
      <c r="MKC66" s="168"/>
      <c r="MKD66" s="113" t="s">
        <v>22</v>
      </c>
      <c r="MKE66" s="114">
        <v>8150</v>
      </c>
      <c r="MKF66" s="122">
        <v>85</v>
      </c>
      <c r="MKG66" s="123">
        <v>215</v>
      </c>
      <c r="MKH66" s="123">
        <v>75</v>
      </c>
      <c r="MKI66" s="122">
        <v>150</v>
      </c>
      <c r="MKJ66" s="124">
        <f>SUM(MKE66:MKI66)</f>
        <v>8675</v>
      </c>
      <c r="MKK66" s="122">
        <v>200</v>
      </c>
      <c r="MKL66" s="124">
        <f>SUM(MKJ66:MKK66)</f>
        <v>8875</v>
      </c>
      <c r="MKM66" s="117" t="s">
        <v>99</v>
      </c>
      <c r="MKN66" s="118">
        <v>45845</v>
      </c>
      <c r="MKO66" s="113" t="s">
        <v>39</v>
      </c>
      <c r="MKP66" s="169"/>
      <c r="MKQ66" s="119" t="s">
        <v>92</v>
      </c>
      <c r="MKR66" s="167"/>
      <c r="MKS66" s="168"/>
      <c r="MKT66" s="113" t="s">
        <v>22</v>
      </c>
      <c r="MKU66" s="114">
        <v>8150</v>
      </c>
      <c r="MKV66" s="122">
        <v>85</v>
      </c>
      <c r="MKW66" s="123">
        <v>215</v>
      </c>
      <c r="MKX66" s="123">
        <v>75</v>
      </c>
      <c r="MKY66" s="122">
        <v>150</v>
      </c>
      <c r="MKZ66" s="124">
        <f>SUM(MKU66:MKY66)</f>
        <v>8675</v>
      </c>
      <c r="MLA66" s="122">
        <v>200</v>
      </c>
      <c r="MLB66" s="124">
        <f>SUM(MKZ66:MLA66)</f>
        <v>8875</v>
      </c>
      <c r="MLC66" s="117" t="s">
        <v>99</v>
      </c>
      <c r="MLD66" s="118">
        <v>45845</v>
      </c>
      <c r="MLE66" s="113" t="s">
        <v>39</v>
      </c>
      <c r="MLF66" s="169"/>
      <c r="MLG66" s="119" t="s">
        <v>92</v>
      </c>
      <c r="MLH66" s="167"/>
      <c r="MLI66" s="168"/>
      <c r="MLJ66" s="113" t="s">
        <v>22</v>
      </c>
      <c r="MLK66" s="114">
        <v>8150</v>
      </c>
      <c r="MLL66" s="122">
        <v>85</v>
      </c>
      <c r="MLM66" s="123">
        <v>215</v>
      </c>
      <c r="MLN66" s="123">
        <v>75</v>
      </c>
      <c r="MLO66" s="122">
        <v>150</v>
      </c>
      <c r="MLP66" s="124">
        <f>SUM(MLK66:MLO66)</f>
        <v>8675</v>
      </c>
      <c r="MLQ66" s="122">
        <v>200</v>
      </c>
      <c r="MLR66" s="124">
        <f>SUM(MLP66:MLQ66)</f>
        <v>8875</v>
      </c>
      <c r="MLS66" s="117" t="s">
        <v>99</v>
      </c>
      <c r="MLT66" s="118">
        <v>45845</v>
      </c>
      <c r="MLU66" s="113" t="s">
        <v>39</v>
      </c>
      <c r="MLV66" s="169"/>
      <c r="MLW66" s="119" t="s">
        <v>92</v>
      </c>
      <c r="MLX66" s="167"/>
      <c r="MLY66" s="168"/>
      <c r="MLZ66" s="113" t="s">
        <v>22</v>
      </c>
      <c r="MMA66" s="114">
        <v>8150</v>
      </c>
      <c r="MMB66" s="122">
        <v>85</v>
      </c>
      <c r="MMC66" s="123">
        <v>215</v>
      </c>
      <c r="MMD66" s="123">
        <v>75</v>
      </c>
      <c r="MME66" s="122">
        <v>150</v>
      </c>
      <c r="MMF66" s="124">
        <f>SUM(MMA66:MME66)</f>
        <v>8675</v>
      </c>
      <c r="MMG66" s="122">
        <v>200</v>
      </c>
      <c r="MMH66" s="124">
        <f>SUM(MMF66:MMG66)</f>
        <v>8875</v>
      </c>
      <c r="MMI66" s="117" t="s">
        <v>99</v>
      </c>
      <c r="MMJ66" s="118">
        <v>45845</v>
      </c>
      <c r="MMK66" s="113" t="s">
        <v>39</v>
      </c>
      <c r="MML66" s="169"/>
      <c r="MMM66" s="119" t="s">
        <v>92</v>
      </c>
      <c r="MMN66" s="167"/>
      <c r="MMO66" s="168"/>
      <c r="MMP66" s="113" t="s">
        <v>22</v>
      </c>
      <c r="MMQ66" s="114">
        <v>8150</v>
      </c>
      <c r="MMR66" s="122">
        <v>85</v>
      </c>
      <c r="MMS66" s="123">
        <v>215</v>
      </c>
      <c r="MMT66" s="123">
        <v>75</v>
      </c>
      <c r="MMU66" s="122">
        <v>150</v>
      </c>
      <c r="MMV66" s="124">
        <f>SUM(MMQ66:MMU66)</f>
        <v>8675</v>
      </c>
      <c r="MMW66" s="122">
        <v>200</v>
      </c>
      <c r="MMX66" s="124">
        <f>SUM(MMV66:MMW66)</f>
        <v>8875</v>
      </c>
      <c r="MMY66" s="117" t="s">
        <v>99</v>
      </c>
      <c r="MMZ66" s="118">
        <v>45845</v>
      </c>
      <c r="MNA66" s="113" t="s">
        <v>39</v>
      </c>
      <c r="MNB66" s="169"/>
      <c r="MNC66" s="119" t="s">
        <v>92</v>
      </c>
      <c r="MND66" s="167"/>
      <c r="MNE66" s="168"/>
      <c r="MNF66" s="113" t="s">
        <v>22</v>
      </c>
      <c r="MNG66" s="114">
        <v>8150</v>
      </c>
      <c r="MNH66" s="122">
        <v>85</v>
      </c>
      <c r="MNI66" s="123">
        <v>215</v>
      </c>
      <c r="MNJ66" s="123">
        <v>75</v>
      </c>
      <c r="MNK66" s="122">
        <v>150</v>
      </c>
      <c r="MNL66" s="124">
        <f>SUM(MNG66:MNK66)</f>
        <v>8675</v>
      </c>
      <c r="MNM66" s="122">
        <v>200</v>
      </c>
      <c r="MNN66" s="124">
        <f>SUM(MNL66:MNM66)</f>
        <v>8875</v>
      </c>
      <c r="MNO66" s="117" t="s">
        <v>99</v>
      </c>
      <c r="MNP66" s="118">
        <v>45845</v>
      </c>
      <c r="MNQ66" s="113" t="s">
        <v>39</v>
      </c>
      <c r="MNR66" s="169"/>
      <c r="MNS66" s="119" t="s">
        <v>92</v>
      </c>
      <c r="MNT66" s="167"/>
      <c r="MNU66" s="168"/>
      <c r="MNV66" s="113" t="s">
        <v>22</v>
      </c>
      <c r="MNW66" s="114">
        <v>8150</v>
      </c>
      <c r="MNX66" s="122">
        <v>85</v>
      </c>
      <c r="MNY66" s="123">
        <v>215</v>
      </c>
      <c r="MNZ66" s="123">
        <v>75</v>
      </c>
      <c r="MOA66" s="122">
        <v>150</v>
      </c>
      <c r="MOB66" s="124">
        <f>SUM(MNW66:MOA66)</f>
        <v>8675</v>
      </c>
      <c r="MOC66" s="122">
        <v>200</v>
      </c>
      <c r="MOD66" s="124">
        <f>SUM(MOB66:MOC66)</f>
        <v>8875</v>
      </c>
      <c r="MOE66" s="117" t="s">
        <v>99</v>
      </c>
      <c r="MOF66" s="118">
        <v>45845</v>
      </c>
      <c r="MOG66" s="113" t="s">
        <v>39</v>
      </c>
      <c r="MOH66" s="169"/>
      <c r="MOI66" s="119" t="s">
        <v>92</v>
      </c>
      <c r="MOJ66" s="167"/>
      <c r="MOK66" s="168"/>
      <c r="MOL66" s="113" t="s">
        <v>22</v>
      </c>
      <c r="MOM66" s="114">
        <v>8150</v>
      </c>
      <c r="MON66" s="122">
        <v>85</v>
      </c>
      <c r="MOO66" s="123">
        <v>215</v>
      </c>
      <c r="MOP66" s="123">
        <v>75</v>
      </c>
      <c r="MOQ66" s="122">
        <v>150</v>
      </c>
      <c r="MOR66" s="124">
        <f>SUM(MOM66:MOQ66)</f>
        <v>8675</v>
      </c>
      <c r="MOS66" s="122">
        <v>200</v>
      </c>
      <c r="MOT66" s="124">
        <f>SUM(MOR66:MOS66)</f>
        <v>8875</v>
      </c>
      <c r="MOU66" s="117" t="s">
        <v>99</v>
      </c>
      <c r="MOV66" s="118">
        <v>45845</v>
      </c>
      <c r="MOW66" s="113" t="s">
        <v>39</v>
      </c>
      <c r="MOX66" s="169"/>
      <c r="MOY66" s="119" t="s">
        <v>92</v>
      </c>
      <c r="MOZ66" s="167"/>
      <c r="MPA66" s="168"/>
      <c r="MPB66" s="113" t="s">
        <v>22</v>
      </c>
      <c r="MPC66" s="114">
        <v>8150</v>
      </c>
      <c r="MPD66" s="122">
        <v>85</v>
      </c>
      <c r="MPE66" s="123">
        <v>215</v>
      </c>
      <c r="MPF66" s="123">
        <v>75</v>
      </c>
      <c r="MPG66" s="122">
        <v>150</v>
      </c>
      <c r="MPH66" s="124">
        <f>SUM(MPC66:MPG66)</f>
        <v>8675</v>
      </c>
      <c r="MPI66" s="122">
        <v>200</v>
      </c>
      <c r="MPJ66" s="124">
        <f>SUM(MPH66:MPI66)</f>
        <v>8875</v>
      </c>
      <c r="MPK66" s="117" t="s">
        <v>99</v>
      </c>
      <c r="MPL66" s="118">
        <v>45845</v>
      </c>
      <c r="MPM66" s="113" t="s">
        <v>39</v>
      </c>
      <c r="MPN66" s="169"/>
      <c r="MPO66" s="119" t="s">
        <v>92</v>
      </c>
      <c r="MPP66" s="167"/>
      <c r="MPQ66" s="168"/>
      <c r="MPR66" s="113" t="s">
        <v>22</v>
      </c>
      <c r="MPS66" s="114">
        <v>8150</v>
      </c>
      <c r="MPT66" s="122">
        <v>85</v>
      </c>
      <c r="MPU66" s="123">
        <v>215</v>
      </c>
      <c r="MPV66" s="123">
        <v>75</v>
      </c>
      <c r="MPW66" s="122">
        <v>150</v>
      </c>
      <c r="MPX66" s="124">
        <f>SUM(MPS66:MPW66)</f>
        <v>8675</v>
      </c>
      <c r="MPY66" s="122">
        <v>200</v>
      </c>
      <c r="MPZ66" s="124">
        <f>SUM(MPX66:MPY66)</f>
        <v>8875</v>
      </c>
      <c r="MQA66" s="117" t="s">
        <v>99</v>
      </c>
      <c r="MQB66" s="118">
        <v>45845</v>
      </c>
      <c r="MQC66" s="113" t="s">
        <v>39</v>
      </c>
      <c r="MQD66" s="169"/>
      <c r="MQE66" s="119" t="s">
        <v>92</v>
      </c>
      <c r="MQF66" s="167"/>
      <c r="MQG66" s="168"/>
      <c r="MQH66" s="113" t="s">
        <v>22</v>
      </c>
      <c r="MQI66" s="114">
        <v>8150</v>
      </c>
      <c r="MQJ66" s="122">
        <v>85</v>
      </c>
      <c r="MQK66" s="123">
        <v>215</v>
      </c>
      <c r="MQL66" s="123">
        <v>75</v>
      </c>
      <c r="MQM66" s="122">
        <v>150</v>
      </c>
      <c r="MQN66" s="124">
        <f>SUM(MQI66:MQM66)</f>
        <v>8675</v>
      </c>
      <c r="MQO66" s="122">
        <v>200</v>
      </c>
      <c r="MQP66" s="124">
        <f>SUM(MQN66:MQO66)</f>
        <v>8875</v>
      </c>
      <c r="MQQ66" s="117" t="s">
        <v>99</v>
      </c>
      <c r="MQR66" s="118">
        <v>45845</v>
      </c>
      <c r="MQS66" s="113" t="s">
        <v>39</v>
      </c>
      <c r="MQT66" s="169"/>
      <c r="MQU66" s="119" t="s">
        <v>92</v>
      </c>
      <c r="MQV66" s="167"/>
      <c r="MQW66" s="168"/>
      <c r="MQX66" s="113" t="s">
        <v>22</v>
      </c>
      <c r="MQY66" s="114">
        <v>8150</v>
      </c>
      <c r="MQZ66" s="122">
        <v>85</v>
      </c>
      <c r="MRA66" s="123">
        <v>215</v>
      </c>
      <c r="MRB66" s="123">
        <v>75</v>
      </c>
      <c r="MRC66" s="122">
        <v>150</v>
      </c>
      <c r="MRD66" s="124">
        <f>SUM(MQY66:MRC66)</f>
        <v>8675</v>
      </c>
      <c r="MRE66" s="122">
        <v>200</v>
      </c>
      <c r="MRF66" s="124">
        <f>SUM(MRD66:MRE66)</f>
        <v>8875</v>
      </c>
      <c r="MRG66" s="117" t="s">
        <v>99</v>
      </c>
      <c r="MRH66" s="118">
        <v>45845</v>
      </c>
      <c r="MRI66" s="113" t="s">
        <v>39</v>
      </c>
      <c r="MRJ66" s="169"/>
      <c r="MRK66" s="119" t="s">
        <v>92</v>
      </c>
      <c r="MRL66" s="167"/>
      <c r="MRM66" s="168"/>
      <c r="MRN66" s="113" t="s">
        <v>22</v>
      </c>
      <c r="MRO66" s="114">
        <v>8150</v>
      </c>
      <c r="MRP66" s="122">
        <v>85</v>
      </c>
      <c r="MRQ66" s="123">
        <v>215</v>
      </c>
      <c r="MRR66" s="123">
        <v>75</v>
      </c>
      <c r="MRS66" s="122">
        <v>150</v>
      </c>
      <c r="MRT66" s="124">
        <f>SUM(MRO66:MRS66)</f>
        <v>8675</v>
      </c>
      <c r="MRU66" s="122">
        <v>200</v>
      </c>
      <c r="MRV66" s="124">
        <f>SUM(MRT66:MRU66)</f>
        <v>8875</v>
      </c>
      <c r="MRW66" s="117" t="s">
        <v>99</v>
      </c>
      <c r="MRX66" s="118">
        <v>45845</v>
      </c>
      <c r="MRY66" s="113" t="s">
        <v>39</v>
      </c>
      <c r="MRZ66" s="169"/>
      <c r="MSA66" s="119" t="s">
        <v>92</v>
      </c>
      <c r="MSB66" s="167"/>
      <c r="MSC66" s="168"/>
      <c r="MSD66" s="113" t="s">
        <v>22</v>
      </c>
      <c r="MSE66" s="114">
        <v>8150</v>
      </c>
      <c r="MSF66" s="122">
        <v>85</v>
      </c>
      <c r="MSG66" s="123">
        <v>215</v>
      </c>
      <c r="MSH66" s="123">
        <v>75</v>
      </c>
      <c r="MSI66" s="122">
        <v>150</v>
      </c>
      <c r="MSJ66" s="124">
        <f>SUM(MSE66:MSI66)</f>
        <v>8675</v>
      </c>
      <c r="MSK66" s="122">
        <v>200</v>
      </c>
      <c r="MSL66" s="124">
        <f>SUM(MSJ66:MSK66)</f>
        <v>8875</v>
      </c>
      <c r="MSM66" s="117" t="s">
        <v>99</v>
      </c>
      <c r="MSN66" s="118">
        <v>45845</v>
      </c>
      <c r="MSO66" s="113" t="s">
        <v>39</v>
      </c>
      <c r="MSP66" s="169"/>
      <c r="MSQ66" s="119" t="s">
        <v>92</v>
      </c>
      <c r="MSR66" s="167"/>
      <c r="MSS66" s="168"/>
      <c r="MST66" s="113" t="s">
        <v>22</v>
      </c>
      <c r="MSU66" s="114">
        <v>8150</v>
      </c>
      <c r="MSV66" s="122">
        <v>85</v>
      </c>
      <c r="MSW66" s="123">
        <v>215</v>
      </c>
      <c r="MSX66" s="123">
        <v>75</v>
      </c>
      <c r="MSY66" s="122">
        <v>150</v>
      </c>
      <c r="MSZ66" s="124">
        <f>SUM(MSU66:MSY66)</f>
        <v>8675</v>
      </c>
      <c r="MTA66" s="122">
        <v>200</v>
      </c>
      <c r="MTB66" s="124">
        <f>SUM(MSZ66:MTA66)</f>
        <v>8875</v>
      </c>
      <c r="MTC66" s="117" t="s">
        <v>99</v>
      </c>
      <c r="MTD66" s="118">
        <v>45845</v>
      </c>
      <c r="MTE66" s="113" t="s">
        <v>39</v>
      </c>
      <c r="MTF66" s="169"/>
      <c r="MTG66" s="119" t="s">
        <v>92</v>
      </c>
      <c r="MTH66" s="167"/>
      <c r="MTI66" s="168"/>
      <c r="MTJ66" s="113" t="s">
        <v>22</v>
      </c>
      <c r="MTK66" s="114">
        <v>8150</v>
      </c>
      <c r="MTL66" s="122">
        <v>85</v>
      </c>
      <c r="MTM66" s="123">
        <v>215</v>
      </c>
      <c r="MTN66" s="123">
        <v>75</v>
      </c>
      <c r="MTO66" s="122">
        <v>150</v>
      </c>
      <c r="MTP66" s="124">
        <f>SUM(MTK66:MTO66)</f>
        <v>8675</v>
      </c>
      <c r="MTQ66" s="122">
        <v>200</v>
      </c>
      <c r="MTR66" s="124">
        <f>SUM(MTP66:MTQ66)</f>
        <v>8875</v>
      </c>
      <c r="MTS66" s="117" t="s">
        <v>99</v>
      </c>
      <c r="MTT66" s="118">
        <v>45845</v>
      </c>
      <c r="MTU66" s="113" t="s">
        <v>39</v>
      </c>
      <c r="MTV66" s="169"/>
      <c r="MTW66" s="119" t="s">
        <v>92</v>
      </c>
      <c r="MTX66" s="167"/>
      <c r="MTY66" s="168"/>
      <c r="MTZ66" s="113" t="s">
        <v>22</v>
      </c>
      <c r="MUA66" s="114">
        <v>8150</v>
      </c>
      <c r="MUB66" s="122">
        <v>85</v>
      </c>
      <c r="MUC66" s="123">
        <v>215</v>
      </c>
      <c r="MUD66" s="123">
        <v>75</v>
      </c>
      <c r="MUE66" s="122">
        <v>150</v>
      </c>
      <c r="MUF66" s="124">
        <f>SUM(MUA66:MUE66)</f>
        <v>8675</v>
      </c>
      <c r="MUG66" s="122">
        <v>200</v>
      </c>
      <c r="MUH66" s="124">
        <f>SUM(MUF66:MUG66)</f>
        <v>8875</v>
      </c>
      <c r="MUI66" s="117" t="s">
        <v>99</v>
      </c>
      <c r="MUJ66" s="118">
        <v>45845</v>
      </c>
      <c r="MUK66" s="113" t="s">
        <v>39</v>
      </c>
      <c r="MUL66" s="169"/>
      <c r="MUM66" s="119" t="s">
        <v>92</v>
      </c>
      <c r="MUN66" s="167"/>
      <c r="MUO66" s="168"/>
      <c r="MUP66" s="113" t="s">
        <v>22</v>
      </c>
      <c r="MUQ66" s="114">
        <v>8150</v>
      </c>
      <c r="MUR66" s="122">
        <v>85</v>
      </c>
      <c r="MUS66" s="123">
        <v>215</v>
      </c>
      <c r="MUT66" s="123">
        <v>75</v>
      </c>
      <c r="MUU66" s="122">
        <v>150</v>
      </c>
      <c r="MUV66" s="124">
        <f>SUM(MUQ66:MUU66)</f>
        <v>8675</v>
      </c>
      <c r="MUW66" s="122">
        <v>200</v>
      </c>
      <c r="MUX66" s="124">
        <f>SUM(MUV66:MUW66)</f>
        <v>8875</v>
      </c>
      <c r="MUY66" s="117" t="s">
        <v>99</v>
      </c>
      <c r="MUZ66" s="118">
        <v>45845</v>
      </c>
      <c r="MVA66" s="113" t="s">
        <v>39</v>
      </c>
      <c r="MVB66" s="169"/>
      <c r="MVC66" s="119" t="s">
        <v>92</v>
      </c>
      <c r="MVD66" s="167"/>
      <c r="MVE66" s="168"/>
      <c r="MVF66" s="113" t="s">
        <v>22</v>
      </c>
      <c r="MVG66" s="114">
        <v>8150</v>
      </c>
      <c r="MVH66" s="122">
        <v>85</v>
      </c>
      <c r="MVI66" s="123">
        <v>215</v>
      </c>
      <c r="MVJ66" s="123">
        <v>75</v>
      </c>
      <c r="MVK66" s="122">
        <v>150</v>
      </c>
      <c r="MVL66" s="124">
        <f>SUM(MVG66:MVK66)</f>
        <v>8675</v>
      </c>
      <c r="MVM66" s="122">
        <v>200</v>
      </c>
      <c r="MVN66" s="124">
        <f>SUM(MVL66:MVM66)</f>
        <v>8875</v>
      </c>
      <c r="MVO66" s="117" t="s">
        <v>99</v>
      </c>
      <c r="MVP66" s="118">
        <v>45845</v>
      </c>
      <c r="MVQ66" s="113" t="s">
        <v>39</v>
      </c>
      <c r="MVR66" s="169"/>
      <c r="MVS66" s="119" t="s">
        <v>92</v>
      </c>
      <c r="MVT66" s="167"/>
      <c r="MVU66" s="168"/>
      <c r="MVV66" s="113" t="s">
        <v>22</v>
      </c>
      <c r="MVW66" s="114">
        <v>8150</v>
      </c>
      <c r="MVX66" s="122">
        <v>85</v>
      </c>
      <c r="MVY66" s="123">
        <v>215</v>
      </c>
      <c r="MVZ66" s="123">
        <v>75</v>
      </c>
      <c r="MWA66" s="122">
        <v>150</v>
      </c>
      <c r="MWB66" s="124">
        <f>SUM(MVW66:MWA66)</f>
        <v>8675</v>
      </c>
      <c r="MWC66" s="122">
        <v>200</v>
      </c>
      <c r="MWD66" s="124">
        <f>SUM(MWB66:MWC66)</f>
        <v>8875</v>
      </c>
      <c r="MWE66" s="117" t="s">
        <v>99</v>
      </c>
      <c r="MWF66" s="118">
        <v>45845</v>
      </c>
      <c r="MWG66" s="113" t="s">
        <v>39</v>
      </c>
      <c r="MWH66" s="169"/>
      <c r="MWI66" s="119" t="s">
        <v>92</v>
      </c>
      <c r="MWJ66" s="167"/>
      <c r="MWK66" s="168"/>
      <c r="MWL66" s="113" t="s">
        <v>22</v>
      </c>
      <c r="MWM66" s="114">
        <v>8150</v>
      </c>
      <c r="MWN66" s="122">
        <v>85</v>
      </c>
      <c r="MWO66" s="123">
        <v>215</v>
      </c>
      <c r="MWP66" s="123">
        <v>75</v>
      </c>
      <c r="MWQ66" s="122">
        <v>150</v>
      </c>
      <c r="MWR66" s="124">
        <f>SUM(MWM66:MWQ66)</f>
        <v>8675</v>
      </c>
      <c r="MWS66" s="122">
        <v>200</v>
      </c>
      <c r="MWT66" s="124">
        <f>SUM(MWR66:MWS66)</f>
        <v>8875</v>
      </c>
      <c r="MWU66" s="117" t="s">
        <v>99</v>
      </c>
      <c r="MWV66" s="118">
        <v>45845</v>
      </c>
      <c r="MWW66" s="113" t="s">
        <v>39</v>
      </c>
      <c r="MWX66" s="169"/>
      <c r="MWY66" s="119" t="s">
        <v>92</v>
      </c>
      <c r="MWZ66" s="167"/>
      <c r="MXA66" s="168"/>
      <c r="MXB66" s="113" t="s">
        <v>22</v>
      </c>
      <c r="MXC66" s="114">
        <v>8150</v>
      </c>
      <c r="MXD66" s="122">
        <v>85</v>
      </c>
      <c r="MXE66" s="123">
        <v>215</v>
      </c>
      <c r="MXF66" s="123">
        <v>75</v>
      </c>
      <c r="MXG66" s="122">
        <v>150</v>
      </c>
      <c r="MXH66" s="124">
        <f>SUM(MXC66:MXG66)</f>
        <v>8675</v>
      </c>
      <c r="MXI66" s="122">
        <v>200</v>
      </c>
      <c r="MXJ66" s="124">
        <f>SUM(MXH66:MXI66)</f>
        <v>8875</v>
      </c>
      <c r="MXK66" s="117" t="s">
        <v>99</v>
      </c>
      <c r="MXL66" s="118">
        <v>45845</v>
      </c>
      <c r="MXM66" s="113" t="s">
        <v>39</v>
      </c>
      <c r="MXN66" s="169"/>
      <c r="MXO66" s="119" t="s">
        <v>92</v>
      </c>
      <c r="MXP66" s="167"/>
      <c r="MXQ66" s="168"/>
      <c r="MXR66" s="113" t="s">
        <v>22</v>
      </c>
      <c r="MXS66" s="114">
        <v>8150</v>
      </c>
      <c r="MXT66" s="122">
        <v>85</v>
      </c>
      <c r="MXU66" s="123">
        <v>215</v>
      </c>
      <c r="MXV66" s="123">
        <v>75</v>
      </c>
      <c r="MXW66" s="122">
        <v>150</v>
      </c>
      <c r="MXX66" s="124">
        <f>SUM(MXS66:MXW66)</f>
        <v>8675</v>
      </c>
      <c r="MXY66" s="122">
        <v>200</v>
      </c>
      <c r="MXZ66" s="124">
        <f>SUM(MXX66:MXY66)</f>
        <v>8875</v>
      </c>
      <c r="MYA66" s="117" t="s">
        <v>99</v>
      </c>
      <c r="MYB66" s="118">
        <v>45845</v>
      </c>
      <c r="MYC66" s="113" t="s">
        <v>39</v>
      </c>
      <c r="MYD66" s="169"/>
      <c r="MYE66" s="119" t="s">
        <v>92</v>
      </c>
      <c r="MYF66" s="167"/>
      <c r="MYG66" s="168"/>
      <c r="MYH66" s="113" t="s">
        <v>22</v>
      </c>
      <c r="MYI66" s="114">
        <v>8150</v>
      </c>
      <c r="MYJ66" s="122">
        <v>85</v>
      </c>
      <c r="MYK66" s="123">
        <v>215</v>
      </c>
      <c r="MYL66" s="123">
        <v>75</v>
      </c>
      <c r="MYM66" s="122">
        <v>150</v>
      </c>
      <c r="MYN66" s="124">
        <f>SUM(MYI66:MYM66)</f>
        <v>8675</v>
      </c>
      <c r="MYO66" s="122">
        <v>200</v>
      </c>
      <c r="MYP66" s="124">
        <f>SUM(MYN66:MYO66)</f>
        <v>8875</v>
      </c>
      <c r="MYQ66" s="117" t="s">
        <v>99</v>
      </c>
      <c r="MYR66" s="118">
        <v>45845</v>
      </c>
      <c r="MYS66" s="113" t="s">
        <v>39</v>
      </c>
      <c r="MYT66" s="169"/>
      <c r="MYU66" s="119" t="s">
        <v>92</v>
      </c>
      <c r="MYV66" s="167"/>
      <c r="MYW66" s="168"/>
      <c r="MYX66" s="113" t="s">
        <v>22</v>
      </c>
      <c r="MYY66" s="114">
        <v>8150</v>
      </c>
      <c r="MYZ66" s="122">
        <v>85</v>
      </c>
      <c r="MZA66" s="123">
        <v>215</v>
      </c>
      <c r="MZB66" s="123">
        <v>75</v>
      </c>
      <c r="MZC66" s="122">
        <v>150</v>
      </c>
      <c r="MZD66" s="124">
        <f>SUM(MYY66:MZC66)</f>
        <v>8675</v>
      </c>
      <c r="MZE66" s="122">
        <v>200</v>
      </c>
      <c r="MZF66" s="124">
        <f>SUM(MZD66:MZE66)</f>
        <v>8875</v>
      </c>
      <c r="MZG66" s="117" t="s">
        <v>99</v>
      </c>
      <c r="MZH66" s="118">
        <v>45845</v>
      </c>
      <c r="MZI66" s="113" t="s">
        <v>39</v>
      </c>
      <c r="MZJ66" s="169"/>
      <c r="MZK66" s="119" t="s">
        <v>92</v>
      </c>
      <c r="MZL66" s="167"/>
      <c r="MZM66" s="168"/>
      <c r="MZN66" s="113" t="s">
        <v>22</v>
      </c>
      <c r="MZO66" s="114">
        <v>8150</v>
      </c>
      <c r="MZP66" s="122">
        <v>85</v>
      </c>
      <c r="MZQ66" s="123">
        <v>215</v>
      </c>
      <c r="MZR66" s="123">
        <v>75</v>
      </c>
      <c r="MZS66" s="122">
        <v>150</v>
      </c>
      <c r="MZT66" s="124">
        <f>SUM(MZO66:MZS66)</f>
        <v>8675</v>
      </c>
      <c r="MZU66" s="122">
        <v>200</v>
      </c>
      <c r="MZV66" s="124">
        <f>SUM(MZT66:MZU66)</f>
        <v>8875</v>
      </c>
      <c r="MZW66" s="117" t="s">
        <v>99</v>
      </c>
      <c r="MZX66" s="118">
        <v>45845</v>
      </c>
      <c r="MZY66" s="113" t="s">
        <v>39</v>
      </c>
      <c r="MZZ66" s="169"/>
      <c r="NAA66" s="119" t="s">
        <v>92</v>
      </c>
      <c r="NAB66" s="167"/>
      <c r="NAC66" s="168"/>
      <c r="NAD66" s="113" t="s">
        <v>22</v>
      </c>
      <c r="NAE66" s="114">
        <v>8150</v>
      </c>
      <c r="NAF66" s="122">
        <v>85</v>
      </c>
      <c r="NAG66" s="123">
        <v>215</v>
      </c>
      <c r="NAH66" s="123">
        <v>75</v>
      </c>
      <c r="NAI66" s="122">
        <v>150</v>
      </c>
      <c r="NAJ66" s="124">
        <f>SUM(NAE66:NAI66)</f>
        <v>8675</v>
      </c>
      <c r="NAK66" s="122">
        <v>200</v>
      </c>
      <c r="NAL66" s="124">
        <f>SUM(NAJ66:NAK66)</f>
        <v>8875</v>
      </c>
      <c r="NAM66" s="117" t="s">
        <v>99</v>
      </c>
      <c r="NAN66" s="118">
        <v>45845</v>
      </c>
      <c r="NAO66" s="113" t="s">
        <v>39</v>
      </c>
      <c r="NAP66" s="169"/>
      <c r="NAQ66" s="119" t="s">
        <v>92</v>
      </c>
      <c r="NAR66" s="167"/>
      <c r="NAS66" s="168"/>
      <c r="NAT66" s="113" t="s">
        <v>22</v>
      </c>
      <c r="NAU66" s="114">
        <v>8150</v>
      </c>
      <c r="NAV66" s="122">
        <v>85</v>
      </c>
      <c r="NAW66" s="123">
        <v>215</v>
      </c>
      <c r="NAX66" s="123">
        <v>75</v>
      </c>
      <c r="NAY66" s="122">
        <v>150</v>
      </c>
      <c r="NAZ66" s="124">
        <f>SUM(NAU66:NAY66)</f>
        <v>8675</v>
      </c>
      <c r="NBA66" s="122">
        <v>200</v>
      </c>
      <c r="NBB66" s="124">
        <f>SUM(NAZ66:NBA66)</f>
        <v>8875</v>
      </c>
      <c r="NBC66" s="117" t="s">
        <v>99</v>
      </c>
      <c r="NBD66" s="118">
        <v>45845</v>
      </c>
      <c r="NBE66" s="113" t="s">
        <v>39</v>
      </c>
      <c r="NBF66" s="169"/>
      <c r="NBG66" s="119" t="s">
        <v>92</v>
      </c>
      <c r="NBH66" s="167"/>
      <c r="NBI66" s="168"/>
      <c r="NBJ66" s="113" t="s">
        <v>22</v>
      </c>
      <c r="NBK66" s="114">
        <v>8150</v>
      </c>
      <c r="NBL66" s="122">
        <v>85</v>
      </c>
      <c r="NBM66" s="123">
        <v>215</v>
      </c>
      <c r="NBN66" s="123">
        <v>75</v>
      </c>
      <c r="NBO66" s="122">
        <v>150</v>
      </c>
      <c r="NBP66" s="124">
        <f>SUM(NBK66:NBO66)</f>
        <v>8675</v>
      </c>
      <c r="NBQ66" s="122">
        <v>200</v>
      </c>
      <c r="NBR66" s="124">
        <f>SUM(NBP66:NBQ66)</f>
        <v>8875</v>
      </c>
      <c r="NBS66" s="117" t="s">
        <v>99</v>
      </c>
      <c r="NBT66" s="118">
        <v>45845</v>
      </c>
      <c r="NBU66" s="113" t="s">
        <v>39</v>
      </c>
      <c r="NBV66" s="169"/>
      <c r="NBW66" s="119" t="s">
        <v>92</v>
      </c>
      <c r="NBX66" s="167"/>
      <c r="NBY66" s="168"/>
      <c r="NBZ66" s="113" t="s">
        <v>22</v>
      </c>
      <c r="NCA66" s="114">
        <v>8150</v>
      </c>
      <c r="NCB66" s="122">
        <v>85</v>
      </c>
      <c r="NCC66" s="123">
        <v>215</v>
      </c>
      <c r="NCD66" s="123">
        <v>75</v>
      </c>
      <c r="NCE66" s="122">
        <v>150</v>
      </c>
      <c r="NCF66" s="124">
        <f>SUM(NCA66:NCE66)</f>
        <v>8675</v>
      </c>
      <c r="NCG66" s="122">
        <v>200</v>
      </c>
      <c r="NCH66" s="124">
        <f>SUM(NCF66:NCG66)</f>
        <v>8875</v>
      </c>
      <c r="NCI66" s="117" t="s">
        <v>99</v>
      </c>
      <c r="NCJ66" s="118">
        <v>45845</v>
      </c>
      <c r="NCK66" s="113" t="s">
        <v>39</v>
      </c>
      <c r="NCL66" s="169"/>
      <c r="NCM66" s="119" t="s">
        <v>92</v>
      </c>
      <c r="NCN66" s="167"/>
      <c r="NCO66" s="168"/>
      <c r="NCP66" s="113" t="s">
        <v>22</v>
      </c>
      <c r="NCQ66" s="114">
        <v>8150</v>
      </c>
      <c r="NCR66" s="122">
        <v>85</v>
      </c>
      <c r="NCS66" s="123">
        <v>215</v>
      </c>
      <c r="NCT66" s="123">
        <v>75</v>
      </c>
      <c r="NCU66" s="122">
        <v>150</v>
      </c>
      <c r="NCV66" s="124">
        <f>SUM(NCQ66:NCU66)</f>
        <v>8675</v>
      </c>
      <c r="NCW66" s="122">
        <v>200</v>
      </c>
      <c r="NCX66" s="124">
        <f>SUM(NCV66:NCW66)</f>
        <v>8875</v>
      </c>
      <c r="NCY66" s="117" t="s">
        <v>99</v>
      </c>
      <c r="NCZ66" s="118">
        <v>45845</v>
      </c>
      <c r="NDA66" s="113" t="s">
        <v>39</v>
      </c>
      <c r="NDB66" s="169"/>
      <c r="NDC66" s="119" t="s">
        <v>92</v>
      </c>
      <c r="NDD66" s="167"/>
      <c r="NDE66" s="168"/>
      <c r="NDF66" s="113" t="s">
        <v>22</v>
      </c>
      <c r="NDG66" s="114">
        <v>8150</v>
      </c>
      <c r="NDH66" s="122">
        <v>85</v>
      </c>
      <c r="NDI66" s="123">
        <v>215</v>
      </c>
      <c r="NDJ66" s="123">
        <v>75</v>
      </c>
      <c r="NDK66" s="122">
        <v>150</v>
      </c>
      <c r="NDL66" s="124">
        <f>SUM(NDG66:NDK66)</f>
        <v>8675</v>
      </c>
      <c r="NDM66" s="122">
        <v>200</v>
      </c>
      <c r="NDN66" s="124">
        <f>SUM(NDL66:NDM66)</f>
        <v>8875</v>
      </c>
      <c r="NDO66" s="117" t="s">
        <v>99</v>
      </c>
      <c r="NDP66" s="118">
        <v>45845</v>
      </c>
      <c r="NDQ66" s="113" t="s">
        <v>39</v>
      </c>
      <c r="NDR66" s="169"/>
      <c r="NDS66" s="119" t="s">
        <v>92</v>
      </c>
      <c r="NDT66" s="167"/>
      <c r="NDU66" s="168"/>
      <c r="NDV66" s="113" t="s">
        <v>22</v>
      </c>
      <c r="NDW66" s="114">
        <v>8150</v>
      </c>
      <c r="NDX66" s="122">
        <v>85</v>
      </c>
      <c r="NDY66" s="123">
        <v>215</v>
      </c>
      <c r="NDZ66" s="123">
        <v>75</v>
      </c>
      <c r="NEA66" s="122">
        <v>150</v>
      </c>
      <c r="NEB66" s="124">
        <f>SUM(NDW66:NEA66)</f>
        <v>8675</v>
      </c>
      <c r="NEC66" s="122">
        <v>200</v>
      </c>
      <c r="NED66" s="124">
        <f>SUM(NEB66:NEC66)</f>
        <v>8875</v>
      </c>
      <c r="NEE66" s="117" t="s">
        <v>99</v>
      </c>
      <c r="NEF66" s="118">
        <v>45845</v>
      </c>
      <c r="NEG66" s="113" t="s">
        <v>39</v>
      </c>
      <c r="NEH66" s="169"/>
      <c r="NEI66" s="119" t="s">
        <v>92</v>
      </c>
      <c r="NEJ66" s="167"/>
      <c r="NEK66" s="168"/>
      <c r="NEL66" s="113" t="s">
        <v>22</v>
      </c>
      <c r="NEM66" s="114">
        <v>8150</v>
      </c>
      <c r="NEN66" s="122">
        <v>85</v>
      </c>
      <c r="NEO66" s="123">
        <v>215</v>
      </c>
      <c r="NEP66" s="123">
        <v>75</v>
      </c>
      <c r="NEQ66" s="122">
        <v>150</v>
      </c>
      <c r="NER66" s="124">
        <f>SUM(NEM66:NEQ66)</f>
        <v>8675</v>
      </c>
      <c r="NES66" s="122">
        <v>200</v>
      </c>
      <c r="NET66" s="124">
        <f>SUM(NER66:NES66)</f>
        <v>8875</v>
      </c>
      <c r="NEU66" s="117" t="s">
        <v>99</v>
      </c>
      <c r="NEV66" s="118">
        <v>45845</v>
      </c>
      <c r="NEW66" s="113" t="s">
        <v>39</v>
      </c>
      <c r="NEX66" s="169"/>
      <c r="NEY66" s="119" t="s">
        <v>92</v>
      </c>
      <c r="NEZ66" s="167"/>
      <c r="NFA66" s="168"/>
      <c r="NFB66" s="113" t="s">
        <v>22</v>
      </c>
      <c r="NFC66" s="114">
        <v>8150</v>
      </c>
      <c r="NFD66" s="122">
        <v>85</v>
      </c>
      <c r="NFE66" s="123">
        <v>215</v>
      </c>
      <c r="NFF66" s="123">
        <v>75</v>
      </c>
      <c r="NFG66" s="122">
        <v>150</v>
      </c>
      <c r="NFH66" s="124">
        <f>SUM(NFC66:NFG66)</f>
        <v>8675</v>
      </c>
      <c r="NFI66" s="122">
        <v>200</v>
      </c>
      <c r="NFJ66" s="124">
        <f>SUM(NFH66:NFI66)</f>
        <v>8875</v>
      </c>
      <c r="NFK66" s="117" t="s">
        <v>99</v>
      </c>
      <c r="NFL66" s="118">
        <v>45845</v>
      </c>
      <c r="NFM66" s="113" t="s">
        <v>39</v>
      </c>
      <c r="NFN66" s="169"/>
      <c r="NFO66" s="119" t="s">
        <v>92</v>
      </c>
      <c r="NFP66" s="167"/>
      <c r="NFQ66" s="168"/>
      <c r="NFR66" s="113" t="s">
        <v>22</v>
      </c>
      <c r="NFS66" s="114">
        <v>8150</v>
      </c>
      <c r="NFT66" s="122">
        <v>85</v>
      </c>
      <c r="NFU66" s="123">
        <v>215</v>
      </c>
      <c r="NFV66" s="123">
        <v>75</v>
      </c>
      <c r="NFW66" s="122">
        <v>150</v>
      </c>
      <c r="NFX66" s="124">
        <f>SUM(NFS66:NFW66)</f>
        <v>8675</v>
      </c>
      <c r="NFY66" s="122">
        <v>200</v>
      </c>
      <c r="NFZ66" s="124">
        <f>SUM(NFX66:NFY66)</f>
        <v>8875</v>
      </c>
      <c r="NGA66" s="117" t="s">
        <v>99</v>
      </c>
      <c r="NGB66" s="118">
        <v>45845</v>
      </c>
      <c r="NGC66" s="113" t="s">
        <v>39</v>
      </c>
      <c r="NGD66" s="169"/>
      <c r="NGE66" s="119" t="s">
        <v>92</v>
      </c>
      <c r="NGF66" s="167"/>
      <c r="NGG66" s="168"/>
      <c r="NGH66" s="113" t="s">
        <v>22</v>
      </c>
      <c r="NGI66" s="114">
        <v>8150</v>
      </c>
      <c r="NGJ66" s="122">
        <v>85</v>
      </c>
      <c r="NGK66" s="123">
        <v>215</v>
      </c>
      <c r="NGL66" s="123">
        <v>75</v>
      </c>
      <c r="NGM66" s="122">
        <v>150</v>
      </c>
      <c r="NGN66" s="124">
        <f>SUM(NGI66:NGM66)</f>
        <v>8675</v>
      </c>
      <c r="NGO66" s="122">
        <v>200</v>
      </c>
      <c r="NGP66" s="124">
        <f>SUM(NGN66:NGO66)</f>
        <v>8875</v>
      </c>
      <c r="NGQ66" s="117" t="s">
        <v>99</v>
      </c>
      <c r="NGR66" s="118">
        <v>45845</v>
      </c>
      <c r="NGS66" s="113" t="s">
        <v>39</v>
      </c>
      <c r="NGT66" s="169"/>
      <c r="NGU66" s="119" t="s">
        <v>92</v>
      </c>
      <c r="NGV66" s="167"/>
      <c r="NGW66" s="168"/>
      <c r="NGX66" s="113" t="s">
        <v>22</v>
      </c>
      <c r="NGY66" s="114">
        <v>8150</v>
      </c>
      <c r="NGZ66" s="122">
        <v>85</v>
      </c>
      <c r="NHA66" s="123">
        <v>215</v>
      </c>
      <c r="NHB66" s="123">
        <v>75</v>
      </c>
      <c r="NHC66" s="122">
        <v>150</v>
      </c>
      <c r="NHD66" s="124">
        <f>SUM(NGY66:NHC66)</f>
        <v>8675</v>
      </c>
      <c r="NHE66" s="122">
        <v>200</v>
      </c>
      <c r="NHF66" s="124">
        <f>SUM(NHD66:NHE66)</f>
        <v>8875</v>
      </c>
      <c r="NHG66" s="117" t="s">
        <v>99</v>
      </c>
      <c r="NHH66" s="118">
        <v>45845</v>
      </c>
      <c r="NHI66" s="113" t="s">
        <v>39</v>
      </c>
      <c r="NHJ66" s="169"/>
      <c r="NHK66" s="119" t="s">
        <v>92</v>
      </c>
      <c r="NHL66" s="167"/>
      <c r="NHM66" s="168"/>
      <c r="NHN66" s="113" t="s">
        <v>22</v>
      </c>
      <c r="NHO66" s="114">
        <v>8150</v>
      </c>
      <c r="NHP66" s="122">
        <v>85</v>
      </c>
      <c r="NHQ66" s="123">
        <v>215</v>
      </c>
      <c r="NHR66" s="123">
        <v>75</v>
      </c>
      <c r="NHS66" s="122">
        <v>150</v>
      </c>
      <c r="NHT66" s="124">
        <f>SUM(NHO66:NHS66)</f>
        <v>8675</v>
      </c>
      <c r="NHU66" s="122">
        <v>200</v>
      </c>
      <c r="NHV66" s="124">
        <f>SUM(NHT66:NHU66)</f>
        <v>8875</v>
      </c>
      <c r="NHW66" s="117" t="s">
        <v>99</v>
      </c>
      <c r="NHX66" s="118">
        <v>45845</v>
      </c>
      <c r="NHY66" s="113" t="s">
        <v>39</v>
      </c>
      <c r="NHZ66" s="169"/>
      <c r="NIA66" s="119" t="s">
        <v>92</v>
      </c>
      <c r="NIB66" s="167"/>
      <c r="NIC66" s="168"/>
      <c r="NID66" s="113" t="s">
        <v>22</v>
      </c>
      <c r="NIE66" s="114">
        <v>8150</v>
      </c>
      <c r="NIF66" s="122">
        <v>85</v>
      </c>
      <c r="NIG66" s="123">
        <v>215</v>
      </c>
      <c r="NIH66" s="123">
        <v>75</v>
      </c>
      <c r="NII66" s="122">
        <v>150</v>
      </c>
      <c r="NIJ66" s="124">
        <f>SUM(NIE66:NII66)</f>
        <v>8675</v>
      </c>
      <c r="NIK66" s="122">
        <v>200</v>
      </c>
      <c r="NIL66" s="124">
        <f>SUM(NIJ66:NIK66)</f>
        <v>8875</v>
      </c>
      <c r="NIM66" s="117" t="s">
        <v>99</v>
      </c>
      <c r="NIN66" s="118">
        <v>45845</v>
      </c>
      <c r="NIO66" s="113" t="s">
        <v>39</v>
      </c>
      <c r="NIP66" s="169"/>
      <c r="NIQ66" s="119" t="s">
        <v>92</v>
      </c>
      <c r="NIR66" s="167"/>
      <c r="NIS66" s="168"/>
      <c r="NIT66" s="113" t="s">
        <v>22</v>
      </c>
      <c r="NIU66" s="114">
        <v>8150</v>
      </c>
      <c r="NIV66" s="122">
        <v>85</v>
      </c>
      <c r="NIW66" s="123">
        <v>215</v>
      </c>
      <c r="NIX66" s="123">
        <v>75</v>
      </c>
      <c r="NIY66" s="122">
        <v>150</v>
      </c>
      <c r="NIZ66" s="124">
        <f>SUM(NIU66:NIY66)</f>
        <v>8675</v>
      </c>
      <c r="NJA66" s="122">
        <v>200</v>
      </c>
      <c r="NJB66" s="124">
        <f>SUM(NIZ66:NJA66)</f>
        <v>8875</v>
      </c>
      <c r="NJC66" s="117" t="s">
        <v>99</v>
      </c>
      <c r="NJD66" s="118">
        <v>45845</v>
      </c>
      <c r="NJE66" s="113" t="s">
        <v>39</v>
      </c>
      <c r="NJF66" s="169"/>
      <c r="NJG66" s="119" t="s">
        <v>92</v>
      </c>
      <c r="NJH66" s="167"/>
      <c r="NJI66" s="168"/>
      <c r="NJJ66" s="113" t="s">
        <v>22</v>
      </c>
      <c r="NJK66" s="114">
        <v>8150</v>
      </c>
      <c r="NJL66" s="122">
        <v>85</v>
      </c>
      <c r="NJM66" s="123">
        <v>215</v>
      </c>
      <c r="NJN66" s="123">
        <v>75</v>
      </c>
      <c r="NJO66" s="122">
        <v>150</v>
      </c>
      <c r="NJP66" s="124">
        <f>SUM(NJK66:NJO66)</f>
        <v>8675</v>
      </c>
      <c r="NJQ66" s="122">
        <v>200</v>
      </c>
      <c r="NJR66" s="124">
        <f>SUM(NJP66:NJQ66)</f>
        <v>8875</v>
      </c>
      <c r="NJS66" s="117" t="s">
        <v>99</v>
      </c>
      <c r="NJT66" s="118">
        <v>45845</v>
      </c>
      <c r="NJU66" s="113" t="s">
        <v>39</v>
      </c>
      <c r="NJV66" s="169"/>
      <c r="NJW66" s="119" t="s">
        <v>92</v>
      </c>
      <c r="NJX66" s="167"/>
      <c r="NJY66" s="168"/>
      <c r="NJZ66" s="113" t="s">
        <v>22</v>
      </c>
      <c r="NKA66" s="114">
        <v>8150</v>
      </c>
      <c r="NKB66" s="122">
        <v>85</v>
      </c>
      <c r="NKC66" s="123">
        <v>215</v>
      </c>
      <c r="NKD66" s="123">
        <v>75</v>
      </c>
      <c r="NKE66" s="122">
        <v>150</v>
      </c>
      <c r="NKF66" s="124">
        <f>SUM(NKA66:NKE66)</f>
        <v>8675</v>
      </c>
      <c r="NKG66" s="122">
        <v>200</v>
      </c>
      <c r="NKH66" s="124">
        <f>SUM(NKF66:NKG66)</f>
        <v>8875</v>
      </c>
      <c r="NKI66" s="117" t="s">
        <v>99</v>
      </c>
      <c r="NKJ66" s="118">
        <v>45845</v>
      </c>
      <c r="NKK66" s="113" t="s">
        <v>39</v>
      </c>
      <c r="NKL66" s="169"/>
      <c r="NKM66" s="119" t="s">
        <v>92</v>
      </c>
      <c r="NKN66" s="167"/>
      <c r="NKO66" s="168"/>
      <c r="NKP66" s="113" t="s">
        <v>22</v>
      </c>
      <c r="NKQ66" s="114">
        <v>8150</v>
      </c>
      <c r="NKR66" s="122">
        <v>85</v>
      </c>
      <c r="NKS66" s="123">
        <v>215</v>
      </c>
      <c r="NKT66" s="123">
        <v>75</v>
      </c>
      <c r="NKU66" s="122">
        <v>150</v>
      </c>
      <c r="NKV66" s="124">
        <f>SUM(NKQ66:NKU66)</f>
        <v>8675</v>
      </c>
      <c r="NKW66" s="122">
        <v>200</v>
      </c>
      <c r="NKX66" s="124">
        <f>SUM(NKV66:NKW66)</f>
        <v>8875</v>
      </c>
      <c r="NKY66" s="117" t="s">
        <v>99</v>
      </c>
      <c r="NKZ66" s="118">
        <v>45845</v>
      </c>
      <c r="NLA66" s="113" t="s">
        <v>39</v>
      </c>
      <c r="NLB66" s="169"/>
      <c r="NLC66" s="119" t="s">
        <v>92</v>
      </c>
      <c r="NLD66" s="167"/>
      <c r="NLE66" s="168"/>
      <c r="NLF66" s="113" t="s">
        <v>22</v>
      </c>
      <c r="NLG66" s="114">
        <v>8150</v>
      </c>
      <c r="NLH66" s="122">
        <v>85</v>
      </c>
      <c r="NLI66" s="123">
        <v>215</v>
      </c>
      <c r="NLJ66" s="123">
        <v>75</v>
      </c>
      <c r="NLK66" s="122">
        <v>150</v>
      </c>
      <c r="NLL66" s="124">
        <f>SUM(NLG66:NLK66)</f>
        <v>8675</v>
      </c>
      <c r="NLM66" s="122">
        <v>200</v>
      </c>
      <c r="NLN66" s="124">
        <f>SUM(NLL66:NLM66)</f>
        <v>8875</v>
      </c>
      <c r="NLO66" s="117" t="s">
        <v>99</v>
      </c>
      <c r="NLP66" s="118">
        <v>45845</v>
      </c>
      <c r="NLQ66" s="113" t="s">
        <v>39</v>
      </c>
      <c r="NLR66" s="169"/>
      <c r="NLS66" s="119" t="s">
        <v>92</v>
      </c>
      <c r="NLT66" s="167"/>
      <c r="NLU66" s="168"/>
      <c r="NLV66" s="113" t="s">
        <v>22</v>
      </c>
      <c r="NLW66" s="114">
        <v>8150</v>
      </c>
      <c r="NLX66" s="122">
        <v>85</v>
      </c>
      <c r="NLY66" s="123">
        <v>215</v>
      </c>
      <c r="NLZ66" s="123">
        <v>75</v>
      </c>
      <c r="NMA66" s="122">
        <v>150</v>
      </c>
      <c r="NMB66" s="124">
        <f>SUM(NLW66:NMA66)</f>
        <v>8675</v>
      </c>
      <c r="NMC66" s="122">
        <v>200</v>
      </c>
      <c r="NMD66" s="124">
        <f>SUM(NMB66:NMC66)</f>
        <v>8875</v>
      </c>
      <c r="NME66" s="117" t="s">
        <v>99</v>
      </c>
      <c r="NMF66" s="118">
        <v>45845</v>
      </c>
      <c r="NMG66" s="113" t="s">
        <v>39</v>
      </c>
      <c r="NMH66" s="169"/>
      <c r="NMI66" s="119" t="s">
        <v>92</v>
      </c>
      <c r="NMJ66" s="167"/>
      <c r="NMK66" s="168"/>
      <c r="NML66" s="113" t="s">
        <v>22</v>
      </c>
      <c r="NMM66" s="114">
        <v>8150</v>
      </c>
      <c r="NMN66" s="122">
        <v>85</v>
      </c>
      <c r="NMO66" s="123">
        <v>215</v>
      </c>
      <c r="NMP66" s="123">
        <v>75</v>
      </c>
      <c r="NMQ66" s="122">
        <v>150</v>
      </c>
      <c r="NMR66" s="124">
        <f>SUM(NMM66:NMQ66)</f>
        <v>8675</v>
      </c>
      <c r="NMS66" s="122">
        <v>200</v>
      </c>
      <c r="NMT66" s="124">
        <f>SUM(NMR66:NMS66)</f>
        <v>8875</v>
      </c>
      <c r="NMU66" s="117" t="s">
        <v>99</v>
      </c>
      <c r="NMV66" s="118">
        <v>45845</v>
      </c>
      <c r="NMW66" s="113" t="s">
        <v>39</v>
      </c>
      <c r="NMX66" s="169"/>
      <c r="NMY66" s="119" t="s">
        <v>92</v>
      </c>
      <c r="NMZ66" s="167"/>
      <c r="NNA66" s="168"/>
      <c r="NNB66" s="113" t="s">
        <v>22</v>
      </c>
      <c r="NNC66" s="114">
        <v>8150</v>
      </c>
      <c r="NND66" s="122">
        <v>85</v>
      </c>
      <c r="NNE66" s="123">
        <v>215</v>
      </c>
      <c r="NNF66" s="123">
        <v>75</v>
      </c>
      <c r="NNG66" s="122">
        <v>150</v>
      </c>
      <c r="NNH66" s="124">
        <f>SUM(NNC66:NNG66)</f>
        <v>8675</v>
      </c>
      <c r="NNI66" s="122">
        <v>200</v>
      </c>
      <c r="NNJ66" s="124">
        <f>SUM(NNH66:NNI66)</f>
        <v>8875</v>
      </c>
      <c r="NNK66" s="117" t="s">
        <v>99</v>
      </c>
      <c r="NNL66" s="118">
        <v>45845</v>
      </c>
      <c r="NNM66" s="113" t="s">
        <v>39</v>
      </c>
      <c r="NNN66" s="169"/>
      <c r="NNO66" s="119" t="s">
        <v>92</v>
      </c>
      <c r="NNP66" s="167"/>
      <c r="NNQ66" s="168"/>
      <c r="NNR66" s="113" t="s">
        <v>22</v>
      </c>
      <c r="NNS66" s="114">
        <v>8150</v>
      </c>
      <c r="NNT66" s="122">
        <v>85</v>
      </c>
      <c r="NNU66" s="123">
        <v>215</v>
      </c>
      <c r="NNV66" s="123">
        <v>75</v>
      </c>
      <c r="NNW66" s="122">
        <v>150</v>
      </c>
      <c r="NNX66" s="124">
        <f>SUM(NNS66:NNW66)</f>
        <v>8675</v>
      </c>
      <c r="NNY66" s="122">
        <v>200</v>
      </c>
      <c r="NNZ66" s="124">
        <f>SUM(NNX66:NNY66)</f>
        <v>8875</v>
      </c>
      <c r="NOA66" s="117" t="s">
        <v>99</v>
      </c>
      <c r="NOB66" s="118">
        <v>45845</v>
      </c>
      <c r="NOC66" s="113" t="s">
        <v>39</v>
      </c>
      <c r="NOD66" s="169"/>
      <c r="NOE66" s="119" t="s">
        <v>92</v>
      </c>
      <c r="NOF66" s="167"/>
      <c r="NOG66" s="168"/>
      <c r="NOH66" s="113" t="s">
        <v>22</v>
      </c>
      <c r="NOI66" s="114">
        <v>8150</v>
      </c>
      <c r="NOJ66" s="122">
        <v>85</v>
      </c>
      <c r="NOK66" s="123">
        <v>215</v>
      </c>
      <c r="NOL66" s="123">
        <v>75</v>
      </c>
      <c r="NOM66" s="122">
        <v>150</v>
      </c>
      <c r="NON66" s="124">
        <f>SUM(NOI66:NOM66)</f>
        <v>8675</v>
      </c>
      <c r="NOO66" s="122">
        <v>200</v>
      </c>
      <c r="NOP66" s="124">
        <f>SUM(NON66:NOO66)</f>
        <v>8875</v>
      </c>
      <c r="NOQ66" s="117" t="s">
        <v>99</v>
      </c>
      <c r="NOR66" s="118">
        <v>45845</v>
      </c>
      <c r="NOS66" s="113" t="s">
        <v>39</v>
      </c>
      <c r="NOT66" s="169"/>
      <c r="NOU66" s="119" t="s">
        <v>92</v>
      </c>
      <c r="NOV66" s="167"/>
      <c r="NOW66" s="168"/>
      <c r="NOX66" s="113" t="s">
        <v>22</v>
      </c>
      <c r="NOY66" s="114">
        <v>8150</v>
      </c>
      <c r="NOZ66" s="122">
        <v>85</v>
      </c>
      <c r="NPA66" s="123">
        <v>215</v>
      </c>
      <c r="NPB66" s="123">
        <v>75</v>
      </c>
      <c r="NPC66" s="122">
        <v>150</v>
      </c>
      <c r="NPD66" s="124">
        <f>SUM(NOY66:NPC66)</f>
        <v>8675</v>
      </c>
      <c r="NPE66" s="122">
        <v>200</v>
      </c>
      <c r="NPF66" s="124">
        <f>SUM(NPD66:NPE66)</f>
        <v>8875</v>
      </c>
      <c r="NPG66" s="117" t="s">
        <v>99</v>
      </c>
      <c r="NPH66" s="118">
        <v>45845</v>
      </c>
      <c r="NPI66" s="113" t="s">
        <v>39</v>
      </c>
      <c r="NPJ66" s="169"/>
      <c r="NPK66" s="119" t="s">
        <v>92</v>
      </c>
      <c r="NPL66" s="167"/>
      <c r="NPM66" s="168"/>
      <c r="NPN66" s="113" t="s">
        <v>22</v>
      </c>
      <c r="NPO66" s="114">
        <v>8150</v>
      </c>
      <c r="NPP66" s="122">
        <v>85</v>
      </c>
      <c r="NPQ66" s="123">
        <v>215</v>
      </c>
      <c r="NPR66" s="123">
        <v>75</v>
      </c>
      <c r="NPS66" s="122">
        <v>150</v>
      </c>
      <c r="NPT66" s="124">
        <f>SUM(NPO66:NPS66)</f>
        <v>8675</v>
      </c>
      <c r="NPU66" s="122">
        <v>200</v>
      </c>
      <c r="NPV66" s="124">
        <f>SUM(NPT66:NPU66)</f>
        <v>8875</v>
      </c>
      <c r="NPW66" s="117" t="s">
        <v>99</v>
      </c>
      <c r="NPX66" s="118">
        <v>45845</v>
      </c>
      <c r="NPY66" s="113" t="s">
        <v>39</v>
      </c>
      <c r="NPZ66" s="169"/>
      <c r="NQA66" s="119" t="s">
        <v>92</v>
      </c>
      <c r="NQB66" s="167"/>
      <c r="NQC66" s="168"/>
      <c r="NQD66" s="113" t="s">
        <v>22</v>
      </c>
      <c r="NQE66" s="114">
        <v>8150</v>
      </c>
      <c r="NQF66" s="122">
        <v>85</v>
      </c>
      <c r="NQG66" s="123">
        <v>215</v>
      </c>
      <c r="NQH66" s="123">
        <v>75</v>
      </c>
      <c r="NQI66" s="122">
        <v>150</v>
      </c>
      <c r="NQJ66" s="124">
        <f>SUM(NQE66:NQI66)</f>
        <v>8675</v>
      </c>
      <c r="NQK66" s="122">
        <v>200</v>
      </c>
      <c r="NQL66" s="124">
        <f>SUM(NQJ66:NQK66)</f>
        <v>8875</v>
      </c>
      <c r="NQM66" s="117" t="s">
        <v>99</v>
      </c>
      <c r="NQN66" s="118">
        <v>45845</v>
      </c>
      <c r="NQO66" s="113" t="s">
        <v>39</v>
      </c>
      <c r="NQP66" s="169"/>
      <c r="NQQ66" s="119" t="s">
        <v>92</v>
      </c>
      <c r="NQR66" s="167"/>
      <c r="NQS66" s="168"/>
      <c r="NQT66" s="113" t="s">
        <v>22</v>
      </c>
      <c r="NQU66" s="114">
        <v>8150</v>
      </c>
      <c r="NQV66" s="122">
        <v>85</v>
      </c>
      <c r="NQW66" s="123">
        <v>215</v>
      </c>
      <c r="NQX66" s="123">
        <v>75</v>
      </c>
      <c r="NQY66" s="122">
        <v>150</v>
      </c>
      <c r="NQZ66" s="124">
        <f>SUM(NQU66:NQY66)</f>
        <v>8675</v>
      </c>
      <c r="NRA66" s="122">
        <v>200</v>
      </c>
      <c r="NRB66" s="124">
        <f>SUM(NQZ66:NRA66)</f>
        <v>8875</v>
      </c>
      <c r="NRC66" s="117" t="s">
        <v>99</v>
      </c>
      <c r="NRD66" s="118">
        <v>45845</v>
      </c>
      <c r="NRE66" s="113" t="s">
        <v>39</v>
      </c>
      <c r="NRF66" s="169"/>
      <c r="NRG66" s="119" t="s">
        <v>92</v>
      </c>
      <c r="NRH66" s="167"/>
      <c r="NRI66" s="168"/>
      <c r="NRJ66" s="113" t="s">
        <v>22</v>
      </c>
      <c r="NRK66" s="114">
        <v>8150</v>
      </c>
      <c r="NRL66" s="122">
        <v>85</v>
      </c>
      <c r="NRM66" s="123">
        <v>215</v>
      </c>
      <c r="NRN66" s="123">
        <v>75</v>
      </c>
      <c r="NRO66" s="122">
        <v>150</v>
      </c>
      <c r="NRP66" s="124">
        <f>SUM(NRK66:NRO66)</f>
        <v>8675</v>
      </c>
      <c r="NRQ66" s="122">
        <v>200</v>
      </c>
      <c r="NRR66" s="124">
        <f>SUM(NRP66:NRQ66)</f>
        <v>8875</v>
      </c>
      <c r="NRS66" s="117" t="s">
        <v>99</v>
      </c>
      <c r="NRT66" s="118">
        <v>45845</v>
      </c>
      <c r="NRU66" s="113" t="s">
        <v>39</v>
      </c>
      <c r="NRV66" s="169"/>
      <c r="NRW66" s="119" t="s">
        <v>92</v>
      </c>
      <c r="NRX66" s="167"/>
      <c r="NRY66" s="168"/>
      <c r="NRZ66" s="113" t="s">
        <v>22</v>
      </c>
      <c r="NSA66" s="114">
        <v>8150</v>
      </c>
      <c r="NSB66" s="122">
        <v>85</v>
      </c>
      <c r="NSC66" s="123">
        <v>215</v>
      </c>
      <c r="NSD66" s="123">
        <v>75</v>
      </c>
      <c r="NSE66" s="122">
        <v>150</v>
      </c>
      <c r="NSF66" s="124">
        <f>SUM(NSA66:NSE66)</f>
        <v>8675</v>
      </c>
      <c r="NSG66" s="122">
        <v>200</v>
      </c>
      <c r="NSH66" s="124">
        <f>SUM(NSF66:NSG66)</f>
        <v>8875</v>
      </c>
      <c r="NSI66" s="117" t="s">
        <v>99</v>
      </c>
      <c r="NSJ66" s="118">
        <v>45845</v>
      </c>
      <c r="NSK66" s="113" t="s">
        <v>39</v>
      </c>
      <c r="NSL66" s="169"/>
      <c r="NSM66" s="119" t="s">
        <v>92</v>
      </c>
      <c r="NSN66" s="167"/>
      <c r="NSO66" s="168"/>
      <c r="NSP66" s="113" t="s">
        <v>22</v>
      </c>
      <c r="NSQ66" s="114">
        <v>8150</v>
      </c>
      <c r="NSR66" s="122">
        <v>85</v>
      </c>
      <c r="NSS66" s="123">
        <v>215</v>
      </c>
      <c r="NST66" s="123">
        <v>75</v>
      </c>
      <c r="NSU66" s="122">
        <v>150</v>
      </c>
      <c r="NSV66" s="124">
        <f>SUM(NSQ66:NSU66)</f>
        <v>8675</v>
      </c>
      <c r="NSW66" s="122">
        <v>200</v>
      </c>
      <c r="NSX66" s="124">
        <f>SUM(NSV66:NSW66)</f>
        <v>8875</v>
      </c>
      <c r="NSY66" s="117" t="s">
        <v>99</v>
      </c>
      <c r="NSZ66" s="118">
        <v>45845</v>
      </c>
      <c r="NTA66" s="113" t="s">
        <v>39</v>
      </c>
      <c r="NTB66" s="169"/>
      <c r="NTC66" s="119" t="s">
        <v>92</v>
      </c>
      <c r="NTD66" s="167"/>
      <c r="NTE66" s="168"/>
      <c r="NTF66" s="113" t="s">
        <v>22</v>
      </c>
      <c r="NTG66" s="114">
        <v>8150</v>
      </c>
      <c r="NTH66" s="122">
        <v>85</v>
      </c>
      <c r="NTI66" s="123">
        <v>215</v>
      </c>
      <c r="NTJ66" s="123">
        <v>75</v>
      </c>
      <c r="NTK66" s="122">
        <v>150</v>
      </c>
      <c r="NTL66" s="124">
        <f>SUM(NTG66:NTK66)</f>
        <v>8675</v>
      </c>
      <c r="NTM66" s="122">
        <v>200</v>
      </c>
      <c r="NTN66" s="124">
        <f>SUM(NTL66:NTM66)</f>
        <v>8875</v>
      </c>
      <c r="NTO66" s="117" t="s">
        <v>99</v>
      </c>
      <c r="NTP66" s="118">
        <v>45845</v>
      </c>
      <c r="NTQ66" s="113" t="s">
        <v>39</v>
      </c>
      <c r="NTR66" s="169"/>
      <c r="NTS66" s="119" t="s">
        <v>92</v>
      </c>
      <c r="NTT66" s="167"/>
      <c r="NTU66" s="168"/>
      <c r="NTV66" s="113" t="s">
        <v>22</v>
      </c>
      <c r="NTW66" s="114">
        <v>8150</v>
      </c>
      <c r="NTX66" s="122">
        <v>85</v>
      </c>
      <c r="NTY66" s="123">
        <v>215</v>
      </c>
      <c r="NTZ66" s="123">
        <v>75</v>
      </c>
      <c r="NUA66" s="122">
        <v>150</v>
      </c>
      <c r="NUB66" s="124">
        <f>SUM(NTW66:NUA66)</f>
        <v>8675</v>
      </c>
      <c r="NUC66" s="122">
        <v>200</v>
      </c>
      <c r="NUD66" s="124">
        <f>SUM(NUB66:NUC66)</f>
        <v>8875</v>
      </c>
      <c r="NUE66" s="117" t="s">
        <v>99</v>
      </c>
      <c r="NUF66" s="118">
        <v>45845</v>
      </c>
      <c r="NUG66" s="113" t="s">
        <v>39</v>
      </c>
      <c r="NUH66" s="169"/>
      <c r="NUI66" s="119" t="s">
        <v>92</v>
      </c>
      <c r="NUJ66" s="167"/>
      <c r="NUK66" s="168"/>
      <c r="NUL66" s="113" t="s">
        <v>22</v>
      </c>
      <c r="NUM66" s="114">
        <v>8150</v>
      </c>
      <c r="NUN66" s="122">
        <v>85</v>
      </c>
      <c r="NUO66" s="123">
        <v>215</v>
      </c>
      <c r="NUP66" s="123">
        <v>75</v>
      </c>
      <c r="NUQ66" s="122">
        <v>150</v>
      </c>
      <c r="NUR66" s="124">
        <f>SUM(NUM66:NUQ66)</f>
        <v>8675</v>
      </c>
      <c r="NUS66" s="122">
        <v>200</v>
      </c>
      <c r="NUT66" s="124">
        <f>SUM(NUR66:NUS66)</f>
        <v>8875</v>
      </c>
      <c r="NUU66" s="117" t="s">
        <v>99</v>
      </c>
      <c r="NUV66" s="118">
        <v>45845</v>
      </c>
      <c r="NUW66" s="113" t="s">
        <v>39</v>
      </c>
      <c r="NUX66" s="169"/>
      <c r="NUY66" s="119" t="s">
        <v>92</v>
      </c>
      <c r="NUZ66" s="167"/>
      <c r="NVA66" s="168"/>
      <c r="NVB66" s="113" t="s">
        <v>22</v>
      </c>
      <c r="NVC66" s="114">
        <v>8150</v>
      </c>
      <c r="NVD66" s="122">
        <v>85</v>
      </c>
      <c r="NVE66" s="123">
        <v>215</v>
      </c>
      <c r="NVF66" s="123">
        <v>75</v>
      </c>
      <c r="NVG66" s="122">
        <v>150</v>
      </c>
      <c r="NVH66" s="124">
        <f>SUM(NVC66:NVG66)</f>
        <v>8675</v>
      </c>
      <c r="NVI66" s="122">
        <v>200</v>
      </c>
      <c r="NVJ66" s="124">
        <f>SUM(NVH66:NVI66)</f>
        <v>8875</v>
      </c>
      <c r="NVK66" s="117" t="s">
        <v>99</v>
      </c>
      <c r="NVL66" s="118">
        <v>45845</v>
      </c>
      <c r="NVM66" s="113" t="s">
        <v>39</v>
      </c>
      <c r="NVN66" s="169"/>
      <c r="NVO66" s="119" t="s">
        <v>92</v>
      </c>
      <c r="NVP66" s="167"/>
      <c r="NVQ66" s="168"/>
      <c r="NVR66" s="113" t="s">
        <v>22</v>
      </c>
      <c r="NVS66" s="114">
        <v>8150</v>
      </c>
      <c r="NVT66" s="122">
        <v>85</v>
      </c>
      <c r="NVU66" s="123">
        <v>215</v>
      </c>
      <c r="NVV66" s="123">
        <v>75</v>
      </c>
      <c r="NVW66" s="122">
        <v>150</v>
      </c>
      <c r="NVX66" s="124">
        <f>SUM(NVS66:NVW66)</f>
        <v>8675</v>
      </c>
      <c r="NVY66" s="122">
        <v>200</v>
      </c>
      <c r="NVZ66" s="124">
        <f>SUM(NVX66:NVY66)</f>
        <v>8875</v>
      </c>
      <c r="NWA66" s="117" t="s">
        <v>99</v>
      </c>
      <c r="NWB66" s="118">
        <v>45845</v>
      </c>
      <c r="NWC66" s="113" t="s">
        <v>39</v>
      </c>
      <c r="NWD66" s="169"/>
      <c r="NWE66" s="119" t="s">
        <v>92</v>
      </c>
      <c r="NWF66" s="167"/>
      <c r="NWG66" s="168"/>
      <c r="NWH66" s="113" t="s">
        <v>22</v>
      </c>
      <c r="NWI66" s="114">
        <v>8150</v>
      </c>
      <c r="NWJ66" s="122">
        <v>85</v>
      </c>
      <c r="NWK66" s="123">
        <v>215</v>
      </c>
      <c r="NWL66" s="123">
        <v>75</v>
      </c>
      <c r="NWM66" s="122">
        <v>150</v>
      </c>
      <c r="NWN66" s="124">
        <f>SUM(NWI66:NWM66)</f>
        <v>8675</v>
      </c>
      <c r="NWO66" s="122">
        <v>200</v>
      </c>
      <c r="NWP66" s="124">
        <f>SUM(NWN66:NWO66)</f>
        <v>8875</v>
      </c>
      <c r="NWQ66" s="117" t="s">
        <v>99</v>
      </c>
      <c r="NWR66" s="118">
        <v>45845</v>
      </c>
      <c r="NWS66" s="113" t="s">
        <v>39</v>
      </c>
      <c r="NWT66" s="169"/>
      <c r="NWU66" s="119" t="s">
        <v>92</v>
      </c>
      <c r="NWV66" s="167"/>
      <c r="NWW66" s="168"/>
      <c r="NWX66" s="113" t="s">
        <v>22</v>
      </c>
      <c r="NWY66" s="114">
        <v>8150</v>
      </c>
      <c r="NWZ66" s="122">
        <v>85</v>
      </c>
      <c r="NXA66" s="123">
        <v>215</v>
      </c>
      <c r="NXB66" s="123">
        <v>75</v>
      </c>
      <c r="NXC66" s="122">
        <v>150</v>
      </c>
      <c r="NXD66" s="124">
        <f>SUM(NWY66:NXC66)</f>
        <v>8675</v>
      </c>
      <c r="NXE66" s="122">
        <v>200</v>
      </c>
      <c r="NXF66" s="124">
        <f>SUM(NXD66:NXE66)</f>
        <v>8875</v>
      </c>
      <c r="NXG66" s="117" t="s">
        <v>99</v>
      </c>
      <c r="NXH66" s="118">
        <v>45845</v>
      </c>
      <c r="NXI66" s="113" t="s">
        <v>39</v>
      </c>
      <c r="NXJ66" s="169"/>
      <c r="NXK66" s="119" t="s">
        <v>92</v>
      </c>
      <c r="NXL66" s="167"/>
      <c r="NXM66" s="168"/>
      <c r="NXN66" s="113" t="s">
        <v>22</v>
      </c>
      <c r="NXO66" s="114">
        <v>8150</v>
      </c>
      <c r="NXP66" s="122">
        <v>85</v>
      </c>
      <c r="NXQ66" s="123">
        <v>215</v>
      </c>
      <c r="NXR66" s="123">
        <v>75</v>
      </c>
      <c r="NXS66" s="122">
        <v>150</v>
      </c>
      <c r="NXT66" s="124">
        <f>SUM(NXO66:NXS66)</f>
        <v>8675</v>
      </c>
      <c r="NXU66" s="122">
        <v>200</v>
      </c>
      <c r="NXV66" s="124">
        <f>SUM(NXT66:NXU66)</f>
        <v>8875</v>
      </c>
      <c r="NXW66" s="117" t="s">
        <v>99</v>
      </c>
      <c r="NXX66" s="118">
        <v>45845</v>
      </c>
      <c r="NXY66" s="113" t="s">
        <v>39</v>
      </c>
      <c r="NXZ66" s="169"/>
      <c r="NYA66" s="119" t="s">
        <v>92</v>
      </c>
      <c r="NYB66" s="167"/>
      <c r="NYC66" s="168"/>
      <c r="NYD66" s="113" t="s">
        <v>22</v>
      </c>
      <c r="NYE66" s="114">
        <v>8150</v>
      </c>
      <c r="NYF66" s="122">
        <v>85</v>
      </c>
      <c r="NYG66" s="123">
        <v>215</v>
      </c>
      <c r="NYH66" s="123">
        <v>75</v>
      </c>
      <c r="NYI66" s="122">
        <v>150</v>
      </c>
      <c r="NYJ66" s="124">
        <f>SUM(NYE66:NYI66)</f>
        <v>8675</v>
      </c>
      <c r="NYK66" s="122">
        <v>200</v>
      </c>
      <c r="NYL66" s="124">
        <f>SUM(NYJ66:NYK66)</f>
        <v>8875</v>
      </c>
      <c r="NYM66" s="117" t="s">
        <v>99</v>
      </c>
      <c r="NYN66" s="118">
        <v>45845</v>
      </c>
      <c r="NYO66" s="113" t="s">
        <v>39</v>
      </c>
      <c r="NYP66" s="169"/>
      <c r="NYQ66" s="119" t="s">
        <v>92</v>
      </c>
      <c r="NYR66" s="167"/>
      <c r="NYS66" s="168"/>
      <c r="NYT66" s="113" t="s">
        <v>22</v>
      </c>
      <c r="NYU66" s="114">
        <v>8150</v>
      </c>
      <c r="NYV66" s="122">
        <v>85</v>
      </c>
      <c r="NYW66" s="123">
        <v>215</v>
      </c>
      <c r="NYX66" s="123">
        <v>75</v>
      </c>
      <c r="NYY66" s="122">
        <v>150</v>
      </c>
      <c r="NYZ66" s="124">
        <f>SUM(NYU66:NYY66)</f>
        <v>8675</v>
      </c>
      <c r="NZA66" s="122">
        <v>200</v>
      </c>
      <c r="NZB66" s="124">
        <f>SUM(NYZ66:NZA66)</f>
        <v>8875</v>
      </c>
      <c r="NZC66" s="117" t="s">
        <v>99</v>
      </c>
      <c r="NZD66" s="118">
        <v>45845</v>
      </c>
      <c r="NZE66" s="113" t="s">
        <v>39</v>
      </c>
      <c r="NZF66" s="169"/>
      <c r="NZG66" s="119" t="s">
        <v>92</v>
      </c>
      <c r="NZH66" s="167"/>
      <c r="NZI66" s="168"/>
      <c r="NZJ66" s="113" t="s">
        <v>22</v>
      </c>
      <c r="NZK66" s="114">
        <v>8150</v>
      </c>
      <c r="NZL66" s="122">
        <v>85</v>
      </c>
      <c r="NZM66" s="123">
        <v>215</v>
      </c>
      <c r="NZN66" s="123">
        <v>75</v>
      </c>
      <c r="NZO66" s="122">
        <v>150</v>
      </c>
      <c r="NZP66" s="124">
        <f>SUM(NZK66:NZO66)</f>
        <v>8675</v>
      </c>
      <c r="NZQ66" s="122">
        <v>200</v>
      </c>
      <c r="NZR66" s="124">
        <f>SUM(NZP66:NZQ66)</f>
        <v>8875</v>
      </c>
      <c r="NZS66" s="117" t="s">
        <v>99</v>
      </c>
      <c r="NZT66" s="118">
        <v>45845</v>
      </c>
      <c r="NZU66" s="113" t="s">
        <v>39</v>
      </c>
      <c r="NZV66" s="169"/>
      <c r="NZW66" s="119" t="s">
        <v>92</v>
      </c>
      <c r="NZX66" s="167"/>
      <c r="NZY66" s="168"/>
      <c r="NZZ66" s="113" t="s">
        <v>22</v>
      </c>
      <c r="OAA66" s="114">
        <v>8150</v>
      </c>
      <c r="OAB66" s="122">
        <v>85</v>
      </c>
      <c r="OAC66" s="123">
        <v>215</v>
      </c>
      <c r="OAD66" s="123">
        <v>75</v>
      </c>
      <c r="OAE66" s="122">
        <v>150</v>
      </c>
      <c r="OAF66" s="124">
        <f>SUM(OAA66:OAE66)</f>
        <v>8675</v>
      </c>
      <c r="OAG66" s="122">
        <v>200</v>
      </c>
      <c r="OAH66" s="124">
        <f>SUM(OAF66:OAG66)</f>
        <v>8875</v>
      </c>
      <c r="OAI66" s="117" t="s">
        <v>99</v>
      </c>
      <c r="OAJ66" s="118">
        <v>45845</v>
      </c>
      <c r="OAK66" s="113" t="s">
        <v>39</v>
      </c>
      <c r="OAL66" s="169"/>
      <c r="OAM66" s="119" t="s">
        <v>92</v>
      </c>
      <c r="OAN66" s="167"/>
      <c r="OAO66" s="168"/>
      <c r="OAP66" s="113" t="s">
        <v>22</v>
      </c>
      <c r="OAQ66" s="114">
        <v>8150</v>
      </c>
      <c r="OAR66" s="122">
        <v>85</v>
      </c>
      <c r="OAS66" s="123">
        <v>215</v>
      </c>
      <c r="OAT66" s="123">
        <v>75</v>
      </c>
      <c r="OAU66" s="122">
        <v>150</v>
      </c>
      <c r="OAV66" s="124">
        <f>SUM(OAQ66:OAU66)</f>
        <v>8675</v>
      </c>
      <c r="OAW66" s="122">
        <v>200</v>
      </c>
      <c r="OAX66" s="124">
        <f>SUM(OAV66:OAW66)</f>
        <v>8875</v>
      </c>
      <c r="OAY66" s="117" t="s">
        <v>99</v>
      </c>
      <c r="OAZ66" s="118">
        <v>45845</v>
      </c>
      <c r="OBA66" s="113" t="s">
        <v>39</v>
      </c>
      <c r="OBB66" s="169"/>
      <c r="OBC66" s="119" t="s">
        <v>92</v>
      </c>
      <c r="OBD66" s="167"/>
      <c r="OBE66" s="168"/>
      <c r="OBF66" s="113" t="s">
        <v>22</v>
      </c>
      <c r="OBG66" s="114">
        <v>8150</v>
      </c>
      <c r="OBH66" s="122">
        <v>85</v>
      </c>
      <c r="OBI66" s="123">
        <v>215</v>
      </c>
      <c r="OBJ66" s="123">
        <v>75</v>
      </c>
      <c r="OBK66" s="122">
        <v>150</v>
      </c>
      <c r="OBL66" s="124">
        <f>SUM(OBG66:OBK66)</f>
        <v>8675</v>
      </c>
      <c r="OBM66" s="122">
        <v>200</v>
      </c>
      <c r="OBN66" s="124">
        <f>SUM(OBL66:OBM66)</f>
        <v>8875</v>
      </c>
      <c r="OBO66" s="117" t="s">
        <v>99</v>
      </c>
      <c r="OBP66" s="118">
        <v>45845</v>
      </c>
      <c r="OBQ66" s="113" t="s">
        <v>39</v>
      </c>
      <c r="OBR66" s="169"/>
      <c r="OBS66" s="119" t="s">
        <v>92</v>
      </c>
      <c r="OBT66" s="167"/>
      <c r="OBU66" s="168"/>
      <c r="OBV66" s="113" t="s">
        <v>22</v>
      </c>
      <c r="OBW66" s="114">
        <v>8150</v>
      </c>
      <c r="OBX66" s="122">
        <v>85</v>
      </c>
      <c r="OBY66" s="123">
        <v>215</v>
      </c>
      <c r="OBZ66" s="123">
        <v>75</v>
      </c>
      <c r="OCA66" s="122">
        <v>150</v>
      </c>
      <c r="OCB66" s="124">
        <f>SUM(OBW66:OCA66)</f>
        <v>8675</v>
      </c>
      <c r="OCC66" s="122">
        <v>200</v>
      </c>
      <c r="OCD66" s="124">
        <f>SUM(OCB66:OCC66)</f>
        <v>8875</v>
      </c>
      <c r="OCE66" s="117" t="s">
        <v>99</v>
      </c>
      <c r="OCF66" s="118">
        <v>45845</v>
      </c>
      <c r="OCG66" s="113" t="s">
        <v>39</v>
      </c>
      <c r="OCH66" s="169"/>
      <c r="OCI66" s="119" t="s">
        <v>92</v>
      </c>
      <c r="OCJ66" s="167"/>
      <c r="OCK66" s="168"/>
      <c r="OCL66" s="113" t="s">
        <v>22</v>
      </c>
      <c r="OCM66" s="114">
        <v>8150</v>
      </c>
      <c r="OCN66" s="122">
        <v>85</v>
      </c>
      <c r="OCO66" s="123">
        <v>215</v>
      </c>
      <c r="OCP66" s="123">
        <v>75</v>
      </c>
      <c r="OCQ66" s="122">
        <v>150</v>
      </c>
      <c r="OCR66" s="124">
        <f>SUM(OCM66:OCQ66)</f>
        <v>8675</v>
      </c>
      <c r="OCS66" s="122">
        <v>200</v>
      </c>
      <c r="OCT66" s="124">
        <f>SUM(OCR66:OCS66)</f>
        <v>8875</v>
      </c>
      <c r="OCU66" s="117" t="s">
        <v>99</v>
      </c>
      <c r="OCV66" s="118">
        <v>45845</v>
      </c>
      <c r="OCW66" s="113" t="s">
        <v>39</v>
      </c>
      <c r="OCX66" s="169"/>
      <c r="OCY66" s="119" t="s">
        <v>92</v>
      </c>
      <c r="OCZ66" s="167"/>
      <c r="ODA66" s="168"/>
      <c r="ODB66" s="113" t="s">
        <v>22</v>
      </c>
      <c r="ODC66" s="114">
        <v>8150</v>
      </c>
      <c r="ODD66" s="122">
        <v>85</v>
      </c>
      <c r="ODE66" s="123">
        <v>215</v>
      </c>
      <c r="ODF66" s="123">
        <v>75</v>
      </c>
      <c r="ODG66" s="122">
        <v>150</v>
      </c>
      <c r="ODH66" s="124">
        <f>SUM(ODC66:ODG66)</f>
        <v>8675</v>
      </c>
      <c r="ODI66" s="122">
        <v>200</v>
      </c>
      <c r="ODJ66" s="124">
        <f>SUM(ODH66:ODI66)</f>
        <v>8875</v>
      </c>
      <c r="ODK66" s="117" t="s">
        <v>99</v>
      </c>
      <c r="ODL66" s="118">
        <v>45845</v>
      </c>
      <c r="ODM66" s="113" t="s">
        <v>39</v>
      </c>
      <c r="ODN66" s="169"/>
      <c r="ODO66" s="119" t="s">
        <v>92</v>
      </c>
      <c r="ODP66" s="167"/>
      <c r="ODQ66" s="168"/>
      <c r="ODR66" s="113" t="s">
        <v>22</v>
      </c>
      <c r="ODS66" s="114">
        <v>8150</v>
      </c>
      <c r="ODT66" s="122">
        <v>85</v>
      </c>
      <c r="ODU66" s="123">
        <v>215</v>
      </c>
      <c r="ODV66" s="123">
        <v>75</v>
      </c>
      <c r="ODW66" s="122">
        <v>150</v>
      </c>
      <c r="ODX66" s="124">
        <f>SUM(ODS66:ODW66)</f>
        <v>8675</v>
      </c>
      <c r="ODY66" s="122">
        <v>200</v>
      </c>
      <c r="ODZ66" s="124">
        <f>SUM(ODX66:ODY66)</f>
        <v>8875</v>
      </c>
      <c r="OEA66" s="117" t="s">
        <v>99</v>
      </c>
      <c r="OEB66" s="118">
        <v>45845</v>
      </c>
      <c r="OEC66" s="113" t="s">
        <v>39</v>
      </c>
      <c r="OED66" s="169"/>
      <c r="OEE66" s="119" t="s">
        <v>92</v>
      </c>
      <c r="OEF66" s="167"/>
      <c r="OEG66" s="168"/>
      <c r="OEH66" s="113" t="s">
        <v>22</v>
      </c>
      <c r="OEI66" s="114">
        <v>8150</v>
      </c>
      <c r="OEJ66" s="122">
        <v>85</v>
      </c>
      <c r="OEK66" s="123">
        <v>215</v>
      </c>
      <c r="OEL66" s="123">
        <v>75</v>
      </c>
      <c r="OEM66" s="122">
        <v>150</v>
      </c>
      <c r="OEN66" s="124">
        <f>SUM(OEI66:OEM66)</f>
        <v>8675</v>
      </c>
      <c r="OEO66" s="122">
        <v>200</v>
      </c>
      <c r="OEP66" s="124">
        <f>SUM(OEN66:OEO66)</f>
        <v>8875</v>
      </c>
      <c r="OEQ66" s="117" t="s">
        <v>99</v>
      </c>
      <c r="OER66" s="118">
        <v>45845</v>
      </c>
      <c r="OES66" s="113" t="s">
        <v>39</v>
      </c>
      <c r="OET66" s="169"/>
      <c r="OEU66" s="119" t="s">
        <v>92</v>
      </c>
      <c r="OEV66" s="167"/>
      <c r="OEW66" s="168"/>
      <c r="OEX66" s="113" t="s">
        <v>22</v>
      </c>
      <c r="OEY66" s="114">
        <v>8150</v>
      </c>
      <c r="OEZ66" s="122">
        <v>85</v>
      </c>
      <c r="OFA66" s="123">
        <v>215</v>
      </c>
      <c r="OFB66" s="123">
        <v>75</v>
      </c>
      <c r="OFC66" s="122">
        <v>150</v>
      </c>
      <c r="OFD66" s="124">
        <f>SUM(OEY66:OFC66)</f>
        <v>8675</v>
      </c>
      <c r="OFE66" s="122">
        <v>200</v>
      </c>
      <c r="OFF66" s="124">
        <f>SUM(OFD66:OFE66)</f>
        <v>8875</v>
      </c>
      <c r="OFG66" s="117" t="s">
        <v>99</v>
      </c>
      <c r="OFH66" s="118">
        <v>45845</v>
      </c>
      <c r="OFI66" s="113" t="s">
        <v>39</v>
      </c>
      <c r="OFJ66" s="169"/>
      <c r="OFK66" s="119" t="s">
        <v>92</v>
      </c>
      <c r="OFL66" s="167"/>
      <c r="OFM66" s="168"/>
      <c r="OFN66" s="113" t="s">
        <v>22</v>
      </c>
      <c r="OFO66" s="114">
        <v>8150</v>
      </c>
      <c r="OFP66" s="122">
        <v>85</v>
      </c>
      <c r="OFQ66" s="123">
        <v>215</v>
      </c>
      <c r="OFR66" s="123">
        <v>75</v>
      </c>
      <c r="OFS66" s="122">
        <v>150</v>
      </c>
      <c r="OFT66" s="124">
        <f>SUM(OFO66:OFS66)</f>
        <v>8675</v>
      </c>
      <c r="OFU66" s="122">
        <v>200</v>
      </c>
      <c r="OFV66" s="124">
        <f>SUM(OFT66:OFU66)</f>
        <v>8875</v>
      </c>
      <c r="OFW66" s="117" t="s">
        <v>99</v>
      </c>
      <c r="OFX66" s="118">
        <v>45845</v>
      </c>
      <c r="OFY66" s="113" t="s">
        <v>39</v>
      </c>
      <c r="OFZ66" s="169"/>
      <c r="OGA66" s="119" t="s">
        <v>92</v>
      </c>
      <c r="OGB66" s="167"/>
      <c r="OGC66" s="168"/>
      <c r="OGD66" s="113" t="s">
        <v>22</v>
      </c>
      <c r="OGE66" s="114">
        <v>8150</v>
      </c>
      <c r="OGF66" s="122">
        <v>85</v>
      </c>
      <c r="OGG66" s="123">
        <v>215</v>
      </c>
      <c r="OGH66" s="123">
        <v>75</v>
      </c>
      <c r="OGI66" s="122">
        <v>150</v>
      </c>
      <c r="OGJ66" s="124">
        <f>SUM(OGE66:OGI66)</f>
        <v>8675</v>
      </c>
      <c r="OGK66" s="122">
        <v>200</v>
      </c>
      <c r="OGL66" s="124">
        <f>SUM(OGJ66:OGK66)</f>
        <v>8875</v>
      </c>
      <c r="OGM66" s="117" t="s">
        <v>99</v>
      </c>
      <c r="OGN66" s="118">
        <v>45845</v>
      </c>
      <c r="OGO66" s="113" t="s">
        <v>39</v>
      </c>
      <c r="OGP66" s="169"/>
      <c r="OGQ66" s="119" t="s">
        <v>92</v>
      </c>
      <c r="OGR66" s="167"/>
      <c r="OGS66" s="168"/>
      <c r="OGT66" s="113" t="s">
        <v>22</v>
      </c>
      <c r="OGU66" s="114">
        <v>8150</v>
      </c>
      <c r="OGV66" s="122">
        <v>85</v>
      </c>
      <c r="OGW66" s="123">
        <v>215</v>
      </c>
      <c r="OGX66" s="123">
        <v>75</v>
      </c>
      <c r="OGY66" s="122">
        <v>150</v>
      </c>
      <c r="OGZ66" s="124">
        <f>SUM(OGU66:OGY66)</f>
        <v>8675</v>
      </c>
      <c r="OHA66" s="122">
        <v>200</v>
      </c>
      <c r="OHB66" s="124">
        <f>SUM(OGZ66:OHA66)</f>
        <v>8875</v>
      </c>
      <c r="OHC66" s="117" t="s">
        <v>99</v>
      </c>
      <c r="OHD66" s="118">
        <v>45845</v>
      </c>
      <c r="OHE66" s="113" t="s">
        <v>39</v>
      </c>
      <c r="OHF66" s="169"/>
      <c r="OHG66" s="119" t="s">
        <v>92</v>
      </c>
      <c r="OHH66" s="167"/>
      <c r="OHI66" s="168"/>
      <c r="OHJ66" s="113" t="s">
        <v>22</v>
      </c>
      <c r="OHK66" s="114">
        <v>8150</v>
      </c>
      <c r="OHL66" s="122">
        <v>85</v>
      </c>
      <c r="OHM66" s="123">
        <v>215</v>
      </c>
      <c r="OHN66" s="123">
        <v>75</v>
      </c>
      <c r="OHO66" s="122">
        <v>150</v>
      </c>
      <c r="OHP66" s="124">
        <f>SUM(OHK66:OHO66)</f>
        <v>8675</v>
      </c>
      <c r="OHQ66" s="122">
        <v>200</v>
      </c>
      <c r="OHR66" s="124">
        <f>SUM(OHP66:OHQ66)</f>
        <v>8875</v>
      </c>
      <c r="OHS66" s="117" t="s">
        <v>99</v>
      </c>
      <c r="OHT66" s="118">
        <v>45845</v>
      </c>
      <c r="OHU66" s="113" t="s">
        <v>39</v>
      </c>
      <c r="OHV66" s="169"/>
      <c r="OHW66" s="119" t="s">
        <v>92</v>
      </c>
      <c r="OHX66" s="167"/>
      <c r="OHY66" s="168"/>
      <c r="OHZ66" s="113" t="s">
        <v>22</v>
      </c>
      <c r="OIA66" s="114">
        <v>8150</v>
      </c>
      <c r="OIB66" s="122">
        <v>85</v>
      </c>
      <c r="OIC66" s="123">
        <v>215</v>
      </c>
      <c r="OID66" s="123">
        <v>75</v>
      </c>
      <c r="OIE66" s="122">
        <v>150</v>
      </c>
      <c r="OIF66" s="124">
        <f>SUM(OIA66:OIE66)</f>
        <v>8675</v>
      </c>
      <c r="OIG66" s="122">
        <v>200</v>
      </c>
      <c r="OIH66" s="124">
        <f>SUM(OIF66:OIG66)</f>
        <v>8875</v>
      </c>
      <c r="OII66" s="117" t="s">
        <v>99</v>
      </c>
      <c r="OIJ66" s="118">
        <v>45845</v>
      </c>
      <c r="OIK66" s="113" t="s">
        <v>39</v>
      </c>
      <c r="OIL66" s="169"/>
      <c r="OIM66" s="119" t="s">
        <v>92</v>
      </c>
      <c r="OIN66" s="167"/>
      <c r="OIO66" s="168"/>
      <c r="OIP66" s="113" t="s">
        <v>22</v>
      </c>
      <c r="OIQ66" s="114">
        <v>8150</v>
      </c>
      <c r="OIR66" s="122">
        <v>85</v>
      </c>
      <c r="OIS66" s="123">
        <v>215</v>
      </c>
      <c r="OIT66" s="123">
        <v>75</v>
      </c>
      <c r="OIU66" s="122">
        <v>150</v>
      </c>
      <c r="OIV66" s="124">
        <f>SUM(OIQ66:OIU66)</f>
        <v>8675</v>
      </c>
      <c r="OIW66" s="122">
        <v>200</v>
      </c>
      <c r="OIX66" s="124">
        <f>SUM(OIV66:OIW66)</f>
        <v>8875</v>
      </c>
      <c r="OIY66" s="117" t="s">
        <v>99</v>
      </c>
      <c r="OIZ66" s="118">
        <v>45845</v>
      </c>
      <c r="OJA66" s="113" t="s">
        <v>39</v>
      </c>
      <c r="OJB66" s="169"/>
      <c r="OJC66" s="119" t="s">
        <v>92</v>
      </c>
      <c r="OJD66" s="167"/>
      <c r="OJE66" s="168"/>
      <c r="OJF66" s="113" t="s">
        <v>22</v>
      </c>
      <c r="OJG66" s="114">
        <v>8150</v>
      </c>
      <c r="OJH66" s="122">
        <v>85</v>
      </c>
      <c r="OJI66" s="123">
        <v>215</v>
      </c>
      <c r="OJJ66" s="123">
        <v>75</v>
      </c>
      <c r="OJK66" s="122">
        <v>150</v>
      </c>
      <c r="OJL66" s="124">
        <f>SUM(OJG66:OJK66)</f>
        <v>8675</v>
      </c>
      <c r="OJM66" s="122">
        <v>200</v>
      </c>
      <c r="OJN66" s="124">
        <f>SUM(OJL66:OJM66)</f>
        <v>8875</v>
      </c>
      <c r="OJO66" s="117" t="s">
        <v>99</v>
      </c>
      <c r="OJP66" s="118">
        <v>45845</v>
      </c>
      <c r="OJQ66" s="113" t="s">
        <v>39</v>
      </c>
      <c r="OJR66" s="169"/>
      <c r="OJS66" s="119" t="s">
        <v>92</v>
      </c>
      <c r="OJT66" s="167"/>
      <c r="OJU66" s="168"/>
      <c r="OJV66" s="113" t="s">
        <v>22</v>
      </c>
      <c r="OJW66" s="114">
        <v>8150</v>
      </c>
      <c r="OJX66" s="122">
        <v>85</v>
      </c>
      <c r="OJY66" s="123">
        <v>215</v>
      </c>
      <c r="OJZ66" s="123">
        <v>75</v>
      </c>
      <c r="OKA66" s="122">
        <v>150</v>
      </c>
      <c r="OKB66" s="124">
        <f>SUM(OJW66:OKA66)</f>
        <v>8675</v>
      </c>
      <c r="OKC66" s="122">
        <v>200</v>
      </c>
      <c r="OKD66" s="124">
        <f>SUM(OKB66:OKC66)</f>
        <v>8875</v>
      </c>
      <c r="OKE66" s="117" t="s">
        <v>99</v>
      </c>
      <c r="OKF66" s="118">
        <v>45845</v>
      </c>
      <c r="OKG66" s="113" t="s">
        <v>39</v>
      </c>
      <c r="OKH66" s="169"/>
      <c r="OKI66" s="119" t="s">
        <v>92</v>
      </c>
      <c r="OKJ66" s="167"/>
      <c r="OKK66" s="168"/>
      <c r="OKL66" s="113" t="s">
        <v>22</v>
      </c>
      <c r="OKM66" s="114">
        <v>8150</v>
      </c>
      <c r="OKN66" s="122">
        <v>85</v>
      </c>
      <c r="OKO66" s="123">
        <v>215</v>
      </c>
      <c r="OKP66" s="123">
        <v>75</v>
      </c>
      <c r="OKQ66" s="122">
        <v>150</v>
      </c>
      <c r="OKR66" s="124">
        <f>SUM(OKM66:OKQ66)</f>
        <v>8675</v>
      </c>
      <c r="OKS66" s="122">
        <v>200</v>
      </c>
      <c r="OKT66" s="124">
        <f>SUM(OKR66:OKS66)</f>
        <v>8875</v>
      </c>
      <c r="OKU66" s="117" t="s">
        <v>99</v>
      </c>
      <c r="OKV66" s="118">
        <v>45845</v>
      </c>
      <c r="OKW66" s="113" t="s">
        <v>39</v>
      </c>
      <c r="OKX66" s="169"/>
      <c r="OKY66" s="119" t="s">
        <v>92</v>
      </c>
      <c r="OKZ66" s="167"/>
      <c r="OLA66" s="168"/>
      <c r="OLB66" s="113" t="s">
        <v>22</v>
      </c>
      <c r="OLC66" s="114">
        <v>8150</v>
      </c>
      <c r="OLD66" s="122">
        <v>85</v>
      </c>
      <c r="OLE66" s="123">
        <v>215</v>
      </c>
      <c r="OLF66" s="123">
        <v>75</v>
      </c>
      <c r="OLG66" s="122">
        <v>150</v>
      </c>
      <c r="OLH66" s="124">
        <f>SUM(OLC66:OLG66)</f>
        <v>8675</v>
      </c>
      <c r="OLI66" s="122">
        <v>200</v>
      </c>
      <c r="OLJ66" s="124">
        <f>SUM(OLH66:OLI66)</f>
        <v>8875</v>
      </c>
      <c r="OLK66" s="117" t="s">
        <v>99</v>
      </c>
      <c r="OLL66" s="118">
        <v>45845</v>
      </c>
      <c r="OLM66" s="113" t="s">
        <v>39</v>
      </c>
      <c r="OLN66" s="169"/>
      <c r="OLO66" s="119" t="s">
        <v>92</v>
      </c>
      <c r="OLP66" s="167"/>
      <c r="OLQ66" s="168"/>
      <c r="OLR66" s="113" t="s">
        <v>22</v>
      </c>
      <c r="OLS66" s="114">
        <v>8150</v>
      </c>
      <c r="OLT66" s="122">
        <v>85</v>
      </c>
      <c r="OLU66" s="123">
        <v>215</v>
      </c>
      <c r="OLV66" s="123">
        <v>75</v>
      </c>
      <c r="OLW66" s="122">
        <v>150</v>
      </c>
      <c r="OLX66" s="124">
        <f>SUM(OLS66:OLW66)</f>
        <v>8675</v>
      </c>
      <c r="OLY66" s="122">
        <v>200</v>
      </c>
      <c r="OLZ66" s="124">
        <f>SUM(OLX66:OLY66)</f>
        <v>8875</v>
      </c>
      <c r="OMA66" s="117" t="s">
        <v>99</v>
      </c>
      <c r="OMB66" s="118">
        <v>45845</v>
      </c>
      <c r="OMC66" s="113" t="s">
        <v>39</v>
      </c>
      <c r="OMD66" s="169"/>
      <c r="OME66" s="119" t="s">
        <v>92</v>
      </c>
      <c r="OMF66" s="167"/>
      <c r="OMG66" s="168"/>
      <c r="OMH66" s="113" t="s">
        <v>22</v>
      </c>
      <c r="OMI66" s="114">
        <v>8150</v>
      </c>
      <c r="OMJ66" s="122">
        <v>85</v>
      </c>
      <c r="OMK66" s="123">
        <v>215</v>
      </c>
      <c r="OML66" s="123">
        <v>75</v>
      </c>
      <c r="OMM66" s="122">
        <v>150</v>
      </c>
      <c r="OMN66" s="124">
        <f>SUM(OMI66:OMM66)</f>
        <v>8675</v>
      </c>
      <c r="OMO66" s="122">
        <v>200</v>
      </c>
      <c r="OMP66" s="124">
        <f>SUM(OMN66:OMO66)</f>
        <v>8875</v>
      </c>
      <c r="OMQ66" s="117" t="s">
        <v>99</v>
      </c>
      <c r="OMR66" s="118">
        <v>45845</v>
      </c>
      <c r="OMS66" s="113" t="s">
        <v>39</v>
      </c>
      <c r="OMT66" s="169"/>
      <c r="OMU66" s="119" t="s">
        <v>92</v>
      </c>
      <c r="OMV66" s="167"/>
      <c r="OMW66" s="168"/>
      <c r="OMX66" s="113" t="s">
        <v>22</v>
      </c>
      <c r="OMY66" s="114">
        <v>8150</v>
      </c>
      <c r="OMZ66" s="122">
        <v>85</v>
      </c>
      <c r="ONA66" s="123">
        <v>215</v>
      </c>
      <c r="ONB66" s="123">
        <v>75</v>
      </c>
      <c r="ONC66" s="122">
        <v>150</v>
      </c>
      <c r="OND66" s="124">
        <f>SUM(OMY66:ONC66)</f>
        <v>8675</v>
      </c>
      <c r="ONE66" s="122">
        <v>200</v>
      </c>
      <c r="ONF66" s="124">
        <f>SUM(OND66:ONE66)</f>
        <v>8875</v>
      </c>
      <c r="ONG66" s="117" t="s">
        <v>99</v>
      </c>
      <c r="ONH66" s="118">
        <v>45845</v>
      </c>
      <c r="ONI66" s="113" t="s">
        <v>39</v>
      </c>
      <c r="ONJ66" s="169"/>
      <c r="ONK66" s="119" t="s">
        <v>92</v>
      </c>
      <c r="ONL66" s="167"/>
      <c r="ONM66" s="168"/>
      <c r="ONN66" s="113" t="s">
        <v>22</v>
      </c>
      <c r="ONO66" s="114">
        <v>8150</v>
      </c>
      <c r="ONP66" s="122">
        <v>85</v>
      </c>
      <c r="ONQ66" s="123">
        <v>215</v>
      </c>
      <c r="ONR66" s="123">
        <v>75</v>
      </c>
      <c r="ONS66" s="122">
        <v>150</v>
      </c>
      <c r="ONT66" s="124">
        <f>SUM(ONO66:ONS66)</f>
        <v>8675</v>
      </c>
      <c r="ONU66" s="122">
        <v>200</v>
      </c>
      <c r="ONV66" s="124">
        <f>SUM(ONT66:ONU66)</f>
        <v>8875</v>
      </c>
      <c r="ONW66" s="117" t="s">
        <v>99</v>
      </c>
      <c r="ONX66" s="118">
        <v>45845</v>
      </c>
      <c r="ONY66" s="113" t="s">
        <v>39</v>
      </c>
      <c r="ONZ66" s="169"/>
      <c r="OOA66" s="119" t="s">
        <v>92</v>
      </c>
      <c r="OOB66" s="167"/>
      <c r="OOC66" s="168"/>
      <c r="OOD66" s="113" t="s">
        <v>22</v>
      </c>
      <c r="OOE66" s="114">
        <v>8150</v>
      </c>
      <c r="OOF66" s="122">
        <v>85</v>
      </c>
      <c r="OOG66" s="123">
        <v>215</v>
      </c>
      <c r="OOH66" s="123">
        <v>75</v>
      </c>
      <c r="OOI66" s="122">
        <v>150</v>
      </c>
      <c r="OOJ66" s="124">
        <f>SUM(OOE66:OOI66)</f>
        <v>8675</v>
      </c>
      <c r="OOK66" s="122">
        <v>200</v>
      </c>
      <c r="OOL66" s="124">
        <f>SUM(OOJ66:OOK66)</f>
        <v>8875</v>
      </c>
      <c r="OOM66" s="117" t="s">
        <v>99</v>
      </c>
      <c r="OON66" s="118">
        <v>45845</v>
      </c>
      <c r="OOO66" s="113" t="s">
        <v>39</v>
      </c>
      <c r="OOP66" s="169"/>
      <c r="OOQ66" s="119" t="s">
        <v>92</v>
      </c>
      <c r="OOR66" s="167"/>
      <c r="OOS66" s="168"/>
      <c r="OOT66" s="113" t="s">
        <v>22</v>
      </c>
      <c r="OOU66" s="114">
        <v>8150</v>
      </c>
      <c r="OOV66" s="122">
        <v>85</v>
      </c>
      <c r="OOW66" s="123">
        <v>215</v>
      </c>
      <c r="OOX66" s="123">
        <v>75</v>
      </c>
      <c r="OOY66" s="122">
        <v>150</v>
      </c>
      <c r="OOZ66" s="124">
        <f>SUM(OOU66:OOY66)</f>
        <v>8675</v>
      </c>
      <c r="OPA66" s="122">
        <v>200</v>
      </c>
      <c r="OPB66" s="124">
        <f>SUM(OOZ66:OPA66)</f>
        <v>8875</v>
      </c>
      <c r="OPC66" s="117" t="s">
        <v>99</v>
      </c>
      <c r="OPD66" s="118">
        <v>45845</v>
      </c>
      <c r="OPE66" s="113" t="s">
        <v>39</v>
      </c>
      <c r="OPF66" s="169"/>
      <c r="OPG66" s="119" t="s">
        <v>92</v>
      </c>
      <c r="OPH66" s="167"/>
      <c r="OPI66" s="168"/>
      <c r="OPJ66" s="113" t="s">
        <v>22</v>
      </c>
      <c r="OPK66" s="114">
        <v>8150</v>
      </c>
      <c r="OPL66" s="122">
        <v>85</v>
      </c>
      <c r="OPM66" s="123">
        <v>215</v>
      </c>
      <c r="OPN66" s="123">
        <v>75</v>
      </c>
      <c r="OPO66" s="122">
        <v>150</v>
      </c>
      <c r="OPP66" s="124">
        <f>SUM(OPK66:OPO66)</f>
        <v>8675</v>
      </c>
      <c r="OPQ66" s="122">
        <v>200</v>
      </c>
      <c r="OPR66" s="124">
        <f>SUM(OPP66:OPQ66)</f>
        <v>8875</v>
      </c>
      <c r="OPS66" s="117" t="s">
        <v>99</v>
      </c>
      <c r="OPT66" s="118">
        <v>45845</v>
      </c>
      <c r="OPU66" s="113" t="s">
        <v>39</v>
      </c>
      <c r="OPV66" s="169"/>
      <c r="OPW66" s="119" t="s">
        <v>92</v>
      </c>
      <c r="OPX66" s="167"/>
      <c r="OPY66" s="168"/>
      <c r="OPZ66" s="113" t="s">
        <v>22</v>
      </c>
      <c r="OQA66" s="114">
        <v>8150</v>
      </c>
      <c r="OQB66" s="122">
        <v>85</v>
      </c>
      <c r="OQC66" s="123">
        <v>215</v>
      </c>
      <c r="OQD66" s="123">
        <v>75</v>
      </c>
      <c r="OQE66" s="122">
        <v>150</v>
      </c>
      <c r="OQF66" s="124">
        <f>SUM(OQA66:OQE66)</f>
        <v>8675</v>
      </c>
      <c r="OQG66" s="122">
        <v>200</v>
      </c>
      <c r="OQH66" s="124">
        <f>SUM(OQF66:OQG66)</f>
        <v>8875</v>
      </c>
      <c r="OQI66" s="117" t="s">
        <v>99</v>
      </c>
      <c r="OQJ66" s="118">
        <v>45845</v>
      </c>
      <c r="OQK66" s="113" t="s">
        <v>39</v>
      </c>
      <c r="OQL66" s="169"/>
      <c r="OQM66" s="119" t="s">
        <v>92</v>
      </c>
      <c r="OQN66" s="167"/>
      <c r="OQO66" s="168"/>
      <c r="OQP66" s="113" t="s">
        <v>22</v>
      </c>
      <c r="OQQ66" s="114">
        <v>8150</v>
      </c>
      <c r="OQR66" s="122">
        <v>85</v>
      </c>
      <c r="OQS66" s="123">
        <v>215</v>
      </c>
      <c r="OQT66" s="123">
        <v>75</v>
      </c>
      <c r="OQU66" s="122">
        <v>150</v>
      </c>
      <c r="OQV66" s="124">
        <f>SUM(OQQ66:OQU66)</f>
        <v>8675</v>
      </c>
      <c r="OQW66" s="122">
        <v>200</v>
      </c>
      <c r="OQX66" s="124">
        <f>SUM(OQV66:OQW66)</f>
        <v>8875</v>
      </c>
      <c r="OQY66" s="117" t="s">
        <v>99</v>
      </c>
      <c r="OQZ66" s="118">
        <v>45845</v>
      </c>
      <c r="ORA66" s="113" t="s">
        <v>39</v>
      </c>
      <c r="ORB66" s="169"/>
      <c r="ORC66" s="119" t="s">
        <v>92</v>
      </c>
      <c r="ORD66" s="167"/>
      <c r="ORE66" s="168"/>
      <c r="ORF66" s="113" t="s">
        <v>22</v>
      </c>
      <c r="ORG66" s="114">
        <v>8150</v>
      </c>
      <c r="ORH66" s="122">
        <v>85</v>
      </c>
      <c r="ORI66" s="123">
        <v>215</v>
      </c>
      <c r="ORJ66" s="123">
        <v>75</v>
      </c>
      <c r="ORK66" s="122">
        <v>150</v>
      </c>
      <c r="ORL66" s="124">
        <f>SUM(ORG66:ORK66)</f>
        <v>8675</v>
      </c>
      <c r="ORM66" s="122">
        <v>200</v>
      </c>
      <c r="ORN66" s="124">
        <f>SUM(ORL66:ORM66)</f>
        <v>8875</v>
      </c>
      <c r="ORO66" s="117" t="s">
        <v>99</v>
      </c>
      <c r="ORP66" s="118">
        <v>45845</v>
      </c>
      <c r="ORQ66" s="113" t="s">
        <v>39</v>
      </c>
      <c r="ORR66" s="169"/>
      <c r="ORS66" s="119" t="s">
        <v>92</v>
      </c>
      <c r="ORT66" s="167"/>
      <c r="ORU66" s="168"/>
      <c r="ORV66" s="113" t="s">
        <v>22</v>
      </c>
      <c r="ORW66" s="114">
        <v>8150</v>
      </c>
      <c r="ORX66" s="122">
        <v>85</v>
      </c>
      <c r="ORY66" s="123">
        <v>215</v>
      </c>
      <c r="ORZ66" s="123">
        <v>75</v>
      </c>
      <c r="OSA66" s="122">
        <v>150</v>
      </c>
      <c r="OSB66" s="124">
        <f>SUM(ORW66:OSA66)</f>
        <v>8675</v>
      </c>
      <c r="OSC66" s="122">
        <v>200</v>
      </c>
      <c r="OSD66" s="124">
        <f>SUM(OSB66:OSC66)</f>
        <v>8875</v>
      </c>
      <c r="OSE66" s="117" t="s">
        <v>99</v>
      </c>
      <c r="OSF66" s="118">
        <v>45845</v>
      </c>
      <c r="OSG66" s="113" t="s">
        <v>39</v>
      </c>
      <c r="OSH66" s="169"/>
      <c r="OSI66" s="119" t="s">
        <v>92</v>
      </c>
      <c r="OSJ66" s="167"/>
      <c r="OSK66" s="168"/>
      <c r="OSL66" s="113" t="s">
        <v>22</v>
      </c>
      <c r="OSM66" s="114">
        <v>8150</v>
      </c>
      <c r="OSN66" s="122">
        <v>85</v>
      </c>
      <c r="OSO66" s="123">
        <v>215</v>
      </c>
      <c r="OSP66" s="123">
        <v>75</v>
      </c>
      <c r="OSQ66" s="122">
        <v>150</v>
      </c>
      <c r="OSR66" s="124">
        <f>SUM(OSM66:OSQ66)</f>
        <v>8675</v>
      </c>
      <c r="OSS66" s="122">
        <v>200</v>
      </c>
      <c r="OST66" s="124">
        <f>SUM(OSR66:OSS66)</f>
        <v>8875</v>
      </c>
      <c r="OSU66" s="117" t="s">
        <v>99</v>
      </c>
      <c r="OSV66" s="118">
        <v>45845</v>
      </c>
      <c r="OSW66" s="113" t="s">
        <v>39</v>
      </c>
      <c r="OSX66" s="169"/>
      <c r="OSY66" s="119" t="s">
        <v>92</v>
      </c>
      <c r="OSZ66" s="167"/>
      <c r="OTA66" s="168"/>
      <c r="OTB66" s="113" t="s">
        <v>22</v>
      </c>
      <c r="OTC66" s="114">
        <v>8150</v>
      </c>
      <c r="OTD66" s="122">
        <v>85</v>
      </c>
      <c r="OTE66" s="123">
        <v>215</v>
      </c>
      <c r="OTF66" s="123">
        <v>75</v>
      </c>
      <c r="OTG66" s="122">
        <v>150</v>
      </c>
      <c r="OTH66" s="124">
        <f>SUM(OTC66:OTG66)</f>
        <v>8675</v>
      </c>
      <c r="OTI66" s="122">
        <v>200</v>
      </c>
      <c r="OTJ66" s="124">
        <f>SUM(OTH66:OTI66)</f>
        <v>8875</v>
      </c>
      <c r="OTK66" s="117" t="s">
        <v>99</v>
      </c>
      <c r="OTL66" s="118">
        <v>45845</v>
      </c>
      <c r="OTM66" s="113" t="s">
        <v>39</v>
      </c>
      <c r="OTN66" s="169"/>
      <c r="OTO66" s="119" t="s">
        <v>92</v>
      </c>
      <c r="OTP66" s="167"/>
      <c r="OTQ66" s="168"/>
      <c r="OTR66" s="113" t="s">
        <v>22</v>
      </c>
      <c r="OTS66" s="114">
        <v>8150</v>
      </c>
      <c r="OTT66" s="122">
        <v>85</v>
      </c>
      <c r="OTU66" s="123">
        <v>215</v>
      </c>
      <c r="OTV66" s="123">
        <v>75</v>
      </c>
      <c r="OTW66" s="122">
        <v>150</v>
      </c>
      <c r="OTX66" s="124">
        <f>SUM(OTS66:OTW66)</f>
        <v>8675</v>
      </c>
      <c r="OTY66" s="122">
        <v>200</v>
      </c>
      <c r="OTZ66" s="124">
        <f>SUM(OTX66:OTY66)</f>
        <v>8875</v>
      </c>
      <c r="OUA66" s="117" t="s">
        <v>99</v>
      </c>
      <c r="OUB66" s="118">
        <v>45845</v>
      </c>
      <c r="OUC66" s="113" t="s">
        <v>39</v>
      </c>
      <c r="OUD66" s="169"/>
      <c r="OUE66" s="119" t="s">
        <v>92</v>
      </c>
      <c r="OUF66" s="167"/>
      <c r="OUG66" s="168"/>
      <c r="OUH66" s="113" t="s">
        <v>22</v>
      </c>
      <c r="OUI66" s="114">
        <v>8150</v>
      </c>
      <c r="OUJ66" s="122">
        <v>85</v>
      </c>
      <c r="OUK66" s="123">
        <v>215</v>
      </c>
      <c r="OUL66" s="123">
        <v>75</v>
      </c>
      <c r="OUM66" s="122">
        <v>150</v>
      </c>
      <c r="OUN66" s="124">
        <f>SUM(OUI66:OUM66)</f>
        <v>8675</v>
      </c>
      <c r="OUO66" s="122">
        <v>200</v>
      </c>
      <c r="OUP66" s="124">
        <f>SUM(OUN66:OUO66)</f>
        <v>8875</v>
      </c>
      <c r="OUQ66" s="117" t="s">
        <v>99</v>
      </c>
      <c r="OUR66" s="118">
        <v>45845</v>
      </c>
      <c r="OUS66" s="113" t="s">
        <v>39</v>
      </c>
      <c r="OUT66" s="169"/>
      <c r="OUU66" s="119" t="s">
        <v>92</v>
      </c>
      <c r="OUV66" s="167"/>
      <c r="OUW66" s="168"/>
      <c r="OUX66" s="113" t="s">
        <v>22</v>
      </c>
      <c r="OUY66" s="114">
        <v>8150</v>
      </c>
      <c r="OUZ66" s="122">
        <v>85</v>
      </c>
      <c r="OVA66" s="123">
        <v>215</v>
      </c>
      <c r="OVB66" s="123">
        <v>75</v>
      </c>
      <c r="OVC66" s="122">
        <v>150</v>
      </c>
      <c r="OVD66" s="124">
        <f>SUM(OUY66:OVC66)</f>
        <v>8675</v>
      </c>
      <c r="OVE66" s="122">
        <v>200</v>
      </c>
      <c r="OVF66" s="124">
        <f>SUM(OVD66:OVE66)</f>
        <v>8875</v>
      </c>
      <c r="OVG66" s="117" t="s">
        <v>99</v>
      </c>
      <c r="OVH66" s="118">
        <v>45845</v>
      </c>
      <c r="OVI66" s="113" t="s">
        <v>39</v>
      </c>
      <c r="OVJ66" s="169"/>
      <c r="OVK66" s="119" t="s">
        <v>92</v>
      </c>
      <c r="OVL66" s="167"/>
      <c r="OVM66" s="168"/>
      <c r="OVN66" s="113" t="s">
        <v>22</v>
      </c>
      <c r="OVO66" s="114">
        <v>8150</v>
      </c>
      <c r="OVP66" s="122">
        <v>85</v>
      </c>
      <c r="OVQ66" s="123">
        <v>215</v>
      </c>
      <c r="OVR66" s="123">
        <v>75</v>
      </c>
      <c r="OVS66" s="122">
        <v>150</v>
      </c>
      <c r="OVT66" s="124">
        <f>SUM(OVO66:OVS66)</f>
        <v>8675</v>
      </c>
      <c r="OVU66" s="122">
        <v>200</v>
      </c>
      <c r="OVV66" s="124">
        <f>SUM(OVT66:OVU66)</f>
        <v>8875</v>
      </c>
      <c r="OVW66" s="117" t="s">
        <v>99</v>
      </c>
      <c r="OVX66" s="118">
        <v>45845</v>
      </c>
      <c r="OVY66" s="113" t="s">
        <v>39</v>
      </c>
      <c r="OVZ66" s="169"/>
      <c r="OWA66" s="119" t="s">
        <v>92</v>
      </c>
      <c r="OWB66" s="167"/>
      <c r="OWC66" s="168"/>
      <c r="OWD66" s="113" t="s">
        <v>22</v>
      </c>
      <c r="OWE66" s="114">
        <v>8150</v>
      </c>
      <c r="OWF66" s="122">
        <v>85</v>
      </c>
      <c r="OWG66" s="123">
        <v>215</v>
      </c>
      <c r="OWH66" s="123">
        <v>75</v>
      </c>
      <c r="OWI66" s="122">
        <v>150</v>
      </c>
      <c r="OWJ66" s="124">
        <f>SUM(OWE66:OWI66)</f>
        <v>8675</v>
      </c>
      <c r="OWK66" s="122">
        <v>200</v>
      </c>
      <c r="OWL66" s="124">
        <f>SUM(OWJ66:OWK66)</f>
        <v>8875</v>
      </c>
      <c r="OWM66" s="117" t="s">
        <v>99</v>
      </c>
      <c r="OWN66" s="118">
        <v>45845</v>
      </c>
      <c r="OWO66" s="113" t="s">
        <v>39</v>
      </c>
      <c r="OWP66" s="169"/>
      <c r="OWQ66" s="119" t="s">
        <v>92</v>
      </c>
      <c r="OWR66" s="167"/>
      <c r="OWS66" s="168"/>
      <c r="OWT66" s="113" t="s">
        <v>22</v>
      </c>
      <c r="OWU66" s="114">
        <v>8150</v>
      </c>
      <c r="OWV66" s="122">
        <v>85</v>
      </c>
      <c r="OWW66" s="123">
        <v>215</v>
      </c>
      <c r="OWX66" s="123">
        <v>75</v>
      </c>
      <c r="OWY66" s="122">
        <v>150</v>
      </c>
      <c r="OWZ66" s="124">
        <f>SUM(OWU66:OWY66)</f>
        <v>8675</v>
      </c>
      <c r="OXA66" s="122">
        <v>200</v>
      </c>
      <c r="OXB66" s="124">
        <f>SUM(OWZ66:OXA66)</f>
        <v>8875</v>
      </c>
      <c r="OXC66" s="117" t="s">
        <v>99</v>
      </c>
      <c r="OXD66" s="118">
        <v>45845</v>
      </c>
      <c r="OXE66" s="113" t="s">
        <v>39</v>
      </c>
      <c r="OXF66" s="169"/>
      <c r="OXG66" s="119" t="s">
        <v>92</v>
      </c>
      <c r="OXH66" s="167"/>
      <c r="OXI66" s="168"/>
      <c r="OXJ66" s="113" t="s">
        <v>22</v>
      </c>
      <c r="OXK66" s="114">
        <v>8150</v>
      </c>
      <c r="OXL66" s="122">
        <v>85</v>
      </c>
      <c r="OXM66" s="123">
        <v>215</v>
      </c>
      <c r="OXN66" s="123">
        <v>75</v>
      </c>
      <c r="OXO66" s="122">
        <v>150</v>
      </c>
      <c r="OXP66" s="124">
        <f>SUM(OXK66:OXO66)</f>
        <v>8675</v>
      </c>
      <c r="OXQ66" s="122">
        <v>200</v>
      </c>
      <c r="OXR66" s="124">
        <f>SUM(OXP66:OXQ66)</f>
        <v>8875</v>
      </c>
      <c r="OXS66" s="117" t="s">
        <v>99</v>
      </c>
      <c r="OXT66" s="118">
        <v>45845</v>
      </c>
      <c r="OXU66" s="113" t="s">
        <v>39</v>
      </c>
      <c r="OXV66" s="169"/>
      <c r="OXW66" s="119" t="s">
        <v>92</v>
      </c>
      <c r="OXX66" s="167"/>
      <c r="OXY66" s="168"/>
      <c r="OXZ66" s="113" t="s">
        <v>22</v>
      </c>
      <c r="OYA66" s="114">
        <v>8150</v>
      </c>
      <c r="OYB66" s="122">
        <v>85</v>
      </c>
      <c r="OYC66" s="123">
        <v>215</v>
      </c>
      <c r="OYD66" s="123">
        <v>75</v>
      </c>
      <c r="OYE66" s="122">
        <v>150</v>
      </c>
      <c r="OYF66" s="124">
        <f>SUM(OYA66:OYE66)</f>
        <v>8675</v>
      </c>
      <c r="OYG66" s="122">
        <v>200</v>
      </c>
      <c r="OYH66" s="124">
        <f>SUM(OYF66:OYG66)</f>
        <v>8875</v>
      </c>
      <c r="OYI66" s="117" t="s">
        <v>99</v>
      </c>
      <c r="OYJ66" s="118">
        <v>45845</v>
      </c>
      <c r="OYK66" s="113" t="s">
        <v>39</v>
      </c>
      <c r="OYL66" s="169"/>
      <c r="OYM66" s="119" t="s">
        <v>92</v>
      </c>
      <c r="OYN66" s="167"/>
      <c r="OYO66" s="168"/>
      <c r="OYP66" s="113" t="s">
        <v>22</v>
      </c>
      <c r="OYQ66" s="114">
        <v>8150</v>
      </c>
      <c r="OYR66" s="122">
        <v>85</v>
      </c>
      <c r="OYS66" s="123">
        <v>215</v>
      </c>
      <c r="OYT66" s="123">
        <v>75</v>
      </c>
      <c r="OYU66" s="122">
        <v>150</v>
      </c>
      <c r="OYV66" s="124">
        <f>SUM(OYQ66:OYU66)</f>
        <v>8675</v>
      </c>
      <c r="OYW66" s="122">
        <v>200</v>
      </c>
      <c r="OYX66" s="124">
        <f>SUM(OYV66:OYW66)</f>
        <v>8875</v>
      </c>
      <c r="OYY66" s="117" t="s">
        <v>99</v>
      </c>
      <c r="OYZ66" s="118">
        <v>45845</v>
      </c>
      <c r="OZA66" s="113" t="s">
        <v>39</v>
      </c>
      <c r="OZB66" s="169"/>
      <c r="OZC66" s="119" t="s">
        <v>92</v>
      </c>
      <c r="OZD66" s="167"/>
      <c r="OZE66" s="168"/>
      <c r="OZF66" s="113" t="s">
        <v>22</v>
      </c>
      <c r="OZG66" s="114">
        <v>8150</v>
      </c>
      <c r="OZH66" s="122">
        <v>85</v>
      </c>
      <c r="OZI66" s="123">
        <v>215</v>
      </c>
      <c r="OZJ66" s="123">
        <v>75</v>
      </c>
      <c r="OZK66" s="122">
        <v>150</v>
      </c>
      <c r="OZL66" s="124">
        <f>SUM(OZG66:OZK66)</f>
        <v>8675</v>
      </c>
      <c r="OZM66" s="122">
        <v>200</v>
      </c>
      <c r="OZN66" s="124">
        <f>SUM(OZL66:OZM66)</f>
        <v>8875</v>
      </c>
      <c r="OZO66" s="117" t="s">
        <v>99</v>
      </c>
      <c r="OZP66" s="118">
        <v>45845</v>
      </c>
      <c r="OZQ66" s="113" t="s">
        <v>39</v>
      </c>
      <c r="OZR66" s="169"/>
      <c r="OZS66" s="119" t="s">
        <v>92</v>
      </c>
      <c r="OZT66" s="167"/>
      <c r="OZU66" s="168"/>
      <c r="OZV66" s="113" t="s">
        <v>22</v>
      </c>
      <c r="OZW66" s="114">
        <v>8150</v>
      </c>
      <c r="OZX66" s="122">
        <v>85</v>
      </c>
      <c r="OZY66" s="123">
        <v>215</v>
      </c>
      <c r="OZZ66" s="123">
        <v>75</v>
      </c>
      <c r="PAA66" s="122">
        <v>150</v>
      </c>
      <c r="PAB66" s="124">
        <f>SUM(OZW66:PAA66)</f>
        <v>8675</v>
      </c>
      <c r="PAC66" s="122">
        <v>200</v>
      </c>
      <c r="PAD66" s="124">
        <f>SUM(PAB66:PAC66)</f>
        <v>8875</v>
      </c>
      <c r="PAE66" s="117" t="s">
        <v>99</v>
      </c>
      <c r="PAF66" s="118">
        <v>45845</v>
      </c>
      <c r="PAG66" s="113" t="s">
        <v>39</v>
      </c>
      <c r="PAH66" s="169"/>
      <c r="PAI66" s="119" t="s">
        <v>92</v>
      </c>
      <c r="PAJ66" s="167"/>
      <c r="PAK66" s="168"/>
      <c r="PAL66" s="113" t="s">
        <v>22</v>
      </c>
      <c r="PAM66" s="114">
        <v>8150</v>
      </c>
      <c r="PAN66" s="122">
        <v>85</v>
      </c>
      <c r="PAO66" s="123">
        <v>215</v>
      </c>
      <c r="PAP66" s="123">
        <v>75</v>
      </c>
      <c r="PAQ66" s="122">
        <v>150</v>
      </c>
      <c r="PAR66" s="124">
        <f>SUM(PAM66:PAQ66)</f>
        <v>8675</v>
      </c>
      <c r="PAS66" s="122">
        <v>200</v>
      </c>
      <c r="PAT66" s="124">
        <f>SUM(PAR66:PAS66)</f>
        <v>8875</v>
      </c>
      <c r="PAU66" s="117" t="s">
        <v>99</v>
      </c>
      <c r="PAV66" s="118">
        <v>45845</v>
      </c>
      <c r="PAW66" s="113" t="s">
        <v>39</v>
      </c>
      <c r="PAX66" s="169"/>
      <c r="PAY66" s="119" t="s">
        <v>92</v>
      </c>
      <c r="PAZ66" s="167"/>
      <c r="PBA66" s="168"/>
      <c r="PBB66" s="113" t="s">
        <v>22</v>
      </c>
      <c r="PBC66" s="114">
        <v>8150</v>
      </c>
      <c r="PBD66" s="122">
        <v>85</v>
      </c>
      <c r="PBE66" s="123">
        <v>215</v>
      </c>
      <c r="PBF66" s="123">
        <v>75</v>
      </c>
      <c r="PBG66" s="122">
        <v>150</v>
      </c>
      <c r="PBH66" s="124">
        <f>SUM(PBC66:PBG66)</f>
        <v>8675</v>
      </c>
      <c r="PBI66" s="122">
        <v>200</v>
      </c>
      <c r="PBJ66" s="124">
        <f>SUM(PBH66:PBI66)</f>
        <v>8875</v>
      </c>
      <c r="PBK66" s="117" t="s">
        <v>99</v>
      </c>
      <c r="PBL66" s="118">
        <v>45845</v>
      </c>
      <c r="PBM66" s="113" t="s">
        <v>39</v>
      </c>
      <c r="PBN66" s="169"/>
      <c r="PBO66" s="119" t="s">
        <v>92</v>
      </c>
      <c r="PBP66" s="167"/>
      <c r="PBQ66" s="168"/>
      <c r="PBR66" s="113" t="s">
        <v>22</v>
      </c>
      <c r="PBS66" s="114">
        <v>8150</v>
      </c>
      <c r="PBT66" s="122">
        <v>85</v>
      </c>
      <c r="PBU66" s="123">
        <v>215</v>
      </c>
      <c r="PBV66" s="123">
        <v>75</v>
      </c>
      <c r="PBW66" s="122">
        <v>150</v>
      </c>
      <c r="PBX66" s="124">
        <f>SUM(PBS66:PBW66)</f>
        <v>8675</v>
      </c>
      <c r="PBY66" s="122">
        <v>200</v>
      </c>
      <c r="PBZ66" s="124">
        <f>SUM(PBX66:PBY66)</f>
        <v>8875</v>
      </c>
      <c r="PCA66" s="117" t="s">
        <v>99</v>
      </c>
      <c r="PCB66" s="118">
        <v>45845</v>
      </c>
      <c r="PCC66" s="113" t="s">
        <v>39</v>
      </c>
      <c r="PCD66" s="169"/>
      <c r="PCE66" s="119" t="s">
        <v>92</v>
      </c>
      <c r="PCF66" s="167"/>
      <c r="PCG66" s="168"/>
      <c r="PCH66" s="113" t="s">
        <v>22</v>
      </c>
      <c r="PCI66" s="114">
        <v>8150</v>
      </c>
      <c r="PCJ66" s="122">
        <v>85</v>
      </c>
      <c r="PCK66" s="123">
        <v>215</v>
      </c>
      <c r="PCL66" s="123">
        <v>75</v>
      </c>
      <c r="PCM66" s="122">
        <v>150</v>
      </c>
      <c r="PCN66" s="124">
        <f>SUM(PCI66:PCM66)</f>
        <v>8675</v>
      </c>
      <c r="PCO66" s="122">
        <v>200</v>
      </c>
      <c r="PCP66" s="124">
        <f>SUM(PCN66:PCO66)</f>
        <v>8875</v>
      </c>
      <c r="PCQ66" s="117" t="s">
        <v>99</v>
      </c>
      <c r="PCR66" s="118">
        <v>45845</v>
      </c>
      <c r="PCS66" s="113" t="s">
        <v>39</v>
      </c>
      <c r="PCT66" s="169"/>
      <c r="PCU66" s="119" t="s">
        <v>92</v>
      </c>
      <c r="PCV66" s="167"/>
      <c r="PCW66" s="168"/>
      <c r="PCX66" s="113" t="s">
        <v>22</v>
      </c>
      <c r="PCY66" s="114">
        <v>8150</v>
      </c>
      <c r="PCZ66" s="122">
        <v>85</v>
      </c>
      <c r="PDA66" s="123">
        <v>215</v>
      </c>
      <c r="PDB66" s="123">
        <v>75</v>
      </c>
      <c r="PDC66" s="122">
        <v>150</v>
      </c>
      <c r="PDD66" s="124">
        <f>SUM(PCY66:PDC66)</f>
        <v>8675</v>
      </c>
      <c r="PDE66" s="122">
        <v>200</v>
      </c>
      <c r="PDF66" s="124">
        <f>SUM(PDD66:PDE66)</f>
        <v>8875</v>
      </c>
      <c r="PDG66" s="117" t="s">
        <v>99</v>
      </c>
      <c r="PDH66" s="118">
        <v>45845</v>
      </c>
      <c r="PDI66" s="113" t="s">
        <v>39</v>
      </c>
      <c r="PDJ66" s="169"/>
      <c r="PDK66" s="119" t="s">
        <v>92</v>
      </c>
      <c r="PDL66" s="167"/>
      <c r="PDM66" s="168"/>
      <c r="PDN66" s="113" t="s">
        <v>22</v>
      </c>
      <c r="PDO66" s="114">
        <v>8150</v>
      </c>
      <c r="PDP66" s="122">
        <v>85</v>
      </c>
      <c r="PDQ66" s="123">
        <v>215</v>
      </c>
      <c r="PDR66" s="123">
        <v>75</v>
      </c>
      <c r="PDS66" s="122">
        <v>150</v>
      </c>
      <c r="PDT66" s="124">
        <f>SUM(PDO66:PDS66)</f>
        <v>8675</v>
      </c>
      <c r="PDU66" s="122">
        <v>200</v>
      </c>
      <c r="PDV66" s="124">
        <f>SUM(PDT66:PDU66)</f>
        <v>8875</v>
      </c>
      <c r="PDW66" s="117" t="s">
        <v>99</v>
      </c>
      <c r="PDX66" s="118">
        <v>45845</v>
      </c>
      <c r="PDY66" s="113" t="s">
        <v>39</v>
      </c>
      <c r="PDZ66" s="169"/>
      <c r="PEA66" s="119" t="s">
        <v>92</v>
      </c>
      <c r="PEB66" s="167"/>
      <c r="PEC66" s="168"/>
      <c r="PED66" s="113" t="s">
        <v>22</v>
      </c>
      <c r="PEE66" s="114">
        <v>8150</v>
      </c>
      <c r="PEF66" s="122">
        <v>85</v>
      </c>
      <c r="PEG66" s="123">
        <v>215</v>
      </c>
      <c r="PEH66" s="123">
        <v>75</v>
      </c>
      <c r="PEI66" s="122">
        <v>150</v>
      </c>
      <c r="PEJ66" s="124">
        <f>SUM(PEE66:PEI66)</f>
        <v>8675</v>
      </c>
      <c r="PEK66" s="122">
        <v>200</v>
      </c>
      <c r="PEL66" s="124">
        <f>SUM(PEJ66:PEK66)</f>
        <v>8875</v>
      </c>
      <c r="PEM66" s="117" t="s">
        <v>99</v>
      </c>
      <c r="PEN66" s="118">
        <v>45845</v>
      </c>
      <c r="PEO66" s="113" t="s">
        <v>39</v>
      </c>
      <c r="PEP66" s="169"/>
      <c r="PEQ66" s="119" t="s">
        <v>92</v>
      </c>
      <c r="PER66" s="167"/>
      <c r="PES66" s="168"/>
      <c r="PET66" s="113" t="s">
        <v>22</v>
      </c>
      <c r="PEU66" s="114">
        <v>8150</v>
      </c>
      <c r="PEV66" s="122">
        <v>85</v>
      </c>
      <c r="PEW66" s="123">
        <v>215</v>
      </c>
      <c r="PEX66" s="123">
        <v>75</v>
      </c>
      <c r="PEY66" s="122">
        <v>150</v>
      </c>
      <c r="PEZ66" s="124">
        <f>SUM(PEU66:PEY66)</f>
        <v>8675</v>
      </c>
      <c r="PFA66" s="122">
        <v>200</v>
      </c>
      <c r="PFB66" s="124">
        <f>SUM(PEZ66:PFA66)</f>
        <v>8875</v>
      </c>
      <c r="PFC66" s="117" t="s">
        <v>99</v>
      </c>
      <c r="PFD66" s="118">
        <v>45845</v>
      </c>
      <c r="PFE66" s="113" t="s">
        <v>39</v>
      </c>
      <c r="PFF66" s="169"/>
      <c r="PFG66" s="119" t="s">
        <v>92</v>
      </c>
      <c r="PFH66" s="167"/>
      <c r="PFI66" s="168"/>
      <c r="PFJ66" s="113" t="s">
        <v>22</v>
      </c>
      <c r="PFK66" s="114">
        <v>8150</v>
      </c>
      <c r="PFL66" s="122">
        <v>85</v>
      </c>
      <c r="PFM66" s="123">
        <v>215</v>
      </c>
      <c r="PFN66" s="123">
        <v>75</v>
      </c>
      <c r="PFO66" s="122">
        <v>150</v>
      </c>
      <c r="PFP66" s="124">
        <f>SUM(PFK66:PFO66)</f>
        <v>8675</v>
      </c>
      <c r="PFQ66" s="122">
        <v>200</v>
      </c>
      <c r="PFR66" s="124">
        <f>SUM(PFP66:PFQ66)</f>
        <v>8875</v>
      </c>
      <c r="PFS66" s="117" t="s">
        <v>99</v>
      </c>
      <c r="PFT66" s="118">
        <v>45845</v>
      </c>
      <c r="PFU66" s="113" t="s">
        <v>39</v>
      </c>
      <c r="PFV66" s="169"/>
      <c r="PFW66" s="119" t="s">
        <v>92</v>
      </c>
      <c r="PFX66" s="167"/>
      <c r="PFY66" s="168"/>
      <c r="PFZ66" s="113" t="s">
        <v>22</v>
      </c>
      <c r="PGA66" s="114">
        <v>8150</v>
      </c>
      <c r="PGB66" s="122">
        <v>85</v>
      </c>
      <c r="PGC66" s="123">
        <v>215</v>
      </c>
      <c r="PGD66" s="123">
        <v>75</v>
      </c>
      <c r="PGE66" s="122">
        <v>150</v>
      </c>
      <c r="PGF66" s="124">
        <f>SUM(PGA66:PGE66)</f>
        <v>8675</v>
      </c>
      <c r="PGG66" s="122">
        <v>200</v>
      </c>
      <c r="PGH66" s="124">
        <f>SUM(PGF66:PGG66)</f>
        <v>8875</v>
      </c>
      <c r="PGI66" s="117" t="s">
        <v>99</v>
      </c>
      <c r="PGJ66" s="118">
        <v>45845</v>
      </c>
      <c r="PGK66" s="113" t="s">
        <v>39</v>
      </c>
      <c r="PGL66" s="169"/>
      <c r="PGM66" s="119" t="s">
        <v>92</v>
      </c>
      <c r="PGN66" s="167"/>
      <c r="PGO66" s="168"/>
      <c r="PGP66" s="113" t="s">
        <v>22</v>
      </c>
      <c r="PGQ66" s="114">
        <v>8150</v>
      </c>
      <c r="PGR66" s="122">
        <v>85</v>
      </c>
      <c r="PGS66" s="123">
        <v>215</v>
      </c>
      <c r="PGT66" s="123">
        <v>75</v>
      </c>
      <c r="PGU66" s="122">
        <v>150</v>
      </c>
      <c r="PGV66" s="124">
        <f>SUM(PGQ66:PGU66)</f>
        <v>8675</v>
      </c>
      <c r="PGW66" s="122">
        <v>200</v>
      </c>
      <c r="PGX66" s="124">
        <f>SUM(PGV66:PGW66)</f>
        <v>8875</v>
      </c>
      <c r="PGY66" s="117" t="s">
        <v>99</v>
      </c>
      <c r="PGZ66" s="118">
        <v>45845</v>
      </c>
      <c r="PHA66" s="113" t="s">
        <v>39</v>
      </c>
      <c r="PHB66" s="169"/>
      <c r="PHC66" s="119" t="s">
        <v>92</v>
      </c>
      <c r="PHD66" s="167"/>
      <c r="PHE66" s="168"/>
      <c r="PHF66" s="113" t="s">
        <v>22</v>
      </c>
      <c r="PHG66" s="114">
        <v>8150</v>
      </c>
      <c r="PHH66" s="122">
        <v>85</v>
      </c>
      <c r="PHI66" s="123">
        <v>215</v>
      </c>
      <c r="PHJ66" s="123">
        <v>75</v>
      </c>
      <c r="PHK66" s="122">
        <v>150</v>
      </c>
      <c r="PHL66" s="124">
        <f>SUM(PHG66:PHK66)</f>
        <v>8675</v>
      </c>
      <c r="PHM66" s="122">
        <v>200</v>
      </c>
      <c r="PHN66" s="124">
        <f>SUM(PHL66:PHM66)</f>
        <v>8875</v>
      </c>
      <c r="PHO66" s="117" t="s">
        <v>99</v>
      </c>
      <c r="PHP66" s="118">
        <v>45845</v>
      </c>
      <c r="PHQ66" s="113" t="s">
        <v>39</v>
      </c>
      <c r="PHR66" s="169"/>
      <c r="PHS66" s="119" t="s">
        <v>92</v>
      </c>
      <c r="PHT66" s="167"/>
      <c r="PHU66" s="168"/>
      <c r="PHV66" s="113" t="s">
        <v>22</v>
      </c>
      <c r="PHW66" s="114">
        <v>8150</v>
      </c>
      <c r="PHX66" s="122">
        <v>85</v>
      </c>
      <c r="PHY66" s="123">
        <v>215</v>
      </c>
      <c r="PHZ66" s="123">
        <v>75</v>
      </c>
      <c r="PIA66" s="122">
        <v>150</v>
      </c>
      <c r="PIB66" s="124">
        <f>SUM(PHW66:PIA66)</f>
        <v>8675</v>
      </c>
      <c r="PIC66" s="122">
        <v>200</v>
      </c>
      <c r="PID66" s="124">
        <f>SUM(PIB66:PIC66)</f>
        <v>8875</v>
      </c>
      <c r="PIE66" s="117" t="s">
        <v>99</v>
      </c>
      <c r="PIF66" s="118">
        <v>45845</v>
      </c>
      <c r="PIG66" s="113" t="s">
        <v>39</v>
      </c>
      <c r="PIH66" s="169"/>
      <c r="PII66" s="119" t="s">
        <v>92</v>
      </c>
      <c r="PIJ66" s="167"/>
      <c r="PIK66" s="168"/>
      <c r="PIL66" s="113" t="s">
        <v>22</v>
      </c>
      <c r="PIM66" s="114">
        <v>8150</v>
      </c>
      <c r="PIN66" s="122">
        <v>85</v>
      </c>
      <c r="PIO66" s="123">
        <v>215</v>
      </c>
      <c r="PIP66" s="123">
        <v>75</v>
      </c>
      <c r="PIQ66" s="122">
        <v>150</v>
      </c>
      <c r="PIR66" s="124">
        <f>SUM(PIM66:PIQ66)</f>
        <v>8675</v>
      </c>
      <c r="PIS66" s="122">
        <v>200</v>
      </c>
      <c r="PIT66" s="124">
        <f>SUM(PIR66:PIS66)</f>
        <v>8875</v>
      </c>
      <c r="PIU66" s="117" t="s">
        <v>99</v>
      </c>
      <c r="PIV66" s="118">
        <v>45845</v>
      </c>
      <c r="PIW66" s="113" t="s">
        <v>39</v>
      </c>
      <c r="PIX66" s="169"/>
      <c r="PIY66" s="119" t="s">
        <v>92</v>
      </c>
      <c r="PIZ66" s="167"/>
      <c r="PJA66" s="168"/>
      <c r="PJB66" s="113" t="s">
        <v>22</v>
      </c>
      <c r="PJC66" s="114">
        <v>8150</v>
      </c>
      <c r="PJD66" s="122">
        <v>85</v>
      </c>
      <c r="PJE66" s="123">
        <v>215</v>
      </c>
      <c r="PJF66" s="123">
        <v>75</v>
      </c>
      <c r="PJG66" s="122">
        <v>150</v>
      </c>
      <c r="PJH66" s="124">
        <f>SUM(PJC66:PJG66)</f>
        <v>8675</v>
      </c>
      <c r="PJI66" s="122">
        <v>200</v>
      </c>
      <c r="PJJ66" s="124">
        <f>SUM(PJH66:PJI66)</f>
        <v>8875</v>
      </c>
      <c r="PJK66" s="117" t="s">
        <v>99</v>
      </c>
      <c r="PJL66" s="118">
        <v>45845</v>
      </c>
      <c r="PJM66" s="113" t="s">
        <v>39</v>
      </c>
      <c r="PJN66" s="169"/>
      <c r="PJO66" s="119" t="s">
        <v>92</v>
      </c>
      <c r="PJP66" s="167"/>
      <c r="PJQ66" s="168"/>
      <c r="PJR66" s="113" t="s">
        <v>22</v>
      </c>
      <c r="PJS66" s="114">
        <v>8150</v>
      </c>
      <c r="PJT66" s="122">
        <v>85</v>
      </c>
      <c r="PJU66" s="123">
        <v>215</v>
      </c>
      <c r="PJV66" s="123">
        <v>75</v>
      </c>
      <c r="PJW66" s="122">
        <v>150</v>
      </c>
      <c r="PJX66" s="124">
        <f>SUM(PJS66:PJW66)</f>
        <v>8675</v>
      </c>
      <c r="PJY66" s="122">
        <v>200</v>
      </c>
      <c r="PJZ66" s="124">
        <f>SUM(PJX66:PJY66)</f>
        <v>8875</v>
      </c>
      <c r="PKA66" s="117" t="s">
        <v>99</v>
      </c>
      <c r="PKB66" s="118">
        <v>45845</v>
      </c>
      <c r="PKC66" s="113" t="s">
        <v>39</v>
      </c>
      <c r="PKD66" s="169"/>
      <c r="PKE66" s="119" t="s">
        <v>92</v>
      </c>
      <c r="PKF66" s="167"/>
      <c r="PKG66" s="168"/>
      <c r="PKH66" s="113" t="s">
        <v>22</v>
      </c>
      <c r="PKI66" s="114">
        <v>8150</v>
      </c>
      <c r="PKJ66" s="122">
        <v>85</v>
      </c>
      <c r="PKK66" s="123">
        <v>215</v>
      </c>
      <c r="PKL66" s="123">
        <v>75</v>
      </c>
      <c r="PKM66" s="122">
        <v>150</v>
      </c>
      <c r="PKN66" s="124">
        <f>SUM(PKI66:PKM66)</f>
        <v>8675</v>
      </c>
      <c r="PKO66" s="122">
        <v>200</v>
      </c>
      <c r="PKP66" s="124">
        <f>SUM(PKN66:PKO66)</f>
        <v>8875</v>
      </c>
      <c r="PKQ66" s="117" t="s">
        <v>99</v>
      </c>
      <c r="PKR66" s="118">
        <v>45845</v>
      </c>
      <c r="PKS66" s="113" t="s">
        <v>39</v>
      </c>
      <c r="PKT66" s="169"/>
      <c r="PKU66" s="119" t="s">
        <v>92</v>
      </c>
      <c r="PKV66" s="167"/>
      <c r="PKW66" s="168"/>
      <c r="PKX66" s="113" t="s">
        <v>22</v>
      </c>
      <c r="PKY66" s="114">
        <v>8150</v>
      </c>
      <c r="PKZ66" s="122">
        <v>85</v>
      </c>
      <c r="PLA66" s="123">
        <v>215</v>
      </c>
      <c r="PLB66" s="123">
        <v>75</v>
      </c>
      <c r="PLC66" s="122">
        <v>150</v>
      </c>
      <c r="PLD66" s="124">
        <f>SUM(PKY66:PLC66)</f>
        <v>8675</v>
      </c>
      <c r="PLE66" s="122">
        <v>200</v>
      </c>
      <c r="PLF66" s="124">
        <f>SUM(PLD66:PLE66)</f>
        <v>8875</v>
      </c>
      <c r="PLG66" s="117" t="s">
        <v>99</v>
      </c>
      <c r="PLH66" s="118">
        <v>45845</v>
      </c>
      <c r="PLI66" s="113" t="s">
        <v>39</v>
      </c>
      <c r="PLJ66" s="169"/>
      <c r="PLK66" s="119" t="s">
        <v>92</v>
      </c>
      <c r="PLL66" s="167"/>
      <c r="PLM66" s="168"/>
      <c r="PLN66" s="113" t="s">
        <v>22</v>
      </c>
      <c r="PLO66" s="114">
        <v>8150</v>
      </c>
      <c r="PLP66" s="122">
        <v>85</v>
      </c>
      <c r="PLQ66" s="123">
        <v>215</v>
      </c>
      <c r="PLR66" s="123">
        <v>75</v>
      </c>
      <c r="PLS66" s="122">
        <v>150</v>
      </c>
      <c r="PLT66" s="124">
        <f>SUM(PLO66:PLS66)</f>
        <v>8675</v>
      </c>
      <c r="PLU66" s="122">
        <v>200</v>
      </c>
      <c r="PLV66" s="124">
        <f>SUM(PLT66:PLU66)</f>
        <v>8875</v>
      </c>
      <c r="PLW66" s="117" t="s">
        <v>99</v>
      </c>
      <c r="PLX66" s="118">
        <v>45845</v>
      </c>
      <c r="PLY66" s="113" t="s">
        <v>39</v>
      </c>
      <c r="PLZ66" s="169"/>
      <c r="PMA66" s="119" t="s">
        <v>92</v>
      </c>
      <c r="PMB66" s="167"/>
      <c r="PMC66" s="168"/>
      <c r="PMD66" s="113" t="s">
        <v>22</v>
      </c>
      <c r="PME66" s="114">
        <v>8150</v>
      </c>
      <c r="PMF66" s="122">
        <v>85</v>
      </c>
      <c r="PMG66" s="123">
        <v>215</v>
      </c>
      <c r="PMH66" s="123">
        <v>75</v>
      </c>
      <c r="PMI66" s="122">
        <v>150</v>
      </c>
      <c r="PMJ66" s="124">
        <f>SUM(PME66:PMI66)</f>
        <v>8675</v>
      </c>
      <c r="PMK66" s="122">
        <v>200</v>
      </c>
      <c r="PML66" s="124">
        <f>SUM(PMJ66:PMK66)</f>
        <v>8875</v>
      </c>
      <c r="PMM66" s="117" t="s">
        <v>99</v>
      </c>
      <c r="PMN66" s="118">
        <v>45845</v>
      </c>
      <c r="PMO66" s="113" t="s">
        <v>39</v>
      </c>
      <c r="PMP66" s="169"/>
      <c r="PMQ66" s="119" t="s">
        <v>92</v>
      </c>
      <c r="PMR66" s="167"/>
      <c r="PMS66" s="168"/>
      <c r="PMT66" s="113" t="s">
        <v>22</v>
      </c>
      <c r="PMU66" s="114">
        <v>8150</v>
      </c>
      <c r="PMV66" s="122">
        <v>85</v>
      </c>
      <c r="PMW66" s="123">
        <v>215</v>
      </c>
      <c r="PMX66" s="123">
        <v>75</v>
      </c>
      <c r="PMY66" s="122">
        <v>150</v>
      </c>
      <c r="PMZ66" s="124">
        <f>SUM(PMU66:PMY66)</f>
        <v>8675</v>
      </c>
      <c r="PNA66" s="122">
        <v>200</v>
      </c>
      <c r="PNB66" s="124">
        <f>SUM(PMZ66:PNA66)</f>
        <v>8875</v>
      </c>
      <c r="PNC66" s="117" t="s">
        <v>99</v>
      </c>
      <c r="PND66" s="118">
        <v>45845</v>
      </c>
      <c r="PNE66" s="113" t="s">
        <v>39</v>
      </c>
      <c r="PNF66" s="169"/>
      <c r="PNG66" s="119" t="s">
        <v>92</v>
      </c>
      <c r="PNH66" s="167"/>
      <c r="PNI66" s="168"/>
      <c r="PNJ66" s="113" t="s">
        <v>22</v>
      </c>
      <c r="PNK66" s="114">
        <v>8150</v>
      </c>
      <c r="PNL66" s="122">
        <v>85</v>
      </c>
      <c r="PNM66" s="123">
        <v>215</v>
      </c>
      <c r="PNN66" s="123">
        <v>75</v>
      </c>
      <c r="PNO66" s="122">
        <v>150</v>
      </c>
      <c r="PNP66" s="124">
        <f>SUM(PNK66:PNO66)</f>
        <v>8675</v>
      </c>
      <c r="PNQ66" s="122">
        <v>200</v>
      </c>
      <c r="PNR66" s="124">
        <f>SUM(PNP66:PNQ66)</f>
        <v>8875</v>
      </c>
      <c r="PNS66" s="117" t="s">
        <v>99</v>
      </c>
      <c r="PNT66" s="118">
        <v>45845</v>
      </c>
      <c r="PNU66" s="113" t="s">
        <v>39</v>
      </c>
      <c r="PNV66" s="169"/>
      <c r="PNW66" s="119" t="s">
        <v>92</v>
      </c>
      <c r="PNX66" s="167"/>
      <c r="PNY66" s="168"/>
      <c r="PNZ66" s="113" t="s">
        <v>22</v>
      </c>
      <c r="POA66" s="114">
        <v>8150</v>
      </c>
      <c r="POB66" s="122">
        <v>85</v>
      </c>
      <c r="POC66" s="123">
        <v>215</v>
      </c>
      <c r="POD66" s="123">
        <v>75</v>
      </c>
      <c r="POE66" s="122">
        <v>150</v>
      </c>
      <c r="POF66" s="124">
        <f>SUM(POA66:POE66)</f>
        <v>8675</v>
      </c>
      <c r="POG66" s="122">
        <v>200</v>
      </c>
      <c r="POH66" s="124">
        <f>SUM(POF66:POG66)</f>
        <v>8875</v>
      </c>
      <c r="POI66" s="117" t="s">
        <v>99</v>
      </c>
      <c r="POJ66" s="118">
        <v>45845</v>
      </c>
      <c r="POK66" s="113" t="s">
        <v>39</v>
      </c>
      <c r="POL66" s="169"/>
      <c r="POM66" s="119" t="s">
        <v>92</v>
      </c>
      <c r="PON66" s="167"/>
      <c r="POO66" s="168"/>
      <c r="POP66" s="113" t="s">
        <v>22</v>
      </c>
      <c r="POQ66" s="114">
        <v>8150</v>
      </c>
      <c r="POR66" s="122">
        <v>85</v>
      </c>
      <c r="POS66" s="123">
        <v>215</v>
      </c>
      <c r="POT66" s="123">
        <v>75</v>
      </c>
      <c r="POU66" s="122">
        <v>150</v>
      </c>
      <c r="POV66" s="124">
        <f>SUM(POQ66:POU66)</f>
        <v>8675</v>
      </c>
      <c r="POW66" s="122">
        <v>200</v>
      </c>
      <c r="POX66" s="124">
        <f>SUM(POV66:POW66)</f>
        <v>8875</v>
      </c>
      <c r="POY66" s="117" t="s">
        <v>99</v>
      </c>
      <c r="POZ66" s="118">
        <v>45845</v>
      </c>
      <c r="PPA66" s="113" t="s">
        <v>39</v>
      </c>
      <c r="PPB66" s="169"/>
      <c r="PPC66" s="119" t="s">
        <v>92</v>
      </c>
      <c r="PPD66" s="167"/>
      <c r="PPE66" s="168"/>
      <c r="PPF66" s="113" t="s">
        <v>22</v>
      </c>
      <c r="PPG66" s="114">
        <v>8150</v>
      </c>
      <c r="PPH66" s="122">
        <v>85</v>
      </c>
      <c r="PPI66" s="123">
        <v>215</v>
      </c>
      <c r="PPJ66" s="123">
        <v>75</v>
      </c>
      <c r="PPK66" s="122">
        <v>150</v>
      </c>
      <c r="PPL66" s="124">
        <f>SUM(PPG66:PPK66)</f>
        <v>8675</v>
      </c>
      <c r="PPM66" s="122">
        <v>200</v>
      </c>
      <c r="PPN66" s="124">
        <f>SUM(PPL66:PPM66)</f>
        <v>8875</v>
      </c>
      <c r="PPO66" s="117" t="s">
        <v>99</v>
      </c>
      <c r="PPP66" s="118">
        <v>45845</v>
      </c>
      <c r="PPQ66" s="113" t="s">
        <v>39</v>
      </c>
      <c r="PPR66" s="169"/>
      <c r="PPS66" s="119" t="s">
        <v>92</v>
      </c>
      <c r="PPT66" s="167"/>
      <c r="PPU66" s="168"/>
      <c r="PPV66" s="113" t="s">
        <v>22</v>
      </c>
      <c r="PPW66" s="114">
        <v>8150</v>
      </c>
      <c r="PPX66" s="122">
        <v>85</v>
      </c>
      <c r="PPY66" s="123">
        <v>215</v>
      </c>
      <c r="PPZ66" s="123">
        <v>75</v>
      </c>
      <c r="PQA66" s="122">
        <v>150</v>
      </c>
      <c r="PQB66" s="124">
        <f>SUM(PPW66:PQA66)</f>
        <v>8675</v>
      </c>
      <c r="PQC66" s="122">
        <v>200</v>
      </c>
      <c r="PQD66" s="124">
        <f>SUM(PQB66:PQC66)</f>
        <v>8875</v>
      </c>
      <c r="PQE66" s="117" t="s">
        <v>99</v>
      </c>
      <c r="PQF66" s="118">
        <v>45845</v>
      </c>
      <c r="PQG66" s="113" t="s">
        <v>39</v>
      </c>
      <c r="PQH66" s="169"/>
      <c r="PQI66" s="119" t="s">
        <v>92</v>
      </c>
      <c r="PQJ66" s="167"/>
      <c r="PQK66" s="168"/>
      <c r="PQL66" s="113" t="s">
        <v>22</v>
      </c>
      <c r="PQM66" s="114">
        <v>8150</v>
      </c>
      <c r="PQN66" s="122">
        <v>85</v>
      </c>
      <c r="PQO66" s="123">
        <v>215</v>
      </c>
      <c r="PQP66" s="123">
        <v>75</v>
      </c>
      <c r="PQQ66" s="122">
        <v>150</v>
      </c>
      <c r="PQR66" s="124">
        <f>SUM(PQM66:PQQ66)</f>
        <v>8675</v>
      </c>
      <c r="PQS66" s="122">
        <v>200</v>
      </c>
      <c r="PQT66" s="124">
        <f>SUM(PQR66:PQS66)</f>
        <v>8875</v>
      </c>
      <c r="PQU66" s="117" t="s">
        <v>99</v>
      </c>
      <c r="PQV66" s="118">
        <v>45845</v>
      </c>
      <c r="PQW66" s="113" t="s">
        <v>39</v>
      </c>
      <c r="PQX66" s="169"/>
      <c r="PQY66" s="119" t="s">
        <v>92</v>
      </c>
      <c r="PQZ66" s="167"/>
      <c r="PRA66" s="168"/>
      <c r="PRB66" s="113" t="s">
        <v>22</v>
      </c>
      <c r="PRC66" s="114">
        <v>8150</v>
      </c>
      <c r="PRD66" s="122">
        <v>85</v>
      </c>
      <c r="PRE66" s="123">
        <v>215</v>
      </c>
      <c r="PRF66" s="123">
        <v>75</v>
      </c>
      <c r="PRG66" s="122">
        <v>150</v>
      </c>
      <c r="PRH66" s="124">
        <f>SUM(PRC66:PRG66)</f>
        <v>8675</v>
      </c>
      <c r="PRI66" s="122">
        <v>200</v>
      </c>
      <c r="PRJ66" s="124">
        <f>SUM(PRH66:PRI66)</f>
        <v>8875</v>
      </c>
      <c r="PRK66" s="117" t="s">
        <v>99</v>
      </c>
      <c r="PRL66" s="118">
        <v>45845</v>
      </c>
      <c r="PRM66" s="113" t="s">
        <v>39</v>
      </c>
      <c r="PRN66" s="169"/>
      <c r="PRO66" s="119" t="s">
        <v>92</v>
      </c>
      <c r="PRP66" s="167"/>
      <c r="PRQ66" s="168"/>
      <c r="PRR66" s="113" t="s">
        <v>22</v>
      </c>
      <c r="PRS66" s="114">
        <v>8150</v>
      </c>
      <c r="PRT66" s="122">
        <v>85</v>
      </c>
      <c r="PRU66" s="123">
        <v>215</v>
      </c>
      <c r="PRV66" s="123">
        <v>75</v>
      </c>
      <c r="PRW66" s="122">
        <v>150</v>
      </c>
      <c r="PRX66" s="124">
        <f>SUM(PRS66:PRW66)</f>
        <v>8675</v>
      </c>
      <c r="PRY66" s="122">
        <v>200</v>
      </c>
      <c r="PRZ66" s="124">
        <f>SUM(PRX66:PRY66)</f>
        <v>8875</v>
      </c>
      <c r="PSA66" s="117" t="s">
        <v>99</v>
      </c>
      <c r="PSB66" s="118">
        <v>45845</v>
      </c>
      <c r="PSC66" s="113" t="s">
        <v>39</v>
      </c>
      <c r="PSD66" s="169"/>
      <c r="PSE66" s="119" t="s">
        <v>92</v>
      </c>
      <c r="PSF66" s="167"/>
      <c r="PSG66" s="168"/>
      <c r="PSH66" s="113" t="s">
        <v>22</v>
      </c>
      <c r="PSI66" s="114">
        <v>8150</v>
      </c>
      <c r="PSJ66" s="122">
        <v>85</v>
      </c>
      <c r="PSK66" s="123">
        <v>215</v>
      </c>
      <c r="PSL66" s="123">
        <v>75</v>
      </c>
      <c r="PSM66" s="122">
        <v>150</v>
      </c>
      <c r="PSN66" s="124">
        <f>SUM(PSI66:PSM66)</f>
        <v>8675</v>
      </c>
      <c r="PSO66" s="122">
        <v>200</v>
      </c>
      <c r="PSP66" s="124">
        <f>SUM(PSN66:PSO66)</f>
        <v>8875</v>
      </c>
      <c r="PSQ66" s="117" t="s">
        <v>99</v>
      </c>
      <c r="PSR66" s="118">
        <v>45845</v>
      </c>
      <c r="PSS66" s="113" t="s">
        <v>39</v>
      </c>
      <c r="PST66" s="169"/>
      <c r="PSU66" s="119" t="s">
        <v>92</v>
      </c>
      <c r="PSV66" s="167"/>
      <c r="PSW66" s="168"/>
      <c r="PSX66" s="113" t="s">
        <v>22</v>
      </c>
      <c r="PSY66" s="114">
        <v>8150</v>
      </c>
      <c r="PSZ66" s="122">
        <v>85</v>
      </c>
      <c r="PTA66" s="123">
        <v>215</v>
      </c>
      <c r="PTB66" s="123">
        <v>75</v>
      </c>
      <c r="PTC66" s="122">
        <v>150</v>
      </c>
      <c r="PTD66" s="124">
        <f>SUM(PSY66:PTC66)</f>
        <v>8675</v>
      </c>
      <c r="PTE66" s="122">
        <v>200</v>
      </c>
      <c r="PTF66" s="124">
        <f>SUM(PTD66:PTE66)</f>
        <v>8875</v>
      </c>
      <c r="PTG66" s="117" t="s">
        <v>99</v>
      </c>
      <c r="PTH66" s="118">
        <v>45845</v>
      </c>
      <c r="PTI66" s="113" t="s">
        <v>39</v>
      </c>
      <c r="PTJ66" s="169"/>
      <c r="PTK66" s="119" t="s">
        <v>92</v>
      </c>
      <c r="PTL66" s="167"/>
      <c r="PTM66" s="168"/>
      <c r="PTN66" s="113" t="s">
        <v>22</v>
      </c>
      <c r="PTO66" s="114">
        <v>8150</v>
      </c>
      <c r="PTP66" s="122">
        <v>85</v>
      </c>
      <c r="PTQ66" s="123">
        <v>215</v>
      </c>
      <c r="PTR66" s="123">
        <v>75</v>
      </c>
      <c r="PTS66" s="122">
        <v>150</v>
      </c>
      <c r="PTT66" s="124">
        <f>SUM(PTO66:PTS66)</f>
        <v>8675</v>
      </c>
      <c r="PTU66" s="122">
        <v>200</v>
      </c>
      <c r="PTV66" s="124">
        <f>SUM(PTT66:PTU66)</f>
        <v>8875</v>
      </c>
      <c r="PTW66" s="117" t="s">
        <v>99</v>
      </c>
      <c r="PTX66" s="118">
        <v>45845</v>
      </c>
      <c r="PTY66" s="113" t="s">
        <v>39</v>
      </c>
      <c r="PTZ66" s="169"/>
      <c r="PUA66" s="119" t="s">
        <v>92</v>
      </c>
      <c r="PUB66" s="167"/>
      <c r="PUC66" s="168"/>
      <c r="PUD66" s="113" t="s">
        <v>22</v>
      </c>
      <c r="PUE66" s="114">
        <v>8150</v>
      </c>
      <c r="PUF66" s="122">
        <v>85</v>
      </c>
      <c r="PUG66" s="123">
        <v>215</v>
      </c>
      <c r="PUH66" s="123">
        <v>75</v>
      </c>
      <c r="PUI66" s="122">
        <v>150</v>
      </c>
      <c r="PUJ66" s="124">
        <f>SUM(PUE66:PUI66)</f>
        <v>8675</v>
      </c>
      <c r="PUK66" s="122">
        <v>200</v>
      </c>
      <c r="PUL66" s="124">
        <f>SUM(PUJ66:PUK66)</f>
        <v>8875</v>
      </c>
      <c r="PUM66" s="117" t="s">
        <v>99</v>
      </c>
      <c r="PUN66" s="118">
        <v>45845</v>
      </c>
      <c r="PUO66" s="113" t="s">
        <v>39</v>
      </c>
      <c r="PUP66" s="169"/>
      <c r="PUQ66" s="119" t="s">
        <v>92</v>
      </c>
      <c r="PUR66" s="167"/>
      <c r="PUS66" s="168"/>
      <c r="PUT66" s="113" t="s">
        <v>22</v>
      </c>
      <c r="PUU66" s="114">
        <v>8150</v>
      </c>
      <c r="PUV66" s="122">
        <v>85</v>
      </c>
      <c r="PUW66" s="123">
        <v>215</v>
      </c>
      <c r="PUX66" s="123">
        <v>75</v>
      </c>
      <c r="PUY66" s="122">
        <v>150</v>
      </c>
      <c r="PUZ66" s="124">
        <f>SUM(PUU66:PUY66)</f>
        <v>8675</v>
      </c>
      <c r="PVA66" s="122">
        <v>200</v>
      </c>
      <c r="PVB66" s="124">
        <f>SUM(PUZ66:PVA66)</f>
        <v>8875</v>
      </c>
      <c r="PVC66" s="117" t="s">
        <v>99</v>
      </c>
      <c r="PVD66" s="118">
        <v>45845</v>
      </c>
      <c r="PVE66" s="113" t="s">
        <v>39</v>
      </c>
      <c r="PVF66" s="169"/>
      <c r="PVG66" s="119" t="s">
        <v>92</v>
      </c>
      <c r="PVH66" s="167"/>
      <c r="PVI66" s="168"/>
      <c r="PVJ66" s="113" t="s">
        <v>22</v>
      </c>
      <c r="PVK66" s="114">
        <v>8150</v>
      </c>
      <c r="PVL66" s="122">
        <v>85</v>
      </c>
      <c r="PVM66" s="123">
        <v>215</v>
      </c>
      <c r="PVN66" s="123">
        <v>75</v>
      </c>
      <c r="PVO66" s="122">
        <v>150</v>
      </c>
      <c r="PVP66" s="124">
        <f>SUM(PVK66:PVO66)</f>
        <v>8675</v>
      </c>
      <c r="PVQ66" s="122">
        <v>200</v>
      </c>
      <c r="PVR66" s="124">
        <f>SUM(PVP66:PVQ66)</f>
        <v>8875</v>
      </c>
      <c r="PVS66" s="117" t="s">
        <v>99</v>
      </c>
      <c r="PVT66" s="118">
        <v>45845</v>
      </c>
      <c r="PVU66" s="113" t="s">
        <v>39</v>
      </c>
      <c r="PVV66" s="169"/>
      <c r="PVW66" s="119" t="s">
        <v>92</v>
      </c>
      <c r="PVX66" s="167"/>
      <c r="PVY66" s="168"/>
      <c r="PVZ66" s="113" t="s">
        <v>22</v>
      </c>
      <c r="PWA66" s="114">
        <v>8150</v>
      </c>
      <c r="PWB66" s="122">
        <v>85</v>
      </c>
      <c r="PWC66" s="123">
        <v>215</v>
      </c>
      <c r="PWD66" s="123">
        <v>75</v>
      </c>
      <c r="PWE66" s="122">
        <v>150</v>
      </c>
      <c r="PWF66" s="124">
        <f>SUM(PWA66:PWE66)</f>
        <v>8675</v>
      </c>
      <c r="PWG66" s="122">
        <v>200</v>
      </c>
      <c r="PWH66" s="124">
        <f>SUM(PWF66:PWG66)</f>
        <v>8875</v>
      </c>
      <c r="PWI66" s="117" t="s">
        <v>99</v>
      </c>
      <c r="PWJ66" s="118">
        <v>45845</v>
      </c>
      <c r="PWK66" s="113" t="s">
        <v>39</v>
      </c>
      <c r="PWL66" s="169"/>
      <c r="PWM66" s="119" t="s">
        <v>92</v>
      </c>
      <c r="PWN66" s="167"/>
      <c r="PWO66" s="168"/>
      <c r="PWP66" s="113" t="s">
        <v>22</v>
      </c>
      <c r="PWQ66" s="114">
        <v>8150</v>
      </c>
      <c r="PWR66" s="122">
        <v>85</v>
      </c>
      <c r="PWS66" s="123">
        <v>215</v>
      </c>
      <c r="PWT66" s="123">
        <v>75</v>
      </c>
      <c r="PWU66" s="122">
        <v>150</v>
      </c>
      <c r="PWV66" s="124">
        <f>SUM(PWQ66:PWU66)</f>
        <v>8675</v>
      </c>
      <c r="PWW66" s="122">
        <v>200</v>
      </c>
      <c r="PWX66" s="124">
        <f>SUM(PWV66:PWW66)</f>
        <v>8875</v>
      </c>
      <c r="PWY66" s="117" t="s">
        <v>99</v>
      </c>
      <c r="PWZ66" s="118">
        <v>45845</v>
      </c>
      <c r="PXA66" s="113" t="s">
        <v>39</v>
      </c>
      <c r="PXB66" s="169"/>
      <c r="PXC66" s="119" t="s">
        <v>92</v>
      </c>
      <c r="PXD66" s="167"/>
      <c r="PXE66" s="168"/>
      <c r="PXF66" s="113" t="s">
        <v>22</v>
      </c>
      <c r="PXG66" s="114">
        <v>8150</v>
      </c>
      <c r="PXH66" s="122">
        <v>85</v>
      </c>
      <c r="PXI66" s="123">
        <v>215</v>
      </c>
      <c r="PXJ66" s="123">
        <v>75</v>
      </c>
      <c r="PXK66" s="122">
        <v>150</v>
      </c>
      <c r="PXL66" s="124">
        <f>SUM(PXG66:PXK66)</f>
        <v>8675</v>
      </c>
      <c r="PXM66" s="122">
        <v>200</v>
      </c>
      <c r="PXN66" s="124">
        <f>SUM(PXL66:PXM66)</f>
        <v>8875</v>
      </c>
      <c r="PXO66" s="117" t="s">
        <v>99</v>
      </c>
      <c r="PXP66" s="118">
        <v>45845</v>
      </c>
      <c r="PXQ66" s="113" t="s">
        <v>39</v>
      </c>
      <c r="PXR66" s="169"/>
      <c r="PXS66" s="119" t="s">
        <v>92</v>
      </c>
      <c r="PXT66" s="167"/>
      <c r="PXU66" s="168"/>
      <c r="PXV66" s="113" t="s">
        <v>22</v>
      </c>
      <c r="PXW66" s="114">
        <v>8150</v>
      </c>
      <c r="PXX66" s="122">
        <v>85</v>
      </c>
      <c r="PXY66" s="123">
        <v>215</v>
      </c>
      <c r="PXZ66" s="123">
        <v>75</v>
      </c>
      <c r="PYA66" s="122">
        <v>150</v>
      </c>
      <c r="PYB66" s="124">
        <f>SUM(PXW66:PYA66)</f>
        <v>8675</v>
      </c>
      <c r="PYC66" s="122">
        <v>200</v>
      </c>
      <c r="PYD66" s="124">
        <f>SUM(PYB66:PYC66)</f>
        <v>8875</v>
      </c>
      <c r="PYE66" s="117" t="s">
        <v>99</v>
      </c>
      <c r="PYF66" s="118">
        <v>45845</v>
      </c>
      <c r="PYG66" s="113" t="s">
        <v>39</v>
      </c>
      <c r="PYH66" s="169"/>
      <c r="PYI66" s="119" t="s">
        <v>92</v>
      </c>
      <c r="PYJ66" s="167"/>
      <c r="PYK66" s="168"/>
      <c r="PYL66" s="113" t="s">
        <v>22</v>
      </c>
      <c r="PYM66" s="114">
        <v>8150</v>
      </c>
      <c r="PYN66" s="122">
        <v>85</v>
      </c>
      <c r="PYO66" s="123">
        <v>215</v>
      </c>
      <c r="PYP66" s="123">
        <v>75</v>
      </c>
      <c r="PYQ66" s="122">
        <v>150</v>
      </c>
      <c r="PYR66" s="124">
        <f>SUM(PYM66:PYQ66)</f>
        <v>8675</v>
      </c>
      <c r="PYS66" s="122">
        <v>200</v>
      </c>
      <c r="PYT66" s="124">
        <f>SUM(PYR66:PYS66)</f>
        <v>8875</v>
      </c>
      <c r="PYU66" s="117" t="s">
        <v>99</v>
      </c>
      <c r="PYV66" s="118">
        <v>45845</v>
      </c>
      <c r="PYW66" s="113" t="s">
        <v>39</v>
      </c>
      <c r="PYX66" s="169"/>
      <c r="PYY66" s="119" t="s">
        <v>92</v>
      </c>
      <c r="PYZ66" s="167"/>
      <c r="PZA66" s="168"/>
      <c r="PZB66" s="113" t="s">
        <v>22</v>
      </c>
      <c r="PZC66" s="114">
        <v>8150</v>
      </c>
      <c r="PZD66" s="122">
        <v>85</v>
      </c>
      <c r="PZE66" s="123">
        <v>215</v>
      </c>
      <c r="PZF66" s="123">
        <v>75</v>
      </c>
      <c r="PZG66" s="122">
        <v>150</v>
      </c>
      <c r="PZH66" s="124">
        <f>SUM(PZC66:PZG66)</f>
        <v>8675</v>
      </c>
      <c r="PZI66" s="122">
        <v>200</v>
      </c>
      <c r="PZJ66" s="124">
        <f>SUM(PZH66:PZI66)</f>
        <v>8875</v>
      </c>
      <c r="PZK66" s="117" t="s">
        <v>99</v>
      </c>
      <c r="PZL66" s="118">
        <v>45845</v>
      </c>
      <c r="PZM66" s="113" t="s">
        <v>39</v>
      </c>
      <c r="PZN66" s="169"/>
      <c r="PZO66" s="119" t="s">
        <v>92</v>
      </c>
      <c r="PZP66" s="167"/>
      <c r="PZQ66" s="168"/>
      <c r="PZR66" s="113" t="s">
        <v>22</v>
      </c>
      <c r="PZS66" s="114">
        <v>8150</v>
      </c>
      <c r="PZT66" s="122">
        <v>85</v>
      </c>
      <c r="PZU66" s="123">
        <v>215</v>
      </c>
      <c r="PZV66" s="123">
        <v>75</v>
      </c>
      <c r="PZW66" s="122">
        <v>150</v>
      </c>
      <c r="PZX66" s="124">
        <f>SUM(PZS66:PZW66)</f>
        <v>8675</v>
      </c>
      <c r="PZY66" s="122">
        <v>200</v>
      </c>
      <c r="PZZ66" s="124">
        <f>SUM(PZX66:PZY66)</f>
        <v>8875</v>
      </c>
      <c r="QAA66" s="117" t="s">
        <v>99</v>
      </c>
      <c r="QAB66" s="118">
        <v>45845</v>
      </c>
      <c r="QAC66" s="113" t="s">
        <v>39</v>
      </c>
      <c r="QAD66" s="169"/>
      <c r="QAE66" s="119" t="s">
        <v>92</v>
      </c>
      <c r="QAF66" s="167"/>
      <c r="QAG66" s="168"/>
      <c r="QAH66" s="113" t="s">
        <v>22</v>
      </c>
      <c r="QAI66" s="114">
        <v>8150</v>
      </c>
      <c r="QAJ66" s="122">
        <v>85</v>
      </c>
      <c r="QAK66" s="123">
        <v>215</v>
      </c>
      <c r="QAL66" s="123">
        <v>75</v>
      </c>
      <c r="QAM66" s="122">
        <v>150</v>
      </c>
      <c r="QAN66" s="124">
        <f>SUM(QAI66:QAM66)</f>
        <v>8675</v>
      </c>
      <c r="QAO66" s="122">
        <v>200</v>
      </c>
      <c r="QAP66" s="124">
        <f>SUM(QAN66:QAO66)</f>
        <v>8875</v>
      </c>
      <c r="QAQ66" s="117" t="s">
        <v>99</v>
      </c>
      <c r="QAR66" s="118">
        <v>45845</v>
      </c>
      <c r="QAS66" s="113" t="s">
        <v>39</v>
      </c>
      <c r="QAT66" s="169"/>
      <c r="QAU66" s="119" t="s">
        <v>92</v>
      </c>
      <c r="QAV66" s="167"/>
      <c r="QAW66" s="168"/>
      <c r="QAX66" s="113" t="s">
        <v>22</v>
      </c>
      <c r="QAY66" s="114">
        <v>8150</v>
      </c>
      <c r="QAZ66" s="122">
        <v>85</v>
      </c>
      <c r="QBA66" s="123">
        <v>215</v>
      </c>
      <c r="QBB66" s="123">
        <v>75</v>
      </c>
      <c r="QBC66" s="122">
        <v>150</v>
      </c>
      <c r="QBD66" s="124">
        <f>SUM(QAY66:QBC66)</f>
        <v>8675</v>
      </c>
      <c r="QBE66" s="122">
        <v>200</v>
      </c>
      <c r="QBF66" s="124">
        <f>SUM(QBD66:QBE66)</f>
        <v>8875</v>
      </c>
      <c r="QBG66" s="117" t="s">
        <v>99</v>
      </c>
      <c r="QBH66" s="118">
        <v>45845</v>
      </c>
      <c r="QBI66" s="113" t="s">
        <v>39</v>
      </c>
      <c r="QBJ66" s="169"/>
      <c r="QBK66" s="119" t="s">
        <v>92</v>
      </c>
      <c r="QBL66" s="167"/>
      <c r="QBM66" s="168"/>
      <c r="QBN66" s="113" t="s">
        <v>22</v>
      </c>
      <c r="QBO66" s="114">
        <v>8150</v>
      </c>
      <c r="QBP66" s="122">
        <v>85</v>
      </c>
      <c r="QBQ66" s="123">
        <v>215</v>
      </c>
      <c r="QBR66" s="123">
        <v>75</v>
      </c>
      <c r="QBS66" s="122">
        <v>150</v>
      </c>
      <c r="QBT66" s="124">
        <f>SUM(QBO66:QBS66)</f>
        <v>8675</v>
      </c>
      <c r="QBU66" s="122">
        <v>200</v>
      </c>
      <c r="QBV66" s="124">
        <f>SUM(QBT66:QBU66)</f>
        <v>8875</v>
      </c>
      <c r="QBW66" s="117" t="s">
        <v>99</v>
      </c>
      <c r="QBX66" s="118">
        <v>45845</v>
      </c>
      <c r="QBY66" s="113" t="s">
        <v>39</v>
      </c>
      <c r="QBZ66" s="169"/>
      <c r="QCA66" s="119" t="s">
        <v>92</v>
      </c>
      <c r="QCB66" s="167"/>
      <c r="QCC66" s="168"/>
      <c r="QCD66" s="113" t="s">
        <v>22</v>
      </c>
      <c r="QCE66" s="114">
        <v>8150</v>
      </c>
      <c r="QCF66" s="122">
        <v>85</v>
      </c>
      <c r="QCG66" s="123">
        <v>215</v>
      </c>
      <c r="QCH66" s="123">
        <v>75</v>
      </c>
      <c r="QCI66" s="122">
        <v>150</v>
      </c>
      <c r="QCJ66" s="124">
        <f>SUM(QCE66:QCI66)</f>
        <v>8675</v>
      </c>
      <c r="QCK66" s="122">
        <v>200</v>
      </c>
      <c r="QCL66" s="124">
        <f>SUM(QCJ66:QCK66)</f>
        <v>8875</v>
      </c>
      <c r="QCM66" s="117" t="s">
        <v>99</v>
      </c>
      <c r="QCN66" s="118">
        <v>45845</v>
      </c>
      <c r="QCO66" s="113" t="s">
        <v>39</v>
      </c>
      <c r="QCP66" s="169"/>
      <c r="QCQ66" s="119" t="s">
        <v>92</v>
      </c>
      <c r="QCR66" s="167"/>
      <c r="QCS66" s="168"/>
      <c r="QCT66" s="113" t="s">
        <v>22</v>
      </c>
      <c r="QCU66" s="114">
        <v>8150</v>
      </c>
      <c r="QCV66" s="122">
        <v>85</v>
      </c>
      <c r="QCW66" s="123">
        <v>215</v>
      </c>
      <c r="QCX66" s="123">
        <v>75</v>
      </c>
      <c r="QCY66" s="122">
        <v>150</v>
      </c>
      <c r="QCZ66" s="124">
        <f>SUM(QCU66:QCY66)</f>
        <v>8675</v>
      </c>
      <c r="QDA66" s="122">
        <v>200</v>
      </c>
      <c r="QDB66" s="124">
        <f>SUM(QCZ66:QDA66)</f>
        <v>8875</v>
      </c>
      <c r="QDC66" s="117" t="s">
        <v>99</v>
      </c>
      <c r="QDD66" s="118">
        <v>45845</v>
      </c>
      <c r="QDE66" s="113" t="s">
        <v>39</v>
      </c>
      <c r="QDF66" s="169"/>
      <c r="QDG66" s="119" t="s">
        <v>92</v>
      </c>
      <c r="QDH66" s="167"/>
      <c r="QDI66" s="168"/>
      <c r="QDJ66" s="113" t="s">
        <v>22</v>
      </c>
      <c r="QDK66" s="114">
        <v>8150</v>
      </c>
      <c r="QDL66" s="122">
        <v>85</v>
      </c>
      <c r="QDM66" s="123">
        <v>215</v>
      </c>
      <c r="QDN66" s="123">
        <v>75</v>
      </c>
      <c r="QDO66" s="122">
        <v>150</v>
      </c>
      <c r="QDP66" s="124">
        <f>SUM(QDK66:QDO66)</f>
        <v>8675</v>
      </c>
      <c r="QDQ66" s="122">
        <v>200</v>
      </c>
      <c r="QDR66" s="124">
        <f>SUM(QDP66:QDQ66)</f>
        <v>8875</v>
      </c>
      <c r="QDS66" s="117" t="s">
        <v>99</v>
      </c>
      <c r="QDT66" s="118">
        <v>45845</v>
      </c>
      <c r="QDU66" s="113" t="s">
        <v>39</v>
      </c>
      <c r="QDV66" s="169"/>
      <c r="QDW66" s="119" t="s">
        <v>92</v>
      </c>
      <c r="QDX66" s="167"/>
      <c r="QDY66" s="168"/>
      <c r="QDZ66" s="113" t="s">
        <v>22</v>
      </c>
      <c r="QEA66" s="114">
        <v>8150</v>
      </c>
      <c r="QEB66" s="122">
        <v>85</v>
      </c>
      <c r="QEC66" s="123">
        <v>215</v>
      </c>
      <c r="QED66" s="123">
        <v>75</v>
      </c>
      <c r="QEE66" s="122">
        <v>150</v>
      </c>
      <c r="QEF66" s="124">
        <f>SUM(QEA66:QEE66)</f>
        <v>8675</v>
      </c>
      <c r="QEG66" s="122">
        <v>200</v>
      </c>
      <c r="QEH66" s="124">
        <f>SUM(QEF66:QEG66)</f>
        <v>8875</v>
      </c>
      <c r="QEI66" s="117" t="s">
        <v>99</v>
      </c>
      <c r="QEJ66" s="118">
        <v>45845</v>
      </c>
      <c r="QEK66" s="113" t="s">
        <v>39</v>
      </c>
      <c r="QEL66" s="169"/>
      <c r="QEM66" s="119" t="s">
        <v>92</v>
      </c>
      <c r="QEN66" s="167"/>
      <c r="QEO66" s="168"/>
      <c r="QEP66" s="113" t="s">
        <v>22</v>
      </c>
      <c r="QEQ66" s="114">
        <v>8150</v>
      </c>
      <c r="QER66" s="122">
        <v>85</v>
      </c>
      <c r="QES66" s="123">
        <v>215</v>
      </c>
      <c r="QET66" s="123">
        <v>75</v>
      </c>
      <c r="QEU66" s="122">
        <v>150</v>
      </c>
      <c r="QEV66" s="124">
        <f>SUM(QEQ66:QEU66)</f>
        <v>8675</v>
      </c>
      <c r="QEW66" s="122">
        <v>200</v>
      </c>
      <c r="QEX66" s="124">
        <f>SUM(QEV66:QEW66)</f>
        <v>8875</v>
      </c>
      <c r="QEY66" s="117" t="s">
        <v>99</v>
      </c>
      <c r="QEZ66" s="118">
        <v>45845</v>
      </c>
      <c r="QFA66" s="113" t="s">
        <v>39</v>
      </c>
      <c r="QFB66" s="169"/>
      <c r="QFC66" s="119" t="s">
        <v>92</v>
      </c>
      <c r="QFD66" s="167"/>
      <c r="QFE66" s="168"/>
      <c r="QFF66" s="113" t="s">
        <v>22</v>
      </c>
      <c r="QFG66" s="114">
        <v>8150</v>
      </c>
      <c r="QFH66" s="122">
        <v>85</v>
      </c>
      <c r="QFI66" s="123">
        <v>215</v>
      </c>
      <c r="QFJ66" s="123">
        <v>75</v>
      </c>
      <c r="QFK66" s="122">
        <v>150</v>
      </c>
      <c r="QFL66" s="124">
        <f>SUM(QFG66:QFK66)</f>
        <v>8675</v>
      </c>
      <c r="QFM66" s="122">
        <v>200</v>
      </c>
      <c r="QFN66" s="124">
        <f>SUM(QFL66:QFM66)</f>
        <v>8875</v>
      </c>
      <c r="QFO66" s="117" t="s">
        <v>99</v>
      </c>
      <c r="QFP66" s="118">
        <v>45845</v>
      </c>
      <c r="QFQ66" s="113" t="s">
        <v>39</v>
      </c>
      <c r="QFR66" s="169"/>
      <c r="QFS66" s="119" t="s">
        <v>92</v>
      </c>
      <c r="QFT66" s="167"/>
      <c r="QFU66" s="168"/>
      <c r="QFV66" s="113" t="s">
        <v>22</v>
      </c>
      <c r="QFW66" s="114">
        <v>8150</v>
      </c>
      <c r="QFX66" s="122">
        <v>85</v>
      </c>
      <c r="QFY66" s="123">
        <v>215</v>
      </c>
      <c r="QFZ66" s="123">
        <v>75</v>
      </c>
      <c r="QGA66" s="122">
        <v>150</v>
      </c>
      <c r="QGB66" s="124">
        <f>SUM(QFW66:QGA66)</f>
        <v>8675</v>
      </c>
      <c r="QGC66" s="122">
        <v>200</v>
      </c>
      <c r="QGD66" s="124">
        <f>SUM(QGB66:QGC66)</f>
        <v>8875</v>
      </c>
      <c r="QGE66" s="117" t="s">
        <v>99</v>
      </c>
      <c r="QGF66" s="118">
        <v>45845</v>
      </c>
      <c r="QGG66" s="113" t="s">
        <v>39</v>
      </c>
      <c r="QGH66" s="169"/>
      <c r="QGI66" s="119" t="s">
        <v>92</v>
      </c>
      <c r="QGJ66" s="167"/>
      <c r="QGK66" s="168"/>
      <c r="QGL66" s="113" t="s">
        <v>22</v>
      </c>
      <c r="QGM66" s="114">
        <v>8150</v>
      </c>
      <c r="QGN66" s="122">
        <v>85</v>
      </c>
      <c r="QGO66" s="123">
        <v>215</v>
      </c>
      <c r="QGP66" s="123">
        <v>75</v>
      </c>
      <c r="QGQ66" s="122">
        <v>150</v>
      </c>
      <c r="QGR66" s="124">
        <f>SUM(QGM66:QGQ66)</f>
        <v>8675</v>
      </c>
      <c r="QGS66" s="122">
        <v>200</v>
      </c>
      <c r="QGT66" s="124">
        <f>SUM(QGR66:QGS66)</f>
        <v>8875</v>
      </c>
      <c r="QGU66" s="117" t="s">
        <v>99</v>
      </c>
      <c r="QGV66" s="118">
        <v>45845</v>
      </c>
      <c r="QGW66" s="113" t="s">
        <v>39</v>
      </c>
      <c r="QGX66" s="169"/>
      <c r="QGY66" s="119" t="s">
        <v>92</v>
      </c>
      <c r="QGZ66" s="167"/>
      <c r="QHA66" s="168"/>
      <c r="QHB66" s="113" t="s">
        <v>22</v>
      </c>
      <c r="QHC66" s="114">
        <v>8150</v>
      </c>
      <c r="QHD66" s="122">
        <v>85</v>
      </c>
      <c r="QHE66" s="123">
        <v>215</v>
      </c>
      <c r="QHF66" s="123">
        <v>75</v>
      </c>
      <c r="QHG66" s="122">
        <v>150</v>
      </c>
      <c r="QHH66" s="124">
        <f>SUM(QHC66:QHG66)</f>
        <v>8675</v>
      </c>
      <c r="QHI66" s="122">
        <v>200</v>
      </c>
      <c r="QHJ66" s="124">
        <f>SUM(QHH66:QHI66)</f>
        <v>8875</v>
      </c>
      <c r="QHK66" s="117" t="s">
        <v>99</v>
      </c>
      <c r="QHL66" s="118">
        <v>45845</v>
      </c>
      <c r="QHM66" s="113" t="s">
        <v>39</v>
      </c>
      <c r="QHN66" s="169"/>
      <c r="QHO66" s="119" t="s">
        <v>92</v>
      </c>
      <c r="QHP66" s="167"/>
      <c r="QHQ66" s="168"/>
      <c r="QHR66" s="113" t="s">
        <v>22</v>
      </c>
      <c r="QHS66" s="114">
        <v>8150</v>
      </c>
      <c r="QHT66" s="122">
        <v>85</v>
      </c>
      <c r="QHU66" s="123">
        <v>215</v>
      </c>
      <c r="QHV66" s="123">
        <v>75</v>
      </c>
      <c r="QHW66" s="122">
        <v>150</v>
      </c>
      <c r="QHX66" s="124">
        <f>SUM(QHS66:QHW66)</f>
        <v>8675</v>
      </c>
      <c r="QHY66" s="122">
        <v>200</v>
      </c>
      <c r="QHZ66" s="124">
        <f>SUM(QHX66:QHY66)</f>
        <v>8875</v>
      </c>
      <c r="QIA66" s="117" t="s">
        <v>99</v>
      </c>
      <c r="QIB66" s="118">
        <v>45845</v>
      </c>
      <c r="QIC66" s="113" t="s">
        <v>39</v>
      </c>
      <c r="QID66" s="169"/>
      <c r="QIE66" s="119" t="s">
        <v>92</v>
      </c>
      <c r="QIF66" s="167"/>
      <c r="QIG66" s="168"/>
      <c r="QIH66" s="113" t="s">
        <v>22</v>
      </c>
      <c r="QII66" s="114">
        <v>8150</v>
      </c>
      <c r="QIJ66" s="122">
        <v>85</v>
      </c>
      <c r="QIK66" s="123">
        <v>215</v>
      </c>
      <c r="QIL66" s="123">
        <v>75</v>
      </c>
      <c r="QIM66" s="122">
        <v>150</v>
      </c>
      <c r="QIN66" s="124">
        <f>SUM(QII66:QIM66)</f>
        <v>8675</v>
      </c>
      <c r="QIO66" s="122">
        <v>200</v>
      </c>
      <c r="QIP66" s="124">
        <f>SUM(QIN66:QIO66)</f>
        <v>8875</v>
      </c>
      <c r="QIQ66" s="117" t="s">
        <v>99</v>
      </c>
      <c r="QIR66" s="118">
        <v>45845</v>
      </c>
      <c r="QIS66" s="113" t="s">
        <v>39</v>
      </c>
      <c r="QIT66" s="169"/>
      <c r="QIU66" s="119" t="s">
        <v>92</v>
      </c>
      <c r="QIV66" s="167"/>
      <c r="QIW66" s="168"/>
      <c r="QIX66" s="113" t="s">
        <v>22</v>
      </c>
      <c r="QIY66" s="114">
        <v>8150</v>
      </c>
      <c r="QIZ66" s="122">
        <v>85</v>
      </c>
      <c r="QJA66" s="123">
        <v>215</v>
      </c>
      <c r="QJB66" s="123">
        <v>75</v>
      </c>
      <c r="QJC66" s="122">
        <v>150</v>
      </c>
      <c r="QJD66" s="124">
        <f>SUM(QIY66:QJC66)</f>
        <v>8675</v>
      </c>
      <c r="QJE66" s="122">
        <v>200</v>
      </c>
      <c r="QJF66" s="124">
        <f>SUM(QJD66:QJE66)</f>
        <v>8875</v>
      </c>
      <c r="QJG66" s="117" t="s">
        <v>99</v>
      </c>
      <c r="QJH66" s="118">
        <v>45845</v>
      </c>
      <c r="QJI66" s="113" t="s">
        <v>39</v>
      </c>
      <c r="QJJ66" s="169"/>
      <c r="QJK66" s="119" t="s">
        <v>92</v>
      </c>
      <c r="QJL66" s="167"/>
      <c r="QJM66" s="168"/>
      <c r="QJN66" s="113" t="s">
        <v>22</v>
      </c>
      <c r="QJO66" s="114">
        <v>8150</v>
      </c>
      <c r="QJP66" s="122">
        <v>85</v>
      </c>
      <c r="QJQ66" s="123">
        <v>215</v>
      </c>
      <c r="QJR66" s="123">
        <v>75</v>
      </c>
      <c r="QJS66" s="122">
        <v>150</v>
      </c>
      <c r="QJT66" s="124">
        <f>SUM(QJO66:QJS66)</f>
        <v>8675</v>
      </c>
      <c r="QJU66" s="122">
        <v>200</v>
      </c>
      <c r="QJV66" s="124">
        <f>SUM(QJT66:QJU66)</f>
        <v>8875</v>
      </c>
      <c r="QJW66" s="117" t="s">
        <v>99</v>
      </c>
      <c r="QJX66" s="118">
        <v>45845</v>
      </c>
      <c r="QJY66" s="113" t="s">
        <v>39</v>
      </c>
      <c r="QJZ66" s="169"/>
      <c r="QKA66" s="119" t="s">
        <v>92</v>
      </c>
      <c r="QKB66" s="167"/>
      <c r="QKC66" s="168"/>
      <c r="QKD66" s="113" t="s">
        <v>22</v>
      </c>
      <c r="QKE66" s="114">
        <v>8150</v>
      </c>
      <c r="QKF66" s="122">
        <v>85</v>
      </c>
      <c r="QKG66" s="123">
        <v>215</v>
      </c>
      <c r="QKH66" s="123">
        <v>75</v>
      </c>
      <c r="QKI66" s="122">
        <v>150</v>
      </c>
      <c r="QKJ66" s="124">
        <f>SUM(QKE66:QKI66)</f>
        <v>8675</v>
      </c>
      <c r="QKK66" s="122">
        <v>200</v>
      </c>
      <c r="QKL66" s="124">
        <f>SUM(QKJ66:QKK66)</f>
        <v>8875</v>
      </c>
      <c r="QKM66" s="117" t="s">
        <v>99</v>
      </c>
      <c r="QKN66" s="118">
        <v>45845</v>
      </c>
      <c r="QKO66" s="113" t="s">
        <v>39</v>
      </c>
      <c r="QKP66" s="169"/>
      <c r="QKQ66" s="119" t="s">
        <v>92</v>
      </c>
      <c r="QKR66" s="167"/>
      <c r="QKS66" s="168"/>
      <c r="QKT66" s="113" t="s">
        <v>22</v>
      </c>
      <c r="QKU66" s="114">
        <v>8150</v>
      </c>
      <c r="QKV66" s="122">
        <v>85</v>
      </c>
      <c r="QKW66" s="123">
        <v>215</v>
      </c>
      <c r="QKX66" s="123">
        <v>75</v>
      </c>
      <c r="QKY66" s="122">
        <v>150</v>
      </c>
      <c r="QKZ66" s="124">
        <f>SUM(QKU66:QKY66)</f>
        <v>8675</v>
      </c>
      <c r="QLA66" s="122">
        <v>200</v>
      </c>
      <c r="QLB66" s="124">
        <f>SUM(QKZ66:QLA66)</f>
        <v>8875</v>
      </c>
      <c r="QLC66" s="117" t="s">
        <v>99</v>
      </c>
      <c r="QLD66" s="118">
        <v>45845</v>
      </c>
      <c r="QLE66" s="113" t="s">
        <v>39</v>
      </c>
      <c r="QLF66" s="169"/>
      <c r="QLG66" s="119" t="s">
        <v>92</v>
      </c>
      <c r="QLH66" s="167"/>
      <c r="QLI66" s="168"/>
      <c r="QLJ66" s="113" t="s">
        <v>22</v>
      </c>
      <c r="QLK66" s="114">
        <v>8150</v>
      </c>
      <c r="QLL66" s="122">
        <v>85</v>
      </c>
      <c r="QLM66" s="123">
        <v>215</v>
      </c>
      <c r="QLN66" s="123">
        <v>75</v>
      </c>
      <c r="QLO66" s="122">
        <v>150</v>
      </c>
      <c r="QLP66" s="124">
        <f>SUM(QLK66:QLO66)</f>
        <v>8675</v>
      </c>
      <c r="QLQ66" s="122">
        <v>200</v>
      </c>
      <c r="QLR66" s="124">
        <f>SUM(QLP66:QLQ66)</f>
        <v>8875</v>
      </c>
      <c r="QLS66" s="117" t="s">
        <v>99</v>
      </c>
      <c r="QLT66" s="118">
        <v>45845</v>
      </c>
      <c r="QLU66" s="113" t="s">
        <v>39</v>
      </c>
      <c r="QLV66" s="169"/>
      <c r="QLW66" s="119" t="s">
        <v>92</v>
      </c>
      <c r="QLX66" s="167"/>
      <c r="QLY66" s="168"/>
      <c r="QLZ66" s="113" t="s">
        <v>22</v>
      </c>
      <c r="QMA66" s="114">
        <v>8150</v>
      </c>
      <c r="QMB66" s="122">
        <v>85</v>
      </c>
      <c r="QMC66" s="123">
        <v>215</v>
      </c>
      <c r="QMD66" s="123">
        <v>75</v>
      </c>
      <c r="QME66" s="122">
        <v>150</v>
      </c>
      <c r="QMF66" s="124">
        <f>SUM(QMA66:QME66)</f>
        <v>8675</v>
      </c>
      <c r="QMG66" s="122">
        <v>200</v>
      </c>
      <c r="QMH66" s="124">
        <f>SUM(QMF66:QMG66)</f>
        <v>8875</v>
      </c>
      <c r="QMI66" s="117" t="s">
        <v>99</v>
      </c>
      <c r="QMJ66" s="118">
        <v>45845</v>
      </c>
      <c r="QMK66" s="113" t="s">
        <v>39</v>
      </c>
      <c r="QML66" s="169"/>
      <c r="QMM66" s="119" t="s">
        <v>92</v>
      </c>
      <c r="QMN66" s="167"/>
      <c r="QMO66" s="168"/>
      <c r="QMP66" s="113" t="s">
        <v>22</v>
      </c>
      <c r="QMQ66" s="114">
        <v>8150</v>
      </c>
      <c r="QMR66" s="122">
        <v>85</v>
      </c>
      <c r="QMS66" s="123">
        <v>215</v>
      </c>
      <c r="QMT66" s="123">
        <v>75</v>
      </c>
      <c r="QMU66" s="122">
        <v>150</v>
      </c>
      <c r="QMV66" s="124">
        <f>SUM(QMQ66:QMU66)</f>
        <v>8675</v>
      </c>
      <c r="QMW66" s="122">
        <v>200</v>
      </c>
      <c r="QMX66" s="124">
        <f>SUM(QMV66:QMW66)</f>
        <v>8875</v>
      </c>
      <c r="QMY66" s="117" t="s">
        <v>99</v>
      </c>
      <c r="QMZ66" s="118">
        <v>45845</v>
      </c>
      <c r="QNA66" s="113" t="s">
        <v>39</v>
      </c>
      <c r="QNB66" s="169"/>
      <c r="QNC66" s="119" t="s">
        <v>92</v>
      </c>
      <c r="QND66" s="167"/>
      <c r="QNE66" s="168"/>
      <c r="QNF66" s="113" t="s">
        <v>22</v>
      </c>
      <c r="QNG66" s="114">
        <v>8150</v>
      </c>
      <c r="QNH66" s="122">
        <v>85</v>
      </c>
      <c r="QNI66" s="123">
        <v>215</v>
      </c>
      <c r="QNJ66" s="123">
        <v>75</v>
      </c>
      <c r="QNK66" s="122">
        <v>150</v>
      </c>
      <c r="QNL66" s="124">
        <f>SUM(QNG66:QNK66)</f>
        <v>8675</v>
      </c>
      <c r="QNM66" s="122">
        <v>200</v>
      </c>
      <c r="QNN66" s="124">
        <f>SUM(QNL66:QNM66)</f>
        <v>8875</v>
      </c>
      <c r="QNO66" s="117" t="s">
        <v>99</v>
      </c>
      <c r="QNP66" s="118">
        <v>45845</v>
      </c>
      <c r="QNQ66" s="113" t="s">
        <v>39</v>
      </c>
      <c r="QNR66" s="169"/>
      <c r="QNS66" s="119" t="s">
        <v>92</v>
      </c>
      <c r="QNT66" s="167"/>
      <c r="QNU66" s="168"/>
      <c r="QNV66" s="113" t="s">
        <v>22</v>
      </c>
      <c r="QNW66" s="114">
        <v>8150</v>
      </c>
      <c r="QNX66" s="122">
        <v>85</v>
      </c>
      <c r="QNY66" s="123">
        <v>215</v>
      </c>
      <c r="QNZ66" s="123">
        <v>75</v>
      </c>
      <c r="QOA66" s="122">
        <v>150</v>
      </c>
      <c r="QOB66" s="124">
        <f>SUM(QNW66:QOA66)</f>
        <v>8675</v>
      </c>
      <c r="QOC66" s="122">
        <v>200</v>
      </c>
      <c r="QOD66" s="124">
        <f>SUM(QOB66:QOC66)</f>
        <v>8875</v>
      </c>
      <c r="QOE66" s="117" t="s">
        <v>99</v>
      </c>
      <c r="QOF66" s="118">
        <v>45845</v>
      </c>
      <c r="QOG66" s="113" t="s">
        <v>39</v>
      </c>
      <c r="QOH66" s="169"/>
      <c r="QOI66" s="119" t="s">
        <v>92</v>
      </c>
      <c r="QOJ66" s="167"/>
      <c r="QOK66" s="168"/>
      <c r="QOL66" s="113" t="s">
        <v>22</v>
      </c>
      <c r="QOM66" s="114">
        <v>8150</v>
      </c>
      <c r="QON66" s="122">
        <v>85</v>
      </c>
      <c r="QOO66" s="123">
        <v>215</v>
      </c>
      <c r="QOP66" s="123">
        <v>75</v>
      </c>
      <c r="QOQ66" s="122">
        <v>150</v>
      </c>
      <c r="QOR66" s="124">
        <f>SUM(QOM66:QOQ66)</f>
        <v>8675</v>
      </c>
      <c r="QOS66" s="122">
        <v>200</v>
      </c>
      <c r="QOT66" s="124">
        <f>SUM(QOR66:QOS66)</f>
        <v>8875</v>
      </c>
      <c r="QOU66" s="117" t="s">
        <v>99</v>
      </c>
      <c r="QOV66" s="118">
        <v>45845</v>
      </c>
      <c r="QOW66" s="113" t="s">
        <v>39</v>
      </c>
      <c r="QOX66" s="169"/>
      <c r="QOY66" s="119" t="s">
        <v>92</v>
      </c>
      <c r="QOZ66" s="167"/>
      <c r="QPA66" s="168"/>
      <c r="QPB66" s="113" t="s">
        <v>22</v>
      </c>
      <c r="QPC66" s="114">
        <v>8150</v>
      </c>
      <c r="QPD66" s="122">
        <v>85</v>
      </c>
      <c r="QPE66" s="123">
        <v>215</v>
      </c>
      <c r="QPF66" s="123">
        <v>75</v>
      </c>
      <c r="QPG66" s="122">
        <v>150</v>
      </c>
      <c r="QPH66" s="124">
        <f>SUM(QPC66:QPG66)</f>
        <v>8675</v>
      </c>
      <c r="QPI66" s="122">
        <v>200</v>
      </c>
      <c r="QPJ66" s="124">
        <f>SUM(QPH66:QPI66)</f>
        <v>8875</v>
      </c>
      <c r="QPK66" s="117" t="s">
        <v>99</v>
      </c>
      <c r="QPL66" s="118">
        <v>45845</v>
      </c>
      <c r="QPM66" s="113" t="s">
        <v>39</v>
      </c>
      <c r="QPN66" s="169"/>
      <c r="QPO66" s="119" t="s">
        <v>92</v>
      </c>
      <c r="QPP66" s="167"/>
      <c r="QPQ66" s="168"/>
      <c r="QPR66" s="113" t="s">
        <v>22</v>
      </c>
      <c r="QPS66" s="114">
        <v>8150</v>
      </c>
      <c r="QPT66" s="122">
        <v>85</v>
      </c>
      <c r="QPU66" s="123">
        <v>215</v>
      </c>
      <c r="QPV66" s="123">
        <v>75</v>
      </c>
      <c r="QPW66" s="122">
        <v>150</v>
      </c>
      <c r="QPX66" s="124">
        <f>SUM(QPS66:QPW66)</f>
        <v>8675</v>
      </c>
      <c r="QPY66" s="122">
        <v>200</v>
      </c>
      <c r="QPZ66" s="124">
        <f>SUM(QPX66:QPY66)</f>
        <v>8875</v>
      </c>
      <c r="QQA66" s="117" t="s">
        <v>99</v>
      </c>
      <c r="QQB66" s="118">
        <v>45845</v>
      </c>
      <c r="QQC66" s="113" t="s">
        <v>39</v>
      </c>
      <c r="QQD66" s="169"/>
      <c r="QQE66" s="119" t="s">
        <v>92</v>
      </c>
      <c r="QQF66" s="167"/>
      <c r="QQG66" s="168"/>
      <c r="QQH66" s="113" t="s">
        <v>22</v>
      </c>
      <c r="QQI66" s="114">
        <v>8150</v>
      </c>
      <c r="QQJ66" s="122">
        <v>85</v>
      </c>
      <c r="QQK66" s="123">
        <v>215</v>
      </c>
      <c r="QQL66" s="123">
        <v>75</v>
      </c>
      <c r="QQM66" s="122">
        <v>150</v>
      </c>
      <c r="QQN66" s="124">
        <f>SUM(QQI66:QQM66)</f>
        <v>8675</v>
      </c>
      <c r="QQO66" s="122">
        <v>200</v>
      </c>
      <c r="QQP66" s="124">
        <f>SUM(QQN66:QQO66)</f>
        <v>8875</v>
      </c>
      <c r="QQQ66" s="117" t="s">
        <v>99</v>
      </c>
      <c r="QQR66" s="118">
        <v>45845</v>
      </c>
      <c r="QQS66" s="113" t="s">
        <v>39</v>
      </c>
      <c r="QQT66" s="169"/>
      <c r="QQU66" s="119" t="s">
        <v>92</v>
      </c>
      <c r="QQV66" s="167"/>
      <c r="QQW66" s="168"/>
      <c r="QQX66" s="113" t="s">
        <v>22</v>
      </c>
      <c r="QQY66" s="114">
        <v>8150</v>
      </c>
      <c r="QQZ66" s="122">
        <v>85</v>
      </c>
      <c r="QRA66" s="123">
        <v>215</v>
      </c>
      <c r="QRB66" s="123">
        <v>75</v>
      </c>
      <c r="QRC66" s="122">
        <v>150</v>
      </c>
      <c r="QRD66" s="124">
        <f>SUM(QQY66:QRC66)</f>
        <v>8675</v>
      </c>
      <c r="QRE66" s="122">
        <v>200</v>
      </c>
      <c r="QRF66" s="124">
        <f>SUM(QRD66:QRE66)</f>
        <v>8875</v>
      </c>
      <c r="QRG66" s="117" t="s">
        <v>99</v>
      </c>
      <c r="QRH66" s="118">
        <v>45845</v>
      </c>
      <c r="QRI66" s="113" t="s">
        <v>39</v>
      </c>
      <c r="QRJ66" s="169"/>
      <c r="QRK66" s="119" t="s">
        <v>92</v>
      </c>
      <c r="QRL66" s="167"/>
      <c r="QRM66" s="168"/>
      <c r="QRN66" s="113" t="s">
        <v>22</v>
      </c>
      <c r="QRO66" s="114">
        <v>8150</v>
      </c>
      <c r="QRP66" s="122">
        <v>85</v>
      </c>
      <c r="QRQ66" s="123">
        <v>215</v>
      </c>
      <c r="QRR66" s="123">
        <v>75</v>
      </c>
      <c r="QRS66" s="122">
        <v>150</v>
      </c>
      <c r="QRT66" s="124">
        <f>SUM(QRO66:QRS66)</f>
        <v>8675</v>
      </c>
      <c r="QRU66" s="122">
        <v>200</v>
      </c>
      <c r="QRV66" s="124">
        <f>SUM(QRT66:QRU66)</f>
        <v>8875</v>
      </c>
      <c r="QRW66" s="117" t="s">
        <v>99</v>
      </c>
      <c r="QRX66" s="118">
        <v>45845</v>
      </c>
      <c r="QRY66" s="113" t="s">
        <v>39</v>
      </c>
      <c r="QRZ66" s="169"/>
      <c r="QSA66" s="119" t="s">
        <v>92</v>
      </c>
      <c r="QSB66" s="167"/>
      <c r="QSC66" s="168"/>
      <c r="QSD66" s="113" t="s">
        <v>22</v>
      </c>
      <c r="QSE66" s="114">
        <v>8150</v>
      </c>
      <c r="QSF66" s="122">
        <v>85</v>
      </c>
      <c r="QSG66" s="123">
        <v>215</v>
      </c>
      <c r="QSH66" s="123">
        <v>75</v>
      </c>
      <c r="QSI66" s="122">
        <v>150</v>
      </c>
      <c r="QSJ66" s="124">
        <f>SUM(QSE66:QSI66)</f>
        <v>8675</v>
      </c>
      <c r="QSK66" s="122">
        <v>200</v>
      </c>
      <c r="QSL66" s="124">
        <f>SUM(QSJ66:QSK66)</f>
        <v>8875</v>
      </c>
      <c r="QSM66" s="117" t="s">
        <v>99</v>
      </c>
      <c r="QSN66" s="118">
        <v>45845</v>
      </c>
      <c r="QSO66" s="113" t="s">
        <v>39</v>
      </c>
      <c r="QSP66" s="169"/>
      <c r="QSQ66" s="119" t="s">
        <v>92</v>
      </c>
      <c r="QSR66" s="167"/>
      <c r="QSS66" s="168"/>
      <c r="QST66" s="113" t="s">
        <v>22</v>
      </c>
      <c r="QSU66" s="114">
        <v>8150</v>
      </c>
      <c r="QSV66" s="122">
        <v>85</v>
      </c>
      <c r="QSW66" s="123">
        <v>215</v>
      </c>
      <c r="QSX66" s="123">
        <v>75</v>
      </c>
      <c r="QSY66" s="122">
        <v>150</v>
      </c>
      <c r="QSZ66" s="124">
        <f>SUM(QSU66:QSY66)</f>
        <v>8675</v>
      </c>
      <c r="QTA66" s="122">
        <v>200</v>
      </c>
      <c r="QTB66" s="124">
        <f>SUM(QSZ66:QTA66)</f>
        <v>8875</v>
      </c>
      <c r="QTC66" s="117" t="s">
        <v>99</v>
      </c>
      <c r="QTD66" s="118">
        <v>45845</v>
      </c>
      <c r="QTE66" s="113" t="s">
        <v>39</v>
      </c>
      <c r="QTF66" s="169"/>
      <c r="QTG66" s="119" t="s">
        <v>92</v>
      </c>
      <c r="QTH66" s="167"/>
      <c r="QTI66" s="168"/>
      <c r="QTJ66" s="113" t="s">
        <v>22</v>
      </c>
      <c r="QTK66" s="114">
        <v>8150</v>
      </c>
      <c r="QTL66" s="122">
        <v>85</v>
      </c>
      <c r="QTM66" s="123">
        <v>215</v>
      </c>
      <c r="QTN66" s="123">
        <v>75</v>
      </c>
      <c r="QTO66" s="122">
        <v>150</v>
      </c>
      <c r="QTP66" s="124">
        <f>SUM(QTK66:QTO66)</f>
        <v>8675</v>
      </c>
      <c r="QTQ66" s="122">
        <v>200</v>
      </c>
      <c r="QTR66" s="124">
        <f>SUM(QTP66:QTQ66)</f>
        <v>8875</v>
      </c>
      <c r="QTS66" s="117" t="s">
        <v>99</v>
      </c>
      <c r="QTT66" s="118">
        <v>45845</v>
      </c>
      <c r="QTU66" s="113" t="s">
        <v>39</v>
      </c>
      <c r="QTV66" s="169"/>
      <c r="QTW66" s="119" t="s">
        <v>92</v>
      </c>
      <c r="QTX66" s="167"/>
      <c r="QTY66" s="168"/>
      <c r="QTZ66" s="113" t="s">
        <v>22</v>
      </c>
      <c r="QUA66" s="114">
        <v>8150</v>
      </c>
      <c r="QUB66" s="122">
        <v>85</v>
      </c>
      <c r="QUC66" s="123">
        <v>215</v>
      </c>
      <c r="QUD66" s="123">
        <v>75</v>
      </c>
      <c r="QUE66" s="122">
        <v>150</v>
      </c>
      <c r="QUF66" s="124">
        <f>SUM(QUA66:QUE66)</f>
        <v>8675</v>
      </c>
      <c r="QUG66" s="122">
        <v>200</v>
      </c>
      <c r="QUH66" s="124">
        <f>SUM(QUF66:QUG66)</f>
        <v>8875</v>
      </c>
      <c r="QUI66" s="117" t="s">
        <v>99</v>
      </c>
      <c r="QUJ66" s="118">
        <v>45845</v>
      </c>
      <c r="QUK66" s="113" t="s">
        <v>39</v>
      </c>
      <c r="QUL66" s="169"/>
      <c r="QUM66" s="119" t="s">
        <v>92</v>
      </c>
      <c r="QUN66" s="167"/>
      <c r="QUO66" s="168"/>
      <c r="QUP66" s="113" t="s">
        <v>22</v>
      </c>
      <c r="QUQ66" s="114">
        <v>8150</v>
      </c>
      <c r="QUR66" s="122">
        <v>85</v>
      </c>
      <c r="QUS66" s="123">
        <v>215</v>
      </c>
      <c r="QUT66" s="123">
        <v>75</v>
      </c>
      <c r="QUU66" s="122">
        <v>150</v>
      </c>
      <c r="QUV66" s="124">
        <f>SUM(QUQ66:QUU66)</f>
        <v>8675</v>
      </c>
      <c r="QUW66" s="122">
        <v>200</v>
      </c>
      <c r="QUX66" s="124">
        <f>SUM(QUV66:QUW66)</f>
        <v>8875</v>
      </c>
      <c r="QUY66" s="117" t="s">
        <v>99</v>
      </c>
      <c r="QUZ66" s="118">
        <v>45845</v>
      </c>
      <c r="QVA66" s="113" t="s">
        <v>39</v>
      </c>
      <c r="QVB66" s="169"/>
      <c r="QVC66" s="119" t="s">
        <v>92</v>
      </c>
      <c r="QVD66" s="167"/>
      <c r="QVE66" s="168"/>
      <c r="QVF66" s="113" t="s">
        <v>22</v>
      </c>
      <c r="QVG66" s="114">
        <v>8150</v>
      </c>
      <c r="QVH66" s="122">
        <v>85</v>
      </c>
      <c r="QVI66" s="123">
        <v>215</v>
      </c>
      <c r="QVJ66" s="123">
        <v>75</v>
      </c>
      <c r="QVK66" s="122">
        <v>150</v>
      </c>
      <c r="QVL66" s="124">
        <f>SUM(QVG66:QVK66)</f>
        <v>8675</v>
      </c>
      <c r="QVM66" s="122">
        <v>200</v>
      </c>
      <c r="QVN66" s="124">
        <f>SUM(QVL66:QVM66)</f>
        <v>8875</v>
      </c>
      <c r="QVO66" s="117" t="s">
        <v>99</v>
      </c>
      <c r="QVP66" s="118">
        <v>45845</v>
      </c>
      <c r="QVQ66" s="113" t="s">
        <v>39</v>
      </c>
      <c r="QVR66" s="169"/>
      <c r="QVS66" s="119" t="s">
        <v>92</v>
      </c>
      <c r="QVT66" s="167"/>
      <c r="QVU66" s="168"/>
      <c r="QVV66" s="113" t="s">
        <v>22</v>
      </c>
      <c r="QVW66" s="114">
        <v>8150</v>
      </c>
      <c r="QVX66" s="122">
        <v>85</v>
      </c>
      <c r="QVY66" s="123">
        <v>215</v>
      </c>
      <c r="QVZ66" s="123">
        <v>75</v>
      </c>
      <c r="QWA66" s="122">
        <v>150</v>
      </c>
      <c r="QWB66" s="124">
        <f>SUM(QVW66:QWA66)</f>
        <v>8675</v>
      </c>
      <c r="QWC66" s="122">
        <v>200</v>
      </c>
      <c r="QWD66" s="124">
        <f>SUM(QWB66:QWC66)</f>
        <v>8875</v>
      </c>
      <c r="QWE66" s="117" t="s">
        <v>99</v>
      </c>
      <c r="QWF66" s="118">
        <v>45845</v>
      </c>
      <c r="QWG66" s="113" t="s">
        <v>39</v>
      </c>
      <c r="QWH66" s="169"/>
      <c r="QWI66" s="119" t="s">
        <v>92</v>
      </c>
      <c r="QWJ66" s="167"/>
      <c r="QWK66" s="168"/>
      <c r="QWL66" s="113" t="s">
        <v>22</v>
      </c>
      <c r="QWM66" s="114">
        <v>8150</v>
      </c>
      <c r="QWN66" s="122">
        <v>85</v>
      </c>
      <c r="QWO66" s="123">
        <v>215</v>
      </c>
      <c r="QWP66" s="123">
        <v>75</v>
      </c>
      <c r="QWQ66" s="122">
        <v>150</v>
      </c>
      <c r="QWR66" s="124">
        <f>SUM(QWM66:QWQ66)</f>
        <v>8675</v>
      </c>
      <c r="QWS66" s="122">
        <v>200</v>
      </c>
      <c r="QWT66" s="124">
        <f>SUM(QWR66:QWS66)</f>
        <v>8875</v>
      </c>
      <c r="QWU66" s="117" t="s">
        <v>99</v>
      </c>
      <c r="QWV66" s="118">
        <v>45845</v>
      </c>
      <c r="QWW66" s="113" t="s">
        <v>39</v>
      </c>
      <c r="QWX66" s="169"/>
      <c r="QWY66" s="119" t="s">
        <v>92</v>
      </c>
      <c r="QWZ66" s="167"/>
      <c r="QXA66" s="168"/>
      <c r="QXB66" s="113" t="s">
        <v>22</v>
      </c>
      <c r="QXC66" s="114">
        <v>8150</v>
      </c>
      <c r="QXD66" s="122">
        <v>85</v>
      </c>
      <c r="QXE66" s="123">
        <v>215</v>
      </c>
      <c r="QXF66" s="123">
        <v>75</v>
      </c>
      <c r="QXG66" s="122">
        <v>150</v>
      </c>
      <c r="QXH66" s="124">
        <f>SUM(QXC66:QXG66)</f>
        <v>8675</v>
      </c>
      <c r="QXI66" s="122">
        <v>200</v>
      </c>
      <c r="QXJ66" s="124">
        <f>SUM(QXH66:QXI66)</f>
        <v>8875</v>
      </c>
      <c r="QXK66" s="117" t="s">
        <v>99</v>
      </c>
      <c r="QXL66" s="118">
        <v>45845</v>
      </c>
      <c r="QXM66" s="113" t="s">
        <v>39</v>
      </c>
      <c r="QXN66" s="169"/>
      <c r="QXO66" s="119" t="s">
        <v>92</v>
      </c>
      <c r="QXP66" s="167"/>
      <c r="QXQ66" s="168"/>
      <c r="QXR66" s="113" t="s">
        <v>22</v>
      </c>
      <c r="QXS66" s="114">
        <v>8150</v>
      </c>
      <c r="QXT66" s="122">
        <v>85</v>
      </c>
      <c r="QXU66" s="123">
        <v>215</v>
      </c>
      <c r="QXV66" s="123">
        <v>75</v>
      </c>
      <c r="QXW66" s="122">
        <v>150</v>
      </c>
      <c r="QXX66" s="124">
        <f>SUM(QXS66:QXW66)</f>
        <v>8675</v>
      </c>
      <c r="QXY66" s="122">
        <v>200</v>
      </c>
      <c r="QXZ66" s="124">
        <f>SUM(QXX66:QXY66)</f>
        <v>8875</v>
      </c>
      <c r="QYA66" s="117" t="s">
        <v>99</v>
      </c>
      <c r="QYB66" s="118">
        <v>45845</v>
      </c>
      <c r="QYC66" s="113" t="s">
        <v>39</v>
      </c>
      <c r="QYD66" s="169"/>
      <c r="QYE66" s="119" t="s">
        <v>92</v>
      </c>
      <c r="QYF66" s="167"/>
      <c r="QYG66" s="168"/>
      <c r="QYH66" s="113" t="s">
        <v>22</v>
      </c>
      <c r="QYI66" s="114">
        <v>8150</v>
      </c>
      <c r="QYJ66" s="122">
        <v>85</v>
      </c>
      <c r="QYK66" s="123">
        <v>215</v>
      </c>
      <c r="QYL66" s="123">
        <v>75</v>
      </c>
      <c r="QYM66" s="122">
        <v>150</v>
      </c>
      <c r="QYN66" s="124">
        <f>SUM(QYI66:QYM66)</f>
        <v>8675</v>
      </c>
      <c r="QYO66" s="122">
        <v>200</v>
      </c>
      <c r="QYP66" s="124">
        <f>SUM(QYN66:QYO66)</f>
        <v>8875</v>
      </c>
      <c r="QYQ66" s="117" t="s">
        <v>99</v>
      </c>
      <c r="QYR66" s="118">
        <v>45845</v>
      </c>
      <c r="QYS66" s="113" t="s">
        <v>39</v>
      </c>
      <c r="QYT66" s="169"/>
      <c r="QYU66" s="119" t="s">
        <v>92</v>
      </c>
      <c r="QYV66" s="167"/>
      <c r="QYW66" s="168"/>
      <c r="QYX66" s="113" t="s">
        <v>22</v>
      </c>
      <c r="QYY66" s="114">
        <v>8150</v>
      </c>
      <c r="QYZ66" s="122">
        <v>85</v>
      </c>
      <c r="QZA66" s="123">
        <v>215</v>
      </c>
      <c r="QZB66" s="123">
        <v>75</v>
      </c>
      <c r="QZC66" s="122">
        <v>150</v>
      </c>
      <c r="QZD66" s="124">
        <f>SUM(QYY66:QZC66)</f>
        <v>8675</v>
      </c>
      <c r="QZE66" s="122">
        <v>200</v>
      </c>
      <c r="QZF66" s="124">
        <f>SUM(QZD66:QZE66)</f>
        <v>8875</v>
      </c>
      <c r="QZG66" s="117" t="s">
        <v>99</v>
      </c>
      <c r="QZH66" s="118">
        <v>45845</v>
      </c>
      <c r="QZI66" s="113" t="s">
        <v>39</v>
      </c>
      <c r="QZJ66" s="169"/>
      <c r="QZK66" s="119" t="s">
        <v>92</v>
      </c>
      <c r="QZL66" s="167"/>
      <c r="QZM66" s="168"/>
      <c r="QZN66" s="113" t="s">
        <v>22</v>
      </c>
      <c r="QZO66" s="114">
        <v>8150</v>
      </c>
      <c r="QZP66" s="122">
        <v>85</v>
      </c>
      <c r="QZQ66" s="123">
        <v>215</v>
      </c>
      <c r="QZR66" s="123">
        <v>75</v>
      </c>
      <c r="QZS66" s="122">
        <v>150</v>
      </c>
      <c r="QZT66" s="124">
        <f>SUM(QZO66:QZS66)</f>
        <v>8675</v>
      </c>
      <c r="QZU66" s="122">
        <v>200</v>
      </c>
      <c r="QZV66" s="124">
        <f>SUM(QZT66:QZU66)</f>
        <v>8875</v>
      </c>
      <c r="QZW66" s="117" t="s">
        <v>99</v>
      </c>
      <c r="QZX66" s="118">
        <v>45845</v>
      </c>
      <c r="QZY66" s="113" t="s">
        <v>39</v>
      </c>
      <c r="QZZ66" s="169"/>
      <c r="RAA66" s="119" t="s">
        <v>92</v>
      </c>
      <c r="RAB66" s="167"/>
      <c r="RAC66" s="168"/>
      <c r="RAD66" s="113" t="s">
        <v>22</v>
      </c>
      <c r="RWW66" s="168"/>
      <c r="RWX66" s="113" t="s">
        <v>22</v>
      </c>
      <c r="RWY66" s="114">
        <v>8150</v>
      </c>
      <c r="RWZ66" s="122">
        <v>85</v>
      </c>
      <c r="RXA66" s="123">
        <v>215</v>
      </c>
      <c r="RXB66" s="123">
        <v>75</v>
      </c>
      <c r="RXC66" s="122">
        <v>150</v>
      </c>
      <c r="RXD66" s="124">
        <f>SUM(RWY66:RXC66)</f>
        <v>8675</v>
      </c>
      <c r="RXE66" s="122">
        <v>200</v>
      </c>
      <c r="RXF66" s="124">
        <f>SUM(RXD66:RXE66)</f>
        <v>8875</v>
      </c>
      <c r="RXG66" s="117" t="s">
        <v>99</v>
      </c>
      <c r="RXH66" s="118">
        <v>45845</v>
      </c>
      <c r="RXI66" s="113" t="s">
        <v>39</v>
      </c>
      <c r="RXJ66" s="169"/>
      <c r="RXK66" s="119" t="s">
        <v>92</v>
      </c>
      <c r="RXL66" s="167"/>
      <c r="RXM66" s="168"/>
      <c r="RXN66" s="113" t="s">
        <v>22</v>
      </c>
      <c r="RXO66" s="114">
        <v>8150</v>
      </c>
      <c r="RXP66" s="122">
        <v>85</v>
      </c>
      <c r="RXQ66" s="123">
        <v>215</v>
      </c>
      <c r="RXR66" s="123">
        <v>75</v>
      </c>
      <c r="RXS66" s="122">
        <v>150</v>
      </c>
      <c r="RXT66" s="124">
        <f>SUM(RXO66:RXS66)</f>
        <v>8675</v>
      </c>
      <c r="RXU66" s="122">
        <v>200</v>
      </c>
      <c r="RXV66" s="124">
        <f>SUM(RXT66:RXU66)</f>
        <v>8875</v>
      </c>
      <c r="RXW66" s="117" t="s">
        <v>99</v>
      </c>
      <c r="RXX66" s="118">
        <v>45845</v>
      </c>
      <c r="RXY66" s="113" t="s">
        <v>39</v>
      </c>
      <c r="RXZ66" s="169"/>
      <c r="RYA66" s="119" t="s">
        <v>92</v>
      </c>
      <c r="RYB66" s="167"/>
      <c r="RYC66" s="168"/>
      <c r="RYD66" s="113" t="s">
        <v>22</v>
      </c>
      <c r="RYE66" s="114">
        <v>8150</v>
      </c>
      <c r="RYF66" s="122">
        <v>85</v>
      </c>
      <c r="RYG66" s="123">
        <v>215</v>
      </c>
      <c r="RYH66" s="123">
        <v>75</v>
      </c>
      <c r="RYI66" s="122">
        <v>150</v>
      </c>
      <c r="RYJ66" s="124">
        <f>SUM(RYE66:RYI66)</f>
        <v>8675</v>
      </c>
      <c r="RYK66" s="122">
        <v>200</v>
      </c>
      <c r="RYL66" s="124">
        <f>SUM(RYJ66:RYK66)</f>
        <v>8875</v>
      </c>
      <c r="RYM66" s="117" t="s">
        <v>99</v>
      </c>
      <c r="RYN66" s="118">
        <v>45845</v>
      </c>
      <c r="RYO66" s="113" t="s">
        <v>39</v>
      </c>
      <c r="RYP66" s="169"/>
      <c r="RYQ66" s="119" t="s">
        <v>92</v>
      </c>
      <c r="RYR66" s="167"/>
      <c r="RYS66" s="168"/>
      <c r="RYT66" s="113" t="s">
        <v>22</v>
      </c>
      <c r="RYU66" s="114">
        <v>8150</v>
      </c>
      <c r="RYV66" s="122">
        <v>85</v>
      </c>
      <c r="RYW66" s="123">
        <v>215</v>
      </c>
      <c r="RYX66" s="123">
        <v>75</v>
      </c>
      <c r="RYY66" s="122">
        <v>150</v>
      </c>
      <c r="RYZ66" s="124">
        <f>SUM(RYU66:RYY66)</f>
        <v>8675</v>
      </c>
      <c r="RZA66" s="122">
        <v>200</v>
      </c>
      <c r="RZB66" s="124">
        <f>SUM(RYZ66:RZA66)</f>
        <v>8875</v>
      </c>
      <c r="RZC66" s="117" t="s">
        <v>99</v>
      </c>
      <c r="RZD66" s="118">
        <v>45845</v>
      </c>
      <c r="RZE66" s="113" t="s">
        <v>39</v>
      </c>
      <c r="RZF66" s="169"/>
      <c r="RZG66" s="119" t="s">
        <v>92</v>
      </c>
      <c r="RZH66" s="167"/>
      <c r="RZI66" s="168"/>
      <c r="RZJ66" s="113" t="s">
        <v>22</v>
      </c>
      <c r="RZK66" s="114">
        <v>8150</v>
      </c>
      <c r="RZL66" s="122">
        <v>85</v>
      </c>
      <c r="RZM66" s="123">
        <v>215</v>
      </c>
      <c r="RZN66" s="123">
        <v>75</v>
      </c>
      <c r="RZO66" s="122">
        <v>150</v>
      </c>
      <c r="RZP66" s="124">
        <f>SUM(RZK66:RZO66)</f>
        <v>8675</v>
      </c>
      <c r="RZQ66" s="122">
        <v>200</v>
      </c>
      <c r="RZR66" s="124">
        <f>SUM(RZP66:RZQ66)</f>
        <v>8875</v>
      </c>
      <c r="RZS66" s="117" t="s">
        <v>99</v>
      </c>
      <c r="RZT66" s="118">
        <v>45845</v>
      </c>
      <c r="RZU66" s="113" t="s">
        <v>39</v>
      </c>
      <c r="RZV66" s="169"/>
      <c r="RZW66" s="119" t="s">
        <v>92</v>
      </c>
      <c r="RZX66" s="167"/>
      <c r="RZY66" s="168"/>
      <c r="RZZ66" s="113" t="s">
        <v>22</v>
      </c>
      <c r="SAA66" s="114">
        <v>8150</v>
      </c>
      <c r="SAB66" s="122">
        <v>85</v>
      </c>
      <c r="SAC66" s="123">
        <v>215</v>
      </c>
      <c r="SAD66" s="123">
        <v>75</v>
      </c>
      <c r="SAE66" s="122">
        <v>150</v>
      </c>
      <c r="SAF66" s="124">
        <f>SUM(SAA66:SAE66)</f>
        <v>8675</v>
      </c>
      <c r="SAG66" s="122">
        <v>200</v>
      </c>
      <c r="SAH66" s="124">
        <f>SUM(SAF66:SAG66)</f>
        <v>8875</v>
      </c>
      <c r="SAI66" s="117" t="s">
        <v>99</v>
      </c>
      <c r="SAJ66" s="118">
        <v>45845</v>
      </c>
      <c r="SAK66" s="113" t="s">
        <v>39</v>
      </c>
      <c r="SAL66" s="169"/>
      <c r="SAM66" s="119" t="s">
        <v>92</v>
      </c>
      <c r="SAN66" s="167"/>
      <c r="SAO66" s="168"/>
      <c r="SAP66" s="113" t="s">
        <v>22</v>
      </c>
      <c r="SAQ66" s="114">
        <v>8150</v>
      </c>
      <c r="SAR66" s="122">
        <v>85</v>
      </c>
      <c r="SAS66" s="123">
        <v>215</v>
      </c>
      <c r="SAT66" s="123">
        <v>75</v>
      </c>
      <c r="SAU66" s="122">
        <v>150</v>
      </c>
      <c r="SAV66" s="124">
        <f>SUM(SAQ66:SAU66)</f>
        <v>8675</v>
      </c>
      <c r="SAW66" s="122">
        <v>200</v>
      </c>
      <c r="SAX66" s="124">
        <f>SUM(SAV66:SAW66)</f>
        <v>8875</v>
      </c>
      <c r="SAY66" s="117" t="s">
        <v>99</v>
      </c>
      <c r="SAZ66" s="118">
        <v>45845</v>
      </c>
      <c r="SBA66" s="113" t="s">
        <v>39</v>
      </c>
      <c r="SBB66" s="169"/>
      <c r="SBC66" s="119" t="s">
        <v>92</v>
      </c>
      <c r="SBD66" s="167"/>
      <c r="SBE66" s="168"/>
      <c r="SBF66" s="113" t="s">
        <v>22</v>
      </c>
      <c r="SBG66" s="114">
        <v>8150</v>
      </c>
      <c r="SBH66" s="122">
        <v>85</v>
      </c>
      <c r="SBI66" s="123">
        <v>215</v>
      </c>
      <c r="SBJ66" s="123">
        <v>75</v>
      </c>
      <c r="SBK66" s="122">
        <v>150</v>
      </c>
      <c r="SBL66" s="124">
        <f>SUM(SBG66:SBK66)</f>
        <v>8675</v>
      </c>
      <c r="SBM66" s="122">
        <v>200</v>
      </c>
      <c r="SBN66" s="124">
        <f>SUM(SBL66:SBM66)</f>
        <v>8875</v>
      </c>
      <c r="SBO66" s="117" t="s">
        <v>99</v>
      </c>
      <c r="SBP66" s="118">
        <v>45845</v>
      </c>
      <c r="SBQ66" s="113" t="s">
        <v>39</v>
      </c>
      <c r="SBR66" s="169"/>
      <c r="SBS66" s="119" t="s">
        <v>92</v>
      </c>
      <c r="SBT66" s="167"/>
      <c r="SBU66" s="168"/>
      <c r="SBV66" s="113" t="s">
        <v>22</v>
      </c>
      <c r="SBW66" s="114">
        <v>8150</v>
      </c>
      <c r="SBX66" s="122">
        <v>85</v>
      </c>
      <c r="SBY66" s="123">
        <v>215</v>
      </c>
      <c r="SBZ66" s="123">
        <v>75</v>
      </c>
      <c r="SCA66" s="122">
        <v>150</v>
      </c>
      <c r="SCB66" s="124">
        <f>SUM(SBW66:SCA66)</f>
        <v>8675</v>
      </c>
      <c r="SCC66" s="122">
        <v>200</v>
      </c>
      <c r="SCD66" s="124">
        <f>SUM(SCB66:SCC66)</f>
        <v>8875</v>
      </c>
      <c r="SCE66" s="117" t="s">
        <v>99</v>
      </c>
      <c r="SCF66" s="118">
        <v>45845</v>
      </c>
      <c r="SCG66" s="113" t="s">
        <v>39</v>
      </c>
      <c r="SCH66" s="169"/>
      <c r="SCI66" s="119" t="s">
        <v>92</v>
      </c>
      <c r="SCJ66" s="167"/>
      <c r="SCK66" s="168"/>
      <c r="SCL66" s="113" t="s">
        <v>22</v>
      </c>
      <c r="SCM66" s="114">
        <v>8150</v>
      </c>
      <c r="SCN66" s="122">
        <v>85</v>
      </c>
      <c r="SCO66" s="123">
        <v>215</v>
      </c>
      <c r="SCP66" s="123">
        <v>75</v>
      </c>
      <c r="SCQ66" s="122">
        <v>150</v>
      </c>
      <c r="SCR66" s="124">
        <f>SUM(SCM66:SCQ66)</f>
        <v>8675</v>
      </c>
      <c r="SCS66" s="122">
        <v>200</v>
      </c>
      <c r="SCT66" s="124">
        <f>SUM(SCR66:SCS66)</f>
        <v>8875</v>
      </c>
      <c r="SCU66" s="117" t="s">
        <v>99</v>
      </c>
      <c r="SCV66" s="118">
        <v>45845</v>
      </c>
      <c r="SCW66" s="113" t="s">
        <v>39</v>
      </c>
      <c r="SCX66" s="169"/>
      <c r="SCY66" s="119" t="s">
        <v>92</v>
      </c>
      <c r="SCZ66" s="167"/>
      <c r="SDA66" s="168"/>
      <c r="SDB66" s="113" t="s">
        <v>22</v>
      </c>
      <c r="SDC66" s="114">
        <v>8150</v>
      </c>
      <c r="SDD66" s="122">
        <v>85</v>
      </c>
      <c r="SDE66" s="123">
        <v>215</v>
      </c>
      <c r="SDF66" s="123">
        <v>75</v>
      </c>
      <c r="SDG66" s="122">
        <v>150</v>
      </c>
      <c r="SDH66" s="124">
        <f>SUM(SDC66:SDG66)</f>
        <v>8675</v>
      </c>
      <c r="SDI66" s="122">
        <v>200</v>
      </c>
      <c r="SDJ66" s="124">
        <f>SUM(SDH66:SDI66)</f>
        <v>8875</v>
      </c>
      <c r="SDK66" s="117" t="s">
        <v>99</v>
      </c>
      <c r="SDL66" s="118">
        <v>45845</v>
      </c>
      <c r="SDM66" s="113" t="s">
        <v>39</v>
      </c>
      <c r="SDN66" s="169"/>
      <c r="SDO66" s="119" t="s">
        <v>92</v>
      </c>
      <c r="SDP66" s="167"/>
      <c r="SDQ66" s="168"/>
      <c r="SDR66" s="113" t="s">
        <v>22</v>
      </c>
      <c r="SDS66" s="114">
        <v>8150</v>
      </c>
      <c r="SDT66" s="122">
        <v>85</v>
      </c>
      <c r="SDU66" s="123">
        <v>215</v>
      </c>
      <c r="SDV66" s="123">
        <v>75</v>
      </c>
      <c r="SDW66" s="122">
        <v>150</v>
      </c>
      <c r="SDX66" s="124">
        <f>SUM(SDS66:SDW66)</f>
        <v>8675</v>
      </c>
      <c r="SDY66" s="122">
        <v>200</v>
      </c>
      <c r="SDZ66" s="124">
        <f>SUM(SDX66:SDY66)</f>
        <v>8875</v>
      </c>
      <c r="SEA66" s="117" t="s">
        <v>99</v>
      </c>
      <c r="SEB66" s="118">
        <v>45845</v>
      </c>
      <c r="SEC66" s="113" t="s">
        <v>39</v>
      </c>
      <c r="SED66" s="169"/>
      <c r="SEE66" s="119" t="s">
        <v>92</v>
      </c>
      <c r="SEF66" s="167"/>
      <c r="SEG66" s="168"/>
      <c r="SEH66" s="113" t="s">
        <v>22</v>
      </c>
      <c r="SEI66" s="114">
        <v>8150</v>
      </c>
      <c r="SEJ66" s="122">
        <v>85</v>
      </c>
      <c r="SEK66" s="123">
        <v>215</v>
      </c>
      <c r="SEL66" s="123">
        <v>75</v>
      </c>
      <c r="SEM66" s="122">
        <v>150</v>
      </c>
      <c r="SEN66" s="124">
        <f>SUM(SEI66:SEM66)</f>
        <v>8675</v>
      </c>
      <c r="SEO66" s="122">
        <v>200</v>
      </c>
      <c r="SEP66" s="124">
        <f>SUM(SEN66:SEO66)</f>
        <v>8875</v>
      </c>
      <c r="SEQ66" s="117" t="s">
        <v>99</v>
      </c>
      <c r="SER66" s="118">
        <v>45845</v>
      </c>
      <c r="SES66" s="113" t="s">
        <v>39</v>
      </c>
      <c r="SET66" s="169"/>
      <c r="SEU66" s="119" t="s">
        <v>92</v>
      </c>
      <c r="SEV66" s="167"/>
      <c r="SEW66" s="168"/>
      <c r="SEX66" s="113" t="s">
        <v>22</v>
      </c>
      <c r="SEY66" s="114">
        <v>8150</v>
      </c>
      <c r="SEZ66" s="122">
        <v>85</v>
      </c>
      <c r="SFA66" s="123">
        <v>215</v>
      </c>
      <c r="SFB66" s="123">
        <v>75</v>
      </c>
      <c r="SFC66" s="122">
        <v>150</v>
      </c>
      <c r="SFD66" s="124">
        <f>SUM(SEY66:SFC66)</f>
        <v>8675</v>
      </c>
      <c r="SFE66" s="122">
        <v>200</v>
      </c>
      <c r="SFF66" s="124">
        <f>SUM(SFD66:SFE66)</f>
        <v>8875</v>
      </c>
      <c r="SFG66" s="117" t="s">
        <v>99</v>
      </c>
      <c r="SFH66" s="118">
        <v>45845</v>
      </c>
      <c r="SFI66" s="113" t="s">
        <v>39</v>
      </c>
      <c r="SFJ66" s="169"/>
      <c r="SFK66" s="119" t="s">
        <v>92</v>
      </c>
      <c r="SFL66" s="167"/>
      <c r="SFM66" s="168"/>
      <c r="SFN66" s="113" t="s">
        <v>22</v>
      </c>
      <c r="SFO66" s="114">
        <v>8150</v>
      </c>
      <c r="SFP66" s="122">
        <v>85</v>
      </c>
      <c r="SFQ66" s="123">
        <v>215</v>
      </c>
      <c r="SFR66" s="123">
        <v>75</v>
      </c>
      <c r="SFS66" s="122">
        <v>150</v>
      </c>
      <c r="SFT66" s="124">
        <f>SUM(SFO66:SFS66)</f>
        <v>8675</v>
      </c>
      <c r="SFU66" s="122">
        <v>200</v>
      </c>
      <c r="SFV66" s="124">
        <f>SUM(SFT66:SFU66)</f>
        <v>8875</v>
      </c>
      <c r="SFW66" s="117" t="s">
        <v>99</v>
      </c>
      <c r="SFX66" s="118">
        <v>45845</v>
      </c>
      <c r="SFY66" s="113" t="s">
        <v>39</v>
      </c>
      <c r="SFZ66" s="169"/>
      <c r="SGA66" s="119" t="s">
        <v>92</v>
      </c>
      <c r="SGB66" s="167"/>
      <c r="SGC66" s="168"/>
      <c r="SGD66" s="113" t="s">
        <v>22</v>
      </c>
      <c r="SGE66" s="114">
        <v>8150</v>
      </c>
      <c r="SGF66" s="122">
        <v>85</v>
      </c>
      <c r="SGG66" s="123">
        <v>215</v>
      </c>
      <c r="SGH66" s="123">
        <v>75</v>
      </c>
      <c r="SGI66" s="122">
        <v>150</v>
      </c>
      <c r="SGJ66" s="124">
        <f>SUM(SGE66:SGI66)</f>
        <v>8675</v>
      </c>
      <c r="SGK66" s="122">
        <v>200</v>
      </c>
      <c r="SGL66" s="124">
        <f>SUM(SGJ66:SGK66)</f>
        <v>8875</v>
      </c>
      <c r="SGM66" s="117" t="s">
        <v>99</v>
      </c>
      <c r="SGN66" s="118">
        <v>45845</v>
      </c>
      <c r="SGO66" s="113" t="s">
        <v>39</v>
      </c>
      <c r="SGP66" s="169"/>
      <c r="SGQ66" s="119" t="s">
        <v>92</v>
      </c>
      <c r="SGR66" s="167"/>
      <c r="SGS66" s="168"/>
      <c r="SGT66" s="113" t="s">
        <v>22</v>
      </c>
      <c r="SGU66" s="114">
        <v>8150</v>
      </c>
      <c r="SGV66" s="122">
        <v>85</v>
      </c>
      <c r="SGW66" s="123">
        <v>215</v>
      </c>
      <c r="SGX66" s="123">
        <v>75</v>
      </c>
      <c r="SGY66" s="122">
        <v>150</v>
      </c>
      <c r="SGZ66" s="124">
        <f>SUM(SGU66:SGY66)</f>
        <v>8675</v>
      </c>
      <c r="SHA66" s="122">
        <v>200</v>
      </c>
      <c r="SHB66" s="124">
        <f>SUM(SGZ66:SHA66)</f>
        <v>8875</v>
      </c>
      <c r="SHC66" s="117" t="s">
        <v>99</v>
      </c>
      <c r="SHD66" s="118">
        <v>45845</v>
      </c>
      <c r="SHE66" s="113" t="s">
        <v>39</v>
      </c>
      <c r="SHF66" s="169"/>
      <c r="SHG66" s="119" t="s">
        <v>92</v>
      </c>
      <c r="SHH66" s="167"/>
      <c r="SHI66" s="168"/>
      <c r="SHJ66" s="113" t="s">
        <v>22</v>
      </c>
      <c r="SHK66" s="114">
        <v>8150</v>
      </c>
      <c r="SHL66" s="122">
        <v>85</v>
      </c>
      <c r="SHM66" s="123">
        <v>215</v>
      </c>
      <c r="SHN66" s="123">
        <v>75</v>
      </c>
      <c r="SHO66" s="122">
        <v>150</v>
      </c>
      <c r="SHP66" s="124">
        <f>SUM(SHK66:SHO66)</f>
        <v>8675</v>
      </c>
      <c r="SHQ66" s="122">
        <v>200</v>
      </c>
      <c r="SHR66" s="124">
        <f>SUM(SHP66:SHQ66)</f>
        <v>8875</v>
      </c>
      <c r="SHS66" s="117" t="s">
        <v>99</v>
      </c>
      <c r="SHT66" s="118">
        <v>45845</v>
      </c>
      <c r="SHU66" s="113" t="s">
        <v>39</v>
      </c>
      <c r="SHV66" s="169"/>
      <c r="SHW66" s="119" t="s">
        <v>92</v>
      </c>
      <c r="SHX66" s="167"/>
      <c r="SHY66" s="168"/>
      <c r="SHZ66" s="113" t="s">
        <v>22</v>
      </c>
      <c r="SIA66" s="114">
        <v>8150</v>
      </c>
      <c r="SIB66" s="122">
        <v>85</v>
      </c>
      <c r="SIC66" s="123">
        <v>215</v>
      </c>
      <c r="SID66" s="123">
        <v>75</v>
      </c>
      <c r="SIE66" s="122">
        <v>150</v>
      </c>
      <c r="SIF66" s="124">
        <f>SUM(SIA66:SIE66)</f>
        <v>8675</v>
      </c>
      <c r="SIG66" s="122">
        <v>200</v>
      </c>
      <c r="SIH66" s="124">
        <f>SUM(SIF66:SIG66)</f>
        <v>8875</v>
      </c>
      <c r="SII66" s="117" t="s">
        <v>99</v>
      </c>
      <c r="SIJ66" s="118">
        <v>45845</v>
      </c>
      <c r="SIK66" s="113" t="s">
        <v>39</v>
      </c>
      <c r="SIL66" s="169"/>
      <c r="SIM66" s="119" t="s">
        <v>92</v>
      </c>
      <c r="SIN66" s="167"/>
      <c r="SIO66" s="168"/>
      <c r="SIP66" s="113" t="s">
        <v>22</v>
      </c>
      <c r="SIQ66" s="114">
        <v>8150</v>
      </c>
      <c r="SIR66" s="122">
        <v>85</v>
      </c>
      <c r="SIS66" s="123">
        <v>215</v>
      </c>
      <c r="SIT66" s="123">
        <v>75</v>
      </c>
      <c r="SIU66" s="122">
        <v>150</v>
      </c>
      <c r="SIV66" s="124">
        <f>SUM(SIQ66:SIU66)</f>
        <v>8675</v>
      </c>
      <c r="SIW66" s="122">
        <v>200</v>
      </c>
      <c r="SIX66" s="124">
        <f>SUM(SIV66:SIW66)</f>
        <v>8875</v>
      </c>
      <c r="SIY66" s="117" t="s">
        <v>99</v>
      </c>
      <c r="SIZ66" s="118">
        <v>45845</v>
      </c>
      <c r="SJA66" s="113" t="s">
        <v>39</v>
      </c>
      <c r="SJB66" s="169"/>
      <c r="SJC66" s="119" t="s">
        <v>92</v>
      </c>
      <c r="SJD66" s="167"/>
      <c r="SJE66" s="168"/>
      <c r="SJF66" s="113" t="s">
        <v>22</v>
      </c>
      <c r="SJG66" s="114">
        <v>8150</v>
      </c>
      <c r="SJH66" s="122">
        <v>85</v>
      </c>
      <c r="SJI66" s="123">
        <v>215</v>
      </c>
      <c r="SJJ66" s="123">
        <v>75</v>
      </c>
      <c r="SJK66" s="122">
        <v>150</v>
      </c>
      <c r="SJL66" s="124">
        <f>SUM(SJG66:SJK66)</f>
        <v>8675</v>
      </c>
      <c r="SJM66" s="122">
        <v>200</v>
      </c>
      <c r="SJN66" s="124">
        <f>SUM(SJL66:SJM66)</f>
        <v>8875</v>
      </c>
      <c r="SJO66" s="117" t="s">
        <v>99</v>
      </c>
      <c r="SJP66" s="118">
        <v>45845</v>
      </c>
      <c r="SJQ66" s="113" t="s">
        <v>39</v>
      </c>
      <c r="SJR66" s="169"/>
      <c r="SJS66" s="119" t="s">
        <v>92</v>
      </c>
      <c r="SJT66" s="167"/>
      <c r="SJU66" s="168"/>
      <c r="SJV66" s="113" t="s">
        <v>22</v>
      </c>
      <c r="SJW66" s="114">
        <v>8150</v>
      </c>
      <c r="SJX66" s="122">
        <v>85</v>
      </c>
      <c r="SJY66" s="123">
        <v>215</v>
      </c>
      <c r="SJZ66" s="123">
        <v>75</v>
      </c>
      <c r="SKA66" s="122">
        <v>150</v>
      </c>
      <c r="SKB66" s="124">
        <f>SUM(SJW66:SKA66)</f>
        <v>8675</v>
      </c>
      <c r="SKC66" s="122">
        <v>200</v>
      </c>
      <c r="SKD66" s="124">
        <f>SUM(SKB66:SKC66)</f>
        <v>8875</v>
      </c>
      <c r="SKE66" s="117" t="s">
        <v>99</v>
      </c>
      <c r="SKF66" s="118">
        <v>45845</v>
      </c>
      <c r="SKG66" s="113" t="s">
        <v>39</v>
      </c>
      <c r="SKH66" s="169"/>
      <c r="SKI66" s="119" t="s">
        <v>92</v>
      </c>
      <c r="SKJ66" s="167"/>
      <c r="SKK66" s="168"/>
      <c r="SKL66" s="113" t="s">
        <v>22</v>
      </c>
      <c r="SKM66" s="114">
        <v>8150</v>
      </c>
      <c r="SKN66" s="122">
        <v>85</v>
      </c>
      <c r="SKO66" s="123">
        <v>215</v>
      </c>
      <c r="SKP66" s="123">
        <v>75</v>
      </c>
      <c r="SKQ66" s="122">
        <v>150</v>
      </c>
      <c r="SKR66" s="124">
        <f>SUM(SKM66:SKQ66)</f>
        <v>8675</v>
      </c>
      <c r="SKS66" s="122">
        <v>200</v>
      </c>
      <c r="SKT66" s="124">
        <f>SUM(SKR66:SKS66)</f>
        <v>8875</v>
      </c>
      <c r="SKU66" s="117" t="s">
        <v>99</v>
      </c>
      <c r="SKV66" s="118">
        <v>45845</v>
      </c>
      <c r="SKW66" s="113" t="s">
        <v>39</v>
      </c>
      <c r="SKX66" s="169"/>
      <c r="SKY66" s="119" t="s">
        <v>92</v>
      </c>
      <c r="SKZ66" s="167"/>
      <c r="SLA66" s="168"/>
      <c r="SLB66" s="113" t="s">
        <v>22</v>
      </c>
      <c r="SLC66" s="114">
        <v>8150</v>
      </c>
      <c r="SLD66" s="122">
        <v>85</v>
      </c>
      <c r="SLE66" s="123">
        <v>215</v>
      </c>
      <c r="SLF66" s="123">
        <v>75</v>
      </c>
      <c r="SLG66" s="122">
        <v>150</v>
      </c>
      <c r="SLH66" s="124">
        <f>SUM(SLC66:SLG66)</f>
        <v>8675</v>
      </c>
      <c r="SLI66" s="122">
        <v>200</v>
      </c>
      <c r="SLJ66" s="124">
        <f>SUM(SLH66:SLI66)</f>
        <v>8875</v>
      </c>
      <c r="SLK66" s="117" t="s">
        <v>99</v>
      </c>
      <c r="SLL66" s="118">
        <v>45845</v>
      </c>
      <c r="SLM66" s="113" t="s">
        <v>39</v>
      </c>
      <c r="SLN66" s="169"/>
      <c r="SLO66" s="119" t="s">
        <v>92</v>
      </c>
      <c r="SLP66" s="167"/>
      <c r="SLQ66" s="168"/>
      <c r="SLR66" s="113" t="s">
        <v>22</v>
      </c>
      <c r="SLS66" s="114">
        <v>8150</v>
      </c>
      <c r="SLT66" s="122">
        <v>85</v>
      </c>
      <c r="SLU66" s="123">
        <v>215</v>
      </c>
      <c r="SLV66" s="123">
        <v>75</v>
      </c>
      <c r="SLW66" s="122">
        <v>150</v>
      </c>
      <c r="SLX66" s="124">
        <f>SUM(SLS66:SLW66)</f>
        <v>8675</v>
      </c>
      <c r="SLY66" s="122">
        <v>200</v>
      </c>
      <c r="SLZ66" s="124">
        <f>SUM(SLX66:SLY66)</f>
        <v>8875</v>
      </c>
      <c r="SMA66" s="117" t="s">
        <v>99</v>
      </c>
      <c r="SMB66" s="118">
        <v>45845</v>
      </c>
      <c r="SMC66" s="113" t="s">
        <v>39</v>
      </c>
      <c r="SMD66" s="169"/>
      <c r="SME66" s="119" t="s">
        <v>92</v>
      </c>
      <c r="SMF66" s="167"/>
      <c r="SMG66" s="168"/>
      <c r="SMH66" s="113" t="s">
        <v>22</v>
      </c>
      <c r="SMI66" s="114">
        <v>8150</v>
      </c>
      <c r="SMJ66" s="122">
        <v>85</v>
      </c>
      <c r="SMK66" s="123">
        <v>215</v>
      </c>
      <c r="SML66" s="123">
        <v>75</v>
      </c>
      <c r="SMM66" s="122">
        <v>150</v>
      </c>
      <c r="SMN66" s="124">
        <f>SUM(SMI66:SMM66)</f>
        <v>8675</v>
      </c>
      <c r="SMO66" s="122">
        <v>200</v>
      </c>
      <c r="SMP66" s="124">
        <f>SUM(SMN66:SMO66)</f>
        <v>8875</v>
      </c>
      <c r="SMQ66" s="117" t="s">
        <v>99</v>
      </c>
      <c r="SMR66" s="118">
        <v>45845</v>
      </c>
      <c r="SMS66" s="113" t="s">
        <v>39</v>
      </c>
      <c r="SMT66" s="169"/>
      <c r="SMU66" s="119" t="s">
        <v>92</v>
      </c>
      <c r="SMV66" s="167"/>
      <c r="SMW66" s="168"/>
      <c r="SMX66" s="113" t="s">
        <v>22</v>
      </c>
      <c r="SMY66" s="114">
        <v>8150</v>
      </c>
      <c r="SMZ66" s="122">
        <v>85</v>
      </c>
      <c r="SNA66" s="123">
        <v>215</v>
      </c>
      <c r="SNB66" s="123">
        <v>75</v>
      </c>
      <c r="SNC66" s="122">
        <v>150</v>
      </c>
      <c r="SND66" s="124">
        <f>SUM(SMY66:SNC66)</f>
        <v>8675</v>
      </c>
      <c r="SNE66" s="122">
        <v>200</v>
      </c>
      <c r="SNF66" s="124">
        <f>SUM(SND66:SNE66)</f>
        <v>8875</v>
      </c>
      <c r="SNG66" s="117" t="s">
        <v>99</v>
      </c>
      <c r="SNH66" s="118">
        <v>45845</v>
      </c>
      <c r="SNI66" s="113" t="s">
        <v>39</v>
      </c>
      <c r="SNJ66" s="169"/>
      <c r="SNK66" s="119" t="s">
        <v>92</v>
      </c>
      <c r="SNL66" s="167"/>
      <c r="SNM66" s="168"/>
      <c r="SNN66" s="113" t="s">
        <v>22</v>
      </c>
      <c r="SNO66" s="114">
        <v>8150</v>
      </c>
      <c r="SNP66" s="122">
        <v>85</v>
      </c>
      <c r="SNQ66" s="123">
        <v>215</v>
      </c>
      <c r="SNR66" s="123">
        <v>75</v>
      </c>
      <c r="SNS66" s="122">
        <v>150</v>
      </c>
      <c r="SNT66" s="124">
        <f>SUM(SNO66:SNS66)</f>
        <v>8675</v>
      </c>
      <c r="SNU66" s="122">
        <v>200</v>
      </c>
      <c r="SNV66" s="124">
        <f>SUM(SNT66:SNU66)</f>
        <v>8875</v>
      </c>
      <c r="SNW66" s="117" t="s">
        <v>99</v>
      </c>
      <c r="SNX66" s="118">
        <v>45845</v>
      </c>
      <c r="SNY66" s="113" t="s">
        <v>39</v>
      </c>
      <c r="SNZ66" s="169"/>
      <c r="SOA66" s="119" t="s">
        <v>92</v>
      </c>
      <c r="SOB66" s="167"/>
      <c r="SOC66" s="168"/>
      <c r="SOD66" s="113" t="s">
        <v>22</v>
      </c>
      <c r="SOE66" s="114">
        <v>8150</v>
      </c>
      <c r="SOF66" s="122">
        <v>85</v>
      </c>
      <c r="SOG66" s="123">
        <v>215</v>
      </c>
      <c r="SOH66" s="123">
        <v>75</v>
      </c>
      <c r="SOI66" s="122">
        <v>150</v>
      </c>
      <c r="SOJ66" s="124">
        <f>SUM(SOE66:SOI66)</f>
        <v>8675</v>
      </c>
      <c r="SOK66" s="122">
        <v>200</v>
      </c>
      <c r="SOL66" s="124">
        <f>SUM(SOJ66:SOK66)</f>
        <v>8875</v>
      </c>
      <c r="SOM66" s="117" t="s">
        <v>99</v>
      </c>
      <c r="SON66" s="118">
        <v>45845</v>
      </c>
      <c r="SOO66" s="113" t="s">
        <v>39</v>
      </c>
      <c r="SOP66" s="169"/>
      <c r="SOQ66" s="119" t="s">
        <v>92</v>
      </c>
      <c r="SOR66" s="167"/>
      <c r="SOS66" s="168"/>
      <c r="SOT66" s="113" t="s">
        <v>22</v>
      </c>
      <c r="SOU66" s="114">
        <v>8150</v>
      </c>
      <c r="SOV66" s="122">
        <v>85</v>
      </c>
      <c r="SOW66" s="123">
        <v>215</v>
      </c>
      <c r="SOX66" s="123">
        <v>75</v>
      </c>
      <c r="SOY66" s="122">
        <v>150</v>
      </c>
      <c r="SOZ66" s="124">
        <f>SUM(SOU66:SOY66)</f>
        <v>8675</v>
      </c>
      <c r="SPA66" s="122">
        <v>200</v>
      </c>
      <c r="SPB66" s="124">
        <f>SUM(SOZ66:SPA66)</f>
        <v>8875</v>
      </c>
      <c r="SPC66" s="117" t="s">
        <v>99</v>
      </c>
      <c r="SPD66" s="118">
        <v>45845</v>
      </c>
      <c r="SPE66" s="113" t="s">
        <v>39</v>
      </c>
      <c r="SPF66" s="169"/>
      <c r="SPG66" s="119" t="s">
        <v>92</v>
      </c>
      <c r="SPH66" s="167"/>
      <c r="SPI66" s="168"/>
      <c r="SPJ66" s="113" t="s">
        <v>22</v>
      </c>
      <c r="SPK66" s="114">
        <v>8150</v>
      </c>
      <c r="SPL66" s="122">
        <v>85</v>
      </c>
      <c r="SPM66" s="123">
        <v>215</v>
      </c>
      <c r="SPN66" s="123">
        <v>75</v>
      </c>
      <c r="SPO66" s="122">
        <v>150</v>
      </c>
      <c r="SPP66" s="124">
        <f>SUM(SPK66:SPO66)</f>
        <v>8675</v>
      </c>
      <c r="SPQ66" s="122">
        <v>200</v>
      </c>
      <c r="SPR66" s="124">
        <f>SUM(SPP66:SPQ66)</f>
        <v>8875</v>
      </c>
      <c r="SPS66" s="117" t="s">
        <v>99</v>
      </c>
      <c r="SPT66" s="118">
        <v>45845</v>
      </c>
      <c r="SPU66" s="113" t="s">
        <v>39</v>
      </c>
      <c r="SPV66" s="169"/>
      <c r="SPW66" s="119" t="s">
        <v>92</v>
      </c>
      <c r="SPX66" s="167"/>
      <c r="SPY66" s="168"/>
      <c r="SPZ66" s="113" t="s">
        <v>22</v>
      </c>
      <c r="SQA66" s="114">
        <v>8150</v>
      </c>
      <c r="SQB66" s="122">
        <v>85</v>
      </c>
      <c r="SQC66" s="123">
        <v>215</v>
      </c>
      <c r="SQD66" s="123">
        <v>75</v>
      </c>
      <c r="SQE66" s="122">
        <v>150</v>
      </c>
      <c r="SQF66" s="124">
        <f>SUM(SQA66:SQE66)</f>
        <v>8675</v>
      </c>
      <c r="SQG66" s="122">
        <v>200</v>
      </c>
      <c r="SQH66" s="124">
        <f>SUM(SQF66:SQG66)</f>
        <v>8875</v>
      </c>
      <c r="SQI66" s="117" t="s">
        <v>99</v>
      </c>
      <c r="SQJ66" s="118">
        <v>45845</v>
      </c>
      <c r="SQK66" s="113" t="s">
        <v>39</v>
      </c>
      <c r="SQL66" s="169"/>
      <c r="SQM66" s="119" t="s">
        <v>92</v>
      </c>
      <c r="SQN66" s="167"/>
      <c r="SQO66" s="168"/>
      <c r="SQP66" s="113" t="s">
        <v>22</v>
      </c>
      <c r="SQQ66" s="114">
        <v>8150</v>
      </c>
      <c r="SQR66" s="122">
        <v>85</v>
      </c>
      <c r="SQS66" s="123">
        <v>215</v>
      </c>
      <c r="SQT66" s="123">
        <v>75</v>
      </c>
      <c r="SQU66" s="122">
        <v>150</v>
      </c>
      <c r="SQV66" s="124">
        <f>SUM(SQQ66:SQU66)</f>
        <v>8675</v>
      </c>
      <c r="SQW66" s="122">
        <v>200</v>
      </c>
      <c r="SQX66" s="124">
        <f>SUM(SQV66:SQW66)</f>
        <v>8875</v>
      </c>
      <c r="SQY66" s="117" t="s">
        <v>99</v>
      </c>
      <c r="SQZ66" s="118">
        <v>45845</v>
      </c>
      <c r="SRA66" s="113" t="s">
        <v>39</v>
      </c>
      <c r="SRB66" s="169"/>
      <c r="SRC66" s="119" t="s">
        <v>92</v>
      </c>
      <c r="SRD66" s="167"/>
      <c r="SRE66" s="168"/>
      <c r="SRF66" s="113" t="s">
        <v>22</v>
      </c>
      <c r="SRG66" s="114">
        <v>8150</v>
      </c>
      <c r="SRH66" s="122">
        <v>85</v>
      </c>
      <c r="SRI66" s="123">
        <v>215</v>
      </c>
      <c r="SRJ66" s="123">
        <v>75</v>
      </c>
      <c r="SRK66" s="122">
        <v>150</v>
      </c>
      <c r="SRL66" s="124">
        <f>SUM(SRG66:SRK66)</f>
        <v>8675</v>
      </c>
      <c r="SRM66" s="122">
        <v>200</v>
      </c>
      <c r="SRN66" s="124">
        <f>SUM(SRL66:SRM66)</f>
        <v>8875</v>
      </c>
      <c r="SRO66" s="117" t="s">
        <v>99</v>
      </c>
      <c r="SRP66" s="118">
        <v>45845</v>
      </c>
      <c r="SRQ66" s="113" t="s">
        <v>39</v>
      </c>
      <c r="SRR66" s="169"/>
      <c r="SRS66" s="119" t="s">
        <v>92</v>
      </c>
      <c r="SRT66" s="167"/>
      <c r="SRU66" s="168"/>
      <c r="SRV66" s="113" t="s">
        <v>22</v>
      </c>
      <c r="SRW66" s="114">
        <v>8150</v>
      </c>
      <c r="SRX66" s="122">
        <v>85</v>
      </c>
      <c r="SRY66" s="123">
        <v>215</v>
      </c>
      <c r="SRZ66" s="123">
        <v>75</v>
      </c>
      <c r="SSA66" s="122">
        <v>150</v>
      </c>
      <c r="SSB66" s="124">
        <f>SUM(SRW66:SSA66)</f>
        <v>8675</v>
      </c>
      <c r="SSC66" s="122">
        <v>200</v>
      </c>
      <c r="SSD66" s="124">
        <f>SUM(SSB66:SSC66)</f>
        <v>8875</v>
      </c>
      <c r="SSE66" s="117" t="s">
        <v>99</v>
      </c>
      <c r="SSF66" s="118">
        <v>45845</v>
      </c>
      <c r="SSG66" s="113" t="s">
        <v>39</v>
      </c>
      <c r="SSH66" s="169"/>
      <c r="SSI66" s="119" t="s">
        <v>92</v>
      </c>
      <c r="SSJ66" s="167"/>
      <c r="SSK66" s="168"/>
      <c r="SSL66" s="113" t="s">
        <v>22</v>
      </c>
      <c r="SSM66" s="114">
        <v>8150</v>
      </c>
      <c r="SSN66" s="122">
        <v>85</v>
      </c>
      <c r="SSO66" s="123">
        <v>215</v>
      </c>
      <c r="SSP66" s="123">
        <v>75</v>
      </c>
      <c r="SSQ66" s="122">
        <v>150</v>
      </c>
      <c r="SSR66" s="124">
        <f>SUM(SSM66:SSQ66)</f>
        <v>8675</v>
      </c>
      <c r="SSS66" s="122">
        <v>200</v>
      </c>
      <c r="SST66" s="124">
        <f>SUM(SSR66:SSS66)</f>
        <v>8875</v>
      </c>
      <c r="SSU66" s="117" t="s">
        <v>99</v>
      </c>
      <c r="SSV66" s="118">
        <v>45845</v>
      </c>
      <c r="SSW66" s="113" t="s">
        <v>39</v>
      </c>
      <c r="SSX66" s="169"/>
      <c r="SSY66" s="119" t="s">
        <v>92</v>
      </c>
      <c r="SSZ66" s="167"/>
      <c r="STA66" s="168"/>
      <c r="STB66" s="113" t="s">
        <v>22</v>
      </c>
      <c r="STC66" s="114">
        <v>8150</v>
      </c>
      <c r="STD66" s="122">
        <v>85</v>
      </c>
      <c r="STE66" s="123">
        <v>215</v>
      </c>
      <c r="STF66" s="123">
        <v>75</v>
      </c>
      <c r="STG66" s="122">
        <v>150</v>
      </c>
      <c r="STH66" s="124">
        <f>SUM(STC66:STG66)</f>
        <v>8675</v>
      </c>
      <c r="STI66" s="122">
        <v>200</v>
      </c>
      <c r="STJ66" s="124">
        <f>SUM(STH66:STI66)</f>
        <v>8875</v>
      </c>
      <c r="STK66" s="117" t="s">
        <v>99</v>
      </c>
      <c r="STL66" s="118">
        <v>45845</v>
      </c>
      <c r="STM66" s="113" t="s">
        <v>39</v>
      </c>
      <c r="STN66" s="169"/>
      <c r="STO66" s="119" t="s">
        <v>92</v>
      </c>
      <c r="STP66" s="167"/>
      <c r="STQ66" s="168"/>
      <c r="STR66" s="113" t="s">
        <v>22</v>
      </c>
      <c r="STS66" s="114">
        <v>8150</v>
      </c>
      <c r="STT66" s="122">
        <v>85</v>
      </c>
      <c r="STU66" s="123">
        <v>215</v>
      </c>
      <c r="STV66" s="123">
        <v>75</v>
      </c>
      <c r="STW66" s="122">
        <v>150</v>
      </c>
      <c r="STX66" s="124">
        <f>SUM(STS66:STW66)</f>
        <v>8675</v>
      </c>
      <c r="STY66" s="122">
        <v>200</v>
      </c>
      <c r="STZ66" s="124">
        <f>SUM(STX66:STY66)</f>
        <v>8875</v>
      </c>
      <c r="SUA66" s="117" t="s">
        <v>99</v>
      </c>
      <c r="SUB66" s="118">
        <v>45845</v>
      </c>
      <c r="SUC66" s="113" t="s">
        <v>39</v>
      </c>
      <c r="SUD66" s="169"/>
      <c r="SUE66" s="119" t="s">
        <v>92</v>
      </c>
      <c r="SUF66" s="167"/>
      <c r="SUG66" s="168"/>
      <c r="SUH66" s="113" t="s">
        <v>22</v>
      </c>
      <c r="SUI66" s="114">
        <v>8150</v>
      </c>
      <c r="SUJ66" s="122">
        <v>85</v>
      </c>
      <c r="SUK66" s="123">
        <v>215</v>
      </c>
      <c r="SUL66" s="123">
        <v>75</v>
      </c>
      <c r="SUM66" s="122">
        <v>150</v>
      </c>
      <c r="SUN66" s="124">
        <f>SUM(SUI66:SUM66)</f>
        <v>8675</v>
      </c>
      <c r="SUO66" s="122">
        <v>200</v>
      </c>
      <c r="SUP66" s="124">
        <f>SUM(SUN66:SUO66)</f>
        <v>8875</v>
      </c>
      <c r="SUQ66" s="117" t="s">
        <v>99</v>
      </c>
      <c r="SUR66" s="118">
        <v>45845</v>
      </c>
      <c r="SUS66" s="113" t="s">
        <v>39</v>
      </c>
      <c r="SUT66" s="169"/>
      <c r="SUU66" s="119" t="s">
        <v>92</v>
      </c>
      <c r="SUV66" s="167"/>
      <c r="SUW66" s="168"/>
      <c r="SUX66" s="113" t="s">
        <v>22</v>
      </c>
      <c r="SUY66" s="114">
        <v>8150</v>
      </c>
      <c r="SUZ66" s="122">
        <v>85</v>
      </c>
      <c r="SVA66" s="123">
        <v>215</v>
      </c>
      <c r="SVB66" s="123">
        <v>75</v>
      </c>
      <c r="SVC66" s="122">
        <v>150</v>
      </c>
      <c r="SVD66" s="124">
        <f>SUM(SUY66:SVC66)</f>
        <v>8675</v>
      </c>
      <c r="SVE66" s="122">
        <v>200</v>
      </c>
      <c r="SVF66" s="124">
        <f>SUM(SVD66:SVE66)</f>
        <v>8875</v>
      </c>
      <c r="SVG66" s="117" t="s">
        <v>99</v>
      </c>
      <c r="SVH66" s="118">
        <v>45845</v>
      </c>
      <c r="SVI66" s="113" t="s">
        <v>39</v>
      </c>
      <c r="SVJ66" s="169"/>
      <c r="SVK66" s="119" t="s">
        <v>92</v>
      </c>
      <c r="SVL66" s="167"/>
      <c r="SVM66" s="168"/>
      <c r="SVN66" s="113" t="s">
        <v>22</v>
      </c>
      <c r="SVO66" s="114">
        <v>8150</v>
      </c>
      <c r="SVP66" s="122">
        <v>85</v>
      </c>
      <c r="SVQ66" s="123">
        <v>215</v>
      </c>
      <c r="SVR66" s="123">
        <v>75</v>
      </c>
      <c r="SVS66" s="122">
        <v>150</v>
      </c>
      <c r="SVT66" s="124">
        <f>SUM(SVO66:SVS66)</f>
        <v>8675</v>
      </c>
      <c r="SVU66" s="122">
        <v>200</v>
      </c>
      <c r="SVV66" s="124">
        <f>SUM(SVT66:SVU66)</f>
        <v>8875</v>
      </c>
      <c r="SVW66" s="117" t="s">
        <v>99</v>
      </c>
      <c r="SVX66" s="118">
        <v>45845</v>
      </c>
      <c r="SVY66" s="113" t="s">
        <v>39</v>
      </c>
      <c r="SVZ66" s="169"/>
      <c r="SWA66" s="119" t="s">
        <v>92</v>
      </c>
      <c r="SWB66" s="167"/>
      <c r="SWC66" s="168"/>
      <c r="SWD66" s="113" t="s">
        <v>22</v>
      </c>
      <c r="SWE66" s="114">
        <v>8150</v>
      </c>
      <c r="SWF66" s="122">
        <v>85</v>
      </c>
      <c r="SWG66" s="123">
        <v>215</v>
      </c>
      <c r="SWH66" s="123">
        <v>75</v>
      </c>
      <c r="SWI66" s="122">
        <v>150</v>
      </c>
      <c r="SWJ66" s="124">
        <f>SUM(SWE66:SWI66)</f>
        <v>8675</v>
      </c>
      <c r="SWK66" s="122">
        <v>200</v>
      </c>
      <c r="SWL66" s="124">
        <f>SUM(SWJ66:SWK66)</f>
        <v>8875</v>
      </c>
      <c r="SWM66" s="117" t="s">
        <v>99</v>
      </c>
      <c r="SWN66" s="118">
        <v>45845</v>
      </c>
      <c r="SWO66" s="113" t="s">
        <v>39</v>
      </c>
      <c r="SWP66" s="169"/>
      <c r="SWQ66" s="119" t="s">
        <v>92</v>
      </c>
      <c r="SWR66" s="167"/>
      <c r="SWS66" s="168"/>
      <c r="SWT66" s="113" t="s">
        <v>22</v>
      </c>
      <c r="SWU66" s="114">
        <v>8150</v>
      </c>
      <c r="SWV66" s="122">
        <v>85</v>
      </c>
      <c r="SWW66" s="123">
        <v>215</v>
      </c>
      <c r="SWX66" s="123">
        <v>75</v>
      </c>
      <c r="SWY66" s="122">
        <v>150</v>
      </c>
      <c r="SWZ66" s="124">
        <f>SUM(SWU66:SWY66)</f>
        <v>8675</v>
      </c>
      <c r="SXA66" s="122">
        <v>200</v>
      </c>
      <c r="SXB66" s="124">
        <f>SUM(SWZ66:SXA66)</f>
        <v>8875</v>
      </c>
      <c r="SXC66" s="117" t="s">
        <v>99</v>
      </c>
      <c r="SXD66" s="118">
        <v>45845</v>
      </c>
      <c r="SXE66" s="113" t="s">
        <v>39</v>
      </c>
      <c r="SXF66" s="169"/>
      <c r="SXG66" s="119" t="s">
        <v>92</v>
      </c>
      <c r="SXH66" s="167"/>
      <c r="SXI66" s="168"/>
      <c r="SXJ66" s="113" t="s">
        <v>22</v>
      </c>
      <c r="SXK66" s="114">
        <v>8150</v>
      </c>
      <c r="SXL66" s="122">
        <v>85</v>
      </c>
      <c r="SXM66" s="123">
        <v>215</v>
      </c>
      <c r="SXN66" s="123">
        <v>75</v>
      </c>
      <c r="SXO66" s="122">
        <v>150</v>
      </c>
      <c r="SXP66" s="124">
        <f>SUM(SXK66:SXO66)</f>
        <v>8675</v>
      </c>
      <c r="SXQ66" s="122">
        <v>200</v>
      </c>
      <c r="SXR66" s="124">
        <f>SUM(SXP66:SXQ66)</f>
        <v>8875</v>
      </c>
      <c r="SXS66" s="117" t="s">
        <v>99</v>
      </c>
      <c r="SXT66" s="118">
        <v>45845</v>
      </c>
      <c r="SXU66" s="113" t="s">
        <v>39</v>
      </c>
      <c r="SXV66" s="169"/>
      <c r="SXW66" s="119" t="s">
        <v>92</v>
      </c>
      <c r="SXX66" s="167"/>
      <c r="SXY66" s="168"/>
      <c r="SXZ66" s="113" t="s">
        <v>22</v>
      </c>
      <c r="SYA66" s="114">
        <v>8150</v>
      </c>
      <c r="SYB66" s="122">
        <v>85</v>
      </c>
      <c r="SYC66" s="123">
        <v>215</v>
      </c>
      <c r="SYD66" s="123">
        <v>75</v>
      </c>
      <c r="SYE66" s="122">
        <v>150</v>
      </c>
      <c r="SYF66" s="124">
        <f>SUM(SYA66:SYE66)</f>
        <v>8675</v>
      </c>
      <c r="SYG66" s="122">
        <v>200</v>
      </c>
      <c r="SYH66" s="124">
        <f>SUM(SYF66:SYG66)</f>
        <v>8875</v>
      </c>
      <c r="SYI66" s="117" t="s">
        <v>99</v>
      </c>
      <c r="SYJ66" s="118">
        <v>45845</v>
      </c>
      <c r="SYK66" s="113" t="s">
        <v>39</v>
      </c>
      <c r="SYL66" s="169"/>
      <c r="SYM66" s="119" t="s">
        <v>92</v>
      </c>
      <c r="SYN66" s="167"/>
      <c r="SYO66" s="168"/>
      <c r="SYP66" s="113" t="s">
        <v>22</v>
      </c>
      <c r="SYQ66" s="114">
        <v>8150</v>
      </c>
      <c r="SYR66" s="122">
        <v>85</v>
      </c>
      <c r="SYS66" s="123">
        <v>215</v>
      </c>
      <c r="SYT66" s="123">
        <v>75</v>
      </c>
      <c r="SYU66" s="122">
        <v>150</v>
      </c>
      <c r="SYV66" s="124">
        <f>SUM(SYQ66:SYU66)</f>
        <v>8675</v>
      </c>
      <c r="SYW66" s="122">
        <v>200</v>
      </c>
      <c r="SYX66" s="124">
        <f>SUM(SYV66:SYW66)</f>
        <v>8875</v>
      </c>
      <c r="SYY66" s="117" t="s">
        <v>99</v>
      </c>
      <c r="SYZ66" s="118">
        <v>45845</v>
      </c>
      <c r="SZA66" s="113" t="s">
        <v>39</v>
      </c>
      <c r="SZB66" s="169"/>
      <c r="SZC66" s="119" t="s">
        <v>92</v>
      </c>
      <c r="SZD66" s="167"/>
      <c r="SZE66" s="168"/>
      <c r="SZF66" s="113" t="s">
        <v>22</v>
      </c>
      <c r="SZG66" s="114">
        <v>8150</v>
      </c>
      <c r="SZH66" s="122">
        <v>85</v>
      </c>
      <c r="SZI66" s="123">
        <v>215</v>
      </c>
      <c r="SZJ66" s="123">
        <v>75</v>
      </c>
      <c r="SZK66" s="122">
        <v>150</v>
      </c>
      <c r="SZL66" s="124">
        <f>SUM(SZG66:SZK66)</f>
        <v>8675</v>
      </c>
      <c r="SZM66" s="122">
        <v>200</v>
      </c>
      <c r="SZN66" s="124">
        <f>SUM(SZL66:SZM66)</f>
        <v>8875</v>
      </c>
      <c r="SZO66" s="117" t="s">
        <v>99</v>
      </c>
      <c r="SZP66" s="118">
        <v>45845</v>
      </c>
      <c r="SZQ66" s="113" t="s">
        <v>39</v>
      </c>
      <c r="SZR66" s="169"/>
      <c r="SZS66" s="119" t="s">
        <v>92</v>
      </c>
      <c r="SZT66" s="167"/>
      <c r="SZU66" s="168"/>
      <c r="SZV66" s="113" t="s">
        <v>22</v>
      </c>
      <c r="SZW66" s="114">
        <v>8150</v>
      </c>
      <c r="SZX66" s="122">
        <v>85</v>
      </c>
      <c r="SZY66" s="123">
        <v>215</v>
      </c>
      <c r="SZZ66" s="123">
        <v>75</v>
      </c>
      <c r="TAA66" s="122">
        <v>150</v>
      </c>
      <c r="TAB66" s="124">
        <f>SUM(SZW66:TAA66)</f>
        <v>8675</v>
      </c>
      <c r="TAC66" s="122">
        <v>200</v>
      </c>
      <c r="TAD66" s="124">
        <f>SUM(TAB66:TAC66)</f>
        <v>8875</v>
      </c>
      <c r="TAE66" s="117" t="s">
        <v>99</v>
      </c>
      <c r="TAF66" s="118">
        <v>45845</v>
      </c>
      <c r="TAG66" s="113" t="s">
        <v>39</v>
      </c>
      <c r="TAH66" s="169"/>
      <c r="TAI66" s="119" t="s">
        <v>92</v>
      </c>
      <c r="TAJ66" s="167"/>
      <c r="TAK66" s="168"/>
      <c r="TAL66" s="113" t="s">
        <v>22</v>
      </c>
      <c r="TAM66" s="114">
        <v>8150</v>
      </c>
      <c r="TAN66" s="122">
        <v>85</v>
      </c>
      <c r="TAO66" s="123">
        <v>215</v>
      </c>
      <c r="TAP66" s="123">
        <v>75</v>
      </c>
      <c r="TAQ66" s="122">
        <v>150</v>
      </c>
      <c r="TAR66" s="124">
        <f>SUM(TAM66:TAQ66)</f>
        <v>8675</v>
      </c>
      <c r="TAS66" s="122">
        <v>200</v>
      </c>
      <c r="TAT66" s="124">
        <f>SUM(TAR66:TAS66)</f>
        <v>8875</v>
      </c>
      <c r="TAU66" s="117" t="s">
        <v>99</v>
      </c>
      <c r="TAV66" s="118">
        <v>45845</v>
      </c>
      <c r="TAW66" s="113" t="s">
        <v>39</v>
      </c>
      <c r="TAX66" s="169"/>
      <c r="TAY66" s="119" t="s">
        <v>92</v>
      </c>
      <c r="TAZ66" s="167"/>
      <c r="TBA66" s="168"/>
      <c r="TBB66" s="113" t="s">
        <v>22</v>
      </c>
      <c r="TBC66" s="114">
        <v>8150</v>
      </c>
      <c r="TBD66" s="122">
        <v>85</v>
      </c>
      <c r="TBE66" s="123">
        <v>215</v>
      </c>
      <c r="TBF66" s="123">
        <v>75</v>
      </c>
      <c r="TBG66" s="122">
        <v>150</v>
      </c>
      <c r="TBH66" s="124">
        <f>SUM(TBC66:TBG66)</f>
        <v>8675</v>
      </c>
      <c r="TBI66" s="122">
        <v>200</v>
      </c>
      <c r="TBJ66" s="124">
        <f>SUM(TBH66:TBI66)</f>
        <v>8875</v>
      </c>
      <c r="TBK66" s="117" t="s">
        <v>99</v>
      </c>
      <c r="TBL66" s="118">
        <v>45845</v>
      </c>
      <c r="TBM66" s="113" t="s">
        <v>39</v>
      </c>
      <c r="TBN66" s="169"/>
      <c r="TBO66" s="119" t="s">
        <v>92</v>
      </c>
      <c r="TBP66" s="167"/>
      <c r="TBQ66" s="168"/>
      <c r="TBR66" s="113" t="s">
        <v>22</v>
      </c>
      <c r="TBS66" s="114">
        <v>8150</v>
      </c>
      <c r="TBT66" s="122">
        <v>85</v>
      </c>
      <c r="TBU66" s="123">
        <v>215</v>
      </c>
      <c r="TBV66" s="123">
        <v>75</v>
      </c>
      <c r="TBW66" s="122">
        <v>150</v>
      </c>
      <c r="TBX66" s="124">
        <f>SUM(TBS66:TBW66)</f>
        <v>8675</v>
      </c>
      <c r="TBY66" s="122">
        <v>200</v>
      </c>
      <c r="TBZ66" s="124">
        <f>SUM(TBX66:TBY66)</f>
        <v>8875</v>
      </c>
      <c r="TCA66" s="117" t="s">
        <v>99</v>
      </c>
      <c r="TCB66" s="118">
        <v>45845</v>
      </c>
      <c r="TCC66" s="113" t="s">
        <v>39</v>
      </c>
      <c r="TCD66" s="169"/>
      <c r="TCE66" s="119" t="s">
        <v>92</v>
      </c>
      <c r="TCF66" s="167"/>
      <c r="TCG66" s="168"/>
      <c r="TCH66" s="113" t="s">
        <v>22</v>
      </c>
      <c r="TCI66" s="114">
        <v>8150</v>
      </c>
      <c r="TCJ66" s="122">
        <v>85</v>
      </c>
      <c r="TCK66" s="123">
        <v>215</v>
      </c>
      <c r="TCL66" s="123">
        <v>75</v>
      </c>
      <c r="TCM66" s="122">
        <v>150</v>
      </c>
      <c r="TCN66" s="124">
        <f>SUM(TCI66:TCM66)</f>
        <v>8675</v>
      </c>
      <c r="TCO66" s="122">
        <v>200</v>
      </c>
      <c r="TCP66" s="124">
        <f>SUM(TCN66:TCO66)</f>
        <v>8875</v>
      </c>
      <c r="TCQ66" s="117" t="s">
        <v>99</v>
      </c>
      <c r="TCR66" s="118">
        <v>45845</v>
      </c>
      <c r="TCS66" s="113" t="s">
        <v>39</v>
      </c>
      <c r="TCT66" s="169"/>
      <c r="TCU66" s="119" t="s">
        <v>92</v>
      </c>
      <c r="TCV66" s="167"/>
      <c r="TCW66" s="168"/>
      <c r="TCX66" s="113" t="s">
        <v>22</v>
      </c>
      <c r="TCY66" s="114">
        <v>8150</v>
      </c>
      <c r="TCZ66" s="122">
        <v>85</v>
      </c>
      <c r="TDA66" s="123">
        <v>215</v>
      </c>
      <c r="TDB66" s="123">
        <v>75</v>
      </c>
      <c r="TDC66" s="122">
        <v>150</v>
      </c>
      <c r="TDD66" s="124">
        <f>SUM(TCY66:TDC66)</f>
        <v>8675</v>
      </c>
      <c r="TDE66" s="122">
        <v>200</v>
      </c>
      <c r="TDF66" s="124">
        <f>SUM(TDD66:TDE66)</f>
        <v>8875</v>
      </c>
      <c r="TDG66" s="117" t="s">
        <v>99</v>
      </c>
      <c r="TDH66" s="118">
        <v>45845</v>
      </c>
      <c r="TDI66" s="113" t="s">
        <v>39</v>
      </c>
      <c r="TDJ66" s="169"/>
      <c r="TDK66" s="119" t="s">
        <v>92</v>
      </c>
      <c r="TDL66" s="167"/>
      <c r="TDM66" s="168"/>
      <c r="TDN66" s="113" t="s">
        <v>22</v>
      </c>
      <c r="TDO66" s="114">
        <v>8150</v>
      </c>
      <c r="TDP66" s="122">
        <v>85</v>
      </c>
      <c r="TDQ66" s="123">
        <v>215</v>
      </c>
      <c r="TDR66" s="123">
        <v>75</v>
      </c>
      <c r="TDS66" s="122">
        <v>150</v>
      </c>
      <c r="TDT66" s="124">
        <f>SUM(TDO66:TDS66)</f>
        <v>8675</v>
      </c>
      <c r="TDU66" s="122">
        <v>200</v>
      </c>
      <c r="TDV66" s="124">
        <f>SUM(TDT66:TDU66)</f>
        <v>8875</v>
      </c>
      <c r="TDW66" s="117" t="s">
        <v>99</v>
      </c>
      <c r="TDX66" s="118">
        <v>45845</v>
      </c>
      <c r="TDY66" s="113" t="s">
        <v>39</v>
      </c>
      <c r="TDZ66" s="169"/>
      <c r="TEA66" s="119" t="s">
        <v>92</v>
      </c>
      <c r="TEB66" s="167"/>
      <c r="TEC66" s="168"/>
      <c r="TED66" s="113" t="s">
        <v>22</v>
      </c>
      <c r="TEE66" s="114">
        <v>8150</v>
      </c>
      <c r="TEF66" s="122">
        <v>85</v>
      </c>
      <c r="TEG66" s="123">
        <v>215</v>
      </c>
      <c r="TEH66" s="123">
        <v>75</v>
      </c>
      <c r="TEI66" s="122">
        <v>150</v>
      </c>
      <c r="TEJ66" s="124">
        <f>SUM(TEE66:TEI66)</f>
        <v>8675</v>
      </c>
      <c r="TEK66" s="122">
        <v>200</v>
      </c>
      <c r="TEL66" s="124">
        <f>SUM(TEJ66:TEK66)</f>
        <v>8875</v>
      </c>
      <c r="TEM66" s="117" t="s">
        <v>99</v>
      </c>
      <c r="TEN66" s="118">
        <v>45845</v>
      </c>
      <c r="TEO66" s="113" t="s">
        <v>39</v>
      </c>
      <c r="TEP66" s="169"/>
      <c r="TEQ66" s="119" t="s">
        <v>92</v>
      </c>
      <c r="TER66" s="167"/>
      <c r="TES66" s="168"/>
      <c r="TET66" s="113" t="s">
        <v>22</v>
      </c>
      <c r="TEU66" s="114">
        <v>8150</v>
      </c>
      <c r="TEV66" s="122">
        <v>85</v>
      </c>
      <c r="TEW66" s="123">
        <v>215</v>
      </c>
      <c r="TEX66" s="123">
        <v>75</v>
      </c>
      <c r="TEY66" s="122">
        <v>150</v>
      </c>
      <c r="TEZ66" s="124">
        <f>SUM(TEU66:TEY66)</f>
        <v>8675</v>
      </c>
      <c r="TFA66" s="122">
        <v>200</v>
      </c>
      <c r="TFB66" s="124">
        <f>SUM(TEZ66:TFA66)</f>
        <v>8875</v>
      </c>
      <c r="TFC66" s="117" t="s">
        <v>99</v>
      </c>
      <c r="TFD66" s="118">
        <v>45845</v>
      </c>
      <c r="TFE66" s="113" t="s">
        <v>39</v>
      </c>
      <c r="TFF66" s="169"/>
      <c r="TFG66" s="119" t="s">
        <v>92</v>
      </c>
      <c r="TFH66" s="167"/>
      <c r="TFI66" s="168"/>
      <c r="TFJ66" s="113" t="s">
        <v>22</v>
      </c>
      <c r="TFK66" s="114">
        <v>8150</v>
      </c>
      <c r="TFL66" s="122">
        <v>85</v>
      </c>
      <c r="TFM66" s="123">
        <v>215</v>
      </c>
      <c r="TFN66" s="123">
        <v>75</v>
      </c>
      <c r="TFO66" s="122">
        <v>150</v>
      </c>
      <c r="TFP66" s="124">
        <f>SUM(TFK66:TFO66)</f>
        <v>8675</v>
      </c>
      <c r="TFQ66" s="122">
        <v>200</v>
      </c>
      <c r="TFR66" s="124">
        <f>SUM(TFP66:TFQ66)</f>
        <v>8875</v>
      </c>
      <c r="TFS66" s="117" t="s">
        <v>99</v>
      </c>
      <c r="TFT66" s="118">
        <v>45845</v>
      </c>
      <c r="TFU66" s="113" t="s">
        <v>39</v>
      </c>
      <c r="TFV66" s="169"/>
      <c r="TFW66" s="119" t="s">
        <v>92</v>
      </c>
      <c r="TFX66" s="167"/>
      <c r="TFY66" s="168"/>
      <c r="TFZ66" s="113" t="s">
        <v>22</v>
      </c>
      <c r="TGA66" s="114">
        <v>8150</v>
      </c>
      <c r="TGB66" s="122">
        <v>85</v>
      </c>
      <c r="TGC66" s="123">
        <v>215</v>
      </c>
      <c r="TGD66" s="123">
        <v>75</v>
      </c>
      <c r="TGE66" s="122">
        <v>150</v>
      </c>
      <c r="TGF66" s="124">
        <f>SUM(TGA66:TGE66)</f>
        <v>8675</v>
      </c>
      <c r="TGG66" s="122">
        <v>200</v>
      </c>
      <c r="TGH66" s="124">
        <f>SUM(TGF66:TGG66)</f>
        <v>8875</v>
      </c>
      <c r="TGI66" s="117" t="s">
        <v>99</v>
      </c>
      <c r="TGJ66" s="118">
        <v>45845</v>
      </c>
      <c r="TGK66" s="113" t="s">
        <v>39</v>
      </c>
      <c r="TGL66" s="169"/>
      <c r="TGM66" s="119" t="s">
        <v>92</v>
      </c>
      <c r="TGN66" s="167"/>
      <c r="TGO66" s="168"/>
      <c r="TGP66" s="113" t="s">
        <v>22</v>
      </c>
      <c r="TGQ66" s="114">
        <v>8150</v>
      </c>
      <c r="TGR66" s="122">
        <v>85</v>
      </c>
      <c r="TGS66" s="123">
        <v>215</v>
      </c>
      <c r="TGT66" s="123">
        <v>75</v>
      </c>
      <c r="TGU66" s="122">
        <v>150</v>
      </c>
      <c r="TGV66" s="124">
        <f>SUM(TGQ66:TGU66)</f>
        <v>8675</v>
      </c>
      <c r="TGW66" s="122">
        <v>200</v>
      </c>
      <c r="TGX66" s="124">
        <f>SUM(TGV66:TGW66)</f>
        <v>8875</v>
      </c>
      <c r="TGY66" s="117" t="s">
        <v>99</v>
      </c>
      <c r="TGZ66" s="118">
        <v>45845</v>
      </c>
      <c r="THA66" s="113" t="s">
        <v>39</v>
      </c>
      <c r="THB66" s="169"/>
      <c r="THC66" s="119" t="s">
        <v>92</v>
      </c>
      <c r="THD66" s="167"/>
      <c r="THE66" s="168"/>
      <c r="THF66" s="113" t="s">
        <v>22</v>
      </c>
      <c r="THG66" s="114">
        <v>8150</v>
      </c>
      <c r="THH66" s="122">
        <v>85</v>
      </c>
      <c r="THI66" s="123">
        <v>215</v>
      </c>
      <c r="THJ66" s="123">
        <v>75</v>
      </c>
      <c r="THK66" s="122">
        <v>150</v>
      </c>
      <c r="THL66" s="124">
        <f>SUM(THG66:THK66)</f>
        <v>8675</v>
      </c>
      <c r="THM66" s="122">
        <v>200</v>
      </c>
      <c r="THN66" s="124">
        <f>SUM(THL66:THM66)</f>
        <v>8875</v>
      </c>
      <c r="THO66" s="117" t="s">
        <v>99</v>
      </c>
      <c r="THP66" s="118">
        <v>45845</v>
      </c>
      <c r="THQ66" s="113" t="s">
        <v>39</v>
      </c>
      <c r="THR66" s="169"/>
      <c r="THS66" s="119" t="s">
        <v>92</v>
      </c>
      <c r="THT66" s="167"/>
      <c r="THU66" s="168"/>
      <c r="THV66" s="113" t="s">
        <v>22</v>
      </c>
      <c r="THW66" s="114">
        <v>8150</v>
      </c>
      <c r="THX66" s="122">
        <v>85</v>
      </c>
      <c r="THY66" s="123">
        <v>215</v>
      </c>
      <c r="THZ66" s="123">
        <v>75</v>
      </c>
      <c r="TIA66" s="122">
        <v>150</v>
      </c>
      <c r="TIB66" s="124">
        <f>SUM(THW66:TIA66)</f>
        <v>8675</v>
      </c>
      <c r="TIC66" s="122">
        <v>200</v>
      </c>
      <c r="TID66" s="124">
        <f>SUM(TIB66:TIC66)</f>
        <v>8875</v>
      </c>
      <c r="TIE66" s="117" t="s">
        <v>99</v>
      </c>
      <c r="TIF66" s="118">
        <v>45845</v>
      </c>
      <c r="TIG66" s="113" t="s">
        <v>39</v>
      </c>
      <c r="TIH66" s="169"/>
      <c r="TII66" s="119" t="s">
        <v>92</v>
      </c>
      <c r="TIJ66" s="167"/>
      <c r="TIK66" s="168"/>
      <c r="TIL66" s="113" t="s">
        <v>22</v>
      </c>
      <c r="TIM66" s="114">
        <v>8150</v>
      </c>
      <c r="TIN66" s="122">
        <v>85</v>
      </c>
      <c r="TIO66" s="123">
        <v>215</v>
      </c>
      <c r="TIP66" s="123">
        <v>75</v>
      </c>
      <c r="TIQ66" s="122">
        <v>150</v>
      </c>
      <c r="TIR66" s="124">
        <f>SUM(TIM66:TIQ66)</f>
        <v>8675</v>
      </c>
      <c r="TIS66" s="122">
        <v>200</v>
      </c>
      <c r="TIT66" s="124">
        <f>SUM(TIR66:TIS66)</f>
        <v>8875</v>
      </c>
      <c r="TIU66" s="117" t="s">
        <v>99</v>
      </c>
      <c r="TIV66" s="118">
        <v>45845</v>
      </c>
      <c r="TIW66" s="113" t="s">
        <v>39</v>
      </c>
      <c r="TIX66" s="169"/>
      <c r="TIY66" s="119" t="s">
        <v>92</v>
      </c>
      <c r="TIZ66" s="167"/>
      <c r="TJA66" s="168"/>
      <c r="TJB66" s="113" t="s">
        <v>22</v>
      </c>
      <c r="TJC66" s="114">
        <v>8150</v>
      </c>
      <c r="TJD66" s="122">
        <v>85</v>
      </c>
      <c r="TJE66" s="123">
        <v>215</v>
      </c>
      <c r="TJF66" s="123">
        <v>75</v>
      </c>
      <c r="TJG66" s="122">
        <v>150</v>
      </c>
      <c r="TJH66" s="124">
        <f>SUM(TJC66:TJG66)</f>
        <v>8675</v>
      </c>
      <c r="TJI66" s="122">
        <v>200</v>
      </c>
      <c r="TJJ66" s="124">
        <f>SUM(TJH66:TJI66)</f>
        <v>8875</v>
      </c>
      <c r="TJK66" s="117" t="s">
        <v>99</v>
      </c>
      <c r="TJL66" s="118">
        <v>45845</v>
      </c>
      <c r="TJM66" s="113" t="s">
        <v>39</v>
      </c>
      <c r="TJN66" s="169"/>
      <c r="TJO66" s="119" t="s">
        <v>92</v>
      </c>
      <c r="TJP66" s="167"/>
      <c r="TJQ66" s="168"/>
      <c r="TJR66" s="113" t="s">
        <v>22</v>
      </c>
      <c r="TJS66" s="114">
        <v>8150</v>
      </c>
      <c r="TJT66" s="122">
        <v>85</v>
      </c>
      <c r="TJU66" s="123">
        <v>215</v>
      </c>
      <c r="TJV66" s="123">
        <v>75</v>
      </c>
      <c r="TJW66" s="122">
        <v>150</v>
      </c>
      <c r="TJX66" s="124">
        <f>SUM(TJS66:TJW66)</f>
        <v>8675</v>
      </c>
      <c r="TJY66" s="122">
        <v>200</v>
      </c>
      <c r="TJZ66" s="124">
        <f>SUM(TJX66:TJY66)</f>
        <v>8875</v>
      </c>
      <c r="TKA66" s="117" t="s">
        <v>99</v>
      </c>
      <c r="TKB66" s="118">
        <v>45845</v>
      </c>
      <c r="TKC66" s="113" t="s">
        <v>39</v>
      </c>
      <c r="TKD66" s="169"/>
      <c r="TKE66" s="119" t="s">
        <v>92</v>
      </c>
      <c r="TKF66" s="167"/>
      <c r="TKG66" s="168"/>
      <c r="TKH66" s="113" t="s">
        <v>22</v>
      </c>
      <c r="TKI66" s="114">
        <v>8150</v>
      </c>
      <c r="TKJ66" s="122">
        <v>85</v>
      </c>
      <c r="TKK66" s="123">
        <v>215</v>
      </c>
      <c r="TKL66" s="123">
        <v>75</v>
      </c>
      <c r="TKM66" s="122">
        <v>150</v>
      </c>
      <c r="TKN66" s="124">
        <f>SUM(TKI66:TKM66)</f>
        <v>8675</v>
      </c>
      <c r="TKO66" s="122">
        <v>200</v>
      </c>
      <c r="TKP66" s="124">
        <f>SUM(TKN66:TKO66)</f>
        <v>8875</v>
      </c>
      <c r="TKQ66" s="117" t="s">
        <v>99</v>
      </c>
      <c r="TKR66" s="118">
        <v>45845</v>
      </c>
      <c r="TKS66" s="113" t="s">
        <v>39</v>
      </c>
      <c r="TKT66" s="169"/>
      <c r="TKU66" s="119" t="s">
        <v>92</v>
      </c>
      <c r="TKV66" s="167"/>
      <c r="TKW66" s="168"/>
      <c r="TKX66" s="113" t="s">
        <v>22</v>
      </c>
      <c r="TKY66" s="114">
        <v>8150</v>
      </c>
      <c r="TKZ66" s="122">
        <v>85</v>
      </c>
      <c r="TLA66" s="123">
        <v>215</v>
      </c>
      <c r="TLB66" s="123">
        <v>75</v>
      </c>
      <c r="TLC66" s="122">
        <v>150</v>
      </c>
      <c r="TLD66" s="124">
        <f>SUM(TKY66:TLC66)</f>
        <v>8675</v>
      </c>
      <c r="TLE66" s="122">
        <v>200</v>
      </c>
      <c r="TLF66" s="124">
        <f>SUM(TLD66:TLE66)</f>
        <v>8875</v>
      </c>
      <c r="TLG66" s="117" t="s">
        <v>99</v>
      </c>
      <c r="TLH66" s="118">
        <v>45845</v>
      </c>
      <c r="TLI66" s="113" t="s">
        <v>39</v>
      </c>
      <c r="TLJ66" s="169"/>
      <c r="TLK66" s="119" t="s">
        <v>92</v>
      </c>
      <c r="TLL66" s="167"/>
      <c r="TLM66" s="168"/>
      <c r="TLN66" s="113" t="s">
        <v>22</v>
      </c>
      <c r="TLO66" s="114">
        <v>8150</v>
      </c>
      <c r="TLP66" s="122">
        <v>85</v>
      </c>
      <c r="TLQ66" s="123">
        <v>215</v>
      </c>
      <c r="TLR66" s="123">
        <v>75</v>
      </c>
      <c r="TLS66" s="122">
        <v>150</v>
      </c>
      <c r="TLT66" s="124">
        <f>SUM(TLO66:TLS66)</f>
        <v>8675</v>
      </c>
      <c r="TLU66" s="122">
        <v>200</v>
      </c>
      <c r="TLV66" s="124">
        <f>SUM(TLT66:TLU66)</f>
        <v>8875</v>
      </c>
      <c r="TLW66" s="117" t="s">
        <v>99</v>
      </c>
      <c r="TLX66" s="118">
        <v>45845</v>
      </c>
      <c r="TLY66" s="113" t="s">
        <v>39</v>
      </c>
      <c r="TLZ66" s="169"/>
      <c r="TMA66" s="119" t="s">
        <v>92</v>
      </c>
      <c r="TMB66" s="167"/>
      <c r="TMC66" s="168"/>
      <c r="TMD66" s="113" t="s">
        <v>22</v>
      </c>
      <c r="TME66" s="114">
        <v>8150</v>
      </c>
      <c r="TMF66" s="122">
        <v>85</v>
      </c>
      <c r="TMG66" s="123">
        <v>215</v>
      </c>
      <c r="TMH66" s="123">
        <v>75</v>
      </c>
      <c r="TMI66" s="122">
        <v>150</v>
      </c>
      <c r="TMJ66" s="124">
        <f>SUM(TME66:TMI66)</f>
        <v>8675</v>
      </c>
      <c r="TMK66" s="122">
        <v>200</v>
      </c>
      <c r="TML66" s="124">
        <f>SUM(TMJ66:TMK66)</f>
        <v>8875</v>
      </c>
      <c r="TMM66" s="117" t="s">
        <v>99</v>
      </c>
      <c r="TMN66" s="118">
        <v>45845</v>
      </c>
      <c r="TMO66" s="113" t="s">
        <v>39</v>
      </c>
      <c r="TMP66" s="169"/>
      <c r="TMQ66" s="119" t="s">
        <v>92</v>
      </c>
      <c r="TMR66" s="167"/>
      <c r="TMS66" s="168"/>
      <c r="TMT66" s="113" t="s">
        <v>22</v>
      </c>
      <c r="TMU66" s="114">
        <v>8150</v>
      </c>
      <c r="TMV66" s="122">
        <v>85</v>
      </c>
      <c r="TMW66" s="123">
        <v>215</v>
      </c>
      <c r="TMX66" s="123">
        <v>75</v>
      </c>
      <c r="TMY66" s="122">
        <v>150</v>
      </c>
      <c r="TMZ66" s="124">
        <f>SUM(TMU66:TMY66)</f>
        <v>8675</v>
      </c>
      <c r="TNA66" s="122">
        <v>200</v>
      </c>
      <c r="TNB66" s="124">
        <f>SUM(TMZ66:TNA66)</f>
        <v>8875</v>
      </c>
      <c r="TNC66" s="117" t="s">
        <v>99</v>
      </c>
      <c r="TND66" s="118">
        <v>45845</v>
      </c>
      <c r="TNE66" s="113" t="s">
        <v>39</v>
      </c>
      <c r="TNF66" s="169"/>
      <c r="TNG66" s="119" t="s">
        <v>92</v>
      </c>
      <c r="TNH66" s="167"/>
      <c r="TNI66" s="168"/>
      <c r="TNJ66" s="113" t="s">
        <v>22</v>
      </c>
      <c r="TNK66" s="114">
        <v>8150</v>
      </c>
      <c r="TNL66" s="122">
        <v>85</v>
      </c>
      <c r="TNM66" s="123">
        <v>215</v>
      </c>
      <c r="TNN66" s="123">
        <v>75</v>
      </c>
      <c r="TNO66" s="122">
        <v>150</v>
      </c>
      <c r="TNP66" s="124">
        <f>SUM(TNK66:TNO66)</f>
        <v>8675</v>
      </c>
      <c r="TNQ66" s="122">
        <v>200</v>
      </c>
      <c r="TNR66" s="124">
        <f>SUM(TNP66:TNQ66)</f>
        <v>8875</v>
      </c>
      <c r="TNS66" s="117" t="s">
        <v>99</v>
      </c>
      <c r="TNT66" s="118">
        <v>45845</v>
      </c>
      <c r="TNU66" s="113" t="s">
        <v>39</v>
      </c>
      <c r="TNV66" s="169"/>
      <c r="TNW66" s="119" t="s">
        <v>92</v>
      </c>
      <c r="TNX66" s="167"/>
      <c r="TNY66" s="168"/>
      <c r="TNZ66" s="113" t="s">
        <v>22</v>
      </c>
      <c r="TOA66" s="114">
        <v>8150</v>
      </c>
      <c r="TOB66" s="122">
        <v>85</v>
      </c>
      <c r="TOC66" s="123">
        <v>215</v>
      </c>
      <c r="TOD66" s="123">
        <v>75</v>
      </c>
      <c r="TOE66" s="122">
        <v>150</v>
      </c>
      <c r="TOF66" s="124">
        <f>SUM(TOA66:TOE66)</f>
        <v>8675</v>
      </c>
      <c r="TOG66" s="122">
        <v>200</v>
      </c>
      <c r="TOH66" s="124">
        <f>SUM(TOF66:TOG66)</f>
        <v>8875</v>
      </c>
      <c r="TOI66" s="117" t="s">
        <v>99</v>
      </c>
      <c r="TOJ66" s="118">
        <v>45845</v>
      </c>
      <c r="TOK66" s="113" t="s">
        <v>39</v>
      </c>
      <c r="TOL66" s="169"/>
      <c r="TOM66" s="119" t="s">
        <v>92</v>
      </c>
      <c r="TON66" s="167"/>
      <c r="TOO66" s="168"/>
      <c r="TOP66" s="113" t="s">
        <v>22</v>
      </c>
      <c r="TOQ66" s="114">
        <v>8150</v>
      </c>
      <c r="TOR66" s="122">
        <v>85</v>
      </c>
      <c r="TOS66" s="123">
        <v>215</v>
      </c>
      <c r="TOT66" s="123">
        <v>75</v>
      </c>
      <c r="TOU66" s="122">
        <v>150</v>
      </c>
      <c r="TOV66" s="124">
        <f>SUM(TOQ66:TOU66)</f>
        <v>8675</v>
      </c>
      <c r="TOW66" s="122">
        <v>200</v>
      </c>
      <c r="TOX66" s="124">
        <f>SUM(TOV66:TOW66)</f>
        <v>8875</v>
      </c>
      <c r="TOY66" s="117" t="s">
        <v>99</v>
      </c>
      <c r="TOZ66" s="118">
        <v>45845</v>
      </c>
      <c r="TPA66" s="113" t="s">
        <v>39</v>
      </c>
      <c r="TPB66" s="169"/>
      <c r="TPC66" s="119" t="s">
        <v>92</v>
      </c>
      <c r="TPD66" s="167"/>
      <c r="TPE66" s="168"/>
      <c r="TPF66" s="113" t="s">
        <v>22</v>
      </c>
      <c r="TPG66" s="114">
        <v>8150</v>
      </c>
      <c r="TPH66" s="122">
        <v>85</v>
      </c>
      <c r="TPI66" s="123">
        <v>215</v>
      </c>
      <c r="TPJ66" s="123">
        <v>75</v>
      </c>
      <c r="TPK66" s="122">
        <v>150</v>
      </c>
      <c r="TPL66" s="124">
        <f>SUM(TPG66:TPK66)</f>
        <v>8675</v>
      </c>
      <c r="TPM66" s="122">
        <v>200</v>
      </c>
      <c r="TPN66" s="124">
        <f>SUM(TPL66:TPM66)</f>
        <v>8875</v>
      </c>
      <c r="TPO66" s="117" t="s">
        <v>99</v>
      </c>
      <c r="TPP66" s="118">
        <v>45845</v>
      </c>
      <c r="TPQ66" s="113" t="s">
        <v>39</v>
      </c>
      <c r="TPR66" s="169"/>
      <c r="TPS66" s="119" t="s">
        <v>92</v>
      </c>
      <c r="TPT66" s="167"/>
      <c r="TPU66" s="168"/>
      <c r="TPV66" s="113" t="s">
        <v>22</v>
      </c>
      <c r="TPW66" s="114">
        <v>8150</v>
      </c>
      <c r="TPX66" s="122">
        <v>85</v>
      </c>
      <c r="TPY66" s="123">
        <v>215</v>
      </c>
      <c r="TPZ66" s="123">
        <v>75</v>
      </c>
      <c r="TQA66" s="122">
        <v>150</v>
      </c>
      <c r="TQB66" s="124">
        <f>SUM(TPW66:TQA66)</f>
        <v>8675</v>
      </c>
      <c r="TQC66" s="122">
        <v>200</v>
      </c>
      <c r="TQD66" s="124">
        <f>SUM(TQB66:TQC66)</f>
        <v>8875</v>
      </c>
      <c r="TQE66" s="117" t="s">
        <v>99</v>
      </c>
      <c r="TQF66" s="118">
        <v>45845</v>
      </c>
      <c r="TQG66" s="113" t="s">
        <v>39</v>
      </c>
      <c r="TQH66" s="169"/>
      <c r="TQI66" s="119" t="s">
        <v>92</v>
      </c>
      <c r="TQJ66" s="167"/>
      <c r="TQK66" s="168"/>
      <c r="TQL66" s="113" t="s">
        <v>22</v>
      </c>
      <c r="TQM66" s="114">
        <v>8150</v>
      </c>
      <c r="TQN66" s="122">
        <v>85</v>
      </c>
      <c r="TQO66" s="123">
        <v>215</v>
      </c>
      <c r="TQP66" s="123">
        <v>75</v>
      </c>
      <c r="TQQ66" s="122">
        <v>150</v>
      </c>
      <c r="TQR66" s="124">
        <f>SUM(TQM66:TQQ66)</f>
        <v>8675</v>
      </c>
      <c r="TQS66" s="122">
        <v>200</v>
      </c>
      <c r="TQT66" s="124">
        <f>SUM(TQR66:TQS66)</f>
        <v>8875</v>
      </c>
      <c r="TQU66" s="117" t="s">
        <v>99</v>
      </c>
      <c r="TQV66" s="118">
        <v>45845</v>
      </c>
      <c r="TQW66" s="113" t="s">
        <v>39</v>
      </c>
      <c r="TQX66" s="169"/>
      <c r="TQY66" s="119" t="s">
        <v>92</v>
      </c>
      <c r="TQZ66" s="167"/>
      <c r="TRA66" s="168"/>
      <c r="TRB66" s="113" t="s">
        <v>22</v>
      </c>
      <c r="TRC66" s="114">
        <v>8150</v>
      </c>
      <c r="TRD66" s="122">
        <v>85</v>
      </c>
      <c r="TRE66" s="123">
        <v>215</v>
      </c>
      <c r="TRF66" s="123">
        <v>75</v>
      </c>
      <c r="TRG66" s="122">
        <v>150</v>
      </c>
      <c r="TRH66" s="124">
        <f>SUM(TRC66:TRG66)</f>
        <v>8675</v>
      </c>
      <c r="TRI66" s="122">
        <v>200</v>
      </c>
      <c r="TRJ66" s="124">
        <f>SUM(TRH66:TRI66)</f>
        <v>8875</v>
      </c>
      <c r="TRK66" s="117" t="s">
        <v>99</v>
      </c>
      <c r="TRL66" s="118">
        <v>45845</v>
      </c>
      <c r="TRM66" s="113" t="s">
        <v>39</v>
      </c>
      <c r="TRN66" s="169"/>
      <c r="TRO66" s="119" t="s">
        <v>92</v>
      </c>
      <c r="TRP66" s="167"/>
      <c r="TRQ66" s="168"/>
      <c r="TRR66" s="113" t="s">
        <v>22</v>
      </c>
      <c r="TRS66" s="114">
        <v>8150</v>
      </c>
      <c r="TRT66" s="122">
        <v>85</v>
      </c>
      <c r="TRU66" s="123">
        <v>215</v>
      </c>
      <c r="TRV66" s="123">
        <v>75</v>
      </c>
      <c r="TRW66" s="122">
        <v>150</v>
      </c>
      <c r="TRX66" s="124">
        <f>SUM(TRS66:TRW66)</f>
        <v>8675</v>
      </c>
      <c r="TRY66" s="122">
        <v>200</v>
      </c>
      <c r="TRZ66" s="124">
        <f>SUM(TRX66:TRY66)</f>
        <v>8875</v>
      </c>
      <c r="TSA66" s="117" t="s">
        <v>99</v>
      </c>
      <c r="TSB66" s="118">
        <v>45845</v>
      </c>
      <c r="TSC66" s="113" t="s">
        <v>39</v>
      </c>
      <c r="TSD66" s="169"/>
      <c r="TSE66" s="119" t="s">
        <v>92</v>
      </c>
      <c r="TSF66" s="167"/>
      <c r="TSG66" s="168"/>
      <c r="TSH66" s="113" t="s">
        <v>22</v>
      </c>
      <c r="TSI66" s="114">
        <v>8150</v>
      </c>
      <c r="TSJ66" s="122">
        <v>85</v>
      </c>
      <c r="TSK66" s="123">
        <v>215</v>
      </c>
      <c r="TSL66" s="123">
        <v>75</v>
      </c>
      <c r="TSM66" s="122">
        <v>150</v>
      </c>
      <c r="TSN66" s="124">
        <f>SUM(TSI66:TSM66)</f>
        <v>8675</v>
      </c>
      <c r="TSO66" s="122">
        <v>200</v>
      </c>
      <c r="TSP66" s="124">
        <f>SUM(TSN66:TSO66)</f>
        <v>8875</v>
      </c>
      <c r="TSQ66" s="117" t="s">
        <v>99</v>
      </c>
      <c r="TSR66" s="118">
        <v>45845</v>
      </c>
      <c r="TSS66" s="113" t="s">
        <v>39</v>
      </c>
      <c r="TST66" s="169"/>
      <c r="TSU66" s="119" t="s">
        <v>92</v>
      </c>
      <c r="TSV66" s="167"/>
      <c r="TSW66" s="168"/>
      <c r="TSX66" s="113" t="s">
        <v>22</v>
      </c>
      <c r="TSY66" s="114">
        <v>8150</v>
      </c>
      <c r="TSZ66" s="122">
        <v>85</v>
      </c>
      <c r="TTA66" s="123">
        <v>215</v>
      </c>
      <c r="TTB66" s="123">
        <v>75</v>
      </c>
      <c r="TTC66" s="122">
        <v>150</v>
      </c>
      <c r="TTD66" s="124">
        <f>SUM(TSY66:TTC66)</f>
        <v>8675</v>
      </c>
      <c r="TTE66" s="122">
        <v>200</v>
      </c>
      <c r="TTF66" s="124">
        <f>SUM(TTD66:TTE66)</f>
        <v>8875</v>
      </c>
      <c r="TTG66" s="117" t="s">
        <v>99</v>
      </c>
      <c r="TTH66" s="118">
        <v>45845</v>
      </c>
      <c r="TTI66" s="113" t="s">
        <v>39</v>
      </c>
      <c r="TTJ66" s="169"/>
      <c r="TTK66" s="119" t="s">
        <v>92</v>
      </c>
      <c r="TTL66" s="167"/>
      <c r="TTM66" s="168"/>
      <c r="TTN66" s="113" t="s">
        <v>22</v>
      </c>
      <c r="TTO66" s="114">
        <v>8150</v>
      </c>
      <c r="TTP66" s="122">
        <v>85</v>
      </c>
      <c r="TTQ66" s="123">
        <v>215</v>
      </c>
      <c r="TTR66" s="123">
        <v>75</v>
      </c>
      <c r="TTS66" s="122">
        <v>150</v>
      </c>
      <c r="TTT66" s="124">
        <f>SUM(TTO66:TTS66)</f>
        <v>8675</v>
      </c>
      <c r="TTU66" s="122">
        <v>200</v>
      </c>
      <c r="TTV66" s="124">
        <f>SUM(TTT66:TTU66)</f>
        <v>8875</v>
      </c>
      <c r="TTW66" s="117" t="s">
        <v>99</v>
      </c>
      <c r="TTX66" s="118">
        <v>45845</v>
      </c>
      <c r="TTY66" s="113" t="s">
        <v>39</v>
      </c>
      <c r="TTZ66" s="169"/>
      <c r="TUA66" s="119" t="s">
        <v>92</v>
      </c>
      <c r="TUB66" s="167"/>
      <c r="TUC66" s="168"/>
      <c r="TUD66" s="113" t="s">
        <v>22</v>
      </c>
      <c r="TUE66" s="114">
        <v>8150</v>
      </c>
      <c r="TUF66" s="122">
        <v>85</v>
      </c>
      <c r="TUG66" s="123">
        <v>215</v>
      </c>
      <c r="TUH66" s="123">
        <v>75</v>
      </c>
      <c r="TUI66" s="122">
        <v>150</v>
      </c>
      <c r="TUJ66" s="124">
        <f>SUM(TUE66:TUI66)</f>
        <v>8675</v>
      </c>
      <c r="TUK66" s="122">
        <v>200</v>
      </c>
      <c r="TUL66" s="124">
        <f>SUM(TUJ66:TUK66)</f>
        <v>8875</v>
      </c>
      <c r="TUM66" s="117" t="s">
        <v>99</v>
      </c>
      <c r="TUN66" s="118">
        <v>45845</v>
      </c>
      <c r="TUO66" s="113" t="s">
        <v>39</v>
      </c>
      <c r="TUP66" s="169"/>
      <c r="TUQ66" s="119" t="s">
        <v>92</v>
      </c>
      <c r="TUR66" s="167"/>
      <c r="TUS66" s="168"/>
      <c r="TUT66" s="113" t="s">
        <v>22</v>
      </c>
      <c r="TUU66" s="114">
        <v>8150</v>
      </c>
      <c r="TUV66" s="122">
        <v>85</v>
      </c>
      <c r="TUW66" s="123">
        <v>215</v>
      </c>
      <c r="TUX66" s="123">
        <v>75</v>
      </c>
      <c r="TUY66" s="122">
        <v>150</v>
      </c>
      <c r="TUZ66" s="124">
        <f>SUM(TUU66:TUY66)</f>
        <v>8675</v>
      </c>
      <c r="TVA66" s="122">
        <v>200</v>
      </c>
      <c r="TVB66" s="124">
        <f>SUM(TUZ66:TVA66)</f>
        <v>8875</v>
      </c>
      <c r="TVC66" s="117" t="s">
        <v>99</v>
      </c>
      <c r="TVD66" s="118">
        <v>45845</v>
      </c>
      <c r="TVE66" s="113" t="s">
        <v>39</v>
      </c>
      <c r="TVF66" s="169"/>
      <c r="TVG66" s="119" t="s">
        <v>92</v>
      </c>
      <c r="TVH66" s="167"/>
      <c r="TVI66" s="168"/>
      <c r="TVJ66" s="113" t="s">
        <v>22</v>
      </c>
      <c r="TVK66" s="114">
        <v>8150</v>
      </c>
      <c r="TVL66" s="122">
        <v>85</v>
      </c>
      <c r="TVM66" s="123">
        <v>215</v>
      </c>
      <c r="TVN66" s="123">
        <v>75</v>
      </c>
      <c r="TVO66" s="122">
        <v>150</v>
      </c>
      <c r="TVP66" s="124">
        <f>SUM(TVK66:TVO66)</f>
        <v>8675</v>
      </c>
      <c r="TVQ66" s="122">
        <v>200</v>
      </c>
      <c r="TVR66" s="124">
        <f>SUM(TVP66:TVQ66)</f>
        <v>8875</v>
      </c>
      <c r="TVS66" s="117" t="s">
        <v>99</v>
      </c>
      <c r="TVT66" s="118">
        <v>45845</v>
      </c>
      <c r="TVU66" s="113" t="s">
        <v>39</v>
      </c>
      <c r="TVV66" s="169"/>
      <c r="TVW66" s="119" t="s">
        <v>92</v>
      </c>
      <c r="TVX66" s="167"/>
      <c r="TVY66" s="168"/>
      <c r="TVZ66" s="113" t="s">
        <v>22</v>
      </c>
      <c r="TWA66" s="114">
        <v>8150</v>
      </c>
      <c r="TWB66" s="122">
        <v>85</v>
      </c>
      <c r="TWC66" s="123">
        <v>215</v>
      </c>
      <c r="TWD66" s="123">
        <v>75</v>
      </c>
      <c r="TWE66" s="122">
        <v>150</v>
      </c>
      <c r="TWF66" s="124">
        <f>SUM(TWA66:TWE66)</f>
        <v>8675</v>
      </c>
      <c r="TWG66" s="122">
        <v>200</v>
      </c>
      <c r="TWH66" s="124">
        <f>SUM(TWF66:TWG66)</f>
        <v>8875</v>
      </c>
      <c r="TWI66" s="117" t="s">
        <v>99</v>
      </c>
      <c r="TWJ66" s="118">
        <v>45845</v>
      </c>
      <c r="TWK66" s="113" t="s">
        <v>39</v>
      </c>
      <c r="TWL66" s="169"/>
      <c r="TWM66" s="119" t="s">
        <v>92</v>
      </c>
      <c r="TWN66" s="167"/>
      <c r="TWO66" s="168"/>
      <c r="TWP66" s="113" t="s">
        <v>22</v>
      </c>
      <c r="TWQ66" s="114">
        <v>8150</v>
      </c>
      <c r="TWR66" s="122">
        <v>85</v>
      </c>
      <c r="TWS66" s="123">
        <v>215</v>
      </c>
      <c r="TWT66" s="123">
        <v>75</v>
      </c>
      <c r="TWU66" s="122">
        <v>150</v>
      </c>
      <c r="TWV66" s="124">
        <f>SUM(TWQ66:TWU66)</f>
        <v>8675</v>
      </c>
      <c r="TWW66" s="122">
        <v>200</v>
      </c>
      <c r="TWX66" s="124">
        <f>SUM(TWV66:TWW66)</f>
        <v>8875</v>
      </c>
      <c r="TWY66" s="117" t="s">
        <v>99</v>
      </c>
      <c r="TWZ66" s="118">
        <v>45845</v>
      </c>
      <c r="TXA66" s="113" t="s">
        <v>39</v>
      </c>
      <c r="TXB66" s="169"/>
      <c r="TXC66" s="119" t="s">
        <v>92</v>
      </c>
      <c r="TXD66" s="167"/>
      <c r="TXE66" s="168"/>
      <c r="TXF66" s="113" t="s">
        <v>22</v>
      </c>
      <c r="TXG66" s="114">
        <v>8150</v>
      </c>
      <c r="TXH66" s="122">
        <v>85</v>
      </c>
      <c r="TXI66" s="123">
        <v>215</v>
      </c>
      <c r="TXJ66" s="123">
        <v>75</v>
      </c>
      <c r="TXK66" s="122">
        <v>150</v>
      </c>
      <c r="TXL66" s="124">
        <f>SUM(TXG66:TXK66)</f>
        <v>8675</v>
      </c>
      <c r="TXM66" s="122">
        <v>200</v>
      </c>
      <c r="TXN66" s="124">
        <f>SUM(TXL66:TXM66)</f>
        <v>8875</v>
      </c>
      <c r="TXO66" s="117" t="s">
        <v>99</v>
      </c>
      <c r="TXP66" s="118">
        <v>45845</v>
      </c>
      <c r="TXQ66" s="113" t="s">
        <v>39</v>
      </c>
      <c r="TXR66" s="169"/>
      <c r="TXS66" s="119" t="s">
        <v>92</v>
      </c>
      <c r="TXT66" s="167"/>
      <c r="TXU66" s="168"/>
      <c r="TXV66" s="113" t="s">
        <v>22</v>
      </c>
      <c r="TXW66" s="114">
        <v>8150</v>
      </c>
      <c r="TXX66" s="122">
        <v>85</v>
      </c>
      <c r="TXY66" s="123">
        <v>215</v>
      </c>
      <c r="TXZ66" s="123">
        <v>75</v>
      </c>
      <c r="TYA66" s="122">
        <v>150</v>
      </c>
      <c r="TYB66" s="124">
        <f>SUM(TXW66:TYA66)</f>
        <v>8675</v>
      </c>
      <c r="TYC66" s="122">
        <v>200</v>
      </c>
      <c r="TYD66" s="124">
        <f>SUM(TYB66:TYC66)</f>
        <v>8875</v>
      </c>
      <c r="TYE66" s="117" t="s">
        <v>99</v>
      </c>
      <c r="TYF66" s="118">
        <v>45845</v>
      </c>
      <c r="TYG66" s="113" t="s">
        <v>39</v>
      </c>
      <c r="TYH66" s="169"/>
      <c r="TYI66" s="119" t="s">
        <v>92</v>
      </c>
      <c r="TYJ66" s="167"/>
      <c r="TYK66" s="168"/>
      <c r="TYL66" s="113" t="s">
        <v>22</v>
      </c>
      <c r="TYM66" s="114">
        <v>8150</v>
      </c>
      <c r="TYN66" s="122">
        <v>85</v>
      </c>
      <c r="TYO66" s="123">
        <v>215</v>
      </c>
      <c r="TYP66" s="123">
        <v>75</v>
      </c>
      <c r="TYQ66" s="122">
        <v>150</v>
      </c>
      <c r="TYR66" s="124">
        <f>SUM(TYM66:TYQ66)</f>
        <v>8675</v>
      </c>
      <c r="TYS66" s="122">
        <v>200</v>
      </c>
      <c r="TYT66" s="124">
        <f>SUM(TYR66:TYS66)</f>
        <v>8875</v>
      </c>
      <c r="TYU66" s="117" t="s">
        <v>99</v>
      </c>
      <c r="TYV66" s="118">
        <v>45845</v>
      </c>
      <c r="TYW66" s="113" t="s">
        <v>39</v>
      </c>
      <c r="TYX66" s="169"/>
      <c r="TYY66" s="119" t="s">
        <v>92</v>
      </c>
      <c r="TYZ66" s="167"/>
      <c r="TZA66" s="168"/>
      <c r="TZB66" s="113" t="s">
        <v>22</v>
      </c>
      <c r="TZC66" s="114">
        <v>8150</v>
      </c>
      <c r="TZD66" s="122">
        <v>85</v>
      </c>
      <c r="TZE66" s="123">
        <v>215</v>
      </c>
      <c r="TZF66" s="123">
        <v>75</v>
      </c>
      <c r="TZG66" s="122">
        <v>150</v>
      </c>
      <c r="TZH66" s="124">
        <f>SUM(TZC66:TZG66)</f>
        <v>8675</v>
      </c>
      <c r="TZI66" s="122">
        <v>200</v>
      </c>
      <c r="TZJ66" s="124">
        <f>SUM(TZH66:TZI66)</f>
        <v>8875</v>
      </c>
      <c r="TZK66" s="117" t="s">
        <v>99</v>
      </c>
      <c r="TZL66" s="118">
        <v>45845</v>
      </c>
      <c r="TZM66" s="113" t="s">
        <v>39</v>
      </c>
      <c r="TZN66" s="169"/>
      <c r="TZO66" s="119" t="s">
        <v>92</v>
      </c>
      <c r="TZP66" s="167"/>
      <c r="TZQ66" s="168"/>
      <c r="TZR66" s="113" t="s">
        <v>22</v>
      </c>
      <c r="TZS66" s="114">
        <v>8150</v>
      </c>
      <c r="TZT66" s="122">
        <v>85</v>
      </c>
      <c r="TZU66" s="123">
        <v>215</v>
      </c>
      <c r="TZV66" s="123">
        <v>75</v>
      </c>
      <c r="TZW66" s="122">
        <v>150</v>
      </c>
      <c r="TZX66" s="124">
        <f>SUM(TZS66:TZW66)</f>
        <v>8675</v>
      </c>
      <c r="TZY66" s="122">
        <v>200</v>
      </c>
      <c r="TZZ66" s="124">
        <f>SUM(TZX66:TZY66)</f>
        <v>8875</v>
      </c>
      <c r="UAA66" s="117" t="s">
        <v>99</v>
      </c>
      <c r="UAB66" s="118">
        <v>45845</v>
      </c>
      <c r="UAC66" s="113" t="s">
        <v>39</v>
      </c>
      <c r="UAD66" s="169"/>
      <c r="UAE66" s="119" t="s">
        <v>92</v>
      </c>
      <c r="UAF66" s="167"/>
      <c r="UAG66" s="168"/>
      <c r="UAH66" s="113" t="s">
        <v>22</v>
      </c>
      <c r="UAI66" s="114">
        <v>8150</v>
      </c>
      <c r="UAJ66" s="122">
        <v>85</v>
      </c>
      <c r="UAK66" s="123">
        <v>215</v>
      </c>
      <c r="UAL66" s="123">
        <v>75</v>
      </c>
      <c r="UAM66" s="122">
        <v>150</v>
      </c>
      <c r="UAN66" s="124">
        <f>SUM(UAI66:UAM66)</f>
        <v>8675</v>
      </c>
      <c r="UAO66" s="122">
        <v>200</v>
      </c>
      <c r="UAP66" s="124">
        <f>SUM(UAN66:UAO66)</f>
        <v>8875</v>
      </c>
      <c r="UAQ66" s="117" t="s">
        <v>99</v>
      </c>
      <c r="UAR66" s="118">
        <v>45845</v>
      </c>
      <c r="UAS66" s="113" t="s">
        <v>39</v>
      </c>
      <c r="UAT66" s="169"/>
      <c r="UAU66" s="119" t="s">
        <v>92</v>
      </c>
      <c r="UAV66" s="167"/>
      <c r="UAW66" s="168"/>
      <c r="UAX66" s="113" t="s">
        <v>22</v>
      </c>
      <c r="UAY66" s="114">
        <v>8150</v>
      </c>
      <c r="UAZ66" s="122">
        <v>85</v>
      </c>
      <c r="UBA66" s="123">
        <v>215</v>
      </c>
      <c r="UBB66" s="123">
        <v>75</v>
      </c>
      <c r="UBC66" s="122">
        <v>150</v>
      </c>
      <c r="UBD66" s="124">
        <f>SUM(UAY66:UBC66)</f>
        <v>8675</v>
      </c>
      <c r="UBE66" s="122">
        <v>200</v>
      </c>
      <c r="UBF66" s="124">
        <f>SUM(UBD66:UBE66)</f>
        <v>8875</v>
      </c>
      <c r="UBG66" s="117" t="s">
        <v>99</v>
      </c>
      <c r="UBH66" s="118">
        <v>45845</v>
      </c>
      <c r="UBI66" s="113" t="s">
        <v>39</v>
      </c>
      <c r="UBJ66" s="169"/>
      <c r="UBK66" s="119" t="s">
        <v>92</v>
      </c>
      <c r="UBL66" s="167"/>
      <c r="UBM66" s="168"/>
      <c r="UBN66" s="113" t="s">
        <v>22</v>
      </c>
      <c r="UBO66" s="114">
        <v>8150</v>
      </c>
      <c r="UBP66" s="122">
        <v>85</v>
      </c>
      <c r="UBQ66" s="123">
        <v>215</v>
      </c>
      <c r="UBR66" s="123">
        <v>75</v>
      </c>
      <c r="UBS66" s="122">
        <v>150</v>
      </c>
      <c r="UBT66" s="124">
        <f>SUM(UBO66:UBS66)</f>
        <v>8675</v>
      </c>
      <c r="UBU66" s="122">
        <v>200</v>
      </c>
      <c r="UBV66" s="124">
        <f>SUM(UBT66:UBU66)</f>
        <v>8875</v>
      </c>
      <c r="UBW66" s="117" t="s">
        <v>99</v>
      </c>
      <c r="UBX66" s="118">
        <v>45845</v>
      </c>
      <c r="UBY66" s="113" t="s">
        <v>39</v>
      </c>
      <c r="UBZ66" s="169"/>
      <c r="UCA66" s="119" t="s">
        <v>92</v>
      </c>
      <c r="UCB66" s="167"/>
      <c r="UCC66" s="168"/>
      <c r="UCD66" s="113" t="s">
        <v>22</v>
      </c>
      <c r="UCE66" s="114">
        <v>8150</v>
      </c>
      <c r="UCF66" s="122">
        <v>85</v>
      </c>
      <c r="UCG66" s="123">
        <v>215</v>
      </c>
      <c r="UCH66" s="123">
        <v>75</v>
      </c>
      <c r="UCI66" s="122">
        <v>150</v>
      </c>
      <c r="UCJ66" s="124">
        <f>SUM(UCE66:UCI66)</f>
        <v>8675</v>
      </c>
      <c r="UCK66" s="122">
        <v>200</v>
      </c>
      <c r="UCL66" s="124">
        <f>SUM(UCJ66:UCK66)</f>
        <v>8875</v>
      </c>
      <c r="UCM66" s="117" t="s">
        <v>99</v>
      </c>
      <c r="UCN66" s="118">
        <v>45845</v>
      </c>
      <c r="UCO66" s="113" t="s">
        <v>39</v>
      </c>
      <c r="UCP66" s="169"/>
      <c r="UCQ66" s="119" t="s">
        <v>92</v>
      </c>
      <c r="UCR66" s="167"/>
      <c r="UCS66" s="168"/>
      <c r="UCT66" s="113" t="s">
        <v>22</v>
      </c>
      <c r="UCU66" s="114">
        <v>8150</v>
      </c>
      <c r="UCV66" s="122">
        <v>85</v>
      </c>
      <c r="UCW66" s="123">
        <v>215</v>
      </c>
      <c r="UCX66" s="123">
        <v>75</v>
      </c>
      <c r="UCY66" s="122">
        <v>150</v>
      </c>
      <c r="UCZ66" s="124">
        <f>SUM(UCU66:UCY66)</f>
        <v>8675</v>
      </c>
      <c r="UDA66" s="122">
        <v>200</v>
      </c>
      <c r="UDB66" s="124">
        <f>SUM(UCZ66:UDA66)</f>
        <v>8875</v>
      </c>
      <c r="UDC66" s="117" t="s">
        <v>99</v>
      </c>
      <c r="UDD66" s="118">
        <v>45845</v>
      </c>
      <c r="UDE66" s="113" t="s">
        <v>39</v>
      </c>
      <c r="UDF66" s="169"/>
      <c r="UDG66" s="119" t="s">
        <v>92</v>
      </c>
      <c r="UDH66" s="167"/>
      <c r="UDI66" s="168"/>
      <c r="UDJ66" s="113" t="s">
        <v>22</v>
      </c>
      <c r="UDK66" s="114">
        <v>8150</v>
      </c>
      <c r="UDL66" s="122">
        <v>85</v>
      </c>
      <c r="UDM66" s="123">
        <v>215</v>
      </c>
      <c r="UDN66" s="123">
        <v>75</v>
      </c>
      <c r="UDO66" s="122">
        <v>150</v>
      </c>
      <c r="UDP66" s="124">
        <f>SUM(UDK66:UDO66)</f>
        <v>8675</v>
      </c>
      <c r="UDQ66" s="122">
        <v>200</v>
      </c>
      <c r="UDR66" s="124">
        <f>SUM(UDP66:UDQ66)</f>
        <v>8875</v>
      </c>
      <c r="UDS66" s="117" t="s">
        <v>99</v>
      </c>
      <c r="UDT66" s="118">
        <v>45845</v>
      </c>
      <c r="UDU66" s="113" t="s">
        <v>39</v>
      </c>
      <c r="UDV66" s="169"/>
      <c r="UDW66" s="119" t="s">
        <v>92</v>
      </c>
      <c r="UDX66" s="167"/>
      <c r="UDY66" s="168"/>
      <c r="UDZ66" s="113" t="s">
        <v>22</v>
      </c>
      <c r="UEA66" s="114">
        <v>8150</v>
      </c>
      <c r="UEB66" s="122">
        <v>85</v>
      </c>
      <c r="UEC66" s="123">
        <v>215</v>
      </c>
      <c r="UED66" s="123">
        <v>75</v>
      </c>
      <c r="UEE66" s="122">
        <v>150</v>
      </c>
      <c r="UEF66" s="124">
        <f>SUM(UEA66:UEE66)</f>
        <v>8675</v>
      </c>
      <c r="UEG66" s="122">
        <v>200</v>
      </c>
      <c r="UEH66" s="124">
        <f>SUM(UEF66:UEG66)</f>
        <v>8875</v>
      </c>
      <c r="UEI66" s="117" t="s">
        <v>99</v>
      </c>
      <c r="UEJ66" s="118">
        <v>45845</v>
      </c>
      <c r="UEK66" s="113" t="s">
        <v>39</v>
      </c>
      <c r="UEL66" s="169"/>
      <c r="UEM66" s="119" t="s">
        <v>92</v>
      </c>
      <c r="UEN66" s="167"/>
      <c r="UEO66" s="168"/>
      <c r="UEP66" s="113" t="s">
        <v>22</v>
      </c>
      <c r="UEQ66" s="114">
        <v>8150</v>
      </c>
      <c r="UER66" s="122">
        <v>85</v>
      </c>
      <c r="UES66" s="123">
        <v>215</v>
      </c>
      <c r="UET66" s="123">
        <v>75</v>
      </c>
      <c r="UEU66" s="122">
        <v>150</v>
      </c>
      <c r="UEV66" s="124">
        <f>SUM(UEQ66:UEU66)</f>
        <v>8675</v>
      </c>
      <c r="UEW66" s="122">
        <v>200</v>
      </c>
      <c r="UEX66" s="124">
        <f>SUM(UEV66:UEW66)</f>
        <v>8875</v>
      </c>
      <c r="UEY66" s="117" t="s">
        <v>99</v>
      </c>
      <c r="UEZ66" s="118">
        <v>45845</v>
      </c>
      <c r="UFA66" s="113" t="s">
        <v>39</v>
      </c>
      <c r="UFB66" s="169"/>
      <c r="UFC66" s="119" t="s">
        <v>92</v>
      </c>
      <c r="UFD66" s="167"/>
      <c r="UFE66" s="168"/>
      <c r="UFF66" s="113" t="s">
        <v>22</v>
      </c>
      <c r="UFG66" s="114">
        <v>8150</v>
      </c>
      <c r="UFH66" s="122">
        <v>85</v>
      </c>
      <c r="UFI66" s="123">
        <v>215</v>
      </c>
      <c r="UFJ66" s="123">
        <v>75</v>
      </c>
      <c r="UFK66" s="122">
        <v>150</v>
      </c>
      <c r="UFL66" s="124">
        <f>SUM(UFG66:UFK66)</f>
        <v>8675</v>
      </c>
      <c r="UFM66" s="122">
        <v>200</v>
      </c>
      <c r="UFN66" s="124">
        <f>SUM(UFL66:UFM66)</f>
        <v>8875</v>
      </c>
      <c r="UFO66" s="117" t="s">
        <v>99</v>
      </c>
      <c r="UFP66" s="118">
        <v>45845</v>
      </c>
      <c r="UFQ66" s="113" t="s">
        <v>39</v>
      </c>
      <c r="UFR66" s="169"/>
      <c r="UFS66" s="119" t="s">
        <v>92</v>
      </c>
      <c r="UFT66" s="167"/>
      <c r="UFU66" s="168"/>
      <c r="UFV66" s="113" t="s">
        <v>22</v>
      </c>
      <c r="UFW66" s="114">
        <v>8150</v>
      </c>
      <c r="UFX66" s="122">
        <v>85</v>
      </c>
      <c r="UFY66" s="123">
        <v>215</v>
      </c>
      <c r="UFZ66" s="123">
        <v>75</v>
      </c>
      <c r="UGA66" s="122">
        <v>150</v>
      </c>
      <c r="UGB66" s="124">
        <f>SUM(UFW66:UGA66)</f>
        <v>8675</v>
      </c>
      <c r="UGC66" s="122">
        <v>200</v>
      </c>
      <c r="UGD66" s="124">
        <f>SUM(UGB66:UGC66)</f>
        <v>8875</v>
      </c>
      <c r="UGE66" s="117" t="s">
        <v>99</v>
      </c>
      <c r="UGF66" s="118">
        <v>45845</v>
      </c>
      <c r="UGG66" s="113" t="s">
        <v>39</v>
      </c>
      <c r="UGH66" s="169"/>
      <c r="UGI66" s="119" t="s">
        <v>92</v>
      </c>
      <c r="UGJ66" s="167"/>
      <c r="UGK66" s="168"/>
      <c r="UGL66" s="113" t="s">
        <v>22</v>
      </c>
      <c r="UGM66" s="114">
        <v>8150</v>
      </c>
      <c r="UGN66" s="122">
        <v>85</v>
      </c>
      <c r="UGO66" s="123">
        <v>215</v>
      </c>
      <c r="UGP66" s="123">
        <v>75</v>
      </c>
      <c r="UGQ66" s="122">
        <v>150</v>
      </c>
      <c r="UGR66" s="124">
        <f>SUM(UGM66:UGQ66)</f>
        <v>8675</v>
      </c>
      <c r="UGS66" s="122">
        <v>200</v>
      </c>
      <c r="UGT66" s="124">
        <f>SUM(UGR66:UGS66)</f>
        <v>8875</v>
      </c>
      <c r="UGU66" s="117" t="s">
        <v>99</v>
      </c>
      <c r="UGV66" s="118">
        <v>45845</v>
      </c>
      <c r="UGW66" s="113" t="s">
        <v>39</v>
      </c>
      <c r="UGX66" s="169"/>
      <c r="UGY66" s="119" t="s">
        <v>92</v>
      </c>
      <c r="UGZ66" s="167"/>
      <c r="UHA66" s="168"/>
      <c r="UHB66" s="113" t="s">
        <v>22</v>
      </c>
      <c r="UHC66" s="114">
        <v>8150</v>
      </c>
      <c r="UHD66" s="122">
        <v>85</v>
      </c>
      <c r="UHE66" s="123">
        <v>215</v>
      </c>
      <c r="UHF66" s="123">
        <v>75</v>
      </c>
      <c r="UHG66" s="122">
        <v>150</v>
      </c>
      <c r="UHH66" s="124">
        <f>SUM(UHC66:UHG66)</f>
        <v>8675</v>
      </c>
      <c r="UHI66" s="122">
        <v>200</v>
      </c>
      <c r="UHJ66" s="124">
        <f>SUM(UHH66:UHI66)</f>
        <v>8875</v>
      </c>
      <c r="UHK66" s="117" t="s">
        <v>99</v>
      </c>
      <c r="UHL66" s="118">
        <v>45845</v>
      </c>
      <c r="UHM66" s="113" t="s">
        <v>39</v>
      </c>
      <c r="UHN66" s="169"/>
      <c r="UHO66" s="119" t="s">
        <v>92</v>
      </c>
      <c r="UHP66" s="167"/>
      <c r="UHQ66" s="168"/>
      <c r="UHR66" s="113" t="s">
        <v>22</v>
      </c>
      <c r="UHS66" s="114">
        <v>8150</v>
      </c>
      <c r="UHT66" s="122">
        <v>85</v>
      </c>
      <c r="UHU66" s="123">
        <v>215</v>
      </c>
      <c r="UHV66" s="123">
        <v>75</v>
      </c>
      <c r="UHW66" s="122">
        <v>150</v>
      </c>
      <c r="UHX66" s="124">
        <f>SUM(UHS66:UHW66)</f>
        <v>8675</v>
      </c>
      <c r="UHY66" s="122">
        <v>200</v>
      </c>
      <c r="UHZ66" s="124">
        <f>SUM(UHX66:UHY66)</f>
        <v>8875</v>
      </c>
      <c r="UIA66" s="117" t="s">
        <v>99</v>
      </c>
      <c r="UIB66" s="118">
        <v>45845</v>
      </c>
      <c r="UIC66" s="113" t="s">
        <v>39</v>
      </c>
      <c r="UID66" s="169"/>
      <c r="UIE66" s="119" t="s">
        <v>92</v>
      </c>
      <c r="UIF66" s="167"/>
      <c r="UIG66" s="168"/>
      <c r="UIH66" s="113" t="s">
        <v>22</v>
      </c>
      <c r="UII66" s="114">
        <v>8150</v>
      </c>
      <c r="UIJ66" s="122">
        <v>85</v>
      </c>
      <c r="UIK66" s="123">
        <v>215</v>
      </c>
      <c r="UIL66" s="123">
        <v>75</v>
      </c>
      <c r="UIM66" s="122">
        <v>150</v>
      </c>
      <c r="UIN66" s="124">
        <f>SUM(UII66:UIM66)</f>
        <v>8675</v>
      </c>
      <c r="UIO66" s="122">
        <v>200</v>
      </c>
      <c r="UIP66" s="124">
        <f>SUM(UIN66:UIO66)</f>
        <v>8875</v>
      </c>
      <c r="UIQ66" s="117" t="s">
        <v>99</v>
      </c>
      <c r="UIR66" s="118">
        <v>45845</v>
      </c>
      <c r="UIS66" s="113" t="s">
        <v>39</v>
      </c>
      <c r="UIT66" s="169"/>
      <c r="UIU66" s="119" t="s">
        <v>92</v>
      </c>
      <c r="UIV66" s="167"/>
      <c r="UIW66" s="168"/>
      <c r="UIX66" s="113" t="s">
        <v>22</v>
      </c>
      <c r="UIY66" s="114">
        <v>8150</v>
      </c>
      <c r="UIZ66" s="122">
        <v>85</v>
      </c>
      <c r="UJA66" s="123">
        <v>215</v>
      </c>
      <c r="UJB66" s="123">
        <v>75</v>
      </c>
      <c r="UJC66" s="122">
        <v>150</v>
      </c>
      <c r="UJD66" s="124">
        <f>SUM(UIY66:UJC66)</f>
        <v>8675</v>
      </c>
      <c r="UJE66" s="122">
        <v>200</v>
      </c>
      <c r="UJF66" s="124">
        <f>SUM(UJD66:UJE66)</f>
        <v>8875</v>
      </c>
      <c r="UJG66" s="117" t="s">
        <v>99</v>
      </c>
      <c r="UJH66" s="118">
        <v>45845</v>
      </c>
      <c r="UJI66" s="113" t="s">
        <v>39</v>
      </c>
      <c r="UJJ66" s="169"/>
      <c r="UJK66" s="119" t="s">
        <v>92</v>
      </c>
      <c r="UJL66" s="167"/>
      <c r="UJM66" s="168"/>
      <c r="UJN66" s="113" t="s">
        <v>22</v>
      </c>
      <c r="UJO66" s="114">
        <v>8150</v>
      </c>
      <c r="UJP66" s="122">
        <v>85</v>
      </c>
      <c r="UJQ66" s="123">
        <v>215</v>
      </c>
      <c r="UJR66" s="123">
        <v>75</v>
      </c>
      <c r="UJS66" s="122">
        <v>150</v>
      </c>
      <c r="UJT66" s="124">
        <f>SUM(UJO66:UJS66)</f>
        <v>8675</v>
      </c>
      <c r="UJU66" s="122">
        <v>200</v>
      </c>
      <c r="UJV66" s="124">
        <f>SUM(UJT66:UJU66)</f>
        <v>8875</v>
      </c>
      <c r="UJW66" s="117" t="s">
        <v>99</v>
      </c>
      <c r="UJX66" s="118">
        <v>45845</v>
      </c>
      <c r="UJY66" s="113" t="s">
        <v>39</v>
      </c>
      <c r="UJZ66" s="169"/>
      <c r="UKA66" s="119" t="s">
        <v>92</v>
      </c>
      <c r="UKB66" s="167"/>
      <c r="UKC66" s="168"/>
      <c r="UKD66" s="113" t="s">
        <v>22</v>
      </c>
      <c r="UKE66" s="114">
        <v>8150</v>
      </c>
      <c r="UKF66" s="122">
        <v>85</v>
      </c>
      <c r="UKG66" s="123">
        <v>215</v>
      </c>
      <c r="UKH66" s="123">
        <v>75</v>
      </c>
      <c r="UKI66" s="122">
        <v>150</v>
      </c>
      <c r="UKJ66" s="124">
        <f>SUM(UKE66:UKI66)</f>
        <v>8675</v>
      </c>
      <c r="UKK66" s="122">
        <v>200</v>
      </c>
      <c r="UKL66" s="124">
        <f>SUM(UKJ66:UKK66)</f>
        <v>8875</v>
      </c>
      <c r="UKM66" s="117" t="s">
        <v>99</v>
      </c>
      <c r="UKN66" s="118">
        <v>45845</v>
      </c>
      <c r="UKO66" s="113" t="s">
        <v>39</v>
      </c>
      <c r="UKP66" s="169"/>
      <c r="UKQ66" s="119" t="s">
        <v>92</v>
      </c>
      <c r="UKR66" s="167"/>
      <c r="UKS66" s="168"/>
      <c r="UKT66" s="113" t="s">
        <v>22</v>
      </c>
      <c r="UKU66" s="114">
        <v>8150</v>
      </c>
      <c r="UKV66" s="122">
        <v>85</v>
      </c>
      <c r="UKW66" s="123">
        <v>215</v>
      </c>
      <c r="UKX66" s="123">
        <v>75</v>
      </c>
      <c r="UKY66" s="122">
        <v>150</v>
      </c>
      <c r="UKZ66" s="124">
        <f>SUM(UKU66:UKY66)</f>
        <v>8675</v>
      </c>
      <c r="ULA66" s="122">
        <v>200</v>
      </c>
      <c r="ULB66" s="124">
        <f>SUM(UKZ66:ULA66)</f>
        <v>8875</v>
      </c>
      <c r="ULC66" s="117" t="s">
        <v>99</v>
      </c>
      <c r="ULD66" s="118">
        <v>45845</v>
      </c>
      <c r="ULE66" s="113" t="s">
        <v>39</v>
      </c>
      <c r="ULF66" s="169"/>
      <c r="ULG66" s="119" t="s">
        <v>92</v>
      </c>
      <c r="ULH66" s="167"/>
      <c r="ULI66" s="168"/>
      <c r="ULJ66" s="113" t="s">
        <v>22</v>
      </c>
      <c r="ULK66" s="114">
        <v>8150</v>
      </c>
      <c r="ULL66" s="122">
        <v>85</v>
      </c>
      <c r="ULM66" s="123">
        <v>215</v>
      </c>
      <c r="ULN66" s="123">
        <v>75</v>
      </c>
      <c r="ULO66" s="122">
        <v>150</v>
      </c>
      <c r="ULP66" s="124">
        <f>SUM(ULK66:ULO66)</f>
        <v>8675</v>
      </c>
      <c r="ULQ66" s="122">
        <v>200</v>
      </c>
      <c r="ULR66" s="124">
        <f>SUM(ULP66:ULQ66)</f>
        <v>8875</v>
      </c>
      <c r="ULS66" s="117" t="s">
        <v>99</v>
      </c>
      <c r="ULT66" s="118">
        <v>45845</v>
      </c>
      <c r="ULU66" s="113" t="s">
        <v>39</v>
      </c>
      <c r="ULV66" s="169"/>
      <c r="ULW66" s="119" t="s">
        <v>92</v>
      </c>
      <c r="ULX66" s="167"/>
      <c r="ULY66" s="168"/>
      <c r="ULZ66" s="113" t="s">
        <v>22</v>
      </c>
      <c r="UMA66" s="114">
        <v>8150</v>
      </c>
      <c r="UMB66" s="122">
        <v>85</v>
      </c>
      <c r="UMC66" s="123">
        <v>215</v>
      </c>
      <c r="UMD66" s="123">
        <v>75</v>
      </c>
      <c r="UME66" s="122">
        <v>150</v>
      </c>
      <c r="UMF66" s="124">
        <f>SUM(UMA66:UME66)</f>
        <v>8675</v>
      </c>
      <c r="UMG66" s="122">
        <v>200</v>
      </c>
      <c r="UMH66" s="124">
        <f>SUM(UMF66:UMG66)</f>
        <v>8875</v>
      </c>
      <c r="UMI66" s="117" t="s">
        <v>99</v>
      </c>
      <c r="UMJ66" s="118">
        <v>45845</v>
      </c>
      <c r="UMK66" s="113" t="s">
        <v>39</v>
      </c>
      <c r="UML66" s="169"/>
      <c r="UMM66" s="119" t="s">
        <v>92</v>
      </c>
      <c r="UMN66" s="167"/>
      <c r="UMO66" s="168"/>
      <c r="UMP66" s="113" t="s">
        <v>22</v>
      </c>
      <c r="UMQ66" s="114">
        <v>8150</v>
      </c>
      <c r="UMR66" s="122">
        <v>85</v>
      </c>
      <c r="UMS66" s="123">
        <v>215</v>
      </c>
      <c r="UMT66" s="123">
        <v>75</v>
      </c>
      <c r="UMU66" s="122">
        <v>150</v>
      </c>
      <c r="UMV66" s="124">
        <f>SUM(UMQ66:UMU66)</f>
        <v>8675</v>
      </c>
      <c r="UMW66" s="122">
        <v>200</v>
      </c>
      <c r="UMX66" s="124">
        <f>SUM(UMV66:UMW66)</f>
        <v>8875</v>
      </c>
      <c r="UMY66" s="117" t="s">
        <v>99</v>
      </c>
      <c r="UMZ66" s="118">
        <v>45845</v>
      </c>
      <c r="UNA66" s="113" t="s">
        <v>39</v>
      </c>
      <c r="UNB66" s="169"/>
      <c r="UNC66" s="119" t="s">
        <v>92</v>
      </c>
      <c r="UND66" s="167"/>
      <c r="UNE66" s="168"/>
      <c r="UNF66" s="113" t="s">
        <v>22</v>
      </c>
      <c r="UNG66" s="114">
        <v>8150</v>
      </c>
      <c r="UNH66" s="122">
        <v>85</v>
      </c>
      <c r="UNI66" s="123">
        <v>215</v>
      </c>
      <c r="UNJ66" s="123">
        <v>75</v>
      </c>
      <c r="UNK66" s="122">
        <v>150</v>
      </c>
      <c r="UNL66" s="124">
        <f>SUM(UNG66:UNK66)</f>
        <v>8675</v>
      </c>
      <c r="UNM66" s="122">
        <v>200</v>
      </c>
      <c r="UNN66" s="124">
        <f>SUM(UNL66:UNM66)</f>
        <v>8875</v>
      </c>
      <c r="UNO66" s="117" t="s">
        <v>99</v>
      </c>
      <c r="UNP66" s="118">
        <v>45845</v>
      </c>
      <c r="UNQ66" s="113" t="s">
        <v>39</v>
      </c>
      <c r="UNR66" s="169"/>
      <c r="UNS66" s="119" t="s">
        <v>92</v>
      </c>
      <c r="UNT66" s="167"/>
      <c r="UNU66" s="168"/>
      <c r="UNV66" s="113" t="s">
        <v>22</v>
      </c>
      <c r="UNW66" s="114">
        <v>8150</v>
      </c>
      <c r="UNX66" s="122">
        <v>85</v>
      </c>
      <c r="UNY66" s="123">
        <v>215</v>
      </c>
      <c r="UNZ66" s="123">
        <v>75</v>
      </c>
      <c r="UOA66" s="122">
        <v>150</v>
      </c>
      <c r="UOB66" s="124">
        <f>SUM(UNW66:UOA66)</f>
        <v>8675</v>
      </c>
      <c r="UOC66" s="122">
        <v>200</v>
      </c>
      <c r="UOD66" s="124">
        <f>SUM(UOB66:UOC66)</f>
        <v>8875</v>
      </c>
      <c r="UOE66" s="117" t="s">
        <v>99</v>
      </c>
      <c r="UOF66" s="118">
        <v>45845</v>
      </c>
      <c r="UOG66" s="113" t="s">
        <v>39</v>
      </c>
      <c r="UOH66" s="169"/>
      <c r="UOI66" s="119" t="s">
        <v>92</v>
      </c>
      <c r="UOJ66" s="167"/>
      <c r="UOK66" s="168"/>
      <c r="UOL66" s="113" t="s">
        <v>22</v>
      </c>
      <c r="UOM66" s="114">
        <v>8150</v>
      </c>
      <c r="UON66" s="122">
        <v>85</v>
      </c>
      <c r="UOO66" s="123">
        <v>215</v>
      </c>
      <c r="UOP66" s="123">
        <v>75</v>
      </c>
      <c r="UOQ66" s="122">
        <v>150</v>
      </c>
      <c r="UOR66" s="124">
        <f>SUM(UOM66:UOQ66)</f>
        <v>8675</v>
      </c>
      <c r="UOS66" s="122">
        <v>200</v>
      </c>
      <c r="UOT66" s="124">
        <f>SUM(UOR66:UOS66)</f>
        <v>8875</v>
      </c>
      <c r="UOU66" s="117" t="s">
        <v>99</v>
      </c>
      <c r="UOV66" s="118">
        <v>45845</v>
      </c>
      <c r="UOW66" s="113" t="s">
        <v>39</v>
      </c>
      <c r="UOX66" s="169"/>
      <c r="UOY66" s="119" t="s">
        <v>92</v>
      </c>
      <c r="UOZ66" s="167"/>
      <c r="UPA66" s="168"/>
      <c r="UPB66" s="113" t="s">
        <v>22</v>
      </c>
      <c r="UPC66" s="114">
        <v>8150</v>
      </c>
      <c r="UPD66" s="122">
        <v>85</v>
      </c>
      <c r="UPE66" s="123">
        <v>215</v>
      </c>
      <c r="UPF66" s="123">
        <v>75</v>
      </c>
      <c r="UPG66" s="122">
        <v>150</v>
      </c>
      <c r="UPH66" s="124">
        <f>SUM(UPC66:UPG66)</f>
        <v>8675</v>
      </c>
      <c r="UPI66" s="122">
        <v>200</v>
      </c>
      <c r="UPJ66" s="124">
        <f>SUM(UPH66:UPI66)</f>
        <v>8875</v>
      </c>
      <c r="UPK66" s="117" t="s">
        <v>99</v>
      </c>
      <c r="UPL66" s="118">
        <v>45845</v>
      </c>
      <c r="UPM66" s="113" t="s">
        <v>39</v>
      </c>
      <c r="UPN66" s="169"/>
      <c r="UPO66" s="119" t="s">
        <v>92</v>
      </c>
      <c r="UPP66" s="167"/>
      <c r="UPQ66" s="168"/>
      <c r="UPR66" s="113" t="s">
        <v>22</v>
      </c>
      <c r="UPS66" s="114">
        <v>8150</v>
      </c>
      <c r="UPT66" s="122">
        <v>85</v>
      </c>
      <c r="UPU66" s="123">
        <v>215</v>
      </c>
      <c r="UPV66" s="123">
        <v>75</v>
      </c>
      <c r="UPW66" s="122">
        <v>150</v>
      </c>
      <c r="UPX66" s="124">
        <f>SUM(UPS66:UPW66)</f>
        <v>8675</v>
      </c>
      <c r="UPY66" s="122">
        <v>200</v>
      </c>
      <c r="UPZ66" s="124">
        <f>SUM(UPX66:UPY66)</f>
        <v>8875</v>
      </c>
      <c r="UQA66" s="117" t="s">
        <v>99</v>
      </c>
      <c r="UQB66" s="118">
        <v>45845</v>
      </c>
      <c r="UQC66" s="113" t="s">
        <v>39</v>
      </c>
      <c r="UQD66" s="169"/>
      <c r="UQE66" s="119" t="s">
        <v>92</v>
      </c>
      <c r="UQF66" s="167"/>
      <c r="UQG66" s="168"/>
      <c r="UQH66" s="113" t="s">
        <v>22</v>
      </c>
      <c r="UQI66" s="114">
        <v>8150</v>
      </c>
      <c r="UQJ66" s="122">
        <v>85</v>
      </c>
      <c r="UQK66" s="123">
        <v>215</v>
      </c>
      <c r="UQL66" s="123">
        <v>75</v>
      </c>
      <c r="UQM66" s="122">
        <v>150</v>
      </c>
      <c r="UQN66" s="124">
        <f>SUM(UQI66:UQM66)</f>
        <v>8675</v>
      </c>
      <c r="UQO66" s="122">
        <v>200</v>
      </c>
      <c r="UQP66" s="124">
        <f>SUM(UQN66:UQO66)</f>
        <v>8875</v>
      </c>
      <c r="UQQ66" s="117" t="s">
        <v>99</v>
      </c>
      <c r="UQR66" s="118">
        <v>45845</v>
      </c>
      <c r="UQS66" s="113" t="s">
        <v>39</v>
      </c>
      <c r="UQT66" s="169"/>
      <c r="UQU66" s="119" t="s">
        <v>92</v>
      </c>
      <c r="UQV66" s="167"/>
      <c r="UQW66" s="168"/>
      <c r="UQX66" s="113" t="s">
        <v>22</v>
      </c>
      <c r="UQY66" s="114">
        <v>8150</v>
      </c>
      <c r="UQZ66" s="122">
        <v>85</v>
      </c>
      <c r="URA66" s="123">
        <v>215</v>
      </c>
      <c r="URB66" s="123">
        <v>75</v>
      </c>
      <c r="URC66" s="122">
        <v>150</v>
      </c>
      <c r="URD66" s="124">
        <f>SUM(UQY66:URC66)</f>
        <v>8675</v>
      </c>
      <c r="URE66" s="122">
        <v>200</v>
      </c>
      <c r="URF66" s="124">
        <f>SUM(URD66:URE66)</f>
        <v>8875</v>
      </c>
      <c r="URG66" s="117" t="s">
        <v>99</v>
      </c>
      <c r="URH66" s="118">
        <v>45845</v>
      </c>
      <c r="URI66" s="113" t="s">
        <v>39</v>
      </c>
      <c r="URJ66" s="169"/>
      <c r="URK66" s="119" t="s">
        <v>92</v>
      </c>
      <c r="URL66" s="167"/>
      <c r="URM66" s="168"/>
      <c r="URN66" s="113" t="s">
        <v>22</v>
      </c>
      <c r="URO66" s="114">
        <v>8150</v>
      </c>
      <c r="URP66" s="122">
        <v>85</v>
      </c>
      <c r="URQ66" s="123">
        <v>215</v>
      </c>
      <c r="URR66" s="123">
        <v>75</v>
      </c>
      <c r="URS66" s="122">
        <v>150</v>
      </c>
      <c r="URT66" s="124">
        <f>SUM(URO66:URS66)</f>
        <v>8675</v>
      </c>
      <c r="URU66" s="122">
        <v>200</v>
      </c>
      <c r="URV66" s="124">
        <f>SUM(URT66:URU66)</f>
        <v>8875</v>
      </c>
      <c r="URW66" s="117" t="s">
        <v>99</v>
      </c>
      <c r="URX66" s="118">
        <v>45845</v>
      </c>
      <c r="URY66" s="113" t="s">
        <v>39</v>
      </c>
      <c r="URZ66" s="169"/>
      <c r="USA66" s="119" t="s">
        <v>92</v>
      </c>
      <c r="USB66" s="167"/>
      <c r="USC66" s="168"/>
      <c r="USD66" s="113" t="s">
        <v>22</v>
      </c>
      <c r="USE66" s="114">
        <v>8150</v>
      </c>
      <c r="USF66" s="122">
        <v>85</v>
      </c>
      <c r="USG66" s="123">
        <v>215</v>
      </c>
      <c r="USH66" s="123">
        <v>75</v>
      </c>
      <c r="USI66" s="122">
        <v>150</v>
      </c>
      <c r="USJ66" s="124">
        <f>SUM(USE66:USI66)</f>
        <v>8675</v>
      </c>
      <c r="USK66" s="122">
        <v>200</v>
      </c>
      <c r="USL66" s="124">
        <f>SUM(USJ66:USK66)</f>
        <v>8875</v>
      </c>
      <c r="USM66" s="117" t="s">
        <v>99</v>
      </c>
      <c r="USN66" s="118">
        <v>45845</v>
      </c>
      <c r="USO66" s="113" t="s">
        <v>39</v>
      </c>
      <c r="USP66" s="169"/>
      <c r="USQ66" s="119" t="s">
        <v>92</v>
      </c>
      <c r="USR66" s="167"/>
      <c r="USS66" s="168"/>
      <c r="UST66" s="113" t="s">
        <v>22</v>
      </c>
      <c r="USU66" s="114">
        <v>8150</v>
      </c>
      <c r="USV66" s="122">
        <v>85</v>
      </c>
      <c r="USW66" s="123">
        <v>215</v>
      </c>
      <c r="USX66" s="123">
        <v>75</v>
      </c>
      <c r="USY66" s="122">
        <v>150</v>
      </c>
      <c r="USZ66" s="124">
        <f>SUM(USU66:USY66)</f>
        <v>8675</v>
      </c>
      <c r="UTA66" s="122">
        <v>200</v>
      </c>
      <c r="UTB66" s="124">
        <f>SUM(USZ66:UTA66)</f>
        <v>8875</v>
      </c>
      <c r="UTC66" s="117" t="s">
        <v>99</v>
      </c>
      <c r="UTD66" s="118">
        <v>45845</v>
      </c>
      <c r="UTE66" s="113" t="s">
        <v>39</v>
      </c>
      <c r="UTF66" s="169"/>
      <c r="UTG66" s="119" t="s">
        <v>92</v>
      </c>
      <c r="UTH66" s="167"/>
      <c r="UTI66" s="168"/>
      <c r="UTJ66" s="113" t="s">
        <v>22</v>
      </c>
      <c r="UTK66" s="114">
        <v>8150</v>
      </c>
      <c r="UTL66" s="122">
        <v>85</v>
      </c>
      <c r="UTM66" s="123">
        <v>215</v>
      </c>
      <c r="UTN66" s="123">
        <v>75</v>
      </c>
      <c r="UTO66" s="122">
        <v>150</v>
      </c>
      <c r="UTP66" s="124">
        <f>SUM(UTK66:UTO66)</f>
        <v>8675</v>
      </c>
      <c r="UTQ66" s="122">
        <v>200</v>
      </c>
      <c r="UTR66" s="124">
        <f>SUM(UTP66:UTQ66)</f>
        <v>8875</v>
      </c>
      <c r="UTS66" s="117" t="s">
        <v>99</v>
      </c>
      <c r="UTT66" s="118">
        <v>45845</v>
      </c>
      <c r="UTU66" s="113" t="s">
        <v>39</v>
      </c>
      <c r="UTV66" s="169"/>
      <c r="UTW66" s="119" t="s">
        <v>92</v>
      </c>
      <c r="UTX66" s="167"/>
      <c r="UTY66" s="168"/>
      <c r="UTZ66" s="113" t="s">
        <v>22</v>
      </c>
      <c r="UUA66" s="114">
        <v>8150</v>
      </c>
      <c r="UUB66" s="122">
        <v>85</v>
      </c>
      <c r="UUC66" s="123">
        <v>215</v>
      </c>
      <c r="UUD66" s="123">
        <v>75</v>
      </c>
      <c r="UUE66" s="122">
        <v>150</v>
      </c>
      <c r="UUF66" s="124">
        <f>SUM(UUA66:UUE66)</f>
        <v>8675</v>
      </c>
      <c r="UUG66" s="122">
        <v>200</v>
      </c>
      <c r="UUH66" s="124">
        <f>SUM(UUF66:UUG66)</f>
        <v>8875</v>
      </c>
      <c r="UUI66" s="117" t="s">
        <v>99</v>
      </c>
      <c r="UUJ66" s="118">
        <v>45845</v>
      </c>
      <c r="UUK66" s="113" t="s">
        <v>39</v>
      </c>
      <c r="UUL66" s="169"/>
      <c r="UUM66" s="119" t="s">
        <v>92</v>
      </c>
      <c r="UUN66" s="167"/>
      <c r="UUO66" s="168"/>
      <c r="UUP66" s="113" t="s">
        <v>22</v>
      </c>
      <c r="UUQ66" s="114">
        <v>8150</v>
      </c>
      <c r="UUR66" s="122">
        <v>85</v>
      </c>
      <c r="UUS66" s="123">
        <v>215</v>
      </c>
      <c r="UUT66" s="123">
        <v>75</v>
      </c>
      <c r="UUU66" s="122">
        <v>150</v>
      </c>
      <c r="UUV66" s="124">
        <f>SUM(UUQ66:UUU66)</f>
        <v>8675</v>
      </c>
      <c r="UUW66" s="122">
        <v>200</v>
      </c>
      <c r="UUX66" s="124">
        <f>SUM(UUV66:UUW66)</f>
        <v>8875</v>
      </c>
      <c r="UUY66" s="117" t="s">
        <v>99</v>
      </c>
      <c r="UUZ66" s="118">
        <v>45845</v>
      </c>
      <c r="UVA66" s="113" t="s">
        <v>39</v>
      </c>
      <c r="UVB66" s="169"/>
      <c r="UVC66" s="119" t="s">
        <v>92</v>
      </c>
      <c r="UVD66" s="167"/>
      <c r="UVE66" s="168"/>
      <c r="UVF66" s="113" t="s">
        <v>22</v>
      </c>
      <c r="UVG66" s="114">
        <v>8150</v>
      </c>
      <c r="UVH66" s="122">
        <v>85</v>
      </c>
      <c r="UVI66" s="123">
        <v>215</v>
      </c>
      <c r="UVJ66" s="123">
        <v>75</v>
      </c>
      <c r="UVK66" s="122">
        <v>150</v>
      </c>
      <c r="UVL66" s="124">
        <f>SUM(UVG66:UVK66)</f>
        <v>8675</v>
      </c>
      <c r="UVM66" s="122">
        <v>200</v>
      </c>
      <c r="UVN66" s="124">
        <f>SUM(UVL66:UVM66)</f>
        <v>8875</v>
      </c>
      <c r="UVO66" s="117" t="s">
        <v>99</v>
      </c>
      <c r="UVP66" s="118">
        <v>45845</v>
      </c>
      <c r="UVQ66" s="113" t="s">
        <v>39</v>
      </c>
      <c r="UVR66" s="169"/>
      <c r="UVS66" s="119" t="s">
        <v>92</v>
      </c>
      <c r="UVT66" s="167"/>
      <c r="UVU66" s="168"/>
      <c r="UVV66" s="113" t="s">
        <v>22</v>
      </c>
      <c r="UVW66" s="114">
        <v>8150</v>
      </c>
      <c r="UVX66" s="122">
        <v>85</v>
      </c>
      <c r="UVY66" s="123">
        <v>215</v>
      </c>
      <c r="UVZ66" s="123">
        <v>75</v>
      </c>
      <c r="UWA66" s="122">
        <v>150</v>
      </c>
      <c r="UWB66" s="124">
        <f>SUM(UVW66:UWA66)</f>
        <v>8675</v>
      </c>
      <c r="UWC66" s="122">
        <v>200</v>
      </c>
      <c r="UWD66" s="124">
        <f>SUM(UWB66:UWC66)</f>
        <v>8875</v>
      </c>
      <c r="UWE66" s="117" t="s">
        <v>99</v>
      </c>
      <c r="UWF66" s="118">
        <v>45845</v>
      </c>
      <c r="UWG66" s="113" t="s">
        <v>39</v>
      </c>
      <c r="UWH66" s="169"/>
      <c r="UWI66" s="119" t="s">
        <v>92</v>
      </c>
      <c r="UWJ66" s="167"/>
      <c r="UWK66" s="168"/>
      <c r="UWL66" s="113" t="s">
        <v>22</v>
      </c>
      <c r="UWM66" s="114">
        <v>8150</v>
      </c>
      <c r="UWN66" s="122">
        <v>85</v>
      </c>
      <c r="UWO66" s="123">
        <v>215</v>
      </c>
      <c r="UWP66" s="123">
        <v>75</v>
      </c>
      <c r="UWQ66" s="122">
        <v>150</v>
      </c>
      <c r="UWR66" s="124">
        <f>SUM(UWM66:UWQ66)</f>
        <v>8675</v>
      </c>
      <c r="UWS66" s="122">
        <v>200</v>
      </c>
      <c r="UWT66" s="124">
        <f>SUM(UWR66:UWS66)</f>
        <v>8875</v>
      </c>
      <c r="UWU66" s="117" t="s">
        <v>99</v>
      </c>
      <c r="UWV66" s="118">
        <v>45845</v>
      </c>
      <c r="UWW66" s="113" t="s">
        <v>39</v>
      </c>
      <c r="UWX66" s="169"/>
      <c r="UWY66" s="119" t="s">
        <v>92</v>
      </c>
      <c r="UWZ66" s="167"/>
      <c r="UXA66" s="168"/>
      <c r="UXB66" s="113" t="s">
        <v>22</v>
      </c>
      <c r="UXC66" s="114">
        <v>8150</v>
      </c>
      <c r="UXD66" s="122">
        <v>85</v>
      </c>
      <c r="UXE66" s="123">
        <v>215</v>
      </c>
      <c r="UXF66" s="123">
        <v>75</v>
      </c>
      <c r="UXG66" s="122">
        <v>150</v>
      </c>
      <c r="UXH66" s="124">
        <f>SUM(UXC66:UXG66)</f>
        <v>8675</v>
      </c>
      <c r="UXI66" s="122">
        <v>200</v>
      </c>
      <c r="UXJ66" s="124">
        <f>SUM(UXH66:UXI66)</f>
        <v>8875</v>
      </c>
      <c r="UXK66" s="117" t="s">
        <v>99</v>
      </c>
      <c r="UXL66" s="118">
        <v>45845</v>
      </c>
      <c r="UXM66" s="113" t="s">
        <v>39</v>
      </c>
      <c r="UXN66" s="169"/>
      <c r="UXO66" s="119" t="s">
        <v>92</v>
      </c>
      <c r="UXP66" s="167"/>
      <c r="UXQ66" s="168"/>
      <c r="UXR66" s="113" t="s">
        <v>22</v>
      </c>
      <c r="UXS66" s="114">
        <v>8150</v>
      </c>
      <c r="UXT66" s="122">
        <v>85</v>
      </c>
      <c r="UXU66" s="123">
        <v>215</v>
      </c>
      <c r="UXV66" s="123">
        <v>75</v>
      </c>
      <c r="UXW66" s="122">
        <v>150</v>
      </c>
      <c r="UXX66" s="124">
        <f>SUM(UXS66:UXW66)</f>
        <v>8675</v>
      </c>
      <c r="UXY66" s="122">
        <v>200</v>
      </c>
      <c r="UXZ66" s="124">
        <f>SUM(UXX66:UXY66)</f>
        <v>8875</v>
      </c>
      <c r="UYA66" s="117" t="s">
        <v>99</v>
      </c>
      <c r="UYB66" s="118">
        <v>45845</v>
      </c>
      <c r="UYC66" s="113" t="s">
        <v>39</v>
      </c>
      <c r="UYD66" s="169"/>
      <c r="UYE66" s="119" t="s">
        <v>92</v>
      </c>
      <c r="UYF66" s="167"/>
      <c r="UYG66" s="168"/>
      <c r="UYH66" s="113" t="s">
        <v>22</v>
      </c>
      <c r="UYI66" s="114">
        <v>8150</v>
      </c>
      <c r="UYJ66" s="122">
        <v>85</v>
      </c>
      <c r="UYK66" s="123">
        <v>215</v>
      </c>
      <c r="UYL66" s="123">
        <v>75</v>
      </c>
      <c r="UYM66" s="122">
        <v>150</v>
      </c>
      <c r="UYN66" s="124">
        <f>SUM(UYI66:UYM66)</f>
        <v>8675</v>
      </c>
      <c r="UYO66" s="122">
        <v>200</v>
      </c>
      <c r="UYP66" s="124">
        <f>SUM(UYN66:UYO66)</f>
        <v>8875</v>
      </c>
      <c r="UYQ66" s="117" t="s">
        <v>99</v>
      </c>
      <c r="UYR66" s="118">
        <v>45845</v>
      </c>
      <c r="UYS66" s="113" t="s">
        <v>39</v>
      </c>
      <c r="UYT66" s="169"/>
      <c r="UYU66" s="119" t="s">
        <v>92</v>
      </c>
      <c r="UYV66" s="167"/>
      <c r="UYW66" s="168"/>
      <c r="UYX66" s="113" t="s">
        <v>22</v>
      </c>
      <c r="UYY66" s="114">
        <v>8150</v>
      </c>
      <c r="UYZ66" s="122">
        <v>85</v>
      </c>
      <c r="UZA66" s="123">
        <v>215</v>
      </c>
      <c r="UZB66" s="123">
        <v>75</v>
      </c>
      <c r="UZC66" s="122">
        <v>150</v>
      </c>
      <c r="UZD66" s="124">
        <f>SUM(UYY66:UZC66)</f>
        <v>8675</v>
      </c>
      <c r="UZE66" s="122">
        <v>200</v>
      </c>
      <c r="UZF66" s="124">
        <f>SUM(UZD66:UZE66)</f>
        <v>8875</v>
      </c>
      <c r="UZG66" s="117" t="s">
        <v>99</v>
      </c>
      <c r="UZH66" s="118">
        <v>45845</v>
      </c>
      <c r="UZI66" s="113" t="s">
        <v>39</v>
      </c>
      <c r="UZJ66" s="169"/>
      <c r="UZK66" s="119" t="s">
        <v>92</v>
      </c>
      <c r="UZL66" s="167"/>
      <c r="UZM66" s="168"/>
      <c r="UZN66" s="113" t="s">
        <v>22</v>
      </c>
      <c r="UZO66" s="114">
        <v>8150</v>
      </c>
      <c r="UZP66" s="122">
        <v>85</v>
      </c>
      <c r="UZQ66" s="123">
        <v>215</v>
      </c>
      <c r="UZR66" s="123">
        <v>75</v>
      </c>
      <c r="UZS66" s="122">
        <v>150</v>
      </c>
      <c r="UZT66" s="124">
        <f>SUM(UZO66:UZS66)</f>
        <v>8675</v>
      </c>
      <c r="UZU66" s="122">
        <v>200</v>
      </c>
      <c r="UZV66" s="124">
        <f>SUM(UZT66:UZU66)</f>
        <v>8875</v>
      </c>
      <c r="UZW66" s="117" t="s">
        <v>99</v>
      </c>
      <c r="UZX66" s="118">
        <v>45845</v>
      </c>
      <c r="UZY66" s="113" t="s">
        <v>39</v>
      </c>
      <c r="UZZ66" s="169"/>
      <c r="VAA66" s="119" t="s">
        <v>92</v>
      </c>
      <c r="VAB66" s="167"/>
      <c r="VAC66" s="168"/>
      <c r="VAD66" s="113" t="s">
        <v>22</v>
      </c>
      <c r="VAE66" s="114">
        <v>8150</v>
      </c>
      <c r="VAF66" s="122">
        <v>85</v>
      </c>
      <c r="VAG66" s="123">
        <v>215</v>
      </c>
      <c r="VAH66" s="123">
        <v>75</v>
      </c>
      <c r="VAI66" s="122">
        <v>150</v>
      </c>
      <c r="VAJ66" s="124">
        <f>SUM(VAE66:VAI66)</f>
        <v>8675</v>
      </c>
      <c r="VAK66" s="122">
        <v>200</v>
      </c>
      <c r="VAL66" s="124">
        <f>SUM(VAJ66:VAK66)</f>
        <v>8875</v>
      </c>
      <c r="VAM66" s="117" t="s">
        <v>99</v>
      </c>
      <c r="VAN66" s="118">
        <v>45845</v>
      </c>
      <c r="VAO66" s="113" t="s">
        <v>39</v>
      </c>
      <c r="VAP66" s="169"/>
      <c r="VAQ66" s="119" t="s">
        <v>92</v>
      </c>
      <c r="VAR66" s="167"/>
      <c r="VAS66" s="168"/>
      <c r="VAT66" s="113" t="s">
        <v>22</v>
      </c>
      <c r="VAU66" s="114">
        <v>8150</v>
      </c>
      <c r="VAV66" s="122">
        <v>85</v>
      </c>
      <c r="VAW66" s="123">
        <v>215</v>
      </c>
      <c r="VAX66" s="123">
        <v>75</v>
      </c>
      <c r="VAY66" s="122">
        <v>150</v>
      </c>
      <c r="VAZ66" s="124">
        <f>SUM(VAU66:VAY66)</f>
        <v>8675</v>
      </c>
      <c r="VBA66" s="122">
        <v>200</v>
      </c>
      <c r="VBB66" s="124">
        <f>SUM(VAZ66:VBA66)</f>
        <v>8875</v>
      </c>
      <c r="VBC66" s="117" t="s">
        <v>99</v>
      </c>
      <c r="VBD66" s="118">
        <v>45845</v>
      </c>
      <c r="VBE66" s="113" t="s">
        <v>39</v>
      </c>
      <c r="VBF66" s="169"/>
      <c r="VBG66" s="119" t="s">
        <v>92</v>
      </c>
      <c r="VBH66" s="167"/>
      <c r="VBI66" s="168"/>
      <c r="VBJ66" s="113" t="s">
        <v>22</v>
      </c>
      <c r="VBK66" s="114">
        <v>8150</v>
      </c>
      <c r="VBL66" s="122">
        <v>85</v>
      </c>
      <c r="VBM66" s="123">
        <v>215</v>
      </c>
      <c r="VBN66" s="123">
        <v>75</v>
      </c>
      <c r="VBO66" s="122">
        <v>150</v>
      </c>
      <c r="VBP66" s="124">
        <f>SUM(VBK66:VBO66)</f>
        <v>8675</v>
      </c>
      <c r="VBQ66" s="122">
        <v>200</v>
      </c>
      <c r="VBR66" s="124">
        <f>SUM(VBP66:VBQ66)</f>
        <v>8875</v>
      </c>
      <c r="VBS66" s="117" t="s">
        <v>99</v>
      </c>
      <c r="VBT66" s="118">
        <v>45845</v>
      </c>
      <c r="VBU66" s="113" t="s">
        <v>39</v>
      </c>
      <c r="VBV66" s="169"/>
      <c r="VBW66" s="119" t="s">
        <v>92</v>
      </c>
      <c r="VBX66" s="167"/>
      <c r="VBY66" s="168"/>
      <c r="VBZ66" s="113" t="s">
        <v>22</v>
      </c>
      <c r="VCA66" s="114">
        <v>8150</v>
      </c>
      <c r="VCB66" s="122">
        <v>85</v>
      </c>
      <c r="VCC66" s="123">
        <v>215</v>
      </c>
      <c r="VCD66" s="123">
        <v>75</v>
      </c>
      <c r="VCE66" s="122">
        <v>150</v>
      </c>
      <c r="VCF66" s="124">
        <f>SUM(VCA66:VCE66)</f>
        <v>8675</v>
      </c>
      <c r="VCG66" s="122">
        <v>200</v>
      </c>
      <c r="VCH66" s="124">
        <f>SUM(VCF66:VCG66)</f>
        <v>8875</v>
      </c>
      <c r="VCI66" s="117" t="s">
        <v>99</v>
      </c>
      <c r="VCJ66" s="118">
        <v>45845</v>
      </c>
      <c r="VCK66" s="113" t="s">
        <v>39</v>
      </c>
      <c r="VCL66" s="169"/>
      <c r="VCM66" s="119" t="s">
        <v>92</v>
      </c>
      <c r="VCN66" s="167"/>
      <c r="VCO66" s="168"/>
      <c r="VCP66" s="113" t="s">
        <v>22</v>
      </c>
      <c r="VCQ66" s="114">
        <v>8150</v>
      </c>
      <c r="VCR66" s="122">
        <v>85</v>
      </c>
      <c r="VCS66" s="123">
        <v>215</v>
      </c>
      <c r="VCT66" s="123">
        <v>75</v>
      </c>
      <c r="VCU66" s="122">
        <v>150</v>
      </c>
      <c r="VCV66" s="124">
        <f>SUM(VCQ66:VCU66)</f>
        <v>8675</v>
      </c>
      <c r="VCW66" s="122">
        <v>200</v>
      </c>
      <c r="VCX66" s="124">
        <f>SUM(VCV66:VCW66)</f>
        <v>8875</v>
      </c>
      <c r="VCY66" s="117" t="s">
        <v>99</v>
      </c>
      <c r="VCZ66" s="118">
        <v>45845</v>
      </c>
      <c r="VDA66" s="113" t="s">
        <v>39</v>
      </c>
      <c r="VDB66" s="169"/>
      <c r="VDC66" s="119" t="s">
        <v>92</v>
      </c>
      <c r="VDD66" s="167"/>
      <c r="VDE66" s="168"/>
      <c r="VDF66" s="113" t="s">
        <v>22</v>
      </c>
      <c r="VDG66" s="114">
        <v>8150</v>
      </c>
      <c r="VDH66" s="122">
        <v>85</v>
      </c>
      <c r="VDI66" s="123">
        <v>215</v>
      </c>
      <c r="VDJ66" s="123">
        <v>75</v>
      </c>
      <c r="VDK66" s="122">
        <v>150</v>
      </c>
      <c r="VDL66" s="124">
        <f>SUM(VDG66:VDK66)</f>
        <v>8675</v>
      </c>
      <c r="VDM66" s="122">
        <v>200</v>
      </c>
      <c r="VDN66" s="124">
        <f>SUM(VDL66:VDM66)</f>
        <v>8875</v>
      </c>
      <c r="VDO66" s="117" t="s">
        <v>99</v>
      </c>
      <c r="VDP66" s="118">
        <v>45845</v>
      </c>
      <c r="VDQ66" s="113" t="s">
        <v>39</v>
      </c>
      <c r="VDR66" s="169"/>
      <c r="VDS66" s="119" t="s">
        <v>92</v>
      </c>
      <c r="VDT66" s="167"/>
      <c r="VDU66" s="168"/>
      <c r="VDV66" s="113" t="s">
        <v>22</v>
      </c>
      <c r="VDW66" s="114">
        <v>8150</v>
      </c>
      <c r="VDX66" s="122">
        <v>85</v>
      </c>
      <c r="VDY66" s="123">
        <v>215</v>
      </c>
      <c r="VDZ66" s="123">
        <v>75</v>
      </c>
      <c r="VEA66" s="122">
        <v>150</v>
      </c>
      <c r="VEB66" s="124">
        <f>SUM(VDW66:VEA66)</f>
        <v>8675</v>
      </c>
      <c r="VEC66" s="122">
        <v>200</v>
      </c>
      <c r="VED66" s="124">
        <f>SUM(VEB66:VEC66)</f>
        <v>8875</v>
      </c>
      <c r="VEE66" s="117" t="s">
        <v>99</v>
      </c>
      <c r="VEF66" s="118">
        <v>45845</v>
      </c>
      <c r="VEG66" s="113" t="s">
        <v>39</v>
      </c>
      <c r="VEH66" s="169"/>
      <c r="VEI66" s="119" t="s">
        <v>92</v>
      </c>
      <c r="VEJ66" s="167"/>
      <c r="VEK66" s="168"/>
      <c r="VEL66" s="113" t="s">
        <v>22</v>
      </c>
      <c r="VEM66" s="114">
        <v>8150</v>
      </c>
      <c r="VEN66" s="122">
        <v>85</v>
      </c>
      <c r="VEO66" s="123">
        <v>215</v>
      </c>
      <c r="VEP66" s="123">
        <v>75</v>
      </c>
      <c r="VEQ66" s="122">
        <v>150</v>
      </c>
      <c r="VER66" s="124">
        <f>SUM(VEM66:VEQ66)</f>
        <v>8675</v>
      </c>
      <c r="VES66" s="122">
        <v>200</v>
      </c>
      <c r="VET66" s="124">
        <f>SUM(VER66:VES66)</f>
        <v>8875</v>
      </c>
      <c r="VEU66" s="117" t="s">
        <v>99</v>
      </c>
      <c r="VEV66" s="118">
        <v>45845</v>
      </c>
      <c r="VEW66" s="113" t="s">
        <v>39</v>
      </c>
      <c r="VEX66" s="169"/>
      <c r="VEY66" s="119" t="s">
        <v>92</v>
      </c>
      <c r="VEZ66" s="167"/>
      <c r="VFA66" s="168"/>
      <c r="VFB66" s="113" t="s">
        <v>22</v>
      </c>
      <c r="VFC66" s="114">
        <v>8150</v>
      </c>
      <c r="VFD66" s="122">
        <v>85</v>
      </c>
      <c r="VFE66" s="123">
        <v>215</v>
      </c>
      <c r="VFF66" s="123">
        <v>75</v>
      </c>
      <c r="VFG66" s="122">
        <v>150</v>
      </c>
      <c r="VFH66" s="124">
        <f>SUM(VFC66:VFG66)</f>
        <v>8675</v>
      </c>
      <c r="VFI66" s="122">
        <v>200</v>
      </c>
      <c r="VFJ66" s="124">
        <f>SUM(VFH66:VFI66)</f>
        <v>8875</v>
      </c>
      <c r="VFK66" s="117" t="s">
        <v>99</v>
      </c>
      <c r="VFL66" s="118">
        <v>45845</v>
      </c>
      <c r="VFM66" s="113" t="s">
        <v>39</v>
      </c>
      <c r="VFN66" s="169"/>
      <c r="VFO66" s="119" t="s">
        <v>92</v>
      </c>
      <c r="VFP66" s="167"/>
      <c r="VFQ66" s="168"/>
      <c r="VFR66" s="113" t="s">
        <v>22</v>
      </c>
      <c r="VFS66" s="114">
        <v>8150</v>
      </c>
      <c r="VFT66" s="122">
        <v>85</v>
      </c>
      <c r="VFU66" s="123">
        <v>215</v>
      </c>
      <c r="VFV66" s="123">
        <v>75</v>
      </c>
      <c r="VFW66" s="122">
        <v>150</v>
      </c>
      <c r="VFX66" s="124">
        <f>SUM(VFS66:VFW66)</f>
        <v>8675</v>
      </c>
      <c r="VFY66" s="122">
        <v>200</v>
      </c>
      <c r="VFZ66" s="124">
        <f>SUM(VFX66:VFY66)</f>
        <v>8875</v>
      </c>
      <c r="VGA66" s="117" t="s">
        <v>99</v>
      </c>
      <c r="VGB66" s="118">
        <v>45845</v>
      </c>
      <c r="VGC66" s="113" t="s">
        <v>39</v>
      </c>
      <c r="VGD66" s="169"/>
      <c r="VGE66" s="119" t="s">
        <v>92</v>
      </c>
      <c r="VGF66" s="167"/>
      <c r="VGG66" s="168"/>
      <c r="VGH66" s="113" t="s">
        <v>22</v>
      </c>
      <c r="VGI66" s="114">
        <v>8150</v>
      </c>
      <c r="VGJ66" s="122">
        <v>85</v>
      </c>
      <c r="VGK66" s="123">
        <v>215</v>
      </c>
      <c r="VGL66" s="123">
        <v>75</v>
      </c>
      <c r="VGM66" s="122">
        <v>150</v>
      </c>
      <c r="VGN66" s="124">
        <f>SUM(VGI66:VGM66)</f>
        <v>8675</v>
      </c>
      <c r="VGO66" s="122">
        <v>200</v>
      </c>
      <c r="VGP66" s="124">
        <f>SUM(VGN66:VGO66)</f>
        <v>8875</v>
      </c>
      <c r="VGQ66" s="117" t="s">
        <v>99</v>
      </c>
      <c r="VGR66" s="118">
        <v>45845</v>
      </c>
      <c r="VGS66" s="113" t="s">
        <v>39</v>
      </c>
      <c r="VGT66" s="169"/>
      <c r="VGU66" s="119" t="s">
        <v>92</v>
      </c>
      <c r="VGV66" s="167"/>
      <c r="VGW66" s="168"/>
      <c r="VGX66" s="113" t="s">
        <v>22</v>
      </c>
      <c r="VGY66" s="114">
        <v>8150</v>
      </c>
      <c r="VGZ66" s="122">
        <v>85</v>
      </c>
      <c r="VHA66" s="123">
        <v>215</v>
      </c>
      <c r="VHB66" s="123">
        <v>75</v>
      </c>
    </row>
    <row r="67" spans="2:62 3072:12198 12789:15082" ht="15" thickBot="1" x14ac:dyDescent="0.35">
      <c r="B67" s="311"/>
      <c r="C67" s="178" t="s">
        <v>114</v>
      </c>
      <c r="D67" s="114" t="s">
        <v>22</v>
      </c>
      <c r="E67" s="115">
        <f>CEILING((((11400+297+50+85)*1.12)- 85)-150,50)</f>
        <v>13050</v>
      </c>
      <c r="F67" s="115">
        <v>85</v>
      </c>
      <c r="G67" s="115">
        <v>215</v>
      </c>
      <c r="H67" s="115">
        <v>75</v>
      </c>
      <c r="I67" s="115">
        <v>150</v>
      </c>
      <c r="J67" s="174">
        <f t="shared" si="8"/>
        <v>13575</v>
      </c>
      <c r="K67" s="115">
        <v>200</v>
      </c>
      <c r="L67" s="174">
        <f t="shared" si="9"/>
        <v>13775</v>
      </c>
      <c r="M67" s="117" t="s">
        <v>99</v>
      </c>
      <c r="N67" s="180" t="s">
        <v>60</v>
      </c>
      <c r="O67" s="175" t="s">
        <v>39</v>
      </c>
      <c r="P67" s="313"/>
      <c r="Q67" s="119" t="s">
        <v>92</v>
      </c>
      <c r="R67" s="142"/>
      <c r="S67" s="135"/>
      <c r="T67" s="136"/>
      <c r="U67" s="137"/>
      <c r="V67" s="136"/>
      <c r="W67" s="138"/>
      <c r="X67" s="136"/>
      <c r="Y67" s="138"/>
      <c r="Z67" s="139"/>
      <c r="AA67" s="140"/>
      <c r="AB67" s="134"/>
      <c r="AC67" s="141"/>
      <c r="AD67" s="144"/>
      <c r="AE67" s="125"/>
      <c r="AF67" s="133"/>
      <c r="AG67"/>
      <c r="AH67" s="126"/>
      <c r="AI67" s="127"/>
      <c r="AJ67" s="128"/>
      <c r="AK67" s="128"/>
      <c r="AL67" s="127"/>
      <c r="AM67" s="129"/>
      <c r="AN67" s="127"/>
      <c r="AO67" s="129"/>
      <c r="AP67" s="130"/>
      <c r="AQ67" s="131"/>
      <c r="AR67"/>
      <c r="AS67" s="132"/>
      <c r="AT67"/>
      <c r="AU67" s="125"/>
      <c r="AV67" s="133"/>
      <c r="AW67"/>
      <c r="AX67" s="126"/>
      <c r="AY67" s="127"/>
      <c r="AZ67" s="128"/>
      <c r="BA67" s="128"/>
      <c r="BB67" s="127"/>
      <c r="BC67" s="129"/>
      <c r="BD67" s="127"/>
      <c r="BE67" s="129"/>
      <c r="BF67" s="130"/>
      <c r="BG67" s="131"/>
      <c r="BH67"/>
      <c r="BI67" s="132"/>
      <c r="BJ67"/>
      <c r="DND67" s="131"/>
      <c r="DNE67"/>
      <c r="DNF67" s="132"/>
      <c r="DNG67"/>
      <c r="DNH67" s="125"/>
      <c r="DNI67" s="133"/>
      <c r="DNJ67"/>
      <c r="DNK67" s="126"/>
      <c r="DNL67" s="127"/>
      <c r="DNM67" s="128"/>
      <c r="DNN67" s="128"/>
      <c r="DNO67" s="127"/>
      <c r="DNP67" s="129"/>
      <c r="DNQ67" s="127"/>
      <c r="DNR67" s="129"/>
      <c r="DNS67" s="130"/>
      <c r="DNT67" s="131"/>
      <c r="DNU67"/>
      <c r="DNV67" s="132"/>
      <c r="DNW67"/>
      <c r="DNX67" s="125"/>
      <c r="DNY67" s="133"/>
      <c r="DNZ67"/>
      <c r="DOA67" s="126"/>
      <c r="DOB67" s="127"/>
      <c r="DOC67" s="128"/>
      <c r="DOD67" s="128"/>
      <c r="DOE67" s="127"/>
      <c r="DOF67" s="129"/>
      <c r="DOG67" s="127"/>
      <c r="DOH67" s="129"/>
      <c r="DOI67" s="130"/>
      <c r="DOJ67" s="131"/>
      <c r="DOK67"/>
      <c r="DOL67" s="132"/>
      <c r="DOM67"/>
      <c r="DON67" s="125"/>
      <c r="DOO67" s="133"/>
      <c r="DOP67"/>
      <c r="DOQ67" s="126"/>
      <c r="DOR67" s="127"/>
      <c r="DOS67" s="128"/>
      <c r="DOT67" s="128"/>
      <c r="DOU67" s="127"/>
      <c r="DOV67" s="129"/>
      <c r="DOW67" s="127"/>
      <c r="DOX67" s="129"/>
      <c r="DOY67" s="130"/>
      <c r="DOZ67" s="131"/>
      <c r="DPA67"/>
      <c r="DPB67" s="132"/>
      <c r="DPC67"/>
      <c r="DPD67" s="125"/>
      <c r="DPE67" s="133"/>
      <c r="DPF67"/>
      <c r="DPG67" s="126"/>
      <c r="DPH67" s="127"/>
      <c r="DPI67" s="128"/>
      <c r="DPJ67" s="128"/>
      <c r="DPK67" s="127"/>
      <c r="DPL67" s="129"/>
      <c r="DPM67" s="127"/>
      <c r="DPN67" s="129"/>
      <c r="DPO67" s="130"/>
      <c r="DPP67" s="131"/>
      <c r="DPQ67"/>
      <c r="DPR67" s="132"/>
      <c r="DPS67"/>
      <c r="DPT67" s="125"/>
      <c r="DPU67" s="133"/>
      <c r="DPV67"/>
      <c r="DPW67" s="126"/>
      <c r="DPX67" s="127"/>
      <c r="DPY67" s="128"/>
      <c r="DPZ67" s="128"/>
      <c r="DQA67" s="127"/>
      <c r="DQB67" s="129"/>
      <c r="DQC67" s="127"/>
      <c r="DQD67" s="129"/>
      <c r="DQE67" s="130"/>
      <c r="DQF67" s="131"/>
      <c r="DQG67"/>
      <c r="DQH67" s="132"/>
      <c r="DQI67"/>
      <c r="DQJ67" s="125"/>
      <c r="DQK67" s="133"/>
      <c r="DQL67"/>
      <c r="DQM67" s="126"/>
      <c r="DQN67" s="127"/>
      <c r="DQO67" s="128"/>
      <c r="DQP67" s="128"/>
      <c r="DQQ67" s="127"/>
      <c r="DQR67" s="129"/>
      <c r="DQS67" s="127"/>
      <c r="DQT67" s="129"/>
      <c r="DQU67" s="130"/>
      <c r="DQV67" s="131"/>
      <c r="DQW67"/>
      <c r="DQX67" s="132"/>
      <c r="DQY67"/>
      <c r="DQZ67" s="125"/>
      <c r="DRA67" s="133"/>
      <c r="DRB67"/>
      <c r="DRC67" s="126"/>
      <c r="DRD67" s="127"/>
      <c r="DRE67" s="128"/>
      <c r="DRF67" s="128"/>
      <c r="DRG67" s="127"/>
      <c r="DRH67" s="129"/>
      <c r="DRI67" s="127"/>
      <c r="DRJ67" s="129"/>
      <c r="DRK67" s="130"/>
      <c r="DRL67" s="131"/>
      <c r="DRM67"/>
      <c r="DRN67" s="132"/>
      <c r="DRO67"/>
      <c r="DRP67" s="125"/>
      <c r="DRQ67" s="133"/>
      <c r="DRR67"/>
      <c r="DRS67" s="126"/>
      <c r="DRT67" s="127"/>
      <c r="DRU67" s="128"/>
      <c r="DRV67" s="128"/>
      <c r="DRW67" s="127"/>
      <c r="DRX67" s="129"/>
      <c r="DRY67" s="127"/>
      <c r="DRZ67" s="129"/>
      <c r="DSA67" s="130"/>
      <c r="DSB67" s="131"/>
      <c r="DSC67"/>
      <c r="DSD67" s="132"/>
      <c r="DSE67"/>
      <c r="DSF67" s="125"/>
      <c r="DSG67" s="133"/>
      <c r="DSH67"/>
      <c r="DSI67" s="126"/>
      <c r="DSJ67" s="127"/>
      <c r="DSK67" s="128"/>
      <c r="DSL67" s="128"/>
      <c r="DSM67" s="127"/>
      <c r="DSN67" s="129"/>
      <c r="DSO67" s="127"/>
      <c r="DSP67" s="129"/>
      <c r="DSQ67" s="130"/>
      <c r="DSR67" s="131"/>
      <c r="DSS67"/>
      <c r="DST67" s="132"/>
      <c r="DSU67"/>
      <c r="DSV67" s="125"/>
      <c r="DSW67" s="133"/>
      <c r="DSX67"/>
      <c r="DSY67" s="126"/>
      <c r="DSZ67" s="127"/>
      <c r="DTA67" s="128"/>
      <c r="DTB67" s="128"/>
      <c r="DTC67" s="127"/>
      <c r="DTD67" s="129"/>
      <c r="DTE67" s="127"/>
      <c r="DTF67" s="129"/>
      <c r="DTG67" s="130"/>
      <c r="DTH67" s="131"/>
      <c r="DTI67"/>
      <c r="DTJ67" s="132"/>
      <c r="DTK67"/>
      <c r="DTL67" s="125"/>
      <c r="DTM67" s="133"/>
      <c r="DTN67"/>
      <c r="DTO67" s="126"/>
      <c r="DTP67" s="127"/>
      <c r="DTQ67" s="128"/>
      <c r="DTR67" s="128"/>
      <c r="DTS67" s="127"/>
      <c r="DTT67" s="129"/>
      <c r="DTU67" s="127"/>
      <c r="DTV67" s="129"/>
      <c r="DTW67" s="130"/>
      <c r="DTX67" s="131"/>
      <c r="DTY67"/>
      <c r="DTZ67" s="132"/>
      <c r="DUA67"/>
      <c r="DUB67" s="125"/>
      <c r="DUC67" s="133"/>
      <c r="DUD67"/>
      <c r="DUE67" s="126"/>
      <c r="DUF67" s="127"/>
      <c r="DUG67" s="128"/>
      <c r="DUH67" s="128"/>
      <c r="DUI67" s="127"/>
      <c r="DUJ67" s="129"/>
      <c r="DUK67" s="127"/>
      <c r="DUL67" s="129"/>
      <c r="DUM67" s="130"/>
      <c r="DUN67" s="131"/>
      <c r="DUO67"/>
      <c r="DUP67" s="132"/>
      <c r="DUQ67"/>
      <c r="DUR67" s="125"/>
      <c r="DUS67" s="133"/>
      <c r="DUT67"/>
      <c r="DUU67" s="126"/>
      <c r="DUV67" s="127"/>
      <c r="DUW67" s="128"/>
      <c r="DUX67" s="128"/>
      <c r="DUY67" s="127"/>
      <c r="DUZ67" s="129"/>
      <c r="DVA67" s="127"/>
      <c r="DVB67" s="129"/>
      <c r="DVC67" s="130"/>
      <c r="DVD67" s="131"/>
      <c r="DVE67"/>
      <c r="DVF67" s="132"/>
      <c r="DVG67"/>
      <c r="DVH67" s="125"/>
      <c r="DVI67" s="133"/>
      <c r="DVJ67"/>
      <c r="DVK67" s="126"/>
      <c r="DVL67" s="127"/>
      <c r="DVM67" s="128"/>
      <c r="DVN67" s="128"/>
      <c r="DVO67" s="127"/>
      <c r="DVP67" s="129"/>
      <c r="DVQ67" s="127"/>
      <c r="DVR67" s="129"/>
      <c r="DVS67" s="130"/>
      <c r="DVT67" s="131"/>
      <c r="DVU67"/>
      <c r="DVV67" s="132"/>
      <c r="DVW67"/>
      <c r="DVX67" s="125"/>
      <c r="DVY67" s="133"/>
      <c r="DVZ67"/>
      <c r="DWA67" s="126"/>
      <c r="DWB67" s="127"/>
      <c r="DWC67" s="128"/>
      <c r="DWD67" s="128"/>
      <c r="DWE67" s="127"/>
      <c r="DWF67" s="129"/>
      <c r="DWG67" s="127"/>
      <c r="DWH67" s="129"/>
      <c r="DWI67" s="130"/>
      <c r="DWJ67" s="131"/>
      <c r="DWK67"/>
      <c r="DWL67" s="132"/>
      <c r="DWM67"/>
      <c r="DWN67" s="125"/>
      <c r="DWO67" s="133"/>
      <c r="DWP67"/>
      <c r="DWQ67" s="126"/>
      <c r="DWR67" s="127"/>
      <c r="DWS67" s="128"/>
      <c r="DWT67" s="128"/>
      <c r="DWU67" s="127"/>
      <c r="DWV67" s="129"/>
      <c r="DWW67" s="127"/>
      <c r="DWX67" s="129"/>
      <c r="DWY67" s="130"/>
      <c r="DWZ67" s="131"/>
      <c r="DXA67"/>
      <c r="DXB67" s="132"/>
      <c r="DXC67"/>
      <c r="DXD67" s="125"/>
      <c r="DXE67" s="133"/>
      <c r="DXF67"/>
      <c r="DXG67" s="126"/>
      <c r="DXH67" s="127"/>
      <c r="DXI67" s="128"/>
      <c r="DXJ67" s="128"/>
      <c r="DXK67" s="127"/>
      <c r="DXL67" s="129"/>
      <c r="DXM67" s="127"/>
      <c r="DXN67" s="129"/>
      <c r="DXO67" s="130"/>
      <c r="DXP67" s="131"/>
      <c r="DXQ67"/>
      <c r="DXR67" s="132"/>
      <c r="DXS67"/>
      <c r="DXT67" s="125"/>
      <c r="DXU67" s="133"/>
      <c r="DXV67"/>
      <c r="DXW67" s="126"/>
      <c r="DXX67" s="127"/>
      <c r="DXY67" s="128"/>
      <c r="DXZ67" s="128"/>
      <c r="DYA67" s="127"/>
      <c r="DYB67" s="129"/>
      <c r="DYC67" s="127"/>
      <c r="DYD67" s="129"/>
      <c r="DYE67" s="130"/>
      <c r="DYF67" s="131"/>
      <c r="DYG67"/>
      <c r="DYH67" s="132"/>
      <c r="DYI67"/>
      <c r="DYJ67" s="125"/>
      <c r="DYK67" s="133"/>
      <c r="DYL67"/>
      <c r="DYM67" s="126"/>
      <c r="DYN67" s="127"/>
      <c r="DYO67" s="128"/>
      <c r="DYP67" s="128"/>
      <c r="DYQ67" s="127"/>
      <c r="DYR67" s="129"/>
      <c r="DYS67" s="127"/>
      <c r="DYT67" s="129"/>
      <c r="DYU67" s="130"/>
      <c r="DYV67" s="131"/>
      <c r="DYW67"/>
      <c r="DYX67" s="132"/>
      <c r="DYY67"/>
      <c r="DYZ67" s="125"/>
      <c r="DZA67" s="133"/>
      <c r="DZB67"/>
      <c r="DZC67" s="126"/>
      <c r="DZD67" s="127"/>
      <c r="DZE67" s="128"/>
      <c r="DZF67" s="128"/>
      <c r="DZG67" s="127"/>
      <c r="DZH67" s="129"/>
      <c r="DZI67" s="127"/>
      <c r="DZJ67" s="129"/>
      <c r="DZK67" s="130"/>
      <c r="DZL67" s="131"/>
      <c r="DZM67"/>
      <c r="DZN67" s="132"/>
      <c r="DZO67"/>
      <c r="DZP67" s="125"/>
      <c r="DZQ67" s="133"/>
      <c r="DZR67"/>
      <c r="DZS67" s="126"/>
      <c r="DZT67" s="127"/>
      <c r="DZU67" s="128"/>
      <c r="DZV67" s="128"/>
      <c r="DZW67" s="127"/>
      <c r="DZX67" s="129"/>
      <c r="DZY67" s="127"/>
      <c r="DZZ67" s="129"/>
      <c r="EAA67" s="130"/>
      <c r="EAB67" s="131"/>
      <c r="EAC67"/>
      <c r="EAD67" s="132"/>
      <c r="EAE67"/>
      <c r="EAF67" s="125"/>
      <c r="EAG67" s="133"/>
      <c r="EAH67"/>
      <c r="EAI67" s="126"/>
      <c r="EAJ67" s="127"/>
      <c r="EAK67" s="128"/>
      <c r="EAL67" s="128"/>
      <c r="EAM67" s="127"/>
      <c r="EAN67" s="129"/>
      <c r="EAO67" s="127"/>
      <c r="EAP67" s="129"/>
      <c r="EAQ67" s="130"/>
      <c r="EAR67" s="131"/>
      <c r="EAS67"/>
      <c r="EAT67" s="132"/>
      <c r="EAU67"/>
      <c r="EAV67" s="125"/>
      <c r="EAW67" s="133"/>
      <c r="EAX67"/>
      <c r="EAY67" s="126"/>
      <c r="EAZ67" s="127"/>
      <c r="EBA67" s="128"/>
      <c r="EBB67" s="128"/>
      <c r="EBC67" s="127"/>
      <c r="EBD67" s="129"/>
      <c r="EBE67" s="127"/>
      <c r="EBF67" s="129"/>
      <c r="EBG67" s="130"/>
      <c r="EBH67" s="131"/>
      <c r="EBI67"/>
      <c r="EBJ67" s="132"/>
      <c r="EBK67"/>
      <c r="EBL67" s="125"/>
      <c r="EBM67" s="133"/>
      <c r="EBN67"/>
      <c r="EBO67" s="126"/>
      <c r="EBP67" s="127"/>
      <c r="EBQ67" s="128"/>
      <c r="EBR67" s="128"/>
      <c r="EBS67" s="127"/>
      <c r="EBT67" s="129"/>
      <c r="EBU67" s="127"/>
      <c r="EBV67" s="129"/>
      <c r="EBW67" s="130"/>
      <c r="EBX67" s="131"/>
      <c r="EBY67"/>
      <c r="EBZ67" s="132"/>
      <c r="ECA67"/>
      <c r="ECB67" s="125"/>
      <c r="ECC67" s="133"/>
      <c r="ECD67"/>
      <c r="ECE67" s="126"/>
      <c r="ECF67" s="127"/>
      <c r="ECG67" s="128"/>
      <c r="ECH67" s="128"/>
      <c r="ECI67" s="127"/>
      <c r="ECJ67" s="129"/>
      <c r="ECK67" s="127"/>
      <c r="ECL67" s="129"/>
      <c r="ECM67" s="130"/>
      <c r="ECN67" s="131"/>
      <c r="ECO67"/>
      <c r="ECP67" s="132"/>
      <c r="ECQ67"/>
      <c r="ECR67" s="125"/>
      <c r="ECS67" s="133"/>
      <c r="ECT67"/>
      <c r="ECU67" s="126"/>
      <c r="ECV67" s="127"/>
      <c r="ECW67" s="128"/>
      <c r="ECX67" s="128"/>
      <c r="ECY67" s="127"/>
      <c r="ECZ67" s="129"/>
      <c r="EDA67" s="127"/>
      <c r="EDB67" s="129"/>
      <c r="EDC67" s="130"/>
      <c r="EDD67" s="131"/>
      <c r="EDE67"/>
      <c r="EDF67" s="132"/>
      <c r="EDG67"/>
      <c r="EDH67" s="125"/>
      <c r="EDI67" s="133"/>
      <c r="EDJ67"/>
      <c r="EDK67" s="126"/>
      <c r="EDL67" s="127"/>
      <c r="EDM67" s="128"/>
      <c r="EDN67" s="128"/>
      <c r="EDO67" s="127"/>
      <c r="EDP67" s="129"/>
      <c r="EDQ67" s="127"/>
      <c r="EDR67" s="129"/>
      <c r="EDS67" s="130"/>
      <c r="EDT67" s="131"/>
      <c r="EDU67"/>
      <c r="EDV67" s="132"/>
      <c r="EDW67"/>
      <c r="EDX67" s="125"/>
      <c r="EDY67" s="133"/>
      <c r="EDZ67"/>
      <c r="EEA67" s="126"/>
      <c r="EEB67" s="127"/>
      <c r="EEC67" s="128"/>
      <c r="EED67" s="128"/>
      <c r="EEE67" s="127"/>
      <c r="EEF67" s="129"/>
      <c r="EEG67" s="127"/>
      <c r="EEH67" s="129"/>
      <c r="EEI67" s="130"/>
      <c r="EEJ67" s="131"/>
      <c r="EEK67"/>
      <c r="EEL67" s="132"/>
      <c r="EEM67"/>
      <c r="EEN67" s="125"/>
      <c r="EEO67" s="133"/>
      <c r="EEP67"/>
      <c r="EEQ67" s="126"/>
      <c r="EER67" s="127"/>
      <c r="EES67" s="128"/>
      <c r="EET67" s="128"/>
      <c r="EEU67" s="127"/>
      <c r="EEV67" s="129"/>
      <c r="EEW67" s="127"/>
      <c r="EEX67" s="129"/>
      <c r="EEY67" s="130"/>
      <c r="EEZ67" s="131"/>
      <c r="EFA67"/>
      <c r="EFB67" s="132"/>
      <c r="EFC67"/>
      <c r="EFD67" s="125"/>
      <c r="EFE67" s="133"/>
      <c r="EFF67"/>
      <c r="EFG67" s="126"/>
      <c r="EFH67" s="127"/>
      <c r="EFI67" s="128"/>
      <c r="EFJ67" s="128"/>
      <c r="EFK67" s="127"/>
      <c r="EFL67" s="129"/>
      <c r="EFM67" s="127"/>
      <c r="EFN67" s="129"/>
      <c r="EFO67" s="130"/>
      <c r="EFP67" s="131"/>
      <c r="EFQ67"/>
      <c r="EFR67" s="132"/>
      <c r="EFS67"/>
      <c r="EFT67" s="125"/>
      <c r="EFU67" s="133"/>
      <c r="EFV67"/>
      <c r="EFW67" s="126"/>
      <c r="EFX67" s="127"/>
      <c r="EFY67" s="128"/>
      <c r="EFZ67" s="128"/>
      <c r="EGA67" s="127"/>
      <c r="EGB67" s="129"/>
      <c r="EGC67" s="127"/>
      <c r="EGD67" s="129"/>
      <c r="EGE67" s="130"/>
      <c r="EGF67" s="131"/>
      <c r="EGG67"/>
      <c r="EGH67" s="132"/>
      <c r="EGI67"/>
      <c r="EGJ67" s="125"/>
      <c r="EGK67" s="133"/>
      <c r="EGL67"/>
      <c r="EGM67" s="126"/>
      <c r="EGN67" s="127"/>
      <c r="EGO67" s="128"/>
      <c r="EGP67" s="128"/>
      <c r="EGQ67" s="127"/>
      <c r="EGR67" s="129"/>
      <c r="EGS67" s="127"/>
      <c r="EGT67" s="129"/>
      <c r="EGU67" s="130"/>
      <c r="EGV67" s="131"/>
      <c r="EGW67"/>
      <c r="EGX67" s="132"/>
      <c r="EGY67"/>
      <c r="EGZ67" s="125"/>
      <c r="EHA67" s="133"/>
      <c r="EHB67"/>
      <c r="EHC67" s="126"/>
      <c r="EHD67" s="127"/>
      <c r="EHE67" s="128"/>
      <c r="EHF67" s="128"/>
      <c r="EHG67" s="127"/>
      <c r="EHH67" s="129"/>
      <c r="EHI67" s="127"/>
      <c r="EHJ67" s="129"/>
      <c r="EHK67" s="130"/>
      <c r="EHL67" s="131"/>
      <c r="EHM67"/>
      <c r="EHN67" s="132"/>
      <c r="EHO67"/>
      <c r="EHP67" s="125"/>
      <c r="EHQ67" s="133"/>
      <c r="EHR67"/>
      <c r="EHS67" s="126"/>
      <c r="EHT67" s="127"/>
      <c r="EHU67" s="128"/>
      <c r="EHV67" s="128"/>
      <c r="EHW67" s="127"/>
      <c r="EHX67" s="129"/>
      <c r="EHY67" s="127"/>
      <c r="EHZ67" s="129"/>
      <c r="EIA67" s="130"/>
      <c r="EIB67" s="131"/>
      <c r="EIC67"/>
      <c r="EID67" s="132"/>
      <c r="EIE67"/>
      <c r="EIF67" s="125"/>
      <c r="EIG67" s="133"/>
      <c r="EIH67"/>
      <c r="EII67" s="126"/>
      <c r="EIJ67" s="127"/>
      <c r="EIK67" s="128"/>
      <c r="EIL67" s="128"/>
      <c r="EIM67" s="127"/>
      <c r="EIN67" s="129"/>
      <c r="EIO67" s="127"/>
      <c r="EIP67" s="129"/>
      <c r="EIQ67" s="130"/>
      <c r="EIR67" s="131"/>
      <c r="EIS67"/>
      <c r="EIT67" s="132"/>
      <c r="EIU67"/>
      <c r="EIV67" s="125"/>
      <c r="EIW67" s="133"/>
      <c r="EIX67"/>
      <c r="EIY67" s="126"/>
      <c r="EIZ67" s="127"/>
      <c r="EJA67" s="128"/>
      <c r="EJB67" s="128"/>
      <c r="EJC67" s="127"/>
      <c r="EJD67" s="129"/>
      <c r="EJE67" s="127"/>
      <c r="EJF67" s="129"/>
      <c r="EJG67" s="130"/>
      <c r="EJH67" s="131"/>
      <c r="EJI67"/>
      <c r="EJJ67" s="132"/>
      <c r="EJK67"/>
      <c r="EJL67" s="125"/>
      <c r="EJM67" s="133"/>
      <c r="EJN67"/>
      <c r="EJO67" s="126"/>
      <c r="EJP67" s="127"/>
      <c r="EJQ67" s="128"/>
      <c r="EJR67" s="128"/>
      <c r="EJS67" s="127"/>
      <c r="EJT67" s="129"/>
      <c r="EJU67" s="127"/>
      <c r="EJV67" s="129"/>
      <c r="EJW67" s="130"/>
      <c r="EJX67" s="131"/>
      <c r="EJY67"/>
      <c r="EJZ67" s="132"/>
      <c r="EKA67"/>
      <c r="EKB67" s="125"/>
      <c r="EKC67" s="133"/>
      <c r="EKD67"/>
      <c r="EKE67" s="126"/>
      <c r="EKF67" s="127"/>
      <c r="EKG67" s="128"/>
      <c r="EKH67" s="128"/>
      <c r="EKI67" s="127"/>
      <c r="EKJ67" s="129"/>
      <c r="EKK67" s="127"/>
      <c r="EKL67" s="129"/>
      <c r="EKM67" s="130"/>
      <c r="EKN67" s="131"/>
      <c r="EKO67"/>
      <c r="EKP67" s="132"/>
      <c r="EKQ67"/>
      <c r="EKR67" s="125"/>
      <c r="EKS67" s="133"/>
      <c r="EKT67"/>
      <c r="EKU67" s="126"/>
      <c r="EKV67" s="127"/>
      <c r="EKW67" s="128"/>
      <c r="EKX67" s="128"/>
      <c r="EKY67" s="127"/>
      <c r="EKZ67" s="129"/>
      <c r="ELA67" s="127"/>
      <c r="ELB67" s="129"/>
      <c r="ELC67" s="130"/>
      <c r="ELD67" s="131"/>
      <c r="ELE67"/>
      <c r="ELF67" s="132"/>
      <c r="ELG67"/>
      <c r="ELH67" s="125"/>
      <c r="ELI67" s="133"/>
      <c r="ELJ67"/>
      <c r="ELK67" s="126"/>
      <c r="ELL67" s="127"/>
      <c r="ELM67" s="128"/>
      <c r="ELN67" s="128"/>
      <c r="ELO67" s="127"/>
      <c r="ELP67" s="129"/>
      <c r="ELQ67" s="127"/>
      <c r="ELR67" s="129"/>
      <c r="ELS67" s="130"/>
      <c r="ELT67" s="131"/>
      <c r="ELU67"/>
      <c r="ELV67" s="132"/>
      <c r="ELW67"/>
      <c r="ELX67" s="125"/>
      <c r="ELY67" s="133"/>
      <c r="ELZ67"/>
      <c r="EMA67" s="126"/>
      <c r="EMB67" s="127"/>
      <c r="EMC67" s="128"/>
      <c r="EMD67" s="128"/>
      <c r="EME67" s="127"/>
      <c r="EMF67" s="129"/>
      <c r="EMG67" s="127"/>
      <c r="EMH67" s="129"/>
      <c r="EMI67" s="130"/>
      <c r="EMJ67" s="131"/>
      <c r="EMK67"/>
      <c r="EML67" s="132"/>
      <c r="EMM67"/>
      <c r="EMN67" s="125"/>
      <c r="EMO67" s="133"/>
      <c r="EMP67"/>
      <c r="EMQ67" s="126"/>
      <c r="EMR67" s="127"/>
      <c r="EMS67" s="128"/>
      <c r="EMT67" s="128"/>
      <c r="EMU67" s="127"/>
      <c r="EMV67" s="129"/>
      <c r="EMW67" s="127"/>
      <c r="EMX67" s="129"/>
      <c r="EMY67" s="130"/>
      <c r="EMZ67" s="131"/>
      <c r="ENA67"/>
      <c r="ENB67" s="132"/>
      <c r="ENC67"/>
      <c r="END67" s="125"/>
      <c r="ENE67" s="133"/>
      <c r="ENF67"/>
      <c r="ENG67" s="126"/>
      <c r="ENH67" s="127"/>
      <c r="ENI67" s="128"/>
      <c r="ENJ67" s="128"/>
      <c r="ENK67" s="127"/>
      <c r="ENL67" s="129"/>
      <c r="ENM67" s="127"/>
      <c r="ENN67" s="129"/>
      <c r="ENO67" s="130"/>
      <c r="ENP67" s="131"/>
      <c r="ENQ67"/>
      <c r="ENR67" s="132"/>
      <c r="ENS67"/>
      <c r="ENT67" s="125"/>
      <c r="ENU67" s="133"/>
      <c r="ENV67"/>
      <c r="ENW67" s="126"/>
      <c r="ENX67" s="127"/>
      <c r="ENY67" s="128"/>
      <c r="ENZ67" s="128"/>
      <c r="EOA67" s="127"/>
      <c r="EOB67" s="129"/>
      <c r="EOC67" s="127"/>
      <c r="EOD67" s="129"/>
      <c r="EOE67" s="130"/>
      <c r="EOF67" s="131"/>
      <c r="EOG67"/>
      <c r="EOH67" s="132"/>
      <c r="EOI67"/>
      <c r="EOJ67" s="125"/>
      <c r="EOK67" s="133"/>
      <c r="EOL67"/>
      <c r="EOM67" s="126"/>
      <c r="EON67" s="127"/>
      <c r="EOO67" s="128"/>
      <c r="EOP67" s="128"/>
      <c r="EOQ67" s="127"/>
      <c r="EOR67" s="129"/>
      <c r="EOS67" s="127"/>
      <c r="EOT67" s="129"/>
      <c r="EOU67" s="130"/>
      <c r="EOV67" s="131"/>
      <c r="EOW67"/>
      <c r="EOX67" s="132"/>
      <c r="EOY67"/>
      <c r="EOZ67" s="125"/>
      <c r="EPA67" s="133"/>
      <c r="EPB67"/>
      <c r="EPC67" s="126"/>
      <c r="EPD67" s="127"/>
      <c r="EPE67" s="128"/>
      <c r="EPF67" s="128"/>
      <c r="EPG67" s="127"/>
      <c r="EPH67" s="129"/>
      <c r="EPI67" s="127"/>
      <c r="EPJ67" s="129"/>
      <c r="EPK67" s="130"/>
      <c r="EPL67" s="131"/>
      <c r="EPM67"/>
      <c r="EPN67" s="132"/>
      <c r="EPO67"/>
      <c r="EPP67" s="125"/>
      <c r="EPQ67" s="133"/>
      <c r="EPR67"/>
      <c r="EPS67" s="126"/>
      <c r="EPT67" s="127"/>
      <c r="EPU67" s="128"/>
      <c r="EPV67" s="128"/>
      <c r="EPW67" s="127"/>
      <c r="EPX67" s="129"/>
      <c r="EPY67" s="127"/>
      <c r="EPZ67" s="129"/>
      <c r="EQA67" s="130"/>
      <c r="EQB67" s="131"/>
      <c r="EQC67"/>
      <c r="EQD67" s="132"/>
      <c r="EQE67"/>
      <c r="EQF67" s="125"/>
      <c r="EQG67" s="133"/>
      <c r="EQH67"/>
      <c r="EQI67" s="126"/>
      <c r="EQJ67" s="127"/>
      <c r="EQK67" s="128"/>
      <c r="EQL67" s="128"/>
      <c r="EQM67" s="127"/>
      <c r="EQN67" s="129"/>
      <c r="EQO67" s="127"/>
      <c r="EQP67" s="129"/>
      <c r="EQQ67" s="130"/>
      <c r="EQR67" s="131"/>
      <c r="EQS67"/>
      <c r="EQT67" s="132"/>
      <c r="EQU67"/>
      <c r="EQV67" s="125"/>
      <c r="EQW67" s="133"/>
      <c r="EQX67"/>
      <c r="EQY67" s="126"/>
      <c r="EQZ67" s="127"/>
      <c r="ERA67" s="128"/>
      <c r="ERB67" s="128"/>
      <c r="ERC67" s="127"/>
      <c r="ERD67" s="129"/>
      <c r="ERE67" s="127"/>
      <c r="ERF67" s="129"/>
      <c r="ERG67" s="130"/>
      <c r="ERH67" s="131"/>
      <c r="ERI67"/>
      <c r="ERJ67" s="132"/>
      <c r="ERK67"/>
      <c r="ERL67" s="125"/>
      <c r="ERM67" s="133"/>
      <c r="ERN67"/>
      <c r="ERO67" s="126"/>
      <c r="ERP67" s="127"/>
      <c r="ERQ67" s="128"/>
      <c r="ERR67" s="128"/>
      <c r="ERS67" s="127"/>
      <c r="ERT67" s="129"/>
      <c r="ERU67" s="127"/>
      <c r="ERV67" s="129"/>
      <c r="ERW67" s="130"/>
      <c r="ERX67" s="131"/>
      <c r="ERY67"/>
      <c r="ERZ67" s="132"/>
      <c r="ESA67"/>
      <c r="ESB67" s="125"/>
      <c r="ESC67" s="133"/>
      <c r="ESD67"/>
      <c r="ESE67" s="126"/>
      <c r="ESF67" s="127"/>
      <c r="ESG67" s="128"/>
      <c r="ESH67" s="128"/>
      <c r="ESI67" s="127"/>
      <c r="ESJ67" s="129"/>
      <c r="ESK67" s="127"/>
      <c r="ESL67" s="129"/>
      <c r="ESM67" s="130"/>
      <c r="ESN67" s="131"/>
      <c r="ESO67"/>
      <c r="ESP67" s="132"/>
      <c r="ESQ67"/>
      <c r="ESR67" s="125"/>
      <c r="ESS67" s="133"/>
      <c r="EST67"/>
      <c r="ESU67" s="126"/>
      <c r="ESV67" s="127"/>
      <c r="ESW67" s="128"/>
      <c r="ESX67" s="128"/>
      <c r="ESY67" s="127"/>
      <c r="ESZ67" s="129"/>
      <c r="ETA67" s="127"/>
      <c r="ETB67" s="129"/>
      <c r="ETC67" s="130"/>
      <c r="ETD67" s="131"/>
      <c r="ETE67"/>
      <c r="ETF67" s="132"/>
      <c r="ETG67"/>
      <c r="ETH67" s="125"/>
      <c r="ETI67" s="133"/>
      <c r="ETJ67"/>
      <c r="ETK67" s="126"/>
      <c r="ETL67" s="127"/>
      <c r="ETM67" s="128"/>
      <c r="ETN67" s="128"/>
      <c r="ETO67" s="127"/>
      <c r="ETP67" s="129"/>
      <c r="ETQ67" s="127"/>
      <c r="ETR67" s="129"/>
      <c r="ETS67" s="130"/>
      <c r="ETT67" s="131"/>
      <c r="ETU67"/>
      <c r="ETV67" s="132"/>
      <c r="ETW67"/>
      <c r="ETX67" s="125"/>
      <c r="ETY67" s="133"/>
      <c r="ETZ67"/>
      <c r="EUA67" s="126"/>
      <c r="EUB67" s="127"/>
      <c r="EUC67" s="128"/>
      <c r="EUD67" s="128"/>
      <c r="EUE67" s="127"/>
      <c r="EUF67" s="129"/>
      <c r="EUG67" s="127"/>
      <c r="EUH67" s="129"/>
      <c r="EUI67" s="130"/>
      <c r="EUJ67" s="131"/>
      <c r="EUK67"/>
      <c r="EUL67" s="132"/>
      <c r="EUM67"/>
      <c r="EUN67" s="125"/>
      <c r="EUO67" s="133"/>
      <c r="EUP67"/>
      <c r="EUQ67" s="126"/>
      <c r="EUR67" s="127"/>
      <c r="EUS67" s="128"/>
      <c r="EUT67" s="128"/>
      <c r="EUU67" s="127"/>
      <c r="EUV67" s="129"/>
      <c r="EUW67" s="127"/>
      <c r="EUX67" s="129"/>
      <c r="EUY67" s="130"/>
      <c r="EUZ67" s="131"/>
      <c r="EVA67"/>
      <c r="EVB67" s="132"/>
      <c r="EVC67"/>
      <c r="EVD67" s="125"/>
      <c r="EVE67" s="133"/>
      <c r="EVF67"/>
      <c r="EVG67" s="126"/>
      <c r="EVH67" s="127"/>
      <c r="EVI67" s="128"/>
      <c r="EVJ67" s="128"/>
      <c r="EVK67" s="127"/>
      <c r="EVL67" s="129"/>
      <c r="EVM67" s="127"/>
      <c r="EVN67" s="129"/>
      <c r="EVO67" s="130"/>
      <c r="EVP67" s="131"/>
      <c r="EVQ67"/>
      <c r="EVR67" s="132"/>
      <c r="EVS67"/>
      <c r="EVT67" s="125"/>
      <c r="EVU67" s="133"/>
      <c r="EVV67"/>
      <c r="EVW67" s="126"/>
      <c r="EVX67" s="127"/>
      <c r="EVY67" s="128"/>
      <c r="EVZ67" s="128"/>
      <c r="EWA67" s="127"/>
      <c r="EWB67" s="129"/>
      <c r="EWC67" s="127"/>
      <c r="EWD67" s="129"/>
      <c r="EWE67" s="130"/>
      <c r="EWF67" s="131"/>
      <c r="EWG67"/>
      <c r="EWH67" s="132"/>
      <c r="EWI67"/>
      <c r="EWJ67" s="125"/>
      <c r="EWK67" s="133"/>
      <c r="EWL67"/>
      <c r="EWM67" s="126"/>
      <c r="EWN67" s="127"/>
      <c r="EWO67" s="128"/>
      <c r="EWP67" s="128"/>
      <c r="EWQ67" s="127"/>
      <c r="EWR67" s="129"/>
      <c r="EWS67" s="127"/>
      <c r="EWT67" s="129"/>
      <c r="EWU67" s="130"/>
      <c r="EWV67" s="131"/>
      <c r="EWW67"/>
      <c r="EWX67" s="132"/>
      <c r="EWY67"/>
      <c r="EWZ67" s="125"/>
      <c r="EXA67" s="133"/>
      <c r="EXB67"/>
      <c r="EXC67" s="126"/>
      <c r="EXD67" s="127"/>
      <c r="EXE67" s="128"/>
      <c r="EXF67" s="128"/>
      <c r="EXG67" s="127"/>
      <c r="EXH67" s="129"/>
      <c r="EXI67" s="127"/>
      <c r="EXJ67" s="129"/>
      <c r="EXK67" s="130"/>
      <c r="EXL67" s="131"/>
      <c r="EXM67"/>
      <c r="EXN67" s="132"/>
      <c r="EXO67"/>
      <c r="EXP67" s="125"/>
      <c r="EXQ67" s="133"/>
      <c r="EXR67"/>
      <c r="EXS67" s="126"/>
      <c r="EXT67" s="127"/>
      <c r="EXU67" s="128"/>
      <c r="EXV67" s="128"/>
      <c r="EXW67" s="127"/>
      <c r="EXX67" s="129"/>
      <c r="EXY67" s="127"/>
      <c r="EXZ67" s="129"/>
      <c r="EYA67" s="130"/>
      <c r="EYB67" s="131"/>
      <c r="EYC67"/>
      <c r="EYD67" s="132"/>
      <c r="EYE67"/>
      <c r="EYF67" s="125"/>
      <c r="EYG67" s="133"/>
      <c r="EYH67"/>
      <c r="EYI67" s="126"/>
      <c r="EYJ67" s="127"/>
      <c r="EYK67" s="128"/>
      <c r="EYL67" s="128"/>
      <c r="EYM67" s="127"/>
      <c r="EYN67" s="129"/>
      <c r="EYO67" s="127"/>
      <c r="EYP67" s="129"/>
      <c r="EYQ67" s="130"/>
      <c r="EYR67" s="131"/>
      <c r="EYS67"/>
      <c r="EYT67" s="132"/>
      <c r="EYU67"/>
      <c r="EYV67" s="125"/>
      <c r="EYW67" s="133"/>
      <c r="EYX67"/>
      <c r="EYY67" s="126"/>
      <c r="EYZ67" s="127"/>
      <c r="EZA67" s="128"/>
      <c r="EZB67" s="128"/>
      <c r="EZC67" s="127"/>
      <c r="EZD67" s="129"/>
      <c r="EZE67" s="127"/>
      <c r="EZF67" s="129"/>
      <c r="EZG67" s="130"/>
      <c r="EZH67" s="131"/>
      <c r="EZI67"/>
      <c r="EZJ67" s="132"/>
      <c r="EZK67"/>
      <c r="EZL67" s="125"/>
      <c r="EZM67" s="133"/>
      <c r="EZN67"/>
      <c r="EZO67" s="126"/>
      <c r="EZP67" s="127"/>
      <c r="EZQ67" s="128"/>
      <c r="EZR67" s="128"/>
      <c r="EZS67" s="127"/>
      <c r="EZT67" s="129"/>
      <c r="EZU67" s="127"/>
      <c r="EZV67" s="129"/>
      <c r="EZW67" s="130"/>
      <c r="EZX67" s="131"/>
      <c r="EZY67"/>
      <c r="EZZ67" s="132"/>
      <c r="FAA67"/>
      <c r="FAB67" s="125"/>
      <c r="FAC67" s="133"/>
      <c r="FAD67"/>
      <c r="FAE67" s="126"/>
      <c r="FAF67" s="127"/>
      <c r="FAG67" s="128"/>
      <c r="FAH67" s="128"/>
      <c r="FAI67" s="127"/>
      <c r="FAJ67" s="129"/>
      <c r="FAK67" s="127"/>
      <c r="FAL67" s="129"/>
      <c r="FAM67" s="130"/>
      <c r="FAN67" s="131"/>
      <c r="FAO67"/>
      <c r="FAP67" s="132"/>
      <c r="FAQ67"/>
      <c r="FAR67" s="125"/>
      <c r="FAS67" s="133"/>
      <c r="FAT67"/>
      <c r="FAU67" s="126"/>
      <c r="FAV67" s="127"/>
      <c r="FAW67" s="128"/>
      <c r="FAX67" s="128"/>
      <c r="FAY67" s="127"/>
      <c r="FAZ67" s="129"/>
      <c r="FBA67" s="127"/>
      <c r="FBB67" s="129"/>
      <c r="FBC67" s="130"/>
      <c r="FBD67" s="131"/>
      <c r="FBE67"/>
      <c r="FBF67" s="132"/>
      <c r="FBG67"/>
      <c r="FBH67" s="125"/>
      <c r="FBI67" s="133"/>
      <c r="FBJ67"/>
      <c r="FBK67" s="126"/>
      <c r="FBL67" s="127"/>
      <c r="FBM67" s="128"/>
      <c r="FBN67" s="128"/>
      <c r="FBO67" s="127"/>
      <c r="FBP67" s="129"/>
      <c r="FBQ67" s="127"/>
      <c r="FBR67" s="129"/>
      <c r="FBS67" s="130"/>
      <c r="FBT67" s="131"/>
      <c r="FBU67"/>
      <c r="FBV67" s="132"/>
      <c r="FBW67"/>
      <c r="FBX67" s="125"/>
      <c r="FBY67" s="133"/>
      <c r="FBZ67"/>
      <c r="FCA67" s="126"/>
      <c r="FCB67" s="127"/>
      <c r="FCC67" s="128"/>
      <c r="FCD67" s="128"/>
      <c r="FCE67" s="127"/>
      <c r="FCF67" s="129"/>
      <c r="FCG67" s="127"/>
      <c r="FCH67" s="129"/>
      <c r="FCI67" s="130"/>
      <c r="FCJ67" s="131"/>
      <c r="FCK67"/>
      <c r="FCL67" s="132"/>
      <c r="FCM67"/>
      <c r="FCN67" s="125"/>
      <c r="FCO67" s="133"/>
      <c r="FCP67"/>
      <c r="FCQ67" s="126"/>
      <c r="FCR67" s="127"/>
      <c r="FCS67" s="128"/>
      <c r="FCT67" s="128"/>
      <c r="FCU67" s="127"/>
      <c r="FCV67" s="129"/>
      <c r="FCW67" s="127"/>
      <c r="FCX67" s="129"/>
      <c r="FCY67" s="130"/>
      <c r="FCZ67" s="131"/>
      <c r="FDA67"/>
      <c r="FDB67" s="132"/>
      <c r="FDC67"/>
      <c r="FDD67" s="125"/>
      <c r="FDE67" s="133"/>
      <c r="FDF67"/>
      <c r="FDG67" s="126"/>
      <c r="FDH67" s="127"/>
      <c r="FDI67" s="128"/>
      <c r="FDJ67" s="128"/>
      <c r="FDK67" s="127"/>
      <c r="FDL67" s="129"/>
      <c r="FDM67" s="127"/>
      <c r="FDN67" s="129"/>
      <c r="FDO67" s="130"/>
      <c r="FDP67" s="131"/>
      <c r="FDQ67"/>
      <c r="FDR67" s="132"/>
      <c r="FDS67"/>
      <c r="FDT67" s="125"/>
      <c r="FDU67" s="133"/>
      <c r="FDV67"/>
      <c r="FDW67" s="126"/>
      <c r="FDX67" s="127"/>
      <c r="FDY67" s="128"/>
      <c r="FDZ67" s="128"/>
      <c r="FEA67" s="127"/>
      <c r="FEB67" s="129"/>
      <c r="FEC67" s="127"/>
      <c r="FED67" s="129"/>
      <c r="FEE67" s="130"/>
      <c r="FEF67" s="131"/>
      <c r="FEG67"/>
      <c r="FEH67" s="132"/>
      <c r="FEI67"/>
      <c r="FEJ67" s="125"/>
      <c r="FEK67" s="133"/>
      <c r="FEL67"/>
      <c r="FEM67" s="126"/>
      <c r="FEN67" s="127"/>
      <c r="FEO67" s="128"/>
      <c r="FEP67" s="128"/>
      <c r="FEQ67" s="127"/>
      <c r="FER67" s="129"/>
      <c r="FES67" s="127"/>
      <c r="FET67" s="129"/>
      <c r="FEU67" s="130"/>
      <c r="FEV67" s="131"/>
      <c r="FEW67"/>
      <c r="FEX67" s="132"/>
      <c r="FEY67"/>
      <c r="FEZ67" s="125"/>
      <c r="FFA67" s="133"/>
      <c r="FFB67"/>
      <c r="FFC67" s="126"/>
      <c r="FFD67" s="127"/>
      <c r="FFE67" s="128"/>
      <c r="FFF67" s="128"/>
      <c r="FFG67" s="127"/>
      <c r="FFH67" s="129"/>
      <c r="FFI67" s="127"/>
      <c r="FFJ67" s="129"/>
      <c r="FFK67" s="130"/>
      <c r="FFL67" s="131"/>
      <c r="FFM67"/>
      <c r="FFN67" s="132"/>
      <c r="FFO67"/>
      <c r="FFP67" s="125"/>
      <c r="FFQ67" s="133"/>
      <c r="FFR67"/>
      <c r="FFS67" s="126"/>
      <c r="FFT67" s="127"/>
      <c r="FFU67" s="128"/>
      <c r="FFV67" s="128"/>
      <c r="FFW67" s="127"/>
      <c r="FFX67" s="129"/>
      <c r="FFY67" s="127"/>
      <c r="FFZ67" s="129"/>
      <c r="FGA67" s="130"/>
      <c r="FGB67" s="131"/>
      <c r="FGC67"/>
      <c r="FGD67" s="132"/>
      <c r="FGE67"/>
      <c r="FGF67" s="125"/>
      <c r="FGG67" s="133"/>
      <c r="FGH67"/>
      <c r="FGI67" s="126"/>
      <c r="FGJ67" s="127"/>
      <c r="FGK67" s="128"/>
      <c r="FGL67" s="128"/>
      <c r="FGM67" s="127"/>
      <c r="FGN67" s="129"/>
      <c r="FGO67" s="127"/>
      <c r="FGP67" s="129"/>
      <c r="FGQ67" s="130"/>
      <c r="FGR67" s="131"/>
      <c r="FGS67"/>
      <c r="FGT67" s="132"/>
      <c r="FGU67"/>
      <c r="FGV67" s="125"/>
      <c r="FGW67" s="133"/>
      <c r="FGX67"/>
      <c r="FGY67" s="126"/>
      <c r="FGZ67" s="127"/>
      <c r="FHA67" s="128"/>
      <c r="FHB67" s="128"/>
      <c r="FHC67" s="127"/>
      <c r="FHD67" s="129"/>
      <c r="FHE67" s="127"/>
      <c r="FHF67" s="129"/>
      <c r="FHG67" s="130"/>
      <c r="FHH67" s="131"/>
      <c r="FHI67"/>
      <c r="FHJ67" s="132"/>
      <c r="FHK67"/>
      <c r="FHL67" s="125"/>
      <c r="FHM67" s="133"/>
      <c r="FHN67"/>
      <c r="FHO67" s="126"/>
      <c r="FHP67" s="127"/>
      <c r="FHQ67" s="128"/>
      <c r="FHR67" s="128"/>
      <c r="FHS67" s="127"/>
      <c r="FHT67" s="129"/>
      <c r="FHU67" s="127"/>
      <c r="FHV67" s="129"/>
      <c r="FHW67" s="130"/>
      <c r="FHX67" s="131"/>
      <c r="FHY67"/>
      <c r="FHZ67" s="132"/>
      <c r="FIA67"/>
      <c r="FIB67" s="125"/>
      <c r="FIC67" s="133"/>
      <c r="FID67"/>
      <c r="FIE67" s="126"/>
      <c r="FIF67" s="127"/>
      <c r="FIG67" s="128"/>
      <c r="FIH67" s="128"/>
      <c r="FII67" s="127"/>
      <c r="FIJ67" s="129"/>
      <c r="FIK67" s="127"/>
      <c r="FIL67" s="129"/>
      <c r="FIM67" s="130"/>
      <c r="FIN67" s="131"/>
      <c r="FIO67"/>
      <c r="FIP67" s="132"/>
      <c r="FIQ67"/>
      <c r="FIR67" s="125"/>
      <c r="FIS67" s="133"/>
      <c r="FIT67"/>
      <c r="FIU67" s="126"/>
      <c r="FIV67" s="127"/>
      <c r="FIW67" s="128"/>
      <c r="FIX67" s="128"/>
      <c r="FIY67" s="127"/>
      <c r="FIZ67" s="129"/>
      <c r="FJA67" s="127"/>
      <c r="FJB67" s="129"/>
      <c r="FJC67" s="130"/>
      <c r="FJD67" s="131"/>
      <c r="FJE67"/>
      <c r="FJF67" s="132"/>
      <c r="FJG67"/>
      <c r="FJH67" s="125"/>
      <c r="FJI67" s="133"/>
      <c r="FJJ67"/>
      <c r="FJK67" s="126"/>
      <c r="FJL67" s="127"/>
      <c r="FJM67" s="128"/>
      <c r="FJN67" s="128"/>
      <c r="FJO67" s="127"/>
      <c r="FJP67" s="129"/>
      <c r="FJQ67" s="127"/>
      <c r="FJR67" s="129"/>
      <c r="FJS67" s="130"/>
      <c r="FJT67" s="131"/>
      <c r="FJU67"/>
      <c r="FJV67" s="132"/>
      <c r="FJW67"/>
      <c r="FJX67" s="125"/>
      <c r="FJY67" s="133"/>
      <c r="FJZ67"/>
      <c r="FKA67" s="126"/>
      <c r="FKB67" s="127"/>
      <c r="FKC67" s="128"/>
      <c r="FKD67" s="128"/>
      <c r="FKE67" s="127"/>
      <c r="FKF67" s="129"/>
      <c r="FKG67" s="127"/>
      <c r="FKH67" s="129"/>
      <c r="FKI67" s="130"/>
      <c r="FKJ67" s="131"/>
      <c r="FKK67"/>
      <c r="FKL67" s="132"/>
      <c r="FKM67"/>
      <c r="FKN67" s="125"/>
      <c r="FKO67" s="133"/>
      <c r="FKP67"/>
      <c r="FKQ67" s="126"/>
      <c r="FKR67" s="127"/>
      <c r="FKS67" s="128"/>
      <c r="FKT67" s="128"/>
      <c r="FKU67" s="127"/>
      <c r="FKV67" s="129"/>
      <c r="FKW67" s="127"/>
      <c r="FKX67" s="129"/>
      <c r="FKY67" s="130"/>
      <c r="FKZ67" s="131"/>
      <c r="FLA67"/>
      <c r="FLB67" s="132"/>
      <c r="FLC67"/>
      <c r="FLD67" s="125"/>
      <c r="FLE67" s="133"/>
      <c r="FLF67"/>
      <c r="FLG67" s="126"/>
      <c r="FLH67" s="127"/>
      <c r="FLI67" s="128"/>
      <c r="FLJ67" s="128"/>
      <c r="FLK67" s="127"/>
      <c r="FLL67" s="129"/>
      <c r="FLM67" s="127"/>
      <c r="FLN67" s="129"/>
      <c r="FLO67" s="130"/>
      <c r="FLP67" s="131"/>
      <c r="FLQ67"/>
      <c r="FLR67" s="132"/>
      <c r="FLS67"/>
      <c r="FLT67" s="125"/>
      <c r="FLU67" s="133"/>
      <c r="FLV67"/>
      <c r="FLW67" s="126"/>
      <c r="FLX67" s="127"/>
      <c r="FLY67" s="128"/>
      <c r="FLZ67" s="128"/>
      <c r="FMA67" s="127"/>
      <c r="FMB67" s="129"/>
      <c r="FMC67" s="127"/>
      <c r="FMD67" s="129"/>
      <c r="FME67" s="130"/>
      <c r="FMF67" s="131"/>
      <c r="FMG67"/>
      <c r="FMH67" s="132"/>
      <c r="FMI67"/>
      <c r="FMJ67" s="125"/>
      <c r="FMK67" s="133"/>
      <c r="FML67"/>
      <c r="FMM67" s="126"/>
      <c r="FMN67" s="127"/>
      <c r="FMO67" s="128"/>
      <c r="FMP67" s="128"/>
      <c r="FMQ67" s="127"/>
      <c r="FMR67" s="129"/>
      <c r="FMS67" s="127"/>
      <c r="FMT67" s="129"/>
      <c r="FMU67" s="130"/>
      <c r="FMV67" s="131"/>
      <c r="FMW67"/>
      <c r="FMX67" s="132"/>
      <c r="FMY67"/>
      <c r="FMZ67" s="125"/>
      <c r="FNA67" s="133"/>
      <c r="FNB67"/>
      <c r="FNC67" s="126"/>
      <c r="FND67" s="127"/>
      <c r="FNE67" s="128"/>
      <c r="FNF67" s="128"/>
      <c r="FNG67" s="127"/>
      <c r="FNH67" s="129"/>
      <c r="FNI67" s="127"/>
      <c r="FNJ67" s="129"/>
      <c r="FNK67" s="130"/>
      <c r="FNL67" s="131"/>
      <c r="FNM67"/>
      <c r="FNN67" s="132"/>
      <c r="FNO67"/>
      <c r="FNP67" s="125"/>
      <c r="FNQ67" s="133"/>
      <c r="FNR67"/>
      <c r="FNS67" s="126"/>
      <c r="FNT67" s="127"/>
      <c r="FNU67" s="128"/>
      <c r="FNV67" s="128"/>
      <c r="FNW67" s="127"/>
      <c r="FNX67" s="129"/>
      <c r="FNY67" s="127"/>
      <c r="FNZ67" s="129"/>
      <c r="FOA67" s="130"/>
      <c r="FOB67" s="131"/>
      <c r="FOC67"/>
      <c r="FOD67" s="132"/>
      <c r="FOE67"/>
      <c r="FOF67" s="125"/>
      <c r="FOG67" s="133"/>
      <c r="FOH67"/>
      <c r="FOI67" s="126"/>
      <c r="FOJ67" s="127"/>
      <c r="FOK67" s="128"/>
      <c r="FOL67" s="128"/>
      <c r="FOM67" s="127"/>
      <c r="FON67" s="129"/>
      <c r="FOO67" s="127"/>
      <c r="FOP67" s="129"/>
      <c r="FOQ67" s="130"/>
      <c r="FOR67" s="131"/>
      <c r="FOS67"/>
      <c r="FOT67" s="132"/>
      <c r="FOU67"/>
      <c r="FOV67" s="125"/>
      <c r="FOW67" s="133"/>
      <c r="FOX67"/>
      <c r="FOY67" s="126"/>
      <c r="FOZ67" s="127"/>
      <c r="FPA67" s="128"/>
      <c r="FPB67" s="128"/>
      <c r="FPC67" s="127"/>
      <c r="FPD67" s="129"/>
      <c r="FPE67" s="127"/>
      <c r="FPF67" s="129"/>
      <c r="FPG67" s="130"/>
      <c r="FPH67" s="131"/>
      <c r="FPI67"/>
      <c r="FPJ67" s="132"/>
      <c r="FPK67"/>
      <c r="FPL67" s="125"/>
      <c r="FPM67" s="133"/>
      <c r="FPN67"/>
      <c r="FPO67" s="126"/>
      <c r="FPP67" s="127"/>
      <c r="FPQ67" s="128"/>
      <c r="FPR67" s="128"/>
      <c r="FPS67" s="127"/>
      <c r="FPT67" s="129"/>
      <c r="FPU67" s="127"/>
      <c r="FPV67" s="129"/>
      <c r="FPW67" s="130"/>
      <c r="FPX67" s="131"/>
      <c r="FPY67"/>
      <c r="FPZ67" s="132"/>
      <c r="FQA67"/>
      <c r="FQB67" s="125"/>
      <c r="FQC67" s="133"/>
      <c r="FQD67"/>
      <c r="FQE67" s="126"/>
      <c r="FQF67" s="127"/>
      <c r="FQG67" s="128"/>
      <c r="FQH67" s="128"/>
      <c r="FQI67" s="127"/>
      <c r="FQJ67" s="129"/>
      <c r="FQK67" s="127"/>
      <c r="FQL67" s="129"/>
      <c r="FQM67" s="130"/>
      <c r="FQN67" s="131"/>
      <c r="FQO67"/>
      <c r="FQP67" s="132"/>
      <c r="FQQ67"/>
      <c r="FQR67" s="125"/>
      <c r="FQS67" s="133"/>
      <c r="FQT67"/>
      <c r="FQU67" s="126"/>
      <c r="FQV67" s="127"/>
      <c r="FQW67" s="128"/>
      <c r="FQX67" s="128"/>
      <c r="FQY67" s="127"/>
      <c r="FQZ67" s="129"/>
      <c r="FRA67" s="127"/>
      <c r="FRB67" s="129"/>
      <c r="FRC67" s="130"/>
      <c r="FRD67" s="131"/>
      <c r="FRE67"/>
      <c r="FRF67" s="132"/>
      <c r="FRG67"/>
      <c r="FRH67" s="125"/>
      <c r="FRI67" s="133"/>
      <c r="FRJ67"/>
      <c r="FRK67" s="126"/>
      <c r="FRL67" s="127"/>
      <c r="FRM67" s="128"/>
      <c r="FRN67" s="128"/>
      <c r="FRO67" s="127"/>
      <c r="FRP67" s="129"/>
      <c r="FRQ67" s="127"/>
      <c r="FRR67" s="129"/>
      <c r="FRS67" s="130"/>
      <c r="FRT67" s="131"/>
      <c r="FRU67"/>
      <c r="FRV67" s="132"/>
      <c r="FRW67"/>
      <c r="FRX67" s="125"/>
      <c r="FRY67" s="133"/>
      <c r="FRZ67"/>
      <c r="FSA67" s="126"/>
      <c r="FSB67" s="127"/>
      <c r="FSC67" s="128"/>
      <c r="FSD67" s="128"/>
      <c r="FSE67" s="127"/>
      <c r="FSF67" s="129"/>
      <c r="FSG67" s="127"/>
      <c r="FSH67" s="129"/>
      <c r="FSI67" s="130"/>
      <c r="FSJ67" s="131"/>
      <c r="FSK67"/>
      <c r="FSL67" s="132"/>
      <c r="FSM67"/>
      <c r="FSN67" s="125"/>
      <c r="FSO67" s="133"/>
      <c r="FSP67"/>
      <c r="FSQ67" s="126"/>
      <c r="FSR67" s="127"/>
      <c r="FSS67" s="128"/>
      <c r="FST67" s="128"/>
      <c r="FSU67" s="127"/>
      <c r="FSV67" s="129"/>
      <c r="FSW67" s="127"/>
      <c r="FSX67" s="129"/>
      <c r="FSY67" s="130"/>
      <c r="FSZ67" s="131"/>
      <c r="FTA67"/>
      <c r="FTB67" s="132"/>
      <c r="FTC67"/>
      <c r="FTD67" s="125"/>
      <c r="FTE67" s="133"/>
      <c r="FTF67"/>
      <c r="FTG67" s="126"/>
      <c r="FTH67" s="127"/>
      <c r="FTI67" s="128"/>
      <c r="FTJ67" s="128"/>
      <c r="FTK67" s="127"/>
      <c r="FTL67" s="129"/>
      <c r="FTM67" s="127"/>
      <c r="FTN67" s="129"/>
      <c r="FTO67" s="130"/>
      <c r="FTP67" s="131"/>
      <c r="FTQ67"/>
      <c r="FTR67" s="132"/>
      <c r="FTS67"/>
      <c r="FTT67" s="125"/>
      <c r="FTU67" s="133"/>
      <c r="FTV67"/>
      <c r="FTW67" s="126"/>
      <c r="FTX67" s="127"/>
      <c r="FTY67" s="128"/>
      <c r="FTZ67" s="128"/>
      <c r="FUA67" s="127"/>
      <c r="FUB67" s="129"/>
      <c r="FUC67" s="127"/>
      <c r="FUD67" s="129"/>
      <c r="FUE67" s="130"/>
      <c r="FUF67" s="131"/>
      <c r="FUG67"/>
      <c r="FUH67" s="132"/>
      <c r="FUI67"/>
      <c r="FUJ67" s="125"/>
      <c r="FUK67" s="133"/>
      <c r="FUL67"/>
      <c r="FUM67" s="126"/>
      <c r="FUN67" s="127"/>
      <c r="FUO67" s="128"/>
      <c r="FUP67" s="128"/>
      <c r="FUQ67" s="127"/>
      <c r="FUR67" s="129"/>
      <c r="FUS67" s="127"/>
      <c r="FUT67" s="129"/>
      <c r="FUU67" s="130"/>
      <c r="FUV67" s="131"/>
      <c r="FUW67"/>
      <c r="FUX67" s="132"/>
      <c r="FUY67"/>
      <c r="FUZ67" s="125"/>
      <c r="FVA67" s="133"/>
      <c r="FVB67"/>
      <c r="FVC67" s="126"/>
      <c r="FVD67" s="127"/>
      <c r="FVE67" s="128"/>
      <c r="FVF67" s="128"/>
      <c r="FVG67" s="127"/>
      <c r="FVH67" s="129"/>
      <c r="FVI67" s="127"/>
      <c r="FVJ67" s="129"/>
      <c r="FVK67" s="130"/>
      <c r="FVL67" s="131"/>
      <c r="FVM67"/>
      <c r="FVN67" s="132"/>
      <c r="FVO67"/>
      <c r="FVP67" s="125"/>
      <c r="FVQ67" s="133"/>
      <c r="FVR67"/>
      <c r="FVS67" s="126"/>
      <c r="FVT67" s="127"/>
      <c r="FVU67" s="128"/>
      <c r="FVV67" s="128"/>
      <c r="FVW67" s="127"/>
      <c r="FVX67" s="129"/>
      <c r="FVY67" s="127"/>
      <c r="FVZ67" s="129"/>
      <c r="FWA67" s="130"/>
      <c r="FWB67" s="131"/>
      <c r="FWC67"/>
      <c r="FWD67" s="132"/>
      <c r="FWE67"/>
      <c r="FWF67" s="125"/>
      <c r="FWG67" s="133"/>
      <c r="FWH67"/>
      <c r="FWI67" s="126"/>
      <c r="FWJ67" s="127"/>
      <c r="FWK67" s="128"/>
      <c r="FWL67" s="128"/>
      <c r="FWM67" s="127"/>
      <c r="FWN67" s="129"/>
      <c r="FWO67" s="127"/>
      <c r="FWP67" s="129"/>
      <c r="FWQ67" s="130"/>
      <c r="FWR67" s="131"/>
      <c r="FWS67"/>
      <c r="FWT67" s="132"/>
      <c r="FWU67"/>
      <c r="FWV67" s="125"/>
      <c r="FWW67" s="133"/>
      <c r="FWX67"/>
      <c r="FWY67" s="126"/>
      <c r="FWZ67" s="127"/>
      <c r="FXA67" s="128"/>
      <c r="FXB67" s="128"/>
      <c r="FXC67" s="127"/>
      <c r="FXD67" s="129"/>
      <c r="FXE67" s="127"/>
      <c r="FXF67" s="129"/>
      <c r="FXG67" s="130"/>
      <c r="FXH67" s="131"/>
      <c r="FXI67"/>
      <c r="FXJ67" s="132"/>
      <c r="FXK67"/>
      <c r="FXL67" s="125"/>
      <c r="FXM67" s="133"/>
      <c r="FXN67"/>
      <c r="FXO67" s="126"/>
      <c r="FXP67" s="127"/>
      <c r="FXQ67" s="128"/>
      <c r="FXR67" s="128"/>
      <c r="FXS67" s="127"/>
      <c r="FXT67" s="129"/>
      <c r="FXU67" s="127"/>
      <c r="FXV67" s="129"/>
      <c r="FXW67" s="130"/>
      <c r="FXX67" s="131"/>
      <c r="FXY67"/>
      <c r="FXZ67" s="132"/>
      <c r="FYA67"/>
      <c r="FYB67" s="125"/>
      <c r="FYC67" s="133"/>
      <c r="FYD67"/>
      <c r="FYE67" s="126"/>
      <c r="FYF67" s="127"/>
      <c r="FYG67" s="128"/>
      <c r="FYH67" s="128"/>
      <c r="FYI67" s="127"/>
      <c r="FYJ67" s="129"/>
      <c r="FYK67" s="127"/>
      <c r="FYL67" s="129"/>
      <c r="FYM67" s="130"/>
      <c r="FYN67" s="131"/>
      <c r="FYO67"/>
      <c r="FYP67" s="132"/>
      <c r="FYQ67"/>
      <c r="FYR67" s="125"/>
      <c r="FYS67" s="133"/>
      <c r="FYT67"/>
      <c r="FYU67" s="126"/>
      <c r="FYV67" s="127"/>
      <c r="FYW67" s="128"/>
      <c r="FYX67" s="128"/>
      <c r="FYY67" s="127"/>
      <c r="FYZ67" s="129"/>
      <c r="FZA67" s="127"/>
      <c r="FZB67" s="129"/>
      <c r="FZC67" s="130"/>
      <c r="FZD67" s="131"/>
      <c r="FZE67"/>
      <c r="FZF67" s="132"/>
      <c r="FZG67"/>
      <c r="FZH67" s="125"/>
      <c r="FZI67" s="133"/>
      <c r="FZJ67"/>
      <c r="FZK67" s="126"/>
      <c r="FZL67" s="127"/>
      <c r="FZM67" s="128"/>
      <c r="FZN67" s="128"/>
      <c r="FZO67" s="127"/>
      <c r="FZP67" s="129"/>
      <c r="FZQ67" s="127"/>
      <c r="FZR67" s="129"/>
      <c r="FZS67" s="130"/>
      <c r="FZT67" s="131"/>
      <c r="FZU67"/>
      <c r="FZV67" s="132"/>
      <c r="FZW67"/>
      <c r="FZX67" s="125"/>
      <c r="FZY67" s="133"/>
      <c r="FZZ67"/>
      <c r="GAA67" s="126"/>
      <c r="GAB67" s="127"/>
      <c r="GAC67" s="128"/>
      <c r="GAD67" s="128"/>
      <c r="GAE67" s="127"/>
      <c r="GAF67" s="129"/>
      <c r="GAG67" s="127"/>
      <c r="GAH67" s="129"/>
      <c r="GAI67" s="130"/>
      <c r="GAJ67" s="131"/>
      <c r="GAK67"/>
      <c r="GAL67" s="132"/>
      <c r="GAM67"/>
      <c r="GAN67" s="125"/>
      <c r="GAO67" s="133"/>
      <c r="GAP67"/>
      <c r="GAQ67" s="126"/>
      <c r="GAR67" s="127"/>
      <c r="GAS67" s="128"/>
      <c r="GAT67" s="128"/>
      <c r="GAU67" s="127"/>
      <c r="GAV67" s="129"/>
      <c r="GAW67" s="127"/>
      <c r="GAX67" s="129"/>
      <c r="GAY67" s="130"/>
      <c r="GAZ67" s="131"/>
      <c r="GBA67"/>
      <c r="GBB67" s="132"/>
      <c r="GBC67"/>
      <c r="GBD67" s="125"/>
      <c r="GBE67" s="133"/>
      <c r="GBF67"/>
      <c r="GBG67" s="126"/>
      <c r="GBH67" s="127"/>
      <c r="GBI67" s="128"/>
      <c r="GBJ67" s="128"/>
      <c r="GBK67" s="127"/>
      <c r="GBL67" s="129"/>
      <c r="GBM67" s="127"/>
      <c r="GBN67" s="129"/>
      <c r="GBO67" s="130"/>
      <c r="GBP67" s="131"/>
      <c r="GBQ67"/>
      <c r="GBR67" s="132"/>
      <c r="GBS67"/>
      <c r="GBT67" s="125"/>
      <c r="GBU67" s="133"/>
      <c r="GBV67"/>
      <c r="GBW67" s="126"/>
      <c r="GBX67" s="127"/>
      <c r="GBY67" s="128"/>
      <c r="GBZ67" s="128"/>
      <c r="GCA67" s="127"/>
      <c r="GCB67" s="129"/>
      <c r="GCC67" s="127"/>
      <c r="GCD67" s="129"/>
      <c r="GCE67" s="130"/>
      <c r="GCF67" s="131"/>
      <c r="GCG67"/>
      <c r="GCH67" s="132"/>
      <c r="GCI67"/>
      <c r="GCJ67" s="125"/>
      <c r="GCK67" s="133"/>
      <c r="GCL67"/>
      <c r="GCM67" s="126"/>
      <c r="GCN67" s="127"/>
      <c r="GCO67" s="128"/>
      <c r="GCP67" s="128"/>
      <c r="GCQ67" s="127"/>
      <c r="GCR67" s="129"/>
      <c r="GCS67" s="127"/>
      <c r="GCT67" s="129"/>
      <c r="GCU67" s="130"/>
      <c r="GCV67" s="131"/>
      <c r="GCW67"/>
      <c r="GCX67" s="132"/>
      <c r="GCY67"/>
      <c r="GCZ67" s="125"/>
      <c r="GDA67" s="133"/>
      <c r="GDB67"/>
      <c r="GDC67" s="126"/>
      <c r="GDD67" s="127"/>
      <c r="GDE67" s="128"/>
      <c r="GDF67" s="128"/>
      <c r="GDG67" s="127"/>
      <c r="GDH67" s="129"/>
      <c r="GDI67" s="127"/>
      <c r="GDJ67" s="129"/>
      <c r="GDK67" s="130"/>
      <c r="GDL67" s="131"/>
      <c r="GDM67"/>
      <c r="GDN67" s="132"/>
      <c r="GDO67"/>
      <c r="GDP67" s="125"/>
      <c r="GDQ67" s="133"/>
      <c r="GDR67"/>
      <c r="GDS67" s="126"/>
      <c r="GDT67" s="127"/>
      <c r="GDU67" s="128"/>
      <c r="GDV67" s="128"/>
      <c r="GDW67" s="127"/>
      <c r="GDX67" s="129"/>
      <c r="GDY67" s="127"/>
      <c r="GDZ67" s="129"/>
      <c r="GEA67" s="130"/>
      <c r="GEB67" s="131"/>
      <c r="GEC67"/>
      <c r="GED67" s="132"/>
      <c r="GEE67"/>
      <c r="GEF67" s="125"/>
      <c r="GEG67" s="133"/>
      <c r="GEH67"/>
      <c r="GEI67" s="126"/>
      <c r="GEJ67" s="127"/>
      <c r="GEK67" s="128"/>
      <c r="GEL67" s="128"/>
      <c r="GEM67" s="127"/>
      <c r="GEN67" s="129"/>
      <c r="GEO67" s="127"/>
      <c r="GEP67" s="129"/>
      <c r="GEQ67" s="130"/>
      <c r="GER67" s="131"/>
      <c r="GES67"/>
      <c r="GET67" s="132"/>
      <c r="GEU67"/>
      <c r="GEV67" s="125"/>
      <c r="GEW67" s="133"/>
      <c r="GEX67"/>
      <c r="GEY67" s="126"/>
      <c r="GEZ67" s="127"/>
      <c r="GFA67" s="128"/>
      <c r="GFB67" s="128"/>
      <c r="GFC67" s="127"/>
      <c r="GFD67" s="129"/>
      <c r="GFE67" s="127"/>
      <c r="GFF67" s="129"/>
      <c r="GFG67" s="130"/>
      <c r="GFH67" s="131"/>
      <c r="GFI67"/>
      <c r="GFJ67" s="132"/>
      <c r="GFK67"/>
      <c r="GFL67" s="125"/>
      <c r="GFM67" s="133"/>
      <c r="GFN67"/>
      <c r="GFO67" s="126"/>
      <c r="GFP67" s="127"/>
      <c r="GFQ67" s="128"/>
      <c r="GFR67" s="128"/>
      <c r="GFS67" s="127"/>
      <c r="GFT67" s="129"/>
      <c r="GFU67" s="127"/>
      <c r="GFV67" s="129"/>
      <c r="GFW67" s="130"/>
      <c r="GFX67" s="131"/>
      <c r="GFY67"/>
      <c r="GFZ67" s="132"/>
      <c r="GGA67"/>
      <c r="GGB67" s="125"/>
      <c r="GGC67" s="133"/>
      <c r="GGD67"/>
      <c r="GGE67" s="126"/>
      <c r="GGF67" s="127"/>
      <c r="GGG67" s="128"/>
      <c r="GGH67" s="128"/>
      <c r="GGI67" s="127"/>
      <c r="GGJ67" s="129"/>
      <c r="GGK67" s="127"/>
      <c r="GGL67" s="129"/>
      <c r="GGM67" s="130"/>
      <c r="GGN67" s="131"/>
      <c r="GGO67"/>
      <c r="GGP67" s="132"/>
      <c r="GGQ67"/>
      <c r="GGR67" s="125"/>
      <c r="GGS67" s="133"/>
      <c r="GGT67"/>
      <c r="GGU67" s="126"/>
      <c r="GGV67" s="127"/>
      <c r="GGW67" s="128"/>
      <c r="GGX67" s="128"/>
      <c r="GGY67" s="127"/>
      <c r="GGZ67" s="129"/>
      <c r="GHA67" s="127"/>
      <c r="GHB67" s="129"/>
      <c r="GHC67" s="130"/>
      <c r="GHD67" s="131"/>
      <c r="GHE67"/>
      <c r="GHF67" s="132"/>
      <c r="GHG67"/>
      <c r="GHH67" s="125"/>
      <c r="GHI67" s="133"/>
      <c r="GHJ67"/>
      <c r="GHK67" s="126"/>
      <c r="GHL67" s="127"/>
      <c r="GHM67" s="128"/>
      <c r="GHN67" s="128"/>
      <c r="GHO67" s="127"/>
      <c r="GHP67" s="129"/>
      <c r="GHQ67" s="127"/>
      <c r="GHR67" s="129"/>
      <c r="GHS67" s="130"/>
      <c r="GHT67" s="131"/>
      <c r="GHU67"/>
      <c r="GHV67" s="132"/>
      <c r="GHW67"/>
      <c r="GHX67" s="125"/>
      <c r="GHY67" s="133"/>
      <c r="GHZ67"/>
      <c r="GIA67" s="126"/>
      <c r="GIB67" s="127"/>
      <c r="GIC67" s="128"/>
      <c r="GID67" s="128"/>
      <c r="GIE67" s="127"/>
      <c r="GIF67" s="129"/>
      <c r="GIG67" s="127"/>
      <c r="GIH67" s="129"/>
      <c r="GII67" s="130"/>
      <c r="GIJ67" s="131"/>
      <c r="GIK67"/>
      <c r="GIL67" s="132"/>
      <c r="GIM67"/>
      <c r="GIN67" s="125"/>
      <c r="GIO67" s="133"/>
      <c r="GIP67"/>
      <c r="GIQ67" s="126"/>
      <c r="GIR67" s="127"/>
      <c r="GIS67" s="128"/>
      <c r="GIT67" s="128"/>
      <c r="GIU67" s="127"/>
      <c r="GIV67" s="129"/>
      <c r="GIW67" s="127"/>
      <c r="GIX67" s="129"/>
      <c r="GIY67" s="130"/>
      <c r="GIZ67" s="131"/>
      <c r="GJA67"/>
      <c r="GJB67" s="132"/>
      <c r="GJC67"/>
      <c r="GJD67" s="125"/>
      <c r="GJE67" s="133"/>
      <c r="GJF67"/>
      <c r="GJG67" s="126"/>
      <c r="GJH67" s="127"/>
      <c r="GJI67" s="128"/>
      <c r="GJJ67" s="128"/>
      <c r="GJK67" s="127"/>
      <c r="GJL67" s="129"/>
      <c r="GJM67" s="127"/>
      <c r="GJN67" s="129"/>
      <c r="GJO67" s="130"/>
      <c r="GJP67" s="131"/>
      <c r="GJQ67"/>
      <c r="GJR67" s="132"/>
      <c r="GJS67"/>
      <c r="GJT67" s="125"/>
      <c r="GJU67" s="133"/>
      <c r="GJV67"/>
      <c r="GJW67" s="126"/>
      <c r="GJX67" s="127"/>
      <c r="GJY67" s="128"/>
      <c r="GJZ67" s="128"/>
      <c r="GKA67" s="127"/>
      <c r="GKB67" s="129"/>
      <c r="GKC67" s="127"/>
      <c r="GKD67" s="129"/>
      <c r="GKE67" s="130"/>
      <c r="GKF67" s="131"/>
      <c r="GKG67"/>
      <c r="GKH67" s="132"/>
      <c r="GKI67"/>
      <c r="GKJ67" s="125"/>
      <c r="GKK67" s="133"/>
      <c r="GKL67"/>
      <c r="GKM67" s="126"/>
      <c r="GKN67" s="127"/>
      <c r="GKO67" s="128"/>
      <c r="GKP67" s="128"/>
      <c r="GKQ67" s="127"/>
      <c r="GKR67" s="129"/>
      <c r="GKS67" s="127"/>
      <c r="GKT67" s="129"/>
      <c r="GKU67" s="130"/>
      <c r="GKV67" s="131"/>
      <c r="GKW67"/>
      <c r="GKX67" s="132"/>
      <c r="GKY67"/>
      <c r="GKZ67" s="125"/>
      <c r="GLA67" s="133"/>
      <c r="GLB67"/>
      <c r="GLC67" s="126"/>
      <c r="GLD67" s="127"/>
      <c r="GLE67" s="128"/>
      <c r="GLF67" s="128"/>
      <c r="GLG67" s="127"/>
      <c r="GLH67" s="129"/>
      <c r="GLI67" s="127"/>
      <c r="GLJ67" s="129"/>
      <c r="GLK67" s="130"/>
      <c r="GLL67" s="131"/>
      <c r="GLM67"/>
      <c r="GLN67" s="132"/>
      <c r="GLO67"/>
      <c r="GLP67" s="125"/>
      <c r="GLQ67" s="133"/>
      <c r="GLR67"/>
      <c r="GLS67" s="126"/>
      <c r="GLT67" s="127"/>
      <c r="GLU67" s="128"/>
      <c r="GLV67" s="128"/>
      <c r="GLW67" s="127"/>
      <c r="GLX67" s="129"/>
      <c r="GLY67" s="127"/>
      <c r="GLZ67" s="129"/>
      <c r="GMA67" s="130"/>
      <c r="GMB67" s="131"/>
      <c r="GMC67"/>
      <c r="GMD67" s="132"/>
      <c r="GME67"/>
      <c r="GMF67" s="125"/>
      <c r="GMG67" s="133"/>
      <c r="GMH67"/>
      <c r="GMI67" s="126"/>
      <c r="GMJ67" s="127"/>
      <c r="GMK67" s="128"/>
      <c r="GML67" s="128"/>
      <c r="GMM67" s="127"/>
      <c r="GMN67" s="129"/>
      <c r="GMO67" s="127"/>
      <c r="GMP67" s="129"/>
      <c r="GMQ67" s="130"/>
      <c r="GMR67" s="131"/>
      <c r="GMS67"/>
      <c r="GMT67" s="132"/>
      <c r="GMU67"/>
      <c r="GMV67" s="125"/>
      <c r="GMW67" s="133"/>
      <c r="GMX67"/>
      <c r="GMY67" s="126"/>
      <c r="GMZ67" s="127"/>
      <c r="GNA67" s="128"/>
      <c r="GNB67" s="128"/>
      <c r="GNC67" s="127"/>
      <c r="GND67" s="129"/>
      <c r="GNE67" s="127"/>
      <c r="GNF67" s="129"/>
      <c r="GNG67" s="130"/>
      <c r="GNH67" s="131"/>
      <c r="GNI67"/>
      <c r="GNJ67" s="132"/>
      <c r="GNK67"/>
      <c r="GNL67" s="125"/>
      <c r="GNM67" s="133"/>
      <c r="GNN67"/>
      <c r="GNO67" s="126"/>
      <c r="GNP67" s="127"/>
      <c r="GNQ67" s="128"/>
      <c r="GNR67" s="128"/>
      <c r="GNS67" s="127"/>
      <c r="GNT67" s="129"/>
      <c r="GNU67" s="127"/>
      <c r="GNV67" s="129"/>
      <c r="GNW67" s="130"/>
      <c r="GNX67" s="131"/>
      <c r="GNY67"/>
      <c r="GNZ67" s="132"/>
      <c r="GOA67"/>
      <c r="GOB67" s="125"/>
      <c r="GOC67" s="133"/>
      <c r="GOD67"/>
      <c r="GOE67" s="126"/>
      <c r="GOF67" s="127"/>
      <c r="GOG67" s="128"/>
      <c r="GOH67" s="128"/>
      <c r="GOI67" s="127"/>
      <c r="GOJ67" s="129"/>
      <c r="GOK67" s="127"/>
      <c r="GOL67" s="129"/>
      <c r="GOM67" s="130"/>
      <c r="GON67" s="131"/>
      <c r="GOO67"/>
      <c r="GOP67" s="132"/>
      <c r="GOQ67"/>
      <c r="GOR67" s="125"/>
      <c r="GOS67" s="133"/>
      <c r="GOT67"/>
      <c r="GOU67" s="126"/>
      <c r="GOV67" s="127"/>
      <c r="GOW67" s="128"/>
      <c r="GOX67" s="128"/>
      <c r="GOY67" s="127"/>
      <c r="GOZ67" s="129"/>
      <c r="GPA67" s="127"/>
      <c r="GPB67" s="129"/>
      <c r="GPC67" s="130"/>
      <c r="GPD67" s="131"/>
      <c r="GPE67"/>
      <c r="GPF67" s="132"/>
      <c r="GPG67"/>
      <c r="GPH67" s="125"/>
      <c r="GPI67" s="133"/>
      <c r="GPJ67"/>
      <c r="GPK67" s="126"/>
      <c r="GPL67" s="127"/>
      <c r="GPM67" s="128"/>
      <c r="GPN67" s="128"/>
      <c r="GPO67" s="127"/>
      <c r="GPP67" s="129"/>
      <c r="GPQ67" s="127"/>
      <c r="GPR67" s="129"/>
      <c r="GPS67" s="130"/>
      <c r="GPT67" s="131"/>
      <c r="GPU67"/>
      <c r="GPV67" s="132"/>
      <c r="GPW67"/>
      <c r="GPX67" s="125"/>
      <c r="GPY67" s="133"/>
      <c r="GPZ67"/>
      <c r="GQA67" s="126"/>
      <c r="GQB67" s="127"/>
      <c r="GQC67" s="128"/>
      <c r="GQD67" s="128"/>
      <c r="GQE67" s="127"/>
      <c r="GQF67" s="129"/>
      <c r="GQG67" s="127"/>
      <c r="GQH67" s="129"/>
      <c r="GQI67" s="130"/>
      <c r="GQJ67" s="131"/>
      <c r="GQK67"/>
      <c r="GQL67" s="132"/>
      <c r="GQM67"/>
      <c r="GQN67" s="125"/>
      <c r="GQO67" s="133"/>
      <c r="GQP67"/>
      <c r="GQQ67" s="126"/>
      <c r="GQR67" s="127"/>
      <c r="GQS67" s="128"/>
      <c r="GQT67" s="128"/>
      <c r="GQU67" s="127"/>
      <c r="GQV67" s="129"/>
      <c r="GQW67" s="127"/>
      <c r="GQX67" s="129"/>
      <c r="GQY67" s="130"/>
      <c r="GQZ67" s="131"/>
      <c r="GRA67"/>
      <c r="GRB67" s="132"/>
      <c r="GRC67"/>
      <c r="GRD67" s="125"/>
      <c r="GRE67" s="133"/>
      <c r="GRF67"/>
      <c r="GRG67" s="126"/>
      <c r="GRH67" s="127"/>
      <c r="GRI67" s="128"/>
      <c r="GRJ67" s="128"/>
      <c r="GRK67" s="127"/>
      <c r="GRL67" s="129"/>
      <c r="GRM67" s="127"/>
      <c r="GRN67" s="129"/>
      <c r="GRO67" s="130"/>
      <c r="GRP67" s="131"/>
      <c r="GRQ67"/>
      <c r="GRR67" s="132"/>
      <c r="GRS67"/>
      <c r="GRT67" s="125"/>
      <c r="GRU67" s="133"/>
      <c r="GRV67"/>
      <c r="GRW67" s="126"/>
      <c r="GRX67" s="127"/>
      <c r="GRY67" s="128"/>
      <c r="GRZ67" s="128"/>
      <c r="GSA67" s="127"/>
      <c r="GSB67" s="129"/>
      <c r="GSC67" s="127"/>
      <c r="GSD67" s="129"/>
      <c r="GSE67" s="130"/>
      <c r="GSF67" s="131"/>
      <c r="GSG67"/>
      <c r="GSH67" s="132"/>
      <c r="GSI67"/>
      <c r="GSJ67" s="125"/>
      <c r="GSK67" s="133"/>
      <c r="GSL67"/>
      <c r="GSM67" s="126"/>
      <c r="GSN67" s="127"/>
      <c r="GSO67" s="128"/>
      <c r="GSP67" s="128"/>
      <c r="GSQ67" s="127"/>
      <c r="GSR67" s="129"/>
      <c r="GSS67" s="127"/>
      <c r="GST67" s="129"/>
      <c r="GSU67" s="130"/>
      <c r="GSV67" s="131"/>
      <c r="GSW67"/>
      <c r="GSX67" s="132"/>
      <c r="GSY67"/>
      <c r="GSZ67" s="125"/>
      <c r="GTA67" s="133"/>
      <c r="GTB67"/>
      <c r="GTC67" s="126"/>
      <c r="GTD67" s="127"/>
      <c r="GTE67" s="128"/>
      <c r="GTF67" s="128"/>
      <c r="GTG67" s="127"/>
      <c r="GTH67" s="129"/>
      <c r="GTI67" s="127"/>
      <c r="GTJ67" s="129"/>
      <c r="GTK67" s="130"/>
      <c r="GTL67" s="131"/>
      <c r="GTM67"/>
      <c r="GTN67" s="132"/>
      <c r="GTO67"/>
      <c r="GTP67" s="125"/>
      <c r="GTQ67" s="133"/>
      <c r="GTR67"/>
      <c r="GTS67" s="126"/>
      <c r="GTT67" s="127"/>
      <c r="GTU67" s="128"/>
      <c r="GTV67" s="128"/>
      <c r="GTW67" s="127"/>
      <c r="GTX67" s="129"/>
      <c r="GTY67" s="127"/>
      <c r="GTZ67" s="129"/>
      <c r="GUA67" s="130"/>
      <c r="GUB67" s="131"/>
      <c r="GUC67"/>
      <c r="GUD67" s="132"/>
      <c r="GUE67"/>
      <c r="GUF67" s="125"/>
      <c r="GUG67" s="133"/>
      <c r="GUH67"/>
      <c r="GUI67" s="126"/>
      <c r="GUJ67" s="127"/>
      <c r="GUK67" s="128"/>
      <c r="GUL67" s="128"/>
      <c r="GUM67" s="127"/>
      <c r="GUN67" s="129"/>
      <c r="GUO67" s="127"/>
      <c r="GUP67" s="129"/>
      <c r="GUQ67" s="130"/>
      <c r="GUR67" s="131"/>
      <c r="GUS67"/>
      <c r="GUT67" s="132"/>
      <c r="GUU67"/>
      <c r="GUV67" s="125"/>
      <c r="GUW67" s="133"/>
      <c r="GUX67"/>
      <c r="GUY67" s="126"/>
      <c r="GUZ67" s="127"/>
      <c r="GVA67" s="128"/>
      <c r="GVB67" s="128"/>
      <c r="GVC67" s="127"/>
      <c r="GVD67" s="129"/>
      <c r="GVE67" s="127"/>
      <c r="GVF67" s="129"/>
      <c r="GVG67" s="130"/>
      <c r="GVH67" s="131"/>
      <c r="GVI67"/>
      <c r="GVJ67" s="132"/>
      <c r="GVK67"/>
      <c r="GVL67" s="125"/>
      <c r="GVM67" s="133"/>
      <c r="GVN67"/>
      <c r="GVO67" s="126"/>
      <c r="GVP67" s="127"/>
      <c r="GVQ67" s="128"/>
      <c r="GVR67" s="128"/>
      <c r="GVS67" s="127"/>
      <c r="GVT67" s="129"/>
      <c r="GVU67" s="127"/>
      <c r="GVV67" s="129"/>
      <c r="GVW67" s="130"/>
      <c r="GVX67" s="131"/>
      <c r="GVY67"/>
      <c r="GVZ67" s="132"/>
      <c r="GWA67"/>
      <c r="GWB67" s="125"/>
      <c r="GWC67" s="133"/>
      <c r="GWD67"/>
      <c r="GWE67" s="126"/>
      <c r="GWF67" s="127"/>
      <c r="GWG67" s="128"/>
      <c r="GWH67" s="128"/>
      <c r="GWI67" s="127"/>
      <c r="GWJ67" s="129"/>
      <c r="GWK67" s="127"/>
      <c r="GWL67" s="129"/>
      <c r="GWM67" s="130"/>
      <c r="GWN67" s="131"/>
      <c r="GWO67"/>
      <c r="GWP67" s="132"/>
      <c r="GWQ67"/>
      <c r="GWR67" s="125"/>
      <c r="GWS67" s="133"/>
      <c r="GWT67"/>
      <c r="GWU67" s="126"/>
      <c r="GWV67" s="127"/>
      <c r="GWW67" s="128"/>
      <c r="GWX67" s="128"/>
      <c r="GWY67" s="127"/>
      <c r="GWZ67" s="129"/>
      <c r="GXA67" s="127"/>
      <c r="GXB67" s="129"/>
      <c r="GXC67" s="130"/>
      <c r="GXD67" s="131"/>
      <c r="GXE67"/>
      <c r="GXF67" s="132"/>
      <c r="GXG67"/>
      <c r="GXH67" s="125"/>
      <c r="GXI67" s="133"/>
      <c r="GXJ67"/>
      <c r="GXK67" s="126"/>
      <c r="GXL67" s="127"/>
      <c r="GXM67" s="128"/>
      <c r="GXN67" s="128"/>
      <c r="GXO67" s="127"/>
      <c r="GXP67" s="129"/>
      <c r="GXQ67" s="127"/>
      <c r="GXR67" s="129"/>
      <c r="GXS67" s="130"/>
      <c r="GXT67" s="131"/>
      <c r="GXU67"/>
      <c r="GXV67" s="132"/>
      <c r="GXW67"/>
      <c r="GXX67" s="125"/>
      <c r="GXY67" s="133"/>
      <c r="GXZ67"/>
      <c r="GYA67" s="126"/>
      <c r="GYB67" s="127"/>
      <c r="GYC67" s="128"/>
      <c r="GYD67" s="128"/>
      <c r="GYE67" s="127"/>
      <c r="GYF67" s="129"/>
      <c r="GYG67" s="127"/>
      <c r="GYH67" s="129"/>
      <c r="GYI67" s="130"/>
      <c r="GYJ67" s="131"/>
      <c r="GYK67"/>
      <c r="GYL67" s="132"/>
      <c r="GYM67"/>
      <c r="GYN67" s="125"/>
      <c r="GYO67" s="133"/>
      <c r="GYP67"/>
      <c r="GYQ67" s="126"/>
      <c r="GYR67" s="127"/>
      <c r="GYS67" s="128"/>
      <c r="GYT67" s="128"/>
      <c r="GYU67" s="127"/>
      <c r="GYV67" s="129"/>
      <c r="GYW67" s="127"/>
      <c r="GYX67" s="129"/>
      <c r="GYY67" s="130"/>
      <c r="GYZ67" s="131"/>
      <c r="GZA67"/>
      <c r="GZB67" s="132"/>
      <c r="GZC67"/>
      <c r="GZD67" s="125"/>
      <c r="GZE67" s="133"/>
      <c r="GZF67"/>
      <c r="GZG67" s="126"/>
      <c r="GZH67" s="127"/>
      <c r="GZI67" s="128"/>
      <c r="GZJ67" s="128"/>
      <c r="GZK67" s="127"/>
      <c r="GZL67" s="129"/>
      <c r="GZM67" s="127"/>
      <c r="GZN67" s="129"/>
      <c r="GZO67" s="130"/>
      <c r="GZP67" s="131"/>
      <c r="GZQ67"/>
      <c r="GZR67" s="132"/>
      <c r="GZS67"/>
      <c r="GZT67" s="125"/>
      <c r="GZU67" s="133"/>
      <c r="GZV67"/>
      <c r="GZW67" s="126"/>
      <c r="GZX67" s="127"/>
      <c r="GZY67" s="128"/>
      <c r="GZZ67" s="128"/>
      <c r="HAA67" s="127"/>
      <c r="HAB67" s="129"/>
      <c r="HAC67" s="127"/>
      <c r="HAD67" s="129"/>
      <c r="HAE67" s="130"/>
      <c r="HAF67" s="131"/>
      <c r="HAG67"/>
      <c r="HAH67" s="132"/>
      <c r="HAI67"/>
      <c r="HAJ67" s="125"/>
      <c r="HAK67" s="133"/>
      <c r="HAL67"/>
      <c r="HAM67" s="126"/>
      <c r="HAN67" s="127"/>
      <c r="HAO67" s="128"/>
      <c r="HAP67" s="128"/>
      <c r="HAQ67" s="127"/>
      <c r="HAR67" s="129"/>
      <c r="HAS67" s="127"/>
      <c r="HAT67" s="129"/>
      <c r="HAU67" s="130"/>
      <c r="HAV67" s="131"/>
      <c r="HAW67"/>
      <c r="HAX67" s="132"/>
      <c r="HAY67"/>
      <c r="HAZ67" s="125"/>
      <c r="HBA67" s="133"/>
      <c r="HBB67"/>
      <c r="HBC67" s="126"/>
      <c r="HBD67" s="127"/>
      <c r="HBE67" s="128"/>
      <c r="HBF67" s="128"/>
      <c r="HBG67" s="127"/>
      <c r="HBH67" s="129"/>
      <c r="HBI67" s="127"/>
      <c r="HBJ67" s="129"/>
      <c r="HBK67" s="130"/>
      <c r="HBL67" s="131"/>
      <c r="HBM67"/>
      <c r="HBN67" s="132"/>
      <c r="HBO67"/>
      <c r="HBP67" s="125"/>
      <c r="HBQ67" s="133"/>
      <c r="HBR67"/>
      <c r="HBS67" s="126"/>
      <c r="HBT67" s="127"/>
      <c r="HBU67" s="128"/>
      <c r="HBV67" s="128"/>
      <c r="HBW67" s="127"/>
      <c r="HBX67" s="129"/>
      <c r="HBY67" s="127"/>
      <c r="HBZ67" s="129"/>
      <c r="HCA67" s="130"/>
      <c r="HCB67" s="131"/>
      <c r="HCC67"/>
      <c r="HCD67" s="132"/>
      <c r="HCE67"/>
      <c r="HCF67" s="125"/>
      <c r="HCG67" s="133"/>
      <c r="HCH67"/>
      <c r="HCI67" s="126"/>
      <c r="HCJ67" s="127"/>
      <c r="HCK67" s="128"/>
      <c r="HCL67" s="128"/>
      <c r="HCM67" s="127"/>
      <c r="HCN67" s="129"/>
      <c r="HCO67" s="127"/>
      <c r="HCP67" s="129"/>
      <c r="HCQ67" s="130"/>
      <c r="HCR67" s="131"/>
      <c r="HCS67"/>
      <c r="HCT67" s="132"/>
      <c r="HCU67"/>
      <c r="HCV67" s="125"/>
      <c r="HCW67" s="133"/>
      <c r="HCX67"/>
      <c r="HCY67" s="126"/>
      <c r="HCZ67" s="127"/>
      <c r="HDA67" s="128"/>
      <c r="HDB67" s="128"/>
      <c r="HDC67" s="127"/>
      <c r="HDD67" s="129"/>
      <c r="HDE67" s="127"/>
      <c r="HDF67" s="129"/>
      <c r="HDG67" s="130"/>
      <c r="HDH67" s="131"/>
      <c r="HDI67"/>
      <c r="HDJ67" s="132"/>
      <c r="HDK67"/>
      <c r="HDL67" s="125"/>
      <c r="HDM67" s="133"/>
      <c r="HDN67"/>
      <c r="HDO67" s="126"/>
      <c r="HDP67" s="127"/>
      <c r="HDQ67" s="128"/>
      <c r="HDR67" s="128"/>
      <c r="HDS67" s="127"/>
      <c r="HDT67" s="129"/>
      <c r="HDU67" s="127"/>
      <c r="HDV67" s="129"/>
      <c r="HDW67" s="130"/>
      <c r="HDX67" s="131"/>
      <c r="HDY67"/>
      <c r="HDZ67" s="132"/>
      <c r="HEA67"/>
      <c r="HEB67" s="125"/>
      <c r="HEC67" s="133"/>
      <c r="HED67"/>
      <c r="HEE67" s="126"/>
      <c r="HEF67" s="127"/>
      <c r="HEG67" s="128"/>
      <c r="HEH67" s="128"/>
      <c r="HEI67" s="127"/>
      <c r="HEJ67" s="129"/>
      <c r="HEK67" s="127"/>
      <c r="HEL67" s="129"/>
      <c r="HEM67" s="130"/>
      <c r="HEN67" s="131"/>
      <c r="HEO67"/>
      <c r="HEP67" s="132"/>
      <c r="HEQ67"/>
      <c r="HER67" s="125"/>
      <c r="HES67" s="133"/>
      <c r="HET67"/>
      <c r="HEU67" s="126"/>
      <c r="HEV67" s="127"/>
      <c r="HEW67" s="128"/>
      <c r="HEX67" s="128"/>
      <c r="HEY67" s="127"/>
      <c r="HEZ67" s="129"/>
      <c r="HFA67" s="127"/>
      <c r="HFB67" s="129"/>
      <c r="HFC67" s="130"/>
      <c r="HFD67" s="131"/>
      <c r="HFE67"/>
      <c r="HFF67" s="132"/>
      <c r="HFG67"/>
      <c r="HFH67" s="125"/>
      <c r="HFI67" s="133"/>
      <c r="HFJ67"/>
      <c r="HFK67" s="126"/>
      <c r="HFL67" s="127"/>
      <c r="HFM67" s="128"/>
      <c r="HFN67" s="128"/>
      <c r="HFO67" s="127"/>
      <c r="HFP67" s="129"/>
      <c r="HFQ67" s="127"/>
      <c r="HFR67" s="129"/>
      <c r="HFS67" s="130"/>
      <c r="HFT67" s="131"/>
      <c r="HFU67"/>
      <c r="HFV67" s="132"/>
      <c r="HFW67"/>
      <c r="HFX67" s="125"/>
      <c r="HFY67" s="133"/>
      <c r="HFZ67"/>
      <c r="HGA67" s="126"/>
      <c r="HGB67" s="127"/>
      <c r="HGC67" s="128"/>
      <c r="HGD67" s="128"/>
      <c r="HGE67" s="127"/>
      <c r="HGF67" s="129"/>
      <c r="HGG67" s="127"/>
      <c r="HGH67" s="129"/>
      <c r="HGI67" s="130"/>
      <c r="HGJ67" s="131"/>
      <c r="HGK67"/>
      <c r="HGL67" s="132"/>
      <c r="HGM67"/>
      <c r="HGN67" s="125"/>
      <c r="HGO67" s="133"/>
      <c r="HGP67"/>
      <c r="HGQ67" s="126"/>
      <c r="HGR67" s="127"/>
      <c r="HGS67" s="128"/>
      <c r="HGT67" s="128"/>
      <c r="HGU67" s="127"/>
      <c r="HGV67" s="129"/>
      <c r="HGW67" s="127"/>
      <c r="HGX67" s="129"/>
      <c r="HGY67" s="130"/>
      <c r="HGZ67" s="131"/>
      <c r="HHA67"/>
      <c r="HHB67" s="132"/>
      <c r="HHC67"/>
      <c r="HHD67" s="125"/>
      <c r="HHE67" s="133"/>
      <c r="HHF67"/>
      <c r="HHG67" s="126"/>
      <c r="HHH67" s="127"/>
      <c r="HHI67" s="128"/>
      <c r="HHJ67" s="128"/>
      <c r="HHK67" s="127"/>
      <c r="HHL67" s="129"/>
      <c r="HHM67" s="127"/>
      <c r="HHN67" s="129"/>
      <c r="HHO67" s="130"/>
      <c r="HHP67" s="131"/>
      <c r="HHQ67"/>
      <c r="HHR67" s="132"/>
      <c r="HHS67"/>
      <c r="HHT67" s="125"/>
      <c r="HHU67" s="133"/>
      <c r="HHV67"/>
      <c r="HHW67" s="126"/>
      <c r="HHX67" s="127"/>
      <c r="HHY67" s="128"/>
      <c r="HHZ67" s="128"/>
      <c r="HIA67" s="127"/>
      <c r="HIB67" s="129"/>
      <c r="HIC67" s="127"/>
      <c r="HID67" s="129"/>
      <c r="HIE67" s="130"/>
      <c r="HIF67" s="131"/>
      <c r="HIG67"/>
      <c r="HIH67" s="132"/>
      <c r="HII67"/>
      <c r="HIJ67" s="125"/>
      <c r="HIK67" s="133"/>
      <c r="HIL67"/>
      <c r="HIM67" s="126"/>
      <c r="HIN67" s="127"/>
      <c r="HIO67" s="128"/>
      <c r="HIP67" s="128"/>
      <c r="HIQ67" s="127"/>
      <c r="HIR67" s="129"/>
      <c r="HIS67" s="127"/>
      <c r="HIT67" s="129"/>
      <c r="HIU67" s="130"/>
      <c r="HIV67" s="131"/>
      <c r="HIW67"/>
      <c r="HIX67" s="132"/>
      <c r="HIY67"/>
      <c r="HIZ67" s="125"/>
      <c r="HJA67" s="133"/>
      <c r="HJB67"/>
      <c r="HJC67" s="126"/>
      <c r="HJD67" s="127"/>
      <c r="HJE67" s="128"/>
      <c r="HJF67" s="128"/>
      <c r="HJG67" s="127"/>
      <c r="HJH67" s="129"/>
      <c r="HJI67" s="127"/>
      <c r="HJJ67" s="129"/>
      <c r="HJK67" s="130"/>
      <c r="HJL67" s="131"/>
      <c r="HJM67"/>
      <c r="HJN67" s="132"/>
      <c r="HJO67"/>
      <c r="HJP67" s="125"/>
      <c r="HJQ67" s="133"/>
      <c r="HJR67"/>
      <c r="HJS67" s="126"/>
      <c r="HJT67" s="127"/>
      <c r="HJU67" s="128"/>
      <c r="HJV67" s="128"/>
      <c r="HJW67" s="127"/>
      <c r="HJX67" s="129"/>
      <c r="HJY67" s="127"/>
      <c r="HJZ67" s="129"/>
      <c r="HKA67" s="130"/>
      <c r="HKB67" s="131"/>
      <c r="HKC67"/>
      <c r="HKD67" s="132"/>
      <c r="HKE67"/>
      <c r="HKF67" s="125"/>
      <c r="HKG67" s="133"/>
      <c r="HKH67"/>
      <c r="HKI67" s="126"/>
      <c r="HKJ67" s="127"/>
      <c r="HKK67" s="128"/>
      <c r="HKL67" s="128"/>
      <c r="HKM67" s="127"/>
      <c r="HKN67" s="129"/>
      <c r="HKO67" s="127"/>
      <c r="HKP67" s="129"/>
      <c r="HKQ67" s="130"/>
      <c r="HKR67" s="131"/>
      <c r="HKS67"/>
      <c r="HKT67" s="132"/>
      <c r="HKU67"/>
      <c r="HKV67" s="125"/>
      <c r="HKW67" s="133"/>
      <c r="HKX67"/>
      <c r="HKY67" s="126"/>
      <c r="HKZ67" s="127"/>
      <c r="HLA67" s="128"/>
      <c r="HLB67" s="128"/>
      <c r="HLC67" s="127"/>
      <c r="HLD67" s="129"/>
      <c r="HLE67" s="127"/>
      <c r="HLF67" s="129"/>
      <c r="HLG67" s="130"/>
      <c r="HLH67" s="131"/>
      <c r="HLI67"/>
      <c r="HLJ67" s="132"/>
      <c r="HLK67"/>
      <c r="HLL67" s="125"/>
      <c r="HLM67" s="133"/>
      <c r="HLN67"/>
      <c r="HLO67" s="126"/>
      <c r="HLP67" s="127"/>
      <c r="HLQ67" s="128"/>
      <c r="HLR67" s="128"/>
      <c r="HLS67" s="127"/>
      <c r="HLT67" s="129"/>
      <c r="HLU67" s="127"/>
      <c r="HLV67" s="129"/>
      <c r="HLW67" s="130"/>
      <c r="HLX67" s="131"/>
      <c r="HLY67"/>
      <c r="HLZ67" s="132"/>
      <c r="HMA67"/>
      <c r="HMB67" s="125"/>
      <c r="HMC67" s="133"/>
      <c r="HMD67"/>
      <c r="HME67" s="126"/>
      <c r="HMF67" s="127"/>
      <c r="HMG67" s="128"/>
      <c r="HMH67" s="128"/>
      <c r="HMI67" s="127"/>
      <c r="HMJ67" s="129"/>
      <c r="HMK67" s="127"/>
      <c r="HML67" s="129"/>
      <c r="HMM67" s="130"/>
      <c r="HMN67" s="131"/>
      <c r="HMO67"/>
      <c r="HMP67" s="132"/>
      <c r="HMQ67"/>
      <c r="HMR67" s="125"/>
      <c r="HMS67" s="133"/>
      <c r="HMT67"/>
      <c r="HMU67" s="126"/>
      <c r="HMV67" s="127"/>
      <c r="HMW67" s="128"/>
      <c r="HMX67" s="128"/>
      <c r="HMY67" s="127"/>
      <c r="HMZ67" s="129"/>
      <c r="HNA67" s="127"/>
      <c r="HNB67" s="129"/>
      <c r="HNC67" s="130"/>
      <c r="HND67" s="131"/>
      <c r="HNE67"/>
      <c r="HNF67" s="132"/>
      <c r="HNG67"/>
      <c r="HNH67" s="125"/>
      <c r="HNI67" s="133"/>
      <c r="HNJ67"/>
      <c r="HNK67" s="126"/>
      <c r="HNL67" s="127"/>
      <c r="HNM67" s="128"/>
      <c r="HNN67" s="128"/>
      <c r="HNO67" s="127"/>
      <c r="HNP67" s="129"/>
      <c r="HNQ67" s="127"/>
      <c r="HNR67" s="129"/>
      <c r="HNS67" s="130"/>
      <c r="HNT67" s="131"/>
      <c r="HNU67"/>
      <c r="HNV67" s="132"/>
      <c r="HNW67"/>
      <c r="HNX67" s="125"/>
      <c r="HNY67" s="133"/>
      <c r="HNZ67"/>
      <c r="HOA67" s="126"/>
      <c r="HOB67" s="127"/>
      <c r="HOC67" s="128"/>
      <c r="HOD67" s="128"/>
      <c r="HOE67" s="127"/>
      <c r="HOF67" s="129"/>
      <c r="HOG67" s="127"/>
      <c r="HOH67" s="129"/>
      <c r="HOI67" s="130"/>
      <c r="HOJ67" s="131"/>
      <c r="HOK67"/>
      <c r="HOL67" s="132"/>
      <c r="HOM67"/>
      <c r="HON67" s="125"/>
      <c r="HOO67" s="133"/>
      <c r="HOP67"/>
      <c r="HOQ67" s="126"/>
      <c r="HOR67" s="127"/>
      <c r="HOS67" s="128"/>
      <c r="HOT67" s="128"/>
      <c r="HOU67" s="127"/>
      <c r="HOV67" s="129"/>
      <c r="HOW67" s="127"/>
      <c r="HOX67" s="129"/>
      <c r="HOY67" s="130"/>
      <c r="HOZ67" s="131"/>
      <c r="HPA67"/>
      <c r="HPB67" s="132"/>
      <c r="HPC67"/>
      <c r="HPD67" s="125"/>
      <c r="HPE67" s="133"/>
      <c r="HPF67"/>
      <c r="HPG67" s="126"/>
      <c r="HPH67" s="127"/>
      <c r="HPI67" s="128"/>
      <c r="HPJ67" s="128"/>
      <c r="HPK67" s="127"/>
      <c r="HPL67" s="129"/>
      <c r="HPM67" s="127"/>
      <c r="HPN67" s="129"/>
      <c r="HPO67" s="130"/>
      <c r="HPP67" s="131"/>
      <c r="HPQ67"/>
      <c r="HPR67" s="132"/>
      <c r="HPS67"/>
      <c r="HPT67" s="125"/>
      <c r="HPU67" s="133"/>
      <c r="HPV67"/>
      <c r="HPW67" s="126"/>
      <c r="HPX67" s="127"/>
      <c r="HPY67" s="128"/>
      <c r="HPZ67" s="128"/>
      <c r="HQA67" s="127"/>
      <c r="HQB67" s="129"/>
      <c r="HQC67" s="127"/>
      <c r="HQD67" s="129"/>
      <c r="HQE67" s="130"/>
      <c r="HQF67" s="131"/>
      <c r="HQG67"/>
      <c r="HQH67" s="132"/>
      <c r="HQI67"/>
      <c r="HQJ67" s="125"/>
      <c r="HQK67" s="133"/>
      <c r="HQL67"/>
      <c r="HQM67" s="126"/>
      <c r="HQN67" s="127"/>
      <c r="HQO67" s="128"/>
      <c r="HQP67" s="128"/>
      <c r="HQQ67" s="127"/>
      <c r="HQR67" s="129"/>
      <c r="HQS67" s="127"/>
      <c r="HQT67" s="129"/>
      <c r="HQU67" s="130"/>
      <c r="HQV67" s="131"/>
      <c r="HQW67"/>
      <c r="HQX67" s="132"/>
      <c r="HQY67"/>
      <c r="HQZ67" s="125"/>
      <c r="HRA67" s="133"/>
      <c r="HRB67"/>
      <c r="HRC67" s="126"/>
      <c r="HRD67" s="127"/>
      <c r="HRE67" s="128"/>
      <c r="HRF67" s="128"/>
      <c r="HRG67" s="127"/>
      <c r="HRH67" s="129"/>
      <c r="HRI67" s="127"/>
      <c r="HRJ67" s="129"/>
      <c r="HRK67" s="130"/>
      <c r="HRL67" s="131"/>
      <c r="HRM67"/>
      <c r="HRN67" s="132"/>
      <c r="HRO67"/>
      <c r="HRP67" s="125"/>
      <c r="HRQ67" s="133"/>
      <c r="HRR67"/>
      <c r="HRS67" s="126"/>
      <c r="HRT67" s="127"/>
      <c r="HRU67" s="128"/>
      <c r="HRV67" s="128"/>
      <c r="HRW67" s="127"/>
      <c r="HRX67" s="129"/>
      <c r="HRY67" s="127"/>
      <c r="HRZ67" s="129"/>
      <c r="HSA67" s="130"/>
      <c r="HSB67" s="131"/>
      <c r="HSC67"/>
      <c r="HSD67" s="132"/>
      <c r="HSE67"/>
      <c r="HSF67" s="125"/>
      <c r="HSG67" s="133"/>
      <c r="HSH67"/>
      <c r="HSI67" s="126"/>
      <c r="HSJ67" s="127"/>
      <c r="HSK67" s="128"/>
      <c r="HSL67" s="128"/>
      <c r="HSM67" s="127"/>
      <c r="HSN67" s="129"/>
      <c r="HSO67" s="127"/>
      <c r="HSP67" s="129"/>
      <c r="HSQ67" s="130"/>
      <c r="HSR67" s="131"/>
      <c r="HSS67"/>
      <c r="HST67" s="132"/>
      <c r="HSU67"/>
      <c r="HSV67" s="125"/>
      <c r="HSW67" s="133"/>
      <c r="HSX67"/>
      <c r="HSY67" s="126"/>
      <c r="HSZ67" s="127"/>
      <c r="HTA67" s="128"/>
      <c r="HTB67" s="128"/>
      <c r="HTC67" s="127"/>
      <c r="HTD67" s="129"/>
      <c r="HTE67" s="127"/>
      <c r="HTF67" s="129"/>
      <c r="HTG67" s="130"/>
      <c r="HTH67" s="131"/>
      <c r="HTI67"/>
      <c r="HTJ67" s="132"/>
      <c r="HTK67"/>
      <c r="HTL67" s="125"/>
      <c r="HTM67" s="133"/>
      <c r="HTN67"/>
      <c r="HTO67" s="126"/>
      <c r="HTP67" s="127"/>
      <c r="HTQ67" s="128"/>
      <c r="HTR67" s="128"/>
      <c r="HTS67" s="127"/>
      <c r="HTT67" s="129"/>
      <c r="HTU67" s="127"/>
      <c r="HTV67" s="129"/>
      <c r="HTW67" s="130"/>
      <c r="HTX67" s="131"/>
      <c r="HTY67"/>
      <c r="HTZ67" s="132"/>
      <c r="HUA67"/>
      <c r="HUB67" s="125"/>
      <c r="HUC67" s="133"/>
      <c r="HUD67"/>
      <c r="HUE67" s="126"/>
      <c r="HUF67" s="127"/>
      <c r="HUG67" s="128"/>
      <c r="HUH67" s="128"/>
      <c r="HUI67" s="127"/>
      <c r="HUJ67" s="129"/>
      <c r="HUK67" s="127"/>
      <c r="HUL67" s="129"/>
      <c r="HUM67" s="130"/>
      <c r="HUN67" s="131"/>
      <c r="HUO67"/>
      <c r="HUP67" s="132"/>
      <c r="HUQ67"/>
      <c r="HUR67" s="125"/>
      <c r="HUS67" s="133"/>
      <c r="HUT67"/>
      <c r="HUU67" s="126"/>
      <c r="HUV67" s="127"/>
      <c r="HUW67" s="128"/>
      <c r="HUX67" s="128"/>
      <c r="HUY67" s="127"/>
      <c r="HUZ67" s="129"/>
      <c r="HVA67" s="127"/>
      <c r="HVB67" s="129"/>
      <c r="HVC67" s="130"/>
      <c r="HVD67" s="131"/>
      <c r="HVE67"/>
      <c r="HVF67" s="132"/>
      <c r="HVG67"/>
      <c r="HVH67" s="125"/>
      <c r="HVI67" s="133"/>
      <c r="HVJ67"/>
      <c r="HVK67" s="126"/>
      <c r="HVL67" s="127"/>
      <c r="HVM67" s="128"/>
      <c r="HVN67" s="128"/>
      <c r="HVO67" s="127"/>
      <c r="HVP67" s="129"/>
      <c r="HVQ67" s="127"/>
      <c r="HVR67" s="129"/>
      <c r="HVS67" s="130"/>
      <c r="HVT67" s="131"/>
      <c r="HVU67"/>
      <c r="HVV67" s="132"/>
      <c r="HVW67"/>
      <c r="HVX67" s="125"/>
      <c r="HVY67" s="133"/>
      <c r="HVZ67"/>
      <c r="HWA67" s="126"/>
      <c r="HWB67" s="127"/>
      <c r="HWC67" s="128"/>
      <c r="HWD67" s="128"/>
      <c r="HWE67" s="127"/>
      <c r="HWF67" s="129"/>
      <c r="HWG67" s="127"/>
      <c r="HWH67" s="129"/>
      <c r="HWI67" s="130"/>
      <c r="HWJ67" s="131"/>
      <c r="HWK67"/>
      <c r="HWL67" s="132"/>
      <c r="HWM67"/>
      <c r="HWN67" s="125"/>
      <c r="HWO67" s="133"/>
      <c r="HWP67"/>
      <c r="HWQ67" s="126"/>
      <c r="HWR67" s="127"/>
      <c r="HWS67" s="128"/>
      <c r="HWT67" s="128"/>
      <c r="HWU67" s="127"/>
      <c r="HWV67" s="129"/>
      <c r="HWW67" s="127"/>
      <c r="HWX67" s="129"/>
      <c r="HWY67" s="130"/>
      <c r="HWZ67" s="131"/>
      <c r="HXA67"/>
      <c r="HXB67" s="132"/>
      <c r="HXC67"/>
      <c r="HXD67" s="125"/>
      <c r="HXE67" s="133"/>
      <c r="HXF67"/>
      <c r="HXG67" s="126"/>
      <c r="HXH67" s="127"/>
      <c r="HXI67" s="128"/>
      <c r="HXJ67" s="128"/>
      <c r="HXK67" s="127"/>
      <c r="HXL67" s="129"/>
      <c r="HXM67" s="127"/>
      <c r="HXN67" s="129"/>
      <c r="HXO67" s="130"/>
      <c r="HXP67" s="131"/>
      <c r="HXQ67"/>
      <c r="HXR67" s="132"/>
      <c r="HXS67"/>
      <c r="HXT67" s="125"/>
      <c r="HXU67" s="133"/>
      <c r="HXV67"/>
      <c r="HXW67" s="126"/>
      <c r="HXX67" s="127"/>
      <c r="HXY67" s="128"/>
      <c r="HXZ67" s="128"/>
      <c r="HYA67" s="127"/>
      <c r="HYB67" s="129"/>
      <c r="HYC67" s="127"/>
      <c r="HYD67" s="129"/>
      <c r="HYE67" s="130"/>
      <c r="HYF67" s="131"/>
      <c r="HYG67"/>
      <c r="HYH67" s="132"/>
      <c r="HYI67"/>
      <c r="HYJ67" s="125"/>
      <c r="HYK67" s="133"/>
      <c r="HYL67"/>
      <c r="HYM67" s="126"/>
      <c r="HYN67" s="127"/>
      <c r="HYO67" s="128"/>
      <c r="HYP67" s="128"/>
      <c r="HYQ67" s="127"/>
      <c r="HYR67" s="129"/>
      <c r="HYS67" s="127"/>
      <c r="HYT67" s="129"/>
      <c r="HYU67" s="130"/>
      <c r="HYV67" s="131"/>
      <c r="HYW67"/>
      <c r="HYX67" s="132"/>
      <c r="HYY67"/>
      <c r="HYZ67" s="125"/>
      <c r="HZA67" s="133"/>
      <c r="HZB67"/>
      <c r="HZC67" s="126"/>
      <c r="HZD67" s="127"/>
      <c r="HZE67" s="128"/>
      <c r="HZF67" s="128"/>
      <c r="HZG67" s="127"/>
      <c r="HZH67" s="129"/>
      <c r="HZI67" s="127"/>
      <c r="HZJ67" s="129"/>
      <c r="HZK67" s="130"/>
      <c r="HZL67" s="131"/>
      <c r="HZM67"/>
      <c r="HZN67" s="132"/>
      <c r="HZO67"/>
      <c r="HZP67" s="125"/>
      <c r="HZQ67" s="133"/>
      <c r="HZR67"/>
      <c r="HZS67" s="126"/>
      <c r="HZT67" s="127"/>
      <c r="HZU67" s="128"/>
      <c r="HZV67" s="128"/>
      <c r="HZW67" s="127"/>
      <c r="HZX67" s="129"/>
      <c r="HZY67" s="127"/>
      <c r="HZZ67" s="129"/>
      <c r="IAA67" s="130"/>
      <c r="IAB67" s="131"/>
      <c r="IAC67"/>
      <c r="IAD67" s="132"/>
      <c r="IAE67"/>
      <c r="IAF67" s="125"/>
      <c r="IAG67" s="133"/>
      <c r="IAH67"/>
      <c r="IAI67" s="126"/>
      <c r="IAJ67" s="127"/>
      <c r="IAK67" s="128"/>
      <c r="IAL67" s="128"/>
      <c r="IAM67" s="127"/>
      <c r="IAN67" s="129"/>
      <c r="IAO67" s="127"/>
      <c r="IAP67" s="129"/>
      <c r="IAQ67" s="130"/>
      <c r="IAR67" s="131"/>
      <c r="IAS67"/>
      <c r="IAT67" s="132"/>
      <c r="IAU67"/>
      <c r="IAV67" s="125"/>
      <c r="IAW67" s="133"/>
      <c r="IAX67"/>
      <c r="IAY67" s="126"/>
      <c r="IAZ67" s="127"/>
      <c r="IBA67" s="128"/>
      <c r="IBB67" s="128"/>
      <c r="IBC67" s="127"/>
      <c r="IBD67" s="129"/>
      <c r="IBE67" s="127"/>
      <c r="IBF67" s="129"/>
      <c r="IBG67" s="130"/>
      <c r="IBH67" s="131"/>
      <c r="IBI67"/>
      <c r="IBJ67" s="132"/>
      <c r="IBK67"/>
      <c r="IBL67" s="125"/>
      <c r="IBM67" s="133"/>
      <c r="IBN67"/>
      <c r="IBO67" s="126"/>
      <c r="IBP67" s="127"/>
      <c r="IBQ67" s="128"/>
      <c r="IBR67" s="128"/>
      <c r="IBS67" s="127"/>
      <c r="IBT67" s="129"/>
      <c r="IBU67" s="127"/>
      <c r="IBV67" s="129"/>
      <c r="IBW67" s="130"/>
      <c r="IBX67" s="131"/>
      <c r="IBY67"/>
      <c r="IBZ67" s="132"/>
      <c r="ICA67"/>
      <c r="ICB67" s="125"/>
      <c r="ICC67" s="133"/>
      <c r="ICD67"/>
      <c r="ICE67" s="126"/>
      <c r="ICF67" s="127"/>
      <c r="ICG67" s="128"/>
      <c r="ICH67" s="128"/>
      <c r="ICI67" s="127"/>
      <c r="ICJ67" s="129"/>
      <c r="ICK67" s="127"/>
      <c r="ICL67" s="129"/>
      <c r="ICM67" s="130"/>
      <c r="ICN67" s="131"/>
      <c r="ICO67"/>
      <c r="ICP67" s="132"/>
      <c r="ICQ67"/>
      <c r="ICR67" s="125"/>
      <c r="ICS67" s="133"/>
      <c r="ICT67"/>
      <c r="ICU67" s="126"/>
      <c r="ICV67" s="127"/>
      <c r="ICW67" s="128"/>
      <c r="ICX67" s="128"/>
      <c r="ICY67" s="127"/>
      <c r="ICZ67" s="129"/>
      <c r="IDA67" s="127"/>
      <c r="IDB67" s="129"/>
      <c r="IDC67" s="130"/>
      <c r="IDD67" s="131"/>
      <c r="IDE67"/>
      <c r="IDF67" s="132"/>
      <c r="IDG67"/>
      <c r="IDH67" s="125"/>
      <c r="IDI67" s="133"/>
      <c r="IDJ67"/>
      <c r="IDK67" s="126"/>
      <c r="IDL67" s="127"/>
      <c r="IDM67" s="128"/>
      <c r="IDN67" s="128"/>
      <c r="IDO67" s="127"/>
      <c r="IDP67" s="129"/>
      <c r="IDQ67" s="127"/>
      <c r="IDR67" s="129"/>
      <c r="IDS67" s="130"/>
      <c r="IDT67" s="131"/>
      <c r="IDU67"/>
      <c r="IDV67" s="132"/>
      <c r="IDW67"/>
      <c r="IDX67" s="125"/>
      <c r="IDY67" s="133"/>
      <c r="IDZ67"/>
      <c r="IEA67" s="126"/>
      <c r="IEB67" s="127"/>
      <c r="IEC67" s="128"/>
      <c r="IED67" s="128"/>
      <c r="IEE67" s="127"/>
      <c r="IEF67" s="129"/>
      <c r="IEG67" s="127"/>
      <c r="IEH67" s="129"/>
      <c r="IEI67" s="130"/>
      <c r="IEJ67" s="131"/>
      <c r="IEK67"/>
      <c r="IEL67" s="132"/>
      <c r="IEM67"/>
      <c r="IEN67" s="125"/>
      <c r="IEO67" s="133"/>
      <c r="IEP67"/>
      <c r="IEQ67" s="126"/>
      <c r="IER67" s="127"/>
      <c r="IES67" s="128"/>
      <c r="IET67" s="128"/>
      <c r="IEU67" s="127"/>
      <c r="IEV67" s="129"/>
      <c r="IEW67" s="127"/>
      <c r="IEX67" s="129"/>
      <c r="IEY67" s="130"/>
      <c r="IEZ67" s="131"/>
      <c r="IFA67"/>
      <c r="IFB67" s="132"/>
      <c r="IFC67"/>
      <c r="IFD67" s="125"/>
      <c r="IFE67" s="133"/>
      <c r="IFF67"/>
      <c r="IFG67" s="126"/>
      <c r="IFH67" s="127"/>
      <c r="IFI67" s="128"/>
      <c r="IFJ67" s="128"/>
      <c r="IFK67" s="127"/>
      <c r="IFL67" s="129"/>
      <c r="IFM67" s="127"/>
      <c r="IFN67" s="129"/>
      <c r="IFO67" s="130"/>
      <c r="IFP67" s="131"/>
      <c r="IFQ67"/>
      <c r="IFR67" s="132"/>
      <c r="IFS67"/>
      <c r="IFT67" s="125"/>
      <c r="IFU67" s="133"/>
      <c r="IFV67"/>
      <c r="IFW67" s="126"/>
      <c r="IFX67" s="127"/>
      <c r="IFY67" s="128"/>
      <c r="IFZ67" s="128"/>
      <c r="IGA67" s="127"/>
      <c r="IGB67" s="129"/>
      <c r="IGC67" s="127"/>
      <c r="IGD67" s="129"/>
      <c r="IGE67" s="130"/>
      <c r="IGF67" s="131"/>
      <c r="IGG67"/>
      <c r="IGH67" s="132"/>
      <c r="IGI67"/>
      <c r="IGJ67" s="125"/>
      <c r="IGK67" s="133"/>
      <c r="IGL67"/>
      <c r="IGM67" s="126"/>
      <c r="IGN67" s="127"/>
      <c r="IGO67" s="128"/>
      <c r="IGP67" s="128"/>
      <c r="IGQ67" s="127"/>
      <c r="IGR67" s="129"/>
      <c r="IGS67" s="127"/>
      <c r="IGT67" s="129"/>
      <c r="IGU67" s="130"/>
      <c r="IGV67" s="131"/>
      <c r="IGW67"/>
      <c r="IGX67" s="132"/>
      <c r="IGY67"/>
      <c r="IGZ67" s="125"/>
      <c r="IHA67" s="133"/>
      <c r="IHB67"/>
      <c r="IHC67" s="126"/>
      <c r="IHD67" s="127"/>
      <c r="IHE67" s="128"/>
      <c r="IHF67" s="128"/>
      <c r="IHG67" s="127"/>
      <c r="IHH67" s="129"/>
      <c r="IHI67" s="127"/>
      <c r="IHJ67" s="129"/>
      <c r="IHK67" s="130"/>
      <c r="IHL67" s="131"/>
      <c r="IHM67"/>
      <c r="IHN67" s="132"/>
      <c r="IHO67"/>
      <c r="IHP67" s="125"/>
      <c r="IHQ67" s="133"/>
      <c r="IHR67"/>
      <c r="IHS67" s="126"/>
      <c r="IHT67" s="127"/>
      <c r="IHU67" s="128"/>
      <c r="IHV67" s="128"/>
      <c r="IHW67" s="127"/>
      <c r="IHX67" s="129"/>
      <c r="IHY67" s="127"/>
      <c r="IHZ67" s="129"/>
      <c r="IIA67" s="130"/>
      <c r="IIB67" s="131"/>
      <c r="IIC67"/>
      <c r="IID67" s="132"/>
      <c r="IIE67"/>
      <c r="IIF67" s="125"/>
      <c r="IIG67" s="133"/>
      <c r="IIH67"/>
      <c r="III67" s="126"/>
      <c r="IIJ67" s="127"/>
      <c r="IIK67" s="128"/>
      <c r="IIL67" s="128"/>
      <c r="IIM67" s="127"/>
      <c r="IIN67" s="129"/>
      <c r="IIO67" s="127"/>
      <c r="IIP67" s="129"/>
      <c r="IIQ67" s="130"/>
      <c r="IIR67" s="131"/>
      <c r="IIS67"/>
      <c r="IIT67" s="132"/>
      <c r="IIU67"/>
      <c r="IIV67" s="125"/>
      <c r="IIW67" s="133"/>
      <c r="IIX67"/>
      <c r="IIY67" s="126"/>
      <c r="IIZ67" s="127"/>
      <c r="IJA67" s="128"/>
      <c r="IJB67" s="128"/>
      <c r="IJC67" s="127"/>
      <c r="IJD67" s="129"/>
      <c r="IJE67" s="127"/>
      <c r="IJF67" s="129"/>
      <c r="IJG67" s="130"/>
      <c r="IJH67" s="131"/>
      <c r="IJI67"/>
      <c r="IJJ67" s="132"/>
      <c r="IJK67"/>
      <c r="IJL67" s="125"/>
      <c r="IJM67" s="133"/>
      <c r="IJN67"/>
      <c r="IJO67" s="126"/>
      <c r="IJP67" s="127"/>
      <c r="IJQ67" s="128"/>
      <c r="IJR67" s="128"/>
      <c r="IJS67" s="127"/>
      <c r="IJT67" s="129"/>
      <c r="IJU67" s="127"/>
      <c r="IJV67" s="129"/>
      <c r="IJW67" s="130"/>
      <c r="IJX67" s="131"/>
      <c r="IJY67"/>
      <c r="IJZ67" s="132"/>
      <c r="IKA67"/>
      <c r="IKB67" s="125"/>
      <c r="IKC67" s="133"/>
      <c r="IKD67"/>
      <c r="IKE67" s="126"/>
      <c r="IKF67" s="127"/>
      <c r="IKG67" s="128"/>
      <c r="IKH67" s="128"/>
      <c r="IKI67" s="127"/>
      <c r="IKJ67" s="129"/>
      <c r="IKK67" s="127"/>
      <c r="IKL67" s="129"/>
      <c r="IKM67" s="130"/>
      <c r="IKN67" s="131"/>
      <c r="IKO67"/>
      <c r="IKP67" s="132"/>
      <c r="IKQ67"/>
      <c r="IKR67" s="125"/>
      <c r="IKS67" s="133"/>
      <c r="IKT67"/>
      <c r="IKU67" s="126"/>
      <c r="IKV67" s="127"/>
      <c r="IKW67" s="128"/>
      <c r="IKX67" s="128"/>
      <c r="IKY67" s="127"/>
      <c r="IKZ67" s="129"/>
      <c r="ILA67" s="127"/>
      <c r="ILB67" s="129"/>
      <c r="ILC67" s="130"/>
      <c r="ILD67" s="131"/>
      <c r="ILE67"/>
      <c r="ILF67" s="132"/>
      <c r="ILG67"/>
      <c r="ILH67" s="125"/>
      <c r="ILI67" s="133"/>
      <c r="ILJ67"/>
      <c r="ILK67" s="126"/>
      <c r="ILL67" s="127"/>
      <c r="ILM67" s="128"/>
      <c r="ILN67" s="128"/>
      <c r="ILO67" s="127"/>
      <c r="ILP67" s="129"/>
      <c r="ILQ67" s="127"/>
      <c r="ILR67" s="129"/>
      <c r="ILS67" s="130"/>
      <c r="ILT67" s="131"/>
      <c r="ILU67"/>
      <c r="ILV67" s="132"/>
      <c r="ILW67"/>
      <c r="ILX67" s="125"/>
      <c r="ILY67" s="133"/>
      <c r="ILZ67"/>
      <c r="IMA67" s="126"/>
      <c r="IMB67" s="127"/>
      <c r="IMC67" s="128"/>
      <c r="IMD67" s="128"/>
      <c r="IME67" s="127"/>
      <c r="IMF67" s="129"/>
      <c r="IMG67" s="127"/>
      <c r="IMH67" s="129"/>
      <c r="IMI67" s="130"/>
      <c r="IMJ67" s="131"/>
      <c r="IMK67"/>
      <c r="IML67" s="132"/>
      <c r="IMM67"/>
      <c r="IMN67" s="125"/>
      <c r="IMO67" s="133"/>
      <c r="IMP67"/>
      <c r="IMQ67" s="126"/>
      <c r="IMR67" s="127"/>
      <c r="IMS67" s="128"/>
      <c r="IMT67" s="128"/>
      <c r="IMU67" s="127"/>
      <c r="IMV67" s="129"/>
      <c r="IMW67" s="127"/>
      <c r="IMX67" s="129"/>
      <c r="IMY67" s="130"/>
      <c r="IMZ67" s="131"/>
      <c r="INA67"/>
      <c r="INB67" s="132"/>
      <c r="INC67"/>
      <c r="IND67" s="125"/>
      <c r="INE67" s="133"/>
      <c r="INF67"/>
      <c r="ING67" s="126"/>
      <c r="INH67" s="127"/>
      <c r="INI67" s="128"/>
      <c r="INJ67" s="128"/>
      <c r="INK67" s="127"/>
      <c r="INL67" s="129"/>
      <c r="INM67" s="127"/>
      <c r="INN67" s="129"/>
      <c r="INO67" s="130"/>
      <c r="INP67" s="131"/>
      <c r="INQ67"/>
      <c r="INR67" s="132"/>
      <c r="INS67"/>
      <c r="INT67" s="125"/>
      <c r="INU67" s="133"/>
      <c r="INV67"/>
      <c r="INW67" s="126"/>
      <c r="INX67" s="127"/>
      <c r="INY67" s="128"/>
      <c r="INZ67" s="128"/>
      <c r="IOA67" s="127"/>
      <c r="IOB67" s="129"/>
      <c r="IOC67" s="127"/>
      <c r="IOD67" s="129"/>
      <c r="IOE67" s="130"/>
      <c r="IOF67" s="131"/>
      <c r="IOG67"/>
      <c r="IOH67" s="132"/>
      <c r="IOI67"/>
      <c r="IOJ67" s="125"/>
      <c r="IOK67" s="133"/>
      <c r="IOL67"/>
      <c r="IOM67" s="126"/>
      <c r="ION67" s="127"/>
      <c r="IOO67" s="128"/>
      <c r="IOP67" s="128"/>
      <c r="IOQ67" s="127"/>
      <c r="IOR67" s="129"/>
      <c r="IOS67" s="127"/>
      <c r="IOT67" s="129"/>
      <c r="IOU67" s="130"/>
      <c r="IOV67" s="131"/>
      <c r="IOW67"/>
      <c r="IOX67" s="132"/>
      <c r="IOY67"/>
      <c r="IOZ67" s="125"/>
      <c r="IPA67" s="133"/>
      <c r="IPB67"/>
      <c r="IPC67" s="126"/>
      <c r="IPD67" s="127"/>
      <c r="IPE67" s="128"/>
      <c r="IPF67" s="128"/>
      <c r="IPG67" s="127"/>
      <c r="IPH67" s="129"/>
      <c r="IPI67" s="127"/>
      <c r="IPJ67" s="129"/>
      <c r="IPK67" s="130"/>
      <c r="IPL67" s="131"/>
      <c r="IPM67"/>
      <c r="IPN67" s="132"/>
      <c r="IPO67"/>
      <c r="IPP67" s="125"/>
      <c r="IPQ67" s="133"/>
      <c r="IPR67"/>
      <c r="IPS67" s="126"/>
      <c r="IPT67" s="127"/>
      <c r="IPU67" s="128"/>
      <c r="IPV67" s="128"/>
      <c r="IPW67" s="127"/>
      <c r="IPX67" s="129"/>
      <c r="IPY67" s="127"/>
      <c r="IPZ67" s="129"/>
      <c r="IQA67" s="130"/>
      <c r="IQB67" s="131"/>
      <c r="IQC67"/>
      <c r="IQD67" s="132"/>
      <c r="IQE67"/>
      <c r="IQF67" s="125"/>
      <c r="IQG67" s="133"/>
      <c r="IQH67"/>
      <c r="IQI67" s="126"/>
      <c r="IQJ67" s="127"/>
      <c r="IQK67" s="128"/>
      <c r="IQL67" s="128"/>
      <c r="IQM67" s="127"/>
      <c r="IQN67" s="129"/>
      <c r="IQO67" s="127"/>
      <c r="IQP67" s="129"/>
      <c r="IQQ67" s="130"/>
      <c r="IQR67" s="131"/>
      <c r="IQS67"/>
      <c r="IQT67" s="132"/>
      <c r="IQU67"/>
      <c r="IQV67" s="125"/>
      <c r="IQW67" s="133"/>
      <c r="IQX67"/>
      <c r="IQY67" s="126"/>
      <c r="IQZ67" s="127"/>
      <c r="IRA67" s="128"/>
      <c r="IRB67" s="128"/>
      <c r="IRC67" s="127"/>
      <c r="IRD67" s="129"/>
      <c r="IRE67" s="127"/>
      <c r="IRF67" s="129"/>
      <c r="IRG67" s="130"/>
      <c r="IRH67" s="131"/>
      <c r="IRI67"/>
      <c r="IRJ67" s="132"/>
      <c r="IRK67"/>
      <c r="IRL67" s="125"/>
      <c r="IRM67" s="133"/>
      <c r="IRN67"/>
      <c r="IRO67" s="126"/>
      <c r="IRP67" s="127"/>
      <c r="IRQ67" s="128"/>
      <c r="IRR67" s="128"/>
      <c r="IRS67" s="127"/>
      <c r="IRT67" s="129"/>
      <c r="IRU67" s="127"/>
      <c r="IRV67" s="129"/>
      <c r="IRW67" s="130"/>
      <c r="IRX67" s="131"/>
      <c r="IRY67"/>
      <c r="IRZ67" s="132"/>
      <c r="ISA67"/>
      <c r="ISB67" s="125"/>
      <c r="ISC67" s="133"/>
      <c r="ISD67"/>
      <c r="ISE67" s="126"/>
      <c r="ISF67" s="127"/>
      <c r="ISG67" s="128"/>
      <c r="ISH67" s="128"/>
      <c r="ISI67" s="127"/>
      <c r="ISJ67" s="129"/>
      <c r="ISK67" s="127"/>
      <c r="ISL67" s="129"/>
      <c r="ISM67" s="130"/>
      <c r="ISN67" s="131"/>
      <c r="ISO67"/>
      <c r="ISP67" s="132"/>
      <c r="ISQ67"/>
      <c r="ISR67" s="125"/>
      <c r="ISS67" s="133"/>
      <c r="IST67"/>
      <c r="ISU67" s="126"/>
      <c r="ISV67" s="127"/>
      <c r="ISW67" s="128"/>
      <c r="ISX67" s="128"/>
      <c r="ISY67" s="127"/>
      <c r="ISZ67" s="129"/>
      <c r="ITA67" s="127"/>
      <c r="ITB67" s="129"/>
      <c r="ITC67" s="130"/>
      <c r="ITD67" s="131"/>
      <c r="ITE67"/>
      <c r="ITF67" s="132"/>
      <c r="ITG67"/>
      <c r="ITH67" s="125"/>
      <c r="ITI67" s="133"/>
      <c r="ITJ67"/>
      <c r="ITK67" s="126"/>
      <c r="ITL67" s="127"/>
      <c r="ITM67" s="128"/>
      <c r="ITN67" s="128"/>
      <c r="ITO67" s="127"/>
      <c r="ITP67" s="129"/>
      <c r="ITQ67" s="127"/>
      <c r="ITR67" s="129"/>
      <c r="ITS67" s="130"/>
      <c r="ITT67" s="131"/>
      <c r="ITU67"/>
      <c r="ITV67" s="132"/>
      <c r="ITW67"/>
      <c r="ITX67" s="125"/>
      <c r="ITY67" s="133"/>
      <c r="ITZ67"/>
      <c r="IUA67" s="126"/>
      <c r="IUB67" s="127"/>
      <c r="IUC67" s="128"/>
      <c r="IUD67" s="128"/>
      <c r="IUE67" s="127"/>
      <c r="IUF67" s="129"/>
      <c r="IUG67" s="127"/>
      <c r="IUH67" s="129"/>
      <c r="IUI67" s="130"/>
      <c r="IUJ67" s="131"/>
      <c r="IUK67"/>
      <c r="IUL67" s="132"/>
      <c r="IUM67"/>
      <c r="IUN67" s="125"/>
      <c r="IUO67" s="133"/>
      <c r="IUP67"/>
      <c r="IUQ67" s="126"/>
      <c r="IUR67" s="127"/>
      <c r="IUS67" s="128"/>
      <c r="IUT67" s="128"/>
      <c r="IUU67" s="127"/>
      <c r="IUV67" s="129"/>
      <c r="IUW67" s="127"/>
      <c r="IUX67" s="129"/>
      <c r="IUY67" s="130"/>
      <c r="IUZ67" s="131"/>
      <c r="IVA67"/>
      <c r="IVB67" s="132"/>
      <c r="IVC67"/>
      <c r="IVD67" s="125"/>
      <c r="IVE67" s="133"/>
      <c r="IVF67"/>
      <c r="IVG67" s="126"/>
      <c r="IVH67" s="127"/>
      <c r="IVI67" s="128"/>
      <c r="IVJ67" s="128"/>
      <c r="IVK67" s="127"/>
      <c r="IVL67" s="129"/>
      <c r="IVM67" s="127"/>
      <c r="IVN67" s="129"/>
      <c r="IVO67" s="130"/>
      <c r="IVP67" s="131"/>
      <c r="IVQ67"/>
      <c r="IVR67" s="132"/>
      <c r="IVS67"/>
      <c r="IVT67" s="125"/>
      <c r="IVU67" s="133"/>
      <c r="IVV67"/>
      <c r="IVW67" s="126"/>
      <c r="IVX67" s="127"/>
      <c r="IVY67" s="128"/>
      <c r="IVZ67" s="128"/>
      <c r="IWA67" s="127"/>
      <c r="IWB67" s="129"/>
      <c r="IWC67" s="127"/>
      <c r="IWD67" s="129"/>
      <c r="IWE67" s="130"/>
      <c r="IWF67" s="131"/>
      <c r="IWG67"/>
      <c r="IWH67" s="132"/>
      <c r="IWI67"/>
      <c r="IWJ67" s="125"/>
      <c r="IWK67" s="133"/>
      <c r="IWL67"/>
      <c r="IWM67" s="126"/>
      <c r="IWN67" s="127"/>
      <c r="IWO67" s="128"/>
      <c r="IWP67" s="128"/>
      <c r="IWQ67" s="127"/>
      <c r="IWR67" s="129"/>
      <c r="IWS67" s="127"/>
      <c r="IWT67" s="129"/>
      <c r="IWU67" s="130"/>
      <c r="IWV67" s="131"/>
      <c r="IWW67"/>
      <c r="IWX67" s="132"/>
      <c r="IWY67"/>
      <c r="IWZ67" s="125"/>
      <c r="IXA67" s="133"/>
      <c r="IXB67"/>
      <c r="IXC67" s="126"/>
      <c r="IXD67" s="127"/>
      <c r="IXE67" s="128"/>
      <c r="IXF67" s="128"/>
      <c r="IXG67" s="127"/>
      <c r="IXH67" s="129"/>
      <c r="IXI67" s="127"/>
      <c r="IXJ67" s="129"/>
      <c r="IXK67" s="130"/>
      <c r="IXL67" s="131"/>
      <c r="IXM67"/>
      <c r="IXN67" s="132"/>
      <c r="IXO67"/>
      <c r="IXP67" s="125"/>
      <c r="IXQ67" s="133"/>
      <c r="IXR67"/>
      <c r="IXS67" s="126"/>
      <c r="IXT67" s="127"/>
      <c r="IXU67" s="128"/>
      <c r="IXV67" s="128"/>
      <c r="IXW67" s="127"/>
      <c r="IXX67" s="129"/>
      <c r="IXY67" s="127"/>
      <c r="IXZ67" s="129"/>
      <c r="IYA67" s="130"/>
      <c r="IYB67" s="131"/>
      <c r="IYC67"/>
      <c r="IYD67" s="132"/>
      <c r="IYE67"/>
      <c r="IYF67" s="125"/>
      <c r="IYG67" s="133"/>
      <c r="IYH67"/>
      <c r="IYI67" s="126"/>
      <c r="IYJ67" s="127"/>
      <c r="IYK67" s="128"/>
      <c r="IYL67" s="128"/>
      <c r="IYM67" s="127"/>
      <c r="IYN67" s="129"/>
      <c r="IYO67" s="127"/>
      <c r="IYP67" s="129"/>
      <c r="IYQ67" s="130"/>
      <c r="IYR67" s="131"/>
      <c r="IYS67"/>
      <c r="IYT67" s="132"/>
      <c r="IYU67"/>
      <c r="IYV67" s="125"/>
      <c r="IYW67" s="133"/>
      <c r="IYX67"/>
      <c r="IYY67" s="126"/>
      <c r="IYZ67" s="127"/>
      <c r="IZA67" s="128"/>
      <c r="IZB67" s="128"/>
      <c r="IZC67" s="127"/>
      <c r="IZD67" s="129"/>
      <c r="IZE67" s="127"/>
      <c r="IZF67" s="129"/>
      <c r="IZG67" s="130"/>
      <c r="IZH67" s="131"/>
      <c r="IZI67"/>
      <c r="IZJ67" s="132"/>
      <c r="IZK67"/>
      <c r="IZL67" s="125"/>
      <c r="IZM67" s="133"/>
      <c r="IZN67"/>
      <c r="IZO67" s="126"/>
      <c r="IZP67" s="127"/>
      <c r="IZQ67" s="128"/>
      <c r="IZR67" s="128"/>
      <c r="IZS67" s="127"/>
      <c r="IZT67" s="129"/>
      <c r="IZU67" s="127"/>
      <c r="IZV67" s="129"/>
      <c r="IZW67" s="130"/>
      <c r="IZX67" s="131"/>
      <c r="IZY67"/>
      <c r="IZZ67" s="132"/>
      <c r="JAA67"/>
      <c r="JAB67" s="125"/>
      <c r="JAC67" s="133"/>
      <c r="JAD67"/>
      <c r="JAE67" s="126"/>
      <c r="JAF67" s="127"/>
      <c r="JAG67" s="128"/>
      <c r="JAH67" s="128"/>
      <c r="JAI67" s="127"/>
      <c r="JAJ67" s="129"/>
      <c r="JAK67" s="127"/>
      <c r="JAL67" s="129"/>
      <c r="JAM67" s="130"/>
      <c r="JAN67" s="131"/>
      <c r="JAO67"/>
      <c r="JAP67" s="132"/>
      <c r="JAQ67"/>
      <c r="JAR67" s="125"/>
      <c r="JAS67" s="133"/>
      <c r="JAT67"/>
      <c r="JAU67" s="126"/>
      <c r="JAV67" s="127"/>
      <c r="JAW67" s="128"/>
      <c r="JAX67" s="128"/>
      <c r="JAY67" s="127"/>
      <c r="JAZ67" s="129"/>
      <c r="JBA67" s="127"/>
      <c r="JBB67" s="129"/>
      <c r="JBC67" s="130"/>
      <c r="JBD67" s="131"/>
      <c r="JBE67"/>
      <c r="JBF67" s="132"/>
      <c r="JBG67"/>
      <c r="JBH67" s="125"/>
      <c r="JBI67" s="133"/>
      <c r="JBJ67"/>
      <c r="JBK67" s="126"/>
      <c r="JBL67" s="127"/>
      <c r="JBM67" s="128"/>
      <c r="JBN67" s="128"/>
      <c r="JBO67" s="127"/>
      <c r="JBP67" s="129"/>
      <c r="JBQ67" s="127"/>
      <c r="JBR67" s="129"/>
      <c r="JBS67" s="130"/>
      <c r="JBT67" s="131"/>
      <c r="JBU67"/>
      <c r="JBV67" s="132"/>
      <c r="JBW67"/>
      <c r="JBX67" s="125"/>
      <c r="JBY67" s="133"/>
      <c r="JBZ67"/>
      <c r="JCA67" s="126"/>
      <c r="JCB67" s="127"/>
      <c r="JCC67" s="128"/>
      <c r="JCD67" s="128"/>
      <c r="JCE67" s="127"/>
      <c r="JCF67" s="129"/>
      <c r="JCG67" s="127"/>
      <c r="JCH67" s="129"/>
      <c r="JCI67" s="130"/>
      <c r="JCJ67" s="131"/>
      <c r="JCK67"/>
      <c r="JCL67" s="132"/>
      <c r="JCM67"/>
      <c r="JCN67" s="125"/>
      <c r="JCO67" s="133"/>
      <c r="JCP67"/>
      <c r="JCQ67" s="126"/>
      <c r="JCR67" s="127"/>
      <c r="JCS67" s="128"/>
      <c r="JCT67" s="128"/>
      <c r="JCU67" s="127"/>
      <c r="JCV67" s="129"/>
      <c r="JCW67" s="127"/>
      <c r="JCX67" s="129"/>
      <c r="JCY67" s="130"/>
      <c r="JCZ67" s="131"/>
      <c r="JDA67"/>
      <c r="JDB67" s="132"/>
      <c r="JDC67"/>
      <c r="JDD67" s="125"/>
      <c r="JDE67" s="133"/>
      <c r="JDF67"/>
      <c r="JDG67" s="126"/>
      <c r="JDH67" s="127"/>
      <c r="JDI67" s="128"/>
      <c r="JDJ67" s="128"/>
      <c r="JDK67" s="127"/>
      <c r="JDL67" s="129"/>
      <c r="JDM67" s="127"/>
      <c r="JDN67" s="129"/>
      <c r="JDO67" s="130"/>
      <c r="JDP67" s="131"/>
      <c r="JDQ67"/>
      <c r="JDR67" s="132"/>
      <c r="JDS67"/>
      <c r="JDT67" s="125"/>
      <c r="JDU67" s="133"/>
      <c r="JDV67"/>
      <c r="JDW67" s="126"/>
      <c r="JDX67" s="127"/>
      <c r="JDY67" s="128"/>
      <c r="JDZ67" s="128"/>
      <c r="JEA67" s="127"/>
      <c r="JEB67" s="129"/>
      <c r="JEC67" s="127"/>
      <c r="JED67" s="129"/>
      <c r="JEE67" s="130"/>
      <c r="JEF67" s="131"/>
      <c r="JEG67"/>
      <c r="JEH67" s="132"/>
      <c r="JEI67"/>
      <c r="JEJ67" s="125"/>
      <c r="JEK67" s="133"/>
      <c r="JEL67"/>
      <c r="JEM67" s="126"/>
      <c r="JEN67" s="127"/>
      <c r="JEO67" s="128"/>
      <c r="JEP67" s="128"/>
      <c r="JEQ67" s="127"/>
      <c r="JER67" s="129"/>
      <c r="JES67" s="127"/>
      <c r="JET67" s="129"/>
      <c r="JEU67" s="130"/>
      <c r="JEV67" s="131"/>
      <c r="JEW67"/>
      <c r="JEX67" s="132"/>
      <c r="JEY67"/>
      <c r="JEZ67" s="125"/>
      <c r="JFA67" s="133"/>
      <c r="JFB67"/>
      <c r="JFC67" s="126"/>
      <c r="JFD67" s="127"/>
      <c r="JFE67" s="128"/>
      <c r="JFF67" s="128"/>
      <c r="JFG67" s="127"/>
      <c r="JFH67" s="129"/>
      <c r="JFI67" s="127"/>
      <c r="JFJ67" s="129"/>
      <c r="JFK67" s="130"/>
      <c r="JFL67" s="131"/>
      <c r="JFM67"/>
      <c r="JFN67" s="132"/>
      <c r="JFO67"/>
      <c r="JFP67" s="125"/>
      <c r="JFQ67" s="133"/>
      <c r="JFR67"/>
      <c r="JFS67" s="126"/>
      <c r="JFT67" s="127"/>
      <c r="JFU67" s="128"/>
      <c r="JFV67" s="128"/>
      <c r="JFW67" s="127"/>
      <c r="JFX67" s="129"/>
      <c r="JFY67" s="127"/>
      <c r="JFZ67" s="129"/>
      <c r="JGA67" s="130"/>
      <c r="JGB67" s="131"/>
      <c r="JGC67"/>
      <c r="JGD67" s="132"/>
      <c r="JGE67"/>
      <c r="JGF67" s="125"/>
      <c r="JGG67" s="133"/>
      <c r="JGH67"/>
      <c r="JGI67" s="126"/>
      <c r="JGJ67" s="127"/>
      <c r="JGK67" s="128"/>
      <c r="JGL67" s="128"/>
      <c r="JGM67" s="127"/>
      <c r="JGN67" s="129"/>
      <c r="JGO67" s="127"/>
      <c r="JGP67" s="129"/>
      <c r="JGQ67" s="130"/>
      <c r="JGR67" s="131"/>
      <c r="JGS67"/>
      <c r="JGT67" s="132"/>
      <c r="JGU67"/>
      <c r="JGV67" s="125"/>
      <c r="JGW67" s="133"/>
      <c r="JGX67"/>
      <c r="JGY67" s="126"/>
      <c r="JGZ67" s="127"/>
      <c r="JHA67" s="128"/>
      <c r="JHB67" s="128"/>
      <c r="JHC67" s="127"/>
      <c r="JHD67" s="129"/>
      <c r="JHE67" s="127"/>
      <c r="JHF67" s="129"/>
      <c r="JHG67" s="130"/>
      <c r="JHH67" s="131"/>
      <c r="JHI67"/>
      <c r="JHJ67" s="132"/>
      <c r="JHK67"/>
      <c r="JHL67" s="125"/>
      <c r="JHM67" s="133"/>
      <c r="JHN67"/>
      <c r="JHO67" s="126"/>
      <c r="JHP67" s="127"/>
      <c r="JHQ67" s="128"/>
      <c r="JHR67" s="128"/>
      <c r="JHS67" s="127"/>
      <c r="JHT67" s="129"/>
      <c r="JHU67" s="127"/>
      <c r="JHV67" s="129"/>
      <c r="JHW67" s="130"/>
      <c r="JHX67" s="131"/>
      <c r="JHY67"/>
      <c r="JHZ67" s="132"/>
      <c r="JIA67"/>
      <c r="JIB67" s="125"/>
      <c r="JIC67" s="133"/>
      <c r="JID67"/>
      <c r="JIE67" s="126"/>
      <c r="JIF67" s="127"/>
      <c r="JIG67" s="128"/>
      <c r="JIH67" s="128"/>
      <c r="JII67" s="127"/>
      <c r="JIJ67" s="129"/>
      <c r="JIK67" s="127"/>
      <c r="JIL67" s="129"/>
      <c r="JIM67" s="130"/>
      <c r="JIN67" s="131"/>
      <c r="JIO67"/>
      <c r="JIP67" s="132"/>
      <c r="JIQ67"/>
      <c r="JIR67" s="125"/>
      <c r="JIS67" s="133"/>
      <c r="JIT67"/>
      <c r="JIU67" s="126"/>
      <c r="JIV67" s="127"/>
      <c r="JIW67" s="128"/>
      <c r="JIX67" s="128"/>
      <c r="JIY67" s="127"/>
      <c r="JIZ67" s="129"/>
      <c r="JJA67" s="127"/>
      <c r="JJB67" s="129"/>
      <c r="JJC67" s="130"/>
      <c r="JJD67" s="131"/>
      <c r="JJE67"/>
      <c r="JJF67" s="132"/>
      <c r="JJG67"/>
      <c r="JJH67" s="125"/>
      <c r="JJI67" s="133"/>
      <c r="JJJ67"/>
      <c r="JJK67" s="126"/>
      <c r="JJL67" s="127"/>
      <c r="JJM67" s="128"/>
      <c r="JJN67" s="128"/>
      <c r="JJO67" s="127"/>
      <c r="JJP67" s="129"/>
      <c r="JJQ67" s="127"/>
      <c r="JJR67" s="129"/>
      <c r="JJS67" s="130"/>
      <c r="JJT67" s="131"/>
      <c r="JJU67"/>
      <c r="JJV67" s="132"/>
      <c r="JJW67"/>
      <c r="JJX67" s="125"/>
      <c r="JJY67" s="133"/>
      <c r="JJZ67"/>
      <c r="JKA67" s="126"/>
      <c r="JKB67" s="127"/>
      <c r="JKC67" s="128"/>
      <c r="JKD67" s="128"/>
      <c r="JKE67" s="127"/>
      <c r="JKF67" s="129"/>
      <c r="JKG67" s="127"/>
      <c r="JKH67" s="129"/>
      <c r="JKI67" s="130"/>
      <c r="JKJ67" s="131"/>
      <c r="JKK67"/>
      <c r="JKL67" s="132"/>
      <c r="JKM67"/>
      <c r="JKN67" s="125"/>
      <c r="JKO67" s="133"/>
      <c r="JKP67"/>
      <c r="JKQ67" s="126"/>
      <c r="JKR67" s="127"/>
      <c r="JKS67" s="128"/>
      <c r="JKT67" s="128"/>
      <c r="JKU67" s="127"/>
      <c r="JKV67" s="129"/>
      <c r="JKW67" s="127"/>
      <c r="JKX67" s="129"/>
      <c r="JKY67" s="130"/>
      <c r="JKZ67" s="131"/>
      <c r="JLA67"/>
      <c r="JLB67" s="132"/>
      <c r="JLC67"/>
      <c r="JLD67" s="125"/>
      <c r="JLE67" s="133"/>
      <c r="JLF67"/>
      <c r="JLG67" s="126"/>
      <c r="JLH67" s="127"/>
      <c r="JLI67" s="128"/>
      <c r="JLJ67" s="128"/>
      <c r="JLK67" s="127"/>
      <c r="JLL67" s="129"/>
      <c r="JLM67" s="127"/>
      <c r="JLN67" s="129"/>
      <c r="JLO67" s="130"/>
      <c r="JLP67" s="131"/>
      <c r="JLQ67"/>
      <c r="JLR67" s="132"/>
      <c r="JLS67"/>
      <c r="JLT67" s="125"/>
      <c r="JLU67" s="133"/>
      <c r="JLV67"/>
      <c r="JLW67" s="126"/>
      <c r="JLX67" s="127"/>
      <c r="JLY67" s="128"/>
      <c r="JLZ67" s="128"/>
      <c r="JMA67" s="127"/>
      <c r="JMB67" s="129"/>
      <c r="JMC67" s="127"/>
      <c r="JMD67" s="129"/>
      <c r="JME67" s="130"/>
      <c r="JMF67" s="131"/>
      <c r="JMG67"/>
      <c r="JMH67" s="132"/>
      <c r="JMI67"/>
      <c r="JMJ67" s="125"/>
      <c r="JMK67" s="133"/>
      <c r="JML67"/>
      <c r="JMM67" s="126"/>
      <c r="JMN67" s="127"/>
      <c r="JMO67" s="128"/>
      <c r="JMP67" s="128"/>
      <c r="JMQ67" s="127"/>
      <c r="JMR67" s="129"/>
      <c r="JMS67" s="127"/>
      <c r="JMT67" s="129"/>
      <c r="JMU67" s="130"/>
      <c r="JMV67" s="131"/>
      <c r="JMW67"/>
      <c r="JMX67" s="132"/>
      <c r="JMY67"/>
      <c r="JMZ67" s="125"/>
      <c r="JNA67" s="133"/>
      <c r="JNB67"/>
      <c r="JNC67" s="126"/>
      <c r="JND67" s="127"/>
      <c r="JNE67" s="128"/>
      <c r="JNF67" s="128"/>
      <c r="JNG67" s="127"/>
      <c r="JNH67" s="129"/>
      <c r="JNI67" s="127"/>
      <c r="JNJ67" s="129"/>
      <c r="JNK67" s="130"/>
      <c r="JNL67" s="131"/>
      <c r="JNM67"/>
      <c r="JNN67" s="132"/>
      <c r="JNO67"/>
      <c r="JNP67" s="125"/>
      <c r="JNQ67" s="133"/>
      <c r="JNR67"/>
      <c r="JNS67" s="126"/>
      <c r="JNT67" s="127"/>
      <c r="JNU67" s="128"/>
      <c r="JNV67" s="128"/>
      <c r="JNW67" s="127"/>
      <c r="JNX67" s="129"/>
      <c r="JNY67" s="127"/>
      <c r="JNZ67" s="129"/>
      <c r="JOA67" s="130"/>
      <c r="JOB67" s="131"/>
      <c r="JOC67"/>
      <c r="JOD67" s="132"/>
      <c r="JOE67"/>
      <c r="JOF67" s="125"/>
      <c r="JOG67" s="133"/>
      <c r="JOH67"/>
      <c r="JOI67" s="126"/>
      <c r="JOJ67" s="127"/>
      <c r="JOK67" s="128"/>
      <c r="JOL67" s="128"/>
      <c r="JOM67" s="127"/>
      <c r="JON67" s="129"/>
      <c r="JOO67" s="127"/>
      <c r="JOP67" s="129"/>
      <c r="JOQ67" s="130"/>
      <c r="JOR67" s="131"/>
      <c r="JOS67"/>
      <c r="JOT67" s="132"/>
      <c r="JOU67"/>
      <c r="JOV67" s="125"/>
      <c r="JOW67" s="133"/>
      <c r="JOX67"/>
      <c r="JOY67" s="126"/>
      <c r="JOZ67" s="127"/>
      <c r="JPA67" s="128"/>
      <c r="JPB67" s="128"/>
      <c r="JPC67" s="127"/>
      <c r="JPD67" s="129"/>
      <c r="JPE67" s="127"/>
      <c r="JPF67" s="129"/>
      <c r="JPG67" s="130"/>
      <c r="JPH67" s="131"/>
      <c r="JPI67"/>
      <c r="JPJ67" s="132"/>
      <c r="JPK67"/>
      <c r="JPL67" s="125"/>
      <c r="JPM67" s="133"/>
      <c r="JPN67"/>
      <c r="JPO67" s="126"/>
      <c r="JPP67" s="127"/>
      <c r="JPQ67" s="128"/>
      <c r="JPR67" s="128"/>
      <c r="JPS67" s="127"/>
      <c r="JPT67" s="129"/>
      <c r="JPU67" s="127"/>
      <c r="JPV67" s="129"/>
      <c r="JPW67" s="130"/>
      <c r="JPX67" s="131"/>
      <c r="JPY67"/>
      <c r="JPZ67" s="132"/>
      <c r="JQA67"/>
      <c r="JQB67" s="125"/>
      <c r="JQC67" s="133"/>
      <c r="JQD67"/>
      <c r="JQE67" s="126"/>
      <c r="JQF67" s="127"/>
      <c r="JQG67" s="128"/>
      <c r="JQH67" s="128"/>
      <c r="JQI67" s="127"/>
      <c r="JQJ67" s="129"/>
      <c r="JQK67" s="127"/>
      <c r="JQL67" s="129"/>
      <c r="JQM67" s="130"/>
      <c r="JQN67" s="131"/>
      <c r="JQO67"/>
      <c r="JQP67" s="132"/>
      <c r="JQQ67"/>
      <c r="JQR67" s="125"/>
      <c r="JQS67" s="133"/>
      <c r="JQT67"/>
      <c r="JQU67" s="126"/>
      <c r="JQV67" s="127"/>
      <c r="JQW67" s="128"/>
      <c r="JQX67" s="128"/>
      <c r="JQY67" s="127"/>
      <c r="JQZ67" s="129"/>
      <c r="JRA67" s="127"/>
      <c r="JRB67" s="129"/>
      <c r="JRC67" s="130"/>
      <c r="JRD67" s="131"/>
      <c r="JRE67"/>
      <c r="JRF67" s="132"/>
      <c r="JRG67"/>
      <c r="JRH67" s="125"/>
      <c r="JRI67" s="133"/>
      <c r="JRJ67"/>
      <c r="JRK67" s="126"/>
      <c r="JRL67" s="127"/>
      <c r="JRM67" s="128"/>
      <c r="JRN67" s="128"/>
      <c r="JRO67" s="127"/>
      <c r="JRP67" s="129"/>
      <c r="JRQ67" s="127"/>
      <c r="JRR67" s="129"/>
      <c r="JRS67" s="130"/>
      <c r="JRT67" s="131"/>
      <c r="JRU67"/>
      <c r="JRV67" s="132"/>
      <c r="JRW67"/>
      <c r="JRX67" s="125"/>
      <c r="JRY67" s="133"/>
      <c r="JRZ67"/>
      <c r="JSA67" s="126"/>
      <c r="JSB67" s="127"/>
      <c r="JSC67" s="128"/>
      <c r="JSD67" s="128"/>
      <c r="JSE67" s="127"/>
      <c r="JSF67" s="129"/>
      <c r="JSG67" s="127"/>
      <c r="JSH67" s="129"/>
      <c r="JSI67" s="130"/>
      <c r="JSJ67" s="131"/>
      <c r="JSK67"/>
      <c r="JSL67" s="132"/>
      <c r="JSM67"/>
      <c r="JSN67" s="125"/>
      <c r="JSO67" s="133"/>
      <c r="JSP67"/>
      <c r="JSQ67" s="126"/>
      <c r="JSR67" s="127"/>
      <c r="JSS67" s="128"/>
      <c r="JST67" s="128"/>
      <c r="JSU67" s="127"/>
      <c r="JSV67" s="129"/>
      <c r="JSW67" s="127"/>
      <c r="JSX67" s="129"/>
      <c r="JSY67" s="130"/>
      <c r="JSZ67" s="131"/>
      <c r="JTA67"/>
      <c r="JTB67" s="132"/>
      <c r="JTC67"/>
      <c r="JTD67" s="125"/>
      <c r="JTE67" s="133"/>
      <c r="JTF67"/>
      <c r="JTG67" s="126"/>
      <c r="JTH67" s="127"/>
      <c r="JTI67" s="128"/>
      <c r="JTJ67" s="128"/>
      <c r="JTK67" s="127"/>
      <c r="JTL67" s="129"/>
      <c r="JTM67" s="127"/>
      <c r="JTN67" s="129"/>
      <c r="JTO67" s="130"/>
      <c r="JTP67" s="131"/>
      <c r="JTQ67"/>
      <c r="JTR67" s="132"/>
      <c r="JTS67"/>
      <c r="JTT67" s="125"/>
      <c r="JTU67" s="133"/>
      <c r="JTV67"/>
      <c r="JTW67" s="126"/>
      <c r="JTX67" s="127"/>
      <c r="JTY67" s="128"/>
      <c r="JTZ67" s="128"/>
      <c r="JUA67" s="127"/>
      <c r="JUB67" s="129"/>
      <c r="JUC67" s="127"/>
      <c r="JUD67" s="129"/>
      <c r="JUE67" s="130"/>
      <c r="JUF67" s="131"/>
      <c r="JUG67"/>
      <c r="JUH67" s="132"/>
      <c r="JUI67"/>
      <c r="JUJ67" s="125"/>
      <c r="JUK67" s="133"/>
      <c r="JUL67"/>
      <c r="JUM67" s="126"/>
      <c r="JUN67" s="127"/>
      <c r="JUO67" s="128"/>
      <c r="JUP67" s="128"/>
      <c r="JUQ67" s="127"/>
      <c r="JUR67" s="129"/>
      <c r="JUS67" s="127"/>
      <c r="JUT67" s="129"/>
      <c r="JUU67" s="130"/>
      <c r="JUV67" s="131"/>
      <c r="JUW67"/>
      <c r="JUX67" s="132"/>
      <c r="JUY67"/>
      <c r="JUZ67" s="125"/>
      <c r="JVA67" s="133"/>
      <c r="JVB67"/>
      <c r="JVC67" s="126"/>
      <c r="JVD67" s="127"/>
      <c r="JVE67" s="128"/>
      <c r="JVF67" s="128"/>
      <c r="JVG67" s="127"/>
      <c r="JVH67" s="129"/>
      <c r="JVI67" s="127"/>
      <c r="JVJ67" s="129"/>
      <c r="JVK67" s="130"/>
      <c r="JVL67" s="131"/>
      <c r="JVM67"/>
      <c r="JVN67" s="132"/>
      <c r="JVO67"/>
      <c r="JVP67" s="125"/>
      <c r="JVQ67" s="133"/>
      <c r="JVR67"/>
      <c r="JVS67" s="126"/>
      <c r="JVT67" s="127"/>
      <c r="JVU67" s="128"/>
      <c r="JVV67" s="128"/>
      <c r="JVW67" s="127"/>
      <c r="JVX67" s="129"/>
      <c r="JVY67" s="127"/>
      <c r="JVZ67" s="129"/>
      <c r="JWA67" s="130"/>
      <c r="JWB67" s="131"/>
      <c r="JWC67"/>
      <c r="JWD67" s="132"/>
      <c r="JWE67"/>
      <c r="JWF67" s="125"/>
      <c r="JWG67" s="133"/>
      <c r="JWH67"/>
      <c r="JWI67" s="126"/>
      <c r="JWJ67" s="127"/>
      <c r="JWK67" s="128"/>
      <c r="JWL67" s="128"/>
      <c r="JWM67" s="127"/>
      <c r="JWN67" s="129"/>
      <c r="JWO67" s="127"/>
      <c r="JWP67" s="129"/>
      <c r="JWQ67" s="130"/>
      <c r="JWR67" s="131"/>
      <c r="JWS67"/>
      <c r="JWT67" s="132"/>
      <c r="JWU67"/>
      <c r="JWV67" s="125"/>
      <c r="JWW67" s="133"/>
      <c r="JWX67"/>
      <c r="JWY67" s="126"/>
      <c r="JWZ67" s="127"/>
      <c r="JXA67" s="128"/>
      <c r="JXB67" s="128"/>
      <c r="JXC67" s="127"/>
      <c r="JXD67" s="129"/>
      <c r="JXE67" s="127"/>
      <c r="JXF67" s="129"/>
      <c r="JXG67" s="130"/>
      <c r="JXH67" s="131"/>
      <c r="JXI67"/>
      <c r="JXJ67" s="132"/>
      <c r="JXK67"/>
      <c r="JXL67" s="125"/>
      <c r="JXM67" s="133"/>
      <c r="JXN67"/>
      <c r="JXO67" s="126"/>
      <c r="JXP67" s="127"/>
      <c r="JXQ67" s="128"/>
      <c r="JXR67" s="128"/>
      <c r="JXS67" s="127"/>
      <c r="JXT67" s="129"/>
      <c r="JXU67" s="127"/>
      <c r="JXV67" s="129"/>
      <c r="JXW67" s="130"/>
      <c r="JXX67" s="131"/>
      <c r="JXY67"/>
      <c r="JXZ67" s="132"/>
      <c r="JYA67"/>
      <c r="JYB67" s="125"/>
      <c r="JYC67" s="133"/>
      <c r="JYD67"/>
      <c r="JYE67" s="126"/>
      <c r="JYF67" s="127"/>
      <c r="JYG67" s="128"/>
      <c r="JYH67" s="128"/>
      <c r="JYI67" s="127"/>
      <c r="JYJ67" s="129"/>
      <c r="JYK67" s="127"/>
      <c r="JYL67" s="129"/>
      <c r="JYM67" s="130"/>
      <c r="JYN67" s="131"/>
      <c r="JYO67"/>
      <c r="JYP67" s="132"/>
      <c r="JYQ67"/>
      <c r="JYR67" s="125"/>
      <c r="JYS67" s="133"/>
      <c r="JYT67"/>
      <c r="JYU67" s="126"/>
      <c r="JYV67" s="127"/>
      <c r="JYW67" s="128"/>
      <c r="JYX67" s="128"/>
      <c r="JYY67" s="127"/>
      <c r="JYZ67" s="129"/>
      <c r="JZA67" s="127"/>
      <c r="JZB67" s="129"/>
      <c r="JZC67" s="130"/>
      <c r="JZD67" s="131"/>
      <c r="JZE67"/>
      <c r="JZF67" s="132"/>
      <c r="JZG67"/>
      <c r="JZH67" s="125"/>
      <c r="JZI67" s="133"/>
      <c r="JZJ67"/>
      <c r="JZK67" s="126"/>
      <c r="JZL67" s="127"/>
      <c r="JZM67" s="128"/>
      <c r="JZN67" s="128"/>
      <c r="JZO67" s="127"/>
      <c r="JZP67" s="129"/>
      <c r="JZQ67" s="127"/>
      <c r="JZR67" s="129"/>
      <c r="JZS67" s="130"/>
      <c r="JZT67" s="131"/>
      <c r="JZU67"/>
      <c r="JZV67" s="132"/>
      <c r="JZW67"/>
      <c r="JZX67" s="125"/>
      <c r="JZY67" s="133"/>
      <c r="JZZ67"/>
      <c r="KAA67" s="126"/>
      <c r="KAB67" s="127"/>
      <c r="KAC67" s="128"/>
      <c r="KAD67" s="128"/>
      <c r="KAE67" s="127"/>
      <c r="KAF67" s="129"/>
      <c r="KAG67" s="127"/>
      <c r="KAH67" s="129"/>
      <c r="KAI67" s="130"/>
      <c r="KAJ67" s="131"/>
      <c r="KAK67"/>
      <c r="KAL67" s="132"/>
      <c r="KAM67"/>
      <c r="KAN67" s="125"/>
      <c r="KAO67" s="133"/>
      <c r="KAP67"/>
      <c r="KAQ67" s="126"/>
      <c r="KAR67" s="127"/>
      <c r="KAS67" s="128"/>
      <c r="KAT67" s="128"/>
      <c r="KAU67" s="127"/>
      <c r="KAV67" s="129"/>
      <c r="KAW67" s="127"/>
      <c r="KAX67" s="129"/>
      <c r="KAY67" s="130"/>
      <c r="KAZ67" s="131"/>
      <c r="KBA67"/>
      <c r="KBB67" s="132"/>
      <c r="KBC67"/>
      <c r="KBD67" s="125"/>
      <c r="KBE67" s="133"/>
      <c r="KBF67"/>
      <c r="KBG67" s="126"/>
      <c r="KBH67" s="127"/>
      <c r="KBI67" s="128"/>
      <c r="KBJ67" s="128"/>
      <c r="KBK67" s="127"/>
      <c r="KBL67" s="129"/>
      <c r="KBM67" s="127"/>
      <c r="KBN67" s="129"/>
      <c r="KBO67" s="130"/>
      <c r="KBP67" s="131"/>
      <c r="KBQ67"/>
      <c r="KBR67" s="132"/>
      <c r="KBS67"/>
      <c r="KBT67" s="125"/>
      <c r="KBU67" s="133"/>
      <c r="KBV67"/>
      <c r="KBW67" s="126"/>
      <c r="KBX67" s="127"/>
      <c r="KBY67" s="128"/>
      <c r="KBZ67" s="128"/>
      <c r="KCA67" s="127"/>
      <c r="KCB67" s="129"/>
      <c r="KCC67" s="127"/>
      <c r="KCD67" s="129"/>
      <c r="KCE67" s="130"/>
      <c r="KCF67" s="131"/>
      <c r="KCG67"/>
      <c r="KCH67" s="132"/>
      <c r="KCI67"/>
      <c r="KCJ67" s="125"/>
      <c r="KCK67" s="133"/>
      <c r="KCL67"/>
      <c r="KCM67" s="126"/>
      <c r="KCN67" s="127"/>
      <c r="KCO67" s="128"/>
      <c r="KCP67" s="128"/>
      <c r="KCQ67" s="127"/>
      <c r="KCR67" s="129"/>
      <c r="KCS67" s="127"/>
      <c r="KCT67" s="129"/>
      <c r="KCU67" s="130"/>
      <c r="KCV67" s="131"/>
      <c r="KCW67"/>
      <c r="KCX67" s="132"/>
      <c r="KCY67"/>
      <c r="KCZ67" s="125"/>
      <c r="KDA67" s="133"/>
      <c r="KDB67"/>
      <c r="KDC67" s="126"/>
      <c r="KDD67" s="127"/>
      <c r="KDE67" s="128"/>
      <c r="KDF67" s="128"/>
      <c r="KDG67" s="127"/>
      <c r="KDH67" s="129"/>
      <c r="KDI67" s="127"/>
      <c r="KDJ67" s="129"/>
      <c r="KDK67" s="130"/>
      <c r="KDL67" s="131"/>
      <c r="KDM67"/>
      <c r="KDN67" s="132"/>
      <c r="KDO67"/>
      <c r="KDP67" s="125"/>
      <c r="KDQ67" s="133"/>
      <c r="KDR67"/>
      <c r="KDS67" s="126"/>
      <c r="KDT67" s="127"/>
      <c r="KDU67" s="128"/>
      <c r="KDV67" s="128"/>
      <c r="KDW67" s="127"/>
      <c r="KDX67" s="129"/>
      <c r="KDY67" s="127"/>
      <c r="KDZ67" s="129"/>
      <c r="KEA67" s="130"/>
      <c r="KEB67" s="131"/>
      <c r="KEC67"/>
      <c r="KED67" s="132"/>
      <c r="KEE67"/>
      <c r="KEF67" s="125"/>
      <c r="KEG67" s="133"/>
      <c r="KEH67"/>
      <c r="KEI67" s="126"/>
      <c r="KEJ67" s="127"/>
      <c r="KEK67" s="128"/>
      <c r="KEL67" s="128"/>
      <c r="KEM67" s="127"/>
      <c r="KEN67" s="129"/>
      <c r="KEO67" s="127"/>
      <c r="KEP67" s="129"/>
      <c r="KEQ67" s="130"/>
      <c r="KER67" s="131"/>
      <c r="KES67"/>
      <c r="KET67" s="132"/>
      <c r="KEU67"/>
      <c r="KEV67" s="125"/>
      <c r="KEW67" s="133"/>
      <c r="KEX67"/>
      <c r="KEY67" s="126"/>
      <c r="KEZ67" s="127"/>
      <c r="KFA67" s="128"/>
      <c r="KFB67" s="128"/>
      <c r="KFC67" s="127"/>
      <c r="KFD67" s="129"/>
      <c r="KFE67" s="127"/>
      <c r="KFF67" s="129"/>
      <c r="KFG67" s="130"/>
      <c r="KFH67" s="131"/>
      <c r="KFI67"/>
      <c r="KFJ67" s="132"/>
      <c r="KFK67"/>
      <c r="KFL67" s="125"/>
      <c r="KFM67" s="133"/>
      <c r="KFN67"/>
      <c r="KFO67" s="126"/>
      <c r="KFP67" s="127"/>
      <c r="KFQ67" s="128"/>
      <c r="KFR67" s="128"/>
      <c r="KFS67" s="127"/>
      <c r="KFT67" s="129"/>
      <c r="KFU67" s="127"/>
      <c r="KFV67" s="129"/>
      <c r="KFW67" s="130"/>
      <c r="KFX67" s="131"/>
      <c r="KFY67"/>
      <c r="KFZ67" s="132"/>
      <c r="KGA67"/>
      <c r="KGB67" s="125"/>
      <c r="KGC67" s="133"/>
      <c r="KGD67"/>
      <c r="KGE67" s="126"/>
      <c r="KGF67" s="127"/>
      <c r="KGG67" s="128"/>
      <c r="KGH67" s="128"/>
      <c r="KGI67" s="127"/>
      <c r="KGJ67" s="129"/>
      <c r="KGK67" s="127"/>
      <c r="KGL67" s="129"/>
      <c r="KGM67" s="130"/>
      <c r="KGN67" s="131"/>
      <c r="KGO67"/>
      <c r="KGP67" s="132"/>
      <c r="KGQ67"/>
      <c r="KGR67" s="125"/>
      <c r="KGS67" s="133"/>
      <c r="KGT67"/>
      <c r="KGU67" s="126"/>
      <c r="KGV67" s="127"/>
      <c r="KGW67" s="128"/>
      <c r="KGX67" s="128"/>
      <c r="KGY67" s="127"/>
      <c r="KGZ67" s="129"/>
      <c r="KHA67" s="127"/>
      <c r="KHB67" s="129"/>
      <c r="KHC67" s="130"/>
      <c r="KHD67" s="131"/>
      <c r="KHE67"/>
      <c r="KHF67" s="132"/>
      <c r="KHG67"/>
      <c r="KHH67" s="125"/>
      <c r="KHI67" s="133"/>
      <c r="KHJ67"/>
      <c r="KHK67" s="126"/>
      <c r="KHL67" s="127"/>
      <c r="KHM67" s="128"/>
      <c r="KHN67" s="128"/>
      <c r="KHO67" s="127"/>
      <c r="KHP67" s="129"/>
      <c r="KHQ67" s="127"/>
      <c r="KHR67" s="129"/>
      <c r="KHS67" s="130"/>
      <c r="KHT67" s="131"/>
      <c r="KHU67"/>
      <c r="KHV67" s="132"/>
      <c r="KHW67"/>
      <c r="KHX67" s="125"/>
      <c r="KHY67" s="133"/>
      <c r="KHZ67"/>
      <c r="KIA67" s="126"/>
      <c r="KIB67" s="127"/>
      <c r="KIC67" s="128"/>
      <c r="KID67" s="128"/>
      <c r="KIE67" s="127"/>
      <c r="KIF67" s="129"/>
      <c r="KIG67" s="127"/>
      <c r="KIH67" s="129"/>
      <c r="KII67" s="130"/>
      <c r="KIJ67" s="131"/>
      <c r="KIK67"/>
      <c r="KIL67" s="132"/>
      <c r="KIM67"/>
      <c r="KIN67" s="125"/>
      <c r="KIO67" s="133"/>
      <c r="KIP67"/>
      <c r="KIQ67" s="126"/>
      <c r="KIR67" s="127"/>
      <c r="KIS67" s="128"/>
      <c r="KIT67" s="128"/>
      <c r="KIU67" s="127"/>
      <c r="KIV67" s="129"/>
      <c r="KIW67" s="127"/>
      <c r="KIX67" s="129"/>
      <c r="KIY67" s="130"/>
      <c r="KIZ67" s="131"/>
      <c r="KJA67"/>
      <c r="KJB67" s="132"/>
      <c r="KJC67"/>
      <c r="KJD67" s="125"/>
      <c r="KJE67" s="133"/>
      <c r="KJF67"/>
      <c r="KJG67" s="126"/>
      <c r="KJH67" s="127"/>
      <c r="KJI67" s="128"/>
      <c r="KJJ67" s="128"/>
      <c r="KJK67" s="127"/>
      <c r="KJL67" s="129"/>
      <c r="KJM67" s="127"/>
      <c r="KJN67" s="129"/>
      <c r="KJO67" s="130"/>
      <c r="KJP67" s="131"/>
      <c r="KJQ67"/>
      <c r="KJR67" s="132"/>
      <c r="KJS67"/>
      <c r="KJT67" s="125"/>
      <c r="KJU67" s="133"/>
      <c r="KJV67"/>
      <c r="KJW67" s="126"/>
      <c r="KJX67" s="127"/>
      <c r="KJY67" s="128"/>
      <c r="KJZ67" s="128"/>
      <c r="KKA67" s="127"/>
      <c r="KKB67" s="129"/>
      <c r="KKC67" s="127"/>
      <c r="KKD67" s="129"/>
      <c r="KKE67" s="130"/>
      <c r="KKF67" s="131"/>
      <c r="KKG67"/>
      <c r="KKH67" s="132"/>
      <c r="KKI67"/>
      <c r="KKJ67" s="125"/>
      <c r="KKK67" s="133"/>
      <c r="KKL67"/>
      <c r="KKM67" s="126"/>
      <c r="KKN67" s="127"/>
      <c r="KKO67" s="128"/>
      <c r="KKP67" s="128"/>
      <c r="KKQ67" s="127"/>
      <c r="KKR67" s="129"/>
      <c r="KKS67" s="127"/>
      <c r="KKT67" s="129"/>
      <c r="KKU67" s="130"/>
      <c r="KKV67" s="131"/>
      <c r="KKW67"/>
      <c r="KKX67" s="132"/>
      <c r="KKY67"/>
      <c r="KKZ67" s="125"/>
      <c r="KLA67" s="133"/>
      <c r="KLB67"/>
      <c r="KLC67" s="126"/>
      <c r="KLD67" s="127"/>
      <c r="KLE67" s="128"/>
      <c r="KLF67" s="128"/>
      <c r="KLG67" s="127"/>
      <c r="KLH67" s="129"/>
      <c r="KLI67" s="127"/>
      <c r="KLJ67" s="129"/>
      <c r="KLK67" s="130"/>
      <c r="KLL67" s="131"/>
      <c r="KLM67"/>
      <c r="KLN67" s="132"/>
      <c r="KLO67"/>
      <c r="KLP67" s="125"/>
      <c r="KLQ67" s="133"/>
      <c r="KLR67"/>
      <c r="KLS67" s="126"/>
      <c r="KLT67" s="127"/>
      <c r="KLU67" s="128"/>
      <c r="KLV67" s="128"/>
      <c r="KLW67" s="127"/>
      <c r="KLX67" s="129"/>
      <c r="KLY67" s="127"/>
      <c r="KLZ67" s="129"/>
      <c r="KMA67" s="130"/>
      <c r="KMB67" s="131"/>
      <c r="KMC67"/>
      <c r="KMD67" s="132"/>
      <c r="KME67"/>
      <c r="KMF67" s="125"/>
      <c r="KMG67" s="133"/>
      <c r="KMH67"/>
      <c r="KMI67" s="126"/>
      <c r="KMJ67" s="127"/>
      <c r="KMK67" s="128"/>
      <c r="KML67" s="128"/>
      <c r="KMM67" s="127"/>
      <c r="KMN67" s="129"/>
      <c r="KMO67" s="127"/>
      <c r="KMP67" s="129"/>
      <c r="KMQ67" s="130"/>
      <c r="KMR67" s="131"/>
      <c r="KMS67"/>
      <c r="KMT67" s="132"/>
      <c r="KMU67"/>
      <c r="KMV67" s="125"/>
      <c r="KMW67" s="133"/>
      <c r="KMX67"/>
      <c r="KMY67" s="126"/>
      <c r="KMZ67" s="127"/>
      <c r="KNA67" s="128"/>
      <c r="KNB67" s="128"/>
      <c r="KNC67" s="127"/>
      <c r="KND67" s="129"/>
      <c r="KNE67" s="127"/>
      <c r="KNF67" s="129"/>
      <c r="KNG67" s="130"/>
      <c r="KNH67" s="131"/>
      <c r="KNI67"/>
      <c r="KNJ67" s="132"/>
      <c r="KNK67"/>
      <c r="KNL67" s="125"/>
      <c r="KNM67" s="133"/>
      <c r="KNN67"/>
      <c r="KNO67" s="126"/>
      <c r="KNP67" s="127"/>
      <c r="KNQ67" s="128"/>
      <c r="KNR67" s="128"/>
      <c r="KNS67" s="127"/>
      <c r="KNT67" s="129"/>
      <c r="KNU67" s="127"/>
      <c r="KNV67" s="129"/>
      <c r="KNW67" s="130"/>
      <c r="KNX67" s="131"/>
      <c r="KNY67"/>
      <c r="KNZ67" s="132"/>
      <c r="KOA67"/>
      <c r="KOB67" s="125"/>
      <c r="KOC67" s="133"/>
      <c r="KOD67"/>
      <c r="KOE67" s="126"/>
      <c r="KOF67" s="127"/>
      <c r="KOG67" s="128"/>
      <c r="KOH67" s="128"/>
      <c r="KOI67" s="127"/>
      <c r="KOJ67" s="129"/>
      <c r="KOK67" s="127"/>
      <c r="KOL67" s="129"/>
      <c r="KOM67" s="130"/>
      <c r="KON67" s="131"/>
      <c r="KOO67"/>
      <c r="KOP67" s="132"/>
      <c r="KOQ67"/>
      <c r="KOR67" s="125"/>
      <c r="KOS67" s="133"/>
      <c r="KOT67"/>
      <c r="KOU67" s="126"/>
      <c r="KOV67" s="127"/>
      <c r="KOW67" s="128"/>
      <c r="KOX67" s="128"/>
      <c r="KOY67" s="127"/>
      <c r="KOZ67" s="129"/>
      <c r="KPA67" s="127"/>
      <c r="KPB67" s="129"/>
      <c r="KPC67" s="130"/>
      <c r="KPD67" s="131"/>
      <c r="KPE67"/>
      <c r="KPF67" s="132"/>
      <c r="KPG67"/>
      <c r="KPH67" s="125"/>
      <c r="KPI67" s="133"/>
      <c r="KPJ67"/>
      <c r="KPK67" s="126"/>
      <c r="KPL67" s="127"/>
      <c r="KPM67" s="128"/>
      <c r="KPN67" s="128"/>
      <c r="KPO67" s="127"/>
      <c r="KPP67" s="129"/>
      <c r="KPQ67" s="127"/>
      <c r="KPR67" s="129"/>
      <c r="KPS67" s="130"/>
      <c r="KPT67" s="131"/>
      <c r="KPU67"/>
      <c r="KPV67" s="132"/>
      <c r="KPW67"/>
      <c r="KPX67" s="125"/>
      <c r="KPY67" s="133"/>
      <c r="KPZ67"/>
      <c r="KQA67" s="126"/>
      <c r="KQB67" s="127"/>
      <c r="KQC67" s="128"/>
      <c r="KQD67" s="128"/>
      <c r="KQE67" s="127"/>
      <c r="KQF67" s="129"/>
      <c r="KQG67" s="127"/>
      <c r="KQH67" s="129"/>
      <c r="KQI67" s="130"/>
      <c r="KQJ67" s="131"/>
      <c r="KQK67"/>
      <c r="KQL67" s="132"/>
      <c r="KQM67"/>
      <c r="KQN67" s="125"/>
      <c r="KQO67" s="133"/>
      <c r="KQP67"/>
      <c r="KQQ67" s="126"/>
      <c r="KQR67" s="127"/>
      <c r="KQS67" s="128"/>
      <c r="KQT67" s="128"/>
      <c r="KQU67" s="127"/>
      <c r="KQV67" s="129"/>
      <c r="KQW67" s="127"/>
      <c r="KQX67" s="129"/>
      <c r="KQY67" s="130"/>
      <c r="KQZ67" s="131"/>
      <c r="KRA67"/>
      <c r="KRB67" s="132"/>
      <c r="KRC67"/>
      <c r="KRD67" s="125"/>
      <c r="KRE67" s="133"/>
      <c r="KRF67"/>
      <c r="KRG67" s="126"/>
      <c r="KRH67" s="127"/>
      <c r="KRI67" s="128"/>
      <c r="KRJ67" s="128"/>
      <c r="KRK67" s="127"/>
      <c r="KRL67" s="129"/>
      <c r="KRM67" s="127"/>
      <c r="KRN67" s="129"/>
      <c r="KRO67" s="130"/>
      <c r="KRP67" s="131"/>
      <c r="KRQ67"/>
      <c r="KRR67" s="132"/>
      <c r="KRS67"/>
      <c r="KRT67" s="125"/>
      <c r="KRU67" s="133"/>
      <c r="KRV67"/>
      <c r="KRW67" s="126"/>
      <c r="KRX67" s="127"/>
      <c r="KRY67" s="128"/>
      <c r="KRZ67" s="128"/>
      <c r="KSA67" s="127"/>
      <c r="KSB67" s="129"/>
      <c r="KSC67" s="127"/>
      <c r="KSD67" s="129"/>
      <c r="KSE67" s="130"/>
      <c r="KSF67" s="131"/>
      <c r="KSG67"/>
      <c r="KSH67" s="132"/>
      <c r="KSI67"/>
      <c r="KSJ67" s="125"/>
      <c r="KSK67" s="133"/>
      <c r="KSL67"/>
      <c r="KSM67" s="126"/>
      <c r="KSN67" s="127"/>
      <c r="KSO67" s="128"/>
      <c r="KSP67" s="128"/>
      <c r="KSQ67" s="127"/>
      <c r="KSR67" s="129"/>
      <c r="KSS67" s="127"/>
      <c r="KST67" s="129"/>
      <c r="KSU67" s="130"/>
      <c r="KSV67" s="131"/>
      <c r="KSW67"/>
      <c r="KSX67" s="132"/>
      <c r="KSY67"/>
      <c r="KSZ67" s="125"/>
      <c r="KTA67" s="133"/>
      <c r="KTB67"/>
      <c r="KTC67" s="126"/>
      <c r="KTD67" s="127"/>
      <c r="KTE67" s="128"/>
      <c r="KTF67" s="128"/>
      <c r="KTG67" s="127"/>
      <c r="KTH67" s="129"/>
      <c r="KTI67" s="127"/>
      <c r="KTJ67" s="129"/>
      <c r="KTK67" s="130"/>
      <c r="KTL67" s="131"/>
      <c r="KTM67"/>
      <c r="KTN67" s="132"/>
      <c r="KTO67"/>
      <c r="KTP67" s="125"/>
      <c r="KTQ67" s="133"/>
      <c r="KTR67"/>
      <c r="KTS67" s="126"/>
      <c r="KTT67" s="127"/>
      <c r="KTU67" s="128"/>
      <c r="KTV67" s="128"/>
      <c r="KTW67" s="127"/>
      <c r="KTX67" s="129"/>
      <c r="KTY67" s="127"/>
      <c r="KTZ67" s="129"/>
      <c r="KUA67" s="130"/>
      <c r="KUB67" s="131"/>
      <c r="KUC67"/>
      <c r="KUD67" s="132"/>
      <c r="KUE67"/>
      <c r="KUF67" s="125"/>
      <c r="KUG67" s="133"/>
      <c r="KUH67"/>
      <c r="KUI67" s="126"/>
      <c r="KUJ67" s="127"/>
      <c r="KUK67" s="128"/>
      <c r="KUL67" s="128"/>
      <c r="KUM67" s="127"/>
      <c r="KUN67" s="129"/>
      <c r="KUO67" s="127"/>
      <c r="KUP67" s="129"/>
      <c r="KUQ67" s="130"/>
      <c r="KUR67" s="131"/>
      <c r="KUS67"/>
      <c r="KUT67" s="132"/>
      <c r="KUU67"/>
      <c r="KUV67" s="125"/>
      <c r="KUW67" s="133"/>
      <c r="KUX67"/>
      <c r="KUY67" s="126"/>
      <c r="KUZ67" s="127"/>
      <c r="KVA67" s="128"/>
      <c r="KVB67" s="128"/>
      <c r="KVC67" s="127"/>
      <c r="KVD67" s="129"/>
      <c r="KVE67" s="127"/>
      <c r="KVF67" s="129"/>
      <c r="KVG67" s="130"/>
      <c r="KVH67" s="131"/>
      <c r="KVI67"/>
      <c r="KVJ67" s="132"/>
      <c r="KVK67"/>
      <c r="KVL67" s="125"/>
      <c r="KVM67" s="133"/>
      <c r="KVN67"/>
      <c r="KVO67" s="126"/>
      <c r="KVP67" s="127"/>
      <c r="KVQ67" s="128"/>
      <c r="KVR67" s="128"/>
      <c r="KVS67" s="127"/>
      <c r="KVT67" s="129"/>
      <c r="KVU67" s="127"/>
      <c r="KVV67" s="129"/>
      <c r="KVW67" s="130"/>
      <c r="KVX67" s="131"/>
      <c r="KVY67"/>
      <c r="KVZ67" s="132"/>
      <c r="KWA67"/>
      <c r="KWB67" s="125"/>
      <c r="KWC67" s="133"/>
      <c r="KWD67"/>
      <c r="KWE67" s="126"/>
      <c r="KWF67" s="127"/>
      <c r="KWG67" s="128"/>
      <c r="KWH67" s="128"/>
      <c r="KWI67" s="127"/>
      <c r="KWJ67" s="129"/>
      <c r="KWK67" s="127"/>
      <c r="KWL67" s="129"/>
      <c r="KWM67" s="130"/>
      <c r="KWN67" s="131"/>
      <c r="KWO67"/>
      <c r="KWP67" s="132"/>
      <c r="KWQ67"/>
      <c r="KWR67" s="125"/>
      <c r="KWS67" s="133"/>
      <c r="KWT67"/>
      <c r="KWU67" s="126"/>
      <c r="KWV67" s="127"/>
      <c r="KWW67" s="128"/>
      <c r="KWX67" s="128"/>
      <c r="KWY67" s="127"/>
      <c r="KWZ67" s="129"/>
      <c r="KXA67" s="127"/>
      <c r="KXB67" s="129"/>
      <c r="KXC67" s="130"/>
      <c r="KXD67" s="131"/>
      <c r="KXE67"/>
      <c r="KXF67" s="132"/>
      <c r="KXG67"/>
      <c r="KXH67" s="125"/>
      <c r="KXI67" s="133"/>
      <c r="KXJ67"/>
      <c r="KXK67" s="126"/>
      <c r="KXL67" s="127"/>
      <c r="KXM67" s="128"/>
      <c r="KXN67" s="128"/>
      <c r="KXO67" s="127"/>
      <c r="KXP67" s="129"/>
      <c r="KXQ67" s="127"/>
      <c r="KXR67" s="129"/>
      <c r="KXS67" s="130"/>
      <c r="KXT67" s="131"/>
      <c r="KXU67"/>
      <c r="KXV67" s="132"/>
      <c r="KXW67"/>
      <c r="KXX67" s="125"/>
      <c r="KXY67" s="133"/>
      <c r="KXZ67"/>
      <c r="KYA67" s="126"/>
      <c r="KYB67" s="127"/>
      <c r="KYC67" s="128"/>
      <c r="KYD67" s="128"/>
      <c r="KYE67" s="127"/>
      <c r="KYF67" s="129"/>
      <c r="KYG67" s="127"/>
      <c r="KYH67" s="129"/>
      <c r="KYI67" s="130"/>
      <c r="KYJ67" s="131"/>
      <c r="KYK67"/>
      <c r="KYL67" s="132"/>
      <c r="KYM67"/>
      <c r="KYN67" s="125"/>
      <c r="KYO67" s="133"/>
      <c r="KYP67"/>
      <c r="KYQ67" s="126"/>
      <c r="KYR67" s="127"/>
      <c r="KYS67" s="128"/>
      <c r="KYT67" s="128"/>
      <c r="KYU67" s="127"/>
      <c r="KYV67" s="129"/>
      <c r="KYW67" s="127"/>
      <c r="KYX67" s="129"/>
      <c r="KYY67" s="130"/>
      <c r="KYZ67" s="131"/>
      <c r="KZA67"/>
      <c r="KZB67" s="132"/>
      <c r="KZC67"/>
      <c r="KZD67" s="125"/>
      <c r="KZE67" s="133"/>
      <c r="KZF67"/>
      <c r="KZG67" s="126"/>
      <c r="KZH67" s="127"/>
      <c r="KZI67" s="128"/>
      <c r="KZJ67" s="128"/>
      <c r="KZK67" s="127"/>
      <c r="KZL67" s="129"/>
      <c r="KZM67" s="127"/>
      <c r="KZN67" s="129"/>
      <c r="KZO67" s="130"/>
      <c r="KZP67" s="131"/>
      <c r="KZQ67"/>
      <c r="KZR67" s="132"/>
      <c r="KZS67"/>
      <c r="KZT67" s="125"/>
      <c r="KZU67" s="133"/>
      <c r="KZV67"/>
      <c r="KZW67" s="126"/>
      <c r="KZX67" s="127"/>
      <c r="KZY67" s="128"/>
      <c r="KZZ67" s="128"/>
      <c r="LAA67" s="127"/>
      <c r="LAB67" s="129"/>
      <c r="LAC67" s="127"/>
      <c r="LAD67" s="129"/>
      <c r="LAE67" s="130"/>
      <c r="LAF67" s="131"/>
      <c r="LAG67"/>
      <c r="LAH67" s="132"/>
      <c r="LAI67"/>
      <c r="LAJ67" s="125"/>
      <c r="LAK67" s="133"/>
      <c r="LAL67"/>
      <c r="LAM67" s="126"/>
      <c r="LAN67" s="127"/>
      <c r="LAO67" s="128"/>
      <c r="LAP67" s="128"/>
      <c r="LAQ67" s="127"/>
      <c r="LAR67" s="129"/>
      <c r="LAS67" s="127"/>
      <c r="LAT67" s="129"/>
      <c r="LAU67" s="130"/>
      <c r="LAV67" s="131"/>
      <c r="LAW67"/>
      <c r="LAX67" s="132"/>
      <c r="LAY67"/>
      <c r="LAZ67" s="125"/>
      <c r="LBA67" s="133"/>
      <c r="LBB67"/>
      <c r="LBC67" s="126"/>
      <c r="LBD67" s="127"/>
      <c r="LBE67" s="128"/>
      <c r="LBF67" s="128"/>
      <c r="LBG67" s="127"/>
      <c r="LBH67" s="129"/>
      <c r="LBI67" s="127"/>
      <c r="LBJ67" s="129"/>
      <c r="LBK67" s="130"/>
      <c r="LBL67" s="131"/>
      <c r="LBM67"/>
      <c r="LBN67" s="132"/>
      <c r="LBO67"/>
      <c r="LBP67" s="125"/>
      <c r="LBQ67" s="133"/>
      <c r="LBR67"/>
      <c r="LBS67" s="126"/>
      <c r="LBT67" s="127"/>
      <c r="LBU67" s="128"/>
      <c r="LBV67" s="128"/>
      <c r="LBW67" s="127"/>
      <c r="LBX67" s="129"/>
      <c r="LBY67" s="127"/>
      <c r="LBZ67" s="129"/>
      <c r="LCA67" s="130"/>
      <c r="LCB67" s="131"/>
      <c r="LCC67"/>
      <c r="LCD67" s="132"/>
      <c r="LCE67"/>
      <c r="LCF67" s="125"/>
      <c r="LCG67" s="133"/>
      <c r="LCH67"/>
      <c r="LCI67" s="126"/>
      <c r="LCJ67" s="127"/>
      <c r="LCK67" s="128"/>
      <c r="LCL67" s="128"/>
      <c r="LCM67" s="127"/>
      <c r="LCN67" s="129"/>
      <c r="LCO67" s="127"/>
      <c r="LCP67" s="129"/>
      <c r="LCQ67" s="130"/>
      <c r="LCR67" s="131"/>
      <c r="LCS67"/>
      <c r="LCT67" s="132"/>
      <c r="LCU67"/>
      <c r="LCV67" s="125"/>
      <c r="LCW67" s="133"/>
      <c r="LCX67"/>
      <c r="LCY67" s="126"/>
      <c r="LCZ67" s="127"/>
      <c r="LDA67" s="128"/>
      <c r="LDB67" s="128"/>
      <c r="LDC67" s="127"/>
      <c r="LDD67" s="129"/>
      <c r="LDE67" s="127"/>
      <c r="LDF67" s="129"/>
      <c r="LDG67" s="130"/>
      <c r="LDH67" s="131"/>
      <c r="LDI67"/>
      <c r="LDJ67" s="132"/>
      <c r="LDK67"/>
      <c r="LDL67" s="125"/>
      <c r="LDM67" s="133"/>
      <c r="LDN67"/>
      <c r="LDO67" s="126"/>
      <c r="LDP67" s="127"/>
      <c r="LDQ67" s="128"/>
      <c r="LDR67" s="128"/>
      <c r="LDS67" s="127"/>
      <c r="LDT67" s="129"/>
      <c r="LDU67" s="127"/>
      <c r="LDV67" s="129"/>
      <c r="LDW67" s="130"/>
      <c r="LDX67" s="131"/>
      <c r="LDY67"/>
      <c r="LDZ67" s="132"/>
      <c r="LEA67"/>
      <c r="LEB67" s="125"/>
      <c r="LEC67" s="133"/>
      <c r="LED67"/>
      <c r="LEE67" s="126"/>
      <c r="LEF67" s="127"/>
      <c r="LEG67" s="128"/>
      <c r="LEH67" s="128"/>
      <c r="LEI67" s="127"/>
      <c r="LEJ67" s="129"/>
      <c r="LEK67" s="127"/>
      <c r="LEL67" s="129"/>
      <c r="LEM67" s="130"/>
      <c r="LEN67" s="131"/>
      <c r="LEO67"/>
      <c r="LEP67" s="132"/>
      <c r="LEQ67"/>
      <c r="LER67" s="125"/>
      <c r="LES67" s="133"/>
      <c r="LET67"/>
      <c r="LEU67" s="126"/>
      <c r="LEV67" s="127"/>
      <c r="LEW67" s="128"/>
      <c r="LEX67" s="128"/>
      <c r="LEY67" s="127"/>
      <c r="LEZ67" s="129"/>
      <c r="LFA67" s="127"/>
      <c r="LFB67" s="129"/>
      <c r="LFC67" s="130"/>
      <c r="LFD67" s="131"/>
      <c r="LFE67"/>
      <c r="LFF67" s="132"/>
      <c r="LFG67"/>
      <c r="LFH67" s="125"/>
      <c r="LFI67" s="133"/>
      <c r="LFJ67"/>
      <c r="LFK67" s="126"/>
      <c r="LFL67" s="127"/>
      <c r="LFM67" s="128"/>
      <c r="LFN67" s="128"/>
      <c r="LFO67" s="127"/>
      <c r="LFP67" s="129"/>
      <c r="LFQ67" s="127"/>
      <c r="LFR67" s="129"/>
      <c r="LFS67" s="130"/>
      <c r="LFT67" s="131"/>
      <c r="LFU67"/>
      <c r="LFV67" s="132"/>
      <c r="LFW67"/>
      <c r="LFX67" s="125"/>
      <c r="LFY67" s="133"/>
      <c r="LFZ67"/>
      <c r="LGA67" s="126"/>
      <c r="LGB67" s="127"/>
      <c r="LGC67" s="128"/>
      <c r="LGD67" s="128"/>
      <c r="LGE67" s="127"/>
      <c r="LGF67" s="129"/>
      <c r="LGG67" s="127"/>
      <c r="LGH67" s="129"/>
      <c r="LGI67" s="130"/>
      <c r="LGJ67" s="131"/>
      <c r="LGK67"/>
      <c r="LGL67" s="132"/>
      <c r="LGM67"/>
      <c r="LGN67" s="125"/>
      <c r="LGO67" s="133"/>
      <c r="LGP67"/>
      <c r="LGQ67" s="126"/>
      <c r="LGR67" s="127"/>
      <c r="LGS67" s="128"/>
      <c r="LGT67" s="128"/>
      <c r="LGU67" s="127"/>
      <c r="LGV67" s="129"/>
      <c r="LGW67" s="127"/>
      <c r="LGX67" s="129"/>
      <c r="LGY67" s="130"/>
      <c r="LGZ67" s="131"/>
      <c r="LHA67"/>
      <c r="LHB67" s="132"/>
      <c r="LHC67"/>
      <c r="LHD67" s="125"/>
      <c r="LHE67" s="133"/>
      <c r="LHF67"/>
      <c r="LHG67" s="126"/>
      <c r="LHH67" s="127"/>
      <c r="LHI67" s="128"/>
      <c r="LHJ67" s="128"/>
      <c r="LHK67" s="127"/>
      <c r="LHL67" s="129"/>
      <c r="LHM67" s="127"/>
      <c r="LHN67" s="129"/>
      <c r="LHO67" s="130"/>
      <c r="LHP67" s="131"/>
      <c r="LHQ67"/>
      <c r="LHR67" s="132"/>
      <c r="LHS67"/>
      <c r="LHT67" s="125"/>
      <c r="LHU67" s="133"/>
      <c r="LHV67"/>
      <c r="LHW67" s="126"/>
      <c r="LHX67" s="127"/>
      <c r="LHY67" s="128"/>
      <c r="LHZ67" s="128"/>
      <c r="LIA67" s="127"/>
      <c r="LIB67" s="129"/>
      <c r="LIC67" s="127"/>
      <c r="LID67" s="129"/>
      <c r="LIE67" s="130"/>
      <c r="LIF67" s="131"/>
      <c r="LIG67"/>
      <c r="LIH67" s="132"/>
      <c r="LII67"/>
      <c r="LIJ67" s="125"/>
      <c r="LIK67" s="133"/>
      <c r="LIL67"/>
      <c r="LIM67" s="126"/>
      <c r="LIN67" s="127"/>
      <c r="LIO67" s="128"/>
      <c r="LIP67" s="128"/>
      <c r="LIQ67" s="127"/>
      <c r="LIR67" s="129"/>
      <c r="LIS67" s="127"/>
      <c r="LIT67" s="129"/>
      <c r="LIU67" s="130"/>
      <c r="LIV67" s="131"/>
      <c r="LIW67"/>
      <c r="LIX67" s="132"/>
      <c r="LIY67"/>
      <c r="LIZ67" s="125"/>
      <c r="LJA67" s="133"/>
      <c r="LJB67"/>
      <c r="LJC67" s="126"/>
      <c r="LJD67" s="127"/>
      <c r="LJE67" s="128"/>
      <c r="LJF67" s="128"/>
      <c r="LJG67" s="127"/>
      <c r="LJH67" s="129"/>
      <c r="LJI67" s="127"/>
      <c r="LJJ67" s="129"/>
      <c r="LJK67" s="130"/>
      <c r="LJL67" s="131"/>
      <c r="LJM67"/>
      <c r="LJN67" s="132"/>
      <c r="LJO67"/>
      <c r="LJP67" s="125"/>
      <c r="LJQ67" s="133"/>
      <c r="LJR67"/>
      <c r="LJS67" s="126"/>
      <c r="LJT67" s="127"/>
      <c r="LJU67" s="128"/>
      <c r="LJV67" s="128"/>
      <c r="LJW67" s="127"/>
      <c r="LJX67" s="129"/>
      <c r="LJY67" s="127"/>
      <c r="LJZ67" s="129"/>
      <c r="LKA67" s="130"/>
      <c r="LKB67" s="131"/>
      <c r="LKC67"/>
      <c r="LKD67" s="132"/>
      <c r="LKE67"/>
      <c r="LKF67" s="125"/>
      <c r="LKG67" s="133"/>
      <c r="LKH67"/>
      <c r="LKI67" s="126"/>
      <c r="LKJ67" s="127"/>
      <c r="LKK67" s="128"/>
      <c r="LKL67" s="128"/>
      <c r="LKM67" s="127"/>
      <c r="LKN67" s="129"/>
      <c r="LKO67" s="127"/>
      <c r="LKP67" s="129"/>
      <c r="LKQ67" s="130"/>
      <c r="LKR67" s="131"/>
      <c r="LKS67"/>
      <c r="LKT67" s="132"/>
      <c r="LKU67"/>
      <c r="LKV67" s="125"/>
      <c r="LKW67" s="133"/>
      <c r="LKX67"/>
      <c r="LKY67" s="126"/>
      <c r="LKZ67" s="127"/>
      <c r="LLA67" s="128"/>
      <c r="LLB67" s="128"/>
      <c r="LLC67" s="127"/>
      <c r="LLD67" s="129"/>
      <c r="LLE67" s="127"/>
      <c r="LLF67" s="129"/>
      <c r="LLG67" s="130"/>
      <c r="LLH67" s="131"/>
      <c r="LLI67"/>
      <c r="LLJ67" s="132"/>
      <c r="LLK67"/>
      <c r="LLL67" s="125"/>
      <c r="LLM67" s="133"/>
      <c r="LLN67"/>
      <c r="LLO67" s="126"/>
      <c r="LLP67" s="127"/>
      <c r="LLQ67" s="128"/>
      <c r="LLR67" s="128"/>
      <c r="LLS67" s="127"/>
      <c r="LLT67" s="129"/>
      <c r="LLU67" s="127"/>
      <c r="LLV67" s="129"/>
      <c r="LLW67" s="130"/>
      <c r="LLX67" s="131"/>
      <c r="LLY67"/>
      <c r="LLZ67" s="132"/>
      <c r="LMA67"/>
      <c r="LMB67" s="125"/>
      <c r="LMC67" s="133"/>
      <c r="LMD67"/>
      <c r="LME67" s="126"/>
      <c r="LMF67" s="127"/>
      <c r="LMG67" s="128"/>
      <c r="LMH67" s="128"/>
      <c r="LMI67" s="127"/>
      <c r="LMJ67" s="129"/>
      <c r="LMK67" s="127"/>
      <c r="LML67" s="129"/>
      <c r="LMM67" s="130"/>
      <c r="LMN67" s="131"/>
      <c r="LMO67"/>
      <c r="LMP67" s="132"/>
      <c r="LMQ67"/>
      <c r="LMR67" s="125"/>
      <c r="LMS67" s="133"/>
      <c r="LMT67"/>
      <c r="LMU67" s="126"/>
      <c r="LMV67" s="127"/>
      <c r="LMW67" s="128"/>
      <c r="LMX67" s="128"/>
      <c r="LMY67" s="127"/>
      <c r="LMZ67" s="129"/>
      <c r="LNA67" s="127"/>
      <c r="LNB67" s="129"/>
      <c r="LNC67" s="130"/>
      <c r="LND67" s="131"/>
      <c r="LNE67"/>
      <c r="LNF67" s="132"/>
      <c r="LNG67"/>
      <c r="LNH67" s="125"/>
      <c r="LNI67" s="133"/>
      <c r="LNJ67"/>
      <c r="LNK67" s="126"/>
      <c r="LNL67" s="127"/>
      <c r="LNM67" s="128"/>
      <c r="LNN67" s="128"/>
      <c r="LNO67" s="127"/>
      <c r="LNP67" s="129"/>
      <c r="LNQ67" s="127"/>
      <c r="LNR67" s="129"/>
      <c r="LNS67" s="130"/>
      <c r="LNT67" s="131"/>
      <c r="LNU67"/>
      <c r="LNV67" s="132"/>
      <c r="LNW67"/>
      <c r="LNX67" s="125"/>
      <c r="LNY67" s="133"/>
      <c r="LNZ67"/>
      <c r="LOA67" s="126"/>
      <c r="LOB67" s="127"/>
      <c r="LOC67" s="128"/>
      <c r="LOD67" s="128"/>
      <c r="LOE67" s="127"/>
      <c r="LOF67" s="129"/>
      <c r="LOG67" s="127"/>
      <c r="LOH67" s="129"/>
      <c r="LOI67" s="130"/>
      <c r="LOJ67" s="131"/>
      <c r="LOK67"/>
      <c r="LOL67" s="132"/>
      <c r="LOM67"/>
      <c r="LON67" s="125"/>
      <c r="LOO67" s="133"/>
      <c r="LOP67"/>
      <c r="LOQ67" s="126"/>
      <c r="LOR67" s="127"/>
      <c r="LOS67" s="128"/>
      <c r="LOT67" s="128"/>
      <c r="LOU67" s="127"/>
      <c r="LOV67" s="129"/>
      <c r="LOW67" s="127"/>
      <c r="LOX67" s="129"/>
      <c r="LOY67" s="130"/>
      <c r="LOZ67" s="131"/>
      <c r="LPA67"/>
      <c r="LPB67" s="132"/>
      <c r="LPC67"/>
      <c r="LPD67" s="125"/>
      <c r="LPE67" s="133"/>
      <c r="LPF67"/>
      <c r="LPG67" s="126"/>
      <c r="LPH67" s="127"/>
      <c r="LPI67" s="128"/>
      <c r="LPJ67" s="128"/>
      <c r="LPK67" s="127"/>
      <c r="LPL67" s="129"/>
      <c r="LPM67" s="127"/>
      <c r="LPN67" s="129"/>
      <c r="LPO67" s="130"/>
      <c r="LPP67" s="131"/>
      <c r="LPQ67"/>
      <c r="LPR67" s="132"/>
      <c r="LPS67"/>
      <c r="LPT67" s="125"/>
      <c r="LPU67" s="133"/>
      <c r="LPV67"/>
      <c r="LPW67" s="126"/>
      <c r="LPX67" s="127"/>
      <c r="LPY67" s="128"/>
      <c r="LPZ67" s="128"/>
      <c r="LQA67" s="127"/>
      <c r="LQB67" s="129"/>
      <c r="LQC67" s="127"/>
      <c r="LQD67" s="129"/>
      <c r="LQE67" s="130"/>
      <c r="LQF67" s="131"/>
      <c r="LQG67"/>
      <c r="LQH67" s="132"/>
      <c r="LQI67"/>
      <c r="LQJ67" s="125"/>
      <c r="LQK67" s="133"/>
      <c r="LQL67"/>
      <c r="LQM67" s="126"/>
      <c r="LQN67" s="127"/>
      <c r="LQO67" s="128"/>
      <c r="LQP67" s="128"/>
      <c r="LQQ67" s="127"/>
      <c r="LQR67" s="129"/>
      <c r="LQS67" s="127"/>
      <c r="LQT67" s="129"/>
      <c r="LQU67" s="130"/>
      <c r="LQV67" s="131"/>
      <c r="LQW67"/>
      <c r="LQX67" s="132"/>
      <c r="LQY67"/>
      <c r="LQZ67" s="125"/>
      <c r="LRA67" s="133"/>
      <c r="LRB67"/>
      <c r="LRC67" s="126"/>
      <c r="LRD67" s="127"/>
      <c r="LRE67" s="128"/>
      <c r="LRF67" s="128"/>
      <c r="LRG67" s="127"/>
      <c r="LRH67" s="129"/>
      <c r="LRI67" s="127"/>
      <c r="LRJ67" s="129"/>
      <c r="LRK67" s="130"/>
      <c r="LRL67" s="131"/>
      <c r="LRM67"/>
      <c r="LRN67" s="132"/>
      <c r="LRO67"/>
      <c r="LRP67" s="125"/>
      <c r="LRQ67" s="133"/>
      <c r="LRR67"/>
      <c r="LRS67" s="126"/>
      <c r="LRT67" s="127"/>
      <c r="LRU67" s="128"/>
      <c r="LRV67" s="128"/>
      <c r="LRW67" s="127"/>
      <c r="LRX67" s="129"/>
      <c r="LRY67" s="127"/>
      <c r="LRZ67" s="129"/>
      <c r="LSA67" s="130"/>
      <c r="LSB67" s="131"/>
      <c r="LSC67"/>
      <c r="LSD67" s="132"/>
      <c r="LSE67"/>
      <c r="LSF67" s="125"/>
      <c r="LSG67" s="133"/>
      <c r="LSH67"/>
      <c r="LSI67" s="126"/>
      <c r="LSJ67" s="127"/>
      <c r="LSK67" s="128"/>
      <c r="LSL67" s="128"/>
      <c r="LSM67" s="127"/>
      <c r="LSN67" s="129"/>
      <c r="LSO67" s="127"/>
      <c r="LSP67" s="129"/>
      <c r="LSQ67" s="130"/>
      <c r="LSR67" s="131"/>
      <c r="LSS67"/>
      <c r="LST67" s="132"/>
      <c r="LSU67"/>
      <c r="LSV67" s="125"/>
      <c r="LSW67" s="133"/>
      <c r="LSX67"/>
      <c r="LSY67" s="126"/>
      <c r="LSZ67" s="127"/>
      <c r="LTA67" s="128"/>
      <c r="LTB67" s="128"/>
      <c r="LTC67" s="127"/>
      <c r="LTD67" s="129"/>
      <c r="LTE67" s="127"/>
      <c r="LTF67" s="129"/>
      <c r="LTG67" s="130"/>
      <c r="LTH67" s="131"/>
      <c r="LTI67"/>
      <c r="LTJ67" s="132"/>
      <c r="LTK67"/>
      <c r="LTL67" s="125"/>
      <c r="LTM67" s="133"/>
      <c r="LTN67"/>
      <c r="LTO67" s="126"/>
      <c r="LTP67" s="127"/>
      <c r="LTQ67" s="128"/>
      <c r="LTR67" s="128"/>
      <c r="LTS67" s="127"/>
      <c r="LTT67" s="129"/>
      <c r="LTU67" s="127"/>
      <c r="LTV67" s="129"/>
      <c r="LTW67" s="130"/>
      <c r="LTX67" s="131"/>
      <c r="LTY67"/>
      <c r="LTZ67" s="132"/>
      <c r="LUA67"/>
      <c r="LUB67" s="125"/>
      <c r="LUC67" s="133"/>
      <c r="LUD67"/>
      <c r="LUE67" s="126"/>
      <c r="LUF67" s="127"/>
      <c r="LUG67" s="128"/>
      <c r="LUH67" s="128"/>
      <c r="LUI67" s="127"/>
      <c r="LUJ67" s="129"/>
      <c r="LUK67" s="127"/>
      <c r="LUL67" s="129"/>
      <c r="LUM67" s="130"/>
      <c r="LUN67" s="131"/>
      <c r="LUO67"/>
      <c r="LUP67" s="132"/>
      <c r="LUQ67"/>
      <c r="LUR67" s="125"/>
      <c r="LUS67" s="133"/>
      <c r="LUT67"/>
      <c r="LUU67" s="126"/>
      <c r="LUV67" s="127"/>
      <c r="LUW67" s="128"/>
      <c r="LUX67" s="128"/>
      <c r="LUY67" s="127"/>
      <c r="LUZ67" s="129"/>
      <c r="LVA67" s="127"/>
      <c r="LVB67" s="129"/>
      <c r="LVC67" s="130"/>
      <c r="LVD67" s="131"/>
      <c r="LVE67"/>
      <c r="LVF67" s="132"/>
      <c r="LVG67"/>
      <c r="LVH67" s="125"/>
      <c r="LVI67" s="133"/>
      <c r="LVJ67"/>
      <c r="LVK67" s="126"/>
      <c r="LVL67" s="127"/>
      <c r="LVM67" s="128"/>
      <c r="LVN67" s="128"/>
      <c r="LVO67" s="127"/>
      <c r="LVP67" s="129"/>
      <c r="LVQ67" s="127"/>
      <c r="LVR67" s="129"/>
      <c r="LVS67" s="130"/>
      <c r="LVT67" s="131"/>
      <c r="LVU67"/>
      <c r="LVV67" s="132"/>
      <c r="LVW67"/>
      <c r="LVX67" s="125"/>
      <c r="LVY67" s="133"/>
      <c r="LVZ67"/>
      <c r="LWA67" s="126"/>
      <c r="LWB67" s="127"/>
      <c r="LWC67" s="128"/>
      <c r="LWD67" s="128"/>
      <c r="LWE67" s="127"/>
      <c r="LWF67" s="129"/>
      <c r="LWG67" s="127"/>
      <c r="LWH67" s="129"/>
      <c r="LWI67" s="130"/>
      <c r="LWJ67" s="131"/>
      <c r="LWK67"/>
      <c r="LWL67" s="132"/>
      <c r="LWM67"/>
      <c r="LWN67" s="125"/>
      <c r="LWO67" s="133"/>
      <c r="LWP67"/>
      <c r="LWQ67" s="126"/>
      <c r="LWR67" s="127"/>
      <c r="LWS67" s="128"/>
      <c r="LWT67" s="128"/>
      <c r="LWU67" s="127"/>
      <c r="LWV67" s="129"/>
      <c r="LWW67" s="127"/>
      <c r="LWX67" s="129"/>
      <c r="LWY67" s="130"/>
      <c r="LWZ67" s="131"/>
      <c r="LXA67"/>
      <c r="LXB67" s="132"/>
      <c r="LXC67"/>
      <c r="LXD67" s="125"/>
      <c r="LXE67" s="133"/>
      <c r="LXF67"/>
      <c r="LXG67" s="126"/>
      <c r="LXH67" s="127"/>
      <c r="LXI67" s="128"/>
      <c r="LXJ67" s="128"/>
      <c r="LXK67" s="127"/>
      <c r="LXL67" s="129"/>
      <c r="LXM67" s="127"/>
      <c r="LXN67" s="129"/>
      <c r="LXO67" s="130"/>
      <c r="LXP67" s="131"/>
      <c r="LXQ67"/>
      <c r="LXR67" s="132"/>
      <c r="LXS67"/>
      <c r="LXT67" s="125"/>
      <c r="LXU67" s="133"/>
      <c r="LXV67"/>
      <c r="LXW67" s="126"/>
      <c r="LXX67" s="127"/>
      <c r="LXY67" s="128"/>
      <c r="LXZ67" s="128"/>
      <c r="LYA67" s="127"/>
      <c r="LYB67" s="129"/>
      <c r="LYC67" s="127"/>
      <c r="LYD67" s="129"/>
      <c r="LYE67" s="130"/>
      <c r="LYF67" s="131"/>
      <c r="LYG67"/>
      <c r="LYH67" s="132"/>
      <c r="LYI67"/>
      <c r="LYJ67" s="125"/>
      <c r="LYK67" s="133"/>
      <c r="LYL67"/>
      <c r="LYM67" s="126"/>
      <c r="LYN67" s="127"/>
      <c r="LYO67" s="128"/>
      <c r="LYP67" s="128"/>
      <c r="LYQ67" s="127"/>
      <c r="LYR67" s="129"/>
      <c r="LYS67" s="127"/>
      <c r="LYT67" s="129"/>
      <c r="LYU67" s="130"/>
      <c r="LYV67" s="131"/>
      <c r="LYW67"/>
      <c r="LYX67" s="132"/>
      <c r="LYY67"/>
      <c r="LYZ67" s="125"/>
      <c r="LZA67" s="133"/>
      <c r="LZB67"/>
      <c r="LZC67" s="126"/>
      <c r="LZD67" s="127"/>
      <c r="LZE67" s="128"/>
      <c r="LZF67" s="128"/>
      <c r="LZG67" s="127"/>
      <c r="LZH67" s="129"/>
      <c r="LZI67" s="127"/>
      <c r="LZJ67" s="129"/>
      <c r="LZK67" s="130"/>
      <c r="LZL67" s="131"/>
      <c r="LZM67"/>
      <c r="LZN67" s="132"/>
      <c r="LZO67"/>
      <c r="LZP67" s="125"/>
      <c r="LZQ67" s="133"/>
      <c r="LZR67"/>
      <c r="LZS67" s="126"/>
      <c r="LZT67" s="127"/>
      <c r="LZU67" s="128"/>
      <c r="LZV67" s="128"/>
      <c r="LZW67" s="127"/>
      <c r="LZX67" s="129"/>
      <c r="LZY67" s="127"/>
      <c r="LZZ67" s="129"/>
      <c r="MAA67" s="130"/>
      <c r="MAB67" s="131"/>
      <c r="MAC67"/>
      <c r="MAD67" s="132"/>
      <c r="MAE67"/>
      <c r="MAF67" s="125"/>
      <c r="MAG67" s="133"/>
      <c r="MAH67"/>
      <c r="MAI67" s="126"/>
      <c r="MAJ67" s="127"/>
      <c r="MAK67" s="128"/>
      <c r="MAL67" s="128"/>
      <c r="MAM67" s="127"/>
      <c r="MAN67" s="129"/>
      <c r="MAO67" s="127"/>
      <c r="MAP67" s="129"/>
      <c r="MAQ67" s="130"/>
      <c r="MAR67" s="131"/>
      <c r="MAS67"/>
      <c r="MAT67" s="132"/>
      <c r="MAU67"/>
      <c r="MAV67" s="125"/>
      <c r="MAW67" s="133"/>
      <c r="MAX67"/>
      <c r="MAY67" s="126"/>
      <c r="MAZ67" s="127"/>
      <c r="MBA67" s="128"/>
      <c r="MBB67" s="128"/>
      <c r="MBC67" s="127"/>
      <c r="MBD67" s="129"/>
      <c r="MBE67" s="127"/>
      <c r="MBF67" s="129"/>
      <c r="MBG67" s="130"/>
      <c r="MBH67" s="131"/>
      <c r="MBI67"/>
      <c r="MBJ67" s="132"/>
      <c r="MBK67"/>
      <c r="MBL67" s="125"/>
      <c r="MBM67" s="133"/>
      <c r="MBN67"/>
      <c r="MBO67" s="126"/>
      <c r="MBP67" s="127"/>
      <c r="MBQ67" s="128"/>
      <c r="MBR67" s="128"/>
      <c r="MBS67" s="127"/>
      <c r="MBT67" s="129"/>
      <c r="MBU67" s="127"/>
      <c r="MBV67" s="129"/>
      <c r="MBW67" s="130"/>
      <c r="MBX67" s="131"/>
      <c r="MBY67"/>
      <c r="MBZ67" s="132"/>
      <c r="MCA67"/>
      <c r="MCB67" s="125"/>
      <c r="MCC67" s="133"/>
      <c r="MCD67"/>
      <c r="MCE67" s="126"/>
      <c r="MCF67" s="127"/>
      <c r="MCG67" s="128"/>
      <c r="MCH67" s="128"/>
      <c r="MCI67" s="127"/>
      <c r="MCJ67" s="129"/>
      <c r="MCK67" s="127"/>
      <c r="MCL67" s="129"/>
      <c r="MCM67" s="130"/>
      <c r="MCN67" s="131"/>
      <c r="MCO67"/>
      <c r="MCP67" s="132"/>
      <c r="MCQ67"/>
      <c r="MCR67" s="125"/>
      <c r="MCS67" s="133"/>
      <c r="MCT67"/>
      <c r="MCU67" s="126"/>
      <c r="MCV67" s="127"/>
      <c r="MCW67" s="128"/>
      <c r="MCX67" s="128"/>
      <c r="MCY67" s="127"/>
      <c r="MCZ67" s="129"/>
      <c r="MDA67" s="127"/>
      <c r="MDB67" s="129"/>
      <c r="MDC67" s="130"/>
      <c r="MDD67" s="131"/>
      <c r="MDE67"/>
      <c r="MDF67" s="132"/>
      <c r="MDG67"/>
      <c r="MDH67" s="125"/>
      <c r="MDI67" s="133"/>
      <c r="MDJ67"/>
      <c r="MDK67" s="126"/>
      <c r="MDL67" s="127"/>
      <c r="MDM67" s="128"/>
      <c r="MDN67" s="128"/>
      <c r="MDO67" s="127"/>
      <c r="MDP67" s="129"/>
      <c r="MDQ67" s="127"/>
      <c r="MDR67" s="129"/>
      <c r="MDS67" s="130"/>
      <c r="MDT67" s="131"/>
      <c r="MDU67"/>
      <c r="MDV67" s="132"/>
      <c r="MDW67"/>
      <c r="MDX67" s="125"/>
      <c r="MDY67" s="133"/>
      <c r="MDZ67"/>
      <c r="MEA67" s="126"/>
      <c r="MEB67" s="127"/>
      <c r="MEC67" s="128"/>
      <c r="MED67" s="128"/>
      <c r="MEE67" s="127"/>
      <c r="MEF67" s="129"/>
      <c r="MEG67" s="127"/>
      <c r="MEH67" s="129"/>
      <c r="MEI67" s="130"/>
      <c r="MEJ67" s="131"/>
      <c r="MEK67"/>
      <c r="MEL67" s="132"/>
      <c r="MEM67"/>
      <c r="MEN67" s="125"/>
      <c r="MEO67" s="133"/>
      <c r="MEP67"/>
      <c r="MEQ67" s="126"/>
      <c r="MER67" s="127"/>
      <c r="MES67" s="128"/>
      <c r="MET67" s="128"/>
      <c r="MEU67" s="127"/>
      <c r="MEV67" s="129"/>
      <c r="MEW67" s="127"/>
      <c r="MEX67" s="129"/>
      <c r="MEY67" s="130"/>
      <c r="MEZ67" s="131"/>
      <c r="MFA67"/>
      <c r="MFB67" s="132"/>
      <c r="MFC67"/>
      <c r="MFD67" s="125"/>
      <c r="MFE67" s="133"/>
      <c r="MFF67"/>
      <c r="MFG67" s="126"/>
      <c r="MFH67" s="127"/>
      <c r="MFI67" s="128"/>
      <c r="MFJ67" s="128"/>
      <c r="MFK67" s="127"/>
      <c r="MFL67" s="129"/>
      <c r="MFM67" s="127"/>
      <c r="MFN67" s="129"/>
      <c r="MFO67" s="130"/>
      <c r="MFP67" s="131"/>
      <c r="MFQ67"/>
      <c r="MFR67" s="132"/>
      <c r="MFS67"/>
      <c r="MFT67" s="125"/>
      <c r="MFU67" s="133"/>
      <c r="MFV67"/>
      <c r="MFW67" s="126"/>
      <c r="MFX67" s="127"/>
      <c r="MFY67" s="128"/>
      <c r="MFZ67" s="128"/>
      <c r="MGA67" s="127"/>
      <c r="MGB67" s="129"/>
      <c r="MGC67" s="127"/>
      <c r="MGD67" s="129"/>
      <c r="MGE67" s="130"/>
      <c r="MGF67" s="131"/>
      <c r="MGG67"/>
      <c r="MGH67" s="132"/>
      <c r="MGI67"/>
      <c r="MGJ67" s="125"/>
      <c r="MGK67" s="133"/>
      <c r="MGL67"/>
      <c r="MGM67" s="126"/>
      <c r="MGN67" s="127"/>
      <c r="MGO67" s="128"/>
      <c r="MGP67" s="128"/>
      <c r="MGQ67" s="127"/>
      <c r="MGR67" s="129"/>
      <c r="MGS67" s="127"/>
      <c r="MGT67" s="129"/>
      <c r="MGU67" s="130"/>
      <c r="MGV67" s="131"/>
      <c r="MGW67"/>
      <c r="MGX67" s="132"/>
      <c r="MGY67"/>
      <c r="MGZ67" s="125"/>
      <c r="MHA67" s="133"/>
      <c r="MHB67"/>
      <c r="MHC67" s="126"/>
      <c r="MHD67" s="127"/>
      <c r="MHE67" s="128"/>
      <c r="MHF67" s="128"/>
      <c r="MHG67" s="127"/>
      <c r="MHH67" s="129"/>
      <c r="MHI67" s="127"/>
      <c r="MHJ67" s="129"/>
      <c r="MHK67" s="130"/>
      <c r="MHL67" s="131"/>
      <c r="MHM67"/>
      <c r="MHN67" s="132"/>
      <c r="MHO67"/>
      <c r="MHP67" s="125"/>
      <c r="MHQ67" s="133"/>
      <c r="MHR67"/>
      <c r="MHS67" s="126"/>
      <c r="MHT67" s="127"/>
      <c r="MHU67" s="128"/>
      <c r="MHV67" s="128"/>
      <c r="MHW67" s="127"/>
      <c r="MHX67" s="129"/>
      <c r="MHY67" s="127"/>
      <c r="MHZ67" s="129"/>
      <c r="MIA67" s="130"/>
      <c r="MIB67" s="131"/>
      <c r="MIC67"/>
      <c r="MID67" s="132"/>
      <c r="MIE67"/>
      <c r="MIF67" s="125"/>
      <c r="MIG67" s="133"/>
      <c r="MIH67"/>
      <c r="MII67" s="126"/>
      <c r="MIJ67" s="127"/>
      <c r="MIK67" s="128"/>
      <c r="MIL67" s="128"/>
      <c r="MIM67" s="127"/>
      <c r="MIN67" s="129"/>
      <c r="MIO67" s="127"/>
      <c r="MIP67" s="129"/>
      <c r="MIQ67" s="130"/>
      <c r="MIR67" s="131"/>
      <c r="MIS67"/>
      <c r="MIT67" s="132"/>
      <c r="MIU67"/>
      <c r="MIV67" s="125"/>
      <c r="MIW67" s="133"/>
      <c r="MIX67"/>
      <c r="MIY67" s="126"/>
      <c r="MIZ67" s="127"/>
      <c r="MJA67" s="128"/>
      <c r="MJB67" s="128"/>
      <c r="MJC67" s="127"/>
      <c r="MJD67" s="129"/>
      <c r="MJE67" s="127"/>
      <c r="MJF67" s="129"/>
      <c r="MJG67" s="130"/>
      <c r="MJH67" s="131"/>
      <c r="MJI67"/>
      <c r="MJJ67" s="132"/>
      <c r="MJK67"/>
      <c r="MJL67" s="125"/>
      <c r="MJM67" s="133"/>
      <c r="MJN67"/>
      <c r="MJO67" s="126"/>
      <c r="MJP67" s="127"/>
      <c r="MJQ67" s="128"/>
      <c r="MJR67" s="128"/>
      <c r="MJS67" s="127"/>
      <c r="MJT67" s="129"/>
      <c r="MJU67" s="127"/>
      <c r="MJV67" s="129"/>
      <c r="MJW67" s="130"/>
      <c r="MJX67" s="131"/>
      <c r="MJY67"/>
      <c r="MJZ67" s="132"/>
      <c r="MKA67"/>
      <c r="MKB67" s="125"/>
      <c r="MKC67" s="133"/>
      <c r="MKD67"/>
      <c r="MKE67" s="126"/>
      <c r="MKF67" s="127"/>
      <c r="MKG67" s="128"/>
      <c r="MKH67" s="128"/>
      <c r="MKI67" s="127"/>
      <c r="MKJ67" s="129"/>
      <c r="MKK67" s="127"/>
      <c r="MKL67" s="129"/>
      <c r="MKM67" s="130"/>
      <c r="MKN67" s="131"/>
      <c r="MKO67"/>
      <c r="MKP67" s="132"/>
      <c r="MKQ67"/>
      <c r="MKR67" s="125"/>
      <c r="MKS67" s="133"/>
      <c r="MKT67"/>
      <c r="MKU67" s="126"/>
      <c r="MKV67" s="127"/>
      <c r="MKW67" s="128"/>
      <c r="MKX67" s="128"/>
      <c r="MKY67" s="127"/>
      <c r="MKZ67" s="129"/>
      <c r="MLA67" s="127"/>
      <c r="MLB67" s="129"/>
      <c r="MLC67" s="130"/>
      <c r="MLD67" s="131"/>
      <c r="MLE67"/>
      <c r="MLF67" s="132"/>
      <c r="MLG67"/>
      <c r="MLH67" s="125"/>
      <c r="MLI67" s="133"/>
      <c r="MLJ67"/>
      <c r="MLK67" s="126"/>
      <c r="MLL67" s="127"/>
      <c r="MLM67" s="128"/>
      <c r="MLN67" s="128"/>
      <c r="MLO67" s="127"/>
      <c r="MLP67" s="129"/>
      <c r="MLQ67" s="127"/>
      <c r="MLR67" s="129"/>
      <c r="MLS67" s="130"/>
      <c r="MLT67" s="131"/>
      <c r="MLU67"/>
      <c r="MLV67" s="132"/>
      <c r="MLW67"/>
      <c r="MLX67" s="125"/>
      <c r="MLY67" s="133"/>
      <c r="MLZ67"/>
      <c r="MMA67" s="126"/>
      <c r="MMB67" s="127"/>
      <c r="MMC67" s="128"/>
      <c r="MMD67" s="128"/>
      <c r="MME67" s="127"/>
      <c r="MMF67" s="129"/>
      <c r="MMG67" s="127"/>
      <c r="MMH67" s="129"/>
      <c r="MMI67" s="130"/>
      <c r="MMJ67" s="131"/>
      <c r="MMK67"/>
      <c r="MML67" s="132"/>
      <c r="MMM67"/>
      <c r="MMN67" s="125"/>
      <c r="MMO67" s="133"/>
      <c r="MMP67"/>
      <c r="MMQ67" s="126"/>
      <c r="MMR67" s="127"/>
      <c r="MMS67" s="128"/>
      <c r="MMT67" s="128"/>
      <c r="MMU67" s="127"/>
      <c r="MMV67" s="129"/>
      <c r="MMW67" s="127"/>
      <c r="MMX67" s="129"/>
      <c r="MMY67" s="130"/>
      <c r="MMZ67" s="131"/>
      <c r="MNA67"/>
      <c r="MNB67" s="132"/>
      <c r="MNC67"/>
      <c r="MND67" s="125"/>
      <c r="MNE67" s="133"/>
      <c r="MNF67"/>
      <c r="MNG67" s="126"/>
      <c r="MNH67" s="127"/>
      <c r="MNI67" s="128"/>
      <c r="MNJ67" s="128"/>
      <c r="MNK67" s="127"/>
      <c r="MNL67" s="129"/>
      <c r="MNM67" s="127"/>
      <c r="MNN67" s="129"/>
      <c r="MNO67" s="130"/>
      <c r="MNP67" s="131"/>
      <c r="MNQ67"/>
      <c r="MNR67" s="132"/>
      <c r="MNS67"/>
      <c r="MNT67" s="125"/>
      <c r="MNU67" s="133"/>
      <c r="MNV67"/>
      <c r="MNW67" s="126"/>
      <c r="MNX67" s="127"/>
      <c r="MNY67" s="128"/>
      <c r="MNZ67" s="128"/>
      <c r="MOA67" s="127"/>
      <c r="MOB67" s="129"/>
      <c r="MOC67" s="127"/>
      <c r="MOD67" s="129"/>
      <c r="MOE67" s="130"/>
      <c r="MOF67" s="131"/>
      <c r="MOG67"/>
      <c r="MOH67" s="132"/>
      <c r="MOI67"/>
      <c r="MOJ67" s="125"/>
      <c r="MOK67" s="133"/>
      <c r="MOL67"/>
      <c r="MOM67" s="126"/>
      <c r="MON67" s="127"/>
      <c r="MOO67" s="128"/>
      <c r="MOP67" s="128"/>
      <c r="MOQ67" s="127"/>
      <c r="MOR67" s="129"/>
      <c r="MOS67" s="127"/>
      <c r="MOT67" s="129"/>
      <c r="MOU67" s="130"/>
      <c r="MOV67" s="131"/>
      <c r="MOW67"/>
      <c r="MOX67" s="132"/>
      <c r="MOY67"/>
      <c r="MOZ67" s="125"/>
      <c r="MPA67" s="133"/>
      <c r="MPB67"/>
      <c r="MPC67" s="126"/>
      <c r="MPD67" s="127"/>
      <c r="MPE67" s="128"/>
      <c r="MPF67" s="128"/>
      <c r="MPG67" s="127"/>
      <c r="MPH67" s="129"/>
      <c r="MPI67" s="127"/>
      <c r="MPJ67" s="129"/>
      <c r="MPK67" s="130"/>
      <c r="MPL67" s="131"/>
      <c r="MPM67"/>
      <c r="MPN67" s="132"/>
      <c r="MPO67"/>
      <c r="MPP67" s="125"/>
      <c r="MPQ67" s="133"/>
      <c r="MPR67"/>
      <c r="MPS67" s="126"/>
      <c r="MPT67" s="127"/>
      <c r="MPU67" s="128"/>
      <c r="MPV67" s="128"/>
      <c r="MPW67" s="127"/>
      <c r="MPX67" s="129"/>
      <c r="MPY67" s="127"/>
      <c r="MPZ67" s="129"/>
      <c r="MQA67" s="130"/>
      <c r="MQB67" s="131"/>
      <c r="MQC67"/>
      <c r="MQD67" s="132"/>
      <c r="MQE67"/>
      <c r="MQF67" s="125"/>
      <c r="MQG67" s="133"/>
      <c r="MQH67"/>
      <c r="MQI67" s="126"/>
      <c r="MQJ67" s="127"/>
      <c r="MQK67" s="128"/>
      <c r="MQL67" s="128"/>
      <c r="MQM67" s="127"/>
      <c r="MQN67" s="129"/>
      <c r="MQO67" s="127"/>
      <c r="MQP67" s="129"/>
      <c r="MQQ67" s="130"/>
      <c r="MQR67" s="131"/>
      <c r="MQS67"/>
      <c r="MQT67" s="132"/>
      <c r="MQU67"/>
      <c r="MQV67" s="125"/>
      <c r="MQW67" s="133"/>
      <c r="MQX67"/>
      <c r="MQY67" s="126"/>
      <c r="MQZ67" s="127"/>
      <c r="MRA67" s="128"/>
      <c r="MRB67" s="128"/>
      <c r="MRC67" s="127"/>
      <c r="MRD67" s="129"/>
      <c r="MRE67" s="127"/>
      <c r="MRF67" s="129"/>
      <c r="MRG67" s="130"/>
      <c r="MRH67" s="131"/>
      <c r="MRI67"/>
      <c r="MRJ67" s="132"/>
      <c r="MRK67"/>
      <c r="MRL67" s="125"/>
      <c r="MRM67" s="133"/>
      <c r="MRN67"/>
      <c r="MRO67" s="126"/>
      <c r="MRP67" s="127"/>
      <c r="MRQ67" s="128"/>
      <c r="MRR67" s="128"/>
      <c r="MRS67" s="127"/>
      <c r="MRT67" s="129"/>
      <c r="MRU67" s="127"/>
      <c r="MRV67" s="129"/>
      <c r="MRW67" s="130"/>
      <c r="MRX67" s="131"/>
      <c r="MRY67"/>
      <c r="MRZ67" s="132"/>
      <c r="MSA67"/>
      <c r="MSB67" s="125"/>
      <c r="MSC67" s="133"/>
      <c r="MSD67"/>
      <c r="MSE67" s="126"/>
      <c r="MSF67" s="127"/>
      <c r="MSG67" s="128"/>
      <c r="MSH67" s="128"/>
      <c r="MSI67" s="127"/>
      <c r="MSJ67" s="129"/>
      <c r="MSK67" s="127"/>
      <c r="MSL67" s="129"/>
      <c r="MSM67" s="130"/>
      <c r="MSN67" s="131"/>
      <c r="MSO67"/>
      <c r="MSP67" s="132"/>
      <c r="MSQ67"/>
      <c r="MSR67" s="125"/>
      <c r="MSS67" s="133"/>
      <c r="MST67"/>
      <c r="MSU67" s="126"/>
      <c r="MSV67" s="127"/>
      <c r="MSW67" s="128"/>
      <c r="MSX67" s="128"/>
      <c r="MSY67" s="127"/>
      <c r="MSZ67" s="129"/>
      <c r="MTA67" s="127"/>
      <c r="MTB67" s="129"/>
      <c r="MTC67" s="130"/>
      <c r="MTD67" s="131"/>
      <c r="MTE67"/>
      <c r="MTF67" s="132"/>
      <c r="MTG67"/>
      <c r="MTH67" s="125"/>
      <c r="MTI67" s="133"/>
      <c r="MTJ67"/>
      <c r="MTK67" s="126"/>
      <c r="MTL67" s="127"/>
      <c r="MTM67" s="128"/>
      <c r="MTN67" s="128"/>
      <c r="MTO67" s="127"/>
      <c r="MTP67" s="129"/>
      <c r="MTQ67" s="127"/>
      <c r="MTR67" s="129"/>
      <c r="MTS67" s="130"/>
      <c r="MTT67" s="131"/>
      <c r="MTU67"/>
      <c r="MTV67" s="132"/>
      <c r="MTW67"/>
      <c r="MTX67" s="125"/>
      <c r="MTY67" s="133"/>
      <c r="MTZ67"/>
      <c r="MUA67" s="126"/>
      <c r="MUB67" s="127"/>
      <c r="MUC67" s="128"/>
      <c r="MUD67" s="128"/>
      <c r="MUE67" s="127"/>
      <c r="MUF67" s="129"/>
      <c r="MUG67" s="127"/>
      <c r="MUH67" s="129"/>
      <c r="MUI67" s="130"/>
      <c r="MUJ67" s="131"/>
      <c r="MUK67"/>
      <c r="MUL67" s="132"/>
      <c r="MUM67"/>
      <c r="MUN67" s="125"/>
      <c r="MUO67" s="133"/>
      <c r="MUP67"/>
      <c r="MUQ67" s="126"/>
      <c r="MUR67" s="127"/>
      <c r="MUS67" s="128"/>
      <c r="MUT67" s="128"/>
      <c r="MUU67" s="127"/>
      <c r="MUV67" s="129"/>
      <c r="MUW67" s="127"/>
      <c r="MUX67" s="129"/>
      <c r="MUY67" s="130"/>
      <c r="MUZ67" s="131"/>
      <c r="MVA67"/>
      <c r="MVB67" s="132"/>
      <c r="MVC67"/>
      <c r="MVD67" s="125"/>
      <c r="MVE67" s="133"/>
      <c r="MVF67"/>
      <c r="MVG67" s="126"/>
      <c r="MVH67" s="127"/>
      <c r="MVI67" s="128"/>
      <c r="MVJ67" s="128"/>
      <c r="MVK67" s="127"/>
      <c r="MVL67" s="129"/>
      <c r="MVM67" s="127"/>
      <c r="MVN67" s="129"/>
      <c r="MVO67" s="130"/>
      <c r="MVP67" s="131"/>
      <c r="MVQ67"/>
      <c r="MVR67" s="132"/>
      <c r="MVS67"/>
      <c r="MVT67" s="125"/>
      <c r="MVU67" s="133"/>
      <c r="MVV67"/>
      <c r="MVW67" s="126"/>
      <c r="MVX67" s="127"/>
      <c r="MVY67" s="128"/>
      <c r="MVZ67" s="128"/>
      <c r="MWA67" s="127"/>
      <c r="MWB67" s="129"/>
      <c r="MWC67" s="127"/>
      <c r="MWD67" s="129"/>
      <c r="MWE67" s="130"/>
      <c r="MWF67" s="131"/>
      <c r="MWG67"/>
      <c r="MWH67" s="132"/>
      <c r="MWI67"/>
      <c r="MWJ67" s="125"/>
      <c r="MWK67" s="133"/>
      <c r="MWL67"/>
      <c r="MWM67" s="126"/>
      <c r="MWN67" s="127"/>
      <c r="MWO67" s="128"/>
      <c r="MWP67" s="128"/>
      <c r="MWQ67" s="127"/>
      <c r="MWR67" s="129"/>
      <c r="MWS67" s="127"/>
      <c r="MWT67" s="129"/>
      <c r="MWU67" s="130"/>
      <c r="MWV67" s="131"/>
      <c r="MWW67"/>
      <c r="MWX67" s="132"/>
      <c r="MWY67"/>
      <c r="MWZ67" s="125"/>
      <c r="MXA67" s="133"/>
      <c r="MXB67"/>
      <c r="MXC67" s="126"/>
      <c r="MXD67" s="127"/>
      <c r="MXE67" s="128"/>
      <c r="MXF67" s="128"/>
      <c r="MXG67" s="127"/>
      <c r="MXH67" s="129"/>
      <c r="MXI67" s="127"/>
      <c r="MXJ67" s="129"/>
      <c r="MXK67" s="130"/>
      <c r="MXL67" s="131"/>
      <c r="MXM67"/>
      <c r="MXN67" s="132"/>
      <c r="MXO67"/>
      <c r="MXP67" s="125"/>
      <c r="MXQ67" s="133"/>
      <c r="MXR67"/>
      <c r="MXS67" s="126"/>
      <c r="MXT67" s="127"/>
      <c r="MXU67" s="128"/>
      <c r="MXV67" s="128"/>
      <c r="MXW67" s="127"/>
      <c r="MXX67" s="129"/>
      <c r="MXY67" s="127"/>
      <c r="MXZ67" s="129"/>
      <c r="MYA67" s="130"/>
      <c r="MYB67" s="131"/>
      <c r="MYC67"/>
      <c r="MYD67" s="132"/>
      <c r="MYE67"/>
      <c r="MYF67" s="125"/>
      <c r="MYG67" s="133"/>
      <c r="MYH67"/>
      <c r="MYI67" s="126"/>
      <c r="MYJ67" s="127"/>
      <c r="MYK67" s="128"/>
      <c r="MYL67" s="128"/>
      <c r="MYM67" s="127"/>
      <c r="MYN67" s="129"/>
      <c r="MYO67" s="127"/>
      <c r="MYP67" s="129"/>
      <c r="MYQ67" s="130"/>
      <c r="MYR67" s="131"/>
      <c r="MYS67"/>
      <c r="MYT67" s="132"/>
      <c r="MYU67"/>
      <c r="MYV67" s="125"/>
      <c r="MYW67" s="133"/>
      <c r="MYX67"/>
      <c r="MYY67" s="126"/>
      <c r="MYZ67" s="127"/>
      <c r="MZA67" s="128"/>
      <c r="MZB67" s="128"/>
      <c r="MZC67" s="127"/>
      <c r="MZD67" s="129"/>
      <c r="MZE67" s="127"/>
      <c r="MZF67" s="129"/>
      <c r="MZG67" s="130"/>
      <c r="MZH67" s="131"/>
      <c r="MZI67"/>
      <c r="MZJ67" s="132"/>
      <c r="MZK67"/>
      <c r="MZL67" s="125"/>
      <c r="MZM67" s="133"/>
      <c r="MZN67"/>
      <c r="MZO67" s="126"/>
      <c r="MZP67" s="127"/>
      <c r="MZQ67" s="128"/>
      <c r="MZR67" s="128"/>
      <c r="MZS67" s="127"/>
      <c r="MZT67" s="129"/>
      <c r="MZU67" s="127"/>
      <c r="MZV67" s="129"/>
      <c r="MZW67" s="130"/>
      <c r="MZX67" s="131"/>
      <c r="MZY67"/>
      <c r="MZZ67" s="132"/>
      <c r="NAA67"/>
      <c r="NAB67" s="125"/>
      <c r="NAC67" s="133"/>
      <c r="NAD67"/>
      <c r="NAE67" s="126"/>
      <c r="NAF67" s="127"/>
      <c r="NAG67" s="128"/>
      <c r="NAH67" s="128"/>
      <c r="NAI67" s="127"/>
      <c r="NAJ67" s="129"/>
      <c r="NAK67" s="127"/>
      <c r="NAL67" s="129"/>
      <c r="NAM67" s="130"/>
      <c r="NAN67" s="131"/>
      <c r="NAO67"/>
      <c r="NAP67" s="132"/>
      <c r="NAQ67"/>
      <c r="NAR67" s="125"/>
      <c r="NAS67" s="133"/>
      <c r="NAT67"/>
      <c r="NAU67" s="126"/>
      <c r="NAV67" s="127"/>
      <c r="NAW67" s="128"/>
      <c r="NAX67" s="128"/>
      <c r="NAY67" s="127"/>
      <c r="NAZ67" s="129"/>
      <c r="NBA67" s="127"/>
      <c r="NBB67" s="129"/>
      <c r="NBC67" s="130"/>
      <c r="NBD67" s="131"/>
      <c r="NBE67"/>
      <c r="NBF67" s="132"/>
      <c r="NBG67"/>
      <c r="NBH67" s="125"/>
      <c r="NBI67" s="133"/>
      <c r="NBJ67"/>
      <c r="NBK67" s="126"/>
      <c r="NBL67" s="127"/>
      <c r="NBM67" s="128"/>
      <c r="NBN67" s="128"/>
      <c r="NBO67" s="127"/>
      <c r="NBP67" s="129"/>
      <c r="NBQ67" s="127"/>
      <c r="NBR67" s="129"/>
      <c r="NBS67" s="130"/>
      <c r="NBT67" s="131"/>
      <c r="NBU67"/>
      <c r="NBV67" s="132"/>
      <c r="NBW67"/>
      <c r="NBX67" s="125"/>
      <c r="NBY67" s="133"/>
      <c r="NBZ67"/>
      <c r="NCA67" s="126"/>
      <c r="NCB67" s="127"/>
      <c r="NCC67" s="128"/>
      <c r="NCD67" s="128"/>
      <c r="NCE67" s="127"/>
      <c r="NCF67" s="129"/>
      <c r="NCG67" s="127"/>
      <c r="NCH67" s="129"/>
      <c r="NCI67" s="130"/>
      <c r="NCJ67" s="131"/>
      <c r="NCK67"/>
      <c r="NCL67" s="132"/>
      <c r="NCM67"/>
      <c r="NCN67" s="125"/>
      <c r="NCO67" s="133"/>
      <c r="NCP67"/>
      <c r="NCQ67" s="126"/>
      <c r="NCR67" s="127"/>
      <c r="NCS67" s="128"/>
      <c r="NCT67" s="128"/>
      <c r="NCU67" s="127"/>
      <c r="NCV67" s="129"/>
      <c r="NCW67" s="127"/>
      <c r="NCX67" s="129"/>
      <c r="NCY67" s="130"/>
      <c r="NCZ67" s="131"/>
      <c r="NDA67"/>
      <c r="NDB67" s="132"/>
      <c r="NDC67"/>
      <c r="NDD67" s="125"/>
      <c r="NDE67" s="133"/>
      <c r="NDF67"/>
      <c r="NDG67" s="126"/>
      <c r="NDH67" s="127"/>
      <c r="NDI67" s="128"/>
      <c r="NDJ67" s="128"/>
      <c r="NDK67" s="127"/>
      <c r="NDL67" s="129"/>
      <c r="NDM67" s="127"/>
      <c r="NDN67" s="129"/>
      <c r="NDO67" s="130"/>
      <c r="NDP67" s="131"/>
      <c r="NDQ67"/>
      <c r="NDR67" s="132"/>
      <c r="NDS67"/>
      <c r="NDT67" s="125"/>
      <c r="NDU67" s="133"/>
      <c r="NDV67"/>
      <c r="NDW67" s="126"/>
      <c r="NDX67" s="127"/>
      <c r="NDY67" s="128"/>
      <c r="NDZ67" s="128"/>
      <c r="NEA67" s="127"/>
      <c r="NEB67" s="129"/>
      <c r="NEC67" s="127"/>
      <c r="NED67" s="129"/>
      <c r="NEE67" s="130"/>
      <c r="NEF67" s="131"/>
      <c r="NEG67"/>
      <c r="NEH67" s="132"/>
      <c r="NEI67"/>
      <c r="NEJ67" s="125"/>
      <c r="NEK67" s="133"/>
      <c r="NEL67"/>
      <c r="NEM67" s="126"/>
      <c r="NEN67" s="127"/>
      <c r="NEO67" s="128"/>
      <c r="NEP67" s="128"/>
      <c r="NEQ67" s="127"/>
      <c r="NER67" s="129"/>
      <c r="NES67" s="127"/>
      <c r="NET67" s="129"/>
      <c r="NEU67" s="130"/>
      <c r="NEV67" s="131"/>
      <c r="NEW67"/>
      <c r="NEX67" s="132"/>
      <c r="NEY67"/>
      <c r="NEZ67" s="125"/>
      <c r="NFA67" s="133"/>
      <c r="NFB67"/>
      <c r="NFC67" s="126"/>
      <c r="NFD67" s="127"/>
      <c r="NFE67" s="128"/>
      <c r="NFF67" s="128"/>
      <c r="NFG67" s="127"/>
      <c r="NFH67" s="129"/>
      <c r="NFI67" s="127"/>
      <c r="NFJ67" s="129"/>
      <c r="NFK67" s="130"/>
      <c r="NFL67" s="131"/>
      <c r="NFM67"/>
      <c r="NFN67" s="132"/>
      <c r="NFO67"/>
      <c r="NFP67" s="125"/>
      <c r="NFQ67" s="133"/>
      <c r="NFR67"/>
      <c r="NFS67" s="126"/>
      <c r="NFT67" s="127"/>
      <c r="NFU67" s="128"/>
      <c r="NFV67" s="128"/>
      <c r="NFW67" s="127"/>
      <c r="NFX67" s="129"/>
      <c r="NFY67" s="127"/>
      <c r="NFZ67" s="129"/>
      <c r="NGA67" s="130"/>
      <c r="NGB67" s="131"/>
      <c r="NGC67"/>
      <c r="NGD67" s="132"/>
      <c r="NGE67"/>
      <c r="NGF67" s="125"/>
      <c r="NGG67" s="133"/>
      <c r="NGH67"/>
      <c r="NGI67" s="126"/>
      <c r="NGJ67" s="127"/>
      <c r="NGK67" s="128"/>
      <c r="NGL67" s="128"/>
      <c r="NGM67" s="127"/>
      <c r="NGN67" s="129"/>
      <c r="NGO67" s="127"/>
      <c r="NGP67" s="129"/>
      <c r="NGQ67" s="130"/>
      <c r="NGR67" s="131"/>
      <c r="NGS67"/>
      <c r="NGT67" s="132"/>
      <c r="NGU67"/>
      <c r="NGV67" s="125"/>
      <c r="NGW67" s="133"/>
      <c r="NGX67"/>
      <c r="NGY67" s="126"/>
      <c r="NGZ67" s="127"/>
      <c r="NHA67" s="128"/>
      <c r="NHB67" s="128"/>
      <c r="NHC67" s="127"/>
      <c r="NHD67" s="129"/>
      <c r="NHE67" s="127"/>
      <c r="NHF67" s="129"/>
      <c r="NHG67" s="130"/>
      <c r="NHH67" s="131"/>
      <c r="NHI67"/>
      <c r="NHJ67" s="132"/>
      <c r="NHK67"/>
      <c r="NHL67" s="125"/>
      <c r="NHM67" s="133"/>
      <c r="NHN67"/>
      <c r="NHO67" s="126"/>
      <c r="NHP67" s="127"/>
      <c r="NHQ67" s="128"/>
      <c r="NHR67" s="128"/>
      <c r="NHS67" s="127"/>
      <c r="NHT67" s="129"/>
      <c r="NHU67" s="127"/>
      <c r="NHV67" s="129"/>
      <c r="NHW67" s="130"/>
      <c r="NHX67" s="131"/>
      <c r="NHY67"/>
      <c r="NHZ67" s="132"/>
      <c r="NIA67"/>
      <c r="NIB67" s="125"/>
      <c r="NIC67" s="133"/>
      <c r="NID67"/>
      <c r="NIE67" s="126"/>
      <c r="NIF67" s="127"/>
      <c r="NIG67" s="128"/>
      <c r="NIH67" s="128"/>
      <c r="NII67" s="127"/>
      <c r="NIJ67" s="129"/>
      <c r="NIK67" s="127"/>
      <c r="NIL67" s="129"/>
      <c r="NIM67" s="130"/>
      <c r="NIN67" s="131"/>
      <c r="NIO67"/>
      <c r="NIP67" s="132"/>
      <c r="NIQ67"/>
      <c r="NIR67" s="125"/>
      <c r="NIS67" s="133"/>
      <c r="NIT67"/>
      <c r="NIU67" s="126"/>
      <c r="NIV67" s="127"/>
      <c r="NIW67" s="128"/>
      <c r="NIX67" s="128"/>
      <c r="NIY67" s="127"/>
      <c r="NIZ67" s="129"/>
      <c r="NJA67" s="127"/>
      <c r="NJB67" s="129"/>
      <c r="NJC67" s="130"/>
      <c r="NJD67" s="131"/>
      <c r="NJE67"/>
      <c r="NJF67" s="132"/>
      <c r="NJG67"/>
      <c r="NJH67" s="125"/>
      <c r="NJI67" s="133"/>
      <c r="NJJ67"/>
      <c r="NJK67" s="126"/>
      <c r="NJL67" s="127"/>
      <c r="NJM67" s="128"/>
      <c r="NJN67" s="128"/>
      <c r="NJO67" s="127"/>
      <c r="NJP67" s="129"/>
      <c r="NJQ67" s="127"/>
      <c r="NJR67" s="129"/>
      <c r="NJS67" s="130"/>
      <c r="NJT67" s="131"/>
      <c r="NJU67"/>
      <c r="NJV67" s="132"/>
      <c r="NJW67"/>
      <c r="NJX67" s="125"/>
      <c r="NJY67" s="133"/>
      <c r="NJZ67"/>
      <c r="NKA67" s="126"/>
      <c r="NKB67" s="127"/>
      <c r="NKC67" s="128"/>
      <c r="NKD67" s="128"/>
      <c r="NKE67" s="127"/>
      <c r="NKF67" s="129"/>
      <c r="NKG67" s="127"/>
      <c r="NKH67" s="129"/>
      <c r="NKI67" s="130"/>
      <c r="NKJ67" s="131"/>
      <c r="NKK67"/>
      <c r="NKL67" s="132"/>
      <c r="NKM67"/>
      <c r="NKN67" s="125"/>
      <c r="NKO67" s="133"/>
      <c r="NKP67"/>
      <c r="NKQ67" s="126"/>
      <c r="NKR67" s="127"/>
      <c r="NKS67" s="128"/>
      <c r="NKT67" s="128"/>
      <c r="NKU67" s="127"/>
      <c r="NKV67" s="129"/>
      <c r="NKW67" s="127"/>
      <c r="NKX67" s="129"/>
      <c r="NKY67" s="130"/>
      <c r="NKZ67" s="131"/>
      <c r="NLA67"/>
      <c r="NLB67" s="132"/>
      <c r="NLC67"/>
      <c r="NLD67" s="125"/>
      <c r="NLE67" s="133"/>
      <c r="NLF67"/>
      <c r="NLG67" s="126"/>
      <c r="NLH67" s="127"/>
      <c r="NLI67" s="128"/>
      <c r="NLJ67" s="128"/>
      <c r="NLK67" s="127"/>
      <c r="NLL67" s="129"/>
      <c r="NLM67" s="127"/>
      <c r="NLN67" s="129"/>
      <c r="NLO67" s="130"/>
      <c r="NLP67" s="131"/>
      <c r="NLQ67"/>
      <c r="NLR67" s="132"/>
      <c r="NLS67"/>
      <c r="NLT67" s="125"/>
      <c r="NLU67" s="133"/>
      <c r="NLV67"/>
      <c r="NLW67" s="126"/>
      <c r="NLX67" s="127"/>
      <c r="NLY67" s="128"/>
      <c r="NLZ67" s="128"/>
      <c r="NMA67" s="127"/>
      <c r="NMB67" s="129"/>
      <c r="NMC67" s="127"/>
      <c r="NMD67" s="129"/>
      <c r="NME67" s="130"/>
      <c r="NMF67" s="131"/>
      <c r="NMG67"/>
      <c r="NMH67" s="132"/>
      <c r="NMI67"/>
      <c r="NMJ67" s="125"/>
      <c r="NMK67" s="133"/>
      <c r="NML67"/>
      <c r="NMM67" s="126"/>
      <c r="NMN67" s="127"/>
      <c r="NMO67" s="128"/>
      <c r="NMP67" s="128"/>
      <c r="NMQ67" s="127"/>
      <c r="NMR67" s="129"/>
      <c r="NMS67" s="127"/>
      <c r="NMT67" s="129"/>
      <c r="NMU67" s="130"/>
      <c r="NMV67" s="131"/>
      <c r="NMW67"/>
      <c r="NMX67" s="132"/>
      <c r="NMY67"/>
      <c r="NMZ67" s="125"/>
      <c r="NNA67" s="133"/>
      <c r="NNB67"/>
      <c r="NNC67" s="126"/>
      <c r="NND67" s="127"/>
      <c r="NNE67" s="128"/>
      <c r="NNF67" s="128"/>
      <c r="NNG67" s="127"/>
      <c r="NNH67" s="129"/>
      <c r="NNI67" s="127"/>
      <c r="NNJ67" s="129"/>
      <c r="NNK67" s="130"/>
      <c r="NNL67" s="131"/>
      <c r="NNM67"/>
      <c r="NNN67" s="132"/>
      <c r="NNO67"/>
      <c r="NNP67" s="125"/>
      <c r="NNQ67" s="133"/>
      <c r="NNR67"/>
      <c r="NNS67" s="126"/>
      <c r="NNT67" s="127"/>
      <c r="NNU67" s="128"/>
      <c r="NNV67" s="128"/>
      <c r="NNW67" s="127"/>
      <c r="NNX67" s="129"/>
      <c r="NNY67" s="127"/>
      <c r="NNZ67" s="129"/>
      <c r="NOA67" s="130"/>
      <c r="NOB67" s="131"/>
      <c r="NOC67"/>
      <c r="NOD67" s="132"/>
      <c r="NOE67"/>
      <c r="NOF67" s="125"/>
      <c r="NOG67" s="133"/>
      <c r="NOH67"/>
      <c r="NOI67" s="126"/>
      <c r="NOJ67" s="127"/>
      <c r="NOK67" s="128"/>
      <c r="NOL67" s="128"/>
      <c r="NOM67" s="127"/>
      <c r="NON67" s="129"/>
      <c r="NOO67" s="127"/>
      <c r="NOP67" s="129"/>
      <c r="NOQ67" s="130"/>
      <c r="NOR67" s="131"/>
      <c r="NOS67"/>
      <c r="NOT67" s="132"/>
      <c r="NOU67"/>
      <c r="NOV67" s="125"/>
      <c r="NOW67" s="133"/>
      <c r="NOX67"/>
      <c r="NOY67" s="126"/>
      <c r="NOZ67" s="127"/>
      <c r="NPA67" s="128"/>
      <c r="NPB67" s="128"/>
      <c r="NPC67" s="127"/>
      <c r="NPD67" s="129"/>
      <c r="NPE67" s="127"/>
      <c r="NPF67" s="129"/>
      <c r="NPG67" s="130"/>
      <c r="NPH67" s="131"/>
      <c r="NPI67"/>
      <c r="NPJ67" s="132"/>
      <c r="NPK67"/>
      <c r="NPL67" s="125"/>
      <c r="NPM67" s="133"/>
      <c r="NPN67"/>
      <c r="NPO67" s="126"/>
      <c r="NPP67" s="127"/>
      <c r="NPQ67" s="128"/>
      <c r="NPR67" s="128"/>
      <c r="NPS67" s="127"/>
      <c r="NPT67" s="129"/>
      <c r="NPU67" s="127"/>
      <c r="NPV67" s="129"/>
      <c r="NPW67" s="130"/>
      <c r="NPX67" s="131"/>
      <c r="NPY67"/>
      <c r="NPZ67" s="132"/>
      <c r="NQA67"/>
      <c r="NQB67" s="125"/>
      <c r="NQC67" s="133"/>
      <c r="NQD67"/>
      <c r="NQE67" s="126"/>
      <c r="NQF67" s="127"/>
      <c r="NQG67" s="128"/>
      <c r="NQH67" s="128"/>
      <c r="NQI67" s="127"/>
      <c r="NQJ67" s="129"/>
      <c r="NQK67" s="127"/>
      <c r="NQL67" s="129"/>
      <c r="NQM67" s="130"/>
      <c r="NQN67" s="131"/>
      <c r="NQO67"/>
      <c r="NQP67" s="132"/>
      <c r="NQQ67"/>
      <c r="NQR67" s="125"/>
      <c r="NQS67" s="133"/>
      <c r="NQT67"/>
      <c r="NQU67" s="126"/>
      <c r="NQV67" s="127"/>
      <c r="NQW67" s="128"/>
      <c r="NQX67" s="128"/>
      <c r="NQY67" s="127"/>
      <c r="NQZ67" s="129"/>
      <c r="NRA67" s="127"/>
      <c r="NRB67" s="129"/>
      <c r="NRC67" s="130"/>
      <c r="NRD67" s="131"/>
      <c r="NRE67"/>
      <c r="NRF67" s="132"/>
      <c r="NRG67"/>
      <c r="NRH67" s="125"/>
      <c r="NRI67" s="133"/>
      <c r="NRJ67"/>
      <c r="NRK67" s="126"/>
      <c r="NRL67" s="127"/>
      <c r="NRM67" s="128"/>
      <c r="NRN67" s="128"/>
      <c r="NRO67" s="127"/>
      <c r="NRP67" s="129"/>
      <c r="NRQ67" s="127"/>
      <c r="NRR67" s="129"/>
      <c r="NRS67" s="130"/>
      <c r="NRT67" s="131"/>
      <c r="NRU67"/>
      <c r="NRV67" s="132"/>
      <c r="NRW67"/>
      <c r="NRX67" s="125"/>
      <c r="NRY67" s="133"/>
      <c r="NRZ67"/>
      <c r="NSA67" s="126"/>
      <c r="NSB67" s="127"/>
      <c r="NSC67" s="128"/>
      <c r="NSD67" s="128"/>
      <c r="NSE67" s="127"/>
      <c r="NSF67" s="129"/>
      <c r="NSG67" s="127"/>
      <c r="NSH67" s="129"/>
      <c r="NSI67" s="130"/>
      <c r="NSJ67" s="131"/>
      <c r="NSK67"/>
      <c r="NSL67" s="132"/>
      <c r="NSM67"/>
      <c r="NSN67" s="125"/>
      <c r="NSO67" s="133"/>
      <c r="NSP67"/>
      <c r="NSQ67" s="126"/>
      <c r="NSR67" s="127"/>
      <c r="NSS67" s="128"/>
      <c r="NST67" s="128"/>
      <c r="NSU67" s="127"/>
      <c r="NSV67" s="129"/>
      <c r="NSW67" s="127"/>
      <c r="NSX67" s="129"/>
      <c r="NSY67" s="130"/>
      <c r="NSZ67" s="131"/>
      <c r="NTA67"/>
      <c r="NTB67" s="132"/>
      <c r="NTC67"/>
      <c r="NTD67" s="125"/>
      <c r="NTE67" s="133"/>
      <c r="NTF67"/>
      <c r="NTG67" s="126"/>
      <c r="NTH67" s="127"/>
      <c r="NTI67" s="128"/>
      <c r="NTJ67" s="128"/>
      <c r="NTK67" s="127"/>
      <c r="NTL67" s="129"/>
      <c r="NTM67" s="127"/>
      <c r="NTN67" s="129"/>
      <c r="NTO67" s="130"/>
      <c r="NTP67" s="131"/>
      <c r="NTQ67"/>
      <c r="NTR67" s="132"/>
      <c r="NTS67"/>
      <c r="NTT67" s="125"/>
      <c r="NTU67" s="133"/>
      <c r="NTV67"/>
      <c r="NTW67" s="126"/>
      <c r="NTX67" s="127"/>
      <c r="NTY67" s="128"/>
      <c r="NTZ67" s="128"/>
      <c r="NUA67" s="127"/>
      <c r="NUB67" s="129"/>
      <c r="NUC67" s="127"/>
      <c r="NUD67" s="129"/>
      <c r="NUE67" s="130"/>
      <c r="NUF67" s="131"/>
      <c r="NUG67"/>
      <c r="NUH67" s="132"/>
      <c r="NUI67"/>
      <c r="NUJ67" s="125"/>
      <c r="NUK67" s="133"/>
      <c r="NUL67"/>
      <c r="NUM67" s="126"/>
      <c r="NUN67" s="127"/>
      <c r="NUO67" s="128"/>
      <c r="NUP67" s="128"/>
      <c r="NUQ67" s="127"/>
      <c r="NUR67" s="129"/>
      <c r="NUS67" s="127"/>
      <c r="NUT67" s="129"/>
      <c r="NUU67" s="130"/>
      <c r="NUV67" s="131"/>
      <c r="NUW67"/>
      <c r="NUX67" s="132"/>
      <c r="NUY67"/>
      <c r="NUZ67" s="125"/>
      <c r="NVA67" s="133"/>
      <c r="NVB67"/>
      <c r="NVC67" s="126"/>
      <c r="NVD67" s="127"/>
      <c r="NVE67" s="128"/>
      <c r="NVF67" s="128"/>
      <c r="NVG67" s="127"/>
      <c r="NVH67" s="129"/>
      <c r="NVI67" s="127"/>
      <c r="NVJ67" s="129"/>
      <c r="NVK67" s="130"/>
      <c r="NVL67" s="131"/>
      <c r="NVM67"/>
      <c r="NVN67" s="132"/>
      <c r="NVO67"/>
      <c r="NVP67" s="125"/>
      <c r="NVQ67" s="133"/>
      <c r="NVR67"/>
      <c r="NVS67" s="126"/>
      <c r="NVT67" s="127"/>
      <c r="NVU67" s="128"/>
      <c r="NVV67" s="128"/>
      <c r="NVW67" s="127"/>
      <c r="NVX67" s="129"/>
      <c r="NVY67" s="127"/>
      <c r="NVZ67" s="129"/>
      <c r="NWA67" s="130"/>
      <c r="NWB67" s="131"/>
      <c r="NWC67"/>
      <c r="NWD67" s="132"/>
      <c r="NWE67"/>
      <c r="NWF67" s="125"/>
      <c r="NWG67" s="133"/>
      <c r="NWH67"/>
      <c r="NWI67" s="126"/>
      <c r="NWJ67" s="127"/>
      <c r="NWK67" s="128"/>
      <c r="NWL67" s="128"/>
      <c r="NWM67" s="127"/>
      <c r="NWN67" s="129"/>
      <c r="NWO67" s="127"/>
      <c r="NWP67" s="129"/>
      <c r="NWQ67" s="130"/>
      <c r="NWR67" s="131"/>
      <c r="NWS67"/>
      <c r="NWT67" s="132"/>
      <c r="NWU67"/>
      <c r="NWV67" s="125"/>
      <c r="NWW67" s="133"/>
      <c r="NWX67"/>
      <c r="NWY67" s="126"/>
      <c r="NWZ67" s="127"/>
      <c r="NXA67" s="128"/>
      <c r="NXB67" s="128"/>
      <c r="NXC67" s="127"/>
      <c r="NXD67" s="129"/>
      <c r="NXE67" s="127"/>
      <c r="NXF67" s="129"/>
      <c r="NXG67" s="130"/>
      <c r="NXH67" s="131"/>
      <c r="NXI67"/>
      <c r="NXJ67" s="132"/>
      <c r="NXK67"/>
      <c r="NXL67" s="125"/>
      <c r="NXM67" s="133"/>
      <c r="NXN67"/>
      <c r="NXO67" s="126"/>
      <c r="NXP67" s="127"/>
      <c r="NXQ67" s="128"/>
      <c r="NXR67" s="128"/>
      <c r="NXS67" s="127"/>
      <c r="NXT67" s="129"/>
      <c r="NXU67" s="127"/>
      <c r="NXV67" s="129"/>
      <c r="NXW67" s="130"/>
      <c r="NXX67" s="131"/>
      <c r="NXY67"/>
      <c r="NXZ67" s="132"/>
      <c r="NYA67"/>
      <c r="NYB67" s="125"/>
      <c r="NYC67" s="133"/>
      <c r="NYD67"/>
      <c r="NYE67" s="126"/>
      <c r="NYF67" s="127"/>
      <c r="NYG67" s="128"/>
      <c r="NYH67" s="128"/>
      <c r="NYI67" s="127"/>
      <c r="NYJ67" s="129"/>
      <c r="NYK67" s="127"/>
      <c r="NYL67" s="129"/>
      <c r="NYM67" s="130"/>
      <c r="NYN67" s="131"/>
      <c r="NYO67"/>
      <c r="NYP67" s="132"/>
      <c r="NYQ67"/>
      <c r="NYR67" s="125"/>
      <c r="NYS67" s="133"/>
      <c r="NYT67"/>
      <c r="NYU67" s="126"/>
      <c r="NYV67" s="127"/>
      <c r="NYW67" s="128"/>
      <c r="NYX67" s="128"/>
      <c r="NYY67" s="127"/>
      <c r="NYZ67" s="129"/>
      <c r="NZA67" s="127"/>
      <c r="NZB67" s="129"/>
      <c r="NZC67" s="130"/>
      <c r="NZD67" s="131"/>
      <c r="NZE67"/>
      <c r="NZF67" s="132"/>
      <c r="NZG67"/>
      <c r="NZH67" s="125"/>
      <c r="NZI67" s="133"/>
      <c r="NZJ67"/>
      <c r="NZK67" s="126"/>
      <c r="NZL67" s="127"/>
      <c r="NZM67" s="128"/>
      <c r="NZN67" s="128"/>
      <c r="NZO67" s="127"/>
      <c r="NZP67" s="129"/>
      <c r="NZQ67" s="127"/>
      <c r="NZR67" s="129"/>
      <c r="NZS67" s="130"/>
      <c r="NZT67" s="131"/>
      <c r="NZU67"/>
      <c r="NZV67" s="132"/>
      <c r="NZW67"/>
      <c r="NZX67" s="125"/>
      <c r="NZY67" s="133"/>
      <c r="NZZ67"/>
      <c r="OAA67" s="126"/>
      <c r="OAB67" s="127"/>
      <c r="OAC67" s="128"/>
      <c r="OAD67" s="128"/>
      <c r="OAE67" s="127"/>
      <c r="OAF67" s="129"/>
      <c r="OAG67" s="127"/>
      <c r="OAH67" s="129"/>
      <c r="OAI67" s="130"/>
      <c r="OAJ67" s="131"/>
      <c r="OAK67"/>
      <c r="OAL67" s="132"/>
      <c r="OAM67"/>
      <c r="OAN67" s="125"/>
      <c r="OAO67" s="133"/>
      <c r="OAP67"/>
      <c r="OAQ67" s="126"/>
      <c r="OAR67" s="127"/>
      <c r="OAS67" s="128"/>
      <c r="OAT67" s="128"/>
      <c r="OAU67" s="127"/>
      <c r="OAV67" s="129"/>
      <c r="OAW67" s="127"/>
      <c r="OAX67" s="129"/>
      <c r="OAY67" s="130"/>
      <c r="OAZ67" s="131"/>
      <c r="OBA67"/>
      <c r="OBB67" s="132"/>
      <c r="OBC67"/>
      <c r="OBD67" s="125"/>
      <c r="OBE67" s="133"/>
      <c r="OBF67"/>
      <c r="OBG67" s="126"/>
      <c r="OBH67" s="127"/>
      <c r="OBI67" s="128"/>
      <c r="OBJ67" s="128"/>
      <c r="OBK67" s="127"/>
      <c r="OBL67" s="129"/>
      <c r="OBM67" s="127"/>
      <c r="OBN67" s="129"/>
      <c r="OBO67" s="130"/>
      <c r="OBP67" s="131"/>
      <c r="OBQ67"/>
      <c r="OBR67" s="132"/>
      <c r="OBS67"/>
      <c r="OBT67" s="125"/>
      <c r="OBU67" s="133"/>
      <c r="OBV67"/>
      <c r="OBW67" s="126"/>
      <c r="OBX67" s="127"/>
      <c r="OBY67" s="128"/>
      <c r="OBZ67" s="128"/>
      <c r="OCA67" s="127"/>
      <c r="OCB67" s="129"/>
      <c r="OCC67" s="127"/>
      <c r="OCD67" s="129"/>
      <c r="OCE67" s="130"/>
      <c r="OCF67" s="131"/>
      <c r="OCG67"/>
      <c r="OCH67" s="132"/>
      <c r="OCI67"/>
      <c r="OCJ67" s="125"/>
      <c r="OCK67" s="133"/>
      <c r="OCL67"/>
      <c r="OCM67" s="126"/>
      <c r="OCN67" s="127"/>
      <c r="OCO67" s="128"/>
      <c r="OCP67" s="128"/>
      <c r="OCQ67" s="127"/>
      <c r="OCR67" s="129"/>
      <c r="OCS67" s="127"/>
      <c r="OCT67" s="129"/>
      <c r="OCU67" s="130"/>
      <c r="OCV67" s="131"/>
      <c r="OCW67"/>
      <c r="OCX67" s="132"/>
      <c r="OCY67"/>
      <c r="OCZ67" s="125"/>
      <c r="ODA67" s="133"/>
      <c r="ODB67"/>
      <c r="ODC67" s="126"/>
      <c r="ODD67" s="127"/>
      <c r="ODE67" s="128"/>
      <c r="ODF67" s="128"/>
      <c r="ODG67" s="127"/>
      <c r="ODH67" s="129"/>
      <c r="ODI67" s="127"/>
      <c r="ODJ67" s="129"/>
      <c r="ODK67" s="130"/>
      <c r="ODL67" s="131"/>
      <c r="ODM67"/>
      <c r="ODN67" s="132"/>
      <c r="ODO67"/>
      <c r="ODP67" s="125"/>
      <c r="ODQ67" s="133"/>
      <c r="ODR67"/>
      <c r="ODS67" s="126"/>
      <c r="ODT67" s="127"/>
      <c r="ODU67" s="128"/>
      <c r="ODV67" s="128"/>
      <c r="ODW67" s="127"/>
      <c r="ODX67" s="129"/>
      <c r="ODY67" s="127"/>
      <c r="ODZ67" s="129"/>
      <c r="OEA67" s="130"/>
      <c r="OEB67" s="131"/>
      <c r="OEC67"/>
      <c r="OED67" s="132"/>
      <c r="OEE67"/>
      <c r="OEF67" s="125"/>
      <c r="OEG67" s="133"/>
      <c r="OEH67"/>
      <c r="OEI67" s="126"/>
      <c r="OEJ67" s="127"/>
      <c r="OEK67" s="128"/>
      <c r="OEL67" s="128"/>
      <c r="OEM67" s="127"/>
      <c r="OEN67" s="129"/>
      <c r="OEO67" s="127"/>
      <c r="OEP67" s="129"/>
      <c r="OEQ67" s="130"/>
      <c r="OER67" s="131"/>
      <c r="OES67"/>
      <c r="OET67" s="132"/>
      <c r="OEU67"/>
      <c r="OEV67" s="125"/>
      <c r="OEW67" s="133"/>
      <c r="OEX67"/>
      <c r="OEY67" s="126"/>
      <c r="OEZ67" s="127"/>
      <c r="OFA67" s="128"/>
      <c r="OFB67" s="128"/>
      <c r="OFC67" s="127"/>
      <c r="OFD67" s="129"/>
      <c r="OFE67" s="127"/>
      <c r="OFF67" s="129"/>
      <c r="OFG67" s="130"/>
      <c r="OFH67" s="131"/>
      <c r="OFI67"/>
      <c r="OFJ67" s="132"/>
      <c r="OFK67"/>
      <c r="OFL67" s="125"/>
      <c r="OFM67" s="133"/>
      <c r="OFN67"/>
      <c r="OFO67" s="126"/>
      <c r="OFP67" s="127"/>
      <c r="OFQ67" s="128"/>
      <c r="OFR67" s="128"/>
      <c r="OFS67" s="127"/>
      <c r="OFT67" s="129"/>
      <c r="OFU67" s="127"/>
      <c r="OFV67" s="129"/>
      <c r="OFW67" s="130"/>
      <c r="OFX67" s="131"/>
      <c r="OFY67"/>
      <c r="OFZ67" s="132"/>
      <c r="OGA67"/>
      <c r="OGB67" s="125"/>
      <c r="OGC67" s="133"/>
      <c r="OGD67"/>
      <c r="OGE67" s="126"/>
      <c r="OGF67" s="127"/>
      <c r="OGG67" s="128"/>
      <c r="OGH67" s="128"/>
      <c r="OGI67" s="127"/>
      <c r="OGJ67" s="129"/>
      <c r="OGK67" s="127"/>
      <c r="OGL67" s="129"/>
      <c r="OGM67" s="130"/>
      <c r="OGN67" s="131"/>
      <c r="OGO67"/>
      <c r="OGP67" s="132"/>
      <c r="OGQ67"/>
      <c r="OGR67" s="125"/>
      <c r="OGS67" s="133"/>
      <c r="OGT67"/>
      <c r="OGU67" s="126"/>
      <c r="OGV67" s="127"/>
      <c r="OGW67" s="128"/>
      <c r="OGX67" s="128"/>
      <c r="OGY67" s="127"/>
      <c r="OGZ67" s="129"/>
      <c r="OHA67" s="127"/>
      <c r="OHB67" s="129"/>
      <c r="OHC67" s="130"/>
      <c r="OHD67" s="131"/>
      <c r="OHE67"/>
      <c r="OHF67" s="132"/>
      <c r="OHG67"/>
      <c r="OHH67" s="125"/>
      <c r="OHI67" s="133"/>
      <c r="OHJ67"/>
      <c r="OHK67" s="126"/>
      <c r="OHL67" s="127"/>
      <c r="OHM67" s="128"/>
      <c r="OHN67" s="128"/>
      <c r="OHO67" s="127"/>
      <c r="OHP67" s="129"/>
      <c r="OHQ67" s="127"/>
      <c r="OHR67" s="129"/>
      <c r="OHS67" s="130"/>
      <c r="OHT67" s="131"/>
      <c r="OHU67"/>
      <c r="OHV67" s="132"/>
      <c r="OHW67"/>
      <c r="OHX67" s="125"/>
      <c r="OHY67" s="133"/>
      <c r="OHZ67"/>
      <c r="OIA67" s="126"/>
      <c r="OIB67" s="127"/>
      <c r="OIC67" s="128"/>
      <c r="OID67" s="128"/>
      <c r="OIE67" s="127"/>
      <c r="OIF67" s="129"/>
      <c r="OIG67" s="127"/>
      <c r="OIH67" s="129"/>
      <c r="OII67" s="130"/>
      <c r="OIJ67" s="131"/>
      <c r="OIK67"/>
      <c r="OIL67" s="132"/>
      <c r="OIM67"/>
      <c r="OIN67" s="125"/>
      <c r="OIO67" s="133"/>
      <c r="OIP67"/>
      <c r="OIQ67" s="126"/>
      <c r="OIR67" s="127"/>
      <c r="OIS67" s="128"/>
      <c r="OIT67" s="128"/>
      <c r="OIU67" s="127"/>
      <c r="OIV67" s="129"/>
      <c r="OIW67" s="127"/>
      <c r="OIX67" s="129"/>
      <c r="OIY67" s="130"/>
      <c r="OIZ67" s="131"/>
      <c r="OJA67"/>
      <c r="OJB67" s="132"/>
      <c r="OJC67"/>
      <c r="OJD67" s="125"/>
      <c r="OJE67" s="133"/>
      <c r="OJF67"/>
      <c r="OJG67" s="126"/>
      <c r="OJH67" s="127"/>
      <c r="OJI67" s="128"/>
      <c r="OJJ67" s="128"/>
      <c r="OJK67" s="127"/>
      <c r="OJL67" s="129"/>
      <c r="OJM67" s="127"/>
      <c r="OJN67" s="129"/>
      <c r="OJO67" s="130"/>
      <c r="OJP67" s="131"/>
      <c r="OJQ67"/>
      <c r="OJR67" s="132"/>
      <c r="OJS67"/>
      <c r="OJT67" s="125"/>
      <c r="OJU67" s="133"/>
      <c r="OJV67"/>
      <c r="OJW67" s="126"/>
      <c r="OJX67" s="127"/>
      <c r="OJY67" s="128"/>
      <c r="OJZ67" s="128"/>
      <c r="OKA67" s="127"/>
      <c r="OKB67" s="129"/>
      <c r="OKC67" s="127"/>
      <c r="OKD67" s="129"/>
      <c r="OKE67" s="130"/>
      <c r="OKF67" s="131"/>
      <c r="OKG67"/>
      <c r="OKH67" s="132"/>
      <c r="OKI67"/>
      <c r="OKJ67" s="125"/>
      <c r="OKK67" s="133"/>
      <c r="OKL67"/>
      <c r="OKM67" s="126"/>
      <c r="OKN67" s="127"/>
      <c r="OKO67" s="128"/>
      <c r="OKP67" s="128"/>
      <c r="OKQ67" s="127"/>
      <c r="OKR67" s="129"/>
      <c r="OKS67" s="127"/>
      <c r="OKT67" s="129"/>
      <c r="OKU67" s="130"/>
      <c r="OKV67" s="131"/>
      <c r="OKW67"/>
      <c r="OKX67" s="132"/>
      <c r="OKY67"/>
      <c r="OKZ67" s="125"/>
      <c r="OLA67" s="133"/>
      <c r="OLB67"/>
      <c r="OLC67" s="126"/>
      <c r="OLD67" s="127"/>
      <c r="OLE67" s="128"/>
      <c r="OLF67" s="128"/>
      <c r="OLG67" s="127"/>
      <c r="OLH67" s="129"/>
      <c r="OLI67" s="127"/>
      <c r="OLJ67" s="129"/>
      <c r="OLK67" s="130"/>
      <c r="OLL67" s="131"/>
      <c r="OLM67"/>
      <c r="OLN67" s="132"/>
      <c r="OLO67"/>
      <c r="OLP67" s="125"/>
      <c r="OLQ67" s="133"/>
      <c r="OLR67"/>
      <c r="OLS67" s="126"/>
      <c r="OLT67" s="127"/>
      <c r="OLU67" s="128"/>
      <c r="OLV67" s="128"/>
      <c r="OLW67" s="127"/>
      <c r="OLX67" s="129"/>
      <c r="OLY67" s="127"/>
      <c r="OLZ67" s="129"/>
      <c r="OMA67" s="130"/>
      <c r="OMB67" s="131"/>
      <c r="OMC67"/>
      <c r="OMD67" s="132"/>
      <c r="OME67"/>
      <c r="OMF67" s="125"/>
      <c r="OMG67" s="133"/>
      <c r="OMH67"/>
      <c r="OMI67" s="126"/>
      <c r="OMJ67" s="127"/>
      <c r="OMK67" s="128"/>
      <c r="OML67" s="128"/>
      <c r="OMM67" s="127"/>
      <c r="OMN67" s="129"/>
      <c r="OMO67" s="127"/>
      <c r="OMP67" s="129"/>
      <c r="OMQ67" s="130"/>
      <c r="OMR67" s="131"/>
      <c r="OMS67"/>
      <c r="OMT67" s="132"/>
      <c r="OMU67"/>
      <c r="OMV67" s="125"/>
      <c r="OMW67" s="133"/>
      <c r="OMX67"/>
      <c r="OMY67" s="126"/>
      <c r="OMZ67" s="127"/>
      <c r="ONA67" s="128"/>
      <c r="ONB67" s="128"/>
      <c r="ONC67" s="127"/>
      <c r="OND67" s="129"/>
      <c r="ONE67" s="127"/>
      <c r="ONF67" s="129"/>
      <c r="ONG67" s="130"/>
      <c r="ONH67" s="131"/>
      <c r="ONI67"/>
      <c r="ONJ67" s="132"/>
      <c r="ONK67"/>
      <c r="ONL67" s="125"/>
      <c r="ONM67" s="133"/>
      <c r="ONN67"/>
      <c r="ONO67" s="126"/>
      <c r="ONP67" s="127"/>
      <c r="ONQ67" s="128"/>
      <c r="ONR67" s="128"/>
      <c r="ONS67" s="127"/>
      <c r="ONT67" s="129"/>
      <c r="ONU67" s="127"/>
      <c r="ONV67" s="129"/>
      <c r="ONW67" s="130"/>
      <c r="ONX67" s="131"/>
      <c r="ONY67"/>
      <c r="ONZ67" s="132"/>
      <c r="OOA67"/>
      <c r="OOB67" s="125"/>
      <c r="OOC67" s="133"/>
      <c r="OOD67"/>
      <c r="OOE67" s="126"/>
      <c r="OOF67" s="127"/>
      <c r="OOG67" s="128"/>
      <c r="OOH67" s="128"/>
      <c r="OOI67" s="127"/>
      <c r="OOJ67" s="129"/>
      <c r="OOK67" s="127"/>
      <c r="OOL67" s="129"/>
      <c r="OOM67" s="130"/>
      <c r="OON67" s="131"/>
      <c r="OOO67"/>
      <c r="OOP67" s="132"/>
      <c r="OOQ67"/>
      <c r="OOR67" s="125"/>
      <c r="OOS67" s="133"/>
      <c r="OOT67"/>
      <c r="OOU67" s="126"/>
      <c r="OOV67" s="127"/>
      <c r="OOW67" s="128"/>
      <c r="OOX67" s="128"/>
      <c r="OOY67" s="127"/>
      <c r="OOZ67" s="129"/>
      <c r="OPA67" s="127"/>
      <c r="OPB67" s="129"/>
      <c r="OPC67" s="130"/>
      <c r="OPD67" s="131"/>
      <c r="OPE67"/>
      <c r="OPF67" s="132"/>
      <c r="OPG67"/>
      <c r="OPH67" s="125"/>
      <c r="OPI67" s="133"/>
      <c r="OPJ67"/>
      <c r="OPK67" s="126"/>
      <c r="OPL67" s="127"/>
      <c r="OPM67" s="128"/>
      <c r="OPN67" s="128"/>
      <c r="OPO67" s="127"/>
      <c r="OPP67" s="129"/>
      <c r="OPQ67" s="127"/>
      <c r="OPR67" s="129"/>
      <c r="OPS67" s="130"/>
      <c r="OPT67" s="131"/>
      <c r="OPU67"/>
      <c r="OPV67" s="132"/>
      <c r="OPW67"/>
      <c r="OPX67" s="125"/>
      <c r="OPY67" s="133"/>
      <c r="OPZ67"/>
      <c r="OQA67" s="126"/>
      <c r="OQB67" s="127"/>
      <c r="OQC67" s="128"/>
      <c r="OQD67" s="128"/>
      <c r="OQE67" s="127"/>
      <c r="OQF67" s="129"/>
      <c r="OQG67" s="127"/>
      <c r="OQH67" s="129"/>
      <c r="OQI67" s="130"/>
      <c r="OQJ67" s="131"/>
      <c r="OQK67"/>
      <c r="OQL67" s="132"/>
      <c r="OQM67"/>
      <c r="OQN67" s="125"/>
      <c r="OQO67" s="133"/>
      <c r="OQP67"/>
      <c r="OQQ67" s="126"/>
      <c r="OQR67" s="127"/>
      <c r="OQS67" s="128"/>
      <c r="OQT67" s="128"/>
      <c r="OQU67" s="127"/>
      <c r="OQV67" s="129"/>
      <c r="OQW67" s="127"/>
      <c r="OQX67" s="129"/>
      <c r="OQY67" s="130"/>
      <c r="OQZ67" s="131"/>
      <c r="ORA67"/>
      <c r="ORB67" s="132"/>
      <c r="ORC67"/>
      <c r="ORD67" s="125"/>
      <c r="ORE67" s="133"/>
      <c r="ORF67"/>
      <c r="ORG67" s="126"/>
      <c r="ORH67" s="127"/>
      <c r="ORI67" s="128"/>
      <c r="ORJ67" s="128"/>
      <c r="ORK67" s="127"/>
      <c r="ORL67" s="129"/>
      <c r="ORM67" s="127"/>
      <c r="ORN67" s="129"/>
      <c r="ORO67" s="130"/>
      <c r="ORP67" s="131"/>
      <c r="ORQ67"/>
      <c r="ORR67" s="132"/>
      <c r="ORS67"/>
      <c r="ORT67" s="125"/>
      <c r="ORU67" s="133"/>
      <c r="ORV67"/>
      <c r="ORW67" s="126"/>
      <c r="ORX67" s="127"/>
      <c r="ORY67" s="128"/>
      <c r="ORZ67" s="128"/>
      <c r="OSA67" s="127"/>
      <c r="OSB67" s="129"/>
      <c r="OSC67" s="127"/>
      <c r="OSD67" s="129"/>
      <c r="OSE67" s="130"/>
      <c r="OSF67" s="131"/>
      <c r="OSG67"/>
      <c r="OSH67" s="132"/>
      <c r="OSI67"/>
      <c r="OSJ67" s="125"/>
      <c r="OSK67" s="133"/>
      <c r="OSL67"/>
      <c r="OSM67" s="126"/>
      <c r="OSN67" s="127"/>
      <c r="OSO67" s="128"/>
      <c r="OSP67" s="128"/>
      <c r="OSQ67" s="127"/>
      <c r="OSR67" s="129"/>
      <c r="OSS67" s="127"/>
      <c r="OST67" s="129"/>
      <c r="OSU67" s="130"/>
      <c r="OSV67" s="131"/>
      <c r="OSW67"/>
      <c r="OSX67" s="132"/>
      <c r="OSY67"/>
      <c r="OSZ67" s="125"/>
      <c r="OTA67" s="133"/>
      <c r="OTB67"/>
      <c r="OTC67" s="126"/>
      <c r="OTD67" s="127"/>
      <c r="OTE67" s="128"/>
      <c r="OTF67" s="128"/>
      <c r="OTG67" s="127"/>
      <c r="OTH67" s="129"/>
      <c r="OTI67" s="127"/>
      <c r="OTJ67" s="129"/>
      <c r="OTK67" s="130"/>
      <c r="OTL67" s="131"/>
      <c r="OTM67"/>
      <c r="OTN67" s="132"/>
      <c r="OTO67"/>
      <c r="OTP67" s="125"/>
      <c r="OTQ67" s="133"/>
      <c r="OTR67"/>
      <c r="OTS67" s="126"/>
      <c r="OTT67" s="127"/>
      <c r="OTU67" s="128"/>
      <c r="OTV67" s="128"/>
      <c r="OTW67" s="127"/>
      <c r="OTX67" s="129"/>
      <c r="OTY67" s="127"/>
      <c r="OTZ67" s="129"/>
      <c r="OUA67" s="130"/>
      <c r="OUB67" s="131"/>
      <c r="OUC67"/>
      <c r="OUD67" s="132"/>
      <c r="OUE67"/>
      <c r="OUF67" s="125"/>
      <c r="OUG67" s="133"/>
      <c r="OUH67"/>
      <c r="OUI67" s="126"/>
      <c r="OUJ67" s="127"/>
      <c r="OUK67" s="128"/>
      <c r="OUL67" s="128"/>
      <c r="OUM67" s="127"/>
      <c r="OUN67" s="129"/>
      <c r="OUO67" s="127"/>
      <c r="OUP67" s="129"/>
      <c r="OUQ67" s="130"/>
      <c r="OUR67" s="131"/>
      <c r="OUS67"/>
      <c r="OUT67" s="132"/>
      <c r="OUU67"/>
      <c r="OUV67" s="125"/>
      <c r="OUW67" s="133"/>
      <c r="OUX67"/>
      <c r="OUY67" s="126"/>
      <c r="OUZ67" s="127"/>
      <c r="OVA67" s="128"/>
      <c r="OVB67" s="128"/>
      <c r="OVC67" s="127"/>
      <c r="OVD67" s="129"/>
      <c r="OVE67" s="127"/>
      <c r="OVF67" s="129"/>
      <c r="OVG67" s="130"/>
      <c r="OVH67" s="131"/>
      <c r="OVI67"/>
      <c r="OVJ67" s="132"/>
      <c r="OVK67"/>
      <c r="OVL67" s="125"/>
      <c r="OVM67" s="133"/>
      <c r="OVN67"/>
      <c r="OVO67" s="126"/>
      <c r="OVP67" s="127"/>
      <c r="OVQ67" s="128"/>
      <c r="OVR67" s="128"/>
      <c r="OVS67" s="127"/>
      <c r="OVT67" s="129"/>
      <c r="OVU67" s="127"/>
      <c r="OVV67" s="129"/>
      <c r="OVW67" s="130"/>
      <c r="OVX67" s="131"/>
      <c r="OVY67"/>
      <c r="OVZ67" s="132"/>
      <c r="OWA67"/>
      <c r="OWB67" s="125"/>
      <c r="OWC67" s="133"/>
      <c r="OWD67"/>
      <c r="OWE67" s="126"/>
      <c r="OWF67" s="127"/>
      <c r="OWG67" s="128"/>
      <c r="OWH67" s="128"/>
      <c r="OWI67" s="127"/>
      <c r="OWJ67" s="129"/>
      <c r="OWK67" s="127"/>
      <c r="OWL67" s="129"/>
      <c r="OWM67" s="130"/>
      <c r="OWN67" s="131"/>
      <c r="OWO67"/>
      <c r="OWP67" s="132"/>
      <c r="OWQ67"/>
      <c r="OWR67" s="125"/>
      <c r="OWS67" s="133"/>
      <c r="OWT67"/>
      <c r="OWU67" s="126"/>
      <c r="OWV67" s="127"/>
      <c r="OWW67" s="128"/>
      <c r="OWX67" s="128"/>
      <c r="OWY67" s="127"/>
      <c r="OWZ67" s="129"/>
      <c r="OXA67" s="127"/>
      <c r="OXB67" s="129"/>
      <c r="OXC67" s="130"/>
      <c r="OXD67" s="131"/>
      <c r="OXE67"/>
      <c r="OXF67" s="132"/>
      <c r="OXG67"/>
      <c r="OXH67" s="125"/>
      <c r="OXI67" s="133"/>
      <c r="OXJ67"/>
      <c r="OXK67" s="126"/>
      <c r="OXL67" s="127"/>
      <c r="OXM67" s="128"/>
      <c r="OXN67" s="128"/>
      <c r="OXO67" s="127"/>
      <c r="OXP67" s="129"/>
      <c r="OXQ67" s="127"/>
      <c r="OXR67" s="129"/>
      <c r="OXS67" s="130"/>
      <c r="OXT67" s="131"/>
      <c r="OXU67"/>
      <c r="OXV67" s="132"/>
      <c r="OXW67"/>
      <c r="OXX67" s="125"/>
      <c r="OXY67" s="133"/>
      <c r="OXZ67"/>
      <c r="OYA67" s="126"/>
      <c r="OYB67" s="127"/>
      <c r="OYC67" s="128"/>
      <c r="OYD67" s="128"/>
      <c r="OYE67" s="127"/>
      <c r="OYF67" s="129"/>
      <c r="OYG67" s="127"/>
      <c r="OYH67" s="129"/>
      <c r="OYI67" s="130"/>
      <c r="OYJ67" s="131"/>
      <c r="OYK67"/>
      <c r="OYL67" s="132"/>
      <c r="OYM67"/>
      <c r="OYN67" s="125"/>
      <c r="OYO67" s="133"/>
      <c r="OYP67"/>
      <c r="OYQ67" s="126"/>
      <c r="OYR67" s="127"/>
      <c r="OYS67" s="128"/>
      <c r="OYT67" s="128"/>
      <c r="OYU67" s="127"/>
      <c r="OYV67" s="129"/>
      <c r="OYW67" s="127"/>
      <c r="OYX67" s="129"/>
      <c r="OYY67" s="130"/>
      <c r="OYZ67" s="131"/>
      <c r="OZA67"/>
      <c r="OZB67" s="132"/>
      <c r="OZC67"/>
      <c r="OZD67" s="125"/>
      <c r="OZE67" s="133"/>
      <c r="OZF67"/>
      <c r="OZG67" s="126"/>
      <c r="OZH67" s="127"/>
      <c r="OZI67" s="128"/>
      <c r="OZJ67" s="128"/>
      <c r="OZK67" s="127"/>
      <c r="OZL67" s="129"/>
      <c r="OZM67" s="127"/>
      <c r="OZN67" s="129"/>
      <c r="OZO67" s="130"/>
      <c r="OZP67" s="131"/>
      <c r="OZQ67"/>
      <c r="OZR67" s="132"/>
      <c r="OZS67"/>
      <c r="OZT67" s="125"/>
      <c r="OZU67" s="133"/>
      <c r="OZV67"/>
      <c r="OZW67" s="126"/>
      <c r="OZX67" s="127"/>
      <c r="OZY67" s="128"/>
      <c r="OZZ67" s="128"/>
      <c r="PAA67" s="127"/>
      <c r="PAB67" s="129"/>
      <c r="PAC67" s="127"/>
      <c r="PAD67" s="129"/>
      <c r="PAE67" s="130"/>
      <c r="PAF67" s="131"/>
      <c r="PAG67"/>
      <c r="PAH67" s="132"/>
      <c r="PAI67"/>
      <c r="PAJ67" s="125"/>
      <c r="PAK67" s="133"/>
      <c r="PAL67"/>
      <c r="PAM67" s="126"/>
      <c r="PAN67" s="127"/>
      <c r="PAO67" s="128"/>
      <c r="PAP67" s="128"/>
      <c r="PAQ67" s="127"/>
      <c r="PAR67" s="129"/>
      <c r="PAS67" s="127"/>
      <c r="PAT67" s="129"/>
      <c r="PAU67" s="130"/>
      <c r="PAV67" s="131"/>
      <c r="PAW67"/>
      <c r="PAX67" s="132"/>
      <c r="PAY67"/>
      <c r="PAZ67" s="125"/>
      <c r="PBA67" s="133"/>
      <c r="PBB67"/>
      <c r="PBC67" s="126"/>
      <c r="PBD67" s="127"/>
      <c r="PBE67" s="128"/>
      <c r="PBF67" s="128"/>
      <c r="PBG67" s="127"/>
      <c r="PBH67" s="129"/>
      <c r="PBI67" s="127"/>
      <c r="PBJ67" s="129"/>
      <c r="PBK67" s="130"/>
      <c r="PBL67" s="131"/>
      <c r="PBM67"/>
      <c r="PBN67" s="132"/>
      <c r="PBO67"/>
      <c r="PBP67" s="125"/>
      <c r="PBQ67" s="133"/>
      <c r="PBR67"/>
      <c r="PBS67" s="126"/>
      <c r="PBT67" s="127"/>
      <c r="PBU67" s="128"/>
      <c r="PBV67" s="128"/>
      <c r="PBW67" s="127"/>
      <c r="PBX67" s="129"/>
      <c r="PBY67" s="127"/>
      <c r="PBZ67" s="129"/>
      <c r="PCA67" s="130"/>
      <c r="PCB67" s="131"/>
      <c r="PCC67"/>
      <c r="PCD67" s="132"/>
      <c r="PCE67"/>
      <c r="PCF67" s="125"/>
      <c r="PCG67" s="133"/>
      <c r="PCH67"/>
      <c r="PCI67" s="126"/>
      <c r="PCJ67" s="127"/>
      <c r="PCK67" s="128"/>
      <c r="PCL67" s="128"/>
      <c r="PCM67" s="127"/>
      <c r="PCN67" s="129"/>
      <c r="PCO67" s="127"/>
      <c r="PCP67" s="129"/>
      <c r="PCQ67" s="130"/>
      <c r="PCR67" s="131"/>
      <c r="PCS67"/>
      <c r="PCT67" s="132"/>
      <c r="PCU67"/>
      <c r="PCV67" s="125"/>
      <c r="PCW67" s="133"/>
      <c r="PCX67"/>
      <c r="PCY67" s="126"/>
      <c r="PCZ67" s="127"/>
      <c r="PDA67" s="128"/>
      <c r="PDB67" s="128"/>
      <c r="PDC67" s="127"/>
      <c r="PDD67" s="129"/>
      <c r="PDE67" s="127"/>
      <c r="PDF67" s="129"/>
      <c r="PDG67" s="130"/>
      <c r="PDH67" s="131"/>
      <c r="PDI67"/>
      <c r="PDJ67" s="132"/>
      <c r="PDK67"/>
      <c r="PDL67" s="125"/>
      <c r="PDM67" s="133"/>
      <c r="PDN67"/>
      <c r="PDO67" s="126"/>
      <c r="PDP67" s="127"/>
      <c r="PDQ67" s="128"/>
      <c r="PDR67" s="128"/>
      <c r="PDS67" s="127"/>
      <c r="PDT67" s="129"/>
      <c r="PDU67" s="127"/>
      <c r="PDV67" s="129"/>
      <c r="PDW67" s="130"/>
      <c r="PDX67" s="131"/>
      <c r="PDY67"/>
      <c r="PDZ67" s="132"/>
      <c r="PEA67"/>
      <c r="PEB67" s="125"/>
      <c r="PEC67" s="133"/>
      <c r="PED67"/>
      <c r="PEE67" s="126"/>
      <c r="PEF67" s="127"/>
      <c r="PEG67" s="128"/>
      <c r="PEH67" s="128"/>
      <c r="PEI67" s="127"/>
      <c r="PEJ67" s="129"/>
      <c r="PEK67" s="127"/>
      <c r="PEL67" s="129"/>
      <c r="PEM67" s="130"/>
      <c r="PEN67" s="131"/>
      <c r="PEO67"/>
      <c r="PEP67" s="132"/>
      <c r="PEQ67"/>
      <c r="PER67" s="125"/>
      <c r="PES67" s="133"/>
      <c r="PET67"/>
      <c r="PEU67" s="126"/>
      <c r="PEV67" s="127"/>
      <c r="PEW67" s="128"/>
      <c r="PEX67" s="128"/>
      <c r="PEY67" s="127"/>
      <c r="PEZ67" s="129"/>
      <c r="PFA67" s="127"/>
      <c r="PFB67" s="129"/>
      <c r="PFC67" s="130"/>
      <c r="PFD67" s="131"/>
      <c r="PFE67"/>
      <c r="PFF67" s="132"/>
      <c r="PFG67"/>
      <c r="PFH67" s="125"/>
      <c r="PFI67" s="133"/>
      <c r="PFJ67"/>
      <c r="PFK67" s="126"/>
      <c r="PFL67" s="127"/>
      <c r="PFM67" s="128"/>
      <c r="PFN67" s="128"/>
      <c r="PFO67" s="127"/>
      <c r="PFP67" s="129"/>
      <c r="PFQ67" s="127"/>
      <c r="PFR67" s="129"/>
      <c r="PFS67" s="130"/>
      <c r="PFT67" s="131"/>
      <c r="PFU67"/>
      <c r="PFV67" s="132"/>
      <c r="PFW67"/>
      <c r="PFX67" s="125"/>
      <c r="PFY67" s="133"/>
      <c r="PFZ67"/>
      <c r="PGA67" s="126"/>
      <c r="PGB67" s="127"/>
      <c r="PGC67" s="128"/>
      <c r="PGD67" s="128"/>
      <c r="PGE67" s="127"/>
      <c r="PGF67" s="129"/>
      <c r="PGG67" s="127"/>
      <c r="PGH67" s="129"/>
      <c r="PGI67" s="130"/>
      <c r="PGJ67" s="131"/>
      <c r="PGK67"/>
      <c r="PGL67" s="132"/>
      <c r="PGM67"/>
      <c r="PGN67" s="125"/>
      <c r="PGO67" s="133"/>
      <c r="PGP67"/>
      <c r="PGQ67" s="126"/>
      <c r="PGR67" s="127"/>
      <c r="PGS67" s="128"/>
      <c r="PGT67" s="128"/>
      <c r="PGU67" s="127"/>
      <c r="PGV67" s="129"/>
      <c r="PGW67" s="127"/>
      <c r="PGX67" s="129"/>
      <c r="PGY67" s="130"/>
      <c r="PGZ67" s="131"/>
      <c r="PHA67"/>
      <c r="PHB67" s="132"/>
      <c r="PHC67"/>
      <c r="PHD67" s="125"/>
      <c r="PHE67" s="133"/>
      <c r="PHF67"/>
      <c r="PHG67" s="126"/>
      <c r="PHH67" s="127"/>
      <c r="PHI67" s="128"/>
      <c r="PHJ67" s="128"/>
      <c r="PHK67" s="127"/>
      <c r="PHL67" s="129"/>
      <c r="PHM67" s="127"/>
      <c r="PHN67" s="129"/>
      <c r="PHO67" s="130"/>
      <c r="PHP67" s="131"/>
      <c r="PHQ67"/>
      <c r="PHR67" s="132"/>
      <c r="PHS67"/>
      <c r="PHT67" s="125"/>
      <c r="PHU67" s="133"/>
      <c r="PHV67"/>
      <c r="PHW67" s="126"/>
      <c r="PHX67" s="127"/>
      <c r="PHY67" s="128"/>
      <c r="PHZ67" s="128"/>
      <c r="PIA67" s="127"/>
      <c r="PIB67" s="129"/>
      <c r="PIC67" s="127"/>
      <c r="PID67" s="129"/>
      <c r="PIE67" s="130"/>
      <c r="PIF67" s="131"/>
      <c r="PIG67"/>
      <c r="PIH67" s="132"/>
      <c r="PII67"/>
      <c r="PIJ67" s="125"/>
      <c r="PIK67" s="133"/>
      <c r="PIL67"/>
      <c r="PIM67" s="126"/>
      <c r="PIN67" s="127"/>
      <c r="PIO67" s="128"/>
      <c r="PIP67" s="128"/>
      <c r="PIQ67" s="127"/>
      <c r="PIR67" s="129"/>
      <c r="PIS67" s="127"/>
      <c r="PIT67" s="129"/>
      <c r="PIU67" s="130"/>
      <c r="PIV67" s="131"/>
      <c r="PIW67"/>
      <c r="PIX67" s="132"/>
      <c r="PIY67"/>
      <c r="PIZ67" s="125"/>
      <c r="PJA67" s="133"/>
      <c r="PJB67"/>
      <c r="PJC67" s="126"/>
      <c r="PJD67" s="127"/>
      <c r="PJE67" s="128"/>
      <c r="PJF67" s="128"/>
      <c r="PJG67" s="127"/>
      <c r="PJH67" s="129"/>
      <c r="PJI67" s="127"/>
      <c r="PJJ67" s="129"/>
      <c r="PJK67" s="130"/>
      <c r="PJL67" s="131"/>
      <c r="PJM67"/>
      <c r="PJN67" s="132"/>
      <c r="PJO67"/>
      <c r="PJP67" s="125"/>
      <c r="PJQ67" s="133"/>
      <c r="PJR67"/>
      <c r="PJS67" s="126"/>
      <c r="PJT67" s="127"/>
      <c r="PJU67" s="128"/>
      <c r="PJV67" s="128"/>
      <c r="PJW67" s="127"/>
      <c r="PJX67" s="129"/>
      <c r="PJY67" s="127"/>
      <c r="PJZ67" s="129"/>
      <c r="PKA67" s="130"/>
      <c r="PKB67" s="131"/>
      <c r="PKC67"/>
      <c r="PKD67" s="132"/>
      <c r="PKE67"/>
      <c r="PKF67" s="125"/>
      <c r="PKG67" s="133"/>
      <c r="PKH67"/>
      <c r="PKI67" s="126"/>
      <c r="PKJ67" s="127"/>
      <c r="PKK67" s="128"/>
      <c r="PKL67" s="128"/>
      <c r="PKM67" s="127"/>
      <c r="PKN67" s="129"/>
      <c r="PKO67" s="127"/>
      <c r="PKP67" s="129"/>
      <c r="PKQ67" s="130"/>
      <c r="PKR67" s="131"/>
      <c r="PKS67"/>
      <c r="PKT67" s="132"/>
      <c r="PKU67"/>
      <c r="PKV67" s="125"/>
      <c r="PKW67" s="133"/>
      <c r="PKX67"/>
      <c r="PKY67" s="126"/>
      <c r="PKZ67" s="127"/>
      <c r="PLA67" s="128"/>
      <c r="PLB67" s="128"/>
      <c r="PLC67" s="127"/>
      <c r="PLD67" s="129"/>
      <c r="PLE67" s="127"/>
      <c r="PLF67" s="129"/>
      <c r="PLG67" s="130"/>
      <c r="PLH67" s="131"/>
      <c r="PLI67"/>
      <c r="PLJ67" s="132"/>
      <c r="PLK67"/>
      <c r="PLL67" s="125"/>
      <c r="PLM67" s="133"/>
      <c r="PLN67"/>
      <c r="PLO67" s="126"/>
      <c r="PLP67" s="127"/>
      <c r="PLQ67" s="128"/>
      <c r="PLR67" s="128"/>
      <c r="PLS67" s="127"/>
      <c r="PLT67" s="129"/>
      <c r="PLU67" s="127"/>
      <c r="PLV67" s="129"/>
      <c r="PLW67" s="130"/>
      <c r="PLX67" s="131"/>
      <c r="PLY67"/>
      <c r="PLZ67" s="132"/>
      <c r="PMA67"/>
      <c r="PMB67" s="125"/>
      <c r="PMC67" s="133"/>
      <c r="PMD67"/>
      <c r="PME67" s="126"/>
      <c r="PMF67" s="127"/>
      <c r="PMG67" s="128"/>
      <c r="PMH67" s="128"/>
      <c r="PMI67" s="127"/>
      <c r="PMJ67" s="129"/>
      <c r="PMK67" s="127"/>
      <c r="PML67" s="129"/>
      <c r="PMM67" s="130"/>
      <c r="PMN67" s="131"/>
      <c r="PMO67"/>
      <c r="PMP67" s="132"/>
      <c r="PMQ67"/>
      <c r="PMR67" s="125"/>
      <c r="PMS67" s="133"/>
      <c r="PMT67"/>
      <c r="PMU67" s="126"/>
      <c r="PMV67" s="127"/>
      <c r="PMW67" s="128"/>
      <c r="PMX67" s="128"/>
      <c r="PMY67" s="127"/>
      <c r="PMZ67" s="129"/>
      <c r="PNA67" s="127"/>
      <c r="PNB67" s="129"/>
      <c r="PNC67" s="130"/>
      <c r="PND67" s="131"/>
      <c r="PNE67"/>
      <c r="PNF67" s="132"/>
      <c r="PNG67"/>
      <c r="PNH67" s="125"/>
      <c r="PNI67" s="133"/>
      <c r="PNJ67"/>
      <c r="PNK67" s="126"/>
      <c r="PNL67" s="127"/>
      <c r="PNM67" s="128"/>
      <c r="PNN67" s="128"/>
      <c r="PNO67" s="127"/>
      <c r="PNP67" s="129"/>
      <c r="PNQ67" s="127"/>
      <c r="PNR67" s="129"/>
      <c r="PNS67" s="130"/>
      <c r="PNT67" s="131"/>
      <c r="PNU67"/>
      <c r="PNV67" s="132"/>
      <c r="PNW67"/>
      <c r="PNX67" s="125"/>
      <c r="PNY67" s="133"/>
      <c r="PNZ67"/>
      <c r="POA67" s="126"/>
      <c r="POB67" s="127"/>
      <c r="POC67" s="128"/>
      <c r="POD67" s="128"/>
      <c r="POE67" s="127"/>
      <c r="POF67" s="129"/>
      <c r="POG67" s="127"/>
      <c r="POH67" s="129"/>
      <c r="POI67" s="130"/>
      <c r="POJ67" s="131"/>
      <c r="POK67"/>
      <c r="POL67" s="132"/>
      <c r="POM67"/>
      <c r="PON67" s="125"/>
      <c r="POO67" s="133"/>
      <c r="POP67"/>
      <c r="POQ67" s="126"/>
      <c r="POR67" s="127"/>
      <c r="POS67" s="128"/>
      <c r="POT67" s="128"/>
      <c r="POU67" s="127"/>
      <c r="POV67" s="129"/>
      <c r="POW67" s="127"/>
      <c r="POX67" s="129"/>
      <c r="POY67" s="130"/>
      <c r="POZ67" s="131"/>
      <c r="PPA67"/>
      <c r="PPB67" s="132"/>
      <c r="PPC67"/>
      <c r="PPD67" s="125"/>
      <c r="PPE67" s="133"/>
      <c r="PPF67"/>
      <c r="PPG67" s="126"/>
      <c r="PPH67" s="127"/>
      <c r="PPI67" s="128"/>
      <c r="PPJ67" s="128"/>
      <c r="PPK67" s="127"/>
      <c r="PPL67" s="129"/>
      <c r="PPM67" s="127"/>
      <c r="PPN67" s="129"/>
      <c r="PPO67" s="130"/>
      <c r="PPP67" s="131"/>
      <c r="PPQ67"/>
      <c r="PPR67" s="132"/>
      <c r="PPS67"/>
      <c r="PPT67" s="125"/>
      <c r="PPU67" s="133"/>
      <c r="PPV67"/>
      <c r="PPW67" s="126"/>
      <c r="PPX67" s="127"/>
      <c r="PPY67" s="128"/>
      <c r="PPZ67" s="128"/>
      <c r="PQA67" s="127"/>
      <c r="PQB67" s="129"/>
      <c r="PQC67" s="127"/>
      <c r="PQD67" s="129"/>
      <c r="PQE67" s="130"/>
      <c r="PQF67" s="131"/>
      <c r="PQG67"/>
      <c r="PQH67" s="132"/>
      <c r="PQI67"/>
      <c r="PQJ67" s="125"/>
      <c r="PQK67" s="133"/>
      <c r="PQL67"/>
      <c r="PQM67" s="126"/>
      <c r="PQN67" s="127"/>
      <c r="PQO67" s="128"/>
      <c r="PQP67" s="128"/>
      <c r="PQQ67" s="127"/>
      <c r="PQR67" s="129"/>
      <c r="PQS67" s="127"/>
      <c r="PQT67" s="129"/>
      <c r="PQU67" s="130"/>
      <c r="PQV67" s="131"/>
      <c r="PQW67"/>
      <c r="PQX67" s="132"/>
      <c r="PQY67"/>
      <c r="PQZ67" s="125"/>
      <c r="PRA67" s="133"/>
      <c r="PRB67"/>
      <c r="PRC67" s="126"/>
      <c r="PRD67" s="127"/>
      <c r="PRE67" s="128"/>
      <c r="PRF67" s="128"/>
      <c r="PRG67" s="127"/>
      <c r="PRH67" s="129"/>
      <c r="PRI67" s="127"/>
      <c r="PRJ67" s="129"/>
      <c r="PRK67" s="130"/>
      <c r="PRL67" s="131"/>
      <c r="PRM67"/>
      <c r="PRN67" s="132"/>
      <c r="PRO67"/>
      <c r="PRP67" s="125"/>
      <c r="PRQ67" s="133"/>
      <c r="PRR67"/>
      <c r="PRS67" s="126"/>
      <c r="PRT67" s="127"/>
      <c r="PRU67" s="128"/>
      <c r="PRV67" s="128"/>
      <c r="PRW67" s="127"/>
      <c r="PRX67" s="129"/>
      <c r="PRY67" s="127"/>
      <c r="PRZ67" s="129"/>
      <c r="PSA67" s="130"/>
      <c r="PSB67" s="131"/>
      <c r="PSC67"/>
      <c r="PSD67" s="132"/>
      <c r="PSE67"/>
      <c r="PSF67" s="125"/>
      <c r="PSG67" s="133"/>
      <c r="PSH67"/>
      <c r="PSI67" s="126"/>
      <c r="PSJ67" s="127"/>
      <c r="PSK67" s="128"/>
      <c r="PSL67" s="128"/>
      <c r="PSM67" s="127"/>
      <c r="PSN67" s="129"/>
      <c r="PSO67" s="127"/>
      <c r="PSP67" s="129"/>
      <c r="PSQ67" s="130"/>
      <c r="PSR67" s="131"/>
      <c r="PSS67"/>
      <c r="PST67" s="132"/>
      <c r="PSU67"/>
      <c r="PSV67" s="125"/>
      <c r="PSW67" s="133"/>
      <c r="PSX67"/>
      <c r="PSY67" s="126"/>
      <c r="PSZ67" s="127"/>
      <c r="PTA67" s="128"/>
      <c r="PTB67" s="128"/>
      <c r="PTC67" s="127"/>
      <c r="PTD67" s="129"/>
      <c r="PTE67" s="127"/>
      <c r="PTF67" s="129"/>
      <c r="PTG67" s="130"/>
      <c r="PTH67" s="131"/>
      <c r="PTI67"/>
      <c r="PTJ67" s="132"/>
      <c r="PTK67"/>
      <c r="PTL67" s="125"/>
      <c r="PTM67" s="133"/>
      <c r="PTN67"/>
      <c r="PTO67" s="126"/>
      <c r="PTP67" s="127"/>
      <c r="PTQ67" s="128"/>
      <c r="PTR67" s="128"/>
      <c r="PTS67" s="127"/>
      <c r="PTT67" s="129"/>
      <c r="PTU67" s="127"/>
      <c r="PTV67" s="129"/>
      <c r="PTW67" s="130"/>
      <c r="PTX67" s="131"/>
      <c r="PTY67"/>
      <c r="PTZ67" s="132"/>
      <c r="PUA67"/>
      <c r="PUB67" s="125"/>
      <c r="PUC67" s="133"/>
      <c r="PUD67"/>
      <c r="PUE67" s="126"/>
      <c r="PUF67" s="127"/>
      <c r="PUG67" s="128"/>
      <c r="PUH67" s="128"/>
      <c r="PUI67" s="127"/>
      <c r="PUJ67" s="129"/>
      <c r="PUK67" s="127"/>
      <c r="PUL67" s="129"/>
      <c r="PUM67" s="130"/>
      <c r="PUN67" s="131"/>
      <c r="PUO67"/>
      <c r="PUP67" s="132"/>
      <c r="PUQ67"/>
      <c r="PUR67" s="125"/>
      <c r="PUS67" s="133"/>
      <c r="PUT67"/>
      <c r="PUU67" s="126"/>
      <c r="PUV67" s="127"/>
      <c r="PUW67" s="128"/>
      <c r="PUX67" s="128"/>
      <c r="PUY67" s="127"/>
      <c r="PUZ67" s="129"/>
      <c r="PVA67" s="127"/>
      <c r="PVB67" s="129"/>
      <c r="PVC67" s="130"/>
      <c r="PVD67" s="131"/>
      <c r="PVE67"/>
      <c r="PVF67" s="132"/>
      <c r="PVG67"/>
      <c r="PVH67" s="125"/>
      <c r="PVI67" s="133"/>
      <c r="PVJ67"/>
      <c r="PVK67" s="126"/>
      <c r="PVL67" s="127"/>
      <c r="PVM67" s="128"/>
      <c r="PVN67" s="128"/>
      <c r="PVO67" s="127"/>
      <c r="PVP67" s="129"/>
      <c r="PVQ67" s="127"/>
      <c r="PVR67" s="129"/>
      <c r="PVS67" s="130"/>
      <c r="PVT67" s="131"/>
      <c r="PVU67"/>
      <c r="PVV67" s="132"/>
      <c r="PVW67"/>
      <c r="PVX67" s="125"/>
      <c r="PVY67" s="133"/>
      <c r="PVZ67"/>
      <c r="PWA67" s="126"/>
      <c r="PWB67" s="127"/>
      <c r="PWC67" s="128"/>
      <c r="PWD67" s="128"/>
      <c r="PWE67" s="127"/>
      <c r="PWF67" s="129"/>
      <c r="PWG67" s="127"/>
      <c r="PWH67" s="129"/>
      <c r="PWI67" s="130"/>
      <c r="PWJ67" s="131"/>
      <c r="PWK67"/>
      <c r="PWL67" s="132"/>
      <c r="PWM67"/>
      <c r="PWN67" s="125"/>
      <c r="PWO67" s="133"/>
      <c r="PWP67"/>
      <c r="PWQ67" s="126"/>
      <c r="PWR67" s="127"/>
      <c r="PWS67" s="128"/>
      <c r="PWT67" s="128"/>
      <c r="PWU67" s="127"/>
      <c r="PWV67" s="129"/>
      <c r="PWW67" s="127"/>
      <c r="PWX67" s="129"/>
      <c r="PWY67" s="130"/>
      <c r="PWZ67" s="131"/>
      <c r="PXA67"/>
      <c r="PXB67" s="132"/>
      <c r="PXC67"/>
      <c r="PXD67" s="125"/>
      <c r="PXE67" s="133"/>
      <c r="PXF67"/>
      <c r="PXG67" s="126"/>
      <c r="PXH67" s="127"/>
      <c r="PXI67" s="128"/>
      <c r="PXJ67" s="128"/>
      <c r="PXK67" s="127"/>
      <c r="PXL67" s="129"/>
      <c r="PXM67" s="127"/>
      <c r="PXN67" s="129"/>
      <c r="PXO67" s="130"/>
      <c r="PXP67" s="131"/>
      <c r="PXQ67"/>
      <c r="PXR67" s="132"/>
      <c r="PXS67"/>
      <c r="PXT67" s="125"/>
      <c r="PXU67" s="133"/>
      <c r="PXV67"/>
      <c r="PXW67" s="126"/>
      <c r="PXX67" s="127"/>
      <c r="PXY67" s="128"/>
      <c r="PXZ67" s="128"/>
      <c r="PYA67" s="127"/>
      <c r="PYB67" s="129"/>
      <c r="PYC67" s="127"/>
      <c r="PYD67" s="129"/>
      <c r="PYE67" s="130"/>
      <c r="PYF67" s="131"/>
      <c r="PYG67"/>
      <c r="PYH67" s="132"/>
      <c r="PYI67"/>
      <c r="PYJ67" s="125"/>
      <c r="PYK67" s="133"/>
      <c r="PYL67"/>
      <c r="PYM67" s="126"/>
      <c r="PYN67" s="127"/>
      <c r="PYO67" s="128"/>
      <c r="PYP67" s="128"/>
      <c r="PYQ67" s="127"/>
      <c r="PYR67" s="129"/>
      <c r="PYS67" s="127"/>
      <c r="PYT67" s="129"/>
      <c r="PYU67" s="130"/>
      <c r="PYV67" s="131"/>
      <c r="PYW67"/>
      <c r="PYX67" s="132"/>
      <c r="PYY67"/>
      <c r="PYZ67" s="125"/>
      <c r="PZA67" s="133"/>
      <c r="PZB67"/>
      <c r="PZC67" s="126"/>
      <c r="PZD67" s="127"/>
      <c r="PZE67" s="128"/>
      <c r="PZF67" s="128"/>
      <c r="PZG67" s="127"/>
      <c r="PZH67" s="129"/>
      <c r="PZI67" s="127"/>
      <c r="PZJ67" s="129"/>
      <c r="PZK67" s="130"/>
      <c r="PZL67" s="131"/>
      <c r="PZM67"/>
      <c r="PZN67" s="132"/>
      <c r="PZO67"/>
      <c r="PZP67" s="125"/>
      <c r="PZQ67" s="133"/>
      <c r="PZR67"/>
      <c r="PZS67" s="126"/>
      <c r="PZT67" s="127"/>
      <c r="PZU67" s="128"/>
      <c r="PZV67" s="128"/>
      <c r="PZW67" s="127"/>
      <c r="PZX67" s="129"/>
      <c r="PZY67" s="127"/>
      <c r="PZZ67" s="129"/>
      <c r="QAA67" s="130"/>
      <c r="QAB67" s="131"/>
      <c r="QAC67"/>
      <c r="QAD67" s="132"/>
      <c r="QAE67"/>
      <c r="QAF67" s="125"/>
      <c r="QAG67" s="133"/>
      <c r="QAH67"/>
      <c r="QAI67" s="126"/>
      <c r="QAJ67" s="127"/>
      <c r="QAK67" s="128"/>
      <c r="QAL67" s="128"/>
      <c r="QAM67" s="127"/>
      <c r="QAN67" s="129"/>
      <c r="QAO67" s="127"/>
      <c r="QAP67" s="129"/>
      <c r="QAQ67" s="130"/>
      <c r="QAR67" s="131"/>
      <c r="QAS67"/>
      <c r="QAT67" s="132"/>
      <c r="QAU67"/>
      <c r="QAV67" s="125"/>
      <c r="QAW67" s="133"/>
      <c r="QAX67"/>
      <c r="QAY67" s="126"/>
      <c r="QAZ67" s="127"/>
      <c r="QBA67" s="128"/>
      <c r="QBB67" s="128"/>
      <c r="QBC67" s="127"/>
      <c r="QBD67" s="129"/>
      <c r="QBE67" s="127"/>
      <c r="QBF67" s="129"/>
      <c r="QBG67" s="130"/>
      <c r="QBH67" s="131"/>
      <c r="QBI67"/>
      <c r="QBJ67" s="132"/>
      <c r="QBK67"/>
      <c r="QBL67" s="125"/>
      <c r="QBM67" s="133"/>
      <c r="QBN67"/>
      <c r="QBO67" s="126"/>
      <c r="QBP67" s="127"/>
      <c r="QBQ67" s="128"/>
      <c r="QBR67" s="128"/>
      <c r="QBS67" s="127"/>
      <c r="QBT67" s="129"/>
      <c r="QBU67" s="127"/>
      <c r="QBV67" s="129"/>
      <c r="QBW67" s="130"/>
      <c r="QBX67" s="131"/>
      <c r="QBY67"/>
      <c r="QBZ67" s="132"/>
      <c r="QCA67"/>
      <c r="QCB67" s="125"/>
      <c r="QCC67" s="133"/>
      <c r="QCD67"/>
      <c r="QCE67" s="126"/>
      <c r="QCF67" s="127"/>
      <c r="QCG67" s="128"/>
      <c r="QCH67" s="128"/>
      <c r="QCI67" s="127"/>
      <c r="QCJ67" s="129"/>
      <c r="QCK67" s="127"/>
      <c r="QCL67" s="129"/>
      <c r="QCM67" s="130"/>
      <c r="QCN67" s="131"/>
      <c r="QCO67"/>
      <c r="QCP67" s="132"/>
      <c r="QCQ67"/>
      <c r="QCR67" s="125"/>
      <c r="QCS67" s="133"/>
      <c r="QCT67"/>
      <c r="QCU67" s="126"/>
      <c r="QCV67" s="127"/>
      <c r="QCW67" s="128"/>
      <c r="QCX67" s="128"/>
      <c r="QCY67" s="127"/>
      <c r="QCZ67" s="129"/>
      <c r="QDA67" s="127"/>
      <c r="QDB67" s="129"/>
      <c r="QDC67" s="130"/>
      <c r="QDD67" s="131"/>
      <c r="QDE67"/>
      <c r="QDF67" s="132"/>
      <c r="QDG67"/>
      <c r="QDH67" s="125"/>
      <c r="QDI67" s="133"/>
      <c r="QDJ67"/>
      <c r="QDK67" s="126"/>
      <c r="QDL67" s="127"/>
      <c r="QDM67" s="128"/>
      <c r="QDN67" s="128"/>
      <c r="QDO67" s="127"/>
      <c r="QDP67" s="129"/>
      <c r="QDQ67" s="127"/>
      <c r="QDR67" s="129"/>
      <c r="QDS67" s="130"/>
      <c r="QDT67" s="131"/>
      <c r="QDU67"/>
      <c r="QDV67" s="132"/>
      <c r="QDW67"/>
      <c r="QDX67" s="125"/>
      <c r="QDY67" s="133"/>
      <c r="QDZ67"/>
      <c r="QEA67" s="126"/>
      <c r="QEB67" s="127"/>
      <c r="QEC67" s="128"/>
      <c r="QED67" s="128"/>
      <c r="QEE67" s="127"/>
      <c r="QEF67" s="129"/>
      <c r="QEG67" s="127"/>
      <c r="QEH67" s="129"/>
      <c r="QEI67" s="130"/>
      <c r="QEJ67" s="131"/>
      <c r="QEK67"/>
      <c r="QEL67" s="132"/>
      <c r="QEM67"/>
      <c r="QEN67" s="125"/>
      <c r="QEO67" s="133"/>
      <c r="QEP67"/>
      <c r="QEQ67" s="126"/>
      <c r="QER67" s="127"/>
      <c r="QES67" s="128"/>
      <c r="QET67" s="128"/>
      <c r="QEU67" s="127"/>
      <c r="QEV67" s="129"/>
      <c r="QEW67" s="127"/>
      <c r="QEX67" s="129"/>
      <c r="QEY67" s="130"/>
      <c r="QEZ67" s="131"/>
      <c r="QFA67"/>
      <c r="QFB67" s="132"/>
      <c r="QFC67"/>
      <c r="QFD67" s="125"/>
      <c r="QFE67" s="133"/>
      <c r="QFF67"/>
      <c r="QFG67" s="126"/>
      <c r="QFH67" s="127"/>
      <c r="QFI67" s="128"/>
      <c r="QFJ67" s="128"/>
      <c r="QFK67" s="127"/>
      <c r="QFL67" s="129"/>
      <c r="QFM67" s="127"/>
      <c r="QFN67" s="129"/>
      <c r="QFO67" s="130"/>
      <c r="QFP67" s="131"/>
      <c r="QFQ67"/>
      <c r="QFR67" s="132"/>
      <c r="QFS67"/>
      <c r="QFT67" s="125"/>
      <c r="QFU67" s="133"/>
      <c r="QFV67"/>
      <c r="QFW67" s="126"/>
      <c r="QFX67" s="127"/>
      <c r="QFY67" s="128"/>
      <c r="QFZ67" s="128"/>
      <c r="QGA67" s="127"/>
      <c r="QGB67" s="129"/>
      <c r="QGC67" s="127"/>
      <c r="QGD67" s="129"/>
      <c r="QGE67" s="130"/>
      <c r="QGF67" s="131"/>
      <c r="QGG67"/>
      <c r="QGH67" s="132"/>
      <c r="QGI67"/>
      <c r="QGJ67" s="125"/>
      <c r="QGK67" s="133"/>
      <c r="QGL67"/>
      <c r="QGM67" s="126"/>
      <c r="QGN67" s="127"/>
      <c r="QGO67" s="128"/>
      <c r="QGP67" s="128"/>
      <c r="QGQ67" s="127"/>
      <c r="QGR67" s="129"/>
      <c r="QGS67" s="127"/>
      <c r="QGT67" s="129"/>
      <c r="QGU67" s="130"/>
      <c r="QGV67" s="131"/>
      <c r="QGW67"/>
      <c r="QGX67" s="132"/>
      <c r="QGY67"/>
      <c r="QGZ67" s="125"/>
      <c r="QHA67" s="133"/>
      <c r="QHB67"/>
      <c r="QHC67" s="126"/>
      <c r="QHD67" s="127"/>
      <c r="QHE67" s="128"/>
      <c r="QHF67" s="128"/>
      <c r="QHG67" s="127"/>
      <c r="QHH67" s="129"/>
      <c r="QHI67" s="127"/>
      <c r="QHJ67" s="129"/>
      <c r="QHK67" s="130"/>
      <c r="QHL67" s="131"/>
      <c r="QHM67"/>
      <c r="QHN67" s="132"/>
      <c r="QHO67"/>
      <c r="QHP67" s="125"/>
      <c r="QHQ67" s="133"/>
      <c r="QHR67"/>
      <c r="QHS67" s="126"/>
      <c r="QHT67" s="127"/>
      <c r="QHU67" s="128"/>
      <c r="QHV67" s="128"/>
      <c r="QHW67" s="127"/>
      <c r="QHX67" s="129"/>
      <c r="QHY67" s="127"/>
      <c r="QHZ67" s="129"/>
      <c r="QIA67" s="130"/>
      <c r="QIB67" s="131"/>
      <c r="QIC67"/>
      <c r="QID67" s="132"/>
      <c r="QIE67"/>
      <c r="QIF67" s="125"/>
      <c r="QIG67" s="133"/>
      <c r="QIH67"/>
      <c r="QII67" s="126"/>
      <c r="QIJ67" s="127"/>
      <c r="QIK67" s="128"/>
      <c r="QIL67" s="128"/>
      <c r="QIM67" s="127"/>
      <c r="QIN67" s="129"/>
      <c r="QIO67" s="127"/>
      <c r="QIP67" s="129"/>
      <c r="QIQ67" s="130"/>
      <c r="QIR67" s="131"/>
      <c r="QIS67"/>
      <c r="QIT67" s="132"/>
      <c r="QIU67"/>
      <c r="QIV67" s="125"/>
      <c r="QIW67" s="133"/>
      <c r="QIX67"/>
      <c r="QIY67" s="126"/>
      <c r="QIZ67" s="127"/>
      <c r="QJA67" s="128"/>
      <c r="QJB67" s="128"/>
      <c r="QJC67" s="127"/>
      <c r="QJD67" s="129"/>
      <c r="QJE67" s="127"/>
      <c r="QJF67" s="129"/>
      <c r="QJG67" s="130"/>
      <c r="QJH67" s="131"/>
      <c r="QJI67"/>
      <c r="QJJ67" s="132"/>
      <c r="QJK67"/>
      <c r="QJL67" s="125"/>
      <c r="QJM67" s="133"/>
      <c r="QJN67"/>
      <c r="QJO67" s="126"/>
      <c r="QJP67" s="127"/>
      <c r="QJQ67" s="128"/>
      <c r="QJR67" s="128"/>
      <c r="QJS67" s="127"/>
      <c r="QJT67" s="129"/>
      <c r="QJU67" s="127"/>
      <c r="QJV67" s="129"/>
      <c r="QJW67" s="130"/>
      <c r="QJX67" s="131"/>
      <c r="QJY67"/>
      <c r="QJZ67" s="132"/>
      <c r="QKA67"/>
      <c r="QKB67" s="125"/>
      <c r="QKC67" s="133"/>
      <c r="QKD67"/>
      <c r="QKE67" s="126"/>
      <c r="QKF67" s="127"/>
      <c r="QKG67" s="128"/>
      <c r="QKH67" s="128"/>
      <c r="QKI67" s="127"/>
      <c r="QKJ67" s="129"/>
      <c r="QKK67" s="127"/>
      <c r="QKL67" s="129"/>
      <c r="QKM67" s="130"/>
      <c r="QKN67" s="131"/>
      <c r="QKO67"/>
      <c r="QKP67" s="132"/>
      <c r="QKQ67"/>
      <c r="QKR67" s="125"/>
      <c r="QKS67" s="133"/>
      <c r="QKT67"/>
      <c r="QKU67" s="126"/>
      <c r="QKV67" s="127"/>
      <c r="QKW67" s="128"/>
      <c r="QKX67" s="128"/>
      <c r="QKY67" s="127"/>
      <c r="QKZ67" s="129"/>
      <c r="QLA67" s="127"/>
      <c r="QLB67" s="129"/>
      <c r="QLC67" s="130"/>
      <c r="QLD67" s="131"/>
      <c r="QLE67"/>
      <c r="QLF67" s="132"/>
      <c r="QLG67"/>
      <c r="QLH67" s="125"/>
      <c r="QLI67" s="133"/>
      <c r="QLJ67"/>
      <c r="QLK67" s="126"/>
      <c r="QLL67" s="127"/>
      <c r="QLM67" s="128"/>
      <c r="QLN67" s="128"/>
      <c r="QLO67" s="127"/>
      <c r="QLP67" s="129"/>
      <c r="QLQ67" s="127"/>
      <c r="QLR67" s="129"/>
      <c r="QLS67" s="130"/>
      <c r="QLT67" s="131"/>
      <c r="QLU67"/>
      <c r="QLV67" s="132"/>
      <c r="QLW67"/>
      <c r="QLX67" s="125"/>
      <c r="QLY67" s="133"/>
      <c r="QLZ67"/>
      <c r="QMA67" s="126"/>
      <c r="QMB67" s="127"/>
      <c r="QMC67" s="128"/>
      <c r="QMD67" s="128"/>
      <c r="QME67" s="127"/>
      <c r="QMF67" s="129"/>
      <c r="QMG67" s="127"/>
      <c r="QMH67" s="129"/>
      <c r="QMI67" s="130"/>
      <c r="QMJ67" s="131"/>
      <c r="QMK67"/>
      <c r="QML67" s="132"/>
      <c r="QMM67"/>
      <c r="QMN67" s="125"/>
      <c r="QMO67" s="133"/>
      <c r="QMP67"/>
      <c r="QMQ67" s="126"/>
      <c r="QMR67" s="127"/>
      <c r="QMS67" s="128"/>
      <c r="QMT67" s="128"/>
      <c r="QMU67" s="127"/>
      <c r="QMV67" s="129"/>
      <c r="QMW67" s="127"/>
      <c r="QMX67" s="129"/>
      <c r="QMY67" s="130"/>
      <c r="QMZ67" s="131"/>
      <c r="QNA67"/>
      <c r="QNB67" s="132"/>
      <c r="QNC67"/>
      <c r="QND67" s="125"/>
      <c r="QNE67" s="133"/>
      <c r="QNF67"/>
      <c r="QNG67" s="126"/>
      <c r="QNH67" s="127"/>
      <c r="QNI67" s="128"/>
      <c r="QNJ67" s="128"/>
      <c r="QNK67" s="127"/>
      <c r="QNL67" s="129"/>
      <c r="QNM67" s="127"/>
      <c r="QNN67" s="129"/>
      <c r="QNO67" s="130"/>
      <c r="QNP67" s="131"/>
      <c r="QNQ67"/>
      <c r="QNR67" s="132"/>
      <c r="QNS67"/>
      <c r="QNT67" s="125"/>
      <c r="QNU67" s="133"/>
      <c r="QNV67"/>
      <c r="QNW67" s="126"/>
      <c r="QNX67" s="127"/>
      <c r="QNY67" s="128"/>
      <c r="QNZ67" s="128"/>
      <c r="QOA67" s="127"/>
      <c r="QOB67" s="129"/>
      <c r="QOC67" s="127"/>
      <c r="QOD67" s="129"/>
      <c r="QOE67" s="130"/>
      <c r="QOF67" s="131"/>
      <c r="QOG67"/>
      <c r="QOH67" s="132"/>
      <c r="QOI67"/>
      <c r="QOJ67" s="125"/>
      <c r="QOK67" s="133"/>
      <c r="QOL67"/>
      <c r="QOM67" s="126"/>
      <c r="QON67" s="127"/>
      <c r="QOO67" s="128"/>
      <c r="QOP67" s="128"/>
      <c r="QOQ67" s="127"/>
      <c r="QOR67" s="129"/>
      <c r="QOS67" s="127"/>
      <c r="QOT67" s="129"/>
      <c r="QOU67" s="130"/>
      <c r="QOV67" s="131"/>
      <c r="QOW67"/>
      <c r="QOX67" s="132"/>
      <c r="QOY67"/>
      <c r="QOZ67" s="125"/>
      <c r="QPA67" s="133"/>
      <c r="QPB67"/>
      <c r="QPC67" s="126"/>
      <c r="QPD67" s="127"/>
      <c r="QPE67" s="128"/>
      <c r="QPF67" s="128"/>
      <c r="QPG67" s="127"/>
      <c r="QPH67" s="129"/>
      <c r="QPI67" s="127"/>
      <c r="QPJ67" s="129"/>
      <c r="QPK67" s="130"/>
      <c r="QPL67" s="131"/>
      <c r="QPM67"/>
      <c r="QPN67" s="132"/>
      <c r="QPO67"/>
      <c r="QPP67" s="125"/>
      <c r="QPQ67" s="133"/>
      <c r="QPR67"/>
      <c r="QPS67" s="126"/>
      <c r="QPT67" s="127"/>
      <c r="QPU67" s="128"/>
      <c r="QPV67" s="128"/>
      <c r="QPW67" s="127"/>
      <c r="QPX67" s="129"/>
      <c r="QPY67" s="127"/>
      <c r="QPZ67" s="129"/>
      <c r="QQA67" s="130"/>
      <c r="QQB67" s="131"/>
      <c r="QQC67"/>
      <c r="QQD67" s="132"/>
      <c r="QQE67"/>
      <c r="QQF67" s="125"/>
      <c r="QQG67" s="133"/>
      <c r="QQH67"/>
      <c r="QQI67" s="126"/>
      <c r="QQJ67" s="127"/>
      <c r="QQK67" s="128"/>
      <c r="QQL67" s="128"/>
      <c r="QQM67" s="127"/>
      <c r="QQN67" s="129"/>
      <c r="QQO67" s="127"/>
      <c r="QQP67" s="129"/>
      <c r="QQQ67" s="130"/>
      <c r="QQR67" s="131"/>
      <c r="QQS67"/>
      <c r="QQT67" s="132"/>
      <c r="QQU67"/>
      <c r="QQV67" s="125"/>
      <c r="QQW67" s="133"/>
      <c r="QQX67"/>
      <c r="QQY67" s="126"/>
      <c r="QQZ67" s="127"/>
      <c r="QRA67" s="128"/>
      <c r="QRB67" s="128"/>
      <c r="QRC67" s="127"/>
      <c r="QRD67" s="129"/>
      <c r="QRE67" s="127"/>
      <c r="QRF67" s="129"/>
      <c r="QRG67" s="130"/>
      <c r="QRH67" s="131"/>
      <c r="QRI67"/>
      <c r="QRJ67" s="132"/>
      <c r="QRK67"/>
      <c r="QRL67" s="125"/>
      <c r="QRM67" s="133"/>
      <c r="QRN67"/>
      <c r="QRO67" s="126"/>
      <c r="QRP67" s="127"/>
      <c r="QRQ67" s="128"/>
      <c r="QRR67" s="128"/>
      <c r="QRS67" s="127"/>
      <c r="QRT67" s="129"/>
      <c r="QRU67" s="127"/>
      <c r="QRV67" s="129"/>
      <c r="QRW67" s="130"/>
      <c r="QRX67" s="131"/>
      <c r="QRY67"/>
      <c r="QRZ67" s="132"/>
      <c r="QSA67"/>
      <c r="QSB67" s="125"/>
      <c r="QSC67" s="133"/>
      <c r="QSD67"/>
      <c r="QSE67" s="126"/>
      <c r="QSF67" s="127"/>
      <c r="QSG67" s="128"/>
      <c r="QSH67" s="128"/>
      <c r="QSI67" s="127"/>
      <c r="QSJ67" s="129"/>
      <c r="QSK67" s="127"/>
      <c r="QSL67" s="129"/>
      <c r="QSM67" s="130"/>
      <c r="QSN67" s="131"/>
      <c r="QSO67"/>
      <c r="QSP67" s="132"/>
      <c r="QSQ67"/>
      <c r="QSR67" s="125"/>
      <c r="QSS67" s="133"/>
      <c r="QST67"/>
      <c r="QSU67" s="126"/>
      <c r="QSV67" s="127"/>
      <c r="QSW67" s="128"/>
      <c r="QSX67" s="128"/>
      <c r="QSY67" s="127"/>
      <c r="QSZ67" s="129"/>
      <c r="QTA67" s="127"/>
      <c r="QTB67" s="129"/>
      <c r="QTC67" s="130"/>
      <c r="QTD67" s="131"/>
      <c r="QTE67"/>
      <c r="QTF67" s="132"/>
      <c r="QTG67"/>
      <c r="QTH67" s="125"/>
      <c r="QTI67" s="133"/>
      <c r="QTJ67"/>
      <c r="QTK67" s="126"/>
      <c r="QTL67" s="127"/>
      <c r="QTM67" s="128"/>
      <c r="QTN67" s="128"/>
      <c r="QTO67" s="127"/>
      <c r="QTP67" s="129"/>
      <c r="QTQ67" s="127"/>
      <c r="QTR67" s="129"/>
      <c r="QTS67" s="130"/>
      <c r="QTT67" s="131"/>
      <c r="QTU67"/>
      <c r="QTV67" s="132"/>
      <c r="QTW67"/>
      <c r="QTX67" s="125"/>
      <c r="QTY67" s="133"/>
      <c r="QTZ67"/>
      <c r="QUA67" s="126"/>
      <c r="QUB67" s="127"/>
      <c r="QUC67" s="128"/>
      <c r="QUD67" s="128"/>
      <c r="QUE67" s="127"/>
      <c r="QUF67" s="129"/>
      <c r="QUG67" s="127"/>
      <c r="QUH67" s="129"/>
      <c r="QUI67" s="130"/>
      <c r="QUJ67" s="131"/>
      <c r="QUK67"/>
      <c r="QUL67" s="132"/>
      <c r="QUM67"/>
      <c r="QUN67" s="125"/>
      <c r="QUO67" s="133"/>
      <c r="QUP67"/>
      <c r="QUQ67" s="126"/>
      <c r="QUR67" s="127"/>
      <c r="QUS67" s="128"/>
      <c r="QUT67" s="128"/>
      <c r="QUU67" s="127"/>
      <c r="QUV67" s="129"/>
      <c r="QUW67" s="127"/>
      <c r="QUX67" s="129"/>
      <c r="QUY67" s="130"/>
      <c r="QUZ67" s="131"/>
      <c r="QVA67"/>
      <c r="QVB67" s="132"/>
      <c r="QVC67"/>
      <c r="QVD67" s="125"/>
      <c r="QVE67" s="133"/>
      <c r="QVF67"/>
      <c r="QVG67" s="126"/>
      <c r="QVH67" s="127"/>
      <c r="QVI67" s="128"/>
      <c r="QVJ67" s="128"/>
      <c r="QVK67" s="127"/>
      <c r="QVL67" s="129"/>
      <c r="QVM67" s="127"/>
      <c r="QVN67" s="129"/>
      <c r="QVO67" s="130"/>
      <c r="QVP67" s="131"/>
      <c r="QVQ67"/>
      <c r="QVR67" s="132"/>
      <c r="QVS67"/>
      <c r="QVT67" s="125"/>
      <c r="QVU67" s="133"/>
      <c r="QVV67"/>
      <c r="QVW67" s="126"/>
      <c r="QVX67" s="127"/>
      <c r="QVY67" s="128"/>
      <c r="QVZ67" s="128"/>
      <c r="QWA67" s="127"/>
      <c r="QWB67" s="129"/>
      <c r="QWC67" s="127"/>
      <c r="QWD67" s="129"/>
      <c r="QWE67" s="130"/>
      <c r="QWF67" s="131"/>
      <c r="QWG67"/>
      <c r="QWH67" s="132"/>
      <c r="QWI67"/>
      <c r="QWJ67" s="125"/>
      <c r="QWK67" s="133"/>
      <c r="QWL67"/>
      <c r="QWM67" s="126"/>
      <c r="QWN67" s="127"/>
      <c r="QWO67" s="128"/>
      <c r="QWP67" s="128"/>
      <c r="QWQ67" s="127"/>
      <c r="QWR67" s="129"/>
      <c r="QWS67" s="127"/>
      <c r="QWT67" s="129"/>
      <c r="QWU67" s="130"/>
      <c r="QWV67" s="131"/>
      <c r="QWW67"/>
      <c r="QWX67" s="132"/>
      <c r="QWY67"/>
      <c r="QWZ67" s="125"/>
      <c r="QXA67" s="133"/>
      <c r="QXB67"/>
      <c r="QXC67" s="126"/>
      <c r="QXD67" s="127"/>
      <c r="QXE67" s="128"/>
      <c r="QXF67" s="128"/>
      <c r="QXG67" s="127"/>
      <c r="QXH67" s="129"/>
      <c r="QXI67" s="127"/>
      <c r="QXJ67" s="129"/>
      <c r="QXK67" s="130"/>
      <c r="QXL67" s="131"/>
      <c r="QXM67"/>
      <c r="QXN67" s="132"/>
      <c r="QXO67"/>
      <c r="QXP67" s="125"/>
      <c r="QXQ67" s="133"/>
      <c r="QXR67"/>
      <c r="QXS67" s="126"/>
      <c r="QXT67" s="127"/>
      <c r="QXU67" s="128"/>
      <c r="QXV67" s="128"/>
      <c r="QXW67" s="127"/>
      <c r="QXX67" s="129"/>
      <c r="QXY67" s="127"/>
      <c r="QXZ67" s="129"/>
      <c r="QYA67" s="130"/>
      <c r="QYB67" s="131"/>
      <c r="QYC67"/>
      <c r="QYD67" s="132"/>
      <c r="QYE67"/>
      <c r="QYF67" s="125"/>
      <c r="QYG67" s="133"/>
      <c r="QYH67"/>
      <c r="QYI67" s="126"/>
      <c r="QYJ67" s="127"/>
      <c r="QYK67" s="128"/>
      <c r="QYL67" s="128"/>
      <c r="QYM67" s="127"/>
      <c r="QYN67" s="129"/>
      <c r="QYO67" s="127"/>
      <c r="QYP67" s="129"/>
      <c r="QYQ67" s="130"/>
      <c r="QYR67" s="131"/>
      <c r="QYS67"/>
      <c r="QYT67" s="132"/>
      <c r="QYU67"/>
      <c r="QYV67" s="125"/>
      <c r="QYW67" s="133"/>
      <c r="QYX67"/>
      <c r="QYY67" s="126"/>
      <c r="QYZ67" s="127"/>
      <c r="QZA67" s="128"/>
      <c r="QZB67" s="128"/>
      <c r="QZC67" s="127"/>
      <c r="QZD67" s="129"/>
      <c r="QZE67" s="127"/>
      <c r="QZF67" s="129"/>
      <c r="QZG67" s="130"/>
      <c r="QZH67" s="131"/>
      <c r="QZI67"/>
      <c r="QZJ67" s="132"/>
      <c r="QZK67"/>
      <c r="QZL67" s="125"/>
      <c r="QZM67" s="133"/>
      <c r="QZN67"/>
      <c r="QZO67" s="126"/>
      <c r="QZP67" s="127"/>
      <c r="QZQ67" s="128"/>
      <c r="QZR67" s="128"/>
      <c r="QZS67" s="127"/>
      <c r="QZT67" s="129"/>
      <c r="QZU67" s="127"/>
      <c r="QZV67" s="129"/>
      <c r="QZW67" s="130"/>
      <c r="QZX67" s="131"/>
      <c r="QZY67"/>
      <c r="QZZ67" s="132"/>
      <c r="RAA67"/>
      <c r="RAB67" s="125"/>
      <c r="RAC67" s="133"/>
      <c r="RAD67"/>
      <c r="RWW67" s="133"/>
      <c r="RWX67"/>
      <c r="RWY67" s="126"/>
      <c r="RWZ67" s="127"/>
      <c r="RXA67" s="128"/>
      <c r="RXB67" s="128"/>
      <c r="RXC67" s="127"/>
      <c r="RXD67" s="129"/>
      <c r="RXE67" s="127"/>
      <c r="RXF67" s="129"/>
      <c r="RXG67" s="130"/>
      <c r="RXH67" s="131"/>
      <c r="RXI67"/>
      <c r="RXJ67" s="132"/>
      <c r="RXK67"/>
      <c r="RXL67" s="125"/>
      <c r="RXM67" s="133"/>
      <c r="RXN67"/>
      <c r="RXO67" s="126"/>
      <c r="RXP67" s="127"/>
      <c r="RXQ67" s="128"/>
      <c r="RXR67" s="128"/>
      <c r="RXS67" s="127"/>
      <c r="RXT67" s="129"/>
      <c r="RXU67" s="127"/>
      <c r="RXV67" s="129"/>
      <c r="RXW67" s="130"/>
      <c r="RXX67" s="131"/>
      <c r="RXY67"/>
      <c r="RXZ67" s="132"/>
      <c r="RYA67"/>
      <c r="RYB67" s="125"/>
      <c r="RYC67" s="133"/>
      <c r="RYD67"/>
      <c r="RYE67" s="126"/>
      <c r="RYF67" s="127"/>
      <c r="RYG67" s="128"/>
      <c r="RYH67" s="128"/>
      <c r="RYI67" s="127"/>
      <c r="RYJ67" s="129"/>
      <c r="RYK67" s="127"/>
      <c r="RYL67" s="129"/>
      <c r="RYM67" s="130"/>
      <c r="RYN67" s="131"/>
      <c r="RYO67"/>
      <c r="RYP67" s="132"/>
      <c r="RYQ67"/>
      <c r="RYR67" s="125"/>
      <c r="RYS67" s="133"/>
      <c r="RYT67"/>
      <c r="RYU67" s="126"/>
      <c r="RYV67" s="127"/>
      <c r="RYW67" s="128"/>
      <c r="RYX67" s="128"/>
      <c r="RYY67" s="127"/>
      <c r="RYZ67" s="129"/>
      <c r="RZA67" s="127"/>
      <c r="RZB67" s="129"/>
      <c r="RZC67" s="130"/>
      <c r="RZD67" s="131"/>
      <c r="RZE67"/>
      <c r="RZF67" s="132"/>
      <c r="RZG67"/>
      <c r="RZH67" s="125"/>
      <c r="RZI67" s="133"/>
      <c r="RZJ67"/>
      <c r="RZK67" s="126"/>
      <c r="RZL67" s="127"/>
      <c r="RZM67" s="128"/>
      <c r="RZN67" s="128"/>
      <c r="RZO67" s="127"/>
      <c r="RZP67" s="129"/>
      <c r="RZQ67" s="127"/>
      <c r="RZR67" s="129"/>
      <c r="RZS67" s="130"/>
      <c r="RZT67" s="131"/>
      <c r="RZU67"/>
      <c r="RZV67" s="132"/>
      <c r="RZW67"/>
      <c r="RZX67" s="125"/>
      <c r="RZY67" s="133"/>
      <c r="RZZ67"/>
      <c r="SAA67" s="126"/>
      <c r="SAB67" s="127"/>
      <c r="SAC67" s="128"/>
      <c r="SAD67" s="128"/>
      <c r="SAE67" s="127"/>
      <c r="SAF67" s="129"/>
      <c r="SAG67" s="127"/>
      <c r="SAH67" s="129"/>
      <c r="SAI67" s="130"/>
      <c r="SAJ67" s="131"/>
      <c r="SAK67"/>
      <c r="SAL67" s="132"/>
      <c r="SAM67"/>
      <c r="SAN67" s="125"/>
      <c r="SAO67" s="133"/>
      <c r="SAP67"/>
      <c r="SAQ67" s="126"/>
      <c r="SAR67" s="127"/>
      <c r="SAS67" s="128"/>
      <c r="SAT67" s="128"/>
      <c r="SAU67" s="127"/>
      <c r="SAV67" s="129"/>
      <c r="SAW67" s="127"/>
      <c r="SAX67" s="129"/>
      <c r="SAY67" s="130"/>
      <c r="SAZ67" s="131"/>
      <c r="SBA67"/>
      <c r="SBB67" s="132"/>
      <c r="SBC67"/>
      <c r="SBD67" s="125"/>
      <c r="SBE67" s="133"/>
      <c r="SBF67"/>
      <c r="SBG67" s="126"/>
      <c r="SBH67" s="127"/>
      <c r="SBI67" s="128"/>
      <c r="SBJ67" s="128"/>
      <c r="SBK67" s="127"/>
      <c r="SBL67" s="129"/>
      <c r="SBM67" s="127"/>
      <c r="SBN67" s="129"/>
      <c r="SBO67" s="130"/>
      <c r="SBP67" s="131"/>
      <c r="SBQ67"/>
      <c r="SBR67" s="132"/>
      <c r="SBS67"/>
      <c r="SBT67" s="125"/>
      <c r="SBU67" s="133"/>
      <c r="SBV67"/>
      <c r="SBW67" s="126"/>
      <c r="SBX67" s="127"/>
      <c r="SBY67" s="128"/>
      <c r="SBZ67" s="128"/>
      <c r="SCA67" s="127"/>
      <c r="SCB67" s="129"/>
      <c r="SCC67" s="127"/>
      <c r="SCD67" s="129"/>
      <c r="SCE67" s="130"/>
      <c r="SCF67" s="131"/>
      <c r="SCG67"/>
      <c r="SCH67" s="132"/>
      <c r="SCI67"/>
      <c r="SCJ67" s="125"/>
      <c r="SCK67" s="133"/>
      <c r="SCL67"/>
      <c r="SCM67" s="126"/>
      <c r="SCN67" s="127"/>
      <c r="SCO67" s="128"/>
      <c r="SCP67" s="128"/>
      <c r="SCQ67" s="127"/>
      <c r="SCR67" s="129"/>
      <c r="SCS67" s="127"/>
      <c r="SCT67" s="129"/>
      <c r="SCU67" s="130"/>
      <c r="SCV67" s="131"/>
      <c r="SCW67"/>
      <c r="SCX67" s="132"/>
      <c r="SCY67"/>
      <c r="SCZ67" s="125"/>
      <c r="SDA67" s="133"/>
      <c r="SDB67"/>
      <c r="SDC67" s="126"/>
      <c r="SDD67" s="127"/>
      <c r="SDE67" s="128"/>
      <c r="SDF67" s="128"/>
      <c r="SDG67" s="127"/>
      <c r="SDH67" s="129"/>
      <c r="SDI67" s="127"/>
      <c r="SDJ67" s="129"/>
      <c r="SDK67" s="130"/>
      <c r="SDL67" s="131"/>
      <c r="SDM67"/>
      <c r="SDN67" s="132"/>
      <c r="SDO67"/>
      <c r="SDP67" s="125"/>
      <c r="SDQ67" s="133"/>
      <c r="SDR67"/>
      <c r="SDS67" s="126"/>
      <c r="SDT67" s="127"/>
      <c r="SDU67" s="128"/>
      <c r="SDV67" s="128"/>
      <c r="SDW67" s="127"/>
      <c r="SDX67" s="129"/>
      <c r="SDY67" s="127"/>
      <c r="SDZ67" s="129"/>
      <c r="SEA67" s="130"/>
      <c r="SEB67" s="131"/>
      <c r="SEC67"/>
      <c r="SED67" s="132"/>
      <c r="SEE67"/>
      <c r="SEF67" s="125"/>
      <c r="SEG67" s="133"/>
      <c r="SEH67"/>
      <c r="SEI67" s="126"/>
      <c r="SEJ67" s="127"/>
      <c r="SEK67" s="128"/>
      <c r="SEL67" s="128"/>
      <c r="SEM67" s="127"/>
      <c r="SEN67" s="129"/>
      <c r="SEO67" s="127"/>
      <c r="SEP67" s="129"/>
      <c r="SEQ67" s="130"/>
      <c r="SER67" s="131"/>
      <c r="SES67"/>
      <c r="SET67" s="132"/>
      <c r="SEU67"/>
      <c r="SEV67" s="125"/>
      <c r="SEW67" s="133"/>
      <c r="SEX67"/>
      <c r="SEY67" s="126"/>
      <c r="SEZ67" s="127"/>
      <c r="SFA67" s="128"/>
      <c r="SFB67" s="128"/>
      <c r="SFC67" s="127"/>
      <c r="SFD67" s="129"/>
      <c r="SFE67" s="127"/>
      <c r="SFF67" s="129"/>
      <c r="SFG67" s="130"/>
      <c r="SFH67" s="131"/>
      <c r="SFI67"/>
      <c r="SFJ67" s="132"/>
      <c r="SFK67"/>
      <c r="SFL67" s="125"/>
      <c r="SFM67" s="133"/>
      <c r="SFN67"/>
      <c r="SFO67" s="126"/>
      <c r="SFP67" s="127"/>
      <c r="SFQ67" s="128"/>
      <c r="SFR67" s="128"/>
      <c r="SFS67" s="127"/>
      <c r="SFT67" s="129"/>
      <c r="SFU67" s="127"/>
      <c r="SFV67" s="129"/>
      <c r="SFW67" s="130"/>
      <c r="SFX67" s="131"/>
      <c r="SFY67"/>
      <c r="SFZ67" s="132"/>
      <c r="SGA67"/>
      <c r="SGB67" s="125"/>
      <c r="SGC67" s="133"/>
      <c r="SGD67"/>
      <c r="SGE67" s="126"/>
      <c r="SGF67" s="127"/>
      <c r="SGG67" s="128"/>
      <c r="SGH67" s="128"/>
      <c r="SGI67" s="127"/>
      <c r="SGJ67" s="129"/>
      <c r="SGK67" s="127"/>
      <c r="SGL67" s="129"/>
      <c r="SGM67" s="130"/>
      <c r="SGN67" s="131"/>
      <c r="SGO67"/>
      <c r="SGP67" s="132"/>
      <c r="SGQ67"/>
      <c r="SGR67" s="125"/>
      <c r="SGS67" s="133"/>
      <c r="SGT67"/>
      <c r="SGU67" s="126"/>
      <c r="SGV67" s="127"/>
      <c r="SGW67" s="128"/>
      <c r="SGX67" s="128"/>
      <c r="SGY67" s="127"/>
      <c r="SGZ67" s="129"/>
      <c r="SHA67" s="127"/>
      <c r="SHB67" s="129"/>
      <c r="SHC67" s="130"/>
      <c r="SHD67" s="131"/>
      <c r="SHE67"/>
      <c r="SHF67" s="132"/>
      <c r="SHG67"/>
      <c r="SHH67" s="125"/>
      <c r="SHI67" s="133"/>
      <c r="SHJ67"/>
      <c r="SHK67" s="126"/>
      <c r="SHL67" s="127"/>
      <c r="SHM67" s="128"/>
      <c r="SHN67" s="128"/>
      <c r="SHO67" s="127"/>
      <c r="SHP67" s="129"/>
      <c r="SHQ67" s="127"/>
      <c r="SHR67" s="129"/>
      <c r="SHS67" s="130"/>
      <c r="SHT67" s="131"/>
      <c r="SHU67"/>
      <c r="SHV67" s="132"/>
      <c r="SHW67"/>
      <c r="SHX67" s="125"/>
      <c r="SHY67" s="133"/>
      <c r="SHZ67"/>
      <c r="SIA67" s="126"/>
      <c r="SIB67" s="127"/>
      <c r="SIC67" s="128"/>
      <c r="SID67" s="128"/>
      <c r="SIE67" s="127"/>
      <c r="SIF67" s="129"/>
      <c r="SIG67" s="127"/>
      <c r="SIH67" s="129"/>
      <c r="SII67" s="130"/>
      <c r="SIJ67" s="131"/>
      <c r="SIK67"/>
      <c r="SIL67" s="132"/>
      <c r="SIM67"/>
      <c r="SIN67" s="125"/>
      <c r="SIO67" s="133"/>
      <c r="SIP67"/>
      <c r="SIQ67" s="126"/>
      <c r="SIR67" s="127"/>
      <c r="SIS67" s="128"/>
      <c r="SIT67" s="128"/>
      <c r="SIU67" s="127"/>
      <c r="SIV67" s="129"/>
      <c r="SIW67" s="127"/>
      <c r="SIX67" s="129"/>
      <c r="SIY67" s="130"/>
      <c r="SIZ67" s="131"/>
      <c r="SJA67"/>
      <c r="SJB67" s="132"/>
      <c r="SJC67"/>
      <c r="SJD67" s="125"/>
      <c r="SJE67" s="133"/>
      <c r="SJF67"/>
      <c r="SJG67" s="126"/>
      <c r="SJH67" s="127"/>
      <c r="SJI67" s="128"/>
      <c r="SJJ67" s="128"/>
      <c r="SJK67" s="127"/>
      <c r="SJL67" s="129"/>
      <c r="SJM67" s="127"/>
      <c r="SJN67" s="129"/>
      <c r="SJO67" s="130"/>
      <c r="SJP67" s="131"/>
      <c r="SJQ67"/>
      <c r="SJR67" s="132"/>
      <c r="SJS67"/>
      <c r="SJT67" s="125"/>
      <c r="SJU67" s="133"/>
      <c r="SJV67"/>
      <c r="SJW67" s="126"/>
      <c r="SJX67" s="127"/>
      <c r="SJY67" s="128"/>
      <c r="SJZ67" s="128"/>
      <c r="SKA67" s="127"/>
      <c r="SKB67" s="129"/>
      <c r="SKC67" s="127"/>
      <c r="SKD67" s="129"/>
      <c r="SKE67" s="130"/>
      <c r="SKF67" s="131"/>
      <c r="SKG67"/>
      <c r="SKH67" s="132"/>
      <c r="SKI67"/>
      <c r="SKJ67" s="125"/>
      <c r="SKK67" s="133"/>
      <c r="SKL67"/>
      <c r="SKM67" s="126"/>
      <c r="SKN67" s="127"/>
      <c r="SKO67" s="128"/>
      <c r="SKP67" s="128"/>
      <c r="SKQ67" s="127"/>
      <c r="SKR67" s="129"/>
      <c r="SKS67" s="127"/>
      <c r="SKT67" s="129"/>
      <c r="SKU67" s="130"/>
      <c r="SKV67" s="131"/>
      <c r="SKW67"/>
      <c r="SKX67" s="132"/>
      <c r="SKY67"/>
      <c r="SKZ67" s="125"/>
      <c r="SLA67" s="133"/>
      <c r="SLB67"/>
      <c r="SLC67" s="126"/>
      <c r="SLD67" s="127"/>
      <c r="SLE67" s="128"/>
      <c r="SLF67" s="128"/>
      <c r="SLG67" s="127"/>
      <c r="SLH67" s="129"/>
      <c r="SLI67" s="127"/>
      <c r="SLJ67" s="129"/>
      <c r="SLK67" s="130"/>
      <c r="SLL67" s="131"/>
      <c r="SLM67"/>
      <c r="SLN67" s="132"/>
      <c r="SLO67"/>
      <c r="SLP67" s="125"/>
      <c r="SLQ67" s="133"/>
      <c r="SLR67"/>
      <c r="SLS67" s="126"/>
      <c r="SLT67" s="127"/>
      <c r="SLU67" s="128"/>
      <c r="SLV67" s="128"/>
      <c r="SLW67" s="127"/>
      <c r="SLX67" s="129"/>
      <c r="SLY67" s="127"/>
      <c r="SLZ67" s="129"/>
      <c r="SMA67" s="130"/>
      <c r="SMB67" s="131"/>
      <c r="SMC67"/>
      <c r="SMD67" s="132"/>
      <c r="SME67"/>
      <c r="SMF67" s="125"/>
      <c r="SMG67" s="133"/>
      <c r="SMH67"/>
      <c r="SMI67" s="126"/>
      <c r="SMJ67" s="127"/>
      <c r="SMK67" s="128"/>
      <c r="SML67" s="128"/>
      <c r="SMM67" s="127"/>
      <c r="SMN67" s="129"/>
      <c r="SMO67" s="127"/>
      <c r="SMP67" s="129"/>
      <c r="SMQ67" s="130"/>
      <c r="SMR67" s="131"/>
      <c r="SMS67"/>
      <c r="SMT67" s="132"/>
      <c r="SMU67"/>
      <c r="SMV67" s="125"/>
      <c r="SMW67" s="133"/>
      <c r="SMX67"/>
      <c r="SMY67" s="126"/>
      <c r="SMZ67" s="127"/>
      <c r="SNA67" s="128"/>
      <c r="SNB67" s="128"/>
      <c r="SNC67" s="127"/>
      <c r="SND67" s="129"/>
      <c r="SNE67" s="127"/>
      <c r="SNF67" s="129"/>
      <c r="SNG67" s="130"/>
      <c r="SNH67" s="131"/>
      <c r="SNI67"/>
      <c r="SNJ67" s="132"/>
      <c r="SNK67"/>
      <c r="SNL67" s="125"/>
      <c r="SNM67" s="133"/>
      <c r="SNN67"/>
      <c r="SNO67" s="126"/>
      <c r="SNP67" s="127"/>
      <c r="SNQ67" s="128"/>
      <c r="SNR67" s="128"/>
      <c r="SNS67" s="127"/>
      <c r="SNT67" s="129"/>
      <c r="SNU67" s="127"/>
      <c r="SNV67" s="129"/>
      <c r="SNW67" s="130"/>
      <c r="SNX67" s="131"/>
      <c r="SNY67"/>
      <c r="SNZ67" s="132"/>
      <c r="SOA67"/>
      <c r="SOB67" s="125"/>
      <c r="SOC67" s="133"/>
      <c r="SOD67"/>
      <c r="SOE67" s="126"/>
      <c r="SOF67" s="127"/>
      <c r="SOG67" s="128"/>
      <c r="SOH67" s="128"/>
      <c r="SOI67" s="127"/>
      <c r="SOJ67" s="129"/>
      <c r="SOK67" s="127"/>
      <c r="SOL67" s="129"/>
      <c r="SOM67" s="130"/>
      <c r="SON67" s="131"/>
      <c r="SOO67"/>
      <c r="SOP67" s="132"/>
      <c r="SOQ67"/>
      <c r="SOR67" s="125"/>
      <c r="SOS67" s="133"/>
      <c r="SOT67"/>
      <c r="SOU67" s="126"/>
      <c r="SOV67" s="127"/>
      <c r="SOW67" s="128"/>
      <c r="SOX67" s="128"/>
      <c r="SOY67" s="127"/>
      <c r="SOZ67" s="129"/>
      <c r="SPA67" s="127"/>
      <c r="SPB67" s="129"/>
      <c r="SPC67" s="130"/>
      <c r="SPD67" s="131"/>
      <c r="SPE67"/>
      <c r="SPF67" s="132"/>
      <c r="SPG67"/>
      <c r="SPH67" s="125"/>
      <c r="SPI67" s="133"/>
      <c r="SPJ67"/>
      <c r="SPK67" s="126"/>
      <c r="SPL67" s="127"/>
      <c r="SPM67" s="128"/>
      <c r="SPN67" s="128"/>
      <c r="SPO67" s="127"/>
      <c r="SPP67" s="129"/>
      <c r="SPQ67" s="127"/>
      <c r="SPR67" s="129"/>
      <c r="SPS67" s="130"/>
      <c r="SPT67" s="131"/>
      <c r="SPU67"/>
      <c r="SPV67" s="132"/>
      <c r="SPW67"/>
      <c r="SPX67" s="125"/>
      <c r="SPY67" s="133"/>
      <c r="SPZ67"/>
      <c r="SQA67" s="126"/>
      <c r="SQB67" s="127"/>
      <c r="SQC67" s="128"/>
      <c r="SQD67" s="128"/>
      <c r="SQE67" s="127"/>
      <c r="SQF67" s="129"/>
      <c r="SQG67" s="127"/>
      <c r="SQH67" s="129"/>
      <c r="SQI67" s="130"/>
      <c r="SQJ67" s="131"/>
      <c r="SQK67"/>
      <c r="SQL67" s="132"/>
      <c r="SQM67"/>
      <c r="SQN67" s="125"/>
      <c r="SQO67" s="133"/>
      <c r="SQP67"/>
      <c r="SQQ67" s="126"/>
      <c r="SQR67" s="127"/>
      <c r="SQS67" s="128"/>
      <c r="SQT67" s="128"/>
      <c r="SQU67" s="127"/>
      <c r="SQV67" s="129"/>
      <c r="SQW67" s="127"/>
      <c r="SQX67" s="129"/>
      <c r="SQY67" s="130"/>
      <c r="SQZ67" s="131"/>
      <c r="SRA67"/>
      <c r="SRB67" s="132"/>
      <c r="SRC67"/>
      <c r="SRD67" s="125"/>
      <c r="SRE67" s="133"/>
      <c r="SRF67"/>
      <c r="SRG67" s="126"/>
      <c r="SRH67" s="127"/>
      <c r="SRI67" s="128"/>
      <c r="SRJ67" s="128"/>
      <c r="SRK67" s="127"/>
      <c r="SRL67" s="129"/>
      <c r="SRM67" s="127"/>
      <c r="SRN67" s="129"/>
      <c r="SRO67" s="130"/>
      <c r="SRP67" s="131"/>
      <c r="SRQ67"/>
      <c r="SRR67" s="132"/>
      <c r="SRS67"/>
      <c r="SRT67" s="125"/>
      <c r="SRU67" s="133"/>
      <c r="SRV67"/>
      <c r="SRW67" s="126"/>
      <c r="SRX67" s="127"/>
      <c r="SRY67" s="128"/>
      <c r="SRZ67" s="128"/>
      <c r="SSA67" s="127"/>
      <c r="SSB67" s="129"/>
      <c r="SSC67" s="127"/>
      <c r="SSD67" s="129"/>
      <c r="SSE67" s="130"/>
      <c r="SSF67" s="131"/>
      <c r="SSG67"/>
      <c r="SSH67" s="132"/>
      <c r="SSI67"/>
      <c r="SSJ67" s="125"/>
      <c r="SSK67" s="133"/>
      <c r="SSL67"/>
      <c r="SSM67" s="126"/>
      <c r="SSN67" s="127"/>
      <c r="SSO67" s="128"/>
      <c r="SSP67" s="128"/>
      <c r="SSQ67" s="127"/>
      <c r="SSR67" s="129"/>
      <c r="SSS67" s="127"/>
      <c r="SST67" s="129"/>
      <c r="SSU67" s="130"/>
      <c r="SSV67" s="131"/>
      <c r="SSW67"/>
      <c r="SSX67" s="132"/>
      <c r="SSY67"/>
      <c r="SSZ67" s="125"/>
      <c r="STA67" s="133"/>
      <c r="STB67"/>
      <c r="STC67" s="126"/>
      <c r="STD67" s="127"/>
      <c r="STE67" s="128"/>
      <c r="STF67" s="128"/>
      <c r="STG67" s="127"/>
      <c r="STH67" s="129"/>
      <c r="STI67" s="127"/>
      <c r="STJ67" s="129"/>
      <c r="STK67" s="130"/>
      <c r="STL67" s="131"/>
      <c r="STM67"/>
      <c r="STN67" s="132"/>
      <c r="STO67"/>
      <c r="STP67" s="125"/>
      <c r="STQ67" s="133"/>
      <c r="STR67"/>
      <c r="STS67" s="126"/>
      <c r="STT67" s="127"/>
      <c r="STU67" s="128"/>
      <c r="STV67" s="128"/>
      <c r="STW67" s="127"/>
      <c r="STX67" s="129"/>
      <c r="STY67" s="127"/>
      <c r="STZ67" s="129"/>
      <c r="SUA67" s="130"/>
      <c r="SUB67" s="131"/>
      <c r="SUC67"/>
      <c r="SUD67" s="132"/>
      <c r="SUE67"/>
      <c r="SUF67" s="125"/>
      <c r="SUG67" s="133"/>
      <c r="SUH67"/>
      <c r="SUI67" s="126"/>
      <c r="SUJ67" s="127"/>
      <c r="SUK67" s="128"/>
      <c r="SUL67" s="128"/>
      <c r="SUM67" s="127"/>
      <c r="SUN67" s="129"/>
      <c r="SUO67" s="127"/>
      <c r="SUP67" s="129"/>
      <c r="SUQ67" s="130"/>
      <c r="SUR67" s="131"/>
      <c r="SUS67"/>
      <c r="SUT67" s="132"/>
      <c r="SUU67"/>
      <c r="SUV67" s="125"/>
      <c r="SUW67" s="133"/>
      <c r="SUX67"/>
      <c r="SUY67" s="126"/>
      <c r="SUZ67" s="127"/>
      <c r="SVA67" s="128"/>
      <c r="SVB67" s="128"/>
      <c r="SVC67" s="127"/>
      <c r="SVD67" s="129"/>
      <c r="SVE67" s="127"/>
      <c r="SVF67" s="129"/>
      <c r="SVG67" s="130"/>
      <c r="SVH67" s="131"/>
      <c r="SVI67"/>
      <c r="SVJ67" s="132"/>
      <c r="SVK67"/>
      <c r="SVL67" s="125"/>
      <c r="SVM67" s="133"/>
      <c r="SVN67"/>
      <c r="SVO67" s="126"/>
      <c r="SVP67" s="127"/>
      <c r="SVQ67" s="128"/>
      <c r="SVR67" s="128"/>
      <c r="SVS67" s="127"/>
      <c r="SVT67" s="129"/>
      <c r="SVU67" s="127"/>
      <c r="SVV67" s="129"/>
      <c r="SVW67" s="130"/>
      <c r="SVX67" s="131"/>
      <c r="SVY67"/>
      <c r="SVZ67" s="132"/>
      <c r="SWA67"/>
      <c r="SWB67" s="125"/>
      <c r="SWC67" s="133"/>
      <c r="SWD67"/>
      <c r="SWE67" s="126"/>
      <c r="SWF67" s="127"/>
      <c r="SWG67" s="128"/>
      <c r="SWH67" s="128"/>
      <c r="SWI67" s="127"/>
      <c r="SWJ67" s="129"/>
      <c r="SWK67" s="127"/>
      <c r="SWL67" s="129"/>
      <c r="SWM67" s="130"/>
      <c r="SWN67" s="131"/>
      <c r="SWO67"/>
      <c r="SWP67" s="132"/>
      <c r="SWQ67"/>
      <c r="SWR67" s="125"/>
      <c r="SWS67" s="133"/>
      <c r="SWT67"/>
      <c r="SWU67" s="126"/>
      <c r="SWV67" s="127"/>
      <c r="SWW67" s="128"/>
      <c r="SWX67" s="128"/>
      <c r="SWY67" s="127"/>
      <c r="SWZ67" s="129"/>
      <c r="SXA67" s="127"/>
      <c r="SXB67" s="129"/>
      <c r="SXC67" s="130"/>
      <c r="SXD67" s="131"/>
      <c r="SXE67"/>
      <c r="SXF67" s="132"/>
      <c r="SXG67"/>
      <c r="SXH67" s="125"/>
      <c r="SXI67" s="133"/>
      <c r="SXJ67"/>
      <c r="SXK67" s="126"/>
      <c r="SXL67" s="127"/>
      <c r="SXM67" s="128"/>
      <c r="SXN67" s="128"/>
      <c r="SXO67" s="127"/>
      <c r="SXP67" s="129"/>
      <c r="SXQ67" s="127"/>
      <c r="SXR67" s="129"/>
      <c r="SXS67" s="130"/>
      <c r="SXT67" s="131"/>
      <c r="SXU67"/>
      <c r="SXV67" s="132"/>
      <c r="SXW67"/>
      <c r="SXX67" s="125"/>
      <c r="SXY67" s="133"/>
      <c r="SXZ67"/>
      <c r="SYA67" s="126"/>
      <c r="SYB67" s="127"/>
      <c r="SYC67" s="128"/>
      <c r="SYD67" s="128"/>
      <c r="SYE67" s="127"/>
      <c r="SYF67" s="129"/>
      <c r="SYG67" s="127"/>
      <c r="SYH67" s="129"/>
      <c r="SYI67" s="130"/>
      <c r="SYJ67" s="131"/>
      <c r="SYK67"/>
      <c r="SYL67" s="132"/>
      <c r="SYM67"/>
      <c r="SYN67" s="125"/>
      <c r="SYO67" s="133"/>
      <c r="SYP67"/>
      <c r="SYQ67" s="126"/>
      <c r="SYR67" s="127"/>
      <c r="SYS67" s="128"/>
      <c r="SYT67" s="128"/>
      <c r="SYU67" s="127"/>
      <c r="SYV67" s="129"/>
      <c r="SYW67" s="127"/>
      <c r="SYX67" s="129"/>
      <c r="SYY67" s="130"/>
      <c r="SYZ67" s="131"/>
      <c r="SZA67"/>
      <c r="SZB67" s="132"/>
      <c r="SZC67"/>
      <c r="SZD67" s="125"/>
      <c r="SZE67" s="133"/>
      <c r="SZF67"/>
      <c r="SZG67" s="126"/>
      <c r="SZH67" s="127"/>
      <c r="SZI67" s="128"/>
      <c r="SZJ67" s="128"/>
      <c r="SZK67" s="127"/>
      <c r="SZL67" s="129"/>
      <c r="SZM67" s="127"/>
      <c r="SZN67" s="129"/>
      <c r="SZO67" s="130"/>
      <c r="SZP67" s="131"/>
      <c r="SZQ67"/>
      <c r="SZR67" s="132"/>
      <c r="SZS67"/>
      <c r="SZT67" s="125"/>
      <c r="SZU67" s="133"/>
      <c r="SZV67"/>
      <c r="SZW67" s="126"/>
      <c r="SZX67" s="127"/>
      <c r="SZY67" s="128"/>
      <c r="SZZ67" s="128"/>
      <c r="TAA67" s="127"/>
      <c r="TAB67" s="129"/>
      <c r="TAC67" s="127"/>
      <c r="TAD67" s="129"/>
      <c r="TAE67" s="130"/>
      <c r="TAF67" s="131"/>
      <c r="TAG67"/>
      <c r="TAH67" s="132"/>
      <c r="TAI67"/>
      <c r="TAJ67" s="125"/>
      <c r="TAK67" s="133"/>
      <c r="TAL67"/>
      <c r="TAM67" s="126"/>
      <c r="TAN67" s="127"/>
      <c r="TAO67" s="128"/>
      <c r="TAP67" s="128"/>
      <c r="TAQ67" s="127"/>
      <c r="TAR67" s="129"/>
      <c r="TAS67" s="127"/>
      <c r="TAT67" s="129"/>
      <c r="TAU67" s="130"/>
      <c r="TAV67" s="131"/>
      <c r="TAW67"/>
      <c r="TAX67" s="132"/>
      <c r="TAY67"/>
      <c r="TAZ67" s="125"/>
      <c r="TBA67" s="133"/>
      <c r="TBB67"/>
      <c r="TBC67" s="126"/>
      <c r="TBD67" s="127"/>
      <c r="TBE67" s="128"/>
      <c r="TBF67" s="128"/>
      <c r="TBG67" s="127"/>
      <c r="TBH67" s="129"/>
      <c r="TBI67" s="127"/>
      <c r="TBJ67" s="129"/>
      <c r="TBK67" s="130"/>
      <c r="TBL67" s="131"/>
      <c r="TBM67"/>
      <c r="TBN67" s="132"/>
      <c r="TBO67"/>
      <c r="TBP67" s="125"/>
      <c r="TBQ67" s="133"/>
      <c r="TBR67"/>
      <c r="TBS67" s="126"/>
      <c r="TBT67" s="127"/>
      <c r="TBU67" s="128"/>
      <c r="TBV67" s="128"/>
      <c r="TBW67" s="127"/>
      <c r="TBX67" s="129"/>
      <c r="TBY67" s="127"/>
      <c r="TBZ67" s="129"/>
      <c r="TCA67" s="130"/>
      <c r="TCB67" s="131"/>
      <c r="TCC67"/>
      <c r="TCD67" s="132"/>
      <c r="TCE67"/>
      <c r="TCF67" s="125"/>
      <c r="TCG67" s="133"/>
      <c r="TCH67"/>
      <c r="TCI67" s="126"/>
      <c r="TCJ67" s="127"/>
      <c r="TCK67" s="128"/>
      <c r="TCL67" s="128"/>
      <c r="TCM67" s="127"/>
      <c r="TCN67" s="129"/>
      <c r="TCO67" s="127"/>
      <c r="TCP67" s="129"/>
      <c r="TCQ67" s="130"/>
      <c r="TCR67" s="131"/>
      <c r="TCS67"/>
      <c r="TCT67" s="132"/>
      <c r="TCU67"/>
      <c r="TCV67" s="125"/>
      <c r="TCW67" s="133"/>
      <c r="TCX67"/>
      <c r="TCY67" s="126"/>
      <c r="TCZ67" s="127"/>
      <c r="TDA67" s="128"/>
      <c r="TDB67" s="128"/>
      <c r="TDC67" s="127"/>
      <c r="TDD67" s="129"/>
      <c r="TDE67" s="127"/>
      <c r="TDF67" s="129"/>
      <c r="TDG67" s="130"/>
      <c r="TDH67" s="131"/>
      <c r="TDI67"/>
      <c r="TDJ67" s="132"/>
      <c r="TDK67"/>
      <c r="TDL67" s="125"/>
      <c r="TDM67" s="133"/>
      <c r="TDN67"/>
      <c r="TDO67" s="126"/>
      <c r="TDP67" s="127"/>
      <c r="TDQ67" s="128"/>
      <c r="TDR67" s="128"/>
      <c r="TDS67" s="127"/>
      <c r="TDT67" s="129"/>
      <c r="TDU67" s="127"/>
      <c r="TDV67" s="129"/>
      <c r="TDW67" s="130"/>
      <c r="TDX67" s="131"/>
      <c r="TDY67"/>
      <c r="TDZ67" s="132"/>
      <c r="TEA67"/>
      <c r="TEB67" s="125"/>
      <c r="TEC67" s="133"/>
      <c r="TED67"/>
      <c r="TEE67" s="126"/>
      <c r="TEF67" s="127"/>
      <c r="TEG67" s="128"/>
      <c r="TEH67" s="128"/>
      <c r="TEI67" s="127"/>
      <c r="TEJ67" s="129"/>
      <c r="TEK67" s="127"/>
      <c r="TEL67" s="129"/>
      <c r="TEM67" s="130"/>
      <c r="TEN67" s="131"/>
      <c r="TEO67"/>
      <c r="TEP67" s="132"/>
      <c r="TEQ67"/>
      <c r="TER67" s="125"/>
      <c r="TES67" s="133"/>
      <c r="TET67"/>
      <c r="TEU67" s="126"/>
      <c r="TEV67" s="127"/>
      <c r="TEW67" s="128"/>
      <c r="TEX67" s="128"/>
      <c r="TEY67" s="127"/>
      <c r="TEZ67" s="129"/>
      <c r="TFA67" s="127"/>
      <c r="TFB67" s="129"/>
      <c r="TFC67" s="130"/>
      <c r="TFD67" s="131"/>
      <c r="TFE67"/>
      <c r="TFF67" s="132"/>
      <c r="TFG67"/>
      <c r="TFH67" s="125"/>
      <c r="TFI67" s="133"/>
      <c r="TFJ67"/>
      <c r="TFK67" s="126"/>
      <c r="TFL67" s="127"/>
      <c r="TFM67" s="128"/>
      <c r="TFN67" s="128"/>
      <c r="TFO67" s="127"/>
      <c r="TFP67" s="129"/>
      <c r="TFQ67" s="127"/>
      <c r="TFR67" s="129"/>
      <c r="TFS67" s="130"/>
      <c r="TFT67" s="131"/>
      <c r="TFU67"/>
      <c r="TFV67" s="132"/>
      <c r="TFW67"/>
      <c r="TFX67" s="125"/>
      <c r="TFY67" s="133"/>
      <c r="TFZ67"/>
      <c r="TGA67" s="126"/>
      <c r="TGB67" s="127"/>
      <c r="TGC67" s="128"/>
      <c r="TGD67" s="128"/>
      <c r="TGE67" s="127"/>
      <c r="TGF67" s="129"/>
      <c r="TGG67" s="127"/>
      <c r="TGH67" s="129"/>
      <c r="TGI67" s="130"/>
      <c r="TGJ67" s="131"/>
      <c r="TGK67"/>
      <c r="TGL67" s="132"/>
      <c r="TGM67"/>
      <c r="TGN67" s="125"/>
      <c r="TGO67" s="133"/>
      <c r="TGP67"/>
      <c r="TGQ67" s="126"/>
      <c r="TGR67" s="127"/>
      <c r="TGS67" s="128"/>
      <c r="TGT67" s="128"/>
      <c r="TGU67" s="127"/>
      <c r="TGV67" s="129"/>
      <c r="TGW67" s="127"/>
      <c r="TGX67" s="129"/>
      <c r="TGY67" s="130"/>
      <c r="TGZ67" s="131"/>
      <c r="THA67"/>
      <c r="THB67" s="132"/>
      <c r="THC67"/>
      <c r="THD67" s="125"/>
      <c r="THE67" s="133"/>
      <c r="THF67"/>
      <c r="THG67" s="126"/>
      <c r="THH67" s="127"/>
      <c r="THI67" s="128"/>
      <c r="THJ67" s="128"/>
      <c r="THK67" s="127"/>
      <c r="THL67" s="129"/>
      <c r="THM67" s="127"/>
      <c r="THN67" s="129"/>
      <c r="THO67" s="130"/>
      <c r="THP67" s="131"/>
      <c r="THQ67"/>
      <c r="THR67" s="132"/>
      <c r="THS67"/>
      <c r="THT67" s="125"/>
      <c r="THU67" s="133"/>
      <c r="THV67"/>
      <c r="THW67" s="126"/>
      <c r="THX67" s="127"/>
      <c r="THY67" s="128"/>
      <c r="THZ67" s="128"/>
      <c r="TIA67" s="127"/>
      <c r="TIB67" s="129"/>
      <c r="TIC67" s="127"/>
      <c r="TID67" s="129"/>
      <c r="TIE67" s="130"/>
      <c r="TIF67" s="131"/>
      <c r="TIG67"/>
      <c r="TIH67" s="132"/>
      <c r="TII67"/>
      <c r="TIJ67" s="125"/>
      <c r="TIK67" s="133"/>
      <c r="TIL67"/>
      <c r="TIM67" s="126"/>
      <c r="TIN67" s="127"/>
      <c r="TIO67" s="128"/>
      <c r="TIP67" s="128"/>
      <c r="TIQ67" s="127"/>
      <c r="TIR67" s="129"/>
      <c r="TIS67" s="127"/>
      <c r="TIT67" s="129"/>
      <c r="TIU67" s="130"/>
      <c r="TIV67" s="131"/>
      <c r="TIW67"/>
      <c r="TIX67" s="132"/>
      <c r="TIY67"/>
      <c r="TIZ67" s="125"/>
      <c r="TJA67" s="133"/>
      <c r="TJB67"/>
      <c r="TJC67" s="126"/>
      <c r="TJD67" s="127"/>
      <c r="TJE67" s="128"/>
      <c r="TJF67" s="128"/>
      <c r="TJG67" s="127"/>
      <c r="TJH67" s="129"/>
      <c r="TJI67" s="127"/>
      <c r="TJJ67" s="129"/>
      <c r="TJK67" s="130"/>
      <c r="TJL67" s="131"/>
      <c r="TJM67"/>
      <c r="TJN67" s="132"/>
      <c r="TJO67"/>
      <c r="TJP67" s="125"/>
      <c r="TJQ67" s="133"/>
      <c r="TJR67"/>
      <c r="TJS67" s="126"/>
      <c r="TJT67" s="127"/>
      <c r="TJU67" s="128"/>
      <c r="TJV67" s="128"/>
      <c r="TJW67" s="127"/>
      <c r="TJX67" s="129"/>
      <c r="TJY67" s="127"/>
      <c r="TJZ67" s="129"/>
      <c r="TKA67" s="130"/>
      <c r="TKB67" s="131"/>
      <c r="TKC67"/>
      <c r="TKD67" s="132"/>
      <c r="TKE67"/>
      <c r="TKF67" s="125"/>
      <c r="TKG67" s="133"/>
      <c r="TKH67"/>
      <c r="TKI67" s="126"/>
      <c r="TKJ67" s="127"/>
      <c r="TKK67" s="128"/>
      <c r="TKL67" s="128"/>
      <c r="TKM67" s="127"/>
      <c r="TKN67" s="129"/>
      <c r="TKO67" s="127"/>
      <c r="TKP67" s="129"/>
      <c r="TKQ67" s="130"/>
      <c r="TKR67" s="131"/>
      <c r="TKS67"/>
      <c r="TKT67" s="132"/>
      <c r="TKU67"/>
      <c r="TKV67" s="125"/>
      <c r="TKW67" s="133"/>
      <c r="TKX67"/>
      <c r="TKY67" s="126"/>
      <c r="TKZ67" s="127"/>
      <c r="TLA67" s="128"/>
      <c r="TLB67" s="128"/>
      <c r="TLC67" s="127"/>
      <c r="TLD67" s="129"/>
      <c r="TLE67" s="127"/>
      <c r="TLF67" s="129"/>
      <c r="TLG67" s="130"/>
      <c r="TLH67" s="131"/>
      <c r="TLI67"/>
      <c r="TLJ67" s="132"/>
      <c r="TLK67"/>
      <c r="TLL67" s="125"/>
      <c r="TLM67" s="133"/>
      <c r="TLN67"/>
      <c r="TLO67" s="126"/>
      <c r="TLP67" s="127"/>
      <c r="TLQ67" s="128"/>
      <c r="TLR67" s="128"/>
      <c r="TLS67" s="127"/>
      <c r="TLT67" s="129"/>
      <c r="TLU67" s="127"/>
      <c r="TLV67" s="129"/>
      <c r="TLW67" s="130"/>
      <c r="TLX67" s="131"/>
      <c r="TLY67"/>
      <c r="TLZ67" s="132"/>
      <c r="TMA67"/>
      <c r="TMB67" s="125"/>
      <c r="TMC67" s="133"/>
      <c r="TMD67"/>
      <c r="TME67" s="126"/>
      <c r="TMF67" s="127"/>
      <c r="TMG67" s="128"/>
      <c r="TMH67" s="128"/>
      <c r="TMI67" s="127"/>
      <c r="TMJ67" s="129"/>
      <c r="TMK67" s="127"/>
      <c r="TML67" s="129"/>
      <c r="TMM67" s="130"/>
      <c r="TMN67" s="131"/>
      <c r="TMO67"/>
      <c r="TMP67" s="132"/>
      <c r="TMQ67"/>
      <c r="TMR67" s="125"/>
      <c r="TMS67" s="133"/>
      <c r="TMT67"/>
      <c r="TMU67" s="126"/>
      <c r="TMV67" s="127"/>
      <c r="TMW67" s="128"/>
      <c r="TMX67" s="128"/>
      <c r="TMY67" s="127"/>
      <c r="TMZ67" s="129"/>
      <c r="TNA67" s="127"/>
      <c r="TNB67" s="129"/>
      <c r="TNC67" s="130"/>
      <c r="TND67" s="131"/>
      <c r="TNE67"/>
      <c r="TNF67" s="132"/>
      <c r="TNG67"/>
      <c r="TNH67" s="125"/>
      <c r="TNI67" s="133"/>
      <c r="TNJ67"/>
      <c r="TNK67" s="126"/>
      <c r="TNL67" s="127"/>
      <c r="TNM67" s="128"/>
      <c r="TNN67" s="128"/>
      <c r="TNO67" s="127"/>
      <c r="TNP67" s="129"/>
      <c r="TNQ67" s="127"/>
      <c r="TNR67" s="129"/>
      <c r="TNS67" s="130"/>
      <c r="TNT67" s="131"/>
      <c r="TNU67"/>
      <c r="TNV67" s="132"/>
      <c r="TNW67"/>
      <c r="TNX67" s="125"/>
      <c r="TNY67" s="133"/>
      <c r="TNZ67"/>
      <c r="TOA67" s="126"/>
      <c r="TOB67" s="127"/>
      <c r="TOC67" s="128"/>
      <c r="TOD67" s="128"/>
      <c r="TOE67" s="127"/>
      <c r="TOF67" s="129"/>
      <c r="TOG67" s="127"/>
      <c r="TOH67" s="129"/>
      <c r="TOI67" s="130"/>
      <c r="TOJ67" s="131"/>
      <c r="TOK67"/>
      <c r="TOL67" s="132"/>
      <c r="TOM67"/>
      <c r="TON67" s="125"/>
      <c r="TOO67" s="133"/>
      <c r="TOP67"/>
      <c r="TOQ67" s="126"/>
      <c r="TOR67" s="127"/>
      <c r="TOS67" s="128"/>
      <c r="TOT67" s="128"/>
      <c r="TOU67" s="127"/>
      <c r="TOV67" s="129"/>
      <c r="TOW67" s="127"/>
      <c r="TOX67" s="129"/>
      <c r="TOY67" s="130"/>
      <c r="TOZ67" s="131"/>
      <c r="TPA67"/>
      <c r="TPB67" s="132"/>
      <c r="TPC67"/>
      <c r="TPD67" s="125"/>
      <c r="TPE67" s="133"/>
      <c r="TPF67"/>
      <c r="TPG67" s="126"/>
      <c r="TPH67" s="127"/>
      <c r="TPI67" s="128"/>
      <c r="TPJ67" s="128"/>
      <c r="TPK67" s="127"/>
      <c r="TPL67" s="129"/>
      <c r="TPM67" s="127"/>
      <c r="TPN67" s="129"/>
      <c r="TPO67" s="130"/>
      <c r="TPP67" s="131"/>
      <c r="TPQ67"/>
      <c r="TPR67" s="132"/>
      <c r="TPS67"/>
      <c r="TPT67" s="125"/>
      <c r="TPU67" s="133"/>
      <c r="TPV67"/>
      <c r="TPW67" s="126"/>
      <c r="TPX67" s="127"/>
      <c r="TPY67" s="128"/>
      <c r="TPZ67" s="128"/>
      <c r="TQA67" s="127"/>
      <c r="TQB67" s="129"/>
      <c r="TQC67" s="127"/>
      <c r="TQD67" s="129"/>
      <c r="TQE67" s="130"/>
      <c r="TQF67" s="131"/>
      <c r="TQG67"/>
      <c r="TQH67" s="132"/>
      <c r="TQI67"/>
      <c r="TQJ67" s="125"/>
      <c r="TQK67" s="133"/>
      <c r="TQL67"/>
      <c r="TQM67" s="126"/>
      <c r="TQN67" s="127"/>
      <c r="TQO67" s="128"/>
      <c r="TQP67" s="128"/>
      <c r="TQQ67" s="127"/>
      <c r="TQR67" s="129"/>
      <c r="TQS67" s="127"/>
      <c r="TQT67" s="129"/>
      <c r="TQU67" s="130"/>
      <c r="TQV67" s="131"/>
      <c r="TQW67"/>
      <c r="TQX67" s="132"/>
      <c r="TQY67"/>
      <c r="TQZ67" s="125"/>
      <c r="TRA67" s="133"/>
      <c r="TRB67"/>
      <c r="TRC67" s="126"/>
      <c r="TRD67" s="127"/>
      <c r="TRE67" s="128"/>
      <c r="TRF67" s="128"/>
      <c r="TRG67" s="127"/>
      <c r="TRH67" s="129"/>
      <c r="TRI67" s="127"/>
      <c r="TRJ67" s="129"/>
      <c r="TRK67" s="130"/>
      <c r="TRL67" s="131"/>
      <c r="TRM67"/>
      <c r="TRN67" s="132"/>
      <c r="TRO67"/>
      <c r="TRP67" s="125"/>
      <c r="TRQ67" s="133"/>
      <c r="TRR67"/>
      <c r="TRS67" s="126"/>
      <c r="TRT67" s="127"/>
      <c r="TRU67" s="128"/>
      <c r="TRV67" s="128"/>
      <c r="TRW67" s="127"/>
      <c r="TRX67" s="129"/>
      <c r="TRY67" s="127"/>
      <c r="TRZ67" s="129"/>
      <c r="TSA67" s="130"/>
      <c r="TSB67" s="131"/>
      <c r="TSC67"/>
      <c r="TSD67" s="132"/>
      <c r="TSE67"/>
      <c r="TSF67" s="125"/>
      <c r="TSG67" s="133"/>
      <c r="TSH67"/>
      <c r="TSI67" s="126"/>
      <c r="TSJ67" s="127"/>
      <c r="TSK67" s="128"/>
      <c r="TSL67" s="128"/>
      <c r="TSM67" s="127"/>
      <c r="TSN67" s="129"/>
      <c r="TSO67" s="127"/>
      <c r="TSP67" s="129"/>
      <c r="TSQ67" s="130"/>
      <c r="TSR67" s="131"/>
      <c r="TSS67"/>
      <c r="TST67" s="132"/>
      <c r="TSU67"/>
      <c r="TSV67" s="125"/>
      <c r="TSW67" s="133"/>
      <c r="TSX67"/>
      <c r="TSY67" s="126"/>
      <c r="TSZ67" s="127"/>
      <c r="TTA67" s="128"/>
      <c r="TTB67" s="128"/>
      <c r="TTC67" s="127"/>
      <c r="TTD67" s="129"/>
      <c r="TTE67" s="127"/>
      <c r="TTF67" s="129"/>
      <c r="TTG67" s="130"/>
      <c r="TTH67" s="131"/>
      <c r="TTI67"/>
      <c r="TTJ67" s="132"/>
      <c r="TTK67"/>
      <c r="TTL67" s="125"/>
      <c r="TTM67" s="133"/>
      <c r="TTN67"/>
      <c r="TTO67" s="126"/>
      <c r="TTP67" s="127"/>
      <c r="TTQ67" s="128"/>
      <c r="TTR67" s="128"/>
      <c r="TTS67" s="127"/>
      <c r="TTT67" s="129"/>
      <c r="TTU67" s="127"/>
      <c r="TTV67" s="129"/>
      <c r="TTW67" s="130"/>
      <c r="TTX67" s="131"/>
      <c r="TTY67"/>
      <c r="TTZ67" s="132"/>
      <c r="TUA67"/>
      <c r="TUB67" s="125"/>
      <c r="TUC67" s="133"/>
      <c r="TUD67"/>
      <c r="TUE67" s="126"/>
      <c r="TUF67" s="127"/>
      <c r="TUG67" s="128"/>
      <c r="TUH67" s="128"/>
      <c r="TUI67" s="127"/>
      <c r="TUJ67" s="129"/>
      <c r="TUK67" s="127"/>
      <c r="TUL67" s="129"/>
      <c r="TUM67" s="130"/>
      <c r="TUN67" s="131"/>
      <c r="TUO67"/>
      <c r="TUP67" s="132"/>
      <c r="TUQ67"/>
      <c r="TUR67" s="125"/>
      <c r="TUS67" s="133"/>
      <c r="TUT67"/>
      <c r="TUU67" s="126"/>
      <c r="TUV67" s="127"/>
      <c r="TUW67" s="128"/>
      <c r="TUX67" s="128"/>
      <c r="TUY67" s="127"/>
      <c r="TUZ67" s="129"/>
      <c r="TVA67" s="127"/>
      <c r="TVB67" s="129"/>
      <c r="TVC67" s="130"/>
      <c r="TVD67" s="131"/>
      <c r="TVE67"/>
      <c r="TVF67" s="132"/>
      <c r="TVG67"/>
      <c r="TVH67" s="125"/>
      <c r="TVI67" s="133"/>
      <c r="TVJ67"/>
      <c r="TVK67" s="126"/>
      <c r="TVL67" s="127"/>
      <c r="TVM67" s="128"/>
      <c r="TVN67" s="128"/>
      <c r="TVO67" s="127"/>
      <c r="TVP67" s="129"/>
      <c r="TVQ67" s="127"/>
      <c r="TVR67" s="129"/>
      <c r="TVS67" s="130"/>
      <c r="TVT67" s="131"/>
      <c r="TVU67"/>
      <c r="TVV67" s="132"/>
      <c r="TVW67"/>
      <c r="TVX67" s="125"/>
      <c r="TVY67" s="133"/>
      <c r="TVZ67"/>
      <c r="TWA67" s="126"/>
      <c r="TWB67" s="127"/>
      <c r="TWC67" s="128"/>
      <c r="TWD67" s="128"/>
      <c r="TWE67" s="127"/>
      <c r="TWF67" s="129"/>
      <c r="TWG67" s="127"/>
      <c r="TWH67" s="129"/>
      <c r="TWI67" s="130"/>
      <c r="TWJ67" s="131"/>
      <c r="TWK67"/>
      <c r="TWL67" s="132"/>
      <c r="TWM67"/>
      <c r="TWN67" s="125"/>
      <c r="TWO67" s="133"/>
      <c r="TWP67"/>
      <c r="TWQ67" s="126"/>
      <c r="TWR67" s="127"/>
      <c r="TWS67" s="128"/>
      <c r="TWT67" s="128"/>
      <c r="TWU67" s="127"/>
      <c r="TWV67" s="129"/>
      <c r="TWW67" s="127"/>
      <c r="TWX67" s="129"/>
      <c r="TWY67" s="130"/>
      <c r="TWZ67" s="131"/>
      <c r="TXA67"/>
      <c r="TXB67" s="132"/>
      <c r="TXC67"/>
      <c r="TXD67" s="125"/>
      <c r="TXE67" s="133"/>
      <c r="TXF67"/>
      <c r="TXG67" s="126"/>
      <c r="TXH67" s="127"/>
      <c r="TXI67" s="128"/>
      <c r="TXJ67" s="128"/>
      <c r="TXK67" s="127"/>
      <c r="TXL67" s="129"/>
      <c r="TXM67" s="127"/>
      <c r="TXN67" s="129"/>
      <c r="TXO67" s="130"/>
      <c r="TXP67" s="131"/>
      <c r="TXQ67"/>
      <c r="TXR67" s="132"/>
      <c r="TXS67"/>
      <c r="TXT67" s="125"/>
      <c r="TXU67" s="133"/>
      <c r="TXV67"/>
      <c r="TXW67" s="126"/>
      <c r="TXX67" s="127"/>
      <c r="TXY67" s="128"/>
      <c r="TXZ67" s="128"/>
      <c r="TYA67" s="127"/>
      <c r="TYB67" s="129"/>
      <c r="TYC67" s="127"/>
      <c r="TYD67" s="129"/>
      <c r="TYE67" s="130"/>
      <c r="TYF67" s="131"/>
      <c r="TYG67"/>
      <c r="TYH67" s="132"/>
      <c r="TYI67"/>
      <c r="TYJ67" s="125"/>
      <c r="TYK67" s="133"/>
      <c r="TYL67"/>
      <c r="TYM67" s="126"/>
      <c r="TYN67" s="127"/>
      <c r="TYO67" s="128"/>
      <c r="TYP67" s="128"/>
      <c r="TYQ67" s="127"/>
      <c r="TYR67" s="129"/>
      <c r="TYS67" s="127"/>
      <c r="TYT67" s="129"/>
      <c r="TYU67" s="130"/>
      <c r="TYV67" s="131"/>
      <c r="TYW67"/>
      <c r="TYX67" s="132"/>
      <c r="TYY67"/>
      <c r="TYZ67" s="125"/>
      <c r="TZA67" s="133"/>
      <c r="TZB67"/>
      <c r="TZC67" s="126"/>
      <c r="TZD67" s="127"/>
      <c r="TZE67" s="128"/>
      <c r="TZF67" s="128"/>
      <c r="TZG67" s="127"/>
      <c r="TZH67" s="129"/>
      <c r="TZI67" s="127"/>
      <c r="TZJ67" s="129"/>
      <c r="TZK67" s="130"/>
      <c r="TZL67" s="131"/>
      <c r="TZM67"/>
      <c r="TZN67" s="132"/>
      <c r="TZO67"/>
      <c r="TZP67" s="125"/>
      <c r="TZQ67" s="133"/>
      <c r="TZR67"/>
      <c r="TZS67" s="126"/>
      <c r="TZT67" s="127"/>
      <c r="TZU67" s="128"/>
      <c r="TZV67" s="128"/>
      <c r="TZW67" s="127"/>
      <c r="TZX67" s="129"/>
      <c r="TZY67" s="127"/>
      <c r="TZZ67" s="129"/>
      <c r="UAA67" s="130"/>
      <c r="UAB67" s="131"/>
      <c r="UAC67"/>
      <c r="UAD67" s="132"/>
      <c r="UAE67"/>
      <c r="UAF67" s="125"/>
      <c r="UAG67" s="133"/>
      <c r="UAH67"/>
      <c r="UAI67" s="126"/>
      <c r="UAJ67" s="127"/>
      <c r="UAK67" s="128"/>
      <c r="UAL67" s="128"/>
      <c r="UAM67" s="127"/>
      <c r="UAN67" s="129"/>
      <c r="UAO67" s="127"/>
      <c r="UAP67" s="129"/>
      <c r="UAQ67" s="130"/>
      <c r="UAR67" s="131"/>
      <c r="UAS67"/>
      <c r="UAT67" s="132"/>
      <c r="UAU67"/>
      <c r="UAV67" s="125"/>
      <c r="UAW67" s="133"/>
      <c r="UAX67"/>
      <c r="UAY67" s="126"/>
      <c r="UAZ67" s="127"/>
      <c r="UBA67" s="128"/>
      <c r="UBB67" s="128"/>
      <c r="UBC67" s="127"/>
      <c r="UBD67" s="129"/>
      <c r="UBE67" s="127"/>
      <c r="UBF67" s="129"/>
      <c r="UBG67" s="130"/>
      <c r="UBH67" s="131"/>
      <c r="UBI67"/>
      <c r="UBJ67" s="132"/>
      <c r="UBK67"/>
      <c r="UBL67" s="125"/>
      <c r="UBM67" s="133"/>
      <c r="UBN67"/>
      <c r="UBO67" s="126"/>
      <c r="UBP67" s="127"/>
      <c r="UBQ67" s="128"/>
      <c r="UBR67" s="128"/>
      <c r="UBS67" s="127"/>
      <c r="UBT67" s="129"/>
      <c r="UBU67" s="127"/>
      <c r="UBV67" s="129"/>
      <c r="UBW67" s="130"/>
      <c r="UBX67" s="131"/>
      <c r="UBY67"/>
      <c r="UBZ67" s="132"/>
      <c r="UCA67"/>
      <c r="UCB67" s="125"/>
      <c r="UCC67" s="133"/>
      <c r="UCD67"/>
      <c r="UCE67" s="126"/>
      <c r="UCF67" s="127"/>
      <c r="UCG67" s="128"/>
      <c r="UCH67" s="128"/>
      <c r="UCI67" s="127"/>
      <c r="UCJ67" s="129"/>
      <c r="UCK67" s="127"/>
      <c r="UCL67" s="129"/>
      <c r="UCM67" s="130"/>
      <c r="UCN67" s="131"/>
      <c r="UCO67"/>
      <c r="UCP67" s="132"/>
      <c r="UCQ67"/>
      <c r="UCR67" s="125"/>
      <c r="UCS67" s="133"/>
      <c r="UCT67"/>
      <c r="UCU67" s="126"/>
      <c r="UCV67" s="127"/>
      <c r="UCW67" s="128"/>
      <c r="UCX67" s="128"/>
      <c r="UCY67" s="127"/>
      <c r="UCZ67" s="129"/>
      <c r="UDA67" s="127"/>
      <c r="UDB67" s="129"/>
      <c r="UDC67" s="130"/>
      <c r="UDD67" s="131"/>
      <c r="UDE67"/>
      <c r="UDF67" s="132"/>
      <c r="UDG67"/>
      <c r="UDH67" s="125"/>
      <c r="UDI67" s="133"/>
      <c r="UDJ67"/>
      <c r="UDK67" s="126"/>
      <c r="UDL67" s="127"/>
      <c r="UDM67" s="128"/>
      <c r="UDN67" s="128"/>
      <c r="UDO67" s="127"/>
      <c r="UDP67" s="129"/>
      <c r="UDQ67" s="127"/>
      <c r="UDR67" s="129"/>
      <c r="UDS67" s="130"/>
      <c r="UDT67" s="131"/>
      <c r="UDU67"/>
      <c r="UDV67" s="132"/>
      <c r="UDW67"/>
      <c r="UDX67" s="125"/>
      <c r="UDY67" s="133"/>
      <c r="UDZ67"/>
      <c r="UEA67" s="126"/>
      <c r="UEB67" s="127"/>
      <c r="UEC67" s="128"/>
      <c r="UED67" s="128"/>
      <c r="UEE67" s="127"/>
      <c r="UEF67" s="129"/>
      <c r="UEG67" s="127"/>
      <c r="UEH67" s="129"/>
      <c r="UEI67" s="130"/>
      <c r="UEJ67" s="131"/>
      <c r="UEK67"/>
      <c r="UEL67" s="132"/>
      <c r="UEM67"/>
      <c r="UEN67" s="125"/>
      <c r="UEO67" s="133"/>
      <c r="UEP67"/>
      <c r="UEQ67" s="126"/>
      <c r="UER67" s="127"/>
      <c r="UES67" s="128"/>
      <c r="UET67" s="128"/>
      <c r="UEU67" s="127"/>
      <c r="UEV67" s="129"/>
      <c r="UEW67" s="127"/>
      <c r="UEX67" s="129"/>
      <c r="UEY67" s="130"/>
      <c r="UEZ67" s="131"/>
      <c r="UFA67"/>
      <c r="UFB67" s="132"/>
      <c r="UFC67"/>
      <c r="UFD67" s="125"/>
      <c r="UFE67" s="133"/>
      <c r="UFF67"/>
      <c r="UFG67" s="126"/>
      <c r="UFH67" s="127"/>
      <c r="UFI67" s="128"/>
      <c r="UFJ67" s="128"/>
      <c r="UFK67" s="127"/>
      <c r="UFL67" s="129"/>
      <c r="UFM67" s="127"/>
      <c r="UFN67" s="129"/>
      <c r="UFO67" s="130"/>
      <c r="UFP67" s="131"/>
      <c r="UFQ67"/>
      <c r="UFR67" s="132"/>
      <c r="UFS67"/>
      <c r="UFT67" s="125"/>
      <c r="UFU67" s="133"/>
      <c r="UFV67"/>
      <c r="UFW67" s="126"/>
      <c r="UFX67" s="127"/>
      <c r="UFY67" s="128"/>
      <c r="UFZ67" s="128"/>
      <c r="UGA67" s="127"/>
      <c r="UGB67" s="129"/>
      <c r="UGC67" s="127"/>
      <c r="UGD67" s="129"/>
      <c r="UGE67" s="130"/>
      <c r="UGF67" s="131"/>
      <c r="UGG67"/>
      <c r="UGH67" s="132"/>
      <c r="UGI67"/>
      <c r="UGJ67" s="125"/>
      <c r="UGK67" s="133"/>
      <c r="UGL67"/>
      <c r="UGM67" s="126"/>
      <c r="UGN67" s="127"/>
      <c r="UGO67" s="128"/>
      <c r="UGP67" s="128"/>
      <c r="UGQ67" s="127"/>
      <c r="UGR67" s="129"/>
      <c r="UGS67" s="127"/>
      <c r="UGT67" s="129"/>
      <c r="UGU67" s="130"/>
      <c r="UGV67" s="131"/>
      <c r="UGW67"/>
      <c r="UGX67" s="132"/>
      <c r="UGY67"/>
      <c r="UGZ67" s="125"/>
      <c r="UHA67" s="133"/>
      <c r="UHB67"/>
      <c r="UHC67" s="126"/>
      <c r="UHD67" s="127"/>
      <c r="UHE67" s="128"/>
      <c r="UHF67" s="128"/>
      <c r="UHG67" s="127"/>
      <c r="UHH67" s="129"/>
      <c r="UHI67" s="127"/>
      <c r="UHJ67" s="129"/>
      <c r="UHK67" s="130"/>
      <c r="UHL67" s="131"/>
      <c r="UHM67"/>
      <c r="UHN67" s="132"/>
      <c r="UHO67"/>
      <c r="UHP67" s="125"/>
      <c r="UHQ67" s="133"/>
      <c r="UHR67"/>
      <c r="UHS67" s="126"/>
      <c r="UHT67" s="127"/>
      <c r="UHU67" s="128"/>
      <c r="UHV67" s="128"/>
      <c r="UHW67" s="127"/>
      <c r="UHX67" s="129"/>
      <c r="UHY67" s="127"/>
      <c r="UHZ67" s="129"/>
      <c r="UIA67" s="130"/>
      <c r="UIB67" s="131"/>
      <c r="UIC67"/>
      <c r="UID67" s="132"/>
      <c r="UIE67"/>
      <c r="UIF67" s="125"/>
      <c r="UIG67" s="133"/>
      <c r="UIH67"/>
      <c r="UII67" s="126"/>
      <c r="UIJ67" s="127"/>
      <c r="UIK67" s="128"/>
      <c r="UIL67" s="128"/>
      <c r="UIM67" s="127"/>
      <c r="UIN67" s="129"/>
      <c r="UIO67" s="127"/>
      <c r="UIP67" s="129"/>
      <c r="UIQ67" s="130"/>
      <c r="UIR67" s="131"/>
      <c r="UIS67"/>
      <c r="UIT67" s="132"/>
      <c r="UIU67"/>
      <c r="UIV67" s="125"/>
      <c r="UIW67" s="133"/>
      <c r="UIX67"/>
      <c r="UIY67" s="126"/>
      <c r="UIZ67" s="127"/>
      <c r="UJA67" s="128"/>
      <c r="UJB67" s="128"/>
      <c r="UJC67" s="127"/>
      <c r="UJD67" s="129"/>
      <c r="UJE67" s="127"/>
      <c r="UJF67" s="129"/>
      <c r="UJG67" s="130"/>
      <c r="UJH67" s="131"/>
      <c r="UJI67"/>
      <c r="UJJ67" s="132"/>
      <c r="UJK67"/>
      <c r="UJL67" s="125"/>
      <c r="UJM67" s="133"/>
      <c r="UJN67"/>
      <c r="UJO67" s="126"/>
      <c r="UJP67" s="127"/>
      <c r="UJQ67" s="128"/>
      <c r="UJR67" s="128"/>
      <c r="UJS67" s="127"/>
      <c r="UJT67" s="129"/>
      <c r="UJU67" s="127"/>
      <c r="UJV67" s="129"/>
      <c r="UJW67" s="130"/>
      <c r="UJX67" s="131"/>
      <c r="UJY67"/>
      <c r="UJZ67" s="132"/>
      <c r="UKA67"/>
      <c r="UKB67" s="125"/>
      <c r="UKC67" s="133"/>
      <c r="UKD67"/>
      <c r="UKE67" s="126"/>
      <c r="UKF67" s="127"/>
      <c r="UKG67" s="128"/>
      <c r="UKH67" s="128"/>
      <c r="UKI67" s="127"/>
      <c r="UKJ67" s="129"/>
      <c r="UKK67" s="127"/>
      <c r="UKL67" s="129"/>
      <c r="UKM67" s="130"/>
      <c r="UKN67" s="131"/>
      <c r="UKO67"/>
      <c r="UKP67" s="132"/>
      <c r="UKQ67"/>
      <c r="UKR67" s="125"/>
      <c r="UKS67" s="133"/>
      <c r="UKT67"/>
      <c r="UKU67" s="126"/>
      <c r="UKV67" s="127"/>
      <c r="UKW67" s="128"/>
      <c r="UKX67" s="128"/>
      <c r="UKY67" s="127"/>
      <c r="UKZ67" s="129"/>
      <c r="ULA67" s="127"/>
      <c r="ULB67" s="129"/>
      <c r="ULC67" s="130"/>
      <c r="ULD67" s="131"/>
      <c r="ULE67"/>
      <c r="ULF67" s="132"/>
      <c r="ULG67"/>
      <c r="ULH67" s="125"/>
      <c r="ULI67" s="133"/>
      <c r="ULJ67"/>
      <c r="ULK67" s="126"/>
      <c r="ULL67" s="127"/>
      <c r="ULM67" s="128"/>
      <c r="ULN67" s="128"/>
      <c r="ULO67" s="127"/>
      <c r="ULP67" s="129"/>
      <c r="ULQ67" s="127"/>
      <c r="ULR67" s="129"/>
      <c r="ULS67" s="130"/>
      <c r="ULT67" s="131"/>
      <c r="ULU67"/>
      <c r="ULV67" s="132"/>
      <c r="ULW67"/>
      <c r="ULX67" s="125"/>
      <c r="ULY67" s="133"/>
      <c r="ULZ67"/>
      <c r="UMA67" s="126"/>
      <c r="UMB67" s="127"/>
      <c r="UMC67" s="128"/>
      <c r="UMD67" s="128"/>
      <c r="UME67" s="127"/>
      <c r="UMF67" s="129"/>
      <c r="UMG67" s="127"/>
      <c r="UMH67" s="129"/>
      <c r="UMI67" s="130"/>
      <c r="UMJ67" s="131"/>
      <c r="UMK67"/>
      <c r="UML67" s="132"/>
      <c r="UMM67"/>
      <c r="UMN67" s="125"/>
      <c r="UMO67" s="133"/>
      <c r="UMP67"/>
      <c r="UMQ67" s="126"/>
      <c r="UMR67" s="127"/>
      <c r="UMS67" s="128"/>
      <c r="UMT67" s="128"/>
      <c r="UMU67" s="127"/>
      <c r="UMV67" s="129"/>
      <c r="UMW67" s="127"/>
      <c r="UMX67" s="129"/>
      <c r="UMY67" s="130"/>
      <c r="UMZ67" s="131"/>
      <c r="UNA67"/>
      <c r="UNB67" s="132"/>
      <c r="UNC67"/>
      <c r="UND67" s="125"/>
      <c r="UNE67" s="133"/>
      <c r="UNF67"/>
      <c r="UNG67" s="126"/>
      <c r="UNH67" s="127"/>
      <c r="UNI67" s="128"/>
      <c r="UNJ67" s="128"/>
      <c r="UNK67" s="127"/>
      <c r="UNL67" s="129"/>
      <c r="UNM67" s="127"/>
      <c r="UNN67" s="129"/>
      <c r="UNO67" s="130"/>
      <c r="UNP67" s="131"/>
      <c r="UNQ67"/>
      <c r="UNR67" s="132"/>
      <c r="UNS67"/>
      <c r="UNT67" s="125"/>
      <c r="UNU67" s="133"/>
      <c r="UNV67"/>
      <c r="UNW67" s="126"/>
      <c r="UNX67" s="127"/>
      <c r="UNY67" s="128"/>
      <c r="UNZ67" s="128"/>
      <c r="UOA67" s="127"/>
      <c r="UOB67" s="129"/>
      <c r="UOC67" s="127"/>
      <c r="UOD67" s="129"/>
      <c r="UOE67" s="130"/>
      <c r="UOF67" s="131"/>
      <c r="UOG67"/>
      <c r="UOH67" s="132"/>
      <c r="UOI67"/>
      <c r="UOJ67" s="125"/>
      <c r="UOK67" s="133"/>
      <c r="UOL67"/>
      <c r="UOM67" s="126"/>
      <c r="UON67" s="127"/>
      <c r="UOO67" s="128"/>
      <c r="UOP67" s="128"/>
      <c r="UOQ67" s="127"/>
      <c r="UOR67" s="129"/>
      <c r="UOS67" s="127"/>
      <c r="UOT67" s="129"/>
      <c r="UOU67" s="130"/>
      <c r="UOV67" s="131"/>
      <c r="UOW67"/>
      <c r="UOX67" s="132"/>
      <c r="UOY67"/>
      <c r="UOZ67" s="125"/>
      <c r="UPA67" s="133"/>
      <c r="UPB67"/>
      <c r="UPC67" s="126"/>
      <c r="UPD67" s="127"/>
      <c r="UPE67" s="128"/>
      <c r="UPF67" s="128"/>
      <c r="UPG67" s="127"/>
      <c r="UPH67" s="129"/>
      <c r="UPI67" s="127"/>
      <c r="UPJ67" s="129"/>
      <c r="UPK67" s="130"/>
      <c r="UPL67" s="131"/>
      <c r="UPM67"/>
      <c r="UPN67" s="132"/>
      <c r="UPO67"/>
      <c r="UPP67" s="125"/>
      <c r="UPQ67" s="133"/>
      <c r="UPR67"/>
      <c r="UPS67" s="126"/>
      <c r="UPT67" s="127"/>
      <c r="UPU67" s="128"/>
      <c r="UPV67" s="128"/>
      <c r="UPW67" s="127"/>
      <c r="UPX67" s="129"/>
      <c r="UPY67" s="127"/>
      <c r="UPZ67" s="129"/>
      <c r="UQA67" s="130"/>
      <c r="UQB67" s="131"/>
      <c r="UQC67"/>
      <c r="UQD67" s="132"/>
      <c r="UQE67"/>
      <c r="UQF67" s="125"/>
      <c r="UQG67" s="133"/>
      <c r="UQH67"/>
      <c r="UQI67" s="126"/>
      <c r="UQJ67" s="127"/>
      <c r="UQK67" s="128"/>
      <c r="UQL67" s="128"/>
      <c r="UQM67" s="127"/>
      <c r="UQN67" s="129"/>
      <c r="UQO67" s="127"/>
      <c r="UQP67" s="129"/>
      <c r="UQQ67" s="130"/>
      <c r="UQR67" s="131"/>
      <c r="UQS67"/>
      <c r="UQT67" s="132"/>
      <c r="UQU67"/>
      <c r="UQV67" s="125"/>
      <c r="UQW67" s="133"/>
      <c r="UQX67"/>
      <c r="UQY67" s="126"/>
      <c r="UQZ67" s="127"/>
      <c r="URA67" s="128"/>
      <c r="URB67" s="128"/>
      <c r="URC67" s="127"/>
      <c r="URD67" s="129"/>
      <c r="URE67" s="127"/>
      <c r="URF67" s="129"/>
      <c r="URG67" s="130"/>
      <c r="URH67" s="131"/>
      <c r="URI67"/>
      <c r="URJ67" s="132"/>
      <c r="URK67"/>
      <c r="URL67" s="125"/>
      <c r="URM67" s="133"/>
      <c r="URN67"/>
      <c r="URO67" s="126"/>
      <c r="URP67" s="127"/>
      <c r="URQ67" s="128"/>
      <c r="URR67" s="128"/>
      <c r="URS67" s="127"/>
      <c r="URT67" s="129"/>
      <c r="URU67" s="127"/>
      <c r="URV67" s="129"/>
      <c r="URW67" s="130"/>
      <c r="URX67" s="131"/>
      <c r="URY67"/>
      <c r="URZ67" s="132"/>
      <c r="USA67"/>
      <c r="USB67" s="125"/>
      <c r="USC67" s="133"/>
      <c r="USD67"/>
      <c r="USE67" s="126"/>
      <c r="USF67" s="127"/>
      <c r="USG67" s="128"/>
      <c r="USH67" s="128"/>
      <c r="USI67" s="127"/>
      <c r="USJ67" s="129"/>
      <c r="USK67" s="127"/>
      <c r="USL67" s="129"/>
      <c r="USM67" s="130"/>
      <c r="USN67" s="131"/>
      <c r="USO67"/>
      <c r="USP67" s="132"/>
      <c r="USQ67"/>
      <c r="USR67" s="125"/>
      <c r="USS67" s="133"/>
      <c r="UST67"/>
      <c r="USU67" s="126"/>
      <c r="USV67" s="127"/>
      <c r="USW67" s="128"/>
      <c r="USX67" s="128"/>
      <c r="USY67" s="127"/>
      <c r="USZ67" s="129"/>
      <c r="UTA67" s="127"/>
      <c r="UTB67" s="129"/>
      <c r="UTC67" s="130"/>
      <c r="UTD67" s="131"/>
      <c r="UTE67"/>
      <c r="UTF67" s="132"/>
      <c r="UTG67"/>
      <c r="UTH67" s="125"/>
      <c r="UTI67" s="133"/>
      <c r="UTJ67"/>
      <c r="UTK67" s="126"/>
      <c r="UTL67" s="127"/>
      <c r="UTM67" s="128"/>
      <c r="UTN67" s="128"/>
      <c r="UTO67" s="127"/>
      <c r="UTP67" s="129"/>
      <c r="UTQ67" s="127"/>
      <c r="UTR67" s="129"/>
      <c r="UTS67" s="130"/>
      <c r="UTT67" s="131"/>
      <c r="UTU67"/>
      <c r="UTV67" s="132"/>
      <c r="UTW67"/>
      <c r="UTX67" s="125"/>
      <c r="UTY67" s="133"/>
      <c r="UTZ67"/>
      <c r="UUA67" s="126"/>
      <c r="UUB67" s="127"/>
      <c r="UUC67" s="128"/>
      <c r="UUD67" s="128"/>
      <c r="UUE67" s="127"/>
      <c r="UUF67" s="129"/>
      <c r="UUG67" s="127"/>
      <c r="UUH67" s="129"/>
      <c r="UUI67" s="130"/>
      <c r="UUJ67" s="131"/>
      <c r="UUK67"/>
      <c r="UUL67" s="132"/>
      <c r="UUM67"/>
      <c r="UUN67" s="125"/>
      <c r="UUO67" s="133"/>
      <c r="UUP67"/>
      <c r="UUQ67" s="126"/>
      <c r="UUR67" s="127"/>
      <c r="UUS67" s="128"/>
      <c r="UUT67" s="128"/>
      <c r="UUU67" s="127"/>
      <c r="UUV67" s="129"/>
      <c r="UUW67" s="127"/>
      <c r="UUX67" s="129"/>
      <c r="UUY67" s="130"/>
      <c r="UUZ67" s="131"/>
      <c r="UVA67"/>
      <c r="UVB67" s="132"/>
      <c r="UVC67"/>
      <c r="UVD67" s="125"/>
      <c r="UVE67" s="133"/>
      <c r="UVF67"/>
      <c r="UVG67" s="126"/>
      <c r="UVH67" s="127"/>
      <c r="UVI67" s="128"/>
      <c r="UVJ67" s="128"/>
      <c r="UVK67" s="127"/>
      <c r="UVL67" s="129"/>
      <c r="UVM67" s="127"/>
      <c r="UVN67" s="129"/>
      <c r="UVO67" s="130"/>
      <c r="UVP67" s="131"/>
      <c r="UVQ67"/>
      <c r="UVR67" s="132"/>
      <c r="UVS67"/>
      <c r="UVT67" s="125"/>
      <c r="UVU67" s="133"/>
      <c r="UVV67"/>
      <c r="UVW67" s="126"/>
      <c r="UVX67" s="127"/>
      <c r="UVY67" s="128"/>
      <c r="UVZ67" s="128"/>
      <c r="UWA67" s="127"/>
      <c r="UWB67" s="129"/>
      <c r="UWC67" s="127"/>
      <c r="UWD67" s="129"/>
      <c r="UWE67" s="130"/>
      <c r="UWF67" s="131"/>
      <c r="UWG67"/>
      <c r="UWH67" s="132"/>
      <c r="UWI67"/>
      <c r="UWJ67" s="125"/>
      <c r="UWK67" s="133"/>
      <c r="UWL67"/>
      <c r="UWM67" s="126"/>
      <c r="UWN67" s="127"/>
      <c r="UWO67" s="128"/>
      <c r="UWP67" s="128"/>
      <c r="UWQ67" s="127"/>
      <c r="UWR67" s="129"/>
      <c r="UWS67" s="127"/>
      <c r="UWT67" s="129"/>
      <c r="UWU67" s="130"/>
      <c r="UWV67" s="131"/>
      <c r="UWW67"/>
      <c r="UWX67" s="132"/>
      <c r="UWY67"/>
      <c r="UWZ67" s="125"/>
      <c r="UXA67" s="133"/>
      <c r="UXB67"/>
      <c r="UXC67" s="126"/>
      <c r="UXD67" s="127"/>
      <c r="UXE67" s="128"/>
      <c r="UXF67" s="128"/>
      <c r="UXG67" s="127"/>
      <c r="UXH67" s="129"/>
      <c r="UXI67" s="127"/>
      <c r="UXJ67" s="129"/>
      <c r="UXK67" s="130"/>
      <c r="UXL67" s="131"/>
      <c r="UXM67"/>
      <c r="UXN67" s="132"/>
      <c r="UXO67"/>
      <c r="UXP67" s="125"/>
      <c r="UXQ67" s="133"/>
      <c r="UXR67"/>
      <c r="UXS67" s="126"/>
      <c r="UXT67" s="127"/>
      <c r="UXU67" s="128"/>
      <c r="UXV67" s="128"/>
      <c r="UXW67" s="127"/>
      <c r="UXX67" s="129"/>
      <c r="UXY67" s="127"/>
      <c r="UXZ67" s="129"/>
      <c r="UYA67" s="130"/>
      <c r="UYB67" s="131"/>
      <c r="UYC67"/>
      <c r="UYD67" s="132"/>
      <c r="UYE67"/>
      <c r="UYF67" s="125"/>
      <c r="UYG67" s="133"/>
      <c r="UYH67"/>
      <c r="UYI67" s="126"/>
      <c r="UYJ67" s="127"/>
      <c r="UYK67" s="128"/>
      <c r="UYL67" s="128"/>
      <c r="UYM67" s="127"/>
      <c r="UYN67" s="129"/>
      <c r="UYO67" s="127"/>
      <c r="UYP67" s="129"/>
      <c r="UYQ67" s="130"/>
      <c r="UYR67" s="131"/>
      <c r="UYS67"/>
      <c r="UYT67" s="132"/>
      <c r="UYU67"/>
      <c r="UYV67" s="125"/>
      <c r="UYW67" s="133"/>
      <c r="UYX67"/>
      <c r="UYY67" s="126"/>
      <c r="UYZ67" s="127"/>
      <c r="UZA67" s="128"/>
      <c r="UZB67" s="128"/>
      <c r="UZC67" s="127"/>
      <c r="UZD67" s="129"/>
      <c r="UZE67" s="127"/>
      <c r="UZF67" s="129"/>
      <c r="UZG67" s="130"/>
      <c r="UZH67" s="131"/>
      <c r="UZI67"/>
      <c r="UZJ67" s="132"/>
      <c r="UZK67"/>
      <c r="UZL67" s="125"/>
      <c r="UZM67" s="133"/>
      <c r="UZN67"/>
      <c r="UZO67" s="126"/>
      <c r="UZP67" s="127"/>
      <c r="UZQ67" s="128"/>
      <c r="UZR67" s="128"/>
      <c r="UZS67" s="127"/>
      <c r="UZT67" s="129"/>
      <c r="UZU67" s="127"/>
      <c r="UZV67" s="129"/>
      <c r="UZW67" s="130"/>
      <c r="UZX67" s="131"/>
      <c r="UZY67"/>
      <c r="UZZ67" s="132"/>
      <c r="VAA67"/>
      <c r="VAB67" s="125"/>
      <c r="VAC67" s="133"/>
      <c r="VAD67"/>
      <c r="VAE67" s="126"/>
      <c r="VAF67" s="127"/>
      <c r="VAG67" s="128"/>
      <c r="VAH67" s="128"/>
      <c r="VAI67" s="127"/>
      <c r="VAJ67" s="129"/>
      <c r="VAK67" s="127"/>
      <c r="VAL67" s="129"/>
      <c r="VAM67" s="130"/>
      <c r="VAN67" s="131"/>
      <c r="VAO67"/>
      <c r="VAP67" s="132"/>
      <c r="VAQ67"/>
      <c r="VAR67" s="125"/>
      <c r="VAS67" s="133"/>
      <c r="VAT67"/>
      <c r="VAU67" s="126"/>
      <c r="VAV67" s="127"/>
      <c r="VAW67" s="128"/>
      <c r="VAX67" s="128"/>
      <c r="VAY67" s="127"/>
      <c r="VAZ67" s="129"/>
      <c r="VBA67" s="127"/>
      <c r="VBB67" s="129"/>
      <c r="VBC67" s="130"/>
      <c r="VBD67" s="131"/>
      <c r="VBE67"/>
      <c r="VBF67" s="132"/>
      <c r="VBG67"/>
      <c r="VBH67" s="125"/>
      <c r="VBI67" s="133"/>
      <c r="VBJ67"/>
      <c r="VBK67" s="126"/>
      <c r="VBL67" s="127"/>
      <c r="VBM67" s="128"/>
      <c r="VBN67" s="128"/>
      <c r="VBO67" s="127"/>
      <c r="VBP67" s="129"/>
      <c r="VBQ67" s="127"/>
      <c r="VBR67" s="129"/>
      <c r="VBS67" s="130"/>
      <c r="VBT67" s="131"/>
      <c r="VBU67"/>
      <c r="VBV67" s="132"/>
      <c r="VBW67"/>
      <c r="VBX67" s="125"/>
      <c r="VBY67" s="133"/>
      <c r="VBZ67"/>
      <c r="VCA67" s="126"/>
      <c r="VCB67" s="127"/>
      <c r="VCC67" s="128"/>
      <c r="VCD67" s="128"/>
      <c r="VCE67" s="127"/>
      <c r="VCF67" s="129"/>
      <c r="VCG67" s="127"/>
      <c r="VCH67" s="129"/>
      <c r="VCI67" s="130"/>
      <c r="VCJ67" s="131"/>
      <c r="VCK67"/>
      <c r="VCL67" s="132"/>
      <c r="VCM67"/>
      <c r="VCN67" s="125"/>
      <c r="VCO67" s="133"/>
      <c r="VCP67"/>
      <c r="VCQ67" s="126"/>
      <c r="VCR67" s="127"/>
      <c r="VCS67" s="128"/>
      <c r="VCT67" s="128"/>
      <c r="VCU67" s="127"/>
      <c r="VCV67" s="129"/>
      <c r="VCW67" s="127"/>
      <c r="VCX67" s="129"/>
      <c r="VCY67" s="130"/>
      <c r="VCZ67" s="131"/>
      <c r="VDA67"/>
      <c r="VDB67" s="132"/>
      <c r="VDC67"/>
      <c r="VDD67" s="125"/>
      <c r="VDE67" s="133"/>
      <c r="VDF67"/>
      <c r="VDG67" s="126"/>
      <c r="VDH67" s="127"/>
      <c r="VDI67" s="128"/>
      <c r="VDJ67" s="128"/>
      <c r="VDK67" s="127"/>
      <c r="VDL67" s="129"/>
      <c r="VDM67" s="127"/>
      <c r="VDN67" s="129"/>
      <c r="VDO67" s="130"/>
      <c r="VDP67" s="131"/>
      <c r="VDQ67"/>
      <c r="VDR67" s="132"/>
      <c r="VDS67"/>
      <c r="VDT67" s="125"/>
      <c r="VDU67" s="133"/>
      <c r="VDV67"/>
      <c r="VDW67" s="126"/>
      <c r="VDX67" s="127"/>
      <c r="VDY67" s="128"/>
      <c r="VDZ67" s="128"/>
      <c r="VEA67" s="127"/>
      <c r="VEB67" s="129"/>
      <c r="VEC67" s="127"/>
      <c r="VED67" s="129"/>
      <c r="VEE67" s="130"/>
      <c r="VEF67" s="131"/>
      <c r="VEG67"/>
      <c r="VEH67" s="132"/>
      <c r="VEI67"/>
      <c r="VEJ67" s="125"/>
      <c r="VEK67" s="133"/>
      <c r="VEL67"/>
      <c r="VEM67" s="126"/>
      <c r="VEN67" s="127"/>
      <c r="VEO67" s="128"/>
      <c r="VEP67" s="128"/>
      <c r="VEQ67" s="127"/>
      <c r="VER67" s="129"/>
      <c r="VES67" s="127"/>
      <c r="VET67" s="129"/>
      <c r="VEU67" s="130"/>
      <c r="VEV67" s="131"/>
      <c r="VEW67"/>
      <c r="VEX67" s="132"/>
      <c r="VEY67"/>
      <c r="VEZ67" s="125"/>
      <c r="VFA67" s="133"/>
      <c r="VFB67"/>
      <c r="VFC67" s="126"/>
      <c r="VFD67" s="127"/>
      <c r="VFE67" s="128"/>
      <c r="VFF67" s="128"/>
      <c r="VFG67" s="127"/>
      <c r="VFH67" s="129"/>
      <c r="VFI67" s="127"/>
      <c r="VFJ67" s="129"/>
      <c r="VFK67" s="130"/>
      <c r="VFL67" s="131"/>
      <c r="VFM67"/>
      <c r="VFN67" s="132"/>
      <c r="VFO67"/>
      <c r="VFP67" s="125"/>
      <c r="VFQ67" s="133"/>
      <c r="VFR67"/>
      <c r="VFS67" s="126"/>
      <c r="VFT67" s="127"/>
      <c r="VFU67" s="128"/>
      <c r="VFV67" s="128"/>
      <c r="VFW67" s="127"/>
      <c r="VFX67" s="129"/>
      <c r="VFY67" s="127"/>
      <c r="VFZ67" s="129"/>
      <c r="VGA67" s="130"/>
      <c r="VGB67" s="131"/>
      <c r="VGC67"/>
      <c r="VGD67" s="132"/>
      <c r="VGE67"/>
      <c r="VGF67" s="125"/>
      <c r="VGG67" s="133"/>
      <c r="VGH67"/>
      <c r="VGI67" s="126"/>
      <c r="VGJ67" s="127"/>
      <c r="VGK67" s="128"/>
      <c r="VGL67" s="128"/>
      <c r="VGM67" s="127"/>
      <c r="VGN67" s="129"/>
      <c r="VGO67" s="127"/>
      <c r="VGP67" s="129"/>
      <c r="VGQ67" s="130"/>
      <c r="VGR67" s="131"/>
      <c r="VGS67"/>
      <c r="VGT67" s="132"/>
      <c r="VGU67"/>
      <c r="VGV67" s="125"/>
      <c r="VGW67" s="133"/>
      <c r="VGX67"/>
      <c r="VGY67" s="126"/>
      <c r="VGZ67" s="127"/>
      <c r="VHA67" s="128"/>
      <c r="VHB67" s="128"/>
    </row>
    <row r="68" spans="2:62 3072:12198 12789:15082" ht="28.8" x14ac:dyDescent="0.3">
      <c r="B68" s="260" t="s">
        <v>150</v>
      </c>
      <c r="C68" s="260"/>
      <c r="D68" s="260"/>
      <c r="E68" s="260"/>
      <c r="F68" s="260"/>
      <c r="G68" s="260"/>
      <c r="H68" s="260"/>
      <c r="I68" s="260"/>
      <c r="J68" s="260"/>
      <c r="K68" s="260"/>
      <c r="L68" s="260"/>
      <c r="M68" s="260"/>
      <c r="N68" s="260"/>
      <c r="O68" s="260"/>
      <c r="P68" s="260"/>
      <c r="Q68" s="260"/>
    </row>
    <row r="69" spans="2:62 3072:12198 12789:15082" ht="28.8" x14ac:dyDescent="0.3">
      <c r="B69" s="68" t="s">
        <v>1</v>
      </c>
      <c r="C69" s="223" t="s">
        <v>2</v>
      </c>
      <c r="D69" s="223"/>
      <c r="E69" s="8" t="s">
        <v>3</v>
      </c>
      <c r="F69" s="8" t="s">
        <v>4</v>
      </c>
      <c r="G69" s="8" t="s">
        <v>117</v>
      </c>
      <c r="H69" s="1" t="s">
        <v>51</v>
      </c>
      <c r="I69" s="63" t="s">
        <v>140</v>
      </c>
      <c r="J69" s="2" t="s">
        <v>9</v>
      </c>
      <c r="K69" s="2" t="s">
        <v>10</v>
      </c>
      <c r="L69" s="2" t="s">
        <v>11</v>
      </c>
      <c r="M69" s="8" t="s">
        <v>12</v>
      </c>
      <c r="N69" s="95" t="s">
        <v>13</v>
      </c>
      <c r="O69" s="95" t="s">
        <v>14</v>
      </c>
      <c r="P69" s="95" t="s">
        <v>141</v>
      </c>
      <c r="Q69" s="74" t="s">
        <v>142</v>
      </c>
    </row>
    <row r="70" spans="2:62 3072:12198 12789:15082" x14ac:dyDescent="0.3">
      <c r="B70" s="278" t="s">
        <v>151</v>
      </c>
      <c r="C70" s="178" t="s">
        <v>114</v>
      </c>
      <c r="D70" s="114" t="s">
        <v>17</v>
      </c>
      <c r="E70" s="115">
        <f>CEILING((((11100+297+50+85)*1.12)- 85)-150,50)</f>
        <v>12700</v>
      </c>
      <c r="F70" s="115">
        <v>85</v>
      </c>
      <c r="G70" s="115">
        <v>215</v>
      </c>
      <c r="H70" s="115">
        <v>75</v>
      </c>
      <c r="I70" s="115">
        <v>150</v>
      </c>
      <c r="J70" s="174">
        <f>SUM(E70:I70)</f>
        <v>13225</v>
      </c>
      <c r="K70" s="115">
        <v>200</v>
      </c>
      <c r="L70" s="174">
        <f>SUM(J70:K70)</f>
        <v>13425</v>
      </c>
      <c r="M70" s="117" t="s">
        <v>99</v>
      </c>
      <c r="N70" s="180" t="s">
        <v>60</v>
      </c>
      <c r="O70" s="175" t="s">
        <v>39</v>
      </c>
      <c r="P70" s="312" t="s">
        <v>57</v>
      </c>
      <c r="Q70" s="119" t="s">
        <v>92</v>
      </c>
    </row>
    <row r="71" spans="2:62 3072:12198 12789:15082" ht="15" thickBot="1" x14ac:dyDescent="0.35">
      <c r="B71" s="311"/>
      <c r="C71" s="178" t="s">
        <v>114</v>
      </c>
      <c r="D71" s="114" t="s">
        <v>22</v>
      </c>
      <c r="E71" s="115">
        <f>CEILING((((11300+297+50+85)*1.12)- 85)-150,50)</f>
        <v>12950</v>
      </c>
      <c r="F71" s="115">
        <v>85</v>
      </c>
      <c r="G71" s="115">
        <v>215</v>
      </c>
      <c r="H71" s="115">
        <v>75</v>
      </c>
      <c r="I71" s="115">
        <v>150</v>
      </c>
      <c r="J71" s="174">
        <f>SUM(E71:I71)</f>
        <v>13475</v>
      </c>
      <c r="K71" s="115">
        <v>200</v>
      </c>
      <c r="L71" s="174">
        <f>SUM(J71:K71)</f>
        <v>13675</v>
      </c>
      <c r="M71" s="117" t="s">
        <v>99</v>
      </c>
      <c r="N71" s="180" t="s">
        <v>60</v>
      </c>
      <c r="O71" s="175" t="s">
        <v>39</v>
      </c>
      <c r="P71" s="313"/>
      <c r="Q71" s="119" t="s">
        <v>92</v>
      </c>
    </row>
    <row r="72" spans="2:62 3072:12198 12789:15082" x14ac:dyDescent="0.3">
      <c r="B72" s="25"/>
      <c r="C72" s="25"/>
      <c r="E72" s="49"/>
      <c r="F72" s="50"/>
      <c r="G72" s="50"/>
      <c r="H72" s="50"/>
      <c r="I72" s="50"/>
      <c r="J72" s="51"/>
      <c r="K72" s="51"/>
      <c r="L72" s="51"/>
      <c r="M72" s="51"/>
      <c r="N72" s="89"/>
      <c r="O72" s="51"/>
      <c r="P72" s="52"/>
      <c r="Q72" s="53"/>
    </row>
    <row r="74" spans="2:62 3072:12198 12789:15082" ht="15.6" x14ac:dyDescent="0.3">
      <c r="B74" s="5" t="s">
        <v>32</v>
      </c>
      <c r="C74" s="6"/>
      <c r="D74" s="6"/>
      <c r="E74" s="6"/>
      <c r="F74" s="6"/>
      <c r="G74" s="6"/>
      <c r="H74" s="6"/>
      <c r="I74" s="6"/>
      <c r="J74" s="6"/>
      <c r="K74" s="6"/>
      <c r="L74" s="6"/>
      <c r="M74" s="6"/>
      <c r="N74" s="6"/>
      <c r="O74" s="6"/>
      <c r="P74" s="6"/>
      <c r="Q74" s="6"/>
      <c r="R74" s="6"/>
      <c r="S74" s="6"/>
      <c r="T74" s="6"/>
    </row>
    <row r="75" spans="2:62 3072:12198 12789:15082" x14ac:dyDescent="0.3">
      <c r="B75" s="239" t="s">
        <v>33</v>
      </c>
      <c r="C75" s="239"/>
      <c r="D75" s="239"/>
      <c r="E75" s="239"/>
      <c r="F75" s="239"/>
      <c r="G75" s="239"/>
      <c r="H75" s="239"/>
      <c r="I75" s="239"/>
      <c r="J75" s="239"/>
      <c r="K75" s="239"/>
      <c r="L75" s="239"/>
      <c r="M75" s="239"/>
      <c r="N75" s="239"/>
      <c r="O75" s="239"/>
      <c r="P75" s="239"/>
      <c r="Q75" s="239"/>
      <c r="R75" s="239"/>
      <c r="S75" s="239"/>
      <c r="T75" s="239"/>
    </row>
    <row r="76" spans="2:62 3072:12198 12789:15082" x14ac:dyDescent="0.3">
      <c r="B76" s="239"/>
      <c r="C76" s="239"/>
      <c r="D76" s="239"/>
      <c r="E76" s="239"/>
      <c r="F76" s="239"/>
      <c r="G76" s="239"/>
      <c r="H76" s="239"/>
      <c r="I76" s="239"/>
      <c r="J76" s="239"/>
      <c r="K76" s="239"/>
      <c r="L76" s="239"/>
      <c r="M76" s="239"/>
      <c r="N76" s="239"/>
      <c r="O76" s="239"/>
      <c r="P76" s="239"/>
      <c r="Q76" s="239"/>
      <c r="R76" s="239"/>
      <c r="S76" s="239"/>
      <c r="T76" s="239"/>
    </row>
    <row r="77" spans="2:62 3072:12198 12789:15082" x14ac:dyDescent="0.3">
      <c r="B77" s="239"/>
      <c r="C77" s="239"/>
      <c r="D77" s="239"/>
      <c r="E77" s="239"/>
      <c r="F77" s="239"/>
      <c r="G77" s="239"/>
      <c r="H77" s="239"/>
      <c r="I77" s="239"/>
      <c r="J77" s="239"/>
      <c r="K77" s="239"/>
      <c r="L77" s="239"/>
      <c r="M77" s="239"/>
      <c r="N77" s="239"/>
      <c r="O77" s="239"/>
      <c r="P77" s="239"/>
      <c r="Q77" s="239"/>
      <c r="R77" s="239"/>
      <c r="S77" s="239"/>
      <c r="T77" s="239"/>
    </row>
    <row r="78" spans="2:62 3072:12198 12789:15082" x14ac:dyDescent="0.3">
      <c r="B78" s="239"/>
      <c r="C78" s="239"/>
      <c r="D78" s="239"/>
      <c r="E78" s="239"/>
      <c r="F78" s="239"/>
      <c r="G78" s="239"/>
      <c r="H78" s="239"/>
      <c r="I78" s="239"/>
      <c r="J78" s="239"/>
      <c r="K78" s="239"/>
      <c r="L78" s="239"/>
      <c r="M78" s="239"/>
      <c r="N78" s="239"/>
      <c r="O78" s="239"/>
      <c r="P78" s="239"/>
      <c r="Q78" s="239"/>
      <c r="R78" s="239"/>
      <c r="S78" s="239"/>
      <c r="T78" s="239"/>
    </row>
    <row r="87" spans="2:20" ht="28.8" x14ac:dyDescent="0.3">
      <c r="B87" s="257" t="s">
        <v>152</v>
      </c>
      <c r="C87" s="257"/>
      <c r="D87" s="257"/>
      <c r="E87" s="257"/>
      <c r="F87" s="257"/>
      <c r="G87" s="257"/>
      <c r="H87" s="257"/>
      <c r="I87" s="257"/>
      <c r="J87" s="257"/>
      <c r="K87" s="257"/>
      <c r="L87" s="257"/>
      <c r="M87" s="257"/>
      <c r="N87" s="257"/>
      <c r="O87" s="257"/>
      <c r="P87" s="257"/>
      <c r="Q87" s="257"/>
      <c r="R87" s="257"/>
      <c r="S87" s="257"/>
    </row>
    <row r="88" spans="2:20" ht="27" customHeight="1" x14ac:dyDescent="0.3">
      <c r="B88" s="1" t="s">
        <v>1</v>
      </c>
      <c r="C88" s="232" t="s">
        <v>2</v>
      </c>
      <c r="D88" s="232"/>
      <c r="E88" s="98" t="s">
        <v>130</v>
      </c>
      <c r="F88" s="12" t="s">
        <v>131</v>
      </c>
      <c r="G88" s="13" t="s">
        <v>90</v>
      </c>
      <c r="H88" s="12" t="s">
        <v>6</v>
      </c>
      <c r="I88" s="2" t="s">
        <v>153</v>
      </c>
      <c r="J88" s="2" t="s">
        <v>9</v>
      </c>
      <c r="K88" s="2" t="s">
        <v>10</v>
      </c>
      <c r="L88" s="2" t="s">
        <v>11</v>
      </c>
      <c r="M88" s="8" t="s">
        <v>12</v>
      </c>
      <c r="N88" s="10" t="s">
        <v>13</v>
      </c>
      <c r="O88" s="158" t="s">
        <v>14</v>
      </c>
      <c r="P88" s="15" t="s">
        <v>123</v>
      </c>
      <c r="Q88" s="223" t="s">
        <v>36</v>
      </c>
      <c r="R88" s="223"/>
      <c r="S88" s="223"/>
    </row>
    <row r="89" spans="2:20" ht="28.95" customHeight="1" x14ac:dyDescent="0.3">
      <c r="B89" s="289" t="s">
        <v>91</v>
      </c>
      <c r="C89" s="241" t="s">
        <v>114</v>
      </c>
      <c r="D89" s="41" t="s">
        <v>17</v>
      </c>
      <c r="E89" s="29">
        <v>1500</v>
      </c>
      <c r="F89" s="42">
        <v>175</v>
      </c>
      <c r="G89" s="29">
        <v>150</v>
      </c>
      <c r="H89" s="29">
        <v>14</v>
      </c>
      <c r="I89" s="44">
        <v>300</v>
      </c>
      <c r="J89" s="46">
        <f>SUM(E89:I89)</f>
        <v>2139</v>
      </c>
      <c r="K89" s="44">
        <v>200</v>
      </c>
      <c r="L89" s="46">
        <f>J89+K89</f>
        <v>2339</v>
      </c>
      <c r="M89" s="73" t="s">
        <v>154</v>
      </c>
      <c r="N89" s="180" t="s">
        <v>60</v>
      </c>
      <c r="O89" s="33" t="s">
        <v>43</v>
      </c>
      <c r="P89" s="41" t="s">
        <v>155</v>
      </c>
      <c r="Q89" s="242" t="s">
        <v>44</v>
      </c>
      <c r="R89" s="242"/>
      <c r="S89" s="242"/>
    </row>
    <row r="90" spans="2:20" x14ac:dyDescent="0.3">
      <c r="B90" s="240"/>
      <c r="C90" s="241"/>
      <c r="D90" s="41" t="s">
        <v>22</v>
      </c>
      <c r="E90" s="30">
        <v>1950</v>
      </c>
      <c r="F90" s="42">
        <v>225</v>
      </c>
      <c r="G90" s="29">
        <v>150</v>
      </c>
      <c r="H90" s="29">
        <v>14</v>
      </c>
      <c r="I90" s="44">
        <v>600</v>
      </c>
      <c r="J90" s="46">
        <f>SUM(E90:I90)</f>
        <v>2939</v>
      </c>
      <c r="K90" s="44">
        <v>200</v>
      </c>
      <c r="L90" s="46">
        <f>J90+K90</f>
        <v>3139</v>
      </c>
      <c r="M90" s="73" t="s">
        <v>154</v>
      </c>
      <c r="N90" s="180" t="s">
        <v>60</v>
      </c>
      <c r="O90" s="33" t="s">
        <v>43</v>
      </c>
      <c r="P90" s="41" t="s">
        <v>155</v>
      </c>
      <c r="Q90" s="242"/>
      <c r="R90" s="242"/>
      <c r="S90" s="242"/>
    </row>
    <row r="92" spans="2:20" ht="15.6" x14ac:dyDescent="0.3">
      <c r="B92" s="5" t="s">
        <v>32</v>
      </c>
      <c r="C92" s="6"/>
      <c r="D92" s="6"/>
      <c r="E92" s="6"/>
      <c r="F92" s="6"/>
      <c r="G92" s="6"/>
      <c r="H92" s="6"/>
      <c r="I92" s="6"/>
      <c r="J92" s="6"/>
      <c r="K92" s="6"/>
      <c r="L92" s="6"/>
      <c r="M92" s="6"/>
      <c r="N92" s="6"/>
      <c r="O92" s="6"/>
      <c r="P92" s="6"/>
      <c r="Q92" s="6"/>
      <c r="R92" s="6"/>
      <c r="S92" s="6"/>
      <c r="T92" s="6"/>
    </row>
    <row r="93" spans="2:20" x14ac:dyDescent="0.3">
      <c r="B93" s="239" t="s">
        <v>33</v>
      </c>
      <c r="C93" s="239"/>
      <c r="D93" s="239"/>
      <c r="E93" s="239"/>
      <c r="F93" s="239"/>
      <c r="G93" s="239"/>
      <c r="H93" s="239"/>
      <c r="I93" s="239"/>
      <c r="J93" s="239"/>
      <c r="K93" s="239"/>
      <c r="L93" s="239"/>
      <c r="M93" s="239"/>
      <c r="N93" s="239"/>
      <c r="O93" s="239"/>
      <c r="P93" s="239"/>
      <c r="Q93" s="239"/>
      <c r="R93" s="239"/>
      <c r="S93" s="239"/>
      <c r="T93" s="239"/>
    </row>
    <row r="94" spans="2:20" x14ac:dyDescent="0.3">
      <c r="B94" s="239"/>
      <c r="C94" s="239"/>
      <c r="D94" s="239"/>
      <c r="E94" s="239"/>
      <c r="F94" s="239"/>
      <c r="G94" s="239"/>
      <c r="H94" s="239"/>
      <c r="I94" s="239"/>
      <c r="J94" s="239"/>
      <c r="K94" s="239"/>
      <c r="L94" s="239"/>
      <c r="M94" s="239"/>
      <c r="N94" s="239"/>
      <c r="O94" s="239"/>
      <c r="P94" s="239"/>
      <c r="Q94" s="239"/>
      <c r="R94" s="239"/>
      <c r="S94" s="239"/>
      <c r="T94" s="239"/>
    </row>
    <row r="95" spans="2:20" x14ac:dyDescent="0.3">
      <c r="B95" s="239"/>
      <c r="C95" s="239"/>
      <c r="D95" s="239"/>
      <c r="E95" s="239"/>
      <c r="F95" s="239"/>
      <c r="G95" s="239"/>
      <c r="H95" s="239"/>
      <c r="I95" s="239"/>
      <c r="J95" s="239"/>
      <c r="K95" s="239"/>
      <c r="L95" s="239"/>
      <c r="M95" s="239"/>
      <c r="N95" s="239"/>
      <c r="O95" s="239"/>
      <c r="P95" s="239"/>
      <c r="Q95" s="239"/>
      <c r="R95" s="239"/>
      <c r="S95" s="239"/>
      <c r="T95" s="239"/>
    </row>
    <row r="96" spans="2:20" x14ac:dyDescent="0.3">
      <c r="B96" s="239"/>
      <c r="C96" s="239"/>
      <c r="D96" s="239"/>
      <c r="E96" s="239"/>
      <c r="F96" s="239"/>
      <c r="G96" s="239"/>
      <c r="H96" s="239"/>
      <c r="I96" s="239"/>
      <c r="J96" s="239"/>
      <c r="K96" s="239"/>
      <c r="L96" s="239"/>
      <c r="M96" s="239"/>
      <c r="N96" s="239"/>
      <c r="O96" s="239"/>
      <c r="P96" s="239"/>
      <c r="Q96" s="239"/>
      <c r="R96" s="239"/>
      <c r="S96" s="239"/>
      <c r="T96" s="239"/>
    </row>
    <row r="106" spans="2:17" ht="15" thickBot="1" x14ac:dyDescent="0.35"/>
    <row r="107" spans="2:17" ht="28.8" x14ac:dyDescent="0.3">
      <c r="B107" s="260" t="s">
        <v>156</v>
      </c>
      <c r="C107" s="260"/>
      <c r="D107" s="260"/>
      <c r="E107" s="260"/>
      <c r="F107" s="260"/>
      <c r="G107" s="260"/>
      <c r="H107" s="260"/>
      <c r="I107" s="260"/>
      <c r="J107" s="260"/>
      <c r="K107" s="260"/>
      <c r="L107" s="260"/>
      <c r="M107" s="260"/>
      <c r="N107" s="260"/>
      <c r="O107" s="260"/>
      <c r="P107" s="260"/>
      <c r="Q107" s="260"/>
    </row>
    <row r="108" spans="2:17" ht="28.8" x14ac:dyDescent="0.3">
      <c r="B108" s="68" t="s">
        <v>1</v>
      </c>
      <c r="C108" s="223" t="s">
        <v>2</v>
      </c>
      <c r="D108" s="223"/>
      <c r="E108" s="8" t="s">
        <v>3</v>
      </c>
      <c r="F108" s="8" t="s">
        <v>4</v>
      </c>
      <c r="G108" s="8" t="s">
        <v>117</v>
      </c>
      <c r="H108" s="1" t="s">
        <v>51</v>
      </c>
      <c r="I108" s="63" t="s">
        <v>140</v>
      </c>
      <c r="J108" s="2" t="s">
        <v>9</v>
      </c>
      <c r="K108" s="2" t="s">
        <v>10</v>
      </c>
      <c r="L108" s="2" t="s">
        <v>11</v>
      </c>
      <c r="M108" s="8" t="s">
        <v>12</v>
      </c>
      <c r="N108" s="95" t="s">
        <v>13</v>
      </c>
      <c r="O108" s="95" t="s">
        <v>14</v>
      </c>
      <c r="P108" s="95" t="s">
        <v>141</v>
      </c>
      <c r="Q108" s="74" t="s">
        <v>142</v>
      </c>
    </row>
    <row r="109" spans="2:17" x14ac:dyDescent="0.3">
      <c r="B109" s="244" t="s">
        <v>157</v>
      </c>
      <c r="C109" s="241" t="s">
        <v>114</v>
      </c>
      <c r="D109" s="41" t="s">
        <v>17</v>
      </c>
      <c r="E109" s="61">
        <v>3350</v>
      </c>
      <c r="F109" s="44">
        <v>85</v>
      </c>
      <c r="G109" s="42">
        <v>215</v>
      </c>
      <c r="H109" s="42">
        <v>75</v>
      </c>
      <c r="I109" s="44">
        <v>150</v>
      </c>
      <c r="J109" s="46">
        <f>SUM(E109:I109)</f>
        <v>3875</v>
      </c>
      <c r="K109" s="44">
        <v>200</v>
      </c>
      <c r="L109" s="46">
        <f>SUM(J109:K109)</f>
        <v>4075</v>
      </c>
      <c r="M109" s="47" t="s">
        <v>158</v>
      </c>
      <c r="N109" s="180" t="s">
        <v>60</v>
      </c>
      <c r="O109" s="41" t="s">
        <v>39</v>
      </c>
      <c r="P109" s="64" t="s">
        <v>159</v>
      </c>
      <c r="Q109" s="75" t="s">
        <v>160</v>
      </c>
    </row>
    <row r="110" spans="2:17" x14ac:dyDescent="0.3">
      <c r="B110" s="244"/>
      <c r="C110" s="241"/>
      <c r="D110" s="41" t="s">
        <v>22</v>
      </c>
      <c r="E110" s="61">
        <v>4400</v>
      </c>
      <c r="F110" s="44">
        <v>85</v>
      </c>
      <c r="G110" s="42">
        <v>215</v>
      </c>
      <c r="H110" s="42">
        <v>75</v>
      </c>
      <c r="I110" s="44">
        <v>150</v>
      </c>
      <c r="J110" s="46">
        <f>SUM(E110:I110)</f>
        <v>4925</v>
      </c>
      <c r="K110" s="44">
        <v>200</v>
      </c>
      <c r="L110" s="46">
        <f>SUM(J110:K110)</f>
        <v>5125</v>
      </c>
      <c r="M110" s="47" t="s">
        <v>158</v>
      </c>
      <c r="N110" s="180" t="s">
        <v>60</v>
      </c>
      <c r="O110" s="41" t="s">
        <v>39</v>
      </c>
      <c r="P110" s="64" t="s">
        <v>159</v>
      </c>
      <c r="Q110" s="75" t="s">
        <v>160</v>
      </c>
    </row>
    <row r="119" spans="2:17" ht="15" thickBot="1" x14ac:dyDescent="0.35"/>
    <row r="120" spans="2:17" ht="28.8" x14ac:dyDescent="0.3">
      <c r="B120" s="260" t="s">
        <v>161</v>
      </c>
      <c r="C120" s="260"/>
      <c r="D120" s="260"/>
      <c r="E120" s="260"/>
      <c r="F120" s="260"/>
      <c r="G120" s="260"/>
      <c r="H120" s="260"/>
      <c r="I120" s="260"/>
      <c r="J120" s="260"/>
      <c r="K120" s="260"/>
      <c r="L120" s="260"/>
      <c r="M120" s="260"/>
      <c r="N120" s="260"/>
      <c r="O120" s="260"/>
      <c r="P120" s="260"/>
      <c r="Q120" s="260"/>
    </row>
    <row r="121" spans="2:17" ht="28.8" x14ac:dyDescent="0.3">
      <c r="B121" s="68" t="s">
        <v>1</v>
      </c>
      <c r="C121" s="223" t="s">
        <v>2</v>
      </c>
      <c r="D121" s="223"/>
      <c r="E121" s="8" t="s">
        <v>3</v>
      </c>
      <c r="F121" s="8" t="s">
        <v>4</v>
      </c>
      <c r="G121" s="8" t="s">
        <v>117</v>
      </c>
      <c r="H121" s="1" t="s">
        <v>51</v>
      </c>
      <c r="I121" s="63" t="s">
        <v>140</v>
      </c>
      <c r="J121" s="2" t="s">
        <v>9</v>
      </c>
      <c r="K121" s="2" t="s">
        <v>10</v>
      </c>
      <c r="L121" s="2" t="s">
        <v>11</v>
      </c>
      <c r="M121" s="8" t="s">
        <v>12</v>
      </c>
      <c r="N121" s="95" t="s">
        <v>13</v>
      </c>
      <c r="O121" s="95" t="s">
        <v>14</v>
      </c>
      <c r="P121" s="95" t="s">
        <v>141</v>
      </c>
      <c r="Q121" s="74" t="s">
        <v>142</v>
      </c>
    </row>
    <row r="122" spans="2:17" x14ac:dyDescent="0.3">
      <c r="B122" s="244" t="s">
        <v>162</v>
      </c>
      <c r="C122" s="241" t="s">
        <v>114</v>
      </c>
      <c r="D122" s="41" t="s">
        <v>17</v>
      </c>
      <c r="E122" s="42">
        <v>2575</v>
      </c>
      <c r="F122" s="42">
        <v>370</v>
      </c>
      <c r="G122" s="42">
        <v>150</v>
      </c>
      <c r="H122" s="42">
        <v>75</v>
      </c>
      <c r="I122" s="42">
        <v>150</v>
      </c>
      <c r="J122" s="42">
        <f>SUM(E122:I122)</f>
        <v>3320</v>
      </c>
      <c r="K122" s="42">
        <v>200</v>
      </c>
      <c r="L122" s="42">
        <f>SUM(J122:K122)</f>
        <v>3520</v>
      </c>
      <c r="M122" s="171">
        <v>30</v>
      </c>
      <c r="N122" s="180" t="s">
        <v>60</v>
      </c>
      <c r="O122" s="171" t="s">
        <v>104</v>
      </c>
      <c r="P122" s="64" t="s">
        <v>159</v>
      </c>
      <c r="Q122" s="172" t="s">
        <v>31</v>
      </c>
    </row>
    <row r="123" spans="2:17" x14ac:dyDescent="0.3">
      <c r="B123" s="244" t="s">
        <v>162</v>
      </c>
      <c r="C123" s="241" t="s">
        <v>114</v>
      </c>
      <c r="D123" s="41" t="s">
        <v>22</v>
      </c>
      <c r="E123" s="42">
        <v>3000</v>
      </c>
      <c r="F123" s="42">
        <v>370</v>
      </c>
      <c r="G123" s="42">
        <v>150</v>
      </c>
      <c r="H123" s="42">
        <v>75</v>
      </c>
      <c r="I123" s="42">
        <v>150</v>
      </c>
      <c r="J123" s="42">
        <f>SUM(E123:I123)</f>
        <v>3745</v>
      </c>
      <c r="K123" s="42">
        <v>200</v>
      </c>
      <c r="L123" s="42">
        <f>SUM(J123:K123)</f>
        <v>3945</v>
      </c>
      <c r="M123" s="171">
        <v>30</v>
      </c>
      <c r="N123" s="180" t="s">
        <v>60</v>
      </c>
      <c r="O123" s="171" t="s">
        <v>104</v>
      </c>
      <c r="P123" s="64" t="s">
        <v>159</v>
      </c>
      <c r="Q123" s="172" t="s">
        <v>31</v>
      </c>
    </row>
    <row r="124" spans="2:17" x14ac:dyDescent="0.3">
      <c r="B124" s="244" t="s">
        <v>163</v>
      </c>
      <c r="C124" s="241" t="s">
        <v>114</v>
      </c>
      <c r="D124" s="41" t="s">
        <v>17</v>
      </c>
      <c r="E124" s="42">
        <f>CEILING((((1300+130+10+72+20+100)*1.15)-100)-150,50)</f>
        <v>1650</v>
      </c>
      <c r="F124" s="42">
        <v>100</v>
      </c>
      <c r="G124" s="42">
        <v>215</v>
      </c>
      <c r="H124" s="42">
        <v>75</v>
      </c>
      <c r="I124" s="42">
        <v>150</v>
      </c>
      <c r="J124" s="42">
        <f>SUM(E124:I124)</f>
        <v>2190</v>
      </c>
      <c r="K124" s="42">
        <v>200</v>
      </c>
      <c r="L124" s="42">
        <f>SUM(J124:K124)</f>
        <v>2390</v>
      </c>
      <c r="M124" s="47">
        <v>30</v>
      </c>
      <c r="N124" s="180" t="s">
        <v>60</v>
      </c>
      <c r="O124" s="47" t="s">
        <v>61</v>
      </c>
      <c r="P124" s="64" t="s">
        <v>159</v>
      </c>
      <c r="Q124" s="172" t="s">
        <v>160</v>
      </c>
    </row>
    <row r="125" spans="2:17" x14ac:dyDescent="0.3">
      <c r="B125" s="244"/>
      <c r="C125" s="241"/>
      <c r="D125" s="41" t="s">
        <v>22</v>
      </c>
      <c r="E125" s="42">
        <f>CEILING((((1400+260+10+72+20+150)*1.15)-150)-150,50)</f>
        <v>1900</v>
      </c>
      <c r="F125" s="42">
        <v>150</v>
      </c>
      <c r="G125" s="42">
        <v>215</v>
      </c>
      <c r="H125" s="42">
        <v>75</v>
      </c>
      <c r="I125" s="42">
        <v>150</v>
      </c>
      <c r="J125" s="42">
        <f>SUM(E125:I125)</f>
        <v>2490</v>
      </c>
      <c r="K125" s="42">
        <v>200</v>
      </c>
      <c r="L125" s="42">
        <f>SUM(J125:K125)</f>
        <v>2690</v>
      </c>
      <c r="M125" s="47">
        <v>30</v>
      </c>
      <c r="N125" s="180" t="s">
        <v>60</v>
      </c>
      <c r="O125" s="47" t="s">
        <v>61</v>
      </c>
      <c r="P125" s="64" t="s">
        <v>159</v>
      </c>
      <c r="Q125" s="75" t="s">
        <v>160</v>
      </c>
    </row>
  </sheetData>
  <mergeCells count="58">
    <mergeCell ref="P56:P59"/>
    <mergeCell ref="P60:P63"/>
    <mergeCell ref="B11:B12"/>
    <mergeCell ref="C11:C12"/>
    <mergeCell ref="B60:B61"/>
    <mergeCell ref="B15:B16"/>
    <mergeCell ref="C15:C16"/>
    <mergeCell ref="B17:B18"/>
    <mergeCell ref="C17:C18"/>
    <mergeCell ref="B36:B37"/>
    <mergeCell ref="C36:C37"/>
    <mergeCell ref="P36:R37"/>
    <mergeCell ref="B9:Q9"/>
    <mergeCell ref="C60:C61"/>
    <mergeCell ref="B13:B14"/>
    <mergeCell ref="C13:C14"/>
    <mergeCell ref="B56:B57"/>
    <mergeCell ref="C56:C57"/>
    <mergeCell ref="B41:S44"/>
    <mergeCell ref="B54:Q54"/>
    <mergeCell ref="C55:D55"/>
    <mergeCell ref="B34:R34"/>
    <mergeCell ref="C35:D35"/>
    <mergeCell ref="P35:R35"/>
    <mergeCell ref="P38:R38"/>
    <mergeCell ref="B58:B59"/>
    <mergeCell ref="C58:C59"/>
    <mergeCell ref="C10:D10"/>
    <mergeCell ref="Q88:S88"/>
    <mergeCell ref="B87:S87"/>
    <mergeCell ref="C88:D88"/>
    <mergeCell ref="C65:D65"/>
    <mergeCell ref="B62:B63"/>
    <mergeCell ref="C62:C63"/>
    <mergeCell ref="B64:Q64"/>
    <mergeCell ref="C69:D69"/>
    <mergeCell ref="B75:T78"/>
    <mergeCell ref="B66:B67"/>
    <mergeCell ref="B68:Q68"/>
    <mergeCell ref="B70:B71"/>
    <mergeCell ref="P66:P67"/>
    <mergeCell ref="P70:P71"/>
    <mergeCell ref="B124:B125"/>
    <mergeCell ref="C124:C125"/>
    <mergeCell ref="B122:B123"/>
    <mergeCell ref="C122:C123"/>
    <mergeCell ref="B20:R20"/>
    <mergeCell ref="B21:R24"/>
    <mergeCell ref="B109:B110"/>
    <mergeCell ref="C109:C110"/>
    <mergeCell ref="B89:B90"/>
    <mergeCell ref="C89:C90"/>
    <mergeCell ref="Q89:S90"/>
    <mergeCell ref="B93:T96"/>
    <mergeCell ref="B107:Q107"/>
    <mergeCell ref="C108:D108"/>
    <mergeCell ref="B120:Q120"/>
    <mergeCell ref="C121:D121"/>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C17" zoomScaleNormal="100" zoomScaleSheetLayoutView="100" workbookViewId="0">
      <selection activeCell="S17" sqref="S1:S1048576"/>
    </sheetView>
  </sheetViews>
  <sheetFormatPr defaultColWidth="9.109375" defaultRowHeight="14.4" x14ac:dyDescent="0.3"/>
  <cols>
    <col min="1" max="1" width="9.109375" style="17"/>
    <col min="2" max="2" width="28.6640625" style="17" customWidth="1"/>
    <col min="3" max="3" width="15.88671875" style="17" customWidth="1"/>
    <col min="4" max="4" width="5.33203125" style="17" customWidth="1"/>
    <col min="5" max="5" width="12.33203125" style="17" bestFit="1" customWidth="1"/>
    <col min="6" max="6" width="10.6640625" style="17" bestFit="1" customWidth="1"/>
    <col min="7" max="7" width="12.33203125" style="17" bestFit="1" customWidth="1"/>
    <col min="8" max="8" width="13.6640625" style="17" customWidth="1"/>
    <col min="9" max="9" width="14.109375" style="17" bestFit="1" customWidth="1"/>
    <col min="10" max="10" width="13" style="17" bestFit="1" customWidth="1"/>
    <col min="11" max="11" width="15.88671875" style="17" customWidth="1"/>
    <col min="12" max="13" width="13.5546875" style="17" customWidth="1"/>
    <col min="14" max="14" width="15.33203125" style="17" customWidth="1"/>
    <col min="15" max="15" width="12.6640625" style="17" customWidth="1"/>
    <col min="16" max="16" width="11.44140625" style="17" customWidth="1"/>
    <col min="17" max="17" width="25.6640625" style="17" customWidth="1"/>
    <col min="18" max="18" width="17" style="17" customWidth="1"/>
    <col min="19" max="16384" width="9.109375" style="17"/>
  </cols>
  <sheetData>
    <row r="8" spans="2:18" x14ac:dyDescent="0.3">
      <c r="B8" s="97"/>
      <c r="C8" s="97"/>
      <c r="D8" s="206"/>
      <c r="E8" s="206"/>
      <c r="F8" s="97"/>
      <c r="G8" s="97"/>
      <c r="H8" s="97"/>
      <c r="I8" s="97"/>
      <c r="J8" s="97"/>
      <c r="K8" s="97"/>
      <c r="L8" s="97"/>
      <c r="M8" s="97"/>
      <c r="N8" s="97"/>
      <c r="O8" s="97"/>
      <c r="P8" s="97"/>
      <c r="Q8" s="97"/>
      <c r="R8" s="97"/>
    </row>
    <row r="9" spans="2:18" ht="28.8" x14ac:dyDescent="0.55000000000000004">
      <c r="B9" s="209" t="s">
        <v>164</v>
      </c>
      <c r="C9" s="209"/>
      <c r="D9" s="209"/>
      <c r="E9" s="209"/>
      <c r="F9" s="209"/>
      <c r="G9" s="209"/>
      <c r="H9" s="209"/>
      <c r="I9" s="209"/>
      <c r="J9" s="209"/>
      <c r="K9" s="209"/>
      <c r="L9" s="209"/>
      <c r="M9" s="209"/>
      <c r="N9" s="209"/>
      <c r="O9" s="209"/>
      <c r="P9" s="209"/>
    </row>
    <row r="10" spans="2:18" ht="28.8" x14ac:dyDescent="0.3">
      <c r="B10" s="98" t="s">
        <v>1</v>
      </c>
      <c r="C10" s="207" t="s">
        <v>2</v>
      </c>
      <c r="D10" s="208"/>
      <c r="E10" s="12" t="s">
        <v>3</v>
      </c>
      <c r="F10" s="12" t="s">
        <v>4</v>
      </c>
      <c r="G10" s="13" t="s">
        <v>5</v>
      </c>
      <c r="H10" s="12" t="s">
        <v>165</v>
      </c>
      <c r="I10" s="13" t="s">
        <v>166</v>
      </c>
      <c r="J10" s="79" t="s">
        <v>122</v>
      </c>
      <c r="K10" s="13" t="s">
        <v>9</v>
      </c>
      <c r="L10" s="13" t="s">
        <v>10</v>
      </c>
      <c r="M10" s="13" t="s">
        <v>11</v>
      </c>
      <c r="N10" s="12" t="s">
        <v>12</v>
      </c>
      <c r="O10" s="12" t="s">
        <v>13</v>
      </c>
      <c r="P10" s="14" t="s">
        <v>14</v>
      </c>
      <c r="Q10" s="97"/>
    </row>
    <row r="11" spans="2:18" x14ac:dyDescent="0.3">
      <c r="B11" s="186" t="s">
        <v>167</v>
      </c>
      <c r="C11" s="186" t="s">
        <v>168</v>
      </c>
      <c r="D11" s="34" t="s">
        <v>17</v>
      </c>
      <c r="E11" s="31">
        <f>(2025)+500</f>
        <v>2525</v>
      </c>
      <c r="F11" s="31">
        <v>175</v>
      </c>
      <c r="G11" s="31">
        <v>85</v>
      </c>
      <c r="H11" s="31">
        <v>175</v>
      </c>
      <c r="I11" s="31">
        <v>75</v>
      </c>
      <c r="J11" s="122">
        <v>250</v>
      </c>
      <c r="K11" s="55">
        <f t="shared" ref="K11:K16" si="0">SUM(E11:J11)</f>
        <v>3285</v>
      </c>
      <c r="L11" s="31">
        <v>200</v>
      </c>
      <c r="M11" s="55">
        <f>K11+L11</f>
        <v>3485</v>
      </c>
      <c r="N11" s="34" t="s">
        <v>169</v>
      </c>
      <c r="O11" s="184" t="s">
        <v>20</v>
      </c>
      <c r="P11" s="38" t="s">
        <v>23</v>
      </c>
      <c r="Q11" s="97"/>
    </row>
    <row r="12" spans="2:18" x14ac:dyDescent="0.3">
      <c r="B12" s="187"/>
      <c r="C12" s="187"/>
      <c r="D12" s="34" t="s">
        <v>170</v>
      </c>
      <c r="E12" s="31">
        <f>(2850)+650</f>
        <v>3500</v>
      </c>
      <c r="F12" s="31">
        <v>235</v>
      </c>
      <c r="G12" s="31">
        <v>85</v>
      </c>
      <c r="H12" s="31">
        <v>175</v>
      </c>
      <c r="I12" s="31">
        <v>150</v>
      </c>
      <c r="J12" s="122">
        <v>500</v>
      </c>
      <c r="K12" s="55">
        <f t="shared" si="0"/>
        <v>4645</v>
      </c>
      <c r="L12" s="31">
        <v>200</v>
      </c>
      <c r="M12" s="55">
        <f t="shared" ref="M12:M16" si="1">K12+L12</f>
        <v>4845</v>
      </c>
      <c r="N12" s="34" t="s">
        <v>169</v>
      </c>
      <c r="O12" s="184" t="s">
        <v>20</v>
      </c>
      <c r="P12" s="56" t="s">
        <v>23</v>
      </c>
      <c r="Q12" s="97"/>
    </row>
    <row r="13" spans="2:18" x14ac:dyDescent="0.3">
      <c r="B13" s="186" t="s">
        <v>171</v>
      </c>
      <c r="C13" s="186" t="s">
        <v>168</v>
      </c>
      <c r="D13" s="34" t="s">
        <v>17</v>
      </c>
      <c r="E13" s="31">
        <f>(2725)+500</f>
        <v>3225</v>
      </c>
      <c r="F13" s="31">
        <v>175</v>
      </c>
      <c r="G13" s="31">
        <v>85</v>
      </c>
      <c r="H13" s="31">
        <v>175</v>
      </c>
      <c r="I13" s="31">
        <v>75</v>
      </c>
      <c r="J13" s="122">
        <v>250</v>
      </c>
      <c r="K13" s="55">
        <f t="shared" si="0"/>
        <v>3985</v>
      </c>
      <c r="L13" s="31">
        <v>200</v>
      </c>
      <c r="M13" s="55">
        <f t="shared" si="1"/>
        <v>4185</v>
      </c>
      <c r="N13" s="34" t="s">
        <v>172</v>
      </c>
      <c r="O13" s="184" t="s">
        <v>20</v>
      </c>
      <c r="P13" s="56" t="s">
        <v>23</v>
      </c>
      <c r="Q13" s="97"/>
    </row>
    <row r="14" spans="2:18" x14ac:dyDescent="0.3">
      <c r="B14" s="187"/>
      <c r="C14" s="187"/>
      <c r="D14" s="34" t="s">
        <v>170</v>
      </c>
      <c r="E14" s="31">
        <f>(3425)+600</f>
        <v>4025</v>
      </c>
      <c r="F14" s="31">
        <v>235</v>
      </c>
      <c r="G14" s="31">
        <v>85</v>
      </c>
      <c r="H14" s="31">
        <v>175</v>
      </c>
      <c r="I14" s="31">
        <v>150</v>
      </c>
      <c r="J14" s="122">
        <v>500</v>
      </c>
      <c r="K14" s="55">
        <f t="shared" si="0"/>
        <v>5170</v>
      </c>
      <c r="L14" s="31">
        <v>200</v>
      </c>
      <c r="M14" s="55">
        <f t="shared" si="1"/>
        <v>5370</v>
      </c>
      <c r="N14" s="34" t="s">
        <v>146</v>
      </c>
      <c r="O14" s="184" t="s">
        <v>20</v>
      </c>
      <c r="P14" s="56" t="s">
        <v>23</v>
      </c>
      <c r="Q14" s="97"/>
    </row>
    <row r="15" spans="2:18" x14ac:dyDescent="0.3">
      <c r="B15" s="186" t="s">
        <v>127</v>
      </c>
      <c r="C15" s="186" t="s">
        <v>168</v>
      </c>
      <c r="D15" s="34" t="s">
        <v>17</v>
      </c>
      <c r="E15" s="31">
        <f>(2725)+500</f>
        <v>3225</v>
      </c>
      <c r="F15" s="31">
        <v>175</v>
      </c>
      <c r="G15" s="31">
        <v>85</v>
      </c>
      <c r="H15" s="31">
        <v>175</v>
      </c>
      <c r="I15" s="31">
        <v>75</v>
      </c>
      <c r="J15" s="122">
        <v>250</v>
      </c>
      <c r="K15" s="55">
        <f t="shared" si="0"/>
        <v>3985</v>
      </c>
      <c r="L15" s="31">
        <v>200</v>
      </c>
      <c r="M15" s="55">
        <f t="shared" si="1"/>
        <v>4185</v>
      </c>
      <c r="N15" s="34" t="s">
        <v>146</v>
      </c>
      <c r="O15" s="184" t="s">
        <v>20</v>
      </c>
      <c r="P15" s="56" t="s">
        <v>23</v>
      </c>
      <c r="Q15" s="97"/>
    </row>
    <row r="16" spans="2:18" x14ac:dyDescent="0.3">
      <c r="B16" s="187"/>
      <c r="C16" s="187"/>
      <c r="D16" s="34" t="s">
        <v>170</v>
      </c>
      <c r="E16" s="31">
        <f>(3175)+600</f>
        <v>3775</v>
      </c>
      <c r="F16" s="31">
        <v>235</v>
      </c>
      <c r="G16" s="31">
        <v>85</v>
      </c>
      <c r="H16" s="31">
        <v>175</v>
      </c>
      <c r="I16" s="31">
        <v>150</v>
      </c>
      <c r="J16" s="122">
        <v>500</v>
      </c>
      <c r="K16" s="55">
        <f t="shared" si="0"/>
        <v>4920</v>
      </c>
      <c r="L16" s="31">
        <v>200</v>
      </c>
      <c r="M16" s="55">
        <f t="shared" si="1"/>
        <v>5120</v>
      </c>
      <c r="N16" s="34" t="s">
        <v>27</v>
      </c>
      <c r="O16" s="184" t="s">
        <v>20</v>
      </c>
      <c r="P16" s="56" t="s">
        <v>23</v>
      </c>
      <c r="Q16" s="97"/>
    </row>
    <row r="17" spans="2:17" x14ac:dyDescent="0.3">
      <c r="B17" s="25"/>
      <c r="C17" s="48"/>
      <c r="E17" s="54"/>
      <c r="F17" s="50"/>
      <c r="G17" s="50"/>
      <c r="H17" s="50"/>
      <c r="I17" s="51"/>
      <c r="J17" s="49"/>
      <c r="K17" s="51"/>
      <c r="L17" s="51"/>
      <c r="M17" s="52"/>
      <c r="N17" s="27"/>
    </row>
    <row r="18" spans="2:17" ht="15.6" x14ac:dyDescent="0.3">
      <c r="B18" s="193" t="s">
        <v>32</v>
      </c>
      <c r="C18" s="194"/>
      <c r="D18" s="194"/>
      <c r="E18" s="194"/>
      <c r="F18" s="194"/>
      <c r="G18" s="194"/>
      <c r="H18" s="194"/>
      <c r="I18" s="194"/>
      <c r="J18" s="194"/>
      <c r="K18" s="194"/>
      <c r="L18" s="194"/>
      <c r="M18" s="194"/>
      <c r="N18" s="194"/>
      <c r="O18" s="194"/>
      <c r="P18" s="195"/>
    </row>
    <row r="19" spans="2:17" ht="14.4" customHeight="1" x14ac:dyDescent="0.3">
      <c r="B19" s="196" t="s">
        <v>33</v>
      </c>
      <c r="C19" s="197"/>
      <c r="D19" s="197"/>
      <c r="E19" s="197"/>
      <c r="F19" s="197"/>
      <c r="G19" s="197"/>
      <c r="H19" s="197"/>
      <c r="I19" s="197"/>
      <c r="J19" s="197"/>
      <c r="K19" s="197"/>
      <c r="L19" s="197"/>
      <c r="M19" s="197"/>
      <c r="N19" s="197"/>
      <c r="O19" s="197"/>
      <c r="P19" s="198"/>
    </row>
    <row r="20" spans="2:17" x14ac:dyDescent="0.3">
      <c r="B20" s="199"/>
      <c r="C20" s="200"/>
      <c r="D20" s="200"/>
      <c r="E20" s="200"/>
      <c r="F20" s="200"/>
      <c r="G20" s="200"/>
      <c r="H20" s="200"/>
      <c r="I20" s="200"/>
      <c r="J20" s="200"/>
      <c r="K20" s="200"/>
      <c r="L20" s="200"/>
      <c r="M20" s="200"/>
      <c r="N20" s="200"/>
      <c r="O20" s="200"/>
      <c r="P20" s="201"/>
    </row>
    <row r="21" spans="2:17" x14ac:dyDescent="0.3">
      <c r="B21" s="199"/>
      <c r="C21" s="200"/>
      <c r="D21" s="200"/>
      <c r="E21" s="200"/>
      <c r="F21" s="200"/>
      <c r="G21" s="200"/>
      <c r="H21" s="200"/>
      <c r="I21" s="200"/>
      <c r="J21" s="200"/>
      <c r="K21" s="200"/>
      <c r="L21" s="200"/>
      <c r="M21" s="200"/>
      <c r="N21" s="200"/>
      <c r="O21" s="200"/>
      <c r="P21" s="201"/>
    </row>
    <row r="22" spans="2:17" x14ac:dyDescent="0.3">
      <c r="B22" s="202"/>
      <c r="C22" s="203"/>
      <c r="D22" s="203"/>
      <c r="E22" s="203"/>
      <c r="F22" s="203"/>
      <c r="G22" s="203"/>
      <c r="H22" s="203"/>
      <c r="I22" s="203"/>
      <c r="J22" s="203"/>
      <c r="K22" s="203"/>
      <c r="L22" s="203"/>
      <c r="M22" s="203"/>
      <c r="N22" s="203"/>
      <c r="O22" s="203"/>
      <c r="P22" s="204"/>
    </row>
    <row r="23" spans="2:17" x14ac:dyDescent="0.3">
      <c r="B23" s="25"/>
      <c r="C23" s="48"/>
      <c r="E23" s="54"/>
      <c r="F23" s="50"/>
      <c r="G23" s="50"/>
      <c r="H23" s="50"/>
      <c r="I23" s="51"/>
      <c r="J23" s="49"/>
      <c r="K23" s="51"/>
      <c r="L23" s="51"/>
      <c r="M23" s="52"/>
      <c r="N23" s="27"/>
    </row>
    <row r="24" spans="2:17" x14ac:dyDescent="0.3">
      <c r="B24" s="25"/>
      <c r="C24" s="48"/>
      <c r="D24" s="99"/>
      <c r="E24" s="54"/>
      <c r="F24" s="50"/>
      <c r="G24" s="50"/>
      <c r="H24" s="50"/>
      <c r="I24" s="51"/>
      <c r="J24" s="49"/>
      <c r="K24" s="51"/>
      <c r="L24" s="51"/>
      <c r="M24" s="52"/>
      <c r="N24" s="27"/>
    </row>
    <row r="25" spans="2:17" x14ac:dyDescent="0.3">
      <c r="B25" s="25"/>
      <c r="C25" s="48"/>
      <c r="E25" s="54"/>
      <c r="F25" s="50"/>
      <c r="G25" s="50"/>
      <c r="H25" s="50"/>
      <c r="I25" s="51"/>
      <c r="J25" s="49"/>
      <c r="K25" s="51"/>
      <c r="L25" s="51"/>
      <c r="M25" s="52"/>
      <c r="N25" s="27"/>
    </row>
    <row r="26" spans="2:17" x14ac:dyDescent="0.3">
      <c r="B26" s="25"/>
      <c r="C26" s="48"/>
      <c r="E26" s="54"/>
      <c r="F26" s="50"/>
      <c r="G26" s="50"/>
      <c r="H26" s="50"/>
      <c r="I26" s="51"/>
      <c r="J26" s="49"/>
      <c r="K26" s="51"/>
      <c r="L26" s="51"/>
      <c r="M26" s="52"/>
      <c r="N26" s="27"/>
    </row>
    <row r="27" spans="2:17" x14ac:dyDescent="0.3">
      <c r="B27" s="25"/>
      <c r="C27" s="48"/>
      <c r="E27" s="54"/>
      <c r="F27" s="50"/>
      <c r="G27" s="50"/>
      <c r="H27" s="50"/>
      <c r="I27" s="51"/>
      <c r="J27" s="49"/>
      <c r="K27" s="51"/>
      <c r="L27" s="51"/>
      <c r="M27" s="52"/>
      <c r="N27" s="27"/>
    </row>
    <row r="28" spans="2:17" x14ac:dyDescent="0.3">
      <c r="B28" s="25"/>
      <c r="C28" s="48"/>
      <c r="E28" s="54"/>
      <c r="F28" s="50"/>
      <c r="G28" s="50"/>
      <c r="H28" s="50"/>
      <c r="I28" s="51"/>
      <c r="J28" s="49"/>
      <c r="K28" s="51"/>
      <c r="L28" s="51"/>
      <c r="M28" s="52"/>
      <c r="N28" s="27"/>
    </row>
    <row r="29" spans="2:17" x14ac:dyDescent="0.3">
      <c r="B29" s="25"/>
      <c r="C29" s="48"/>
      <c r="E29" s="54"/>
      <c r="F29" s="50"/>
      <c r="G29" s="50"/>
      <c r="H29" s="50"/>
      <c r="I29" s="51"/>
      <c r="J29" s="49"/>
      <c r="K29" s="51"/>
      <c r="L29" s="51"/>
      <c r="M29" s="52"/>
      <c r="N29" s="27"/>
    </row>
    <row r="30" spans="2:17" x14ac:dyDescent="0.3">
      <c r="B30" s="25"/>
      <c r="C30" s="48"/>
      <c r="E30" s="54"/>
      <c r="F30" s="50"/>
      <c r="G30" s="50"/>
      <c r="H30" s="50"/>
      <c r="I30" s="51"/>
      <c r="J30" s="49"/>
      <c r="K30" s="51"/>
      <c r="L30" s="51"/>
      <c r="M30" s="52"/>
      <c r="N30" s="27"/>
    </row>
    <row r="31" spans="2:17" x14ac:dyDescent="0.3">
      <c r="B31" s="25"/>
      <c r="C31" s="48"/>
      <c r="E31" s="54"/>
      <c r="F31" s="50"/>
      <c r="G31" s="50"/>
      <c r="H31" s="50"/>
      <c r="I31" s="51"/>
      <c r="J31" s="49"/>
      <c r="K31" s="51"/>
      <c r="L31" s="51"/>
      <c r="M31" s="52"/>
      <c r="N31" s="27"/>
    </row>
    <row r="32" spans="2:17" ht="28.8" x14ac:dyDescent="0.55000000000000004">
      <c r="B32" s="190" t="s">
        <v>173</v>
      </c>
      <c r="C32" s="191"/>
      <c r="D32" s="191"/>
      <c r="E32" s="191"/>
      <c r="F32" s="191"/>
      <c r="G32" s="191"/>
      <c r="H32" s="191"/>
      <c r="I32" s="191"/>
      <c r="J32" s="191"/>
      <c r="K32" s="191"/>
      <c r="L32" s="191"/>
      <c r="M32" s="191"/>
      <c r="N32" s="191"/>
      <c r="O32" s="191"/>
      <c r="P32" s="191"/>
      <c r="Q32" s="192"/>
    </row>
    <row r="33" spans="2:17" ht="28.8" x14ac:dyDescent="0.3">
      <c r="B33" s="98" t="s">
        <v>1</v>
      </c>
      <c r="C33" s="205" t="s">
        <v>2</v>
      </c>
      <c r="D33" s="205"/>
      <c r="E33" s="98" t="s">
        <v>130</v>
      </c>
      <c r="F33" s="98" t="s">
        <v>131</v>
      </c>
      <c r="G33" s="11" t="s">
        <v>90</v>
      </c>
      <c r="H33" s="11" t="s">
        <v>174</v>
      </c>
      <c r="I33" s="11" t="s">
        <v>175</v>
      </c>
      <c r="J33" s="11" t="s">
        <v>9</v>
      </c>
      <c r="K33" s="11" t="s">
        <v>176</v>
      </c>
      <c r="L33" s="11" t="s">
        <v>11</v>
      </c>
      <c r="M33" s="98" t="s">
        <v>12</v>
      </c>
      <c r="N33" s="98" t="s">
        <v>13</v>
      </c>
      <c r="O33" s="98" t="s">
        <v>14</v>
      </c>
      <c r="P33" s="188" t="s">
        <v>36</v>
      </c>
      <c r="Q33" s="189"/>
    </row>
    <row r="34" spans="2:17" ht="14.4" customHeight="1" x14ac:dyDescent="0.3">
      <c r="B34" s="215" t="s">
        <v>177</v>
      </c>
      <c r="C34" s="216" t="s">
        <v>168</v>
      </c>
      <c r="D34" s="33" t="s">
        <v>17</v>
      </c>
      <c r="E34" s="29">
        <v>6300</v>
      </c>
      <c r="F34" s="31">
        <v>175</v>
      </c>
      <c r="G34" s="31">
        <v>85</v>
      </c>
      <c r="H34" s="29">
        <v>175</v>
      </c>
      <c r="I34" s="29">
        <v>75</v>
      </c>
      <c r="J34" s="77">
        <f>SUM(E34:I34)</f>
        <v>6810</v>
      </c>
      <c r="K34" s="29">
        <v>200</v>
      </c>
      <c r="L34" s="77">
        <f t="shared" ref="L34:L36" si="2">J34+K34</f>
        <v>7010</v>
      </c>
      <c r="M34" s="78">
        <v>35</v>
      </c>
      <c r="N34" s="184" t="s">
        <v>20</v>
      </c>
      <c r="O34" s="33" t="s">
        <v>39</v>
      </c>
      <c r="P34" s="224" t="s">
        <v>178</v>
      </c>
      <c r="Q34" s="225"/>
    </row>
    <row r="35" spans="2:17" x14ac:dyDescent="0.3">
      <c r="B35" s="215"/>
      <c r="C35" s="216"/>
      <c r="D35" s="33" t="s">
        <v>22</v>
      </c>
      <c r="E35" s="29">
        <v>7000</v>
      </c>
      <c r="F35" s="31">
        <v>235</v>
      </c>
      <c r="G35" s="31">
        <v>85</v>
      </c>
      <c r="H35" s="29">
        <v>175</v>
      </c>
      <c r="I35" s="29">
        <v>150</v>
      </c>
      <c r="J35" s="77">
        <f t="shared" ref="J35" si="3">SUM(E35:I35)</f>
        <v>7645</v>
      </c>
      <c r="K35" s="29">
        <v>200</v>
      </c>
      <c r="L35" s="77">
        <f t="shared" si="2"/>
        <v>7845</v>
      </c>
      <c r="M35" s="78">
        <v>35</v>
      </c>
      <c r="N35" s="184" t="s">
        <v>20</v>
      </c>
      <c r="O35" s="33" t="s">
        <v>39</v>
      </c>
      <c r="P35" s="226"/>
      <c r="Q35" s="227"/>
    </row>
    <row r="36" spans="2:17" x14ac:dyDescent="0.3">
      <c r="B36" s="91" t="s">
        <v>179</v>
      </c>
      <c r="C36" s="33" t="s">
        <v>168</v>
      </c>
      <c r="D36" s="33" t="s">
        <v>17</v>
      </c>
      <c r="E36" s="114">
        <v>6200</v>
      </c>
      <c r="F36" s="29" t="s">
        <v>180</v>
      </c>
      <c r="G36" s="29">
        <v>175</v>
      </c>
      <c r="H36" s="29">
        <v>175</v>
      </c>
      <c r="I36" s="29">
        <v>75</v>
      </c>
      <c r="J36" s="77">
        <f>SUM(E36:I36)</f>
        <v>6625</v>
      </c>
      <c r="K36" s="29">
        <v>200</v>
      </c>
      <c r="L36" s="77">
        <f t="shared" si="2"/>
        <v>6825</v>
      </c>
      <c r="M36" s="78">
        <v>35</v>
      </c>
      <c r="N36" s="184" t="s">
        <v>20</v>
      </c>
      <c r="O36" s="33" t="s">
        <v>39</v>
      </c>
      <c r="P36" s="228"/>
      <c r="Q36" s="229"/>
    </row>
    <row r="37" spans="2:17" x14ac:dyDescent="0.3">
      <c r="B37" s="60"/>
      <c r="C37" s="97"/>
      <c r="D37" s="97"/>
      <c r="E37" s="36"/>
      <c r="F37" s="36"/>
      <c r="G37" s="36"/>
      <c r="H37" s="36"/>
      <c r="I37" s="36"/>
      <c r="J37" s="58"/>
      <c r="K37" s="36"/>
      <c r="L37" s="36"/>
      <c r="M37" s="58"/>
      <c r="N37" s="37"/>
      <c r="O37" s="59"/>
      <c r="P37" s="97"/>
    </row>
    <row r="38" spans="2:17" x14ac:dyDescent="0.3">
      <c r="B38" s="35"/>
      <c r="E38" s="36"/>
      <c r="F38" s="36"/>
      <c r="G38" s="36"/>
      <c r="H38" s="36"/>
      <c r="I38" s="51"/>
      <c r="J38" s="49"/>
      <c r="K38" s="51"/>
      <c r="L38" s="51"/>
      <c r="M38" s="97"/>
      <c r="N38" s="27"/>
      <c r="O38" s="97"/>
    </row>
    <row r="39" spans="2:17" ht="15.6" x14ac:dyDescent="0.3">
      <c r="B39" s="5" t="s">
        <v>32</v>
      </c>
      <c r="C39" s="6"/>
      <c r="D39" s="6"/>
      <c r="E39" s="6"/>
      <c r="F39" s="6"/>
      <c r="G39" s="6"/>
      <c r="H39" s="6"/>
      <c r="I39" s="6"/>
      <c r="J39" s="6"/>
      <c r="K39" s="6"/>
      <c r="L39" s="6"/>
      <c r="M39" s="6"/>
      <c r="N39" s="6"/>
      <c r="O39" s="6"/>
      <c r="P39" s="7"/>
    </row>
    <row r="40" spans="2:17" x14ac:dyDescent="0.3">
      <c r="B40" s="217" t="s">
        <v>33</v>
      </c>
      <c r="C40" s="218"/>
      <c r="D40" s="218"/>
      <c r="E40" s="218"/>
      <c r="F40" s="218"/>
      <c r="G40" s="218"/>
      <c r="H40" s="218"/>
      <c r="I40" s="218"/>
      <c r="J40" s="218"/>
      <c r="K40" s="218"/>
      <c r="L40" s="218"/>
      <c r="M40" s="218"/>
      <c r="N40" s="218"/>
      <c r="O40" s="218"/>
      <c r="P40" s="219"/>
    </row>
    <row r="41" spans="2:17" x14ac:dyDescent="0.3">
      <c r="B41" s="217"/>
      <c r="C41" s="218"/>
      <c r="D41" s="218"/>
      <c r="E41" s="218"/>
      <c r="F41" s="218"/>
      <c r="G41" s="218"/>
      <c r="H41" s="218"/>
      <c r="I41" s="218"/>
      <c r="J41" s="218"/>
      <c r="K41" s="218"/>
      <c r="L41" s="218"/>
      <c r="M41" s="218"/>
      <c r="N41" s="218"/>
      <c r="O41" s="218"/>
      <c r="P41" s="219"/>
    </row>
    <row r="42" spans="2:17" x14ac:dyDescent="0.3">
      <c r="B42" s="217"/>
      <c r="C42" s="218"/>
      <c r="D42" s="218"/>
      <c r="E42" s="218"/>
      <c r="F42" s="218"/>
      <c r="G42" s="218"/>
      <c r="H42" s="218"/>
      <c r="I42" s="218"/>
      <c r="J42" s="218"/>
      <c r="K42" s="218"/>
      <c r="L42" s="218"/>
      <c r="M42" s="218"/>
      <c r="N42" s="218"/>
      <c r="O42" s="218"/>
      <c r="P42" s="219"/>
    </row>
    <row r="43" spans="2:17" x14ac:dyDescent="0.3">
      <c r="B43" s="220"/>
      <c r="C43" s="221"/>
      <c r="D43" s="221"/>
      <c r="E43" s="221"/>
      <c r="F43" s="221"/>
      <c r="G43" s="221"/>
      <c r="H43" s="221"/>
      <c r="I43" s="221"/>
      <c r="J43" s="221"/>
      <c r="K43" s="221"/>
      <c r="L43" s="221"/>
      <c r="M43" s="221"/>
      <c r="N43" s="221"/>
      <c r="O43" s="221"/>
      <c r="P43" s="222"/>
    </row>
    <row r="44" spans="2:17" x14ac:dyDescent="0.3">
      <c r="B44" s="35"/>
      <c r="E44" s="36"/>
      <c r="F44" s="36"/>
      <c r="G44" s="36"/>
      <c r="H44" s="36"/>
      <c r="I44" s="51"/>
      <c r="J44" s="49"/>
      <c r="K44" s="51"/>
      <c r="L44" s="51"/>
      <c r="M44" s="97"/>
      <c r="N44" s="27"/>
      <c r="O44" s="97"/>
    </row>
    <row r="45" spans="2:17" x14ac:dyDescent="0.3">
      <c r="B45" s="35"/>
      <c r="E45" s="36"/>
      <c r="F45" s="36"/>
      <c r="G45" s="36"/>
      <c r="H45" s="36"/>
      <c r="I45" s="51"/>
      <c r="J45" s="49"/>
      <c r="K45" s="51"/>
      <c r="L45" s="51"/>
      <c r="M45" s="97"/>
      <c r="N45" s="27"/>
      <c r="O45" s="97"/>
    </row>
    <row r="46" spans="2:17" x14ac:dyDescent="0.3">
      <c r="B46" s="35"/>
      <c r="E46" s="36"/>
      <c r="F46" s="36"/>
      <c r="G46" s="36"/>
      <c r="H46" s="36"/>
      <c r="I46" s="51"/>
      <c r="J46" s="49"/>
      <c r="K46" s="51"/>
      <c r="L46" s="51"/>
      <c r="M46" s="97"/>
      <c r="N46" s="27"/>
      <c r="O46" s="97"/>
    </row>
    <row r="47" spans="2:17" x14ac:dyDescent="0.3">
      <c r="B47" s="35"/>
      <c r="E47" s="36"/>
      <c r="F47" s="36"/>
      <c r="G47" s="36"/>
      <c r="H47" s="36"/>
      <c r="I47" s="51"/>
      <c r="J47" s="49"/>
      <c r="K47" s="51"/>
      <c r="L47" s="51"/>
      <c r="M47" s="97"/>
      <c r="N47" s="27"/>
      <c r="O47" s="97"/>
    </row>
    <row r="48" spans="2:17" x14ac:dyDescent="0.3">
      <c r="B48" s="35"/>
      <c r="E48" s="36"/>
      <c r="F48" s="36"/>
      <c r="G48" s="36"/>
      <c r="H48" s="36"/>
      <c r="I48" s="51"/>
      <c r="J48" s="49"/>
      <c r="K48" s="51"/>
      <c r="L48" s="51"/>
      <c r="M48" s="97"/>
      <c r="N48" s="27"/>
      <c r="O48" s="97"/>
    </row>
    <row r="49" spans="2:17" x14ac:dyDescent="0.3">
      <c r="B49" s="35"/>
      <c r="E49" s="36"/>
      <c r="F49" s="36"/>
      <c r="G49" s="36"/>
      <c r="H49" s="36"/>
      <c r="I49" s="51"/>
      <c r="J49" s="49"/>
      <c r="K49" s="51"/>
      <c r="L49" s="51"/>
      <c r="M49" s="97"/>
      <c r="N49" s="27"/>
      <c r="O49" s="97"/>
    </row>
    <row r="50" spans="2:17" x14ac:dyDescent="0.3">
      <c r="B50" s="35"/>
      <c r="E50" s="36"/>
      <c r="F50" s="36"/>
      <c r="G50" s="36"/>
      <c r="H50" s="36"/>
      <c r="I50" s="51"/>
      <c r="J50" s="49"/>
      <c r="K50" s="51"/>
      <c r="L50" s="51"/>
      <c r="M50" s="97"/>
      <c r="N50" s="27"/>
      <c r="O50" s="97"/>
    </row>
    <row r="51" spans="2:17" ht="15" thickBot="1" x14ac:dyDescent="0.35">
      <c r="B51" s="35"/>
      <c r="E51" s="36"/>
      <c r="F51" s="36"/>
      <c r="G51" s="36"/>
      <c r="H51" s="36"/>
      <c r="I51" s="51"/>
      <c r="J51" s="49"/>
      <c r="K51" s="51"/>
      <c r="L51" s="51"/>
      <c r="M51" s="97"/>
      <c r="N51" s="27"/>
      <c r="O51" s="97"/>
    </row>
    <row r="52" spans="2:17" ht="28.8" x14ac:dyDescent="0.55000000000000004">
      <c r="B52" s="212" t="s">
        <v>181</v>
      </c>
      <c r="C52" s="213"/>
      <c r="D52" s="213"/>
      <c r="E52" s="213"/>
      <c r="F52" s="213"/>
      <c r="G52" s="213"/>
      <c r="H52" s="213"/>
      <c r="I52" s="213"/>
      <c r="J52" s="213"/>
      <c r="K52" s="213"/>
      <c r="L52" s="213"/>
      <c r="M52" s="213"/>
      <c r="N52" s="213"/>
      <c r="O52" s="213"/>
      <c r="P52" s="213"/>
      <c r="Q52" s="214"/>
    </row>
    <row r="53" spans="2:17" ht="28.8" x14ac:dyDescent="0.3">
      <c r="B53" s="68" t="s">
        <v>1</v>
      </c>
      <c r="C53" s="223" t="s">
        <v>2</v>
      </c>
      <c r="D53" s="223"/>
      <c r="E53" s="92" t="s">
        <v>3</v>
      </c>
      <c r="F53" s="92" t="s">
        <v>4</v>
      </c>
      <c r="G53" s="92" t="s">
        <v>174</v>
      </c>
      <c r="H53" s="92" t="s">
        <v>117</v>
      </c>
      <c r="I53" s="3" t="s">
        <v>175</v>
      </c>
      <c r="J53" s="3" t="s">
        <v>50</v>
      </c>
      <c r="K53" s="3" t="s">
        <v>9</v>
      </c>
      <c r="L53" s="3" t="s">
        <v>10</v>
      </c>
      <c r="M53" s="3" t="s">
        <v>11</v>
      </c>
      <c r="N53" s="3" t="s">
        <v>12</v>
      </c>
      <c r="O53" s="92" t="s">
        <v>13</v>
      </c>
      <c r="P53" s="92" t="s">
        <v>14</v>
      </c>
      <c r="Q53" s="93" t="s">
        <v>141</v>
      </c>
    </row>
    <row r="54" spans="2:17" ht="40.950000000000003" customHeight="1" x14ac:dyDescent="0.3">
      <c r="B54" s="210" t="s">
        <v>182</v>
      </c>
      <c r="C54" s="211" t="s">
        <v>168</v>
      </c>
      <c r="D54" s="41" t="s">
        <v>17</v>
      </c>
      <c r="E54" s="61">
        <f>CEILING((((10600+40+115)*1.12))-150,50)</f>
        <v>11900</v>
      </c>
      <c r="F54" s="44">
        <v>160</v>
      </c>
      <c r="G54" s="42">
        <v>175</v>
      </c>
      <c r="H54" s="42">
        <v>215</v>
      </c>
      <c r="I54" s="42">
        <v>75</v>
      </c>
      <c r="J54" s="42">
        <v>50</v>
      </c>
      <c r="K54" s="46">
        <f t="shared" ref="K54:K55" si="4">SUM(E54:J54)</f>
        <v>12575</v>
      </c>
      <c r="L54" s="44">
        <v>200</v>
      </c>
      <c r="M54" s="116">
        <f>SUM(K54:L54)</f>
        <v>12775</v>
      </c>
      <c r="N54" s="47" t="s">
        <v>183</v>
      </c>
      <c r="O54" s="180" t="s">
        <v>60</v>
      </c>
      <c r="P54" s="41" t="s">
        <v>61</v>
      </c>
      <c r="Q54" s="81" t="s">
        <v>184</v>
      </c>
    </row>
    <row r="55" spans="2:17" ht="42" customHeight="1" thickBot="1" x14ac:dyDescent="0.35">
      <c r="B55" s="210"/>
      <c r="C55" s="211"/>
      <c r="D55" s="41" t="s">
        <v>22</v>
      </c>
      <c r="E55" s="61">
        <f>CEILING((((10800+115)*1.12))-150,50)</f>
        <v>12100</v>
      </c>
      <c r="F55" s="44">
        <v>160</v>
      </c>
      <c r="G55" s="42">
        <v>175</v>
      </c>
      <c r="H55" s="42">
        <v>215</v>
      </c>
      <c r="I55" s="42">
        <v>150</v>
      </c>
      <c r="J55" s="42">
        <v>50</v>
      </c>
      <c r="K55" s="46">
        <f t="shared" si="4"/>
        <v>12850</v>
      </c>
      <c r="L55" s="44">
        <v>200</v>
      </c>
      <c r="M55" s="116">
        <f>SUM(K55:L55)</f>
        <v>13050</v>
      </c>
      <c r="N55" s="47" t="s">
        <v>183</v>
      </c>
      <c r="O55" s="180" t="s">
        <v>60</v>
      </c>
      <c r="P55" s="41" t="s">
        <v>61</v>
      </c>
      <c r="Q55" s="81" t="s">
        <v>184</v>
      </c>
    </row>
    <row r="56" spans="2:17" ht="28.8" x14ac:dyDescent="0.55000000000000004">
      <c r="B56" s="212" t="s">
        <v>185</v>
      </c>
      <c r="C56" s="213"/>
      <c r="D56" s="213"/>
      <c r="E56" s="213"/>
      <c r="F56" s="213"/>
      <c r="G56" s="213"/>
      <c r="H56" s="213"/>
      <c r="I56" s="213"/>
      <c r="J56" s="213"/>
      <c r="K56" s="213"/>
      <c r="L56" s="213"/>
      <c r="M56" s="213"/>
      <c r="N56" s="213"/>
      <c r="O56" s="213"/>
      <c r="P56" s="213"/>
      <c r="Q56" s="214"/>
    </row>
    <row r="57" spans="2:17" ht="28.8" x14ac:dyDescent="0.3">
      <c r="B57" s="68" t="s">
        <v>1</v>
      </c>
      <c r="C57" s="223" t="s">
        <v>2</v>
      </c>
      <c r="D57" s="223"/>
      <c r="E57" s="92" t="s">
        <v>3</v>
      </c>
      <c r="F57" s="92" t="s">
        <v>4</v>
      </c>
      <c r="G57" s="92" t="s">
        <v>174</v>
      </c>
      <c r="H57" s="92" t="s">
        <v>117</v>
      </c>
      <c r="I57" s="3" t="s">
        <v>175</v>
      </c>
      <c r="J57" s="3" t="s">
        <v>50</v>
      </c>
      <c r="K57" s="3" t="s">
        <v>9</v>
      </c>
      <c r="L57" s="3" t="s">
        <v>10</v>
      </c>
      <c r="M57" s="3" t="s">
        <v>11</v>
      </c>
      <c r="N57" s="3" t="s">
        <v>12</v>
      </c>
      <c r="O57" s="92" t="s">
        <v>13</v>
      </c>
      <c r="P57" s="92" t="s">
        <v>14</v>
      </c>
      <c r="Q57" s="93" t="s">
        <v>141</v>
      </c>
    </row>
    <row r="58" spans="2:17" ht="28.95" customHeight="1" x14ac:dyDescent="0.3">
      <c r="B58" s="210" t="s">
        <v>75</v>
      </c>
      <c r="C58" s="211" t="s">
        <v>168</v>
      </c>
      <c r="D58" s="41" t="s">
        <v>17</v>
      </c>
      <c r="E58" s="61">
        <f>CEILING((((11100+40+115)*1.12))-150,50)</f>
        <v>12500</v>
      </c>
      <c r="F58" s="120">
        <v>130</v>
      </c>
      <c r="G58" s="121">
        <v>175</v>
      </c>
      <c r="H58" s="121">
        <v>275</v>
      </c>
      <c r="I58" s="121">
        <v>75</v>
      </c>
      <c r="J58" s="121">
        <v>50</v>
      </c>
      <c r="K58" s="116">
        <f t="shared" ref="K58:K59" si="5">SUM(E58:J58)</f>
        <v>13205</v>
      </c>
      <c r="L58" s="115">
        <v>200</v>
      </c>
      <c r="M58" s="116">
        <f>SUM(K58:L58)</f>
        <v>13405</v>
      </c>
      <c r="N58" s="117" t="s">
        <v>183</v>
      </c>
      <c r="O58" s="180" t="s">
        <v>60</v>
      </c>
      <c r="P58" s="41" t="s">
        <v>61</v>
      </c>
      <c r="Q58" s="234" t="s">
        <v>186</v>
      </c>
    </row>
    <row r="59" spans="2:17" x14ac:dyDescent="0.3">
      <c r="B59" s="210"/>
      <c r="C59" s="211"/>
      <c r="D59" s="41" t="s">
        <v>22</v>
      </c>
      <c r="E59" s="61">
        <f>CEILING((((11300+80+115)*1.12))-150,50)</f>
        <v>12750</v>
      </c>
      <c r="F59" s="120">
        <v>160</v>
      </c>
      <c r="G59" s="121">
        <v>175</v>
      </c>
      <c r="H59" s="121">
        <v>275</v>
      </c>
      <c r="I59" s="121">
        <v>150</v>
      </c>
      <c r="J59" s="121">
        <v>50</v>
      </c>
      <c r="K59" s="116">
        <f t="shared" si="5"/>
        <v>13560</v>
      </c>
      <c r="L59" s="115">
        <v>200</v>
      </c>
      <c r="M59" s="116">
        <f>SUM(K59:L59)</f>
        <v>13760</v>
      </c>
      <c r="N59" s="117" t="s">
        <v>183</v>
      </c>
      <c r="O59" s="180" t="s">
        <v>60</v>
      </c>
      <c r="P59" s="41" t="s">
        <v>61</v>
      </c>
      <c r="Q59" s="235"/>
    </row>
    <row r="60" spans="2:17" ht="28.8" x14ac:dyDescent="0.55000000000000004">
      <c r="B60" s="230" t="s">
        <v>187</v>
      </c>
      <c r="C60" s="191"/>
      <c r="D60" s="191"/>
      <c r="E60" s="191"/>
      <c r="F60" s="191"/>
      <c r="G60" s="191"/>
      <c r="H60" s="191"/>
      <c r="I60" s="191"/>
      <c r="J60" s="191"/>
      <c r="K60" s="191"/>
      <c r="L60" s="191"/>
      <c r="M60" s="191"/>
      <c r="N60" s="191"/>
      <c r="O60" s="191"/>
      <c r="P60" s="191"/>
      <c r="Q60" s="231"/>
    </row>
    <row r="61" spans="2:17" ht="28.8" x14ac:dyDescent="0.3">
      <c r="B61" s="80" t="s">
        <v>1</v>
      </c>
      <c r="C61" s="232" t="s">
        <v>2</v>
      </c>
      <c r="D61" s="232"/>
      <c r="E61" s="8" t="s">
        <v>3</v>
      </c>
      <c r="F61" s="1" t="s">
        <v>4</v>
      </c>
      <c r="G61" s="9" t="s">
        <v>174</v>
      </c>
      <c r="H61" s="9" t="s">
        <v>117</v>
      </c>
      <c r="I61" s="3" t="s">
        <v>175</v>
      </c>
      <c r="J61" s="2" t="s">
        <v>50</v>
      </c>
      <c r="K61" s="2" t="s">
        <v>9</v>
      </c>
      <c r="L61" s="2" t="s">
        <v>10</v>
      </c>
      <c r="M61" s="2" t="s">
        <v>11</v>
      </c>
      <c r="N61" s="8" t="s">
        <v>12</v>
      </c>
      <c r="O61" s="9" t="s">
        <v>13</v>
      </c>
      <c r="P61" s="95" t="s">
        <v>14</v>
      </c>
      <c r="Q61" s="74" t="s">
        <v>141</v>
      </c>
    </row>
    <row r="62" spans="2:17" ht="14.4" customHeight="1" x14ac:dyDescent="0.3">
      <c r="B62" s="233" t="s">
        <v>188</v>
      </c>
      <c r="C62" s="211" t="s">
        <v>168</v>
      </c>
      <c r="D62" s="41" t="s">
        <v>17</v>
      </c>
      <c r="E62" s="61">
        <f>CEILING((((11100+40+115)*1.12))-150,50)</f>
        <v>12500</v>
      </c>
      <c r="F62" s="120">
        <v>130</v>
      </c>
      <c r="G62" s="121">
        <v>175</v>
      </c>
      <c r="H62" s="121">
        <v>275</v>
      </c>
      <c r="I62" s="121">
        <v>75</v>
      </c>
      <c r="J62" s="121">
        <v>50</v>
      </c>
      <c r="K62" s="116">
        <f t="shared" ref="K62:K63" si="6">SUM(E62:J62)</f>
        <v>13205</v>
      </c>
      <c r="L62" s="115">
        <v>200</v>
      </c>
      <c r="M62" s="116">
        <f>SUM(K62:L62)</f>
        <v>13405</v>
      </c>
      <c r="N62" s="117" t="s">
        <v>183</v>
      </c>
      <c r="O62" s="180" t="s">
        <v>60</v>
      </c>
      <c r="P62" s="41" t="s">
        <v>61</v>
      </c>
      <c r="Q62" s="234" t="s">
        <v>186</v>
      </c>
    </row>
    <row r="63" spans="2:17" x14ac:dyDescent="0.3">
      <c r="B63" s="233"/>
      <c r="C63" s="211"/>
      <c r="D63" s="41" t="s">
        <v>22</v>
      </c>
      <c r="E63" s="61">
        <f>CEILING((((11300+80+115)*1.12))-150,50)</f>
        <v>12750</v>
      </c>
      <c r="F63" s="120">
        <v>160</v>
      </c>
      <c r="G63" s="121">
        <v>175</v>
      </c>
      <c r="H63" s="121">
        <v>275</v>
      </c>
      <c r="I63" s="121">
        <v>150</v>
      </c>
      <c r="J63" s="121">
        <v>50</v>
      </c>
      <c r="K63" s="116">
        <f t="shared" si="6"/>
        <v>13560</v>
      </c>
      <c r="L63" s="115">
        <v>200</v>
      </c>
      <c r="M63" s="116">
        <f>SUM(K63:L63)</f>
        <v>13760</v>
      </c>
      <c r="N63" s="117" t="s">
        <v>183</v>
      </c>
      <c r="O63" s="180" t="s">
        <v>60</v>
      </c>
      <c r="P63" s="41" t="s">
        <v>61</v>
      </c>
      <c r="Q63" s="235"/>
    </row>
    <row r="64" spans="2:17" ht="28.8" x14ac:dyDescent="0.55000000000000004">
      <c r="B64" s="230" t="s">
        <v>189</v>
      </c>
      <c r="C64" s="191"/>
      <c r="D64" s="191"/>
      <c r="E64" s="191"/>
      <c r="F64" s="191"/>
      <c r="G64" s="191"/>
      <c r="H64" s="191"/>
      <c r="I64" s="191"/>
      <c r="J64" s="191"/>
      <c r="K64" s="191"/>
      <c r="L64" s="191"/>
      <c r="M64" s="191"/>
      <c r="N64" s="191"/>
      <c r="O64" s="191"/>
      <c r="P64" s="191"/>
      <c r="Q64" s="231"/>
    </row>
    <row r="65" spans="2:18" ht="28.8" x14ac:dyDescent="0.3">
      <c r="B65" s="80" t="s">
        <v>1</v>
      </c>
      <c r="C65" s="232" t="s">
        <v>2</v>
      </c>
      <c r="D65" s="232"/>
      <c r="E65" s="8" t="s">
        <v>3</v>
      </c>
      <c r="F65" s="1" t="s">
        <v>4</v>
      </c>
      <c r="G65" s="9" t="s">
        <v>174</v>
      </c>
      <c r="H65" s="9" t="s">
        <v>117</v>
      </c>
      <c r="I65" s="3" t="s">
        <v>175</v>
      </c>
      <c r="J65" s="2" t="s">
        <v>50</v>
      </c>
      <c r="K65" s="2" t="s">
        <v>9</v>
      </c>
      <c r="L65" s="2" t="s">
        <v>10</v>
      </c>
      <c r="M65" s="2" t="s">
        <v>11</v>
      </c>
      <c r="N65" s="8" t="s">
        <v>12</v>
      </c>
      <c r="O65" s="9" t="s">
        <v>13</v>
      </c>
      <c r="P65" s="95" t="s">
        <v>14</v>
      </c>
      <c r="Q65" s="74" t="s">
        <v>141</v>
      </c>
    </row>
    <row r="66" spans="2:18" x14ac:dyDescent="0.3">
      <c r="B66" s="233" t="s">
        <v>190</v>
      </c>
      <c r="C66" s="211" t="s">
        <v>168</v>
      </c>
      <c r="D66" s="41" t="s">
        <v>17</v>
      </c>
      <c r="E66" s="61">
        <f>CEILING((((11100+40+115)*1.12))-150,50)</f>
        <v>12500</v>
      </c>
      <c r="F66" s="120">
        <v>130</v>
      </c>
      <c r="G66" s="121">
        <v>175</v>
      </c>
      <c r="H66" s="121">
        <v>275</v>
      </c>
      <c r="I66" s="121">
        <v>75</v>
      </c>
      <c r="J66" s="121">
        <v>50</v>
      </c>
      <c r="K66" s="116">
        <f t="shared" ref="K66:K67" si="7">SUM(E66:J66)</f>
        <v>13205</v>
      </c>
      <c r="L66" s="115">
        <v>200</v>
      </c>
      <c r="M66" s="116">
        <f>SUM(K66:L66)</f>
        <v>13405</v>
      </c>
      <c r="N66" s="117" t="s">
        <v>183</v>
      </c>
      <c r="O66" s="180" t="s">
        <v>60</v>
      </c>
      <c r="P66" s="41" t="s">
        <v>61</v>
      </c>
      <c r="Q66" s="236" t="s">
        <v>191</v>
      </c>
    </row>
    <row r="67" spans="2:18" x14ac:dyDescent="0.3">
      <c r="B67" s="233"/>
      <c r="C67" s="211"/>
      <c r="D67" s="41" t="s">
        <v>22</v>
      </c>
      <c r="E67" s="61">
        <f>CEILING((((11300+80+115)*1.12))-150,50)</f>
        <v>12750</v>
      </c>
      <c r="F67" s="120">
        <v>160</v>
      </c>
      <c r="G67" s="121">
        <v>175</v>
      </c>
      <c r="H67" s="121">
        <v>275</v>
      </c>
      <c r="I67" s="121">
        <v>150</v>
      </c>
      <c r="J67" s="121">
        <v>50</v>
      </c>
      <c r="K67" s="116">
        <f t="shared" si="7"/>
        <v>13560</v>
      </c>
      <c r="L67" s="115">
        <v>200</v>
      </c>
      <c r="M67" s="116">
        <f>SUM(K67:L67)</f>
        <v>13760</v>
      </c>
      <c r="N67" s="117" t="s">
        <v>183</v>
      </c>
      <c r="O67" s="180" t="s">
        <v>60</v>
      </c>
      <c r="P67" s="41" t="s">
        <v>61</v>
      </c>
      <c r="Q67" s="237"/>
    </row>
    <row r="68" spans="2:18" ht="28.8" x14ac:dyDescent="0.55000000000000004">
      <c r="B68" s="230" t="s">
        <v>192</v>
      </c>
      <c r="C68" s="191"/>
      <c r="D68" s="191"/>
      <c r="E68" s="191"/>
      <c r="F68" s="191"/>
      <c r="G68" s="191"/>
      <c r="H68" s="191"/>
      <c r="I68" s="191"/>
      <c r="J68" s="191"/>
      <c r="K68" s="191"/>
      <c r="L68" s="191"/>
      <c r="M68" s="191"/>
      <c r="N68" s="191"/>
      <c r="O68" s="191"/>
      <c r="P68" s="191"/>
      <c r="Q68" s="231"/>
    </row>
    <row r="69" spans="2:18" ht="28.8" x14ac:dyDescent="0.3">
      <c r="B69" s="80" t="s">
        <v>1</v>
      </c>
      <c r="C69" s="232" t="s">
        <v>2</v>
      </c>
      <c r="D69" s="232"/>
      <c r="E69" s="8" t="s">
        <v>3</v>
      </c>
      <c r="F69" s="1" t="s">
        <v>4</v>
      </c>
      <c r="G69" s="9" t="s">
        <v>174</v>
      </c>
      <c r="H69" s="9" t="s">
        <v>117</v>
      </c>
      <c r="I69" s="3" t="s">
        <v>175</v>
      </c>
      <c r="J69" s="2" t="s">
        <v>50</v>
      </c>
      <c r="K69" s="2" t="s">
        <v>9</v>
      </c>
      <c r="L69" s="2" t="s">
        <v>10</v>
      </c>
      <c r="M69" s="2" t="s">
        <v>11</v>
      </c>
      <c r="N69" s="8" t="s">
        <v>12</v>
      </c>
      <c r="O69" s="9" t="s">
        <v>13</v>
      </c>
      <c r="P69" s="95" t="s">
        <v>14</v>
      </c>
      <c r="Q69" s="74" t="s">
        <v>141</v>
      </c>
    </row>
    <row r="70" spans="2:18" ht="14.4" customHeight="1" x14ac:dyDescent="0.3">
      <c r="B70" s="210" t="s">
        <v>193</v>
      </c>
      <c r="C70" s="211" t="s">
        <v>168</v>
      </c>
      <c r="D70" s="41" t="s">
        <v>17</v>
      </c>
      <c r="E70" s="61">
        <f>CEILING((((10900+40+115)*1.12))-150,50)</f>
        <v>12250</v>
      </c>
      <c r="F70" s="120">
        <v>130</v>
      </c>
      <c r="G70" s="121">
        <v>175</v>
      </c>
      <c r="H70" s="121">
        <v>275</v>
      </c>
      <c r="I70" s="121">
        <v>75</v>
      </c>
      <c r="J70" s="121">
        <v>50</v>
      </c>
      <c r="K70" s="46">
        <f t="shared" ref="K70:K71" si="8">SUM(E70:J70)</f>
        <v>12955</v>
      </c>
      <c r="L70" s="44">
        <v>200</v>
      </c>
      <c r="M70" s="116">
        <f>SUM(K70:L70)</f>
        <v>13155</v>
      </c>
      <c r="N70" s="47" t="s">
        <v>183</v>
      </c>
      <c r="O70" s="180" t="s">
        <v>60</v>
      </c>
      <c r="P70" s="41" t="s">
        <v>61</v>
      </c>
      <c r="Q70" s="236" t="s">
        <v>191</v>
      </c>
    </row>
    <row r="71" spans="2:18" x14ac:dyDescent="0.3">
      <c r="B71" s="210"/>
      <c r="C71" s="211"/>
      <c r="D71" s="41" t="s">
        <v>22</v>
      </c>
      <c r="E71" s="61">
        <f>CEILING((((11400+80+115)*1.12))-150,50)</f>
        <v>12850</v>
      </c>
      <c r="F71" s="120">
        <v>160</v>
      </c>
      <c r="G71" s="121">
        <v>175</v>
      </c>
      <c r="H71" s="121">
        <v>275</v>
      </c>
      <c r="I71" s="121">
        <v>150</v>
      </c>
      <c r="J71" s="121">
        <v>50</v>
      </c>
      <c r="K71" s="46">
        <f t="shared" si="8"/>
        <v>13660</v>
      </c>
      <c r="L71" s="44">
        <v>200</v>
      </c>
      <c r="M71" s="116">
        <f>SUM(K71:L71)</f>
        <v>13860</v>
      </c>
      <c r="N71" s="47" t="s">
        <v>183</v>
      </c>
      <c r="O71" s="180" t="s">
        <v>60</v>
      </c>
      <c r="P71" s="41" t="s">
        <v>61</v>
      </c>
      <c r="Q71" s="238"/>
    </row>
    <row r="72" spans="2:18" ht="28.8" x14ac:dyDescent="0.55000000000000004">
      <c r="B72" s="230" t="s">
        <v>194</v>
      </c>
      <c r="C72" s="191"/>
      <c r="D72" s="191"/>
      <c r="E72" s="191"/>
      <c r="F72" s="191"/>
      <c r="G72" s="191"/>
      <c r="H72" s="191"/>
      <c r="I72" s="191"/>
      <c r="J72" s="191"/>
      <c r="K72" s="191"/>
      <c r="L72" s="191"/>
      <c r="M72" s="191"/>
      <c r="N72" s="209"/>
      <c r="O72" s="191"/>
      <c r="P72" s="191"/>
      <c r="Q72" s="231"/>
    </row>
    <row r="73" spans="2:18" ht="28.8" x14ac:dyDescent="0.3">
      <c r="B73" s="80" t="s">
        <v>1</v>
      </c>
      <c r="C73" s="232" t="s">
        <v>2</v>
      </c>
      <c r="D73" s="232"/>
      <c r="E73" s="8" t="s">
        <v>3</v>
      </c>
      <c r="F73" s="1" t="s">
        <v>4</v>
      </c>
      <c r="G73" s="9" t="s">
        <v>174</v>
      </c>
      <c r="H73" s="9" t="s">
        <v>117</v>
      </c>
      <c r="I73" s="3" t="s">
        <v>175</v>
      </c>
      <c r="J73" s="2" t="s">
        <v>50</v>
      </c>
      <c r="K73" s="2" t="s">
        <v>9</v>
      </c>
      <c r="L73" s="2" t="s">
        <v>10</v>
      </c>
      <c r="M73" s="2" t="s">
        <v>11</v>
      </c>
      <c r="N73" s="8" t="s">
        <v>12</v>
      </c>
      <c r="O73" s="9" t="s">
        <v>13</v>
      </c>
      <c r="P73" s="95" t="s">
        <v>14</v>
      </c>
      <c r="Q73" s="74" t="s">
        <v>141</v>
      </c>
    </row>
    <row r="74" spans="2:18" x14ac:dyDescent="0.3">
      <c r="B74" s="210" t="s">
        <v>195</v>
      </c>
      <c r="C74" s="211" t="s">
        <v>168</v>
      </c>
      <c r="D74" s="41" t="s">
        <v>17</v>
      </c>
      <c r="E74" s="61">
        <f>CEILING((((11100+40+115)*1.12))-150,50)</f>
        <v>12500</v>
      </c>
      <c r="F74" s="120">
        <v>130</v>
      </c>
      <c r="G74" s="121">
        <v>175</v>
      </c>
      <c r="H74" s="121">
        <v>275</v>
      </c>
      <c r="I74" s="121">
        <v>75</v>
      </c>
      <c r="J74" s="121">
        <v>50</v>
      </c>
      <c r="K74" s="116">
        <f t="shared" ref="K74:K75" si="9">SUM(E74:J74)</f>
        <v>13205</v>
      </c>
      <c r="L74" s="115">
        <v>200</v>
      </c>
      <c r="M74" s="116">
        <f>SUM(K74:L74)</f>
        <v>13405</v>
      </c>
      <c r="N74" s="117" t="s">
        <v>183</v>
      </c>
      <c r="O74" s="180" t="s">
        <v>60</v>
      </c>
      <c r="P74" s="41" t="s">
        <v>61</v>
      </c>
      <c r="Q74" s="236" t="s">
        <v>191</v>
      </c>
    </row>
    <row r="75" spans="2:18" ht="15" thickBot="1" x14ac:dyDescent="0.35">
      <c r="B75" s="255"/>
      <c r="C75" s="245"/>
      <c r="D75" s="62" t="s">
        <v>22</v>
      </c>
      <c r="E75" s="61">
        <f>CEILING((((11300+80+115)*1.12))-150,50)</f>
        <v>12750</v>
      </c>
      <c r="F75" s="146">
        <v>160</v>
      </c>
      <c r="G75" s="147">
        <v>175</v>
      </c>
      <c r="H75" s="147">
        <v>275</v>
      </c>
      <c r="I75" s="147">
        <v>150</v>
      </c>
      <c r="J75" s="147">
        <v>50</v>
      </c>
      <c r="K75" s="148">
        <f t="shared" si="9"/>
        <v>13560</v>
      </c>
      <c r="L75" s="149">
        <v>200</v>
      </c>
      <c r="M75" s="148">
        <f>SUM(K75:L75)</f>
        <v>13760</v>
      </c>
      <c r="N75" s="150" t="s">
        <v>183</v>
      </c>
      <c r="O75" s="180" t="s">
        <v>60</v>
      </c>
      <c r="P75" s="62" t="s">
        <v>61</v>
      </c>
      <c r="Q75" s="243"/>
    </row>
    <row r="76" spans="2:18" ht="15" thickBot="1" x14ac:dyDescent="0.35">
      <c r="B76" s="97"/>
      <c r="C76" s="97"/>
      <c r="D76" s="206" t="s">
        <v>196</v>
      </c>
      <c r="E76" s="206"/>
      <c r="F76" s="97"/>
      <c r="G76" s="97"/>
      <c r="H76" s="97"/>
      <c r="I76" s="97"/>
      <c r="J76" s="57"/>
      <c r="K76" s="97"/>
      <c r="L76" s="97"/>
      <c r="M76" s="57"/>
      <c r="N76" s="97"/>
      <c r="O76" s="97"/>
      <c r="P76" s="97"/>
      <c r="Q76" s="97"/>
      <c r="R76" s="97"/>
    </row>
    <row r="77" spans="2:18" ht="15.6" x14ac:dyDescent="0.3">
      <c r="B77" s="247" t="s">
        <v>32</v>
      </c>
      <c r="C77" s="248"/>
      <c r="D77" s="248"/>
      <c r="E77" s="248"/>
      <c r="F77" s="248"/>
      <c r="G77" s="248"/>
      <c r="H77" s="248"/>
      <c r="I77" s="248"/>
      <c r="J77" s="248"/>
      <c r="K77" s="248"/>
      <c r="L77" s="248"/>
      <c r="M77" s="248"/>
      <c r="N77" s="248"/>
      <c r="O77" s="248"/>
      <c r="P77" s="248"/>
      <c r="Q77" s="248"/>
      <c r="R77" s="249"/>
    </row>
    <row r="78" spans="2:18" x14ac:dyDescent="0.3">
      <c r="B78" s="250" t="s">
        <v>33</v>
      </c>
      <c r="C78" s="200"/>
      <c r="D78" s="200"/>
      <c r="E78" s="200"/>
      <c r="F78" s="200"/>
      <c r="G78" s="200"/>
      <c r="H78" s="200"/>
      <c r="I78" s="200"/>
      <c r="J78" s="200"/>
      <c r="K78" s="200"/>
      <c r="L78" s="200"/>
      <c r="M78" s="200"/>
      <c r="N78" s="200"/>
      <c r="O78" s="200"/>
      <c r="P78" s="200"/>
      <c r="Q78" s="200"/>
      <c r="R78" s="251"/>
    </row>
    <row r="79" spans="2:18" x14ac:dyDescent="0.3">
      <c r="B79" s="250"/>
      <c r="C79" s="200"/>
      <c r="D79" s="200"/>
      <c r="E79" s="200"/>
      <c r="F79" s="200"/>
      <c r="G79" s="200"/>
      <c r="H79" s="200"/>
      <c r="I79" s="200"/>
      <c r="J79" s="200"/>
      <c r="K79" s="200"/>
      <c r="L79" s="200"/>
      <c r="M79" s="200"/>
      <c r="N79" s="200"/>
      <c r="O79" s="200"/>
      <c r="P79" s="200"/>
      <c r="Q79" s="200"/>
      <c r="R79" s="251"/>
    </row>
    <row r="80" spans="2:18" x14ac:dyDescent="0.3">
      <c r="B80" s="250"/>
      <c r="C80" s="200"/>
      <c r="D80" s="200"/>
      <c r="E80" s="200"/>
      <c r="F80" s="200"/>
      <c r="G80" s="200"/>
      <c r="H80" s="200"/>
      <c r="I80" s="200"/>
      <c r="J80" s="200"/>
      <c r="K80" s="200"/>
      <c r="L80" s="200"/>
      <c r="M80" s="200"/>
      <c r="N80" s="200"/>
      <c r="O80" s="200"/>
      <c r="P80" s="200"/>
      <c r="Q80" s="200"/>
      <c r="R80" s="251"/>
    </row>
    <row r="81" spans="2:18" ht="15" thickBot="1" x14ac:dyDescent="0.35">
      <c r="B81" s="252"/>
      <c r="C81" s="253"/>
      <c r="D81" s="253"/>
      <c r="E81" s="253"/>
      <c r="F81" s="253"/>
      <c r="G81" s="253"/>
      <c r="H81" s="253"/>
      <c r="I81" s="253"/>
      <c r="J81" s="253"/>
      <c r="K81" s="253"/>
      <c r="L81" s="253"/>
      <c r="M81" s="253"/>
      <c r="N81" s="253"/>
      <c r="O81" s="253"/>
      <c r="P81" s="253"/>
      <c r="Q81" s="253"/>
      <c r="R81" s="254"/>
    </row>
    <row r="89" spans="2:18" ht="28.8" x14ac:dyDescent="0.3">
      <c r="B89" s="246" t="s">
        <v>197</v>
      </c>
      <c r="C89" s="246"/>
      <c r="D89" s="246"/>
      <c r="E89" s="246"/>
      <c r="F89" s="246"/>
      <c r="G89" s="246"/>
      <c r="H89" s="246"/>
      <c r="I89" s="246"/>
      <c r="J89" s="246"/>
      <c r="K89" s="246"/>
      <c r="L89" s="246"/>
      <c r="M89" s="246"/>
      <c r="N89" s="246"/>
      <c r="O89" s="246"/>
      <c r="P89" s="246"/>
      <c r="Q89" s="246"/>
      <c r="R89" s="246"/>
    </row>
    <row r="90" spans="2:18" ht="28.8" x14ac:dyDescent="0.3">
      <c r="B90" s="1" t="s">
        <v>1</v>
      </c>
      <c r="C90" s="232" t="s">
        <v>2</v>
      </c>
      <c r="D90" s="232"/>
      <c r="E90" s="98" t="s">
        <v>130</v>
      </c>
      <c r="F90" s="1" t="s">
        <v>4</v>
      </c>
      <c r="G90" s="9" t="s">
        <v>174</v>
      </c>
      <c r="H90" s="9" t="s">
        <v>117</v>
      </c>
      <c r="I90" s="2" t="s">
        <v>198</v>
      </c>
      <c r="J90" s="2" t="s">
        <v>9</v>
      </c>
      <c r="K90" s="2" t="s">
        <v>10</v>
      </c>
      <c r="L90" s="2" t="s">
        <v>11</v>
      </c>
      <c r="M90" s="8" t="s">
        <v>12</v>
      </c>
      <c r="N90" s="9" t="s">
        <v>13</v>
      </c>
      <c r="O90" s="9" t="s">
        <v>14</v>
      </c>
      <c r="P90" s="95" t="s">
        <v>123</v>
      </c>
      <c r="Q90" s="223" t="s">
        <v>36</v>
      </c>
      <c r="R90" s="223"/>
    </row>
    <row r="91" spans="2:18" x14ac:dyDescent="0.3">
      <c r="B91" s="240" t="s">
        <v>91</v>
      </c>
      <c r="C91" s="241" t="s">
        <v>168</v>
      </c>
      <c r="D91" s="41" t="s">
        <v>17</v>
      </c>
      <c r="E91" s="29">
        <v>1400</v>
      </c>
      <c r="F91" s="31">
        <v>175</v>
      </c>
      <c r="G91" s="42">
        <v>150</v>
      </c>
      <c r="H91" s="42">
        <v>175</v>
      </c>
      <c r="I91" s="42">
        <v>75</v>
      </c>
      <c r="J91" s="46">
        <f>SUM(E91:I91)</f>
        <v>1975</v>
      </c>
      <c r="K91" s="44">
        <v>200</v>
      </c>
      <c r="L91" s="46">
        <f>J91+K91</f>
        <v>2175</v>
      </c>
      <c r="M91" s="73" t="s">
        <v>154</v>
      </c>
      <c r="N91" s="180" t="s">
        <v>60</v>
      </c>
      <c r="O91" s="33" t="s">
        <v>43</v>
      </c>
      <c r="P91" s="41" t="s">
        <v>155</v>
      </c>
      <c r="Q91" s="242" t="s">
        <v>44</v>
      </c>
      <c r="R91" s="242"/>
    </row>
    <row r="92" spans="2:18" x14ac:dyDescent="0.3">
      <c r="B92" s="240"/>
      <c r="C92" s="241"/>
      <c r="D92" s="41" t="s">
        <v>22</v>
      </c>
      <c r="E92" s="29">
        <v>1800</v>
      </c>
      <c r="F92" s="31">
        <v>235</v>
      </c>
      <c r="G92" s="42">
        <v>150</v>
      </c>
      <c r="H92" s="42">
        <v>175</v>
      </c>
      <c r="I92" s="42">
        <v>75</v>
      </c>
      <c r="J92" s="46">
        <f>SUM(E92:I92)</f>
        <v>2435</v>
      </c>
      <c r="K92" s="44">
        <v>200</v>
      </c>
      <c r="L92" s="46">
        <f>J92+K92</f>
        <v>2635</v>
      </c>
      <c r="M92" s="73" t="s">
        <v>154</v>
      </c>
      <c r="N92" s="180" t="s">
        <v>60</v>
      </c>
      <c r="O92" s="33" t="s">
        <v>43</v>
      </c>
      <c r="P92" s="41" t="s">
        <v>155</v>
      </c>
      <c r="Q92" s="242"/>
      <c r="R92" s="242"/>
    </row>
    <row r="94" spans="2:18" ht="15.6" x14ac:dyDescent="0.3">
      <c r="B94" s="5" t="s">
        <v>32</v>
      </c>
      <c r="C94" s="6"/>
      <c r="D94" s="6"/>
      <c r="E94" s="6"/>
      <c r="F94" s="6"/>
      <c r="G94" s="6"/>
      <c r="H94" s="6"/>
      <c r="I94" s="6"/>
      <c r="J94" s="6"/>
      <c r="K94" s="6"/>
      <c r="L94" s="6"/>
      <c r="M94" s="6"/>
      <c r="N94" s="6"/>
      <c r="O94" s="6"/>
      <c r="P94" s="6"/>
      <c r="Q94" s="6"/>
      <c r="R94" s="6"/>
    </row>
    <row r="95" spans="2:18" x14ac:dyDescent="0.3">
      <c r="B95" s="239" t="s">
        <v>33</v>
      </c>
      <c r="C95" s="239"/>
      <c r="D95" s="239"/>
      <c r="E95" s="239"/>
      <c r="F95" s="239"/>
      <c r="G95" s="239"/>
      <c r="H95" s="239"/>
      <c r="I95" s="239"/>
      <c r="J95" s="239"/>
      <c r="K95" s="239"/>
      <c r="L95" s="239"/>
      <c r="M95" s="239"/>
      <c r="N95" s="239"/>
      <c r="O95" s="239"/>
      <c r="P95" s="239"/>
      <c r="Q95" s="239"/>
      <c r="R95" s="239"/>
    </row>
    <row r="96" spans="2:18" x14ac:dyDescent="0.3">
      <c r="B96" s="239"/>
      <c r="C96" s="239"/>
      <c r="D96" s="239"/>
      <c r="E96" s="239"/>
      <c r="F96" s="239"/>
      <c r="G96" s="239"/>
      <c r="H96" s="239"/>
      <c r="I96" s="239"/>
      <c r="J96" s="239"/>
      <c r="K96" s="239"/>
      <c r="L96" s="239"/>
      <c r="M96" s="239"/>
      <c r="N96" s="239"/>
      <c r="O96" s="239"/>
      <c r="P96" s="239"/>
      <c r="Q96" s="239"/>
      <c r="R96" s="239"/>
    </row>
    <row r="97" spans="2:18" x14ac:dyDescent="0.3">
      <c r="B97" s="239"/>
      <c r="C97" s="239"/>
      <c r="D97" s="239"/>
      <c r="E97" s="239"/>
      <c r="F97" s="239"/>
      <c r="G97" s="239"/>
      <c r="H97" s="239"/>
      <c r="I97" s="239"/>
      <c r="J97" s="239"/>
      <c r="K97" s="239"/>
      <c r="L97" s="239"/>
      <c r="M97" s="239"/>
      <c r="N97" s="239"/>
      <c r="O97" s="239"/>
      <c r="P97" s="239"/>
      <c r="Q97" s="239"/>
      <c r="R97" s="239"/>
    </row>
    <row r="98" spans="2:18" x14ac:dyDescent="0.3">
      <c r="B98" s="239"/>
      <c r="C98" s="239"/>
      <c r="D98" s="239"/>
      <c r="E98" s="239"/>
      <c r="F98" s="239"/>
      <c r="G98" s="239"/>
      <c r="H98" s="239"/>
      <c r="I98" s="239"/>
      <c r="J98" s="239"/>
      <c r="K98" s="239"/>
      <c r="L98" s="239"/>
      <c r="M98" s="239"/>
      <c r="N98" s="239"/>
      <c r="O98" s="239"/>
      <c r="P98" s="239"/>
      <c r="Q98" s="239"/>
      <c r="R98" s="239"/>
    </row>
    <row r="99" spans="2:18" x14ac:dyDescent="0.3">
      <c r="B99" s="94"/>
      <c r="C99" s="94"/>
      <c r="D99" s="94"/>
      <c r="E99" s="94"/>
      <c r="F99" s="94"/>
      <c r="G99" s="94"/>
      <c r="H99" s="94"/>
      <c r="I99" s="94"/>
      <c r="J99" s="94"/>
      <c r="K99" s="94"/>
      <c r="L99" s="94"/>
      <c r="M99" s="94"/>
      <c r="N99" s="94"/>
      <c r="O99" s="94"/>
      <c r="P99" s="94"/>
      <c r="Q99" s="94"/>
      <c r="R99" s="94"/>
    </row>
    <row r="100" spans="2:18" x14ac:dyDescent="0.3">
      <c r="C100" s="26"/>
    </row>
    <row r="101" spans="2:18" x14ac:dyDescent="0.3">
      <c r="C101" s="26"/>
    </row>
    <row r="102" spans="2:18" x14ac:dyDescent="0.3">
      <c r="C102" s="26"/>
    </row>
    <row r="103" spans="2:18" x14ac:dyDescent="0.3">
      <c r="C103" s="26"/>
    </row>
    <row r="104" spans="2:18" x14ac:dyDescent="0.3">
      <c r="C104" s="26"/>
    </row>
    <row r="105" spans="2:18" ht="28.8" x14ac:dyDescent="0.3">
      <c r="B105" s="256" t="s">
        <v>199</v>
      </c>
      <c r="C105" s="257"/>
      <c r="D105" s="257"/>
      <c r="E105" s="257"/>
      <c r="F105" s="257"/>
      <c r="G105" s="257"/>
      <c r="H105" s="257"/>
      <c r="I105" s="257"/>
      <c r="J105" s="257"/>
      <c r="K105" s="257"/>
      <c r="L105" s="257"/>
      <c r="M105" s="257"/>
      <c r="N105" s="257"/>
      <c r="O105" s="257"/>
      <c r="P105" s="257"/>
      <c r="Q105" s="257"/>
      <c r="R105" s="257"/>
    </row>
    <row r="106" spans="2:18" ht="28.8" x14ac:dyDescent="0.3">
      <c r="B106" s="68" t="s">
        <v>1</v>
      </c>
      <c r="C106" s="223" t="s">
        <v>2</v>
      </c>
      <c r="D106" s="223"/>
      <c r="E106" s="8" t="s">
        <v>3</v>
      </c>
      <c r="F106" s="92" t="s">
        <v>4</v>
      </c>
      <c r="G106" s="92" t="s">
        <v>174</v>
      </c>
      <c r="H106" s="92" t="s">
        <v>117</v>
      </c>
      <c r="I106" s="3" t="s">
        <v>175</v>
      </c>
      <c r="J106" s="3" t="s">
        <v>50</v>
      </c>
      <c r="K106" s="2" t="s">
        <v>9</v>
      </c>
      <c r="L106" s="2" t="s">
        <v>10</v>
      </c>
      <c r="M106" s="2" t="s">
        <v>11</v>
      </c>
      <c r="N106" s="8" t="s">
        <v>12</v>
      </c>
      <c r="O106" s="95" t="s">
        <v>13</v>
      </c>
      <c r="P106" s="95" t="s">
        <v>14</v>
      </c>
      <c r="Q106" s="95" t="s">
        <v>141</v>
      </c>
      <c r="R106" s="74" t="s">
        <v>142</v>
      </c>
    </row>
    <row r="107" spans="2:18" x14ac:dyDescent="0.3">
      <c r="B107" s="244" t="s">
        <v>102</v>
      </c>
      <c r="C107" s="241" t="s">
        <v>168</v>
      </c>
      <c r="D107" s="41" t="s">
        <v>17</v>
      </c>
      <c r="E107" s="42">
        <v>1900</v>
      </c>
      <c r="F107" s="42">
        <v>300</v>
      </c>
      <c r="G107" s="42">
        <v>175</v>
      </c>
      <c r="H107" s="42">
        <v>150</v>
      </c>
      <c r="I107" s="42">
        <v>75</v>
      </c>
      <c r="J107" s="42">
        <v>50</v>
      </c>
      <c r="K107" s="173">
        <f>SUM(E107:J107)</f>
        <v>2650</v>
      </c>
      <c r="L107" s="42">
        <v>200</v>
      </c>
      <c r="M107" s="173">
        <f>SUM(K107:L107)</f>
        <v>2850</v>
      </c>
      <c r="N107" s="47">
        <v>30</v>
      </c>
      <c r="O107" s="180" t="s">
        <v>60</v>
      </c>
      <c r="P107" s="41" t="s">
        <v>61</v>
      </c>
      <c r="Q107" s="64" t="s">
        <v>159</v>
      </c>
      <c r="R107" s="75" t="s">
        <v>160</v>
      </c>
    </row>
    <row r="108" spans="2:18" x14ac:dyDescent="0.3">
      <c r="B108" s="244"/>
      <c r="C108" s="241"/>
      <c r="D108" s="41" t="s">
        <v>22</v>
      </c>
      <c r="E108" s="42">
        <v>2100</v>
      </c>
      <c r="F108" s="42">
        <v>300</v>
      </c>
      <c r="G108" s="42">
        <v>175</v>
      </c>
      <c r="H108" s="42">
        <v>150</v>
      </c>
      <c r="I108" s="42">
        <v>150</v>
      </c>
      <c r="J108" s="42">
        <v>50</v>
      </c>
      <c r="K108" s="173">
        <f>SUM(E108:J108)</f>
        <v>2925</v>
      </c>
      <c r="L108" s="42">
        <v>200</v>
      </c>
      <c r="M108" s="173">
        <f>SUM(K108:L108)</f>
        <v>3125</v>
      </c>
      <c r="N108" s="47">
        <v>30</v>
      </c>
      <c r="O108" s="180" t="s">
        <v>60</v>
      </c>
      <c r="P108" s="41" t="s">
        <v>61</v>
      </c>
      <c r="Q108" s="64" t="s">
        <v>159</v>
      </c>
      <c r="R108" s="75" t="s">
        <v>160</v>
      </c>
    </row>
    <row r="109" spans="2:18" x14ac:dyDescent="0.3">
      <c r="B109" s="244" t="s">
        <v>163</v>
      </c>
      <c r="C109" s="241" t="s">
        <v>168</v>
      </c>
      <c r="D109" s="41" t="s">
        <v>17</v>
      </c>
      <c r="E109" s="42">
        <f>CEILING((((1300+130+10+72+20+100)*1.15)-100)-150,50)</f>
        <v>1650</v>
      </c>
      <c r="F109" s="42">
        <v>160</v>
      </c>
      <c r="G109" s="42">
        <v>175</v>
      </c>
      <c r="H109" s="42">
        <v>215</v>
      </c>
      <c r="I109" s="42">
        <v>75</v>
      </c>
      <c r="J109" s="42">
        <v>50</v>
      </c>
      <c r="K109" s="173">
        <f>SUM(E109:J109)</f>
        <v>2325</v>
      </c>
      <c r="L109" s="42">
        <v>200</v>
      </c>
      <c r="M109" s="173">
        <f>SUM(K109:L109)</f>
        <v>2525</v>
      </c>
      <c r="N109" s="47">
        <v>30</v>
      </c>
      <c r="O109" s="180" t="s">
        <v>60</v>
      </c>
      <c r="P109" s="41" t="s">
        <v>61</v>
      </c>
      <c r="Q109" s="64" t="s">
        <v>159</v>
      </c>
      <c r="R109" s="75" t="s">
        <v>160</v>
      </c>
    </row>
    <row r="110" spans="2:18" x14ac:dyDescent="0.3">
      <c r="B110" s="244"/>
      <c r="C110" s="241"/>
      <c r="D110" s="41" t="s">
        <v>22</v>
      </c>
      <c r="E110" s="42">
        <f>CEILING((((1400+260+10+72+20+150)*1.15)-150)-150,50)</f>
        <v>1900</v>
      </c>
      <c r="F110" s="42">
        <v>160</v>
      </c>
      <c r="G110" s="42">
        <v>175</v>
      </c>
      <c r="H110" s="42">
        <v>215</v>
      </c>
      <c r="I110" s="42">
        <v>150</v>
      </c>
      <c r="J110" s="42">
        <v>50</v>
      </c>
      <c r="K110" s="173">
        <f>SUM(E110:J110)</f>
        <v>2650</v>
      </c>
      <c r="L110" s="42">
        <v>200</v>
      </c>
      <c r="M110" s="173">
        <f>SUM(K110:L110)</f>
        <v>2850</v>
      </c>
      <c r="N110" s="47">
        <v>30</v>
      </c>
      <c r="O110" s="180" t="s">
        <v>60</v>
      </c>
      <c r="P110" s="41" t="s">
        <v>61</v>
      </c>
      <c r="Q110" s="64" t="s">
        <v>159</v>
      </c>
      <c r="R110" s="75" t="s">
        <v>160</v>
      </c>
    </row>
  </sheetData>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38"/>
  <sheetViews>
    <sheetView tabSelected="1" zoomScale="90" zoomScaleNormal="90" zoomScaleSheetLayoutView="100" workbookViewId="0">
      <selection activeCell="U11" sqref="U11"/>
    </sheetView>
  </sheetViews>
  <sheetFormatPr defaultColWidth="9.109375" defaultRowHeight="14.4" x14ac:dyDescent="0.3"/>
  <cols>
    <col min="1" max="1" width="9.109375" style="17"/>
    <col min="2" max="2" width="11.88671875" style="17" bestFit="1" customWidth="1"/>
    <col min="3" max="3" width="10.6640625" style="17" bestFit="1" customWidth="1"/>
    <col min="4" max="4" width="5.6640625" style="17" bestFit="1" customWidth="1"/>
    <col min="5" max="5" width="14" style="17" customWidth="1"/>
    <col min="6" max="6" width="14.88671875" style="40" bestFit="1" customWidth="1"/>
    <col min="7" max="8" width="13" style="40" customWidth="1"/>
    <col min="9" max="9" width="15.33203125" style="40" customWidth="1"/>
    <col min="10" max="10" width="12.6640625" style="17" bestFit="1" customWidth="1"/>
    <col min="11" max="11" width="16.6640625" style="17" bestFit="1" customWidth="1"/>
    <col min="12" max="12" width="18.33203125" style="17" customWidth="1"/>
    <col min="13" max="13" width="17.88671875" style="17" customWidth="1"/>
    <col min="14" max="14" width="16.33203125" style="17" customWidth="1"/>
    <col min="15" max="15" width="25.33203125" style="17" bestFit="1" customWidth="1"/>
    <col min="16" max="16" width="11" style="17" bestFit="1" customWidth="1"/>
    <col min="17" max="17" width="14.44140625" style="17" customWidth="1"/>
    <col min="18" max="18" width="11" style="17" bestFit="1" customWidth="1"/>
    <col min="19" max="19" width="7.109375" style="17" bestFit="1" customWidth="1"/>
    <col min="20" max="20" width="15.5546875" style="17" customWidth="1"/>
    <col min="21" max="21" width="8.5546875" style="17" customWidth="1"/>
    <col min="22" max="23" width="9.109375" style="17"/>
    <col min="24" max="24" width="10.33203125" style="17" bestFit="1" customWidth="1"/>
    <col min="25" max="16384" width="9.109375" style="17"/>
  </cols>
  <sheetData>
    <row r="7" spans="2:19" ht="28.8" x14ac:dyDescent="0.3">
      <c r="B7" s="256" t="s">
        <v>200</v>
      </c>
      <c r="C7" s="257"/>
      <c r="D7" s="257"/>
      <c r="E7" s="257"/>
      <c r="F7" s="257"/>
      <c r="G7" s="257"/>
      <c r="H7" s="257"/>
      <c r="I7" s="257"/>
      <c r="J7" s="257"/>
      <c r="K7" s="257"/>
      <c r="L7" s="257"/>
      <c r="M7" s="257"/>
      <c r="N7" s="257"/>
      <c r="O7" s="257"/>
      <c r="P7" s="257"/>
      <c r="Q7" s="257"/>
    </row>
    <row r="8" spans="2:19" ht="57.6" x14ac:dyDescent="0.3">
      <c r="B8" s="68" t="s">
        <v>1</v>
      </c>
      <c r="C8" s="223" t="s">
        <v>2</v>
      </c>
      <c r="D8" s="223"/>
      <c r="E8" s="92" t="s">
        <v>3</v>
      </c>
      <c r="F8" s="3" t="s">
        <v>201</v>
      </c>
      <c r="G8" s="92" t="s">
        <v>202</v>
      </c>
      <c r="H8" s="92" t="s">
        <v>203</v>
      </c>
      <c r="I8" s="3" t="s">
        <v>112</v>
      </c>
      <c r="J8" s="3" t="s">
        <v>96</v>
      </c>
      <c r="K8" s="3" t="s">
        <v>111</v>
      </c>
      <c r="L8" s="3" t="s">
        <v>52</v>
      </c>
      <c r="M8" s="3" t="s">
        <v>10</v>
      </c>
      <c r="N8" s="3" t="s">
        <v>11</v>
      </c>
      <c r="O8" s="3" t="s">
        <v>12</v>
      </c>
      <c r="P8" s="92" t="s">
        <v>13</v>
      </c>
      <c r="Q8" s="92" t="s">
        <v>14</v>
      </c>
    </row>
    <row r="9" spans="2:19" x14ac:dyDescent="0.3">
      <c r="B9" s="106" t="s">
        <v>16</v>
      </c>
      <c r="C9" s="106" t="s">
        <v>114</v>
      </c>
      <c r="D9" s="88" t="s">
        <v>22</v>
      </c>
      <c r="E9" s="114">
        <v>1300</v>
      </c>
      <c r="F9" s="114" t="s">
        <v>180</v>
      </c>
      <c r="G9" s="66">
        <v>410</v>
      </c>
      <c r="H9" s="66">
        <v>54.2</v>
      </c>
      <c r="I9" s="66" t="s">
        <v>180</v>
      </c>
      <c r="J9" s="66">
        <v>40</v>
      </c>
      <c r="K9" s="159">
        <v>65</v>
      </c>
      <c r="L9" s="67">
        <f>SUM(E9:K9)</f>
        <v>1869.2</v>
      </c>
      <c r="M9" s="66">
        <v>200</v>
      </c>
      <c r="N9" s="67">
        <f>L9+M9</f>
        <v>2069.1999999999998</v>
      </c>
      <c r="O9" s="153" t="s">
        <v>115</v>
      </c>
      <c r="P9" s="180" t="s">
        <v>93</v>
      </c>
      <c r="Q9" s="65" t="s">
        <v>21</v>
      </c>
    </row>
    <row r="10" spans="2:19" ht="28.8" x14ac:dyDescent="0.3">
      <c r="B10" s="256" t="s">
        <v>200</v>
      </c>
      <c r="C10" s="257"/>
      <c r="D10" s="257"/>
      <c r="E10" s="257"/>
      <c r="F10" s="257"/>
      <c r="G10" s="257"/>
      <c r="H10" s="257"/>
      <c r="I10" s="257"/>
      <c r="J10" s="257"/>
      <c r="K10" s="257"/>
      <c r="L10" s="257"/>
      <c r="M10" s="257"/>
      <c r="N10" s="257"/>
      <c r="O10" s="257"/>
      <c r="P10" s="257"/>
      <c r="Q10" s="257"/>
    </row>
    <row r="11" spans="2:19" ht="57.6" x14ac:dyDescent="0.3">
      <c r="B11" s="68" t="s">
        <v>1</v>
      </c>
      <c r="C11" s="223" t="s">
        <v>2</v>
      </c>
      <c r="D11" s="223"/>
      <c r="E11" s="92" t="s">
        <v>3</v>
      </c>
      <c r="F11" s="3" t="s">
        <v>201</v>
      </c>
      <c r="G11" s="92" t="s">
        <v>202</v>
      </c>
      <c r="H11" s="92" t="s">
        <v>203</v>
      </c>
      <c r="I11" s="3" t="s">
        <v>112</v>
      </c>
      <c r="J11" s="3" t="s">
        <v>96</v>
      </c>
      <c r="K11" s="3" t="s">
        <v>111</v>
      </c>
      <c r="L11" s="3" t="s">
        <v>52</v>
      </c>
      <c r="M11" s="3" t="s">
        <v>10</v>
      </c>
      <c r="N11" s="3" t="s">
        <v>11</v>
      </c>
      <c r="O11" s="3" t="s">
        <v>12</v>
      </c>
      <c r="P11" s="92" t="s">
        <v>13</v>
      </c>
      <c r="Q11" s="92" t="s">
        <v>14</v>
      </c>
    </row>
    <row r="12" spans="2:19" x14ac:dyDescent="0.3">
      <c r="B12" s="289" t="s">
        <v>29</v>
      </c>
      <c r="C12" s="240" t="s">
        <v>114</v>
      </c>
      <c r="D12" s="88" t="s">
        <v>17</v>
      </c>
      <c r="E12" s="114">
        <v>450</v>
      </c>
      <c r="F12" s="114">
        <v>120</v>
      </c>
      <c r="G12" s="66">
        <v>340</v>
      </c>
      <c r="H12" s="66">
        <v>97.87</v>
      </c>
      <c r="I12" s="66">
        <v>160</v>
      </c>
      <c r="J12" s="66">
        <v>60</v>
      </c>
      <c r="K12" s="159">
        <v>62.7</v>
      </c>
      <c r="L12" s="67">
        <f>SUM(E12:K12)</f>
        <v>1290.57</v>
      </c>
      <c r="M12" s="66">
        <v>200</v>
      </c>
      <c r="N12" s="67">
        <f>L12+M12</f>
        <v>1490.57</v>
      </c>
      <c r="O12" s="153" t="s">
        <v>115</v>
      </c>
      <c r="P12" s="180" t="s">
        <v>93</v>
      </c>
      <c r="Q12" s="65" t="s">
        <v>69</v>
      </c>
    </row>
    <row r="13" spans="2:19" x14ac:dyDescent="0.3">
      <c r="B13" s="290"/>
      <c r="C13" s="240"/>
      <c r="D13" s="88" t="s">
        <v>22</v>
      </c>
      <c r="E13" s="114">
        <v>600</v>
      </c>
      <c r="F13" s="114">
        <v>240</v>
      </c>
      <c r="G13" s="66">
        <v>340</v>
      </c>
      <c r="H13" s="66">
        <v>97.87</v>
      </c>
      <c r="I13" s="66">
        <v>210</v>
      </c>
      <c r="J13" s="66">
        <v>60</v>
      </c>
      <c r="K13" s="159">
        <v>62.7</v>
      </c>
      <c r="L13" s="67">
        <f>SUM(E13:K13)</f>
        <v>1610.57</v>
      </c>
      <c r="M13" s="66">
        <v>200</v>
      </c>
      <c r="N13" s="67">
        <f>L13+M13</f>
        <v>1810.57</v>
      </c>
      <c r="O13" s="153" t="s">
        <v>115</v>
      </c>
      <c r="P13" s="180" t="s">
        <v>93</v>
      </c>
      <c r="Q13" s="65" t="s">
        <v>69</v>
      </c>
    </row>
    <row r="14" spans="2:19" ht="28.8" x14ac:dyDescent="0.3">
      <c r="B14" s="256" t="s">
        <v>204</v>
      </c>
      <c r="C14" s="257"/>
      <c r="D14" s="257"/>
      <c r="E14" s="257"/>
      <c r="F14" s="257"/>
      <c r="G14" s="257"/>
      <c r="H14" s="257"/>
      <c r="I14" s="257"/>
      <c r="J14" s="257"/>
      <c r="K14" s="257"/>
      <c r="L14" s="257"/>
      <c r="M14" s="257"/>
      <c r="N14" s="257"/>
      <c r="O14" s="257"/>
      <c r="P14" s="257"/>
      <c r="Q14" s="257"/>
      <c r="R14" s="257"/>
    </row>
    <row r="15" spans="2:19" ht="57.6" x14ac:dyDescent="0.3">
      <c r="B15" s="68" t="s">
        <v>1</v>
      </c>
      <c r="C15" s="223" t="s">
        <v>2</v>
      </c>
      <c r="D15" s="223"/>
      <c r="E15" s="92" t="s">
        <v>3</v>
      </c>
      <c r="F15" s="3" t="s">
        <v>201</v>
      </c>
      <c r="G15" s="92" t="s">
        <v>202</v>
      </c>
      <c r="H15" s="92" t="s">
        <v>203</v>
      </c>
      <c r="I15" s="3" t="s">
        <v>112</v>
      </c>
      <c r="J15" s="3" t="s">
        <v>96</v>
      </c>
      <c r="K15" s="3" t="s">
        <v>205</v>
      </c>
      <c r="L15" s="3" t="s">
        <v>206</v>
      </c>
      <c r="M15" s="3" t="s">
        <v>207</v>
      </c>
      <c r="N15" s="3" t="s">
        <v>52</v>
      </c>
      <c r="O15" s="3" t="s">
        <v>10</v>
      </c>
      <c r="P15" s="3" t="s">
        <v>11</v>
      </c>
      <c r="Q15" s="3" t="s">
        <v>12</v>
      </c>
      <c r="R15" s="92" t="s">
        <v>13</v>
      </c>
      <c r="S15" s="92" t="s">
        <v>14</v>
      </c>
    </row>
    <row r="16" spans="2:19" x14ac:dyDescent="0.3">
      <c r="B16" s="240" t="s">
        <v>29</v>
      </c>
      <c r="C16" s="240" t="s">
        <v>168</v>
      </c>
      <c r="D16" s="88" t="s">
        <v>17</v>
      </c>
      <c r="E16" s="90">
        <v>400</v>
      </c>
      <c r="F16" s="114">
        <v>120</v>
      </c>
      <c r="G16" s="66">
        <v>340</v>
      </c>
      <c r="H16" s="66">
        <v>97.87</v>
      </c>
      <c r="I16" s="66">
        <v>150</v>
      </c>
      <c r="J16" s="66">
        <v>50</v>
      </c>
      <c r="K16" s="66">
        <v>165</v>
      </c>
      <c r="L16" s="66">
        <v>175</v>
      </c>
      <c r="M16" s="159">
        <v>66</v>
      </c>
      <c r="N16" s="67">
        <f>SUM(E16:M16)</f>
        <v>1563.87</v>
      </c>
      <c r="O16" s="66">
        <v>200</v>
      </c>
      <c r="P16" s="67">
        <f>N16+O16</f>
        <v>1763.87</v>
      </c>
      <c r="Q16" s="153" t="s">
        <v>115</v>
      </c>
      <c r="R16" s="180" t="s">
        <v>93</v>
      </c>
      <c r="S16" s="65" t="s">
        <v>69</v>
      </c>
    </row>
    <row r="17" spans="2:19" x14ac:dyDescent="0.3">
      <c r="B17" s="240"/>
      <c r="C17" s="240"/>
      <c r="D17" s="88" t="s">
        <v>22</v>
      </c>
      <c r="E17" s="90">
        <v>550</v>
      </c>
      <c r="F17" s="114">
        <v>240</v>
      </c>
      <c r="G17" s="66">
        <v>340</v>
      </c>
      <c r="H17" s="66">
        <v>97.87</v>
      </c>
      <c r="I17" s="66">
        <v>200</v>
      </c>
      <c r="J17" s="66">
        <v>50</v>
      </c>
      <c r="K17" s="66">
        <v>165</v>
      </c>
      <c r="L17" s="66">
        <v>175</v>
      </c>
      <c r="M17" s="159">
        <v>66</v>
      </c>
      <c r="N17" s="67">
        <f>SUM(E17:M17)</f>
        <v>1883.87</v>
      </c>
      <c r="O17" s="66">
        <v>200</v>
      </c>
      <c r="P17" s="67">
        <f>N17+O17</f>
        <v>2083.87</v>
      </c>
      <c r="Q17" s="153" t="s">
        <v>115</v>
      </c>
      <c r="R17" s="180" t="s">
        <v>93</v>
      </c>
      <c r="S17" s="65" t="s">
        <v>69</v>
      </c>
    </row>
    <row r="18" spans="2:19" ht="28.8" x14ac:dyDescent="0.3">
      <c r="B18" s="325" t="s">
        <v>208</v>
      </c>
      <c r="C18" s="326"/>
      <c r="D18" s="326"/>
      <c r="E18" s="326"/>
      <c r="F18" s="326"/>
      <c r="G18" s="326"/>
      <c r="H18" s="326"/>
      <c r="I18" s="326"/>
      <c r="J18" s="326"/>
      <c r="K18" s="326"/>
      <c r="L18" s="326"/>
      <c r="M18" s="326"/>
      <c r="N18" s="326"/>
      <c r="O18" s="326"/>
      <c r="P18" s="326"/>
      <c r="Q18" s="326"/>
    </row>
    <row r="19" spans="2:19" ht="28.8" x14ac:dyDescent="0.3">
      <c r="B19" s="68" t="s">
        <v>1</v>
      </c>
      <c r="C19" s="223" t="s">
        <v>2</v>
      </c>
      <c r="D19" s="223"/>
      <c r="E19" s="92" t="s">
        <v>3</v>
      </c>
      <c r="F19" s="3" t="s">
        <v>201</v>
      </c>
      <c r="G19" s="92" t="s">
        <v>202</v>
      </c>
      <c r="H19" s="92" t="s">
        <v>203</v>
      </c>
      <c r="I19" s="3" t="s">
        <v>96</v>
      </c>
      <c r="J19" s="3" t="s">
        <v>52</v>
      </c>
      <c r="K19" s="3" t="s">
        <v>10</v>
      </c>
      <c r="L19" s="3" t="s">
        <v>11</v>
      </c>
      <c r="M19" s="3" t="s">
        <v>12</v>
      </c>
      <c r="N19" s="92" t="s">
        <v>13</v>
      </c>
      <c r="O19" s="92" t="s">
        <v>14</v>
      </c>
      <c r="P19" s="323" t="s">
        <v>141</v>
      </c>
      <c r="Q19" s="324"/>
    </row>
    <row r="20" spans="2:19" x14ac:dyDescent="0.3">
      <c r="B20" s="240" t="s">
        <v>29</v>
      </c>
      <c r="C20" s="240" t="s">
        <v>209</v>
      </c>
      <c r="D20" s="88" t="s">
        <v>17</v>
      </c>
      <c r="E20" s="90">
        <v>1000</v>
      </c>
      <c r="F20" s="66">
        <v>130</v>
      </c>
      <c r="G20" s="66">
        <v>355</v>
      </c>
      <c r="H20" s="66">
        <v>76.5</v>
      </c>
      <c r="I20" s="66">
        <v>50</v>
      </c>
      <c r="J20" s="67">
        <f>SUM(E20:I20)</f>
        <v>1611.5</v>
      </c>
      <c r="K20" s="66">
        <v>200</v>
      </c>
      <c r="L20" s="67">
        <f>J20+K20</f>
        <v>1811.5</v>
      </c>
      <c r="M20" s="153" t="s">
        <v>115</v>
      </c>
      <c r="N20" s="180" t="s">
        <v>93</v>
      </c>
      <c r="O20" s="65" t="s">
        <v>43</v>
      </c>
      <c r="P20" s="157" t="s">
        <v>210</v>
      </c>
      <c r="Q20" s="41"/>
    </row>
    <row r="21" spans="2:19" x14ac:dyDescent="0.3">
      <c r="B21" s="240"/>
      <c r="C21" s="240"/>
      <c r="D21" s="88" t="s">
        <v>22</v>
      </c>
      <c r="E21" s="90">
        <v>2000</v>
      </c>
      <c r="F21" s="66">
        <v>260</v>
      </c>
      <c r="G21" s="66">
        <v>355</v>
      </c>
      <c r="H21" s="66">
        <v>76.5</v>
      </c>
      <c r="I21" s="66">
        <v>50</v>
      </c>
      <c r="J21" s="67">
        <f>SUM(E21:I21)</f>
        <v>2741.5</v>
      </c>
      <c r="K21" s="66">
        <v>200</v>
      </c>
      <c r="L21" s="67">
        <f>J21+K21</f>
        <v>2941.5</v>
      </c>
      <c r="M21" s="153" t="s">
        <v>115</v>
      </c>
      <c r="N21" s="180" t="s">
        <v>93</v>
      </c>
      <c r="O21" s="65" t="s">
        <v>43</v>
      </c>
      <c r="P21" s="157" t="s">
        <v>210</v>
      </c>
      <c r="Q21" s="41"/>
    </row>
    <row r="22" spans="2:19" ht="28.95" customHeight="1" x14ac:dyDescent="0.3">
      <c r="B22" s="270" t="s">
        <v>211</v>
      </c>
      <c r="C22" s="271"/>
      <c r="D22" s="271"/>
      <c r="E22" s="271"/>
      <c r="F22" s="271"/>
      <c r="G22" s="271"/>
      <c r="H22" s="271"/>
      <c r="I22" s="271"/>
      <c r="J22" s="271"/>
      <c r="K22" s="271"/>
      <c r="L22" s="271"/>
      <c r="M22" s="271"/>
      <c r="N22" s="271"/>
      <c r="O22" s="271"/>
      <c r="P22" s="183"/>
    </row>
    <row r="23" spans="2:19" ht="28.8" x14ac:dyDescent="0.3">
      <c r="B23" s="68" t="s">
        <v>1</v>
      </c>
      <c r="C23" s="223" t="s">
        <v>2</v>
      </c>
      <c r="D23" s="223"/>
      <c r="E23" s="92" t="s">
        <v>3</v>
      </c>
      <c r="F23" s="92" t="s">
        <v>202</v>
      </c>
      <c r="G23" s="92" t="s">
        <v>203</v>
      </c>
      <c r="H23" s="3" t="s">
        <v>96</v>
      </c>
      <c r="I23" s="3" t="s">
        <v>52</v>
      </c>
      <c r="J23" s="3" t="s">
        <v>10</v>
      </c>
      <c r="K23" s="3" t="s">
        <v>11</v>
      </c>
      <c r="L23" s="3" t="s">
        <v>12</v>
      </c>
      <c r="M23" s="92" t="s">
        <v>13</v>
      </c>
      <c r="N23" s="92" t="s">
        <v>14</v>
      </c>
      <c r="O23" s="92" t="s">
        <v>141</v>
      </c>
      <c r="P23" s="321"/>
      <c r="Q23" s="322"/>
    </row>
    <row r="24" spans="2:19" x14ac:dyDescent="0.3">
      <c r="B24" s="240" t="s">
        <v>16</v>
      </c>
      <c r="C24" s="240" t="s">
        <v>212</v>
      </c>
      <c r="D24" s="88" t="s">
        <v>17</v>
      </c>
      <c r="E24" s="110">
        <f>CEILING((((725)*1.5)-355),100)</f>
        <v>800</v>
      </c>
      <c r="F24" s="66">
        <v>355</v>
      </c>
      <c r="G24" s="66">
        <v>76.5</v>
      </c>
      <c r="H24" s="66">
        <v>50</v>
      </c>
      <c r="I24" s="67">
        <f>SUM(E24:H24)</f>
        <v>1281.5</v>
      </c>
      <c r="J24" s="66">
        <v>200</v>
      </c>
      <c r="K24" s="67">
        <f>I24+J24</f>
        <v>1481.5</v>
      </c>
      <c r="L24" s="153" t="s">
        <v>213</v>
      </c>
      <c r="M24" s="180" t="s">
        <v>93</v>
      </c>
      <c r="N24" s="65" t="s">
        <v>43</v>
      </c>
      <c r="O24" s="182" t="s">
        <v>210</v>
      </c>
      <c r="P24" s="181"/>
    </row>
    <row r="25" spans="2:19" x14ac:dyDescent="0.3">
      <c r="B25" s="240"/>
      <c r="C25" s="240"/>
      <c r="D25" s="88" t="s">
        <v>22</v>
      </c>
      <c r="E25" s="110">
        <f>CEILING((((1200)*1.4)-289),50)</f>
        <v>1400</v>
      </c>
      <c r="F25" s="66">
        <v>355</v>
      </c>
      <c r="G25" s="66">
        <v>76.5</v>
      </c>
      <c r="H25" s="66">
        <v>50</v>
      </c>
      <c r="I25" s="67">
        <f>SUM(E25:H25)</f>
        <v>1881.5</v>
      </c>
      <c r="J25" s="66">
        <v>200</v>
      </c>
      <c r="K25" s="67">
        <f>I25+J25</f>
        <v>2081.5</v>
      </c>
      <c r="L25" s="153" t="s">
        <v>213</v>
      </c>
      <c r="M25" s="180" t="s">
        <v>93</v>
      </c>
      <c r="N25" s="65" t="s">
        <v>43</v>
      </c>
      <c r="O25" s="182" t="s">
        <v>210</v>
      </c>
      <c r="P25" s="181"/>
    </row>
    <row r="27" spans="2:19" ht="15.6" x14ac:dyDescent="0.3">
      <c r="B27" s="5" t="s">
        <v>32</v>
      </c>
      <c r="C27" s="6"/>
      <c r="D27" s="6"/>
      <c r="E27" s="6"/>
      <c r="F27" s="6"/>
      <c r="G27" s="6"/>
      <c r="H27" s="6"/>
      <c r="I27" s="6"/>
      <c r="J27" s="6"/>
      <c r="K27" s="6"/>
      <c r="L27" s="6"/>
      <c r="M27" s="6"/>
      <c r="N27" s="6"/>
      <c r="O27" s="6"/>
      <c r="P27" s="6"/>
      <c r="Q27" s="7"/>
    </row>
    <row r="28" spans="2:19" x14ac:dyDescent="0.3">
      <c r="B28" s="217" t="s">
        <v>33</v>
      </c>
      <c r="C28" s="218"/>
      <c r="D28" s="218"/>
      <c r="E28" s="218"/>
      <c r="F28" s="218"/>
      <c r="G28" s="218"/>
      <c r="H28" s="218"/>
      <c r="I28" s="218"/>
      <c r="J28" s="218"/>
      <c r="K28" s="218"/>
      <c r="L28" s="218"/>
      <c r="M28" s="218"/>
      <c r="N28" s="218"/>
      <c r="O28" s="218"/>
      <c r="P28" s="218"/>
      <c r="Q28" s="219"/>
    </row>
    <row r="29" spans="2:19" x14ac:dyDescent="0.3">
      <c r="B29" s="217"/>
      <c r="C29" s="218"/>
      <c r="D29" s="218"/>
      <c r="E29" s="218"/>
      <c r="F29" s="218"/>
      <c r="G29" s="218"/>
      <c r="H29" s="218"/>
      <c r="I29" s="218"/>
      <c r="J29" s="218"/>
      <c r="K29" s="218"/>
      <c r="L29" s="218"/>
      <c r="M29" s="218"/>
      <c r="N29" s="218"/>
      <c r="O29" s="218"/>
      <c r="P29" s="218"/>
      <c r="Q29" s="219"/>
    </row>
    <row r="30" spans="2:19" x14ac:dyDescent="0.3">
      <c r="B30" s="217"/>
      <c r="C30" s="218"/>
      <c r="D30" s="218"/>
      <c r="E30" s="218"/>
      <c r="F30" s="218"/>
      <c r="G30" s="218"/>
      <c r="H30" s="218"/>
      <c r="I30" s="218"/>
      <c r="J30" s="218"/>
      <c r="K30" s="218"/>
      <c r="L30" s="218"/>
      <c r="M30" s="218"/>
      <c r="N30" s="218"/>
      <c r="O30" s="218"/>
      <c r="P30" s="218"/>
      <c r="Q30" s="219"/>
    </row>
    <row r="31" spans="2:19" x14ac:dyDescent="0.3">
      <c r="B31" s="220"/>
      <c r="C31" s="221"/>
      <c r="D31" s="221"/>
      <c r="E31" s="221"/>
      <c r="F31" s="221"/>
      <c r="G31" s="221"/>
      <c r="H31" s="221"/>
      <c r="I31" s="221"/>
      <c r="J31" s="221"/>
      <c r="K31" s="221"/>
      <c r="L31" s="221"/>
      <c r="M31" s="221"/>
      <c r="N31" s="221"/>
      <c r="O31" s="221"/>
      <c r="P31" s="221"/>
      <c r="Q31" s="222"/>
    </row>
    <row r="32" spans="2:19" x14ac:dyDescent="0.3">
      <c r="B32" s="28"/>
      <c r="C32" s="28"/>
      <c r="D32" s="28"/>
      <c r="E32" s="28"/>
      <c r="F32" s="28"/>
      <c r="G32" s="28"/>
      <c r="H32" s="28"/>
      <c r="I32" s="28"/>
      <c r="J32" s="28"/>
      <c r="K32" s="28"/>
      <c r="L32" s="28"/>
      <c r="M32" s="28"/>
      <c r="N32" s="28"/>
      <c r="O32" s="28"/>
      <c r="P32" s="28"/>
      <c r="Q32" s="28"/>
    </row>
    <row r="33" spans="2:17" x14ac:dyDescent="0.3">
      <c r="B33" s="28"/>
      <c r="C33" s="28"/>
      <c r="D33" s="28"/>
      <c r="E33" s="28"/>
      <c r="F33" s="28"/>
      <c r="G33" s="28"/>
      <c r="H33" s="28"/>
      <c r="I33" s="28"/>
      <c r="J33" s="28"/>
      <c r="K33" s="28"/>
      <c r="L33" s="28"/>
      <c r="M33" s="28"/>
      <c r="N33" s="28"/>
      <c r="O33" s="28"/>
      <c r="P33" s="28"/>
      <c r="Q33" s="28"/>
    </row>
    <row r="34" spans="2:17" x14ac:dyDescent="0.3">
      <c r="B34" s="28"/>
      <c r="C34" s="28"/>
      <c r="D34" s="28"/>
      <c r="E34" s="28"/>
      <c r="F34" s="28"/>
      <c r="G34" s="28"/>
      <c r="H34" s="28"/>
      <c r="I34" s="28"/>
      <c r="J34" s="28"/>
      <c r="K34" s="28"/>
      <c r="L34" s="28"/>
      <c r="M34" s="28"/>
      <c r="N34" s="28"/>
      <c r="O34" s="28"/>
      <c r="P34" s="28"/>
      <c r="Q34" s="28"/>
    </row>
    <row r="35" spans="2:17" x14ac:dyDescent="0.3">
      <c r="B35" s="28"/>
      <c r="C35" s="28"/>
      <c r="D35" s="28"/>
      <c r="E35" s="28"/>
      <c r="F35" s="28"/>
      <c r="G35" s="28"/>
      <c r="H35" s="28"/>
      <c r="I35" s="28"/>
      <c r="J35" s="28"/>
      <c r="K35" s="28"/>
      <c r="L35" s="28"/>
      <c r="M35" s="28"/>
      <c r="N35" s="28"/>
      <c r="O35" s="28"/>
      <c r="P35" s="28"/>
      <c r="Q35" s="28"/>
    </row>
    <row r="36" spans="2:17" x14ac:dyDescent="0.3">
      <c r="B36" s="28"/>
      <c r="C36" s="28"/>
      <c r="D36" s="28"/>
      <c r="E36" s="28"/>
      <c r="F36" s="28"/>
      <c r="G36" s="28"/>
      <c r="H36" s="28"/>
      <c r="I36" s="28"/>
      <c r="J36" s="28"/>
      <c r="K36" s="28"/>
      <c r="L36" s="28"/>
      <c r="M36" s="28"/>
      <c r="N36" s="28"/>
      <c r="O36" s="28"/>
      <c r="P36" s="28"/>
      <c r="Q36" s="28"/>
    </row>
    <row r="37" spans="2:17" x14ac:dyDescent="0.3">
      <c r="B37" s="28"/>
      <c r="C37" s="28"/>
      <c r="D37" s="28"/>
      <c r="E37" s="28"/>
      <c r="F37" s="28"/>
      <c r="G37" s="28"/>
      <c r="H37" s="28"/>
      <c r="I37" s="28"/>
      <c r="J37" s="28"/>
      <c r="K37" s="28"/>
      <c r="L37" s="28"/>
      <c r="M37" s="28"/>
      <c r="N37" s="28"/>
      <c r="O37" s="28"/>
      <c r="P37" s="28"/>
      <c r="Q37" s="28"/>
    </row>
    <row r="38" spans="2:17" x14ac:dyDescent="0.3">
      <c r="B38" s="28"/>
      <c r="C38" s="28"/>
      <c r="D38" s="28"/>
      <c r="E38" s="28"/>
      <c r="F38" s="28"/>
      <c r="G38" s="28"/>
      <c r="H38" s="28"/>
      <c r="I38" s="28"/>
      <c r="J38" s="28"/>
      <c r="K38" s="28"/>
      <c r="L38" s="28"/>
      <c r="M38" s="28"/>
      <c r="N38" s="28"/>
      <c r="O38" s="28"/>
      <c r="P38" s="28"/>
      <c r="Q38" s="28"/>
    </row>
  </sheetData>
  <sheetProtection algorithmName="SHA-512" hashValue="Q8QWR99fVBSjr/N+QJ5sN0j0nsH8KPKoQYLV4vBQ74oWL/09oW0eyqdJeaMlf/zDXBq0rfJdHkHd9SkH2J1I6Q==" saltValue="HK24cjogG/wtsm2rA2gHiA==" spinCount="100000" sheet="1" objects="1" scenarios="1"/>
  <mergeCells count="21">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28:Q31"/>
    <mergeCell ref="C23:D23"/>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TT</vt:lpstr>
      <vt:lpstr>GUY</vt:lpstr>
      <vt:lpstr>SUR</vt:lpstr>
      <vt:lpstr>Trinidad Exports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2026-10-28T14:23:58Z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