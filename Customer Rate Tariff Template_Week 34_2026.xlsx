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Users\stephanie.galera.RAMPSLOGISTICS\Downloads\"/>
    </mc:Choice>
  </mc:AlternateContent>
  <xr:revisionPtr revIDLastSave="0" documentId="13_ncr:1_{7D8061D1-5FBC-43E2-886A-15961F22E6B2}" xr6:coauthVersionLast="47" xr6:coauthVersionMax="47" xr10:uidLastSave="{00000000-0000-0000-0000-000000000000}"/>
  <bookViews>
    <workbookView xWindow="-108" yWindow="-108" windowWidth="23256" windowHeight="12456" xr2:uid="{493693A0-0616-4273-B364-7C8DEB21885C}"/>
  </bookViews>
  <sheets>
    <sheet name="TT" sheetId="28" r:id="rId1"/>
    <sheet name="GUY" sheetId="25" r:id="rId2"/>
    <sheet name="SUR" sheetId="21" r:id="rId3"/>
    <sheet name="Trinidad Exports" sheetId="27" r:id="rId4"/>
    <sheet name="Print FE-TT" sheetId="1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8" i="21" l="1"/>
  <c r="M136" i="28" l="1"/>
  <c r="E39" i="25"/>
  <c r="E36" i="25"/>
  <c r="E40" i="28"/>
  <c r="I40" i="28" s="1"/>
  <c r="K40" i="28" s="1"/>
  <c r="E38" i="28"/>
  <c r="E37" i="28"/>
  <c r="E138" i="28"/>
  <c r="L9" i="27"/>
  <c r="N9" i="27"/>
  <c r="E75" i="21"/>
  <c r="E74" i="21"/>
  <c r="K74" i="21" s="1"/>
  <c r="M74" i="21" s="1"/>
  <c r="E71" i="21"/>
  <c r="K71" i="21" s="1"/>
  <c r="M71" i="21" s="1"/>
  <c r="E70" i="21"/>
  <c r="E67" i="21"/>
  <c r="K67" i="21" s="1"/>
  <c r="M67" i="21" s="1"/>
  <c r="E66" i="21"/>
  <c r="K66" i="21" s="1"/>
  <c r="M66" i="21" s="1"/>
  <c r="E63" i="21"/>
  <c r="K63" i="21" s="1"/>
  <c r="M63" i="21" s="1"/>
  <c r="E62" i="21"/>
  <c r="K62" i="21" s="1"/>
  <c r="M62" i="21" s="1"/>
  <c r="E59" i="21"/>
  <c r="K58" i="21"/>
  <c r="M58" i="21" s="1"/>
  <c r="E55" i="21"/>
  <c r="K55" i="21" s="1"/>
  <c r="M55" i="21" s="1"/>
  <c r="E54" i="21"/>
  <c r="K54" i="21" s="1"/>
  <c r="M54" i="21" s="1"/>
  <c r="E64" i="25"/>
  <c r="E63" i="25"/>
  <c r="J63" i="25" s="1"/>
  <c r="L63" i="25" s="1"/>
  <c r="E62" i="25"/>
  <c r="J62" i="25" s="1"/>
  <c r="L62" i="25" s="1"/>
  <c r="E61" i="25"/>
  <c r="J61" i="25" s="1"/>
  <c r="L61" i="25" s="1"/>
  <c r="E73" i="28"/>
  <c r="E72" i="28"/>
  <c r="E67" i="28"/>
  <c r="L67" i="28" s="1"/>
  <c r="N67" i="28" s="1"/>
  <c r="E66" i="28"/>
  <c r="E63" i="28"/>
  <c r="E62" i="28"/>
  <c r="E72" i="25"/>
  <c r="E71" i="25"/>
  <c r="J71" i="25" s="1"/>
  <c r="L71" i="25" s="1"/>
  <c r="E68" i="25"/>
  <c r="E67" i="25"/>
  <c r="E60" i="25"/>
  <c r="J60" i="25" s="1"/>
  <c r="L60" i="25" s="1"/>
  <c r="E59" i="25"/>
  <c r="J59" i="25" s="1"/>
  <c r="L59" i="25" s="1"/>
  <c r="E58" i="25"/>
  <c r="E57" i="25"/>
  <c r="E103" i="28"/>
  <c r="L103" i="28" s="1"/>
  <c r="N103" i="28" s="1"/>
  <c r="E102" i="28"/>
  <c r="E99" i="28"/>
  <c r="E98" i="28"/>
  <c r="E95" i="28"/>
  <c r="L95" i="28" s="1"/>
  <c r="N95" i="28" s="1"/>
  <c r="E94" i="28"/>
  <c r="L94" i="28" s="1"/>
  <c r="N94" i="28" s="1"/>
  <c r="E91" i="28"/>
  <c r="E90" i="28"/>
  <c r="L90" i="28" s="1"/>
  <c r="N90" i="28" s="1"/>
  <c r="E87" i="28"/>
  <c r="E86" i="28"/>
  <c r="E83" i="28"/>
  <c r="E82" i="28"/>
  <c r="E79" i="28"/>
  <c r="E78" i="28"/>
  <c r="E77" i="28"/>
  <c r="E76" i="28"/>
  <c r="E75" i="28"/>
  <c r="L75" i="28" s="1"/>
  <c r="N75" i="28" s="1"/>
  <c r="E74" i="28"/>
  <c r="E71" i="28"/>
  <c r="E70" i="28"/>
  <c r="L70" i="28" s="1"/>
  <c r="N70" i="28" s="1"/>
  <c r="E69" i="28"/>
  <c r="E68" i="28"/>
  <c r="E65" i="28"/>
  <c r="E64" i="28"/>
  <c r="E61" i="28"/>
  <c r="L61" i="28" s="1"/>
  <c r="N61" i="28" s="1"/>
  <c r="E60" i="28"/>
  <c r="E59" i="28"/>
  <c r="E58" i="28"/>
  <c r="L58" i="28" s="1"/>
  <c r="N58" i="28" s="1"/>
  <c r="E37" i="25"/>
  <c r="I37" i="25" s="1"/>
  <c r="K37" i="25" s="1"/>
  <c r="E16" i="21"/>
  <c r="E15" i="21"/>
  <c r="K15" i="21" s="1"/>
  <c r="M15" i="21" s="1"/>
  <c r="E14" i="21"/>
  <c r="E13" i="21"/>
  <c r="K13" i="21" s="1"/>
  <c r="M13" i="21" s="1"/>
  <c r="E11" i="21"/>
  <c r="K11" i="21" s="1"/>
  <c r="M11" i="21" s="1"/>
  <c r="E12" i="21"/>
  <c r="E18" i="25"/>
  <c r="E17" i="25"/>
  <c r="E16" i="25"/>
  <c r="E15" i="25"/>
  <c r="E12" i="25"/>
  <c r="E14" i="25"/>
  <c r="K14" i="25" s="1"/>
  <c r="M14" i="25" s="1"/>
  <c r="E13" i="25"/>
  <c r="E11" i="25"/>
  <c r="E25" i="27"/>
  <c r="E24" i="27"/>
  <c r="K188" i="28"/>
  <c r="M188" i="28"/>
  <c r="K189" i="28"/>
  <c r="M189" i="28"/>
  <c r="L176" i="28"/>
  <c r="N176" i="28"/>
  <c r="L175" i="28"/>
  <c r="N175" i="28" s="1"/>
  <c r="L59" i="28"/>
  <c r="N59" i="28" s="1"/>
  <c r="K163" i="28"/>
  <c r="M163" i="28"/>
  <c r="K162" i="28"/>
  <c r="M162" i="28"/>
  <c r="I39" i="25"/>
  <c r="K39" i="25" s="1"/>
  <c r="I38" i="25"/>
  <c r="K38" i="25"/>
  <c r="I36" i="25"/>
  <c r="K36" i="25"/>
  <c r="K108" i="21"/>
  <c r="M108" i="21" s="1"/>
  <c r="K107" i="21"/>
  <c r="M107" i="21"/>
  <c r="J124" i="25"/>
  <c r="L124" i="25" s="1"/>
  <c r="J123" i="25"/>
  <c r="L123" i="25"/>
  <c r="K144" i="28"/>
  <c r="M144" i="28" s="1"/>
  <c r="K143" i="28"/>
  <c r="M143" i="28" s="1"/>
  <c r="L87" i="28"/>
  <c r="N87" i="28"/>
  <c r="L86" i="28"/>
  <c r="N86" i="28" s="1"/>
  <c r="L82" i="28"/>
  <c r="N82" i="28" s="1"/>
  <c r="L66" i="28"/>
  <c r="N66" i="28"/>
  <c r="L63" i="28"/>
  <c r="N63" i="28" s="1"/>
  <c r="L62" i="28"/>
  <c r="N62" i="28"/>
  <c r="L76" i="28"/>
  <c r="N76" i="28" s="1"/>
  <c r="L71" i="28"/>
  <c r="N71" i="28" s="1"/>
  <c r="L69" i="28"/>
  <c r="N69" i="28"/>
  <c r="L64" i="28"/>
  <c r="N64" i="28" s="1"/>
  <c r="L60" i="28"/>
  <c r="N60" i="28" s="1"/>
  <c r="I38" i="28"/>
  <c r="K38" i="28"/>
  <c r="I37" i="28"/>
  <c r="K37" i="28"/>
  <c r="K75" i="21"/>
  <c r="M75" i="21" s="1"/>
  <c r="K70" i="21"/>
  <c r="M70" i="21" s="1"/>
  <c r="L91" i="28"/>
  <c r="N91" i="28" s="1"/>
  <c r="L72" i="28"/>
  <c r="N72" i="28"/>
  <c r="L65" i="28"/>
  <c r="N65" i="28"/>
  <c r="E21" i="28"/>
  <c r="E20" i="28"/>
  <c r="K20" i="28" s="1"/>
  <c r="M20" i="28" s="1"/>
  <c r="E19" i="28"/>
  <c r="K19" i="28" s="1"/>
  <c r="M19" i="28" s="1"/>
  <c r="E18" i="28"/>
  <c r="K18" i="28" s="1"/>
  <c r="M18" i="28" s="1"/>
  <c r="E17" i="28"/>
  <c r="K17" i="28"/>
  <c r="M17" i="28" s="1"/>
  <c r="E16" i="28"/>
  <c r="K16" i="28" s="1"/>
  <c r="M16" i="28" s="1"/>
  <c r="E15" i="28"/>
  <c r="K15" i="28" s="1"/>
  <c r="M15" i="28" s="1"/>
  <c r="E14" i="28"/>
  <c r="K17" i="25"/>
  <c r="M17" i="25" s="1"/>
  <c r="K12" i="25"/>
  <c r="M12" i="25"/>
  <c r="E13" i="28"/>
  <c r="K13" i="28" s="1"/>
  <c r="M13" i="28" s="1"/>
  <c r="E12" i="28"/>
  <c r="E110" i="21"/>
  <c r="K110" i="21" s="1"/>
  <c r="M110" i="21" s="1"/>
  <c r="E109" i="21"/>
  <c r="K109" i="21"/>
  <c r="M109" i="21" s="1"/>
  <c r="K146" i="28"/>
  <c r="M146" i="28"/>
  <c r="E126" i="25"/>
  <c r="J126" i="25"/>
  <c r="L126" i="25" s="1"/>
  <c r="E125" i="25"/>
  <c r="J125" i="25"/>
  <c r="L125" i="25" s="1"/>
  <c r="J21" i="27"/>
  <c r="L21" i="27"/>
  <c r="J20" i="27"/>
  <c r="L20" i="27"/>
  <c r="I39" i="28"/>
  <c r="K39" i="28"/>
  <c r="E137" i="28"/>
  <c r="K137" i="28" s="1"/>
  <c r="K138" i="28"/>
  <c r="M138" i="28"/>
  <c r="K145" i="28"/>
  <c r="M145" i="28" s="1"/>
  <c r="K136" i="28"/>
  <c r="I120" i="28"/>
  <c r="K120" i="28" s="1"/>
  <c r="I121" i="28"/>
  <c r="K121" i="28" s="1"/>
  <c r="L68" i="28"/>
  <c r="N68" i="28" s="1"/>
  <c r="L73" i="28"/>
  <c r="N73" i="28" s="1"/>
  <c r="L74" i="28"/>
  <c r="N74" i="28"/>
  <c r="L77" i="28"/>
  <c r="N77" i="28" s="1"/>
  <c r="L78" i="28"/>
  <c r="N78" i="28" s="1"/>
  <c r="L79" i="28"/>
  <c r="N79" i="28" s="1"/>
  <c r="L83" i="28"/>
  <c r="N83" i="28" s="1"/>
  <c r="L98" i="28"/>
  <c r="N98" i="28" s="1"/>
  <c r="L99" i="28"/>
  <c r="N99" i="28"/>
  <c r="L102" i="28"/>
  <c r="N102" i="28" s="1"/>
  <c r="K10" i="28"/>
  <c r="M10" i="28" s="1"/>
  <c r="K11" i="28"/>
  <c r="M11" i="28" s="1"/>
  <c r="K12" i="28"/>
  <c r="M12" i="28"/>
  <c r="K14" i="28"/>
  <c r="M14" i="28" s="1"/>
  <c r="K21" i="28"/>
  <c r="M21" i="28" s="1"/>
  <c r="L13" i="27"/>
  <c r="L12" i="27"/>
  <c r="G29" i="27"/>
  <c r="G28" i="27"/>
  <c r="E29" i="27"/>
  <c r="E28" i="27"/>
  <c r="I29" i="27"/>
  <c r="K29" i="27"/>
  <c r="I28" i="27"/>
  <c r="K28" i="27"/>
  <c r="I25" i="27"/>
  <c r="K25" i="27"/>
  <c r="I24" i="27"/>
  <c r="K24" i="27"/>
  <c r="N16" i="27"/>
  <c r="N17" i="27"/>
  <c r="P17" i="27"/>
  <c r="P16" i="27"/>
  <c r="N13" i="27"/>
  <c r="N12" i="27"/>
  <c r="J72" i="25"/>
  <c r="L72" i="25" s="1"/>
  <c r="J68" i="25"/>
  <c r="L68" i="25"/>
  <c r="J67" i="25"/>
  <c r="L67" i="25"/>
  <c r="J64" i="25"/>
  <c r="L64" i="25" s="1"/>
  <c r="J58" i="25"/>
  <c r="L58" i="25"/>
  <c r="J57" i="25"/>
  <c r="L57" i="25" s="1"/>
  <c r="K59" i="21"/>
  <c r="M59" i="21"/>
  <c r="J111" i="25"/>
  <c r="L111" i="25"/>
  <c r="J110" i="25"/>
  <c r="L110" i="25"/>
  <c r="J91" i="25"/>
  <c r="L91" i="25" s="1"/>
  <c r="J90" i="25"/>
  <c r="L90" i="25"/>
  <c r="VGN67" i="25"/>
  <c r="VGP67" i="25" s="1"/>
  <c r="VFX67" i="25"/>
  <c r="VFZ67" i="25"/>
  <c r="VFH67" i="25"/>
  <c r="VFJ67" i="25"/>
  <c r="VER67" i="25"/>
  <c r="VET67" i="25"/>
  <c r="VEB67" i="25"/>
  <c r="VED67" i="25" s="1"/>
  <c r="VDL67" i="25"/>
  <c r="VDN67" i="25"/>
  <c r="VCV67" i="25"/>
  <c r="VCX67" i="25" s="1"/>
  <c r="VCF67" i="25"/>
  <c r="VCH67" i="25"/>
  <c r="VBP67" i="25"/>
  <c r="VBR67" i="25"/>
  <c r="VAZ67" i="25"/>
  <c r="VBB67" i="25"/>
  <c r="VAJ67" i="25"/>
  <c r="VAL67" i="25" s="1"/>
  <c r="UZT67" i="25"/>
  <c r="UZV67" i="25"/>
  <c r="UZD67" i="25"/>
  <c r="UZF67" i="25" s="1"/>
  <c r="UYN67" i="25"/>
  <c r="UYP67" i="25"/>
  <c r="UXX67" i="25"/>
  <c r="UXZ67" i="25"/>
  <c r="UXH67" i="25"/>
  <c r="UXJ67" i="25"/>
  <c r="UWR67" i="25"/>
  <c r="UWT67" i="25" s="1"/>
  <c r="UWB67" i="25"/>
  <c r="UWD67" i="25"/>
  <c r="UVL67" i="25"/>
  <c r="UVN67" i="25" s="1"/>
  <c r="UUV67" i="25"/>
  <c r="UUX67" i="25"/>
  <c r="UUF67" i="25"/>
  <c r="UUH67" i="25"/>
  <c r="UTP67" i="25"/>
  <c r="UTR67" i="25"/>
  <c r="USZ67" i="25"/>
  <c r="UTB67" i="25" s="1"/>
  <c r="USJ67" i="25"/>
  <c r="USL67" i="25"/>
  <c r="URT67" i="25"/>
  <c r="URV67" i="25" s="1"/>
  <c r="URD67" i="25"/>
  <c r="URF67" i="25"/>
  <c r="UQN67" i="25"/>
  <c r="UQP67" i="25"/>
  <c r="UPX67" i="25"/>
  <c r="UPZ67" i="25"/>
  <c r="UPH67" i="25"/>
  <c r="UPJ67" i="25" s="1"/>
  <c r="UOR67" i="25"/>
  <c r="UOT67" i="25"/>
  <c r="UOB67" i="25"/>
  <c r="UOD67" i="25" s="1"/>
  <c r="UNL67" i="25"/>
  <c r="UNN67" i="25"/>
  <c r="UMV67" i="25"/>
  <c r="UMX67" i="25"/>
  <c r="UMF67" i="25"/>
  <c r="UMH67" i="25"/>
  <c r="ULP67" i="25"/>
  <c r="ULR67" i="25" s="1"/>
  <c r="UKZ67" i="25"/>
  <c r="ULB67" i="25"/>
  <c r="UKJ67" i="25"/>
  <c r="UKL67" i="25" s="1"/>
  <c r="UJT67" i="25"/>
  <c r="UJV67" i="25"/>
  <c r="UJD67" i="25"/>
  <c r="UJF67" i="25"/>
  <c r="UIN67" i="25"/>
  <c r="UIP67" i="25"/>
  <c r="UHX67" i="25"/>
  <c r="UHZ67" i="25" s="1"/>
  <c r="UHH67" i="25"/>
  <c r="UHJ67" i="25"/>
  <c r="UGR67" i="25"/>
  <c r="UGT67" i="25" s="1"/>
  <c r="UGB67" i="25"/>
  <c r="UGD67" i="25"/>
  <c r="UFL67" i="25"/>
  <c r="UFN67" i="25"/>
  <c r="UEV67" i="25"/>
  <c r="UEX67" i="25"/>
  <c r="UEF67" i="25"/>
  <c r="UEH67" i="25" s="1"/>
  <c r="UDP67" i="25"/>
  <c r="UDR67" i="25"/>
  <c r="UCZ67" i="25"/>
  <c r="UDB67" i="25" s="1"/>
  <c r="UCJ67" i="25"/>
  <c r="UCL67" i="25"/>
  <c r="UBT67" i="25"/>
  <c r="UBV67" i="25"/>
  <c r="UBD67" i="25"/>
  <c r="UBF67" i="25"/>
  <c r="UAN67" i="25"/>
  <c r="UAP67" i="25" s="1"/>
  <c r="TZX67" i="25"/>
  <c r="TZZ67" i="25"/>
  <c r="TZH67" i="25"/>
  <c r="TZJ67" i="25" s="1"/>
  <c r="TYR67" i="25"/>
  <c r="TYT67" i="25"/>
  <c r="TYB67" i="25"/>
  <c r="TYD67" i="25"/>
  <c r="TXL67" i="25"/>
  <c r="TXN67" i="25"/>
  <c r="TWV67" i="25"/>
  <c r="TWX67" i="25" s="1"/>
  <c r="TWF67" i="25"/>
  <c r="TWH67" i="25"/>
  <c r="TVP67" i="25"/>
  <c r="TVR67" i="25" s="1"/>
  <c r="TUZ67" i="25"/>
  <c r="TVB67" i="25"/>
  <c r="TUJ67" i="25"/>
  <c r="TUL67" i="25"/>
  <c r="TTT67" i="25"/>
  <c r="TTV67" i="25"/>
  <c r="TTD67" i="25"/>
  <c r="TTF67" i="25" s="1"/>
  <c r="TSN67" i="25"/>
  <c r="TSP67" i="25"/>
  <c r="TRX67" i="25"/>
  <c r="TRZ67" i="25" s="1"/>
  <c r="TRH67" i="25"/>
  <c r="TRJ67" i="25"/>
  <c r="TQR67" i="25"/>
  <c r="TQT67" i="25"/>
  <c r="TQB67" i="25"/>
  <c r="TQD67" i="25"/>
  <c r="TPL67" i="25"/>
  <c r="TPN67" i="25" s="1"/>
  <c r="TOV67" i="25"/>
  <c r="TOX67" i="25"/>
  <c r="TOF67" i="25"/>
  <c r="TOH67" i="25" s="1"/>
  <c r="TNP67" i="25"/>
  <c r="TNR67" i="25"/>
  <c r="TMZ67" i="25"/>
  <c r="TNB67" i="25"/>
  <c r="TMJ67" i="25"/>
  <c r="TML67" i="25"/>
  <c r="TLT67" i="25"/>
  <c r="TLV67" i="25" s="1"/>
  <c r="TLD67" i="25"/>
  <c r="TLF67" i="25"/>
  <c r="TKN67" i="25"/>
  <c r="TKP67" i="25" s="1"/>
  <c r="TJX67" i="25"/>
  <c r="TJZ67" i="25"/>
  <c r="TJH67" i="25"/>
  <c r="TJJ67" i="25"/>
  <c r="TIR67" i="25"/>
  <c r="TIT67" i="25"/>
  <c r="TIB67" i="25"/>
  <c r="TID67" i="25" s="1"/>
  <c r="THL67" i="25"/>
  <c r="THN67" i="25"/>
  <c r="TGV67" i="25"/>
  <c r="TGX67" i="25" s="1"/>
  <c r="TGF67" i="25"/>
  <c r="TGH67" i="25"/>
  <c r="TFP67" i="25"/>
  <c r="TFR67" i="25" s="1"/>
  <c r="TEZ67" i="25"/>
  <c r="TFB67" i="25"/>
  <c r="TEJ67" i="25"/>
  <c r="TEL67" i="25" s="1"/>
  <c r="TDT67" i="25"/>
  <c r="TDV67" i="25"/>
  <c r="TDD67" i="25"/>
  <c r="TDF67" i="25" s="1"/>
  <c r="TCN67" i="25"/>
  <c r="TCP67" i="25"/>
  <c r="TBX67" i="25"/>
  <c r="TBZ67" i="25" s="1"/>
  <c r="TBH67" i="25"/>
  <c r="TBJ67" i="25"/>
  <c r="TAR67" i="25"/>
  <c r="TAT67" i="25" s="1"/>
  <c r="TAB67" i="25"/>
  <c r="TAD67" i="25"/>
  <c r="SZL67" i="25"/>
  <c r="SZN67" i="25" s="1"/>
  <c r="SYV67" i="25"/>
  <c r="SYX67" i="25"/>
  <c r="SYF67" i="25"/>
  <c r="SYH67" i="25" s="1"/>
  <c r="SXP67" i="25"/>
  <c r="SXR67" i="25"/>
  <c r="SWZ67" i="25"/>
  <c r="SXB67" i="25" s="1"/>
  <c r="SWJ67" i="25"/>
  <c r="SWL67" i="25"/>
  <c r="SVT67" i="25"/>
  <c r="SVV67" i="25" s="1"/>
  <c r="SVD67" i="25"/>
  <c r="SVF67" i="25"/>
  <c r="SUN67" i="25"/>
  <c r="SUP67" i="25" s="1"/>
  <c r="STX67" i="25"/>
  <c r="STZ67" i="25"/>
  <c r="STH67" i="25"/>
  <c r="STJ67" i="25" s="1"/>
  <c r="SSR67" i="25"/>
  <c r="SST67" i="25"/>
  <c r="SSB67" i="25"/>
  <c r="SSD67" i="25" s="1"/>
  <c r="SRL67" i="25"/>
  <c r="SRN67" i="25"/>
  <c r="SQV67" i="25"/>
  <c r="SQX67" i="25" s="1"/>
  <c r="SQF67" i="25"/>
  <c r="SQH67" i="25"/>
  <c r="SPP67" i="25"/>
  <c r="SPR67" i="25" s="1"/>
  <c r="SOZ67" i="25"/>
  <c r="SPB67" i="25"/>
  <c r="SOJ67" i="25"/>
  <c r="SOL67" i="25" s="1"/>
  <c r="SNT67" i="25"/>
  <c r="SNV67" i="25"/>
  <c r="SND67" i="25"/>
  <c r="SNF67" i="25"/>
  <c r="SMN67" i="25"/>
  <c r="SMP67" i="25"/>
  <c r="SLX67" i="25"/>
  <c r="SLZ67" i="25" s="1"/>
  <c r="SLH67" i="25"/>
  <c r="SLJ67" i="25"/>
  <c r="SKR67" i="25"/>
  <c r="SKT67" i="25" s="1"/>
  <c r="SKB67" i="25"/>
  <c r="SKD67" i="25"/>
  <c r="SJL67" i="25"/>
  <c r="SJN67" i="25" s="1"/>
  <c r="SIV67" i="25"/>
  <c r="SIX67" i="25"/>
  <c r="SIF67" i="25"/>
  <c r="SIH67" i="25" s="1"/>
  <c r="SHP67" i="25"/>
  <c r="SHR67" i="25"/>
  <c r="SGZ67" i="25"/>
  <c r="SHB67" i="25" s="1"/>
  <c r="SGJ67" i="25"/>
  <c r="SGL67" i="25"/>
  <c r="SFT67" i="25"/>
  <c r="SFV67" i="25" s="1"/>
  <c r="SFD67" i="25"/>
  <c r="SFF67" i="25"/>
  <c r="SEN67" i="25"/>
  <c r="SEP67" i="25" s="1"/>
  <c r="SDX67" i="25"/>
  <c r="SDZ67" i="25"/>
  <c r="SDH67" i="25"/>
  <c r="SDJ67" i="25" s="1"/>
  <c r="SCR67" i="25"/>
  <c r="SCT67" i="25"/>
  <c r="SCB67" i="25"/>
  <c r="SCD67" i="25" s="1"/>
  <c r="SBL67" i="25"/>
  <c r="SBN67" i="25"/>
  <c r="SAV67" i="25"/>
  <c r="SAX67" i="25" s="1"/>
  <c r="SAF67" i="25"/>
  <c r="SAH67" i="25"/>
  <c r="RZP67" i="25"/>
  <c r="RZR67" i="25" s="1"/>
  <c r="RYZ67" i="25"/>
  <c r="RZB67" i="25"/>
  <c r="RYJ67" i="25"/>
  <c r="RYL67" i="25"/>
  <c r="RXT67" i="25"/>
  <c r="RXV67" i="25"/>
  <c r="RXD67" i="25"/>
  <c r="RXF67" i="25" s="1"/>
  <c r="QZT67" i="25"/>
  <c r="QZV67" i="25"/>
  <c r="QZD67" i="25"/>
  <c r="QZF67" i="25" s="1"/>
  <c r="QYN67" i="25"/>
  <c r="QYP67" i="25"/>
  <c r="QXX67" i="25"/>
  <c r="QXZ67" i="25" s="1"/>
  <c r="QXH67" i="25"/>
  <c r="QXJ67" i="25"/>
  <c r="QWR67" i="25"/>
  <c r="QWT67" i="25" s="1"/>
  <c r="QWB67" i="25"/>
  <c r="QWD67" i="25"/>
  <c r="QVL67" i="25"/>
  <c r="QVN67" i="25" s="1"/>
  <c r="QUV67" i="25"/>
  <c r="QUX67" i="25"/>
  <c r="QUF67" i="25"/>
  <c r="QUH67" i="25" s="1"/>
  <c r="QTP67" i="25"/>
  <c r="QTR67" i="25"/>
  <c r="QSZ67" i="25"/>
  <c r="QTB67" i="25" s="1"/>
  <c r="QSJ67" i="25"/>
  <c r="QSL67" i="25"/>
  <c r="QRT67" i="25"/>
  <c r="QRV67" i="25" s="1"/>
  <c r="QRD67" i="25"/>
  <c r="QRF67" i="25"/>
  <c r="QQN67" i="25"/>
  <c r="QQP67" i="25" s="1"/>
  <c r="QPX67" i="25"/>
  <c r="QPZ67" i="25"/>
  <c r="QPH67" i="25"/>
  <c r="QPJ67" i="25" s="1"/>
  <c r="QOR67" i="25"/>
  <c r="QOT67" i="25"/>
  <c r="QOB67" i="25"/>
  <c r="QOD67" i="25" s="1"/>
  <c r="QNL67" i="25"/>
  <c r="QNN67" i="25"/>
  <c r="QMV67" i="25"/>
  <c r="QMX67" i="25" s="1"/>
  <c r="QMF67" i="25"/>
  <c r="QMH67" i="25"/>
  <c r="QLP67" i="25"/>
  <c r="QLR67" i="25" s="1"/>
  <c r="QKZ67" i="25"/>
  <c r="QLB67" i="25"/>
  <c r="QKJ67" i="25"/>
  <c r="QKL67" i="25" s="1"/>
  <c r="QJT67" i="25"/>
  <c r="QJV67" i="25"/>
  <c r="QJD67" i="25"/>
  <c r="QJF67" i="25"/>
  <c r="QIN67" i="25"/>
  <c r="QIP67" i="25"/>
  <c r="QHX67" i="25"/>
  <c r="QHZ67" i="25" s="1"/>
  <c r="QHH67" i="25"/>
  <c r="QHJ67" i="25"/>
  <c r="QGR67" i="25"/>
  <c r="QGT67" i="25" s="1"/>
  <c r="QGB67" i="25"/>
  <c r="QGD67" i="25"/>
  <c r="QFL67" i="25"/>
  <c r="QFN67" i="25" s="1"/>
  <c r="QEV67" i="25"/>
  <c r="QEX67" i="25"/>
  <c r="QEF67" i="25"/>
  <c r="QEH67" i="25" s="1"/>
  <c r="QDP67" i="25"/>
  <c r="QDR67" i="25"/>
  <c r="QCZ67" i="25"/>
  <c r="QDB67" i="25" s="1"/>
  <c r="QCJ67" i="25"/>
  <c r="QCL67" i="25"/>
  <c r="QBT67" i="25"/>
  <c r="QBV67" i="25" s="1"/>
  <c r="QBD67" i="25"/>
  <c r="QBF67" i="25"/>
  <c r="QAN67" i="25"/>
  <c r="QAP67" i="25" s="1"/>
  <c r="PZX67" i="25"/>
  <c r="PZZ67" i="25"/>
  <c r="PZH67" i="25"/>
  <c r="PZJ67" i="25" s="1"/>
  <c r="PYR67" i="25"/>
  <c r="PYT67" i="25"/>
  <c r="PYB67" i="25"/>
  <c r="PYD67" i="25" s="1"/>
  <c r="PXL67" i="25"/>
  <c r="PXN67" i="25"/>
  <c r="PWV67" i="25"/>
  <c r="PWX67" i="25" s="1"/>
  <c r="PWF67" i="25"/>
  <c r="PWH67" i="25"/>
  <c r="PVP67" i="25"/>
  <c r="PVR67" i="25" s="1"/>
  <c r="PUZ67" i="25"/>
  <c r="PVB67" i="25"/>
  <c r="PUJ67" i="25"/>
  <c r="PUL67" i="25" s="1"/>
  <c r="PTT67" i="25"/>
  <c r="PTV67" i="25"/>
  <c r="PTD67" i="25"/>
  <c r="PTF67" i="25" s="1"/>
  <c r="PSN67" i="25"/>
  <c r="PSP67" i="25"/>
  <c r="PRX67" i="25"/>
  <c r="PRZ67" i="25" s="1"/>
  <c r="PRH67" i="25"/>
  <c r="PRJ67" i="25"/>
  <c r="PQR67" i="25"/>
  <c r="PQT67" i="25" s="1"/>
  <c r="PQB67" i="25"/>
  <c r="PQD67" i="25"/>
  <c r="PPL67" i="25"/>
  <c r="PPN67" i="25" s="1"/>
  <c r="POV67" i="25"/>
  <c r="POX67" i="25"/>
  <c r="POF67" i="25"/>
  <c r="POH67" i="25" s="1"/>
  <c r="PNP67" i="25"/>
  <c r="PNR67" i="25"/>
  <c r="PMZ67" i="25"/>
  <c r="PNB67" i="25" s="1"/>
  <c r="PMJ67" i="25"/>
  <c r="PML67" i="25"/>
  <c r="PLT67" i="25"/>
  <c r="PLV67" i="25" s="1"/>
  <c r="PLD67" i="25"/>
  <c r="PLF67" i="25"/>
  <c r="PKN67" i="25"/>
  <c r="PKP67" i="25" s="1"/>
  <c r="PJX67" i="25"/>
  <c r="PJZ67" i="25"/>
  <c r="PJH67" i="25"/>
  <c r="PJJ67" i="25" s="1"/>
  <c r="PIR67" i="25"/>
  <c r="PIT67" i="25"/>
  <c r="PIB67" i="25"/>
  <c r="PID67" i="25" s="1"/>
  <c r="PHL67" i="25"/>
  <c r="PHN67" i="25"/>
  <c r="PGV67" i="25"/>
  <c r="PGX67" i="25" s="1"/>
  <c r="PGF67" i="25"/>
  <c r="PGH67" i="25"/>
  <c r="PFP67" i="25"/>
  <c r="PFR67" i="25" s="1"/>
  <c r="PEZ67" i="25"/>
  <c r="PFB67" i="25"/>
  <c r="PEJ67" i="25"/>
  <c r="PEL67" i="25" s="1"/>
  <c r="PDT67" i="25"/>
  <c r="PDV67" i="25"/>
  <c r="PDD67" i="25"/>
  <c r="PDF67" i="25" s="1"/>
  <c r="PCN67" i="25"/>
  <c r="PCP67" i="25"/>
  <c r="PBX67" i="25"/>
  <c r="PBZ67" i="25" s="1"/>
  <c r="PBH67" i="25"/>
  <c r="PBJ67" i="25"/>
  <c r="PAR67" i="25"/>
  <c r="PAT67" i="25" s="1"/>
  <c r="PAB67" i="25"/>
  <c r="PAD67" i="25"/>
  <c r="OZL67" i="25"/>
  <c r="OZN67" i="25" s="1"/>
  <c r="OYV67" i="25"/>
  <c r="OYX67" i="25"/>
  <c r="OYF67" i="25"/>
  <c r="OYH67" i="25" s="1"/>
  <c r="OXP67" i="25"/>
  <c r="OXR67" i="25"/>
  <c r="OWZ67" i="25"/>
  <c r="OXB67" i="25" s="1"/>
  <c r="OWJ67" i="25"/>
  <c r="OWL67" i="25"/>
  <c r="OVT67" i="25"/>
  <c r="OVV67" i="25" s="1"/>
  <c r="OVD67" i="25"/>
  <c r="OVF67" i="25"/>
  <c r="OUN67" i="25"/>
  <c r="OUP67" i="25" s="1"/>
  <c r="OTX67" i="25"/>
  <c r="OTZ67" i="25"/>
  <c r="OTH67" i="25"/>
  <c r="OTJ67" i="25" s="1"/>
  <c r="OSR67" i="25"/>
  <c r="OST67" i="25"/>
  <c r="OSB67" i="25"/>
  <c r="OSD67" i="25" s="1"/>
  <c r="ORL67" i="25"/>
  <c r="ORN67" i="25"/>
  <c r="OQV67" i="25"/>
  <c r="OQX67" i="25" s="1"/>
  <c r="OQF67" i="25"/>
  <c r="OQH67" i="25"/>
  <c r="OPP67" i="25"/>
  <c r="OPR67" i="25" s="1"/>
  <c r="OOZ67" i="25"/>
  <c r="OPB67" i="25"/>
  <c r="OOJ67" i="25"/>
  <c r="OOL67" i="25" s="1"/>
  <c r="ONT67" i="25"/>
  <c r="ONV67" i="25"/>
  <c r="OND67" i="25"/>
  <c r="ONF67" i="25" s="1"/>
  <c r="OMN67" i="25"/>
  <c r="OMP67" i="25"/>
  <c r="OLX67" i="25"/>
  <c r="OLZ67" i="25" s="1"/>
  <c r="OLH67" i="25"/>
  <c r="OLJ67" i="25"/>
  <c r="OKR67" i="25"/>
  <c r="OKT67" i="25" s="1"/>
  <c r="OKB67" i="25"/>
  <c r="OKD67" i="25"/>
  <c r="OJL67" i="25"/>
  <c r="OJN67" i="25" s="1"/>
  <c r="OIV67" i="25"/>
  <c r="OIX67" i="25"/>
  <c r="OIF67" i="25"/>
  <c r="OIH67" i="25" s="1"/>
  <c r="OHP67" i="25"/>
  <c r="OHR67" i="25"/>
  <c r="OGZ67" i="25"/>
  <c r="OHB67" i="25" s="1"/>
  <c r="OGJ67" i="25"/>
  <c r="OGL67" i="25"/>
  <c r="OFT67" i="25"/>
  <c r="OFV67" i="25" s="1"/>
  <c r="OFD67" i="25"/>
  <c r="OFF67" i="25"/>
  <c r="OEN67" i="25"/>
  <c r="OEP67" i="25" s="1"/>
  <c r="ODX67" i="25"/>
  <c r="ODZ67" i="25"/>
  <c r="ODH67" i="25"/>
  <c r="ODJ67" i="25" s="1"/>
  <c r="OCR67" i="25"/>
  <c r="OCT67" i="25"/>
  <c r="OCB67" i="25"/>
  <c r="OCD67" i="25" s="1"/>
  <c r="OBL67" i="25"/>
  <c r="OBN67" i="25"/>
  <c r="OAV67" i="25"/>
  <c r="OAX67" i="25" s="1"/>
  <c r="OAF67" i="25"/>
  <c r="OAH67" i="25"/>
  <c r="NZP67" i="25"/>
  <c r="NZR67" i="25" s="1"/>
  <c r="NYZ67" i="25"/>
  <c r="NZB67" i="25"/>
  <c r="NYJ67" i="25"/>
  <c r="NYL67" i="25" s="1"/>
  <c r="NXT67" i="25"/>
  <c r="NXV67" i="25"/>
  <c r="NXD67" i="25"/>
  <c r="NXF67" i="25" s="1"/>
  <c r="NWN67" i="25"/>
  <c r="NWP67" i="25"/>
  <c r="NVX67" i="25"/>
  <c r="NVZ67" i="25" s="1"/>
  <c r="NVH67" i="25"/>
  <c r="NVJ67" i="25"/>
  <c r="NUR67" i="25"/>
  <c r="NUT67" i="25" s="1"/>
  <c r="NUB67" i="25"/>
  <c r="NUD67" i="25"/>
  <c r="NTL67" i="25"/>
  <c r="NTN67" i="25" s="1"/>
  <c r="NSV67" i="25"/>
  <c r="NSX67" i="25"/>
  <c r="NSF67" i="25"/>
  <c r="NSH67" i="25" s="1"/>
  <c r="NRP67" i="25"/>
  <c r="NRR67" i="25"/>
  <c r="NQZ67" i="25"/>
  <c r="NRB67" i="25" s="1"/>
  <c r="NQJ67" i="25"/>
  <c r="NQL67" i="25"/>
  <c r="NPT67" i="25"/>
  <c r="NPV67" i="25" s="1"/>
  <c r="NPD67" i="25"/>
  <c r="NPF67" i="25"/>
  <c r="NON67" i="25"/>
  <c r="NOP67" i="25" s="1"/>
  <c r="NNX67" i="25"/>
  <c r="NNZ67" i="25"/>
  <c r="NNH67" i="25"/>
  <c r="NNJ67" i="25" s="1"/>
  <c r="NMR67" i="25"/>
  <c r="NMT67" i="25"/>
  <c r="NMB67" i="25"/>
  <c r="NMD67" i="25" s="1"/>
  <c r="NLL67" i="25"/>
  <c r="NLN67" i="25"/>
  <c r="NKV67" i="25"/>
  <c r="NKX67" i="25" s="1"/>
  <c r="NKF67" i="25"/>
  <c r="NKH67" i="25"/>
  <c r="NJP67" i="25"/>
  <c r="NJR67" i="25" s="1"/>
  <c r="NIZ67" i="25"/>
  <c r="NJB67" i="25"/>
  <c r="NIJ67" i="25"/>
  <c r="NIL67" i="25" s="1"/>
  <c r="NHT67" i="25"/>
  <c r="NHV67" i="25"/>
  <c r="NHD67" i="25"/>
  <c r="NHF67" i="25" s="1"/>
  <c r="NGN67" i="25"/>
  <c r="NGP67" i="25"/>
  <c r="NFX67" i="25"/>
  <c r="NFZ67" i="25" s="1"/>
  <c r="NFH67" i="25"/>
  <c r="NFJ67" i="25"/>
  <c r="NER67" i="25"/>
  <c r="NET67" i="25" s="1"/>
  <c r="NEB67" i="25"/>
  <c r="NED67" i="25"/>
  <c r="NDL67" i="25"/>
  <c r="NDN67" i="25" s="1"/>
  <c r="NCV67" i="25"/>
  <c r="NCX67" i="25"/>
  <c r="NCF67" i="25"/>
  <c r="NCH67" i="25" s="1"/>
  <c r="NBP67" i="25"/>
  <c r="NBR67" i="25"/>
  <c r="NAZ67" i="25"/>
  <c r="NBB67" i="25" s="1"/>
  <c r="NAJ67" i="25"/>
  <c r="NAL67" i="25"/>
  <c r="MZT67" i="25"/>
  <c r="MZV67" i="25" s="1"/>
  <c r="MZD67" i="25"/>
  <c r="MZF67" i="25"/>
  <c r="MYN67" i="25"/>
  <c r="MYP67" i="25" s="1"/>
  <c r="MXX67" i="25"/>
  <c r="MXZ67" i="25"/>
  <c r="MXH67" i="25"/>
  <c r="MXJ67" i="25" s="1"/>
  <c r="MWR67" i="25"/>
  <c r="MWT67" i="25"/>
  <c r="MWB67" i="25"/>
  <c r="MWD67" i="25" s="1"/>
  <c r="MVL67" i="25"/>
  <c r="MVN67" i="25"/>
  <c r="MUV67" i="25"/>
  <c r="MUX67" i="25" s="1"/>
  <c r="MUF67" i="25"/>
  <c r="MUH67" i="25"/>
  <c r="MTP67" i="25"/>
  <c r="MTR67" i="25" s="1"/>
  <c r="MSZ67" i="25"/>
  <c r="MTB67" i="25"/>
  <c r="MSJ67" i="25"/>
  <c r="MSL67" i="25" s="1"/>
  <c r="MRT67" i="25"/>
  <c r="MRV67" i="25"/>
  <c r="MRD67" i="25"/>
  <c r="MRF67" i="25" s="1"/>
  <c r="MQN67" i="25"/>
  <c r="MQP67" i="25"/>
  <c r="MPX67" i="25"/>
  <c r="MPZ67" i="25" s="1"/>
  <c r="MPH67" i="25"/>
  <c r="MPJ67" i="25"/>
  <c r="MOR67" i="25"/>
  <c r="MOT67" i="25" s="1"/>
  <c r="MOB67" i="25"/>
  <c r="MOD67" i="25"/>
  <c r="MNL67" i="25"/>
  <c r="MNN67" i="25" s="1"/>
  <c r="MMV67" i="25"/>
  <c r="MMX67" i="25"/>
  <c r="MMF67" i="25"/>
  <c r="MMH67" i="25" s="1"/>
  <c r="MLP67" i="25"/>
  <c r="MLR67" i="25"/>
  <c r="MKZ67" i="25"/>
  <c r="MLB67" i="25" s="1"/>
  <c r="MKJ67" i="25"/>
  <c r="MKL67" i="25"/>
  <c r="MJT67" i="25"/>
  <c r="MJV67" i="25" s="1"/>
  <c r="MJD67" i="25"/>
  <c r="MJF67" i="25"/>
  <c r="MIN67" i="25"/>
  <c r="MIP67" i="25" s="1"/>
  <c r="MHX67" i="25"/>
  <c r="MHZ67" i="25"/>
  <c r="MHH67" i="25"/>
  <c r="MHJ67" i="25" s="1"/>
  <c r="MGR67" i="25"/>
  <c r="MGT67" i="25"/>
  <c r="MGB67" i="25"/>
  <c r="MGD67" i="25" s="1"/>
  <c r="MFL67" i="25"/>
  <c r="MFN67" i="25" s="1"/>
  <c r="MEV67" i="25"/>
  <c r="MEX67" i="25" s="1"/>
  <c r="MEF67" i="25"/>
  <c r="MEH67" i="25"/>
  <c r="MDP67" i="25"/>
  <c r="MDR67" i="25" s="1"/>
  <c r="MCZ67" i="25"/>
  <c r="MDB67" i="25"/>
  <c r="MCJ67" i="25"/>
  <c r="MCL67" i="25"/>
  <c r="MBT67" i="25"/>
  <c r="MBV67" i="25" s="1"/>
  <c r="MBD67" i="25"/>
  <c r="MBF67" i="25" s="1"/>
  <c r="MAN67" i="25"/>
  <c r="MAP67" i="25"/>
  <c r="LZX67" i="25"/>
  <c r="LZZ67" i="25" s="1"/>
  <c r="LZH67" i="25"/>
  <c r="LZJ67" i="25"/>
  <c r="LYR67" i="25"/>
  <c r="LYT67" i="25" s="1"/>
  <c r="LYB67" i="25"/>
  <c r="LYD67" i="25"/>
  <c r="LXL67" i="25"/>
  <c r="LXN67" i="25" s="1"/>
  <c r="LWV67" i="25"/>
  <c r="LWX67" i="25"/>
  <c r="LWF67" i="25"/>
  <c r="LWH67" i="25" s="1"/>
  <c r="LVP67" i="25"/>
  <c r="LVR67" i="25"/>
  <c r="LUZ67" i="25"/>
  <c r="LVB67" i="25" s="1"/>
  <c r="LUJ67" i="25"/>
  <c r="LUL67" i="25" s="1"/>
  <c r="LTT67" i="25"/>
  <c r="LTV67" i="25" s="1"/>
  <c r="LTD67" i="25"/>
  <c r="LTF67" i="25"/>
  <c r="LSN67" i="25"/>
  <c r="LSP67" i="25" s="1"/>
  <c r="LRX67" i="25"/>
  <c r="LRZ67" i="25"/>
  <c r="LRH67" i="25"/>
  <c r="LRJ67" i="25"/>
  <c r="LQR67" i="25"/>
  <c r="LQT67" i="25" s="1"/>
  <c r="LQB67" i="25"/>
  <c r="LQD67" i="25" s="1"/>
  <c r="LPL67" i="25"/>
  <c r="LPN67" i="25"/>
  <c r="LOV67" i="25"/>
  <c r="LOX67" i="25" s="1"/>
  <c r="LOF67" i="25"/>
  <c r="LOH67" i="25"/>
  <c r="LNP67" i="25"/>
  <c r="LNR67" i="25" s="1"/>
  <c r="LMZ67" i="25"/>
  <c r="LNB67" i="25"/>
  <c r="LMJ67" i="25"/>
  <c r="LML67" i="25" s="1"/>
  <c r="LLT67" i="25"/>
  <c r="LLV67" i="25"/>
  <c r="LLD67" i="25"/>
  <c r="LLF67" i="25" s="1"/>
  <c r="LKN67" i="25"/>
  <c r="LKP67" i="25"/>
  <c r="LJX67" i="25"/>
  <c r="LJZ67" i="25" s="1"/>
  <c r="LJH67" i="25"/>
  <c r="LJJ67" i="25" s="1"/>
  <c r="LIR67" i="25"/>
  <c r="LIT67" i="25" s="1"/>
  <c r="LIB67" i="25"/>
  <c r="LID67" i="25"/>
  <c r="LHL67" i="25"/>
  <c r="LHN67" i="25" s="1"/>
  <c r="LGV67" i="25"/>
  <c r="LGX67" i="25"/>
  <c r="LGF67" i="25"/>
  <c r="LGH67" i="25"/>
  <c r="LFP67" i="25"/>
  <c r="LFR67" i="25" s="1"/>
  <c r="LEZ67" i="25"/>
  <c r="LFB67" i="25" s="1"/>
  <c r="LEJ67" i="25"/>
  <c r="LEL67" i="25"/>
  <c r="LDT67" i="25"/>
  <c r="LDV67" i="25" s="1"/>
  <c r="LDD67" i="25"/>
  <c r="LDF67" i="25"/>
  <c r="LCN67" i="25"/>
  <c r="LCP67" i="25" s="1"/>
  <c r="LBX67" i="25"/>
  <c r="LBZ67" i="25"/>
  <c r="LBH67" i="25"/>
  <c r="LBJ67" i="25" s="1"/>
  <c r="LAR67" i="25"/>
  <c r="LAT67" i="25"/>
  <c r="LAB67" i="25"/>
  <c r="LAD67" i="25" s="1"/>
  <c r="KZL67" i="25"/>
  <c r="KZN67" i="25"/>
  <c r="KYV67" i="25"/>
  <c r="KYX67" i="25" s="1"/>
  <c r="KYF67" i="25"/>
  <c r="KYH67" i="25" s="1"/>
  <c r="KXP67" i="25"/>
  <c r="KXR67" i="25" s="1"/>
  <c r="KWZ67" i="25"/>
  <c r="KXB67" i="25"/>
  <c r="KWJ67" i="25"/>
  <c r="KWL67" i="25" s="1"/>
  <c r="KVT67" i="25"/>
  <c r="KVV67" i="25"/>
  <c r="KVD67" i="25"/>
  <c r="KVF67" i="25"/>
  <c r="KUN67" i="25"/>
  <c r="KUP67" i="25" s="1"/>
  <c r="KTX67" i="25"/>
  <c r="KTZ67" i="25" s="1"/>
  <c r="KTH67" i="25"/>
  <c r="KTJ67" i="25"/>
  <c r="KSR67" i="25"/>
  <c r="KST67" i="25" s="1"/>
  <c r="KSB67" i="25"/>
  <c r="KSD67" i="25"/>
  <c r="KRL67" i="25"/>
  <c r="KRN67" i="25" s="1"/>
  <c r="KQV67" i="25"/>
  <c r="KQX67" i="25"/>
  <c r="KQF67" i="25"/>
  <c r="KQH67" i="25" s="1"/>
  <c r="KPP67" i="25"/>
  <c r="KPR67" i="25"/>
  <c r="KOZ67" i="25"/>
  <c r="KPB67" i="25" s="1"/>
  <c r="KOJ67" i="25"/>
  <c r="KOL67" i="25"/>
  <c r="KNT67" i="25"/>
  <c r="KNV67" i="25" s="1"/>
  <c r="KND67" i="25"/>
  <c r="KNF67" i="25" s="1"/>
  <c r="KMN67" i="25"/>
  <c r="KMP67" i="25" s="1"/>
  <c r="KLX67" i="25"/>
  <c r="KLZ67" i="25"/>
  <c r="KLH67" i="25"/>
  <c r="KLJ67" i="25" s="1"/>
  <c r="KKR67" i="25"/>
  <c r="KKT67" i="25"/>
  <c r="KKB67" i="25"/>
  <c r="KKD67" i="25"/>
  <c r="KJL67" i="25"/>
  <c r="KJN67" i="25" s="1"/>
  <c r="KIV67" i="25"/>
  <c r="KIX67" i="25" s="1"/>
  <c r="KIF67" i="25"/>
  <c r="KIH67" i="25"/>
  <c r="KHP67" i="25"/>
  <c r="KHR67" i="25" s="1"/>
  <c r="KGZ67" i="25"/>
  <c r="KHB67" i="25"/>
  <c r="KGJ67" i="25"/>
  <c r="KGL67" i="25" s="1"/>
  <c r="KFT67" i="25"/>
  <c r="KFV67" i="25"/>
  <c r="KFD67" i="25"/>
  <c r="KFF67" i="25" s="1"/>
  <c r="KEN67" i="25"/>
  <c r="KEP67" i="25"/>
  <c r="KDX67" i="25"/>
  <c r="KDZ67" i="25" s="1"/>
  <c r="KDH67" i="25"/>
  <c r="KDJ67" i="25"/>
  <c r="KCR67" i="25"/>
  <c r="KCT67" i="25" s="1"/>
  <c r="KCB67" i="25"/>
  <c r="KCD67" i="25" s="1"/>
  <c r="KBL67" i="25"/>
  <c r="KBN67" i="25" s="1"/>
  <c r="KAV67" i="25"/>
  <c r="KAX67" i="25"/>
  <c r="KAF67" i="25"/>
  <c r="KAH67" i="25" s="1"/>
  <c r="JZP67" i="25"/>
  <c r="JZR67" i="25"/>
  <c r="JYZ67" i="25"/>
  <c r="JZB67" i="25"/>
  <c r="JYJ67" i="25"/>
  <c r="JYL67" i="25" s="1"/>
  <c r="JXT67" i="25"/>
  <c r="JXV67" i="25" s="1"/>
  <c r="JXD67" i="25"/>
  <c r="JXF67" i="25"/>
  <c r="JWN67" i="25"/>
  <c r="JWP67" i="25" s="1"/>
  <c r="JVX67" i="25"/>
  <c r="JVZ67" i="25"/>
  <c r="JVH67" i="25"/>
  <c r="JVJ67" i="25" s="1"/>
  <c r="JUR67" i="25"/>
  <c r="JUT67" i="25"/>
  <c r="JUB67" i="25"/>
  <c r="JUD67" i="25" s="1"/>
  <c r="JTL67" i="25"/>
  <c r="JTN67" i="25"/>
  <c r="JSV67" i="25"/>
  <c r="JSX67" i="25" s="1"/>
  <c r="JSF67" i="25"/>
  <c r="JSH67" i="25"/>
  <c r="JRP67" i="25"/>
  <c r="JRR67" i="25" s="1"/>
  <c r="JQZ67" i="25"/>
  <c r="JRB67" i="25" s="1"/>
  <c r="JQJ67" i="25"/>
  <c r="JQL67" i="25" s="1"/>
  <c r="JPT67" i="25"/>
  <c r="JPV67" i="25"/>
  <c r="JPD67" i="25"/>
  <c r="JPF67" i="25" s="1"/>
  <c r="JON67" i="25"/>
  <c r="JOP67" i="25"/>
  <c r="JNX67" i="25"/>
  <c r="JNZ67" i="25"/>
  <c r="JNH67" i="25"/>
  <c r="JNJ67" i="25" s="1"/>
  <c r="JMR67" i="25"/>
  <c r="JMT67" i="25" s="1"/>
  <c r="JMB67" i="25"/>
  <c r="JMD67" i="25"/>
  <c r="JLL67" i="25"/>
  <c r="JLN67" i="25" s="1"/>
  <c r="JKV67" i="25"/>
  <c r="JKX67" i="25"/>
  <c r="JKF67" i="25"/>
  <c r="JKH67" i="25" s="1"/>
  <c r="JJP67" i="25"/>
  <c r="JJR67" i="25"/>
  <c r="JIZ67" i="25"/>
  <c r="JJB67" i="25" s="1"/>
  <c r="JIJ67" i="25"/>
  <c r="JIL67" i="25"/>
  <c r="JHT67" i="25"/>
  <c r="JHV67" i="25" s="1"/>
  <c r="JHD67" i="25"/>
  <c r="JHF67" i="25"/>
  <c r="JGN67" i="25"/>
  <c r="JGP67" i="25" s="1"/>
  <c r="JFX67" i="25"/>
  <c r="JFZ67" i="25" s="1"/>
  <c r="JFH67" i="25"/>
  <c r="JFJ67" i="25" s="1"/>
  <c r="JER67" i="25"/>
  <c r="JET67" i="25"/>
  <c r="JEB67" i="25"/>
  <c r="JED67" i="25" s="1"/>
  <c r="JDL67" i="25"/>
  <c r="JDN67" i="25"/>
  <c r="JCV67" i="25"/>
  <c r="JCX67" i="25"/>
  <c r="JCF67" i="25"/>
  <c r="JCH67" i="25" s="1"/>
  <c r="JBP67" i="25"/>
  <c r="JBR67" i="25" s="1"/>
  <c r="JAZ67" i="25"/>
  <c r="JBB67" i="25"/>
  <c r="JAJ67" i="25"/>
  <c r="JAL67" i="25"/>
  <c r="IZT67" i="25"/>
  <c r="IZV67" i="25"/>
  <c r="IZD67" i="25"/>
  <c r="IZF67" i="25"/>
  <c r="IYN67" i="25"/>
  <c r="IYP67" i="25"/>
  <c r="IXX67" i="25"/>
  <c r="IXZ67" i="25"/>
  <c r="IXH67" i="25"/>
  <c r="IXJ67" i="25"/>
  <c r="IWR67" i="25"/>
  <c r="IWT67" i="25"/>
  <c r="IWB67" i="25"/>
  <c r="IWD67" i="25"/>
  <c r="IVL67" i="25"/>
  <c r="IVN67" i="25"/>
  <c r="IUV67" i="25"/>
  <c r="IUX67" i="25"/>
  <c r="IUF67" i="25"/>
  <c r="IUH67" i="25"/>
  <c r="ITP67" i="25"/>
  <c r="ITR67" i="25"/>
  <c r="ISZ67" i="25"/>
  <c r="ITB67" i="25"/>
  <c r="ISJ67" i="25"/>
  <c r="ISL67" i="25"/>
  <c r="IRT67" i="25"/>
  <c r="IRV67" i="25"/>
  <c r="IRD67" i="25"/>
  <c r="IRF67" i="25"/>
  <c r="IQN67" i="25"/>
  <c r="IQP67" i="25"/>
  <c r="IPX67" i="25"/>
  <c r="IPZ67" i="25"/>
  <c r="IPH67" i="25"/>
  <c r="IPJ67" i="25"/>
  <c r="IOR67" i="25"/>
  <c r="IOT67" i="25"/>
  <c r="IOB67" i="25"/>
  <c r="IOD67" i="25"/>
  <c r="INL67" i="25"/>
  <c r="INN67" i="25"/>
  <c r="IMV67" i="25"/>
  <c r="IMX67" i="25"/>
  <c r="IMF67" i="25"/>
  <c r="IMH67" i="25"/>
  <c r="ILP67" i="25"/>
  <c r="ILR67" i="25"/>
  <c r="IKZ67" i="25"/>
  <c r="ILB67" i="25"/>
  <c r="IKJ67" i="25"/>
  <c r="IKL67" i="25"/>
  <c r="IJT67" i="25"/>
  <c r="IJV67" i="25"/>
  <c r="IJD67" i="25"/>
  <c r="IJF67" i="25"/>
  <c r="IIN67" i="25"/>
  <c r="IIP67" i="25"/>
  <c r="IHX67" i="25"/>
  <c r="IHZ67" i="25"/>
  <c r="IHH67" i="25"/>
  <c r="IHJ67" i="25"/>
  <c r="IGR67" i="25"/>
  <c r="IGT67" i="25"/>
  <c r="IGB67" i="25"/>
  <c r="IGD67" i="25"/>
  <c r="IFL67" i="25"/>
  <c r="IFN67" i="25"/>
  <c r="IEV67" i="25"/>
  <c r="IEX67" i="25"/>
  <c r="IEF67" i="25"/>
  <c r="IEH67" i="25"/>
  <c r="IDP67" i="25"/>
  <c r="IDR67" i="25"/>
  <c r="ICZ67" i="25"/>
  <c r="IDB67" i="25"/>
  <c r="ICJ67" i="25"/>
  <c r="ICL67" i="25"/>
  <c r="IBT67" i="25"/>
  <c r="IBV67" i="25"/>
  <c r="IBD67" i="25"/>
  <c r="IBF67" i="25"/>
  <c r="IAN67" i="25"/>
  <c r="IAP67" i="25"/>
  <c r="HZX67" i="25"/>
  <c r="HZZ67" i="25"/>
  <c r="HZH67" i="25"/>
  <c r="HZJ67" i="25"/>
  <c r="HYR67" i="25"/>
  <c r="HYT67" i="25"/>
  <c r="HYB67" i="25"/>
  <c r="HYD67" i="25"/>
  <c r="HXL67" i="25"/>
  <c r="HXN67" i="25"/>
  <c r="HWV67" i="25"/>
  <c r="HWX67" i="25"/>
  <c r="HWF67" i="25"/>
  <c r="HWH67" i="25"/>
  <c r="HVP67" i="25"/>
  <c r="HVR67" i="25"/>
  <c r="HUZ67" i="25"/>
  <c r="HVB67" i="25"/>
  <c r="HUJ67" i="25"/>
  <c r="HUL67" i="25"/>
  <c r="HTT67" i="25"/>
  <c r="HTV67" i="25"/>
  <c r="HTD67" i="25"/>
  <c r="HTF67" i="25"/>
  <c r="HSN67" i="25"/>
  <c r="HSP67" i="25"/>
  <c r="HRX67" i="25"/>
  <c r="HRZ67" i="25"/>
  <c r="HRH67" i="25"/>
  <c r="HRJ67" i="25"/>
  <c r="HQR67" i="25"/>
  <c r="HQT67" i="25"/>
  <c r="HQB67" i="25"/>
  <c r="HQD67" i="25"/>
  <c r="HPL67" i="25"/>
  <c r="HPN67" i="25"/>
  <c r="HOV67" i="25"/>
  <c r="HOX67" i="25"/>
  <c r="HOF67" i="25"/>
  <c r="HOH67" i="25"/>
  <c r="HNP67" i="25"/>
  <c r="HNR67" i="25"/>
  <c r="HMZ67" i="25"/>
  <c r="HNB67" i="25"/>
  <c r="HMJ67" i="25"/>
  <c r="HML67" i="25"/>
  <c r="HLT67" i="25"/>
  <c r="HLV67" i="25"/>
  <c r="HLD67" i="25"/>
  <c r="HLF67" i="25"/>
  <c r="HKN67" i="25"/>
  <c r="HKP67" i="25"/>
  <c r="HJX67" i="25"/>
  <c r="HJZ67" i="25"/>
  <c r="HJH67" i="25"/>
  <c r="HJJ67" i="25"/>
  <c r="HIR67" i="25"/>
  <c r="HIT67" i="25"/>
  <c r="HIB67" i="25"/>
  <c r="HID67" i="25"/>
  <c r="HHL67" i="25"/>
  <c r="HHN67" i="25"/>
  <c r="HGV67" i="25"/>
  <c r="HGX67" i="25"/>
  <c r="HGF67" i="25"/>
  <c r="HGH67" i="25"/>
  <c r="HFP67" i="25"/>
  <c r="HFR67" i="25"/>
  <c r="HEZ67" i="25"/>
  <c r="HFB67" i="25"/>
  <c r="HEJ67" i="25"/>
  <c r="HEL67" i="25"/>
  <c r="HDT67" i="25"/>
  <c r="HDV67" i="25"/>
  <c r="HDD67" i="25"/>
  <c r="HDF67" i="25"/>
  <c r="HCN67" i="25"/>
  <c r="HCP67" i="25"/>
  <c r="HBX67" i="25"/>
  <c r="HBZ67" i="25"/>
  <c r="HBH67" i="25"/>
  <c r="HBJ67" i="25"/>
  <c r="HAR67" i="25"/>
  <c r="HAT67" i="25"/>
  <c r="HAB67" i="25"/>
  <c r="HAD67" i="25"/>
  <c r="GZL67" i="25"/>
  <c r="GZN67" i="25"/>
  <c r="GYV67" i="25"/>
  <c r="GYX67" i="25"/>
  <c r="GYF67" i="25"/>
  <c r="GYH67" i="25"/>
  <c r="GXP67" i="25"/>
  <c r="GXR67" i="25"/>
  <c r="GWZ67" i="25"/>
  <c r="GXB67" i="25"/>
  <c r="GWJ67" i="25"/>
  <c r="GWL67" i="25"/>
  <c r="GVT67" i="25"/>
  <c r="GVV67" i="25"/>
  <c r="GVD67" i="25"/>
  <c r="GVF67" i="25"/>
  <c r="GUN67" i="25"/>
  <c r="GUP67" i="25"/>
  <c r="GTX67" i="25"/>
  <c r="GTZ67" i="25"/>
  <c r="GTH67" i="25"/>
  <c r="GTJ67" i="25"/>
  <c r="GSR67" i="25"/>
  <c r="GST67" i="25"/>
  <c r="GSB67" i="25"/>
  <c r="GSD67" i="25"/>
  <c r="GRL67" i="25"/>
  <c r="GRN67" i="25"/>
  <c r="GQV67" i="25"/>
  <c r="GQX67" i="25"/>
  <c r="GQF67" i="25"/>
  <c r="GQH67" i="25"/>
  <c r="GPP67" i="25"/>
  <c r="GPR67" i="25"/>
  <c r="GOZ67" i="25"/>
  <c r="GPB67" i="25"/>
  <c r="GOJ67" i="25"/>
  <c r="GOL67" i="25"/>
  <c r="GNT67" i="25"/>
  <c r="GNV67" i="25"/>
  <c r="GND67" i="25"/>
  <c r="GNF67" i="25"/>
  <c r="GMN67" i="25"/>
  <c r="GMP67" i="25"/>
  <c r="GLX67" i="25"/>
  <c r="GLZ67" i="25"/>
  <c r="GLH67" i="25"/>
  <c r="GLJ67" i="25"/>
  <c r="GKR67" i="25"/>
  <c r="GKT67" i="25"/>
  <c r="GKB67" i="25"/>
  <c r="GKD67" i="25"/>
  <c r="GJL67" i="25"/>
  <c r="GJN67" i="25"/>
  <c r="GIV67" i="25"/>
  <c r="GIX67" i="25"/>
  <c r="GIF67" i="25"/>
  <c r="GIH67" i="25"/>
  <c r="GHP67" i="25"/>
  <c r="GHR67" i="25"/>
  <c r="GGZ67" i="25"/>
  <c r="GHB67" i="25"/>
  <c r="GGJ67" i="25"/>
  <c r="GGL67" i="25"/>
  <c r="GFT67" i="25"/>
  <c r="GFV67" i="25"/>
  <c r="GFD67" i="25"/>
  <c r="GFF67" i="25"/>
  <c r="GEN67" i="25"/>
  <c r="GEP67" i="25"/>
  <c r="GDX67" i="25"/>
  <c r="GDZ67" i="25"/>
  <c r="GDH67" i="25"/>
  <c r="GDJ67" i="25"/>
  <c r="GCR67" i="25"/>
  <c r="GCT67" i="25"/>
  <c r="GCB67" i="25"/>
  <c r="GCD67" i="25"/>
  <c r="GBL67" i="25"/>
  <c r="GBN67" i="25"/>
  <c r="GAV67" i="25"/>
  <c r="GAX67" i="25"/>
  <c r="GAF67" i="25"/>
  <c r="GAH67" i="25"/>
  <c r="FZP67" i="25"/>
  <c r="FZR67" i="25"/>
  <c r="FYZ67" i="25"/>
  <c r="FZB67" i="25"/>
  <c r="FYJ67" i="25"/>
  <c r="FYL67" i="25"/>
  <c r="FXT67" i="25"/>
  <c r="FXV67" i="25"/>
  <c r="FXD67" i="25"/>
  <c r="FXF67" i="25"/>
  <c r="FWN67" i="25"/>
  <c r="FWP67" i="25"/>
  <c r="FVX67" i="25"/>
  <c r="FVZ67" i="25"/>
  <c r="FVH67" i="25"/>
  <c r="FVJ67" i="25"/>
  <c r="FUR67" i="25"/>
  <c r="FUT67" i="25"/>
  <c r="FUB67" i="25"/>
  <c r="FUD67" i="25"/>
  <c r="FTL67" i="25"/>
  <c r="FTN67" i="25"/>
  <c r="FSV67" i="25"/>
  <c r="FSX67" i="25"/>
  <c r="FSF67" i="25"/>
  <c r="FSH67" i="25"/>
  <c r="FRP67" i="25"/>
  <c r="FRR67" i="25"/>
  <c r="FQZ67" i="25"/>
  <c r="FRB67" i="25"/>
  <c r="FQJ67" i="25"/>
  <c r="FQL67" i="25"/>
  <c r="FPT67" i="25"/>
  <c r="FPV67" i="25"/>
  <c r="FPD67" i="25"/>
  <c r="FPF67" i="25"/>
  <c r="FON67" i="25"/>
  <c r="FOP67" i="25"/>
  <c r="FNX67" i="25"/>
  <c r="FNZ67" i="25"/>
  <c r="FNH67" i="25"/>
  <c r="FNJ67" i="25"/>
  <c r="FMR67" i="25"/>
  <c r="FMT67" i="25"/>
  <c r="FMB67" i="25"/>
  <c r="FMD67" i="25"/>
  <c r="FLL67" i="25"/>
  <c r="FLN67" i="25"/>
  <c r="FKV67" i="25"/>
  <c r="FKX67" i="25"/>
  <c r="FKF67" i="25"/>
  <c r="FKH67" i="25"/>
  <c r="FJP67" i="25"/>
  <c r="FJR67" i="25"/>
  <c r="FIZ67" i="25"/>
  <c r="FJB67" i="25"/>
  <c r="FIJ67" i="25"/>
  <c r="FIL67" i="25"/>
  <c r="FHT67" i="25"/>
  <c r="FHV67" i="25"/>
  <c r="FHD67" i="25"/>
  <c r="FHF67" i="25"/>
  <c r="FGN67" i="25"/>
  <c r="FGP67" i="25"/>
  <c r="FFX67" i="25"/>
  <c r="FFZ67" i="25"/>
  <c r="FFH67" i="25"/>
  <c r="FFJ67" i="25"/>
  <c r="FER67" i="25"/>
  <c r="FET67" i="25"/>
  <c r="FEB67" i="25"/>
  <c r="FED67" i="25"/>
  <c r="FDL67" i="25"/>
  <c r="FDN67" i="25"/>
  <c r="FCV67" i="25"/>
  <c r="FCX67" i="25"/>
  <c r="FCF67" i="25"/>
  <c r="FCH67" i="25"/>
  <c r="FBP67" i="25"/>
  <c r="FBR67" i="25"/>
  <c r="FAZ67" i="25"/>
  <c r="FBB67" i="25"/>
  <c r="FAJ67" i="25"/>
  <c r="FAL67" i="25"/>
  <c r="EZT67" i="25"/>
  <c r="EZV67" i="25"/>
  <c r="EZD67" i="25"/>
  <c r="EZF67" i="25"/>
  <c r="EYN67" i="25"/>
  <c r="EYP67" i="25"/>
  <c r="EXX67" i="25"/>
  <c r="EXZ67" i="25"/>
  <c r="EXH67" i="25"/>
  <c r="EXJ67" i="25"/>
  <c r="EWR67" i="25"/>
  <c r="EWT67" i="25"/>
  <c r="EWB67" i="25"/>
  <c r="EWD67" i="25"/>
  <c r="EVL67" i="25"/>
  <c r="EVN67" i="25"/>
  <c r="EUV67" i="25"/>
  <c r="EUX67" i="25"/>
  <c r="EUF67" i="25"/>
  <c r="EUH67" i="25"/>
  <c r="ETP67" i="25"/>
  <c r="ETR67" i="25"/>
  <c r="ESZ67" i="25"/>
  <c r="ETB67" i="25"/>
  <c r="ESJ67" i="25"/>
  <c r="ESL67" i="25"/>
  <c r="ERT67" i="25"/>
  <c r="ERV67" i="25"/>
  <c r="ERD67" i="25"/>
  <c r="ERF67" i="25"/>
  <c r="EQN67" i="25"/>
  <c r="EQP67" i="25"/>
  <c r="EPX67" i="25"/>
  <c r="EPZ67" i="25"/>
  <c r="EPH67" i="25"/>
  <c r="EPJ67" i="25"/>
  <c r="EOR67" i="25"/>
  <c r="EOT67" i="25"/>
  <c r="EOB67" i="25"/>
  <c r="EOD67" i="25"/>
  <c r="ENL67" i="25"/>
  <c r="ENN67" i="25"/>
  <c r="EMV67" i="25"/>
  <c r="EMX67" i="25"/>
  <c r="EMF67" i="25"/>
  <c r="EMH67" i="25"/>
  <c r="ELP67" i="25"/>
  <c r="ELR67" i="25"/>
  <c r="EKZ67" i="25"/>
  <c r="ELB67" i="25"/>
  <c r="EKJ67" i="25"/>
  <c r="EKL67" i="25"/>
  <c r="EJT67" i="25"/>
  <c r="EJV67" i="25"/>
  <c r="EJD67" i="25"/>
  <c r="EJF67" i="25"/>
  <c r="EIN67" i="25"/>
  <c r="EIP67" i="25"/>
  <c r="EHX67" i="25"/>
  <c r="EHZ67" i="25"/>
  <c r="EHH67" i="25"/>
  <c r="EHJ67" i="25"/>
  <c r="EGR67" i="25"/>
  <c r="EGT67" i="25"/>
  <c r="EGB67" i="25"/>
  <c r="EGD67" i="25"/>
  <c r="EFL67" i="25"/>
  <c r="EFN67" i="25"/>
  <c r="EEV67" i="25"/>
  <c r="EEX67" i="25"/>
  <c r="EEF67" i="25"/>
  <c r="EEH67" i="25"/>
  <c r="EDP67" i="25"/>
  <c r="EDR67" i="25"/>
  <c r="ECZ67" i="25"/>
  <c r="EDB67" i="25"/>
  <c r="ECJ67" i="25"/>
  <c r="ECL67" i="25"/>
  <c r="EBT67" i="25"/>
  <c r="EBV67" i="25"/>
  <c r="EBD67" i="25"/>
  <c r="EBF67" i="25"/>
  <c r="EAN67" i="25"/>
  <c r="EAP67" i="25"/>
  <c r="DZX67" i="25"/>
  <c r="DZZ67" i="25"/>
  <c r="DZH67" i="25"/>
  <c r="DZJ67" i="25"/>
  <c r="DYR67" i="25"/>
  <c r="DYT67" i="25"/>
  <c r="DYB67" i="25"/>
  <c r="DYD67" i="25"/>
  <c r="DXL67" i="25"/>
  <c r="DXN67" i="25"/>
  <c r="DWV67" i="25"/>
  <c r="DWX67" i="25"/>
  <c r="DWF67" i="25"/>
  <c r="DWH67" i="25"/>
  <c r="DVP67" i="25"/>
  <c r="DVR67" i="25"/>
  <c r="DUZ67" i="25"/>
  <c r="DVB67" i="25"/>
  <c r="DUJ67" i="25"/>
  <c r="DUL67" i="25"/>
  <c r="DTT67" i="25"/>
  <c r="DTV67" i="25"/>
  <c r="DTD67" i="25"/>
  <c r="DTF67" i="25"/>
  <c r="DSN67" i="25"/>
  <c r="DSP67" i="25"/>
  <c r="DRX67" i="25"/>
  <c r="DRZ67" i="25"/>
  <c r="DRH67" i="25"/>
  <c r="DRJ67" i="25"/>
  <c r="DQR67" i="25"/>
  <c r="DQT67" i="25"/>
  <c r="DQB67" i="25"/>
  <c r="DQD67" i="25"/>
  <c r="DPL67" i="25"/>
  <c r="DPN67" i="25"/>
  <c r="DOV67" i="25"/>
  <c r="DOX67" i="25"/>
  <c r="DOF67" i="25"/>
  <c r="DOH67" i="25"/>
  <c r="DNP67" i="25"/>
  <c r="DNR67" i="25"/>
  <c r="K18" i="25"/>
  <c r="M18" i="25"/>
  <c r="K16" i="25"/>
  <c r="M16" i="25"/>
  <c r="K15" i="25"/>
  <c r="M15" i="25"/>
  <c r="K13" i="25"/>
  <c r="M13" i="25"/>
  <c r="K11" i="25"/>
  <c r="M11" i="25"/>
  <c r="J36" i="21"/>
  <c r="L36" i="21" s="1"/>
  <c r="J35" i="21"/>
  <c r="L35" i="21"/>
  <c r="J34" i="21"/>
  <c r="L34" i="21"/>
  <c r="J92" i="21"/>
  <c r="L92" i="21" s="1"/>
  <c r="J91" i="21"/>
  <c r="L91" i="21"/>
  <c r="K16" i="21"/>
  <c r="M16" i="21" s="1"/>
  <c r="K14" i="21"/>
  <c r="M14" i="21"/>
  <c r="K12" i="21"/>
  <c r="M12" i="2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 r="M137" i="28" l="1"/>
</calcChain>
</file>

<file path=xl/sharedStrings.xml><?xml version="1.0" encoding="utf-8"?>
<sst xmlns="http://schemas.openxmlformats.org/spreadsheetml/2006/main" count="4391" uniqueCount="228">
  <si>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</si>
  <si>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</si>
  <si>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</si>
  <si>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</si>
  <si>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</si>
  <si>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</si>
  <si>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</si>
  <si>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</si>
  <si>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</si>
  <si>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</si>
  <si>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</si>
  <si>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</si>
  <si>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</si>
  <si>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</si>
  <si>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</si>
  <si>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Port Everglades</t>
  </si>
  <si>
    <t>Point Lisas</t>
  </si>
  <si>
    <t>20ft</t>
  </si>
  <si>
    <t>N/A</t>
  </si>
  <si>
    <t xml:space="preserve">6 days </t>
  </si>
  <si>
    <t>31/08/2026</t>
  </si>
  <si>
    <t>King Ocean</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</si>
  <si>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</si>
  <si>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</si>
  <si>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</si>
  <si>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</si>
  <si>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</si>
  <si>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</si>
  <si>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</si>
  <si>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</si>
  <si>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</si>
  <si>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</si>
  <si>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</si>
  <si>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</si>
  <si>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</si>
  <si>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</si>
  <si>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</si>
  <si>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</si>
  <si>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</si>
  <si>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30/09/2026</t>
  </si>
  <si>
    <t>MSC</t>
  </si>
  <si>
    <t>Space is available, there is an increase in demand this month so advanced bookings are recommended.</t>
  </si>
  <si>
    <t>Maersk</t>
  </si>
  <si>
    <t>Santos/Imbituba (TILES)</t>
  </si>
  <si>
    <t>23-28</t>
  </si>
  <si>
    <t>CMA CGM</t>
  </si>
  <si>
    <t>Space is available</t>
  </si>
  <si>
    <t>Santos/Itajai/Paranagua/Rio Grande(Lumber)</t>
  </si>
  <si>
    <t>CHINA / TRINIDAD SHIPPING TARIFF</t>
  </si>
  <si>
    <t>Other Port Charges</t>
  </si>
  <si>
    <t>Local Handling</t>
  </si>
  <si>
    <t>Admin</t>
  </si>
  <si>
    <t>Total w/out Insurance</t>
  </si>
  <si>
    <t>Shenzhen/Shanghai/Ningbo/Xiamen/Shekou/Yantian/Qingdao)</t>
  </si>
  <si>
    <t>Port of Spain/Point Lisas</t>
  </si>
  <si>
    <t>45-55</t>
  </si>
  <si>
    <t>21/08/2026</t>
  </si>
  <si>
    <t xml:space="preserve">Space is becoming more available, advanced bookings are still high advised.
</t>
  </si>
  <si>
    <t xml:space="preserve">Gaoming </t>
  </si>
  <si>
    <t>Shanghai/Xiamen/Tianjin/Shenzhen/Ningbo/Qingdao/Hong Kong/Xingang/Yantian</t>
  </si>
  <si>
    <t>COSCO</t>
  </si>
  <si>
    <t>Severe Space issues, booking need to be made 7 days before ETA</t>
  </si>
  <si>
    <t xml:space="preserve">Tianjin/Jiujiang (Shunde)/Hong Kong/Dalian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</si>
  <si>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</si>
  <si>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</si>
  <si>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</si>
  <si>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</si>
  <si>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</si>
  <si>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</si>
  <si>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 xml:space="preserve">Shantou </t>
  </si>
  <si>
    <t>Liangyungang</t>
  </si>
  <si>
    <t>Yichang</t>
  </si>
  <si>
    <t>KOREA / TRINIDAD SHIPPING TARIFF</t>
  </si>
  <si>
    <t>Busan</t>
  </si>
  <si>
    <t>Port of Spain/ Point Lisas</t>
  </si>
  <si>
    <t>Space is becoming more available, advanced bookings are still high advised.</t>
  </si>
  <si>
    <t>TAIWAN / TRINIDAD SHIPPING TARIFF</t>
  </si>
  <si>
    <t xml:space="preserve">Keelung/ Kaoisung </t>
  </si>
  <si>
    <t>55-60</t>
  </si>
  <si>
    <t>JAPAN / TRINIDAD SHIPPING TARIFF</t>
  </si>
  <si>
    <t xml:space="preserve">Yokohama, Osaka, Nagoya </t>
  </si>
  <si>
    <t>VIETNAM / TRINIDAD SHIPPING TARIFF</t>
  </si>
  <si>
    <t xml:space="preserve">Ho Chi Minh </t>
  </si>
  <si>
    <t>MALAYSIA / TRINIDAD SHIPPING TARIFF</t>
  </si>
  <si>
    <t xml:space="preserve">Port Klang, Pasir Gudang </t>
  </si>
  <si>
    <t>Space is ok, space released once booking form is completed</t>
  </si>
  <si>
    <t>THAILAND/ TRINIDAD SHIPPING TARIFF</t>
  </si>
  <si>
    <t xml:space="preserve">Bangkok </t>
  </si>
  <si>
    <t>PANAMA / TRINIDAD SHIPPING TARIFF</t>
  </si>
  <si>
    <t>LAC/Local charges</t>
  </si>
  <si>
    <t>Manzanillo</t>
  </si>
  <si>
    <t>TURKEY / TRINIDAD SHIPPING TARIFF</t>
  </si>
  <si>
    <t>ISPS&amp;Container Inspection</t>
  </si>
  <si>
    <t>Docs</t>
  </si>
  <si>
    <t>Gemlik (TILES)</t>
  </si>
  <si>
    <t>Port-of-Spain</t>
  </si>
  <si>
    <t>55-65</t>
  </si>
  <si>
    <t>Gebze/ Gemilk / Aliaga/ Istanbul</t>
  </si>
  <si>
    <t>COLOMBIA / TRINIDAD SHIPPING TARIFF</t>
  </si>
  <si>
    <t>Buenaventura</t>
  </si>
  <si>
    <t>16-20</t>
  </si>
  <si>
    <t>Cartagena</t>
  </si>
  <si>
    <t>MEXICO / TRINIDAD SHIPPING TARIFF</t>
  </si>
  <si>
    <t>Altamira</t>
  </si>
  <si>
    <t>Port-of-Spain/ Point Lisas</t>
  </si>
  <si>
    <t>CMA</t>
  </si>
  <si>
    <t>GUYANA TO TRINIDAD SHIPPING TARIFF</t>
  </si>
  <si>
    <t>Emergency Fuel Surcharge</t>
  </si>
  <si>
    <t xml:space="preserve">OTHC </t>
  </si>
  <si>
    <t>Agency Admin (Guyana)</t>
  </si>
  <si>
    <t>Destination Terminal Handling Charge (DTHC)</t>
  </si>
  <si>
    <t>Destination LAC</t>
  </si>
  <si>
    <t>Georgetown</t>
  </si>
  <si>
    <t>1-2 days</t>
  </si>
  <si>
    <t>DOMINICAN REPUBLIC / TRINIDAD SHIPPING TARIFF</t>
  </si>
  <si>
    <t>Port Charges</t>
  </si>
  <si>
    <t>Caucedo</t>
  </si>
  <si>
    <t>-</t>
  </si>
  <si>
    <t>2-4</t>
  </si>
  <si>
    <t>USA / GUYANA SHIPPING TARIFF</t>
  </si>
  <si>
    <t>Free Days</t>
  </si>
  <si>
    <t>12-15 days</t>
  </si>
  <si>
    <t>14 Days</t>
  </si>
  <si>
    <t>14 days</t>
  </si>
  <si>
    <t>22 days</t>
  </si>
  <si>
    <t xml:space="preserve">New York </t>
  </si>
  <si>
    <t>15 days</t>
  </si>
  <si>
    <t>BRAZIL / GUYANA SHIPPING TARIFF</t>
  </si>
  <si>
    <t>Ocean Freight</t>
  </si>
  <si>
    <t>DTHC</t>
  </si>
  <si>
    <t>Santos/Rio de Janiero/Salvador/Parangua</t>
  </si>
  <si>
    <t>39-43</t>
  </si>
  <si>
    <t>Space is very limited, sailings are booking quickly so advanced bookings are recommended.</t>
  </si>
  <si>
    <t>Santos (TILES)</t>
  </si>
  <si>
    <t xml:space="preserve"> Included </t>
  </si>
  <si>
    <t>21 Days</t>
  </si>
  <si>
    <t>Space is available, sailings are booking quickly so advanced bookings are recommended.</t>
  </si>
  <si>
    <t>Paranagua (Lumber)</t>
  </si>
  <si>
    <t xml:space="preserve">
</t>
  </si>
  <si>
    <t>CHINA / GUYANA SHIPPING TARIFF</t>
  </si>
  <si>
    <t>Handling Fee</t>
  </si>
  <si>
    <t>Comments</t>
  </si>
  <si>
    <t>Free time</t>
  </si>
  <si>
    <t xml:space="preserve">Shenzhen/ Shanghai/ Ningbo/ Qingdao/ Xiamen/ Hong Kong/ Chiwan/Yantian/Xingang </t>
  </si>
  <si>
    <t xml:space="preserve">Foshan/Gaoming/Yunfu/Tianjin/Guangzhou </t>
  </si>
  <si>
    <t>Shenzhen/ Shanghai/ Ningbo/ Qingdao/ Xiamen/ Hong Kong/ Chiwan/Yantian/Xingang/Tianjin</t>
  </si>
  <si>
    <t>17 days</t>
  </si>
  <si>
    <t>Yunfu/Gaoming</t>
  </si>
  <si>
    <t>JAPAN / GUYANA SHIPPING TARIFF</t>
  </si>
  <si>
    <t>Yokohama, Osaka, Nagoya, Tokyo</t>
  </si>
  <si>
    <t>MALAYSIA / GUYANA SHIPPING TARIFF</t>
  </si>
  <si>
    <t>Port Klang, Tanjung</t>
  </si>
  <si>
    <t>PANAMA / GUYANA SHIPPING TARIFF</t>
  </si>
  <si>
    <t>Guyana Port Congestion</t>
  </si>
  <si>
    <t>15 to 16 days</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</si>
  <si>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</si>
  <si>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</si>
  <si>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</si>
  <si>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</si>
  <si>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</si>
  <si>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</si>
  <si>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</si>
  <si>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</si>
  <si>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</si>
  <si>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</si>
  <si>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</si>
  <si>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</si>
  <si>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</si>
  <si>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</si>
  <si>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</si>
  <si>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</si>
  <si>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</si>
  <si>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</si>
  <si>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</si>
  <si>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</si>
  <si>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</si>
  <si>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</si>
  <si>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31/09/2026</t>
  </si>
  <si>
    <t>Space is tight, book in advance.</t>
  </si>
  <si>
    <t>Santos (Tiles)</t>
  </si>
  <si>
    <t>Included</t>
  </si>
  <si>
    <t>CHINA / SURINAME SHIPPING TARIFF</t>
  </si>
  <si>
    <t>Shenzhen/ Shanghai/ Ningbo/ Qingdao/ Xiamen/ Hong Kong/ Chiwan/Yantian</t>
  </si>
  <si>
    <t>65-75</t>
  </si>
  <si>
    <t xml:space="preserve">Port Charges does not incl. storage fees. </t>
  </si>
  <si>
    <t>KOREA / SURINAME SHIPPING TARIFF</t>
  </si>
  <si>
    <t xml:space="preserve">Space is LIMITED, BOOK NOW
Port Charges does not incl. storage fees. </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</si>
  <si>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</si>
  <si>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</si>
  <si>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</si>
  <si>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</si>
  <si>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</si>
  <si>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</si>
  <si>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</si>
  <si>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THAILAND/ SURINAME SHIPPING TARIFF</t>
  </si>
  <si>
    <t>Bangkok</t>
  </si>
  <si>
    <t> </t>
  </si>
  <si>
    <t>PANAMA / SURINAME SHIPPING TARIFF</t>
  </si>
  <si>
    <t>Administration</t>
  </si>
  <si>
    <t>COLOMBIA/ SURINAME SHIPPING TARIFF</t>
  </si>
  <si>
    <t>TRINIDAD TO GUYANA SHIPPING TARIFF</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</si>
  <si>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</si>
  <si>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</si>
  <si>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</si>
  <si>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</si>
  <si>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</si>
  <si>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</si>
  <si>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</si>
  <si>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</si>
  <si>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</si>
  <si>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</si>
  <si>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</si>
  <si>
    <t>TRINIDAD TO DOMINICAN REPUBLIC SHIPPING TARIFF</t>
  </si>
  <si>
    <t>Hapag Lloyd</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</si>
  <si>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</si>
  <si>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</si>
  <si>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</si>
  <si>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</si>
  <si>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</si>
  <si>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</si>
  <si>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</si>
  <si>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</si>
  <si>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</si>
  <si>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</si>
  <si>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</si>
  <si>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</si>
  <si>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</si>
  <si>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Space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</si>
</sst>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69">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7" fillId="5" borderId="1" xfId="0" applyFont="1" applyFill="1" applyBorder="1" applyAlignment="1">
      <alignment vertical="center"/>
    </xf>
    <xf numFmtId="0" fontId="0" fillId="5" borderId="36" xfId="0" applyFill="1" applyBorder="1" applyAlignment="1">
      <alignment horizontal="center" vertical="center" wrapText="1"/>
    </xf>
    <xf numFmtId="0" fontId="0" fillId="5" borderId="1" xfId="0" applyFill="1" applyBorder="1" applyAlignment="1">
      <alignment horizontal="center" vertical="center"/>
    </xf>
    <xf numFmtId="0" fontId="7" fillId="0" borderId="1" xfId="0" applyFont="1" applyBorder="1" applyAlignment="1">
      <alignment horizontal="center"/>
    </xf>
    <xf numFmtId="8" fontId="9" fillId="0" borderId="1" xfId="0" applyNumberFormat="1" applyFont="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67" xfId="0" applyBorder="1"/>
    <xf numFmtId="8" fontId="9" fillId="0" borderId="67" xfId="0" applyNumberFormat="1" applyFont="1" applyBorder="1"/>
    <xf numFmtId="44" fontId="0" fillId="0" borderId="67" xfId="1" applyFont="1" applyBorder="1"/>
    <xf numFmtId="44" fontId="0" fillId="0" borderId="67" xfId="1" applyFont="1" applyBorder="1" applyAlignment="1">
      <alignment horizontal="right"/>
    </xf>
    <xf numFmtId="8" fontId="2" fillId="0" borderId="67" xfId="1" applyNumberFormat="1" applyFont="1" applyBorder="1"/>
    <xf numFmtId="0" fontId="0" fillId="0" borderId="67" xfId="0" applyBorder="1" applyAlignment="1">
      <alignment horizontal="left"/>
    </xf>
    <xf numFmtId="14" fontId="0" fillId="0" borderId="67" xfId="0" applyNumberFormat="1" applyBorder="1" applyAlignment="1">
      <alignment vertical="center"/>
    </xf>
    <xf numFmtId="0" fontId="2" fillId="0" borderId="67" xfId="0" applyFont="1" applyBorder="1" applyAlignment="1">
      <alignment horizontal="center" vertical="center" wrapText="1"/>
    </xf>
    <xf numFmtId="0" fontId="0" fillId="0" borderId="68" xfId="0" applyBorder="1"/>
    <xf numFmtId="0" fontId="4" fillId="2" borderId="5" xfId="0" applyFont="1" applyFill="1" applyBorder="1" applyAlignment="1">
      <alignment horizontal="left"/>
    </xf>
    <xf numFmtId="0" fontId="0" fillId="0" borderId="69"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49" fontId="0" fillId="5" borderId="1" xfId="0" applyNumberFormat="1" applyFill="1" applyBorder="1" applyAlignment="1">
      <alignment horizontal="center"/>
    </xf>
    <xf numFmtId="49" fontId="15" fillId="0" borderId="1" xfId="0" applyNumberFormat="1" applyFont="1" applyBorder="1" applyAlignment="1">
      <alignment horizontal="left" vertical="center"/>
    </xf>
    <xf numFmtId="14" fontId="15" fillId="0" borderId="0" xfId="0" applyNumberFormat="1" applyFont="1" applyAlignment="1">
      <alignment horizontal="left" vertical="center"/>
    </xf>
    <xf numFmtId="14" fontId="15" fillId="0" borderId="5" xfId="0" applyNumberFormat="1" applyFont="1" applyBorder="1" applyAlignment="1">
      <alignment horizontal="left" vertical="center"/>
    </xf>
    <xf numFmtId="0" fontId="5" fillId="0" borderId="9" xfId="0" applyFont="1" applyBorder="1" applyAlignment="1">
      <alignment vertical="center"/>
    </xf>
    <xf numFmtId="49" fontId="0" fillId="5" borderId="5" xfId="0" applyNumberFormat="1" applyFill="1" applyBorder="1" applyAlignment="1">
      <alignment vertical="center"/>
    </xf>
    <xf numFmtId="49" fontId="0" fillId="5" borderId="1" xfId="0" applyNumberFormat="1" applyFill="1" applyBorder="1" applyAlignment="1">
      <alignment vertical="center"/>
    </xf>
    <xf numFmtId="8" fontId="9" fillId="0" borderId="1" xfId="0" applyNumberFormat="1" applyFont="1" applyBorder="1" applyAlignment="1">
      <alignment horizontal="right"/>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4" fillId="2" borderId="1" xfId="0" applyFont="1" applyFill="1" applyBorder="1" applyAlignment="1">
      <alignment horizontal="center" vertical="center"/>
    </xf>
    <xf numFmtId="0" fontId="0" fillId="5" borderId="36" xfId="0" applyFill="1" applyBorder="1" applyAlignment="1">
      <alignment horizontal="center" vertical="center" wrapText="1"/>
    </xf>
    <xf numFmtId="0" fontId="7" fillId="5" borderId="1"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4" xfId="0" applyFont="1" applyFill="1" applyBorder="1" applyAlignment="1">
      <alignment horizontal="center" vertical="center"/>
    </xf>
    <xf numFmtId="0" fontId="5" fillId="3" borderId="13"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5" borderId="1" xfId="0" applyFill="1" applyBorder="1" applyAlignment="1">
      <alignment horizontal="center" vertical="center"/>
    </xf>
    <xf numFmtId="0" fontId="5" fillId="3" borderId="5" xfId="0" applyFont="1" applyFill="1" applyBorder="1" applyAlignment="1">
      <alignment horizontal="center" vertical="center"/>
    </xf>
    <xf numFmtId="0" fontId="5" fillId="3" borderId="20" xfId="0" applyFont="1" applyFill="1" applyBorder="1" applyAlignment="1">
      <alignment horizontal="center" vertical="center"/>
    </xf>
    <xf numFmtId="0" fontId="7" fillId="5" borderId="1"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applyAlignment="1">
      <alignment horizontal="center" wrapText="1"/>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5" fillId="3" borderId="42"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15" fillId="0" borderId="36"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5" fillId="3" borderId="48" xfId="0" applyFont="1" applyFill="1" applyBorder="1" applyAlignment="1">
      <alignment horizontal="center" vertical="center"/>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5" fillId="3" borderId="59" xfId="0" applyFont="1" applyFill="1" applyBorder="1" applyAlignment="1">
      <alignment horizontal="center" vertical="center"/>
    </xf>
    <xf numFmtId="0" fontId="0" fillId="0" borderId="45" xfId="0" applyBorder="1" applyAlignment="1">
      <alignment horizontal="center" vertical="center" wrapText="1"/>
    </xf>
    <xf numFmtId="0" fontId="0" fillId="0" borderId="66"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5" fillId="3" borderId="43" xfId="0" applyFont="1" applyFill="1" applyBorder="1" applyAlignment="1">
      <alignment horizontal="center" vertical="center"/>
    </xf>
    <xf numFmtId="0" fontId="5" fillId="3" borderId="44" xfId="0" applyFont="1" applyFill="1" applyBorder="1" applyAlignment="1">
      <alignment horizontal="center" vertical="center"/>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36" xfId="0" applyBorder="1" applyAlignment="1">
      <alignment horizontal="center" vertical="center" wrapText="1"/>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0" fillId="0" borderId="1" xfId="0" applyBorder="1" applyAlignment="1">
      <alignment horizontal="center" vertical="center"/>
    </xf>
    <xf numFmtId="0" fontId="4" fillId="2" borderId="1" xfId="0" applyFont="1" applyFill="1" applyBorder="1" applyAlignment="1">
      <alignment horizontal="left"/>
    </xf>
    <xf numFmtId="0" fontId="0" fillId="0" borderId="60" xfId="0" applyBorder="1" applyAlignment="1">
      <alignment horizontal="center" vertical="center" wrapText="1"/>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7" fillId="5" borderId="1" xfId="0" applyFont="1" applyFill="1" applyBorder="1" applyAlignment="1">
      <alignment vertical="center"/>
    </xf>
    <xf numFmtId="0" fontId="7" fillId="5" borderId="30" xfId="0" applyFont="1" applyFill="1" applyBorder="1" applyAlignment="1">
      <alignment vertical="center"/>
    </xf>
    <xf numFmtId="0" fontId="7" fillId="5" borderId="0" xfId="0" applyFont="1" applyFill="1"/>
    <xf numFmtId="0" fontId="0" fillId="5" borderId="38" xfId="0" applyFill="1" applyBorder="1" applyAlignment="1">
      <alignment horizontal="center" vertical="center" wrapText="1"/>
    </xf>
    <xf numFmtId="0" fontId="11" fillId="3" borderId="43" xfId="0" applyFont="1" applyFill="1" applyBorder="1" applyAlignment="1">
      <alignment horizontal="center"/>
    </xf>
    <xf numFmtId="0" fontId="11" fillId="3" borderId="20" xfId="0" applyFont="1" applyFill="1" applyBorder="1" applyAlignment="1">
      <alignment horizontal="center"/>
    </xf>
    <xf numFmtId="0" fontId="11" fillId="3" borderId="44" xfId="0" applyFont="1" applyFill="1" applyBorder="1" applyAlignment="1">
      <alignment horizont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11" fillId="3" borderId="13" xfId="0" applyFont="1" applyFill="1" applyBorder="1" applyAlignment="1">
      <alignment horizontal="center"/>
    </xf>
    <xf numFmtId="0" fontId="7" fillId="5" borderId="36" xfId="0" applyFont="1" applyFill="1" applyBorder="1" applyAlignment="1">
      <alignment horizontal="center" vertical="center"/>
    </xf>
    <xf numFmtId="0" fontId="2" fillId="5" borderId="62" xfId="0" applyFont="1" applyFill="1" applyBorder="1" applyAlignment="1">
      <alignment horizontal="center" vertical="center" wrapText="1"/>
    </xf>
    <xf numFmtId="0" fontId="2" fillId="5" borderId="64" xfId="0" applyFont="1" applyFill="1" applyBorder="1" applyAlignment="1">
      <alignment horizontal="center" vertical="center" wrapText="1"/>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xf numFmtId="0" fontId="8" fillId="4" borderId="20" xfId="0" applyFont="1" applyFill="1" applyBorder="1"/>
    <xf numFmtId="0" fontId="8" fillId="4" borderId="19" xfId="0" applyFont="1" applyFill="1" applyBorder="1"/>
    <xf numFmtId="0" fontId="7" fillId="5" borderId="3" xfId="0" applyFont="1" applyFill="1" applyBorder="1"/>
    <xf numFmtId="0" fontId="7" fillId="5" borderId="15" xfId="0" applyFont="1" applyFill="1" applyBorder="1"/>
    <xf numFmtId="0" fontId="11" fillId="3" borderId="5"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8" fillId="4" borderId="1" xfId="0" applyFont="1" applyFill="1" applyBorder="1"/>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70" xfId="0" applyFont="1" applyFill="1" applyBorder="1" applyAlignment="1">
      <alignment horizontal="center" vertical="center"/>
    </xf>
    <xf numFmtId="0" fontId="5" fillId="3" borderId="9" xfId="0" applyFont="1" applyFill="1" applyBorder="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0" fillId="5" borderId="26"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7" fillId="5" borderId="30"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7" xfId="0" applyFill="1" applyBorder="1" applyAlignment="1">
      <alignment horizontal="center" vertical="center" wrapText="1"/>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110</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128</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154</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180</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80</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100</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114</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45</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82</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0</xdr:col>
      <xdr:colOff>600075</xdr:colOff>
      <xdr:row>98</xdr:row>
      <xdr:rowOff>57150</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0075" y="22221825"/>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T1048571"/>
  <sheetViews>
    <sheetView tabSelected="1" topLeftCell="A17" zoomScaleNormal="100" workbookViewId="0">
      <selection activeCell="B24" sqref="B24:P27"/>
    </sheetView>
  </sheetViews>
  <sheetFormatPr defaultColWidth="8.88671875" defaultRowHeight="14.4" x14ac:dyDescent="0.3"/>
  <cols>
    <col min="1" max="1" width="8.88671875" style="19"/>
    <col min="2" max="2" width="45.5546875" style="19" customWidth="1"/>
    <col min="3" max="3" width="21.33203125" style="19" bestFit="1" customWidth="1"/>
    <col min="4" max="4" width="5.6640625" style="19" bestFit="1" customWidth="1"/>
    <col min="5" max="5" width="14" style="19" customWidth="1"/>
    <col min="6" max="6" width="11.6640625" style="52" bestFit="1" customWidth="1"/>
    <col min="7" max="7" width="13" style="52" customWidth="1"/>
    <col min="8" max="8" width="14.88671875" style="52" customWidth="1"/>
    <col min="9" max="9" width="16.6640625" style="52" bestFit="1" customWidth="1"/>
    <col min="10" max="10" width="17.44140625" style="19" customWidth="1"/>
    <col min="11" max="11" width="16.6640625" style="19" bestFit="1" customWidth="1"/>
    <col min="12" max="12" width="13.6640625" style="19" customWidth="1"/>
    <col min="13" max="13" width="17.88671875" style="19" customWidth="1"/>
    <col min="14" max="14" width="16.33203125" style="19" customWidth="1"/>
    <col min="15" max="15" width="13" style="19" customWidth="1"/>
    <col min="16" max="16" width="14.109375" style="19" customWidth="1"/>
    <col min="17" max="17" width="14.44140625" style="19" customWidth="1"/>
    <col min="18" max="18" width="42" style="19" customWidth="1"/>
    <col min="19" max="19" width="15.33203125" style="19" customWidth="1"/>
    <col min="20" max="20" width="8.88671875" style="19" customWidth="1"/>
    <col min="21" max="22" width="9.109375" style="19" bestFit="1" customWidth="1"/>
    <col min="23" max="23" width="10.33203125" style="19" bestFit="1" customWidth="1"/>
    <col min="24" max="16384" width="8.88671875" style="19"/>
  </cols>
  <sheetData>
    <row r="7" spans="2:17" x14ac:dyDescent="0.3">
      <c r="B7" s="18"/>
      <c r="C7" s="18"/>
      <c r="D7" s="18"/>
      <c r="E7" s="18"/>
      <c r="F7" s="18"/>
      <c r="G7" s="18"/>
      <c r="H7" s="18"/>
      <c r="I7" s="18"/>
      <c r="J7" s="18"/>
      <c r="K7" s="18"/>
      <c r="L7" s="18"/>
      <c r="M7" s="18"/>
      <c r="N7" s="18"/>
      <c r="O7" s="18"/>
      <c r="P7" s="18"/>
    </row>
    <row r="8" spans="2:17" ht="28.8" x14ac:dyDescent="0.3">
      <c r="B8" s="225" t="s">
        <v>0</v>
      </c>
      <c r="C8" s="225"/>
      <c r="D8" s="225"/>
      <c r="E8" s="225"/>
      <c r="F8" s="225"/>
      <c r="G8" s="225"/>
      <c r="H8" s="225"/>
      <c r="I8" s="225"/>
      <c r="J8" s="225"/>
      <c r="K8" s="225"/>
      <c r="L8" s="225"/>
      <c r="M8" s="225"/>
      <c r="N8" s="225"/>
      <c r="O8" s="225"/>
      <c r="P8" s="225"/>
    </row>
    <row r="9" spans="2:17" ht="28.8" x14ac:dyDescent="0.3">
      <c r="B9" s="4" t="s">
        <v>1</v>
      </c>
      <c r="C9" s="220" t="s">
        <v>2</v>
      </c>
      <c r="D9" s="220"/>
      <c r="E9" s="122" t="s">
        <v>3</v>
      </c>
      <c r="F9" s="122" t="s">
        <v>4</v>
      </c>
      <c r="G9" s="122" t="s">
        <v>5</v>
      </c>
      <c r="H9" s="122" t="s">
        <v>6</v>
      </c>
      <c r="I9" s="3" t="s">
        <v>7</v>
      </c>
      <c r="J9" s="3" t="s">
        <v>8</v>
      </c>
      <c r="K9" s="3" t="s">
        <v>9</v>
      </c>
      <c r="L9" s="3" t="s">
        <v>10</v>
      </c>
      <c r="M9" s="3" t="s">
        <v>11</v>
      </c>
      <c r="N9" s="122" t="s">
        <v>12</v>
      </c>
      <c r="O9" s="122" t="s">
        <v>13</v>
      </c>
      <c r="P9" s="4" t="s">
        <v>14</v>
      </c>
    </row>
    <row r="10" spans="2:17" x14ac:dyDescent="0.3">
      <c r="B10" s="226" t="s">
        <v>15</v>
      </c>
      <c r="C10" s="226" t="s">
        <v>16</v>
      </c>
      <c r="D10" s="20" t="s">
        <v>17</v>
      </c>
      <c r="E10" s="21">
        <v>1700</v>
      </c>
      <c r="F10" s="22">
        <v>410</v>
      </c>
      <c r="G10" s="22">
        <v>76.5</v>
      </c>
      <c r="H10" s="22" t="s">
        <v>18</v>
      </c>
      <c r="I10" s="22" t="s">
        <v>18</v>
      </c>
      <c r="J10" s="22" t="s">
        <v>18</v>
      </c>
      <c r="K10" s="23">
        <f t="shared" ref="K10:K21" si="0">SUM(E10:J10)</f>
        <v>2186.5</v>
      </c>
      <c r="L10" s="24">
        <v>200</v>
      </c>
      <c r="M10" s="23">
        <f t="shared" ref="M10:M21" si="1">K10+L10</f>
        <v>2386.5</v>
      </c>
      <c r="N10" s="116" t="s">
        <v>19</v>
      </c>
      <c r="O10" s="215" t="s">
        <v>20</v>
      </c>
      <c r="P10" s="25" t="s">
        <v>21</v>
      </c>
    </row>
    <row r="11" spans="2:17" x14ac:dyDescent="0.3">
      <c r="B11" s="227"/>
      <c r="C11" s="227"/>
      <c r="D11" s="20" t="s">
        <v>22</v>
      </c>
      <c r="E11" s="21">
        <v>2700</v>
      </c>
      <c r="F11" s="22">
        <v>410</v>
      </c>
      <c r="G11" s="22">
        <v>76.5</v>
      </c>
      <c r="H11" s="22" t="s">
        <v>18</v>
      </c>
      <c r="I11" s="22" t="s">
        <v>18</v>
      </c>
      <c r="J11" s="22" t="s">
        <v>18</v>
      </c>
      <c r="K11" s="23">
        <f t="shared" si="0"/>
        <v>3186.5</v>
      </c>
      <c r="L11" s="24">
        <v>200</v>
      </c>
      <c r="M11" s="23">
        <f t="shared" si="1"/>
        <v>3386.5</v>
      </c>
      <c r="N11" s="116" t="s">
        <v>19</v>
      </c>
      <c r="O11" s="215" t="s">
        <v>20</v>
      </c>
      <c r="P11" s="25" t="s">
        <v>21</v>
      </c>
    </row>
    <row r="12" spans="2:17" x14ac:dyDescent="0.3">
      <c r="B12" s="227"/>
      <c r="C12" s="226" t="s">
        <v>16</v>
      </c>
      <c r="D12" s="112" t="s">
        <v>17</v>
      </c>
      <c r="E12" s="21">
        <f>(1125+265)+510</f>
        <v>1900</v>
      </c>
      <c r="F12" s="22">
        <v>355</v>
      </c>
      <c r="G12" s="22">
        <v>76.5</v>
      </c>
      <c r="H12" s="22">
        <v>14</v>
      </c>
      <c r="I12" s="22">
        <v>15</v>
      </c>
      <c r="J12" s="22">
        <v>150</v>
      </c>
      <c r="K12" s="23">
        <f t="shared" si="0"/>
        <v>2510.5</v>
      </c>
      <c r="L12" s="24">
        <v>200</v>
      </c>
      <c r="M12" s="23">
        <f t="shared" si="1"/>
        <v>2710.5</v>
      </c>
      <c r="N12" s="116" t="s">
        <v>19</v>
      </c>
      <c r="O12" s="215" t="s">
        <v>20</v>
      </c>
      <c r="P12" s="25" t="s">
        <v>23</v>
      </c>
    </row>
    <row r="13" spans="2:17" x14ac:dyDescent="0.3">
      <c r="B13" s="227"/>
      <c r="C13" s="227"/>
      <c r="D13" s="112" t="s">
        <v>22</v>
      </c>
      <c r="E13" s="21">
        <f>(1735+530)+535</f>
        <v>2800</v>
      </c>
      <c r="F13" s="22">
        <v>355</v>
      </c>
      <c r="G13" s="22">
        <v>76.5</v>
      </c>
      <c r="H13" s="22">
        <v>14</v>
      </c>
      <c r="I13" s="22">
        <v>25</v>
      </c>
      <c r="J13" s="22">
        <v>300</v>
      </c>
      <c r="K13" s="23">
        <f t="shared" si="0"/>
        <v>3570.5</v>
      </c>
      <c r="L13" s="24">
        <v>200</v>
      </c>
      <c r="M13" s="23">
        <f t="shared" si="1"/>
        <v>3770.5</v>
      </c>
      <c r="N13" s="116" t="s">
        <v>19</v>
      </c>
      <c r="O13" s="215" t="s">
        <v>20</v>
      </c>
      <c r="P13" s="25" t="s">
        <v>23</v>
      </c>
      <c r="Q13" s="26"/>
    </row>
    <row r="14" spans="2:17" x14ac:dyDescent="0.3">
      <c r="B14" s="228" t="s">
        <v>24</v>
      </c>
      <c r="C14" s="230" t="s">
        <v>16</v>
      </c>
      <c r="D14" s="20" t="s">
        <v>17</v>
      </c>
      <c r="E14" s="21">
        <f>(1225+265)+500</f>
        <v>1990</v>
      </c>
      <c r="F14" s="22">
        <v>355</v>
      </c>
      <c r="G14" s="22">
        <v>76.5</v>
      </c>
      <c r="H14" s="22">
        <v>14</v>
      </c>
      <c r="I14" s="22">
        <v>15</v>
      </c>
      <c r="J14" s="22">
        <v>150</v>
      </c>
      <c r="K14" s="23">
        <f t="shared" si="0"/>
        <v>2600.5</v>
      </c>
      <c r="L14" s="24">
        <v>200</v>
      </c>
      <c r="M14" s="23">
        <f t="shared" si="1"/>
        <v>2800.5</v>
      </c>
      <c r="N14" s="116" t="s">
        <v>25</v>
      </c>
      <c r="O14" s="215" t="s">
        <v>20</v>
      </c>
      <c r="P14" s="25" t="s">
        <v>23</v>
      </c>
    </row>
    <row r="15" spans="2:17" x14ac:dyDescent="0.3">
      <c r="B15" s="229"/>
      <c r="C15" s="230"/>
      <c r="D15" s="20" t="s">
        <v>22</v>
      </c>
      <c r="E15" s="21">
        <f>(1950+530)+500</f>
        <v>2980</v>
      </c>
      <c r="F15" s="22">
        <v>355</v>
      </c>
      <c r="G15" s="22">
        <v>76.5</v>
      </c>
      <c r="H15" s="22">
        <v>14</v>
      </c>
      <c r="I15" s="22">
        <v>25</v>
      </c>
      <c r="J15" s="22">
        <v>300</v>
      </c>
      <c r="K15" s="23">
        <f t="shared" si="0"/>
        <v>3750.5</v>
      </c>
      <c r="L15" s="24">
        <v>200</v>
      </c>
      <c r="M15" s="23">
        <f t="shared" si="1"/>
        <v>3950.5</v>
      </c>
      <c r="N15" s="116" t="s">
        <v>25</v>
      </c>
      <c r="O15" s="215" t="s">
        <v>20</v>
      </c>
      <c r="P15" s="25" t="s">
        <v>23</v>
      </c>
    </row>
    <row r="16" spans="2:17" x14ac:dyDescent="0.3">
      <c r="B16" s="228" t="s">
        <v>26</v>
      </c>
      <c r="C16" s="228" t="s">
        <v>16</v>
      </c>
      <c r="D16" s="20" t="s">
        <v>17</v>
      </c>
      <c r="E16" s="21">
        <f>(1425+265)+500</f>
        <v>2190</v>
      </c>
      <c r="F16" s="22">
        <v>355</v>
      </c>
      <c r="G16" s="22">
        <v>76.5</v>
      </c>
      <c r="H16" s="22">
        <v>14</v>
      </c>
      <c r="I16" s="22">
        <v>15</v>
      </c>
      <c r="J16" s="22">
        <v>150</v>
      </c>
      <c r="K16" s="23">
        <f t="shared" si="0"/>
        <v>2800.5</v>
      </c>
      <c r="L16" s="24">
        <v>200</v>
      </c>
      <c r="M16" s="23">
        <f t="shared" si="1"/>
        <v>3000.5</v>
      </c>
      <c r="N16" s="116" t="s">
        <v>27</v>
      </c>
      <c r="O16" s="215" t="s">
        <v>20</v>
      </c>
      <c r="P16" s="25" t="s">
        <v>23</v>
      </c>
    </row>
    <row r="17" spans="2:17" x14ac:dyDescent="0.3">
      <c r="B17" s="229"/>
      <c r="C17" s="229"/>
      <c r="D17" s="20" t="s">
        <v>22</v>
      </c>
      <c r="E17" s="21">
        <f>(2350+530)+500</f>
        <v>3380</v>
      </c>
      <c r="F17" s="22">
        <v>355</v>
      </c>
      <c r="G17" s="22">
        <v>76.5</v>
      </c>
      <c r="H17" s="22">
        <v>14</v>
      </c>
      <c r="I17" s="22">
        <v>25</v>
      </c>
      <c r="J17" s="22">
        <v>300</v>
      </c>
      <c r="K17" s="23">
        <f t="shared" si="0"/>
        <v>4150.5</v>
      </c>
      <c r="L17" s="24">
        <v>200</v>
      </c>
      <c r="M17" s="23">
        <f t="shared" si="1"/>
        <v>4350.5</v>
      </c>
      <c r="N17" s="116" t="s">
        <v>27</v>
      </c>
      <c r="O17" s="215" t="s">
        <v>20</v>
      </c>
      <c r="P17" s="25" t="s">
        <v>23</v>
      </c>
    </row>
    <row r="18" spans="2:17" x14ac:dyDescent="0.3">
      <c r="B18" s="228" t="s">
        <v>28</v>
      </c>
      <c r="C18" s="230" t="s">
        <v>29</v>
      </c>
      <c r="D18" s="20" t="s">
        <v>17</v>
      </c>
      <c r="E18" s="21">
        <f>(1225+265)+500</f>
        <v>1990</v>
      </c>
      <c r="F18" s="22">
        <v>355</v>
      </c>
      <c r="G18" s="22">
        <v>76.5</v>
      </c>
      <c r="H18" s="22">
        <v>14</v>
      </c>
      <c r="I18" s="22">
        <v>15</v>
      </c>
      <c r="J18" s="22">
        <v>150</v>
      </c>
      <c r="K18" s="23">
        <f t="shared" si="0"/>
        <v>2600.5</v>
      </c>
      <c r="L18" s="24">
        <v>200</v>
      </c>
      <c r="M18" s="23">
        <f t="shared" si="1"/>
        <v>2800.5</v>
      </c>
      <c r="N18" s="116" t="s">
        <v>30</v>
      </c>
      <c r="O18" s="215" t="s">
        <v>20</v>
      </c>
      <c r="P18" s="25" t="s">
        <v>23</v>
      </c>
      <c r="Q18" s="26"/>
    </row>
    <row r="19" spans="2:17" x14ac:dyDescent="0.3">
      <c r="B19" s="239"/>
      <c r="C19" s="230"/>
      <c r="D19" s="20" t="s">
        <v>22</v>
      </c>
      <c r="E19" s="21">
        <f>(1950+530)+500</f>
        <v>2980</v>
      </c>
      <c r="F19" s="22">
        <v>355</v>
      </c>
      <c r="G19" s="22">
        <v>76.5</v>
      </c>
      <c r="H19" s="22">
        <v>14</v>
      </c>
      <c r="I19" s="22">
        <v>25</v>
      </c>
      <c r="J19" s="22">
        <v>300</v>
      </c>
      <c r="K19" s="23">
        <f t="shared" si="0"/>
        <v>3750.5</v>
      </c>
      <c r="L19" s="24">
        <v>200</v>
      </c>
      <c r="M19" s="23">
        <f t="shared" si="1"/>
        <v>3950.5</v>
      </c>
      <c r="N19" s="116" t="s">
        <v>30</v>
      </c>
      <c r="O19" s="215" t="s">
        <v>20</v>
      </c>
      <c r="P19" s="25" t="s">
        <v>23</v>
      </c>
      <c r="Q19" s="26"/>
    </row>
    <row r="20" spans="2:17" x14ac:dyDescent="0.3">
      <c r="B20" s="239"/>
      <c r="C20" s="230" t="s">
        <v>16</v>
      </c>
      <c r="D20" s="20" t="s">
        <v>17</v>
      </c>
      <c r="E20" s="21">
        <f>(1225+265)+500</f>
        <v>1990</v>
      </c>
      <c r="F20" s="22">
        <v>355</v>
      </c>
      <c r="G20" s="22">
        <v>76.5</v>
      </c>
      <c r="H20" s="22">
        <v>14</v>
      </c>
      <c r="I20" s="22">
        <v>15</v>
      </c>
      <c r="J20" s="22">
        <v>150</v>
      </c>
      <c r="K20" s="23">
        <f t="shared" si="0"/>
        <v>2600.5</v>
      </c>
      <c r="L20" s="24">
        <v>200</v>
      </c>
      <c r="M20" s="23">
        <f t="shared" si="1"/>
        <v>2800.5</v>
      </c>
      <c r="N20" s="116" t="s">
        <v>31</v>
      </c>
      <c r="O20" s="215" t="s">
        <v>20</v>
      </c>
      <c r="P20" s="25" t="s">
        <v>23</v>
      </c>
    </row>
    <row r="21" spans="2:17" x14ac:dyDescent="0.3">
      <c r="B21" s="229"/>
      <c r="C21" s="230"/>
      <c r="D21" s="20" t="s">
        <v>22</v>
      </c>
      <c r="E21" s="21">
        <f>(1950+530)+500</f>
        <v>2980</v>
      </c>
      <c r="F21" s="22">
        <v>355</v>
      </c>
      <c r="G21" s="22">
        <v>76.5</v>
      </c>
      <c r="H21" s="22">
        <v>14</v>
      </c>
      <c r="I21" s="22">
        <v>25</v>
      </c>
      <c r="J21" s="22">
        <v>300</v>
      </c>
      <c r="K21" s="23">
        <f t="shared" si="0"/>
        <v>3750.5</v>
      </c>
      <c r="L21" s="24">
        <v>200</v>
      </c>
      <c r="M21" s="23">
        <f t="shared" si="1"/>
        <v>3950.5</v>
      </c>
      <c r="N21" s="116" t="s">
        <v>31</v>
      </c>
      <c r="O21" s="215" t="s">
        <v>20</v>
      </c>
      <c r="P21" s="25" t="s">
        <v>23</v>
      </c>
    </row>
    <row r="22" spans="2:17" x14ac:dyDescent="0.3">
      <c r="B22" s="27"/>
      <c r="C22" s="27"/>
      <c r="D22" s="28"/>
      <c r="E22" s="117"/>
      <c r="F22" s="99"/>
      <c r="G22" s="99"/>
      <c r="H22" s="99"/>
      <c r="I22" s="99"/>
      <c r="J22" s="102"/>
      <c r="K22" s="102"/>
      <c r="L22" s="102"/>
      <c r="M22" s="101"/>
      <c r="N22" s="102"/>
      <c r="O22" s="101"/>
      <c r="P22" s="34"/>
      <c r="Q22" s="28"/>
    </row>
    <row r="23" spans="2:17" ht="15.6" x14ac:dyDescent="0.3">
      <c r="B23" s="191" t="s">
        <v>32</v>
      </c>
      <c r="C23" s="192"/>
      <c r="D23" s="192"/>
      <c r="E23" s="192"/>
      <c r="F23" s="192"/>
      <c r="G23" s="192"/>
      <c r="H23" s="192"/>
      <c r="I23" s="192"/>
      <c r="J23" s="192"/>
      <c r="K23" s="192"/>
      <c r="L23" s="192"/>
      <c r="M23" s="192"/>
      <c r="N23" s="192"/>
      <c r="O23" s="192"/>
      <c r="P23" s="192"/>
    </row>
    <row r="24" spans="2:17" ht="14.4" customHeight="1" x14ac:dyDescent="0.3">
      <c r="B24" s="241" t="s">
        <v>33</v>
      </c>
      <c r="C24" s="241"/>
      <c r="D24" s="241"/>
      <c r="E24" s="241"/>
      <c r="F24" s="241"/>
      <c r="G24" s="241"/>
      <c r="H24" s="241"/>
      <c r="I24" s="241"/>
      <c r="J24" s="241"/>
      <c r="K24" s="241"/>
      <c r="L24" s="241"/>
      <c r="M24" s="241"/>
      <c r="N24" s="241"/>
      <c r="O24" s="241"/>
      <c r="P24" s="241"/>
    </row>
    <row r="25" spans="2:17" x14ac:dyDescent="0.3">
      <c r="B25" s="241"/>
      <c r="C25" s="241"/>
      <c r="D25" s="241"/>
      <c r="E25" s="241"/>
      <c r="F25" s="241"/>
      <c r="G25" s="241"/>
      <c r="H25" s="241"/>
      <c r="I25" s="241"/>
      <c r="J25" s="241"/>
      <c r="K25" s="241"/>
      <c r="L25" s="241"/>
      <c r="M25" s="241"/>
      <c r="N25" s="241"/>
      <c r="O25" s="241"/>
      <c r="P25" s="241"/>
    </row>
    <row r="26" spans="2:17" x14ac:dyDescent="0.3">
      <c r="B26" s="241"/>
      <c r="C26" s="241"/>
      <c r="D26" s="241"/>
      <c r="E26" s="241"/>
      <c r="F26" s="241"/>
      <c r="G26" s="241"/>
      <c r="H26" s="241"/>
      <c r="I26" s="241"/>
      <c r="J26" s="241"/>
      <c r="K26" s="241"/>
      <c r="L26" s="241"/>
      <c r="M26" s="241"/>
      <c r="N26" s="241"/>
      <c r="O26" s="241"/>
      <c r="P26" s="241"/>
    </row>
    <row r="27" spans="2:17" x14ac:dyDescent="0.3">
      <c r="B27" s="241"/>
      <c r="C27" s="241"/>
      <c r="D27" s="241"/>
      <c r="E27" s="241"/>
      <c r="F27" s="241"/>
      <c r="G27" s="241"/>
      <c r="H27" s="241"/>
      <c r="I27" s="241"/>
      <c r="J27" s="241"/>
      <c r="K27" s="241"/>
      <c r="L27" s="241"/>
      <c r="M27" s="241"/>
      <c r="N27" s="241"/>
      <c r="O27" s="241"/>
      <c r="P27" s="241"/>
    </row>
    <row r="28" spans="2:17" x14ac:dyDescent="0.3">
      <c r="B28" s="35"/>
      <c r="C28" s="35"/>
      <c r="D28" s="35"/>
      <c r="E28" s="35"/>
      <c r="F28" s="35"/>
      <c r="G28" s="35"/>
      <c r="H28" s="35"/>
      <c r="I28" s="35"/>
      <c r="J28" s="35"/>
      <c r="K28" s="35"/>
      <c r="L28" s="35"/>
      <c r="M28" s="35"/>
      <c r="N28" s="35"/>
      <c r="O28" s="35"/>
      <c r="P28" s="35"/>
      <c r="Q28" s="35"/>
    </row>
    <row r="29" spans="2:17" x14ac:dyDescent="0.3">
      <c r="B29" s="35"/>
      <c r="C29" s="35"/>
      <c r="D29" s="35"/>
      <c r="E29" s="35"/>
      <c r="F29" s="35"/>
      <c r="G29" s="35"/>
      <c r="H29" s="35"/>
      <c r="I29" s="35"/>
      <c r="J29" s="35"/>
      <c r="K29" s="35"/>
      <c r="L29" s="35"/>
      <c r="M29" s="35"/>
      <c r="N29" s="35"/>
      <c r="O29" s="35"/>
      <c r="P29" s="35"/>
      <c r="Q29" s="35"/>
    </row>
    <row r="30" spans="2:17" x14ac:dyDescent="0.3">
      <c r="B30" s="35"/>
      <c r="C30" s="35"/>
      <c r="D30" s="35"/>
      <c r="E30" s="35"/>
      <c r="F30" s="35"/>
      <c r="G30" s="35"/>
      <c r="H30" s="35"/>
      <c r="I30" s="35"/>
      <c r="J30" s="35"/>
      <c r="K30" s="35"/>
      <c r="L30" s="35"/>
      <c r="M30" s="35"/>
      <c r="N30" s="35"/>
      <c r="O30" s="35"/>
      <c r="P30" s="35"/>
      <c r="Q30" s="35"/>
    </row>
    <row r="31" spans="2:17" x14ac:dyDescent="0.3">
      <c r="B31" s="35"/>
      <c r="C31" s="35"/>
      <c r="D31" s="35"/>
      <c r="E31" s="35"/>
      <c r="F31" s="35"/>
      <c r="G31" s="35"/>
      <c r="H31" s="35"/>
      <c r="I31" s="35"/>
      <c r="J31" s="35"/>
      <c r="K31" s="35"/>
      <c r="L31" s="35"/>
      <c r="M31" s="35"/>
      <c r="N31" s="35"/>
      <c r="O31" s="35"/>
      <c r="P31" s="35"/>
      <c r="Q31" s="35"/>
    </row>
    <row r="32" spans="2:17" x14ac:dyDescent="0.3">
      <c r="B32" s="35"/>
      <c r="C32" s="35"/>
      <c r="D32" s="35"/>
      <c r="E32" s="35"/>
      <c r="F32" s="35"/>
      <c r="G32" s="35"/>
      <c r="H32" s="35"/>
      <c r="I32" s="35"/>
      <c r="J32" s="35"/>
      <c r="K32" s="35"/>
      <c r="L32" s="35"/>
      <c r="M32" s="35"/>
      <c r="N32" s="35"/>
      <c r="O32" s="35"/>
      <c r="P32" s="35"/>
      <c r="Q32" s="35"/>
    </row>
    <row r="33" spans="2:17" x14ac:dyDescent="0.3">
      <c r="B33" s="35"/>
      <c r="C33" s="35"/>
      <c r="D33" s="35"/>
      <c r="E33" s="35"/>
      <c r="F33" s="35"/>
      <c r="G33" s="35"/>
      <c r="H33" s="35"/>
      <c r="I33" s="35"/>
      <c r="J33" s="35"/>
      <c r="K33" s="35"/>
      <c r="L33" s="35"/>
      <c r="M33" s="35"/>
      <c r="N33" s="35"/>
      <c r="O33" s="35"/>
      <c r="P33" s="35"/>
      <c r="Q33" s="35"/>
    </row>
    <row r="34" spans="2:17" x14ac:dyDescent="0.3">
      <c r="B34" s="27"/>
      <c r="C34" s="27"/>
      <c r="D34" s="28"/>
      <c r="E34" s="117"/>
      <c r="F34" s="99"/>
      <c r="G34" s="99"/>
      <c r="H34" s="99"/>
      <c r="I34" s="99"/>
      <c r="J34" s="102"/>
      <c r="K34" s="102"/>
      <c r="L34" s="102"/>
      <c r="M34" s="101"/>
      <c r="N34" s="102"/>
      <c r="O34" s="101"/>
      <c r="P34" s="34"/>
      <c r="Q34" s="28"/>
    </row>
    <row r="35" spans="2:17" ht="28.8" x14ac:dyDescent="0.3">
      <c r="B35" s="231" t="s">
        <v>34</v>
      </c>
      <c r="C35" s="232"/>
      <c r="D35" s="232"/>
      <c r="E35" s="232"/>
      <c r="F35" s="232"/>
      <c r="G35" s="232"/>
      <c r="H35" s="232"/>
      <c r="I35" s="232"/>
      <c r="J35" s="232"/>
      <c r="K35" s="232"/>
      <c r="L35" s="232"/>
      <c r="M35" s="232"/>
      <c r="N35" s="232"/>
      <c r="O35" s="232"/>
      <c r="P35" s="232"/>
    </row>
    <row r="36" spans="2:17" ht="28.8" x14ac:dyDescent="0.3">
      <c r="B36" s="122" t="s">
        <v>1</v>
      </c>
      <c r="C36" s="220" t="s">
        <v>2</v>
      </c>
      <c r="D36" s="220"/>
      <c r="E36" s="122" t="s">
        <v>3</v>
      </c>
      <c r="F36" s="122" t="s">
        <v>4</v>
      </c>
      <c r="G36" s="11" t="s">
        <v>35</v>
      </c>
      <c r="H36" s="129" t="s">
        <v>6</v>
      </c>
      <c r="I36" s="3" t="s">
        <v>9</v>
      </c>
      <c r="J36" s="3" t="s">
        <v>10</v>
      </c>
      <c r="K36" s="3" t="s">
        <v>11</v>
      </c>
      <c r="L36" s="122" t="s">
        <v>12</v>
      </c>
      <c r="M36" s="122" t="s">
        <v>13</v>
      </c>
      <c r="N36" s="122" t="s">
        <v>14</v>
      </c>
      <c r="O36" s="220" t="s">
        <v>36</v>
      </c>
      <c r="P36" s="220"/>
    </row>
    <row r="37" spans="2:17" x14ac:dyDescent="0.3">
      <c r="B37" s="233" t="s">
        <v>37</v>
      </c>
      <c r="C37" s="139" t="s">
        <v>16</v>
      </c>
      <c r="D37" s="20" t="s">
        <v>17</v>
      </c>
      <c r="E37" s="145">
        <f>CEILING((((3451+50)*1.15)),50)</f>
        <v>4050</v>
      </c>
      <c r="F37" s="207">
        <v>340</v>
      </c>
      <c r="G37" s="207">
        <v>85</v>
      </c>
      <c r="H37" s="207">
        <v>18</v>
      </c>
      <c r="I37" s="39">
        <f>SUM(E37:H37)</f>
        <v>4493</v>
      </c>
      <c r="J37" s="24">
        <v>200</v>
      </c>
      <c r="K37" s="23">
        <f>I37+J37</f>
        <v>4693</v>
      </c>
      <c r="L37" s="40" t="s">
        <v>38</v>
      </c>
      <c r="M37" s="216" t="s">
        <v>39</v>
      </c>
      <c r="N37" s="143" t="s">
        <v>40</v>
      </c>
      <c r="O37" s="234" t="s">
        <v>41</v>
      </c>
      <c r="P37" s="235"/>
    </row>
    <row r="38" spans="2:17" x14ac:dyDescent="0.3">
      <c r="B38" s="233"/>
      <c r="C38" s="139" t="s">
        <v>16</v>
      </c>
      <c r="D38" s="20" t="s">
        <v>22</v>
      </c>
      <c r="E38" s="145">
        <f>CEILING((((3700+50)*1.15)),50)</f>
        <v>4350</v>
      </c>
      <c r="F38" s="207">
        <v>335</v>
      </c>
      <c r="G38" s="207">
        <v>650</v>
      </c>
      <c r="H38" s="207">
        <v>0</v>
      </c>
      <c r="I38" s="39">
        <f>SUM(E38:H38)</f>
        <v>5335</v>
      </c>
      <c r="J38" s="24">
        <v>200</v>
      </c>
      <c r="K38" s="23">
        <f>I38+J38</f>
        <v>5535</v>
      </c>
      <c r="L38" s="40" t="s">
        <v>38</v>
      </c>
      <c r="M38" s="216" t="s">
        <v>39</v>
      </c>
      <c r="N38" s="143" t="s">
        <v>42</v>
      </c>
      <c r="O38" s="236"/>
      <c r="P38" s="237"/>
    </row>
    <row r="39" spans="2:17" ht="14.4" customHeight="1" x14ac:dyDescent="0.3">
      <c r="B39" s="193" t="s">
        <v>43</v>
      </c>
      <c r="C39" s="139" t="s">
        <v>29</v>
      </c>
      <c r="D39" s="20" t="s">
        <v>17</v>
      </c>
      <c r="E39" s="217">
        <v>3395</v>
      </c>
      <c r="F39" s="22">
        <v>355</v>
      </c>
      <c r="G39" s="22">
        <v>76.5</v>
      </c>
      <c r="H39" s="22">
        <v>30</v>
      </c>
      <c r="I39" s="39">
        <f>SUM(E39:H39)</f>
        <v>3856.5</v>
      </c>
      <c r="J39" s="24">
        <v>200</v>
      </c>
      <c r="K39" s="23">
        <f>I39+J39</f>
        <v>4056.5</v>
      </c>
      <c r="L39" s="40" t="s">
        <v>44</v>
      </c>
      <c r="M39" s="216" t="s">
        <v>39</v>
      </c>
      <c r="N39" s="95" t="s">
        <v>45</v>
      </c>
      <c r="O39" s="238" t="s">
        <v>46</v>
      </c>
      <c r="P39" s="238"/>
    </row>
    <row r="40" spans="2:17" ht="14.4" customHeight="1" x14ac:dyDescent="0.3">
      <c r="B40" s="193" t="s">
        <v>47</v>
      </c>
      <c r="C40" s="139" t="s">
        <v>16</v>
      </c>
      <c r="D40" s="20" t="s">
        <v>22</v>
      </c>
      <c r="E40" s="145">
        <f>CEILING((((3361+50)*1.13)),50)</f>
        <v>3900</v>
      </c>
      <c r="F40" s="207">
        <v>340</v>
      </c>
      <c r="G40" s="207">
        <v>85</v>
      </c>
      <c r="H40" s="207">
        <v>18</v>
      </c>
      <c r="I40" s="39">
        <f>SUM(E40:H40)</f>
        <v>4343</v>
      </c>
      <c r="J40" s="24">
        <v>200</v>
      </c>
      <c r="K40" s="23">
        <f>I40+J40</f>
        <v>4543</v>
      </c>
      <c r="L40" s="40" t="s">
        <v>38</v>
      </c>
      <c r="M40" s="216" t="s">
        <v>39</v>
      </c>
      <c r="N40" s="143" t="s">
        <v>40</v>
      </c>
      <c r="O40" s="238" t="s">
        <v>46</v>
      </c>
      <c r="P40" s="238"/>
    </row>
    <row r="41" spans="2:17" x14ac:dyDescent="0.3">
      <c r="B41" s="42"/>
      <c r="C41" s="128"/>
      <c r="D41" s="28"/>
      <c r="E41" s="43"/>
      <c r="F41" s="43"/>
      <c r="G41" s="43"/>
      <c r="H41" s="128"/>
      <c r="I41" s="99"/>
      <c r="J41" s="100"/>
      <c r="K41" s="100"/>
      <c r="L41" s="100"/>
      <c r="M41" s="101"/>
      <c r="N41" s="102"/>
      <c r="O41" s="44"/>
      <c r="P41" s="34"/>
      <c r="Q41" s="128"/>
    </row>
    <row r="42" spans="2:17" ht="15.6" x14ac:dyDescent="0.3">
      <c r="B42" s="5" t="s">
        <v>32</v>
      </c>
      <c r="C42" s="6"/>
      <c r="D42" s="6"/>
      <c r="E42" s="6"/>
      <c r="F42" s="6"/>
      <c r="G42" s="6"/>
      <c r="H42" s="6"/>
      <c r="I42" s="6"/>
      <c r="J42" s="6"/>
      <c r="K42" s="6"/>
      <c r="L42" s="6"/>
      <c r="M42" s="6"/>
      <c r="N42" s="6"/>
      <c r="O42" s="6"/>
      <c r="P42" s="6"/>
      <c r="Q42" s="7"/>
    </row>
    <row r="43" spans="2:17" x14ac:dyDescent="0.3">
      <c r="B43" s="242" t="s">
        <v>33</v>
      </c>
      <c r="C43" s="243"/>
      <c r="D43" s="243"/>
      <c r="E43" s="243"/>
      <c r="F43" s="243"/>
      <c r="G43" s="243"/>
      <c r="H43" s="243"/>
      <c r="I43" s="243"/>
      <c r="J43" s="243"/>
      <c r="K43" s="243"/>
      <c r="L43" s="243"/>
      <c r="M43" s="243"/>
      <c r="N43" s="243"/>
      <c r="O43" s="243"/>
      <c r="P43" s="243"/>
      <c r="Q43" s="244"/>
    </row>
    <row r="44" spans="2:17" x14ac:dyDescent="0.3">
      <c r="B44" s="242"/>
      <c r="C44" s="243"/>
      <c r="D44" s="243"/>
      <c r="E44" s="243"/>
      <c r="F44" s="243"/>
      <c r="G44" s="243"/>
      <c r="H44" s="243"/>
      <c r="I44" s="243"/>
      <c r="J44" s="243"/>
      <c r="K44" s="243"/>
      <c r="L44" s="243"/>
      <c r="M44" s="243"/>
      <c r="N44" s="243"/>
      <c r="O44" s="243"/>
      <c r="P44" s="243"/>
      <c r="Q44" s="244"/>
    </row>
    <row r="45" spans="2:17" x14ac:dyDescent="0.3">
      <c r="B45" s="242"/>
      <c r="C45" s="243"/>
      <c r="D45" s="243"/>
      <c r="E45" s="243"/>
      <c r="F45" s="243"/>
      <c r="G45" s="243"/>
      <c r="H45" s="243"/>
      <c r="I45" s="243"/>
      <c r="J45" s="243"/>
      <c r="K45" s="243"/>
      <c r="L45" s="243"/>
      <c r="M45" s="243"/>
      <c r="N45" s="243"/>
      <c r="O45" s="243"/>
      <c r="P45" s="243"/>
      <c r="Q45" s="244"/>
    </row>
    <row r="46" spans="2:17" x14ac:dyDescent="0.3">
      <c r="B46" s="245"/>
      <c r="C46" s="246"/>
      <c r="D46" s="246"/>
      <c r="E46" s="246"/>
      <c r="F46" s="246"/>
      <c r="G46" s="246"/>
      <c r="H46" s="246"/>
      <c r="I46" s="246"/>
      <c r="J46" s="246"/>
      <c r="K46" s="246"/>
      <c r="L46" s="246"/>
      <c r="M46" s="246"/>
      <c r="N46" s="246"/>
      <c r="O46" s="246"/>
      <c r="P46" s="246"/>
      <c r="Q46" s="247"/>
    </row>
    <row r="47" spans="2:17" x14ac:dyDescent="0.3">
      <c r="B47" s="35"/>
      <c r="C47" s="35"/>
      <c r="D47" s="35"/>
      <c r="E47" s="35"/>
      <c r="F47" s="35"/>
      <c r="G47" s="35"/>
      <c r="H47" s="35"/>
      <c r="I47" s="35"/>
      <c r="J47" s="35"/>
      <c r="K47" s="35"/>
      <c r="L47" s="35"/>
      <c r="M47" s="35"/>
      <c r="N47" s="35"/>
      <c r="O47" s="35"/>
      <c r="P47" s="35"/>
      <c r="Q47" s="115"/>
    </row>
    <row r="48" spans="2:17" x14ac:dyDescent="0.3">
      <c r="B48" s="35"/>
      <c r="C48" s="35"/>
      <c r="D48" s="35"/>
      <c r="E48" s="35"/>
      <c r="F48" s="35"/>
      <c r="G48" s="35"/>
      <c r="H48" s="35"/>
      <c r="I48" s="35"/>
      <c r="J48" s="35"/>
      <c r="K48" s="35"/>
      <c r="L48" s="35"/>
      <c r="M48" s="35"/>
      <c r="N48" s="35"/>
      <c r="O48" s="35"/>
      <c r="P48" s="35"/>
      <c r="Q48" s="35"/>
    </row>
    <row r="49" spans="2:19" x14ac:dyDescent="0.3">
      <c r="B49" s="35"/>
      <c r="C49" s="35"/>
      <c r="D49" s="35"/>
      <c r="E49" s="35"/>
      <c r="F49" s="35"/>
      <c r="G49" s="35"/>
      <c r="H49" s="35"/>
      <c r="I49" s="35"/>
      <c r="J49" s="35"/>
      <c r="K49" s="35"/>
      <c r="L49" s="35"/>
      <c r="M49" s="35"/>
      <c r="N49" s="35"/>
      <c r="O49" s="35"/>
      <c r="P49" s="35"/>
      <c r="Q49" s="35"/>
    </row>
    <row r="50" spans="2:19" x14ac:dyDescent="0.3">
      <c r="B50" s="35"/>
      <c r="C50" s="35"/>
      <c r="D50" s="35"/>
      <c r="E50" s="35"/>
      <c r="F50" s="35"/>
      <c r="G50" s="35"/>
      <c r="H50" s="35"/>
      <c r="I50" s="35"/>
      <c r="J50" s="35"/>
      <c r="K50" s="35"/>
      <c r="L50" s="35"/>
      <c r="M50" s="35"/>
      <c r="N50" s="35"/>
      <c r="O50" s="35"/>
      <c r="P50" s="35"/>
      <c r="Q50" s="35"/>
    </row>
    <row r="51" spans="2:19" x14ac:dyDescent="0.3">
      <c r="B51" s="35"/>
      <c r="C51" s="35"/>
      <c r="D51" s="35"/>
      <c r="E51" s="35"/>
      <c r="F51" s="35"/>
      <c r="G51" s="35"/>
      <c r="H51" s="35"/>
      <c r="I51" s="35"/>
      <c r="J51" s="35"/>
      <c r="K51" s="35"/>
      <c r="L51" s="35"/>
      <c r="M51" s="35"/>
      <c r="N51" s="35"/>
      <c r="O51" s="35"/>
      <c r="P51" s="35"/>
      <c r="Q51" s="35"/>
    </row>
    <row r="52" spans="2:19" x14ac:dyDescent="0.3">
      <c r="B52" s="35"/>
      <c r="C52" s="35"/>
      <c r="D52" s="35"/>
      <c r="E52" s="35"/>
      <c r="F52" s="35"/>
      <c r="G52" s="35"/>
      <c r="H52" s="35"/>
      <c r="I52" s="35"/>
      <c r="J52" s="35"/>
      <c r="K52" s="35"/>
      <c r="L52" s="35"/>
      <c r="M52" s="35"/>
      <c r="N52" s="35"/>
      <c r="O52" s="35"/>
      <c r="P52" s="35"/>
      <c r="Q52" s="35"/>
    </row>
    <row r="53" spans="2:19" x14ac:dyDescent="0.3">
      <c r="B53" s="35"/>
      <c r="C53" s="35"/>
      <c r="D53" s="35"/>
      <c r="E53" s="35"/>
      <c r="F53" s="35"/>
      <c r="G53" s="35"/>
      <c r="H53" s="35"/>
      <c r="I53" s="35"/>
      <c r="J53" s="35"/>
      <c r="K53" s="35"/>
      <c r="L53" s="35"/>
      <c r="M53" s="35"/>
      <c r="N53" s="35"/>
      <c r="O53" s="35"/>
      <c r="P53" s="35"/>
      <c r="Q53" s="35"/>
    </row>
    <row r="54" spans="2:19" x14ac:dyDescent="0.3">
      <c r="B54" s="35"/>
      <c r="C54" s="35"/>
      <c r="D54" s="35"/>
      <c r="E54" s="35"/>
      <c r="F54" s="35"/>
      <c r="G54" s="35"/>
      <c r="H54" s="35"/>
      <c r="I54" s="35"/>
      <c r="J54" s="35"/>
      <c r="K54" s="35"/>
      <c r="L54" s="35"/>
      <c r="M54" s="35"/>
      <c r="N54" s="35"/>
      <c r="O54" s="35"/>
      <c r="P54" s="35"/>
      <c r="Q54" s="35"/>
    </row>
    <row r="55" spans="2:19" ht="15" thickBot="1" x14ac:dyDescent="0.35">
      <c r="B55" s="27"/>
      <c r="C55" s="27"/>
      <c r="D55" s="28"/>
      <c r="E55" s="117"/>
      <c r="F55" s="99"/>
      <c r="G55" s="99"/>
      <c r="H55" s="99"/>
      <c r="I55" s="99"/>
      <c r="J55" s="102"/>
      <c r="K55" s="102"/>
      <c r="L55" s="102"/>
      <c r="M55" s="101"/>
      <c r="N55" s="102"/>
      <c r="O55" s="101"/>
      <c r="P55" s="34"/>
      <c r="Q55" s="28"/>
      <c r="R55" s="28"/>
    </row>
    <row r="56" spans="2:19" ht="28.8" x14ac:dyDescent="0.3">
      <c r="B56" s="218" t="s">
        <v>48</v>
      </c>
      <c r="C56" s="219"/>
      <c r="D56" s="219"/>
      <c r="E56" s="219"/>
      <c r="F56" s="219"/>
      <c r="G56" s="219"/>
      <c r="H56" s="219"/>
      <c r="I56" s="219"/>
      <c r="J56" s="219"/>
      <c r="K56" s="219"/>
      <c r="L56" s="219"/>
      <c r="M56" s="219"/>
      <c r="N56" s="219"/>
      <c r="O56" s="219"/>
      <c r="P56" s="219"/>
      <c r="Q56" s="219"/>
      <c r="R56" s="219"/>
      <c r="S56" s="248"/>
    </row>
    <row r="57" spans="2:19" ht="28.8" x14ac:dyDescent="0.3">
      <c r="B57" s="98" t="s">
        <v>1</v>
      </c>
      <c r="C57" s="220" t="s">
        <v>2</v>
      </c>
      <c r="D57" s="220"/>
      <c r="E57" s="122" t="s">
        <v>3</v>
      </c>
      <c r="F57" s="122" t="s">
        <v>4</v>
      </c>
      <c r="G57" s="122" t="s">
        <v>5</v>
      </c>
      <c r="H57" s="122" t="s">
        <v>6</v>
      </c>
      <c r="I57" s="3" t="s">
        <v>49</v>
      </c>
      <c r="J57" s="3" t="s">
        <v>50</v>
      </c>
      <c r="K57" s="3" t="s">
        <v>51</v>
      </c>
      <c r="L57" s="3" t="s">
        <v>52</v>
      </c>
      <c r="M57" s="3" t="s">
        <v>10</v>
      </c>
      <c r="N57" s="183" t="s">
        <v>11</v>
      </c>
      <c r="O57" s="183" t="s">
        <v>12</v>
      </c>
      <c r="P57" s="4" t="s">
        <v>13</v>
      </c>
      <c r="Q57" s="4" t="s">
        <v>14</v>
      </c>
      <c r="R57" s="249" t="s">
        <v>36</v>
      </c>
      <c r="S57" s="250"/>
    </row>
    <row r="58" spans="2:19" ht="14.4" customHeight="1" x14ac:dyDescent="0.3">
      <c r="B58" s="251" t="s">
        <v>53</v>
      </c>
      <c r="C58" s="240" t="s">
        <v>54</v>
      </c>
      <c r="D58" s="140" t="s">
        <v>17</v>
      </c>
      <c r="E58" s="141">
        <f>CEILING((((8050+297+115)*1.13)-340)-150,50)</f>
        <v>9100</v>
      </c>
      <c r="F58" s="207">
        <v>340</v>
      </c>
      <c r="G58" s="207">
        <v>85</v>
      </c>
      <c r="H58" s="207">
        <v>18</v>
      </c>
      <c r="I58" s="207">
        <v>10</v>
      </c>
      <c r="J58" s="207">
        <v>75</v>
      </c>
      <c r="K58" s="207">
        <v>75</v>
      </c>
      <c r="L58" s="142">
        <f t="shared" ref="L58:L79" si="2">SUM(E58:K58)</f>
        <v>9703</v>
      </c>
      <c r="M58" s="208">
        <v>200</v>
      </c>
      <c r="N58" s="142">
        <f t="shared" ref="N58:N79" si="3">SUM(L58:M58)</f>
        <v>9903</v>
      </c>
      <c r="O58" s="143" t="s">
        <v>55</v>
      </c>
      <c r="P58" s="211" t="s">
        <v>56</v>
      </c>
      <c r="Q58" s="143" t="s">
        <v>40</v>
      </c>
      <c r="R58" s="252" t="s">
        <v>57</v>
      </c>
      <c r="S58" s="253"/>
    </row>
    <row r="59" spans="2:19" x14ac:dyDescent="0.3">
      <c r="B59" s="251"/>
      <c r="C59" s="240"/>
      <c r="D59" s="140" t="s">
        <v>22</v>
      </c>
      <c r="E59" s="141">
        <f>CEILING((((8200+297+115)*1.13)-340)-150,50)</f>
        <v>9250</v>
      </c>
      <c r="F59" s="207">
        <v>340</v>
      </c>
      <c r="G59" s="207">
        <v>85</v>
      </c>
      <c r="H59" s="207">
        <v>18</v>
      </c>
      <c r="I59" s="207">
        <v>10</v>
      </c>
      <c r="J59" s="207">
        <v>75</v>
      </c>
      <c r="K59" s="207">
        <v>75</v>
      </c>
      <c r="L59" s="142">
        <f t="shared" si="2"/>
        <v>9853</v>
      </c>
      <c r="M59" s="208">
        <v>200</v>
      </c>
      <c r="N59" s="142">
        <f t="shared" si="3"/>
        <v>10053</v>
      </c>
      <c r="O59" s="143" t="s">
        <v>55</v>
      </c>
      <c r="P59" s="211" t="s">
        <v>56</v>
      </c>
      <c r="Q59" s="143" t="s">
        <v>40</v>
      </c>
      <c r="R59" s="254"/>
      <c r="S59" s="255"/>
    </row>
    <row r="60" spans="2:19" ht="14.4" customHeight="1" x14ac:dyDescent="0.3">
      <c r="B60" s="251" t="s">
        <v>58</v>
      </c>
      <c r="C60" s="240" t="s">
        <v>54</v>
      </c>
      <c r="D60" s="140" t="s">
        <v>17</v>
      </c>
      <c r="E60" s="141">
        <f>CEILING((((8330+297+115)*1.12)-340)-150,50)</f>
        <v>9350</v>
      </c>
      <c r="F60" s="207">
        <v>340</v>
      </c>
      <c r="G60" s="207">
        <v>85</v>
      </c>
      <c r="H60" s="207">
        <v>18</v>
      </c>
      <c r="I60" s="207">
        <v>10</v>
      </c>
      <c r="J60" s="207">
        <v>75</v>
      </c>
      <c r="K60" s="207">
        <v>75</v>
      </c>
      <c r="L60" s="142">
        <f t="shared" si="2"/>
        <v>9953</v>
      </c>
      <c r="M60" s="208">
        <v>200</v>
      </c>
      <c r="N60" s="142">
        <f t="shared" si="3"/>
        <v>10153</v>
      </c>
      <c r="O60" s="143" t="s">
        <v>55</v>
      </c>
      <c r="P60" s="211" t="s">
        <v>56</v>
      </c>
      <c r="Q60" s="143" t="s">
        <v>40</v>
      </c>
      <c r="R60" s="254"/>
      <c r="S60" s="255"/>
    </row>
    <row r="61" spans="2:19" x14ac:dyDescent="0.3">
      <c r="B61" s="251"/>
      <c r="C61" s="240"/>
      <c r="D61" s="140" t="s">
        <v>22</v>
      </c>
      <c r="E61" s="141">
        <f>CEILING((((8551+297+115)*1.12)-340)-150,50)</f>
        <v>9550</v>
      </c>
      <c r="F61" s="207">
        <v>340</v>
      </c>
      <c r="G61" s="207">
        <v>85</v>
      </c>
      <c r="H61" s="207">
        <v>18</v>
      </c>
      <c r="I61" s="207">
        <v>10</v>
      </c>
      <c r="J61" s="207">
        <v>75</v>
      </c>
      <c r="K61" s="207">
        <v>75</v>
      </c>
      <c r="L61" s="142">
        <f t="shared" si="2"/>
        <v>10153</v>
      </c>
      <c r="M61" s="208">
        <v>200</v>
      </c>
      <c r="N61" s="142">
        <f t="shared" si="3"/>
        <v>10353</v>
      </c>
      <c r="O61" s="143" t="s">
        <v>55</v>
      </c>
      <c r="P61" s="211" t="s">
        <v>56</v>
      </c>
      <c r="Q61" s="143" t="s">
        <v>40</v>
      </c>
      <c r="R61" s="256"/>
      <c r="S61" s="257"/>
    </row>
    <row r="62" spans="2:19" ht="14.4" customHeight="1" x14ac:dyDescent="0.3">
      <c r="B62" s="263" t="s">
        <v>59</v>
      </c>
      <c r="C62" s="223" t="s">
        <v>29</v>
      </c>
      <c r="D62" s="118" t="s">
        <v>17</v>
      </c>
      <c r="E62" s="120">
        <f>CEILING(((7740+115+289)*1.12)-439,50)</f>
        <v>8700</v>
      </c>
      <c r="F62" s="96">
        <v>289</v>
      </c>
      <c r="G62" s="96">
        <v>84.38</v>
      </c>
      <c r="H62" s="96">
        <v>15</v>
      </c>
      <c r="I62" s="96">
        <v>40</v>
      </c>
      <c r="J62" s="96">
        <v>75</v>
      </c>
      <c r="K62" s="96">
        <v>75</v>
      </c>
      <c r="L62" s="97">
        <f t="shared" si="2"/>
        <v>9278.3799999999992</v>
      </c>
      <c r="M62" s="182">
        <v>200</v>
      </c>
      <c r="N62" s="97">
        <f t="shared" si="3"/>
        <v>9478.3799999999992</v>
      </c>
      <c r="O62" s="95" t="s">
        <v>55</v>
      </c>
      <c r="P62" s="211" t="s">
        <v>56</v>
      </c>
      <c r="Q62" s="95" t="s">
        <v>60</v>
      </c>
      <c r="R62" s="234" t="s">
        <v>61</v>
      </c>
      <c r="S62" s="235"/>
    </row>
    <row r="63" spans="2:19" x14ac:dyDescent="0.3">
      <c r="B63" s="264"/>
      <c r="C63" s="224"/>
      <c r="D63" s="118" t="s">
        <v>22</v>
      </c>
      <c r="E63" s="120">
        <f>CEILING(((7880+115+289)*1.12)-439,50)</f>
        <v>8850</v>
      </c>
      <c r="F63" s="96">
        <v>289</v>
      </c>
      <c r="G63" s="96">
        <v>84.38</v>
      </c>
      <c r="H63" s="96">
        <v>15</v>
      </c>
      <c r="I63" s="96">
        <v>40</v>
      </c>
      <c r="J63" s="96">
        <v>75</v>
      </c>
      <c r="K63" s="96">
        <v>75</v>
      </c>
      <c r="L63" s="97">
        <f t="shared" si="2"/>
        <v>9428.3799999999992</v>
      </c>
      <c r="M63" s="182">
        <v>200</v>
      </c>
      <c r="N63" s="97">
        <f t="shared" si="3"/>
        <v>9628.3799999999992</v>
      </c>
      <c r="O63" s="95" t="s">
        <v>55</v>
      </c>
      <c r="P63" s="211" t="s">
        <v>56</v>
      </c>
      <c r="Q63" s="95" t="s">
        <v>60</v>
      </c>
      <c r="R63" s="236"/>
      <c r="S63" s="237"/>
    </row>
    <row r="64" spans="2:19" ht="24" customHeight="1" x14ac:dyDescent="0.3">
      <c r="B64" s="251" t="s">
        <v>62</v>
      </c>
      <c r="C64" s="240" t="s">
        <v>54</v>
      </c>
      <c r="D64" s="140" t="s">
        <v>17</v>
      </c>
      <c r="E64" s="141">
        <f>CEILING((((8150+297+115)*1.12)-340)-150,50)</f>
        <v>9100</v>
      </c>
      <c r="F64" s="207">
        <v>340</v>
      </c>
      <c r="G64" s="207">
        <v>85</v>
      </c>
      <c r="H64" s="207">
        <v>18</v>
      </c>
      <c r="I64" s="207">
        <v>10</v>
      </c>
      <c r="J64" s="207">
        <v>75</v>
      </c>
      <c r="K64" s="207">
        <v>75</v>
      </c>
      <c r="L64" s="142">
        <f t="shared" si="2"/>
        <v>9703</v>
      </c>
      <c r="M64" s="208">
        <v>200</v>
      </c>
      <c r="N64" s="142">
        <f t="shared" si="3"/>
        <v>9903</v>
      </c>
      <c r="O64" s="143" t="s">
        <v>55</v>
      </c>
      <c r="P64" s="211" t="s">
        <v>56</v>
      </c>
      <c r="Q64" s="143" t="s">
        <v>40</v>
      </c>
      <c r="R64" s="252" t="s">
        <v>57</v>
      </c>
      <c r="S64" s="253"/>
    </row>
    <row r="65" spans="2:19" x14ac:dyDescent="0.3">
      <c r="B65" s="251"/>
      <c r="C65" s="240"/>
      <c r="D65" s="140" t="s">
        <v>22</v>
      </c>
      <c r="E65" s="141">
        <f>CEILING((((8300+297+115)*1.12)-340)-150,50)</f>
        <v>9300</v>
      </c>
      <c r="F65" s="207">
        <v>340</v>
      </c>
      <c r="G65" s="207">
        <v>85</v>
      </c>
      <c r="H65" s="207">
        <v>18</v>
      </c>
      <c r="I65" s="207">
        <v>10</v>
      </c>
      <c r="J65" s="207">
        <v>75</v>
      </c>
      <c r="K65" s="207">
        <v>75</v>
      </c>
      <c r="L65" s="142">
        <f t="shared" si="2"/>
        <v>9903</v>
      </c>
      <c r="M65" s="208">
        <v>200</v>
      </c>
      <c r="N65" s="142">
        <f t="shared" si="3"/>
        <v>10103</v>
      </c>
      <c r="O65" s="143" t="s">
        <v>55</v>
      </c>
      <c r="P65" s="211" t="s">
        <v>56</v>
      </c>
      <c r="Q65" s="143" t="s">
        <v>40</v>
      </c>
      <c r="R65" s="254"/>
      <c r="S65" s="255"/>
    </row>
    <row r="66" spans="2:19" ht="14.4" customHeight="1" x14ac:dyDescent="0.3">
      <c r="B66" s="263" t="s">
        <v>63</v>
      </c>
      <c r="C66" s="223" t="s">
        <v>29</v>
      </c>
      <c r="D66" s="118" t="s">
        <v>17</v>
      </c>
      <c r="E66" s="120">
        <f>CEILING(((7790+115+289)*1.12)-439,50)</f>
        <v>8750</v>
      </c>
      <c r="F66" s="194">
        <v>289</v>
      </c>
      <c r="G66" s="194">
        <v>84.38</v>
      </c>
      <c r="H66" s="194">
        <v>15</v>
      </c>
      <c r="I66" s="194">
        <v>40</v>
      </c>
      <c r="J66" s="194">
        <v>75</v>
      </c>
      <c r="K66" s="194">
        <v>75</v>
      </c>
      <c r="L66" s="97">
        <f t="shared" si="2"/>
        <v>9328.3799999999992</v>
      </c>
      <c r="M66" s="182">
        <v>200</v>
      </c>
      <c r="N66" s="97">
        <f t="shared" si="3"/>
        <v>9528.3799999999992</v>
      </c>
      <c r="O66" s="95" t="s">
        <v>55</v>
      </c>
      <c r="P66" s="211" t="s">
        <v>56</v>
      </c>
      <c r="Q66" s="95" t="s">
        <v>60</v>
      </c>
      <c r="R66" s="234" t="s">
        <v>61</v>
      </c>
      <c r="S66" s="235"/>
    </row>
    <row r="67" spans="2:19" x14ac:dyDescent="0.3">
      <c r="B67" s="264"/>
      <c r="C67" s="224"/>
      <c r="D67" s="118" t="s">
        <v>22</v>
      </c>
      <c r="E67" s="120">
        <f>CEILING(((7980+115+289)*1.12)-439,50)</f>
        <v>9000</v>
      </c>
      <c r="F67" s="194">
        <v>289</v>
      </c>
      <c r="G67" s="194">
        <v>84.38</v>
      </c>
      <c r="H67" s="194">
        <v>15</v>
      </c>
      <c r="I67" s="194">
        <v>40</v>
      </c>
      <c r="J67" s="194">
        <v>75</v>
      </c>
      <c r="K67" s="194">
        <v>75</v>
      </c>
      <c r="L67" s="97">
        <f t="shared" si="2"/>
        <v>9578.3799999999992</v>
      </c>
      <c r="M67" s="182">
        <v>200</v>
      </c>
      <c r="N67" s="97">
        <f t="shared" si="3"/>
        <v>9778.3799999999992</v>
      </c>
      <c r="O67" s="95" t="s">
        <v>55</v>
      </c>
      <c r="P67" s="211" t="s">
        <v>56</v>
      </c>
      <c r="Q67" s="95" t="s">
        <v>60</v>
      </c>
      <c r="R67" s="236"/>
      <c r="S67" s="237"/>
    </row>
    <row r="68" spans="2:19" x14ac:dyDescent="0.3">
      <c r="B68" s="268" t="s">
        <v>64</v>
      </c>
      <c r="C68" s="240" t="s">
        <v>54</v>
      </c>
      <c r="D68" s="140" t="s">
        <v>17</v>
      </c>
      <c r="E68" s="141">
        <f>CEILING((((8180+297+115)*1.12)-340)-150,50)</f>
        <v>9150</v>
      </c>
      <c r="F68" s="207">
        <v>340</v>
      </c>
      <c r="G68" s="207">
        <v>85</v>
      </c>
      <c r="H68" s="207">
        <v>18</v>
      </c>
      <c r="I68" s="207">
        <v>10</v>
      </c>
      <c r="J68" s="207">
        <v>75</v>
      </c>
      <c r="K68" s="207">
        <v>75</v>
      </c>
      <c r="L68" s="142">
        <f t="shared" si="2"/>
        <v>9753</v>
      </c>
      <c r="M68" s="208">
        <v>200</v>
      </c>
      <c r="N68" s="142">
        <f t="shared" si="3"/>
        <v>9953</v>
      </c>
      <c r="O68" s="143" t="s">
        <v>55</v>
      </c>
      <c r="P68" s="211" t="s">
        <v>56</v>
      </c>
      <c r="Q68" s="143" t="s">
        <v>40</v>
      </c>
      <c r="R68" s="252" t="s">
        <v>57</v>
      </c>
      <c r="S68" s="253"/>
    </row>
    <row r="69" spans="2:19" x14ac:dyDescent="0.3">
      <c r="B69" s="269"/>
      <c r="C69" s="240"/>
      <c r="D69" s="140" t="s">
        <v>22</v>
      </c>
      <c r="E69" s="141">
        <f>CEILING((((8455+297+115)*1.12)-340)-150,50)</f>
        <v>9450</v>
      </c>
      <c r="F69" s="207">
        <v>340</v>
      </c>
      <c r="G69" s="207">
        <v>85</v>
      </c>
      <c r="H69" s="207">
        <v>18</v>
      </c>
      <c r="I69" s="207">
        <v>10</v>
      </c>
      <c r="J69" s="207">
        <v>75</v>
      </c>
      <c r="K69" s="207">
        <v>75</v>
      </c>
      <c r="L69" s="142">
        <f t="shared" si="2"/>
        <v>10053</v>
      </c>
      <c r="M69" s="208">
        <v>200</v>
      </c>
      <c r="N69" s="142">
        <f t="shared" si="3"/>
        <v>10253</v>
      </c>
      <c r="O69" s="143" t="s">
        <v>55</v>
      </c>
      <c r="P69" s="211" t="s">
        <v>56</v>
      </c>
      <c r="Q69" s="143" t="s">
        <v>40</v>
      </c>
      <c r="R69" s="254"/>
      <c r="S69" s="255"/>
    </row>
    <row r="70" spans="2:19" ht="14.4" customHeight="1" x14ac:dyDescent="0.3">
      <c r="B70" s="251" t="s">
        <v>65</v>
      </c>
      <c r="C70" s="240" t="s">
        <v>54</v>
      </c>
      <c r="D70" s="140" t="s">
        <v>17</v>
      </c>
      <c r="E70" s="141">
        <f>CEILING((((8250+297+115)*1.12)-340)-150,50)</f>
        <v>9250</v>
      </c>
      <c r="F70" s="207">
        <v>340</v>
      </c>
      <c r="G70" s="207">
        <v>85</v>
      </c>
      <c r="H70" s="207">
        <v>18</v>
      </c>
      <c r="I70" s="207">
        <v>10</v>
      </c>
      <c r="J70" s="207">
        <v>75</v>
      </c>
      <c r="K70" s="207">
        <v>75</v>
      </c>
      <c r="L70" s="142">
        <f t="shared" si="2"/>
        <v>9853</v>
      </c>
      <c r="M70" s="208">
        <v>200</v>
      </c>
      <c r="N70" s="142">
        <f t="shared" si="3"/>
        <v>10053</v>
      </c>
      <c r="O70" s="143" t="s">
        <v>55</v>
      </c>
      <c r="P70" s="211" t="s">
        <v>56</v>
      </c>
      <c r="Q70" s="143" t="s">
        <v>40</v>
      </c>
      <c r="R70" s="254"/>
      <c r="S70" s="255"/>
    </row>
    <row r="71" spans="2:19" x14ac:dyDescent="0.3">
      <c r="B71" s="251"/>
      <c r="C71" s="240"/>
      <c r="D71" s="140" t="s">
        <v>22</v>
      </c>
      <c r="E71" s="141">
        <f>CEILING((((8580+297+115)*1.12)-340)-150,50)</f>
        <v>9600</v>
      </c>
      <c r="F71" s="207">
        <v>340</v>
      </c>
      <c r="G71" s="207">
        <v>85</v>
      </c>
      <c r="H71" s="207">
        <v>18</v>
      </c>
      <c r="I71" s="207">
        <v>10</v>
      </c>
      <c r="J71" s="207">
        <v>75</v>
      </c>
      <c r="K71" s="207">
        <v>75</v>
      </c>
      <c r="L71" s="142">
        <f t="shared" si="2"/>
        <v>10203</v>
      </c>
      <c r="M71" s="208">
        <v>200</v>
      </c>
      <c r="N71" s="142">
        <f t="shared" si="3"/>
        <v>10403</v>
      </c>
      <c r="O71" s="143" t="s">
        <v>55</v>
      </c>
      <c r="P71" s="211" t="s">
        <v>56</v>
      </c>
      <c r="Q71" s="143" t="s">
        <v>40</v>
      </c>
      <c r="R71" s="256"/>
      <c r="S71" s="257"/>
    </row>
    <row r="72" spans="2:19" x14ac:dyDescent="0.3">
      <c r="B72" s="265" t="s">
        <v>66</v>
      </c>
      <c r="C72" s="266" t="s">
        <v>29</v>
      </c>
      <c r="D72" s="185" t="s">
        <v>17</v>
      </c>
      <c r="E72" s="141">
        <f>CEILING(((7700+115+340)*1.12)-490,50)</f>
        <v>8650</v>
      </c>
      <c r="F72" s="186">
        <v>340</v>
      </c>
      <c r="G72" s="186">
        <v>97.87</v>
      </c>
      <c r="H72" s="186">
        <v>15</v>
      </c>
      <c r="I72" s="186">
        <v>40</v>
      </c>
      <c r="J72" s="186">
        <v>75</v>
      </c>
      <c r="K72" s="186">
        <v>75</v>
      </c>
      <c r="L72" s="97">
        <f t="shared" si="2"/>
        <v>9292.8700000000008</v>
      </c>
      <c r="M72" s="182">
        <v>200</v>
      </c>
      <c r="N72" s="97">
        <f t="shared" si="3"/>
        <v>9492.8700000000008</v>
      </c>
      <c r="O72" s="95" t="s">
        <v>55</v>
      </c>
      <c r="P72" s="211" t="s">
        <v>56</v>
      </c>
      <c r="Q72" s="187" t="s">
        <v>67</v>
      </c>
      <c r="R72" s="259" t="s">
        <v>68</v>
      </c>
      <c r="S72" s="260"/>
    </row>
    <row r="73" spans="2:19" x14ac:dyDescent="0.3">
      <c r="B73" s="265"/>
      <c r="C73" s="267"/>
      <c r="D73" s="185" t="s">
        <v>22</v>
      </c>
      <c r="E73" s="141">
        <f>CEILING(((7800+115+340)*1.12)-490,50)</f>
        <v>8800</v>
      </c>
      <c r="F73" s="186">
        <v>340</v>
      </c>
      <c r="G73" s="186">
        <v>97.87</v>
      </c>
      <c r="H73" s="186">
        <v>15</v>
      </c>
      <c r="I73" s="186">
        <v>40</v>
      </c>
      <c r="J73" s="186">
        <v>75</v>
      </c>
      <c r="K73" s="186">
        <v>75</v>
      </c>
      <c r="L73" s="97">
        <f t="shared" si="2"/>
        <v>9442.8700000000008</v>
      </c>
      <c r="M73" s="182">
        <v>200</v>
      </c>
      <c r="N73" s="97">
        <f t="shared" si="3"/>
        <v>9642.8700000000008</v>
      </c>
      <c r="O73" s="95" t="s">
        <v>55</v>
      </c>
      <c r="P73" s="211" t="s">
        <v>56</v>
      </c>
      <c r="Q73" s="187" t="s">
        <v>67</v>
      </c>
      <c r="R73" s="261"/>
      <c r="S73" s="262"/>
    </row>
    <row r="74" spans="2:19" ht="14.4" customHeight="1" x14ac:dyDescent="0.3">
      <c r="B74" s="251" t="s">
        <v>69</v>
      </c>
      <c r="C74" s="240" t="s">
        <v>54</v>
      </c>
      <c r="D74" s="140" t="s">
        <v>17</v>
      </c>
      <c r="E74" s="141">
        <f>CEILING((((8281+297+115)*1.12)-340)-150,50)</f>
        <v>9250</v>
      </c>
      <c r="F74" s="207">
        <v>340</v>
      </c>
      <c r="G74" s="207">
        <v>85</v>
      </c>
      <c r="H74" s="207">
        <v>18</v>
      </c>
      <c r="I74" s="207">
        <v>10</v>
      </c>
      <c r="J74" s="207">
        <v>75</v>
      </c>
      <c r="K74" s="207">
        <v>75</v>
      </c>
      <c r="L74" s="142">
        <f t="shared" si="2"/>
        <v>9853</v>
      </c>
      <c r="M74" s="208">
        <v>200</v>
      </c>
      <c r="N74" s="142">
        <f t="shared" si="3"/>
        <v>10053</v>
      </c>
      <c r="O74" s="143" t="s">
        <v>55</v>
      </c>
      <c r="P74" s="211" t="s">
        <v>56</v>
      </c>
      <c r="Q74" s="143" t="s">
        <v>40</v>
      </c>
      <c r="R74" s="252" t="s">
        <v>57</v>
      </c>
      <c r="S74" s="253"/>
    </row>
    <row r="75" spans="2:19" x14ac:dyDescent="0.3">
      <c r="B75" s="251"/>
      <c r="C75" s="240"/>
      <c r="D75" s="140" t="s">
        <v>22</v>
      </c>
      <c r="E75" s="141">
        <f>CEILING((((8662+297+115)*1.12)-340)-150,50)</f>
        <v>9700</v>
      </c>
      <c r="F75" s="207">
        <v>340</v>
      </c>
      <c r="G75" s="207">
        <v>85</v>
      </c>
      <c r="H75" s="207">
        <v>18</v>
      </c>
      <c r="I75" s="207">
        <v>10</v>
      </c>
      <c r="J75" s="207">
        <v>75</v>
      </c>
      <c r="K75" s="207">
        <v>75</v>
      </c>
      <c r="L75" s="142">
        <f t="shared" si="2"/>
        <v>10303</v>
      </c>
      <c r="M75" s="208">
        <v>200</v>
      </c>
      <c r="N75" s="142">
        <f t="shared" si="3"/>
        <v>10503</v>
      </c>
      <c r="O75" s="143" t="s">
        <v>55</v>
      </c>
      <c r="P75" s="211" t="s">
        <v>56</v>
      </c>
      <c r="Q75" s="143" t="s">
        <v>40</v>
      </c>
      <c r="R75" s="254"/>
      <c r="S75" s="255"/>
    </row>
    <row r="76" spans="2:19" ht="14.4" customHeight="1" x14ac:dyDescent="0.3">
      <c r="B76" s="251" t="s">
        <v>70</v>
      </c>
      <c r="C76" s="240" t="s">
        <v>54</v>
      </c>
      <c r="D76" s="140" t="s">
        <v>17</v>
      </c>
      <c r="E76" s="141">
        <f>CEILING((((8110+297+115)*1.12)-340)-150,50)</f>
        <v>9100</v>
      </c>
      <c r="F76" s="207">
        <v>340</v>
      </c>
      <c r="G76" s="207">
        <v>85</v>
      </c>
      <c r="H76" s="207">
        <v>18</v>
      </c>
      <c r="I76" s="207">
        <v>10</v>
      </c>
      <c r="J76" s="207">
        <v>75</v>
      </c>
      <c r="K76" s="207">
        <v>75</v>
      </c>
      <c r="L76" s="142">
        <f t="shared" si="2"/>
        <v>9703</v>
      </c>
      <c r="M76" s="208">
        <v>200</v>
      </c>
      <c r="N76" s="142">
        <f t="shared" si="3"/>
        <v>9903</v>
      </c>
      <c r="O76" s="143" t="s">
        <v>55</v>
      </c>
      <c r="P76" s="211" t="s">
        <v>56</v>
      </c>
      <c r="Q76" s="143" t="s">
        <v>40</v>
      </c>
      <c r="R76" s="254"/>
      <c r="S76" s="255"/>
    </row>
    <row r="77" spans="2:19" x14ac:dyDescent="0.3">
      <c r="B77" s="251"/>
      <c r="C77" s="240"/>
      <c r="D77" s="140" t="s">
        <v>22</v>
      </c>
      <c r="E77" s="141">
        <f>CEILING((((8320+297+115)*1.12)-340)-150,50)</f>
        <v>9300</v>
      </c>
      <c r="F77" s="207">
        <v>340</v>
      </c>
      <c r="G77" s="207">
        <v>85</v>
      </c>
      <c r="H77" s="207">
        <v>18</v>
      </c>
      <c r="I77" s="207">
        <v>10</v>
      </c>
      <c r="J77" s="207">
        <v>75</v>
      </c>
      <c r="K77" s="207">
        <v>75</v>
      </c>
      <c r="L77" s="142">
        <f t="shared" si="2"/>
        <v>9903</v>
      </c>
      <c r="M77" s="208">
        <v>200</v>
      </c>
      <c r="N77" s="142">
        <f t="shared" si="3"/>
        <v>10103</v>
      </c>
      <c r="O77" s="143" t="s">
        <v>55</v>
      </c>
      <c r="P77" s="211" t="s">
        <v>56</v>
      </c>
      <c r="Q77" s="143" t="s">
        <v>40</v>
      </c>
      <c r="R77" s="254"/>
      <c r="S77" s="255"/>
    </row>
    <row r="78" spans="2:19" ht="14.4" customHeight="1" x14ac:dyDescent="0.3">
      <c r="B78" s="251" t="s">
        <v>71</v>
      </c>
      <c r="C78" s="240" t="s">
        <v>54</v>
      </c>
      <c r="D78" s="140" t="s">
        <v>17</v>
      </c>
      <c r="E78" s="141">
        <f>CEILING((((8332+297+115)*1.12)-340)-150,50)</f>
        <v>9350</v>
      </c>
      <c r="F78" s="207">
        <v>340</v>
      </c>
      <c r="G78" s="207">
        <v>85</v>
      </c>
      <c r="H78" s="207">
        <v>18</v>
      </c>
      <c r="I78" s="207">
        <v>10</v>
      </c>
      <c r="J78" s="207">
        <v>75</v>
      </c>
      <c r="K78" s="207">
        <v>75</v>
      </c>
      <c r="L78" s="142">
        <f t="shared" si="2"/>
        <v>9953</v>
      </c>
      <c r="M78" s="208">
        <v>200</v>
      </c>
      <c r="N78" s="142">
        <f t="shared" si="3"/>
        <v>10153</v>
      </c>
      <c r="O78" s="143" t="s">
        <v>55</v>
      </c>
      <c r="P78" s="211" t="s">
        <v>56</v>
      </c>
      <c r="Q78" s="143" t="s">
        <v>40</v>
      </c>
      <c r="R78" s="254"/>
      <c r="S78" s="255"/>
    </row>
    <row r="79" spans="2:19" ht="15" customHeight="1" thickBot="1" x14ac:dyDescent="0.35">
      <c r="B79" s="251"/>
      <c r="C79" s="240"/>
      <c r="D79" s="140" t="s">
        <v>22</v>
      </c>
      <c r="E79" s="141">
        <f>CEILING((((8704+297+115)*1.12)-340)-150,50)</f>
        <v>9750</v>
      </c>
      <c r="F79" s="207">
        <v>340</v>
      </c>
      <c r="G79" s="207">
        <v>85</v>
      </c>
      <c r="H79" s="207">
        <v>18</v>
      </c>
      <c r="I79" s="207">
        <v>10</v>
      </c>
      <c r="J79" s="207">
        <v>75</v>
      </c>
      <c r="K79" s="207">
        <v>75</v>
      </c>
      <c r="L79" s="142">
        <f t="shared" si="2"/>
        <v>10353</v>
      </c>
      <c r="M79" s="208">
        <v>200</v>
      </c>
      <c r="N79" s="142">
        <f t="shared" si="3"/>
        <v>10553</v>
      </c>
      <c r="O79" s="143" t="s">
        <v>55</v>
      </c>
      <c r="P79" s="211" t="s">
        <v>56</v>
      </c>
      <c r="Q79" s="143" t="s">
        <v>40</v>
      </c>
      <c r="R79" s="256"/>
      <c r="S79" s="257"/>
    </row>
    <row r="80" spans="2:19" ht="28.8" x14ac:dyDescent="0.3">
      <c r="B80" s="218" t="s">
        <v>72</v>
      </c>
      <c r="C80" s="219"/>
      <c r="D80" s="219"/>
      <c r="E80" s="219"/>
      <c r="F80" s="219"/>
      <c r="G80" s="219"/>
      <c r="H80" s="219"/>
      <c r="I80" s="219"/>
      <c r="J80" s="219"/>
      <c r="K80" s="219"/>
      <c r="L80" s="219"/>
      <c r="M80" s="219"/>
      <c r="N80" s="219"/>
      <c r="O80" s="219"/>
      <c r="P80" s="219"/>
      <c r="Q80" s="219"/>
      <c r="R80" s="225"/>
      <c r="S80" s="273"/>
    </row>
    <row r="81" spans="2:19" ht="28.8" x14ac:dyDescent="0.3">
      <c r="B81" s="98" t="s">
        <v>1</v>
      </c>
      <c r="C81" s="270" t="s">
        <v>2</v>
      </c>
      <c r="D81" s="271"/>
      <c r="E81" s="122" t="s">
        <v>3</v>
      </c>
      <c r="F81" s="122" t="s">
        <v>4</v>
      </c>
      <c r="G81" s="122" t="s">
        <v>5</v>
      </c>
      <c r="H81" s="122" t="s">
        <v>6</v>
      </c>
      <c r="I81" s="3" t="s">
        <v>49</v>
      </c>
      <c r="J81" s="3" t="s">
        <v>50</v>
      </c>
      <c r="K81" s="3" t="s">
        <v>51</v>
      </c>
      <c r="L81" s="3" t="s">
        <v>52</v>
      </c>
      <c r="M81" s="3" t="s">
        <v>10</v>
      </c>
      <c r="N81" s="3" t="s">
        <v>11</v>
      </c>
      <c r="O81" s="3" t="s">
        <v>12</v>
      </c>
      <c r="P81" s="122" t="s">
        <v>13</v>
      </c>
      <c r="Q81" s="122" t="s">
        <v>14</v>
      </c>
      <c r="R81" s="270" t="s">
        <v>36</v>
      </c>
      <c r="S81" s="272"/>
    </row>
    <row r="82" spans="2:19" ht="14.4" customHeight="1" x14ac:dyDescent="0.3">
      <c r="B82" s="274" t="s">
        <v>73</v>
      </c>
      <c r="C82" s="276" t="s">
        <v>74</v>
      </c>
      <c r="D82" s="140" t="s">
        <v>17</v>
      </c>
      <c r="E82" s="141">
        <f>CEILING((((8350+297+115)*1.12)-340)-150,50)</f>
        <v>9350</v>
      </c>
      <c r="F82" s="207">
        <v>340</v>
      </c>
      <c r="G82" s="207">
        <v>85</v>
      </c>
      <c r="H82" s="207">
        <v>18</v>
      </c>
      <c r="I82" s="207">
        <v>10</v>
      </c>
      <c r="J82" s="207">
        <v>75</v>
      </c>
      <c r="K82" s="207">
        <v>75</v>
      </c>
      <c r="L82" s="176">
        <f>SUM(E82:K82)</f>
        <v>9953</v>
      </c>
      <c r="M82" s="195">
        <v>200</v>
      </c>
      <c r="N82" s="176">
        <f>SUM(L82:M82)</f>
        <v>10153</v>
      </c>
      <c r="O82" s="95" t="s">
        <v>55</v>
      </c>
      <c r="P82" s="211" t="s">
        <v>56</v>
      </c>
      <c r="Q82" s="143" t="s">
        <v>40</v>
      </c>
      <c r="R82" s="259" t="s">
        <v>75</v>
      </c>
      <c r="S82" s="260"/>
    </row>
    <row r="83" spans="2:19" ht="15" thickBot="1" x14ac:dyDescent="0.35">
      <c r="B83" s="275"/>
      <c r="C83" s="277"/>
      <c r="D83" s="140" t="s">
        <v>22</v>
      </c>
      <c r="E83" s="141">
        <f>CEILING((((8500+297+115)*1.12)-340)-150,50)</f>
        <v>9500</v>
      </c>
      <c r="F83" s="207">
        <v>340</v>
      </c>
      <c r="G83" s="207">
        <v>85</v>
      </c>
      <c r="H83" s="207">
        <v>18</v>
      </c>
      <c r="I83" s="207">
        <v>10</v>
      </c>
      <c r="J83" s="207">
        <v>75</v>
      </c>
      <c r="K83" s="207">
        <v>75</v>
      </c>
      <c r="L83" s="176">
        <f>SUM(E83:K83)</f>
        <v>10103</v>
      </c>
      <c r="M83" s="195">
        <v>200</v>
      </c>
      <c r="N83" s="176">
        <f>SUM(L83:M83)</f>
        <v>10303</v>
      </c>
      <c r="O83" s="95" t="s">
        <v>55</v>
      </c>
      <c r="P83" s="211" t="s">
        <v>56</v>
      </c>
      <c r="Q83" s="143" t="s">
        <v>40</v>
      </c>
      <c r="R83" s="261"/>
      <c r="S83" s="262"/>
    </row>
    <row r="84" spans="2:19" ht="28.8" x14ac:dyDescent="0.3">
      <c r="B84" s="218" t="s">
        <v>76</v>
      </c>
      <c r="C84" s="219"/>
      <c r="D84" s="219"/>
      <c r="E84" s="219"/>
      <c r="F84" s="219"/>
      <c r="G84" s="219"/>
      <c r="H84" s="219"/>
      <c r="I84" s="219"/>
      <c r="J84" s="219"/>
      <c r="K84" s="219"/>
      <c r="L84" s="219"/>
      <c r="M84" s="219"/>
      <c r="N84" s="219"/>
      <c r="O84" s="219"/>
      <c r="P84" s="219"/>
      <c r="Q84" s="219"/>
      <c r="R84" s="219"/>
      <c r="S84" s="248"/>
    </row>
    <row r="85" spans="2:19" ht="28.8" x14ac:dyDescent="0.3">
      <c r="B85" s="98" t="s">
        <v>1</v>
      </c>
      <c r="C85" s="270" t="s">
        <v>2</v>
      </c>
      <c r="D85" s="271"/>
      <c r="E85" s="122" t="s">
        <v>3</v>
      </c>
      <c r="F85" s="122" t="s">
        <v>4</v>
      </c>
      <c r="G85" s="122" t="s">
        <v>5</v>
      </c>
      <c r="H85" s="122" t="s">
        <v>6</v>
      </c>
      <c r="I85" s="3" t="s">
        <v>49</v>
      </c>
      <c r="J85" s="3" t="s">
        <v>50</v>
      </c>
      <c r="K85" s="3" t="s">
        <v>51</v>
      </c>
      <c r="L85" s="3" t="s">
        <v>52</v>
      </c>
      <c r="M85" s="3" t="s">
        <v>10</v>
      </c>
      <c r="N85" s="3" t="s">
        <v>11</v>
      </c>
      <c r="O85" s="3" t="s">
        <v>12</v>
      </c>
      <c r="P85" s="122" t="s">
        <v>13</v>
      </c>
      <c r="Q85" s="122" t="s">
        <v>14</v>
      </c>
      <c r="R85" s="270" t="s">
        <v>36</v>
      </c>
      <c r="S85" s="272"/>
    </row>
    <row r="86" spans="2:19" ht="14.4" customHeight="1" x14ac:dyDescent="0.3">
      <c r="B86" s="251" t="s">
        <v>77</v>
      </c>
      <c r="C86" s="240" t="s">
        <v>74</v>
      </c>
      <c r="D86" s="140" t="s">
        <v>17</v>
      </c>
      <c r="E86" s="141">
        <f>CEILING((((8358+297+115)*1.12)-340)-150,50)</f>
        <v>9350</v>
      </c>
      <c r="F86" s="207">
        <v>340</v>
      </c>
      <c r="G86" s="207">
        <v>85</v>
      </c>
      <c r="H86" s="207">
        <v>18</v>
      </c>
      <c r="I86" s="207">
        <v>10</v>
      </c>
      <c r="J86" s="207">
        <v>75</v>
      </c>
      <c r="K86" s="207">
        <v>75</v>
      </c>
      <c r="L86" s="142">
        <f>SUM(E86:K86)</f>
        <v>9953</v>
      </c>
      <c r="M86" s="208">
        <v>200</v>
      </c>
      <c r="N86" s="142">
        <f>SUM(L86:M86)</f>
        <v>10153</v>
      </c>
      <c r="O86" s="143" t="s">
        <v>78</v>
      </c>
      <c r="P86" s="211" t="s">
        <v>56</v>
      </c>
      <c r="Q86" s="143" t="s">
        <v>40</v>
      </c>
      <c r="R86" s="259" t="s">
        <v>75</v>
      </c>
      <c r="S86" s="260"/>
    </row>
    <row r="87" spans="2:19" x14ac:dyDescent="0.3">
      <c r="B87" s="251"/>
      <c r="C87" s="240"/>
      <c r="D87" s="140" t="s">
        <v>22</v>
      </c>
      <c r="E87" s="141">
        <f>CEILING((((8666+297+115)*1.12)-340)-150,50)</f>
        <v>9700</v>
      </c>
      <c r="F87" s="207">
        <v>340</v>
      </c>
      <c r="G87" s="207">
        <v>85</v>
      </c>
      <c r="H87" s="207">
        <v>18</v>
      </c>
      <c r="I87" s="207">
        <v>10</v>
      </c>
      <c r="J87" s="207">
        <v>75</v>
      </c>
      <c r="K87" s="207">
        <v>75</v>
      </c>
      <c r="L87" s="142">
        <f>SUM(E87:K87)</f>
        <v>10303</v>
      </c>
      <c r="M87" s="208">
        <v>200</v>
      </c>
      <c r="N87" s="142">
        <f>SUM(L87:M87)</f>
        <v>10503</v>
      </c>
      <c r="O87" s="143" t="s">
        <v>78</v>
      </c>
      <c r="P87" s="211" t="s">
        <v>56</v>
      </c>
      <c r="Q87" s="143" t="s">
        <v>40</v>
      </c>
      <c r="R87" s="261"/>
      <c r="S87" s="262"/>
    </row>
    <row r="88" spans="2:19" ht="28.8" x14ac:dyDescent="0.3">
      <c r="B88" s="278" t="s">
        <v>79</v>
      </c>
      <c r="C88" s="232"/>
      <c r="D88" s="232"/>
      <c r="E88" s="232"/>
      <c r="F88" s="232"/>
      <c r="G88" s="232"/>
      <c r="H88" s="232"/>
      <c r="I88" s="232"/>
      <c r="J88" s="232"/>
      <c r="K88" s="232"/>
      <c r="L88" s="232"/>
      <c r="M88" s="232"/>
      <c r="N88" s="232"/>
      <c r="O88" s="232"/>
      <c r="P88" s="232"/>
      <c r="Q88" s="232"/>
      <c r="R88" s="232"/>
      <c r="S88" s="279"/>
    </row>
    <row r="89" spans="2:19" ht="28.8" x14ac:dyDescent="0.3">
      <c r="B89" s="98" t="s">
        <v>1</v>
      </c>
      <c r="C89" s="270" t="s">
        <v>2</v>
      </c>
      <c r="D89" s="271"/>
      <c r="E89" s="122" t="s">
        <v>3</v>
      </c>
      <c r="F89" s="122" t="s">
        <v>4</v>
      </c>
      <c r="G89" s="122" t="s">
        <v>5</v>
      </c>
      <c r="H89" s="122" t="s">
        <v>6</v>
      </c>
      <c r="I89" s="3" t="s">
        <v>49</v>
      </c>
      <c r="J89" s="3" t="s">
        <v>50</v>
      </c>
      <c r="K89" s="3" t="s">
        <v>51</v>
      </c>
      <c r="L89" s="3" t="s">
        <v>52</v>
      </c>
      <c r="M89" s="3" t="s">
        <v>10</v>
      </c>
      <c r="N89" s="3" t="s">
        <v>11</v>
      </c>
      <c r="O89" s="3" t="s">
        <v>12</v>
      </c>
      <c r="P89" s="122" t="s">
        <v>13</v>
      </c>
      <c r="Q89" s="122" t="s">
        <v>14</v>
      </c>
      <c r="R89" s="270" t="s">
        <v>36</v>
      </c>
      <c r="S89" s="272"/>
    </row>
    <row r="90" spans="2:19" ht="14.4" customHeight="1" x14ac:dyDescent="0.3">
      <c r="B90" s="251" t="s">
        <v>80</v>
      </c>
      <c r="C90" s="240" t="s">
        <v>74</v>
      </c>
      <c r="D90" s="140" t="s">
        <v>17</v>
      </c>
      <c r="E90" s="141">
        <f>CEILING((((8350+297+115)*1.12)-340)-150,50)</f>
        <v>9350</v>
      </c>
      <c r="F90" s="207">
        <v>340</v>
      </c>
      <c r="G90" s="207">
        <v>85</v>
      </c>
      <c r="H90" s="207">
        <v>18</v>
      </c>
      <c r="I90" s="207">
        <v>10</v>
      </c>
      <c r="J90" s="207">
        <v>75</v>
      </c>
      <c r="K90" s="207">
        <v>75</v>
      </c>
      <c r="L90" s="142">
        <f>SUM(E90:K90)</f>
        <v>9953</v>
      </c>
      <c r="M90" s="208">
        <v>200</v>
      </c>
      <c r="N90" s="142">
        <f>SUM(L90:M90)</f>
        <v>10153</v>
      </c>
      <c r="O90" s="143" t="s">
        <v>78</v>
      </c>
      <c r="P90" s="211" t="s">
        <v>56</v>
      </c>
      <c r="Q90" s="143" t="s">
        <v>40</v>
      </c>
      <c r="R90" s="259" t="s">
        <v>75</v>
      </c>
      <c r="S90" s="260"/>
    </row>
    <row r="91" spans="2:19" ht="14.4" customHeight="1" x14ac:dyDescent="0.3">
      <c r="B91" s="251"/>
      <c r="C91" s="240"/>
      <c r="D91" s="140" t="s">
        <v>22</v>
      </c>
      <c r="E91" s="141">
        <f>CEILING((((8500+297+115)*1.12)-340)-150,50)</f>
        <v>9500</v>
      </c>
      <c r="F91" s="207">
        <v>340</v>
      </c>
      <c r="G91" s="207">
        <v>85</v>
      </c>
      <c r="H91" s="207">
        <v>18</v>
      </c>
      <c r="I91" s="207">
        <v>10</v>
      </c>
      <c r="J91" s="207">
        <v>75</v>
      </c>
      <c r="K91" s="207">
        <v>75</v>
      </c>
      <c r="L91" s="142">
        <f>SUM(E91:K91)</f>
        <v>10103</v>
      </c>
      <c r="M91" s="208">
        <v>200</v>
      </c>
      <c r="N91" s="142">
        <f>SUM(L91:M91)</f>
        <v>10303</v>
      </c>
      <c r="O91" s="143" t="s">
        <v>78</v>
      </c>
      <c r="P91" s="211" t="s">
        <v>56</v>
      </c>
      <c r="Q91" s="143" t="s">
        <v>40</v>
      </c>
      <c r="R91" s="261"/>
      <c r="S91" s="262"/>
    </row>
    <row r="92" spans="2:19" ht="28.8" x14ac:dyDescent="0.3">
      <c r="B92" s="278" t="s">
        <v>81</v>
      </c>
      <c r="C92" s="232"/>
      <c r="D92" s="232"/>
      <c r="E92" s="232"/>
      <c r="F92" s="232"/>
      <c r="G92" s="232"/>
      <c r="H92" s="232"/>
      <c r="I92" s="232"/>
      <c r="J92" s="232"/>
      <c r="K92" s="232"/>
      <c r="L92" s="232"/>
      <c r="M92" s="232"/>
      <c r="N92" s="232"/>
      <c r="O92" s="232"/>
      <c r="P92" s="232"/>
      <c r="Q92" s="232"/>
      <c r="R92" s="232"/>
      <c r="S92" s="279"/>
    </row>
    <row r="93" spans="2:19" ht="28.8" x14ac:dyDescent="0.3">
      <c r="B93" s="98" t="s">
        <v>1</v>
      </c>
      <c r="C93" s="270" t="s">
        <v>2</v>
      </c>
      <c r="D93" s="271"/>
      <c r="E93" s="122" t="s">
        <v>3</v>
      </c>
      <c r="F93" s="122" t="s">
        <v>4</v>
      </c>
      <c r="G93" s="122" t="s">
        <v>5</v>
      </c>
      <c r="H93" s="122" t="s">
        <v>6</v>
      </c>
      <c r="I93" s="3" t="s">
        <v>49</v>
      </c>
      <c r="J93" s="3" t="s">
        <v>50</v>
      </c>
      <c r="K93" s="3" t="s">
        <v>51</v>
      </c>
      <c r="L93" s="3" t="s">
        <v>52</v>
      </c>
      <c r="M93" s="3" t="s">
        <v>10</v>
      </c>
      <c r="N93" s="3" t="s">
        <v>11</v>
      </c>
      <c r="O93" s="3" t="s">
        <v>12</v>
      </c>
      <c r="P93" s="122" t="s">
        <v>13</v>
      </c>
      <c r="Q93" s="122" t="s">
        <v>14</v>
      </c>
      <c r="R93" s="270" t="s">
        <v>36</v>
      </c>
      <c r="S93" s="272"/>
    </row>
    <row r="94" spans="2:19" ht="14.4" customHeight="1" x14ac:dyDescent="0.3">
      <c r="B94" s="251" t="s">
        <v>82</v>
      </c>
      <c r="C94" s="240" t="s">
        <v>74</v>
      </c>
      <c r="D94" s="140" t="s">
        <v>17</v>
      </c>
      <c r="E94" s="141">
        <f>CEILING((((8470+297+115)*1.12)-340)-150,50)</f>
        <v>9500</v>
      </c>
      <c r="F94" s="207">
        <v>340</v>
      </c>
      <c r="G94" s="207">
        <v>85</v>
      </c>
      <c r="H94" s="207">
        <v>18</v>
      </c>
      <c r="I94" s="207">
        <v>10</v>
      </c>
      <c r="J94" s="207">
        <v>75</v>
      </c>
      <c r="K94" s="207">
        <v>75</v>
      </c>
      <c r="L94" s="142">
        <f>SUM(E94:K94)</f>
        <v>10103</v>
      </c>
      <c r="M94" s="208">
        <v>200</v>
      </c>
      <c r="N94" s="142">
        <f>SUM(L94:M94)</f>
        <v>10303</v>
      </c>
      <c r="O94" s="143" t="s">
        <v>78</v>
      </c>
      <c r="P94" s="211" t="s">
        <v>56</v>
      </c>
      <c r="Q94" s="143" t="s">
        <v>40</v>
      </c>
      <c r="R94" s="259" t="s">
        <v>75</v>
      </c>
      <c r="S94" s="260"/>
    </row>
    <row r="95" spans="2:19" ht="15" thickBot="1" x14ac:dyDescent="0.35">
      <c r="B95" s="251"/>
      <c r="C95" s="240"/>
      <c r="D95" s="140" t="s">
        <v>22</v>
      </c>
      <c r="E95" s="141">
        <f>CEILING((((8720+297+115)*1.12)-340)-150,50)</f>
        <v>9750</v>
      </c>
      <c r="F95" s="207">
        <v>340</v>
      </c>
      <c r="G95" s="207">
        <v>85</v>
      </c>
      <c r="H95" s="207">
        <v>18</v>
      </c>
      <c r="I95" s="207">
        <v>10</v>
      </c>
      <c r="J95" s="207">
        <v>75</v>
      </c>
      <c r="K95" s="207">
        <v>75</v>
      </c>
      <c r="L95" s="142">
        <f>SUM(E95:K95)</f>
        <v>10353</v>
      </c>
      <c r="M95" s="208">
        <v>200</v>
      </c>
      <c r="N95" s="142">
        <f>SUM(L95:M95)</f>
        <v>10553</v>
      </c>
      <c r="O95" s="143" t="s">
        <v>78</v>
      </c>
      <c r="P95" s="211" t="s">
        <v>56</v>
      </c>
      <c r="Q95" s="143" t="s">
        <v>40</v>
      </c>
      <c r="R95" s="261"/>
      <c r="S95" s="262"/>
    </row>
    <row r="96" spans="2:19" ht="28.8" x14ac:dyDescent="0.3">
      <c r="B96" s="218" t="s">
        <v>83</v>
      </c>
      <c r="C96" s="219"/>
      <c r="D96" s="219"/>
      <c r="E96" s="219"/>
      <c r="F96" s="219"/>
      <c r="G96" s="219"/>
      <c r="H96" s="219"/>
      <c r="I96" s="219"/>
      <c r="J96" s="219"/>
      <c r="K96" s="219"/>
      <c r="L96" s="219"/>
      <c r="M96" s="219"/>
      <c r="N96" s="219"/>
      <c r="O96" s="219"/>
      <c r="P96" s="219"/>
      <c r="Q96" s="219"/>
      <c r="R96" s="225"/>
      <c r="S96" s="225"/>
    </row>
    <row r="97" spans="2:20" ht="28.8" x14ac:dyDescent="0.3">
      <c r="B97" s="98" t="s">
        <v>1</v>
      </c>
      <c r="C97" s="270" t="s">
        <v>2</v>
      </c>
      <c r="D97" s="271"/>
      <c r="E97" s="122" t="s">
        <v>3</v>
      </c>
      <c r="F97" s="122" t="s">
        <v>4</v>
      </c>
      <c r="G97" s="122" t="s">
        <v>5</v>
      </c>
      <c r="H97" s="122" t="s">
        <v>6</v>
      </c>
      <c r="I97" s="3" t="s">
        <v>49</v>
      </c>
      <c r="J97" s="3" t="s">
        <v>50</v>
      </c>
      <c r="K97" s="3" t="s">
        <v>51</v>
      </c>
      <c r="L97" s="3" t="s">
        <v>52</v>
      </c>
      <c r="M97" s="3" t="s">
        <v>10</v>
      </c>
      <c r="N97" s="3" t="s">
        <v>11</v>
      </c>
      <c r="O97" s="3" t="s">
        <v>12</v>
      </c>
      <c r="P97" s="122" t="s">
        <v>13</v>
      </c>
      <c r="Q97" s="122" t="s">
        <v>14</v>
      </c>
      <c r="R97" s="270" t="s">
        <v>36</v>
      </c>
      <c r="S97" s="272"/>
    </row>
    <row r="98" spans="2:20" x14ac:dyDescent="0.3">
      <c r="B98" s="251" t="s">
        <v>84</v>
      </c>
      <c r="C98" s="240" t="s">
        <v>74</v>
      </c>
      <c r="D98" s="140" t="s">
        <v>17</v>
      </c>
      <c r="E98" s="141">
        <f>CEILING((((8350+297+115)*1.12)-340)-150,50)</f>
        <v>9350</v>
      </c>
      <c r="F98" s="207">
        <v>340</v>
      </c>
      <c r="G98" s="207">
        <v>85</v>
      </c>
      <c r="H98" s="207">
        <v>18</v>
      </c>
      <c r="I98" s="207">
        <v>10</v>
      </c>
      <c r="J98" s="207">
        <v>75</v>
      </c>
      <c r="K98" s="207">
        <v>75</v>
      </c>
      <c r="L98" s="142">
        <f>SUM(E98:K98)</f>
        <v>9953</v>
      </c>
      <c r="M98" s="208">
        <v>200</v>
      </c>
      <c r="N98" s="142">
        <f>SUM(L98:M98)</f>
        <v>10153</v>
      </c>
      <c r="O98" s="143" t="s">
        <v>78</v>
      </c>
      <c r="P98" s="211" t="s">
        <v>56</v>
      </c>
      <c r="Q98" s="143" t="s">
        <v>40</v>
      </c>
      <c r="R98" s="252" t="s">
        <v>85</v>
      </c>
      <c r="S98" s="253"/>
      <c r="T98"/>
    </row>
    <row r="99" spans="2:20" ht="15" thickBot="1" x14ac:dyDescent="0.35">
      <c r="B99" s="251"/>
      <c r="C99" s="240"/>
      <c r="D99" s="140" t="s">
        <v>22</v>
      </c>
      <c r="E99" s="141">
        <f>CEILING((((8500+297+115)*1.12)-340)-150,50)</f>
        <v>9500</v>
      </c>
      <c r="F99" s="207">
        <v>340</v>
      </c>
      <c r="G99" s="207">
        <v>85</v>
      </c>
      <c r="H99" s="207">
        <v>18</v>
      </c>
      <c r="I99" s="207">
        <v>10</v>
      </c>
      <c r="J99" s="207">
        <v>75</v>
      </c>
      <c r="K99" s="207">
        <v>75</v>
      </c>
      <c r="L99" s="142">
        <f>SUM(E99:K99)</f>
        <v>10103</v>
      </c>
      <c r="M99" s="208">
        <v>200</v>
      </c>
      <c r="N99" s="142">
        <f>SUM(L99:M99)</f>
        <v>10303</v>
      </c>
      <c r="O99" s="143" t="s">
        <v>78</v>
      </c>
      <c r="P99" s="211" t="s">
        <v>56</v>
      </c>
      <c r="Q99" s="143" t="s">
        <v>40</v>
      </c>
      <c r="R99" s="254"/>
      <c r="S99" s="255"/>
      <c r="T99"/>
    </row>
    <row r="100" spans="2:20" ht="28.8" x14ac:dyDescent="0.3">
      <c r="B100" s="218" t="s">
        <v>86</v>
      </c>
      <c r="C100" s="219"/>
      <c r="D100" s="219"/>
      <c r="E100" s="219"/>
      <c r="F100" s="219"/>
      <c r="G100" s="219"/>
      <c r="H100" s="219"/>
      <c r="I100" s="219"/>
      <c r="J100" s="219"/>
      <c r="K100" s="219"/>
      <c r="L100" s="219"/>
      <c r="M100" s="219"/>
      <c r="N100" s="219"/>
      <c r="O100" s="219"/>
      <c r="P100" s="219"/>
      <c r="Q100" s="219"/>
      <c r="R100" s="219"/>
      <c r="S100" s="248"/>
    </row>
    <row r="101" spans="2:20" ht="28.8" x14ac:dyDescent="0.3">
      <c r="B101" s="98" t="s">
        <v>1</v>
      </c>
      <c r="C101" s="270" t="s">
        <v>2</v>
      </c>
      <c r="D101" s="271"/>
      <c r="E101" s="122" t="s">
        <v>3</v>
      </c>
      <c r="F101" s="122" t="s">
        <v>4</v>
      </c>
      <c r="G101" s="122" t="s">
        <v>5</v>
      </c>
      <c r="H101" s="122" t="s">
        <v>6</v>
      </c>
      <c r="I101" s="3" t="s">
        <v>49</v>
      </c>
      <c r="J101" s="3" t="s">
        <v>50</v>
      </c>
      <c r="K101" s="3" t="s">
        <v>51</v>
      </c>
      <c r="L101" s="3" t="s">
        <v>52</v>
      </c>
      <c r="M101" s="3" t="s">
        <v>10</v>
      </c>
      <c r="N101" s="3" t="s">
        <v>11</v>
      </c>
      <c r="O101" s="3" t="s">
        <v>12</v>
      </c>
      <c r="P101" s="122" t="s">
        <v>13</v>
      </c>
      <c r="Q101" s="122" t="s">
        <v>14</v>
      </c>
      <c r="R101" s="270" t="s">
        <v>36</v>
      </c>
      <c r="S101" s="272"/>
    </row>
    <row r="102" spans="2:20" x14ac:dyDescent="0.3">
      <c r="B102" s="251" t="s">
        <v>87</v>
      </c>
      <c r="C102" s="240" t="s">
        <v>29</v>
      </c>
      <c r="D102" s="140" t="s">
        <v>17</v>
      </c>
      <c r="E102" s="141">
        <f>CEILING((((8500+297+115)*1.12)-340)-150,50)</f>
        <v>9500</v>
      </c>
      <c r="F102" s="207">
        <v>340</v>
      </c>
      <c r="G102" s="207">
        <v>85</v>
      </c>
      <c r="H102" s="207">
        <v>18</v>
      </c>
      <c r="I102" s="207">
        <v>10</v>
      </c>
      <c r="J102" s="207">
        <v>75</v>
      </c>
      <c r="K102" s="207">
        <v>75</v>
      </c>
      <c r="L102" s="142">
        <f>SUM(E102:K102)</f>
        <v>10103</v>
      </c>
      <c r="M102" s="208">
        <v>200</v>
      </c>
      <c r="N102" s="142">
        <f>SUM(L102:M102)</f>
        <v>10303</v>
      </c>
      <c r="O102" s="143" t="s">
        <v>78</v>
      </c>
      <c r="P102" s="211" t="s">
        <v>56</v>
      </c>
      <c r="Q102" s="143" t="s">
        <v>40</v>
      </c>
      <c r="R102" s="252" t="s">
        <v>85</v>
      </c>
      <c r="S102" s="253"/>
      <c r="T102"/>
    </row>
    <row r="103" spans="2:20" x14ac:dyDescent="0.3">
      <c r="B103" s="251"/>
      <c r="C103" s="240"/>
      <c r="D103" s="140" t="s">
        <v>22</v>
      </c>
      <c r="E103" s="141">
        <f>CEILING((((8750+297+115)*1.12)-340)-150,50)</f>
        <v>9800</v>
      </c>
      <c r="F103" s="207">
        <v>340</v>
      </c>
      <c r="G103" s="207">
        <v>85</v>
      </c>
      <c r="H103" s="207">
        <v>18</v>
      </c>
      <c r="I103" s="207">
        <v>10</v>
      </c>
      <c r="J103" s="207">
        <v>75</v>
      </c>
      <c r="K103" s="207">
        <v>75</v>
      </c>
      <c r="L103" s="142">
        <f>SUM(E103:K103)</f>
        <v>10403</v>
      </c>
      <c r="M103" s="208">
        <v>200</v>
      </c>
      <c r="N103" s="142">
        <f>SUM(L103:M103)</f>
        <v>10603</v>
      </c>
      <c r="O103" s="143" t="s">
        <v>78</v>
      </c>
      <c r="P103" s="211" t="s">
        <v>56</v>
      </c>
      <c r="Q103" s="143" t="s">
        <v>40</v>
      </c>
      <c r="R103" s="254"/>
      <c r="S103" s="255"/>
      <c r="T103"/>
    </row>
    <row r="104" spans="2:20" ht="15" thickBot="1" x14ac:dyDescent="0.35">
      <c r="B104" s="135"/>
      <c r="C104" s="42"/>
      <c r="D104" s="132"/>
      <c r="E104" s="133"/>
      <c r="F104" s="196"/>
      <c r="G104" s="196"/>
      <c r="H104" s="196"/>
      <c r="I104" s="196"/>
      <c r="J104" s="196"/>
      <c r="K104" s="196"/>
      <c r="L104" s="197"/>
      <c r="M104" s="196"/>
      <c r="N104" s="197"/>
      <c r="O104" s="61"/>
      <c r="P104" s="34"/>
      <c r="Q104" s="61"/>
      <c r="R104" s="134"/>
      <c r="S104" s="136"/>
    </row>
    <row r="105" spans="2:20" ht="15.6" x14ac:dyDescent="0.3">
      <c r="B105" s="280" t="s">
        <v>32</v>
      </c>
      <c r="C105" s="281"/>
      <c r="D105" s="281"/>
      <c r="E105" s="281"/>
      <c r="F105" s="281"/>
      <c r="G105" s="281"/>
      <c r="H105" s="281"/>
      <c r="I105" s="281"/>
      <c r="J105" s="281"/>
      <c r="K105" s="281"/>
      <c r="L105" s="281"/>
      <c r="M105" s="281"/>
      <c r="N105" s="281"/>
      <c r="O105" s="281"/>
      <c r="P105" s="281"/>
      <c r="Q105" s="281"/>
      <c r="R105" s="281"/>
      <c r="S105" s="282"/>
    </row>
    <row r="106" spans="2:20" x14ac:dyDescent="0.3">
      <c r="B106" s="283" t="s">
        <v>33</v>
      </c>
      <c r="C106" s="284"/>
      <c r="D106" s="284"/>
      <c r="E106" s="284"/>
      <c r="F106" s="284"/>
      <c r="G106" s="284"/>
      <c r="H106" s="284"/>
      <c r="I106" s="284"/>
      <c r="J106" s="284"/>
      <c r="K106" s="284"/>
      <c r="L106" s="284"/>
      <c r="M106" s="284"/>
      <c r="N106" s="284"/>
      <c r="O106" s="284"/>
      <c r="P106" s="284"/>
      <c r="Q106" s="284"/>
      <c r="R106" s="284"/>
      <c r="S106" s="285"/>
    </row>
    <row r="107" spans="2:20" x14ac:dyDescent="0.3">
      <c r="B107" s="283"/>
      <c r="C107" s="284"/>
      <c r="D107" s="284"/>
      <c r="E107" s="284"/>
      <c r="F107" s="284"/>
      <c r="G107" s="284"/>
      <c r="H107" s="284"/>
      <c r="I107" s="284"/>
      <c r="J107" s="284"/>
      <c r="K107" s="284"/>
      <c r="L107" s="284"/>
      <c r="M107" s="284"/>
      <c r="N107" s="284"/>
      <c r="O107" s="284"/>
      <c r="P107" s="284"/>
      <c r="Q107" s="284"/>
      <c r="R107" s="284"/>
      <c r="S107" s="285"/>
    </row>
    <row r="108" spans="2:20" x14ac:dyDescent="0.3">
      <c r="B108" s="283"/>
      <c r="C108" s="284"/>
      <c r="D108" s="284"/>
      <c r="E108" s="284"/>
      <c r="F108" s="284"/>
      <c r="G108" s="284"/>
      <c r="H108" s="284"/>
      <c r="I108" s="284"/>
      <c r="J108" s="284"/>
      <c r="K108" s="284"/>
      <c r="L108" s="284"/>
      <c r="M108" s="284"/>
      <c r="N108" s="284"/>
      <c r="O108" s="284"/>
      <c r="P108" s="284"/>
      <c r="Q108" s="284"/>
      <c r="R108" s="284"/>
      <c r="S108" s="285"/>
    </row>
    <row r="109" spans="2:20" ht="15" thickBot="1" x14ac:dyDescent="0.35">
      <c r="B109" s="286"/>
      <c r="C109" s="287"/>
      <c r="D109" s="287"/>
      <c r="E109" s="287"/>
      <c r="F109" s="287"/>
      <c r="G109" s="287"/>
      <c r="H109" s="287"/>
      <c r="I109" s="287"/>
      <c r="J109" s="287"/>
      <c r="K109" s="287"/>
      <c r="L109" s="287"/>
      <c r="M109" s="287"/>
      <c r="N109" s="287"/>
      <c r="O109" s="287"/>
      <c r="P109" s="287"/>
      <c r="Q109" s="287"/>
      <c r="R109" s="287"/>
      <c r="S109" s="288"/>
    </row>
    <row r="118" spans="2:17" ht="28.8" x14ac:dyDescent="0.3">
      <c r="B118" s="289" t="s">
        <v>88</v>
      </c>
      <c r="C118" s="289"/>
      <c r="D118" s="289"/>
      <c r="E118" s="289"/>
      <c r="F118" s="289"/>
      <c r="G118" s="289"/>
      <c r="H118" s="289"/>
      <c r="I118" s="289"/>
      <c r="J118" s="289"/>
      <c r="K118" s="289"/>
      <c r="L118" s="289"/>
      <c r="M118" s="289"/>
      <c r="N118" s="289"/>
      <c r="O118" s="289"/>
      <c r="P118" s="289"/>
      <c r="Q118" s="131"/>
    </row>
    <row r="119" spans="2:17" ht="28.8" x14ac:dyDescent="0.3">
      <c r="B119" s="122" t="s">
        <v>1</v>
      </c>
      <c r="C119" s="220" t="s">
        <v>2</v>
      </c>
      <c r="D119" s="220"/>
      <c r="E119" s="122" t="s">
        <v>3</v>
      </c>
      <c r="F119" s="122" t="s">
        <v>4</v>
      </c>
      <c r="G119" s="11" t="s">
        <v>89</v>
      </c>
      <c r="H119" s="129" t="s">
        <v>6</v>
      </c>
      <c r="I119" s="3" t="s">
        <v>9</v>
      </c>
      <c r="J119" s="3" t="s">
        <v>10</v>
      </c>
      <c r="K119" s="3" t="s">
        <v>11</v>
      </c>
      <c r="L119" s="122" t="s">
        <v>12</v>
      </c>
      <c r="M119" s="122" t="s">
        <v>13</v>
      </c>
      <c r="N119" s="122" t="s">
        <v>14</v>
      </c>
      <c r="O119" s="220" t="s">
        <v>36</v>
      </c>
      <c r="P119" s="220"/>
      <c r="Q119" s="220"/>
    </row>
    <row r="120" spans="2:17" ht="14.4" customHeight="1" x14ac:dyDescent="0.3">
      <c r="B120" s="222" t="s">
        <v>90</v>
      </c>
      <c r="C120" s="230" t="s">
        <v>16</v>
      </c>
      <c r="D120" s="20" t="s">
        <v>17</v>
      </c>
      <c r="E120" s="36">
        <v>1600</v>
      </c>
      <c r="F120" s="36">
        <v>335</v>
      </c>
      <c r="G120" s="207">
        <v>80</v>
      </c>
      <c r="H120" s="207">
        <v>18</v>
      </c>
      <c r="I120" s="39">
        <f>SUM(E120:H120)</f>
        <v>2033</v>
      </c>
      <c r="J120" s="24">
        <v>200</v>
      </c>
      <c r="K120" s="23">
        <f>I120+J120</f>
        <v>2233</v>
      </c>
      <c r="L120" s="40">
        <v>7</v>
      </c>
      <c r="M120" s="215" t="s">
        <v>20</v>
      </c>
      <c r="N120" s="20" t="s">
        <v>42</v>
      </c>
      <c r="O120" s="238" t="s">
        <v>46</v>
      </c>
      <c r="P120" s="238"/>
      <c r="Q120" s="238"/>
    </row>
    <row r="121" spans="2:17" x14ac:dyDescent="0.3">
      <c r="B121" s="222"/>
      <c r="C121" s="230"/>
      <c r="D121" s="20" t="s">
        <v>22</v>
      </c>
      <c r="E121" s="36">
        <v>1900</v>
      </c>
      <c r="F121" s="36">
        <v>335</v>
      </c>
      <c r="G121" s="207">
        <v>80</v>
      </c>
      <c r="H121" s="207">
        <v>18</v>
      </c>
      <c r="I121" s="39">
        <f>SUM(E121:H121)</f>
        <v>2333</v>
      </c>
      <c r="J121" s="24">
        <v>200</v>
      </c>
      <c r="K121" s="23">
        <f>I121+J121</f>
        <v>2533</v>
      </c>
      <c r="L121" s="40">
        <v>7</v>
      </c>
      <c r="M121" s="215" t="s">
        <v>20</v>
      </c>
      <c r="N121" s="20" t="s">
        <v>42</v>
      </c>
      <c r="O121" s="238"/>
      <c r="P121" s="238"/>
      <c r="Q121" s="238"/>
    </row>
    <row r="122" spans="2:17" x14ac:dyDescent="0.3">
      <c r="B122" s="42"/>
      <c r="C122" s="128"/>
      <c r="D122" s="28"/>
      <c r="E122" s="43"/>
      <c r="F122" s="43"/>
      <c r="G122" s="43"/>
      <c r="H122" s="128"/>
      <c r="I122" s="99"/>
      <c r="J122" s="100"/>
      <c r="K122" s="100"/>
      <c r="L122" s="100"/>
      <c r="M122" s="101"/>
      <c r="N122" s="102"/>
      <c r="O122" s="44"/>
      <c r="P122" s="34"/>
      <c r="Q122" s="128"/>
    </row>
    <row r="123" spans="2:17" ht="15.6" x14ac:dyDescent="0.3">
      <c r="B123" s="5" t="s">
        <v>32</v>
      </c>
      <c r="C123" s="6"/>
      <c r="D123" s="6"/>
      <c r="E123" s="6"/>
      <c r="F123" s="6"/>
      <c r="G123" s="6"/>
      <c r="H123" s="6"/>
      <c r="I123" s="6"/>
      <c r="J123" s="6"/>
      <c r="K123" s="6"/>
      <c r="L123" s="6"/>
      <c r="M123" s="6"/>
      <c r="N123" s="6"/>
      <c r="O123" s="6"/>
      <c r="P123" s="6"/>
      <c r="Q123" s="7"/>
    </row>
    <row r="124" spans="2:17" x14ac:dyDescent="0.3">
      <c r="B124" s="242" t="s">
        <v>33</v>
      </c>
      <c r="C124" s="243"/>
      <c r="D124" s="243"/>
      <c r="E124" s="243"/>
      <c r="F124" s="243"/>
      <c r="G124" s="243"/>
      <c r="H124" s="243"/>
      <c r="I124" s="243"/>
      <c r="J124" s="243"/>
      <c r="K124" s="243"/>
      <c r="L124" s="243"/>
      <c r="M124" s="243"/>
      <c r="N124" s="243"/>
      <c r="O124" s="243"/>
      <c r="P124" s="243"/>
      <c r="Q124" s="244"/>
    </row>
    <row r="125" spans="2:17" x14ac:dyDescent="0.3">
      <c r="B125" s="242"/>
      <c r="C125" s="243"/>
      <c r="D125" s="243"/>
      <c r="E125" s="243"/>
      <c r="F125" s="243"/>
      <c r="G125" s="243"/>
      <c r="H125" s="243"/>
      <c r="I125" s="243"/>
      <c r="J125" s="243"/>
      <c r="K125" s="243"/>
      <c r="L125" s="243"/>
      <c r="M125" s="243"/>
      <c r="N125" s="243"/>
      <c r="O125" s="243"/>
      <c r="P125" s="243"/>
      <c r="Q125" s="244"/>
    </row>
    <row r="126" spans="2:17" x14ac:dyDescent="0.3">
      <c r="B126" s="242"/>
      <c r="C126" s="243"/>
      <c r="D126" s="243"/>
      <c r="E126" s="243"/>
      <c r="F126" s="243"/>
      <c r="G126" s="243"/>
      <c r="H126" s="243"/>
      <c r="I126" s="243"/>
      <c r="J126" s="243"/>
      <c r="K126" s="243"/>
      <c r="L126" s="243"/>
      <c r="M126" s="243"/>
      <c r="N126" s="243"/>
      <c r="O126" s="243"/>
      <c r="P126" s="243"/>
      <c r="Q126" s="244"/>
    </row>
    <row r="127" spans="2:17" x14ac:dyDescent="0.3">
      <c r="B127" s="245"/>
      <c r="C127" s="246"/>
      <c r="D127" s="246"/>
      <c r="E127" s="246"/>
      <c r="F127" s="246"/>
      <c r="G127" s="246"/>
      <c r="H127" s="246"/>
      <c r="I127" s="246"/>
      <c r="J127" s="246"/>
      <c r="K127" s="246"/>
      <c r="L127" s="246"/>
      <c r="M127" s="246"/>
      <c r="N127" s="246"/>
      <c r="O127" s="246"/>
      <c r="P127" s="246"/>
      <c r="Q127" s="247"/>
    </row>
    <row r="128" spans="2:17" x14ac:dyDescent="0.3">
      <c r="B128" s="35"/>
      <c r="C128" s="35"/>
      <c r="D128" s="35"/>
      <c r="E128" s="35"/>
      <c r="F128" s="35"/>
      <c r="G128" s="35"/>
      <c r="H128" s="35"/>
      <c r="I128" s="35"/>
      <c r="J128" s="35"/>
      <c r="K128" s="35"/>
      <c r="L128" s="35"/>
      <c r="M128" s="35"/>
      <c r="N128" s="35"/>
      <c r="O128" s="35"/>
      <c r="P128" s="35"/>
      <c r="Q128" s="35"/>
    </row>
    <row r="133" spans="2:16" ht="15" thickBot="1" x14ac:dyDescent="0.35"/>
    <row r="134" spans="2:16" ht="28.8" x14ac:dyDescent="0.3">
      <c r="B134" s="218" t="s">
        <v>91</v>
      </c>
      <c r="C134" s="219"/>
      <c r="D134" s="219"/>
      <c r="E134" s="219"/>
      <c r="F134" s="219"/>
      <c r="G134" s="219"/>
      <c r="H134" s="219"/>
      <c r="I134" s="219"/>
      <c r="J134" s="219"/>
      <c r="K134" s="219"/>
      <c r="L134" s="219"/>
      <c r="M134" s="219"/>
      <c r="N134" s="219"/>
      <c r="O134" s="219"/>
      <c r="P134" s="219"/>
    </row>
    <row r="135" spans="2:16" ht="28.8" x14ac:dyDescent="0.3">
      <c r="B135" s="98" t="s">
        <v>1</v>
      </c>
      <c r="C135" s="220" t="s">
        <v>2</v>
      </c>
      <c r="D135" s="220"/>
      <c r="E135" s="122" t="s">
        <v>3</v>
      </c>
      <c r="F135" s="122" t="s">
        <v>4</v>
      </c>
      <c r="G135" s="122" t="s">
        <v>5</v>
      </c>
      <c r="H135" s="3" t="s">
        <v>92</v>
      </c>
      <c r="I135" s="3" t="s">
        <v>50</v>
      </c>
      <c r="J135" s="3" t="s">
        <v>93</v>
      </c>
      <c r="K135" s="3" t="s">
        <v>52</v>
      </c>
      <c r="L135" s="3" t="s">
        <v>10</v>
      </c>
      <c r="M135" s="3" t="s">
        <v>11</v>
      </c>
      <c r="N135" s="3" t="s">
        <v>12</v>
      </c>
      <c r="O135" s="122" t="s">
        <v>13</v>
      </c>
      <c r="P135" s="122" t="s">
        <v>14</v>
      </c>
    </row>
    <row r="136" spans="2:16" x14ac:dyDescent="0.3">
      <c r="B136" s="138" t="s">
        <v>94</v>
      </c>
      <c r="C136" s="127" t="s">
        <v>95</v>
      </c>
      <c r="D136" s="118" t="s">
        <v>17</v>
      </c>
      <c r="E136" s="120">
        <v>1500</v>
      </c>
      <c r="F136" s="207">
        <v>340</v>
      </c>
      <c r="G136" s="207">
        <v>85</v>
      </c>
      <c r="H136" s="207">
        <v>24</v>
      </c>
      <c r="I136" s="96">
        <v>75</v>
      </c>
      <c r="J136" s="96">
        <v>75</v>
      </c>
      <c r="K136" s="97">
        <f>SUM(E136:J136)</f>
        <v>2099</v>
      </c>
      <c r="L136" s="96">
        <v>200</v>
      </c>
      <c r="M136" s="97">
        <f>SUM(K136:L136)</f>
        <v>2299</v>
      </c>
      <c r="N136" s="95" t="s">
        <v>96</v>
      </c>
      <c r="O136" s="211" t="s">
        <v>20</v>
      </c>
      <c r="P136" s="95" t="s">
        <v>40</v>
      </c>
    </row>
    <row r="137" spans="2:16" x14ac:dyDescent="0.3">
      <c r="B137" s="221" t="s">
        <v>97</v>
      </c>
      <c r="C137" s="222" t="s">
        <v>29</v>
      </c>
      <c r="D137" s="118" t="s">
        <v>17</v>
      </c>
      <c r="E137" s="120">
        <f>CEILING(((1997+75+340)*1.15)-(340+150),50)</f>
        <v>2300</v>
      </c>
      <c r="F137" s="207">
        <v>340</v>
      </c>
      <c r="G137" s="207">
        <v>85</v>
      </c>
      <c r="H137" s="96">
        <v>24</v>
      </c>
      <c r="I137" s="96">
        <v>75</v>
      </c>
      <c r="J137" s="96">
        <v>75</v>
      </c>
      <c r="K137" s="97">
        <f>SUM(E137:J137)</f>
        <v>2899</v>
      </c>
      <c r="L137" s="96">
        <v>200</v>
      </c>
      <c r="M137" s="97">
        <f>SUM(K137:L137)</f>
        <v>3099</v>
      </c>
      <c r="N137" s="95" t="s">
        <v>96</v>
      </c>
      <c r="O137" s="211" t="s">
        <v>20</v>
      </c>
      <c r="P137" s="95" t="s">
        <v>40</v>
      </c>
    </row>
    <row r="138" spans="2:16" x14ac:dyDescent="0.3">
      <c r="B138" s="221"/>
      <c r="C138" s="222"/>
      <c r="D138" s="118" t="s">
        <v>22</v>
      </c>
      <c r="E138" s="120">
        <f>CEILING(((3165+75+340)*1.15)-(340+150),50)</f>
        <v>3650</v>
      </c>
      <c r="F138" s="207">
        <v>340</v>
      </c>
      <c r="G138" s="207">
        <v>85</v>
      </c>
      <c r="H138" s="96">
        <v>24</v>
      </c>
      <c r="I138" s="96">
        <v>75</v>
      </c>
      <c r="J138" s="96">
        <v>75</v>
      </c>
      <c r="K138" s="97">
        <f>SUM(E138:J138)</f>
        <v>4249</v>
      </c>
      <c r="L138" s="96">
        <v>200</v>
      </c>
      <c r="M138" s="97">
        <f>SUM(K138:L138)</f>
        <v>4449</v>
      </c>
      <c r="N138" s="95" t="s">
        <v>96</v>
      </c>
      <c r="O138" s="211" t="s">
        <v>20</v>
      </c>
      <c r="P138" s="95" t="s">
        <v>40</v>
      </c>
    </row>
    <row r="140" spans="2:16" ht="15" thickBot="1" x14ac:dyDescent="0.35"/>
    <row r="141" spans="2:16" ht="28.8" x14ac:dyDescent="0.3">
      <c r="B141" s="218" t="s">
        <v>98</v>
      </c>
      <c r="C141" s="219"/>
      <c r="D141" s="219"/>
      <c r="E141" s="219"/>
      <c r="F141" s="219"/>
      <c r="G141" s="219"/>
      <c r="H141" s="219"/>
      <c r="I141" s="219"/>
      <c r="J141" s="219"/>
      <c r="K141" s="219"/>
      <c r="L141" s="219"/>
      <c r="M141" s="219"/>
      <c r="N141" s="219"/>
      <c r="O141" s="219"/>
      <c r="P141" s="219"/>
    </row>
    <row r="142" spans="2:16" ht="28.8" x14ac:dyDescent="0.3">
      <c r="B142" s="98" t="s">
        <v>1</v>
      </c>
      <c r="C142" s="220" t="s">
        <v>2</v>
      </c>
      <c r="D142" s="220"/>
      <c r="E142" s="122" t="s">
        <v>3</v>
      </c>
      <c r="F142" s="122" t="s">
        <v>4</v>
      </c>
      <c r="G142" s="122" t="s">
        <v>5</v>
      </c>
      <c r="H142" s="122" t="s">
        <v>6</v>
      </c>
      <c r="I142" s="3" t="s">
        <v>50</v>
      </c>
      <c r="J142" s="3" t="s">
        <v>93</v>
      </c>
      <c r="K142" s="3" t="s">
        <v>52</v>
      </c>
      <c r="L142" s="3" t="s">
        <v>10</v>
      </c>
      <c r="M142" s="3" t="s">
        <v>11</v>
      </c>
      <c r="N142" s="3" t="s">
        <v>12</v>
      </c>
      <c r="O142" s="122" t="s">
        <v>13</v>
      </c>
      <c r="P142" s="122" t="s">
        <v>14</v>
      </c>
    </row>
    <row r="143" spans="2:16" x14ac:dyDescent="0.3">
      <c r="B143" s="222" t="s">
        <v>99</v>
      </c>
      <c r="C143" s="222" t="s">
        <v>16</v>
      </c>
      <c r="D143" s="118" t="s">
        <v>17</v>
      </c>
      <c r="E143" s="96">
        <v>1800</v>
      </c>
      <c r="F143" s="96">
        <v>370</v>
      </c>
      <c r="G143" s="96">
        <v>50</v>
      </c>
      <c r="H143" s="96">
        <v>0</v>
      </c>
      <c r="I143" s="96">
        <v>75</v>
      </c>
      <c r="J143" s="96">
        <v>75</v>
      </c>
      <c r="K143" s="97">
        <f>SUM(E143:J143)</f>
        <v>2370</v>
      </c>
      <c r="L143" s="96">
        <v>200</v>
      </c>
      <c r="M143" s="97">
        <f>SUM(K143:L143)</f>
        <v>2570</v>
      </c>
      <c r="N143" s="95" t="s">
        <v>100</v>
      </c>
      <c r="O143" s="211" t="s">
        <v>20</v>
      </c>
      <c r="P143" s="95" t="s">
        <v>42</v>
      </c>
    </row>
    <row r="144" spans="2:16" x14ac:dyDescent="0.3">
      <c r="B144" s="222"/>
      <c r="C144" s="222"/>
      <c r="D144" s="118" t="s">
        <v>22</v>
      </c>
      <c r="E144" s="96">
        <v>2200</v>
      </c>
      <c r="F144" s="96">
        <v>370</v>
      </c>
      <c r="G144" s="96">
        <v>50</v>
      </c>
      <c r="H144" s="96">
        <v>0</v>
      </c>
      <c r="I144" s="96">
        <v>75</v>
      </c>
      <c r="J144" s="96">
        <v>75</v>
      </c>
      <c r="K144" s="97">
        <f>SUM(E144:J144)</f>
        <v>2770</v>
      </c>
      <c r="L144" s="96">
        <v>200</v>
      </c>
      <c r="M144" s="97">
        <f>SUM(K144:L144)</f>
        <v>2970</v>
      </c>
      <c r="N144" s="95" t="s">
        <v>100</v>
      </c>
      <c r="O144" s="211" t="s">
        <v>20</v>
      </c>
      <c r="P144" s="95" t="s">
        <v>42</v>
      </c>
    </row>
    <row r="145" spans="2:17" x14ac:dyDescent="0.3">
      <c r="B145" s="222" t="s">
        <v>101</v>
      </c>
      <c r="C145" s="222" t="s">
        <v>29</v>
      </c>
      <c r="D145" s="118" t="s">
        <v>17</v>
      </c>
      <c r="E145" s="96">
        <v>1050</v>
      </c>
      <c r="F145" s="96">
        <v>289</v>
      </c>
      <c r="G145" s="96">
        <v>84.38</v>
      </c>
      <c r="H145" s="96">
        <v>55</v>
      </c>
      <c r="I145" s="96">
        <v>75</v>
      </c>
      <c r="J145" s="96">
        <v>75</v>
      </c>
      <c r="K145" s="97">
        <f>SUM(E145:J145)</f>
        <v>1628.38</v>
      </c>
      <c r="L145" s="96">
        <v>200</v>
      </c>
      <c r="M145" s="97">
        <f>SUM(K145:L145)</f>
        <v>1828.38</v>
      </c>
      <c r="N145" s="95" t="s">
        <v>100</v>
      </c>
      <c r="O145" s="211" t="s">
        <v>20</v>
      </c>
      <c r="P145" s="95" t="s">
        <v>60</v>
      </c>
    </row>
    <row r="146" spans="2:17" x14ac:dyDescent="0.3">
      <c r="B146" s="222"/>
      <c r="C146" s="222"/>
      <c r="D146" s="118" t="s">
        <v>22</v>
      </c>
      <c r="E146" s="96">
        <v>1500</v>
      </c>
      <c r="F146" s="96">
        <v>289</v>
      </c>
      <c r="G146" s="96">
        <v>84.38</v>
      </c>
      <c r="H146" s="96">
        <v>55</v>
      </c>
      <c r="I146" s="96">
        <v>75</v>
      </c>
      <c r="J146" s="96">
        <v>75</v>
      </c>
      <c r="K146" s="97">
        <f>SUM(E146:J146)</f>
        <v>2078.38</v>
      </c>
      <c r="L146" s="96">
        <v>200</v>
      </c>
      <c r="M146" s="97">
        <f>SUM(K146:L146)</f>
        <v>2278.38</v>
      </c>
      <c r="N146" s="95" t="s">
        <v>100</v>
      </c>
      <c r="O146" s="211" t="s">
        <v>20</v>
      </c>
      <c r="P146" s="95" t="s">
        <v>60</v>
      </c>
    </row>
    <row r="147" spans="2:17" x14ac:dyDescent="0.3">
      <c r="F147" s="19"/>
      <c r="G147" s="19"/>
      <c r="H147" s="19"/>
      <c r="I147" s="19"/>
    </row>
    <row r="148" spans="2:17" ht="15.6" x14ac:dyDescent="0.3">
      <c r="B148" s="5" t="s">
        <v>32</v>
      </c>
      <c r="C148" s="6"/>
      <c r="D148" s="6"/>
      <c r="E148" s="6"/>
      <c r="F148" s="6"/>
      <c r="G148" s="6"/>
      <c r="H148" s="6"/>
      <c r="I148" s="6"/>
      <c r="J148" s="6"/>
      <c r="K148" s="6"/>
      <c r="L148" s="6"/>
      <c r="M148" s="6"/>
      <c r="N148" s="6"/>
      <c r="O148" s="6"/>
      <c r="P148" s="6"/>
      <c r="Q148" s="7"/>
    </row>
    <row r="149" spans="2:17" x14ac:dyDescent="0.3">
      <c r="B149" s="242" t="s">
        <v>33</v>
      </c>
      <c r="C149" s="243"/>
      <c r="D149" s="243"/>
      <c r="E149" s="243"/>
      <c r="F149" s="243"/>
      <c r="G149" s="243"/>
      <c r="H149" s="243"/>
      <c r="I149" s="243"/>
      <c r="J149" s="243"/>
      <c r="K149" s="243"/>
      <c r="L149" s="243"/>
      <c r="M149" s="243"/>
      <c r="N149" s="243"/>
      <c r="O149" s="243"/>
      <c r="P149" s="243"/>
      <c r="Q149" s="244"/>
    </row>
    <row r="150" spans="2:17" x14ac:dyDescent="0.3">
      <c r="B150" s="242"/>
      <c r="C150" s="243"/>
      <c r="D150" s="243"/>
      <c r="E150" s="243"/>
      <c r="F150" s="243"/>
      <c r="G150" s="243"/>
      <c r="H150" s="243"/>
      <c r="I150" s="243"/>
      <c r="J150" s="243"/>
      <c r="K150" s="243"/>
      <c r="L150" s="243"/>
      <c r="M150" s="243"/>
      <c r="N150" s="243"/>
      <c r="O150" s="243"/>
      <c r="P150" s="243"/>
      <c r="Q150" s="244"/>
    </row>
    <row r="151" spans="2:17" x14ac:dyDescent="0.3">
      <c r="B151" s="242"/>
      <c r="C151" s="243"/>
      <c r="D151" s="243"/>
      <c r="E151" s="243"/>
      <c r="F151" s="243"/>
      <c r="G151" s="243"/>
      <c r="H151" s="243"/>
      <c r="I151" s="243"/>
      <c r="J151" s="243"/>
      <c r="K151" s="243"/>
      <c r="L151" s="243"/>
      <c r="M151" s="243"/>
      <c r="N151" s="243"/>
      <c r="O151" s="243"/>
      <c r="P151" s="243"/>
      <c r="Q151" s="244"/>
    </row>
    <row r="152" spans="2:17" x14ac:dyDescent="0.3">
      <c r="B152" s="245"/>
      <c r="C152" s="246"/>
      <c r="D152" s="246"/>
      <c r="E152" s="246"/>
      <c r="F152" s="246"/>
      <c r="G152" s="246"/>
      <c r="H152" s="246"/>
      <c r="I152" s="246"/>
      <c r="J152" s="246"/>
      <c r="K152" s="246"/>
      <c r="L152" s="246"/>
      <c r="M152" s="246"/>
      <c r="N152" s="246"/>
      <c r="O152" s="246"/>
      <c r="P152" s="246"/>
      <c r="Q152" s="247"/>
    </row>
    <row r="154" spans="2:17" x14ac:dyDescent="0.3">
      <c r="B154" s="35"/>
      <c r="C154" s="35"/>
      <c r="D154" s="35"/>
      <c r="E154" s="35"/>
      <c r="F154" s="35"/>
      <c r="G154" s="35"/>
      <c r="H154" s="35"/>
      <c r="I154" s="35"/>
      <c r="J154" s="35"/>
      <c r="K154" s="35"/>
      <c r="L154" s="35"/>
      <c r="M154" s="35"/>
      <c r="N154" s="35"/>
      <c r="O154" s="35"/>
      <c r="P154" s="35"/>
    </row>
    <row r="159" spans="2:17" ht="15" thickBot="1" x14ac:dyDescent="0.35"/>
    <row r="160" spans="2:17" ht="28.8" x14ac:dyDescent="0.3">
      <c r="B160" s="218" t="s">
        <v>102</v>
      </c>
      <c r="C160" s="219"/>
      <c r="D160" s="219"/>
      <c r="E160" s="219"/>
      <c r="F160" s="219"/>
      <c r="G160" s="219"/>
      <c r="H160" s="219"/>
      <c r="I160" s="219"/>
      <c r="J160" s="219"/>
      <c r="K160" s="219"/>
      <c r="L160" s="219"/>
      <c r="M160" s="219"/>
      <c r="N160" s="219"/>
      <c r="O160" s="219"/>
      <c r="P160" s="219"/>
    </row>
    <row r="161" spans="2:17" ht="28.8" x14ac:dyDescent="0.3">
      <c r="B161" s="98" t="s">
        <v>1</v>
      </c>
      <c r="C161" s="220" t="s">
        <v>2</v>
      </c>
      <c r="D161" s="220"/>
      <c r="E161" s="122" t="s">
        <v>3</v>
      </c>
      <c r="F161" s="122" t="s">
        <v>4</v>
      </c>
      <c r="G161" s="122" t="s">
        <v>5</v>
      </c>
      <c r="H161" s="122" t="s">
        <v>6</v>
      </c>
      <c r="I161" s="3" t="s">
        <v>50</v>
      </c>
      <c r="J161" s="3" t="s">
        <v>93</v>
      </c>
      <c r="K161" s="3" t="s">
        <v>52</v>
      </c>
      <c r="L161" s="3" t="s">
        <v>10</v>
      </c>
      <c r="M161" s="3" t="s">
        <v>11</v>
      </c>
      <c r="N161" s="3" t="s">
        <v>12</v>
      </c>
      <c r="O161" s="122" t="s">
        <v>13</v>
      </c>
      <c r="P161" s="122" t="s">
        <v>14</v>
      </c>
    </row>
    <row r="162" spans="2:17" x14ac:dyDescent="0.3">
      <c r="B162" s="221" t="s">
        <v>103</v>
      </c>
      <c r="C162" s="222" t="s">
        <v>104</v>
      </c>
      <c r="D162" s="118" t="s">
        <v>17</v>
      </c>
      <c r="E162" s="120">
        <v>1550</v>
      </c>
      <c r="F162" s="96">
        <v>340</v>
      </c>
      <c r="G162" s="96">
        <v>80</v>
      </c>
      <c r="H162" s="96">
        <v>18</v>
      </c>
      <c r="I162" s="96">
        <v>75</v>
      </c>
      <c r="J162" s="96">
        <v>75</v>
      </c>
      <c r="K162" s="97">
        <f>SUM(E162:J162)</f>
        <v>2138</v>
      </c>
      <c r="L162" s="96">
        <v>200</v>
      </c>
      <c r="M162" s="97">
        <f>SUM(K162:L162)</f>
        <v>2338</v>
      </c>
      <c r="N162" s="95" t="s">
        <v>96</v>
      </c>
      <c r="O162" s="211" t="s">
        <v>20</v>
      </c>
      <c r="P162" s="95" t="s">
        <v>105</v>
      </c>
    </row>
    <row r="163" spans="2:17" x14ac:dyDescent="0.3">
      <c r="B163" s="221"/>
      <c r="C163" s="222"/>
      <c r="D163" s="118" t="s">
        <v>22</v>
      </c>
      <c r="E163" s="120">
        <v>2700</v>
      </c>
      <c r="F163" s="96">
        <v>340</v>
      </c>
      <c r="G163" s="96">
        <v>80</v>
      </c>
      <c r="H163" s="96">
        <v>18</v>
      </c>
      <c r="I163" s="96">
        <v>75</v>
      </c>
      <c r="J163" s="96">
        <v>75</v>
      </c>
      <c r="K163" s="97">
        <f>SUM(E163:J163)</f>
        <v>3288</v>
      </c>
      <c r="L163" s="96">
        <v>200</v>
      </c>
      <c r="M163" s="97">
        <f>SUM(K163:L163)</f>
        <v>3488</v>
      </c>
      <c r="N163" s="95" t="s">
        <v>96</v>
      </c>
      <c r="O163" s="211" t="s">
        <v>20</v>
      </c>
      <c r="P163" s="95" t="s">
        <v>105</v>
      </c>
    </row>
    <row r="165" spans="2:17" ht="15.6" x14ac:dyDescent="0.3">
      <c r="B165" s="5" t="s">
        <v>32</v>
      </c>
      <c r="C165" s="6"/>
      <c r="D165" s="6"/>
      <c r="E165" s="6"/>
      <c r="F165" s="6"/>
      <c r="G165" s="6"/>
      <c r="H165" s="6"/>
      <c r="I165" s="6"/>
      <c r="J165" s="6"/>
      <c r="K165" s="6"/>
      <c r="L165" s="6"/>
      <c r="M165" s="6"/>
      <c r="N165" s="6"/>
      <c r="O165" s="6"/>
      <c r="P165" s="6"/>
      <c r="Q165" s="7"/>
    </row>
    <row r="166" spans="2:17" x14ac:dyDescent="0.3">
      <c r="B166" s="242" t="s">
        <v>33</v>
      </c>
      <c r="C166" s="243"/>
      <c r="D166" s="243"/>
      <c r="E166" s="243"/>
      <c r="F166" s="243"/>
      <c r="G166" s="243"/>
      <c r="H166" s="243"/>
      <c r="I166" s="243"/>
      <c r="J166" s="243"/>
      <c r="K166" s="243"/>
      <c r="L166" s="243"/>
      <c r="M166" s="243"/>
      <c r="N166" s="243"/>
      <c r="O166" s="243"/>
      <c r="P166" s="243"/>
      <c r="Q166" s="244"/>
    </row>
    <row r="167" spans="2:17" x14ac:dyDescent="0.3">
      <c r="B167" s="242"/>
      <c r="C167" s="243"/>
      <c r="D167" s="243"/>
      <c r="E167" s="243"/>
      <c r="F167" s="243"/>
      <c r="G167" s="243"/>
      <c r="H167" s="243"/>
      <c r="I167" s="243"/>
      <c r="J167" s="243"/>
      <c r="K167" s="243"/>
      <c r="L167" s="243"/>
      <c r="M167" s="243"/>
      <c r="N167" s="243"/>
      <c r="O167" s="243"/>
      <c r="P167" s="243"/>
      <c r="Q167" s="244"/>
    </row>
    <row r="168" spans="2:17" x14ac:dyDescent="0.3">
      <c r="B168" s="242"/>
      <c r="C168" s="243"/>
      <c r="D168" s="243"/>
      <c r="E168" s="243"/>
      <c r="F168" s="243"/>
      <c r="G168" s="243"/>
      <c r="H168" s="243"/>
      <c r="I168" s="243"/>
      <c r="J168" s="243"/>
      <c r="K168" s="243"/>
      <c r="L168" s="243"/>
      <c r="M168" s="243"/>
      <c r="N168" s="243"/>
      <c r="O168" s="243"/>
      <c r="P168" s="243"/>
      <c r="Q168" s="244"/>
    </row>
    <row r="169" spans="2:17" x14ac:dyDescent="0.3">
      <c r="B169" s="245"/>
      <c r="C169" s="246"/>
      <c r="D169" s="246"/>
      <c r="E169" s="246"/>
      <c r="F169" s="246"/>
      <c r="G169" s="246"/>
      <c r="H169" s="246"/>
      <c r="I169" s="246"/>
      <c r="J169" s="246"/>
      <c r="K169" s="246"/>
      <c r="L169" s="246"/>
      <c r="M169" s="246"/>
      <c r="N169" s="246"/>
      <c r="O169" s="246"/>
      <c r="P169" s="246"/>
      <c r="Q169" s="247"/>
    </row>
    <row r="170" spans="2:17" x14ac:dyDescent="0.3">
      <c r="B170" s="35"/>
      <c r="C170" s="35"/>
      <c r="D170" s="35"/>
      <c r="E170" s="35"/>
      <c r="F170" s="35"/>
      <c r="G170" s="35"/>
      <c r="H170" s="35"/>
      <c r="I170" s="35"/>
      <c r="J170" s="35"/>
      <c r="K170" s="35"/>
      <c r="L170" s="35"/>
      <c r="M170" s="35"/>
      <c r="N170" s="35"/>
      <c r="O170" s="35"/>
      <c r="P170" s="35"/>
      <c r="Q170" s="35"/>
    </row>
    <row r="171" spans="2:17" x14ac:dyDescent="0.3">
      <c r="B171" s="35"/>
      <c r="C171" s="35"/>
      <c r="D171" s="35"/>
      <c r="E171" s="35"/>
      <c r="F171" s="35"/>
      <c r="G171" s="35"/>
      <c r="H171" s="35"/>
      <c r="I171" s="35"/>
      <c r="J171" s="35"/>
      <c r="K171" s="35"/>
      <c r="L171" s="35"/>
      <c r="M171" s="35"/>
      <c r="N171" s="35"/>
      <c r="O171" s="35"/>
      <c r="P171" s="35"/>
      <c r="Q171" s="35"/>
    </row>
    <row r="173" spans="2:17" ht="28.8" x14ac:dyDescent="0.3">
      <c r="B173" s="258" t="s">
        <v>106</v>
      </c>
      <c r="C173" s="225"/>
      <c r="D173" s="225"/>
      <c r="E173" s="225"/>
      <c r="F173" s="225"/>
      <c r="G173" s="225"/>
      <c r="H173" s="225"/>
      <c r="I173" s="225"/>
      <c r="J173" s="225"/>
      <c r="K173" s="225"/>
      <c r="L173" s="225"/>
      <c r="M173" s="225"/>
      <c r="N173" s="225"/>
      <c r="O173" s="225"/>
      <c r="P173" s="225"/>
      <c r="Q173" s="225"/>
    </row>
    <row r="174" spans="2:17" ht="43.2" x14ac:dyDescent="0.3">
      <c r="B174" s="98" t="s">
        <v>1</v>
      </c>
      <c r="C174" s="220" t="s">
        <v>2</v>
      </c>
      <c r="D174" s="220"/>
      <c r="E174" s="122" t="s">
        <v>3</v>
      </c>
      <c r="F174" s="3" t="s">
        <v>107</v>
      </c>
      <c r="G174" s="122" t="s">
        <v>108</v>
      </c>
      <c r="H174" s="3" t="s">
        <v>109</v>
      </c>
      <c r="I174" s="3" t="s">
        <v>110</v>
      </c>
      <c r="J174" s="3" t="s">
        <v>93</v>
      </c>
      <c r="K174" s="3" t="s">
        <v>111</v>
      </c>
      <c r="L174" s="3" t="s">
        <v>52</v>
      </c>
      <c r="M174" s="3" t="s">
        <v>10</v>
      </c>
      <c r="N174" s="3" t="s">
        <v>11</v>
      </c>
      <c r="O174" s="3" t="s">
        <v>12</v>
      </c>
      <c r="P174" s="122" t="s">
        <v>13</v>
      </c>
      <c r="Q174" s="122" t="s">
        <v>14</v>
      </c>
    </row>
    <row r="175" spans="2:17" x14ac:dyDescent="0.3">
      <c r="B175" s="223" t="s">
        <v>112</v>
      </c>
      <c r="C175" s="222" t="s">
        <v>29</v>
      </c>
      <c r="D175" s="118" t="s">
        <v>17</v>
      </c>
      <c r="E175" s="145">
        <v>450</v>
      </c>
      <c r="F175" s="145">
        <v>160</v>
      </c>
      <c r="G175" s="96">
        <v>160</v>
      </c>
      <c r="H175" s="96">
        <v>97.87</v>
      </c>
      <c r="I175" s="96">
        <v>340</v>
      </c>
      <c r="J175" s="96">
        <v>60</v>
      </c>
      <c r="K175" s="190">
        <v>97.87</v>
      </c>
      <c r="L175" s="97">
        <f>SUM(E175:K175)</f>
        <v>1365.7399999999998</v>
      </c>
      <c r="M175" s="96">
        <v>200</v>
      </c>
      <c r="N175" s="97">
        <f>L175+M175</f>
        <v>1565.7399999999998</v>
      </c>
      <c r="O175" s="184" t="s">
        <v>113</v>
      </c>
      <c r="P175" s="211" t="s">
        <v>20</v>
      </c>
      <c r="Q175" s="95" t="s">
        <v>67</v>
      </c>
    </row>
    <row r="176" spans="2:17" x14ac:dyDescent="0.3">
      <c r="B176" s="224"/>
      <c r="C176" s="222"/>
      <c r="D176" s="118" t="s">
        <v>22</v>
      </c>
      <c r="E176" s="145">
        <v>600</v>
      </c>
      <c r="F176" s="145">
        <v>320</v>
      </c>
      <c r="G176" s="96">
        <v>210</v>
      </c>
      <c r="H176" s="96">
        <v>97.87</v>
      </c>
      <c r="I176" s="96">
        <v>340</v>
      </c>
      <c r="J176" s="96">
        <v>60</v>
      </c>
      <c r="K176" s="190">
        <v>97.87</v>
      </c>
      <c r="L176" s="97">
        <f>SUM(E176:K176)</f>
        <v>1725.7399999999998</v>
      </c>
      <c r="M176" s="96">
        <v>200</v>
      </c>
      <c r="N176" s="97">
        <f>L176+M176</f>
        <v>1925.7399999999998</v>
      </c>
      <c r="O176" s="184" t="s">
        <v>113</v>
      </c>
      <c r="P176" s="211" t="s">
        <v>20</v>
      </c>
      <c r="Q176" s="95" t="s">
        <v>67</v>
      </c>
    </row>
    <row r="180" spans="2:16" x14ac:dyDescent="0.3">
      <c r="B180" s="35"/>
      <c r="C180" s="35"/>
      <c r="D180" s="35"/>
      <c r="E180" s="35"/>
      <c r="F180" s="35"/>
      <c r="G180" s="35"/>
      <c r="H180" s="35"/>
      <c r="I180" s="35"/>
      <c r="J180" s="35"/>
      <c r="K180" s="35"/>
      <c r="L180" s="35"/>
      <c r="M180" s="35"/>
      <c r="N180" s="35"/>
      <c r="O180" s="35"/>
      <c r="P180" s="35"/>
    </row>
    <row r="185" spans="2:16" ht="15" thickBot="1" x14ac:dyDescent="0.35"/>
    <row r="186" spans="2:16" ht="28.8" x14ac:dyDescent="0.3">
      <c r="B186" s="218" t="s">
        <v>114</v>
      </c>
      <c r="C186" s="219"/>
      <c r="D186" s="219"/>
      <c r="E186" s="219"/>
      <c r="F186" s="219"/>
      <c r="G186" s="219"/>
      <c r="H186" s="219"/>
      <c r="I186" s="219"/>
      <c r="J186" s="219"/>
      <c r="K186" s="219"/>
      <c r="L186" s="219"/>
      <c r="M186" s="219"/>
      <c r="N186" s="219"/>
      <c r="O186" s="219"/>
      <c r="P186" s="219"/>
    </row>
    <row r="187" spans="2:16" ht="28.8" x14ac:dyDescent="0.3">
      <c r="B187" s="98" t="s">
        <v>1</v>
      </c>
      <c r="C187" s="220" t="s">
        <v>2</v>
      </c>
      <c r="D187" s="220"/>
      <c r="E187" s="122" t="s">
        <v>3</v>
      </c>
      <c r="F187" s="122" t="s">
        <v>4</v>
      </c>
      <c r="G187" s="122" t="s">
        <v>5</v>
      </c>
      <c r="H187" s="122" t="s">
        <v>115</v>
      </c>
      <c r="I187" s="3" t="s">
        <v>50</v>
      </c>
      <c r="J187" s="3" t="s">
        <v>93</v>
      </c>
      <c r="K187" s="3" t="s">
        <v>52</v>
      </c>
      <c r="L187" s="3" t="s">
        <v>10</v>
      </c>
      <c r="M187" s="3" t="s">
        <v>11</v>
      </c>
      <c r="N187" s="3" t="s">
        <v>12</v>
      </c>
      <c r="O187" s="122" t="s">
        <v>13</v>
      </c>
      <c r="P187" s="122" t="s">
        <v>14</v>
      </c>
    </row>
    <row r="188" spans="2:16" x14ac:dyDescent="0.3">
      <c r="B188" s="221" t="s">
        <v>116</v>
      </c>
      <c r="C188" s="222" t="s">
        <v>95</v>
      </c>
      <c r="D188" s="118" t="s">
        <v>17</v>
      </c>
      <c r="E188" s="120">
        <v>1700</v>
      </c>
      <c r="F188" s="96">
        <v>340</v>
      </c>
      <c r="G188" s="96">
        <v>97.87</v>
      </c>
      <c r="H188" s="96">
        <v>55</v>
      </c>
      <c r="I188" s="96" t="s">
        <v>117</v>
      </c>
      <c r="J188" s="96" t="s">
        <v>117</v>
      </c>
      <c r="K188" s="97">
        <f>SUM(E188:J188)</f>
        <v>2192.87</v>
      </c>
      <c r="L188" s="96">
        <v>200</v>
      </c>
      <c r="M188" s="97">
        <f>SUM(K188:L188)</f>
        <v>2392.87</v>
      </c>
      <c r="N188" s="210" t="s">
        <v>118</v>
      </c>
      <c r="O188" s="211" t="s">
        <v>20</v>
      </c>
      <c r="P188" s="95" t="s">
        <v>67</v>
      </c>
    </row>
    <row r="189" spans="2:16" x14ac:dyDescent="0.3">
      <c r="B189" s="221"/>
      <c r="C189" s="222"/>
      <c r="D189" s="118" t="s">
        <v>22</v>
      </c>
      <c r="E189" s="120">
        <v>2050</v>
      </c>
      <c r="F189" s="96">
        <v>340</v>
      </c>
      <c r="G189" s="96">
        <v>97.87</v>
      </c>
      <c r="H189" s="96">
        <v>55</v>
      </c>
      <c r="I189" s="96" t="s">
        <v>117</v>
      </c>
      <c r="J189" s="96" t="s">
        <v>117</v>
      </c>
      <c r="K189" s="97">
        <f>SUM(E189:J189)</f>
        <v>2542.87</v>
      </c>
      <c r="L189" s="96">
        <v>200</v>
      </c>
      <c r="M189" s="97">
        <f>SUM(K189:L189)</f>
        <v>2742.87</v>
      </c>
      <c r="N189" s="210" t="s">
        <v>118</v>
      </c>
      <c r="O189" s="211" t="s">
        <v>20</v>
      </c>
      <c r="P189" s="95" t="s">
        <v>67</v>
      </c>
    </row>
    <row r="1048571" spans="3:3" x14ac:dyDescent="0.3">
      <c r="C1048571" s="127"/>
    </row>
  </sheetData>
  <mergeCells count="122">
    <mergeCell ref="B160:P160"/>
    <mergeCell ref="C161:D161"/>
    <mergeCell ref="B162:B163"/>
    <mergeCell ref="C162:C163"/>
    <mergeCell ref="B166:Q169"/>
    <mergeCell ref="C142:D142"/>
    <mergeCell ref="B145:B146"/>
    <mergeCell ref="C145:C146"/>
    <mergeCell ref="B149:Q152"/>
    <mergeCell ref="B124:Q127"/>
    <mergeCell ref="B134:P134"/>
    <mergeCell ref="C135:D135"/>
    <mergeCell ref="B137:B138"/>
    <mergeCell ref="C137:C138"/>
    <mergeCell ref="B141:P141"/>
    <mergeCell ref="B143:B144"/>
    <mergeCell ref="C143:C144"/>
    <mergeCell ref="B105:S105"/>
    <mergeCell ref="B106:S109"/>
    <mergeCell ref="B118:P118"/>
    <mergeCell ref="C119:D119"/>
    <mergeCell ref="O119:Q119"/>
    <mergeCell ref="B120:B121"/>
    <mergeCell ref="C120:C121"/>
    <mergeCell ref="O120:Q121"/>
    <mergeCell ref="C101:D101"/>
    <mergeCell ref="R101:S101"/>
    <mergeCell ref="B102:B103"/>
    <mergeCell ref="C102:C103"/>
    <mergeCell ref="R102:S103"/>
    <mergeCell ref="B96:S96"/>
    <mergeCell ref="C97:D97"/>
    <mergeCell ref="R97:S97"/>
    <mergeCell ref="B98:B99"/>
    <mergeCell ref="C98:C99"/>
    <mergeCell ref="R98:S99"/>
    <mergeCell ref="B94:B95"/>
    <mergeCell ref="C94:C95"/>
    <mergeCell ref="R94:S95"/>
    <mergeCell ref="C89:D89"/>
    <mergeCell ref="R89:S89"/>
    <mergeCell ref="B90:B91"/>
    <mergeCell ref="C90:C91"/>
    <mergeCell ref="R90:S91"/>
    <mergeCell ref="B100:S100"/>
    <mergeCell ref="R86:S87"/>
    <mergeCell ref="B80:S80"/>
    <mergeCell ref="C81:D81"/>
    <mergeCell ref="R81:S81"/>
    <mergeCell ref="B82:B83"/>
    <mergeCell ref="C82:C83"/>
    <mergeCell ref="R82:S83"/>
    <mergeCell ref="B92:S92"/>
    <mergeCell ref="C93:D93"/>
    <mergeCell ref="R93:S93"/>
    <mergeCell ref="B88:S88"/>
    <mergeCell ref="B173:Q173"/>
    <mergeCell ref="R72:S73"/>
    <mergeCell ref="B62:B63"/>
    <mergeCell ref="C62:C63"/>
    <mergeCell ref="B64:B65"/>
    <mergeCell ref="C64:C65"/>
    <mergeCell ref="R64:S65"/>
    <mergeCell ref="R62:S63"/>
    <mergeCell ref="R66:S67"/>
    <mergeCell ref="B70:B71"/>
    <mergeCell ref="C70:C71"/>
    <mergeCell ref="B72:B73"/>
    <mergeCell ref="C72:C73"/>
    <mergeCell ref="R68:S71"/>
    <mergeCell ref="B66:B67"/>
    <mergeCell ref="C66:C67"/>
    <mergeCell ref="B68:B69"/>
    <mergeCell ref="C68:C69"/>
    <mergeCell ref="B84:S84"/>
    <mergeCell ref="C85:D85"/>
    <mergeCell ref="R85:S85"/>
    <mergeCell ref="B86:B87"/>
    <mergeCell ref="C86:C87"/>
    <mergeCell ref="B78:B79"/>
    <mergeCell ref="C78:C79"/>
    <mergeCell ref="C20:C21"/>
    <mergeCell ref="B24:P27"/>
    <mergeCell ref="O40:P40"/>
    <mergeCell ref="B43:Q46"/>
    <mergeCell ref="B56:S56"/>
    <mergeCell ref="C57:D57"/>
    <mergeCell ref="R57:S57"/>
    <mergeCell ref="B58:B59"/>
    <mergeCell ref="C58:C59"/>
    <mergeCell ref="R58:S61"/>
    <mergeCell ref="B60:B61"/>
    <mergeCell ref="C60:C61"/>
    <mergeCell ref="R74:S79"/>
    <mergeCell ref="B74:B75"/>
    <mergeCell ref="C74:C75"/>
    <mergeCell ref="B76:B77"/>
    <mergeCell ref="C76:C77"/>
    <mergeCell ref="B186:P186"/>
    <mergeCell ref="C187:D187"/>
    <mergeCell ref="B188:B189"/>
    <mergeCell ref="C188:C189"/>
    <mergeCell ref="C174:D174"/>
    <mergeCell ref="B175:B176"/>
    <mergeCell ref="C175:C176"/>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B126"/>
  <sheetViews>
    <sheetView topLeftCell="C22" zoomScale="101" zoomScaleNormal="100" zoomScaleSheetLayoutView="100" workbookViewId="0">
      <selection activeCell="L125" sqref="L125"/>
    </sheetView>
  </sheetViews>
  <sheetFormatPr defaultColWidth="8.5546875" defaultRowHeight="14.4" x14ac:dyDescent="0.3"/>
  <cols>
    <col min="1" max="1" width="8.88671875" style="19" customWidth="1"/>
    <col min="2" max="2" width="41.6640625" style="19" customWidth="1"/>
    <col min="3" max="3" width="11.6640625" style="28" bestFit="1" customWidth="1"/>
    <col min="4" max="4" width="7.109375" style="19" bestFit="1" customWidth="1"/>
    <col min="5" max="5" width="12.33203125" style="19" customWidth="1"/>
    <col min="6" max="6" width="13.5546875" style="19" customWidth="1"/>
    <col min="7" max="7" width="11.6640625" style="19" customWidth="1"/>
    <col min="8" max="8" width="14.44140625" style="19" bestFit="1" customWidth="1"/>
    <col min="9" max="9" width="14.44140625" style="19" customWidth="1"/>
    <col min="10" max="10" width="16" style="19" bestFit="1" customWidth="1"/>
    <col min="11" max="11" width="13.5546875" style="19" customWidth="1"/>
    <col min="12" max="12" width="16.109375" style="19" customWidth="1"/>
    <col min="13" max="13" width="11.33203125" style="19" customWidth="1"/>
    <col min="14" max="14" width="12.109375" style="19" customWidth="1"/>
    <col min="15" max="15" width="11.33203125" style="19" bestFit="1" customWidth="1"/>
    <col min="16" max="16" width="33.5546875" style="19" customWidth="1"/>
    <col min="17" max="17" width="10.44140625" style="19" customWidth="1"/>
    <col min="18" max="18" width="10.33203125" style="19" customWidth="1"/>
    <col min="19" max="19" width="14.44140625" style="19" customWidth="1"/>
    <col min="20" max="20" width="9.33203125" style="19" customWidth="1"/>
    <col min="21" max="16384" width="8.5546875" style="19"/>
  </cols>
  <sheetData>
    <row r="9" spans="2:17" ht="28.8" x14ac:dyDescent="0.3">
      <c r="B9" s="225" t="s">
        <v>119</v>
      </c>
      <c r="C9" s="225"/>
      <c r="D9" s="225"/>
      <c r="E9" s="225"/>
      <c r="F9" s="225"/>
      <c r="G9" s="225"/>
      <c r="H9" s="225"/>
      <c r="I9" s="225"/>
      <c r="J9" s="225"/>
      <c r="K9" s="225"/>
      <c r="L9" s="225"/>
      <c r="M9" s="225"/>
      <c r="N9" s="225"/>
      <c r="O9" s="225"/>
      <c r="P9" s="225"/>
      <c r="Q9" s="225"/>
    </row>
    <row r="10" spans="2:17" ht="28.8" x14ac:dyDescent="0.3">
      <c r="B10" s="1" t="s">
        <v>1</v>
      </c>
      <c r="C10" s="305" t="s">
        <v>2</v>
      </c>
      <c r="D10" s="305"/>
      <c r="E10" s="8" t="s">
        <v>3</v>
      </c>
      <c r="F10" s="9" t="s">
        <v>4</v>
      </c>
      <c r="G10" s="9" t="s">
        <v>5</v>
      </c>
      <c r="H10" s="9" t="s">
        <v>6</v>
      </c>
      <c r="I10" s="109" t="s">
        <v>7</v>
      </c>
      <c r="J10" s="9" t="s">
        <v>8</v>
      </c>
      <c r="K10" s="2" t="s">
        <v>9</v>
      </c>
      <c r="L10" s="2" t="s">
        <v>10</v>
      </c>
      <c r="M10" s="2" t="s">
        <v>11</v>
      </c>
      <c r="N10" s="8" t="s">
        <v>12</v>
      </c>
      <c r="O10" s="9" t="s">
        <v>13</v>
      </c>
      <c r="P10" s="10" t="s">
        <v>14</v>
      </c>
      <c r="Q10" s="17" t="s">
        <v>120</v>
      </c>
    </row>
    <row r="11" spans="2:17" x14ac:dyDescent="0.3">
      <c r="B11" s="230" t="s">
        <v>15</v>
      </c>
      <c r="C11" s="230" t="s">
        <v>112</v>
      </c>
      <c r="D11" s="53" t="s">
        <v>17</v>
      </c>
      <c r="E11" s="153">
        <f>(2025)+550</f>
        <v>2575</v>
      </c>
      <c r="F11" s="153">
        <v>175</v>
      </c>
      <c r="G11" s="153">
        <v>75</v>
      </c>
      <c r="H11" s="153">
        <v>14</v>
      </c>
      <c r="I11" s="153">
        <v>50</v>
      </c>
      <c r="J11" s="153">
        <v>150</v>
      </c>
      <c r="K11" s="153">
        <f t="shared" ref="K11:K18" si="0">SUM(D11:J11)</f>
        <v>3039</v>
      </c>
      <c r="L11" s="56">
        <v>200</v>
      </c>
      <c r="M11" s="55">
        <f t="shared" ref="M11:M18" si="1">K11+L11</f>
        <v>3239</v>
      </c>
      <c r="N11" s="57" t="s">
        <v>121</v>
      </c>
      <c r="O11" s="215" t="s">
        <v>20</v>
      </c>
      <c r="P11" s="49" t="s">
        <v>23</v>
      </c>
      <c r="Q11" s="49" t="s">
        <v>122</v>
      </c>
    </row>
    <row r="12" spans="2:17" x14ac:dyDescent="0.3">
      <c r="B12" s="230"/>
      <c r="C12" s="230"/>
      <c r="D12" s="53" t="s">
        <v>22</v>
      </c>
      <c r="E12" s="153">
        <f>(3450)+680</f>
        <v>4130</v>
      </c>
      <c r="F12" s="153">
        <v>225</v>
      </c>
      <c r="G12" s="153">
        <v>75</v>
      </c>
      <c r="H12" s="153">
        <v>14</v>
      </c>
      <c r="I12" s="153">
        <v>50</v>
      </c>
      <c r="J12" s="153">
        <v>300</v>
      </c>
      <c r="K12" s="153">
        <f t="shared" si="0"/>
        <v>4794</v>
      </c>
      <c r="L12" s="56">
        <v>200</v>
      </c>
      <c r="M12" s="55">
        <f t="shared" si="1"/>
        <v>4994</v>
      </c>
      <c r="N12" s="57" t="s">
        <v>121</v>
      </c>
      <c r="O12" s="215" t="s">
        <v>20</v>
      </c>
      <c r="P12" s="49" t="s">
        <v>23</v>
      </c>
      <c r="Q12" s="49" t="s">
        <v>122</v>
      </c>
    </row>
    <row r="13" spans="2:17" x14ac:dyDescent="0.3">
      <c r="B13" s="230" t="s">
        <v>24</v>
      </c>
      <c r="C13" s="230" t="s">
        <v>112</v>
      </c>
      <c r="D13" s="53" t="s">
        <v>17</v>
      </c>
      <c r="E13" s="153">
        <f>(2575)+560</f>
        <v>3135</v>
      </c>
      <c r="F13" s="153">
        <v>175</v>
      </c>
      <c r="G13" s="153">
        <v>75</v>
      </c>
      <c r="H13" s="153">
        <v>14</v>
      </c>
      <c r="I13" s="153">
        <v>50</v>
      </c>
      <c r="J13" s="153">
        <v>150</v>
      </c>
      <c r="K13" s="153">
        <f t="shared" si="0"/>
        <v>3599</v>
      </c>
      <c r="L13" s="56">
        <v>200</v>
      </c>
      <c r="M13" s="55">
        <f t="shared" si="1"/>
        <v>3799</v>
      </c>
      <c r="N13" s="57" t="s">
        <v>123</v>
      </c>
      <c r="O13" s="215" t="s">
        <v>20</v>
      </c>
      <c r="P13" s="49" t="s">
        <v>23</v>
      </c>
      <c r="Q13" s="49" t="s">
        <v>122</v>
      </c>
    </row>
    <row r="14" spans="2:17" x14ac:dyDescent="0.3">
      <c r="B14" s="230"/>
      <c r="C14" s="230"/>
      <c r="D14" s="53" t="s">
        <v>22</v>
      </c>
      <c r="E14" s="153">
        <f>(3875)+600</f>
        <v>4475</v>
      </c>
      <c r="F14" s="153">
        <v>225</v>
      </c>
      <c r="G14" s="153">
        <v>75</v>
      </c>
      <c r="H14" s="153">
        <v>14</v>
      </c>
      <c r="I14" s="153">
        <v>50</v>
      </c>
      <c r="J14" s="153">
        <v>300</v>
      </c>
      <c r="K14" s="153">
        <f t="shared" si="0"/>
        <v>5139</v>
      </c>
      <c r="L14" s="56">
        <v>200</v>
      </c>
      <c r="M14" s="55">
        <f t="shared" si="1"/>
        <v>5339</v>
      </c>
      <c r="N14" s="57" t="s">
        <v>123</v>
      </c>
      <c r="O14" s="215" t="s">
        <v>20</v>
      </c>
      <c r="P14" s="49" t="s">
        <v>23</v>
      </c>
      <c r="Q14" s="49" t="s">
        <v>122</v>
      </c>
    </row>
    <row r="15" spans="2:17" x14ac:dyDescent="0.3">
      <c r="B15" s="228" t="s">
        <v>26</v>
      </c>
      <c r="C15" s="230" t="s">
        <v>112</v>
      </c>
      <c r="D15" s="53" t="s">
        <v>17</v>
      </c>
      <c r="E15" s="153">
        <f>(3045)+550</f>
        <v>3595</v>
      </c>
      <c r="F15" s="153">
        <v>175</v>
      </c>
      <c r="G15" s="153">
        <v>75</v>
      </c>
      <c r="H15" s="153">
        <v>14</v>
      </c>
      <c r="I15" s="153">
        <v>50</v>
      </c>
      <c r="J15" s="153">
        <v>150</v>
      </c>
      <c r="K15" s="153">
        <f t="shared" si="0"/>
        <v>4059</v>
      </c>
      <c r="L15" s="56">
        <v>200</v>
      </c>
      <c r="M15" s="55">
        <f t="shared" si="1"/>
        <v>4259</v>
      </c>
      <c r="N15" s="57" t="s">
        <v>124</v>
      </c>
      <c r="O15" s="215" t="s">
        <v>20</v>
      </c>
      <c r="P15" s="49" t="s">
        <v>23</v>
      </c>
      <c r="Q15" s="49" t="s">
        <v>122</v>
      </c>
    </row>
    <row r="16" spans="2:17" x14ac:dyDescent="0.3">
      <c r="B16" s="228"/>
      <c r="C16" s="230"/>
      <c r="D16" s="53" t="s">
        <v>22</v>
      </c>
      <c r="E16" s="153">
        <f>(4450)+680</f>
        <v>5130</v>
      </c>
      <c r="F16" s="153">
        <v>225</v>
      </c>
      <c r="G16" s="153">
        <v>75</v>
      </c>
      <c r="H16" s="153">
        <v>14</v>
      </c>
      <c r="I16" s="153">
        <v>50</v>
      </c>
      <c r="J16" s="153">
        <v>300</v>
      </c>
      <c r="K16" s="153">
        <f t="shared" si="0"/>
        <v>5794</v>
      </c>
      <c r="L16" s="56">
        <v>200</v>
      </c>
      <c r="M16" s="55">
        <f t="shared" si="1"/>
        <v>5994</v>
      </c>
      <c r="N16" s="57" t="s">
        <v>124</v>
      </c>
      <c r="O16" s="215" t="s">
        <v>20</v>
      </c>
      <c r="P16" s="49" t="s">
        <v>23</v>
      </c>
      <c r="Q16" s="49" t="s">
        <v>122</v>
      </c>
    </row>
    <row r="17" spans="2:18" x14ac:dyDescent="0.3">
      <c r="B17" s="230" t="s">
        <v>125</v>
      </c>
      <c r="C17" s="230" t="s">
        <v>112</v>
      </c>
      <c r="D17" s="53" t="s">
        <v>17</v>
      </c>
      <c r="E17" s="153">
        <f>(3575)+550</f>
        <v>4125</v>
      </c>
      <c r="F17" s="153">
        <v>175</v>
      </c>
      <c r="G17" s="153">
        <v>75</v>
      </c>
      <c r="H17" s="153">
        <v>14</v>
      </c>
      <c r="I17" s="153">
        <v>50</v>
      </c>
      <c r="J17" s="153">
        <v>150</v>
      </c>
      <c r="K17" s="153">
        <f t="shared" si="0"/>
        <v>4589</v>
      </c>
      <c r="L17" s="56">
        <v>200</v>
      </c>
      <c r="M17" s="55">
        <f t="shared" si="1"/>
        <v>4789</v>
      </c>
      <c r="N17" s="57" t="s">
        <v>126</v>
      </c>
      <c r="O17" s="215" t="s">
        <v>20</v>
      </c>
      <c r="P17" s="49" t="s">
        <v>23</v>
      </c>
      <c r="Q17" s="49" t="s">
        <v>122</v>
      </c>
    </row>
    <row r="18" spans="2:18" x14ac:dyDescent="0.3">
      <c r="B18" s="230"/>
      <c r="C18" s="230"/>
      <c r="D18" s="53" t="s">
        <v>22</v>
      </c>
      <c r="E18" s="153">
        <f>(3775)+680</f>
        <v>4455</v>
      </c>
      <c r="F18" s="153">
        <v>225</v>
      </c>
      <c r="G18" s="153">
        <v>75</v>
      </c>
      <c r="H18" s="153">
        <v>14</v>
      </c>
      <c r="I18" s="153">
        <v>50</v>
      </c>
      <c r="J18" s="153">
        <v>300</v>
      </c>
      <c r="K18" s="153">
        <f t="shared" si="0"/>
        <v>5119</v>
      </c>
      <c r="L18" s="56">
        <v>200</v>
      </c>
      <c r="M18" s="55">
        <f t="shared" si="1"/>
        <v>5319</v>
      </c>
      <c r="N18" s="57" t="s">
        <v>126</v>
      </c>
      <c r="O18" s="215" t="s">
        <v>20</v>
      </c>
      <c r="P18" s="49" t="s">
        <v>23</v>
      </c>
      <c r="Q18" s="49" t="s">
        <v>122</v>
      </c>
    </row>
    <row r="19" spans="2:18" x14ac:dyDescent="0.3">
      <c r="B19" s="27"/>
      <c r="C19" s="27"/>
      <c r="E19" s="67"/>
      <c r="F19" s="63"/>
      <c r="G19" s="63"/>
      <c r="H19" s="63"/>
      <c r="I19" s="63"/>
      <c r="J19" s="64"/>
      <c r="K19" s="64"/>
      <c r="L19" s="64"/>
      <c r="M19" s="64"/>
      <c r="N19" s="62"/>
      <c r="O19" s="64"/>
      <c r="P19" s="65"/>
      <c r="Q19" s="34"/>
    </row>
    <row r="20" spans="2:18" ht="15.6" x14ac:dyDescent="0.3">
      <c r="B20" s="308" t="s">
        <v>32</v>
      </c>
      <c r="C20" s="309"/>
      <c r="D20" s="309"/>
      <c r="E20" s="309"/>
      <c r="F20" s="309"/>
      <c r="G20" s="309"/>
      <c r="H20" s="309"/>
      <c r="I20" s="309"/>
      <c r="J20" s="309"/>
      <c r="K20" s="309"/>
      <c r="L20" s="309"/>
      <c r="M20" s="309"/>
      <c r="N20" s="309"/>
      <c r="O20" s="309"/>
      <c r="P20" s="309"/>
      <c r="Q20" s="309"/>
      <c r="R20" s="310"/>
    </row>
    <row r="21" spans="2:18" ht="14.4" customHeight="1" x14ac:dyDescent="0.3">
      <c r="B21" s="311" t="s">
        <v>33</v>
      </c>
      <c r="C21" s="312"/>
      <c r="D21" s="312"/>
      <c r="E21" s="312"/>
      <c r="F21" s="312"/>
      <c r="G21" s="312"/>
      <c r="H21" s="312"/>
      <c r="I21" s="312"/>
      <c r="J21" s="312"/>
      <c r="K21" s="312"/>
      <c r="L21" s="312"/>
      <c r="M21" s="312"/>
      <c r="N21" s="312"/>
      <c r="O21" s="312"/>
      <c r="P21" s="312"/>
      <c r="Q21" s="312"/>
      <c r="R21" s="313"/>
    </row>
    <row r="22" spans="2:18" x14ac:dyDescent="0.3">
      <c r="B22" s="314"/>
      <c r="C22" s="284"/>
      <c r="D22" s="284"/>
      <c r="E22" s="284"/>
      <c r="F22" s="284"/>
      <c r="G22" s="284"/>
      <c r="H22" s="284"/>
      <c r="I22" s="284"/>
      <c r="J22" s="284"/>
      <c r="K22" s="284"/>
      <c r="L22" s="284"/>
      <c r="M22" s="284"/>
      <c r="N22" s="284"/>
      <c r="O22" s="284"/>
      <c r="P22" s="284"/>
      <c r="Q22" s="284"/>
      <c r="R22" s="315"/>
    </row>
    <row r="23" spans="2:18" x14ac:dyDescent="0.3">
      <c r="B23" s="314"/>
      <c r="C23" s="284"/>
      <c r="D23" s="284"/>
      <c r="E23" s="284"/>
      <c r="F23" s="284"/>
      <c r="G23" s="284"/>
      <c r="H23" s="284"/>
      <c r="I23" s="284"/>
      <c r="J23" s="284"/>
      <c r="K23" s="284"/>
      <c r="L23" s="284"/>
      <c r="M23" s="284"/>
      <c r="N23" s="284"/>
      <c r="O23" s="284"/>
      <c r="P23" s="284"/>
      <c r="Q23" s="284"/>
      <c r="R23" s="315"/>
    </row>
    <row r="24" spans="2:18" x14ac:dyDescent="0.3">
      <c r="B24" s="316"/>
      <c r="C24" s="317"/>
      <c r="D24" s="317"/>
      <c r="E24" s="317"/>
      <c r="F24" s="317"/>
      <c r="G24" s="317"/>
      <c r="H24" s="317"/>
      <c r="I24" s="317"/>
      <c r="J24" s="317"/>
      <c r="K24" s="317"/>
      <c r="L24" s="317"/>
      <c r="M24" s="317"/>
      <c r="N24" s="317"/>
      <c r="O24" s="317"/>
      <c r="P24" s="317"/>
      <c r="Q24" s="317"/>
      <c r="R24" s="318"/>
    </row>
    <row r="25" spans="2:18" x14ac:dyDescent="0.3">
      <c r="B25" s="27"/>
      <c r="C25" s="27"/>
      <c r="E25" s="67"/>
      <c r="F25" s="63"/>
      <c r="G25" s="63"/>
      <c r="H25" s="63"/>
      <c r="I25" s="63"/>
      <c r="J25" s="64"/>
      <c r="K25" s="64"/>
      <c r="L25" s="64"/>
      <c r="M25" s="64"/>
      <c r="N25" s="62"/>
      <c r="O25" s="64"/>
      <c r="P25" s="65"/>
      <c r="Q25" s="34"/>
    </row>
    <row r="26" spans="2:18" x14ac:dyDescent="0.3">
      <c r="B26" s="27"/>
      <c r="C26" s="27"/>
      <c r="E26" s="67"/>
      <c r="F26" s="63"/>
      <c r="G26" s="63"/>
      <c r="H26" s="63"/>
      <c r="I26" s="63"/>
      <c r="J26" s="64"/>
      <c r="K26" s="64"/>
      <c r="L26" s="64"/>
      <c r="M26" s="64"/>
      <c r="N26" s="62"/>
      <c r="O26" s="64"/>
      <c r="P26" s="65"/>
      <c r="Q26" s="34"/>
    </row>
    <row r="27" spans="2:18" x14ac:dyDescent="0.3">
      <c r="B27" s="27"/>
      <c r="C27" s="27"/>
      <c r="E27" s="67"/>
      <c r="F27" s="63"/>
      <c r="G27" s="63"/>
      <c r="H27" s="63"/>
      <c r="I27" s="63"/>
      <c r="J27" s="64"/>
      <c r="K27" s="64"/>
      <c r="L27" s="64"/>
      <c r="M27" s="64"/>
      <c r="N27" s="62"/>
      <c r="O27" s="64"/>
      <c r="P27" s="65"/>
      <c r="Q27" s="34"/>
    </row>
    <row r="28" spans="2:18" x14ac:dyDescent="0.3">
      <c r="B28" s="27"/>
      <c r="C28" s="27"/>
      <c r="E28" s="67"/>
      <c r="F28" s="63"/>
      <c r="G28" s="63"/>
      <c r="H28" s="63"/>
      <c r="I28" s="63"/>
      <c r="J28" s="64"/>
      <c r="K28" s="64"/>
      <c r="L28" s="64"/>
      <c r="M28" s="64"/>
      <c r="N28" s="62"/>
      <c r="O28" s="64"/>
      <c r="P28" s="65"/>
      <c r="Q28" s="34"/>
    </row>
    <row r="29" spans="2:18" x14ac:dyDescent="0.3">
      <c r="B29" s="27"/>
      <c r="C29" s="27"/>
      <c r="E29" s="67"/>
      <c r="F29" s="63"/>
      <c r="G29" s="63"/>
      <c r="H29" s="63"/>
      <c r="I29" s="63"/>
      <c r="J29" s="64"/>
      <c r="K29" s="64"/>
      <c r="L29" s="64"/>
      <c r="M29" s="64"/>
      <c r="N29" s="62"/>
      <c r="O29" s="64"/>
      <c r="P29" s="65"/>
      <c r="Q29" s="34"/>
    </row>
    <row r="30" spans="2:18" x14ac:dyDescent="0.3">
      <c r="B30" s="27"/>
      <c r="C30" s="27"/>
      <c r="E30" s="67"/>
      <c r="F30" s="63"/>
      <c r="G30" s="63"/>
      <c r="H30" s="63"/>
      <c r="I30" s="63"/>
      <c r="J30" s="64"/>
      <c r="K30" s="64"/>
      <c r="L30" s="64"/>
      <c r="M30" s="64"/>
      <c r="N30" s="62"/>
      <c r="O30" s="64"/>
      <c r="P30" s="65"/>
      <c r="Q30" s="34"/>
    </row>
    <row r="31" spans="2:18" x14ac:dyDescent="0.3">
      <c r="B31" s="27"/>
      <c r="C31" s="27"/>
      <c r="E31" s="67"/>
      <c r="F31" s="63"/>
      <c r="G31" s="63"/>
      <c r="H31" s="63"/>
      <c r="I31" s="63"/>
      <c r="J31" s="64"/>
      <c r="K31" s="64"/>
      <c r="L31" s="64"/>
      <c r="M31" s="64"/>
      <c r="N31" s="62"/>
      <c r="O31" s="64"/>
      <c r="P31" s="65"/>
      <c r="Q31" s="34"/>
    </row>
    <row r="32" spans="2:18" x14ac:dyDescent="0.3">
      <c r="B32" s="27"/>
      <c r="C32" s="27"/>
      <c r="E32" s="67"/>
      <c r="F32" s="63"/>
      <c r="G32" s="63"/>
      <c r="H32" s="63"/>
      <c r="I32" s="63"/>
      <c r="J32" s="64"/>
      <c r="K32" s="64"/>
      <c r="L32" s="64"/>
      <c r="M32" s="64"/>
      <c r="N32" s="62"/>
      <c r="O32" s="64"/>
      <c r="P32" s="65"/>
      <c r="Q32" s="34"/>
    </row>
    <row r="33" spans="2:19" x14ac:dyDescent="0.3">
      <c r="B33" s="27"/>
      <c r="C33" s="27"/>
      <c r="E33" s="67"/>
      <c r="F33" s="63"/>
      <c r="G33" s="63"/>
      <c r="H33" s="63"/>
      <c r="I33" s="63"/>
      <c r="J33" s="64"/>
      <c r="K33" s="64"/>
      <c r="L33" s="64"/>
      <c r="M33" s="64"/>
      <c r="N33" s="62"/>
      <c r="O33" s="64"/>
      <c r="P33" s="65"/>
      <c r="Q33" s="34"/>
    </row>
    <row r="34" spans="2:19" ht="28.8" x14ac:dyDescent="0.3">
      <c r="B34" s="231" t="s">
        <v>127</v>
      </c>
      <c r="C34" s="231"/>
      <c r="D34" s="231"/>
      <c r="E34" s="231"/>
      <c r="F34" s="231"/>
      <c r="G34" s="231"/>
      <c r="H34" s="231"/>
      <c r="I34" s="231"/>
      <c r="J34" s="231"/>
      <c r="K34" s="231"/>
      <c r="L34" s="231"/>
      <c r="M34" s="231"/>
      <c r="N34" s="231"/>
      <c r="O34" s="231"/>
      <c r="P34" s="231"/>
      <c r="Q34" s="231"/>
      <c r="R34" s="231"/>
    </row>
    <row r="35" spans="2:19" ht="28.8" x14ac:dyDescent="0.3">
      <c r="B35" s="1" t="s">
        <v>1</v>
      </c>
      <c r="C35" s="305" t="s">
        <v>2</v>
      </c>
      <c r="D35" s="305"/>
      <c r="E35" s="129" t="s">
        <v>128</v>
      </c>
      <c r="F35" s="129" t="s">
        <v>129</v>
      </c>
      <c r="G35" s="11" t="s">
        <v>89</v>
      </c>
      <c r="H35" s="129" t="s">
        <v>6</v>
      </c>
      <c r="I35" s="2" t="s">
        <v>9</v>
      </c>
      <c r="J35" s="2" t="s">
        <v>10</v>
      </c>
      <c r="K35" s="2" t="s">
        <v>11</v>
      </c>
      <c r="L35" s="8" t="s">
        <v>12</v>
      </c>
      <c r="M35" s="9" t="s">
        <v>13</v>
      </c>
      <c r="N35" s="9" t="s">
        <v>14</v>
      </c>
      <c r="O35" s="126" t="s">
        <v>120</v>
      </c>
      <c r="P35" s="220" t="s">
        <v>36</v>
      </c>
      <c r="Q35" s="220"/>
      <c r="R35" s="220"/>
    </row>
    <row r="36" spans="2:19" ht="14.4" customHeight="1" x14ac:dyDescent="0.3">
      <c r="B36" s="233" t="s">
        <v>130</v>
      </c>
      <c r="C36" s="230" t="s">
        <v>112</v>
      </c>
      <c r="D36" s="53" t="s">
        <v>17</v>
      </c>
      <c r="E36" s="153">
        <f>CEILING((((6500+75)*1.15)),50)</f>
        <v>7600</v>
      </c>
      <c r="F36" s="153">
        <v>365</v>
      </c>
      <c r="G36" s="153">
        <v>150</v>
      </c>
      <c r="H36" s="153">
        <v>35</v>
      </c>
      <c r="I36" s="201">
        <f t="shared" ref="I36:I39" si="2">SUM(E36:H36)</f>
        <v>8150</v>
      </c>
      <c r="J36" s="153">
        <v>200</v>
      </c>
      <c r="K36" s="201">
        <f t="shared" ref="K36:K39" si="3">I36+J36</f>
        <v>8350</v>
      </c>
      <c r="L36" s="40" t="s">
        <v>131</v>
      </c>
      <c r="M36" s="215" t="s">
        <v>39</v>
      </c>
      <c r="N36" s="20" t="s">
        <v>42</v>
      </c>
      <c r="O36" s="53" t="s">
        <v>122</v>
      </c>
      <c r="P36" s="234" t="s">
        <v>132</v>
      </c>
      <c r="Q36" s="300"/>
      <c r="R36" s="235"/>
    </row>
    <row r="37" spans="2:19" x14ac:dyDescent="0.3">
      <c r="B37" s="233"/>
      <c r="C37" s="230"/>
      <c r="D37" s="53" t="s">
        <v>22</v>
      </c>
      <c r="E37" s="153">
        <f>CEILING((((6800+75)*1.15)),50)</f>
        <v>7950</v>
      </c>
      <c r="F37" s="153">
        <v>365</v>
      </c>
      <c r="G37" s="153">
        <v>100</v>
      </c>
      <c r="H37" s="153">
        <v>30</v>
      </c>
      <c r="I37" s="201">
        <f t="shared" si="2"/>
        <v>8445</v>
      </c>
      <c r="J37" s="153">
        <v>200</v>
      </c>
      <c r="K37" s="201">
        <f t="shared" si="3"/>
        <v>8645</v>
      </c>
      <c r="L37" s="108" t="s">
        <v>131</v>
      </c>
      <c r="M37" s="215" t="s">
        <v>39</v>
      </c>
      <c r="N37" s="20" t="s">
        <v>42</v>
      </c>
      <c r="O37" s="53" t="s">
        <v>122</v>
      </c>
      <c r="P37" s="301"/>
      <c r="Q37" s="302"/>
      <c r="R37" s="303"/>
    </row>
    <row r="38" spans="2:19" x14ac:dyDescent="0.3">
      <c r="B38" s="125" t="s">
        <v>133</v>
      </c>
      <c r="C38" s="20" t="s">
        <v>112</v>
      </c>
      <c r="D38" s="53" t="s">
        <v>17</v>
      </c>
      <c r="E38" s="153">
        <v>4150</v>
      </c>
      <c r="F38" s="153" t="s">
        <v>134</v>
      </c>
      <c r="G38" s="153">
        <v>100</v>
      </c>
      <c r="H38" s="153">
        <v>18</v>
      </c>
      <c r="I38" s="201">
        <f t="shared" si="2"/>
        <v>4268</v>
      </c>
      <c r="J38" s="153">
        <v>200</v>
      </c>
      <c r="K38" s="201">
        <f t="shared" si="3"/>
        <v>4468</v>
      </c>
      <c r="L38" s="108">
        <v>35</v>
      </c>
      <c r="M38" s="215" t="s">
        <v>39</v>
      </c>
      <c r="N38" s="20" t="s">
        <v>45</v>
      </c>
      <c r="O38" s="53" t="s">
        <v>135</v>
      </c>
      <c r="P38" s="297" t="s">
        <v>136</v>
      </c>
      <c r="Q38" s="298"/>
      <c r="R38" s="299"/>
    </row>
    <row r="39" spans="2:19" ht="27" customHeight="1" x14ac:dyDescent="0.3">
      <c r="B39" s="127" t="s">
        <v>137</v>
      </c>
      <c r="C39" s="20" t="s">
        <v>112</v>
      </c>
      <c r="D39" s="53" t="s">
        <v>22</v>
      </c>
      <c r="E39" s="153">
        <f>CEILING((((6800+75)*1.13)),50)</f>
        <v>7800</v>
      </c>
      <c r="F39" s="153">
        <v>365</v>
      </c>
      <c r="G39" s="153">
        <v>100</v>
      </c>
      <c r="H39" s="153">
        <v>30</v>
      </c>
      <c r="I39" s="201">
        <f t="shared" si="2"/>
        <v>8295</v>
      </c>
      <c r="J39" s="153">
        <v>200</v>
      </c>
      <c r="K39" s="201">
        <f t="shared" si="3"/>
        <v>8495</v>
      </c>
      <c r="L39" s="108" t="s">
        <v>131</v>
      </c>
      <c r="M39" s="215" t="s">
        <v>39</v>
      </c>
      <c r="N39" s="20" t="s">
        <v>42</v>
      </c>
      <c r="O39" s="53" t="s">
        <v>122</v>
      </c>
      <c r="P39" s="297" t="s">
        <v>136</v>
      </c>
      <c r="Q39" s="298"/>
      <c r="R39" s="299"/>
    </row>
    <row r="40" spans="2:19" x14ac:dyDescent="0.3">
      <c r="B40" s="42"/>
      <c r="E40" s="43"/>
      <c r="F40" s="43"/>
      <c r="G40" s="43"/>
      <c r="H40" s="43"/>
      <c r="I40" s="43"/>
      <c r="J40" s="64"/>
      <c r="K40" s="64"/>
      <c r="L40" s="64"/>
      <c r="M40" s="64"/>
      <c r="N40" s="62"/>
      <c r="O40" s="64"/>
      <c r="P40" s="128"/>
      <c r="Q40" s="113"/>
      <c r="R40" s="106"/>
      <c r="S40" s="114"/>
    </row>
    <row r="41" spans="2:19" ht="15.6" x14ac:dyDescent="0.3">
      <c r="B41" s="5" t="s">
        <v>32</v>
      </c>
      <c r="C41" s="6"/>
      <c r="D41" s="6"/>
      <c r="E41" s="6"/>
      <c r="F41" s="6"/>
      <c r="G41" s="6"/>
      <c r="H41" s="6"/>
      <c r="I41" s="6"/>
      <c r="J41" s="6"/>
      <c r="K41" s="6"/>
      <c r="L41" s="6"/>
      <c r="M41" s="6"/>
      <c r="N41" s="6"/>
      <c r="O41" s="6"/>
      <c r="P41" s="6"/>
      <c r="Q41" s="6"/>
      <c r="R41" s="6"/>
      <c r="S41" s="7"/>
    </row>
    <row r="42" spans="2:19" x14ac:dyDescent="0.3">
      <c r="B42" s="242" t="s">
        <v>33</v>
      </c>
      <c r="C42" s="242"/>
      <c r="D42" s="242"/>
      <c r="E42" s="242"/>
      <c r="F42" s="242"/>
      <c r="G42" s="242"/>
      <c r="H42" s="242"/>
      <c r="I42" s="242"/>
      <c r="J42" s="242"/>
      <c r="K42" s="242"/>
      <c r="L42" s="242"/>
      <c r="M42" s="242"/>
      <c r="N42" s="242"/>
      <c r="O42" s="242"/>
      <c r="P42" s="242"/>
      <c r="Q42" s="242"/>
      <c r="R42" s="242"/>
      <c r="S42" s="242"/>
    </row>
    <row r="43" spans="2:19" x14ac:dyDescent="0.3">
      <c r="B43" s="242"/>
      <c r="C43" s="242"/>
      <c r="D43" s="242"/>
      <c r="E43" s="242"/>
      <c r="F43" s="242"/>
      <c r="G43" s="242"/>
      <c r="H43" s="242"/>
      <c r="I43" s="242"/>
      <c r="J43" s="242"/>
      <c r="K43" s="242"/>
      <c r="L43" s="242"/>
      <c r="M43" s="242"/>
      <c r="N43" s="242"/>
      <c r="O43" s="242"/>
      <c r="P43" s="242"/>
      <c r="Q43" s="242"/>
      <c r="R43" s="242"/>
      <c r="S43" s="242"/>
    </row>
    <row r="44" spans="2:19" x14ac:dyDescent="0.3">
      <c r="B44" s="242"/>
      <c r="C44" s="242"/>
      <c r="D44" s="242"/>
      <c r="E44" s="242"/>
      <c r="F44" s="242"/>
      <c r="G44" s="242"/>
      <c r="H44" s="242"/>
      <c r="I44" s="242"/>
      <c r="J44" s="242"/>
      <c r="K44" s="242"/>
      <c r="L44" s="242"/>
      <c r="M44" s="242"/>
      <c r="N44" s="242"/>
      <c r="O44" s="242"/>
      <c r="P44" s="242"/>
      <c r="Q44" s="242"/>
      <c r="R44" s="242"/>
      <c r="S44" s="242"/>
    </row>
    <row r="45" spans="2:19" x14ac:dyDescent="0.3">
      <c r="B45" s="245"/>
      <c r="C45" s="245"/>
      <c r="D45" s="245"/>
      <c r="E45" s="245"/>
      <c r="F45" s="245"/>
      <c r="G45" s="245"/>
      <c r="H45" s="245"/>
      <c r="I45" s="245"/>
      <c r="J45" s="245"/>
      <c r="K45" s="245"/>
      <c r="L45" s="245"/>
      <c r="M45" s="245"/>
      <c r="N45" s="245"/>
      <c r="O45" s="245"/>
      <c r="P45" s="245"/>
      <c r="Q45" s="245"/>
      <c r="R45" s="245"/>
      <c r="S45" s="245"/>
    </row>
    <row r="46" spans="2:19" x14ac:dyDescent="0.3">
      <c r="B46" s="42"/>
      <c r="E46" s="43"/>
      <c r="F46" s="43"/>
      <c r="G46" s="43"/>
      <c r="H46" s="43"/>
      <c r="I46" s="43"/>
      <c r="J46" s="64"/>
      <c r="K46" s="64"/>
      <c r="L46" s="64"/>
      <c r="M46" s="64"/>
      <c r="N46" s="62"/>
      <c r="O46" s="64"/>
      <c r="P46" s="128"/>
      <c r="Q46" s="34"/>
      <c r="R46" s="128"/>
    </row>
    <row r="47" spans="2:19" x14ac:dyDescent="0.3">
      <c r="B47" s="42"/>
      <c r="E47" s="43"/>
      <c r="F47" s="43"/>
      <c r="G47" s="43"/>
      <c r="H47" s="43"/>
      <c r="I47" s="43"/>
      <c r="J47" s="64"/>
      <c r="K47" s="64"/>
      <c r="L47" s="64"/>
      <c r="M47" s="64"/>
      <c r="N47" s="62"/>
      <c r="O47" s="64"/>
      <c r="P47" s="128"/>
      <c r="Q47" s="34"/>
      <c r="R47" s="128"/>
    </row>
    <row r="48" spans="2:19" x14ac:dyDescent="0.3">
      <c r="B48" s="42"/>
      <c r="E48" s="43"/>
      <c r="F48" s="43"/>
      <c r="G48" s="43"/>
      <c r="H48" s="43"/>
      <c r="I48" s="43"/>
      <c r="J48" s="64"/>
      <c r="K48" s="64"/>
      <c r="L48" s="64"/>
      <c r="M48" s="64"/>
      <c r="N48" s="62"/>
      <c r="O48" s="64"/>
      <c r="P48" s="128"/>
      <c r="Q48" s="34"/>
      <c r="R48" s="128"/>
    </row>
    <row r="49" spans="2:18" x14ac:dyDescent="0.3">
      <c r="B49" s="42"/>
      <c r="E49" s="43"/>
      <c r="F49" s="43"/>
      <c r="G49" s="43"/>
      <c r="H49" s="43"/>
      <c r="I49" s="43"/>
      <c r="J49" s="64"/>
      <c r="K49" s="64"/>
      <c r="L49" s="64"/>
      <c r="M49" s="64"/>
      <c r="N49" s="62"/>
      <c r="O49" s="64"/>
      <c r="P49" s="128"/>
      <c r="Q49" s="34"/>
      <c r="R49" s="128"/>
    </row>
    <row r="50" spans="2:18" ht="14.4" customHeight="1" x14ac:dyDescent="0.3">
      <c r="B50" s="42"/>
      <c r="E50" s="43"/>
      <c r="F50" s="43"/>
      <c r="G50" s="43"/>
      <c r="H50" s="43"/>
      <c r="I50" s="43"/>
      <c r="J50" s="64"/>
      <c r="K50" s="64"/>
      <c r="L50" s="62" t="s">
        <v>138</v>
      </c>
      <c r="M50" s="62"/>
      <c r="N50" s="62"/>
      <c r="O50" s="64"/>
      <c r="P50" s="128"/>
      <c r="Q50" s="34"/>
      <c r="R50" s="128"/>
    </row>
    <row r="51" spans="2:18" x14ac:dyDescent="0.3">
      <c r="B51" s="42"/>
      <c r="E51" s="43"/>
      <c r="F51" s="43"/>
      <c r="G51" s="43"/>
      <c r="H51" s="43"/>
      <c r="I51" s="43"/>
      <c r="J51" s="64"/>
      <c r="K51" s="64"/>
      <c r="L51" s="62"/>
      <c r="M51" s="62"/>
      <c r="N51" s="62"/>
      <c r="O51" s="64"/>
      <c r="P51" s="128"/>
      <c r="Q51" s="34"/>
      <c r="R51" s="128"/>
    </row>
    <row r="52" spans="2:18" x14ac:dyDescent="0.3">
      <c r="B52" s="42"/>
      <c r="E52" s="43"/>
      <c r="F52" s="43"/>
      <c r="G52" s="43"/>
      <c r="H52" s="43"/>
      <c r="I52" s="43"/>
      <c r="J52" s="64"/>
      <c r="K52" s="64"/>
      <c r="L52" s="62"/>
      <c r="M52" s="62"/>
      <c r="N52" s="62"/>
      <c r="O52" s="64"/>
      <c r="P52" s="128"/>
      <c r="Q52" s="34"/>
      <c r="R52" s="128"/>
    </row>
    <row r="53" spans="2:18" x14ac:dyDescent="0.3">
      <c r="B53" s="42"/>
      <c r="E53" s="43"/>
      <c r="F53" s="43"/>
      <c r="G53" s="43"/>
      <c r="H53" s="43"/>
      <c r="I53" s="43"/>
      <c r="J53" s="64"/>
      <c r="K53" s="64"/>
      <c r="L53" s="62"/>
      <c r="M53" s="62"/>
      <c r="N53" s="62"/>
      <c r="O53" s="64"/>
      <c r="P53" s="128"/>
      <c r="Q53" s="34"/>
      <c r="R53" s="128"/>
    </row>
    <row r="54" spans="2:18" ht="15" thickBot="1" x14ac:dyDescent="0.35">
      <c r="B54" s="42"/>
      <c r="E54" s="43"/>
      <c r="F54" s="43"/>
      <c r="G54" s="43"/>
      <c r="H54" s="43"/>
      <c r="I54" s="43"/>
      <c r="J54" s="64"/>
      <c r="K54" s="64"/>
      <c r="L54" s="64"/>
      <c r="M54" s="64"/>
      <c r="N54" s="62"/>
      <c r="O54" s="64"/>
      <c r="P54" s="128"/>
      <c r="Q54" s="34"/>
      <c r="R54" s="128"/>
    </row>
    <row r="55" spans="2:18" ht="28.8" x14ac:dyDescent="0.3">
      <c r="B55" s="218" t="s">
        <v>139</v>
      </c>
      <c r="C55" s="218"/>
      <c r="D55" s="218"/>
      <c r="E55" s="218"/>
      <c r="F55" s="218"/>
      <c r="G55" s="218"/>
      <c r="H55" s="218"/>
      <c r="I55" s="218"/>
      <c r="J55" s="218"/>
      <c r="K55" s="218"/>
      <c r="L55" s="218"/>
      <c r="M55" s="218"/>
      <c r="N55" s="218"/>
      <c r="O55" s="218"/>
      <c r="P55" s="218"/>
      <c r="Q55" s="218"/>
    </row>
    <row r="56" spans="2:18" ht="28.8" x14ac:dyDescent="0.3">
      <c r="B56" s="98" t="s">
        <v>1</v>
      </c>
      <c r="C56" s="220" t="s">
        <v>2</v>
      </c>
      <c r="D56" s="220"/>
      <c r="E56" s="122" t="s">
        <v>3</v>
      </c>
      <c r="F56" s="122" t="s">
        <v>4</v>
      </c>
      <c r="G56" s="122" t="s">
        <v>115</v>
      </c>
      <c r="H56" s="122" t="s">
        <v>51</v>
      </c>
      <c r="I56" s="3" t="s">
        <v>140</v>
      </c>
      <c r="J56" s="3" t="s">
        <v>52</v>
      </c>
      <c r="K56" s="3" t="s">
        <v>10</v>
      </c>
      <c r="L56" s="3" t="s">
        <v>11</v>
      </c>
      <c r="M56" s="3" t="s">
        <v>12</v>
      </c>
      <c r="N56" s="122" t="s">
        <v>13</v>
      </c>
      <c r="O56" s="122" t="s">
        <v>14</v>
      </c>
      <c r="P56" s="122" t="s">
        <v>141</v>
      </c>
      <c r="Q56" s="123" t="s">
        <v>142</v>
      </c>
    </row>
    <row r="57" spans="2:18" ht="22.95" customHeight="1" x14ac:dyDescent="0.3">
      <c r="B57" s="296" t="s">
        <v>143</v>
      </c>
      <c r="C57" s="304" t="s">
        <v>112</v>
      </c>
      <c r="D57" s="144" t="s">
        <v>17</v>
      </c>
      <c r="E57" s="146">
        <f>CEILING((((9800+297+115)*1.12)- 85)-150,50)</f>
        <v>11250</v>
      </c>
      <c r="F57" s="146">
        <v>85</v>
      </c>
      <c r="G57" s="146">
        <v>215</v>
      </c>
      <c r="H57" s="146">
        <v>75</v>
      </c>
      <c r="I57" s="146">
        <v>150</v>
      </c>
      <c r="J57" s="205">
        <f t="shared" ref="J57:J64" si="4">SUM(E57:I57)</f>
        <v>11775</v>
      </c>
      <c r="K57" s="146">
        <v>200</v>
      </c>
      <c r="L57" s="205">
        <f t="shared" ref="L57:L64" si="5">SUM(J57:K57)</f>
        <v>11975</v>
      </c>
      <c r="M57" s="148" t="s">
        <v>96</v>
      </c>
      <c r="N57" s="211" t="s">
        <v>56</v>
      </c>
      <c r="O57" s="206" t="s">
        <v>40</v>
      </c>
      <c r="P57" s="290" t="s">
        <v>75</v>
      </c>
      <c r="Q57" s="144" t="s">
        <v>123</v>
      </c>
    </row>
    <row r="58" spans="2:18" x14ac:dyDescent="0.3">
      <c r="B58" s="296"/>
      <c r="C58" s="304"/>
      <c r="D58" s="144" t="s">
        <v>22</v>
      </c>
      <c r="E58" s="146">
        <f>CEILING((((9800+297+115)*1.12)- 85)-150,50)</f>
        <v>11250</v>
      </c>
      <c r="F58" s="146">
        <v>85</v>
      </c>
      <c r="G58" s="146">
        <v>215</v>
      </c>
      <c r="H58" s="146">
        <v>75</v>
      </c>
      <c r="I58" s="146">
        <v>150</v>
      </c>
      <c r="J58" s="205">
        <f t="shared" si="4"/>
        <v>11775</v>
      </c>
      <c r="K58" s="146">
        <v>200</v>
      </c>
      <c r="L58" s="205">
        <f t="shared" si="5"/>
        <v>11975</v>
      </c>
      <c r="M58" s="148" t="s">
        <v>96</v>
      </c>
      <c r="N58" s="211" t="s">
        <v>56</v>
      </c>
      <c r="O58" s="206" t="s">
        <v>40</v>
      </c>
      <c r="P58" s="291"/>
      <c r="Q58" s="144" t="s">
        <v>123</v>
      </c>
    </row>
    <row r="59" spans="2:18" x14ac:dyDescent="0.3">
      <c r="B59" s="296" t="s">
        <v>144</v>
      </c>
      <c r="C59" s="304" t="s">
        <v>112</v>
      </c>
      <c r="D59" s="144" t="s">
        <v>17</v>
      </c>
      <c r="E59" s="146">
        <f>CEILING((((9950+297+115)*1.12)- 85)-150,50)</f>
        <v>11400</v>
      </c>
      <c r="F59" s="146">
        <v>85</v>
      </c>
      <c r="G59" s="146">
        <v>215</v>
      </c>
      <c r="H59" s="146">
        <v>75</v>
      </c>
      <c r="I59" s="146">
        <v>150</v>
      </c>
      <c r="J59" s="205">
        <f t="shared" ref="J59:J62" si="6">SUM(E59:I59)</f>
        <v>11925</v>
      </c>
      <c r="K59" s="146">
        <v>200</v>
      </c>
      <c r="L59" s="205">
        <f t="shared" ref="L59:L62" si="7">SUM(J59:K59)</f>
        <v>12125</v>
      </c>
      <c r="M59" s="148" t="s">
        <v>96</v>
      </c>
      <c r="N59" s="211" t="s">
        <v>56</v>
      </c>
      <c r="O59" s="206" t="s">
        <v>40</v>
      </c>
      <c r="P59" s="291"/>
      <c r="Q59" s="144" t="s">
        <v>123</v>
      </c>
    </row>
    <row r="60" spans="2:18" ht="28.95" customHeight="1" x14ac:dyDescent="0.3">
      <c r="B60" s="296"/>
      <c r="C60" s="304"/>
      <c r="D60" s="144" t="s">
        <v>22</v>
      </c>
      <c r="E60" s="146">
        <f>CEILING((((10020+297+115)*1.12)- 85)-150,50)</f>
        <v>11450</v>
      </c>
      <c r="F60" s="146">
        <v>85</v>
      </c>
      <c r="G60" s="146">
        <v>215</v>
      </c>
      <c r="H60" s="146">
        <v>75</v>
      </c>
      <c r="I60" s="146">
        <v>150</v>
      </c>
      <c r="J60" s="205">
        <f t="shared" si="6"/>
        <v>11975</v>
      </c>
      <c r="K60" s="146">
        <v>200</v>
      </c>
      <c r="L60" s="205">
        <f t="shared" si="7"/>
        <v>12175</v>
      </c>
      <c r="M60" s="148" t="s">
        <v>96</v>
      </c>
      <c r="N60" s="211" t="s">
        <v>56</v>
      </c>
      <c r="O60" s="206" t="s">
        <v>40</v>
      </c>
      <c r="P60" s="292"/>
      <c r="Q60" s="144" t="s">
        <v>123</v>
      </c>
    </row>
    <row r="61" spans="2:18" ht="14.4" customHeight="1" x14ac:dyDescent="0.3">
      <c r="B61" s="296" t="s">
        <v>145</v>
      </c>
      <c r="C61" s="304" t="s">
        <v>112</v>
      </c>
      <c r="D61" s="144" t="s">
        <v>17</v>
      </c>
      <c r="E61" s="146">
        <f>CEILING((((9540+40+115)*1.12)- 150)-150,50)</f>
        <v>10600</v>
      </c>
      <c r="F61" s="146">
        <v>216.6</v>
      </c>
      <c r="G61" s="146">
        <v>335</v>
      </c>
      <c r="H61" s="146">
        <v>75</v>
      </c>
      <c r="I61" s="146">
        <v>150</v>
      </c>
      <c r="J61" s="205">
        <f>SUM(E61:I61)</f>
        <v>11376.6</v>
      </c>
      <c r="K61" s="146">
        <v>200</v>
      </c>
      <c r="L61" s="205">
        <f t="shared" si="7"/>
        <v>11576.6</v>
      </c>
      <c r="M61" s="148" t="s">
        <v>96</v>
      </c>
      <c r="N61" s="211" t="s">
        <v>56</v>
      </c>
      <c r="O61" s="206" t="s">
        <v>60</v>
      </c>
      <c r="P61" s="293" t="s">
        <v>61</v>
      </c>
      <c r="Q61" s="144" t="s">
        <v>146</v>
      </c>
    </row>
    <row r="62" spans="2:18" x14ac:dyDescent="0.3">
      <c r="B62" s="296"/>
      <c r="C62" s="304"/>
      <c r="D62" s="144" t="s">
        <v>22</v>
      </c>
      <c r="E62" s="146">
        <f>CEILING((((9680+80+115)*1.12)- 150)-150,50)</f>
        <v>10800</v>
      </c>
      <c r="F62" s="146">
        <v>216.6</v>
      </c>
      <c r="G62" s="146">
        <v>335</v>
      </c>
      <c r="H62" s="146">
        <v>75</v>
      </c>
      <c r="I62" s="146">
        <v>150</v>
      </c>
      <c r="J62" s="205">
        <f t="shared" si="6"/>
        <v>11576.6</v>
      </c>
      <c r="K62" s="146">
        <v>200</v>
      </c>
      <c r="L62" s="205">
        <f t="shared" si="7"/>
        <v>11776.6</v>
      </c>
      <c r="M62" s="148" t="s">
        <v>96</v>
      </c>
      <c r="N62" s="211" t="s">
        <v>56</v>
      </c>
      <c r="O62" s="206" t="s">
        <v>60</v>
      </c>
      <c r="P62" s="294"/>
      <c r="Q62" s="144" t="s">
        <v>146</v>
      </c>
    </row>
    <row r="63" spans="2:18" x14ac:dyDescent="0.3">
      <c r="B63" s="296" t="s">
        <v>147</v>
      </c>
      <c r="C63" s="304" t="s">
        <v>112</v>
      </c>
      <c r="D63" s="144" t="s">
        <v>17</v>
      </c>
      <c r="E63" s="146">
        <f>CEILING((((9590+40+115)*1.12)- 85)-150,50)</f>
        <v>10700</v>
      </c>
      <c r="F63" s="146">
        <v>216.6</v>
      </c>
      <c r="G63" s="146">
        <v>335</v>
      </c>
      <c r="H63" s="146">
        <v>75</v>
      </c>
      <c r="I63" s="146">
        <v>150</v>
      </c>
      <c r="J63" s="205">
        <f t="shared" si="4"/>
        <v>11476.6</v>
      </c>
      <c r="K63" s="146">
        <v>200</v>
      </c>
      <c r="L63" s="205">
        <f t="shared" si="5"/>
        <v>11676.6</v>
      </c>
      <c r="M63" s="148" t="s">
        <v>96</v>
      </c>
      <c r="N63" s="211" t="s">
        <v>56</v>
      </c>
      <c r="O63" s="206" t="s">
        <v>60</v>
      </c>
      <c r="P63" s="294"/>
      <c r="Q63" s="144" t="s">
        <v>146</v>
      </c>
    </row>
    <row r="64" spans="2:18" x14ac:dyDescent="0.3">
      <c r="B64" s="296"/>
      <c r="C64" s="304"/>
      <c r="D64" s="144" t="s">
        <v>22</v>
      </c>
      <c r="E64" s="146">
        <f>CEILING((((9780+80+115)*1.12)- 85)-150,50)</f>
        <v>10950</v>
      </c>
      <c r="F64" s="146">
        <v>216.6</v>
      </c>
      <c r="G64" s="146">
        <v>335</v>
      </c>
      <c r="H64" s="146">
        <v>75</v>
      </c>
      <c r="I64" s="146">
        <v>150</v>
      </c>
      <c r="J64" s="205">
        <f t="shared" si="4"/>
        <v>11726.6</v>
      </c>
      <c r="K64" s="146">
        <v>200</v>
      </c>
      <c r="L64" s="205">
        <f t="shared" si="5"/>
        <v>11926.6</v>
      </c>
      <c r="M64" s="148" t="s">
        <v>96</v>
      </c>
      <c r="N64" s="211" t="s">
        <v>56</v>
      </c>
      <c r="O64" s="206" t="s">
        <v>60</v>
      </c>
      <c r="P64" s="295"/>
      <c r="Q64" s="144" t="s">
        <v>146</v>
      </c>
    </row>
    <row r="65" spans="2:62 3072:12198 12789:15082" ht="28.8" x14ac:dyDescent="0.3">
      <c r="B65" s="278" t="s">
        <v>148</v>
      </c>
      <c r="C65" s="278"/>
      <c r="D65" s="258"/>
      <c r="E65" s="258"/>
      <c r="F65" s="278"/>
      <c r="G65" s="258"/>
      <c r="H65" s="258"/>
      <c r="I65" s="278"/>
      <c r="J65" s="258"/>
      <c r="K65" s="258"/>
      <c r="L65" s="258"/>
      <c r="M65" s="278"/>
      <c r="N65" s="258"/>
      <c r="O65" s="258"/>
      <c r="P65" s="258"/>
      <c r="Q65" s="258"/>
    </row>
    <row r="66" spans="2:62 3072:12198 12789:15082" ht="28.8" x14ac:dyDescent="0.3">
      <c r="B66" s="98" t="s">
        <v>1</v>
      </c>
      <c r="C66" s="220" t="s">
        <v>2</v>
      </c>
      <c r="D66" s="220"/>
      <c r="E66" s="8" t="s">
        <v>3</v>
      </c>
      <c r="F66" s="8" t="s">
        <v>4</v>
      </c>
      <c r="G66" s="8" t="s">
        <v>115</v>
      </c>
      <c r="H66" s="1" t="s">
        <v>51</v>
      </c>
      <c r="I66" s="93" t="s">
        <v>140</v>
      </c>
      <c r="J66" s="2" t="s">
        <v>9</v>
      </c>
      <c r="K66" s="2" t="s">
        <v>10</v>
      </c>
      <c r="L66" s="2" t="s">
        <v>11</v>
      </c>
      <c r="M66" s="8" t="s">
        <v>12</v>
      </c>
      <c r="N66" s="126" t="s">
        <v>13</v>
      </c>
      <c r="O66" s="126" t="s">
        <v>14</v>
      </c>
      <c r="P66" s="174" t="s">
        <v>141</v>
      </c>
      <c r="Q66" s="104" t="s">
        <v>142</v>
      </c>
    </row>
    <row r="67" spans="2:62 3072:12198 12789:15082" x14ac:dyDescent="0.3">
      <c r="B67" s="274" t="s">
        <v>149</v>
      </c>
      <c r="C67" s="209" t="s">
        <v>112</v>
      </c>
      <c r="D67" s="145" t="s">
        <v>17</v>
      </c>
      <c r="E67" s="146">
        <f>CEILING((((10100+297+50+85)*1.12)- 85)-150,50)</f>
        <v>11600</v>
      </c>
      <c r="F67" s="146">
        <v>85</v>
      </c>
      <c r="G67" s="146">
        <v>215</v>
      </c>
      <c r="H67" s="146">
        <v>75</v>
      </c>
      <c r="I67" s="146">
        <v>150</v>
      </c>
      <c r="J67" s="205">
        <f t="shared" ref="J67:J68" si="8">SUM(E67:I67)</f>
        <v>12125</v>
      </c>
      <c r="K67" s="146">
        <v>200</v>
      </c>
      <c r="L67" s="205">
        <f t="shared" ref="L67:L68" si="9">SUM(J67:K67)</f>
        <v>12325</v>
      </c>
      <c r="M67" s="148" t="s">
        <v>96</v>
      </c>
      <c r="N67" s="211" t="s">
        <v>56</v>
      </c>
      <c r="O67" s="206" t="s">
        <v>40</v>
      </c>
      <c r="P67" s="290" t="s">
        <v>75</v>
      </c>
      <c r="Q67" s="150" t="s">
        <v>123</v>
      </c>
      <c r="R67" s="173"/>
      <c r="S67" s="166"/>
      <c r="T67" s="167"/>
      <c r="U67" s="168"/>
      <c r="V67" s="167"/>
      <c r="W67" s="169"/>
      <c r="X67" s="167"/>
      <c r="Y67" s="169"/>
      <c r="Z67" s="170"/>
      <c r="AA67" s="171"/>
      <c r="AB67" s="165"/>
      <c r="AC67" s="172"/>
      <c r="AD67" s="175"/>
      <c r="AE67" s="156"/>
      <c r="AF67" s="164"/>
      <c r="AG67"/>
      <c r="AH67" s="157"/>
      <c r="AI67" s="158"/>
      <c r="AJ67" s="159"/>
      <c r="AK67" s="159"/>
      <c r="AL67" s="158"/>
      <c r="AM67" s="160"/>
      <c r="AN67" s="158"/>
      <c r="AO67" s="160"/>
      <c r="AP67" s="161"/>
      <c r="AQ67" s="162"/>
      <c r="AR67"/>
      <c r="AS67" s="163"/>
      <c r="AT67"/>
      <c r="AU67" s="156"/>
      <c r="AV67" s="164"/>
      <c r="AW67"/>
      <c r="AX67" s="157"/>
      <c r="AY67" s="158"/>
      <c r="AZ67" s="159"/>
      <c r="BA67" s="159"/>
      <c r="BB67" s="158"/>
      <c r="BC67" s="160"/>
      <c r="BD67" s="158"/>
      <c r="BE67" s="160"/>
      <c r="BF67" s="161"/>
      <c r="BG67" s="162"/>
      <c r="BH67"/>
      <c r="BI67" s="163"/>
      <c r="BJ67"/>
      <c r="DND67" s="149">
        <v>45845</v>
      </c>
      <c r="DNE67" s="144" t="s">
        <v>40</v>
      </c>
      <c r="DNF67" s="200"/>
      <c r="DNG67" s="150" t="s">
        <v>123</v>
      </c>
      <c r="DNH67" s="198"/>
      <c r="DNI67" s="199"/>
      <c r="DNJ67" s="144" t="s">
        <v>22</v>
      </c>
      <c r="DNK67" s="145">
        <v>8150</v>
      </c>
      <c r="DNL67" s="153">
        <v>85</v>
      </c>
      <c r="DNM67" s="154">
        <v>215</v>
      </c>
      <c r="DNN67" s="154">
        <v>75</v>
      </c>
      <c r="DNO67" s="153">
        <v>150</v>
      </c>
      <c r="DNP67" s="155">
        <f>SUM(DNK67:DNO67)</f>
        <v>8675</v>
      </c>
      <c r="DNQ67" s="153">
        <v>200</v>
      </c>
      <c r="DNR67" s="155">
        <f>SUM(DNP67:DNQ67)</f>
        <v>8875</v>
      </c>
      <c r="DNS67" s="148" t="s">
        <v>96</v>
      </c>
      <c r="DNT67" s="149">
        <v>45845</v>
      </c>
      <c r="DNU67" s="144" t="s">
        <v>40</v>
      </c>
      <c r="DNV67" s="200"/>
      <c r="DNW67" s="150" t="s">
        <v>123</v>
      </c>
      <c r="DNX67" s="198"/>
      <c r="DNY67" s="199"/>
      <c r="DNZ67" s="144" t="s">
        <v>22</v>
      </c>
      <c r="DOA67" s="145">
        <v>8150</v>
      </c>
      <c r="DOB67" s="153">
        <v>85</v>
      </c>
      <c r="DOC67" s="154">
        <v>215</v>
      </c>
      <c r="DOD67" s="154">
        <v>75</v>
      </c>
      <c r="DOE67" s="153">
        <v>150</v>
      </c>
      <c r="DOF67" s="155">
        <f>SUM(DOA67:DOE67)</f>
        <v>8675</v>
      </c>
      <c r="DOG67" s="153">
        <v>200</v>
      </c>
      <c r="DOH67" s="155">
        <f>SUM(DOF67:DOG67)</f>
        <v>8875</v>
      </c>
      <c r="DOI67" s="148" t="s">
        <v>96</v>
      </c>
      <c r="DOJ67" s="149">
        <v>45845</v>
      </c>
      <c r="DOK67" s="144" t="s">
        <v>40</v>
      </c>
      <c r="DOL67" s="200"/>
      <c r="DOM67" s="150" t="s">
        <v>123</v>
      </c>
      <c r="DON67" s="198"/>
      <c r="DOO67" s="199"/>
      <c r="DOP67" s="144" t="s">
        <v>22</v>
      </c>
      <c r="DOQ67" s="145">
        <v>8150</v>
      </c>
      <c r="DOR67" s="153">
        <v>85</v>
      </c>
      <c r="DOS67" s="154">
        <v>215</v>
      </c>
      <c r="DOT67" s="154">
        <v>75</v>
      </c>
      <c r="DOU67" s="153">
        <v>150</v>
      </c>
      <c r="DOV67" s="155">
        <f>SUM(DOQ67:DOU67)</f>
        <v>8675</v>
      </c>
      <c r="DOW67" s="153">
        <v>200</v>
      </c>
      <c r="DOX67" s="155">
        <f>SUM(DOV67:DOW67)</f>
        <v>8875</v>
      </c>
      <c r="DOY67" s="148" t="s">
        <v>96</v>
      </c>
      <c r="DOZ67" s="149">
        <v>45845</v>
      </c>
      <c r="DPA67" s="144" t="s">
        <v>40</v>
      </c>
      <c r="DPB67" s="200"/>
      <c r="DPC67" s="150" t="s">
        <v>123</v>
      </c>
      <c r="DPD67" s="198"/>
      <c r="DPE67" s="199"/>
      <c r="DPF67" s="144" t="s">
        <v>22</v>
      </c>
      <c r="DPG67" s="145">
        <v>8150</v>
      </c>
      <c r="DPH67" s="153">
        <v>85</v>
      </c>
      <c r="DPI67" s="154">
        <v>215</v>
      </c>
      <c r="DPJ67" s="154">
        <v>75</v>
      </c>
      <c r="DPK67" s="153">
        <v>150</v>
      </c>
      <c r="DPL67" s="155">
        <f>SUM(DPG67:DPK67)</f>
        <v>8675</v>
      </c>
      <c r="DPM67" s="153">
        <v>200</v>
      </c>
      <c r="DPN67" s="155">
        <f>SUM(DPL67:DPM67)</f>
        <v>8875</v>
      </c>
      <c r="DPO67" s="148" t="s">
        <v>96</v>
      </c>
      <c r="DPP67" s="149">
        <v>45845</v>
      </c>
      <c r="DPQ67" s="144" t="s">
        <v>40</v>
      </c>
      <c r="DPR67" s="200"/>
      <c r="DPS67" s="150" t="s">
        <v>123</v>
      </c>
      <c r="DPT67" s="198"/>
      <c r="DPU67" s="199"/>
      <c r="DPV67" s="144" t="s">
        <v>22</v>
      </c>
      <c r="DPW67" s="145">
        <v>8150</v>
      </c>
      <c r="DPX67" s="153">
        <v>85</v>
      </c>
      <c r="DPY67" s="154">
        <v>215</v>
      </c>
      <c r="DPZ67" s="154">
        <v>75</v>
      </c>
      <c r="DQA67" s="153">
        <v>150</v>
      </c>
      <c r="DQB67" s="155">
        <f>SUM(DPW67:DQA67)</f>
        <v>8675</v>
      </c>
      <c r="DQC67" s="153">
        <v>200</v>
      </c>
      <c r="DQD67" s="155">
        <f>SUM(DQB67:DQC67)</f>
        <v>8875</v>
      </c>
      <c r="DQE67" s="148" t="s">
        <v>96</v>
      </c>
      <c r="DQF67" s="149">
        <v>45845</v>
      </c>
      <c r="DQG67" s="144" t="s">
        <v>40</v>
      </c>
      <c r="DQH67" s="200"/>
      <c r="DQI67" s="150" t="s">
        <v>123</v>
      </c>
      <c r="DQJ67" s="198"/>
      <c r="DQK67" s="199"/>
      <c r="DQL67" s="144" t="s">
        <v>22</v>
      </c>
      <c r="DQM67" s="145">
        <v>8150</v>
      </c>
      <c r="DQN67" s="153">
        <v>85</v>
      </c>
      <c r="DQO67" s="154">
        <v>215</v>
      </c>
      <c r="DQP67" s="154">
        <v>75</v>
      </c>
      <c r="DQQ67" s="153">
        <v>150</v>
      </c>
      <c r="DQR67" s="155">
        <f>SUM(DQM67:DQQ67)</f>
        <v>8675</v>
      </c>
      <c r="DQS67" s="153">
        <v>200</v>
      </c>
      <c r="DQT67" s="155">
        <f>SUM(DQR67:DQS67)</f>
        <v>8875</v>
      </c>
      <c r="DQU67" s="148" t="s">
        <v>96</v>
      </c>
      <c r="DQV67" s="149">
        <v>45845</v>
      </c>
      <c r="DQW67" s="144" t="s">
        <v>40</v>
      </c>
      <c r="DQX67" s="200"/>
      <c r="DQY67" s="150" t="s">
        <v>123</v>
      </c>
      <c r="DQZ67" s="198"/>
      <c r="DRA67" s="199"/>
      <c r="DRB67" s="144" t="s">
        <v>22</v>
      </c>
      <c r="DRC67" s="145">
        <v>8150</v>
      </c>
      <c r="DRD67" s="153">
        <v>85</v>
      </c>
      <c r="DRE67" s="154">
        <v>215</v>
      </c>
      <c r="DRF67" s="154">
        <v>75</v>
      </c>
      <c r="DRG67" s="153">
        <v>150</v>
      </c>
      <c r="DRH67" s="155">
        <f>SUM(DRC67:DRG67)</f>
        <v>8675</v>
      </c>
      <c r="DRI67" s="153">
        <v>200</v>
      </c>
      <c r="DRJ67" s="155">
        <f>SUM(DRH67:DRI67)</f>
        <v>8875</v>
      </c>
      <c r="DRK67" s="148" t="s">
        <v>96</v>
      </c>
      <c r="DRL67" s="149">
        <v>45845</v>
      </c>
      <c r="DRM67" s="144" t="s">
        <v>40</v>
      </c>
      <c r="DRN67" s="200"/>
      <c r="DRO67" s="150" t="s">
        <v>123</v>
      </c>
      <c r="DRP67" s="198"/>
      <c r="DRQ67" s="199"/>
      <c r="DRR67" s="144" t="s">
        <v>22</v>
      </c>
      <c r="DRS67" s="145">
        <v>8150</v>
      </c>
      <c r="DRT67" s="153">
        <v>85</v>
      </c>
      <c r="DRU67" s="154">
        <v>215</v>
      </c>
      <c r="DRV67" s="154">
        <v>75</v>
      </c>
      <c r="DRW67" s="153">
        <v>150</v>
      </c>
      <c r="DRX67" s="155">
        <f>SUM(DRS67:DRW67)</f>
        <v>8675</v>
      </c>
      <c r="DRY67" s="153">
        <v>200</v>
      </c>
      <c r="DRZ67" s="155">
        <f>SUM(DRX67:DRY67)</f>
        <v>8875</v>
      </c>
      <c r="DSA67" s="148" t="s">
        <v>96</v>
      </c>
      <c r="DSB67" s="149">
        <v>45845</v>
      </c>
      <c r="DSC67" s="144" t="s">
        <v>40</v>
      </c>
      <c r="DSD67" s="200"/>
      <c r="DSE67" s="150" t="s">
        <v>123</v>
      </c>
      <c r="DSF67" s="198"/>
      <c r="DSG67" s="199"/>
      <c r="DSH67" s="144" t="s">
        <v>22</v>
      </c>
      <c r="DSI67" s="145">
        <v>8150</v>
      </c>
      <c r="DSJ67" s="153">
        <v>85</v>
      </c>
      <c r="DSK67" s="154">
        <v>215</v>
      </c>
      <c r="DSL67" s="154">
        <v>75</v>
      </c>
      <c r="DSM67" s="153">
        <v>150</v>
      </c>
      <c r="DSN67" s="155">
        <f>SUM(DSI67:DSM67)</f>
        <v>8675</v>
      </c>
      <c r="DSO67" s="153">
        <v>200</v>
      </c>
      <c r="DSP67" s="155">
        <f>SUM(DSN67:DSO67)</f>
        <v>8875</v>
      </c>
      <c r="DSQ67" s="148" t="s">
        <v>96</v>
      </c>
      <c r="DSR67" s="149">
        <v>45845</v>
      </c>
      <c r="DSS67" s="144" t="s">
        <v>40</v>
      </c>
      <c r="DST67" s="200"/>
      <c r="DSU67" s="150" t="s">
        <v>123</v>
      </c>
      <c r="DSV67" s="198"/>
      <c r="DSW67" s="199"/>
      <c r="DSX67" s="144" t="s">
        <v>22</v>
      </c>
      <c r="DSY67" s="145">
        <v>8150</v>
      </c>
      <c r="DSZ67" s="153">
        <v>85</v>
      </c>
      <c r="DTA67" s="154">
        <v>215</v>
      </c>
      <c r="DTB67" s="154">
        <v>75</v>
      </c>
      <c r="DTC67" s="153">
        <v>150</v>
      </c>
      <c r="DTD67" s="155">
        <f>SUM(DSY67:DTC67)</f>
        <v>8675</v>
      </c>
      <c r="DTE67" s="153">
        <v>200</v>
      </c>
      <c r="DTF67" s="155">
        <f>SUM(DTD67:DTE67)</f>
        <v>8875</v>
      </c>
      <c r="DTG67" s="148" t="s">
        <v>96</v>
      </c>
      <c r="DTH67" s="149">
        <v>45845</v>
      </c>
      <c r="DTI67" s="144" t="s">
        <v>40</v>
      </c>
      <c r="DTJ67" s="200"/>
      <c r="DTK67" s="150" t="s">
        <v>123</v>
      </c>
      <c r="DTL67" s="198"/>
      <c r="DTM67" s="199"/>
      <c r="DTN67" s="144" t="s">
        <v>22</v>
      </c>
      <c r="DTO67" s="145">
        <v>8150</v>
      </c>
      <c r="DTP67" s="153">
        <v>85</v>
      </c>
      <c r="DTQ67" s="154">
        <v>215</v>
      </c>
      <c r="DTR67" s="154">
        <v>75</v>
      </c>
      <c r="DTS67" s="153">
        <v>150</v>
      </c>
      <c r="DTT67" s="155">
        <f>SUM(DTO67:DTS67)</f>
        <v>8675</v>
      </c>
      <c r="DTU67" s="153">
        <v>200</v>
      </c>
      <c r="DTV67" s="155">
        <f>SUM(DTT67:DTU67)</f>
        <v>8875</v>
      </c>
      <c r="DTW67" s="148" t="s">
        <v>96</v>
      </c>
      <c r="DTX67" s="149">
        <v>45845</v>
      </c>
      <c r="DTY67" s="144" t="s">
        <v>40</v>
      </c>
      <c r="DTZ67" s="200"/>
      <c r="DUA67" s="150" t="s">
        <v>123</v>
      </c>
      <c r="DUB67" s="198"/>
      <c r="DUC67" s="199"/>
      <c r="DUD67" s="144" t="s">
        <v>22</v>
      </c>
      <c r="DUE67" s="145">
        <v>8150</v>
      </c>
      <c r="DUF67" s="153">
        <v>85</v>
      </c>
      <c r="DUG67" s="154">
        <v>215</v>
      </c>
      <c r="DUH67" s="154">
        <v>75</v>
      </c>
      <c r="DUI67" s="153">
        <v>150</v>
      </c>
      <c r="DUJ67" s="155">
        <f>SUM(DUE67:DUI67)</f>
        <v>8675</v>
      </c>
      <c r="DUK67" s="153">
        <v>200</v>
      </c>
      <c r="DUL67" s="155">
        <f>SUM(DUJ67:DUK67)</f>
        <v>8875</v>
      </c>
      <c r="DUM67" s="148" t="s">
        <v>96</v>
      </c>
      <c r="DUN67" s="149">
        <v>45845</v>
      </c>
      <c r="DUO67" s="144" t="s">
        <v>40</v>
      </c>
      <c r="DUP67" s="200"/>
      <c r="DUQ67" s="150" t="s">
        <v>123</v>
      </c>
      <c r="DUR67" s="198"/>
      <c r="DUS67" s="199"/>
      <c r="DUT67" s="144" t="s">
        <v>22</v>
      </c>
      <c r="DUU67" s="145">
        <v>8150</v>
      </c>
      <c r="DUV67" s="153">
        <v>85</v>
      </c>
      <c r="DUW67" s="154">
        <v>215</v>
      </c>
      <c r="DUX67" s="154">
        <v>75</v>
      </c>
      <c r="DUY67" s="153">
        <v>150</v>
      </c>
      <c r="DUZ67" s="155">
        <f>SUM(DUU67:DUY67)</f>
        <v>8675</v>
      </c>
      <c r="DVA67" s="153">
        <v>200</v>
      </c>
      <c r="DVB67" s="155">
        <f>SUM(DUZ67:DVA67)</f>
        <v>8875</v>
      </c>
      <c r="DVC67" s="148" t="s">
        <v>96</v>
      </c>
      <c r="DVD67" s="149">
        <v>45845</v>
      </c>
      <c r="DVE67" s="144" t="s">
        <v>40</v>
      </c>
      <c r="DVF67" s="200"/>
      <c r="DVG67" s="150" t="s">
        <v>123</v>
      </c>
      <c r="DVH67" s="198"/>
      <c r="DVI67" s="199"/>
      <c r="DVJ67" s="144" t="s">
        <v>22</v>
      </c>
      <c r="DVK67" s="145">
        <v>8150</v>
      </c>
      <c r="DVL67" s="153">
        <v>85</v>
      </c>
      <c r="DVM67" s="154">
        <v>215</v>
      </c>
      <c r="DVN67" s="154">
        <v>75</v>
      </c>
      <c r="DVO67" s="153">
        <v>150</v>
      </c>
      <c r="DVP67" s="155">
        <f>SUM(DVK67:DVO67)</f>
        <v>8675</v>
      </c>
      <c r="DVQ67" s="153">
        <v>200</v>
      </c>
      <c r="DVR67" s="155">
        <f>SUM(DVP67:DVQ67)</f>
        <v>8875</v>
      </c>
      <c r="DVS67" s="148" t="s">
        <v>96</v>
      </c>
      <c r="DVT67" s="149">
        <v>45845</v>
      </c>
      <c r="DVU67" s="144" t="s">
        <v>40</v>
      </c>
      <c r="DVV67" s="200"/>
      <c r="DVW67" s="150" t="s">
        <v>123</v>
      </c>
      <c r="DVX67" s="198"/>
      <c r="DVY67" s="199"/>
      <c r="DVZ67" s="144" t="s">
        <v>22</v>
      </c>
      <c r="DWA67" s="145">
        <v>8150</v>
      </c>
      <c r="DWB67" s="153">
        <v>85</v>
      </c>
      <c r="DWC67" s="154">
        <v>215</v>
      </c>
      <c r="DWD67" s="154">
        <v>75</v>
      </c>
      <c r="DWE67" s="153">
        <v>150</v>
      </c>
      <c r="DWF67" s="155">
        <f>SUM(DWA67:DWE67)</f>
        <v>8675</v>
      </c>
      <c r="DWG67" s="153">
        <v>200</v>
      </c>
      <c r="DWH67" s="155">
        <f>SUM(DWF67:DWG67)</f>
        <v>8875</v>
      </c>
      <c r="DWI67" s="148" t="s">
        <v>96</v>
      </c>
      <c r="DWJ67" s="149">
        <v>45845</v>
      </c>
      <c r="DWK67" s="144" t="s">
        <v>40</v>
      </c>
      <c r="DWL67" s="200"/>
      <c r="DWM67" s="150" t="s">
        <v>123</v>
      </c>
      <c r="DWN67" s="198"/>
      <c r="DWO67" s="199"/>
      <c r="DWP67" s="144" t="s">
        <v>22</v>
      </c>
      <c r="DWQ67" s="145">
        <v>8150</v>
      </c>
      <c r="DWR67" s="153">
        <v>85</v>
      </c>
      <c r="DWS67" s="154">
        <v>215</v>
      </c>
      <c r="DWT67" s="154">
        <v>75</v>
      </c>
      <c r="DWU67" s="153">
        <v>150</v>
      </c>
      <c r="DWV67" s="155">
        <f>SUM(DWQ67:DWU67)</f>
        <v>8675</v>
      </c>
      <c r="DWW67" s="153">
        <v>200</v>
      </c>
      <c r="DWX67" s="155">
        <f>SUM(DWV67:DWW67)</f>
        <v>8875</v>
      </c>
      <c r="DWY67" s="148" t="s">
        <v>96</v>
      </c>
      <c r="DWZ67" s="149">
        <v>45845</v>
      </c>
      <c r="DXA67" s="144" t="s">
        <v>40</v>
      </c>
      <c r="DXB67" s="200"/>
      <c r="DXC67" s="150" t="s">
        <v>123</v>
      </c>
      <c r="DXD67" s="198"/>
      <c r="DXE67" s="199"/>
      <c r="DXF67" s="144" t="s">
        <v>22</v>
      </c>
      <c r="DXG67" s="145">
        <v>8150</v>
      </c>
      <c r="DXH67" s="153">
        <v>85</v>
      </c>
      <c r="DXI67" s="154">
        <v>215</v>
      </c>
      <c r="DXJ67" s="154">
        <v>75</v>
      </c>
      <c r="DXK67" s="153">
        <v>150</v>
      </c>
      <c r="DXL67" s="155">
        <f>SUM(DXG67:DXK67)</f>
        <v>8675</v>
      </c>
      <c r="DXM67" s="153">
        <v>200</v>
      </c>
      <c r="DXN67" s="155">
        <f>SUM(DXL67:DXM67)</f>
        <v>8875</v>
      </c>
      <c r="DXO67" s="148" t="s">
        <v>96</v>
      </c>
      <c r="DXP67" s="149">
        <v>45845</v>
      </c>
      <c r="DXQ67" s="144" t="s">
        <v>40</v>
      </c>
      <c r="DXR67" s="200"/>
      <c r="DXS67" s="150" t="s">
        <v>123</v>
      </c>
      <c r="DXT67" s="198"/>
      <c r="DXU67" s="199"/>
      <c r="DXV67" s="144" t="s">
        <v>22</v>
      </c>
      <c r="DXW67" s="145">
        <v>8150</v>
      </c>
      <c r="DXX67" s="153">
        <v>85</v>
      </c>
      <c r="DXY67" s="154">
        <v>215</v>
      </c>
      <c r="DXZ67" s="154">
        <v>75</v>
      </c>
      <c r="DYA67" s="153">
        <v>150</v>
      </c>
      <c r="DYB67" s="155">
        <f>SUM(DXW67:DYA67)</f>
        <v>8675</v>
      </c>
      <c r="DYC67" s="153">
        <v>200</v>
      </c>
      <c r="DYD67" s="155">
        <f>SUM(DYB67:DYC67)</f>
        <v>8875</v>
      </c>
      <c r="DYE67" s="148" t="s">
        <v>96</v>
      </c>
      <c r="DYF67" s="149">
        <v>45845</v>
      </c>
      <c r="DYG67" s="144" t="s">
        <v>40</v>
      </c>
      <c r="DYH67" s="200"/>
      <c r="DYI67" s="150" t="s">
        <v>123</v>
      </c>
      <c r="DYJ67" s="198"/>
      <c r="DYK67" s="199"/>
      <c r="DYL67" s="144" t="s">
        <v>22</v>
      </c>
      <c r="DYM67" s="145">
        <v>8150</v>
      </c>
      <c r="DYN67" s="153">
        <v>85</v>
      </c>
      <c r="DYO67" s="154">
        <v>215</v>
      </c>
      <c r="DYP67" s="154">
        <v>75</v>
      </c>
      <c r="DYQ67" s="153">
        <v>150</v>
      </c>
      <c r="DYR67" s="155">
        <f>SUM(DYM67:DYQ67)</f>
        <v>8675</v>
      </c>
      <c r="DYS67" s="153">
        <v>200</v>
      </c>
      <c r="DYT67" s="155">
        <f>SUM(DYR67:DYS67)</f>
        <v>8875</v>
      </c>
      <c r="DYU67" s="148" t="s">
        <v>96</v>
      </c>
      <c r="DYV67" s="149">
        <v>45845</v>
      </c>
      <c r="DYW67" s="144" t="s">
        <v>40</v>
      </c>
      <c r="DYX67" s="200"/>
      <c r="DYY67" s="150" t="s">
        <v>123</v>
      </c>
      <c r="DYZ67" s="198"/>
      <c r="DZA67" s="199"/>
      <c r="DZB67" s="144" t="s">
        <v>22</v>
      </c>
      <c r="DZC67" s="145">
        <v>8150</v>
      </c>
      <c r="DZD67" s="153">
        <v>85</v>
      </c>
      <c r="DZE67" s="154">
        <v>215</v>
      </c>
      <c r="DZF67" s="154">
        <v>75</v>
      </c>
      <c r="DZG67" s="153">
        <v>150</v>
      </c>
      <c r="DZH67" s="155">
        <f>SUM(DZC67:DZG67)</f>
        <v>8675</v>
      </c>
      <c r="DZI67" s="153">
        <v>200</v>
      </c>
      <c r="DZJ67" s="155">
        <f>SUM(DZH67:DZI67)</f>
        <v>8875</v>
      </c>
      <c r="DZK67" s="148" t="s">
        <v>96</v>
      </c>
      <c r="DZL67" s="149">
        <v>45845</v>
      </c>
      <c r="DZM67" s="144" t="s">
        <v>40</v>
      </c>
      <c r="DZN67" s="200"/>
      <c r="DZO67" s="150" t="s">
        <v>123</v>
      </c>
      <c r="DZP67" s="198"/>
      <c r="DZQ67" s="199"/>
      <c r="DZR67" s="144" t="s">
        <v>22</v>
      </c>
      <c r="DZS67" s="145">
        <v>8150</v>
      </c>
      <c r="DZT67" s="153">
        <v>85</v>
      </c>
      <c r="DZU67" s="154">
        <v>215</v>
      </c>
      <c r="DZV67" s="154">
        <v>75</v>
      </c>
      <c r="DZW67" s="153">
        <v>150</v>
      </c>
      <c r="DZX67" s="155">
        <f>SUM(DZS67:DZW67)</f>
        <v>8675</v>
      </c>
      <c r="DZY67" s="153">
        <v>200</v>
      </c>
      <c r="DZZ67" s="155">
        <f>SUM(DZX67:DZY67)</f>
        <v>8875</v>
      </c>
      <c r="EAA67" s="148" t="s">
        <v>96</v>
      </c>
      <c r="EAB67" s="149">
        <v>45845</v>
      </c>
      <c r="EAC67" s="144" t="s">
        <v>40</v>
      </c>
      <c r="EAD67" s="200"/>
      <c r="EAE67" s="150" t="s">
        <v>123</v>
      </c>
      <c r="EAF67" s="198"/>
      <c r="EAG67" s="199"/>
      <c r="EAH67" s="144" t="s">
        <v>22</v>
      </c>
      <c r="EAI67" s="145">
        <v>8150</v>
      </c>
      <c r="EAJ67" s="153">
        <v>85</v>
      </c>
      <c r="EAK67" s="154">
        <v>215</v>
      </c>
      <c r="EAL67" s="154">
        <v>75</v>
      </c>
      <c r="EAM67" s="153">
        <v>150</v>
      </c>
      <c r="EAN67" s="155">
        <f>SUM(EAI67:EAM67)</f>
        <v>8675</v>
      </c>
      <c r="EAO67" s="153">
        <v>200</v>
      </c>
      <c r="EAP67" s="155">
        <f>SUM(EAN67:EAO67)</f>
        <v>8875</v>
      </c>
      <c r="EAQ67" s="148" t="s">
        <v>96</v>
      </c>
      <c r="EAR67" s="149">
        <v>45845</v>
      </c>
      <c r="EAS67" s="144" t="s">
        <v>40</v>
      </c>
      <c r="EAT67" s="200"/>
      <c r="EAU67" s="150" t="s">
        <v>123</v>
      </c>
      <c r="EAV67" s="198"/>
      <c r="EAW67" s="199"/>
      <c r="EAX67" s="144" t="s">
        <v>22</v>
      </c>
      <c r="EAY67" s="145">
        <v>8150</v>
      </c>
      <c r="EAZ67" s="153">
        <v>85</v>
      </c>
      <c r="EBA67" s="154">
        <v>215</v>
      </c>
      <c r="EBB67" s="154">
        <v>75</v>
      </c>
      <c r="EBC67" s="153">
        <v>150</v>
      </c>
      <c r="EBD67" s="155">
        <f>SUM(EAY67:EBC67)</f>
        <v>8675</v>
      </c>
      <c r="EBE67" s="153">
        <v>200</v>
      </c>
      <c r="EBF67" s="155">
        <f>SUM(EBD67:EBE67)</f>
        <v>8875</v>
      </c>
      <c r="EBG67" s="148" t="s">
        <v>96</v>
      </c>
      <c r="EBH67" s="149">
        <v>45845</v>
      </c>
      <c r="EBI67" s="144" t="s">
        <v>40</v>
      </c>
      <c r="EBJ67" s="200"/>
      <c r="EBK67" s="150" t="s">
        <v>123</v>
      </c>
      <c r="EBL67" s="198"/>
      <c r="EBM67" s="199"/>
      <c r="EBN67" s="144" t="s">
        <v>22</v>
      </c>
      <c r="EBO67" s="145">
        <v>8150</v>
      </c>
      <c r="EBP67" s="153">
        <v>85</v>
      </c>
      <c r="EBQ67" s="154">
        <v>215</v>
      </c>
      <c r="EBR67" s="154">
        <v>75</v>
      </c>
      <c r="EBS67" s="153">
        <v>150</v>
      </c>
      <c r="EBT67" s="155">
        <f>SUM(EBO67:EBS67)</f>
        <v>8675</v>
      </c>
      <c r="EBU67" s="153">
        <v>200</v>
      </c>
      <c r="EBV67" s="155">
        <f>SUM(EBT67:EBU67)</f>
        <v>8875</v>
      </c>
      <c r="EBW67" s="148" t="s">
        <v>96</v>
      </c>
      <c r="EBX67" s="149">
        <v>45845</v>
      </c>
      <c r="EBY67" s="144" t="s">
        <v>40</v>
      </c>
      <c r="EBZ67" s="200"/>
      <c r="ECA67" s="150" t="s">
        <v>123</v>
      </c>
      <c r="ECB67" s="198"/>
      <c r="ECC67" s="199"/>
      <c r="ECD67" s="144" t="s">
        <v>22</v>
      </c>
      <c r="ECE67" s="145">
        <v>8150</v>
      </c>
      <c r="ECF67" s="153">
        <v>85</v>
      </c>
      <c r="ECG67" s="154">
        <v>215</v>
      </c>
      <c r="ECH67" s="154">
        <v>75</v>
      </c>
      <c r="ECI67" s="153">
        <v>150</v>
      </c>
      <c r="ECJ67" s="155">
        <f>SUM(ECE67:ECI67)</f>
        <v>8675</v>
      </c>
      <c r="ECK67" s="153">
        <v>200</v>
      </c>
      <c r="ECL67" s="155">
        <f>SUM(ECJ67:ECK67)</f>
        <v>8875</v>
      </c>
      <c r="ECM67" s="148" t="s">
        <v>96</v>
      </c>
      <c r="ECN67" s="149">
        <v>45845</v>
      </c>
      <c r="ECO67" s="144" t="s">
        <v>40</v>
      </c>
      <c r="ECP67" s="200"/>
      <c r="ECQ67" s="150" t="s">
        <v>123</v>
      </c>
      <c r="ECR67" s="198"/>
      <c r="ECS67" s="199"/>
      <c r="ECT67" s="144" t="s">
        <v>22</v>
      </c>
      <c r="ECU67" s="145">
        <v>8150</v>
      </c>
      <c r="ECV67" s="153">
        <v>85</v>
      </c>
      <c r="ECW67" s="154">
        <v>215</v>
      </c>
      <c r="ECX67" s="154">
        <v>75</v>
      </c>
      <c r="ECY67" s="153">
        <v>150</v>
      </c>
      <c r="ECZ67" s="155">
        <f>SUM(ECU67:ECY67)</f>
        <v>8675</v>
      </c>
      <c r="EDA67" s="153">
        <v>200</v>
      </c>
      <c r="EDB67" s="155">
        <f>SUM(ECZ67:EDA67)</f>
        <v>8875</v>
      </c>
      <c r="EDC67" s="148" t="s">
        <v>96</v>
      </c>
      <c r="EDD67" s="149">
        <v>45845</v>
      </c>
      <c r="EDE67" s="144" t="s">
        <v>40</v>
      </c>
      <c r="EDF67" s="200"/>
      <c r="EDG67" s="150" t="s">
        <v>123</v>
      </c>
      <c r="EDH67" s="198"/>
      <c r="EDI67" s="199"/>
      <c r="EDJ67" s="144" t="s">
        <v>22</v>
      </c>
      <c r="EDK67" s="145">
        <v>8150</v>
      </c>
      <c r="EDL67" s="153">
        <v>85</v>
      </c>
      <c r="EDM67" s="154">
        <v>215</v>
      </c>
      <c r="EDN67" s="154">
        <v>75</v>
      </c>
      <c r="EDO67" s="153">
        <v>150</v>
      </c>
      <c r="EDP67" s="155">
        <f>SUM(EDK67:EDO67)</f>
        <v>8675</v>
      </c>
      <c r="EDQ67" s="153">
        <v>200</v>
      </c>
      <c r="EDR67" s="155">
        <f>SUM(EDP67:EDQ67)</f>
        <v>8875</v>
      </c>
      <c r="EDS67" s="148" t="s">
        <v>96</v>
      </c>
      <c r="EDT67" s="149">
        <v>45845</v>
      </c>
      <c r="EDU67" s="144" t="s">
        <v>40</v>
      </c>
      <c r="EDV67" s="200"/>
      <c r="EDW67" s="150" t="s">
        <v>123</v>
      </c>
      <c r="EDX67" s="198"/>
      <c r="EDY67" s="199"/>
      <c r="EDZ67" s="144" t="s">
        <v>22</v>
      </c>
      <c r="EEA67" s="145">
        <v>8150</v>
      </c>
      <c r="EEB67" s="153">
        <v>85</v>
      </c>
      <c r="EEC67" s="154">
        <v>215</v>
      </c>
      <c r="EED67" s="154">
        <v>75</v>
      </c>
      <c r="EEE67" s="153">
        <v>150</v>
      </c>
      <c r="EEF67" s="155">
        <f>SUM(EEA67:EEE67)</f>
        <v>8675</v>
      </c>
      <c r="EEG67" s="153">
        <v>200</v>
      </c>
      <c r="EEH67" s="155">
        <f>SUM(EEF67:EEG67)</f>
        <v>8875</v>
      </c>
      <c r="EEI67" s="148" t="s">
        <v>96</v>
      </c>
      <c r="EEJ67" s="149">
        <v>45845</v>
      </c>
      <c r="EEK67" s="144" t="s">
        <v>40</v>
      </c>
      <c r="EEL67" s="200"/>
      <c r="EEM67" s="150" t="s">
        <v>123</v>
      </c>
      <c r="EEN67" s="198"/>
      <c r="EEO67" s="199"/>
      <c r="EEP67" s="144" t="s">
        <v>22</v>
      </c>
      <c r="EEQ67" s="145">
        <v>8150</v>
      </c>
      <c r="EER67" s="153">
        <v>85</v>
      </c>
      <c r="EES67" s="154">
        <v>215</v>
      </c>
      <c r="EET67" s="154">
        <v>75</v>
      </c>
      <c r="EEU67" s="153">
        <v>150</v>
      </c>
      <c r="EEV67" s="155">
        <f>SUM(EEQ67:EEU67)</f>
        <v>8675</v>
      </c>
      <c r="EEW67" s="153">
        <v>200</v>
      </c>
      <c r="EEX67" s="155">
        <f>SUM(EEV67:EEW67)</f>
        <v>8875</v>
      </c>
      <c r="EEY67" s="148" t="s">
        <v>96</v>
      </c>
      <c r="EEZ67" s="149">
        <v>45845</v>
      </c>
      <c r="EFA67" s="144" t="s">
        <v>40</v>
      </c>
      <c r="EFB67" s="200"/>
      <c r="EFC67" s="150" t="s">
        <v>123</v>
      </c>
      <c r="EFD67" s="198"/>
      <c r="EFE67" s="199"/>
      <c r="EFF67" s="144" t="s">
        <v>22</v>
      </c>
      <c r="EFG67" s="145">
        <v>8150</v>
      </c>
      <c r="EFH67" s="153">
        <v>85</v>
      </c>
      <c r="EFI67" s="154">
        <v>215</v>
      </c>
      <c r="EFJ67" s="154">
        <v>75</v>
      </c>
      <c r="EFK67" s="153">
        <v>150</v>
      </c>
      <c r="EFL67" s="155">
        <f>SUM(EFG67:EFK67)</f>
        <v>8675</v>
      </c>
      <c r="EFM67" s="153">
        <v>200</v>
      </c>
      <c r="EFN67" s="155">
        <f>SUM(EFL67:EFM67)</f>
        <v>8875</v>
      </c>
      <c r="EFO67" s="148" t="s">
        <v>96</v>
      </c>
      <c r="EFP67" s="149">
        <v>45845</v>
      </c>
      <c r="EFQ67" s="144" t="s">
        <v>40</v>
      </c>
      <c r="EFR67" s="200"/>
      <c r="EFS67" s="150" t="s">
        <v>123</v>
      </c>
      <c r="EFT67" s="198"/>
      <c r="EFU67" s="199"/>
      <c r="EFV67" s="144" t="s">
        <v>22</v>
      </c>
      <c r="EFW67" s="145">
        <v>8150</v>
      </c>
      <c r="EFX67" s="153">
        <v>85</v>
      </c>
      <c r="EFY67" s="154">
        <v>215</v>
      </c>
      <c r="EFZ67" s="154">
        <v>75</v>
      </c>
      <c r="EGA67" s="153">
        <v>150</v>
      </c>
      <c r="EGB67" s="155">
        <f>SUM(EFW67:EGA67)</f>
        <v>8675</v>
      </c>
      <c r="EGC67" s="153">
        <v>200</v>
      </c>
      <c r="EGD67" s="155">
        <f>SUM(EGB67:EGC67)</f>
        <v>8875</v>
      </c>
      <c r="EGE67" s="148" t="s">
        <v>96</v>
      </c>
      <c r="EGF67" s="149">
        <v>45845</v>
      </c>
      <c r="EGG67" s="144" t="s">
        <v>40</v>
      </c>
      <c r="EGH67" s="200"/>
      <c r="EGI67" s="150" t="s">
        <v>123</v>
      </c>
      <c r="EGJ67" s="198"/>
      <c r="EGK67" s="199"/>
      <c r="EGL67" s="144" t="s">
        <v>22</v>
      </c>
      <c r="EGM67" s="145">
        <v>8150</v>
      </c>
      <c r="EGN67" s="153">
        <v>85</v>
      </c>
      <c r="EGO67" s="154">
        <v>215</v>
      </c>
      <c r="EGP67" s="154">
        <v>75</v>
      </c>
      <c r="EGQ67" s="153">
        <v>150</v>
      </c>
      <c r="EGR67" s="155">
        <f>SUM(EGM67:EGQ67)</f>
        <v>8675</v>
      </c>
      <c r="EGS67" s="153">
        <v>200</v>
      </c>
      <c r="EGT67" s="155">
        <f>SUM(EGR67:EGS67)</f>
        <v>8875</v>
      </c>
      <c r="EGU67" s="148" t="s">
        <v>96</v>
      </c>
      <c r="EGV67" s="149">
        <v>45845</v>
      </c>
      <c r="EGW67" s="144" t="s">
        <v>40</v>
      </c>
      <c r="EGX67" s="200"/>
      <c r="EGY67" s="150" t="s">
        <v>123</v>
      </c>
      <c r="EGZ67" s="198"/>
      <c r="EHA67" s="199"/>
      <c r="EHB67" s="144" t="s">
        <v>22</v>
      </c>
      <c r="EHC67" s="145">
        <v>8150</v>
      </c>
      <c r="EHD67" s="153">
        <v>85</v>
      </c>
      <c r="EHE67" s="154">
        <v>215</v>
      </c>
      <c r="EHF67" s="154">
        <v>75</v>
      </c>
      <c r="EHG67" s="153">
        <v>150</v>
      </c>
      <c r="EHH67" s="155">
        <f>SUM(EHC67:EHG67)</f>
        <v>8675</v>
      </c>
      <c r="EHI67" s="153">
        <v>200</v>
      </c>
      <c r="EHJ67" s="155">
        <f>SUM(EHH67:EHI67)</f>
        <v>8875</v>
      </c>
      <c r="EHK67" s="148" t="s">
        <v>96</v>
      </c>
      <c r="EHL67" s="149">
        <v>45845</v>
      </c>
      <c r="EHM67" s="144" t="s">
        <v>40</v>
      </c>
      <c r="EHN67" s="200"/>
      <c r="EHO67" s="150" t="s">
        <v>123</v>
      </c>
      <c r="EHP67" s="198"/>
      <c r="EHQ67" s="199"/>
      <c r="EHR67" s="144" t="s">
        <v>22</v>
      </c>
      <c r="EHS67" s="145">
        <v>8150</v>
      </c>
      <c r="EHT67" s="153">
        <v>85</v>
      </c>
      <c r="EHU67" s="154">
        <v>215</v>
      </c>
      <c r="EHV67" s="154">
        <v>75</v>
      </c>
      <c r="EHW67" s="153">
        <v>150</v>
      </c>
      <c r="EHX67" s="155">
        <f>SUM(EHS67:EHW67)</f>
        <v>8675</v>
      </c>
      <c r="EHY67" s="153">
        <v>200</v>
      </c>
      <c r="EHZ67" s="155">
        <f>SUM(EHX67:EHY67)</f>
        <v>8875</v>
      </c>
      <c r="EIA67" s="148" t="s">
        <v>96</v>
      </c>
      <c r="EIB67" s="149">
        <v>45845</v>
      </c>
      <c r="EIC67" s="144" t="s">
        <v>40</v>
      </c>
      <c r="EID67" s="200"/>
      <c r="EIE67" s="150" t="s">
        <v>123</v>
      </c>
      <c r="EIF67" s="198"/>
      <c r="EIG67" s="199"/>
      <c r="EIH67" s="144" t="s">
        <v>22</v>
      </c>
      <c r="EII67" s="145">
        <v>8150</v>
      </c>
      <c r="EIJ67" s="153">
        <v>85</v>
      </c>
      <c r="EIK67" s="154">
        <v>215</v>
      </c>
      <c r="EIL67" s="154">
        <v>75</v>
      </c>
      <c r="EIM67" s="153">
        <v>150</v>
      </c>
      <c r="EIN67" s="155">
        <f>SUM(EII67:EIM67)</f>
        <v>8675</v>
      </c>
      <c r="EIO67" s="153">
        <v>200</v>
      </c>
      <c r="EIP67" s="155">
        <f>SUM(EIN67:EIO67)</f>
        <v>8875</v>
      </c>
      <c r="EIQ67" s="148" t="s">
        <v>96</v>
      </c>
      <c r="EIR67" s="149">
        <v>45845</v>
      </c>
      <c r="EIS67" s="144" t="s">
        <v>40</v>
      </c>
      <c r="EIT67" s="200"/>
      <c r="EIU67" s="150" t="s">
        <v>123</v>
      </c>
      <c r="EIV67" s="198"/>
      <c r="EIW67" s="199"/>
      <c r="EIX67" s="144" t="s">
        <v>22</v>
      </c>
      <c r="EIY67" s="145">
        <v>8150</v>
      </c>
      <c r="EIZ67" s="153">
        <v>85</v>
      </c>
      <c r="EJA67" s="154">
        <v>215</v>
      </c>
      <c r="EJB67" s="154">
        <v>75</v>
      </c>
      <c r="EJC67" s="153">
        <v>150</v>
      </c>
      <c r="EJD67" s="155">
        <f>SUM(EIY67:EJC67)</f>
        <v>8675</v>
      </c>
      <c r="EJE67" s="153">
        <v>200</v>
      </c>
      <c r="EJF67" s="155">
        <f>SUM(EJD67:EJE67)</f>
        <v>8875</v>
      </c>
      <c r="EJG67" s="148" t="s">
        <v>96</v>
      </c>
      <c r="EJH67" s="149">
        <v>45845</v>
      </c>
      <c r="EJI67" s="144" t="s">
        <v>40</v>
      </c>
      <c r="EJJ67" s="200"/>
      <c r="EJK67" s="150" t="s">
        <v>123</v>
      </c>
      <c r="EJL67" s="198"/>
      <c r="EJM67" s="199"/>
      <c r="EJN67" s="144" t="s">
        <v>22</v>
      </c>
      <c r="EJO67" s="145">
        <v>8150</v>
      </c>
      <c r="EJP67" s="153">
        <v>85</v>
      </c>
      <c r="EJQ67" s="154">
        <v>215</v>
      </c>
      <c r="EJR67" s="154">
        <v>75</v>
      </c>
      <c r="EJS67" s="153">
        <v>150</v>
      </c>
      <c r="EJT67" s="155">
        <f>SUM(EJO67:EJS67)</f>
        <v>8675</v>
      </c>
      <c r="EJU67" s="153">
        <v>200</v>
      </c>
      <c r="EJV67" s="155">
        <f>SUM(EJT67:EJU67)</f>
        <v>8875</v>
      </c>
      <c r="EJW67" s="148" t="s">
        <v>96</v>
      </c>
      <c r="EJX67" s="149">
        <v>45845</v>
      </c>
      <c r="EJY67" s="144" t="s">
        <v>40</v>
      </c>
      <c r="EJZ67" s="200"/>
      <c r="EKA67" s="150" t="s">
        <v>123</v>
      </c>
      <c r="EKB67" s="198"/>
      <c r="EKC67" s="199"/>
      <c r="EKD67" s="144" t="s">
        <v>22</v>
      </c>
      <c r="EKE67" s="145">
        <v>8150</v>
      </c>
      <c r="EKF67" s="153">
        <v>85</v>
      </c>
      <c r="EKG67" s="154">
        <v>215</v>
      </c>
      <c r="EKH67" s="154">
        <v>75</v>
      </c>
      <c r="EKI67" s="153">
        <v>150</v>
      </c>
      <c r="EKJ67" s="155">
        <f>SUM(EKE67:EKI67)</f>
        <v>8675</v>
      </c>
      <c r="EKK67" s="153">
        <v>200</v>
      </c>
      <c r="EKL67" s="155">
        <f>SUM(EKJ67:EKK67)</f>
        <v>8875</v>
      </c>
      <c r="EKM67" s="148" t="s">
        <v>96</v>
      </c>
      <c r="EKN67" s="149">
        <v>45845</v>
      </c>
      <c r="EKO67" s="144" t="s">
        <v>40</v>
      </c>
      <c r="EKP67" s="200"/>
      <c r="EKQ67" s="150" t="s">
        <v>123</v>
      </c>
      <c r="EKR67" s="198"/>
      <c r="EKS67" s="199"/>
      <c r="EKT67" s="144" t="s">
        <v>22</v>
      </c>
      <c r="EKU67" s="145">
        <v>8150</v>
      </c>
      <c r="EKV67" s="153">
        <v>85</v>
      </c>
      <c r="EKW67" s="154">
        <v>215</v>
      </c>
      <c r="EKX67" s="154">
        <v>75</v>
      </c>
      <c r="EKY67" s="153">
        <v>150</v>
      </c>
      <c r="EKZ67" s="155">
        <f>SUM(EKU67:EKY67)</f>
        <v>8675</v>
      </c>
      <c r="ELA67" s="153">
        <v>200</v>
      </c>
      <c r="ELB67" s="155">
        <f>SUM(EKZ67:ELA67)</f>
        <v>8875</v>
      </c>
      <c r="ELC67" s="148" t="s">
        <v>96</v>
      </c>
      <c r="ELD67" s="149">
        <v>45845</v>
      </c>
      <c r="ELE67" s="144" t="s">
        <v>40</v>
      </c>
      <c r="ELF67" s="200"/>
      <c r="ELG67" s="150" t="s">
        <v>123</v>
      </c>
      <c r="ELH67" s="198"/>
      <c r="ELI67" s="199"/>
      <c r="ELJ67" s="144" t="s">
        <v>22</v>
      </c>
      <c r="ELK67" s="145">
        <v>8150</v>
      </c>
      <c r="ELL67" s="153">
        <v>85</v>
      </c>
      <c r="ELM67" s="154">
        <v>215</v>
      </c>
      <c r="ELN67" s="154">
        <v>75</v>
      </c>
      <c r="ELO67" s="153">
        <v>150</v>
      </c>
      <c r="ELP67" s="155">
        <f>SUM(ELK67:ELO67)</f>
        <v>8675</v>
      </c>
      <c r="ELQ67" s="153">
        <v>200</v>
      </c>
      <c r="ELR67" s="155">
        <f>SUM(ELP67:ELQ67)</f>
        <v>8875</v>
      </c>
      <c r="ELS67" s="148" t="s">
        <v>96</v>
      </c>
      <c r="ELT67" s="149">
        <v>45845</v>
      </c>
      <c r="ELU67" s="144" t="s">
        <v>40</v>
      </c>
      <c r="ELV67" s="200"/>
      <c r="ELW67" s="150" t="s">
        <v>123</v>
      </c>
      <c r="ELX67" s="198"/>
      <c r="ELY67" s="199"/>
      <c r="ELZ67" s="144" t="s">
        <v>22</v>
      </c>
      <c r="EMA67" s="145">
        <v>8150</v>
      </c>
      <c r="EMB67" s="153">
        <v>85</v>
      </c>
      <c r="EMC67" s="154">
        <v>215</v>
      </c>
      <c r="EMD67" s="154">
        <v>75</v>
      </c>
      <c r="EME67" s="153">
        <v>150</v>
      </c>
      <c r="EMF67" s="155">
        <f>SUM(EMA67:EME67)</f>
        <v>8675</v>
      </c>
      <c r="EMG67" s="153">
        <v>200</v>
      </c>
      <c r="EMH67" s="155">
        <f>SUM(EMF67:EMG67)</f>
        <v>8875</v>
      </c>
      <c r="EMI67" s="148" t="s">
        <v>96</v>
      </c>
      <c r="EMJ67" s="149">
        <v>45845</v>
      </c>
      <c r="EMK67" s="144" t="s">
        <v>40</v>
      </c>
      <c r="EML67" s="200"/>
      <c r="EMM67" s="150" t="s">
        <v>123</v>
      </c>
      <c r="EMN67" s="198"/>
      <c r="EMO67" s="199"/>
      <c r="EMP67" s="144" t="s">
        <v>22</v>
      </c>
      <c r="EMQ67" s="145">
        <v>8150</v>
      </c>
      <c r="EMR67" s="153">
        <v>85</v>
      </c>
      <c r="EMS67" s="154">
        <v>215</v>
      </c>
      <c r="EMT67" s="154">
        <v>75</v>
      </c>
      <c r="EMU67" s="153">
        <v>150</v>
      </c>
      <c r="EMV67" s="155">
        <f>SUM(EMQ67:EMU67)</f>
        <v>8675</v>
      </c>
      <c r="EMW67" s="153">
        <v>200</v>
      </c>
      <c r="EMX67" s="155">
        <f>SUM(EMV67:EMW67)</f>
        <v>8875</v>
      </c>
      <c r="EMY67" s="148" t="s">
        <v>96</v>
      </c>
      <c r="EMZ67" s="149">
        <v>45845</v>
      </c>
      <c r="ENA67" s="144" t="s">
        <v>40</v>
      </c>
      <c r="ENB67" s="200"/>
      <c r="ENC67" s="150" t="s">
        <v>123</v>
      </c>
      <c r="END67" s="198"/>
      <c r="ENE67" s="199"/>
      <c r="ENF67" s="144" t="s">
        <v>22</v>
      </c>
      <c r="ENG67" s="145">
        <v>8150</v>
      </c>
      <c r="ENH67" s="153">
        <v>85</v>
      </c>
      <c r="ENI67" s="154">
        <v>215</v>
      </c>
      <c r="ENJ67" s="154">
        <v>75</v>
      </c>
      <c r="ENK67" s="153">
        <v>150</v>
      </c>
      <c r="ENL67" s="155">
        <f>SUM(ENG67:ENK67)</f>
        <v>8675</v>
      </c>
      <c r="ENM67" s="153">
        <v>200</v>
      </c>
      <c r="ENN67" s="155">
        <f>SUM(ENL67:ENM67)</f>
        <v>8875</v>
      </c>
      <c r="ENO67" s="148" t="s">
        <v>96</v>
      </c>
      <c r="ENP67" s="149">
        <v>45845</v>
      </c>
      <c r="ENQ67" s="144" t="s">
        <v>40</v>
      </c>
      <c r="ENR67" s="200"/>
      <c r="ENS67" s="150" t="s">
        <v>123</v>
      </c>
      <c r="ENT67" s="198"/>
      <c r="ENU67" s="199"/>
      <c r="ENV67" s="144" t="s">
        <v>22</v>
      </c>
      <c r="ENW67" s="145">
        <v>8150</v>
      </c>
      <c r="ENX67" s="153">
        <v>85</v>
      </c>
      <c r="ENY67" s="154">
        <v>215</v>
      </c>
      <c r="ENZ67" s="154">
        <v>75</v>
      </c>
      <c r="EOA67" s="153">
        <v>150</v>
      </c>
      <c r="EOB67" s="155">
        <f>SUM(ENW67:EOA67)</f>
        <v>8675</v>
      </c>
      <c r="EOC67" s="153">
        <v>200</v>
      </c>
      <c r="EOD67" s="155">
        <f>SUM(EOB67:EOC67)</f>
        <v>8875</v>
      </c>
      <c r="EOE67" s="148" t="s">
        <v>96</v>
      </c>
      <c r="EOF67" s="149">
        <v>45845</v>
      </c>
      <c r="EOG67" s="144" t="s">
        <v>40</v>
      </c>
      <c r="EOH67" s="200"/>
      <c r="EOI67" s="150" t="s">
        <v>123</v>
      </c>
      <c r="EOJ67" s="198"/>
      <c r="EOK67" s="199"/>
      <c r="EOL67" s="144" t="s">
        <v>22</v>
      </c>
      <c r="EOM67" s="145">
        <v>8150</v>
      </c>
      <c r="EON67" s="153">
        <v>85</v>
      </c>
      <c r="EOO67" s="154">
        <v>215</v>
      </c>
      <c r="EOP67" s="154">
        <v>75</v>
      </c>
      <c r="EOQ67" s="153">
        <v>150</v>
      </c>
      <c r="EOR67" s="155">
        <f>SUM(EOM67:EOQ67)</f>
        <v>8675</v>
      </c>
      <c r="EOS67" s="153">
        <v>200</v>
      </c>
      <c r="EOT67" s="155">
        <f>SUM(EOR67:EOS67)</f>
        <v>8875</v>
      </c>
      <c r="EOU67" s="148" t="s">
        <v>96</v>
      </c>
      <c r="EOV67" s="149">
        <v>45845</v>
      </c>
      <c r="EOW67" s="144" t="s">
        <v>40</v>
      </c>
      <c r="EOX67" s="200"/>
      <c r="EOY67" s="150" t="s">
        <v>123</v>
      </c>
      <c r="EOZ67" s="198"/>
      <c r="EPA67" s="199"/>
      <c r="EPB67" s="144" t="s">
        <v>22</v>
      </c>
      <c r="EPC67" s="145">
        <v>8150</v>
      </c>
      <c r="EPD67" s="153">
        <v>85</v>
      </c>
      <c r="EPE67" s="154">
        <v>215</v>
      </c>
      <c r="EPF67" s="154">
        <v>75</v>
      </c>
      <c r="EPG67" s="153">
        <v>150</v>
      </c>
      <c r="EPH67" s="155">
        <f>SUM(EPC67:EPG67)</f>
        <v>8675</v>
      </c>
      <c r="EPI67" s="153">
        <v>200</v>
      </c>
      <c r="EPJ67" s="155">
        <f>SUM(EPH67:EPI67)</f>
        <v>8875</v>
      </c>
      <c r="EPK67" s="148" t="s">
        <v>96</v>
      </c>
      <c r="EPL67" s="149">
        <v>45845</v>
      </c>
      <c r="EPM67" s="144" t="s">
        <v>40</v>
      </c>
      <c r="EPN67" s="200"/>
      <c r="EPO67" s="150" t="s">
        <v>123</v>
      </c>
      <c r="EPP67" s="198"/>
      <c r="EPQ67" s="199"/>
      <c r="EPR67" s="144" t="s">
        <v>22</v>
      </c>
      <c r="EPS67" s="145">
        <v>8150</v>
      </c>
      <c r="EPT67" s="153">
        <v>85</v>
      </c>
      <c r="EPU67" s="154">
        <v>215</v>
      </c>
      <c r="EPV67" s="154">
        <v>75</v>
      </c>
      <c r="EPW67" s="153">
        <v>150</v>
      </c>
      <c r="EPX67" s="155">
        <f>SUM(EPS67:EPW67)</f>
        <v>8675</v>
      </c>
      <c r="EPY67" s="153">
        <v>200</v>
      </c>
      <c r="EPZ67" s="155">
        <f>SUM(EPX67:EPY67)</f>
        <v>8875</v>
      </c>
      <c r="EQA67" s="148" t="s">
        <v>96</v>
      </c>
      <c r="EQB67" s="149">
        <v>45845</v>
      </c>
      <c r="EQC67" s="144" t="s">
        <v>40</v>
      </c>
      <c r="EQD67" s="200"/>
      <c r="EQE67" s="150" t="s">
        <v>123</v>
      </c>
      <c r="EQF67" s="198"/>
      <c r="EQG67" s="199"/>
      <c r="EQH67" s="144" t="s">
        <v>22</v>
      </c>
      <c r="EQI67" s="145">
        <v>8150</v>
      </c>
      <c r="EQJ67" s="153">
        <v>85</v>
      </c>
      <c r="EQK67" s="154">
        <v>215</v>
      </c>
      <c r="EQL67" s="154">
        <v>75</v>
      </c>
      <c r="EQM67" s="153">
        <v>150</v>
      </c>
      <c r="EQN67" s="155">
        <f>SUM(EQI67:EQM67)</f>
        <v>8675</v>
      </c>
      <c r="EQO67" s="153">
        <v>200</v>
      </c>
      <c r="EQP67" s="155">
        <f>SUM(EQN67:EQO67)</f>
        <v>8875</v>
      </c>
      <c r="EQQ67" s="148" t="s">
        <v>96</v>
      </c>
      <c r="EQR67" s="149">
        <v>45845</v>
      </c>
      <c r="EQS67" s="144" t="s">
        <v>40</v>
      </c>
      <c r="EQT67" s="200"/>
      <c r="EQU67" s="150" t="s">
        <v>123</v>
      </c>
      <c r="EQV67" s="198"/>
      <c r="EQW67" s="199"/>
      <c r="EQX67" s="144" t="s">
        <v>22</v>
      </c>
      <c r="EQY67" s="145">
        <v>8150</v>
      </c>
      <c r="EQZ67" s="153">
        <v>85</v>
      </c>
      <c r="ERA67" s="154">
        <v>215</v>
      </c>
      <c r="ERB67" s="154">
        <v>75</v>
      </c>
      <c r="ERC67" s="153">
        <v>150</v>
      </c>
      <c r="ERD67" s="155">
        <f>SUM(EQY67:ERC67)</f>
        <v>8675</v>
      </c>
      <c r="ERE67" s="153">
        <v>200</v>
      </c>
      <c r="ERF67" s="155">
        <f>SUM(ERD67:ERE67)</f>
        <v>8875</v>
      </c>
      <c r="ERG67" s="148" t="s">
        <v>96</v>
      </c>
      <c r="ERH67" s="149">
        <v>45845</v>
      </c>
      <c r="ERI67" s="144" t="s">
        <v>40</v>
      </c>
      <c r="ERJ67" s="200"/>
      <c r="ERK67" s="150" t="s">
        <v>123</v>
      </c>
      <c r="ERL67" s="198"/>
      <c r="ERM67" s="199"/>
      <c r="ERN67" s="144" t="s">
        <v>22</v>
      </c>
      <c r="ERO67" s="145">
        <v>8150</v>
      </c>
      <c r="ERP67" s="153">
        <v>85</v>
      </c>
      <c r="ERQ67" s="154">
        <v>215</v>
      </c>
      <c r="ERR67" s="154">
        <v>75</v>
      </c>
      <c r="ERS67" s="153">
        <v>150</v>
      </c>
      <c r="ERT67" s="155">
        <f>SUM(ERO67:ERS67)</f>
        <v>8675</v>
      </c>
      <c r="ERU67" s="153">
        <v>200</v>
      </c>
      <c r="ERV67" s="155">
        <f>SUM(ERT67:ERU67)</f>
        <v>8875</v>
      </c>
      <c r="ERW67" s="148" t="s">
        <v>96</v>
      </c>
      <c r="ERX67" s="149">
        <v>45845</v>
      </c>
      <c r="ERY67" s="144" t="s">
        <v>40</v>
      </c>
      <c r="ERZ67" s="200"/>
      <c r="ESA67" s="150" t="s">
        <v>123</v>
      </c>
      <c r="ESB67" s="198"/>
      <c r="ESC67" s="199"/>
      <c r="ESD67" s="144" t="s">
        <v>22</v>
      </c>
      <c r="ESE67" s="145">
        <v>8150</v>
      </c>
      <c r="ESF67" s="153">
        <v>85</v>
      </c>
      <c r="ESG67" s="154">
        <v>215</v>
      </c>
      <c r="ESH67" s="154">
        <v>75</v>
      </c>
      <c r="ESI67" s="153">
        <v>150</v>
      </c>
      <c r="ESJ67" s="155">
        <f>SUM(ESE67:ESI67)</f>
        <v>8675</v>
      </c>
      <c r="ESK67" s="153">
        <v>200</v>
      </c>
      <c r="ESL67" s="155">
        <f>SUM(ESJ67:ESK67)</f>
        <v>8875</v>
      </c>
      <c r="ESM67" s="148" t="s">
        <v>96</v>
      </c>
      <c r="ESN67" s="149">
        <v>45845</v>
      </c>
      <c r="ESO67" s="144" t="s">
        <v>40</v>
      </c>
      <c r="ESP67" s="200"/>
      <c r="ESQ67" s="150" t="s">
        <v>123</v>
      </c>
      <c r="ESR67" s="198"/>
      <c r="ESS67" s="199"/>
      <c r="EST67" s="144" t="s">
        <v>22</v>
      </c>
      <c r="ESU67" s="145">
        <v>8150</v>
      </c>
      <c r="ESV67" s="153">
        <v>85</v>
      </c>
      <c r="ESW67" s="154">
        <v>215</v>
      </c>
      <c r="ESX67" s="154">
        <v>75</v>
      </c>
      <c r="ESY67" s="153">
        <v>150</v>
      </c>
      <c r="ESZ67" s="155">
        <f>SUM(ESU67:ESY67)</f>
        <v>8675</v>
      </c>
      <c r="ETA67" s="153">
        <v>200</v>
      </c>
      <c r="ETB67" s="155">
        <f>SUM(ESZ67:ETA67)</f>
        <v>8875</v>
      </c>
      <c r="ETC67" s="148" t="s">
        <v>96</v>
      </c>
      <c r="ETD67" s="149">
        <v>45845</v>
      </c>
      <c r="ETE67" s="144" t="s">
        <v>40</v>
      </c>
      <c r="ETF67" s="200"/>
      <c r="ETG67" s="150" t="s">
        <v>123</v>
      </c>
      <c r="ETH67" s="198"/>
      <c r="ETI67" s="199"/>
      <c r="ETJ67" s="144" t="s">
        <v>22</v>
      </c>
      <c r="ETK67" s="145">
        <v>8150</v>
      </c>
      <c r="ETL67" s="153">
        <v>85</v>
      </c>
      <c r="ETM67" s="154">
        <v>215</v>
      </c>
      <c r="ETN67" s="154">
        <v>75</v>
      </c>
      <c r="ETO67" s="153">
        <v>150</v>
      </c>
      <c r="ETP67" s="155">
        <f>SUM(ETK67:ETO67)</f>
        <v>8675</v>
      </c>
      <c r="ETQ67" s="153">
        <v>200</v>
      </c>
      <c r="ETR67" s="155">
        <f>SUM(ETP67:ETQ67)</f>
        <v>8875</v>
      </c>
      <c r="ETS67" s="148" t="s">
        <v>96</v>
      </c>
      <c r="ETT67" s="149">
        <v>45845</v>
      </c>
      <c r="ETU67" s="144" t="s">
        <v>40</v>
      </c>
      <c r="ETV67" s="200"/>
      <c r="ETW67" s="150" t="s">
        <v>123</v>
      </c>
      <c r="ETX67" s="198"/>
      <c r="ETY67" s="199"/>
      <c r="ETZ67" s="144" t="s">
        <v>22</v>
      </c>
      <c r="EUA67" s="145">
        <v>8150</v>
      </c>
      <c r="EUB67" s="153">
        <v>85</v>
      </c>
      <c r="EUC67" s="154">
        <v>215</v>
      </c>
      <c r="EUD67" s="154">
        <v>75</v>
      </c>
      <c r="EUE67" s="153">
        <v>150</v>
      </c>
      <c r="EUF67" s="155">
        <f>SUM(EUA67:EUE67)</f>
        <v>8675</v>
      </c>
      <c r="EUG67" s="153">
        <v>200</v>
      </c>
      <c r="EUH67" s="155">
        <f>SUM(EUF67:EUG67)</f>
        <v>8875</v>
      </c>
      <c r="EUI67" s="148" t="s">
        <v>96</v>
      </c>
      <c r="EUJ67" s="149">
        <v>45845</v>
      </c>
      <c r="EUK67" s="144" t="s">
        <v>40</v>
      </c>
      <c r="EUL67" s="200"/>
      <c r="EUM67" s="150" t="s">
        <v>123</v>
      </c>
      <c r="EUN67" s="198"/>
      <c r="EUO67" s="199"/>
      <c r="EUP67" s="144" t="s">
        <v>22</v>
      </c>
      <c r="EUQ67" s="145">
        <v>8150</v>
      </c>
      <c r="EUR67" s="153">
        <v>85</v>
      </c>
      <c r="EUS67" s="154">
        <v>215</v>
      </c>
      <c r="EUT67" s="154">
        <v>75</v>
      </c>
      <c r="EUU67" s="153">
        <v>150</v>
      </c>
      <c r="EUV67" s="155">
        <f>SUM(EUQ67:EUU67)</f>
        <v>8675</v>
      </c>
      <c r="EUW67" s="153">
        <v>200</v>
      </c>
      <c r="EUX67" s="155">
        <f>SUM(EUV67:EUW67)</f>
        <v>8875</v>
      </c>
      <c r="EUY67" s="148" t="s">
        <v>96</v>
      </c>
      <c r="EUZ67" s="149">
        <v>45845</v>
      </c>
      <c r="EVA67" s="144" t="s">
        <v>40</v>
      </c>
      <c r="EVB67" s="200"/>
      <c r="EVC67" s="150" t="s">
        <v>123</v>
      </c>
      <c r="EVD67" s="198"/>
      <c r="EVE67" s="199"/>
      <c r="EVF67" s="144" t="s">
        <v>22</v>
      </c>
      <c r="EVG67" s="145">
        <v>8150</v>
      </c>
      <c r="EVH67" s="153">
        <v>85</v>
      </c>
      <c r="EVI67" s="154">
        <v>215</v>
      </c>
      <c r="EVJ67" s="154">
        <v>75</v>
      </c>
      <c r="EVK67" s="153">
        <v>150</v>
      </c>
      <c r="EVL67" s="155">
        <f>SUM(EVG67:EVK67)</f>
        <v>8675</v>
      </c>
      <c r="EVM67" s="153">
        <v>200</v>
      </c>
      <c r="EVN67" s="155">
        <f>SUM(EVL67:EVM67)</f>
        <v>8875</v>
      </c>
      <c r="EVO67" s="148" t="s">
        <v>96</v>
      </c>
      <c r="EVP67" s="149">
        <v>45845</v>
      </c>
      <c r="EVQ67" s="144" t="s">
        <v>40</v>
      </c>
      <c r="EVR67" s="200"/>
      <c r="EVS67" s="150" t="s">
        <v>123</v>
      </c>
      <c r="EVT67" s="198"/>
      <c r="EVU67" s="199"/>
      <c r="EVV67" s="144" t="s">
        <v>22</v>
      </c>
      <c r="EVW67" s="145">
        <v>8150</v>
      </c>
      <c r="EVX67" s="153">
        <v>85</v>
      </c>
      <c r="EVY67" s="154">
        <v>215</v>
      </c>
      <c r="EVZ67" s="154">
        <v>75</v>
      </c>
      <c r="EWA67" s="153">
        <v>150</v>
      </c>
      <c r="EWB67" s="155">
        <f>SUM(EVW67:EWA67)</f>
        <v>8675</v>
      </c>
      <c r="EWC67" s="153">
        <v>200</v>
      </c>
      <c r="EWD67" s="155">
        <f>SUM(EWB67:EWC67)</f>
        <v>8875</v>
      </c>
      <c r="EWE67" s="148" t="s">
        <v>96</v>
      </c>
      <c r="EWF67" s="149">
        <v>45845</v>
      </c>
      <c r="EWG67" s="144" t="s">
        <v>40</v>
      </c>
      <c r="EWH67" s="200"/>
      <c r="EWI67" s="150" t="s">
        <v>123</v>
      </c>
      <c r="EWJ67" s="198"/>
      <c r="EWK67" s="199"/>
      <c r="EWL67" s="144" t="s">
        <v>22</v>
      </c>
      <c r="EWM67" s="145">
        <v>8150</v>
      </c>
      <c r="EWN67" s="153">
        <v>85</v>
      </c>
      <c r="EWO67" s="154">
        <v>215</v>
      </c>
      <c r="EWP67" s="154">
        <v>75</v>
      </c>
      <c r="EWQ67" s="153">
        <v>150</v>
      </c>
      <c r="EWR67" s="155">
        <f>SUM(EWM67:EWQ67)</f>
        <v>8675</v>
      </c>
      <c r="EWS67" s="153">
        <v>200</v>
      </c>
      <c r="EWT67" s="155">
        <f>SUM(EWR67:EWS67)</f>
        <v>8875</v>
      </c>
      <c r="EWU67" s="148" t="s">
        <v>96</v>
      </c>
      <c r="EWV67" s="149">
        <v>45845</v>
      </c>
      <c r="EWW67" s="144" t="s">
        <v>40</v>
      </c>
      <c r="EWX67" s="200"/>
      <c r="EWY67" s="150" t="s">
        <v>123</v>
      </c>
      <c r="EWZ67" s="198"/>
      <c r="EXA67" s="199"/>
      <c r="EXB67" s="144" t="s">
        <v>22</v>
      </c>
      <c r="EXC67" s="145">
        <v>8150</v>
      </c>
      <c r="EXD67" s="153">
        <v>85</v>
      </c>
      <c r="EXE67" s="154">
        <v>215</v>
      </c>
      <c r="EXF67" s="154">
        <v>75</v>
      </c>
      <c r="EXG67" s="153">
        <v>150</v>
      </c>
      <c r="EXH67" s="155">
        <f>SUM(EXC67:EXG67)</f>
        <v>8675</v>
      </c>
      <c r="EXI67" s="153">
        <v>200</v>
      </c>
      <c r="EXJ67" s="155">
        <f>SUM(EXH67:EXI67)</f>
        <v>8875</v>
      </c>
      <c r="EXK67" s="148" t="s">
        <v>96</v>
      </c>
      <c r="EXL67" s="149">
        <v>45845</v>
      </c>
      <c r="EXM67" s="144" t="s">
        <v>40</v>
      </c>
      <c r="EXN67" s="200"/>
      <c r="EXO67" s="150" t="s">
        <v>123</v>
      </c>
      <c r="EXP67" s="198"/>
      <c r="EXQ67" s="199"/>
      <c r="EXR67" s="144" t="s">
        <v>22</v>
      </c>
      <c r="EXS67" s="145">
        <v>8150</v>
      </c>
      <c r="EXT67" s="153">
        <v>85</v>
      </c>
      <c r="EXU67" s="154">
        <v>215</v>
      </c>
      <c r="EXV67" s="154">
        <v>75</v>
      </c>
      <c r="EXW67" s="153">
        <v>150</v>
      </c>
      <c r="EXX67" s="155">
        <f>SUM(EXS67:EXW67)</f>
        <v>8675</v>
      </c>
      <c r="EXY67" s="153">
        <v>200</v>
      </c>
      <c r="EXZ67" s="155">
        <f>SUM(EXX67:EXY67)</f>
        <v>8875</v>
      </c>
      <c r="EYA67" s="148" t="s">
        <v>96</v>
      </c>
      <c r="EYB67" s="149">
        <v>45845</v>
      </c>
      <c r="EYC67" s="144" t="s">
        <v>40</v>
      </c>
      <c r="EYD67" s="200"/>
      <c r="EYE67" s="150" t="s">
        <v>123</v>
      </c>
      <c r="EYF67" s="198"/>
      <c r="EYG67" s="199"/>
      <c r="EYH67" s="144" t="s">
        <v>22</v>
      </c>
      <c r="EYI67" s="145">
        <v>8150</v>
      </c>
      <c r="EYJ67" s="153">
        <v>85</v>
      </c>
      <c r="EYK67" s="154">
        <v>215</v>
      </c>
      <c r="EYL67" s="154">
        <v>75</v>
      </c>
      <c r="EYM67" s="153">
        <v>150</v>
      </c>
      <c r="EYN67" s="155">
        <f>SUM(EYI67:EYM67)</f>
        <v>8675</v>
      </c>
      <c r="EYO67" s="153">
        <v>200</v>
      </c>
      <c r="EYP67" s="155">
        <f>SUM(EYN67:EYO67)</f>
        <v>8875</v>
      </c>
      <c r="EYQ67" s="148" t="s">
        <v>96</v>
      </c>
      <c r="EYR67" s="149">
        <v>45845</v>
      </c>
      <c r="EYS67" s="144" t="s">
        <v>40</v>
      </c>
      <c r="EYT67" s="200"/>
      <c r="EYU67" s="150" t="s">
        <v>123</v>
      </c>
      <c r="EYV67" s="198"/>
      <c r="EYW67" s="199"/>
      <c r="EYX67" s="144" t="s">
        <v>22</v>
      </c>
      <c r="EYY67" s="145">
        <v>8150</v>
      </c>
      <c r="EYZ67" s="153">
        <v>85</v>
      </c>
      <c r="EZA67" s="154">
        <v>215</v>
      </c>
      <c r="EZB67" s="154">
        <v>75</v>
      </c>
      <c r="EZC67" s="153">
        <v>150</v>
      </c>
      <c r="EZD67" s="155">
        <f>SUM(EYY67:EZC67)</f>
        <v>8675</v>
      </c>
      <c r="EZE67" s="153">
        <v>200</v>
      </c>
      <c r="EZF67" s="155">
        <f>SUM(EZD67:EZE67)</f>
        <v>8875</v>
      </c>
      <c r="EZG67" s="148" t="s">
        <v>96</v>
      </c>
      <c r="EZH67" s="149">
        <v>45845</v>
      </c>
      <c r="EZI67" s="144" t="s">
        <v>40</v>
      </c>
      <c r="EZJ67" s="200"/>
      <c r="EZK67" s="150" t="s">
        <v>123</v>
      </c>
      <c r="EZL67" s="198"/>
      <c r="EZM67" s="199"/>
      <c r="EZN67" s="144" t="s">
        <v>22</v>
      </c>
      <c r="EZO67" s="145">
        <v>8150</v>
      </c>
      <c r="EZP67" s="153">
        <v>85</v>
      </c>
      <c r="EZQ67" s="154">
        <v>215</v>
      </c>
      <c r="EZR67" s="154">
        <v>75</v>
      </c>
      <c r="EZS67" s="153">
        <v>150</v>
      </c>
      <c r="EZT67" s="155">
        <f>SUM(EZO67:EZS67)</f>
        <v>8675</v>
      </c>
      <c r="EZU67" s="153">
        <v>200</v>
      </c>
      <c r="EZV67" s="155">
        <f>SUM(EZT67:EZU67)</f>
        <v>8875</v>
      </c>
      <c r="EZW67" s="148" t="s">
        <v>96</v>
      </c>
      <c r="EZX67" s="149">
        <v>45845</v>
      </c>
      <c r="EZY67" s="144" t="s">
        <v>40</v>
      </c>
      <c r="EZZ67" s="200"/>
      <c r="FAA67" s="150" t="s">
        <v>123</v>
      </c>
      <c r="FAB67" s="198"/>
      <c r="FAC67" s="199"/>
      <c r="FAD67" s="144" t="s">
        <v>22</v>
      </c>
      <c r="FAE67" s="145">
        <v>8150</v>
      </c>
      <c r="FAF67" s="153">
        <v>85</v>
      </c>
      <c r="FAG67" s="154">
        <v>215</v>
      </c>
      <c r="FAH67" s="154">
        <v>75</v>
      </c>
      <c r="FAI67" s="153">
        <v>150</v>
      </c>
      <c r="FAJ67" s="155">
        <f>SUM(FAE67:FAI67)</f>
        <v>8675</v>
      </c>
      <c r="FAK67" s="153">
        <v>200</v>
      </c>
      <c r="FAL67" s="155">
        <f>SUM(FAJ67:FAK67)</f>
        <v>8875</v>
      </c>
      <c r="FAM67" s="148" t="s">
        <v>96</v>
      </c>
      <c r="FAN67" s="149">
        <v>45845</v>
      </c>
      <c r="FAO67" s="144" t="s">
        <v>40</v>
      </c>
      <c r="FAP67" s="200"/>
      <c r="FAQ67" s="150" t="s">
        <v>123</v>
      </c>
      <c r="FAR67" s="198"/>
      <c r="FAS67" s="199"/>
      <c r="FAT67" s="144" t="s">
        <v>22</v>
      </c>
      <c r="FAU67" s="145">
        <v>8150</v>
      </c>
      <c r="FAV67" s="153">
        <v>85</v>
      </c>
      <c r="FAW67" s="154">
        <v>215</v>
      </c>
      <c r="FAX67" s="154">
        <v>75</v>
      </c>
      <c r="FAY67" s="153">
        <v>150</v>
      </c>
      <c r="FAZ67" s="155">
        <f>SUM(FAU67:FAY67)</f>
        <v>8675</v>
      </c>
      <c r="FBA67" s="153">
        <v>200</v>
      </c>
      <c r="FBB67" s="155">
        <f>SUM(FAZ67:FBA67)</f>
        <v>8875</v>
      </c>
      <c r="FBC67" s="148" t="s">
        <v>96</v>
      </c>
      <c r="FBD67" s="149">
        <v>45845</v>
      </c>
      <c r="FBE67" s="144" t="s">
        <v>40</v>
      </c>
      <c r="FBF67" s="200"/>
      <c r="FBG67" s="150" t="s">
        <v>123</v>
      </c>
      <c r="FBH67" s="198"/>
      <c r="FBI67" s="199"/>
      <c r="FBJ67" s="144" t="s">
        <v>22</v>
      </c>
      <c r="FBK67" s="145">
        <v>8150</v>
      </c>
      <c r="FBL67" s="153">
        <v>85</v>
      </c>
      <c r="FBM67" s="154">
        <v>215</v>
      </c>
      <c r="FBN67" s="154">
        <v>75</v>
      </c>
      <c r="FBO67" s="153">
        <v>150</v>
      </c>
      <c r="FBP67" s="155">
        <f>SUM(FBK67:FBO67)</f>
        <v>8675</v>
      </c>
      <c r="FBQ67" s="153">
        <v>200</v>
      </c>
      <c r="FBR67" s="155">
        <f>SUM(FBP67:FBQ67)</f>
        <v>8875</v>
      </c>
      <c r="FBS67" s="148" t="s">
        <v>96</v>
      </c>
      <c r="FBT67" s="149">
        <v>45845</v>
      </c>
      <c r="FBU67" s="144" t="s">
        <v>40</v>
      </c>
      <c r="FBV67" s="200"/>
      <c r="FBW67" s="150" t="s">
        <v>123</v>
      </c>
      <c r="FBX67" s="198"/>
      <c r="FBY67" s="199"/>
      <c r="FBZ67" s="144" t="s">
        <v>22</v>
      </c>
      <c r="FCA67" s="145">
        <v>8150</v>
      </c>
      <c r="FCB67" s="153">
        <v>85</v>
      </c>
      <c r="FCC67" s="154">
        <v>215</v>
      </c>
      <c r="FCD67" s="154">
        <v>75</v>
      </c>
      <c r="FCE67" s="153">
        <v>150</v>
      </c>
      <c r="FCF67" s="155">
        <f>SUM(FCA67:FCE67)</f>
        <v>8675</v>
      </c>
      <c r="FCG67" s="153">
        <v>200</v>
      </c>
      <c r="FCH67" s="155">
        <f>SUM(FCF67:FCG67)</f>
        <v>8875</v>
      </c>
      <c r="FCI67" s="148" t="s">
        <v>96</v>
      </c>
      <c r="FCJ67" s="149">
        <v>45845</v>
      </c>
      <c r="FCK67" s="144" t="s">
        <v>40</v>
      </c>
      <c r="FCL67" s="200"/>
      <c r="FCM67" s="150" t="s">
        <v>123</v>
      </c>
      <c r="FCN67" s="198"/>
      <c r="FCO67" s="199"/>
      <c r="FCP67" s="144" t="s">
        <v>22</v>
      </c>
      <c r="FCQ67" s="145">
        <v>8150</v>
      </c>
      <c r="FCR67" s="153">
        <v>85</v>
      </c>
      <c r="FCS67" s="154">
        <v>215</v>
      </c>
      <c r="FCT67" s="154">
        <v>75</v>
      </c>
      <c r="FCU67" s="153">
        <v>150</v>
      </c>
      <c r="FCV67" s="155">
        <f>SUM(FCQ67:FCU67)</f>
        <v>8675</v>
      </c>
      <c r="FCW67" s="153">
        <v>200</v>
      </c>
      <c r="FCX67" s="155">
        <f>SUM(FCV67:FCW67)</f>
        <v>8875</v>
      </c>
      <c r="FCY67" s="148" t="s">
        <v>96</v>
      </c>
      <c r="FCZ67" s="149">
        <v>45845</v>
      </c>
      <c r="FDA67" s="144" t="s">
        <v>40</v>
      </c>
      <c r="FDB67" s="200"/>
      <c r="FDC67" s="150" t="s">
        <v>123</v>
      </c>
      <c r="FDD67" s="198"/>
      <c r="FDE67" s="199"/>
      <c r="FDF67" s="144" t="s">
        <v>22</v>
      </c>
      <c r="FDG67" s="145">
        <v>8150</v>
      </c>
      <c r="FDH67" s="153">
        <v>85</v>
      </c>
      <c r="FDI67" s="154">
        <v>215</v>
      </c>
      <c r="FDJ67" s="154">
        <v>75</v>
      </c>
      <c r="FDK67" s="153">
        <v>150</v>
      </c>
      <c r="FDL67" s="155">
        <f>SUM(FDG67:FDK67)</f>
        <v>8675</v>
      </c>
      <c r="FDM67" s="153">
        <v>200</v>
      </c>
      <c r="FDN67" s="155">
        <f>SUM(FDL67:FDM67)</f>
        <v>8875</v>
      </c>
      <c r="FDO67" s="148" t="s">
        <v>96</v>
      </c>
      <c r="FDP67" s="149">
        <v>45845</v>
      </c>
      <c r="FDQ67" s="144" t="s">
        <v>40</v>
      </c>
      <c r="FDR67" s="200"/>
      <c r="FDS67" s="150" t="s">
        <v>123</v>
      </c>
      <c r="FDT67" s="198"/>
      <c r="FDU67" s="199"/>
      <c r="FDV67" s="144" t="s">
        <v>22</v>
      </c>
      <c r="FDW67" s="145">
        <v>8150</v>
      </c>
      <c r="FDX67" s="153">
        <v>85</v>
      </c>
      <c r="FDY67" s="154">
        <v>215</v>
      </c>
      <c r="FDZ67" s="154">
        <v>75</v>
      </c>
      <c r="FEA67" s="153">
        <v>150</v>
      </c>
      <c r="FEB67" s="155">
        <f>SUM(FDW67:FEA67)</f>
        <v>8675</v>
      </c>
      <c r="FEC67" s="153">
        <v>200</v>
      </c>
      <c r="FED67" s="155">
        <f>SUM(FEB67:FEC67)</f>
        <v>8875</v>
      </c>
      <c r="FEE67" s="148" t="s">
        <v>96</v>
      </c>
      <c r="FEF67" s="149">
        <v>45845</v>
      </c>
      <c r="FEG67" s="144" t="s">
        <v>40</v>
      </c>
      <c r="FEH67" s="200"/>
      <c r="FEI67" s="150" t="s">
        <v>123</v>
      </c>
      <c r="FEJ67" s="198"/>
      <c r="FEK67" s="199"/>
      <c r="FEL67" s="144" t="s">
        <v>22</v>
      </c>
      <c r="FEM67" s="145">
        <v>8150</v>
      </c>
      <c r="FEN67" s="153">
        <v>85</v>
      </c>
      <c r="FEO67" s="154">
        <v>215</v>
      </c>
      <c r="FEP67" s="154">
        <v>75</v>
      </c>
      <c r="FEQ67" s="153">
        <v>150</v>
      </c>
      <c r="FER67" s="155">
        <f>SUM(FEM67:FEQ67)</f>
        <v>8675</v>
      </c>
      <c r="FES67" s="153">
        <v>200</v>
      </c>
      <c r="FET67" s="155">
        <f>SUM(FER67:FES67)</f>
        <v>8875</v>
      </c>
      <c r="FEU67" s="148" t="s">
        <v>96</v>
      </c>
      <c r="FEV67" s="149">
        <v>45845</v>
      </c>
      <c r="FEW67" s="144" t="s">
        <v>40</v>
      </c>
      <c r="FEX67" s="200"/>
      <c r="FEY67" s="150" t="s">
        <v>123</v>
      </c>
      <c r="FEZ67" s="198"/>
      <c r="FFA67" s="199"/>
      <c r="FFB67" s="144" t="s">
        <v>22</v>
      </c>
      <c r="FFC67" s="145">
        <v>8150</v>
      </c>
      <c r="FFD67" s="153">
        <v>85</v>
      </c>
      <c r="FFE67" s="154">
        <v>215</v>
      </c>
      <c r="FFF67" s="154">
        <v>75</v>
      </c>
      <c r="FFG67" s="153">
        <v>150</v>
      </c>
      <c r="FFH67" s="155">
        <f>SUM(FFC67:FFG67)</f>
        <v>8675</v>
      </c>
      <c r="FFI67" s="153">
        <v>200</v>
      </c>
      <c r="FFJ67" s="155">
        <f>SUM(FFH67:FFI67)</f>
        <v>8875</v>
      </c>
      <c r="FFK67" s="148" t="s">
        <v>96</v>
      </c>
      <c r="FFL67" s="149">
        <v>45845</v>
      </c>
      <c r="FFM67" s="144" t="s">
        <v>40</v>
      </c>
      <c r="FFN67" s="200"/>
      <c r="FFO67" s="150" t="s">
        <v>123</v>
      </c>
      <c r="FFP67" s="198"/>
      <c r="FFQ67" s="199"/>
      <c r="FFR67" s="144" t="s">
        <v>22</v>
      </c>
      <c r="FFS67" s="145">
        <v>8150</v>
      </c>
      <c r="FFT67" s="153">
        <v>85</v>
      </c>
      <c r="FFU67" s="154">
        <v>215</v>
      </c>
      <c r="FFV67" s="154">
        <v>75</v>
      </c>
      <c r="FFW67" s="153">
        <v>150</v>
      </c>
      <c r="FFX67" s="155">
        <f>SUM(FFS67:FFW67)</f>
        <v>8675</v>
      </c>
      <c r="FFY67" s="153">
        <v>200</v>
      </c>
      <c r="FFZ67" s="155">
        <f>SUM(FFX67:FFY67)</f>
        <v>8875</v>
      </c>
      <c r="FGA67" s="148" t="s">
        <v>96</v>
      </c>
      <c r="FGB67" s="149">
        <v>45845</v>
      </c>
      <c r="FGC67" s="144" t="s">
        <v>40</v>
      </c>
      <c r="FGD67" s="200"/>
      <c r="FGE67" s="150" t="s">
        <v>123</v>
      </c>
      <c r="FGF67" s="198"/>
      <c r="FGG67" s="199"/>
      <c r="FGH67" s="144" t="s">
        <v>22</v>
      </c>
      <c r="FGI67" s="145">
        <v>8150</v>
      </c>
      <c r="FGJ67" s="153">
        <v>85</v>
      </c>
      <c r="FGK67" s="154">
        <v>215</v>
      </c>
      <c r="FGL67" s="154">
        <v>75</v>
      </c>
      <c r="FGM67" s="153">
        <v>150</v>
      </c>
      <c r="FGN67" s="155">
        <f>SUM(FGI67:FGM67)</f>
        <v>8675</v>
      </c>
      <c r="FGO67" s="153">
        <v>200</v>
      </c>
      <c r="FGP67" s="155">
        <f>SUM(FGN67:FGO67)</f>
        <v>8875</v>
      </c>
      <c r="FGQ67" s="148" t="s">
        <v>96</v>
      </c>
      <c r="FGR67" s="149">
        <v>45845</v>
      </c>
      <c r="FGS67" s="144" t="s">
        <v>40</v>
      </c>
      <c r="FGT67" s="200"/>
      <c r="FGU67" s="150" t="s">
        <v>123</v>
      </c>
      <c r="FGV67" s="198"/>
      <c r="FGW67" s="199"/>
      <c r="FGX67" s="144" t="s">
        <v>22</v>
      </c>
      <c r="FGY67" s="145">
        <v>8150</v>
      </c>
      <c r="FGZ67" s="153">
        <v>85</v>
      </c>
      <c r="FHA67" s="154">
        <v>215</v>
      </c>
      <c r="FHB67" s="154">
        <v>75</v>
      </c>
      <c r="FHC67" s="153">
        <v>150</v>
      </c>
      <c r="FHD67" s="155">
        <f>SUM(FGY67:FHC67)</f>
        <v>8675</v>
      </c>
      <c r="FHE67" s="153">
        <v>200</v>
      </c>
      <c r="FHF67" s="155">
        <f>SUM(FHD67:FHE67)</f>
        <v>8875</v>
      </c>
      <c r="FHG67" s="148" t="s">
        <v>96</v>
      </c>
      <c r="FHH67" s="149">
        <v>45845</v>
      </c>
      <c r="FHI67" s="144" t="s">
        <v>40</v>
      </c>
      <c r="FHJ67" s="200"/>
      <c r="FHK67" s="150" t="s">
        <v>123</v>
      </c>
      <c r="FHL67" s="198"/>
      <c r="FHM67" s="199"/>
      <c r="FHN67" s="144" t="s">
        <v>22</v>
      </c>
      <c r="FHO67" s="145">
        <v>8150</v>
      </c>
      <c r="FHP67" s="153">
        <v>85</v>
      </c>
      <c r="FHQ67" s="154">
        <v>215</v>
      </c>
      <c r="FHR67" s="154">
        <v>75</v>
      </c>
      <c r="FHS67" s="153">
        <v>150</v>
      </c>
      <c r="FHT67" s="155">
        <f>SUM(FHO67:FHS67)</f>
        <v>8675</v>
      </c>
      <c r="FHU67" s="153">
        <v>200</v>
      </c>
      <c r="FHV67" s="155">
        <f>SUM(FHT67:FHU67)</f>
        <v>8875</v>
      </c>
      <c r="FHW67" s="148" t="s">
        <v>96</v>
      </c>
      <c r="FHX67" s="149">
        <v>45845</v>
      </c>
      <c r="FHY67" s="144" t="s">
        <v>40</v>
      </c>
      <c r="FHZ67" s="200"/>
      <c r="FIA67" s="150" t="s">
        <v>123</v>
      </c>
      <c r="FIB67" s="198"/>
      <c r="FIC67" s="199"/>
      <c r="FID67" s="144" t="s">
        <v>22</v>
      </c>
      <c r="FIE67" s="145">
        <v>8150</v>
      </c>
      <c r="FIF67" s="153">
        <v>85</v>
      </c>
      <c r="FIG67" s="154">
        <v>215</v>
      </c>
      <c r="FIH67" s="154">
        <v>75</v>
      </c>
      <c r="FII67" s="153">
        <v>150</v>
      </c>
      <c r="FIJ67" s="155">
        <f>SUM(FIE67:FII67)</f>
        <v>8675</v>
      </c>
      <c r="FIK67" s="153">
        <v>200</v>
      </c>
      <c r="FIL67" s="155">
        <f>SUM(FIJ67:FIK67)</f>
        <v>8875</v>
      </c>
      <c r="FIM67" s="148" t="s">
        <v>96</v>
      </c>
      <c r="FIN67" s="149">
        <v>45845</v>
      </c>
      <c r="FIO67" s="144" t="s">
        <v>40</v>
      </c>
      <c r="FIP67" s="200"/>
      <c r="FIQ67" s="150" t="s">
        <v>123</v>
      </c>
      <c r="FIR67" s="198"/>
      <c r="FIS67" s="199"/>
      <c r="FIT67" s="144" t="s">
        <v>22</v>
      </c>
      <c r="FIU67" s="145">
        <v>8150</v>
      </c>
      <c r="FIV67" s="153">
        <v>85</v>
      </c>
      <c r="FIW67" s="154">
        <v>215</v>
      </c>
      <c r="FIX67" s="154">
        <v>75</v>
      </c>
      <c r="FIY67" s="153">
        <v>150</v>
      </c>
      <c r="FIZ67" s="155">
        <f>SUM(FIU67:FIY67)</f>
        <v>8675</v>
      </c>
      <c r="FJA67" s="153">
        <v>200</v>
      </c>
      <c r="FJB67" s="155">
        <f>SUM(FIZ67:FJA67)</f>
        <v>8875</v>
      </c>
      <c r="FJC67" s="148" t="s">
        <v>96</v>
      </c>
      <c r="FJD67" s="149">
        <v>45845</v>
      </c>
      <c r="FJE67" s="144" t="s">
        <v>40</v>
      </c>
      <c r="FJF67" s="200"/>
      <c r="FJG67" s="150" t="s">
        <v>123</v>
      </c>
      <c r="FJH67" s="198"/>
      <c r="FJI67" s="199"/>
      <c r="FJJ67" s="144" t="s">
        <v>22</v>
      </c>
      <c r="FJK67" s="145">
        <v>8150</v>
      </c>
      <c r="FJL67" s="153">
        <v>85</v>
      </c>
      <c r="FJM67" s="154">
        <v>215</v>
      </c>
      <c r="FJN67" s="154">
        <v>75</v>
      </c>
      <c r="FJO67" s="153">
        <v>150</v>
      </c>
      <c r="FJP67" s="155">
        <f>SUM(FJK67:FJO67)</f>
        <v>8675</v>
      </c>
      <c r="FJQ67" s="153">
        <v>200</v>
      </c>
      <c r="FJR67" s="155">
        <f>SUM(FJP67:FJQ67)</f>
        <v>8875</v>
      </c>
      <c r="FJS67" s="148" t="s">
        <v>96</v>
      </c>
      <c r="FJT67" s="149">
        <v>45845</v>
      </c>
      <c r="FJU67" s="144" t="s">
        <v>40</v>
      </c>
      <c r="FJV67" s="200"/>
      <c r="FJW67" s="150" t="s">
        <v>123</v>
      </c>
      <c r="FJX67" s="198"/>
      <c r="FJY67" s="199"/>
      <c r="FJZ67" s="144" t="s">
        <v>22</v>
      </c>
      <c r="FKA67" s="145">
        <v>8150</v>
      </c>
      <c r="FKB67" s="153">
        <v>85</v>
      </c>
      <c r="FKC67" s="154">
        <v>215</v>
      </c>
      <c r="FKD67" s="154">
        <v>75</v>
      </c>
      <c r="FKE67" s="153">
        <v>150</v>
      </c>
      <c r="FKF67" s="155">
        <f>SUM(FKA67:FKE67)</f>
        <v>8675</v>
      </c>
      <c r="FKG67" s="153">
        <v>200</v>
      </c>
      <c r="FKH67" s="155">
        <f>SUM(FKF67:FKG67)</f>
        <v>8875</v>
      </c>
      <c r="FKI67" s="148" t="s">
        <v>96</v>
      </c>
      <c r="FKJ67" s="149">
        <v>45845</v>
      </c>
      <c r="FKK67" s="144" t="s">
        <v>40</v>
      </c>
      <c r="FKL67" s="200"/>
      <c r="FKM67" s="150" t="s">
        <v>123</v>
      </c>
      <c r="FKN67" s="198"/>
      <c r="FKO67" s="199"/>
      <c r="FKP67" s="144" t="s">
        <v>22</v>
      </c>
      <c r="FKQ67" s="145">
        <v>8150</v>
      </c>
      <c r="FKR67" s="153">
        <v>85</v>
      </c>
      <c r="FKS67" s="154">
        <v>215</v>
      </c>
      <c r="FKT67" s="154">
        <v>75</v>
      </c>
      <c r="FKU67" s="153">
        <v>150</v>
      </c>
      <c r="FKV67" s="155">
        <f>SUM(FKQ67:FKU67)</f>
        <v>8675</v>
      </c>
      <c r="FKW67" s="153">
        <v>200</v>
      </c>
      <c r="FKX67" s="155">
        <f>SUM(FKV67:FKW67)</f>
        <v>8875</v>
      </c>
      <c r="FKY67" s="148" t="s">
        <v>96</v>
      </c>
      <c r="FKZ67" s="149">
        <v>45845</v>
      </c>
      <c r="FLA67" s="144" t="s">
        <v>40</v>
      </c>
      <c r="FLB67" s="200"/>
      <c r="FLC67" s="150" t="s">
        <v>123</v>
      </c>
      <c r="FLD67" s="198"/>
      <c r="FLE67" s="199"/>
      <c r="FLF67" s="144" t="s">
        <v>22</v>
      </c>
      <c r="FLG67" s="145">
        <v>8150</v>
      </c>
      <c r="FLH67" s="153">
        <v>85</v>
      </c>
      <c r="FLI67" s="154">
        <v>215</v>
      </c>
      <c r="FLJ67" s="154">
        <v>75</v>
      </c>
      <c r="FLK67" s="153">
        <v>150</v>
      </c>
      <c r="FLL67" s="155">
        <f>SUM(FLG67:FLK67)</f>
        <v>8675</v>
      </c>
      <c r="FLM67" s="153">
        <v>200</v>
      </c>
      <c r="FLN67" s="155">
        <f>SUM(FLL67:FLM67)</f>
        <v>8875</v>
      </c>
      <c r="FLO67" s="148" t="s">
        <v>96</v>
      </c>
      <c r="FLP67" s="149">
        <v>45845</v>
      </c>
      <c r="FLQ67" s="144" t="s">
        <v>40</v>
      </c>
      <c r="FLR67" s="200"/>
      <c r="FLS67" s="150" t="s">
        <v>123</v>
      </c>
      <c r="FLT67" s="198"/>
      <c r="FLU67" s="199"/>
      <c r="FLV67" s="144" t="s">
        <v>22</v>
      </c>
      <c r="FLW67" s="145">
        <v>8150</v>
      </c>
      <c r="FLX67" s="153">
        <v>85</v>
      </c>
      <c r="FLY67" s="154">
        <v>215</v>
      </c>
      <c r="FLZ67" s="154">
        <v>75</v>
      </c>
      <c r="FMA67" s="153">
        <v>150</v>
      </c>
      <c r="FMB67" s="155">
        <f>SUM(FLW67:FMA67)</f>
        <v>8675</v>
      </c>
      <c r="FMC67" s="153">
        <v>200</v>
      </c>
      <c r="FMD67" s="155">
        <f>SUM(FMB67:FMC67)</f>
        <v>8875</v>
      </c>
      <c r="FME67" s="148" t="s">
        <v>96</v>
      </c>
      <c r="FMF67" s="149">
        <v>45845</v>
      </c>
      <c r="FMG67" s="144" t="s">
        <v>40</v>
      </c>
      <c r="FMH67" s="200"/>
      <c r="FMI67" s="150" t="s">
        <v>123</v>
      </c>
      <c r="FMJ67" s="198"/>
      <c r="FMK67" s="199"/>
      <c r="FML67" s="144" t="s">
        <v>22</v>
      </c>
      <c r="FMM67" s="145">
        <v>8150</v>
      </c>
      <c r="FMN67" s="153">
        <v>85</v>
      </c>
      <c r="FMO67" s="154">
        <v>215</v>
      </c>
      <c r="FMP67" s="154">
        <v>75</v>
      </c>
      <c r="FMQ67" s="153">
        <v>150</v>
      </c>
      <c r="FMR67" s="155">
        <f>SUM(FMM67:FMQ67)</f>
        <v>8675</v>
      </c>
      <c r="FMS67" s="153">
        <v>200</v>
      </c>
      <c r="FMT67" s="155">
        <f>SUM(FMR67:FMS67)</f>
        <v>8875</v>
      </c>
      <c r="FMU67" s="148" t="s">
        <v>96</v>
      </c>
      <c r="FMV67" s="149">
        <v>45845</v>
      </c>
      <c r="FMW67" s="144" t="s">
        <v>40</v>
      </c>
      <c r="FMX67" s="200"/>
      <c r="FMY67" s="150" t="s">
        <v>123</v>
      </c>
      <c r="FMZ67" s="198"/>
      <c r="FNA67" s="199"/>
      <c r="FNB67" s="144" t="s">
        <v>22</v>
      </c>
      <c r="FNC67" s="145">
        <v>8150</v>
      </c>
      <c r="FND67" s="153">
        <v>85</v>
      </c>
      <c r="FNE67" s="154">
        <v>215</v>
      </c>
      <c r="FNF67" s="154">
        <v>75</v>
      </c>
      <c r="FNG67" s="153">
        <v>150</v>
      </c>
      <c r="FNH67" s="155">
        <f>SUM(FNC67:FNG67)</f>
        <v>8675</v>
      </c>
      <c r="FNI67" s="153">
        <v>200</v>
      </c>
      <c r="FNJ67" s="155">
        <f>SUM(FNH67:FNI67)</f>
        <v>8875</v>
      </c>
      <c r="FNK67" s="148" t="s">
        <v>96</v>
      </c>
      <c r="FNL67" s="149">
        <v>45845</v>
      </c>
      <c r="FNM67" s="144" t="s">
        <v>40</v>
      </c>
      <c r="FNN67" s="200"/>
      <c r="FNO67" s="150" t="s">
        <v>123</v>
      </c>
      <c r="FNP67" s="198"/>
      <c r="FNQ67" s="199"/>
      <c r="FNR67" s="144" t="s">
        <v>22</v>
      </c>
      <c r="FNS67" s="145">
        <v>8150</v>
      </c>
      <c r="FNT67" s="153">
        <v>85</v>
      </c>
      <c r="FNU67" s="154">
        <v>215</v>
      </c>
      <c r="FNV67" s="154">
        <v>75</v>
      </c>
      <c r="FNW67" s="153">
        <v>150</v>
      </c>
      <c r="FNX67" s="155">
        <f>SUM(FNS67:FNW67)</f>
        <v>8675</v>
      </c>
      <c r="FNY67" s="153">
        <v>200</v>
      </c>
      <c r="FNZ67" s="155">
        <f>SUM(FNX67:FNY67)</f>
        <v>8875</v>
      </c>
      <c r="FOA67" s="148" t="s">
        <v>96</v>
      </c>
      <c r="FOB67" s="149">
        <v>45845</v>
      </c>
      <c r="FOC67" s="144" t="s">
        <v>40</v>
      </c>
      <c r="FOD67" s="200"/>
      <c r="FOE67" s="150" t="s">
        <v>123</v>
      </c>
      <c r="FOF67" s="198"/>
      <c r="FOG67" s="199"/>
      <c r="FOH67" s="144" t="s">
        <v>22</v>
      </c>
      <c r="FOI67" s="145">
        <v>8150</v>
      </c>
      <c r="FOJ67" s="153">
        <v>85</v>
      </c>
      <c r="FOK67" s="154">
        <v>215</v>
      </c>
      <c r="FOL67" s="154">
        <v>75</v>
      </c>
      <c r="FOM67" s="153">
        <v>150</v>
      </c>
      <c r="FON67" s="155">
        <f>SUM(FOI67:FOM67)</f>
        <v>8675</v>
      </c>
      <c r="FOO67" s="153">
        <v>200</v>
      </c>
      <c r="FOP67" s="155">
        <f>SUM(FON67:FOO67)</f>
        <v>8875</v>
      </c>
      <c r="FOQ67" s="148" t="s">
        <v>96</v>
      </c>
      <c r="FOR67" s="149">
        <v>45845</v>
      </c>
      <c r="FOS67" s="144" t="s">
        <v>40</v>
      </c>
      <c r="FOT67" s="200"/>
      <c r="FOU67" s="150" t="s">
        <v>123</v>
      </c>
      <c r="FOV67" s="198"/>
      <c r="FOW67" s="199"/>
      <c r="FOX67" s="144" t="s">
        <v>22</v>
      </c>
      <c r="FOY67" s="145">
        <v>8150</v>
      </c>
      <c r="FOZ67" s="153">
        <v>85</v>
      </c>
      <c r="FPA67" s="154">
        <v>215</v>
      </c>
      <c r="FPB67" s="154">
        <v>75</v>
      </c>
      <c r="FPC67" s="153">
        <v>150</v>
      </c>
      <c r="FPD67" s="155">
        <f>SUM(FOY67:FPC67)</f>
        <v>8675</v>
      </c>
      <c r="FPE67" s="153">
        <v>200</v>
      </c>
      <c r="FPF67" s="155">
        <f>SUM(FPD67:FPE67)</f>
        <v>8875</v>
      </c>
      <c r="FPG67" s="148" t="s">
        <v>96</v>
      </c>
      <c r="FPH67" s="149">
        <v>45845</v>
      </c>
      <c r="FPI67" s="144" t="s">
        <v>40</v>
      </c>
      <c r="FPJ67" s="200"/>
      <c r="FPK67" s="150" t="s">
        <v>123</v>
      </c>
      <c r="FPL67" s="198"/>
      <c r="FPM67" s="199"/>
      <c r="FPN67" s="144" t="s">
        <v>22</v>
      </c>
      <c r="FPO67" s="145">
        <v>8150</v>
      </c>
      <c r="FPP67" s="153">
        <v>85</v>
      </c>
      <c r="FPQ67" s="154">
        <v>215</v>
      </c>
      <c r="FPR67" s="154">
        <v>75</v>
      </c>
      <c r="FPS67" s="153">
        <v>150</v>
      </c>
      <c r="FPT67" s="155">
        <f>SUM(FPO67:FPS67)</f>
        <v>8675</v>
      </c>
      <c r="FPU67" s="153">
        <v>200</v>
      </c>
      <c r="FPV67" s="155">
        <f>SUM(FPT67:FPU67)</f>
        <v>8875</v>
      </c>
      <c r="FPW67" s="148" t="s">
        <v>96</v>
      </c>
      <c r="FPX67" s="149">
        <v>45845</v>
      </c>
      <c r="FPY67" s="144" t="s">
        <v>40</v>
      </c>
      <c r="FPZ67" s="200"/>
      <c r="FQA67" s="150" t="s">
        <v>123</v>
      </c>
      <c r="FQB67" s="198"/>
      <c r="FQC67" s="199"/>
      <c r="FQD67" s="144" t="s">
        <v>22</v>
      </c>
      <c r="FQE67" s="145">
        <v>8150</v>
      </c>
      <c r="FQF67" s="153">
        <v>85</v>
      </c>
      <c r="FQG67" s="154">
        <v>215</v>
      </c>
      <c r="FQH67" s="154">
        <v>75</v>
      </c>
      <c r="FQI67" s="153">
        <v>150</v>
      </c>
      <c r="FQJ67" s="155">
        <f>SUM(FQE67:FQI67)</f>
        <v>8675</v>
      </c>
      <c r="FQK67" s="153">
        <v>200</v>
      </c>
      <c r="FQL67" s="155">
        <f>SUM(FQJ67:FQK67)</f>
        <v>8875</v>
      </c>
      <c r="FQM67" s="148" t="s">
        <v>96</v>
      </c>
      <c r="FQN67" s="149">
        <v>45845</v>
      </c>
      <c r="FQO67" s="144" t="s">
        <v>40</v>
      </c>
      <c r="FQP67" s="200"/>
      <c r="FQQ67" s="150" t="s">
        <v>123</v>
      </c>
      <c r="FQR67" s="198"/>
      <c r="FQS67" s="199"/>
      <c r="FQT67" s="144" t="s">
        <v>22</v>
      </c>
      <c r="FQU67" s="145">
        <v>8150</v>
      </c>
      <c r="FQV67" s="153">
        <v>85</v>
      </c>
      <c r="FQW67" s="154">
        <v>215</v>
      </c>
      <c r="FQX67" s="154">
        <v>75</v>
      </c>
      <c r="FQY67" s="153">
        <v>150</v>
      </c>
      <c r="FQZ67" s="155">
        <f>SUM(FQU67:FQY67)</f>
        <v>8675</v>
      </c>
      <c r="FRA67" s="153">
        <v>200</v>
      </c>
      <c r="FRB67" s="155">
        <f>SUM(FQZ67:FRA67)</f>
        <v>8875</v>
      </c>
      <c r="FRC67" s="148" t="s">
        <v>96</v>
      </c>
      <c r="FRD67" s="149">
        <v>45845</v>
      </c>
      <c r="FRE67" s="144" t="s">
        <v>40</v>
      </c>
      <c r="FRF67" s="200"/>
      <c r="FRG67" s="150" t="s">
        <v>123</v>
      </c>
      <c r="FRH67" s="198"/>
      <c r="FRI67" s="199"/>
      <c r="FRJ67" s="144" t="s">
        <v>22</v>
      </c>
      <c r="FRK67" s="145">
        <v>8150</v>
      </c>
      <c r="FRL67" s="153">
        <v>85</v>
      </c>
      <c r="FRM67" s="154">
        <v>215</v>
      </c>
      <c r="FRN67" s="154">
        <v>75</v>
      </c>
      <c r="FRO67" s="153">
        <v>150</v>
      </c>
      <c r="FRP67" s="155">
        <f>SUM(FRK67:FRO67)</f>
        <v>8675</v>
      </c>
      <c r="FRQ67" s="153">
        <v>200</v>
      </c>
      <c r="FRR67" s="155">
        <f>SUM(FRP67:FRQ67)</f>
        <v>8875</v>
      </c>
      <c r="FRS67" s="148" t="s">
        <v>96</v>
      </c>
      <c r="FRT67" s="149">
        <v>45845</v>
      </c>
      <c r="FRU67" s="144" t="s">
        <v>40</v>
      </c>
      <c r="FRV67" s="200"/>
      <c r="FRW67" s="150" t="s">
        <v>123</v>
      </c>
      <c r="FRX67" s="198"/>
      <c r="FRY67" s="199"/>
      <c r="FRZ67" s="144" t="s">
        <v>22</v>
      </c>
      <c r="FSA67" s="145">
        <v>8150</v>
      </c>
      <c r="FSB67" s="153">
        <v>85</v>
      </c>
      <c r="FSC67" s="154">
        <v>215</v>
      </c>
      <c r="FSD67" s="154">
        <v>75</v>
      </c>
      <c r="FSE67" s="153">
        <v>150</v>
      </c>
      <c r="FSF67" s="155">
        <f>SUM(FSA67:FSE67)</f>
        <v>8675</v>
      </c>
      <c r="FSG67" s="153">
        <v>200</v>
      </c>
      <c r="FSH67" s="155">
        <f>SUM(FSF67:FSG67)</f>
        <v>8875</v>
      </c>
      <c r="FSI67" s="148" t="s">
        <v>96</v>
      </c>
      <c r="FSJ67" s="149">
        <v>45845</v>
      </c>
      <c r="FSK67" s="144" t="s">
        <v>40</v>
      </c>
      <c r="FSL67" s="200"/>
      <c r="FSM67" s="150" t="s">
        <v>123</v>
      </c>
      <c r="FSN67" s="198"/>
      <c r="FSO67" s="199"/>
      <c r="FSP67" s="144" t="s">
        <v>22</v>
      </c>
      <c r="FSQ67" s="145">
        <v>8150</v>
      </c>
      <c r="FSR67" s="153">
        <v>85</v>
      </c>
      <c r="FSS67" s="154">
        <v>215</v>
      </c>
      <c r="FST67" s="154">
        <v>75</v>
      </c>
      <c r="FSU67" s="153">
        <v>150</v>
      </c>
      <c r="FSV67" s="155">
        <f>SUM(FSQ67:FSU67)</f>
        <v>8675</v>
      </c>
      <c r="FSW67" s="153">
        <v>200</v>
      </c>
      <c r="FSX67" s="155">
        <f>SUM(FSV67:FSW67)</f>
        <v>8875</v>
      </c>
      <c r="FSY67" s="148" t="s">
        <v>96</v>
      </c>
      <c r="FSZ67" s="149">
        <v>45845</v>
      </c>
      <c r="FTA67" s="144" t="s">
        <v>40</v>
      </c>
      <c r="FTB67" s="200"/>
      <c r="FTC67" s="150" t="s">
        <v>123</v>
      </c>
      <c r="FTD67" s="198"/>
      <c r="FTE67" s="199"/>
      <c r="FTF67" s="144" t="s">
        <v>22</v>
      </c>
      <c r="FTG67" s="145">
        <v>8150</v>
      </c>
      <c r="FTH67" s="153">
        <v>85</v>
      </c>
      <c r="FTI67" s="154">
        <v>215</v>
      </c>
      <c r="FTJ67" s="154">
        <v>75</v>
      </c>
      <c r="FTK67" s="153">
        <v>150</v>
      </c>
      <c r="FTL67" s="155">
        <f>SUM(FTG67:FTK67)</f>
        <v>8675</v>
      </c>
      <c r="FTM67" s="153">
        <v>200</v>
      </c>
      <c r="FTN67" s="155">
        <f>SUM(FTL67:FTM67)</f>
        <v>8875</v>
      </c>
      <c r="FTO67" s="148" t="s">
        <v>96</v>
      </c>
      <c r="FTP67" s="149">
        <v>45845</v>
      </c>
      <c r="FTQ67" s="144" t="s">
        <v>40</v>
      </c>
      <c r="FTR67" s="200"/>
      <c r="FTS67" s="150" t="s">
        <v>123</v>
      </c>
      <c r="FTT67" s="198"/>
      <c r="FTU67" s="199"/>
      <c r="FTV67" s="144" t="s">
        <v>22</v>
      </c>
      <c r="FTW67" s="145">
        <v>8150</v>
      </c>
      <c r="FTX67" s="153">
        <v>85</v>
      </c>
      <c r="FTY67" s="154">
        <v>215</v>
      </c>
      <c r="FTZ67" s="154">
        <v>75</v>
      </c>
      <c r="FUA67" s="153">
        <v>150</v>
      </c>
      <c r="FUB67" s="155">
        <f>SUM(FTW67:FUA67)</f>
        <v>8675</v>
      </c>
      <c r="FUC67" s="153">
        <v>200</v>
      </c>
      <c r="FUD67" s="155">
        <f>SUM(FUB67:FUC67)</f>
        <v>8875</v>
      </c>
      <c r="FUE67" s="148" t="s">
        <v>96</v>
      </c>
      <c r="FUF67" s="149">
        <v>45845</v>
      </c>
      <c r="FUG67" s="144" t="s">
        <v>40</v>
      </c>
      <c r="FUH67" s="200"/>
      <c r="FUI67" s="150" t="s">
        <v>123</v>
      </c>
      <c r="FUJ67" s="198"/>
      <c r="FUK67" s="199"/>
      <c r="FUL67" s="144" t="s">
        <v>22</v>
      </c>
      <c r="FUM67" s="145">
        <v>8150</v>
      </c>
      <c r="FUN67" s="153">
        <v>85</v>
      </c>
      <c r="FUO67" s="154">
        <v>215</v>
      </c>
      <c r="FUP67" s="154">
        <v>75</v>
      </c>
      <c r="FUQ67" s="153">
        <v>150</v>
      </c>
      <c r="FUR67" s="155">
        <f>SUM(FUM67:FUQ67)</f>
        <v>8675</v>
      </c>
      <c r="FUS67" s="153">
        <v>200</v>
      </c>
      <c r="FUT67" s="155">
        <f>SUM(FUR67:FUS67)</f>
        <v>8875</v>
      </c>
      <c r="FUU67" s="148" t="s">
        <v>96</v>
      </c>
      <c r="FUV67" s="149">
        <v>45845</v>
      </c>
      <c r="FUW67" s="144" t="s">
        <v>40</v>
      </c>
      <c r="FUX67" s="200"/>
      <c r="FUY67" s="150" t="s">
        <v>123</v>
      </c>
      <c r="FUZ67" s="198"/>
      <c r="FVA67" s="199"/>
      <c r="FVB67" s="144" t="s">
        <v>22</v>
      </c>
      <c r="FVC67" s="145">
        <v>8150</v>
      </c>
      <c r="FVD67" s="153">
        <v>85</v>
      </c>
      <c r="FVE67" s="154">
        <v>215</v>
      </c>
      <c r="FVF67" s="154">
        <v>75</v>
      </c>
      <c r="FVG67" s="153">
        <v>150</v>
      </c>
      <c r="FVH67" s="155">
        <f>SUM(FVC67:FVG67)</f>
        <v>8675</v>
      </c>
      <c r="FVI67" s="153">
        <v>200</v>
      </c>
      <c r="FVJ67" s="155">
        <f>SUM(FVH67:FVI67)</f>
        <v>8875</v>
      </c>
      <c r="FVK67" s="148" t="s">
        <v>96</v>
      </c>
      <c r="FVL67" s="149">
        <v>45845</v>
      </c>
      <c r="FVM67" s="144" t="s">
        <v>40</v>
      </c>
      <c r="FVN67" s="200"/>
      <c r="FVO67" s="150" t="s">
        <v>123</v>
      </c>
      <c r="FVP67" s="198"/>
      <c r="FVQ67" s="199"/>
      <c r="FVR67" s="144" t="s">
        <v>22</v>
      </c>
      <c r="FVS67" s="145">
        <v>8150</v>
      </c>
      <c r="FVT67" s="153">
        <v>85</v>
      </c>
      <c r="FVU67" s="154">
        <v>215</v>
      </c>
      <c r="FVV67" s="154">
        <v>75</v>
      </c>
      <c r="FVW67" s="153">
        <v>150</v>
      </c>
      <c r="FVX67" s="155">
        <f>SUM(FVS67:FVW67)</f>
        <v>8675</v>
      </c>
      <c r="FVY67" s="153">
        <v>200</v>
      </c>
      <c r="FVZ67" s="155">
        <f>SUM(FVX67:FVY67)</f>
        <v>8875</v>
      </c>
      <c r="FWA67" s="148" t="s">
        <v>96</v>
      </c>
      <c r="FWB67" s="149">
        <v>45845</v>
      </c>
      <c r="FWC67" s="144" t="s">
        <v>40</v>
      </c>
      <c r="FWD67" s="200"/>
      <c r="FWE67" s="150" t="s">
        <v>123</v>
      </c>
      <c r="FWF67" s="198"/>
      <c r="FWG67" s="199"/>
      <c r="FWH67" s="144" t="s">
        <v>22</v>
      </c>
      <c r="FWI67" s="145">
        <v>8150</v>
      </c>
      <c r="FWJ67" s="153">
        <v>85</v>
      </c>
      <c r="FWK67" s="154">
        <v>215</v>
      </c>
      <c r="FWL67" s="154">
        <v>75</v>
      </c>
      <c r="FWM67" s="153">
        <v>150</v>
      </c>
      <c r="FWN67" s="155">
        <f>SUM(FWI67:FWM67)</f>
        <v>8675</v>
      </c>
      <c r="FWO67" s="153">
        <v>200</v>
      </c>
      <c r="FWP67" s="155">
        <f>SUM(FWN67:FWO67)</f>
        <v>8875</v>
      </c>
      <c r="FWQ67" s="148" t="s">
        <v>96</v>
      </c>
      <c r="FWR67" s="149">
        <v>45845</v>
      </c>
      <c r="FWS67" s="144" t="s">
        <v>40</v>
      </c>
      <c r="FWT67" s="200"/>
      <c r="FWU67" s="150" t="s">
        <v>123</v>
      </c>
      <c r="FWV67" s="198"/>
      <c r="FWW67" s="199"/>
      <c r="FWX67" s="144" t="s">
        <v>22</v>
      </c>
      <c r="FWY67" s="145">
        <v>8150</v>
      </c>
      <c r="FWZ67" s="153">
        <v>85</v>
      </c>
      <c r="FXA67" s="154">
        <v>215</v>
      </c>
      <c r="FXB67" s="154">
        <v>75</v>
      </c>
      <c r="FXC67" s="153">
        <v>150</v>
      </c>
      <c r="FXD67" s="155">
        <f>SUM(FWY67:FXC67)</f>
        <v>8675</v>
      </c>
      <c r="FXE67" s="153">
        <v>200</v>
      </c>
      <c r="FXF67" s="155">
        <f>SUM(FXD67:FXE67)</f>
        <v>8875</v>
      </c>
      <c r="FXG67" s="148" t="s">
        <v>96</v>
      </c>
      <c r="FXH67" s="149">
        <v>45845</v>
      </c>
      <c r="FXI67" s="144" t="s">
        <v>40</v>
      </c>
      <c r="FXJ67" s="200"/>
      <c r="FXK67" s="150" t="s">
        <v>123</v>
      </c>
      <c r="FXL67" s="198"/>
      <c r="FXM67" s="199"/>
      <c r="FXN67" s="144" t="s">
        <v>22</v>
      </c>
      <c r="FXO67" s="145">
        <v>8150</v>
      </c>
      <c r="FXP67" s="153">
        <v>85</v>
      </c>
      <c r="FXQ67" s="154">
        <v>215</v>
      </c>
      <c r="FXR67" s="154">
        <v>75</v>
      </c>
      <c r="FXS67" s="153">
        <v>150</v>
      </c>
      <c r="FXT67" s="155">
        <f>SUM(FXO67:FXS67)</f>
        <v>8675</v>
      </c>
      <c r="FXU67" s="153">
        <v>200</v>
      </c>
      <c r="FXV67" s="155">
        <f>SUM(FXT67:FXU67)</f>
        <v>8875</v>
      </c>
      <c r="FXW67" s="148" t="s">
        <v>96</v>
      </c>
      <c r="FXX67" s="149">
        <v>45845</v>
      </c>
      <c r="FXY67" s="144" t="s">
        <v>40</v>
      </c>
      <c r="FXZ67" s="200"/>
      <c r="FYA67" s="150" t="s">
        <v>123</v>
      </c>
      <c r="FYB67" s="198"/>
      <c r="FYC67" s="199"/>
      <c r="FYD67" s="144" t="s">
        <v>22</v>
      </c>
      <c r="FYE67" s="145">
        <v>8150</v>
      </c>
      <c r="FYF67" s="153">
        <v>85</v>
      </c>
      <c r="FYG67" s="154">
        <v>215</v>
      </c>
      <c r="FYH67" s="154">
        <v>75</v>
      </c>
      <c r="FYI67" s="153">
        <v>150</v>
      </c>
      <c r="FYJ67" s="155">
        <f>SUM(FYE67:FYI67)</f>
        <v>8675</v>
      </c>
      <c r="FYK67" s="153">
        <v>200</v>
      </c>
      <c r="FYL67" s="155">
        <f>SUM(FYJ67:FYK67)</f>
        <v>8875</v>
      </c>
      <c r="FYM67" s="148" t="s">
        <v>96</v>
      </c>
      <c r="FYN67" s="149">
        <v>45845</v>
      </c>
      <c r="FYO67" s="144" t="s">
        <v>40</v>
      </c>
      <c r="FYP67" s="200"/>
      <c r="FYQ67" s="150" t="s">
        <v>123</v>
      </c>
      <c r="FYR67" s="198"/>
      <c r="FYS67" s="199"/>
      <c r="FYT67" s="144" t="s">
        <v>22</v>
      </c>
      <c r="FYU67" s="145">
        <v>8150</v>
      </c>
      <c r="FYV67" s="153">
        <v>85</v>
      </c>
      <c r="FYW67" s="154">
        <v>215</v>
      </c>
      <c r="FYX67" s="154">
        <v>75</v>
      </c>
      <c r="FYY67" s="153">
        <v>150</v>
      </c>
      <c r="FYZ67" s="155">
        <f>SUM(FYU67:FYY67)</f>
        <v>8675</v>
      </c>
      <c r="FZA67" s="153">
        <v>200</v>
      </c>
      <c r="FZB67" s="155">
        <f>SUM(FYZ67:FZA67)</f>
        <v>8875</v>
      </c>
      <c r="FZC67" s="148" t="s">
        <v>96</v>
      </c>
      <c r="FZD67" s="149">
        <v>45845</v>
      </c>
      <c r="FZE67" s="144" t="s">
        <v>40</v>
      </c>
      <c r="FZF67" s="200"/>
      <c r="FZG67" s="150" t="s">
        <v>123</v>
      </c>
      <c r="FZH67" s="198"/>
      <c r="FZI67" s="199"/>
      <c r="FZJ67" s="144" t="s">
        <v>22</v>
      </c>
      <c r="FZK67" s="145">
        <v>8150</v>
      </c>
      <c r="FZL67" s="153">
        <v>85</v>
      </c>
      <c r="FZM67" s="154">
        <v>215</v>
      </c>
      <c r="FZN67" s="154">
        <v>75</v>
      </c>
      <c r="FZO67" s="153">
        <v>150</v>
      </c>
      <c r="FZP67" s="155">
        <f>SUM(FZK67:FZO67)</f>
        <v>8675</v>
      </c>
      <c r="FZQ67" s="153">
        <v>200</v>
      </c>
      <c r="FZR67" s="155">
        <f>SUM(FZP67:FZQ67)</f>
        <v>8875</v>
      </c>
      <c r="FZS67" s="148" t="s">
        <v>96</v>
      </c>
      <c r="FZT67" s="149">
        <v>45845</v>
      </c>
      <c r="FZU67" s="144" t="s">
        <v>40</v>
      </c>
      <c r="FZV67" s="200"/>
      <c r="FZW67" s="150" t="s">
        <v>123</v>
      </c>
      <c r="FZX67" s="198"/>
      <c r="FZY67" s="199"/>
      <c r="FZZ67" s="144" t="s">
        <v>22</v>
      </c>
      <c r="GAA67" s="145">
        <v>8150</v>
      </c>
      <c r="GAB67" s="153">
        <v>85</v>
      </c>
      <c r="GAC67" s="154">
        <v>215</v>
      </c>
      <c r="GAD67" s="154">
        <v>75</v>
      </c>
      <c r="GAE67" s="153">
        <v>150</v>
      </c>
      <c r="GAF67" s="155">
        <f>SUM(GAA67:GAE67)</f>
        <v>8675</v>
      </c>
      <c r="GAG67" s="153">
        <v>200</v>
      </c>
      <c r="GAH67" s="155">
        <f>SUM(GAF67:GAG67)</f>
        <v>8875</v>
      </c>
      <c r="GAI67" s="148" t="s">
        <v>96</v>
      </c>
      <c r="GAJ67" s="149">
        <v>45845</v>
      </c>
      <c r="GAK67" s="144" t="s">
        <v>40</v>
      </c>
      <c r="GAL67" s="200"/>
      <c r="GAM67" s="150" t="s">
        <v>123</v>
      </c>
      <c r="GAN67" s="198"/>
      <c r="GAO67" s="199"/>
      <c r="GAP67" s="144" t="s">
        <v>22</v>
      </c>
      <c r="GAQ67" s="145">
        <v>8150</v>
      </c>
      <c r="GAR67" s="153">
        <v>85</v>
      </c>
      <c r="GAS67" s="154">
        <v>215</v>
      </c>
      <c r="GAT67" s="154">
        <v>75</v>
      </c>
      <c r="GAU67" s="153">
        <v>150</v>
      </c>
      <c r="GAV67" s="155">
        <f>SUM(GAQ67:GAU67)</f>
        <v>8675</v>
      </c>
      <c r="GAW67" s="153">
        <v>200</v>
      </c>
      <c r="GAX67" s="155">
        <f>SUM(GAV67:GAW67)</f>
        <v>8875</v>
      </c>
      <c r="GAY67" s="148" t="s">
        <v>96</v>
      </c>
      <c r="GAZ67" s="149">
        <v>45845</v>
      </c>
      <c r="GBA67" s="144" t="s">
        <v>40</v>
      </c>
      <c r="GBB67" s="200"/>
      <c r="GBC67" s="150" t="s">
        <v>123</v>
      </c>
      <c r="GBD67" s="198"/>
      <c r="GBE67" s="199"/>
      <c r="GBF67" s="144" t="s">
        <v>22</v>
      </c>
      <c r="GBG67" s="145">
        <v>8150</v>
      </c>
      <c r="GBH67" s="153">
        <v>85</v>
      </c>
      <c r="GBI67" s="154">
        <v>215</v>
      </c>
      <c r="GBJ67" s="154">
        <v>75</v>
      </c>
      <c r="GBK67" s="153">
        <v>150</v>
      </c>
      <c r="GBL67" s="155">
        <f>SUM(GBG67:GBK67)</f>
        <v>8675</v>
      </c>
      <c r="GBM67" s="153">
        <v>200</v>
      </c>
      <c r="GBN67" s="155">
        <f>SUM(GBL67:GBM67)</f>
        <v>8875</v>
      </c>
      <c r="GBO67" s="148" t="s">
        <v>96</v>
      </c>
      <c r="GBP67" s="149">
        <v>45845</v>
      </c>
      <c r="GBQ67" s="144" t="s">
        <v>40</v>
      </c>
      <c r="GBR67" s="200"/>
      <c r="GBS67" s="150" t="s">
        <v>123</v>
      </c>
      <c r="GBT67" s="198"/>
      <c r="GBU67" s="199"/>
      <c r="GBV67" s="144" t="s">
        <v>22</v>
      </c>
      <c r="GBW67" s="145">
        <v>8150</v>
      </c>
      <c r="GBX67" s="153">
        <v>85</v>
      </c>
      <c r="GBY67" s="154">
        <v>215</v>
      </c>
      <c r="GBZ67" s="154">
        <v>75</v>
      </c>
      <c r="GCA67" s="153">
        <v>150</v>
      </c>
      <c r="GCB67" s="155">
        <f>SUM(GBW67:GCA67)</f>
        <v>8675</v>
      </c>
      <c r="GCC67" s="153">
        <v>200</v>
      </c>
      <c r="GCD67" s="155">
        <f>SUM(GCB67:GCC67)</f>
        <v>8875</v>
      </c>
      <c r="GCE67" s="148" t="s">
        <v>96</v>
      </c>
      <c r="GCF67" s="149">
        <v>45845</v>
      </c>
      <c r="GCG67" s="144" t="s">
        <v>40</v>
      </c>
      <c r="GCH67" s="200"/>
      <c r="GCI67" s="150" t="s">
        <v>123</v>
      </c>
      <c r="GCJ67" s="198"/>
      <c r="GCK67" s="199"/>
      <c r="GCL67" s="144" t="s">
        <v>22</v>
      </c>
      <c r="GCM67" s="145">
        <v>8150</v>
      </c>
      <c r="GCN67" s="153">
        <v>85</v>
      </c>
      <c r="GCO67" s="154">
        <v>215</v>
      </c>
      <c r="GCP67" s="154">
        <v>75</v>
      </c>
      <c r="GCQ67" s="153">
        <v>150</v>
      </c>
      <c r="GCR67" s="155">
        <f>SUM(GCM67:GCQ67)</f>
        <v>8675</v>
      </c>
      <c r="GCS67" s="153">
        <v>200</v>
      </c>
      <c r="GCT67" s="155">
        <f>SUM(GCR67:GCS67)</f>
        <v>8875</v>
      </c>
      <c r="GCU67" s="148" t="s">
        <v>96</v>
      </c>
      <c r="GCV67" s="149">
        <v>45845</v>
      </c>
      <c r="GCW67" s="144" t="s">
        <v>40</v>
      </c>
      <c r="GCX67" s="200"/>
      <c r="GCY67" s="150" t="s">
        <v>123</v>
      </c>
      <c r="GCZ67" s="198"/>
      <c r="GDA67" s="199"/>
      <c r="GDB67" s="144" t="s">
        <v>22</v>
      </c>
      <c r="GDC67" s="145">
        <v>8150</v>
      </c>
      <c r="GDD67" s="153">
        <v>85</v>
      </c>
      <c r="GDE67" s="154">
        <v>215</v>
      </c>
      <c r="GDF67" s="154">
        <v>75</v>
      </c>
      <c r="GDG67" s="153">
        <v>150</v>
      </c>
      <c r="GDH67" s="155">
        <f>SUM(GDC67:GDG67)</f>
        <v>8675</v>
      </c>
      <c r="GDI67" s="153">
        <v>200</v>
      </c>
      <c r="GDJ67" s="155">
        <f>SUM(GDH67:GDI67)</f>
        <v>8875</v>
      </c>
      <c r="GDK67" s="148" t="s">
        <v>96</v>
      </c>
      <c r="GDL67" s="149">
        <v>45845</v>
      </c>
      <c r="GDM67" s="144" t="s">
        <v>40</v>
      </c>
      <c r="GDN67" s="200"/>
      <c r="GDO67" s="150" t="s">
        <v>123</v>
      </c>
      <c r="GDP67" s="198"/>
      <c r="GDQ67" s="199"/>
      <c r="GDR67" s="144" t="s">
        <v>22</v>
      </c>
      <c r="GDS67" s="145">
        <v>8150</v>
      </c>
      <c r="GDT67" s="153">
        <v>85</v>
      </c>
      <c r="GDU67" s="154">
        <v>215</v>
      </c>
      <c r="GDV67" s="154">
        <v>75</v>
      </c>
      <c r="GDW67" s="153">
        <v>150</v>
      </c>
      <c r="GDX67" s="155">
        <f>SUM(GDS67:GDW67)</f>
        <v>8675</v>
      </c>
      <c r="GDY67" s="153">
        <v>200</v>
      </c>
      <c r="GDZ67" s="155">
        <f>SUM(GDX67:GDY67)</f>
        <v>8875</v>
      </c>
      <c r="GEA67" s="148" t="s">
        <v>96</v>
      </c>
      <c r="GEB67" s="149">
        <v>45845</v>
      </c>
      <c r="GEC67" s="144" t="s">
        <v>40</v>
      </c>
      <c r="GED67" s="200"/>
      <c r="GEE67" s="150" t="s">
        <v>123</v>
      </c>
      <c r="GEF67" s="198"/>
      <c r="GEG67" s="199"/>
      <c r="GEH67" s="144" t="s">
        <v>22</v>
      </c>
      <c r="GEI67" s="145">
        <v>8150</v>
      </c>
      <c r="GEJ67" s="153">
        <v>85</v>
      </c>
      <c r="GEK67" s="154">
        <v>215</v>
      </c>
      <c r="GEL67" s="154">
        <v>75</v>
      </c>
      <c r="GEM67" s="153">
        <v>150</v>
      </c>
      <c r="GEN67" s="155">
        <f>SUM(GEI67:GEM67)</f>
        <v>8675</v>
      </c>
      <c r="GEO67" s="153">
        <v>200</v>
      </c>
      <c r="GEP67" s="155">
        <f>SUM(GEN67:GEO67)</f>
        <v>8875</v>
      </c>
      <c r="GEQ67" s="148" t="s">
        <v>96</v>
      </c>
      <c r="GER67" s="149">
        <v>45845</v>
      </c>
      <c r="GES67" s="144" t="s">
        <v>40</v>
      </c>
      <c r="GET67" s="200"/>
      <c r="GEU67" s="150" t="s">
        <v>123</v>
      </c>
      <c r="GEV67" s="198"/>
      <c r="GEW67" s="199"/>
      <c r="GEX67" s="144" t="s">
        <v>22</v>
      </c>
      <c r="GEY67" s="145">
        <v>8150</v>
      </c>
      <c r="GEZ67" s="153">
        <v>85</v>
      </c>
      <c r="GFA67" s="154">
        <v>215</v>
      </c>
      <c r="GFB67" s="154">
        <v>75</v>
      </c>
      <c r="GFC67" s="153">
        <v>150</v>
      </c>
      <c r="GFD67" s="155">
        <f>SUM(GEY67:GFC67)</f>
        <v>8675</v>
      </c>
      <c r="GFE67" s="153">
        <v>200</v>
      </c>
      <c r="GFF67" s="155">
        <f>SUM(GFD67:GFE67)</f>
        <v>8875</v>
      </c>
      <c r="GFG67" s="148" t="s">
        <v>96</v>
      </c>
      <c r="GFH67" s="149">
        <v>45845</v>
      </c>
      <c r="GFI67" s="144" t="s">
        <v>40</v>
      </c>
      <c r="GFJ67" s="200"/>
      <c r="GFK67" s="150" t="s">
        <v>123</v>
      </c>
      <c r="GFL67" s="198"/>
      <c r="GFM67" s="199"/>
      <c r="GFN67" s="144" t="s">
        <v>22</v>
      </c>
      <c r="GFO67" s="145">
        <v>8150</v>
      </c>
      <c r="GFP67" s="153">
        <v>85</v>
      </c>
      <c r="GFQ67" s="154">
        <v>215</v>
      </c>
      <c r="GFR67" s="154">
        <v>75</v>
      </c>
      <c r="GFS67" s="153">
        <v>150</v>
      </c>
      <c r="GFT67" s="155">
        <f>SUM(GFO67:GFS67)</f>
        <v>8675</v>
      </c>
      <c r="GFU67" s="153">
        <v>200</v>
      </c>
      <c r="GFV67" s="155">
        <f>SUM(GFT67:GFU67)</f>
        <v>8875</v>
      </c>
      <c r="GFW67" s="148" t="s">
        <v>96</v>
      </c>
      <c r="GFX67" s="149">
        <v>45845</v>
      </c>
      <c r="GFY67" s="144" t="s">
        <v>40</v>
      </c>
      <c r="GFZ67" s="200"/>
      <c r="GGA67" s="150" t="s">
        <v>123</v>
      </c>
      <c r="GGB67" s="198"/>
      <c r="GGC67" s="199"/>
      <c r="GGD67" s="144" t="s">
        <v>22</v>
      </c>
      <c r="GGE67" s="145">
        <v>8150</v>
      </c>
      <c r="GGF67" s="153">
        <v>85</v>
      </c>
      <c r="GGG67" s="154">
        <v>215</v>
      </c>
      <c r="GGH67" s="154">
        <v>75</v>
      </c>
      <c r="GGI67" s="153">
        <v>150</v>
      </c>
      <c r="GGJ67" s="155">
        <f>SUM(GGE67:GGI67)</f>
        <v>8675</v>
      </c>
      <c r="GGK67" s="153">
        <v>200</v>
      </c>
      <c r="GGL67" s="155">
        <f>SUM(GGJ67:GGK67)</f>
        <v>8875</v>
      </c>
      <c r="GGM67" s="148" t="s">
        <v>96</v>
      </c>
      <c r="GGN67" s="149">
        <v>45845</v>
      </c>
      <c r="GGO67" s="144" t="s">
        <v>40</v>
      </c>
      <c r="GGP67" s="200"/>
      <c r="GGQ67" s="150" t="s">
        <v>123</v>
      </c>
      <c r="GGR67" s="198"/>
      <c r="GGS67" s="199"/>
      <c r="GGT67" s="144" t="s">
        <v>22</v>
      </c>
      <c r="GGU67" s="145">
        <v>8150</v>
      </c>
      <c r="GGV67" s="153">
        <v>85</v>
      </c>
      <c r="GGW67" s="154">
        <v>215</v>
      </c>
      <c r="GGX67" s="154">
        <v>75</v>
      </c>
      <c r="GGY67" s="153">
        <v>150</v>
      </c>
      <c r="GGZ67" s="155">
        <f>SUM(GGU67:GGY67)</f>
        <v>8675</v>
      </c>
      <c r="GHA67" s="153">
        <v>200</v>
      </c>
      <c r="GHB67" s="155">
        <f>SUM(GGZ67:GHA67)</f>
        <v>8875</v>
      </c>
      <c r="GHC67" s="148" t="s">
        <v>96</v>
      </c>
      <c r="GHD67" s="149">
        <v>45845</v>
      </c>
      <c r="GHE67" s="144" t="s">
        <v>40</v>
      </c>
      <c r="GHF67" s="200"/>
      <c r="GHG67" s="150" t="s">
        <v>123</v>
      </c>
      <c r="GHH67" s="198"/>
      <c r="GHI67" s="199"/>
      <c r="GHJ67" s="144" t="s">
        <v>22</v>
      </c>
      <c r="GHK67" s="145">
        <v>8150</v>
      </c>
      <c r="GHL67" s="153">
        <v>85</v>
      </c>
      <c r="GHM67" s="154">
        <v>215</v>
      </c>
      <c r="GHN67" s="154">
        <v>75</v>
      </c>
      <c r="GHO67" s="153">
        <v>150</v>
      </c>
      <c r="GHP67" s="155">
        <f>SUM(GHK67:GHO67)</f>
        <v>8675</v>
      </c>
      <c r="GHQ67" s="153">
        <v>200</v>
      </c>
      <c r="GHR67" s="155">
        <f>SUM(GHP67:GHQ67)</f>
        <v>8875</v>
      </c>
      <c r="GHS67" s="148" t="s">
        <v>96</v>
      </c>
      <c r="GHT67" s="149">
        <v>45845</v>
      </c>
      <c r="GHU67" s="144" t="s">
        <v>40</v>
      </c>
      <c r="GHV67" s="200"/>
      <c r="GHW67" s="150" t="s">
        <v>123</v>
      </c>
      <c r="GHX67" s="198"/>
      <c r="GHY67" s="199"/>
      <c r="GHZ67" s="144" t="s">
        <v>22</v>
      </c>
      <c r="GIA67" s="145">
        <v>8150</v>
      </c>
      <c r="GIB67" s="153">
        <v>85</v>
      </c>
      <c r="GIC67" s="154">
        <v>215</v>
      </c>
      <c r="GID67" s="154">
        <v>75</v>
      </c>
      <c r="GIE67" s="153">
        <v>150</v>
      </c>
      <c r="GIF67" s="155">
        <f>SUM(GIA67:GIE67)</f>
        <v>8675</v>
      </c>
      <c r="GIG67" s="153">
        <v>200</v>
      </c>
      <c r="GIH67" s="155">
        <f>SUM(GIF67:GIG67)</f>
        <v>8875</v>
      </c>
      <c r="GII67" s="148" t="s">
        <v>96</v>
      </c>
      <c r="GIJ67" s="149">
        <v>45845</v>
      </c>
      <c r="GIK67" s="144" t="s">
        <v>40</v>
      </c>
      <c r="GIL67" s="200"/>
      <c r="GIM67" s="150" t="s">
        <v>123</v>
      </c>
      <c r="GIN67" s="198"/>
      <c r="GIO67" s="199"/>
      <c r="GIP67" s="144" t="s">
        <v>22</v>
      </c>
      <c r="GIQ67" s="145">
        <v>8150</v>
      </c>
      <c r="GIR67" s="153">
        <v>85</v>
      </c>
      <c r="GIS67" s="154">
        <v>215</v>
      </c>
      <c r="GIT67" s="154">
        <v>75</v>
      </c>
      <c r="GIU67" s="153">
        <v>150</v>
      </c>
      <c r="GIV67" s="155">
        <f>SUM(GIQ67:GIU67)</f>
        <v>8675</v>
      </c>
      <c r="GIW67" s="153">
        <v>200</v>
      </c>
      <c r="GIX67" s="155">
        <f>SUM(GIV67:GIW67)</f>
        <v>8875</v>
      </c>
      <c r="GIY67" s="148" t="s">
        <v>96</v>
      </c>
      <c r="GIZ67" s="149">
        <v>45845</v>
      </c>
      <c r="GJA67" s="144" t="s">
        <v>40</v>
      </c>
      <c r="GJB67" s="200"/>
      <c r="GJC67" s="150" t="s">
        <v>123</v>
      </c>
      <c r="GJD67" s="198"/>
      <c r="GJE67" s="199"/>
      <c r="GJF67" s="144" t="s">
        <v>22</v>
      </c>
      <c r="GJG67" s="145">
        <v>8150</v>
      </c>
      <c r="GJH67" s="153">
        <v>85</v>
      </c>
      <c r="GJI67" s="154">
        <v>215</v>
      </c>
      <c r="GJJ67" s="154">
        <v>75</v>
      </c>
      <c r="GJK67" s="153">
        <v>150</v>
      </c>
      <c r="GJL67" s="155">
        <f>SUM(GJG67:GJK67)</f>
        <v>8675</v>
      </c>
      <c r="GJM67" s="153">
        <v>200</v>
      </c>
      <c r="GJN67" s="155">
        <f>SUM(GJL67:GJM67)</f>
        <v>8875</v>
      </c>
      <c r="GJO67" s="148" t="s">
        <v>96</v>
      </c>
      <c r="GJP67" s="149">
        <v>45845</v>
      </c>
      <c r="GJQ67" s="144" t="s">
        <v>40</v>
      </c>
      <c r="GJR67" s="200"/>
      <c r="GJS67" s="150" t="s">
        <v>123</v>
      </c>
      <c r="GJT67" s="198"/>
      <c r="GJU67" s="199"/>
      <c r="GJV67" s="144" t="s">
        <v>22</v>
      </c>
      <c r="GJW67" s="145">
        <v>8150</v>
      </c>
      <c r="GJX67" s="153">
        <v>85</v>
      </c>
      <c r="GJY67" s="154">
        <v>215</v>
      </c>
      <c r="GJZ67" s="154">
        <v>75</v>
      </c>
      <c r="GKA67" s="153">
        <v>150</v>
      </c>
      <c r="GKB67" s="155">
        <f>SUM(GJW67:GKA67)</f>
        <v>8675</v>
      </c>
      <c r="GKC67" s="153">
        <v>200</v>
      </c>
      <c r="GKD67" s="155">
        <f>SUM(GKB67:GKC67)</f>
        <v>8875</v>
      </c>
      <c r="GKE67" s="148" t="s">
        <v>96</v>
      </c>
      <c r="GKF67" s="149">
        <v>45845</v>
      </c>
      <c r="GKG67" s="144" t="s">
        <v>40</v>
      </c>
      <c r="GKH67" s="200"/>
      <c r="GKI67" s="150" t="s">
        <v>123</v>
      </c>
      <c r="GKJ67" s="198"/>
      <c r="GKK67" s="199"/>
      <c r="GKL67" s="144" t="s">
        <v>22</v>
      </c>
      <c r="GKM67" s="145">
        <v>8150</v>
      </c>
      <c r="GKN67" s="153">
        <v>85</v>
      </c>
      <c r="GKO67" s="154">
        <v>215</v>
      </c>
      <c r="GKP67" s="154">
        <v>75</v>
      </c>
      <c r="GKQ67" s="153">
        <v>150</v>
      </c>
      <c r="GKR67" s="155">
        <f>SUM(GKM67:GKQ67)</f>
        <v>8675</v>
      </c>
      <c r="GKS67" s="153">
        <v>200</v>
      </c>
      <c r="GKT67" s="155">
        <f>SUM(GKR67:GKS67)</f>
        <v>8875</v>
      </c>
      <c r="GKU67" s="148" t="s">
        <v>96</v>
      </c>
      <c r="GKV67" s="149">
        <v>45845</v>
      </c>
      <c r="GKW67" s="144" t="s">
        <v>40</v>
      </c>
      <c r="GKX67" s="200"/>
      <c r="GKY67" s="150" t="s">
        <v>123</v>
      </c>
      <c r="GKZ67" s="198"/>
      <c r="GLA67" s="199"/>
      <c r="GLB67" s="144" t="s">
        <v>22</v>
      </c>
      <c r="GLC67" s="145">
        <v>8150</v>
      </c>
      <c r="GLD67" s="153">
        <v>85</v>
      </c>
      <c r="GLE67" s="154">
        <v>215</v>
      </c>
      <c r="GLF67" s="154">
        <v>75</v>
      </c>
      <c r="GLG67" s="153">
        <v>150</v>
      </c>
      <c r="GLH67" s="155">
        <f>SUM(GLC67:GLG67)</f>
        <v>8675</v>
      </c>
      <c r="GLI67" s="153">
        <v>200</v>
      </c>
      <c r="GLJ67" s="155">
        <f>SUM(GLH67:GLI67)</f>
        <v>8875</v>
      </c>
      <c r="GLK67" s="148" t="s">
        <v>96</v>
      </c>
      <c r="GLL67" s="149">
        <v>45845</v>
      </c>
      <c r="GLM67" s="144" t="s">
        <v>40</v>
      </c>
      <c r="GLN67" s="200"/>
      <c r="GLO67" s="150" t="s">
        <v>123</v>
      </c>
      <c r="GLP67" s="198"/>
      <c r="GLQ67" s="199"/>
      <c r="GLR67" s="144" t="s">
        <v>22</v>
      </c>
      <c r="GLS67" s="145">
        <v>8150</v>
      </c>
      <c r="GLT67" s="153">
        <v>85</v>
      </c>
      <c r="GLU67" s="154">
        <v>215</v>
      </c>
      <c r="GLV67" s="154">
        <v>75</v>
      </c>
      <c r="GLW67" s="153">
        <v>150</v>
      </c>
      <c r="GLX67" s="155">
        <f>SUM(GLS67:GLW67)</f>
        <v>8675</v>
      </c>
      <c r="GLY67" s="153">
        <v>200</v>
      </c>
      <c r="GLZ67" s="155">
        <f>SUM(GLX67:GLY67)</f>
        <v>8875</v>
      </c>
      <c r="GMA67" s="148" t="s">
        <v>96</v>
      </c>
      <c r="GMB67" s="149">
        <v>45845</v>
      </c>
      <c r="GMC67" s="144" t="s">
        <v>40</v>
      </c>
      <c r="GMD67" s="200"/>
      <c r="GME67" s="150" t="s">
        <v>123</v>
      </c>
      <c r="GMF67" s="198"/>
      <c r="GMG67" s="199"/>
      <c r="GMH67" s="144" t="s">
        <v>22</v>
      </c>
      <c r="GMI67" s="145">
        <v>8150</v>
      </c>
      <c r="GMJ67" s="153">
        <v>85</v>
      </c>
      <c r="GMK67" s="154">
        <v>215</v>
      </c>
      <c r="GML67" s="154">
        <v>75</v>
      </c>
      <c r="GMM67" s="153">
        <v>150</v>
      </c>
      <c r="GMN67" s="155">
        <f>SUM(GMI67:GMM67)</f>
        <v>8675</v>
      </c>
      <c r="GMO67" s="153">
        <v>200</v>
      </c>
      <c r="GMP67" s="155">
        <f>SUM(GMN67:GMO67)</f>
        <v>8875</v>
      </c>
      <c r="GMQ67" s="148" t="s">
        <v>96</v>
      </c>
      <c r="GMR67" s="149">
        <v>45845</v>
      </c>
      <c r="GMS67" s="144" t="s">
        <v>40</v>
      </c>
      <c r="GMT67" s="200"/>
      <c r="GMU67" s="150" t="s">
        <v>123</v>
      </c>
      <c r="GMV67" s="198"/>
      <c r="GMW67" s="199"/>
      <c r="GMX67" s="144" t="s">
        <v>22</v>
      </c>
      <c r="GMY67" s="145">
        <v>8150</v>
      </c>
      <c r="GMZ67" s="153">
        <v>85</v>
      </c>
      <c r="GNA67" s="154">
        <v>215</v>
      </c>
      <c r="GNB67" s="154">
        <v>75</v>
      </c>
      <c r="GNC67" s="153">
        <v>150</v>
      </c>
      <c r="GND67" s="155">
        <f>SUM(GMY67:GNC67)</f>
        <v>8675</v>
      </c>
      <c r="GNE67" s="153">
        <v>200</v>
      </c>
      <c r="GNF67" s="155">
        <f>SUM(GND67:GNE67)</f>
        <v>8875</v>
      </c>
      <c r="GNG67" s="148" t="s">
        <v>96</v>
      </c>
      <c r="GNH67" s="149">
        <v>45845</v>
      </c>
      <c r="GNI67" s="144" t="s">
        <v>40</v>
      </c>
      <c r="GNJ67" s="200"/>
      <c r="GNK67" s="150" t="s">
        <v>123</v>
      </c>
      <c r="GNL67" s="198"/>
      <c r="GNM67" s="199"/>
      <c r="GNN67" s="144" t="s">
        <v>22</v>
      </c>
      <c r="GNO67" s="145">
        <v>8150</v>
      </c>
      <c r="GNP67" s="153">
        <v>85</v>
      </c>
      <c r="GNQ67" s="154">
        <v>215</v>
      </c>
      <c r="GNR67" s="154">
        <v>75</v>
      </c>
      <c r="GNS67" s="153">
        <v>150</v>
      </c>
      <c r="GNT67" s="155">
        <f>SUM(GNO67:GNS67)</f>
        <v>8675</v>
      </c>
      <c r="GNU67" s="153">
        <v>200</v>
      </c>
      <c r="GNV67" s="155">
        <f>SUM(GNT67:GNU67)</f>
        <v>8875</v>
      </c>
      <c r="GNW67" s="148" t="s">
        <v>96</v>
      </c>
      <c r="GNX67" s="149">
        <v>45845</v>
      </c>
      <c r="GNY67" s="144" t="s">
        <v>40</v>
      </c>
      <c r="GNZ67" s="200"/>
      <c r="GOA67" s="150" t="s">
        <v>123</v>
      </c>
      <c r="GOB67" s="198"/>
      <c r="GOC67" s="199"/>
      <c r="GOD67" s="144" t="s">
        <v>22</v>
      </c>
      <c r="GOE67" s="145">
        <v>8150</v>
      </c>
      <c r="GOF67" s="153">
        <v>85</v>
      </c>
      <c r="GOG67" s="154">
        <v>215</v>
      </c>
      <c r="GOH67" s="154">
        <v>75</v>
      </c>
      <c r="GOI67" s="153">
        <v>150</v>
      </c>
      <c r="GOJ67" s="155">
        <f>SUM(GOE67:GOI67)</f>
        <v>8675</v>
      </c>
      <c r="GOK67" s="153">
        <v>200</v>
      </c>
      <c r="GOL67" s="155">
        <f>SUM(GOJ67:GOK67)</f>
        <v>8875</v>
      </c>
      <c r="GOM67" s="148" t="s">
        <v>96</v>
      </c>
      <c r="GON67" s="149">
        <v>45845</v>
      </c>
      <c r="GOO67" s="144" t="s">
        <v>40</v>
      </c>
      <c r="GOP67" s="200"/>
      <c r="GOQ67" s="150" t="s">
        <v>123</v>
      </c>
      <c r="GOR67" s="198"/>
      <c r="GOS67" s="199"/>
      <c r="GOT67" s="144" t="s">
        <v>22</v>
      </c>
      <c r="GOU67" s="145">
        <v>8150</v>
      </c>
      <c r="GOV67" s="153">
        <v>85</v>
      </c>
      <c r="GOW67" s="154">
        <v>215</v>
      </c>
      <c r="GOX67" s="154">
        <v>75</v>
      </c>
      <c r="GOY67" s="153">
        <v>150</v>
      </c>
      <c r="GOZ67" s="155">
        <f>SUM(GOU67:GOY67)</f>
        <v>8675</v>
      </c>
      <c r="GPA67" s="153">
        <v>200</v>
      </c>
      <c r="GPB67" s="155">
        <f>SUM(GOZ67:GPA67)</f>
        <v>8875</v>
      </c>
      <c r="GPC67" s="148" t="s">
        <v>96</v>
      </c>
      <c r="GPD67" s="149">
        <v>45845</v>
      </c>
      <c r="GPE67" s="144" t="s">
        <v>40</v>
      </c>
      <c r="GPF67" s="200"/>
      <c r="GPG67" s="150" t="s">
        <v>123</v>
      </c>
      <c r="GPH67" s="198"/>
      <c r="GPI67" s="199"/>
      <c r="GPJ67" s="144" t="s">
        <v>22</v>
      </c>
      <c r="GPK67" s="145">
        <v>8150</v>
      </c>
      <c r="GPL67" s="153">
        <v>85</v>
      </c>
      <c r="GPM67" s="154">
        <v>215</v>
      </c>
      <c r="GPN67" s="154">
        <v>75</v>
      </c>
      <c r="GPO67" s="153">
        <v>150</v>
      </c>
      <c r="GPP67" s="155">
        <f>SUM(GPK67:GPO67)</f>
        <v>8675</v>
      </c>
      <c r="GPQ67" s="153">
        <v>200</v>
      </c>
      <c r="GPR67" s="155">
        <f>SUM(GPP67:GPQ67)</f>
        <v>8875</v>
      </c>
      <c r="GPS67" s="148" t="s">
        <v>96</v>
      </c>
      <c r="GPT67" s="149">
        <v>45845</v>
      </c>
      <c r="GPU67" s="144" t="s">
        <v>40</v>
      </c>
      <c r="GPV67" s="200"/>
      <c r="GPW67" s="150" t="s">
        <v>123</v>
      </c>
      <c r="GPX67" s="198"/>
      <c r="GPY67" s="199"/>
      <c r="GPZ67" s="144" t="s">
        <v>22</v>
      </c>
      <c r="GQA67" s="145">
        <v>8150</v>
      </c>
      <c r="GQB67" s="153">
        <v>85</v>
      </c>
      <c r="GQC67" s="154">
        <v>215</v>
      </c>
      <c r="GQD67" s="154">
        <v>75</v>
      </c>
      <c r="GQE67" s="153">
        <v>150</v>
      </c>
      <c r="GQF67" s="155">
        <f>SUM(GQA67:GQE67)</f>
        <v>8675</v>
      </c>
      <c r="GQG67" s="153">
        <v>200</v>
      </c>
      <c r="GQH67" s="155">
        <f>SUM(GQF67:GQG67)</f>
        <v>8875</v>
      </c>
      <c r="GQI67" s="148" t="s">
        <v>96</v>
      </c>
      <c r="GQJ67" s="149">
        <v>45845</v>
      </c>
      <c r="GQK67" s="144" t="s">
        <v>40</v>
      </c>
      <c r="GQL67" s="200"/>
      <c r="GQM67" s="150" t="s">
        <v>123</v>
      </c>
      <c r="GQN67" s="198"/>
      <c r="GQO67" s="199"/>
      <c r="GQP67" s="144" t="s">
        <v>22</v>
      </c>
      <c r="GQQ67" s="145">
        <v>8150</v>
      </c>
      <c r="GQR67" s="153">
        <v>85</v>
      </c>
      <c r="GQS67" s="154">
        <v>215</v>
      </c>
      <c r="GQT67" s="154">
        <v>75</v>
      </c>
      <c r="GQU67" s="153">
        <v>150</v>
      </c>
      <c r="GQV67" s="155">
        <f>SUM(GQQ67:GQU67)</f>
        <v>8675</v>
      </c>
      <c r="GQW67" s="153">
        <v>200</v>
      </c>
      <c r="GQX67" s="155">
        <f>SUM(GQV67:GQW67)</f>
        <v>8875</v>
      </c>
      <c r="GQY67" s="148" t="s">
        <v>96</v>
      </c>
      <c r="GQZ67" s="149">
        <v>45845</v>
      </c>
      <c r="GRA67" s="144" t="s">
        <v>40</v>
      </c>
      <c r="GRB67" s="200"/>
      <c r="GRC67" s="150" t="s">
        <v>123</v>
      </c>
      <c r="GRD67" s="198"/>
      <c r="GRE67" s="199"/>
      <c r="GRF67" s="144" t="s">
        <v>22</v>
      </c>
      <c r="GRG67" s="145">
        <v>8150</v>
      </c>
      <c r="GRH67" s="153">
        <v>85</v>
      </c>
      <c r="GRI67" s="154">
        <v>215</v>
      </c>
      <c r="GRJ67" s="154">
        <v>75</v>
      </c>
      <c r="GRK67" s="153">
        <v>150</v>
      </c>
      <c r="GRL67" s="155">
        <f>SUM(GRG67:GRK67)</f>
        <v>8675</v>
      </c>
      <c r="GRM67" s="153">
        <v>200</v>
      </c>
      <c r="GRN67" s="155">
        <f>SUM(GRL67:GRM67)</f>
        <v>8875</v>
      </c>
      <c r="GRO67" s="148" t="s">
        <v>96</v>
      </c>
      <c r="GRP67" s="149">
        <v>45845</v>
      </c>
      <c r="GRQ67" s="144" t="s">
        <v>40</v>
      </c>
      <c r="GRR67" s="200"/>
      <c r="GRS67" s="150" t="s">
        <v>123</v>
      </c>
      <c r="GRT67" s="198"/>
      <c r="GRU67" s="199"/>
      <c r="GRV67" s="144" t="s">
        <v>22</v>
      </c>
      <c r="GRW67" s="145">
        <v>8150</v>
      </c>
      <c r="GRX67" s="153">
        <v>85</v>
      </c>
      <c r="GRY67" s="154">
        <v>215</v>
      </c>
      <c r="GRZ67" s="154">
        <v>75</v>
      </c>
      <c r="GSA67" s="153">
        <v>150</v>
      </c>
      <c r="GSB67" s="155">
        <f>SUM(GRW67:GSA67)</f>
        <v>8675</v>
      </c>
      <c r="GSC67" s="153">
        <v>200</v>
      </c>
      <c r="GSD67" s="155">
        <f>SUM(GSB67:GSC67)</f>
        <v>8875</v>
      </c>
      <c r="GSE67" s="148" t="s">
        <v>96</v>
      </c>
      <c r="GSF67" s="149">
        <v>45845</v>
      </c>
      <c r="GSG67" s="144" t="s">
        <v>40</v>
      </c>
      <c r="GSH67" s="200"/>
      <c r="GSI67" s="150" t="s">
        <v>123</v>
      </c>
      <c r="GSJ67" s="198"/>
      <c r="GSK67" s="199"/>
      <c r="GSL67" s="144" t="s">
        <v>22</v>
      </c>
      <c r="GSM67" s="145">
        <v>8150</v>
      </c>
      <c r="GSN67" s="153">
        <v>85</v>
      </c>
      <c r="GSO67" s="154">
        <v>215</v>
      </c>
      <c r="GSP67" s="154">
        <v>75</v>
      </c>
      <c r="GSQ67" s="153">
        <v>150</v>
      </c>
      <c r="GSR67" s="155">
        <f>SUM(GSM67:GSQ67)</f>
        <v>8675</v>
      </c>
      <c r="GSS67" s="153">
        <v>200</v>
      </c>
      <c r="GST67" s="155">
        <f>SUM(GSR67:GSS67)</f>
        <v>8875</v>
      </c>
      <c r="GSU67" s="148" t="s">
        <v>96</v>
      </c>
      <c r="GSV67" s="149">
        <v>45845</v>
      </c>
      <c r="GSW67" s="144" t="s">
        <v>40</v>
      </c>
      <c r="GSX67" s="200"/>
      <c r="GSY67" s="150" t="s">
        <v>123</v>
      </c>
      <c r="GSZ67" s="198"/>
      <c r="GTA67" s="199"/>
      <c r="GTB67" s="144" t="s">
        <v>22</v>
      </c>
      <c r="GTC67" s="145">
        <v>8150</v>
      </c>
      <c r="GTD67" s="153">
        <v>85</v>
      </c>
      <c r="GTE67" s="154">
        <v>215</v>
      </c>
      <c r="GTF67" s="154">
        <v>75</v>
      </c>
      <c r="GTG67" s="153">
        <v>150</v>
      </c>
      <c r="GTH67" s="155">
        <f>SUM(GTC67:GTG67)</f>
        <v>8675</v>
      </c>
      <c r="GTI67" s="153">
        <v>200</v>
      </c>
      <c r="GTJ67" s="155">
        <f>SUM(GTH67:GTI67)</f>
        <v>8875</v>
      </c>
      <c r="GTK67" s="148" t="s">
        <v>96</v>
      </c>
      <c r="GTL67" s="149">
        <v>45845</v>
      </c>
      <c r="GTM67" s="144" t="s">
        <v>40</v>
      </c>
      <c r="GTN67" s="200"/>
      <c r="GTO67" s="150" t="s">
        <v>123</v>
      </c>
      <c r="GTP67" s="198"/>
      <c r="GTQ67" s="199"/>
      <c r="GTR67" s="144" t="s">
        <v>22</v>
      </c>
      <c r="GTS67" s="145">
        <v>8150</v>
      </c>
      <c r="GTT67" s="153">
        <v>85</v>
      </c>
      <c r="GTU67" s="154">
        <v>215</v>
      </c>
      <c r="GTV67" s="154">
        <v>75</v>
      </c>
      <c r="GTW67" s="153">
        <v>150</v>
      </c>
      <c r="GTX67" s="155">
        <f>SUM(GTS67:GTW67)</f>
        <v>8675</v>
      </c>
      <c r="GTY67" s="153">
        <v>200</v>
      </c>
      <c r="GTZ67" s="155">
        <f>SUM(GTX67:GTY67)</f>
        <v>8875</v>
      </c>
      <c r="GUA67" s="148" t="s">
        <v>96</v>
      </c>
      <c r="GUB67" s="149">
        <v>45845</v>
      </c>
      <c r="GUC67" s="144" t="s">
        <v>40</v>
      </c>
      <c r="GUD67" s="200"/>
      <c r="GUE67" s="150" t="s">
        <v>123</v>
      </c>
      <c r="GUF67" s="198"/>
      <c r="GUG67" s="199"/>
      <c r="GUH67" s="144" t="s">
        <v>22</v>
      </c>
      <c r="GUI67" s="145">
        <v>8150</v>
      </c>
      <c r="GUJ67" s="153">
        <v>85</v>
      </c>
      <c r="GUK67" s="154">
        <v>215</v>
      </c>
      <c r="GUL67" s="154">
        <v>75</v>
      </c>
      <c r="GUM67" s="153">
        <v>150</v>
      </c>
      <c r="GUN67" s="155">
        <f>SUM(GUI67:GUM67)</f>
        <v>8675</v>
      </c>
      <c r="GUO67" s="153">
        <v>200</v>
      </c>
      <c r="GUP67" s="155">
        <f>SUM(GUN67:GUO67)</f>
        <v>8875</v>
      </c>
      <c r="GUQ67" s="148" t="s">
        <v>96</v>
      </c>
      <c r="GUR67" s="149">
        <v>45845</v>
      </c>
      <c r="GUS67" s="144" t="s">
        <v>40</v>
      </c>
      <c r="GUT67" s="200"/>
      <c r="GUU67" s="150" t="s">
        <v>123</v>
      </c>
      <c r="GUV67" s="198"/>
      <c r="GUW67" s="199"/>
      <c r="GUX67" s="144" t="s">
        <v>22</v>
      </c>
      <c r="GUY67" s="145">
        <v>8150</v>
      </c>
      <c r="GUZ67" s="153">
        <v>85</v>
      </c>
      <c r="GVA67" s="154">
        <v>215</v>
      </c>
      <c r="GVB67" s="154">
        <v>75</v>
      </c>
      <c r="GVC67" s="153">
        <v>150</v>
      </c>
      <c r="GVD67" s="155">
        <f>SUM(GUY67:GVC67)</f>
        <v>8675</v>
      </c>
      <c r="GVE67" s="153">
        <v>200</v>
      </c>
      <c r="GVF67" s="155">
        <f>SUM(GVD67:GVE67)</f>
        <v>8875</v>
      </c>
      <c r="GVG67" s="148" t="s">
        <v>96</v>
      </c>
      <c r="GVH67" s="149">
        <v>45845</v>
      </c>
      <c r="GVI67" s="144" t="s">
        <v>40</v>
      </c>
      <c r="GVJ67" s="200"/>
      <c r="GVK67" s="150" t="s">
        <v>123</v>
      </c>
      <c r="GVL67" s="198"/>
      <c r="GVM67" s="199"/>
      <c r="GVN67" s="144" t="s">
        <v>22</v>
      </c>
      <c r="GVO67" s="145">
        <v>8150</v>
      </c>
      <c r="GVP67" s="153">
        <v>85</v>
      </c>
      <c r="GVQ67" s="154">
        <v>215</v>
      </c>
      <c r="GVR67" s="154">
        <v>75</v>
      </c>
      <c r="GVS67" s="153">
        <v>150</v>
      </c>
      <c r="GVT67" s="155">
        <f>SUM(GVO67:GVS67)</f>
        <v>8675</v>
      </c>
      <c r="GVU67" s="153">
        <v>200</v>
      </c>
      <c r="GVV67" s="155">
        <f>SUM(GVT67:GVU67)</f>
        <v>8875</v>
      </c>
      <c r="GVW67" s="148" t="s">
        <v>96</v>
      </c>
      <c r="GVX67" s="149">
        <v>45845</v>
      </c>
      <c r="GVY67" s="144" t="s">
        <v>40</v>
      </c>
      <c r="GVZ67" s="200"/>
      <c r="GWA67" s="150" t="s">
        <v>123</v>
      </c>
      <c r="GWB67" s="198"/>
      <c r="GWC67" s="199"/>
      <c r="GWD67" s="144" t="s">
        <v>22</v>
      </c>
      <c r="GWE67" s="145">
        <v>8150</v>
      </c>
      <c r="GWF67" s="153">
        <v>85</v>
      </c>
      <c r="GWG67" s="154">
        <v>215</v>
      </c>
      <c r="GWH67" s="154">
        <v>75</v>
      </c>
      <c r="GWI67" s="153">
        <v>150</v>
      </c>
      <c r="GWJ67" s="155">
        <f>SUM(GWE67:GWI67)</f>
        <v>8675</v>
      </c>
      <c r="GWK67" s="153">
        <v>200</v>
      </c>
      <c r="GWL67" s="155">
        <f>SUM(GWJ67:GWK67)</f>
        <v>8875</v>
      </c>
      <c r="GWM67" s="148" t="s">
        <v>96</v>
      </c>
      <c r="GWN67" s="149">
        <v>45845</v>
      </c>
      <c r="GWO67" s="144" t="s">
        <v>40</v>
      </c>
      <c r="GWP67" s="200"/>
      <c r="GWQ67" s="150" t="s">
        <v>123</v>
      </c>
      <c r="GWR67" s="198"/>
      <c r="GWS67" s="199"/>
      <c r="GWT67" s="144" t="s">
        <v>22</v>
      </c>
      <c r="GWU67" s="145">
        <v>8150</v>
      </c>
      <c r="GWV67" s="153">
        <v>85</v>
      </c>
      <c r="GWW67" s="154">
        <v>215</v>
      </c>
      <c r="GWX67" s="154">
        <v>75</v>
      </c>
      <c r="GWY67" s="153">
        <v>150</v>
      </c>
      <c r="GWZ67" s="155">
        <f>SUM(GWU67:GWY67)</f>
        <v>8675</v>
      </c>
      <c r="GXA67" s="153">
        <v>200</v>
      </c>
      <c r="GXB67" s="155">
        <f>SUM(GWZ67:GXA67)</f>
        <v>8875</v>
      </c>
      <c r="GXC67" s="148" t="s">
        <v>96</v>
      </c>
      <c r="GXD67" s="149">
        <v>45845</v>
      </c>
      <c r="GXE67" s="144" t="s">
        <v>40</v>
      </c>
      <c r="GXF67" s="200"/>
      <c r="GXG67" s="150" t="s">
        <v>123</v>
      </c>
      <c r="GXH67" s="198"/>
      <c r="GXI67" s="199"/>
      <c r="GXJ67" s="144" t="s">
        <v>22</v>
      </c>
      <c r="GXK67" s="145">
        <v>8150</v>
      </c>
      <c r="GXL67" s="153">
        <v>85</v>
      </c>
      <c r="GXM67" s="154">
        <v>215</v>
      </c>
      <c r="GXN67" s="154">
        <v>75</v>
      </c>
      <c r="GXO67" s="153">
        <v>150</v>
      </c>
      <c r="GXP67" s="155">
        <f>SUM(GXK67:GXO67)</f>
        <v>8675</v>
      </c>
      <c r="GXQ67" s="153">
        <v>200</v>
      </c>
      <c r="GXR67" s="155">
        <f>SUM(GXP67:GXQ67)</f>
        <v>8875</v>
      </c>
      <c r="GXS67" s="148" t="s">
        <v>96</v>
      </c>
      <c r="GXT67" s="149">
        <v>45845</v>
      </c>
      <c r="GXU67" s="144" t="s">
        <v>40</v>
      </c>
      <c r="GXV67" s="200"/>
      <c r="GXW67" s="150" t="s">
        <v>123</v>
      </c>
      <c r="GXX67" s="198"/>
      <c r="GXY67" s="199"/>
      <c r="GXZ67" s="144" t="s">
        <v>22</v>
      </c>
      <c r="GYA67" s="145">
        <v>8150</v>
      </c>
      <c r="GYB67" s="153">
        <v>85</v>
      </c>
      <c r="GYC67" s="154">
        <v>215</v>
      </c>
      <c r="GYD67" s="154">
        <v>75</v>
      </c>
      <c r="GYE67" s="153">
        <v>150</v>
      </c>
      <c r="GYF67" s="155">
        <f>SUM(GYA67:GYE67)</f>
        <v>8675</v>
      </c>
      <c r="GYG67" s="153">
        <v>200</v>
      </c>
      <c r="GYH67" s="155">
        <f>SUM(GYF67:GYG67)</f>
        <v>8875</v>
      </c>
      <c r="GYI67" s="148" t="s">
        <v>96</v>
      </c>
      <c r="GYJ67" s="149">
        <v>45845</v>
      </c>
      <c r="GYK67" s="144" t="s">
        <v>40</v>
      </c>
      <c r="GYL67" s="200"/>
      <c r="GYM67" s="150" t="s">
        <v>123</v>
      </c>
      <c r="GYN67" s="198"/>
      <c r="GYO67" s="199"/>
      <c r="GYP67" s="144" t="s">
        <v>22</v>
      </c>
      <c r="GYQ67" s="145">
        <v>8150</v>
      </c>
      <c r="GYR67" s="153">
        <v>85</v>
      </c>
      <c r="GYS67" s="154">
        <v>215</v>
      </c>
      <c r="GYT67" s="154">
        <v>75</v>
      </c>
      <c r="GYU67" s="153">
        <v>150</v>
      </c>
      <c r="GYV67" s="155">
        <f>SUM(GYQ67:GYU67)</f>
        <v>8675</v>
      </c>
      <c r="GYW67" s="153">
        <v>200</v>
      </c>
      <c r="GYX67" s="155">
        <f>SUM(GYV67:GYW67)</f>
        <v>8875</v>
      </c>
      <c r="GYY67" s="148" t="s">
        <v>96</v>
      </c>
      <c r="GYZ67" s="149">
        <v>45845</v>
      </c>
      <c r="GZA67" s="144" t="s">
        <v>40</v>
      </c>
      <c r="GZB67" s="200"/>
      <c r="GZC67" s="150" t="s">
        <v>123</v>
      </c>
      <c r="GZD67" s="198"/>
      <c r="GZE67" s="199"/>
      <c r="GZF67" s="144" t="s">
        <v>22</v>
      </c>
      <c r="GZG67" s="145">
        <v>8150</v>
      </c>
      <c r="GZH67" s="153">
        <v>85</v>
      </c>
      <c r="GZI67" s="154">
        <v>215</v>
      </c>
      <c r="GZJ67" s="154">
        <v>75</v>
      </c>
      <c r="GZK67" s="153">
        <v>150</v>
      </c>
      <c r="GZL67" s="155">
        <f>SUM(GZG67:GZK67)</f>
        <v>8675</v>
      </c>
      <c r="GZM67" s="153">
        <v>200</v>
      </c>
      <c r="GZN67" s="155">
        <f>SUM(GZL67:GZM67)</f>
        <v>8875</v>
      </c>
      <c r="GZO67" s="148" t="s">
        <v>96</v>
      </c>
      <c r="GZP67" s="149">
        <v>45845</v>
      </c>
      <c r="GZQ67" s="144" t="s">
        <v>40</v>
      </c>
      <c r="GZR67" s="200"/>
      <c r="GZS67" s="150" t="s">
        <v>123</v>
      </c>
      <c r="GZT67" s="198"/>
      <c r="GZU67" s="199"/>
      <c r="GZV67" s="144" t="s">
        <v>22</v>
      </c>
      <c r="GZW67" s="145">
        <v>8150</v>
      </c>
      <c r="GZX67" s="153">
        <v>85</v>
      </c>
      <c r="GZY67" s="154">
        <v>215</v>
      </c>
      <c r="GZZ67" s="154">
        <v>75</v>
      </c>
      <c r="HAA67" s="153">
        <v>150</v>
      </c>
      <c r="HAB67" s="155">
        <f>SUM(GZW67:HAA67)</f>
        <v>8675</v>
      </c>
      <c r="HAC67" s="153">
        <v>200</v>
      </c>
      <c r="HAD67" s="155">
        <f>SUM(HAB67:HAC67)</f>
        <v>8875</v>
      </c>
      <c r="HAE67" s="148" t="s">
        <v>96</v>
      </c>
      <c r="HAF67" s="149">
        <v>45845</v>
      </c>
      <c r="HAG67" s="144" t="s">
        <v>40</v>
      </c>
      <c r="HAH67" s="200"/>
      <c r="HAI67" s="150" t="s">
        <v>123</v>
      </c>
      <c r="HAJ67" s="198"/>
      <c r="HAK67" s="199"/>
      <c r="HAL67" s="144" t="s">
        <v>22</v>
      </c>
      <c r="HAM67" s="145">
        <v>8150</v>
      </c>
      <c r="HAN67" s="153">
        <v>85</v>
      </c>
      <c r="HAO67" s="154">
        <v>215</v>
      </c>
      <c r="HAP67" s="154">
        <v>75</v>
      </c>
      <c r="HAQ67" s="153">
        <v>150</v>
      </c>
      <c r="HAR67" s="155">
        <f>SUM(HAM67:HAQ67)</f>
        <v>8675</v>
      </c>
      <c r="HAS67" s="153">
        <v>200</v>
      </c>
      <c r="HAT67" s="155">
        <f>SUM(HAR67:HAS67)</f>
        <v>8875</v>
      </c>
      <c r="HAU67" s="148" t="s">
        <v>96</v>
      </c>
      <c r="HAV67" s="149">
        <v>45845</v>
      </c>
      <c r="HAW67" s="144" t="s">
        <v>40</v>
      </c>
      <c r="HAX67" s="200"/>
      <c r="HAY67" s="150" t="s">
        <v>123</v>
      </c>
      <c r="HAZ67" s="198"/>
      <c r="HBA67" s="199"/>
      <c r="HBB67" s="144" t="s">
        <v>22</v>
      </c>
      <c r="HBC67" s="145">
        <v>8150</v>
      </c>
      <c r="HBD67" s="153">
        <v>85</v>
      </c>
      <c r="HBE67" s="154">
        <v>215</v>
      </c>
      <c r="HBF67" s="154">
        <v>75</v>
      </c>
      <c r="HBG67" s="153">
        <v>150</v>
      </c>
      <c r="HBH67" s="155">
        <f>SUM(HBC67:HBG67)</f>
        <v>8675</v>
      </c>
      <c r="HBI67" s="153">
        <v>200</v>
      </c>
      <c r="HBJ67" s="155">
        <f>SUM(HBH67:HBI67)</f>
        <v>8875</v>
      </c>
      <c r="HBK67" s="148" t="s">
        <v>96</v>
      </c>
      <c r="HBL67" s="149">
        <v>45845</v>
      </c>
      <c r="HBM67" s="144" t="s">
        <v>40</v>
      </c>
      <c r="HBN67" s="200"/>
      <c r="HBO67" s="150" t="s">
        <v>123</v>
      </c>
      <c r="HBP67" s="198"/>
      <c r="HBQ67" s="199"/>
      <c r="HBR67" s="144" t="s">
        <v>22</v>
      </c>
      <c r="HBS67" s="145">
        <v>8150</v>
      </c>
      <c r="HBT67" s="153">
        <v>85</v>
      </c>
      <c r="HBU67" s="154">
        <v>215</v>
      </c>
      <c r="HBV67" s="154">
        <v>75</v>
      </c>
      <c r="HBW67" s="153">
        <v>150</v>
      </c>
      <c r="HBX67" s="155">
        <f>SUM(HBS67:HBW67)</f>
        <v>8675</v>
      </c>
      <c r="HBY67" s="153">
        <v>200</v>
      </c>
      <c r="HBZ67" s="155">
        <f>SUM(HBX67:HBY67)</f>
        <v>8875</v>
      </c>
      <c r="HCA67" s="148" t="s">
        <v>96</v>
      </c>
      <c r="HCB67" s="149">
        <v>45845</v>
      </c>
      <c r="HCC67" s="144" t="s">
        <v>40</v>
      </c>
      <c r="HCD67" s="200"/>
      <c r="HCE67" s="150" t="s">
        <v>123</v>
      </c>
      <c r="HCF67" s="198"/>
      <c r="HCG67" s="199"/>
      <c r="HCH67" s="144" t="s">
        <v>22</v>
      </c>
      <c r="HCI67" s="145">
        <v>8150</v>
      </c>
      <c r="HCJ67" s="153">
        <v>85</v>
      </c>
      <c r="HCK67" s="154">
        <v>215</v>
      </c>
      <c r="HCL67" s="154">
        <v>75</v>
      </c>
      <c r="HCM67" s="153">
        <v>150</v>
      </c>
      <c r="HCN67" s="155">
        <f>SUM(HCI67:HCM67)</f>
        <v>8675</v>
      </c>
      <c r="HCO67" s="153">
        <v>200</v>
      </c>
      <c r="HCP67" s="155">
        <f>SUM(HCN67:HCO67)</f>
        <v>8875</v>
      </c>
      <c r="HCQ67" s="148" t="s">
        <v>96</v>
      </c>
      <c r="HCR67" s="149">
        <v>45845</v>
      </c>
      <c r="HCS67" s="144" t="s">
        <v>40</v>
      </c>
      <c r="HCT67" s="200"/>
      <c r="HCU67" s="150" t="s">
        <v>123</v>
      </c>
      <c r="HCV67" s="198"/>
      <c r="HCW67" s="199"/>
      <c r="HCX67" s="144" t="s">
        <v>22</v>
      </c>
      <c r="HCY67" s="145">
        <v>8150</v>
      </c>
      <c r="HCZ67" s="153">
        <v>85</v>
      </c>
      <c r="HDA67" s="154">
        <v>215</v>
      </c>
      <c r="HDB67" s="154">
        <v>75</v>
      </c>
      <c r="HDC67" s="153">
        <v>150</v>
      </c>
      <c r="HDD67" s="155">
        <f>SUM(HCY67:HDC67)</f>
        <v>8675</v>
      </c>
      <c r="HDE67" s="153">
        <v>200</v>
      </c>
      <c r="HDF67" s="155">
        <f>SUM(HDD67:HDE67)</f>
        <v>8875</v>
      </c>
      <c r="HDG67" s="148" t="s">
        <v>96</v>
      </c>
      <c r="HDH67" s="149">
        <v>45845</v>
      </c>
      <c r="HDI67" s="144" t="s">
        <v>40</v>
      </c>
      <c r="HDJ67" s="200"/>
      <c r="HDK67" s="150" t="s">
        <v>123</v>
      </c>
      <c r="HDL67" s="198"/>
      <c r="HDM67" s="199"/>
      <c r="HDN67" s="144" t="s">
        <v>22</v>
      </c>
      <c r="HDO67" s="145">
        <v>8150</v>
      </c>
      <c r="HDP67" s="153">
        <v>85</v>
      </c>
      <c r="HDQ67" s="154">
        <v>215</v>
      </c>
      <c r="HDR67" s="154">
        <v>75</v>
      </c>
      <c r="HDS67" s="153">
        <v>150</v>
      </c>
      <c r="HDT67" s="155">
        <f>SUM(HDO67:HDS67)</f>
        <v>8675</v>
      </c>
      <c r="HDU67" s="153">
        <v>200</v>
      </c>
      <c r="HDV67" s="155">
        <f>SUM(HDT67:HDU67)</f>
        <v>8875</v>
      </c>
      <c r="HDW67" s="148" t="s">
        <v>96</v>
      </c>
      <c r="HDX67" s="149">
        <v>45845</v>
      </c>
      <c r="HDY67" s="144" t="s">
        <v>40</v>
      </c>
      <c r="HDZ67" s="200"/>
      <c r="HEA67" s="150" t="s">
        <v>123</v>
      </c>
      <c r="HEB67" s="198"/>
      <c r="HEC67" s="199"/>
      <c r="HED67" s="144" t="s">
        <v>22</v>
      </c>
      <c r="HEE67" s="145">
        <v>8150</v>
      </c>
      <c r="HEF67" s="153">
        <v>85</v>
      </c>
      <c r="HEG67" s="154">
        <v>215</v>
      </c>
      <c r="HEH67" s="154">
        <v>75</v>
      </c>
      <c r="HEI67" s="153">
        <v>150</v>
      </c>
      <c r="HEJ67" s="155">
        <f>SUM(HEE67:HEI67)</f>
        <v>8675</v>
      </c>
      <c r="HEK67" s="153">
        <v>200</v>
      </c>
      <c r="HEL67" s="155">
        <f>SUM(HEJ67:HEK67)</f>
        <v>8875</v>
      </c>
      <c r="HEM67" s="148" t="s">
        <v>96</v>
      </c>
      <c r="HEN67" s="149">
        <v>45845</v>
      </c>
      <c r="HEO67" s="144" t="s">
        <v>40</v>
      </c>
      <c r="HEP67" s="200"/>
      <c r="HEQ67" s="150" t="s">
        <v>123</v>
      </c>
      <c r="HER67" s="198"/>
      <c r="HES67" s="199"/>
      <c r="HET67" s="144" t="s">
        <v>22</v>
      </c>
      <c r="HEU67" s="145">
        <v>8150</v>
      </c>
      <c r="HEV67" s="153">
        <v>85</v>
      </c>
      <c r="HEW67" s="154">
        <v>215</v>
      </c>
      <c r="HEX67" s="154">
        <v>75</v>
      </c>
      <c r="HEY67" s="153">
        <v>150</v>
      </c>
      <c r="HEZ67" s="155">
        <f>SUM(HEU67:HEY67)</f>
        <v>8675</v>
      </c>
      <c r="HFA67" s="153">
        <v>200</v>
      </c>
      <c r="HFB67" s="155">
        <f>SUM(HEZ67:HFA67)</f>
        <v>8875</v>
      </c>
      <c r="HFC67" s="148" t="s">
        <v>96</v>
      </c>
      <c r="HFD67" s="149">
        <v>45845</v>
      </c>
      <c r="HFE67" s="144" t="s">
        <v>40</v>
      </c>
      <c r="HFF67" s="200"/>
      <c r="HFG67" s="150" t="s">
        <v>123</v>
      </c>
      <c r="HFH67" s="198"/>
      <c r="HFI67" s="199"/>
      <c r="HFJ67" s="144" t="s">
        <v>22</v>
      </c>
      <c r="HFK67" s="145">
        <v>8150</v>
      </c>
      <c r="HFL67" s="153">
        <v>85</v>
      </c>
      <c r="HFM67" s="154">
        <v>215</v>
      </c>
      <c r="HFN67" s="154">
        <v>75</v>
      </c>
      <c r="HFO67" s="153">
        <v>150</v>
      </c>
      <c r="HFP67" s="155">
        <f>SUM(HFK67:HFO67)</f>
        <v>8675</v>
      </c>
      <c r="HFQ67" s="153">
        <v>200</v>
      </c>
      <c r="HFR67" s="155">
        <f>SUM(HFP67:HFQ67)</f>
        <v>8875</v>
      </c>
      <c r="HFS67" s="148" t="s">
        <v>96</v>
      </c>
      <c r="HFT67" s="149">
        <v>45845</v>
      </c>
      <c r="HFU67" s="144" t="s">
        <v>40</v>
      </c>
      <c r="HFV67" s="200"/>
      <c r="HFW67" s="150" t="s">
        <v>123</v>
      </c>
      <c r="HFX67" s="198"/>
      <c r="HFY67" s="199"/>
      <c r="HFZ67" s="144" t="s">
        <v>22</v>
      </c>
      <c r="HGA67" s="145">
        <v>8150</v>
      </c>
      <c r="HGB67" s="153">
        <v>85</v>
      </c>
      <c r="HGC67" s="154">
        <v>215</v>
      </c>
      <c r="HGD67" s="154">
        <v>75</v>
      </c>
      <c r="HGE67" s="153">
        <v>150</v>
      </c>
      <c r="HGF67" s="155">
        <f>SUM(HGA67:HGE67)</f>
        <v>8675</v>
      </c>
      <c r="HGG67" s="153">
        <v>200</v>
      </c>
      <c r="HGH67" s="155">
        <f>SUM(HGF67:HGG67)</f>
        <v>8875</v>
      </c>
      <c r="HGI67" s="148" t="s">
        <v>96</v>
      </c>
      <c r="HGJ67" s="149">
        <v>45845</v>
      </c>
      <c r="HGK67" s="144" t="s">
        <v>40</v>
      </c>
      <c r="HGL67" s="200"/>
      <c r="HGM67" s="150" t="s">
        <v>123</v>
      </c>
      <c r="HGN67" s="198"/>
      <c r="HGO67" s="199"/>
      <c r="HGP67" s="144" t="s">
        <v>22</v>
      </c>
      <c r="HGQ67" s="145">
        <v>8150</v>
      </c>
      <c r="HGR67" s="153">
        <v>85</v>
      </c>
      <c r="HGS67" s="154">
        <v>215</v>
      </c>
      <c r="HGT67" s="154">
        <v>75</v>
      </c>
      <c r="HGU67" s="153">
        <v>150</v>
      </c>
      <c r="HGV67" s="155">
        <f>SUM(HGQ67:HGU67)</f>
        <v>8675</v>
      </c>
      <c r="HGW67" s="153">
        <v>200</v>
      </c>
      <c r="HGX67" s="155">
        <f>SUM(HGV67:HGW67)</f>
        <v>8875</v>
      </c>
      <c r="HGY67" s="148" t="s">
        <v>96</v>
      </c>
      <c r="HGZ67" s="149">
        <v>45845</v>
      </c>
      <c r="HHA67" s="144" t="s">
        <v>40</v>
      </c>
      <c r="HHB67" s="200"/>
      <c r="HHC67" s="150" t="s">
        <v>123</v>
      </c>
      <c r="HHD67" s="198"/>
      <c r="HHE67" s="199"/>
      <c r="HHF67" s="144" t="s">
        <v>22</v>
      </c>
      <c r="HHG67" s="145">
        <v>8150</v>
      </c>
      <c r="HHH67" s="153">
        <v>85</v>
      </c>
      <c r="HHI67" s="154">
        <v>215</v>
      </c>
      <c r="HHJ67" s="154">
        <v>75</v>
      </c>
      <c r="HHK67" s="153">
        <v>150</v>
      </c>
      <c r="HHL67" s="155">
        <f>SUM(HHG67:HHK67)</f>
        <v>8675</v>
      </c>
      <c r="HHM67" s="153">
        <v>200</v>
      </c>
      <c r="HHN67" s="155">
        <f>SUM(HHL67:HHM67)</f>
        <v>8875</v>
      </c>
      <c r="HHO67" s="148" t="s">
        <v>96</v>
      </c>
      <c r="HHP67" s="149">
        <v>45845</v>
      </c>
      <c r="HHQ67" s="144" t="s">
        <v>40</v>
      </c>
      <c r="HHR67" s="200"/>
      <c r="HHS67" s="150" t="s">
        <v>123</v>
      </c>
      <c r="HHT67" s="198"/>
      <c r="HHU67" s="199"/>
      <c r="HHV67" s="144" t="s">
        <v>22</v>
      </c>
      <c r="HHW67" s="145">
        <v>8150</v>
      </c>
      <c r="HHX67" s="153">
        <v>85</v>
      </c>
      <c r="HHY67" s="154">
        <v>215</v>
      </c>
      <c r="HHZ67" s="154">
        <v>75</v>
      </c>
      <c r="HIA67" s="153">
        <v>150</v>
      </c>
      <c r="HIB67" s="155">
        <f>SUM(HHW67:HIA67)</f>
        <v>8675</v>
      </c>
      <c r="HIC67" s="153">
        <v>200</v>
      </c>
      <c r="HID67" s="155">
        <f>SUM(HIB67:HIC67)</f>
        <v>8875</v>
      </c>
      <c r="HIE67" s="148" t="s">
        <v>96</v>
      </c>
      <c r="HIF67" s="149">
        <v>45845</v>
      </c>
      <c r="HIG67" s="144" t="s">
        <v>40</v>
      </c>
      <c r="HIH67" s="200"/>
      <c r="HII67" s="150" t="s">
        <v>123</v>
      </c>
      <c r="HIJ67" s="198"/>
      <c r="HIK67" s="199"/>
      <c r="HIL67" s="144" t="s">
        <v>22</v>
      </c>
      <c r="HIM67" s="145">
        <v>8150</v>
      </c>
      <c r="HIN67" s="153">
        <v>85</v>
      </c>
      <c r="HIO67" s="154">
        <v>215</v>
      </c>
      <c r="HIP67" s="154">
        <v>75</v>
      </c>
      <c r="HIQ67" s="153">
        <v>150</v>
      </c>
      <c r="HIR67" s="155">
        <f>SUM(HIM67:HIQ67)</f>
        <v>8675</v>
      </c>
      <c r="HIS67" s="153">
        <v>200</v>
      </c>
      <c r="HIT67" s="155">
        <f>SUM(HIR67:HIS67)</f>
        <v>8875</v>
      </c>
      <c r="HIU67" s="148" t="s">
        <v>96</v>
      </c>
      <c r="HIV67" s="149">
        <v>45845</v>
      </c>
      <c r="HIW67" s="144" t="s">
        <v>40</v>
      </c>
      <c r="HIX67" s="200"/>
      <c r="HIY67" s="150" t="s">
        <v>123</v>
      </c>
      <c r="HIZ67" s="198"/>
      <c r="HJA67" s="199"/>
      <c r="HJB67" s="144" t="s">
        <v>22</v>
      </c>
      <c r="HJC67" s="145">
        <v>8150</v>
      </c>
      <c r="HJD67" s="153">
        <v>85</v>
      </c>
      <c r="HJE67" s="154">
        <v>215</v>
      </c>
      <c r="HJF67" s="154">
        <v>75</v>
      </c>
      <c r="HJG67" s="153">
        <v>150</v>
      </c>
      <c r="HJH67" s="155">
        <f>SUM(HJC67:HJG67)</f>
        <v>8675</v>
      </c>
      <c r="HJI67" s="153">
        <v>200</v>
      </c>
      <c r="HJJ67" s="155">
        <f>SUM(HJH67:HJI67)</f>
        <v>8875</v>
      </c>
      <c r="HJK67" s="148" t="s">
        <v>96</v>
      </c>
      <c r="HJL67" s="149">
        <v>45845</v>
      </c>
      <c r="HJM67" s="144" t="s">
        <v>40</v>
      </c>
      <c r="HJN67" s="200"/>
      <c r="HJO67" s="150" t="s">
        <v>123</v>
      </c>
      <c r="HJP67" s="198"/>
      <c r="HJQ67" s="199"/>
      <c r="HJR67" s="144" t="s">
        <v>22</v>
      </c>
      <c r="HJS67" s="145">
        <v>8150</v>
      </c>
      <c r="HJT67" s="153">
        <v>85</v>
      </c>
      <c r="HJU67" s="154">
        <v>215</v>
      </c>
      <c r="HJV67" s="154">
        <v>75</v>
      </c>
      <c r="HJW67" s="153">
        <v>150</v>
      </c>
      <c r="HJX67" s="155">
        <f>SUM(HJS67:HJW67)</f>
        <v>8675</v>
      </c>
      <c r="HJY67" s="153">
        <v>200</v>
      </c>
      <c r="HJZ67" s="155">
        <f>SUM(HJX67:HJY67)</f>
        <v>8875</v>
      </c>
      <c r="HKA67" s="148" t="s">
        <v>96</v>
      </c>
      <c r="HKB67" s="149">
        <v>45845</v>
      </c>
      <c r="HKC67" s="144" t="s">
        <v>40</v>
      </c>
      <c r="HKD67" s="200"/>
      <c r="HKE67" s="150" t="s">
        <v>123</v>
      </c>
      <c r="HKF67" s="198"/>
      <c r="HKG67" s="199"/>
      <c r="HKH67" s="144" t="s">
        <v>22</v>
      </c>
      <c r="HKI67" s="145">
        <v>8150</v>
      </c>
      <c r="HKJ67" s="153">
        <v>85</v>
      </c>
      <c r="HKK67" s="154">
        <v>215</v>
      </c>
      <c r="HKL67" s="154">
        <v>75</v>
      </c>
      <c r="HKM67" s="153">
        <v>150</v>
      </c>
      <c r="HKN67" s="155">
        <f>SUM(HKI67:HKM67)</f>
        <v>8675</v>
      </c>
      <c r="HKO67" s="153">
        <v>200</v>
      </c>
      <c r="HKP67" s="155">
        <f>SUM(HKN67:HKO67)</f>
        <v>8875</v>
      </c>
      <c r="HKQ67" s="148" t="s">
        <v>96</v>
      </c>
      <c r="HKR67" s="149">
        <v>45845</v>
      </c>
      <c r="HKS67" s="144" t="s">
        <v>40</v>
      </c>
      <c r="HKT67" s="200"/>
      <c r="HKU67" s="150" t="s">
        <v>123</v>
      </c>
      <c r="HKV67" s="198"/>
      <c r="HKW67" s="199"/>
      <c r="HKX67" s="144" t="s">
        <v>22</v>
      </c>
      <c r="HKY67" s="145">
        <v>8150</v>
      </c>
      <c r="HKZ67" s="153">
        <v>85</v>
      </c>
      <c r="HLA67" s="154">
        <v>215</v>
      </c>
      <c r="HLB67" s="154">
        <v>75</v>
      </c>
      <c r="HLC67" s="153">
        <v>150</v>
      </c>
      <c r="HLD67" s="155">
        <f>SUM(HKY67:HLC67)</f>
        <v>8675</v>
      </c>
      <c r="HLE67" s="153">
        <v>200</v>
      </c>
      <c r="HLF67" s="155">
        <f>SUM(HLD67:HLE67)</f>
        <v>8875</v>
      </c>
      <c r="HLG67" s="148" t="s">
        <v>96</v>
      </c>
      <c r="HLH67" s="149">
        <v>45845</v>
      </c>
      <c r="HLI67" s="144" t="s">
        <v>40</v>
      </c>
      <c r="HLJ67" s="200"/>
      <c r="HLK67" s="150" t="s">
        <v>123</v>
      </c>
      <c r="HLL67" s="198"/>
      <c r="HLM67" s="199"/>
      <c r="HLN67" s="144" t="s">
        <v>22</v>
      </c>
      <c r="HLO67" s="145">
        <v>8150</v>
      </c>
      <c r="HLP67" s="153">
        <v>85</v>
      </c>
      <c r="HLQ67" s="154">
        <v>215</v>
      </c>
      <c r="HLR67" s="154">
        <v>75</v>
      </c>
      <c r="HLS67" s="153">
        <v>150</v>
      </c>
      <c r="HLT67" s="155">
        <f>SUM(HLO67:HLS67)</f>
        <v>8675</v>
      </c>
      <c r="HLU67" s="153">
        <v>200</v>
      </c>
      <c r="HLV67" s="155">
        <f>SUM(HLT67:HLU67)</f>
        <v>8875</v>
      </c>
      <c r="HLW67" s="148" t="s">
        <v>96</v>
      </c>
      <c r="HLX67" s="149">
        <v>45845</v>
      </c>
      <c r="HLY67" s="144" t="s">
        <v>40</v>
      </c>
      <c r="HLZ67" s="200"/>
      <c r="HMA67" s="150" t="s">
        <v>123</v>
      </c>
      <c r="HMB67" s="198"/>
      <c r="HMC67" s="199"/>
      <c r="HMD67" s="144" t="s">
        <v>22</v>
      </c>
      <c r="HME67" s="145">
        <v>8150</v>
      </c>
      <c r="HMF67" s="153">
        <v>85</v>
      </c>
      <c r="HMG67" s="154">
        <v>215</v>
      </c>
      <c r="HMH67" s="154">
        <v>75</v>
      </c>
      <c r="HMI67" s="153">
        <v>150</v>
      </c>
      <c r="HMJ67" s="155">
        <f>SUM(HME67:HMI67)</f>
        <v>8675</v>
      </c>
      <c r="HMK67" s="153">
        <v>200</v>
      </c>
      <c r="HML67" s="155">
        <f>SUM(HMJ67:HMK67)</f>
        <v>8875</v>
      </c>
      <c r="HMM67" s="148" t="s">
        <v>96</v>
      </c>
      <c r="HMN67" s="149">
        <v>45845</v>
      </c>
      <c r="HMO67" s="144" t="s">
        <v>40</v>
      </c>
      <c r="HMP67" s="200"/>
      <c r="HMQ67" s="150" t="s">
        <v>123</v>
      </c>
      <c r="HMR67" s="198"/>
      <c r="HMS67" s="199"/>
      <c r="HMT67" s="144" t="s">
        <v>22</v>
      </c>
      <c r="HMU67" s="145">
        <v>8150</v>
      </c>
      <c r="HMV67" s="153">
        <v>85</v>
      </c>
      <c r="HMW67" s="154">
        <v>215</v>
      </c>
      <c r="HMX67" s="154">
        <v>75</v>
      </c>
      <c r="HMY67" s="153">
        <v>150</v>
      </c>
      <c r="HMZ67" s="155">
        <f>SUM(HMU67:HMY67)</f>
        <v>8675</v>
      </c>
      <c r="HNA67" s="153">
        <v>200</v>
      </c>
      <c r="HNB67" s="155">
        <f>SUM(HMZ67:HNA67)</f>
        <v>8875</v>
      </c>
      <c r="HNC67" s="148" t="s">
        <v>96</v>
      </c>
      <c r="HND67" s="149">
        <v>45845</v>
      </c>
      <c r="HNE67" s="144" t="s">
        <v>40</v>
      </c>
      <c r="HNF67" s="200"/>
      <c r="HNG67" s="150" t="s">
        <v>123</v>
      </c>
      <c r="HNH67" s="198"/>
      <c r="HNI67" s="199"/>
      <c r="HNJ67" s="144" t="s">
        <v>22</v>
      </c>
      <c r="HNK67" s="145">
        <v>8150</v>
      </c>
      <c r="HNL67" s="153">
        <v>85</v>
      </c>
      <c r="HNM67" s="154">
        <v>215</v>
      </c>
      <c r="HNN67" s="154">
        <v>75</v>
      </c>
      <c r="HNO67" s="153">
        <v>150</v>
      </c>
      <c r="HNP67" s="155">
        <f>SUM(HNK67:HNO67)</f>
        <v>8675</v>
      </c>
      <c r="HNQ67" s="153">
        <v>200</v>
      </c>
      <c r="HNR67" s="155">
        <f>SUM(HNP67:HNQ67)</f>
        <v>8875</v>
      </c>
      <c r="HNS67" s="148" t="s">
        <v>96</v>
      </c>
      <c r="HNT67" s="149">
        <v>45845</v>
      </c>
      <c r="HNU67" s="144" t="s">
        <v>40</v>
      </c>
      <c r="HNV67" s="200"/>
      <c r="HNW67" s="150" t="s">
        <v>123</v>
      </c>
      <c r="HNX67" s="198"/>
      <c r="HNY67" s="199"/>
      <c r="HNZ67" s="144" t="s">
        <v>22</v>
      </c>
      <c r="HOA67" s="145">
        <v>8150</v>
      </c>
      <c r="HOB67" s="153">
        <v>85</v>
      </c>
      <c r="HOC67" s="154">
        <v>215</v>
      </c>
      <c r="HOD67" s="154">
        <v>75</v>
      </c>
      <c r="HOE67" s="153">
        <v>150</v>
      </c>
      <c r="HOF67" s="155">
        <f>SUM(HOA67:HOE67)</f>
        <v>8675</v>
      </c>
      <c r="HOG67" s="153">
        <v>200</v>
      </c>
      <c r="HOH67" s="155">
        <f>SUM(HOF67:HOG67)</f>
        <v>8875</v>
      </c>
      <c r="HOI67" s="148" t="s">
        <v>96</v>
      </c>
      <c r="HOJ67" s="149">
        <v>45845</v>
      </c>
      <c r="HOK67" s="144" t="s">
        <v>40</v>
      </c>
      <c r="HOL67" s="200"/>
      <c r="HOM67" s="150" t="s">
        <v>123</v>
      </c>
      <c r="HON67" s="198"/>
      <c r="HOO67" s="199"/>
      <c r="HOP67" s="144" t="s">
        <v>22</v>
      </c>
      <c r="HOQ67" s="145">
        <v>8150</v>
      </c>
      <c r="HOR67" s="153">
        <v>85</v>
      </c>
      <c r="HOS67" s="154">
        <v>215</v>
      </c>
      <c r="HOT67" s="154">
        <v>75</v>
      </c>
      <c r="HOU67" s="153">
        <v>150</v>
      </c>
      <c r="HOV67" s="155">
        <f>SUM(HOQ67:HOU67)</f>
        <v>8675</v>
      </c>
      <c r="HOW67" s="153">
        <v>200</v>
      </c>
      <c r="HOX67" s="155">
        <f>SUM(HOV67:HOW67)</f>
        <v>8875</v>
      </c>
      <c r="HOY67" s="148" t="s">
        <v>96</v>
      </c>
      <c r="HOZ67" s="149">
        <v>45845</v>
      </c>
      <c r="HPA67" s="144" t="s">
        <v>40</v>
      </c>
      <c r="HPB67" s="200"/>
      <c r="HPC67" s="150" t="s">
        <v>123</v>
      </c>
      <c r="HPD67" s="198"/>
      <c r="HPE67" s="199"/>
      <c r="HPF67" s="144" t="s">
        <v>22</v>
      </c>
      <c r="HPG67" s="145">
        <v>8150</v>
      </c>
      <c r="HPH67" s="153">
        <v>85</v>
      </c>
      <c r="HPI67" s="154">
        <v>215</v>
      </c>
      <c r="HPJ67" s="154">
        <v>75</v>
      </c>
      <c r="HPK67" s="153">
        <v>150</v>
      </c>
      <c r="HPL67" s="155">
        <f>SUM(HPG67:HPK67)</f>
        <v>8675</v>
      </c>
      <c r="HPM67" s="153">
        <v>200</v>
      </c>
      <c r="HPN67" s="155">
        <f>SUM(HPL67:HPM67)</f>
        <v>8875</v>
      </c>
      <c r="HPO67" s="148" t="s">
        <v>96</v>
      </c>
      <c r="HPP67" s="149">
        <v>45845</v>
      </c>
      <c r="HPQ67" s="144" t="s">
        <v>40</v>
      </c>
      <c r="HPR67" s="200"/>
      <c r="HPS67" s="150" t="s">
        <v>123</v>
      </c>
      <c r="HPT67" s="198"/>
      <c r="HPU67" s="199"/>
      <c r="HPV67" s="144" t="s">
        <v>22</v>
      </c>
      <c r="HPW67" s="145">
        <v>8150</v>
      </c>
      <c r="HPX67" s="153">
        <v>85</v>
      </c>
      <c r="HPY67" s="154">
        <v>215</v>
      </c>
      <c r="HPZ67" s="154">
        <v>75</v>
      </c>
      <c r="HQA67" s="153">
        <v>150</v>
      </c>
      <c r="HQB67" s="155">
        <f>SUM(HPW67:HQA67)</f>
        <v>8675</v>
      </c>
      <c r="HQC67" s="153">
        <v>200</v>
      </c>
      <c r="HQD67" s="155">
        <f>SUM(HQB67:HQC67)</f>
        <v>8875</v>
      </c>
      <c r="HQE67" s="148" t="s">
        <v>96</v>
      </c>
      <c r="HQF67" s="149">
        <v>45845</v>
      </c>
      <c r="HQG67" s="144" t="s">
        <v>40</v>
      </c>
      <c r="HQH67" s="200"/>
      <c r="HQI67" s="150" t="s">
        <v>123</v>
      </c>
      <c r="HQJ67" s="198"/>
      <c r="HQK67" s="199"/>
      <c r="HQL67" s="144" t="s">
        <v>22</v>
      </c>
      <c r="HQM67" s="145">
        <v>8150</v>
      </c>
      <c r="HQN67" s="153">
        <v>85</v>
      </c>
      <c r="HQO67" s="154">
        <v>215</v>
      </c>
      <c r="HQP67" s="154">
        <v>75</v>
      </c>
      <c r="HQQ67" s="153">
        <v>150</v>
      </c>
      <c r="HQR67" s="155">
        <f>SUM(HQM67:HQQ67)</f>
        <v>8675</v>
      </c>
      <c r="HQS67" s="153">
        <v>200</v>
      </c>
      <c r="HQT67" s="155">
        <f>SUM(HQR67:HQS67)</f>
        <v>8875</v>
      </c>
      <c r="HQU67" s="148" t="s">
        <v>96</v>
      </c>
      <c r="HQV67" s="149">
        <v>45845</v>
      </c>
      <c r="HQW67" s="144" t="s">
        <v>40</v>
      </c>
      <c r="HQX67" s="200"/>
      <c r="HQY67" s="150" t="s">
        <v>123</v>
      </c>
      <c r="HQZ67" s="198"/>
      <c r="HRA67" s="199"/>
      <c r="HRB67" s="144" t="s">
        <v>22</v>
      </c>
      <c r="HRC67" s="145">
        <v>8150</v>
      </c>
      <c r="HRD67" s="153">
        <v>85</v>
      </c>
      <c r="HRE67" s="154">
        <v>215</v>
      </c>
      <c r="HRF67" s="154">
        <v>75</v>
      </c>
      <c r="HRG67" s="153">
        <v>150</v>
      </c>
      <c r="HRH67" s="155">
        <f>SUM(HRC67:HRG67)</f>
        <v>8675</v>
      </c>
      <c r="HRI67" s="153">
        <v>200</v>
      </c>
      <c r="HRJ67" s="155">
        <f>SUM(HRH67:HRI67)</f>
        <v>8875</v>
      </c>
      <c r="HRK67" s="148" t="s">
        <v>96</v>
      </c>
      <c r="HRL67" s="149">
        <v>45845</v>
      </c>
      <c r="HRM67" s="144" t="s">
        <v>40</v>
      </c>
      <c r="HRN67" s="200"/>
      <c r="HRO67" s="150" t="s">
        <v>123</v>
      </c>
      <c r="HRP67" s="198"/>
      <c r="HRQ67" s="199"/>
      <c r="HRR67" s="144" t="s">
        <v>22</v>
      </c>
      <c r="HRS67" s="145">
        <v>8150</v>
      </c>
      <c r="HRT67" s="153">
        <v>85</v>
      </c>
      <c r="HRU67" s="154">
        <v>215</v>
      </c>
      <c r="HRV67" s="154">
        <v>75</v>
      </c>
      <c r="HRW67" s="153">
        <v>150</v>
      </c>
      <c r="HRX67" s="155">
        <f>SUM(HRS67:HRW67)</f>
        <v>8675</v>
      </c>
      <c r="HRY67" s="153">
        <v>200</v>
      </c>
      <c r="HRZ67" s="155">
        <f>SUM(HRX67:HRY67)</f>
        <v>8875</v>
      </c>
      <c r="HSA67" s="148" t="s">
        <v>96</v>
      </c>
      <c r="HSB67" s="149">
        <v>45845</v>
      </c>
      <c r="HSC67" s="144" t="s">
        <v>40</v>
      </c>
      <c r="HSD67" s="200"/>
      <c r="HSE67" s="150" t="s">
        <v>123</v>
      </c>
      <c r="HSF67" s="198"/>
      <c r="HSG67" s="199"/>
      <c r="HSH67" s="144" t="s">
        <v>22</v>
      </c>
      <c r="HSI67" s="145">
        <v>8150</v>
      </c>
      <c r="HSJ67" s="153">
        <v>85</v>
      </c>
      <c r="HSK67" s="154">
        <v>215</v>
      </c>
      <c r="HSL67" s="154">
        <v>75</v>
      </c>
      <c r="HSM67" s="153">
        <v>150</v>
      </c>
      <c r="HSN67" s="155">
        <f>SUM(HSI67:HSM67)</f>
        <v>8675</v>
      </c>
      <c r="HSO67" s="153">
        <v>200</v>
      </c>
      <c r="HSP67" s="155">
        <f>SUM(HSN67:HSO67)</f>
        <v>8875</v>
      </c>
      <c r="HSQ67" s="148" t="s">
        <v>96</v>
      </c>
      <c r="HSR67" s="149">
        <v>45845</v>
      </c>
      <c r="HSS67" s="144" t="s">
        <v>40</v>
      </c>
      <c r="HST67" s="200"/>
      <c r="HSU67" s="150" t="s">
        <v>123</v>
      </c>
      <c r="HSV67" s="198"/>
      <c r="HSW67" s="199"/>
      <c r="HSX67" s="144" t="s">
        <v>22</v>
      </c>
      <c r="HSY67" s="145">
        <v>8150</v>
      </c>
      <c r="HSZ67" s="153">
        <v>85</v>
      </c>
      <c r="HTA67" s="154">
        <v>215</v>
      </c>
      <c r="HTB67" s="154">
        <v>75</v>
      </c>
      <c r="HTC67" s="153">
        <v>150</v>
      </c>
      <c r="HTD67" s="155">
        <f>SUM(HSY67:HTC67)</f>
        <v>8675</v>
      </c>
      <c r="HTE67" s="153">
        <v>200</v>
      </c>
      <c r="HTF67" s="155">
        <f>SUM(HTD67:HTE67)</f>
        <v>8875</v>
      </c>
      <c r="HTG67" s="148" t="s">
        <v>96</v>
      </c>
      <c r="HTH67" s="149">
        <v>45845</v>
      </c>
      <c r="HTI67" s="144" t="s">
        <v>40</v>
      </c>
      <c r="HTJ67" s="200"/>
      <c r="HTK67" s="150" t="s">
        <v>123</v>
      </c>
      <c r="HTL67" s="198"/>
      <c r="HTM67" s="199"/>
      <c r="HTN67" s="144" t="s">
        <v>22</v>
      </c>
      <c r="HTO67" s="145">
        <v>8150</v>
      </c>
      <c r="HTP67" s="153">
        <v>85</v>
      </c>
      <c r="HTQ67" s="154">
        <v>215</v>
      </c>
      <c r="HTR67" s="154">
        <v>75</v>
      </c>
      <c r="HTS67" s="153">
        <v>150</v>
      </c>
      <c r="HTT67" s="155">
        <f>SUM(HTO67:HTS67)</f>
        <v>8675</v>
      </c>
      <c r="HTU67" s="153">
        <v>200</v>
      </c>
      <c r="HTV67" s="155">
        <f>SUM(HTT67:HTU67)</f>
        <v>8875</v>
      </c>
      <c r="HTW67" s="148" t="s">
        <v>96</v>
      </c>
      <c r="HTX67" s="149">
        <v>45845</v>
      </c>
      <c r="HTY67" s="144" t="s">
        <v>40</v>
      </c>
      <c r="HTZ67" s="200"/>
      <c r="HUA67" s="150" t="s">
        <v>123</v>
      </c>
      <c r="HUB67" s="198"/>
      <c r="HUC67" s="199"/>
      <c r="HUD67" s="144" t="s">
        <v>22</v>
      </c>
      <c r="HUE67" s="145">
        <v>8150</v>
      </c>
      <c r="HUF67" s="153">
        <v>85</v>
      </c>
      <c r="HUG67" s="154">
        <v>215</v>
      </c>
      <c r="HUH67" s="154">
        <v>75</v>
      </c>
      <c r="HUI67" s="153">
        <v>150</v>
      </c>
      <c r="HUJ67" s="155">
        <f>SUM(HUE67:HUI67)</f>
        <v>8675</v>
      </c>
      <c r="HUK67" s="153">
        <v>200</v>
      </c>
      <c r="HUL67" s="155">
        <f>SUM(HUJ67:HUK67)</f>
        <v>8875</v>
      </c>
      <c r="HUM67" s="148" t="s">
        <v>96</v>
      </c>
      <c r="HUN67" s="149">
        <v>45845</v>
      </c>
      <c r="HUO67" s="144" t="s">
        <v>40</v>
      </c>
      <c r="HUP67" s="200"/>
      <c r="HUQ67" s="150" t="s">
        <v>123</v>
      </c>
      <c r="HUR67" s="198"/>
      <c r="HUS67" s="199"/>
      <c r="HUT67" s="144" t="s">
        <v>22</v>
      </c>
      <c r="HUU67" s="145">
        <v>8150</v>
      </c>
      <c r="HUV67" s="153">
        <v>85</v>
      </c>
      <c r="HUW67" s="154">
        <v>215</v>
      </c>
      <c r="HUX67" s="154">
        <v>75</v>
      </c>
      <c r="HUY67" s="153">
        <v>150</v>
      </c>
      <c r="HUZ67" s="155">
        <f>SUM(HUU67:HUY67)</f>
        <v>8675</v>
      </c>
      <c r="HVA67" s="153">
        <v>200</v>
      </c>
      <c r="HVB67" s="155">
        <f>SUM(HUZ67:HVA67)</f>
        <v>8875</v>
      </c>
      <c r="HVC67" s="148" t="s">
        <v>96</v>
      </c>
      <c r="HVD67" s="149">
        <v>45845</v>
      </c>
      <c r="HVE67" s="144" t="s">
        <v>40</v>
      </c>
      <c r="HVF67" s="200"/>
      <c r="HVG67" s="150" t="s">
        <v>123</v>
      </c>
      <c r="HVH67" s="198"/>
      <c r="HVI67" s="199"/>
      <c r="HVJ67" s="144" t="s">
        <v>22</v>
      </c>
      <c r="HVK67" s="145">
        <v>8150</v>
      </c>
      <c r="HVL67" s="153">
        <v>85</v>
      </c>
      <c r="HVM67" s="154">
        <v>215</v>
      </c>
      <c r="HVN67" s="154">
        <v>75</v>
      </c>
      <c r="HVO67" s="153">
        <v>150</v>
      </c>
      <c r="HVP67" s="155">
        <f>SUM(HVK67:HVO67)</f>
        <v>8675</v>
      </c>
      <c r="HVQ67" s="153">
        <v>200</v>
      </c>
      <c r="HVR67" s="155">
        <f>SUM(HVP67:HVQ67)</f>
        <v>8875</v>
      </c>
      <c r="HVS67" s="148" t="s">
        <v>96</v>
      </c>
      <c r="HVT67" s="149">
        <v>45845</v>
      </c>
      <c r="HVU67" s="144" t="s">
        <v>40</v>
      </c>
      <c r="HVV67" s="200"/>
      <c r="HVW67" s="150" t="s">
        <v>123</v>
      </c>
      <c r="HVX67" s="198"/>
      <c r="HVY67" s="199"/>
      <c r="HVZ67" s="144" t="s">
        <v>22</v>
      </c>
      <c r="HWA67" s="145">
        <v>8150</v>
      </c>
      <c r="HWB67" s="153">
        <v>85</v>
      </c>
      <c r="HWC67" s="154">
        <v>215</v>
      </c>
      <c r="HWD67" s="154">
        <v>75</v>
      </c>
      <c r="HWE67" s="153">
        <v>150</v>
      </c>
      <c r="HWF67" s="155">
        <f>SUM(HWA67:HWE67)</f>
        <v>8675</v>
      </c>
      <c r="HWG67" s="153">
        <v>200</v>
      </c>
      <c r="HWH67" s="155">
        <f>SUM(HWF67:HWG67)</f>
        <v>8875</v>
      </c>
      <c r="HWI67" s="148" t="s">
        <v>96</v>
      </c>
      <c r="HWJ67" s="149">
        <v>45845</v>
      </c>
      <c r="HWK67" s="144" t="s">
        <v>40</v>
      </c>
      <c r="HWL67" s="200"/>
      <c r="HWM67" s="150" t="s">
        <v>123</v>
      </c>
      <c r="HWN67" s="198"/>
      <c r="HWO67" s="199"/>
      <c r="HWP67" s="144" t="s">
        <v>22</v>
      </c>
      <c r="HWQ67" s="145">
        <v>8150</v>
      </c>
      <c r="HWR67" s="153">
        <v>85</v>
      </c>
      <c r="HWS67" s="154">
        <v>215</v>
      </c>
      <c r="HWT67" s="154">
        <v>75</v>
      </c>
      <c r="HWU67" s="153">
        <v>150</v>
      </c>
      <c r="HWV67" s="155">
        <f>SUM(HWQ67:HWU67)</f>
        <v>8675</v>
      </c>
      <c r="HWW67" s="153">
        <v>200</v>
      </c>
      <c r="HWX67" s="155">
        <f>SUM(HWV67:HWW67)</f>
        <v>8875</v>
      </c>
      <c r="HWY67" s="148" t="s">
        <v>96</v>
      </c>
      <c r="HWZ67" s="149">
        <v>45845</v>
      </c>
      <c r="HXA67" s="144" t="s">
        <v>40</v>
      </c>
      <c r="HXB67" s="200"/>
      <c r="HXC67" s="150" t="s">
        <v>123</v>
      </c>
      <c r="HXD67" s="198"/>
      <c r="HXE67" s="199"/>
      <c r="HXF67" s="144" t="s">
        <v>22</v>
      </c>
      <c r="HXG67" s="145">
        <v>8150</v>
      </c>
      <c r="HXH67" s="153">
        <v>85</v>
      </c>
      <c r="HXI67" s="154">
        <v>215</v>
      </c>
      <c r="HXJ67" s="154">
        <v>75</v>
      </c>
      <c r="HXK67" s="153">
        <v>150</v>
      </c>
      <c r="HXL67" s="155">
        <f>SUM(HXG67:HXK67)</f>
        <v>8675</v>
      </c>
      <c r="HXM67" s="153">
        <v>200</v>
      </c>
      <c r="HXN67" s="155">
        <f>SUM(HXL67:HXM67)</f>
        <v>8875</v>
      </c>
      <c r="HXO67" s="148" t="s">
        <v>96</v>
      </c>
      <c r="HXP67" s="149">
        <v>45845</v>
      </c>
      <c r="HXQ67" s="144" t="s">
        <v>40</v>
      </c>
      <c r="HXR67" s="200"/>
      <c r="HXS67" s="150" t="s">
        <v>123</v>
      </c>
      <c r="HXT67" s="198"/>
      <c r="HXU67" s="199"/>
      <c r="HXV67" s="144" t="s">
        <v>22</v>
      </c>
      <c r="HXW67" s="145">
        <v>8150</v>
      </c>
      <c r="HXX67" s="153">
        <v>85</v>
      </c>
      <c r="HXY67" s="154">
        <v>215</v>
      </c>
      <c r="HXZ67" s="154">
        <v>75</v>
      </c>
      <c r="HYA67" s="153">
        <v>150</v>
      </c>
      <c r="HYB67" s="155">
        <f>SUM(HXW67:HYA67)</f>
        <v>8675</v>
      </c>
      <c r="HYC67" s="153">
        <v>200</v>
      </c>
      <c r="HYD67" s="155">
        <f>SUM(HYB67:HYC67)</f>
        <v>8875</v>
      </c>
      <c r="HYE67" s="148" t="s">
        <v>96</v>
      </c>
      <c r="HYF67" s="149">
        <v>45845</v>
      </c>
      <c r="HYG67" s="144" t="s">
        <v>40</v>
      </c>
      <c r="HYH67" s="200"/>
      <c r="HYI67" s="150" t="s">
        <v>123</v>
      </c>
      <c r="HYJ67" s="198"/>
      <c r="HYK67" s="199"/>
      <c r="HYL67" s="144" t="s">
        <v>22</v>
      </c>
      <c r="HYM67" s="145">
        <v>8150</v>
      </c>
      <c r="HYN67" s="153">
        <v>85</v>
      </c>
      <c r="HYO67" s="154">
        <v>215</v>
      </c>
      <c r="HYP67" s="154">
        <v>75</v>
      </c>
      <c r="HYQ67" s="153">
        <v>150</v>
      </c>
      <c r="HYR67" s="155">
        <f>SUM(HYM67:HYQ67)</f>
        <v>8675</v>
      </c>
      <c r="HYS67" s="153">
        <v>200</v>
      </c>
      <c r="HYT67" s="155">
        <f>SUM(HYR67:HYS67)</f>
        <v>8875</v>
      </c>
      <c r="HYU67" s="148" t="s">
        <v>96</v>
      </c>
      <c r="HYV67" s="149">
        <v>45845</v>
      </c>
      <c r="HYW67" s="144" t="s">
        <v>40</v>
      </c>
      <c r="HYX67" s="200"/>
      <c r="HYY67" s="150" t="s">
        <v>123</v>
      </c>
      <c r="HYZ67" s="198"/>
      <c r="HZA67" s="199"/>
      <c r="HZB67" s="144" t="s">
        <v>22</v>
      </c>
      <c r="HZC67" s="145">
        <v>8150</v>
      </c>
      <c r="HZD67" s="153">
        <v>85</v>
      </c>
      <c r="HZE67" s="154">
        <v>215</v>
      </c>
      <c r="HZF67" s="154">
        <v>75</v>
      </c>
      <c r="HZG67" s="153">
        <v>150</v>
      </c>
      <c r="HZH67" s="155">
        <f>SUM(HZC67:HZG67)</f>
        <v>8675</v>
      </c>
      <c r="HZI67" s="153">
        <v>200</v>
      </c>
      <c r="HZJ67" s="155">
        <f>SUM(HZH67:HZI67)</f>
        <v>8875</v>
      </c>
      <c r="HZK67" s="148" t="s">
        <v>96</v>
      </c>
      <c r="HZL67" s="149">
        <v>45845</v>
      </c>
      <c r="HZM67" s="144" t="s">
        <v>40</v>
      </c>
      <c r="HZN67" s="200"/>
      <c r="HZO67" s="150" t="s">
        <v>123</v>
      </c>
      <c r="HZP67" s="198"/>
      <c r="HZQ67" s="199"/>
      <c r="HZR67" s="144" t="s">
        <v>22</v>
      </c>
      <c r="HZS67" s="145">
        <v>8150</v>
      </c>
      <c r="HZT67" s="153">
        <v>85</v>
      </c>
      <c r="HZU67" s="154">
        <v>215</v>
      </c>
      <c r="HZV67" s="154">
        <v>75</v>
      </c>
      <c r="HZW67" s="153">
        <v>150</v>
      </c>
      <c r="HZX67" s="155">
        <f>SUM(HZS67:HZW67)</f>
        <v>8675</v>
      </c>
      <c r="HZY67" s="153">
        <v>200</v>
      </c>
      <c r="HZZ67" s="155">
        <f>SUM(HZX67:HZY67)</f>
        <v>8875</v>
      </c>
      <c r="IAA67" s="148" t="s">
        <v>96</v>
      </c>
      <c r="IAB67" s="149">
        <v>45845</v>
      </c>
      <c r="IAC67" s="144" t="s">
        <v>40</v>
      </c>
      <c r="IAD67" s="200"/>
      <c r="IAE67" s="150" t="s">
        <v>123</v>
      </c>
      <c r="IAF67" s="198"/>
      <c r="IAG67" s="199"/>
      <c r="IAH67" s="144" t="s">
        <v>22</v>
      </c>
      <c r="IAI67" s="145">
        <v>8150</v>
      </c>
      <c r="IAJ67" s="153">
        <v>85</v>
      </c>
      <c r="IAK67" s="154">
        <v>215</v>
      </c>
      <c r="IAL67" s="154">
        <v>75</v>
      </c>
      <c r="IAM67" s="153">
        <v>150</v>
      </c>
      <c r="IAN67" s="155">
        <f>SUM(IAI67:IAM67)</f>
        <v>8675</v>
      </c>
      <c r="IAO67" s="153">
        <v>200</v>
      </c>
      <c r="IAP67" s="155">
        <f>SUM(IAN67:IAO67)</f>
        <v>8875</v>
      </c>
      <c r="IAQ67" s="148" t="s">
        <v>96</v>
      </c>
      <c r="IAR67" s="149">
        <v>45845</v>
      </c>
      <c r="IAS67" s="144" t="s">
        <v>40</v>
      </c>
      <c r="IAT67" s="200"/>
      <c r="IAU67" s="150" t="s">
        <v>123</v>
      </c>
      <c r="IAV67" s="198"/>
      <c r="IAW67" s="199"/>
      <c r="IAX67" s="144" t="s">
        <v>22</v>
      </c>
      <c r="IAY67" s="145">
        <v>8150</v>
      </c>
      <c r="IAZ67" s="153">
        <v>85</v>
      </c>
      <c r="IBA67" s="154">
        <v>215</v>
      </c>
      <c r="IBB67" s="154">
        <v>75</v>
      </c>
      <c r="IBC67" s="153">
        <v>150</v>
      </c>
      <c r="IBD67" s="155">
        <f>SUM(IAY67:IBC67)</f>
        <v>8675</v>
      </c>
      <c r="IBE67" s="153">
        <v>200</v>
      </c>
      <c r="IBF67" s="155">
        <f>SUM(IBD67:IBE67)</f>
        <v>8875</v>
      </c>
      <c r="IBG67" s="148" t="s">
        <v>96</v>
      </c>
      <c r="IBH67" s="149">
        <v>45845</v>
      </c>
      <c r="IBI67" s="144" t="s">
        <v>40</v>
      </c>
      <c r="IBJ67" s="200"/>
      <c r="IBK67" s="150" t="s">
        <v>123</v>
      </c>
      <c r="IBL67" s="198"/>
      <c r="IBM67" s="199"/>
      <c r="IBN67" s="144" t="s">
        <v>22</v>
      </c>
      <c r="IBO67" s="145">
        <v>8150</v>
      </c>
      <c r="IBP67" s="153">
        <v>85</v>
      </c>
      <c r="IBQ67" s="154">
        <v>215</v>
      </c>
      <c r="IBR67" s="154">
        <v>75</v>
      </c>
      <c r="IBS67" s="153">
        <v>150</v>
      </c>
      <c r="IBT67" s="155">
        <f>SUM(IBO67:IBS67)</f>
        <v>8675</v>
      </c>
      <c r="IBU67" s="153">
        <v>200</v>
      </c>
      <c r="IBV67" s="155">
        <f>SUM(IBT67:IBU67)</f>
        <v>8875</v>
      </c>
      <c r="IBW67" s="148" t="s">
        <v>96</v>
      </c>
      <c r="IBX67" s="149">
        <v>45845</v>
      </c>
      <c r="IBY67" s="144" t="s">
        <v>40</v>
      </c>
      <c r="IBZ67" s="200"/>
      <c r="ICA67" s="150" t="s">
        <v>123</v>
      </c>
      <c r="ICB67" s="198"/>
      <c r="ICC67" s="199"/>
      <c r="ICD67" s="144" t="s">
        <v>22</v>
      </c>
      <c r="ICE67" s="145">
        <v>8150</v>
      </c>
      <c r="ICF67" s="153">
        <v>85</v>
      </c>
      <c r="ICG67" s="154">
        <v>215</v>
      </c>
      <c r="ICH67" s="154">
        <v>75</v>
      </c>
      <c r="ICI67" s="153">
        <v>150</v>
      </c>
      <c r="ICJ67" s="155">
        <f>SUM(ICE67:ICI67)</f>
        <v>8675</v>
      </c>
      <c r="ICK67" s="153">
        <v>200</v>
      </c>
      <c r="ICL67" s="155">
        <f>SUM(ICJ67:ICK67)</f>
        <v>8875</v>
      </c>
      <c r="ICM67" s="148" t="s">
        <v>96</v>
      </c>
      <c r="ICN67" s="149">
        <v>45845</v>
      </c>
      <c r="ICO67" s="144" t="s">
        <v>40</v>
      </c>
      <c r="ICP67" s="200"/>
      <c r="ICQ67" s="150" t="s">
        <v>123</v>
      </c>
      <c r="ICR67" s="198"/>
      <c r="ICS67" s="199"/>
      <c r="ICT67" s="144" t="s">
        <v>22</v>
      </c>
      <c r="ICU67" s="145">
        <v>8150</v>
      </c>
      <c r="ICV67" s="153">
        <v>85</v>
      </c>
      <c r="ICW67" s="154">
        <v>215</v>
      </c>
      <c r="ICX67" s="154">
        <v>75</v>
      </c>
      <c r="ICY67" s="153">
        <v>150</v>
      </c>
      <c r="ICZ67" s="155">
        <f>SUM(ICU67:ICY67)</f>
        <v>8675</v>
      </c>
      <c r="IDA67" s="153">
        <v>200</v>
      </c>
      <c r="IDB67" s="155">
        <f>SUM(ICZ67:IDA67)</f>
        <v>8875</v>
      </c>
      <c r="IDC67" s="148" t="s">
        <v>96</v>
      </c>
      <c r="IDD67" s="149">
        <v>45845</v>
      </c>
      <c r="IDE67" s="144" t="s">
        <v>40</v>
      </c>
      <c r="IDF67" s="200"/>
      <c r="IDG67" s="150" t="s">
        <v>123</v>
      </c>
      <c r="IDH67" s="198"/>
      <c r="IDI67" s="199"/>
      <c r="IDJ67" s="144" t="s">
        <v>22</v>
      </c>
      <c r="IDK67" s="145">
        <v>8150</v>
      </c>
      <c r="IDL67" s="153">
        <v>85</v>
      </c>
      <c r="IDM67" s="154">
        <v>215</v>
      </c>
      <c r="IDN67" s="154">
        <v>75</v>
      </c>
      <c r="IDO67" s="153">
        <v>150</v>
      </c>
      <c r="IDP67" s="155">
        <f>SUM(IDK67:IDO67)</f>
        <v>8675</v>
      </c>
      <c r="IDQ67" s="153">
        <v>200</v>
      </c>
      <c r="IDR67" s="155">
        <f>SUM(IDP67:IDQ67)</f>
        <v>8875</v>
      </c>
      <c r="IDS67" s="148" t="s">
        <v>96</v>
      </c>
      <c r="IDT67" s="149">
        <v>45845</v>
      </c>
      <c r="IDU67" s="144" t="s">
        <v>40</v>
      </c>
      <c r="IDV67" s="200"/>
      <c r="IDW67" s="150" t="s">
        <v>123</v>
      </c>
      <c r="IDX67" s="198"/>
      <c r="IDY67" s="199"/>
      <c r="IDZ67" s="144" t="s">
        <v>22</v>
      </c>
      <c r="IEA67" s="145">
        <v>8150</v>
      </c>
      <c r="IEB67" s="153">
        <v>85</v>
      </c>
      <c r="IEC67" s="154">
        <v>215</v>
      </c>
      <c r="IED67" s="154">
        <v>75</v>
      </c>
      <c r="IEE67" s="153">
        <v>150</v>
      </c>
      <c r="IEF67" s="155">
        <f>SUM(IEA67:IEE67)</f>
        <v>8675</v>
      </c>
      <c r="IEG67" s="153">
        <v>200</v>
      </c>
      <c r="IEH67" s="155">
        <f>SUM(IEF67:IEG67)</f>
        <v>8875</v>
      </c>
      <c r="IEI67" s="148" t="s">
        <v>96</v>
      </c>
      <c r="IEJ67" s="149">
        <v>45845</v>
      </c>
      <c r="IEK67" s="144" t="s">
        <v>40</v>
      </c>
      <c r="IEL67" s="200"/>
      <c r="IEM67" s="150" t="s">
        <v>123</v>
      </c>
      <c r="IEN67" s="198"/>
      <c r="IEO67" s="199"/>
      <c r="IEP67" s="144" t="s">
        <v>22</v>
      </c>
      <c r="IEQ67" s="145">
        <v>8150</v>
      </c>
      <c r="IER67" s="153">
        <v>85</v>
      </c>
      <c r="IES67" s="154">
        <v>215</v>
      </c>
      <c r="IET67" s="154">
        <v>75</v>
      </c>
      <c r="IEU67" s="153">
        <v>150</v>
      </c>
      <c r="IEV67" s="155">
        <f>SUM(IEQ67:IEU67)</f>
        <v>8675</v>
      </c>
      <c r="IEW67" s="153">
        <v>200</v>
      </c>
      <c r="IEX67" s="155">
        <f>SUM(IEV67:IEW67)</f>
        <v>8875</v>
      </c>
      <c r="IEY67" s="148" t="s">
        <v>96</v>
      </c>
      <c r="IEZ67" s="149">
        <v>45845</v>
      </c>
      <c r="IFA67" s="144" t="s">
        <v>40</v>
      </c>
      <c r="IFB67" s="200"/>
      <c r="IFC67" s="150" t="s">
        <v>123</v>
      </c>
      <c r="IFD67" s="198"/>
      <c r="IFE67" s="199"/>
      <c r="IFF67" s="144" t="s">
        <v>22</v>
      </c>
      <c r="IFG67" s="145">
        <v>8150</v>
      </c>
      <c r="IFH67" s="153">
        <v>85</v>
      </c>
      <c r="IFI67" s="154">
        <v>215</v>
      </c>
      <c r="IFJ67" s="154">
        <v>75</v>
      </c>
      <c r="IFK67" s="153">
        <v>150</v>
      </c>
      <c r="IFL67" s="155">
        <f>SUM(IFG67:IFK67)</f>
        <v>8675</v>
      </c>
      <c r="IFM67" s="153">
        <v>200</v>
      </c>
      <c r="IFN67" s="155">
        <f>SUM(IFL67:IFM67)</f>
        <v>8875</v>
      </c>
      <c r="IFO67" s="148" t="s">
        <v>96</v>
      </c>
      <c r="IFP67" s="149">
        <v>45845</v>
      </c>
      <c r="IFQ67" s="144" t="s">
        <v>40</v>
      </c>
      <c r="IFR67" s="200"/>
      <c r="IFS67" s="150" t="s">
        <v>123</v>
      </c>
      <c r="IFT67" s="198"/>
      <c r="IFU67" s="199"/>
      <c r="IFV67" s="144" t="s">
        <v>22</v>
      </c>
      <c r="IFW67" s="145">
        <v>8150</v>
      </c>
      <c r="IFX67" s="153">
        <v>85</v>
      </c>
      <c r="IFY67" s="154">
        <v>215</v>
      </c>
      <c r="IFZ67" s="154">
        <v>75</v>
      </c>
      <c r="IGA67" s="153">
        <v>150</v>
      </c>
      <c r="IGB67" s="155">
        <f>SUM(IFW67:IGA67)</f>
        <v>8675</v>
      </c>
      <c r="IGC67" s="153">
        <v>200</v>
      </c>
      <c r="IGD67" s="155">
        <f>SUM(IGB67:IGC67)</f>
        <v>8875</v>
      </c>
      <c r="IGE67" s="148" t="s">
        <v>96</v>
      </c>
      <c r="IGF67" s="149">
        <v>45845</v>
      </c>
      <c r="IGG67" s="144" t="s">
        <v>40</v>
      </c>
      <c r="IGH67" s="200"/>
      <c r="IGI67" s="150" t="s">
        <v>123</v>
      </c>
      <c r="IGJ67" s="198"/>
      <c r="IGK67" s="199"/>
      <c r="IGL67" s="144" t="s">
        <v>22</v>
      </c>
      <c r="IGM67" s="145">
        <v>8150</v>
      </c>
      <c r="IGN67" s="153">
        <v>85</v>
      </c>
      <c r="IGO67" s="154">
        <v>215</v>
      </c>
      <c r="IGP67" s="154">
        <v>75</v>
      </c>
      <c r="IGQ67" s="153">
        <v>150</v>
      </c>
      <c r="IGR67" s="155">
        <f>SUM(IGM67:IGQ67)</f>
        <v>8675</v>
      </c>
      <c r="IGS67" s="153">
        <v>200</v>
      </c>
      <c r="IGT67" s="155">
        <f>SUM(IGR67:IGS67)</f>
        <v>8875</v>
      </c>
      <c r="IGU67" s="148" t="s">
        <v>96</v>
      </c>
      <c r="IGV67" s="149">
        <v>45845</v>
      </c>
      <c r="IGW67" s="144" t="s">
        <v>40</v>
      </c>
      <c r="IGX67" s="200"/>
      <c r="IGY67" s="150" t="s">
        <v>123</v>
      </c>
      <c r="IGZ67" s="198"/>
      <c r="IHA67" s="199"/>
      <c r="IHB67" s="144" t="s">
        <v>22</v>
      </c>
      <c r="IHC67" s="145">
        <v>8150</v>
      </c>
      <c r="IHD67" s="153">
        <v>85</v>
      </c>
      <c r="IHE67" s="154">
        <v>215</v>
      </c>
      <c r="IHF67" s="154">
        <v>75</v>
      </c>
      <c r="IHG67" s="153">
        <v>150</v>
      </c>
      <c r="IHH67" s="155">
        <f>SUM(IHC67:IHG67)</f>
        <v>8675</v>
      </c>
      <c r="IHI67" s="153">
        <v>200</v>
      </c>
      <c r="IHJ67" s="155">
        <f>SUM(IHH67:IHI67)</f>
        <v>8875</v>
      </c>
      <c r="IHK67" s="148" t="s">
        <v>96</v>
      </c>
      <c r="IHL67" s="149">
        <v>45845</v>
      </c>
      <c r="IHM67" s="144" t="s">
        <v>40</v>
      </c>
      <c r="IHN67" s="200"/>
      <c r="IHO67" s="150" t="s">
        <v>123</v>
      </c>
      <c r="IHP67" s="198"/>
      <c r="IHQ67" s="199"/>
      <c r="IHR67" s="144" t="s">
        <v>22</v>
      </c>
      <c r="IHS67" s="145">
        <v>8150</v>
      </c>
      <c r="IHT67" s="153">
        <v>85</v>
      </c>
      <c r="IHU67" s="154">
        <v>215</v>
      </c>
      <c r="IHV67" s="154">
        <v>75</v>
      </c>
      <c r="IHW67" s="153">
        <v>150</v>
      </c>
      <c r="IHX67" s="155">
        <f>SUM(IHS67:IHW67)</f>
        <v>8675</v>
      </c>
      <c r="IHY67" s="153">
        <v>200</v>
      </c>
      <c r="IHZ67" s="155">
        <f>SUM(IHX67:IHY67)</f>
        <v>8875</v>
      </c>
      <c r="IIA67" s="148" t="s">
        <v>96</v>
      </c>
      <c r="IIB67" s="149">
        <v>45845</v>
      </c>
      <c r="IIC67" s="144" t="s">
        <v>40</v>
      </c>
      <c r="IID67" s="200"/>
      <c r="IIE67" s="150" t="s">
        <v>123</v>
      </c>
      <c r="IIF67" s="198"/>
      <c r="IIG67" s="199"/>
      <c r="IIH67" s="144" t="s">
        <v>22</v>
      </c>
      <c r="III67" s="145">
        <v>8150</v>
      </c>
      <c r="IIJ67" s="153">
        <v>85</v>
      </c>
      <c r="IIK67" s="154">
        <v>215</v>
      </c>
      <c r="IIL67" s="154">
        <v>75</v>
      </c>
      <c r="IIM67" s="153">
        <v>150</v>
      </c>
      <c r="IIN67" s="155">
        <f>SUM(III67:IIM67)</f>
        <v>8675</v>
      </c>
      <c r="IIO67" s="153">
        <v>200</v>
      </c>
      <c r="IIP67" s="155">
        <f>SUM(IIN67:IIO67)</f>
        <v>8875</v>
      </c>
      <c r="IIQ67" s="148" t="s">
        <v>96</v>
      </c>
      <c r="IIR67" s="149">
        <v>45845</v>
      </c>
      <c r="IIS67" s="144" t="s">
        <v>40</v>
      </c>
      <c r="IIT67" s="200"/>
      <c r="IIU67" s="150" t="s">
        <v>123</v>
      </c>
      <c r="IIV67" s="198"/>
      <c r="IIW67" s="199"/>
      <c r="IIX67" s="144" t="s">
        <v>22</v>
      </c>
      <c r="IIY67" s="145">
        <v>8150</v>
      </c>
      <c r="IIZ67" s="153">
        <v>85</v>
      </c>
      <c r="IJA67" s="154">
        <v>215</v>
      </c>
      <c r="IJB67" s="154">
        <v>75</v>
      </c>
      <c r="IJC67" s="153">
        <v>150</v>
      </c>
      <c r="IJD67" s="155">
        <f>SUM(IIY67:IJC67)</f>
        <v>8675</v>
      </c>
      <c r="IJE67" s="153">
        <v>200</v>
      </c>
      <c r="IJF67" s="155">
        <f>SUM(IJD67:IJE67)</f>
        <v>8875</v>
      </c>
      <c r="IJG67" s="148" t="s">
        <v>96</v>
      </c>
      <c r="IJH67" s="149">
        <v>45845</v>
      </c>
      <c r="IJI67" s="144" t="s">
        <v>40</v>
      </c>
      <c r="IJJ67" s="200"/>
      <c r="IJK67" s="150" t="s">
        <v>123</v>
      </c>
      <c r="IJL67" s="198"/>
      <c r="IJM67" s="199"/>
      <c r="IJN67" s="144" t="s">
        <v>22</v>
      </c>
      <c r="IJO67" s="145">
        <v>8150</v>
      </c>
      <c r="IJP67" s="153">
        <v>85</v>
      </c>
      <c r="IJQ67" s="154">
        <v>215</v>
      </c>
      <c r="IJR67" s="154">
        <v>75</v>
      </c>
      <c r="IJS67" s="153">
        <v>150</v>
      </c>
      <c r="IJT67" s="155">
        <f>SUM(IJO67:IJS67)</f>
        <v>8675</v>
      </c>
      <c r="IJU67" s="153">
        <v>200</v>
      </c>
      <c r="IJV67" s="155">
        <f>SUM(IJT67:IJU67)</f>
        <v>8875</v>
      </c>
      <c r="IJW67" s="148" t="s">
        <v>96</v>
      </c>
      <c r="IJX67" s="149">
        <v>45845</v>
      </c>
      <c r="IJY67" s="144" t="s">
        <v>40</v>
      </c>
      <c r="IJZ67" s="200"/>
      <c r="IKA67" s="150" t="s">
        <v>123</v>
      </c>
      <c r="IKB67" s="198"/>
      <c r="IKC67" s="199"/>
      <c r="IKD67" s="144" t="s">
        <v>22</v>
      </c>
      <c r="IKE67" s="145">
        <v>8150</v>
      </c>
      <c r="IKF67" s="153">
        <v>85</v>
      </c>
      <c r="IKG67" s="154">
        <v>215</v>
      </c>
      <c r="IKH67" s="154">
        <v>75</v>
      </c>
      <c r="IKI67" s="153">
        <v>150</v>
      </c>
      <c r="IKJ67" s="155">
        <f>SUM(IKE67:IKI67)</f>
        <v>8675</v>
      </c>
      <c r="IKK67" s="153">
        <v>200</v>
      </c>
      <c r="IKL67" s="155">
        <f>SUM(IKJ67:IKK67)</f>
        <v>8875</v>
      </c>
      <c r="IKM67" s="148" t="s">
        <v>96</v>
      </c>
      <c r="IKN67" s="149">
        <v>45845</v>
      </c>
      <c r="IKO67" s="144" t="s">
        <v>40</v>
      </c>
      <c r="IKP67" s="200"/>
      <c r="IKQ67" s="150" t="s">
        <v>123</v>
      </c>
      <c r="IKR67" s="198"/>
      <c r="IKS67" s="199"/>
      <c r="IKT67" s="144" t="s">
        <v>22</v>
      </c>
      <c r="IKU67" s="145">
        <v>8150</v>
      </c>
      <c r="IKV67" s="153">
        <v>85</v>
      </c>
      <c r="IKW67" s="154">
        <v>215</v>
      </c>
      <c r="IKX67" s="154">
        <v>75</v>
      </c>
      <c r="IKY67" s="153">
        <v>150</v>
      </c>
      <c r="IKZ67" s="155">
        <f>SUM(IKU67:IKY67)</f>
        <v>8675</v>
      </c>
      <c r="ILA67" s="153">
        <v>200</v>
      </c>
      <c r="ILB67" s="155">
        <f>SUM(IKZ67:ILA67)</f>
        <v>8875</v>
      </c>
      <c r="ILC67" s="148" t="s">
        <v>96</v>
      </c>
      <c r="ILD67" s="149">
        <v>45845</v>
      </c>
      <c r="ILE67" s="144" t="s">
        <v>40</v>
      </c>
      <c r="ILF67" s="200"/>
      <c r="ILG67" s="150" t="s">
        <v>123</v>
      </c>
      <c r="ILH67" s="198"/>
      <c r="ILI67" s="199"/>
      <c r="ILJ67" s="144" t="s">
        <v>22</v>
      </c>
      <c r="ILK67" s="145">
        <v>8150</v>
      </c>
      <c r="ILL67" s="153">
        <v>85</v>
      </c>
      <c r="ILM67" s="154">
        <v>215</v>
      </c>
      <c r="ILN67" s="154">
        <v>75</v>
      </c>
      <c r="ILO67" s="153">
        <v>150</v>
      </c>
      <c r="ILP67" s="155">
        <f>SUM(ILK67:ILO67)</f>
        <v>8675</v>
      </c>
      <c r="ILQ67" s="153">
        <v>200</v>
      </c>
      <c r="ILR67" s="155">
        <f>SUM(ILP67:ILQ67)</f>
        <v>8875</v>
      </c>
      <c r="ILS67" s="148" t="s">
        <v>96</v>
      </c>
      <c r="ILT67" s="149">
        <v>45845</v>
      </c>
      <c r="ILU67" s="144" t="s">
        <v>40</v>
      </c>
      <c r="ILV67" s="200"/>
      <c r="ILW67" s="150" t="s">
        <v>123</v>
      </c>
      <c r="ILX67" s="198"/>
      <c r="ILY67" s="199"/>
      <c r="ILZ67" s="144" t="s">
        <v>22</v>
      </c>
      <c r="IMA67" s="145">
        <v>8150</v>
      </c>
      <c r="IMB67" s="153">
        <v>85</v>
      </c>
      <c r="IMC67" s="154">
        <v>215</v>
      </c>
      <c r="IMD67" s="154">
        <v>75</v>
      </c>
      <c r="IME67" s="153">
        <v>150</v>
      </c>
      <c r="IMF67" s="155">
        <f>SUM(IMA67:IME67)</f>
        <v>8675</v>
      </c>
      <c r="IMG67" s="153">
        <v>200</v>
      </c>
      <c r="IMH67" s="155">
        <f>SUM(IMF67:IMG67)</f>
        <v>8875</v>
      </c>
      <c r="IMI67" s="148" t="s">
        <v>96</v>
      </c>
      <c r="IMJ67" s="149">
        <v>45845</v>
      </c>
      <c r="IMK67" s="144" t="s">
        <v>40</v>
      </c>
      <c r="IML67" s="200"/>
      <c r="IMM67" s="150" t="s">
        <v>123</v>
      </c>
      <c r="IMN67" s="198"/>
      <c r="IMO67" s="199"/>
      <c r="IMP67" s="144" t="s">
        <v>22</v>
      </c>
      <c r="IMQ67" s="145">
        <v>8150</v>
      </c>
      <c r="IMR67" s="153">
        <v>85</v>
      </c>
      <c r="IMS67" s="154">
        <v>215</v>
      </c>
      <c r="IMT67" s="154">
        <v>75</v>
      </c>
      <c r="IMU67" s="153">
        <v>150</v>
      </c>
      <c r="IMV67" s="155">
        <f>SUM(IMQ67:IMU67)</f>
        <v>8675</v>
      </c>
      <c r="IMW67" s="153">
        <v>200</v>
      </c>
      <c r="IMX67" s="155">
        <f>SUM(IMV67:IMW67)</f>
        <v>8875</v>
      </c>
      <c r="IMY67" s="148" t="s">
        <v>96</v>
      </c>
      <c r="IMZ67" s="149">
        <v>45845</v>
      </c>
      <c r="INA67" s="144" t="s">
        <v>40</v>
      </c>
      <c r="INB67" s="200"/>
      <c r="INC67" s="150" t="s">
        <v>123</v>
      </c>
      <c r="IND67" s="198"/>
      <c r="INE67" s="199"/>
      <c r="INF67" s="144" t="s">
        <v>22</v>
      </c>
      <c r="ING67" s="145">
        <v>8150</v>
      </c>
      <c r="INH67" s="153">
        <v>85</v>
      </c>
      <c r="INI67" s="154">
        <v>215</v>
      </c>
      <c r="INJ67" s="154">
        <v>75</v>
      </c>
      <c r="INK67" s="153">
        <v>150</v>
      </c>
      <c r="INL67" s="155">
        <f>SUM(ING67:INK67)</f>
        <v>8675</v>
      </c>
      <c r="INM67" s="153">
        <v>200</v>
      </c>
      <c r="INN67" s="155">
        <f>SUM(INL67:INM67)</f>
        <v>8875</v>
      </c>
      <c r="INO67" s="148" t="s">
        <v>96</v>
      </c>
      <c r="INP67" s="149">
        <v>45845</v>
      </c>
      <c r="INQ67" s="144" t="s">
        <v>40</v>
      </c>
      <c r="INR67" s="200"/>
      <c r="INS67" s="150" t="s">
        <v>123</v>
      </c>
      <c r="INT67" s="198"/>
      <c r="INU67" s="199"/>
      <c r="INV67" s="144" t="s">
        <v>22</v>
      </c>
      <c r="INW67" s="145">
        <v>8150</v>
      </c>
      <c r="INX67" s="153">
        <v>85</v>
      </c>
      <c r="INY67" s="154">
        <v>215</v>
      </c>
      <c r="INZ67" s="154">
        <v>75</v>
      </c>
      <c r="IOA67" s="153">
        <v>150</v>
      </c>
      <c r="IOB67" s="155">
        <f>SUM(INW67:IOA67)</f>
        <v>8675</v>
      </c>
      <c r="IOC67" s="153">
        <v>200</v>
      </c>
      <c r="IOD67" s="155">
        <f>SUM(IOB67:IOC67)</f>
        <v>8875</v>
      </c>
      <c r="IOE67" s="148" t="s">
        <v>96</v>
      </c>
      <c r="IOF67" s="149">
        <v>45845</v>
      </c>
      <c r="IOG67" s="144" t="s">
        <v>40</v>
      </c>
      <c r="IOH67" s="200"/>
      <c r="IOI67" s="150" t="s">
        <v>123</v>
      </c>
      <c r="IOJ67" s="198"/>
      <c r="IOK67" s="199"/>
      <c r="IOL67" s="144" t="s">
        <v>22</v>
      </c>
      <c r="IOM67" s="145">
        <v>8150</v>
      </c>
      <c r="ION67" s="153">
        <v>85</v>
      </c>
      <c r="IOO67" s="154">
        <v>215</v>
      </c>
      <c r="IOP67" s="154">
        <v>75</v>
      </c>
      <c r="IOQ67" s="153">
        <v>150</v>
      </c>
      <c r="IOR67" s="155">
        <f>SUM(IOM67:IOQ67)</f>
        <v>8675</v>
      </c>
      <c r="IOS67" s="153">
        <v>200</v>
      </c>
      <c r="IOT67" s="155">
        <f>SUM(IOR67:IOS67)</f>
        <v>8875</v>
      </c>
      <c r="IOU67" s="148" t="s">
        <v>96</v>
      </c>
      <c r="IOV67" s="149">
        <v>45845</v>
      </c>
      <c r="IOW67" s="144" t="s">
        <v>40</v>
      </c>
      <c r="IOX67" s="200"/>
      <c r="IOY67" s="150" t="s">
        <v>123</v>
      </c>
      <c r="IOZ67" s="198"/>
      <c r="IPA67" s="199"/>
      <c r="IPB67" s="144" t="s">
        <v>22</v>
      </c>
      <c r="IPC67" s="145">
        <v>8150</v>
      </c>
      <c r="IPD67" s="153">
        <v>85</v>
      </c>
      <c r="IPE67" s="154">
        <v>215</v>
      </c>
      <c r="IPF67" s="154">
        <v>75</v>
      </c>
      <c r="IPG67" s="153">
        <v>150</v>
      </c>
      <c r="IPH67" s="155">
        <f>SUM(IPC67:IPG67)</f>
        <v>8675</v>
      </c>
      <c r="IPI67" s="153">
        <v>200</v>
      </c>
      <c r="IPJ67" s="155">
        <f>SUM(IPH67:IPI67)</f>
        <v>8875</v>
      </c>
      <c r="IPK67" s="148" t="s">
        <v>96</v>
      </c>
      <c r="IPL67" s="149">
        <v>45845</v>
      </c>
      <c r="IPM67" s="144" t="s">
        <v>40</v>
      </c>
      <c r="IPN67" s="200"/>
      <c r="IPO67" s="150" t="s">
        <v>123</v>
      </c>
      <c r="IPP67" s="198"/>
      <c r="IPQ67" s="199"/>
      <c r="IPR67" s="144" t="s">
        <v>22</v>
      </c>
      <c r="IPS67" s="145">
        <v>8150</v>
      </c>
      <c r="IPT67" s="153">
        <v>85</v>
      </c>
      <c r="IPU67" s="154">
        <v>215</v>
      </c>
      <c r="IPV67" s="154">
        <v>75</v>
      </c>
      <c r="IPW67" s="153">
        <v>150</v>
      </c>
      <c r="IPX67" s="155">
        <f>SUM(IPS67:IPW67)</f>
        <v>8675</v>
      </c>
      <c r="IPY67" s="153">
        <v>200</v>
      </c>
      <c r="IPZ67" s="155">
        <f>SUM(IPX67:IPY67)</f>
        <v>8875</v>
      </c>
      <c r="IQA67" s="148" t="s">
        <v>96</v>
      </c>
      <c r="IQB67" s="149">
        <v>45845</v>
      </c>
      <c r="IQC67" s="144" t="s">
        <v>40</v>
      </c>
      <c r="IQD67" s="200"/>
      <c r="IQE67" s="150" t="s">
        <v>123</v>
      </c>
      <c r="IQF67" s="198"/>
      <c r="IQG67" s="199"/>
      <c r="IQH67" s="144" t="s">
        <v>22</v>
      </c>
      <c r="IQI67" s="145">
        <v>8150</v>
      </c>
      <c r="IQJ67" s="153">
        <v>85</v>
      </c>
      <c r="IQK67" s="154">
        <v>215</v>
      </c>
      <c r="IQL67" s="154">
        <v>75</v>
      </c>
      <c r="IQM67" s="153">
        <v>150</v>
      </c>
      <c r="IQN67" s="155">
        <f>SUM(IQI67:IQM67)</f>
        <v>8675</v>
      </c>
      <c r="IQO67" s="153">
        <v>200</v>
      </c>
      <c r="IQP67" s="155">
        <f>SUM(IQN67:IQO67)</f>
        <v>8875</v>
      </c>
      <c r="IQQ67" s="148" t="s">
        <v>96</v>
      </c>
      <c r="IQR67" s="149">
        <v>45845</v>
      </c>
      <c r="IQS67" s="144" t="s">
        <v>40</v>
      </c>
      <c r="IQT67" s="200"/>
      <c r="IQU67" s="150" t="s">
        <v>123</v>
      </c>
      <c r="IQV67" s="198"/>
      <c r="IQW67" s="199"/>
      <c r="IQX67" s="144" t="s">
        <v>22</v>
      </c>
      <c r="IQY67" s="145">
        <v>8150</v>
      </c>
      <c r="IQZ67" s="153">
        <v>85</v>
      </c>
      <c r="IRA67" s="154">
        <v>215</v>
      </c>
      <c r="IRB67" s="154">
        <v>75</v>
      </c>
      <c r="IRC67" s="153">
        <v>150</v>
      </c>
      <c r="IRD67" s="155">
        <f>SUM(IQY67:IRC67)</f>
        <v>8675</v>
      </c>
      <c r="IRE67" s="153">
        <v>200</v>
      </c>
      <c r="IRF67" s="155">
        <f>SUM(IRD67:IRE67)</f>
        <v>8875</v>
      </c>
      <c r="IRG67" s="148" t="s">
        <v>96</v>
      </c>
      <c r="IRH67" s="149">
        <v>45845</v>
      </c>
      <c r="IRI67" s="144" t="s">
        <v>40</v>
      </c>
      <c r="IRJ67" s="200"/>
      <c r="IRK67" s="150" t="s">
        <v>123</v>
      </c>
      <c r="IRL67" s="198"/>
      <c r="IRM67" s="199"/>
      <c r="IRN67" s="144" t="s">
        <v>22</v>
      </c>
      <c r="IRO67" s="145">
        <v>8150</v>
      </c>
      <c r="IRP67" s="153">
        <v>85</v>
      </c>
      <c r="IRQ67" s="154">
        <v>215</v>
      </c>
      <c r="IRR67" s="154">
        <v>75</v>
      </c>
      <c r="IRS67" s="153">
        <v>150</v>
      </c>
      <c r="IRT67" s="155">
        <f>SUM(IRO67:IRS67)</f>
        <v>8675</v>
      </c>
      <c r="IRU67" s="153">
        <v>200</v>
      </c>
      <c r="IRV67" s="155">
        <f>SUM(IRT67:IRU67)</f>
        <v>8875</v>
      </c>
      <c r="IRW67" s="148" t="s">
        <v>96</v>
      </c>
      <c r="IRX67" s="149">
        <v>45845</v>
      </c>
      <c r="IRY67" s="144" t="s">
        <v>40</v>
      </c>
      <c r="IRZ67" s="200"/>
      <c r="ISA67" s="150" t="s">
        <v>123</v>
      </c>
      <c r="ISB67" s="198"/>
      <c r="ISC67" s="199"/>
      <c r="ISD67" s="144" t="s">
        <v>22</v>
      </c>
      <c r="ISE67" s="145">
        <v>8150</v>
      </c>
      <c r="ISF67" s="153">
        <v>85</v>
      </c>
      <c r="ISG67" s="154">
        <v>215</v>
      </c>
      <c r="ISH67" s="154">
        <v>75</v>
      </c>
      <c r="ISI67" s="153">
        <v>150</v>
      </c>
      <c r="ISJ67" s="155">
        <f>SUM(ISE67:ISI67)</f>
        <v>8675</v>
      </c>
      <c r="ISK67" s="153">
        <v>200</v>
      </c>
      <c r="ISL67" s="155">
        <f>SUM(ISJ67:ISK67)</f>
        <v>8875</v>
      </c>
      <c r="ISM67" s="148" t="s">
        <v>96</v>
      </c>
      <c r="ISN67" s="149">
        <v>45845</v>
      </c>
      <c r="ISO67" s="144" t="s">
        <v>40</v>
      </c>
      <c r="ISP67" s="200"/>
      <c r="ISQ67" s="150" t="s">
        <v>123</v>
      </c>
      <c r="ISR67" s="198"/>
      <c r="ISS67" s="199"/>
      <c r="IST67" s="144" t="s">
        <v>22</v>
      </c>
      <c r="ISU67" s="145">
        <v>8150</v>
      </c>
      <c r="ISV67" s="153">
        <v>85</v>
      </c>
      <c r="ISW67" s="154">
        <v>215</v>
      </c>
      <c r="ISX67" s="154">
        <v>75</v>
      </c>
      <c r="ISY67" s="153">
        <v>150</v>
      </c>
      <c r="ISZ67" s="155">
        <f>SUM(ISU67:ISY67)</f>
        <v>8675</v>
      </c>
      <c r="ITA67" s="153">
        <v>200</v>
      </c>
      <c r="ITB67" s="155">
        <f>SUM(ISZ67:ITA67)</f>
        <v>8875</v>
      </c>
      <c r="ITC67" s="148" t="s">
        <v>96</v>
      </c>
      <c r="ITD67" s="149">
        <v>45845</v>
      </c>
      <c r="ITE67" s="144" t="s">
        <v>40</v>
      </c>
      <c r="ITF67" s="200"/>
      <c r="ITG67" s="150" t="s">
        <v>123</v>
      </c>
      <c r="ITH67" s="198"/>
      <c r="ITI67" s="199"/>
      <c r="ITJ67" s="144" t="s">
        <v>22</v>
      </c>
      <c r="ITK67" s="145">
        <v>8150</v>
      </c>
      <c r="ITL67" s="153">
        <v>85</v>
      </c>
      <c r="ITM67" s="154">
        <v>215</v>
      </c>
      <c r="ITN67" s="154">
        <v>75</v>
      </c>
      <c r="ITO67" s="153">
        <v>150</v>
      </c>
      <c r="ITP67" s="155">
        <f>SUM(ITK67:ITO67)</f>
        <v>8675</v>
      </c>
      <c r="ITQ67" s="153">
        <v>200</v>
      </c>
      <c r="ITR67" s="155">
        <f>SUM(ITP67:ITQ67)</f>
        <v>8875</v>
      </c>
      <c r="ITS67" s="148" t="s">
        <v>96</v>
      </c>
      <c r="ITT67" s="149">
        <v>45845</v>
      </c>
      <c r="ITU67" s="144" t="s">
        <v>40</v>
      </c>
      <c r="ITV67" s="200"/>
      <c r="ITW67" s="150" t="s">
        <v>123</v>
      </c>
      <c r="ITX67" s="198"/>
      <c r="ITY67" s="199"/>
      <c r="ITZ67" s="144" t="s">
        <v>22</v>
      </c>
      <c r="IUA67" s="145">
        <v>8150</v>
      </c>
      <c r="IUB67" s="153">
        <v>85</v>
      </c>
      <c r="IUC67" s="154">
        <v>215</v>
      </c>
      <c r="IUD67" s="154">
        <v>75</v>
      </c>
      <c r="IUE67" s="153">
        <v>150</v>
      </c>
      <c r="IUF67" s="155">
        <f>SUM(IUA67:IUE67)</f>
        <v>8675</v>
      </c>
      <c r="IUG67" s="153">
        <v>200</v>
      </c>
      <c r="IUH67" s="155">
        <f>SUM(IUF67:IUG67)</f>
        <v>8875</v>
      </c>
      <c r="IUI67" s="148" t="s">
        <v>96</v>
      </c>
      <c r="IUJ67" s="149">
        <v>45845</v>
      </c>
      <c r="IUK67" s="144" t="s">
        <v>40</v>
      </c>
      <c r="IUL67" s="200"/>
      <c r="IUM67" s="150" t="s">
        <v>123</v>
      </c>
      <c r="IUN67" s="198"/>
      <c r="IUO67" s="199"/>
      <c r="IUP67" s="144" t="s">
        <v>22</v>
      </c>
      <c r="IUQ67" s="145">
        <v>8150</v>
      </c>
      <c r="IUR67" s="153">
        <v>85</v>
      </c>
      <c r="IUS67" s="154">
        <v>215</v>
      </c>
      <c r="IUT67" s="154">
        <v>75</v>
      </c>
      <c r="IUU67" s="153">
        <v>150</v>
      </c>
      <c r="IUV67" s="155">
        <f>SUM(IUQ67:IUU67)</f>
        <v>8675</v>
      </c>
      <c r="IUW67" s="153">
        <v>200</v>
      </c>
      <c r="IUX67" s="155">
        <f>SUM(IUV67:IUW67)</f>
        <v>8875</v>
      </c>
      <c r="IUY67" s="148" t="s">
        <v>96</v>
      </c>
      <c r="IUZ67" s="149">
        <v>45845</v>
      </c>
      <c r="IVA67" s="144" t="s">
        <v>40</v>
      </c>
      <c r="IVB67" s="200"/>
      <c r="IVC67" s="150" t="s">
        <v>123</v>
      </c>
      <c r="IVD67" s="198"/>
      <c r="IVE67" s="199"/>
      <c r="IVF67" s="144" t="s">
        <v>22</v>
      </c>
      <c r="IVG67" s="145">
        <v>8150</v>
      </c>
      <c r="IVH67" s="153">
        <v>85</v>
      </c>
      <c r="IVI67" s="154">
        <v>215</v>
      </c>
      <c r="IVJ67" s="154">
        <v>75</v>
      </c>
      <c r="IVK67" s="153">
        <v>150</v>
      </c>
      <c r="IVL67" s="155">
        <f>SUM(IVG67:IVK67)</f>
        <v>8675</v>
      </c>
      <c r="IVM67" s="153">
        <v>200</v>
      </c>
      <c r="IVN67" s="155">
        <f>SUM(IVL67:IVM67)</f>
        <v>8875</v>
      </c>
      <c r="IVO67" s="148" t="s">
        <v>96</v>
      </c>
      <c r="IVP67" s="149">
        <v>45845</v>
      </c>
      <c r="IVQ67" s="144" t="s">
        <v>40</v>
      </c>
      <c r="IVR67" s="200"/>
      <c r="IVS67" s="150" t="s">
        <v>123</v>
      </c>
      <c r="IVT67" s="198"/>
      <c r="IVU67" s="199"/>
      <c r="IVV67" s="144" t="s">
        <v>22</v>
      </c>
      <c r="IVW67" s="145">
        <v>8150</v>
      </c>
      <c r="IVX67" s="153">
        <v>85</v>
      </c>
      <c r="IVY67" s="154">
        <v>215</v>
      </c>
      <c r="IVZ67" s="154">
        <v>75</v>
      </c>
      <c r="IWA67" s="153">
        <v>150</v>
      </c>
      <c r="IWB67" s="155">
        <f>SUM(IVW67:IWA67)</f>
        <v>8675</v>
      </c>
      <c r="IWC67" s="153">
        <v>200</v>
      </c>
      <c r="IWD67" s="155">
        <f>SUM(IWB67:IWC67)</f>
        <v>8875</v>
      </c>
      <c r="IWE67" s="148" t="s">
        <v>96</v>
      </c>
      <c r="IWF67" s="149">
        <v>45845</v>
      </c>
      <c r="IWG67" s="144" t="s">
        <v>40</v>
      </c>
      <c r="IWH67" s="200"/>
      <c r="IWI67" s="150" t="s">
        <v>123</v>
      </c>
      <c r="IWJ67" s="198"/>
      <c r="IWK67" s="199"/>
      <c r="IWL67" s="144" t="s">
        <v>22</v>
      </c>
      <c r="IWM67" s="145">
        <v>8150</v>
      </c>
      <c r="IWN67" s="153">
        <v>85</v>
      </c>
      <c r="IWO67" s="154">
        <v>215</v>
      </c>
      <c r="IWP67" s="154">
        <v>75</v>
      </c>
      <c r="IWQ67" s="153">
        <v>150</v>
      </c>
      <c r="IWR67" s="155">
        <f>SUM(IWM67:IWQ67)</f>
        <v>8675</v>
      </c>
      <c r="IWS67" s="153">
        <v>200</v>
      </c>
      <c r="IWT67" s="155">
        <f>SUM(IWR67:IWS67)</f>
        <v>8875</v>
      </c>
      <c r="IWU67" s="148" t="s">
        <v>96</v>
      </c>
      <c r="IWV67" s="149">
        <v>45845</v>
      </c>
      <c r="IWW67" s="144" t="s">
        <v>40</v>
      </c>
      <c r="IWX67" s="200"/>
      <c r="IWY67" s="150" t="s">
        <v>123</v>
      </c>
      <c r="IWZ67" s="198"/>
      <c r="IXA67" s="199"/>
      <c r="IXB67" s="144" t="s">
        <v>22</v>
      </c>
      <c r="IXC67" s="145">
        <v>8150</v>
      </c>
      <c r="IXD67" s="153">
        <v>85</v>
      </c>
      <c r="IXE67" s="154">
        <v>215</v>
      </c>
      <c r="IXF67" s="154">
        <v>75</v>
      </c>
      <c r="IXG67" s="153">
        <v>150</v>
      </c>
      <c r="IXH67" s="155">
        <f>SUM(IXC67:IXG67)</f>
        <v>8675</v>
      </c>
      <c r="IXI67" s="153">
        <v>200</v>
      </c>
      <c r="IXJ67" s="155">
        <f>SUM(IXH67:IXI67)</f>
        <v>8875</v>
      </c>
      <c r="IXK67" s="148" t="s">
        <v>96</v>
      </c>
      <c r="IXL67" s="149">
        <v>45845</v>
      </c>
      <c r="IXM67" s="144" t="s">
        <v>40</v>
      </c>
      <c r="IXN67" s="200"/>
      <c r="IXO67" s="150" t="s">
        <v>123</v>
      </c>
      <c r="IXP67" s="198"/>
      <c r="IXQ67" s="199"/>
      <c r="IXR67" s="144" t="s">
        <v>22</v>
      </c>
      <c r="IXS67" s="145">
        <v>8150</v>
      </c>
      <c r="IXT67" s="153">
        <v>85</v>
      </c>
      <c r="IXU67" s="154">
        <v>215</v>
      </c>
      <c r="IXV67" s="154">
        <v>75</v>
      </c>
      <c r="IXW67" s="153">
        <v>150</v>
      </c>
      <c r="IXX67" s="155">
        <f>SUM(IXS67:IXW67)</f>
        <v>8675</v>
      </c>
      <c r="IXY67" s="153">
        <v>200</v>
      </c>
      <c r="IXZ67" s="155">
        <f>SUM(IXX67:IXY67)</f>
        <v>8875</v>
      </c>
      <c r="IYA67" s="148" t="s">
        <v>96</v>
      </c>
      <c r="IYB67" s="149">
        <v>45845</v>
      </c>
      <c r="IYC67" s="144" t="s">
        <v>40</v>
      </c>
      <c r="IYD67" s="200"/>
      <c r="IYE67" s="150" t="s">
        <v>123</v>
      </c>
      <c r="IYF67" s="198"/>
      <c r="IYG67" s="199"/>
      <c r="IYH67" s="144" t="s">
        <v>22</v>
      </c>
      <c r="IYI67" s="145">
        <v>8150</v>
      </c>
      <c r="IYJ67" s="153">
        <v>85</v>
      </c>
      <c r="IYK67" s="154">
        <v>215</v>
      </c>
      <c r="IYL67" s="154">
        <v>75</v>
      </c>
      <c r="IYM67" s="153">
        <v>150</v>
      </c>
      <c r="IYN67" s="155">
        <f>SUM(IYI67:IYM67)</f>
        <v>8675</v>
      </c>
      <c r="IYO67" s="153">
        <v>200</v>
      </c>
      <c r="IYP67" s="155">
        <f>SUM(IYN67:IYO67)</f>
        <v>8875</v>
      </c>
      <c r="IYQ67" s="148" t="s">
        <v>96</v>
      </c>
      <c r="IYR67" s="149">
        <v>45845</v>
      </c>
      <c r="IYS67" s="144" t="s">
        <v>40</v>
      </c>
      <c r="IYT67" s="200"/>
      <c r="IYU67" s="150" t="s">
        <v>123</v>
      </c>
      <c r="IYV67" s="198"/>
      <c r="IYW67" s="199"/>
      <c r="IYX67" s="144" t="s">
        <v>22</v>
      </c>
      <c r="IYY67" s="145">
        <v>8150</v>
      </c>
      <c r="IYZ67" s="153">
        <v>85</v>
      </c>
      <c r="IZA67" s="154">
        <v>215</v>
      </c>
      <c r="IZB67" s="154">
        <v>75</v>
      </c>
      <c r="IZC67" s="153">
        <v>150</v>
      </c>
      <c r="IZD67" s="155">
        <f>SUM(IYY67:IZC67)</f>
        <v>8675</v>
      </c>
      <c r="IZE67" s="153">
        <v>200</v>
      </c>
      <c r="IZF67" s="155">
        <f>SUM(IZD67:IZE67)</f>
        <v>8875</v>
      </c>
      <c r="IZG67" s="148" t="s">
        <v>96</v>
      </c>
      <c r="IZH67" s="149">
        <v>45845</v>
      </c>
      <c r="IZI67" s="144" t="s">
        <v>40</v>
      </c>
      <c r="IZJ67" s="200"/>
      <c r="IZK67" s="150" t="s">
        <v>123</v>
      </c>
      <c r="IZL67" s="198"/>
      <c r="IZM67" s="199"/>
      <c r="IZN67" s="144" t="s">
        <v>22</v>
      </c>
      <c r="IZO67" s="145">
        <v>8150</v>
      </c>
      <c r="IZP67" s="153">
        <v>85</v>
      </c>
      <c r="IZQ67" s="154">
        <v>215</v>
      </c>
      <c r="IZR67" s="154">
        <v>75</v>
      </c>
      <c r="IZS67" s="153">
        <v>150</v>
      </c>
      <c r="IZT67" s="155">
        <f>SUM(IZO67:IZS67)</f>
        <v>8675</v>
      </c>
      <c r="IZU67" s="153">
        <v>200</v>
      </c>
      <c r="IZV67" s="155">
        <f>SUM(IZT67:IZU67)</f>
        <v>8875</v>
      </c>
      <c r="IZW67" s="148" t="s">
        <v>96</v>
      </c>
      <c r="IZX67" s="149">
        <v>45845</v>
      </c>
      <c r="IZY67" s="144" t="s">
        <v>40</v>
      </c>
      <c r="IZZ67" s="200"/>
      <c r="JAA67" s="150" t="s">
        <v>123</v>
      </c>
      <c r="JAB67" s="198"/>
      <c r="JAC67" s="199"/>
      <c r="JAD67" s="144" t="s">
        <v>22</v>
      </c>
      <c r="JAE67" s="145">
        <v>8150</v>
      </c>
      <c r="JAF67" s="153">
        <v>85</v>
      </c>
      <c r="JAG67" s="154">
        <v>215</v>
      </c>
      <c r="JAH67" s="154">
        <v>75</v>
      </c>
      <c r="JAI67" s="153">
        <v>150</v>
      </c>
      <c r="JAJ67" s="155">
        <f>SUM(JAE67:JAI67)</f>
        <v>8675</v>
      </c>
      <c r="JAK67" s="153">
        <v>200</v>
      </c>
      <c r="JAL67" s="155">
        <f>SUM(JAJ67:JAK67)</f>
        <v>8875</v>
      </c>
      <c r="JAM67" s="148" t="s">
        <v>96</v>
      </c>
      <c r="JAN67" s="149">
        <v>45845</v>
      </c>
      <c r="JAO67" s="144" t="s">
        <v>40</v>
      </c>
      <c r="JAP67" s="200"/>
      <c r="JAQ67" s="150" t="s">
        <v>123</v>
      </c>
      <c r="JAR67" s="198"/>
      <c r="JAS67" s="199"/>
      <c r="JAT67" s="144" t="s">
        <v>22</v>
      </c>
      <c r="JAU67" s="145">
        <v>8150</v>
      </c>
      <c r="JAV67" s="153">
        <v>85</v>
      </c>
      <c r="JAW67" s="154">
        <v>215</v>
      </c>
      <c r="JAX67" s="154">
        <v>75</v>
      </c>
      <c r="JAY67" s="153">
        <v>150</v>
      </c>
      <c r="JAZ67" s="155">
        <f>SUM(JAU67:JAY67)</f>
        <v>8675</v>
      </c>
      <c r="JBA67" s="153">
        <v>200</v>
      </c>
      <c r="JBB67" s="155">
        <f>SUM(JAZ67:JBA67)</f>
        <v>8875</v>
      </c>
      <c r="JBC67" s="148" t="s">
        <v>96</v>
      </c>
      <c r="JBD67" s="149">
        <v>45845</v>
      </c>
      <c r="JBE67" s="144" t="s">
        <v>40</v>
      </c>
      <c r="JBF67" s="200"/>
      <c r="JBG67" s="150" t="s">
        <v>123</v>
      </c>
      <c r="JBH67" s="198"/>
      <c r="JBI67" s="199"/>
      <c r="JBJ67" s="144" t="s">
        <v>22</v>
      </c>
      <c r="JBK67" s="145">
        <v>8150</v>
      </c>
      <c r="JBL67" s="153">
        <v>85</v>
      </c>
      <c r="JBM67" s="154">
        <v>215</v>
      </c>
      <c r="JBN67" s="154">
        <v>75</v>
      </c>
      <c r="JBO67" s="153">
        <v>150</v>
      </c>
      <c r="JBP67" s="155">
        <f>SUM(JBK67:JBO67)</f>
        <v>8675</v>
      </c>
      <c r="JBQ67" s="153">
        <v>200</v>
      </c>
      <c r="JBR67" s="155">
        <f>SUM(JBP67:JBQ67)</f>
        <v>8875</v>
      </c>
      <c r="JBS67" s="148" t="s">
        <v>96</v>
      </c>
      <c r="JBT67" s="149">
        <v>45845</v>
      </c>
      <c r="JBU67" s="144" t="s">
        <v>40</v>
      </c>
      <c r="JBV67" s="200"/>
      <c r="JBW67" s="150" t="s">
        <v>123</v>
      </c>
      <c r="JBX67" s="198"/>
      <c r="JBY67" s="199"/>
      <c r="JBZ67" s="144" t="s">
        <v>22</v>
      </c>
      <c r="JCA67" s="145">
        <v>8150</v>
      </c>
      <c r="JCB67" s="153">
        <v>85</v>
      </c>
      <c r="JCC67" s="154">
        <v>215</v>
      </c>
      <c r="JCD67" s="154">
        <v>75</v>
      </c>
      <c r="JCE67" s="153">
        <v>150</v>
      </c>
      <c r="JCF67" s="155">
        <f>SUM(JCA67:JCE67)</f>
        <v>8675</v>
      </c>
      <c r="JCG67" s="153">
        <v>200</v>
      </c>
      <c r="JCH67" s="155">
        <f>SUM(JCF67:JCG67)</f>
        <v>8875</v>
      </c>
      <c r="JCI67" s="148" t="s">
        <v>96</v>
      </c>
      <c r="JCJ67" s="149">
        <v>45845</v>
      </c>
      <c r="JCK67" s="144" t="s">
        <v>40</v>
      </c>
      <c r="JCL67" s="200"/>
      <c r="JCM67" s="150" t="s">
        <v>123</v>
      </c>
      <c r="JCN67" s="198"/>
      <c r="JCO67" s="199"/>
      <c r="JCP67" s="144" t="s">
        <v>22</v>
      </c>
      <c r="JCQ67" s="145">
        <v>8150</v>
      </c>
      <c r="JCR67" s="153">
        <v>85</v>
      </c>
      <c r="JCS67" s="154">
        <v>215</v>
      </c>
      <c r="JCT67" s="154">
        <v>75</v>
      </c>
      <c r="JCU67" s="153">
        <v>150</v>
      </c>
      <c r="JCV67" s="155">
        <f>SUM(JCQ67:JCU67)</f>
        <v>8675</v>
      </c>
      <c r="JCW67" s="153">
        <v>200</v>
      </c>
      <c r="JCX67" s="155">
        <f>SUM(JCV67:JCW67)</f>
        <v>8875</v>
      </c>
      <c r="JCY67" s="148" t="s">
        <v>96</v>
      </c>
      <c r="JCZ67" s="149">
        <v>45845</v>
      </c>
      <c r="JDA67" s="144" t="s">
        <v>40</v>
      </c>
      <c r="JDB67" s="200"/>
      <c r="JDC67" s="150" t="s">
        <v>123</v>
      </c>
      <c r="JDD67" s="198"/>
      <c r="JDE67" s="199"/>
      <c r="JDF67" s="144" t="s">
        <v>22</v>
      </c>
      <c r="JDG67" s="145">
        <v>8150</v>
      </c>
      <c r="JDH67" s="153">
        <v>85</v>
      </c>
      <c r="JDI67" s="154">
        <v>215</v>
      </c>
      <c r="JDJ67" s="154">
        <v>75</v>
      </c>
      <c r="JDK67" s="153">
        <v>150</v>
      </c>
      <c r="JDL67" s="155">
        <f>SUM(JDG67:JDK67)</f>
        <v>8675</v>
      </c>
      <c r="JDM67" s="153">
        <v>200</v>
      </c>
      <c r="JDN67" s="155">
        <f>SUM(JDL67:JDM67)</f>
        <v>8875</v>
      </c>
      <c r="JDO67" s="148" t="s">
        <v>96</v>
      </c>
      <c r="JDP67" s="149">
        <v>45845</v>
      </c>
      <c r="JDQ67" s="144" t="s">
        <v>40</v>
      </c>
      <c r="JDR67" s="200"/>
      <c r="JDS67" s="150" t="s">
        <v>123</v>
      </c>
      <c r="JDT67" s="198"/>
      <c r="JDU67" s="199"/>
      <c r="JDV67" s="144" t="s">
        <v>22</v>
      </c>
      <c r="JDW67" s="145">
        <v>8150</v>
      </c>
      <c r="JDX67" s="153">
        <v>85</v>
      </c>
      <c r="JDY67" s="154">
        <v>215</v>
      </c>
      <c r="JDZ67" s="154">
        <v>75</v>
      </c>
      <c r="JEA67" s="153">
        <v>150</v>
      </c>
      <c r="JEB67" s="155">
        <f>SUM(JDW67:JEA67)</f>
        <v>8675</v>
      </c>
      <c r="JEC67" s="153">
        <v>200</v>
      </c>
      <c r="JED67" s="155">
        <f>SUM(JEB67:JEC67)</f>
        <v>8875</v>
      </c>
      <c r="JEE67" s="148" t="s">
        <v>96</v>
      </c>
      <c r="JEF67" s="149">
        <v>45845</v>
      </c>
      <c r="JEG67" s="144" t="s">
        <v>40</v>
      </c>
      <c r="JEH67" s="200"/>
      <c r="JEI67" s="150" t="s">
        <v>123</v>
      </c>
      <c r="JEJ67" s="198"/>
      <c r="JEK67" s="199"/>
      <c r="JEL67" s="144" t="s">
        <v>22</v>
      </c>
      <c r="JEM67" s="145">
        <v>8150</v>
      </c>
      <c r="JEN67" s="153">
        <v>85</v>
      </c>
      <c r="JEO67" s="154">
        <v>215</v>
      </c>
      <c r="JEP67" s="154">
        <v>75</v>
      </c>
      <c r="JEQ67" s="153">
        <v>150</v>
      </c>
      <c r="JER67" s="155">
        <f>SUM(JEM67:JEQ67)</f>
        <v>8675</v>
      </c>
      <c r="JES67" s="153">
        <v>200</v>
      </c>
      <c r="JET67" s="155">
        <f>SUM(JER67:JES67)</f>
        <v>8875</v>
      </c>
      <c r="JEU67" s="148" t="s">
        <v>96</v>
      </c>
      <c r="JEV67" s="149">
        <v>45845</v>
      </c>
      <c r="JEW67" s="144" t="s">
        <v>40</v>
      </c>
      <c r="JEX67" s="200"/>
      <c r="JEY67" s="150" t="s">
        <v>123</v>
      </c>
      <c r="JEZ67" s="198"/>
      <c r="JFA67" s="199"/>
      <c r="JFB67" s="144" t="s">
        <v>22</v>
      </c>
      <c r="JFC67" s="145">
        <v>8150</v>
      </c>
      <c r="JFD67" s="153">
        <v>85</v>
      </c>
      <c r="JFE67" s="154">
        <v>215</v>
      </c>
      <c r="JFF67" s="154">
        <v>75</v>
      </c>
      <c r="JFG67" s="153">
        <v>150</v>
      </c>
      <c r="JFH67" s="155">
        <f>SUM(JFC67:JFG67)</f>
        <v>8675</v>
      </c>
      <c r="JFI67" s="153">
        <v>200</v>
      </c>
      <c r="JFJ67" s="155">
        <f>SUM(JFH67:JFI67)</f>
        <v>8875</v>
      </c>
      <c r="JFK67" s="148" t="s">
        <v>96</v>
      </c>
      <c r="JFL67" s="149">
        <v>45845</v>
      </c>
      <c r="JFM67" s="144" t="s">
        <v>40</v>
      </c>
      <c r="JFN67" s="200"/>
      <c r="JFO67" s="150" t="s">
        <v>123</v>
      </c>
      <c r="JFP67" s="198"/>
      <c r="JFQ67" s="199"/>
      <c r="JFR67" s="144" t="s">
        <v>22</v>
      </c>
      <c r="JFS67" s="145">
        <v>8150</v>
      </c>
      <c r="JFT67" s="153">
        <v>85</v>
      </c>
      <c r="JFU67" s="154">
        <v>215</v>
      </c>
      <c r="JFV67" s="154">
        <v>75</v>
      </c>
      <c r="JFW67" s="153">
        <v>150</v>
      </c>
      <c r="JFX67" s="155">
        <f>SUM(JFS67:JFW67)</f>
        <v>8675</v>
      </c>
      <c r="JFY67" s="153">
        <v>200</v>
      </c>
      <c r="JFZ67" s="155">
        <f>SUM(JFX67:JFY67)</f>
        <v>8875</v>
      </c>
      <c r="JGA67" s="148" t="s">
        <v>96</v>
      </c>
      <c r="JGB67" s="149">
        <v>45845</v>
      </c>
      <c r="JGC67" s="144" t="s">
        <v>40</v>
      </c>
      <c r="JGD67" s="200"/>
      <c r="JGE67" s="150" t="s">
        <v>123</v>
      </c>
      <c r="JGF67" s="198"/>
      <c r="JGG67" s="199"/>
      <c r="JGH67" s="144" t="s">
        <v>22</v>
      </c>
      <c r="JGI67" s="145">
        <v>8150</v>
      </c>
      <c r="JGJ67" s="153">
        <v>85</v>
      </c>
      <c r="JGK67" s="154">
        <v>215</v>
      </c>
      <c r="JGL67" s="154">
        <v>75</v>
      </c>
      <c r="JGM67" s="153">
        <v>150</v>
      </c>
      <c r="JGN67" s="155">
        <f>SUM(JGI67:JGM67)</f>
        <v>8675</v>
      </c>
      <c r="JGO67" s="153">
        <v>200</v>
      </c>
      <c r="JGP67" s="155">
        <f>SUM(JGN67:JGO67)</f>
        <v>8875</v>
      </c>
      <c r="JGQ67" s="148" t="s">
        <v>96</v>
      </c>
      <c r="JGR67" s="149">
        <v>45845</v>
      </c>
      <c r="JGS67" s="144" t="s">
        <v>40</v>
      </c>
      <c r="JGT67" s="200"/>
      <c r="JGU67" s="150" t="s">
        <v>123</v>
      </c>
      <c r="JGV67" s="198"/>
      <c r="JGW67" s="199"/>
      <c r="JGX67" s="144" t="s">
        <v>22</v>
      </c>
      <c r="JGY67" s="145">
        <v>8150</v>
      </c>
      <c r="JGZ67" s="153">
        <v>85</v>
      </c>
      <c r="JHA67" s="154">
        <v>215</v>
      </c>
      <c r="JHB67" s="154">
        <v>75</v>
      </c>
      <c r="JHC67" s="153">
        <v>150</v>
      </c>
      <c r="JHD67" s="155">
        <f>SUM(JGY67:JHC67)</f>
        <v>8675</v>
      </c>
      <c r="JHE67" s="153">
        <v>200</v>
      </c>
      <c r="JHF67" s="155">
        <f>SUM(JHD67:JHE67)</f>
        <v>8875</v>
      </c>
      <c r="JHG67" s="148" t="s">
        <v>96</v>
      </c>
      <c r="JHH67" s="149">
        <v>45845</v>
      </c>
      <c r="JHI67" s="144" t="s">
        <v>40</v>
      </c>
      <c r="JHJ67" s="200"/>
      <c r="JHK67" s="150" t="s">
        <v>123</v>
      </c>
      <c r="JHL67" s="198"/>
      <c r="JHM67" s="199"/>
      <c r="JHN67" s="144" t="s">
        <v>22</v>
      </c>
      <c r="JHO67" s="145">
        <v>8150</v>
      </c>
      <c r="JHP67" s="153">
        <v>85</v>
      </c>
      <c r="JHQ67" s="154">
        <v>215</v>
      </c>
      <c r="JHR67" s="154">
        <v>75</v>
      </c>
      <c r="JHS67" s="153">
        <v>150</v>
      </c>
      <c r="JHT67" s="155">
        <f>SUM(JHO67:JHS67)</f>
        <v>8675</v>
      </c>
      <c r="JHU67" s="153">
        <v>200</v>
      </c>
      <c r="JHV67" s="155">
        <f>SUM(JHT67:JHU67)</f>
        <v>8875</v>
      </c>
      <c r="JHW67" s="148" t="s">
        <v>96</v>
      </c>
      <c r="JHX67" s="149">
        <v>45845</v>
      </c>
      <c r="JHY67" s="144" t="s">
        <v>40</v>
      </c>
      <c r="JHZ67" s="200"/>
      <c r="JIA67" s="150" t="s">
        <v>123</v>
      </c>
      <c r="JIB67" s="198"/>
      <c r="JIC67" s="199"/>
      <c r="JID67" s="144" t="s">
        <v>22</v>
      </c>
      <c r="JIE67" s="145">
        <v>8150</v>
      </c>
      <c r="JIF67" s="153">
        <v>85</v>
      </c>
      <c r="JIG67" s="154">
        <v>215</v>
      </c>
      <c r="JIH67" s="154">
        <v>75</v>
      </c>
      <c r="JII67" s="153">
        <v>150</v>
      </c>
      <c r="JIJ67" s="155">
        <f>SUM(JIE67:JII67)</f>
        <v>8675</v>
      </c>
      <c r="JIK67" s="153">
        <v>200</v>
      </c>
      <c r="JIL67" s="155">
        <f>SUM(JIJ67:JIK67)</f>
        <v>8875</v>
      </c>
      <c r="JIM67" s="148" t="s">
        <v>96</v>
      </c>
      <c r="JIN67" s="149">
        <v>45845</v>
      </c>
      <c r="JIO67" s="144" t="s">
        <v>40</v>
      </c>
      <c r="JIP67" s="200"/>
      <c r="JIQ67" s="150" t="s">
        <v>123</v>
      </c>
      <c r="JIR67" s="198"/>
      <c r="JIS67" s="199"/>
      <c r="JIT67" s="144" t="s">
        <v>22</v>
      </c>
      <c r="JIU67" s="145">
        <v>8150</v>
      </c>
      <c r="JIV67" s="153">
        <v>85</v>
      </c>
      <c r="JIW67" s="154">
        <v>215</v>
      </c>
      <c r="JIX67" s="154">
        <v>75</v>
      </c>
      <c r="JIY67" s="153">
        <v>150</v>
      </c>
      <c r="JIZ67" s="155">
        <f>SUM(JIU67:JIY67)</f>
        <v>8675</v>
      </c>
      <c r="JJA67" s="153">
        <v>200</v>
      </c>
      <c r="JJB67" s="155">
        <f>SUM(JIZ67:JJA67)</f>
        <v>8875</v>
      </c>
      <c r="JJC67" s="148" t="s">
        <v>96</v>
      </c>
      <c r="JJD67" s="149">
        <v>45845</v>
      </c>
      <c r="JJE67" s="144" t="s">
        <v>40</v>
      </c>
      <c r="JJF67" s="200"/>
      <c r="JJG67" s="150" t="s">
        <v>123</v>
      </c>
      <c r="JJH67" s="198"/>
      <c r="JJI67" s="199"/>
      <c r="JJJ67" s="144" t="s">
        <v>22</v>
      </c>
      <c r="JJK67" s="145">
        <v>8150</v>
      </c>
      <c r="JJL67" s="153">
        <v>85</v>
      </c>
      <c r="JJM67" s="154">
        <v>215</v>
      </c>
      <c r="JJN67" s="154">
        <v>75</v>
      </c>
      <c r="JJO67" s="153">
        <v>150</v>
      </c>
      <c r="JJP67" s="155">
        <f>SUM(JJK67:JJO67)</f>
        <v>8675</v>
      </c>
      <c r="JJQ67" s="153">
        <v>200</v>
      </c>
      <c r="JJR67" s="155">
        <f>SUM(JJP67:JJQ67)</f>
        <v>8875</v>
      </c>
      <c r="JJS67" s="148" t="s">
        <v>96</v>
      </c>
      <c r="JJT67" s="149">
        <v>45845</v>
      </c>
      <c r="JJU67" s="144" t="s">
        <v>40</v>
      </c>
      <c r="JJV67" s="200"/>
      <c r="JJW67" s="150" t="s">
        <v>123</v>
      </c>
      <c r="JJX67" s="198"/>
      <c r="JJY67" s="199"/>
      <c r="JJZ67" s="144" t="s">
        <v>22</v>
      </c>
      <c r="JKA67" s="145">
        <v>8150</v>
      </c>
      <c r="JKB67" s="153">
        <v>85</v>
      </c>
      <c r="JKC67" s="154">
        <v>215</v>
      </c>
      <c r="JKD67" s="154">
        <v>75</v>
      </c>
      <c r="JKE67" s="153">
        <v>150</v>
      </c>
      <c r="JKF67" s="155">
        <f>SUM(JKA67:JKE67)</f>
        <v>8675</v>
      </c>
      <c r="JKG67" s="153">
        <v>200</v>
      </c>
      <c r="JKH67" s="155">
        <f>SUM(JKF67:JKG67)</f>
        <v>8875</v>
      </c>
      <c r="JKI67" s="148" t="s">
        <v>96</v>
      </c>
      <c r="JKJ67" s="149">
        <v>45845</v>
      </c>
      <c r="JKK67" s="144" t="s">
        <v>40</v>
      </c>
      <c r="JKL67" s="200"/>
      <c r="JKM67" s="150" t="s">
        <v>123</v>
      </c>
      <c r="JKN67" s="198"/>
      <c r="JKO67" s="199"/>
      <c r="JKP67" s="144" t="s">
        <v>22</v>
      </c>
      <c r="JKQ67" s="145">
        <v>8150</v>
      </c>
      <c r="JKR67" s="153">
        <v>85</v>
      </c>
      <c r="JKS67" s="154">
        <v>215</v>
      </c>
      <c r="JKT67" s="154">
        <v>75</v>
      </c>
      <c r="JKU67" s="153">
        <v>150</v>
      </c>
      <c r="JKV67" s="155">
        <f>SUM(JKQ67:JKU67)</f>
        <v>8675</v>
      </c>
      <c r="JKW67" s="153">
        <v>200</v>
      </c>
      <c r="JKX67" s="155">
        <f>SUM(JKV67:JKW67)</f>
        <v>8875</v>
      </c>
      <c r="JKY67" s="148" t="s">
        <v>96</v>
      </c>
      <c r="JKZ67" s="149">
        <v>45845</v>
      </c>
      <c r="JLA67" s="144" t="s">
        <v>40</v>
      </c>
      <c r="JLB67" s="200"/>
      <c r="JLC67" s="150" t="s">
        <v>123</v>
      </c>
      <c r="JLD67" s="198"/>
      <c r="JLE67" s="199"/>
      <c r="JLF67" s="144" t="s">
        <v>22</v>
      </c>
      <c r="JLG67" s="145">
        <v>8150</v>
      </c>
      <c r="JLH67" s="153">
        <v>85</v>
      </c>
      <c r="JLI67" s="154">
        <v>215</v>
      </c>
      <c r="JLJ67" s="154">
        <v>75</v>
      </c>
      <c r="JLK67" s="153">
        <v>150</v>
      </c>
      <c r="JLL67" s="155">
        <f>SUM(JLG67:JLK67)</f>
        <v>8675</v>
      </c>
      <c r="JLM67" s="153">
        <v>200</v>
      </c>
      <c r="JLN67" s="155">
        <f>SUM(JLL67:JLM67)</f>
        <v>8875</v>
      </c>
      <c r="JLO67" s="148" t="s">
        <v>96</v>
      </c>
      <c r="JLP67" s="149">
        <v>45845</v>
      </c>
      <c r="JLQ67" s="144" t="s">
        <v>40</v>
      </c>
      <c r="JLR67" s="200"/>
      <c r="JLS67" s="150" t="s">
        <v>123</v>
      </c>
      <c r="JLT67" s="198"/>
      <c r="JLU67" s="199"/>
      <c r="JLV67" s="144" t="s">
        <v>22</v>
      </c>
      <c r="JLW67" s="145">
        <v>8150</v>
      </c>
      <c r="JLX67" s="153">
        <v>85</v>
      </c>
      <c r="JLY67" s="154">
        <v>215</v>
      </c>
      <c r="JLZ67" s="154">
        <v>75</v>
      </c>
      <c r="JMA67" s="153">
        <v>150</v>
      </c>
      <c r="JMB67" s="155">
        <f>SUM(JLW67:JMA67)</f>
        <v>8675</v>
      </c>
      <c r="JMC67" s="153">
        <v>200</v>
      </c>
      <c r="JMD67" s="155">
        <f>SUM(JMB67:JMC67)</f>
        <v>8875</v>
      </c>
      <c r="JME67" s="148" t="s">
        <v>96</v>
      </c>
      <c r="JMF67" s="149">
        <v>45845</v>
      </c>
      <c r="JMG67" s="144" t="s">
        <v>40</v>
      </c>
      <c r="JMH67" s="200"/>
      <c r="JMI67" s="150" t="s">
        <v>123</v>
      </c>
      <c r="JMJ67" s="198"/>
      <c r="JMK67" s="199"/>
      <c r="JML67" s="144" t="s">
        <v>22</v>
      </c>
      <c r="JMM67" s="145">
        <v>8150</v>
      </c>
      <c r="JMN67" s="153">
        <v>85</v>
      </c>
      <c r="JMO67" s="154">
        <v>215</v>
      </c>
      <c r="JMP67" s="154">
        <v>75</v>
      </c>
      <c r="JMQ67" s="153">
        <v>150</v>
      </c>
      <c r="JMR67" s="155">
        <f>SUM(JMM67:JMQ67)</f>
        <v>8675</v>
      </c>
      <c r="JMS67" s="153">
        <v>200</v>
      </c>
      <c r="JMT67" s="155">
        <f>SUM(JMR67:JMS67)</f>
        <v>8875</v>
      </c>
      <c r="JMU67" s="148" t="s">
        <v>96</v>
      </c>
      <c r="JMV67" s="149">
        <v>45845</v>
      </c>
      <c r="JMW67" s="144" t="s">
        <v>40</v>
      </c>
      <c r="JMX67" s="200"/>
      <c r="JMY67" s="150" t="s">
        <v>123</v>
      </c>
      <c r="JMZ67" s="198"/>
      <c r="JNA67" s="199"/>
      <c r="JNB67" s="144" t="s">
        <v>22</v>
      </c>
      <c r="JNC67" s="145">
        <v>8150</v>
      </c>
      <c r="JND67" s="153">
        <v>85</v>
      </c>
      <c r="JNE67" s="154">
        <v>215</v>
      </c>
      <c r="JNF67" s="154">
        <v>75</v>
      </c>
      <c r="JNG67" s="153">
        <v>150</v>
      </c>
      <c r="JNH67" s="155">
        <f>SUM(JNC67:JNG67)</f>
        <v>8675</v>
      </c>
      <c r="JNI67" s="153">
        <v>200</v>
      </c>
      <c r="JNJ67" s="155">
        <f>SUM(JNH67:JNI67)</f>
        <v>8875</v>
      </c>
      <c r="JNK67" s="148" t="s">
        <v>96</v>
      </c>
      <c r="JNL67" s="149">
        <v>45845</v>
      </c>
      <c r="JNM67" s="144" t="s">
        <v>40</v>
      </c>
      <c r="JNN67" s="200"/>
      <c r="JNO67" s="150" t="s">
        <v>123</v>
      </c>
      <c r="JNP67" s="198"/>
      <c r="JNQ67" s="199"/>
      <c r="JNR67" s="144" t="s">
        <v>22</v>
      </c>
      <c r="JNS67" s="145">
        <v>8150</v>
      </c>
      <c r="JNT67" s="153">
        <v>85</v>
      </c>
      <c r="JNU67" s="154">
        <v>215</v>
      </c>
      <c r="JNV67" s="154">
        <v>75</v>
      </c>
      <c r="JNW67" s="153">
        <v>150</v>
      </c>
      <c r="JNX67" s="155">
        <f>SUM(JNS67:JNW67)</f>
        <v>8675</v>
      </c>
      <c r="JNY67" s="153">
        <v>200</v>
      </c>
      <c r="JNZ67" s="155">
        <f>SUM(JNX67:JNY67)</f>
        <v>8875</v>
      </c>
      <c r="JOA67" s="148" t="s">
        <v>96</v>
      </c>
      <c r="JOB67" s="149">
        <v>45845</v>
      </c>
      <c r="JOC67" s="144" t="s">
        <v>40</v>
      </c>
      <c r="JOD67" s="200"/>
      <c r="JOE67" s="150" t="s">
        <v>123</v>
      </c>
      <c r="JOF67" s="198"/>
      <c r="JOG67" s="199"/>
      <c r="JOH67" s="144" t="s">
        <v>22</v>
      </c>
      <c r="JOI67" s="145">
        <v>8150</v>
      </c>
      <c r="JOJ67" s="153">
        <v>85</v>
      </c>
      <c r="JOK67" s="154">
        <v>215</v>
      </c>
      <c r="JOL67" s="154">
        <v>75</v>
      </c>
      <c r="JOM67" s="153">
        <v>150</v>
      </c>
      <c r="JON67" s="155">
        <f>SUM(JOI67:JOM67)</f>
        <v>8675</v>
      </c>
      <c r="JOO67" s="153">
        <v>200</v>
      </c>
      <c r="JOP67" s="155">
        <f>SUM(JON67:JOO67)</f>
        <v>8875</v>
      </c>
      <c r="JOQ67" s="148" t="s">
        <v>96</v>
      </c>
      <c r="JOR67" s="149">
        <v>45845</v>
      </c>
      <c r="JOS67" s="144" t="s">
        <v>40</v>
      </c>
      <c r="JOT67" s="200"/>
      <c r="JOU67" s="150" t="s">
        <v>123</v>
      </c>
      <c r="JOV67" s="198"/>
      <c r="JOW67" s="199"/>
      <c r="JOX67" s="144" t="s">
        <v>22</v>
      </c>
      <c r="JOY67" s="145">
        <v>8150</v>
      </c>
      <c r="JOZ67" s="153">
        <v>85</v>
      </c>
      <c r="JPA67" s="154">
        <v>215</v>
      </c>
      <c r="JPB67" s="154">
        <v>75</v>
      </c>
      <c r="JPC67" s="153">
        <v>150</v>
      </c>
      <c r="JPD67" s="155">
        <f>SUM(JOY67:JPC67)</f>
        <v>8675</v>
      </c>
      <c r="JPE67" s="153">
        <v>200</v>
      </c>
      <c r="JPF67" s="155">
        <f>SUM(JPD67:JPE67)</f>
        <v>8875</v>
      </c>
      <c r="JPG67" s="148" t="s">
        <v>96</v>
      </c>
      <c r="JPH67" s="149">
        <v>45845</v>
      </c>
      <c r="JPI67" s="144" t="s">
        <v>40</v>
      </c>
      <c r="JPJ67" s="200"/>
      <c r="JPK67" s="150" t="s">
        <v>123</v>
      </c>
      <c r="JPL67" s="198"/>
      <c r="JPM67" s="199"/>
      <c r="JPN67" s="144" t="s">
        <v>22</v>
      </c>
      <c r="JPO67" s="145">
        <v>8150</v>
      </c>
      <c r="JPP67" s="153">
        <v>85</v>
      </c>
      <c r="JPQ67" s="154">
        <v>215</v>
      </c>
      <c r="JPR67" s="154">
        <v>75</v>
      </c>
      <c r="JPS67" s="153">
        <v>150</v>
      </c>
      <c r="JPT67" s="155">
        <f>SUM(JPO67:JPS67)</f>
        <v>8675</v>
      </c>
      <c r="JPU67" s="153">
        <v>200</v>
      </c>
      <c r="JPV67" s="155">
        <f>SUM(JPT67:JPU67)</f>
        <v>8875</v>
      </c>
      <c r="JPW67" s="148" t="s">
        <v>96</v>
      </c>
      <c r="JPX67" s="149">
        <v>45845</v>
      </c>
      <c r="JPY67" s="144" t="s">
        <v>40</v>
      </c>
      <c r="JPZ67" s="200"/>
      <c r="JQA67" s="150" t="s">
        <v>123</v>
      </c>
      <c r="JQB67" s="198"/>
      <c r="JQC67" s="199"/>
      <c r="JQD67" s="144" t="s">
        <v>22</v>
      </c>
      <c r="JQE67" s="145">
        <v>8150</v>
      </c>
      <c r="JQF67" s="153">
        <v>85</v>
      </c>
      <c r="JQG67" s="154">
        <v>215</v>
      </c>
      <c r="JQH67" s="154">
        <v>75</v>
      </c>
      <c r="JQI67" s="153">
        <v>150</v>
      </c>
      <c r="JQJ67" s="155">
        <f>SUM(JQE67:JQI67)</f>
        <v>8675</v>
      </c>
      <c r="JQK67" s="153">
        <v>200</v>
      </c>
      <c r="JQL67" s="155">
        <f>SUM(JQJ67:JQK67)</f>
        <v>8875</v>
      </c>
      <c r="JQM67" s="148" t="s">
        <v>96</v>
      </c>
      <c r="JQN67" s="149">
        <v>45845</v>
      </c>
      <c r="JQO67" s="144" t="s">
        <v>40</v>
      </c>
      <c r="JQP67" s="200"/>
      <c r="JQQ67" s="150" t="s">
        <v>123</v>
      </c>
      <c r="JQR67" s="198"/>
      <c r="JQS67" s="199"/>
      <c r="JQT67" s="144" t="s">
        <v>22</v>
      </c>
      <c r="JQU67" s="145">
        <v>8150</v>
      </c>
      <c r="JQV67" s="153">
        <v>85</v>
      </c>
      <c r="JQW67" s="154">
        <v>215</v>
      </c>
      <c r="JQX67" s="154">
        <v>75</v>
      </c>
      <c r="JQY67" s="153">
        <v>150</v>
      </c>
      <c r="JQZ67" s="155">
        <f>SUM(JQU67:JQY67)</f>
        <v>8675</v>
      </c>
      <c r="JRA67" s="153">
        <v>200</v>
      </c>
      <c r="JRB67" s="155">
        <f>SUM(JQZ67:JRA67)</f>
        <v>8875</v>
      </c>
      <c r="JRC67" s="148" t="s">
        <v>96</v>
      </c>
      <c r="JRD67" s="149">
        <v>45845</v>
      </c>
      <c r="JRE67" s="144" t="s">
        <v>40</v>
      </c>
      <c r="JRF67" s="200"/>
      <c r="JRG67" s="150" t="s">
        <v>123</v>
      </c>
      <c r="JRH67" s="198"/>
      <c r="JRI67" s="199"/>
      <c r="JRJ67" s="144" t="s">
        <v>22</v>
      </c>
      <c r="JRK67" s="145">
        <v>8150</v>
      </c>
      <c r="JRL67" s="153">
        <v>85</v>
      </c>
      <c r="JRM67" s="154">
        <v>215</v>
      </c>
      <c r="JRN67" s="154">
        <v>75</v>
      </c>
      <c r="JRO67" s="153">
        <v>150</v>
      </c>
      <c r="JRP67" s="155">
        <f>SUM(JRK67:JRO67)</f>
        <v>8675</v>
      </c>
      <c r="JRQ67" s="153">
        <v>200</v>
      </c>
      <c r="JRR67" s="155">
        <f>SUM(JRP67:JRQ67)</f>
        <v>8875</v>
      </c>
      <c r="JRS67" s="148" t="s">
        <v>96</v>
      </c>
      <c r="JRT67" s="149">
        <v>45845</v>
      </c>
      <c r="JRU67" s="144" t="s">
        <v>40</v>
      </c>
      <c r="JRV67" s="200"/>
      <c r="JRW67" s="150" t="s">
        <v>123</v>
      </c>
      <c r="JRX67" s="198"/>
      <c r="JRY67" s="199"/>
      <c r="JRZ67" s="144" t="s">
        <v>22</v>
      </c>
      <c r="JSA67" s="145">
        <v>8150</v>
      </c>
      <c r="JSB67" s="153">
        <v>85</v>
      </c>
      <c r="JSC67" s="154">
        <v>215</v>
      </c>
      <c r="JSD67" s="154">
        <v>75</v>
      </c>
      <c r="JSE67" s="153">
        <v>150</v>
      </c>
      <c r="JSF67" s="155">
        <f>SUM(JSA67:JSE67)</f>
        <v>8675</v>
      </c>
      <c r="JSG67" s="153">
        <v>200</v>
      </c>
      <c r="JSH67" s="155">
        <f>SUM(JSF67:JSG67)</f>
        <v>8875</v>
      </c>
      <c r="JSI67" s="148" t="s">
        <v>96</v>
      </c>
      <c r="JSJ67" s="149">
        <v>45845</v>
      </c>
      <c r="JSK67" s="144" t="s">
        <v>40</v>
      </c>
      <c r="JSL67" s="200"/>
      <c r="JSM67" s="150" t="s">
        <v>123</v>
      </c>
      <c r="JSN67" s="198"/>
      <c r="JSO67" s="199"/>
      <c r="JSP67" s="144" t="s">
        <v>22</v>
      </c>
      <c r="JSQ67" s="145">
        <v>8150</v>
      </c>
      <c r="JSR67" s="153">
        <v>85</v>
      </c>
      <c r="JSS67" s="154">
        <v>215</v>
      </c>
      <c r="JST67" s="154">
        <v>75</v>
      </c>
      <c r="JSU67" s="153">
        <v>150</v>
      </c>
      <c r="JSV67" s="155">
        <f>SUM(JSQ67:JSU67)</f>
        <v>8675</v>
      </c>
      <c r="JSW67" s="153">
        <v>200</v>
      </c>
      <c r="JSX67" s="155">
        <f>SUM(JSV67:JSW67)</f>
        <v>8875</v>
      </c>
      <c r="JSY67" s="148" t="s">
        <v>96</v>
      </c>
      <c r="JSZ67" s="149">
        <v>45845</v>
      </c>
      <c r="JTA67" s="144" t="s">
        <v>40</v>
      </c>
      <c r="JTB67" s="200"/>
      <c r="JTC67" s="150" t="s">
        <v>123</v>
      </c>
      <c r="JTD67" s="198"/>
      <c r="JTE67" s="199"/>
      <c r="JTF67" s="144" t="s">
        <v>22</v>
      </c>
      <c r="JTG67" s="145">
        <v>8150</v>
      </c>
      <c r="JTH67" s="153">
        <v>85</v>
      </c>
      <c r="JTI67" s="154">
        <v>215</v>
      </c>
      <c r="JTJ67" s="154">
        <v>75</v>
      </c>
      <c r="JTK67" s="153">
        <v>150</v>
      </c>
      <c r="JTL67" s="155">
        <f>SUM(JTG67:JTK67)</f>
        <v>8675</v>
      </c>
      <c r="JTM67" s="153">
        <v>200</v>
      </c>
      <c r="JTN67" s="155">
        <f>SUM(JTL67:JTM67)</f>
        <v>8875</v>
      </c>
      <c r="JTO67" s="148" t="s">
        <v>96</v>
      </c>
      <c r="JTP67" s="149">
        <v>45845</v>
      </c>
      <c r="JTQ67" s="144" t="s">
        <v>40</v>
      </c>
      <c r="JTR67" s="200"/>
      <c r="JTS67" s="150" t="s">
        <v>123</v>
      </c>
      <c r="JTT67" s="198"/>
      <c r="JTU67" s="199"/>
      <c r="JTV67" s="144" t="s">
        <v>22</v>
      </c>
      <c r="JTW67" s="145">
        <v>8150</v>
      </c>
      <c r="JTX67" s="153">
        <v>85</v>
      </c>
      <c r="JTY67" s="154">
        <v>215</v>
      </c>
      <c r="JTZ67" s="154">
        <v>75</v>
      </c>
      <c r="JUA67" s="153">
        <v>150</v>
      </c>
      <c r="JUB67" s="155">
        <f>SUM(JTW67:JUA67)</f>
        <v>8675</v>
      </c>
      <c r="JUC67" s="153">
        <v>200</v>
      </c>
      <c r="JUD67" s="155">
        <f>SUM(JUB67:JUC67)</f>
        <v>8875</v>
      </c>
      <c r="JUE67" s="148" t="s">
        <v>96</v>
      </c>
      <c r="JUF67" s="149">
        <v>45845</v>
      </c>
      <c r="JUG67" s="144" t="s">
        <v>40</v>
      </c>
      <c r="JUH67" s="200"/>
      <c r="JUI67" s="150" t="s">
        <v>123</v>
      </c>
      <c r="JUJ67" s="198"/>
      <c r="JUK67" s="199"/>
      <c r="JUL67" s="144" t="s">
        <v>22</v>
      </c>
      <c r="JUM67" s="145">
        <v>8150</v>
      </c>
      <c r="JUN67" s="153">
        <v>85</v>
      </c>
      <c r="JUO67" s="154">
        <v>215</v>
      </c>
      <c r="JUP67" s="154">
        <v>75</v>
      </c>
      <c r="JUQ67" s="153">
        <v>150</v>
      </c>
      <c r="JUR67" s="155">
        <f>SUM(JUM67:JUQ67)</f>
        <v>8675</v>
      </c>
      <c r="JUS67" s="153">
        <v>200</v>
      </c>
      <c r="JUT67" s="155">
        <f>SUM(JUR67:JUS67)</f>
        <v>8875</v>
      </c>
      <c r="JUU67" s="148" t="s">
        <v>96</v>
      </c>
      <c r="JUV67" s="149">
        <v>45845</v>
      </c>
      <c r="JUW67" s="144" t="s">
        <v>40</v>
      </c>
      <c r="JUX67" s="200"/>
      <c r="JUY67" s="150" t="s">
        <v>123</v>
      </c>
      <c r="JUZ67" s="198"/>
      <c r="JVA67" s="199"/>
      <c r="JVB67" s="144" t="s">
        <v>22</v>
      </c>
      <c r="JVC67" s="145">
        <v>8150</v>
      </c>
      <c r="JVD67" s="153">
        <v>85</v>
      </c>
      <c r="JVE67" s="154">
        <v>215</v>
      </c>
      <c r="JVF67" s="154">
        <v>75</v>
      </c>
      <c r="JVG67" s="153">
        <v>150</v>
      </c>
      <c r="JVH67" s="155">
        <f>SUM(JVC67:JVG67)</f>
        <v>8675</v>
      </c>
      <c r="JVI67" s="153">
        <v>200</v>
      </c>
      <c r="JVJ67" s="155">
        <f>SUM(JVH67:JVI67)</f>
        <v>8875</v>
      </c>
      <c r="JVK67" s="148" t="s">
        <v>96</v>
      </c>
      <c r="JVL67" s="149">
        <v>45845</v>
      </c>
      <c r="JVM67" s="144" t="s">
        <v>40</v>
      </c>
      <c r="JVN67" s="200"/>
      <c r="JVO67" s="150" t="s">
        <v>123</v>
      </c>
      <c r="JVP67" s="198"/>
      <c r="JVQ67" s="199"/>
      <c r="JVR67" s="144" t="s">
        <v>22</v>
      </c>
      <c r="JVS67" s="145">
        <v>8150</v>
      </c>
      <c r="JVT67" s="153">
        <v>85</v>
      </c>
      <c r="JVU67" s="154">
        <v>215</v>
      </c>
      <c r="JVV67" s="154">
        <v>75</v>
      </c>
      <c r="JVW67" s="153">
        <v>150</v>
      </c>
      <c r="JVX67" s="155">
        <f>SUM(JVS67:JVW67)</f>
        <v>8675</v>
      </c>
      <c r="JVY67" s="153">
        <v>200</v>
      </c>
      <c r="JVZ67" s="155">
        <f>SUM(JVX67:JVY67)</f>
        <v>8875</v>
      </c>
      <c r="JWA67" s="148" t="s">
        <v>96</v>
      </c>
      <c r="JWB67" s="149">
        <v>45845</v>
      </c>
      <c r="JWC67" s="144" t="s">
        <v>40</v>
      </c>
      <c r="JWD67" s="200"/>
      <c r="JWE67" s="150" t="s">
        <v>123</v>
      </c>
      <c r="JWF67" s="198"/>
      <c r="JWG67" s="199"/>
      <c r="JWH67" s="144" t="s">
        <v>22</v>
      </c>
      <c r="JWI67" s="145">
        <v>8150</v>
      </c>
      <c r="JWJ67" s="153">
        <v>85</v>
      </c>
      <c r="JWK67" s="154">
        <v>215</v>
      </c>
      <c r="JWL67" s="154">
        <v>75</v>
      </c>
      <c r="JWM67" s="153">
        <v>150</v>
      </c>
      <c r="JWN67" s="155">
        <f>SUM(JWI67:JWM67)</f>
        <v>8675</v>
      </c>
      <c r="JWO67" s="153">
        <v>200</v>
      </c>
      <c r="JWP67" s="155">
        <f>SUM(JWN67:JWO67)</f>
        <v>8875</v>
      </c>
      <c r="JWQ67" s="148" t="s">
        <v>96</v>
      </c>
      <c r="JWR67" s="149">
        <v>45845</v>
      </c>
      <c r="JWS67" s="144" t="s">
        <v>40</v>
      </c>
      <c r="JWT67" s="200"/>
      <c r="JWU67" s="150" t="s">
        <v>123</v>
      </c>
      <c r="JWV67" s="198"/>
      <c r="JWW67" s="199"/>
      <c r="JWX67" s="144" t="s">
        <v>22</v>
      </c>
      <c r="JWY67" s="145">
        <v>8150</v>
      </c>
      <c r="JWZ67" s="153">
        <v>85</v>
      </c>
      <c r="JXA67" s="154">
        <v>215</v>
      </c>
      <c r="JXB67" s="154">
        <v>75</v>
      </c>
      <c r="JXC67" s="153">
        <v>150</v>
      </c>
      <c r="JXD67" s="155">
        <f>SUM(JWY67:JXC67)</f>
        <v>8675</v>
      </c>
      <c r="JXE67" s="153">
        <v>200</v>
      </c>
      <c r="JXF67" s="155">
        <f>SUM(JXD67:JXE67)</f>
        <v>8875</v>
      </c>
      <c r="JXG67" s="148" t="s">
        <v>96</v>
      </c>
      <c r="JXH67" s="149">
        <v>45845</v>
      </c>
      <c r="JXI67" s="144" t="s">
        <v>40</v>
      </c>
      <c r="JXJ67" s="200"/>
      <c r="JXK67" s="150" t="s">
        <v>123</v>
      </c>
      <c r="JXL67" s="198"/>
      <c r="JXM67" s="199"/>
      <c r="JXN67" s="144" t="s">
        <v>22</v>
      </c>
      <c r="JXO67" s="145">
        <v>8150</v>
      </c>
      <c r="JXP67" s="153">
        <v>85</v>
      </c>
      <c r="JXQ67" s="154">
        <v>215</v>
      </c>
      <c r="JXR67" s="154">
        <v>75</v>
      </c>
      <c r="JXS67" s="153">
        <v>150</v>
      </c>
      <c r="JXT67" s="155">
        <f>SUM(JXO67:JXS67)</f>
        <v>8675</v>
      </c>
      <c r="JXU67" s="153">
        <v>200</v>
      </c>
      <c r="JXV67" s="155">
        <f>SUM(JXT67:JXU67)</f>
        <v>8875</v>
      </c>
      <c r="JXW67" s="148" t="s">
        <v>96</v>
      </c>
      <c r="JXX67" s="149">
        <v>45845</v>
      </c>
      <c r="JXY67" s="144" t="s">
        <v>40</v>
      </c>
      <c r="JXZ67" s="200"/>
      <c r="JYA67" s="150" t="s">
        <v>123</v>
      </c>
      <c r="JYB67" s="198"/>
      <c r="JYC67" s="199"/>
      <c r="JYD67" s="144" t="s">
        <v>22</v>
      </c>
      <c r="JYE67" s="145">
        <v>8150</v>
      </c>
      <c r="JYF67" s="153">
        <v>85</v>
      </c>
      <c r="JYG67" s="154">
        <v>215</v>
      </c>
      <c r="JYH67" s="154">
        <v>75</v>
      </c>
      <c r="JYI67" s="153">
        <v>150</v>
      </c>
      <c r="JYJ67" s="155">
        <f>SUM(JYE67:JYI67)</f>
        <v>8675</v>
      </c>
      <c r="JYK67" s="153">
        <v>200</v>
      </c>
      <c r="JYL67" s="155">
        <f>SUM(JYJ67:JYK67)</f>
        <v>8875</v>
      </c>
      <c r="JYM67" s="148" t="s">
        <v>96</v>
      </c>
      <c r="JYN67" s="149">
        <v>45845</v>
      </c>
      <c r="JYO67" s="144" t="s">
        <v>40</v>
      </c>
      <c r="JYP67" s="200"/>
      <c r="JYQ67" s="150" t="s">
        <v>123</v>
      </c>
      <c r="JYR67" s="198"/>
      <c r="JYS67" s="199"/>
      <c r="JYT67" s="144" t="s">
        <v>22</v>
      </c>
      <c r="JYU67" s="145">
        <v>8150</v>
      </c>
      <c r="JYV67" s="153">
        <v>85</v>
      </c>
      <c r="JYW67" s="154">
        <v>215</v>
      </c>
      <c r="JYX67" s="154">
        <v>75</v>
      </c>
      <c r="JYY67" s="153">
        <v>150</v>
      </c>
      <c r="JYZ67" s="155">
        <f>SUM(JYU67:JYY67)</f>
        <v>8675</v>
      </c>
      <c r="JZA67" s="153">
        <v>200</v>
      </c>
      <c r="JZB67" s="155">
        <f>SUM(JYZ67:JZA67)</f>
        <v>8875</v>
      </c>
      <c r="JZC67" s="148" t="s">
        <v>96</v>
      </c>
      <c r="JZD67" s="149">
        <v>45845</v>
      </c>
      <c r="JZE67" s="144" t="s">
        <v>40</v>
      </c>
      <c r="JZF67" s="200"/>
      <c r="JZG67" s="150" t="s">
        <v>123</v>
      </c>
      <c r="JZH67" s="198"/>
      <c r="JZI67" s="199"/>
      <c r="JZJ67" s="144" t="s">
        <v>22</v>
      </c>
      <c r="JZK67" s="145">
        <v>8150</v>
      </c>
      <c r="JZL67" s="153">
        <v>85</v>
      </c>
      <c r="JZM67" s="154">
        <v>215</v>
      </c>
      <c r="JZN67" s="154">
        <v>75</v>
      </c>
      <c r="JZO67" s="153">
        <v>150</v>
      </c>
      <c r="JZP67" s="155">
        <f>SUM(JZK67:JZO67)</f>
        <v>8675</v>
      </c>
      <c r="JZQ67" s="153">
        <v>200</v>
      </c>
      <c r="JZR67" s="155">
        <f>SUM(JZP67:JZQ67)</f>
        <v>8875</v>
      </c>
      <c r="JZS67" s="148" t="s">
        <v>96</v>
      </c>
      <c r="JZT67" s="149">
        <v>45845</v>
      </c>
      <c r="JZU67" s="144" t="s">
        <v>40</v>
      </c>
      <c r="JZV67" s="200"/>
      <c r="JZW67" s="150" t="s">
        <v>123</v>
      </c>
      <c r="JZX67" s="198"/>
      <c r="JZY67" s="199"/>
      <c r="JZZ67" s="144" t="s">
        <v>22</v>
      </c>
      <c r="KAA67" s="145">
        <v>8150</v>
      </c>
      <c r="KAB67" s="153">
        <v>85</v>
      </c>
      <c r="KAC67" s="154">
        <v>215</v>
      </c>
      <c r="KAD67" s="154">
        <v>75</v>
      </c>
      <c r="KAE67" s="153">
        <v>150</v>
      </c>
      <c r="KAF67" s="155">
        <f>SUM(KAA67:KAE67)</f>
        <v>8675</v>
      </c>
      <c r="KAG67" s="153">
        <v>200</v>
      </c>
      <c r="KAH67" s="155">
        <f>SUM(KAF67:KAG67)</f>
        <v>8875</v>
      </c>
      <c r="KAI67" s="148" t="s">
        <v>96</v>
      </c>
      <c r="KAJ67" s="149">
        <v>45845</v>
      </c>
      <c r="KAK67" s="144" t="s">
        <v>40</v>
      </c>
      <c r="KAL67" s="200"/>
      <c r="KAM67" s="150" t="s">
        <v>123</v>
      </c>
      <c r="KAN67" s="198"/>
      <c r="KAO67" s="199"/>
      <c r="KAP67" s="144" t="s">
        <v>22</v>
      </c>
      <c r="KAQ67" s="145">
        <v>8150</v>
      </c>
      <c r="KAR67" s="153">
        <v>85</v>
      </c>
      <c r="KAS67" s="154">
        <v>215</v>
      </c>
      <c r="KAT67" s="154">
        <v>75</v>
      </c>
      <c r="KAU67" s="153">
        <v>150</v>
      </c>
      <c r="KAV67" s="155">
        <f>SUM(KAQ67:KAU67)</f>
        <v>8675</v>
      </c>
      <c r="KAW67" s="153">
        <v>200</v>
      </c>
      <c r="KAX67" s="155">
        <f>SUM(KAV67:KAW67)</f>
        <v>8875</v>
      </c>
      <c r="KAY67" s="148" t="s">
        <v>96</v>
      </c>
      <c r="KAZ67" s="149">
        <v>45845</v>
      </c>
      <c r="KBA67" s="144" t="s">
        <v>40</v>
      </c>
      <c r="KBB67" s="200"/>
      <c r="KBC67" s="150" t="s">
        <v>123</v>
      </c>
      <c r="KBD67" s="198"/>
      <c r="KBE67" s="199"/>
      <c r="KBF67" s="144" t="s">
        <v>22</v>
      </c>
      <c r="KBG67" s="145">
        <v>8150</v>
      </c>
      <c r="KBH67" s="153">
        <v>85</v>
      </c>
      <c r="KBI67" s="154">
        <v>215</v>
      </c>
      <c r="KBJ67" s="154">
        <v>75</v>
      </c>
      <c r="KBK67" s="153">
        <v>150</v>
      </c>
      <c r="KBL67" s="155">
        <f>SUM(KBG67:KBK67)</f>
        <v>8675</v>
      </c>
      <c r="KBM67" s="153">
        <v>200</v>
      </c>
      <c r="KBN67" s="155">
        <f>SUM(KBL67:KBM67)</f>
        <v>8875</v>
      </c>
      <c r="KBO67" s="148" t="s">
        <v>96</v>
      </c>
      <c r="KBP67" s="149">
        <v>45845</v>
      </c>
      <c r="KBQ67" s="144" t="s">
        <v>40</v>
      </c>
      <c r="KBR67" s="200"/>
      <c r="KBS67" s="150" t="s">
        <v>123</v>
      </c>
      <c r="KBT67" s="198"/>
      <c r="KBU67" s="199"/>
      <c r="KBV67" s="144" t="s">
        <v>22</v>
      </c>
      <c r="KBW67" s="145">
        <v>8150</v>
      </c>
      <c r="KBX67" s="153">
        <v>85</v>
      </c>
      <c r="KBY67" s="154">
        <v>215</v>
      </c>
      <c r="KBZ67" s="154">
        <v>75</v>
      </c>
      <c r="KCA67" s="153">
        <v>150</v>
      </c>
      <c r="KCB67" s="155">
        <f>SUM(KBW67:KCA67)</f>
        <v>8675</v>
      </c>
      <c r="KCC67" s="153">
        <v>200</v>
      </c>
      <c r="KCD67" s="155">
        <f>SUM(KCB67:KCC67)</f>
        <v>8875</v>
      </c>
      <c r="KCE67" s="148" t="s">
        <v>96</v>
      </c>
      <c r="KCF67" s="149">
        <v>45845</v>
      </c>
      <c r="KCG67" s="144" t="s">
        <v>40</v>
      </c>
      <c r="KCH67" s="200"/>
      <c r="KCI67" s="150" t="s">
        <v>123</v>
      </c>
      <c r="KCJ67" s="198"/>
      <c r="KCK67" s="199"/>
      <c r="KCL67" s="144" t="s">
        <v>22</v>
      </c>
      <c r="KCM67" s="145">
        <v>8150</v>
      </c>
      <c r="KCN67" s="153">
        <v>85</v>
      </c>
      <c r="KCO67" s="154">
        <v>215</v>
      </c>
      <c r="KCP67" s="154">
        <v>75</v>
      </c>
      <c r="KCQ67" s="153">
        <v>150</v>
      </c>
      <c r="KCR67" s="155">
        <f>SUM(KCM67:KCQ67)</f>
        <v>8675</v>
      </c>
      <c r="KCS67" s="153">
        <v>200</v>
      </c>
      <c r="KCT67" s="155">
        <f>SUM(KCR67:KCS67)</f>
        <v>8875</v>
      </c>
      <c r="KCU67" s="148" t="s">
        <v>96</v>
      </c>
      <c r="KCV67" s="149">
        <v>45845</v>
      </c>
      <c r="KCW67" s="144" t="s">
        <v>40</v>
      </c>
      <c r="KCX67" s="200"/>
      <c r="KCY67" s="150" t="s">
        <v>123</v>
      </c>
      <c r="KCZ67" s="198"/>
      <c r="KDA67" s="199"/>
      <c r="KDB67" s="144" t="s">
        <v>22</v>
      </c>
      <c r="KDC67" s="145">
        <v>8150</v>
      </c>
      <c r="KDD67" s="153">
        <v>85</v>
      </c>
      <c r="KDE67" s="154">
        <v>215</v>
      </c>
      <c r="KDF67" s="154">
        <v>75</v>
      </c>
      <c r="KDG67" s="153">
        <v>150</v>
      </c>
      <c r="KDH67" s="155">
        <f>SUM(KDC67:KDG67)</f>
        <v>8675</v>
      </c>
      <c r="KDI67" s="153">
        <v>200</v>
      </c>
      <c r="KDJ67" s="155">
        <f>SUM(KDH67:KDI67)</f>
        <v>8875</v>
      </c>
      <c r="KDK67" s="148" t="s">
        <v>96</v>
      </c>
      <c r="KDL67" s="149">
        <v>45845</v>
      </c>
      <c r="KDM67" s="144" t="s">
        <v>40</v>
      </c>
      <c r="KDN67" s="200"/>
      <c r="KDO67" s="150" t="s">
        <v>123</v>
      </c>
      <c r="KDP67" s="198"/>
      <c r="KDQ67" s="199"/>
      <c r="KDR67" s="144" t="s">
        <v>22</v>
      </c>
      <c r="KDS67" s="145">
        <v>8150</v>
      </c>
      <c r="KDT67" s="153">
        <v>85</v>
      </c>
      <c r="KDU67" s="154">
        <v>215</v>
      </c>
      <c r="KDV67" s="154">
        <v>75</v>
      </c>
      <c r="KDW67" s="153">
        <v>150</v>
      </c>
      <c r="KDX67" s="155">
        <f>SUM(KDS67:KDW67)</f>
        <v>8675</v>
      </c>
      <c r="KDY67" s="153">
        <v>200</v>
      </c>
      <c r="KDZ67" s="155">
        <f>SUM(KDX67:KDY67)</f>
        <v>8875</v>
      </c>
      <c r="KEA67" s="148" t="s">
        <v>96</v>
      </c>
      <c r="KEB67" s="149">
        <v>45845</v>
      </c>
      <c r="KEC67" s="144" t="s">
        <v>40</v>
      </c>
      <c r="KED67" s="200"/>
      <c r="KEE67" s="150" t="s">
        <v>123</v>
      </c>
      <c r="KEF67" s="198"/>
      <c r="KEG67" s="199"/>
      <c r="KEH67" s="144" t="s">
        <v>22</v>
      </c>
      <c r="KEI67" s="145">
        <v>8150</v>
      </c>
      <c r="KEJ67" s="153">
        <v>85</v>
      </c>
      <c r="KEK67" s="154">
        <v>215</v>
      </c>
      <c r="KEL67" s="154">
        <v>75</v>
      </c>
      <c r="KEM67" s="153">
        <v>150</v>
      </c>
      <c r="KEN67" s="155">
        <f>SUM(KEI67:KEM67)</f>
        <v>8675</v>
      </c>
      <c r="KEO67" s="153">
        <v>200</v>
      </c>
      <c r="KEP67" s="155">
        <f>SUM(KEN67:KEO67)</f>
        <v>8875</v>
      </c>
      <c r="KEQ67" s="148" t="s">
        <v>96</v>
      </c>
      <c r="KER67" s="149">
        <v>45845</v>
      </c>
      <c r="KES67" s="144" t="s">
        <v>40</v>
      </c>
      <c r="KET67" s="200"/>
      <c r="KEU67" s="150" t="s">
        <v>123</v>
      </c>
      <c r="KEV67" s="198"/>
      <c r="KEW67" s="199"/>
      <c r="KEX67" s="144" t="s">
        <v>22</v>
      </c>
      <c r="KEY67" s="145">
        <v>8150</v>
      </c>
      <c r="KEZ67" s="153">
        <v>85</v>
      </c>
      <c r="KFA67" s="154">
        <v>215</v>
      </c>
      <c r="KFB67" s="154">
        <v>75</v>
      </c>
      <c r="KFC67" s="153">
        <v>150</v>
      </c>
      <c r="KFD67" s="155">
        <f>SUM(KEY67:KFC67)</f>
        <v>8675</v>
      </c>
      <c r="KFE67" s="153">
        <v>200</v>
      </c>
      <c r="KFF67" s="155">
        <f>SUM(KFD67:KFE67)</f>
        <v>8875</v>
      </c>
      <c r="KFG67" s="148" t="s">
        <v>96</v>
      </c>
      <c r="KFH67" s="149">
        <v>45845</v>
      </c>
      <c r="KFI67" s="144" t="s">
        <v>40</v>
      </c>
      <c r="KFJ67" s="200"/>
      <c r="KFK67" s="150" t="s">
        <v>123</v>
      </c>
      <c r="KFL67" s="198"/>
      <c r="KFM67" s="199"/>
      <c r="KFN67" s="144" t="s">
        <v>22</v>
      </c>
      <c r="KFO67" s="145">
        <v>8150</v>
      </c>
      <c r="KFP67" s="153">
        <v>85</v>
      </c>
      <c r="KFQ67" s="154">
        <v>215</v>
      </c>
      <c r="KFR67" s="154">
        <v>75</v>
      </c>
      <c r="KFS67" s="153">
        <v>150</v>
      </c>
      <c r="KFT67" s="155">
        <f>SUM(KFO67:KFS67)</f>
        <v>8675</v>
      </c>
      <c r="KFU67" s="153">
        <v>200</v>
      </c>
      <c r="KFV67" s="155">
        <f>SUM(KFT67:KFU67)</f>
        <v>8875</v>
      </c>
      <c r="KFW67" s="148" t="s">
        <v>96</v>
      </c>
      <c r="KFX67" s="149">
        <v>45845</v>
      </c>
      <c r="KFY67" s="144" t="s">
        <v>40</v>
      </c>
      <c r="KFZ67" s="200"/>
      <c r="KGA67" s="150" t="s">
        <v>123</v>
      </c>
      <c r="KGB67" s="198"/>
      <c r="KGC67" s="199"/>
      <c r="KGD67" s="144" t="s">
        <v>22</v>
      </c>
      <c r="KGE67" s="145">
        <v>8150</v>
      </c>
      <c r="KGF67" s="153">
        <v>85</v>
      </c>
      <c r="KGG67" s="154">
        <v>215</v>
      </c>
      <c r="KGH67" s="154">
        <v>75</v>
      </c>
      <c r="KGI67" s="153">
        <v>150</v>
      </c>
      <c r="KGJ67" s="155">
        <f>SUM(KGE67:KGI67)</f>
        <v>8675</v>
      </c>
      <c r="KGK67" s="153">
        <v>200</v>
      </c>
      <c r="KGL67" s="155">
        <f>SUM(KGJ67:KGK67)</f>
        <v>8875</v>
      </c>
      <c r="KGM67" s="148" t="s">
        <v>96</v>
      </c>
      <c r="KGN67" s="149">
        <v>45845</v>
      </c>
      <c r="KGO67" s="144" t="s">
        <v>40</v>
      </c>
      <c r="KGP67" s="200"/>
      <c r="KGQ67" s="150" t="s">
        <v>123</v>
      </c>
      <c r="KGR67" s="198"/>
      <c r="KGS67" s="199"/>
      <c r="KGT67" s="144" t="s">
        <v>22</v>
      </c>
      <c r="KGU67" s="145">
        <v>8150</v>
      </c>
      <c r="KGV67" s="153">
        <v>85</v>
      </c>
      <c r="KGW67" s="154">
        <v>215</v>
      </c>
      <c r="KGX67" s="154">
        <v>75</v>
      </c>
      <c r="KGY67" s="153">
        <v>150</v>
      </c>
      <c r="KGZ67" s="155">
        <f>SUM(KGU67:KGY67)</f>
        <v>8675</v>
      </c>
      <c r="KHA67" s="153">
        <v>200</v>
      </c>
      <c r="KHB67" s="155">
        <f>SUM(KGZ67:KHA67)</f>
        <v>8875</v>
      </c>
      <c r="KHC67" s="148" t="s">
        <v>96</v>
      </c>
      <c r="KHD67" s="149">
        <v>45845</v>
      </c>
      <c r="KHE67" s="144" t="s">
        <v>40</v>
      </c>
      <c r="KHF67" s="200"/>
      <c r="KHG67" s="150" t="s">
        <v>123</v>
      </c>
      <c r="KHH67" s="198"/>
      <c r="KHI67" s="199"/>
      <c r="KHJ67" s="144" t="s">
        <v>22</v>
      </c>
      <c r="KHK67" s="145">
        <v>8150</v>
      </c>
      <c r="KHL67" s="153">
        <v>85</v>
      </c>
      <c r="KHM67" s="154">
        <v>215</v>
      </c>
      <c r="KHN67" s="154">
        <v>75</v>
      </c>
      <c r="KHO67" s="153">
        <v>150</v>
      </c>
      <c r="KHP67" s="155">
        <f>SUM(KHK67:KHO67)</f>
        <v>8675</v>
      </c>
      <c r="KHQ67" s="153">
        <v>200</v>
      </c>
      <c r="KHR67" s="155">
        <f>SUM(KHP67:KHQ67)</f>
        <v>8875</v>
      </c>
      <c r="KHS67" s="148" t="s">
        <v>96</v>
      </c>
      <c r="KHT67" s="149">
        <v>45845</v>
      </c>
      <c r="KHU67" s="144" t="s">
        <v>40</v>
      </c>
      <c r="KHV67" s="200"/>
      <c r="KHW67" s="150" t="s">
        <v>123</v>
      </c>
      <c r="KHX67" s="198"/>
      <c r="KHY67" s="199"/>
      <c r="KHZ67" s="144" t="s">
        <v>22</v>
      </c>
      <c r="KIA67" s="145">
        <v>8150</v>
      </c>
      <c r="KIB67" s="153">
        <v>85</v>
      </c>
      <c r="KIC67" s="154">
        <v>215</v>
      </c>
      <c r="KID67" s="154">
        <v>75</v>
      </c>
      <c r="KIE67" s="153">
        <v>150</v>
      </c>
      <c r="KIF67" s="155">
        <f>SUM(KIA67:KIE67)</f>
        <v>8675</v>
      </c>
      <c r="KIG67" s="153">
        <v>200</v>
      </c>
      <c r="KIH67" s="155">
        <f>SUM(KIF67:KIG67)</f>
        <v>8875</v>
      </c>
      <c r="KII67" s="148" t="s">
        <v>96</v>
      </c>
      <c r="KIJ67" s="149">
        <v>45845</v>
      </c>
      <c r="KIK67" s="144" t="s">
        <v>40</v>
      </c>
      <c r="KIL67" s="200"/>
      <c r="KIM67" s="150" t="s">
        <v>123</v>
      </c>
      <c r="KIN67" s="198"/>
      <c r="KIO67" s="199"/>
      <c r="KIP67" s="144" t="s">
        <v>22</v>
      </c>
      <c r="KIQ67" s="145">
        <v>8150</v>
      </c>
      <c r="KIR67" s="153">
        <v>85</v>
      </c>
      <c r="KIS67" s="154">
        <v>215</v>
      </c>
      <c r="KIT67" s="154">
        <v>75</v>
      </c>
      <c r="KIU67" s="153">
        <v>150</v>
      </c>
      <c r="KIV67" s="155">
        <f>SUM(KIQ67:KIU67)</f>
        <v>8675</v>
      </c>
      <c r="KIW67" s="153">
        <v>200</v>
      </c>
      <c r="KIX67" s="155">
        <f>SUM(KIV67:KIW67)</f>
        <v>8875</v>
      </c>
      <c r="KIY67" s="148" t="s">
        <v>96</v>
      </c>
      <c r="KIZ67" s="149">
        <v>45845</v>
      </c>
      <c r="KJA67" s="144" t="s">
        <v>40</v>
      </c>
      <c r="KJB67" s="200"/>
      <c r="KJC67" s="150" t="s">
        <v>123</v>
      </c>
      <c r="KJD67" s="198"/>
      <c r="KJE67" s="199"/>
      <c r="KJF67" s="144" t="s">
        <v>22</v>
      </c>
      <c r="KJG67" s="145">
        <v>8150</v>
      </c>
      <c r="KJH67" s="153">
        <v>85</v>
      </c>
      <c r="KJI67" s="154">
        <v>215</v>
      </c>
      <c r="KJJ67" s="154">
        <v>75</v>
      </c>
      <c r="KJK67" s="153">
        <v>150</v>
      </c>
      <c r="KJL67" s="155">
        <f>SUM(KJG67:KJK67)</f>
        <v>8675</v>
      </c>
      <c r="KJM67" s="153">
        <v>200</v>
      </c>
      <c r="KJN67" s="155">
        <f>SUM(KJL67:KJM67)</f>
        <v>8875</v>
      </c>
      <c r="KJO67" s="148" t="s">
        <v>96</v>
      </c>
      <c r="KJP67" s="149">
        <v>45845</v>
      </c>
      <c r="KJQ67" s="144" t="s">
        <v>40</v>
      </c>
      <c r="KJR67" s="200"/>
      <c r="KJS67" s="150" t="s">
        <v>123</v>
      </c>
      <c r="KJT67" s="198"/>
      <c r="KJU67" s="199"/>
      <c r="KJV67" s="144" t="s">
        <v>22</v>
      </c>
      <c r="KJW67" s="145">
        <v>8150</v>
      </c>
      <c r="KJX67" s="153">
        <v>85</v>
      </c>
      <c r="KJY67" s="154">
        <v>215</v>
      </c>
      <c r="KJZ67" s="154">
        <v>75</v>
      </c>
      <c r="KKA67" s="153">
        <v>150</v>
      </c>
      <c r="KKB67" s="155">
        <f>SUM(KJW67:KKA67)</f>
        <v>8675</v>
      </c>
      <c r="KKC67" s="153">
        <v>200</v>
      </c>
      <c r="KKD67" s="155">
        <f>SUM(KKB67:KKC67)</f>
        <v>8875</v>
      </c>
      <c r="KKE67" s="148" t="s">
        <v>96</v>
      </c>
      <c r="KKF67" s="149">
        <v>45845</v>
      </c>
      <c r="KKG67" s="144" t="s">
        <v>40</v>
      </c>
      <c r="KKH67" s="200"/>
      <c r="KKI67" s="150" t="s">
        <v>123</v>
      </c>
      <c r="KKJ67" s="198"/>
      <c r="KKK67" s="199"/>
      <c r="KKL67" s="144" t="s">
        <v>22</v>
      </c>
      <c r="KKM67" s="145">
        <v>8150</v>
      </c>
      <c r="KKN67" s="153">
        <v>85</v>
      </c>
      <c r="KKO67" s="154">
        <v>215</v>
      </c>
      <c r="KKP67" s="154">
        <v>75</v>
      </c>
      <c r="KKQ67" s="153">
        <v>150</v>
      </c>
      <c r="KKR67" s="155">
        <f>SUM(KKM67:KKQ67)</f>
        <v>8675</v>
      </c>
      <c r="KKS67" s="153">
        <v>200</v>
      </c>
      <c r="KKT67" s="155">
        <f>SUM(KKR67:KKS67)</f>
        <v>8875</v>
      </c>
      <c r="KKU67" s="148" t="s">
        <v>96</v>
      </c>
      <c r="KKV67" s="149">
        <v>45845</v>
      </c>
      <c r="KKW67" s="144" t="s">
        <v>40</v>
      </c>
      <c r="KKX67" s="200"/>
      <c r="KKY67" s="150" t="s">
        <v>123</v>
      </c>
      <c r="KKZ67" s="198"/>
      <c r="KLA67" s="199"/>
      <c r="KLB67" s="144" t="s">
        <v>22</v>
      </c>
      <c r="KLC67" s="145">
        <v>8150</v>
      </c>
      <c r="KLD67" s="153">
        <v>85</v>
      </c>
      <c r="KLE67" s="154">
        <v>215</v>
      </c>
      <c r="KLF67" s="154">
        <v>75</v>
      </c>
      <c r="KLG67" s="153">
        <v>150</v>
      </c>
      <c r="KLH67" s="155">
        <f>SUM(KLC67:KLG67)</f>
        <v>8675</v>
      </c>
      <c r="KLI67" s="153">
        <v>200</v>
      </c>
      <c r="KLJ67" s="155">
        <f>SUM(KLH67:KLI67)</f>
        <v>8875</v>
      </c>
      <c r="KLK67" s="148" t="s">
        <v>96</v>
      </c>
      <c r="KLL67" s="149">
        <v>45845</v>
      </c>
      <c r="KLM67" s="144" t="s">
        <v>40</v>
      </c>
      <c r="KLN67" s="200"/>
      <c r="KLO67" s="150" t="s">
        <v>123</v>
      </c>
      <c r="KLP67" s="198"/>
      <c r="KLQ67" s="199"/>
      <c r="KLR67" s="144" t="s">
        <v>22</v>
      </c>
      <c r="KLS67" s="145">
        <v>8150</v>
      </c>
      <c r="KLT67" s="153">
        <v>85</v>
      </c>
      <c r="KLU67" s="154">
        <v>215</v>
      </c>
      <c r="KLV67" s="154">
        <v>75</v>
      </c>
      <c r="KLW67" s="153">
        <v>150</v>
      </c>
      <c r="KLX67" s="155">
        <f>SUM(KLS67:KLW67)</f>
        <v>8675</v>
      </c>
      <c r="KLY67" s="153">
        <v>200</v>
      </c>
      <c r="KLZ67" s="155">
        <f>SUM(KLX67:KLY67)</f>
        <v>8875</v>
      </c>
      <c r="KMA67" s="148" t="s">
        <v>96</v>
      </c>
      <c r="KMB67" s="149">
        <v>45845</v>
      </c>
      <c r="KMC67" s="144" t="s">
        <v>40</v>
      </c>
      <c r="KMD67" s="200"/>
      <c r="KME67" s="150" t="s">
        <v>123</v>
      </c>
      <c r="KMF67" s="198"/>
      <c r="KMG67" s="199"/>
      <c r="KMH67" s="144" t="s">
        <v>22</v>
      </c>
      <c r="KMI67" s="145">
        <v>8150</v>
      </c>
      <c r="KMJ67" s="153">
        <v>85</v>
      </c>
      <c r="KMK67" s="154">
        <v>215</v>
      </c>
      <c r="KML67" s="154">
        <v>75</v>
      </c>
      <c r="KMM67" s="153">
        <v>150</v>
      </c>
      <c r="KMN67" s="155">
        <f>SUM(KMI67:KMM67)</f>
        <v>8675</v>
      </c>
      <c r="KMO67" s="153">
        <v>200</v>
      </c>
      <c r="KMP67" s="155">
        <f>SUM(KMN67:KMO67)</f>
        <v>8875</v>
      </c>
      <c r="KMQ67" s="148" t="s">
        <v>96</v>
      </c>
      <c r="KMR67" s="149">
        <v>45845</v>
      </c>
      <c r="KMS67" s="144" t="s">
        <v>40</v>
      </c>
      <c r="KMT67" s="200"/>
      <c r="KMU67" s="150" t="s">
        <v>123</v>
      </c>
      <c r="KMV67" s="198"/>
      <c r="KMW67" s="199"/>
      <c r="KMX67" s="144" t="s">
        <v>22</v>
      </c>
      <c r="KMY67" s="145">
        <v>8150</v>
      </c>
      <c r="KMZ67" s="153">
        <v>85</v>
      </c>
      <c r="KNA67" s="154">
        <v>215</v>
      </c>
      <c r="KNB67" s="154">
        <v>75</v>
      </c>
      <c r="KNC67" s="153">
        <v>150</v>
      </c>
      <c r="KND67" s="155">
        <f>SUM(KMY67:KNC67)</f>
        <v>8675</v>
      </c>
      <c r="KNE67" s="153">
        <v>200</v>
      </c>
      <c r="KNF67" s="155">
        <f>SUM(KND67:KNE67)</f>
        <v>8875</v>
      </c>
      <c r="KNG67" s="148" t="s">
        <v>96</v>
      </c>
      <c r="KNH67" s="149">
        <v>45845</v>
      </c>
      <c r="KNI67" s="144" t="s">
        <v>40</v>
      </c>
      <c r="KNJ67" s="200"/>
      <c r="KNK67" s="150" t="s">
        <v>123</v>
      </c>
      <c r="KNL67" s="198"/>
      <c r="KNM67" s="199"/>
      <c r="KNN67" s="144" t="s">
        <v>22</v>
      </c>
      <c r="KNO67" s="145">
        <v>8150</v>
      </c>
      <c r="KNP67" s="153">
        <v>85</v>
      </c>
      <c r="KNQ67" s="154">
        <v>215</v>
      </c>
      <c r="KNR67" s="154">
        <v>75</v>
      </c>
      <c r="KNS67" s="153">
        <v>150</v>
      </c>
      <c r="KNT67" s="155">
        <f>SUM(KNO67:KNS67)</f>
        <v>8675</v>
      </c>
      <c r="KNU67" s="153">
        <v>200</v>
      </c>
      <c r="KNV67" s="155">
        <f>SUM(KNT67:KNU67)</f>
        <v>8875</v>
      </c>
      <c r="KNW67" s="148" t="s">
        <v>96</v>
      </c>
      <c r="KNX67" s="149">
        <v>45845</v>
      </c>
      <c r="KNY67" s="144" t="s">
        <v>40</v>
      </c>
      <c r="KNZ67" s="200"/>
      <c r="KOA67" s="150" t="s">
        <v>123</v>
      </c>
      <c r="KOB67" s="198"/>
      <c r="KOC67" s="199"/>
      <c r="KOD67" s="144" t="s">
        <v>22</v>
      </c>
      <c r="KOE67" s="145">
        <v>8150</v>
      </c>
      <c r="KOF67" s="153">
        <v>85</v>
      </c>
      <c r="KOG67" s="154">
        <v>215</v>
      </c>
      <c r="KOH67" s="154">
        <v>75</v>
      </c>
      <c r="KOI67" s="153">
        <v>150</v>
      </c>
      <c r="KOJ67" s="155">
        <f>SUM(KOE67:KOI67)</f>
        <v>8675</v>
      </c>
      <c r="KOK67" s="153">
        <v>200</v>
      </c>
      <c r="KOL67" s="155">
        <f>SUM(KOJ67:KOK67)</f>
        <v>8875</v>
      </c>
      <c r="KOM67" s="148" t="s">
        <v>96</v>
      </c>
      <c r="KON67" s="149">
        <v>45845</v>
      </c>
      <c r="KOO67" s="144" t="s">
        <v>40</v>
      </c>
      <c r="KOP67" s="200"/>
      <c r="KOQ67" s="150" t="s">
        <v>123</v>
      </c>
      <c r="KOR67" s="198"/>
      <c r="KOS67" s="199"/>
      <c r="KOT67" s="144" t="s">
        <v>22</v>
      </c>
      <c r="KOU67" s="145">
        <v>8150</v>
      </c>
      <c r="KOV67" s="153">
        <v>85</v>
      </c>
      <c r="KOW67" s="154">
        <v>215</v>
      </c>
      <c r="KOX67" s="154">
        <v>75</v>
      </c>
      <c r="KOY67" s="153">
        <v>150</v>
      </c>
      <c r="KOZ67" s="155">
        <f>SUM(KOU67:KOY67)</f>
        <v>8675</v>
      </c>
      <c r="KPA67" s="153">
        <v>200</v>
      </c>
      <c r="KPB67" s="155">
        <f>SUM(KOZ67:KPA67)</f>
        <v>8875</v>
      </c>
      <c r="KPC67" s="148" t="s">
        <v>96</v>
      </c>
      <c r="KPD67" s="149">
        <v>45845</v>
      </c>
      <c r="KPE67" s="144" t="s">
        <v>40</v>
      </c>
      <c r="KPF67" s="200"/>
      <c r="KPG67" s="150" t="s">
        <v>123</v>
      </c>
      <c r="KPH67" s="198"/>
      <c r="KPI67" s="199"/>
      <c r="KPJ67" s="144" t="s">
        <v>22</v>
      </c>
      <c r="KPK67" s="145">
        <v>8150</v>
      </c>
      <c r="KPL67" s="153">
        <v>85</v>
      </c>
      <c r="KPM67" s="154">
        <v>215</v>
      </c>
      <c r="KPN67" s="154">
        <v>75</v>
      </c>
      <c r="KPO67" s="153">
        <v>150</v>
      </c>
      <c r="KPP67" s="155">
        <f>SUM(KPK67:KPO67)</f>
        <v>8675</v>
      </c>
      <c r="KPQ67" s="153">
        <v>200</v>
      </c>
      <c r="KPR67" s="155">
        <f>SUM(KPP67:KPQ67)</f>
        <v>8875</v>
      </c>
      <c r="KPS67" s="148" t="s">
        <v>96</v>
      </c>
      <c r="KPT67" s="149">
        <v>45845</v>
      </c>
      <c r="KPU67" s="144" t="s">
        <v>40</v>
      </c>
      <c r="KPV67" s="200"/>
      <c r="KPW67" s="150" t="s">
        <v>123</v>
      </c>
      <c r="KPX67" s="198"/>
      <c r="KPY67" s="199"/>
      <c r="KPZ67" s="144" t="s">
        <v>22</v>
      </c>
      <c r="KQA67" s="145">
        <v>8150</v>
      </c>
      <c r="KQB67" s="153">
        <v>85</v>
      </c>
      <c r="KQC67" s="154">
        <v>215</v>
      </c>
      <c r="KQD67" s="154">
        <v>75</v>
      </c>
      <c r="KQE67" s="153">
        <v>150</v>
      </c>
      <c r="KQF67" s="155">
        <f>SUM(KQA67:KQE67)</f>
        <v>8675</v>
      </c>
      <c r="KQG67" s="153">
        <v>200</v>
      </c>
      <c r="KQH67" s="155">
        <f>SUM(KQF67:KQG67)</f>
        <v>8875</v>
      </c>
      <c r="KQI67" s="148" t="s">
        <v>96</v>
      </c>
      <c r="KQJ67" s="149">
        <v>45845</v>
      </c>
      <c r="KQK67" s="144" t="s">
        <v>40</v>
      </c>
      <c r="KQL67" s="200"/>
      <c r="KQM67" s="150" t="s">
        <v>123</v>
      </c>
      <c r="KQN67" s="198"/>
      <c r="KQO67" s="199"/>
      <c r="KQP67" s="144" t="s">
        <v>22</v>
      </c>
      <c r="KQQ67" s="145">
        <v>8150</v>
      </c>
      <c r="KQR67" s="153">
        <v>85</v>
      </c>
      <c r="KQS67" s="154">
        <v>215</v>
      </c>
      <c r="KQT67" s="154">
        <v>75</v>
      </c>
      <c r="KQU67" s="153">
        <v>150</v>
      </c>
      <c r="KQV67" s="155">
        <f>SUM(KQQ67:KQU67)</f>
        <v>8675</v>
      </c>
      <c r="KQW67" s="153">
        <v>200</v>
      </c>
      <c r="KQX67" s="155">
        <f>SUM(KQV67:KQW67)</f>
        <v>8875</v>
      </c>
      <c r="KQY67" s="148" t="s">
        <v>96</v>
      </c>
      <c r="KQZ67" s="149">
        <v>45845</v>
      </c>
      <c r="KRA67" s="144" t="s">
        <v>40</v>
      </c>
      <c r="KRB67" s="200"/>
      <c r="KRC67" s="150" t="s">
        <v>123</v>
      </c>
      <c r="KRD67" s="198"/>
      <c r="KRE67" s="199"/>
      <c r="KRF67" s="144" t="s">
        <v>22</v>
      </c>
      <c r="KRG67" s="145">
        <v>8150</v>
      </c>
      <c r="KRH67" s="153">
        <v>85</v>
      </c>
      <c r="KRI67" s="154">
        <v>215</v>
      </c>
      <c r="KRJ67" s="154">
        <v>75</v>
      </c>
      <c r="KRK67" s="153">
        <v>150</v>
      </c>
      <c r="KRL67" s="155">
        <f>SUM(KRG67:KRK67)</f>
        <v>8675</v>
      </c>
      <c r="KRM67" s="153">
        <v>200</v>
      </c>
      <c r="KRN67" s="155">
        <f>SUM(KRL67:KRM67)</f>
        <v>8875</v>
      </c>
      <c r="KRO67" s="148" t="s">
        <v>96</v>
      </c>
      <c r="KRP67" s="149">
        <v>45845</v>
      </c>
      <c r="KRQ67" s="144" t="s">
        <v>40</v>
      </c>
      <c r="KRR67" s="200"/>
      <c r="KRS67" s="150" t="s">
        <v>123</v>
      </c>
      <c r="KRT67" s="198"/>
      <c r="KRU67" s="199"/>
      <c r="KRV67" s="144" t="s">
        <v>22</v>
      </c>
      <c r="KRW67" s="145">
        <v>8150</v>
      </c>
      <c r="KRX67" s="153">
        <v>85</v>
      </c>
      <c r="KRY67" s="154">
        <v>215</v>
      </c>
      <c r="KRZ67" s="154">
        <v>75</v>
      </c>
      <c r="KSA67" s="153">
        <v>150</v>
      </c>
      <c r="KSB67" s="155">
        <f>SUM(KRW67:KSA67)</f>
        <v>8675</v>
      </c>
      <c r="KSC67" s="153">
        <v>200</v>
      </c>
      <c r="KSD67" s="155">
        <f>SUM(KSB67:KSC67)</f>
        <v>8875</v>
      </c>
      <c r="KSE67" s="148" t="s">
        <v>96</v>
      </c>
      <c r="KSF67" s="149">
        <v>45845</v>
      </c>
      <c r="KSG67" s="144" t="s">
        <v>40</v>
      </c>
      <c r="KSH67" s="200"/>
      <c r="KSI67" s="150" t="s">
        <v>123</v>
      </c>
      <c r="KSJ67" s="198"/>
      <c r="KSK67" s="199"/>
      <c r="KSL67" s="144" t="s">
        <v>22</v>
      </c>
      <c r="KSM67" s="145">
        <v>8150</v>
      </c>
      <c r="KSN67" s="153">
        <v>85</v>
      </c>
      <c r="KSO67" s="154">
        <v>215</v>
      </c>
      <c r="KSP67" s="154">
        <v>75</v>
      </c>
      <c r="KSQ67" s="153">
        <v>150</v>
      </c>
      <c r="KSR67" s="155">
        <f>SUM(KSM67:KSQ67)</f>
        <v>8675</v>
      </c>
      <c r="KSS67" s="153">
        <v>200</v>
      </c>
      <c r="KST67" s="155">
        <f>SUM(KSR67:KSS67)</f>
        <v>8875</v>
      </c>
      <c r="KSU67" s="148" t="s">
        <v>96</v>
      </c>
      <c r="KSV67" s="149">
        <v>45845</v>
      </c>
      <c r="KSW67" s="144" t="s">
        <v>40</v>
      </c>
      <c r="KSX67" s="200"/>
      <c r="KSY67" s="150" t="s">
        <v>123</v>
      </c>
      <c r="KSZ67" s="198"/>
      <c r="KTA67" s="199"/>
      <c r="KTB67" s="144" t="s">
        <v>22</v>
      </c>
      <c r="KTC67" s="145">
        <v>8150</v>
      </c>
      <c r="KTD67" s="153">
        <v>85</v>
      </c>
      <c r="KTE67" s="154">
        <v>215</v>
      </c>
      <c r="KTF67" s="154">
        <v>75</v>
      </c>
      <c r="KTG67" s="153">
        <v>150</v>
      </c>
      <c r="KTH67" s="155">
        <f>SUM(KTC67:KTG67)</f>
        <v>8675</v>
      </c>
      <c r="KTI67" s="153">
        <v>200</v>
      </c>
      <c r="KTJ67" s="155">
        <f>SUM(KTH67:KTI67)</f>
        <v>8875</v>
      </c>
      <c r="KTK67" s="148" t="s">
        <v>96</v>
      </c>
      <c r="KTL67" s="149">
        <v>45845</v>
      </c>
      <c r="KTM67" s="144" t="s">
        <v>40</v>
      </c>
      <c r="KTN67" s="200"/>
      <c r="KTO67" s="150" t="s">
        <v>123</v>
      </c>
      <c r="KTP67" s="198"/>
      <c r="KTQ67" s="199"/>
      <c r="KTR67" s="144" t="s">
        <v>22</v>
      </c>
      <c r="KTS67" s="145">
        <v>8150</v>
      </c>
      <c r="KTT67" s="153">
        <v>85</v>
      </c>
      <c r="KTU67" s="154">
        <v>215</v>
      </c>
      <c r="KTV67" s="154">
        <v>75</v>
      </c>
      <c r="KTW67" s="153">
        <v>150</v>
      </c>
      <c r="KTX67" s="155">
        <f>SUM(KTS67:KTW67)</f>
        <v>8675</v>
      </c>
      <c r="KTY67" s="153">
        <v>200</v>
      </c>
      <c r="KTZ67" s="155">
        <f>SUM(KTX67:KTY67)</f>
        <v>8875</v>
      </c>
      <c r="KUA67" s="148" t="s">
        <v>96</v>
      </c>
      <c r="KUB67" s="149">
        <v>45845</v>
      </c>
      <c r="KUC67" s="144" t="s">
        <v>40</v>
      </c>
      <c r="KUD67" s="200"/>
      <c r="KUE67" s="150" t="s">
        <v>123</v>
      </c>
      <c r="KUF67" s="198"/>
      <c r="KUG67" s="199"/>
      <c r="KUH67" s="144" t="s">
        <v>22</v>
      </c>
      <c r="KUI67" s="145">
        <v>8150</v>
      </c>
      <c r="KUJ67" s="153">
        <v>85</v>
      </c>
      <c r="KUK67" s="154">
        <v>215</v>
      </c>
      <c r="KUL67" s="154">
        <v>75</v>
      </c>
      <c r="KUM67" s="153">
        <v>150</v>
      </c>
      <c r="KUN67" s="155">
        <f>SUM(KUI67:KUM67)</f>
        <v>8675</v>
      </c>
      <c r="KUO67" s="153">
        <v>200</v>
      </c>
      <c r="KUP67" s="155">
        <f>SUM(KUN67:KUO67)</f>
        <v>8875</v>
      </c>
      <c r="KUQ67" s="148" t="s">
        <v>96</v>
      </c>
      <c r="KUR67" s="149">
        <v>45845</v>
      </c>
      <c r="KUS67" s="144" t="s">
        <v>40</v>
      </c>
      <c r="KUT67" s="200"/>
      <c r="KUU67" s="150" t="s">
        <v>123</v>
      </c>
      <c r="KUV67" s="198"/>
      <c r="KUW67" s="199"/>
      <c r="KUX67" s="144" t="s">
        <v>22</v>
      </c>
      <c r="KUY67" s="145">
        <v>8150</v>
      </c>
      <c r="KUZ67" s="153">
        <v>85</v>
      </c>
      <c r="KVA67" s="154">
        <v>215</v>
      </c>
      <c r="KVB67" s="154">
        <v>75</v>
      </c>
      <c r="KVC67" s="153">
        <v>150</v>
      </c>
      <c r="KVD67" s="155">
        <f>SUM(KUY67:KVC67)</f>
        <v>8675</v>
      </c>
      <c r="KVE67" s="153">
        <v>200</v>
      </c>
      <c r="KVF67" s="155">
        <f>SUM(KVD67:KVE67)</f>
        <v>8875</v>
      </c>
      <c r="KVG67" s="148" t="s">
        <v>96</v>
      </c>
      <c r="KVH67" s="149">
        <v>45845</v>
      </c>
      <c r="KVI67" s="144" t="s">
        <v>40</v>
      </c>
      <c r="KVJ67" s="200"/>
      <c r="KVK67" s="150" t="s">
        <v>123</v>
      </c>
      <c r="KVL67" s="198"/>
      <c r="KVM67" s="199"/>
      <c r="KVN67" s="144" t="s">
        <v>22</v>
      </c>
      <c r="KVO67" s="145">
        <v>8150</v>
      </c>
      <c r="KVP67" s="153">
        <v>85</v>
      </c>
      <c r="KVQ67" s="154">
        <v>215</v>
      </c>
      <c r="KVR67" s="154">
        <v>75</v>
      </c>
      <c r="KVS67" s="153">
        <v>150</v>
      </c>
      <c r="KVT67" s="155">
        <f>SUM(KVO67:KVS67)</f>
        <v>8675</v>
      </c>
      <c r="KVU67" s="153">
        <v>200</v>
      </c>
      <c r="KVV67" s="155">
        <f>SUM(KVT67:KVU67)</f>
        <v>8875</v>
      </c>
      <c r="KVW67" s="148" t="s">
        <v>96</v>
      </c>
      <c r="KVX67" s="149">
        <v>45845</v>
      </c>
      <c r="KVY67" s="144" t="s">
        <v>40</v>
      </c>
      <c r="KVZ67" s="200"/>
      <c r="KWA67" s="150" t="s">
        <v>123</v>
      </c>
      <c r="KWB67" s="198"/>
      <c r="KWC67" s="199"/>
      <c r="KWD67" s="144" t="s">
        <v>22</v>
      </c>
      <c r="KWE67" s="145">
        <v>8150</v>
      </c>
      <c r="KWF67" s="153">
        <v>85</v>
      </c>
      <c r="KWG67" s="154">
        <v>215</v>
      </c>
      <c r="KWH67" s="154">
        <v>75</v>
      </c>
      <c r="KWI67" s="153">
        <v>150</v>
      </c>
      <c r="KWJ67" s="155">
        <f>SUM(KWE67:KWI67)</f>
        <v>8675</v>
      </c>
      <c r="KWK67" s="153">
        <v>200</v>
      </c>
      <c r="KWL67" s="155">
        <f>SUM(KWJ67:KWK67)</f>
        <v>8875</v>
      </c>
      <c r="KWM67" s="148" t="s">
        <v>96</v>
      </c>
      <c r="KWN67" s="149">
        <v>45845</v>
      </c>
      <c r="KWO67" s="144" t="s">
        <v>40</v>
      </c>
      <c r="KWP67" s="200"/>
      <c r="KWQ67" s="150" t="s">
        <v>123</v>
      </c>
      <c r="KWR67" s="198"/>
      <c r="KWS67" s="199"/>
      <c r="KWT67" s="144" t="s">
        <v>22</v>
      </c>
      <c r="KWU67" s="145">
        <v>8150</v>
      </c>
      <c r="KWV67" s="153">
        <v>85</v>
      </c>
      <c r="KWW67" s="154">
        <v>215</v>
      </c>
      <c r="KWX67" s="154">
        <v>75</v>
      </c>
      <c r="KWY67" s="153">
        <v>150</v>
      </c>
      <c r="KWZ67" s="155">
        <f>SUM(KWU67:KWY67)</f>
        <v>8675</v>
      </c>
      <c r="KXA67" s="153">
        <v>200</v>
      </c>
      <c r="KXB67" s="155">
        <f>SUM(KWZ67:KXA67)</f>
        <v>8875</v>
      </c>
      <c r="KXC67" s="148" t="s">
        <v>96</v>
      </c>
      <c r="KXD67" s="149">
        <v>45845</v>
      </c>
      <c r="KXE67" s="144" t="s">
        <v>40</v>
      </c>
      <c r="KXF67" s="200"/>
      <c r="KXG67" s="150" t="s">
        <v>123</v>
      </c>
      <c r="KXH67" s="198"/>
      <c r="KXI67" s="199"/>
      <c r="KXJ67" s="144" t="s">
        <v>22</v>
      </c>
      <c r="KXK67" s="145">
        <v>8150</v>
      </c>
      <c r="KXL67" s="153">
        <v>85</v>
      </c>
      <c r="KXM67" s="154">
        <v>215</v>
      </c>
      <c r="KXN67" s="154">
        <v>75</v>
      </c>
      <c r="KXO67" s="153">
        <v>150</v>
      </c>
      <c r="KXP67" s="155">
        <f>SUM(KXK67:KXO67)</f>
        <v>8675</v>
      </c>
      <c r="KXQ67" s="153">
        <v>200</v>
      </c>
      <c r="KXR67" s="155">
        <f>SUM(KXP67:KXQ67)</f>
        <v>8875</v>
      </c>
      <c r="KXS67" s="148" t="s">
        <v>96</v>
      </c>
      <c r="KXT67" s="149">
        <v>45845</v>
      </c>
      <c r="KXU67" s="144" t="s">
        <v>40</v>
      </c>
      <c r="KXV67" s="200"/>
      <c r="KXW67" s="150" t="s">
        <v>123</v>
      </c>
      <c r="KXX67" s="198"/>
      <c r="KXY67" s="199"/>
      <c r="KXZ67" s="144" t="s">
        <v>22</v>
      </c>
      <c r="KYA67" s="145">
        <v>8150</v>
      </c>
      <c r="KYB67" s="153">
        <v>85</v>
      </c>
      <c r="KYC67" s="154">
        <v>215</v>
      </c>
      <c r="KYD67" s="154">
        <v>75</v>
      </c>
      <c r="KYE67" s="153">
        <v>150</v>
      </c>
      <c r="KYF67" s="155">
        <f>SUM(KYA67:KYE67)</f>
        <v>8675</v>
      </c>
      <c r="KYG67" s="153">
        <v>200</v>
      </c>
      <c r="KYH67" s="155">
        <f>SUM(KYF67:KYG67)</f>
        <v>8875</v>
      </c>
      <c r="KYI67" s="148" t="s">
        <v>96</v>
      </c>
      <c r="KYJ67" s="149">
        <v>45845</v>
      </c>
      <c r="KYK67" s="144" t="s">
        <v>40</v>
      </c>
      <c r="KYL67" s="200"/>
      <c r="KYM67" s="150" t="s">
        <v>123</v>
      </c>
      <c r="KYN67" s="198"/>
      <c r="KYO67" s="199"/>
      <c r="KYP67" s="144" t="s">
        <v>22</v>
      </c>
      <c r="KYQ67" s="145">
        <v>8150</v>
      </c>
      <c r="KYR67" s="153">
        <v>85</v>
      </c>
      <c r="KYS67" s="154">
        <v>215</v>
      </c>
      <c r="KYT67" s="154">
        <v>75</v>
      </c>
      <c r="KYU67" s="153">
        <v>150</v>
      </c>
      <c r="KYV67" s="155">
        <f>SUM(KYQ67:KYU67)</f>
        <v>8675</v>
      </c>
      <c r="KYW67" s="153">
        <v>200</v>
      </c>
      <c r="KYX67" s="155">
        <f>SUM(KYV67:KYW67)</f>
        <v>8875</v>
      </c>
      <c r="KYY67" s="148" t="s">
        <v>96</v>
      </c>
      <c r="KYZ67" s="149">
        <v>45845</v>
      </c>
      <c r="KZA67" s="144" t="s">
        <v>40</v>
      </c>
      <c r="KZB67" s="200"/>
      <c r="KZC67" s="150" t="s">
        <v>123</v>
      </c>
      <c r="KZD67" s="198"/>
      <c r="KZE67" s="199"/>
      <c r="KZF67" s="144" t="s">
        <v>22</v>
      </c>
      <c r="KZG67" s="145">
        <v>8150</v>
      </c>
      <c r="KZH67" s="153">
        <v>85</v>
      </c>
      <c r="KZI67" s="154">
        <v>215</v>
      </c>
      <c r="KZJ67" s="154">
        <v>75</v>
      </c>
      <c r="KZK67" s="153">
        <v>150</v>
      </c>
      <c r="KZL67" s="155">
        <f>SUM(KZG67:KZK67)</f>
        <v>8675</v>
      </c>
      <c r="KZM67" s="153">
        <v>200</v>
      </c>
      <c r="KZN67" s="155">
        <f>SUM(KZL67:KZM67)</f>
        <v>8875</v>
      </c>
      <c r="KZO67" s="148" t="s">
        <v>96</v>
      </c>
      <c r="KZP67" s="149">
        <v>45845</v>
      </c>
      <c r="KZQ67" s="144" t="s">
        <v>40</v>
      </c>
      <c r="KZR67" s="200"/>
      <c r="KZS67" s="150" t="s">
        <v>123</v>
      </c>
      <c r="KZT67" s="198"/>
      <c r="KZU67" s="199"/>
      <c r="KZV67" s="144" t="s">
        <v>22</v>
      </c>
      <c r="KZW67" s="145">
        <v>8150</v>
      </c>
      <c r="KZX67" s="153">
        <v>85</v>
      </c>
      <c r="KZY67" s="154">
        <v>215</v>
      </c>
      <c r="KZZ67" s="154">
        <v>75</v>
      </c>
      <c r="LAA67" s="153">
        <v>150</v>
      </c>
      <c r="LAB67" s="155">
        <f>SUM(KZW67:LAA67)</f>
        <v>8675</v>
      </c>
      <c r="LAC67" s="153">
        <v>200</v>
      </c>
      <c r="LAD67" s="155">
        <f>SUM(LAB67:LAC67)</f>
        <v>8875</v>
      </c>
      <c r="LAE67" s="148" t="s">
        <v>96</v>
      </c>
      <c r="LAF67" s="149">
        <v>45845</v>
      </c>
      <c r="LAG67" s="144" t="s">
        <v>40</v>
      </c>
      <c r="LAH67" s="200"/>
      <c r="LAI67" s="150" t="s">
        <v>123</v>
      </c>
      <c r="LAJ67" s="198"/>
      <c r="LAK67" s="199"/>
      <c r="LAL67" s="144" t="s">
        <v>22</v>
      </c>
      <c r="LAM67" s="145">
        <v>8150</v>
      </c>
      <c r="LAN67" s="153">
        <v>85</v>
      </c>
      <c r="LAO67" s="154">
        <v>215</v>
      </c>
      <c r="LAP67" s="154">
        <v>75</v>
      </c>
      <c r="LAQ67" s="153">
        <v>150</v>
      </c>
      <c r="LAR67" s="155">
        <f>SUM(LAM67:LAQ67)</f>
        <v>8675</v>
      </c>
      <c r="LAS67" s="153">
        <v>200</v>
      </c>
      <c r="LAT67" s="155">
        <f>SUM(LAR67:LAS67)</f>
        <v>8875</v>
      </c>
      <c r="LAU67" s="148" t="s">
        <v>96</v>
      </c>
      <c r="LAV67" s="149">
        <v>45845</v>
      </c>
      <c r="LAW67" s="144" t="s">
        <v>40</v>
      </c>
      <c r="LAX67" s="200"/>
      <c r="LAY67" s="150" t="s">
        <v>123</v>
      </c>
      <c r="LAZ67" s="198"/>
      <c r="LBA67" s="199"/>
      <c r="LBB67" s="144" t="s">
        <v>22</v>
      </c>
      <c r="LBC67" s="145">
        <v>8150</v>
      </c>
      <c r="LBD67" s="153">
        <v>85</v>
      </c>
      <c r="LBE67" s="154">
        <v>215</v>
      </c>
      <c r="LBF67" s="154">
        <v>75</v>
      </c>
      <c r="LBG67" s="153">
        <v>150</v>
      </c>
      <c r="LBH67" s="155">
        <f>SUM(LBC67:LBG67)</f>
        <v>8675</v>
      </c>
      <c r="LBI67" s="153">
        <v>200</v>
      </c>
      <c r="LBJ67" s="155">
        <f>SUM(LBH67:LBI67)</f>
        <v>8875</v>
      </c>
      <c r="LBK67" s="148" t="s">
        <v>96</v>
      </c>
      <c r="LBL67" s="149">
        <v>45845</v>
      </c>
      <c r="LBM67" s="144" t="s">
        <v>40</v>
      </c>
      <c r="LBN67" s="200"/>
      <c r="LBO67" s="150" t="s">
        <v>123</v>
      </c>
      <c r="LBP67" s="198"/>
      <c r="LBQ67" s="199"/>
      <c r="LBR67" s="144" t="s">
        <v>22</v>
      </c>
      <c r="LBS67" s="145">
        <v>8150</v>
      </c>
      <c r="LBT67" s="153">
        <v>85</v>
      </c>
      <c r="LBU67" s="154">
        <v>215</v>
      </c>
      <c r="LBV67" s="154">
        <v>75</v>
      </c>
      <c r="LBW67" s="153">
        <v>150</v>
      </c>
      <c r="LBX67" s="155">
        <f>SUM(LBS67:LBW67)</f>
        <v>8675</v>
      </c>
      <c r="LBY67" s="153">
        <v>200</v>
      </c>
      <c r="LBZ67" s="155">
        <f>SUM(LBX67:LBY67)</f>
        <v>8875</v>
      </c>
      <c r="LCA67" s="148" t="s">
        <v>96</v>
      </c>
      <c r="LCB67" s="149">
        <v>45845</v>
      </c>
      <c r="LCC67" s="144" t="s">
        <v>40</v>
      </c>
      <c r="LCD67" s="200"/>
      <c r="LCE67" s="150" t="s">
        <v>123</v>
      </c>
      <c r="LCF67" s="198"/>
      <c r="LCG67" s="199"/>
      <c r="LCH67" s="144" t="s">
        <v>22</v>
      </c>
      <c r="LCI67" s="145">
        <v>8150</v>
      </c>
      <c r="LCJ67" s="153">
        <v>85</v>
      </c>
      <c r="LCK67" s="154">
        <v>215</v>
      </c>
      <c r="LCL67" s="154">
        <v>75</v>
      </c>
      <c r="LCM67" s="153">
        <v>150</v>
      </c>
      <c r="LCN67" s="155">
        <f>SUM(LCI67:LCM67)</f>
        <v>8675</v>
      </c>
      <c r="LCO67" s="153">
        <v>200</v>
      </c>
      <c r="LCP67" s="155">
        <f>SUM(LCN67:LCO67)</f>
        <v>8875</v>
      </c>
      <c r="LCQ67" s="148" t="s">
        <v>96</v>
      </c>
      <c r="LCR67" s="149">
        <v>45845</v>
      </c>
      <c r="LCS67" s="144" t="s">
        <v>40</v>
      </c>
      <c r="LCT67" s="200"/>
      <c r="LCU67" s="150" t="s">
        <v>123</v>
      </c>
      <c r="LCV67" s="198"/>
      <c r="LCW67" s="199"/>
      <c r="LCX67" s="144" t="s">
        <v>22</v>
      </c>
      <c r="LCY67" s="145">
        <v>8150</v>
      </c>
      <c r="LCZ67" s="153">
        <v>85</v>
      </c>
      <c r="LDA67" s="154">
        <v>215</v>
      </c>
      <c r="LDB67" s="154">
        <v>75</v>
      </c>
      <c r="LDC67" s="153">
        <v>150</v>
      </c>
      <c r="LDD67" s="155">
        <f>SUM(LCY67:LDC67)</f>
        <v>8675</v>
      </c>
      <c r="LDE67" s="153">
        <v>200</v>
      </c>
      <c r="LDF67" s="155">
        <f>SUM(LDD67:LDE67)</f>
        <v>8875</v>
      </c>
      <c r="LDG67" s="148" t="s">
        <v>96</v>
      </c>
      <c r="LDH67" s="149">
        <v>45845</v>
      </c>
      <c r="LDI67" s="144" t="s">
        <v>40</v>
      </c>
      <c r="LDJ67" s="200"/>
      <c r="LDK67" s="150" t="s">
        <v>123</v>
      </c>
      <c r="LDL67" s="198"/>
      <c r="LDM67" s="199"/>
      <c r="LDN67" s="144" t="s">
        <v>22</v>
      </c>
      <c r="LDO67" s="145">
        <v>8150</v>
      </c>
      <c r="LDP67" s="153">
        <v>85</v>
      </c>
      <c r="LDQ67" s="154">
        <v>215</v>
      </c>
      <c r="LDR67" s="154">
        <v>75</v>
      </c>
      <c r="LDS67" s="153">
        <v>150</v>
      </c>
      <c r="LDT67" s="155">
        <f>SUM(LDO67:LDS67)</f>
        <v>8675</v>
      </c>
      <c r="LDU67" s="153">
        <v>200</v>
      </c>
      <c r="LDV67" s="155">
        <f>SUM(LDT67:LDU67)</f>
        <v>8875</v>
      </c>
      <c r="LDW67" s="148" t="s">
        <v>96</v>
      </c>
      <c r="LDX67" s="149">
        <v>45845</v>
      </c>
      <c r="LDY67" s="144" t="s">
        <v>40</v>
      </c>
      <c r="LDZ67" s="200"/>
      <c r="LEA67" s="150" t="s">
        <v>123</v>
      </c>
      <c r="LEB67" s="198"/>
      <c r="LEC67" s="199"/>
      <c r="LED67" s="144" t="s">
        <v>22</v>
      </c>
      <c r="LEE67" s="145">
        <v>8150</v>
      </c>
      <c r="LEF67" s="153">
        <v>85</v>
      </c>
      <c r="LEG67" s="154">
        <v>215</v>
      </c>
      <c r="LEH67" s="154">
        <v>75</v>
      </c>
      <c r="LEI67" s="153">
        <v>150</v>
      </c>
      <c r="LEJ67" s="155">
        <f>SUM(LEE67:LEI67)</f>
        <v>8675</v>
      </c>
      <c r="LEK67" s="153">
        <v>200</v>
      </c>
      <c r="LEL67" s="155">
        <f>SUM(LEJ67:LEK67)</f>
        <v>8875</v>
      </c>
      <c r="LEM67" s="148" t="s">
        <v>96</v>
      </c>
      <c r="LEN67" s="149">
        <v>45845</v>
      </c>
      <c r="LEO67" s="144" t="s">
        <v>40</v>
      </c>
      <c r="LEP67" s="200"/>
      <c r="LEQ67" s="150" t="s">
        <v>123</v>
      </c>
      <c r="LER67" s="198"/>
      <c r="LES67" s="199"/>
      <c r="LET67" s="144" t="s">
        <v>22</v>
      </c>
      <c r="LEU67" s="145">
        <v>8150</v>
      </c>
      <c r="LEV67" s="153">
        <v>85</v>
      </c>
      <c r="LEW67" s="154">
        <v>215</v>
      </c>
      <c r="LEX67" s="154">
        <v>75</v>
      </c>
      <c r="LEY67" s="153">
        <v>150</v>
      </c>
      <c r="LEZ67" s="155">
        <f>SUM(LEU67:LEY67)</f>
        <v>8675</v>
      </c>
      <c r="LFA67" s="153">
        <v>200</v>
      </c>
      <c r="LFB67" s="155">
        <f>SUM(LEZ67:LFA67)</f>
        <v>8875</v>
      </c>
      <c r="LFC67" s="148" t="s">
        <v>96</v>
      </c>
      <c r="LFD67" s="149">
        <v>45845</v>
      </c>
      <c r="LFE67" s="144" t="s">
        <v>40</v>
      </c>
      <c r="LFF67" s="200"/>
      <c r="LFG67" s="150" t="s">
        <v>123</v>
      </c>
      <c r="LFH67" s="198"/>
      <c r="LFI67" s="199"/>
      <c r="LFJ67" s="144" t="s">
        <v>22</v>
      </c>
      <c r="LFK67" s="145">
        <v>8150</v>
      </c>
      <c r="LFL67" s="153">
        <v>85</v>
      </c>
      <c r="LFM67" s="154">
        <v>215</v>
      </c>
      <c r="LFN67" s="154">
        <v>75</v>
      </c>
      <c r="LFO67" s="153">
        <v>150</v>
      </c>
      <c r="LFP67" s="155">
        <f>SUM(LFK67:LFO67)</f>
        <v>8675</v>
      </c>
      <c r="LFQ67" s="153">
        <v>200</v>
      </c>
      <c r="LFR67" s="155">
        <f>SUM(LFP67:LFQ67)</f>
        <v>8875</v>
      </c>
      <c r="LFS67" s="148" t="s">
        <v>96</v>
      </c>
      <c r="LFT67" s="149">
        <v>45845</v>
      </c>
      <c r="LFU67" s="144" t="s">
        <v>40</v>
      </c>
      <c r="LFV67" s="200"/>
      <c r="LFW67" s="150" t="s">
        <v>123</v>
      </c>
      <c r="LFX67" s="198"/>
      <c r="LFY67" s="199"/>
      <c r="LFZ67" s="144" t="s">
        <v>22</v>
      </c>
      <c r="LGA67" s="145">
        <v>8150</v>
      </c>
      <c r="LGB67" s="153">
        <v>85</v>
      </c>
      <c r="LGC67" s="154">
        <v>215</v>
      </c>
      <c r="LGD67" s="154">
        <v>75</v>
      </c>
      <c r="LGE67" s="153">
        <v>150</v>
      </c>
      <c r="LGF67" s="155">
        <f>SUM(LGA67:LGE67)</f>
        <v>8675</v>
      </c>
      <c r="LGG67" s="153">
        <v>200</v>
      </c>
      <c r="LGH67" s="155">
        <f>SUM(LGF67:LGG67)</f>
        <v>8875</v>
      </c>
      <c r="LGI67" s="148" t="s">
        <v>96</v>
      </c>
      <c r="LGJ67" s="149">
        <v>45845</v>
      </c>
      <c r="LGK67" s="144" t="s">
        <v>40</v>
      </c>
      <c r="LGL67" s="200"/>
      <c r="LGM67" s="150" t="s">
        <v>123</v>
      </c>
      <c r="LGN67" s="198"/>
      <c r="LGO67" s="199"/>
      <c r="LGP67" s="144" t="s">
        <v>22</v>
      </c>
      <c r="LGQ67" s="145">
        <v>8150</v>
      </c>
      <c r="LGR67" s="153">
        <v>85</v>
      </c>
      <c r="LGS67" s="154">
        <v>215</v>
      </c>
      <c r="LGT67" s="154">
        <v>75</v>
      </c>
      <c r="LGU67" s="153">
        <v>150</v>
      </c>
      <c r="LGV67" s="155">
        <f>SUM(LGQ67:LGU67)</f>
        <v>8675</v>
      </c>
      <c r="LGW67" s="153">
        <v>200</v>
      </c>
      <c r="LGX67" s="155">
        <f>SUM(LGV67:LGW67)</f>
        <v>8875</v>
      </c>
      <c r="LGY67" s="148" t="s">
        <v>96</v>
      </c>
      <c r="LGZ67" s="149">
        <v>45845</v>
      </c>
      <c r="LHA67" s="144" t="s">
        <v>40</v>
      </c>
      <c r="LHB67" s="200"/>
      <c r="LHC67" s="150" t="s">
        <v>123</v>
      </c>
      <c r="LHD67" s="198"/>
      <c r="LHE67" s="199"/>
      <c r="LHF67" s="144" t="s">
        <v>22</v>
      </c>
      <c r="LHG67" s="145">
        <v>8150</v>
      </c>
      <c r="LHH67" s="153">
        <v>85</v>
      </c>
      <c r="LHI67" s="154">
        <v>215</v>
      </c>
      <c r="LHJ67" s="154">
        <v>75</v>
      </c>
      <c r="LHK67" s="153">
        <v>150</v>
      </c>
      <c r="LHL67" s="155">
        <f>SUM(LHG67:LHK67)</f>
        <v>8675</v>
      </c>
      <c r="LHM67" s="153">
        <v>200</v>
      </c>
      <c r="LHN67" s="155">
        <f>SUM(LHL67:LHM67)</f>
        <v>8875</v>
      </c>
      <c r="LHO67" s="148" t="s">
        <v>96</v>
      </c>
      <c r="LHP67" s="149">
        <v>45845</v>
      </c>
      <c r="LHQ67" s="144" t="s">
        <v>40</v>
      </c>
      <c r="LHR67" s="200"/>
      <c r="LHS67" s="150" t="s">
        <v>123</v>
      </c>
      <c r="LHT67" s="198"/>
      <c r="LHU67" s="199"/>
      <c r="LHV67" s="144" t="s">
        <v>22</v>
      </c>
      <c r="LHW67" s="145">
        <v>8150</v>
      </c>
      <c r="LHX67" s="153">
        <v>85</v>
      </c>
      <c r="LHY67" s="154">
        <v>215</v>
      </c>
      <c r="LHZ67" s="154">
        <v>75</v>
      </c>
      <c r="LIA67" s="153">
        <v>150</v>
      </c>
      <c r="LIB67" s="155">
        <f>SUM(LHW67:LIA67)</f>
        <v>8675</v>
      </c>
      <c r="LIC67" s="153">
        <v>200</v>
      </c>
      <c r="LID67" s="155">
        <f>SUM(LIB67:LIC67)</f>
        <v>8875</v>
      </c>
      <c r="LIE67" s="148" t="s">
        <v>96</v>
      </c>
      <c r="LIF67" s="149">
        <v>45845</v>
      </c>
      <c r="LIG67" s="144" t="s">
        <v>40</v>
      </c>
      <c r="LIH67" s="200"/>
      <c r="LII67" s="150" t="s">
        <v>123</v>
      </c>
      <c r="LIJ67" s="198"/>
      <c r="LIK67" s="199"/>
      <c r="LIL67" s="144" t="s">
        <v>22</v>
      </c>
      <c r="LIM67" s="145">
        <v>8150</v>
      </c>
      <c r="LIN67" s="153">
        <v>85</v>
      </c>
      <c r="LIO67" s="154">
        <v>215</v>
      </c>
      <c r="LIP67" s="154">
        <v>75</v>
      </c>
      <c r="LIQ67" s="153">
        <v>150</v>
      </c>
      <c r="LIR67" s="155">
        <f>SUM(LIM67:LIQ67)</f>
        <v>8675</v>
      </c>
      <c r="LIS67" s="153">
        <v>200</v>
      </c>
      <c r="LIT67" s="155">
        <f>SUM(LIR67:LIS67)</f>
        <v>8875</v>
      </c>
      <c r="LIU67" s="148" t="s">
        <v>96</v>
      </c>
      <c r="LIV67" s="149">
        <v>45845</v>
      </c>
      <c r="LIW67" s="144" t="s">
        <v>40</v>
      </c>
      <c r="LIX67" s="200"/>
      <c r="LIY67" s="150" t="s">
        <v>123</v>
      </c>
      <c r="LIZ67" s="198"/>
      <c r="LJA67" s="199"/>
      <c r="LJB67" s="144" t="s">
        <v>22</v>
      </c>
      <c r="LJC67" s="145">
        <v>8150</v>
      </c>
      <c r="LJD67" s="153">
        <v>85</v>
      </c>
      <c r="LJE67" s="154">
        <v>215</v>
      </c>
      <c r="LJF67" s="154">
        <v>75</v>
      </c>
      <c r="LJG67" s="153">
        <v>150</v>
      </c>
      <c r="LJH67" s="155">
        <f>SUM(LJC67:LJG67)</f>
        <v>8675</v>
      </c>
      <c r="LJI67" s="153">
        <v>200</v>
      </c>
      <c r="LJJ67" s="155">
        <f>SUM(LJH67:LJI67)</f>
        <v>8875</v>
      </c>
      <c r="LJK67" s="148" t="s">
        <v>96</v>
      </c>
      <c r="LJL67" s="149">
        <v>45845</v>
      </c>
      <c r="LJM67" s="144" t="s">
        <v>40</v>
      </c>
      <c r="LJN67" s="200"/>
      <c r="LJO67" s="150" t="s">
        <v>123</v>
      </c>
      <c r="LJP67" s="198"/>
      <c r="LJQ67" s="199"/>
      <c r="LJR67" s="144" t="s">
        <v>22</v>
      </c>
      <c r="LJS67" s="145">
        <v>8150</v>
      </c>
      <c r="LJT67" s="153">
        <v>85</v>
      </c>
      <c r="LJU67" s="154">
        <v>215</v>
      </c>
      <c r="LJV67" s="154">
        <v>75</v>
      </c>
      <c r="LJW67" s="153">
        <v>150</v>
      </c>
      <c r="LJX67" s="155">
        <f>SUM(LJS67:LJW67)</f>
        <v>8675</v>
      </c>
      <c r="LJY67" s="153">
        <v>200</v>
      </c>
      <c r="LJZ67" s="155">
        <f>SUM(LJX67:LJY67)</f>
        <v>8875</v>
      </c>
      <c r="LKA67" s="148" t="s">
        <v>96</v>
      </c>
      <c r="LKB67" s="149">
        <v>45845</v>
      </c>
      <c r="LKC67" s="144" t="s">
        <v>40</v>
      </c>
      <c r="LKD67" s="200"/>
      <c r="LKE67" s="150" t="s">
        <v>123</v>
      </c>
      <c r="LKF67" s="198"/>
      <c r="LKG67" s="199"/>
      <c r="LKH67" s="144" t="s">
        <v>22</v>
      </c>
      <c r="LKI67" s="145">
        <v>8150</v>
      </c>
      <c r="LKJ67" s="153">
        <v>85</v>
      </c>
      <c r="LKK67" s="154">
        <v>215</v>
      </c>
      <c r="LKL67" s="154">
        <v>75</v>
      </c>
      <c r="LKM67" s="153">
        <v>150</v>
      </c>
      <c r="LKN67" s="155">
        <f>SUM(LKI67:LKM67)</f>
        <v>8675</v>
      </c>
      <c r="LKO67" s="153">
        <v>200</v>
      </c>
      <c r="LKP67" s="155">
        <f>SUM(LKN67:LKO67)</f>
        <v>8875</v>
      </c>
      <c r="LKQ67" s="148" t="s">
        <v>96</v>
      </c>
      <c r="LKR67" s="149">
        <v>45845</v>
      </c>
      <c r="LKS67" s="144" t="s">
        <v>40</v>
      </c>
      <c r="LKT67" s="200"/>
      <c r="LKU67" s="150" t="s">
        <v>123</v>
      </c>
      <c r="LKV67" s="198"/>
      <c r="LKW67" s="199"/>
      <c r="LKX67" s="144" t="s">
        <v>22</v>
      </c>
      <c r="LKY67" s="145">
        <v>8150</v>
      </c>
      <c r="LKZ67" s="153">
        <v>85</v>
      </c>
      <c r="LLA67" s="154">
        <v>215</v>
      </c>
      <c r="LLB67" s="154">
        <v>75</v>
      </c>
      <c r="LLC67" s="153">
        <v>150</v>
      </c>
      <c r="LLD67" s="155">
        <f>SUM(LKY67:LLC67)</f>
        <v>8675</v>
      </c>
      <c r="LLE67" s="153">
        <v>200</v>
      </c>
      <c r="LLF67" s="155">
        <f>SUM(LLD67:LLE67)</f>
        <v>8875</v>
      </c>
      <c r="LLG67" s="148" t="s">
        <v>96</v>
      </c>
      <c r="LLH67" s="149">
        <v>45845</v>
      </c>
      <c r="LLI67" s="144" t="s">
        <v>40</v>
      </c>
      <c r="LLJ67" s="200"/>
      <c r="LLK67" s="150" t="s">
        <v>123</v>
      </c>
      <c r="LLL67" s="198"/>
      <c r="LLM67" s="199"/>
      <c r="LLN67" s="144" t="s">
        <v>22</v>
      </c>
      <c r="LLO67" s="145">
        <v>8150</v>
      </c>
      <c r="LLP67" s="153">
        <v>85</v>
      </c>
      <c r="LLQ67" s="154">
        <v>215</v>
      </c>
      <c r="LLR67" s="154">
        <v>75</v>
      </c>
      <c r="LLS67" s="153">
        <v>150</v>
      </c>
      <c r="LLT67" s="155">
        <f>SUM(LLO67:LLS67)</f>
        <v>8675</v>
      </c>
      <c r="LLU67" s="153">
        <v>200</v>
      </c>
      <c r="LLV67" s="155">
        <f>SUM(LLT67:LLU67)</f>
        <v>8875</v>
      </c>
      <c r="LLW67" s="148" t="s">
        <v>96</v>
      </c>
      <c r="LLX67" s="149">
        <v>45845</v>
      </c>
      <c r="LLY67" s="144" t="s">
        <v>40</v>
      </c>
      <c r="LLZ67" s="200"/>
      <c r="LMA67" s="150" t="s">
        <v>123</v>
      </c>
      <c r="LMB67" s="198"/>
      <c r="LMC67" s="199"/>
      <c r="LMD67" s="144" t="s">
        <v>22</v>
      </c>
      <c r="LME67" s="145">
        <v>8150</v>
      </c>
      <c r="LMF67" s="153">
        <v>85</v>
      </c>
      <c r="LMG67" s="154">
        <v>215</v>
      </c>
      <c r="LMH67" s="154">
        <v>75</v>
      </c>
      <c r="LMI67" s="153">
        <v>150</v>
      </c>
      <c r="LMJ67" s="155">
        <f>SUM(LME67:LMI67)</f>
        <v>8675</v>
      </c>
      <c r="LMK67" s="153">
        <v>200</v>
      </c>
      <c r="LML67" s="155">
        <f>SUM(LMJ67:LMK67)</f>
        <v>8875</v>
      </c>
      <c r="LMM67" s="148" t="s">
        <v>96</v>
      </c>
      <c r="LMN67" s="149">
        <v>45845</v>
      </c>
      <c r="LMO67" s="144" t="s">
        <v>40</v>
      </c>
      <c r="LMP67" s="200"/>
      <c r="LMQ67" s="150" t="s">
        <v>123</v>
      </c>
      <c r="LMR67" s="198"/>
      <c r="LMS67" s="199"/>
      <c r="LMT67" s="144" t="s">
        <v>22</v>
      </c>
      <c r="LMU67" s="145">
        <v>8150</v>
      </c>
      <c r="LMV67" s="153">
        <v>85</v>
      </c>
      <c r="LMW67" s="154">
        <v>215</v>
      </c>
      <c r="LMX67" s="154">
        <v>75</v>
      </c>
      <c r="LMY67" s="153">
        <v>150</v>
      </c>
      <c r="LMZ67" s="155">
        <f>SUM(LMU67:LMY67)</f>
        <v>8675</v>
      </c>
      <c r="LNA67" s="153">
        <v>200</v>
      </c>
      <c r="LNB67" s="155">
        <f>SUM(LMZ67:LNA67)</f>
        <v>8875</v>
      </c>
      <c r="LNC67" s="148" t="s">
        <v>96</v>
      </c>
      <c r="LND67" s="149">
        <v>45845</v>
      </c>
      <c r="LNE67" s="144" t="s">
        <v>40</v>
      </c>
      <c r="LNF67" s="200"/>
      <c r="LNG67" s="150" t="s">
        <v>123</v>
      </c>
      <c r="LNH67" s="198"/>
      <c r="LNI67" s="199"/>
      <c r="LNJ67" s="144" t="s">
        <v>22</v>
      </c>
      <c r="LNK67" s="145">
        <v>8150</v>
      </c>
      <c r="LNL67" s="153">
        <v>85</v>
      </c>
      <c r="LNM67" s="154">
        <v>215</v>
      </c>
      <c r="LNN67" s="154">
        <v>75</v>
      </c>
      <c r="LNO67" s="153">
        <v>150</v>
      </c>
      <c r="LNP67" s="155">
        <f>SUM(LNK67:LNO67)</f>
        <v>8675</v>
      </c>
      <c r="LNQ67" s="153">
        <v>200</v>
      </c>
      <c r="LNR67" s="155">
        <f>SUM(LNP67:LNQ67)</f>
        <v>8875</v>
      </c>
      <c r="LNS67" s="148" t="s">
        <v>96</v>
      </c>
      <c r="LNT67" s="149">
        <v>45845</v>
      </c>
      <c r="LNU67" s="144" t="s">
        <v>40</v>
      </c>
      <c r="LNV67" s="200"/>
      <c r="LNW67" s="150" t="s">
        <v>123</v>
      </c>
      <c r="LNX67" s="198"/>
      <c r="LNY67" s="199"/>
      <c r="LNZ67" s="144" t="s">
        <v>22</v>
      </c>
      <c r="LOA67" s="145">
        <v>8150</v>
      </c>
      <c r="LOB67" s="153">
        <v>85</v>
      </c>
      <c r="LOC67" s="154">
        <v>215</v>
      </c>
      <c r="LOD67" s="154">
        <v>75</v>
      </c>
      <c r="LOE67" s="153">
        <v>150</v>
      </c>
      <c r="LOF67" s="155">
        <f>SUM(LOA67:LOE67)</f>
        <v>8675</v>
      </c>
      <c r="LOG67" s="153">
        <v>200</v>
      </c>
      <c r="LOH67" s="155">
        <f>SUM(LOF67:LOG67)</f>
        <v>8875</v>
      </c>
      <c r="LOI67" s="148" t="s">
        <v>96</v>
      </c>
      <c r="LOJ67" s="149">
        <v>45845</v>
      </c>
      <c r="LOK67" s="144" t="s">
        <v>40</v>
      </c>
      <c r="LOL67" s="200"/>
      <c r="LOM67" s="150" t="s">
        <v>123</v>
      </c>
      <c r="LON67" s="198"/>
      <c r="LOO67" s="199"/>
      <c r="LOP67" s="144" t="s">
        <v>22</v>
      </c>
      <c r="LOQ67" s="145">
        <v>8150</v>
      </c>
      <c r="LOR67" s="153">
        <v>85</v>
      </c>
      <c r="LOS67" s="154">
        <v>215</v>
      </c>
      <c r="LOT67" s="154">
        <v>75</v>
      </c>
      <c r="LOU67" s="153">
        <v>150</v>
      </c>
      <c r="LOV67" s="155">
        <f>SUM(LOQ67:LOU67)</f>
        <v>8675</v>
      </c>
      <c r="LOW67" s="153">
        <v>200</v>
      </c>
      <c r="LOX67" s="155">
        <f>SUM(LOV67:LOW67)</f>
        <v>8875</v>
      </c>
      <c r="LOY67" s="148" t="s">
        <v>96</v>
      </c>
      <c r="LOZ67" s="149">
        <v>45845</v>
      </c>
      <c r="LPA67" s="144" t="s">
        <v>40</v>
      </c>
      <c r="LPB67" s="200"/>
      <c r="LPC67" s="150" t="s">
        <v>123</v>
      </c>
      <c r="LPD67" s="198"/>
      <c r="LPE67" s="199"/>
      <c r="LPF67" s="144" t="s">
        <v>22</v>
      </c>
      <c r="LPG67" s="145">
        <v>8150</v>
      </c>
      <c r="LPH67" s="153">
        <v>85</v>
      </c>
      <c r="LPI67" s="154">
        <v>215</v>
      </c>
      <c r="LPJ67" s="154">
        <v>75</v>
      </c>
      <c r="LPK67" s="153">
        <v>150</v>
      </c>
      <c r="LPL67" s="155">
        <f>SUM(LPG67:LPK67)</f>
        <v>8675</v>
      </c>
      <c r="LPM67" s="153">
        <v>200</v>
      </c>
      <c r="LPN67" s="155">
        <f>SUM(LPL67:LPM67)</f>
        <v>8875</v>
      </c>
      <c r="LPO67" s="148" t="s">
        <v>96</v>
      </c>
      <c r="LPP67" s="149">
        <v>45845</v>
      </c>
      <c r="LPQ67" s="144" t="s">
        <v>40</v>
      </c>
      <c r="LPR67" s="200"/>
      <c r="LPS67" s="150" t="s">
        <v>123</v>
      </c>
      <c r="LPT67" s="198"/>
      <c r="LPU67" s="199"/>
      <c r="LPV67" s="144" t="s">
        <v>22</v>
      </c>
      <c r="LPW67" s="145">
        <v>8150</v>
      </c>
      <c r="LPX67" s="153">
        <v>85</v>
      </c>
      <c r="LPY67" s="154">
        <v>215</v>
      </c>
      <c r="LPZ67" s="154">
        <v>75</v>
      </c>
      <c r="LQA67" s="153">
        <v>150</v>
      </c>
      <c r="LQB67" s="155">
        <f>SUM(LPW67:LQA67)</f>
        <v>8675</v>
      </c>
      <c r="LQC67" s="153">
        <v>200</v>
      </c>
      <c r="LQD67" s="155">
        <f>SUM(LQB67:LQC67)</f>
        <v>8875</v>
      </c>
      <c r="LQE67" s="148" t="s">
        <v>96</v>
      </c>
      <c r="LQF67" s="149">
        <v>45845</v>
      </c>
      <c r="LQG67" s="144" t="s">
        <v>40</v>
      </c>
      <c r="LQH67" s="200"/>
      <c r="LQI67" s="150" t="s">
        <v>123</v>
      </c>
      <c r="LQJ67" s="198"/>
      <c r="LQK67" s="199"/>
      <c r="LQL67" s="144" t="s">
        <v>22</v>
      </c>
      <c r="LQM67" s="145">
        <v>8150</v>
      </c>
      <c r="LQN67" s="153">
        <v>85</v>
      </c>
      <c r="LQO67" s="154">
        <v>215</v>
      </c>
      <c r="LQP67" s="154">
        <v>75</v>
      </c>
      <c r="LQQ67" s="153">
        <v>150</v>
      </c>
      <c r="LQR67" s="155">
        <f>SUM(LQM67:LQQ67)</f>
        <v>8675</v>
      </c>
      <c r="LQS67" s="153">
        <v>200</v>
      </c>
      <c r="LQT67" s="155">
        <f>SUM(LQR67:LQS67)</f>
        <v>8875</v>
      </c>
      <c r="LQU67" s="148" t="s">
        <v>96</v>
      </c>
      <c r="LQV67" s="149">
        <v>45845</v>
      </c>
      <c r="LQW67" s="144" t="s">
        <v>40</v>
      </c>
      <c r="LQX67" s="200"/>
      <c r="LQY67" s="150" t="s">
        <v>123</v>
      </c>
      <c r="LQZ67" s="198"/>
      <c r="LRA67" s="199"/>
      <c r="LRB67" s="144" t="s">
        <v>22</v>
      </c>
      <c r="LRC67" s="145">
        <v>8150</v>
      </c>
      <c r="LRD67" s="153">
        <v>85</v>
      </c>
      <c r="LRE67" s="154">
        <v>215</v>
      </c>
      <c r="LRF67" s="154">
        <v>75</v>
      </c>
      <c r="LRG67" s="153">
        <v>150</v>
      </c>
      <c r="LRH67" s="155">
        <f>SUM(LRC67:LRG67)</f>
        <v>8675</v>
      </c>
      <c r="LRI67" s="153">
        <v>200</v>
      </c>
      <c r="LRJ67" s="155">
        <f>SUM(LRH67:LRI67)</f>
        <v>8875</v>
      </c>
      <c r="LRK67" s="148" t="s">
        <v>96</v>
      </c>
      <c r="LRL67" s="149">
        <v>45845</v>
      </c>
      <c r="LRM67" s="144" t="s">
        <v>40</v>
      </c>
      <c r="LRN67" s="200"/>
      <c r="LRO67" s="150" t="s">
        <v>123</v>
      </c>
      <c r="LRP67" s="198"/>
      <c r="LRQ67" s="199"/>
      <c r="LRR67" s="144" t="s">
        <v>22</v>
      </c>
      <c r="LRS67" s="145">
        <v>8150</v>
      </c>
      <c r="LRT67" s="153">
        <v>85</v>
      </c>
      <c r="LRU67" s="154">
        <v>215</v>
      </c>
      <c r="LRV67" s="154">
        <v>75</v>
      </c>
      <c r="LRW67" s="153">
        <v>150</v>
      </c>
      <c r="LRX67" s="155">
        <f>SUM(LRS67:LRW67)</f>
        <v>8675</v>
      </c>
      <c r="LRY67" s="153">
        <v>200</v>
      </c>
      <c r="LRZ67" s="155">
        <f>SUM(LRX67:LRY67)</f>
        <v>8875</v>
      </c>
      <c r="LSA67" s="148" t="s">
        <v>96</v>
      </c>
      <c r="LSB67" s="149">
        <v>45845</v>
      </c>
      <c r="LSC67" s="144" t="s">
        <v>40</v>
      </c>
      <c r="LSD67" s="200"/>
      <c r="LSE67" s="150" t="s">
        <v>123</v>
      </c>
      <c r="LSF67" s="198"/>
      <c r="LSG67" s="199"/>
      <c r="LSH67" s="144" t="s">
        <v>22</v>
      </c>
      <c r="LSI67" s="145">
        <v>8150</v>
      </c>
      <c r="LSJ67" s="153">
        <v>85</v>
      </c>
      <c r="LSK67" s="154">
        <v>215</v>
      </c>
      <c r="LSL67" s="154">
        <v>75</v>
      </c>
      <c r="LSM67" s="153">
        <v>150</v>
      </c>
      <c r="LSN67" s="155">
        <f>SUM(LSI67:LSM67)</f>
        <v>8675</v>
      </c>
      <c r="LSO67" s="153">
        <v>200</v>
      </c>
      <c r="LSP67" s="155">
        <f>SUM(LSN67:LSO67)</f>
        <v>8875</v>
      </c>
      <c r="LSQ67" s="148" t="s">
        <v>96</v>
      </c>
      <c r="LSR67" s="149">
        <v>45845</v>
      </c>
      <c r="LSS67" s="144" t="s">
        <v>40</v>
      </c>
      <c r="LST67" s="200"/>
      <c r="LSU67" s="150" t="s">
        <v>123</v>
      </c>
      <c r="LSV67" s="198"/>
      <c r="LSW67" s="199"/>
      <c r="LSX67" s="144" t="s">
        <v>22</v>
      </c>
      <c r="LSY67" s="145">
        <v>8150</v>
      </c>
      <c r="LSZ67" s="153">
        <v>85</v>
      </c>
      <c r="LTA67" s="154">
        <v>215</v>
      </c>
      <c r="LTB67" s="154">
        <v>75</v>
      </c>
      <c r="LTC67" s="153">
        <v>150</v>
      </c>
      <c r="LTD67" s="155">
        <f>SUM(LSY67:LTC67)</f>
        <v>8675</v>
      </c>
      <c r="LTE67" s="153">
        <v>200</v>
      </c>
      <c r="LTF67" s="155">
        <f>SUM(LTD67:LTE67)</f>
        <v>8875</v>
      </c>
      <c r="LTG67" s="148" t="s">
        <v>96</v>
      </c>
      <c r="LTH67" s="149">
        <v>45845</v>
      </c>
      <c r="LTI67" s="144" t="s">
        <v>40</v>
      </c>
      <c r="LTJ67" s="200"/>
      <c r="LTK67" s="150" t="s">
        <v>123</v>
      </c>
      <c r="LTL67" s="198"/>
      <c r="LTM67" s="199"/>
      <c r="LTN67" s="144" t="s">
        <v>22</v>
      </c>
      <c r="LTO67" s="145">
        <v>8150</v>
      </c>
      <c r="LTP67" s="153">
        <v>85</v>
      </c>
      <c r="LTQ67" s="154">
        <v>215</v>
      </c>
      <c r="LTR67" s="154">
        <v>75</v>
      </c>
      <c r="LTS67" s="153">
        <v>150</v>
      </c>
      <c r="LTT67" s="155">
        <f>SUM(LTO67:LTS67)</f>
        <v>8675</v>
      </c>
      <c r="LTU67" s="153">
        <v>200</v>
      </c>
      <c r="LTV67" s="155">
        <f>SUM(LTT67:LTU67)</f>
        <v>8875</v>
      </c>
      <c r="LTW67" s="148" t="s">
        <v>96</v>
      </c>
      <c r="LTX67" s="149">
        <v>45845</v>
      </c>
      <c r="LTY67" s="144" t="s">
        <v>40</v>
      </c>
      <c r="LTZ67" s="200"/>
      <c r="LUA67" s="150" t="s">
        <v>123</v>
      </c>
      <c r="LUB67" s="198"/>
      <c r="LUC67" s="199"/>
      <c r="LUD67" s="144" t="s">
        <v>22</v>
      </c>
      <c r="LUE67" s="145">
        <v>8150</v>
      </c>
      <c r="LUF67" s="153">
        <v>85</v>
      </c>
      <c r="LUG67" s="154">
        <v>215</v>
      </c>
      <c r="LUH67" s="154">
        <v>75</v>
      </c>
      <c r="LUI67" s="153">
        <v>150</v>
      </c>
      <c r="LUJ67" s="155">
        <f>SUM(LUE67:LUI67)</f>
        <v>8675</v>
      </c>
      <c r="LUK67" s="153">
        <v>200</v>
      </c>
      <c r="LUL67" s="155">
        <f>SUM(LUJ67:LUK67)</f>
        <v>8875</v>
      </c>
      <c r="LUM67" s="148" t="s">
        <v>96</v>
      </c>
      <c r="LUN67" s="149">
        <v>45845</v>
      </c>
      <c r="LUO67" s="144" t="s">
        <v>40</v>
      </c>
      <c r="LUP67" s="200"/>
      <c r="LUQ67" s="150" t="s">
        <v>123</v>
      </c>
      <c r="LUR67" s="198"/>
      <c r="LUS67" s="199"/>
      <c r="LUT67" s="144" t="s">
        <v>22</v>
      </c>
      <c r="LUU67" s="145">
        <v>8150</v>
      </c>
      <c r="LUV67" s="153">
        <v>85</v>
      </c>
      <c r="LUW67" s="154">
        <v>215</v>
      </c>
      <c r="LUX67" s="154">
        <v>75</v>
      </c>
      <c r="LUY67" s="153">
        <v>150</v>
      </c>
      <c r="LUZ67" s="155">
        <f>SUM(LUU67:LUY67)</f>
        <v>8675</v>
      </c>
      <c r="LVA67" s="153">
        <v>200</v>
      </c>
      <c r="LVB67" s="155">
        <f>SUM(LUZ67:LVA67)</f>
        <v>8875</v>
      </c>
      <c r="LVC67" s="148" t="s">
        <v>96</v>
      </c>
      <c r="LVD67" s="149">
        <v>45845</v>
      </c>
      <c r="LVE67" s="144" t="s">
        <v>40</v>
      </c>
      <c r="LVF67" s="200"/>
      <c r="LVG67" s="150" t="s">
        <v>123</v>
      </c>
      <c r="LVH67" s="198"/>
      <c r="LVI67" s="199"/>
      <c r="LVJ67" s="144" t="s">
        <v>22</v>
      </c>
      <c r="LVK67" s="145">
        <v>8150</v>
      </c>
      <c r="LVL67" s="153">
        <v>85</v>
      </c>
      <c r="LVM67" s="154">
        <v>215</v>
      </c>
      <c r="LVN67" s="154">
        <v>75</v>
      </c>
      <c r="LVO67" s="153">
        <v>150</v>
      </c>
      <c r="LVP67" s="155">
        <f>SUM(LVK67:LVO67)</f>
        <v>8675</v>
      </c>
      <c r="LVQ67" s="153">
        <v>200</v>
      </c>
      <c r="LVR67" s="155">
        <f>SUM(LVP67:LVQ67)</f>
        <v>8875</v>
      </c>
      <c r="LVS67" s="148" t="s">
        <v>96</v>
      </c>
      <c r="LVT67" s="149">
        <v>45845</v>
      </c>
      <c r="LVU67" s="144" t="s">
        <v>40</v>
      </c>
      <c r="LVV67" s="200"/>
      <c r="LVW67" s="150" t="s">
        <v>123</v>
      </c>
      <c r="LVX67" s="198"/>
      <c r="LVY67" s="199"/>
      <c r="LVZ67" s="144" t="s">
        <v>22</v>
      </c>
      <c r="LWA67" s="145">
        <v>8150</v>
      </c>
      <c r="LWB67" s="153">
        <v>85</v>
      </c>
      <c r="LWC67" s="154">
        <v>215</v>
      </c>
      <c r="LWD67" s="154">
        <v>75</v>
      </c>
      <c r="LWE67" s="153">
        <v>150</v>
      </c>
      <c r="LWF67" s="155">
        <f>SUM(LWA67:LWE67)</f>
        <v>8675</v>
      </c>
      <c r="LWG67" s="153">
        <v>200</v>
      </c>
      <c r="LWH67" s="155">
        <f>SUM(LWF67:LWG67)</f>
        <v>8875</v>
      </c>
      <c r="LWI67" s="148" t="s">
        <v>96</v>
      </c>
      <c r="LWJ67" s="149">
        <v>45845</v>
      </c>
      <c r="LWK67" s="144" t="s">
        <v>40</v>
      </c>
      <c r="LWL67" s="200"/>
      <c r="LWM67" s="150" t="s">
        <v>123</v>
      </c>
      <c r="LWN67" s="198"/>
      <c r="LWO67" s="199"/>
      <c r="LWP67" s="144" t="s">
        <v>22</v>
      </c>
      <c r="LWQ67" s="145">
        <v>8150</v>
      </c>
      <c r="LWR67" s="153">
        <v>85</v>
      </c>
      <c r="LWS67" s="154">
        <v>215</v>
      </c>
      <c r="LWT67" s="154">
        <v>75</v>
      </c>
      <c r="LWU67" s="153">
        <v>150</v>
      </c>
      <c r="LWV67" s="155">
        <f>SUM(LWQ67:LWU67)</f>
        <v>8675</v>
      </c>
      <c r="LWW67" s="153">
        <v>200</v>
      </c>
      <c r="LWX67" s="155">
        <f>SUM(LWV67:LWW67)</f>
        <v>8875</v>
      </c>
      <c r="LWY67" s="148" t="s">
        <v>96</v>
      </c>
      <c r="LWZ67" s="149">
        <v>45845</v>
      </c>
      <c r="LXA67" s="144" t="s">
        <v>40</v>
      </c>
      <c r="LXB67" s="200"/>
      <c r="LXC67" s="150" t="s">
        <v>123</v>
      </c>
      <c r="LXD67" s="198"/>
      <c r="LXE67" s="199"/>
      <c r="LXF67" s="144" t="s">
        <v>22</v>
      </c>
      <c r="LXG67" s="145">
        <v>8150</v>
      </c>
      <c r="LXH67" s="153">
        <v>85</v>
      </c>
      <c r="LXI67" s="154">
        <v>215</v>
      </c>
      <c r="LXJ67" s="154">
        <v>75</v>
      </c>
      <c r="LXK67" s="153">
        <v>150</v>
      </c>
      <c r="LXL67" s="155">
        <f>SUM(LXG67:LXK67)</f>
        <v>8675</v>
      </c>
      <c r="LXM67" s="153">
        <v>200</v>
      </c>
      <c r="LXN67" s="155">
        <f>SUM(LXL67:LXM67)</f>
        <v>8875</v>
      </c>
      <c r="LXO67" s="148" t="s">
        <v>96</v>
      </c>
      <c r="LXP67" s="149">
        <v>45845</v>
      </c>
      <c r="LXQ67" s="144" t="s">
        <v>40</v>
      </c>
      <c r="LXR67" s="200"/>
      <c r="LXS67" s="150" t="s">
        <v>123</v>
      </c>
      <c r="LXT67" s="198"/>
      <c r="LXU67" s="199"/>
      <c r="LXV67" s="144" t="s">
        <v>22</v>
      </c>
      <c r="LXW67" s="145">
        <v>8150</v>
      </c>
      <c r="LXX67" s="153">
        <v>85</v>
      </c>
      <c r="LXY67" s="154">
        <v>215</v>
      </c>
      <c r="LXZ67" s="154">
        <v>75</v>
      </c>
      <c r="LYA67" s="153">
        <v>150</v>
      </c>
      <c r="LYB67" s="155">
        <f>SUM(LXW67:LYA67)</f>
        <v>8675</v>
      </c>
      <c r="LYC67" s="153">
        <v>200</v>
      </c>
      <c r="LYD67" s="155">
        <f>SUM(LYB67:LYC67)</f>
        <v>8875</v>
      </c>
      <c r="LYE67" s="148" t="s">
        <v>96</v>
      </c>
      <c r="LYF67" s="149">
        <v>45845</v>
      </c>
      <c r="LYG67" s="144" t="s">
        <v>40</v>
      </c>
      <c r="LYH67" s="200"/>
      <c r="LYI67" s="150" t="s">
        <v>123</v>
      </c>
      <c r="LYJ67" s="198"/>
      <c r="LYK67" s="199"/>
      <c r="LYL67" s="144" t="s">
        <v>22</v>
      </c>
      <c r="LYM67" s="145">
        <v>8150</v>
      </c>
      <c r="LYN67" s="153">
        <v>85</v>
      </c>
      <c r="LYO67" s="154">
        <v>215</v>
      </c>
      <c r="LYP67" s="154">
        <v>75</v>
      </c>
      <c r="LYQ67" s="153">
        <v>150</v>
      </c>
      <c r="LYR67" s="155">
        <f>SUM(LYM67:LYQ67)</f>
        <v>8675</v>
      </c>
      <c r="LYS67" s="153">
        <v>200</v>
      </c>
      <c r="LYT67" s="155">
        <f>SUM(LYR67:LYS67)</f>
        <v>8875</v>
      </c>
      <c r="LYU67" s="148" t="s">
        <v>96</v>
      </c>
      <c r="LYV67" s="149">
        <v>45845</v>
      </c>
      <c r="LYW67" s="144" t="s">
        <v>40</v>
      </c>
      <c r="LYX67" s="200"/>
      <c r="LYY67" s="150" t="s">
        <v>123</v>
      </c>
      <c r="LYZ67" s="198"/>
      <c r="LZA67" s="199"/>
      <c r="LZB67" s="144" t="s">
        <v>22</v>
      </c>
      <c r="LZC67" s="145">
        <v>8150</v>
      </c>
      <c r="LZD67" s="153">
        <v>85</v>
      </c>
      <c r="LZE67" s="154">
        <v>215</v>
      </c>
      <c r="LZF67" s="154">
        <v>75</v>
      </c>
      <c r="LZG67" s="153">
        <v>150</v>
      </c>
      <c r="LZH67" s="155">
        <f>SUM(LZC67:LZG67)</f>
        <v>8675</v>
      </c>
      <c r="LZI67" s="153">
        <v>200</v>
      </c>
      <c r="LZJ67" s="155">
        <f>SUM(LZH67:LZI67)</f>
        <v>8875</v>
      </c>
      <c r="LZK67" s="148" t="s">
        <v>96</v>
      </c>
      <c r="LZL67" s="149">
        <v>45845</v>
      </c>
      <c r="LZM67" s="144" t="s">
        <v>40</v>
      </c>
      <c r="LZN67" s="200"/>
      <c r="LZO67" s="150" t="s">
        <v>123</v>
      </c>
      <c r="LZP67" s="198"/>
      <c r="LZQ67" s="199"/>
      <c r="LZR67" s="144" t="s">
        <v>22</v>
      </c>
      <c r="LZS67" s="145">
        <v>8150</v>
      </c>
      <c r="LZT67" s="153">
        <v>85</v>
      </c>
      <c r="LZU67" s="154">
        <v>215</v>
      </c>
      <c r="LZV67" s="154">
        <v>75</v>
      </c>
      <c r="LZW67" s="153">
        <v>150</v>
      </c>
      <c r="LZX67" s="155">
        <f>SUM(LZS67:LZW67)</f>
        <v>8675</v>
      </c>
      <c r="LZY67" s="153">
        <v>200</v>
      </c>
      <c r="LZZ67" s="155">
        <f>SUM(LZX67:LZY67)</f>
        <v>8875</v>
      </c>
      <c r="MAA67" s="148" t="s">
        <v>96</v>
      </c>
      <c r="MAB67" s="149">
        <v>45845</v>
      </c>
      <c r="MAC67" s="144" t="s">
        <v>40</v>
      </c>
      <c r="MAD67" s="200"/>
      <c r="MAE67" s="150" t="s">
        <v>123</v>
      </c>
      <c r="MAF67" s="198"/>
      <c r="MAG67" s="199"/>
      <c r="MAH67" s="144" t="s">
        <v>22</v>
      </c>
      <c r="MAI67" s="145">
        <v>8150</v>
      </c>
      <c r="MAJ67" s="153">
        <v>85</v>
      </c>
      <c r="MAK67" s="154">
        <v>215</v>
      </c>
      <c r="MAL67" s="154">
        <v>75</v>
      </c>
      <c r="MAM67" s="153">
        <v>150</v>
      </c>
      <c r="MAN67" s="155">
        <f>SUM(MAI67:MAM67)</f>
        <v>8675</v>
      </c>
      <c r="MAO67" s="153">
        <v>200</v>
      </c>
      <c r="MAP67" s="155">
        <f>SUM(MAN67:MAO67)</f>
        <v>8875</v>
      </c>
      <c r="MAQ67" s="148" t="s">
        <v>96</v>
      </c>
      <c r="MAR67" s="149">
        <v>45845</v>
      </c>
      <c r="MAS67" s="144" t="s">
        <v>40</v>
      </c>
      <c r="MAT67" s="200"/>
      <c r="MAU67" s="150" t="s">
        <v>123</v>
      </c>
      <c r="MAV67" s="198"/>
      <c r="MAW67" s="199"/>
      <c r="MAX67" s="144" t="s">
        <v>22</v>
      </c>
      <c r="MAY67" s="145">
        <v>8150</v>
      </c>
      <c r="MAZ67" s="153">
        <v>85</v>
      </c>
      <c r="MBA67" s="154">
        <v>215</v>
      </c>
      <c r="MBB67" s="154">
        <v>75</v>
      </c>
      <c r="MBC67" s="153">
        <v>150</v>
      </c>
      <c r="MBD67" s="155">
        <f>SUM(MAY67:MBC67)</f>
        <v>8675</v>
      </c>
      <c r="MBE67" s="153">
        <v>200</v>
      </c>
      <c r="MBF67" s="155">
        <f>SUM(MBD67:MBE67)</f>
        <v>8875</v>
      </c>
      <c r="MBG67" s="148" t="s">
        <v>96</v>
      </c>
      <c r="MBH67" s="149">
        <v>45845</v>
      </c>
      <c r="MBI67" s="144" t="s">
        <v>40</v>
      </c>
      <c r="MBJ67" s="200"/>
      <c r="MBK67" s="150" t="s">
        <v>123</v>
      </c>
      <c r="MBL67" s="198"/>
      <c r="MBM67" s="199"/>
      <c r="MBN67" s="144" t="s">
        <v>22</v>
      </c>
      <c r="MBO67" s="145">
        <v>8150</v>
      </c>
      <c r="MBP67" s="153">
        <v>85</v>
      </c>
      <c r="MBQ67" s="154">
        <v>215</v>
      </c>
      <c r="MBR67" s="154">
        <v>75</v>
      </c>
      <c r="MBS67" s="153">
        <v>150</v>
      </c>
      <c r="MBT67" s="155">
        <f>SUM(MBO67:MBS67)</f>
        <v>8675</v>
      </c>
      <c r="MBU67" s="153">
        <v>200</v>
      </c>
      <c r="MBV67" s="155">
        <f>SUM(MBT67:MBU67)</f>
        <v>8875</v>
      </c>
      <c r="MBW67" s="148" t="s">
        <v>96</v>
      </c>
      <c r="MBX67" s="149">
        <v>45845</v>
      </c>
      <c r="MBY67" s="144" t="s">
        <v>40</v>
      </c>
      <c r="MBZ67" s="200"/>
      <c r="MCA67" s="150" t="s">
        <v>123</v>
      </c>
      <c r="MCB67" s="198"/>
      <c r="MCC67" s="199"/>
      <c r="MCD67" s="144" t="s">
        <v>22</v>
      </c>
      <c r="MCE67" s="145">
        <v>8150</v>
      </c>
      <c r="MCF67" s="153">
        <v>85</v>
      </c>
      <c r="MCG67" s="154">
        <v>215</v>
      </c>
      <c r="MCH67" s="154">
        <v>75</v>
      </c>
      <c r="MCI67" s="153">
        <v>150</v>
      </c>
      <c r="MCJ67" s="155">
        <f>SUM(MCE67:MCI67)</f>
        <v>8675</v>
      </c>
      <c r="MCK67" s="153">
        <v>200</v>
      </c>
      <c r="MCL67" s="155">
        <f>SUM(MCJ67:MCK67)</f>
        <v>8875</v>
      </c>
      <c r="MCM67" s="148" t="s">
        <v>96</v>
      </c>
      <c r="MCN67" s="149">
        <v>45845</v>
      </c>
      <c r="MCO67" s="144" t="s">
        <v>40</v>
      </c>
      <c r="MCP67" s="200"/>
      <c r="MCQ67" s="150" t="s">
        <v>123</v>
      </c>
      <c r="MCR67" s="198"/>
      <c r="MCS67" s="199"/>
      <c r="MCT67" s="144" t="s">
        <v>22</v>
      </c>
      <c r="MCU67" s="145">
        <v>8150</v>
      </c>
      <c r="MCV67" s="153">
        <v>85</v>
      </c>
      <c r="MCW67" s="154">
        <v>215</v>
      </c>
      <c r="MCX67" s="154">
        <v>75</v>
      </c>
      <c r="MCY67" s="153">
        <v>150</v>
      </c>
      <c r="MCZ67" s="155">
        <f>SUM(MCU67:MCY67)</f>
        <v>8675</v>
      </c>
      <c r="MDA67" s="153">
        <v>200</v>
      </c>
      <c r="MDB67" s="155">
        <f>SUM(MCZ67:MDA67)</f>
        <v>8875</v>
      </c>
      <c r="MDC67" s="148" t="s">
        <v>96</v>
      </c>
      <c r="MDD67" s="149">
        <v>45845</v>
      </c>
      <c r="MDE67" s="144" t="s">
        <v>40</v>
      </c>
      <c r="MDF67" s="200"/>
      <c r="MDG67" s="150" t="s">
        <v>123</v>
      </c>
      <c r="MDH67" s="198"/>
      <c r="MDI67" s="199"/>
      <c r="MDJ67" s="144" t="s">
        <v>22</v>
      </c>
      <c r="MDK67" s="145">
        <v>8150</v>
      </c>
      <c r="MDL67" s="153">
        <v>85</v>
      </c>
      <c r="MDM67" s="154">
        <v>215</v>
      </c>
      <c r="MDN67" s="154">
        <v>75</v>
      </c>
      <c r="MDO67" s="153">
        <v>150</v>
      </c>
      <c r="MDP67" s="155">
        <f>SUM(MDK67:MDO67)</f>
        <v>8675</v>
      </c>
      <c r="MDQ67" s="153">
        <v>200</v>
      </c>
      <c r="MDR67" s="155">
        <f>SUM(MDP67:MDQ67)</f>
        <v>8875</v>
      </c>
      <c r="MDS67" s="148" t="s">
        <v>96</v>
      </c>
      <c r="MDT67" s="149">
        <v>45845</v>
      </c>
      <c r="MDU67" s="144" t="s">
        <v>40</v>
      </c>
      <c r="MDV67" s="200"/>
      <c r="MDW67" s="150" t="s">
        <v>123</v>
      </c>
      <c r="MDX67" s="198"/>
      <c r="MDY67" s="199"/>
      <c r="MDZ67" s="144" t="s">
        <v>22</v>
      </c>
      <c r="MEA67" s="145">
        <v>8150</v>
      </c>
      <c r="MEB67" s="153">
        <v>85</v>
      </c>
      <c r="MEC67" s="154">
        <v>215</v>
      </c>
      <c r="MED67" s="154">
        <v>75</v>
      </c>
      <c r="MEE67" s="153">
        <v>150</v>
      </c>
      <c r="MEF67" s="155">
        <f>SUM(MEA67:MEE67)</f>
        <v>8675</v>
      </c>
      <c r="MEG67" s="153">
        <v>200</v>
      </c>
      <c r="MEH67" s="155">
        <f>SUM(MEF67:MEG67)</f>
        <v>8875</v>
      </c>
      <c r="MEI67" s="148" t="s">
        <v>96</v>
      </c>
      <c r="MEJ67" s="149">
        <v>45845</v>
      </c>
      <c r="MEK67" s="144" t="s">
        <v>40</v>
      </c>
      <c r="MEL67" s="200"/>
      <c r="MEM67" s="150" t="s">
        <v>123</v>
      </c>
      <c r="MEN67" s="198"/>
      <c r="MEO67" s="199"/>
      <c r="MEP67" s="144" t="s">
        <v>22</v>
      </c>
      <c r="MEQ67" s="145">
        <v>8150</v>
      </c>
      <c r="MER67" s="153">
        <v>85</v>
      </c>
      <c r="MES67" s="154">
        <v>215</v>
      </c>
      <c r="MET67" s="154">
        <v>75</v>
      </c>
      <c r="MEU67" s="153">
        <v>150</v>
      </c>
      <c r="MEV67" s="155">
        <f>SUM(MEQ67:MEU67)</f>
        <v>8675</v>
      </c>
      <c r="MEW67" s="153">
        <v>200</v>
      </c>
      <c r="MEX67" s="155">
        <f>SUM(MEV67:MEW67)</f>
        <v>8875</v>
      </c>
      <c r="MEY67" s="148" t="s">
        <v>96</v>
      </c>
      <c r="MEZ67" s="149">
        <v>45845</v>
      </c>
      <c r="MFA67" s="144" t="s">
        <v>40</v>
      </c>
      <c r="MFB67" s="200"/>
      <c r="MFC67" s="150" t="s">
        <v>123</v>
      </c>
      <c r="MFD67" s="198"/>
      <c r="MFE67" s="199"/>
      <c r="MFF67" s="144" t="s">
        <v>22</v>
      </c>
      <c r="MFG67" s="145">
        <v>8150</v>
      </c>
      <c r="MFH67" s="153">
        <v>85</v>
      </c>
      <c r="MFI67" s="154">
        <v>215</v>
      </c>
      <c r="MFJ67" s="154">
        <v>75</v>
      </c>
      <c r="MFK67" s="153">
        <v>150</v>
      </c>
      <c r="MFL67" s="155">
        <f>SUM(MFG67:MFK67)</f>
        <v>8675</v>
      </c>
      <c r="MFM67" s="153">
        <v>200</v>
      </c>
      <c r="MFN67" s="155">
        <f>SUM(MFL67:MFM67)</f>
        <v>8875</v>
      </c>
      <c r="MFO67" s="148" t="s">
        <v>96</v>
      </c>
      <c r="MFP67" s="149">
        <v>45845</v>
      </c>
      <c r="MFQ67" s="144" t="s">
        <v>40</v>
      </c>
      <c r="MFR67" s="200"/>
      <c r="MFS67" s="150" t="s">
        <v>123</v>
      </c>
      <c r="MFT67" s="198"/>
      <c r="MFU67" s="199"/>
      <c r="MFV67" s="144" t="s">
        <v>22</v>
      </c>
      <c r="MFW67" s="145">
        <v>8150</v>
      </c>
      <c r="MFX67" s="153">
        <v>85</v>
      </c>
      <c r="MFY67" s="154">
        <v>215</v>
      </c>
      <c r="MFZ67" s="154">
        <v>75</v>
      </c>
      <c r="MGA67" s="153">
        <v>150</v>
      </c>
      <c r="MGB67" s="155">
        <f>SUM(MFW67:MGA67)</f>
        <v>8675</v>
      </c>
      <c r="MGC67" s="153">
        <v>200</v>
      </c>
      <c r="MGD67" s="155">
        <f>SUM(MGB67:MGC67)</f>
        <v>8875</v>
      </c>
      <c r="MGE67" s="148" t="s">
        <v>96</v>
      </c>
      <c r="MGF67" s="149">
        <v>45845</v>
      </c>
      <c r="MGG67" s="144" t="s">
        <v>40</v>
      </c>
      <c r="MGH67" s="200"/>
      <c r="MGI67" s="150" t="s">
        <v>123</v>
      </c>
      <c r="MGJ67" s="198"/>
      <c r="MGK67" s="199"/>
      <c r="MGL67" s="144" t="s">
        <v>22</v>
      </c>
      <c r="MGM67" s="145">
        <v>8150</v>
      </c>
      <c r="MGN67" s="153">
        <v>85</v>
      </c>
      <c r="MGO67" s="154">
        <v>215</v>
      </c>
      <c r="MGP67" s="154">
        <v>75</v>
      </c>
      <c r="MGQ67" s="153">
        <v>150</v>
      </c>
      <c r="MGR67" s="155">
        <f>SUM(MGM67:MGQ67)</f>
        <v>8675</v>
      </c>
      <c r="MGS67" s="153">
        <v>200</v>
      </c>
      <c r="MGT67" s="155">
        <f>SUM(MGR67:MGS67)</f>
        <v>8875</v>
      </c>
      <c r="MGU67" s="148" t="s">
        <v>96</v>
      </c>
      <c r="MGV67" s="149">
        <v>45845</v>
      </c>
      <c r="MGW67" s="144" t="s">
        <v>40</v>
      </c>
      <c r="MGX67" s="200"/>
      <c r="MGY67" s="150" t="s">
        <v>123</v>
      </c>
      <c r="MGZ67" s="198"/>
      <c r="MHA67" s="199"/>
      <c r="MHB67" s="144" t="s">
        <v>22</v>
      </c>
      <c r="MHC67" s="145">
        <v>8150</v>
      </c>
      <c r="MHD67" s="153">
        <v>85</v>
      </c>
      <c r="MHE67" s="154">
        <v>215</v>
      </c>
      <c r="MHF67" s="154">
        <v>75</v>
      </c>
      <c r="MHG67" s="153">
        <v>150</v>
      </c>
      <c r="MHH67" s="155">
        <f>SUM(MHC67:MHG67)</f>
        <v>8675</v>
      </c>
      <c r="MHI67" s="153">
        <v>200</v>
      </c>
      <c r="MHJ67" s="155">
        <f>SUM(MHH67:MHI67)</f>
        <v>8875</v>
      </c>
      <c r="MHK67" s="148" t="s">
        <v>96</v>
      </c>
      <c r="MHL67" s="149">
        <v>45845</v>
      </c>
      <c r="MHM67" s="144" t="s">
        <v>40</v>
      </c>
      <c r="MHN67" s="200"/>
      <c r="MHO67" s="150" t="s">
        <v>123</v>
      </c>
      <c r="MHP67" s="198"/>
      <c r="MHQ67" s="199"/>
      <c r="MHR67" s="144" t="s">
        <v>22</v>
      </c>
      <c r="MHS67" s="145">
        <v>8150</v>
      </c>
      <c r="MHT67" s="153">
        <v>85</v>
      </c>
      <c r="MHU67" s="154">
        <v>215</v>
      </c>
      <c r="MHV67" s="154">
        <v>75</v>
      </c>
      <c r="MHW67" s="153">
        <v>150</v>
      </c>
      <c r="MHX67" s="155">
        <f>SUM(MHS67:MHW67)</f>
        <v>8675</v>
      </c>
      <c r="MHY67" s="153">
        <v>200</v>
      </c>
      <c r="MHZ67" s="155">
        <f>SUM(MHX67:MHY67)</f>
        <v>8875</v>
      </c>
      <c r="MIA67" s="148" t="s">
        <v>96</v>
      </c>
      <c r="MIB67" s="149">
        <v>45845</v>
      </c>
      <c r="MIC67" s="144" t="s">
        <v>40</v>
      </c>
      <c r="MID67" s="200"/>
      <c r="MIE67" s="150" t="s">
        <v>123</v>
      </c>
      <c r="MIF67" s="198"/>
      <c r="MIG67" s="199"/>
      <c r="MIH67" s="144" t="s">
        <v>22</v>
      </c>
      <c r="MII67" s="145">
        <v>8150</v>
      </c>
      <c r="MIJ67" s="153">
        <v>85</v>
      </c>
      <c r="MIK67" s="154">
        <v>215</v>
      </c>
      <c r="MIL67" s="154">
        <v>75</v>
      </c>
      <c r="MIM67" s="153">
        <v>150</v>
      </c>
      <c r="MIN67" s="155">
        <f>SUM(MII67:MIM67)</f>
        <v>8675</v>
      </c>
      <c r="MIO67" s="153">
        <v>200</v>
      </c>
      <c r="MIP67" s="155">
        <f>SUM(MIN67:MIO67)</f>
        <v>8875</v>
      </c>
      <c r="MIQ67" s="148" t="s">
        <v>96</v>
      </c>
      <c r="MIR67" s="149">
        <v>45845</v>
      </c>
      <c r="MIS67" s="144" t="s">
        <v>40</v>
      </c>
      <c r="MIT67" s="200"/>
      <c r="MIU67" s="150" t="s">
        <v>123</v>
      </c>
      <c r="MIV67" s="198"/>
      <c r="MIW67" s="199"/>
      <c r="MIX67" s="144" t="s">
        <v>22</v>
      </c>
      <c r="MIY67" s="145">
        <v>8150</v>
      </c>
      <c r="MIZ67" s="153">
        <v>85</v>
      </c>
      <c r="MJA67" s="154">
        <v>215</v>
      </c>
      <c r="MJB67" s="154">
        <v>75</v>
      </c>
      <c r="MJC67" s="153">
        <v>150</v>
      </c>
      <c r="MJD67" s="155">
        <f>SUM(MIY67:MJC67)</f>
        <v>8675</v>
      </c>
      <c r="MJE67" s="153">
        <v>200</v>
      </c>
      <c r="MJF67" s="155">
        <f>SUM(MJD67:MJE67)</f>
        <v>8875</v>
      </c>
      <c r="MJG67" s="148" t="s">
        <v>96</v>
      </c>
      <c r="MJH67" s="149">
        <v>45845</v>
      </c>
      <c r="MJI67" s="144" t="s">
        <v>40</v>
      </c>
      <c r="MJJ67" s="200"/>
      <c r="MJK67" s="150" t="s">
        <v>123</v>
      </c>
      <c r="MJL67" s="198"/>
      <c r="MJM67" s="199"/>
      <c r="MJN67" s="144" t="s">
        <v>22</v>
      </c>
      <c r="MJO67" s="145">
        <v>8150</v>
      </c>
      <c r="MJP67" s="153">
        <v>85</v>
      </c>
      <c r="MJQ67" s="154">
        <v>215</v>
      </c>
      <c r="MJR67" s="154">
        <v>75</v>
      </c>
      <c r="MJS67" s="153">
        <v>150</v>
      </c>
      <c r="MJT67" s="155">
        <f>SUM(MJO67:MJS67)</f>
        <v>8675</v>
      </c>
      <c r="MJU67" s="153">
        <v>200</v>
      </c>
      <c r="MJV67" s="155">
        <f>SUM(MJT67:MJU67)</f>
        <v>8875</v>
      </c>
      <c r="MJW67" s="148" t="s">
        <v>96</v>
      </c>
      <c r="MJX67" s="149">
        <v>45845</v>
      </c>
      <c r="MJY67" s="144" t="s">
        <v>40</v>
      </c>
      <c r="MJZ67" s="200"/>
      <c r="MKA67" s="150" t="s">
        <v>123</v>
      </c>
      <c r="MKB67" s="198"/>
      <c r="MKC67" s="199"/>
      <c r="MKD67" s="144" t="s">
        <v>22</v>
      </c>
      <c r="MKE67" s="145">
        <v>8150</v>
      </c>
      <c r="MKF67" s="153">
        <v>85</v>
      </c>
      <c r="MKG67" s="154">
        <v>215</v>
      </c>
      <c r="MKH67" s="154">
        <v>75</v>
      </c>
      <c r="MKI67" s="153">
        <v>150</v>
      </c>
      <c r="MKJ67" s="155">
        <f>SUM(MKE67:MKI67)</f>
        <v>8675</v>
      </c>
      <c r="MKK67" s="153">
        <v>200</v>
      </c>
      <c r="MKL67" s="155">
        <f>SUM(MKJ67:MKK67)</f>
        <v>8875</v>
      </c>
      <c r="MKM67" s="148" t="s">
        <v>96</v>
      </c>
      <c r="MKN67" s="149">
        <v>45845</v>
      </c>
      <c r="MKO67" s="144" t="s">
        <v>40</v>
      </c>
      <c r="MKP67" s="200"/>
      <c r="MKQ67" s="150" t="s">
        <v>123</v>
      </c>
      <c r="MKR67" s="198"/>
      <c r="MKS67" s="199"/>
      <c r="MKT67" s="144" t="s">
        <v>22</v>
      </c>
      <c r="MKU67" s="145">
        <v>8150</v>
      </c>
      <c r="MKV67" s="153">
        <v>85</v>
      </c>
      <c r="MKW67" s="154">
        <v>215</v>
      </c>
      <c r="MKX67" s="154">
        <v>75</v>
      </c>
      <c r="MKY67" s="153">
        <v>150</v>
      </c>
      <c r="MKZ67" s="155">
        <f>SUM(MKU67:MKY67)</f>
        <v>8675</v>
      </c>
      <c r="MLA67" s="153">
        <v>200</v>
      </c>
      <c r="MLB67" s="155">
        <f>SUM(MKZ67:MLA67)</f>
        <v>8875</v>
      </c>
      <c r="MLC67" s="148" t="s">
        <v>96</v>
      </c>
      <c r="MLD67" s="149">
        <v>45845</v>
      </c>
      <c r="MLE67" s="144" t="s">
        <v>40</v>
      </c>
      <c r="MLF67" s="200"/>
      <c r="MLG67" s="150" t="s">
        <v>123</v>
      </c>
      <c r="MLH67" s="198"/>
      <c r="MLI67" s="199"/>
      <c r="MLJ67" s="144" t="s">
        <v>22</v>
      </c>
      <c r="MLK67" s="145">
        <v>8150</v>
      </c>
      <c r="MLL67" s="153">
        <v>85</v>
      </c>
      <c r="MLM67" s="154">
        <v>215</v>
      </c>
      <c r="MLN67" s="154">
        <v>75</v>
      </c>
      <c r="MLO67" s="153">
        <v>150</v>
      </c>
      <c r="MLP67" s="155">
        <f>SUM(MLK67:MLO67)</f>
        <v>8675</v>
      </c>
      <c r="MLQ67" s="153">
        <v>200</v>
      </c>
      <c r="MLR67" s="155">
        <f>SUM(MLP67:MLQ67)</f>
        <v>8875</v>
      </c>
      <c r="MLS67" s="148" t="s">
        <v>96</v>
      </c>
      <c r="MLT67" s="149">
        <v>45845</v>
      </c>
      <c r="MLU67" s="144" t="s">
        <v>40</v>
      </c>
      <c r="MLV67" s="200"/>
      <c r="MLW67" s="150" t="s">
        <v>123</v>
      </c>
      <c r="MLX67" s="198"/>
      <c r="MLY67" s="199"/>
      <c r="MLZ67" s="144" t="s">
        <v>22</v>
      </c>
      <c r="MMA67" s="145">
        <v>8150</v>
      </c>
      <c r="MMB67" s="153">
        <v>85</v>
      </c>
      <c r="MMC67" s="154">
        <v>215</v>
      </c>
      <c r="MMD67" s="154">
        <v>75</v>
      </c>
      <c r="MME67" s="153">
        <v>150</v>
      </c>
      <c r="MMF67" s="155">
        <f>SUM(MMA67:MME67)</f>
        <v>8675</v>
      </c>
      <c r="MMG67" s="153">
        <v>200</v>
      </c>
      <c r="MMH67" s="155">
        <f>SUM(MMF67:MMG67)</f>
        <v>8875</v>
      </c>
      <c r="MMI67" s="148" t="s">
        <v>96</v>
      </c>
      <c r="MMJ67" s="149">
        <v>45845</v>
      </c>
      <c r="MMK67" s="144" t="s">
        <v>40</v>
      </c>
      <c r="MML67" s="200"/>
      <c r="MMM67" s="150" t="s">
        <v>123</v>
      </c>
      <c r="MMN67" s="198"/>
      <c r="MMO67" s="199"/>
      <c r="MMP67" s="144" t="s">
        <v>22</v>
      </c>
      <c r="MMQ67" s="145">
        <v>8150</v>
      </c>
      <c r="MMR67" s="153">
        <v>85</v>
      </c>
      <c r="MMS67" s="154">
        <v>215</v>
      </c>
      <c r="MMT67" s="154">
        <v>75</v>
      </c>
      <c r="MMU67" s="153">
        <v>150</v>
      </c>
      <c r="MMV67" s="155">
        <f>SUM(MMQ67:MMU67)</f>
        <v>8675</v>
      </c>
      <c r="MMW67" s="153">
        <v>200</v>
      </c>
      <c r="MMX67" s="155">
        <f>SUM(MMV67:MMW67)</f>
        <v>8875</v>
      </c>
      <c r="MMY67" s="148" t="s">
        <v>96</v>
      </c>
      <c r="MMZ67" s="149">
        <v>45845</v>
      </c>
      <c r="MNA67" s="144" t="s">
        <v>40</v>
      </c>
      <c r="MNB67" s="200"/>
      <c r="MNC67" s="150" t="s">
        <v>123</v>
      </c>
      <c r="MND67" s="198"/>
      <c r="MNE67" s="199"/>
      <c r="MNF67" s="144" t="s">
        <v>22</v>
      </c>
      <c r="MNG67" s="145">
        <v>8150</v>
      </c>
      <c r="MNH67" s="153">
        <v>85</v>
      </c>
      <c r="MNI67" s="154">
        <v>215</v>
      </c>
      <c r="MNJ67" s="154">
        <v>75</v>
      </c>
      <c r="MNK67" s="153">
        <v>150</v>
      </c>
      <c r="MNL67" s="155">
        <f>SUM(MNG67:MNK67)</f>
        <v>8675</v>
      </c>
      <c r="MNM67" s="153">
        <v>200</v>
      </c>
      <c r="MNN67" s="155">
        <f>SUM(MNL67:MNM67)</f>
        <v>8875</v>
      </c>
      <c r="MNO67" s="148" t="s">
        <v>96</v>
      </c>
      <c r="MNP67" s="149">
        <v>45845</v>
      </c>
      <c r="MNQ67" s="144" t="s">
        <v>40</v>
      </c>
      <c r="MNR67" s="200"/>
      <c r="MNS67" s="150" t="s">
        <v>123</v>
      </c>
      <c r="MNT67" s="198"/>
      <c r="MNU67" s="199"/>
      <c r="MNV67" s="144" t="s">
        <v>22</v>
      </c>
      <c r="MNW67" s="145">
        <v>8150</v>
      </c>
      <c r="MNX67" s="153">
        <v>85</v>
      </c>
      <c r="MNY67" s="154">
        <v>215</v>
      </c>
      <c r="MNZ67" s="154">
        <v>75</v>
      </c>
      <c r="MOA67" s="153">
        <v>150</v>
      </c>
      <c r="MOB67" s="155">
        <f>SUM(MNW67:MOA67)</f>
        <v>8675</v>
      </c>
      <c r="MOC67" s="153">
        <v>200</v>
      </c>
      <c r="MOD67" s="155">
        <f>SUM(MOB67:MOC67)</f>
        <v>8875</v>
      </c>
      <c r="MOE67" s="148" t="s">
        <v>96</v>
      </c>
      <c r="MOF67" s="149">
        <v>45845</v>
      </c>
      <c r="MOG67" s="144" t="s">
        <v>40</v>
      </c>
      <c r="MOH67" s="200"/>
      <c r="MOI67" s="150" t="s">
        <v>123</v>
      </c>
      <c r="MOJ67" s="198"/>
      <c r="MOK67" s="199"/>
      <c r="MOL67" s="144" t="s">
        <v>22</v>
      </c>
      <c r="MOM67" s="145">
        <v>8150</v>
      </c>
      <c r="MON67" s="153">
        <v>85</v>
      </c>
      <c r="MOO67" s="154">
        <v>215</v>
      </c>
      <c r="MOP67" s="154">
        <v>75</v>
      </c>
      <c r="MOQ67" s="153">
        <v>150</v>
      </c>
      <c r="MOR67" s="155">
        <f>SUM(MOM67:MOQ67)</f>
        <v>8675</v>
      </c>
      <c r="MOS67" s="153">
        <v>200</v>
      </c>
      <c r="MOT67" s="155">
        <f>SUM(MOR67:MOS67)</f>
        <v>8875</v>
      </c>
      <c r="MOU67" s="148" t="s">
        <v>96</v>
      </c>
      <c r="MOV67" s="149">
        <v>45845</v>
      </c>
      <c r="MOW67" s="144" t="s">
        <v>40</v>
      </c>
      <c r="MOX67" s="200"/>
      <c r="MOY67" s="150" t="s">
        <v>123</v>
      </c>
      <c r="MOZ67" s="198"/>
      <c r="MPA67" s="199"/>
      <c r="MPB67" s="144" t="s">
        <v>22</v>
      </c>
      <c r="MPC67" s="145">
        <v>8150</v>
      </c>
      <c r="MPD67" s="153">
        <v>85</v>
      </c>
      <c r="MPE67" s="154">
        <v>215</v>
      </c>
      <c r="MPF67" s="154">
        <v>75</v>
      </c>
      <c r="MPG67" s="153">
        <v>150</v>
      </c>
      <c r="MPH67" s="155">
        <f>SUM(MPC67:MPG67)</f>
        <v>8675</v>
      </c>
      <c r="MPI67" s="153">
        <v>200</v>
      </c>
      <c r="MPJ67" s="155">
        <f>SUM(MPH67:MPI67)</f>
        <v>8875</v>
      </c>
      <c r="MPK67" s="148" t="s">
        <v>96</v>
      </c>
      <c r="MPL67" s="149">
        <v>45845</v>
      </c>
      <c r="MPM67" s="144" t="s">
        <v>40</v>
      </c>
      <c r="MPN67" s="200"/>
      <c r="MPO67" s="150" t="s">
        <v>123</v>
      </c>
      <c r="MPP67" s="198"/>
      <c r="MPQ67" s="199"/>
      <c r="MPR67" s="144" t="s">
        <v>22</v>
      </c>
      <c r="MPS67" s="145">
        <v>8150</v>
      </c>
      <c r="MPT67" s="153">
        <v>85</v>
      </c>
      <c r="MPU67" s="154">
        <v>215</v>
      </c>
      <c r="MPV67" s="154">
        <v>75</v>
      </c>
      <c r="MPW67" s="153">
        <v>150</v>
      </c>
      <c r="MPX67" s="155">
        <f>SUM(MPS67:MPW67)</f>
        <v>8675</v>
      </c>
      <c r="MPY67" s="153">
        <v>200</v>
      </c>
      <c r="MPZ67" s="155">
        <f>SUM(MPX67:MPY67)</f>
        <v>8875</v>
      </c>
      <c r="MQA67" s="148" t="s">
        <v>96</v>
      </c>
      <c r="MQB67" s="149">
        <v>45845</v>
      </c>
      <c r="MQC67" s="144" t="s">
        <v>40</v>
      </c>
      <c r="MQD67" s="200"/>
      <c r="MQE67" s="150" t="s">
        <v>123</v>
      </c>
      <c r="MQF67" s="198"/>
      <c r="MQG67" s="199"/>
      <c r="MQH67" s="144" t="s">
        <v>22</v>
      </c>
      <c r="MQI67" s="145">
        <v>8150</v>
      </c>
      <c r="MQJ67" s="153">
        <v>85</v>
      </c>
      <c r="MQK67" s="154">
        <v>215</v>
      </c>
      <c r="MQL67" s="154">
        <v>75</v>
      </c>
      <c r="MQM67" s="153">
        <v>150</v>
      </c>
      <c r="MQN67" s="155">
        <f>SUM(MQI67:MQM67)</f>
        <v>8675</v>
      </c>
      <c r="MQO67" s="153">
        <v>200</v>
      </c>
      <c r="MQP67" s="155">
        <f>SUM(MQN67:MQO67)</f>
        <v>8875</v>
      </c>
      <c r="MQQ67" s="148" t="s">
        <v>96</v>
      </c>
      <c r="MQR67" s="149">
        <v>45845</v>
      </c>
      <c r="MQS67" s="144" t="s">
        <v>40</v>
      </c>
      <c r="MQT67" s="200"/>
      <c r="MQU67" s="150" t="s">
        <v>123</v>
      </c>
      <c r="MQV67" s="198"/>
      <c r="MQW67" s="199"/>
      <c r="MQX67" s="144" t="s">
        <v>22</v>
      </c>
      <c r="MQY67" s="145">
        <v>8150</v>
      </c>
      <c r="MQZ67" s="153">
        <v>85</v>
      </c>
      <c r="MRA67" s="154">
        <v>215</v>
      </c>
      <c r="MRB67" s="154">
        <v>75</v>
      </c>
      <c r="MRC67" s="153">
        <v>150</v>
      </c>
      <c r="MRD67" s="155">
        <f>SUM(MQY67:MRC67)</f>
        <v>8675</v>
      </c>
      <c r="MRE67" s="153">
        <v>200</v>
      </c>
      <c r="MRF67" s="155">
        <f>SUM(MRD67:MRE67)</f>
        <v>8875</v>
      </c>
      <c r="MRG67" s="148" t="s">
        <v>96</v>
      </c>
      <c r="MRH67" s="149">
        <v>45845</v>
      </c>
      <c r="MRI67" s="144" t="s">
        <v>40</v>
      </c>
      <c r="MRJ67" s="200"/>
      <c r="MRK67" s="150" t="s">
        <v>123</v>
      </c>
      <c r="MRL67" s="198"/>
      <c r="MRM67" s="199"/>
      <c r="MRN67" s="144" t="s">
        <v>22</v>
      </c>
      <c r="MRO67" s="145">
        <v>8150</v>
      </c>
      <c r="MRP67" s="153">
        <v>85</v>
      </c>
      <c r="MRQ67" s="154">
        <v>215</v>
      </c>
      <c r="MRR67" s="154">
        <v>75</v>
      </c>
      <c r="MRS67" s="153">
        <v>150</v>
      </c>
      <c r="MRT67" s="155">
        <f>SUM(MRO67:MRS67)</f>
        <v>8675</v>
      </c>
      <c r="MRU67" s="153">
        <v>200</v>
      </c>
      <c r="MRV67" s="155">
        <f>SUM(MRT67:MRU67)</f>
        <v>8875</v>
      </c>
      <c r="MRW67" s="148" t="s">
        <v>96</v>
      </c>
      <c r="MRX67" s="149">
        <v>45845</v>
      </c>
      <c r="MRY67" s="144" t="s">
        <v>40</v>
      </c>
      <c r="MRZ67" s="200"/>
      <c r="MSA67" s="150" t="s">
        <v>123</v>
      </c>
      <c r="MSB67" s="198"/>
      <c r="MSC67" s="199"/>
      <c r="MSD67" s="144" t="s">
        <v>22</v>
      </c>
      <c r="MSE67" s="145">
        <v>8150</v>
      </c>
      <c r="MSF67" s="153">
        <v>85</v>
      </c>
      <c r="MSG67" s="154">
        <v>215</v>
      </c>
      <c r="MSH67" s="154">
        <v>75</v>
      </c>
      <c r="MSI67" s="153">
        <v>150</v>
      </c>
      <c r="MSJ67" s="155">
        <f>SUM(MSE67:MSI67)</f>
        <v>8675</v>
      </c>
      <c r="MSK67" s="153">
        <v>200</v>
      </c>
      <c r="MSL67" s="155">
        <f>SUM(MSJ67:MSK67)</f>
        <v>8875</v>
      </c>
      <c r="MSM67" s="148" t="s">
        <v>96</v>
      </c>
      <c r="MSN67" s="149">
        <v>45845</v>
      </c>
      <c r="MSO67" s="144" t="s">
        <v>40</v>
      </c>
      <c r="MSP67" s="200"/>
      <c r="MSQ67" s="150" t="s">
        <v>123</v>
      </c>
      <c r="MSR67" s="198"/>
      <c r="MSS67" s="199"/>
      <c r="MST67" s="144" t="s">
        <v>22</v>
      </c>
      <c r="MSU67" s="145">
        <v>8150</v>
      </c>
      <c r="MSV67" s="153">
        <v>85</v>
      </c>
      <c r="MSW67" s="154">
        <v>215</v>
      </c>
      <c r="MSX67" s="154">
        <v>75</v>
      </c>
      <c r="MSY67" s="153">
        <v>150</v>
      </c>
      <c r="MSZ67" s="155">
        <f>SUM(MSU67:MSY67)</f>
        <v>8675</v>
      </c>
      <c r="MTA67" s="153">
        <v>200</v>
      </c>
      <c r="MTB67" s="155">
        <f>SUM(MSZ67:MTA67)</f>
        <v>8875</v>
      </c>
      <c r="MTC67" s="148" t="s">
        <v>96</v>
      </c>
      <c r="MTD67" s="149">
        <v>45845</v>
      </c>
      <c r="MTE67" s="144" t="s">
        <v>40</v>
      </c>
      <c r="MTF67" s="200"/>
      <c r="MTG67" s="150" t="s">
        <v>123</v>
      </c>
      <c r="MTH67" s="198"/>
      <c r="MTI67" s="199"/>
      <c r="MTJ67" s="144" t="s">
        <v>22</v>
      </c>
      <c r="MTK67" s="145">
        <v>8150</v>
      </c>
      <c r="MTL67" s="153">
        <v>85</v>
      </c>
      <c r="MTM67" s="154">
        <v>215</v>
      </c>
      <c r="MTN67" s="154">
        <v>75</v>
      </c>
      <c r="MTO67" s="153">
        <v>150</v>
      </c>
      <c r="MTP67" s="155">
        <f>SUM(MTK67:MTO67)</f>
        <v>8675</v>
      </c>
      <c r="MTQ67" s="153">
        <v>200</v>
      </c>
      <c r="MTR67" s="155">
        <f>SUM(MTP67:MTQ67)</f>
        <v>8875</v>
      </c>
      <c r="MTS67" s="148" t="s">
        <v>96</v>
      </c>
      <c r="MTT67" s="149">
        <v>45845</v>
      </c>
      <c r="MTU67" s="144" t="s">
        <v>40</v>
      </c>
      <c r="MTV67" s="200"/>
      <c r="MTW67" s="150" t="s">
        <v>123</v>
      </c>
      <c r="MTX67" s="198"/>
      <c r="MTY67" s="199"/>
      <c r="MTZ67" s="144" t="s">
        <v>22</v>
      </c>
      <c r="MUA67" s="145">
        <v>8150</v>
      </c>
      <c r="MUB67" s="153">
        <v>85</v>
      </c>
      <c r="MUC67" s="154">
        <v>215</v>
      </c>
      <c r="MUD67" s="154">
        <v>75</v>
      </c>
      <c r="MUE67" s="153">
        <v>150</v>
      </c>
      <c r="MUF67" s="155">
        <f>SUM(MUA67:MUE67)</f>
        <v>8675</v>
      </c>
      <c r="MUG67" s="153">
        <v>200</v>
      </c>
      <c r="MUH67" s="155">
        <f>SUM(MUF67:MUG67)</f>
        <v>8875</v>
      </c>
      <c r="MUI67" s="148" t="s">
        <v>96</v>
      </c>
      <c r="MUJ67" s="149">
        <v>45845</v>
      </c>
      <c r="MUK67" s="144" t="s">
        <v>40</v>
      </c>
      <c r="MUL67" s="200"/>
      <c r="MUM67" s="150" t="s">
        <v>123</v>
      </c>
      <c r="MUN67" s="198"/>
      <c r="MUO67" s="199"/>
      <c r="MUP67" s="144" t="s">
        <v>22</v>
      </c>
      <c r="MUQ67" s="145">
        <v>8150</v>
      </c>
      <c r="MUR67" s="153">
        <v>85</v>
      </c>
      <c r="MUS67" s="154">
        <v>215</v>
      </c>
      <c r="MUT67" s="154">
        <v>75</v>
      </c>
      <c r="MUU67" s="153">
        <v>150</v>
      </c>
      <c r="MUV67" s="155">
        <f>SUM(MUQ67:MUU67)</f>
        <v>8675</v>
      </c>
      <c r="MUW67" s="153">
        <v>200</v>
      </c>
      <c r="MUX67" s="155">
        <f>SUM(MUV67:MUW67)</f>
        <v>8875</v>
      </c>
      <c r="MUY67" s="148" t="s">
        <v>96</v>
      </c>
      <c r="MUZ67" s="149">
        <v>45845</v>
      </c>
      <c r="MVA67" s="144" t="s">
        <v>40</v>
      </c>
      <c r="MVB67" s="200"/>
      <c r="MVC67" s="150" t="s">
        <v>123</v>
      </c>
      <c r="MVD67" s="198"/>
      <c r="MVE67" s="199"/>
      <c r="MVF67" s="144" t="s">
        <v>22</v>
      </c>
      <c r="MVG67" s="145">
        <v>8150</v>
      </c>
      <c r="MVH67" s="153">
        <v>85</v>
      </c>
      <c r="MVI67" s="154">
        <v>215</v>
      </c>
      <c r="MVJ67" s="154">
        <v>75</v>
      </c>
      <c r="MVK67" s="153">
        <v>150</v>
      </c>
      <c r="MVL67" s="155">
        <f>SUM(MVG67:MVK67)</f>
        <v>8675</v>
      </c>
      <c r="MVM67" s="153">
        <v>200</v>
      </c>
      <c r="MVN67" s="155">
        <f>SUM(MVL67:MVM67)</f>
        <v>8875</v>
      </c>
      <c r="MVO67" s="148" t="s">
        <v>96</v>
      </c>
      <c r="MVP67" s="149">
        <v>45845</v>
      </c>
      <c r="MVQ67" s="144" t="s">
        <v>40</v>
      </c>
      <c r="MVR67" s="200"/>
      <c r="MVS67" s="150" t="s">
        <v>123</v>
      </c>
      <c r="MVT67" s="198"/>
      <c r="MVU67" s="199"/>
      <c r="MVV67" s="144" t="s">
        <v>22</v>
      </c>
      <c r="MVW67" s="145">
        <v>8150</v>
      </c>
      <c r="MVX67" s="153">
        <v>85</v>
      </c>
      <c r="MVY67" s="154">
        <v>215</v>
      </c>
      <c r="MVZ67" s="154">
        <v>75</v>
      </c>
      <c r="MWA67" s="153">
        <v>150</v>
      </c>
      <c r="MWB67" s="155">
        <f>SUM(MVW67:MWA67)</f>
        <v>8675</v>
      </c>
      <c r="MWC67" s="153">
        <v>200</v>
      </c>
      <c r="MWD67" s="155">
        <f>SUM(MWB67:MWC67)</f>
        <v>8875</v>
      </c>
      <c r="MWE67" s="148" t="s">
        <v>96</v>
      </c>
      <c r="MWF67" s="149">
        <v>45845</v>
      </c>
      <c r="MWG67" s="144" t="s">
        <v>40</v>
      </c>
      <c r="MWH67" s="200"/>
      <c r="MWI67" s="150" t="s">
        <v>123</v>
      </c>
      <c r="MWJ67" s="198"/>
      <c r="MWK67" s="199"/>
      <c r="MWL67" s="144" t="s">
        <v>22</v>
      </c>
      <c r="MWM67" s="145">
        <v>8150</v>
      </c>
      <c r="MWN67" s="153">
        <v>85</v>
      </c>
      <c r="MWO67" s="154">
        <v>215</v>
      </c>
      <c r="MWP67" s="154">
        <v>75</v>
      </c>
      <c r="MWQ67" s="153">
        <v>150</v>
      </c>
      <c r="MWR67" s="155">
        <f>SUM(MWM67:MWQ67)</f>
        <v>8675</v>
      </c>
      <c r="MWS67" s="153">
        <v>200</v>
      </c>
      <c r="MWT67" s="155">
        <f>SUM(MWR67:MWS67)</f>
        <v>8875</v>
      </c>
      <c r="MWU67" s="148" t="s">
        <v>96</v>
      </c>
      <c r="MWV67" s="149">
        <v>45845</v>
      </c>
      <c r="MWW67" s="144" t="s">
        <v>40</v>
      </c>
      <c r="MWX67" s="200"/>
      <c r="MWY67" s="150" t="s">
        <v>123</v>
      </c>
      <c r="MWZ67" s="198"/>
      <c r="MXA67" s="199"/>
      <c r="MXB67" s="144" t="s">
        <v>22</v>
      </c>
      <c r="MXC67" s="145">
        <v>8150</v>
      </c>
      <c r="MXD67" s="153">
        <v>85</v>
      </c>
      <c r="MXE67" s="154">
        <v>215</v>
      </c>
      <c r="MXF67" s="154">
        <v>75</v>
      </c>
      <c r="MXG67" s="153">
        <v>150</v>
      </c>
      <c r="MXH67" s="155">
        <f>SUM(MXC67:MXG67)</f>
        <v>8675</v>
      </c>
      <c r="MXI67" s="153">
        <v>200</v>
      </c>
      <c r="MXJ67" s="155">
        <f>SUM(MXH67:MXI67)</f>
        <v>8875</v>
      </c>
      <c r="MXK67" s="148" t="s">
        <v>96</v>
      </c>
      <c r="MXL67" s="149">
        <v>45845</v>
      </c>
      <c r="MXM67" s="144" t="s">
        <v>40</v>
      </c>
      <c r="MXN67" s="200"/>
      <c r="MXO67" s="150" t="s">
        <v>123</v>
      </c>
      <c r="MXP67" s="198"/>
      <c r="MXQ67" s="199"/>
      <c r="MXR67" s="144" t="s">
        <v>22</v>
      </c>
      <c r="MXS67" s="145">
        <v>8150</v>
      </c>
      <c r="MXT67" s="153">
        <v>85</v>
      </c>
      <c r="MXU67" s="154">
        <v>215</v>
      </c>
      <c r="MXV67" s="154">
        <v>75</v>
      </c>
      <c r="MXW67" s="153">
        <v>150</v>
      </c>
      <c r="MXX67" s="155">
        <f>SUM(MXS67:MXW67)</f>
        <v>8675</v>
      </c>
      <c r="MXY67" s="153">
        <v>200</v>
      </c>
      <c r="MXZ67" s="155">
        <f>SUM(MXX67:MXY67)</f>
        <v>8875</v>
      </c>
      <c r="MYA67" s="148" t="s">
        <v>96</v>
      </c>
      <c r="MYB67" s="149">
        <v>45845</v>
      </c>
      <c r="MYC67" s="144" t="s">
        <v>40</v>
      </c>
      <c r="MYD67" s="200"/>
      <c r="MYE67" s="150" t="s">
        <v>123</v>
      </c>
      <c r="MYF67" s="198"/>
      <c r="MYG67" s="199"/>
      <c r="MYH67" s="144" t="s">
        <v>22</v>
      </c>
      <c r="MYI67" s="145">
        <v>8150</v>
      </c>
      <c r="MYJ67" s="153">
        <v>85</v>
      </c>
      <c r="MYK67" s="154">
        <v>215</v>
      </c>
      <c r="MYL67" s="154">
        <v>75</v>
      </c>
      <c r="MYM67" s="153">
        <v>150</v>
      </c>
      <c r="MYN67" s="155">
        <f>SUM(MYI67:MYM67)</f>
        <v>8675</v>
      </c>
      <c r="MYO67" s="153">
        <v>200</v>
      </c>
      <c r="MYP67" s="155">
        <f>SUM(MYN67:MYO67)</f>
        <v>8875</v>
      </c>
      <c r="MYQ67" s="148" t="s">
        <v>96</v>
      </c>
      <c r="MYR67" s="149">
        <v>45845</v>
      </c>
      <c r="MYS67" s="144" t="s">
        <v>40</v>
      </c>
      <c r="MYT67" s="200"/>
      <c r="MYU67" s="150" t="s">
        <v>123</v>
      </c>
      <c r="MYV67" s="198"/>
      <c r="MYW67" s="199"/>
      <c r="MYX67" s="144" t="s">
        <v>22</v>
      </c>
      <c r="MYY67" s="145">
        <v>8150</v>
      </c>
      <c r="MYZ67" s="153">
        <v>85</v>
      </c>
      <c r="MZA67" s="154">
        <v>215</v>
      </c>
      <c r="MZB67" s="154">
        <v>75</v>
      </c>
      <c r="MZC67" s="153">
        <v>150</v>
      </c>
      <c r="MZD67" s="155">
        <f>SUM(MYY67:MZC67)</f>
        <v>8675</v>
      </c>
      <c r="MZE67" s="153">
        <v>200</v>
      </c>
      <c r="MZF67" s="155">
        <f>SUM(MZD67:MZE67)</f>
        <v>8875</v>
      </c>
      <c r="MZG67" s="148" t="s">
        <v>96</v>
      </c>
      <c r="MZH67" s="149">
        <v>45845</v>
      </c>
      <c r="MZI67" s="144" t="s">
        <v>40</v>
      </c>
      <c r="MZJ67" s="200"/>
      <c r="MZK67" s="150" t="s">
        <v>123</v>
      </c>
      <c r="MZL67" s="198"/>
      <c r="MZM67" s="199"/>
      <c r="MZN67" s="144" t="s">
        <v>22</v>
      </c>
      <c r="MZO67" s="145">
        <v>8150</v>
      </c>
      <c r="MZP67" s="153">
        <v>85</v>
      </c>
      <c r="MZQ67" s="154">
        <v>215</v>
      </c>
      <c r="MZR67" s="154">
        <v>75</v>
      </c>
      <c r="MZS67" s="153">
        <v>150</v>
      </c>
      <c r="MZT67" s="155">
        <f>SUM(MZO67:MZS67)</f>
        <v>8675</v>
      </c>
      <c r="MZU67" s="153">
        <v>200</v>
      </c>
      <c r="MZV67" s="155">
        <f>SUM(MZT67:MZU67)</f>
        <v>8875</v>
      </c>
      <c r="MZW67" s="148" t="s">
        <v>96</v>
      </c>
      <c r="MZX67" s="149">
        <v>45845</v>
      </c>
      <c r="MZY67" s="144" t="s">
        <v>40</v>
      </c>
      <c r="MZZ67" s="200"/>
      <c r="NAA67" s="150" t="s">
        <v>123</v>
      </c>
      <c r="NAB67" s="198"/>
      <c r="NAC67" s="199"/>
      <c r="NAD67" s="144" t="s">
        <v>22</v>
      </c>
      <c r="NAE67" s="145">
        <v>8150</v>
      </c>
      <c r="NAF67" s="153">
        <v>85</v>
      </c>
      <c r="NAG67" s="154">
        <v>215</v>
      </c>
      <c r="NAH67" s="154">
        <v>75</v>
      </c>
      <c r="NAI67" s="153">
        <v>150</v>
      </c>
      <c r="NAJ67" s="155">
        <f>SUM(NAE67:NAI67)</f>
        <v>8675</v>
      </c>
      <c r="NAK67" s="153">
        <v>200</v>
      </c>
      <c r="NAL67" s="155">
        <f>SUM(NAJ67:NAK67)</f>
        <v>8875</v>
      </c>
      <c r="NAM67" s="148" t="s">
        <v>96</v>
      </c>
      <c r="NAN67" s="149">
        <v>45845</v>
      </c>
      <c r="NAO67" s="144" t="s">
        <v>40</v>
      </c>
      <c r="NAP67" s="200"/>
      <c r="NAQ67" s="150" t="s">
        <v>123</v>
      </c>
      <c r="NAR67" s="198"/>
      <c r="NAS67" s="199"/>
      <c r="NAT67" s="144" t="s">
        <v>22</v>
      </c>
      <c r="NAU67" s="145">
        <v>8150</v>
      </c>
      <c r="NAV67" s="153">
        <v>85</v>
      </c>
      <c r="NAW67" s="154">
        <v>215</v>
      </c>
      <c r="NAX67" s="154">
        <v>75</v>
      </c>
      <c r="NAY67" s="153">
        <v>150</v>
      </c>
      <c r="NAZ67" s="155">
        <f>SUM(NAU67:NAY67)</f>
        <v>8675</v>
      </c>
      <c r="NBA67" s="153">
        <v>200</v>
      </c>
      <c r="NBB67" s="155">
        <f>SUM(NAZ67:NBA67)</f>
        <v>8875</v>
      </c>
      <c r="NBC67" s="148" t="s">
        <v>96</v>
      </c>
      <c r="NBD67" s="149">
        <v>45845</v>
      </c>
      <c r="NBE67" s="144" t="s">
        <v>40</v>
      </c>
      <c r="NBF67" s="200"/>
      <c r="NBG67" s="150" t="s">
        <v>123</v>
      </c>
      <c r="NBH67" s="198"/>
      <c r="NBI67" s="199"/>
      <c r="NBJ67" s="144" t="s">
        <v>22</v>
      </c>
      <c r="NBK67" s="145">
        <v>8150</v>
      </c>
      <c r="NBL67" s="153">
        <v>85</v>
      </c>
      <c r="NBM67" s="154">
        <v>215</v>
      </c>
      <c r="NBN67" s="154">
        <v>75</v>
      </c>
      <c r="NBO67" s="153">
        <v>150</v>
      </c>
      <c r="NBP67" s="155">
        <f>SUM(NBK67:NBO67)</f>
        <v>8675</v>
      </c>
      <c r="NBQ67" s="153">
        <v>200</v>
      </c>
      <c r="NBR67" s="155">
        <f>SUM(NBP67:NBQ67)</f>
        <v>8875</v>
      </c>
      <c r="NBS67" s="148" t="s">
        <v>96</v>
      </c>
      <c r="NBT67" s="149">
        <v>45845</v>
      </c>
      <c r="NBU67" s="144" t="s">
        <v>40</v>
      </c>
      <c r="NBV67" s="200"/>
      <c r="NBW67" s="150" t="s">
        <v>123</v>
      </c>
      <c r="NBX67" s="198"/>
      <c r="NBY67" s="199"/>
      <c r="NBZ67" s="144" t="s">
        <v>22</v>
      </c>
      <c r="NCA67" s="145">
        <v>8150</v>
      </c>
      <c r="NCB67" s="153">
        <v>85</v>
      </c>
      <c r="NCC67" s="154">
        <v>215</v>
      </c>
      <c r="NCD67" s="154">
        <v>75</v>
      </c>
      <c r="NCE67" s="153">
        <v>150</v>
      </c>
      <c r="NCF67" s="155">
        <f>SUM(NCA67:NCE67)</f>
        <v>8675</v>
      </c>
      <c r="NCG67" s="153">
        <v>200</v>
      </c>
      <c r="NCH67" s="155">
        <f>SUM(NCF67:NCG67)</f>
        <v>8875</v>
      </c>
      <c r="NCI67" s="148" t="s">
        <v>96</v>
      </c>
      <c r="NCJ67" s="149">
        <v>45845</v>
      </c>
      <c r="NCK67" s="144" t="s">
        <v>40</v>
      </c>
      <c r="NCL67" s="200"/>
      <c r="NCM67" s="150" t="s">
        <v>123</v>
      </c>
      <c r="NCN67" s="198"/>
      <c r="NCO67" s="199"/>
      <c r="NCP67" s="144" t="s">
        <v>22</v>
      </c>
      <c r="NCQ67" s="145">
        <v>8150</v>
      </c>
      <c r="NCR67" s="153">
        <v>85</v>
      </c>
      <c r="NCS67" s="154">
        <v>215</v>
      </c>
      <c r="NCT67" s="154">
        <v>75</v>
      </c>
      <c r="NCU67" s="153">
        <v>150</v>
      </c>
      <c r="NCV67" s="155">
        <f>SUM(NCQ67:NCU67)</f>
        <v>8675</v>
      </c>
      <c r="NCW67" s="153">
        <v>200</v>
      </c>
      <c r="NCX67" s="155">
        <f>SUM(NCV67:NCW67)</f>
        <v>8875</v>
      </c>
      <c r="NCY67" s="148" t="s">
        <v>96</v>
      </c>
      <c r="NCZ67" s="149">
        <v>45845</v>
      </c>
      <c r="NDA67" s="144" t="s">
        <v>40</v>
      </c>
      <c r="NDB67" s="200"/>
      <c r="NDC67" s="150" t="s">
        <v>123</v>
      </c>
      <c r="NDD67" s="198"/>
      <c r="NDE67" s="199"/>
      <c r="NDF67" s="144" t="s">
        <v>22</v>
      </c>
      <c r="NDG67" s="145">
        <v>8150</v>
      </c>
      <c r="NDH67" s="153">
        <v>85</v>
      </c>
      <c r="NDI67" s="154">
        <v>215</v>
      </c>
      <c r="NDJ67" s="154">
        <v>75</v>
      </c>
      <c r="NDK67" s="153">
        <v>150</v>
      </c>
      <c r="NDL67" s="155">
        <f>SUM(NDG67:NDK67)</f>
        <v>8675</v>
      </c>
      <c r="NDM67" s="153">
        <v>200</v>
      </c>
      <c r="NDN67" s="155">
        <f>SUM(NDL67:NDM67)</f>
        <v>8875</v>
      </c>
      <c r="NDO67" s="148" t="s">
        <v>96</v>
      </c>
      <c r="NDP67" s="149">
        <v>45845</v>
      </c>
      <c r="NDQ67" s="144" t="s">
        <v>40</v>
      </c>
      <c r="NDR67" s="200"/>
      <c r="NDS67" s="150" t="s">
        <v>123</v>
      </c>
      <c r="NDT67" s="198"/>
      <c r="NDU67" s="199"/>
      <c r="NDV67" s="144" t="s">
        <v>22</v>
      </c>
      <c r="NDW67" s="145">
        <v>8150</v>
      </c>
      <c r="NDX67" s="153">
        <v>85</v>
      </c>
      <c r="NDY67" s="154">
        <v>215</v>
      </c>
      <c r="NDZ67" s="154">
        <v>75</v>
      </c>
      <c r="NEA67" s="153">
        <v>150</v>
      </c>
      <c r="NEB67" s="155">
        <f>SUM(NDW67:NEA67)</f>
        <v>8675</v>
      </c>
      <c r="NEC67" s="153">
        <v>200</v>
      </c>
      <c r="NED67" s="155">
        <f>SUM(NEB67:NEC67)</f>
        <v>8875</v>
      </c>
      <c r="NEE67" s="148" t="s">
        <v>96</v>
      </c>
      <c r="NEF67" s="149">
        <v>45845</v>
      </c>
      <c r="NEG67" s="144" t="s">
        <v>40</v>
      </c>
      <c r="NEH67" s="200"/>
      <c r="NEI67" s="150" t="s">
        <v>123</v>
      </c>
      <c r="NEJ67" s="198"/>
      <c r="NEK67" s="199"/>
      <c r="NEL67" s="144" t="s">
        <v>22</v>
      </c>
      <c r="NEM67" s="145">
        <v>8150</v>
      </c>
      <c r="NEN67" s="153">
        <v>85</v>
      </c>
      <c r="NEO67" s="154">
        <v>215</v>
      </c>
      <c r="NEP67" s="154">
        <v>75</v>
      </c>
      <c r="NEQ67" s="153">
        <v>150</v>
      </c>
      <c r="NER67" s="155">
        <f>SUM(NEM67:NEQ67)</f>
        <v>8675</v>
      </c>
      <c r="NES67" s="153">
        <v>200</v>
      </c>
      <c r="NET67" s="155">
        <f>SUM(NER67:NES67)</f>
        <v>8875</v>
      </c>
      <c r="NEU67" s="148" t="s">
        <v>96</v>
      </c>
      <c r="NEV67" s="149">
        <v>45845</v>
      </c>
      <c r="NEW67" s="144" t="s">
        <v>40</v>
      </c>
      <c r="NEX67" s="200"/>
      <c r="NEY67" s="150" t="s">
        <v>123</v>
      </c>
      <c r="NEZ67" s="198"/>
      <c r="NFA67" s="199"/>
      <c r="NFB67" s="144" t="s">
        <v>22</v>
      </c>
      <c r="NFC67" s="145">
        <v>8150</v>
      </c>
      <c r="NFD67" s="153">
        <v>85</v>
      </c>
      <c r="NFE67" s="154">
        <v>215</v>
      </c>
      <c r="NFF67" s="154">
        <v>75</v>
      </c>
      <c r="NFG67" s="153">
        <v>150</v>
      </c>
      <c r="NFH67" s="155">
        <f>SUM(NFC67:NFG67)</f>
        <v>8675</v>
      </c>
      <c r="NFI67" s="153">
        <v>200</v>
      </c>
      <c r="NFJ67" s="155">
        <f>SUM(NFH67:NFI67)</f>
        <v>8875</v>
      </c>
      <c r="NFK67" s="148" t="s">
        <v>96</v>
      </c>
      <c r="NFL67" s="149">
        <v>45845</v>
      </c>
      <c r="NFM67" s="144" t="s">
        <v>40</v>
      </c>
      <c r="NFN67" s="200"/>
      <c r="NFO67" s="150" t="s">
        <v>123</v>
      </c>
      <c r="NFP67" s="198"/>
      <c r="NFQ67" s="199"/>
      <c r="NFR67" s="144" t="s">
        <v>22</v>
      </c>
      <c r="NFS67" s="145">
        <v>8150</v>
      </c>
      <c r="NFT67" s="153">
        <v>85</v>
      </c>
      <c r="NFU67" s="154">
        <v>215</v>
      </c>
      <c r="NFV67" s="154">
        <v>75</v>
      </c>
      <c r="NFW67" s="153">
        <v>150</v>
      </c>
      <c r="NFX67" s="155">
        <f>SUM(NFS67:NFW67)</f>
        <v>8675</v>
      </c>
      <c r="NFY67" s="153">
        <v>200</v>
      </c>
      <c r="NFZ67" s="155">
        <f>SUM(NFX67:NFY67)</f>
        <v>8875</v>
      </c>
      <c r="NGA67" s="148" t="s">
        <v>96</v>
      </c>
      <c r="NGB67" s="149">
        <v>45845</v>
      </c>
      <c r="NGC67" s="144" t="s">
        <v>40</v>
      </c>
      <c r="NGD67" s="200"/>
      <c r="NGE67" s="150" t="s">
        <v>123</v>
      </c>
      <c r="NGF67" s="198"/>
      <c r="NGG67" s="199"/>
      <c r="NGH67" s="144" t="s">
        <v>22</v>
      </c>
      <c r="NGI67" s="145">
        <v>8150</v>
      </c>
      <c r="NGJ67" s="153">
        <v>85</v>
      </c>
      <c r="NGK67" s="154">
        <v>215</v>
      </c>
      <c r="NGL67" s="154">
        <v>75</v>
      </c>
      <c r="NGM67" s="153">
        <v>150</v>
      </c>
      <c r="NGN67" s="155">
        <f>SUM(NGI67:NGM67)</f>
        <v>8675</v>
      </c>
      <c r="NGO67" s="153">
        <v>200</v>
      </c>
      <c r="NGP67" s="155">
        <f>SUM(NGN67:NGO67)</f>
        <v>8875</v>
      </c>
      <c r="NGQ67" s="148" t="s">
        <v>96</v>
      </c>
      <c r="NGR67" s="149">
        <v>45845</v>
      </c>
      <c r="NGS67" s="144" t="s">
        <v>40</v>
      </c>
      <c r="NGT67" s="200"/>
      <c r="NGU67" s="150" t="s">
        <v>123</v>
      </c>
      <c r="NGV67" s="198"/>
      <c r="NGW67" s="199"/>
      <c r="NGX67" s="144" t="s">
        <v>22</v>
      </c>
      <c r="NGY67" s="145">
        <v>8150</v>
      </c>
      <c r="NGZ67" s="153">
        <v>85</v>
      </c>
      <c r="NHA67" s="154">
        <v>215</v>
      </c>
      <c r="NHB67" s="154">
        <v>75</v>
      </c>
      <c r="NHC67" s="153">
        <v>150</v>
      </c>
      <c r="NHD67" s="155">
        <f>SUM(NGY67:NHC67)</f>
        <v>8675</v>
      </c>
      <c r="NHE67" s="153">
        <v>200</v>
      </c>
      <c r="NHF67" s="155">
        <f>SUM(NHD67:NHE67)</f>
        <v>8875</v>
      </c>
      <c r="NHG67" s="148" t="s">
        <v>96</v>
      </c>
      <c r="NHH67" s="149">
        <v>45845</v>
      </c>
      <c r="NHI67" s="144" t="s">
        <v>40</v>
      </c>
      <c r="NHJ67" s="200"/>
      <c r="NHK67" s="150" t="s">
        <v>123</v>
      </c>
      <c r="NHL67" s="198"/>
      <c r="NHM67" s="199"/>
      <c r="NHN67" s="144" t="s">
        <v>22</v>
      </c>
      <c r="NHO67" s="145">
        <v>8150</v>
      </c>
      <c r="NHP67" s="153">
        <v>85</v>
      </c>
      <c r="NHQ67" s="154">
        <v>215</v>
      </c>
      <c r="NHR67" s="154">
        <v>75</v>
      </c>
      <c r="NHS67" s="153">
        <v>150</v>
      </c>
      <c r="NHT67" s="155">
        <f>SUM(NHO67:NHS67)</f>
        <v>8675</v>
      </c>
      <c r="NHU67" s="153">
        <v>200</v>
      </c>
      <c r="NHV67" s="155">
        <f>SUM(NHT67:NHU67)</f>
        <v>8875</v>
      </c>
      <c r="NHW67" s="148" t="s">
        <v>96</v>
      </c>
      <c r="NHX67" s="149">
        <v>45845</v>
      </c>
      <c r="NHY67" s="144" t="s">
        <v>40</v>
      </c>
      <c r="NHZ67" s="200"/>
      <c r="NIA67" s="150" t="s">
        <v>123</v>
      </c>
      <c r="NIB67" s="198"/>
      <c r="NIC67" s="199"/>
      <c r="NID67" s="144" t="s">
        <v>22</v>
      </c>
      <c r="NIE67" s="145">
        <v>8150</v>
      </c>
      <c r="NIF67" s="153">
        <v>85</v>
      </c>
      <c r="NIG67" s="154">
        <v>215</v>
      </c>
      <c r="NIH67" s="154">
        <v>75</v>
      </c>
      <c r="NII67" s="153">
        <v>150</v>
      </c>
      <c r="NIJ67" s="155">
        <f>SUM(NIE67:NII67)</f>
        <v>8675</v>
      </c>
      <c r="NIK67" s="153">
        <v>200</v>
      </c>
      <c r="NIL67" s="155">
        <f>SUM(NIJ67:NIK67)</f>
        <v>8875</v>
      </c>
      <c r="NIM67" s="148" t="s">
        <v>96</v>
      </c>
      <c r="NIN67" s="149">
        <v>45845</v>
      </c>
      <c r="NIO67" s="144" t="s">
        <v>40</v>
      </c>
      <c r="NIP67" s="200"/>
      <c r="NIQ67" s="150" t="s">
        <v>123</v>
      </c>
      <c r="NIR67" s="198"/>
      <c r="NIS67" s="199"/>
      <c r="NIT67" s="144" t="s">
        <v>22</v>
      </c>
      <c r="NIU67" s="145">
        <v>8150</v>
      </c>
      <c r="NIV67" s="153">
        <v>85</v>
      </c>
      <c r="NIW67" s="154">
        <v>215</v>
      </c>
      <c r="NIX67" s="154">
        <v>75</v>
      </c>
      <c r="NIY67" s="153">
        <v>150</v>
      </c>
      <c r="NIZ67" s="155">
        <f>SUM(NIU67:NIY67)</f>
        <v>8675</v>
      </c>
      <c r="NJA67" s="153">
        <v>200</v>
      </c>
      <c r="NJB67" s="155">
        <f>SUM(NIZ67:NJA67)</f>
        <v>8875</v>
      </c>
      <c r="NJC67" s="148" t="s">
        <v>96</v>
      </c>
      <c r="NJD67" s="149">
        <v>45845</v>
      </c>
      <c r="NJE67" s="144" t="s">
        <v>40</v>
      </c>
      <c r="NJF67" s="200"/>
      <c r="NJG67" s="150" t="s">
        <v>123</v>
      </c>
      <c r="NJH67" s="198"/>
      <c r="NJI67" s="199"/>
      <c r="NJJ67" s="144" t="s">
        <v>22</v>
      </c>
      <c r="NJK67" s="145">
        <v>8150</v>
      </c>
      <c r="NJL67" s="153">
        <v>85</v>
      </c>
      <c r="NJM67" s="154">
        <v>215</v>
      </c>
      <c r="NJN67" s="154">
        <v>75</v>
      </c>
      <c r="NJO67" s="153">
        <v>150</v>
      </c>
      <c r="NJP67" s="155">
        <f>SUM(NJK67:NJO67)</f>
        <v>8675</v>
      </c>
      <c r="NJQ67" s="153">
        <v>200</v>
      </c>
      <c r="NJR67" s="155">
        <f>SUM(NJP67:NJQ67)</f>
        <v>8875</v>
      </c>
      <c r="NJS67" s="148" t="s">
        <v>96</v>
      </c>
      <c r="NJT67" s="149">
        <v>45845</v>
      </c>
      <c r="NJU67" s="144" t="s">
        <v>40</v>
      </c>
      <c r="NJV67" s="200"/>
      <c r="NJW67" s="150" t="s">
        <v>123</v>
      </c>
      <c r="NJX67" s="198"/>
      <c r="NJY67" s="199"/>
      <c r="NJZ67" s="144" t="s">
        <v>22</v>
      </c>
      <c r="NKA67" s="145">
        <v>8150</v>
      </c>
      <c r="NKB67" s="153">
        <v>85</v>
      </c>
      <c r="NKC67" s="154">
        <v>215</v>
      </c>
      <c r="NKD67" s="154">
        <v>75</v>
      </c>
      <c r="NKE67" s="153">
        <v>150</v>
      </c>
      <c r="NKF67" s="155">
        <f>SUM(NKA67:NKE67)</f>
        <v>8675</v>
      </c>
      <c r="NKG67" s="153">
        <v>200</v>
      </c>
      <c r="NKH67" s="155">
        <f>SUM(NKF67:NKG67)</f>
        <v>8875</v>
      </c>
      <c r="NKI67" s="148" t="s">
        <v>96</v>
      </c>
      <c r="NKJ67" s="149">
        <v>45845</v>
      </c>
      <c r="NKK67" s="144" t="s">
        <v>40</v>
      </c>
      <c r="NKL67" s="200"/>
      <c r="NKM67" s="150" t="s">
        <v>123</v>
      </c>
      <c r="NKN67" s="198"/>
      <c r="NKO67" s="199"/>
      <c r="NKP67" s="144" t="s">
        <v>22</v>
      </c>
      <c r="NKQ67" s="145">
        <v>8150</v>
      </c>
      <c r="NKR67" s="153">
        <v>85</v>
      </c>
      <c r="NKS67" s="154">
        <v>215</v>
      </c>
      <c r="NKT67" s="154">
        <v>75</v>
      </c>
      <c r="NKU67" s="153">
        <v>150</v>
      </c>
      <c r="NKV67" s="155">
        <f>SUM(NKQ67:NKU67)</f>
        <v>8675</v>
      </c>
      <c r="NKW67" s="153">
        <v>200</v>
      </c>
      <c r="NKX67" s="155">
        <f>SUM(NKV67:NKW67)</f>
        <v>8875</v>
      </c>
      <c r="NKY67" s="148" t="s">
        <v>96</v>
      </c>
      <c r="NKZ67" s="149">
        <v>45845</v>
      </c>
      <c r="NLA67" s="144" t="s">
        <v>40</v>
      </c>
      <c r="NLB67" s="200"/>
      <c r="NLC67" s="150" t="s">
        <v>123</v>
      </c>
      <c r="NLD67" s="198"/>
      <c r="NLE67" s="199"/>
      <c r="NLF67" s="144" t="s">
        <v>22</v>
      </c>
      <c r="NLG67" s="145">
        <v>8150</v>
      </c>
      <c r="NLH67" s="153">
        <v>85</v>
      </c>
      <c r="NLI67" s="154">
        <v>215</v>
      </c>
      <c r="NLJ67" s="154">
        <v>75</v>
      </c>
      <c r="NLK67" s="153">
        <v>150</v>
      </c>
      <c r="NLL67" s="155">
        <f>SUM(NLG67:NLK67)</f>
        <v>8675</v>
      </c>
      <c r="NLM67" s="153">
        <v>200</v>
      </c>
      <c r="NLN67" s="155">
        <f>SUM(NLL67:NLM67)</f>
        <v>8875</v>
      </c>
      <c r="NLO67" s="148" t="s">
        <v>96</v>
      </c>
      <c r="NLP67" s="149">
        <v>45845</v>
      </c>
      <c r="NLQ67" s="144" t="s">
        <v>40</v>
      </c>
      <c r="NLR67" s="200"/>
      <c r="NLS67" s="150" t="s">
        <v>123</v>
      </c>
      <c r="NLT67" s="198"/>
      <c r="NLU67" s="199"/>
      <c r="NLV67" s="144" t="s">
        <v>22</v>
      </c>
      <c r="NLW67" s="145">
        <v>8150</v>
      </c>
      <c r="NLX67" s="153">
        <v>85</v>
      </c>
      <c r="NLY67" s="154">
        <v>215</v>
      </c>
      <c r="NLZ67" s="154">
        <v>75</v>
      </c>
      <c r="NMA67" s="153">
        <v>150</v>
      </c>
      <c r="NMB67" s="155">
        <f>SUM(NLW67:NMA67)</f>
        <v>8675</v>
      </c>
      <c r="NMC67" s="153">
        <v>200</v>
      </c>
      <c r="NMD67" s="155">
        <f>SUM(NMB67:NMC67)</f>
        <v>8875</v>
      </c>
      <c r="NME67" s="148" t="s">
        <v>96</v>
      </c>
      <c r="NMF67" s="149">
        <v>45845</v>
      </c>
      <c r="NMG67" s="144" t="s">
        <v>40</v>
      </c>
      <c r="NMH67" s="200"/>
      <c r="NMI67" s="150" t="s">
        <v>123</v>
      </c>
      <c r="NMJ67" s="198"/>
      <c r="NMK67" s="199"/>
      <c r="NML67" s="144" t="s">
        <v>22</v>
      </c>
      <c r="NMM67" s="145">
        <v>8150</v>
      </c>
      <c r="NMN67" s="153">
        <v>85</v>
      </c>
      <c r="NMO67" s="154">
        <v>215</v>
      </c>
      <c r="NMP67" s="154">
        <v>75</v>
      </c>
      <c r="NMQ67" s="153">
        <v>150</v>
      </c>
      <c r="NMR67" s="155">
        <f>SUM(NMM67:NMQ67)</f>
        <v>8675</v>
      </c>
      <c r="NMS67" s="153">
        <v>200</v>
      </c>
      <c r="NMT67" s="155">
        <f>SUM(NMR67:NMS67)</f>
        <v>8875</v>
      </c>
      <c r="NMU67" s="148" t="s">
        <v>96</v>
      </c>
      <c r="NMV67" s="149">
        <v>45845</v>
      </c>
      <c r="NMW67" s="144" t="s">
        <v>40</v>
      </c>
      <c r="NMX67" s="200"/>
      <c r="NMY67" s="150" t="s">
        <v>123</v>
      </c>
      <c r="NMZ67" s="198"/>
      <c r="NNA67" s="199"/>
      <c r="NNB67" s="144" t="s">
        <v>22</v>
      </c>
      <c r="NNC67" s="145">
        <v>8150</v>
      </c>
      <c r="NND67" s="153">
        <v>85</v>
      </c>
      <c r="NNE67" s="154">
        <v>215</v>
      </c>
      <c r="NNF67" s="154">
        <v>75</v>
      </c>
      <c r="NNG67" s="153">
        <v>150</v>
      </c>
      <c r="NNH67" s="155">
        <f>SUM(NNC67:NNG67)</f>
        <v>8675</v>
      </c>
      <c r="NNI67" s="153">
        <v>200</v>
      </c>
      <c r="NNJ67" s="155">
        <f>SUM(NNH67:NNI67)</f>
        <v>8875</v>
      </c>
      <c r="NNK67" s="148" t="s">
        <v>96</v>
      </c>
      <c r="NNL67" s="149">
        <v>45845</v>
      </c>
      <c r="NNM67" s="144" t="s">
        <v>40</v>
      </c>
      <c r="NNN67" s="200"/>
      <c r="NNO67" s="150" t="s">
        <v>123</v>
      </c>
      <c r="NNP67" s="198"/>
      <c r="NNQ67" s="199"/>
      <c r="NNR67" s="144" t="s">
        <v>22</v>
      </c>
      <c r="NNS67" s="145">
        <v>8150</v>
      </c>
      <c r="NNT67" s="153">
        <v>85</v>
      </c>
      <c r="NNU67" s="154">
        <v>215</v>
      </c>
      <c r="NNV67" s="154">
        <v>75</v>
      </c>
      <c r="NNW67" s="153">
        <v>150</v>
      </c>
      <c r="NNX67" s="155">
        <f>SUM(NNS67:NNW67)</f>
        <v>8675</v>
      </c>
      <c r="NNY67" s="153">
        <v>200</v>
      </c>
      <c r="NNZ67" s="155">
        <f>SUM(NNX67:NNY67)</f>
        <v>8875</v>
      </c>
      <c r="NOA67" s="148" t="s">
        <v>96</v>
      </c>
      <c r="NOB67" s="149">
        <v>45845</v>
      </c>
      <c r="NOC67" s="144" t="s">
        <v>40</v>
      </c>
      <c r="NOD67" s="200"/>
      <c r="NOE67" s="150" t="s">
        <v>123</v>
      </c>
      <c r="NOF67" s="198"/>
      <c r="NOG67" s="199"/>
      <c r="NOH67" s="144" t="s">
        <v>22</v>
      </c>
      <c r="NOI67" s="145">
        <v>8150</v>
      </c>
      <c r="NOJ67" s="153">
        <v>85</v>
      </c>
      <c r="NOK67" s="154">
        <v>215</v>
      </c>
      <c r="NOL67" s="154">
        <v>75</v>
      </c>
      <c r="NOM67" s="153">
        <v>150</v>
      </c>
      <c r="NON67" s="155">
        <f>SUM(NOI67:NOM67)</f>
        <v>8675</v>
      </c>
      <c r="NOO67" s="153">
        <v>200</v>
      </c>
      <c r="NOP67" s="155">
        <f>SUM(NON67:NOO67)</f>
        <v>8875</v>
      </c>
      <c r="NOQ67" s="148" t="s">
        <v>96</v>
      </c>
      <c r="NOR67" s="149">
        <v>45845</v>
      </c>
      <c r="NOS67" s="144" t="s">
        <v>40</v>
      </c>
      <c r="NOT67" s="200"/>
      <c r="NOU67" s="150" t="s">
        <v>123</v>
      </c>
      <c r="NOV67" s="198"/>
      <c r="NOW67" s="199"/>
      <c r="NOX67" s="144" t="s">
        <v>22</v>
      </c>
      <c r="NOY67" s="145">
        <v>8150</v>
      </c>
      <c r="NOZ67" s="153">
        <v>85</v>
      </c>
      <c r="NPA67" s="154">
        <v>215</v>
      </c>
      <c r="NPB67" s="154">
        <v>75</v>
      </c>
      <c r="NPC67" s="153">
        <v>150</v>
      </c>
      <c r="NPD67" s="155">
        <f>SUM(NOY67:NPC67)</f>
        <v>8675</v>
      </c>
      <c r="NPE67" s="153">
        <v>200</v>
      </c>
      <c r="NPF67" s="155">
        <f>SUM(NPD67:NPE67)</f>
        <v>8875</v>
      </c>
      <c r="NPG67" s="148" t="s">
        <v>96</v>
      </c>
      <c r="NPH67" s="149">
        <v>45845</v>
      </c>
      <c r="NPI67" s="144" t="s">
        <v>40</v>
      </c>
      <c r="NPJ67" s="200"/>
      <c r="NPK67" s="150" t="s">
        <v>123</v>
      </c>
      <c r="NPL67" s="198"/>
      <c r="NPM67" s="199"/>
      <c r="NPN67" s="144" t="s">
        <v>22</v>
      </c>
      <c r="NPO67" s="145">
        <v>8150</v>
      </c>
      <c r="NPP67" s="153">
        <v>85</v>
      </c>
      <c r="NPQ67" s="154">
        <v>215</v>
      </c>
      <c r="NPR67" s="154">
        <v>75</v>
      </c>
      <c r="NPS67" s="153">
        <v>150</v>
      </c>
      <c r="NPT67" s="155">
        <f>SUM(NPO67:NPS67)</f>
        <v>8675</v>
      </c>
      <c r="NPU67" s="153">
        <v>200</v>
      </c>
      <c r="NPV67" s="155">
        <f>SUM(NPT67:NPU67)</f>
        <v>8875</v>
      </c>
      <c r="NPW67" s="148" t="s">
        <v>96</v>
      </c>
      <c r="NPX67" s="149">
        <v>45845</v>
      </c>
      <c r="NPY67" s="144" t="s">
        <v>40</v>
      </c>
      <c r="NPZ67" s="200"/>
      <c r="NQA67" s="150" t="s">
        <v>123</v>
      </c>
      <c r="NQB67" s="198"/>
      <c r="NQC67" s="199"/>
      <c r="NQD67" s="144" t="s">
        <v>22</v>
      </c>
      <c r="NQE67" s="145">
        <v>8150</v>
      </c>
      <c r="NQF67" s="153">
        <v>85</v>
      </c>
      <c r="NQG67" s="154">
        <v>215</v>
      </c>
      <c r="NQH67" s="154">
        <v>75</v>
      </c>
      <c r="NQI67" s="153">
        <v>150</v>
      </c>
      <c r="NQJ67" s="155">
        <f>SUM(NQE67:NQI67)</f>
        <v>8675</v>
      </c>
      <c r="NQK67" s="153">
        <v>200</v>
      </c>
      <c r="NQL67" s="155">
        <f>SUM(NQJ67:NQK67)</f>
        <v>8875</v>
      </c>
      <c r="NQM67" s="148" t="s">
        <v>96</v>
      </c>
      <c r="NQN67" s="149">
        <v>45845</v>
      </c>
      <c r="NQO67" s="144" t="s">
        <v>40</v>
      </c>
      <c r="NQP67" s="200"/>
      <c r="NQQ67" s="150" t="s">
        <v>123</v>
      </c>
      <c r="NQR67" s="198"/>
      <c r="NQS67" s="199"/>
      <c r="NQT67" s="144" t="s">
        <v>22</v>
      </c>
      <c r="NQU67" s="145">
        <v>8150</v>
      </c>
      <c r="NQV67" s="153">
        <v>85</v>
      </c>
      <c r="NQW67" s="154">
        <v>215</v>
      </c>
      <c r="NQX67" s="154">
        <v>75</v>
      </c>
      <c r="NQY67" s="153">
        <v>150</v>
      </c>
      <c r="NQZ67" s="155">
        <f>SUM(NQU67:NQY67)</f>
        <v>8675</v>
      </c>
      <c r="NRA67" s="153">
        <v>200</v>
      </c>
      <c r="NRB67" s="155">
        <f>SUM(NQZ67:NRA67)</f>
        <v>8875</v>
      </c>
      <c r="NRC67" s="148" t="s">
        <v>96</v>
      </c>
      <c r="NRD67" s="149">
        <v>45845</v>
      </c>
      <c r="NRE67" s="144" t="s">
        <v>40</v>
      </c>
      <c r="NRF67" s="200"/>
      <c r="NRG67" s="150" t="s">
        <v>123</v>
      </c>
      <c r="NRH67" s="198"/>
      <c r="NRI67" s="199"/>
      <c r="NRJ67" s="144" t="s">
        <v>22</v>
      </c>
      <c r="NRK67" s="145">
        <v>8150</v>
      </c>
      <c r="NRL67" s="153">
        <v>85</v>
      </c>
      <c r="NRM67" s="154">
        <v>215</v>
      </c>
      <c r="NRN67" s="154">
        <v>75</v>
      </c>
      <c r="NRO67" s="153">
        <v>150</v>
      </c>
      <c r="NRP67" s="155">
        <f>SUM(NRK67:NRO67)</f>
        <v>8675</v>
      </c>
      <c r="NRQ67" s="153">
        <v>200</v>
      </c>
      <c r="NRR67" s="155">
        <f>SUM(NRP67:NRQ67)</f>
        <v>8875</v>
      </c>
      <c r="NRS67" s="148" t="s">
        <v>96</v>
      </c>
      <c r="NRT67" s="149">
        <v>45845</v>
      </c>
      <c r="NRU67" s="144" t="s">
        <v>40</v>
      </c>
      <c r="NRV67" s="200"/>
      <c r="NRW67" s="150" t="s">
        <v>123</v>
      </c>
      <c r="NRX67" s="198"/>
      <c r="NRY67" s="199"/>
      <c r="NRZ67" s="144" t="s">
        <v>22</v>
      </c>
      <c r="NSA67" s="145">
        <v>8150</v>
      </c>
      <c r="NSB67" s="153">
        <v>85</v>
      </c>
      <c r="NSC67" s="154">
        <v>215</v>
      </c>
      <c r="NSD67" s="154">
        <v>75</v>
      </c>
      <c r="NSE67" s="153">
        <v>150</v>
      </c>
      <c r="NSF67" s="155">
        <f>SUM(NSA67:NSE67)</f>
        <v>8675</v>
      </c>
      <c r="NSG67" s="153">
        <v>200</v>
      </c>
      <c r="NSH67" s="155">
        <f>SUM(NSF67:NSG67)</f>
        <v>8875</v>
      </c>
      <c r="NSI67" s="148" t="s">
        <v>96</v>
      </c>
      <c r="NSJ67" s="149">
        <v>45845</v>
      </c>
      <c r="NSK67" s="144" t="s">
        <v>40</v>
      </c>
      <c r="NSL67" s="200"/>
      <c r="NSM67" s="150" t="s">
        <v>123</v>
      </c>
      <c r="NSN67" s="198"/>
      <c r="NSO67" s="199"/>
      <c r="NSP67" s="144" t="s">
        <v>22</v>
      </c>
      <c r="NSQ67" s="145">
        <v>8150</v>
      </c>
      <c r="NSR67" s="153">
        <v>85</v>
      </c>
      <c r="NSS67" s="154">
        <v>215</v>
      </c>
      <c r="NST67" s="154">
        <v>75</v>
      </c>
      <c r="NSU67" s="153">
        <v>150</v>
      </c>
      <c r="NSV67" s="155">
        <f>SUM(NSQ67:NSU67)</f>
        <v>8675</v>
      </c>
      <c r="NSW67" s="153">
        <v>200</v>
      </c>
      <c r="NSX67" s="155">
        <f>SUM(NSV67:NSW67)</f>
        <v>8875</v>
      </c>
      <c r="NSY67" s="148" t="s">
        <v>96</v>
      </c>
      <c r="NSZ67" s="149">
        <v>45845</v>
      </c>
      <c r="NTA67" s="144" t="s">
        <v>40</v>
      </c>
      <c r="NTB67" s="200"/>
      <c r="NTC67" s="150" t="s">
        <v>123</v>
      </c>
      <c r="NTD67" s="198"/>
      <c r="NTE67" s="199"/>
      <c r="NTF67" s="144" t="s">
        <v>22</v>
      </c>
      <c r="NTG67" s="145">
        <v>8150</v>
      </c>
      <c r="NTH67" s="153">
        <v>85</v>
      </c>
      <c r="NTI67" s="154">
        <v>215</v>
      </c>
      <c r="NTJ67" s="154">
        <v>75</v>
      </c>
      <c r="NTK67" s="153">
        <v>150</v>
      </c>
      <c r="NTL67" s="155">
        <f>SUM(NTG67:NTK67)</f>
        <v>8675</v>
      </c>
      <c r="NTM67" s="153">
        <v>200</v>
      </c>
      <c r="NTN67" s="155">
        <f>SUM(NTL67:NTM67)</f>
        <v>8875</v>
      </c>
      <c r="NTO67" s="148" t="s">
        <v>96</v>
      </c>
      <c r="NTP67" s="149">
        <v>45845</v>
      </c>
      <c r="NTQ67" s="144" t="s">
        <v>40</v>
      </c>
      <c r="NTR67" s="200"/>
      <c r="NTS67" s="150" t="s">
        <v>123</v>
      </c>
      <c r="NTT67" s="198"/>
      <c r="NTU67" s="199"/>
      <c r="NTV67" s="144" t="s">
        <v>22</v>
      </c>
      <c r="NTW67" s="145">
        <v>8150</v>
      </c>
      <c r="NTX67" s="153">
        <v>85</v>
      </c>
      <c r="NTY67" s="154">
        <v>215</v>
      </c>
      <c r="NTZ67" s="154">
        <v>75</v>
      </c>
      <c r="NUA67" s="153">
        <v>150</v>
      </c>
      <c r="NUB67" s="155">
        <f>SUM(NTW67:NUA67)</f>
        <v>8675</v>
      </c>
      <c r="NUC67" s="153">
        <v>200</v>
      </c>
      <c r="NUD67" s="155">
        <f>SUM(NUB67:NUC67)</f>
        <v>8875</v>
      </c>
      <c r="NUE67" s="148" t="s">
        <v>96</v>
      </c>
      <c r="NUF67" s="149">
        <v>45845</v>
      </c>
      <c r="NUG67" s="144" t="s">
        <v>40</v>
      </c>
      <c r="NUH67" s="200"/>
      <c r="NUI67" s="150" t="s">
        <v>123</v>
      </c>
      <c r="NUJ67" s="198"/>
      <c r="NUK67" s="199"/>
      <c r="NUL67" s="144" t="s">
        <v>22</v>
      </c>
      <c r="NUM67" s="145">
        <v>8150</v>
      </c>
      <c r="NUN67" s="153">
        <v>85</v>
      </c>
      <c r="NUO67" s="154">
        <v>215</v>
      </c>
      <c r="NUP67" s="154">
        <v>75</v>
      </c>
      <c r="NUQ67" s="153">
        <v>150</v>
      </c>
      <c r="NUR67" s="155">
        <f>SUM(NUM67:NUQ67)</f>
        <v>8675</v>
      </c>
      <c r="NUS67" s="153">
        <v>200</v>
      </c>
      <c r="NUT67" s="155">
        <f>SUM(NUR67:NUS67)</f>
        <v>8875</v>
      </c>
      <c r="NUU67" s="148" t="s">
        <v>96</v>
      </c>
      <c r="NUV67" s="149">
        <v>45845</v>
      </c>
      <c r="NUW67" s="144" t="s">
        <v>40</v>
      </c>
      <c r="NUX67" s="200"/>
      <c r="NUY67" s="150" t="s">
        <v>123</v>
      </c>
      <c r="NUZ67" s="198"/>
      <c r="NVA67" s="199"/>
      <c r="NVB67" s="144" t="s">
        <v>22</v>
      </c>
      <c r="NVC67" s="145">
        <v>8150</v>
      </c>
      <c r="NVD67" s="153">
        <v>85</v>
      </c>
      <c r="NVE67" s="154">
        <v>215</v>
      </c>
      <c r="NVF67" s="154">
        <v>75</v>
      </c>
      <c r="NVG67" s="153">
        <v>150</v>
      </c>
      <c r="NVH67" s="155">
        <f>SUM(NVC67:NVG67)</f>
        <v>8675</v>
      </c>
      <c r="NVI67" s="153">
        <v>200</v>
      </c>
      <c r="NVJ67" s="155">
        <f>SUM(NVH67:NVI67)</f>
        <v>8875</v>
      </c>
      <c r="NVK67" s="148" t="s">
        <v>96</v>
      </c>
      <c r="NVL67" s="149">
        <v>45845</v>
      </c>
      <c r="NVM67" s="144" t="s">
        <v>40</v>
      </c>
      <c r="NVN67" s="200"/>
      <c r="NVO67" s="150" t="s">
        <v>123</v>
      </c>
      <c r="NVP67" s="198"/>
      <c r="NVQ67" s="199"/>
      <c r="NVR67" s="144" t="s">
        <v>22</v>
      </c>
      <c r="NVS67" s="145">
        <v>8150</v>
      </c>
      <c r="NVT67" s="153">
        <v>85</v>
      </c>
      <c r="NVU67" s="154">
        <v>215</v>
      </c>
      <c r="NVV67" s="154">
        <v>75</v>
      </c>
      <c r="NVW67" s="153">
        <v>150</v>
      </c>
      <c r="NVX67" s="155">
        <f>SUM(NVS67:NVW67)</f>
        <v>8675</v>
      </c>
      <c r="NVY67" s="153">
        <v>200</v>
      </c>
      <c r="NVZ67" s="155">
        <f>SUM(NVX67:NVY67)</f>
        <v>8875</v>
      </c>
      <c r="NWA67" s="148" t="s">
        <v>96</v>
      </c>
      <c r="NWB67" s="149">
        <v>45845</v>
      </c>
      <c r="NWC67" s="144" t="s">
        <v>40</v>
      </c>
      <c r="NWD67" s="200"/>
      <c r="NWE67" s="150" t="s">
        <v>123</v>
      </c>
      <c r="NWF67" s="198"/>
      <c r="NWG67" s="199"/>
      <c r="NWH67" s="144" t="s">
        <v>22</v>
      </c>
      <c r="NWI67" s="145">
        <v>8150</v>
      </c>
      <c r="NWJ67" s="153">
        <v>85</v>
      </c>
      <c r="NWK67" s="154">
        <v>215</v>
      </c>
      <c r="NWL67" s="154">
        <v>75</v>
      </c>
      <c r="NWM67" s="153">
        <v>150</v>
      </c>
      <c r="NWN67" s="155">
        <f>SUM(NWI67:NWM67)</f>
        <v>8675</v>
      </c>
      <c r="NWO67" s="153">
        <v>200</v>
      </c>
      <c r="NWP67" s="155">
        <f>SUM(NWN67:NWO67)</f>
        <v>8875</v>
      </c>
      <c r="NWQ67" s="148" t="s">
        <v>96</v>
      </c>
      <c r="NWR67" s="149">
        <v>45845</v>
      </c>
      <c r="NWS67" s="144" t="s">
        <v>40</v>
      </c>
      <c r="NWT67" s="200"/>
      <c r="NWU67" s="150" t="s">
        <v>123</v>
      </c>
      <c r="NWV67" s="198"/>
      <c r="NWW67" s="199"/>
      <c r="NWX67" s="144" t="s">
        <v>22</v>
      </c>
      <c r="NWY67" s="145">
        <v>8150</v>
      </c>
      <c r="NWZ67" s="153">
        <v>85</v>
      </c>
      <c r="NXA67" s="154">
        <v>215</v>
      </c>
      <c r="NXB67" s="154">
        <v>75</v>
      </c>
      <c r="NXC67" s="153">
        <v>150</v>
      </c>
      <c r="NXD67" s="155">
        <f>SUM(NWY67:NXC67)</f>
        <v>8675</v>
      </c>
      <c r="NXE67" s="153">
        <v>200</v>
      </c>
      <c r="NXF67" s="155">
        <f>SUM(NXD67:NXE67)</f>
        <v>8875</v>
      </c>
      <c r="NXG67" s="148" t="s">
        <v>96</v>
      </c>
      <c r="NXH67" s="149">
        <v>45845</v>
      </c>
      <c r="NXI67" s="144" t="s">
        <v>40</v>
      </c>
      <c r="NXJ67" s="200"/>
      <c r="NXK67" s="150" t="s">
        <v>123</v>
      </c>
      <c r="NXL67" s="198"/>
      <c r="NXM67" s="199"/>
      <c r="NXN67" s="144" t="s">
        <v>22</v>
      </c>
      <c r="NXO67" s="145">
        <v>8150</v>
      </c>
      <c r="NXP67" s="153">
        <v>85</v>
      </c>
      <c r="NXQ67" s="154">
        <v>215</v>
      </c>
      <c r="NXR67" s="154">
        <v>75</v>
      </c>
      <c r="NXS67" s="153">
        <v>150</v>
      </c>
      <c r="NXT67" s="155">
        <f>SUM(NXO67:NXS67)</f>
        <v>8675</v>
      </c>
      <c r="NXU67" s="153">
        <v>200</v>
      </c>
      <c r="NXV67" s="155">
        <f>SUM(NXT67:NXU67)</f>
        <v>8875</v>
      </c>
      <c r="NXW67" s="148" t="s">
        <v>96</v>
      </c>
      <c r="NXX67" s="149">
        <v>45845</v>
      </c>
      <c r="NXY67" s="144" t="s">
        <v>40</v>
      </c>
      <c r="NXZ67" s="200"/>
      <c r="NYA67" s="150" t="s">
        <v>123</v>
      </c>
      <c r="NYB67" s="198"/>
      <c r="NYC67" s="199"/>
      <c r="NYD67" s="144" t="s">
        <v>22</v>
      </c>
      <c r="NYE67" s="145">
        <v>8150</v>
      </c>
      <c r="NYF67" s="153">
        <v>85</v>
      </c>
      <c r="NYG67" s="154">
        <v>215</v>
      </c>
      <c r="NYH67" s="154">
        <v>75</v>
      </c>
      <c r="NYI67" s="153">
        <v>150</v>
      </c>
      <c r="NYJ67" s="155">
        <f>SUM(NYE67:NYI67)</f>
        <v>8675</v>
      </c>
      <c r="NYK67" s="153">
        <v>200</v>
      </c>
      <c r="NYL67" s="155">
        <f>SUM(NYJ67:NYK67)</f>
        <v>8875</v>
      </c>
      <c r="NYM67" s="148" t="s">
        <v>96</v>
      </c>
      <c r="NYN67" s="149">
        <v>45845</v>
      </c>
      <c r="NYO67" s="144" t="s">
        <v>40</v>
      </c>
      <c r="NYP67" s="200"/>
      <c r="NYQ67" s="150" t="s">
        <v>123</v>
      </c>
      <c r="NYR67" s="198"/>
      <c r="NYS67" s="199"/>
      <c r="NYT67" s="144" t="s">
        <v>22</v>
      </c>
      <c r="NYU67" s="145">
        <v>8150</v>
      </c>
      <c r="NYV67" s="153">
        <v>85</v>
      </c>
      <c r="NYW67" s="154">
        <v>215</v>
      </c>
      <c r="NYX67" s="154">
        <v>75</v>
      </c>
      <c r="NYY67" s="153">
        <v>150</v>
      </c>
      <c r="NYZ67" s="155">
        <f>SUM(NYU67:NYY67)</f>
        <v>8675</v>
      </c>
      <c r="NZA67" s="153">
        <v>200</v>
      </c>
      <c r="NZB67" s="155">
        <f>SUM(NYZ67:NZA67)</f>
        <v>8875</v>
      </c>
      <c r="NZC67" s="148" t="s">
        <v>96</v>
      </c>
      <c r="NZD67" s="149">
        <v>45845</v>
      </c>
      <c r="NZE67" s="144" t="s">
        <v>40</v>
      </c>
      <c r="NZF67" s="200"/>
      <c r="NZG67" s="150" t="s">
        <v>123</v>
      </c>
      <c r="NZH67" s="198"/>
      <c r="NZI67" s="199"/>
      <c r="NZJ67" s="144" t="s">
        <v>22</v>
      </c>
      <c r="NZK67" s="145">
        <v>8150</v>
      </c>
      <c r="NZL67" s="153">
        <v>85</v>
      </c>
      <c r="NZM67" s="154">
        <v>215</v>
      </c>
      <c r="NZN67" s="154">
        <v>75</v>
      </c>
      <c r="NZO67" s="153">
        <v>150</v>
      </c>
      <c r="NZP67" s="155">
        <f>SUM(NZK67:NZO67)</f>
        <v>8675</v>
      </c>
      <c r="NZQ67" s="153">
        <v>200</v>
      </c>
      <c r="NZR67" s="155">
        <f>SUM(NZP67:NZQ67)</f>
        <v>8875</v>
      </c>
      <c r="NZS67" s="148" t="s">
        <v>96</v>
      </c>
      <c r="NZT67" s="149">
        <v>45845</v>
      </c>
      <c r="NZU67" s="144" t="s">
        <v>40</v>
      </c>
      <c r="NZV67" s="200"/>
      <c r="NZW67" s="150" t="s">
        <v>123</v>
      </c>
      <c r="NZX67" s="198"/>
      <c r="NZY67" s="199"/>
      <c r="NZZ67" s="144" t="s">
        <v>22</v>
      </c>
      <c r="OAA67" s="145">
        <v>8150</v>
      </c>
      <c r="OAB67" s="153">
        <v>85</v>
      </c>
      <c r="OAC67" s="154">
        <v>215</v>
      </c>
      <c r="OAD67" s="154">
        <v>75</v>
      </c>
      <c r="OAE67" s="153">
        <v>150</v>
      </c>
      <c r="OAF67" s="155">
        <f>SUM(OAA67:OAE67)</f>
        <v>8675</v>
      </c>
      <c r="OAG67" s="153">
        <v>200</v>
      </c>
      <c r="OAH67" s="155">
        <f>SUM(OAF67:OAG67)</f>
        <v>8875</v>
      </c>
      <c r="OAI67" s="148" t="s">
        <v>96</v>
      </c>
      <c r="OAJ67" s="149">
        <v>45845</v>
      </c>
      <c r="OAK67" s="144" t="s">
        <v>40</v>
      </c>
      <c r="OAL67" s="200"/>
      <c r="OAM67" s="150" t="s">
        <v>123</v>
      </c>
      <c r="OAN67" s="198"/>
      <c r="OAO67" s="199"/>
      <c r="OAP67" s="144" t="s">
        <v>22</v>
      </c>
      <c r="OAQ67" s="145">
        <v>8150</v>
      </c>
      <c r="OAR67" s="153">
        <v>85</v>
      </c>
      <c r="OAS67" s="154">
        <v>215</v>
      </c>
      <c r="OAT67" s="154">
        <v>75</v>
      </c>
      <c r="OAU67" s="153">
        <v>150</v>
      </c>
      <c r="OAV67" s="155">
        <f>SUM(OAQ67:OAU67)</f>
        <v>8675</v>
      </c>
      <c r="OAW67" s="153">
        <v>200</v>
      </c>
      <c r="OAX67" s="155">
        <f>SUM(OAV67:OAW67)</f>
        <v>8875</v>
      </c>
      <c r="OAY67" s="148" t="s">
        <v>96</v>
      </c>
      <c r="OAZ67" s="149">
        <v>45845</v>
      </c>
      <c r="OBA67" s="144" t="s">
        <v>40</v>
      </c>
      <c r="OBB67" s="200"/>
      <c r="OBC67" s="150" t="s">
        <v>123</v>
      </c>
      <c r="OBD67" s="198"/>
      <c r="OBE67" s="199"/>
      <c r="OBF67" s="144" t="s">
        <v>22</v>
      </c>
      <c r="OBG67" s="145">
        <v>8150</v>
      </c>
      <c r="OBH67" s="153">
        <v>85</v>
      </c>
      <c r="OBI67" s="154">
        <v>215</v>
      </c>
      <c r="OBJ67" s="154">
        <v>75</v>
      </c>
      <c r="OBK67" s="153">
        <v>150</v>
      </c>
      <c r="OBL67" s="155">
        <f>SUM(OBG67:OBK67)</f>
        <v>8675</v>
      </c>
      <c r="OBM67" s="153">
        <v>200</v>
      </c>
      <c r="OBN67" s="155">
        <f>SUM(OBL67:OBM67)</f>
        <v>8875</v>
      </c>
      <c r="OBO67" s="148" t="s">
        <v>96</v>
      </c>
      <c r="OBP67" s="149">
        <v>45845</v>
      </c>
      <c r="OBQ67" s="144" t="s">
        <v>40</v>
      </c>
      <c r="OBR67" s="200"/>
      <c r="OBS67" s="150" t="s">
        <v>123</v>
      </c>
      <c r="OBT67" s="198"/>
      <c r="OBU67" s="199"/>
      <c r="OBV67" s="144" t="s">
        <v>22</v>
      </c>
      <c r="OBW67" s="145">
        <v>8150</v>
      </c>
      <c r="OBX67" s="153">
        <v>85</v>
      </c>
      <c r="OBY67" s="154">
        <v>215</v>
      </c>
      <c r="OBZ67" s="154">
        <v>75</v>
      </c>
      <c r="OCA67" s="153">
        <v>150</v>
      </c>
      <c r="OCB67" s="155">
        <f>SUM(OBW67:OCA67)</f>
        <v>8675</v>
      </c>
      <c r="OCC67" s="153">
        <v>200</v>
      </c>
      <c r="OCD67" s="155">
        <f>SUM(OCB67:OCC67)</f>
        <v>8875</v>
      </c>
      <c r="OCE67" s="148" t="s">
        <v>96</v>
      </c>
      <c r="OCF67" s="149">
        <v>45845</v>
      </c>
      <c r="OCG67" s="144" t="s">
        <v>40</v>
      </c>
      <c r="OCH67" s="200"/>
      <c r="OCI67" s="150" t="s">
        <v>123</v>
      </c>
      <c r="OCJ67" s="198"/>
      <c r="OCK67" s="199"/>
      <c r="OCL67" s="144" t="s">
        <v>22</v>
      </c>
      <c r="OCM67" s="145">
        <v>8150</v>
      </c>
      <c r="OCN67" s="153">
        <v>85</v>
      </c>
      <c r="OCO67" s="154">
        <v>215</v>
      </c>
      <c r="OCP67" s="154">
        <v>75</v>
      </c>
      <c r="OCQ67" s="153">
        <v>150</v>
      </c>
      <c r="OCR67" s="155">
        <f>SUM(OCM67:OCQ67)</f>
        <v>8675</v>
      </c>
      <c r="OCS67" s="153">
        <v>200</v>
      </c>
      <c r="OCT67" s="155">
        <f>SUM(OCR67:OCS67)</f>
        <v>8875</v>
      </c>
      <c r="OCU67" s="148" t="s">
        <v>96</v>
      </c>
      <c r="OCV67" s="149">
        <v>45845</v>
      </c>
      <c r="OCW67" s="144" t="s">
        <v>40</v>
      </c>
      <c r="OCX67" s="200"/>
      <c r="OCY67" s="150" t="s">
        <v>123</v>
      </c>
      <c r="OCZ67" s="198"/>
      <c r="ODA67" s="199"/>
      <c r="ODB67" s="144" t="s">
        <v>22</v>
      </c>
      <c r="ODC67" s="145">
        <v>8150</v>
      </c>
      <c r="ODD67" s="153">
        <v>85</v>
      </c>
      <c r="ODE67" s="154">
        <v>215</v>
      </c>
      <c r="ODF67" s="154">
        <v>75</v>
      </c>
      <c r="ODG67" s="153">
        <v>150</v>
      </c>
      <c r="ODH67" s="155">
        <f>SUM(ODC67:ODG67)</f>
        <v>8675</v>
      </c>
      <c r="ODI67" s="153">
        <v>200</v>
      </c>
      <c r="ODJ67" s="155">
        <f>SUM(ODH67:ODI67)</f>
        <v>8875</v>
      </c>
      <c r="ODK67" s="148" t="s">
        <v>96</v>
      </c>
      <c r="ODL67" s="149">
        <v>45845</v>
      </c>
      <c r="ODM67" s="144" t="s">
        <v>40</v>
      </c>
      <c r="ODN67" s="200"/>
      <c r="ODO67" s="150" t="s">
        <v>123</v>
      </c>
      <c r="ODP67" s="198"/>
      <c r="ODQ67" s="199"/>
      <c r="ODR67" s="144" t="s">
        <v>22</v>
      </c>
      <c r="ODS67" s="145">
        <v>8150</v>
      </c>
      <c r="ODT67" s="153">
        <v>85</v>
      </c>
      <c r="ODU67" s="154">
        <v>215</v>
      </c>
      <c r="ODV67" s="154">
        <v>75</v>
      </c>
      <c r="ODW67" s="153">
        <v>150</v>
      </c>
      <c r="ODX67" s="155">
        <f>SUM(ODS67:ODW67)</f>
        <v>8675</v>
      </c>
      <c r="ODY67" s="153">
        <v>200</v>
      </c>
      <c r="ODZ67" s="155">
        <f>SUM(ODX67:ODY67)</f>
        <v>8875</v>
      </c>
      <c r="OEA67" s="148" t="s">
        <v>96</v>
      </c>
      <c r="OEB67" s="149">
        <v>45845</v>
      </c>
      <c r="OEC67" s="144" t="s">
        <v>40</v>
      </c>
      <c r="OED67" s="200"/>
      <c r="OEE67" s="150" t="s">
        <v>123</v>
      </c>
      <c r="OEF67" s="198"/>
      <c r="OEG67" s="199"/>
      <c r="OEH67" s="144" t="s">
        <v>22</v>
      </c>
      <c r="OEI67" s="145">
        <v>8150</v>
      </c>
      <c r="OEJ67" s="153">
        <v>85</v>
      </c>
      <c r="OEK67" s="154">
        <v>215</v>
      </c>
      <c r="OEL67" s="154">
        <v>75</v>
      </c>
      <c r="OEM67" s="153">
        <v>150</v>
      </c>
      <c r="OEN67" s="155">
        <f>SUM(OEI67:OEM67)</f>
        <v>8675</v>
      </c>
      <c r="OEO67" s="153">
        <v>200</v>
      </c>
      <c r="OEP67" s="155">
        <f>SUM(OEN67:OEO67)</f>
        <v>8875</v>
      </c>
      <c r="OEQ67" s="148" t="s">
        <v>96</v>
      </c>
      <c r="OER67" s="149">
        <v>45845</v>
      </c>
      <c r="OES67" s="144" t="s">
        <v>40</v>
      </c>
      <c r="OET67" s="200"/>
      <c r="OEU67" s="150" t="s">
        <v>123</v>
      </c>
      <c r="OEV67" s="198"/>
      <c r="OEW67" s="199"/>
      <c r="OEX67" s="144" t="s">
        <v>22</v>
      </c>
      <c r="OEY67" s="145">
        <v>8150</v>
      </c>
      <c r="OEZ67" s="153">
        <v>85</v>
      </c>
      <c r="OFA67" s="154">
        <v>215</v>
      </c>
      <c r="OFB67" s="154">
        <v>75</v>
      </c>
      <c r="OFC67" s="153">
        <v>150</v>
      </c>
      <c r="OFD67" s="155">
        <f>SUM(OEY67:OFC67)</f>
        <v>8675</v>
      </c>
      <c r="OFE67" s="153">
        <v>200</v>
      </c>
      <c r="OFF67" s="155">
        <f>SUM(OFD67:OFE67)</f>
        <v>8875</v>
      </c>
      <c r="OFG67" s="148" t="s">
        <v>96</v>
      </c>
      <c r="OFH67" s="149">
        <v>45845</v>
      </c>
      <c r="OFI67" s="144" t="s">
        <v>40</v>
      </c>
      <c r="OFJ67" s="200"/>
      <c r="OFK67" s="150" t="s">
        <v>123</v>
      </c>
      <c r="OFL67" s="198"/>
      <c r="OFM67" s="199"/>
      <c r="OFN67" s="144" t="s">
        <v>22</v>
      </c>
      <c r="OFO67" s="145">
        <v>8150</v>
      </c>
      <c r="OFP67" s="153">
        <v>85</v>
      </c>
      <c r="OFQ67" s="154">
        <v>215</v>
      </c>
      <c r="OFR67" s="154">
        <v>75</v>
      </c>
      <c r="OFS67" s="153">
        <v>150</v>
      </c>
      <c r="OFT67" s="155">
        <f>SUM(OFO67:OFS67)</f>
        <v>8675</v>
      </c>
      <c r="OFU67" s="153">
        <v>200</v>
      </c>
      <c r="OFV67" s="155">
        <f>SUM(OFT67:OFU67)</f>
        <v>8875</v>
      </c>
      <c r="OFW67" s="148" t="s">
        <v>96</v>
      </c>
      <c r="OFX67" s="149">
        <v>45845</v>
      </c>
      <c r="OFY67" s="144" t="s">
        <v>40</v>
      </c>
      <c r="OFZ67" s="200"/>
      <c r="OGA67" s="150" t="s">
        <v>123</v>
      </c>
      <c r="OGB67" s="198"/>
      <c r="OGC67" s="199"/>
      <c r="OGD67" s="144" t="s">
        <v>22</v>
      </c>
      <c r="OGE67" s="145">
        <v>8150</v>
      </c>
      <c r="OGF67" s="153">
        <v>85</v>
      </c>
      <c r="OGG67" s="154">
        <v>215</v>
      </c>
      <c r="OGH67" s="154">
        <v>75</v>
      </c>
      <c r="OGI67" s="153">
        <v>150</v>
      </c>
      <c r="OGJ67" s="155">
        <f>SUM(OGE67:OGI67)</f>
        <v>8675</v>
      </c>
      <c r="OGK67" s="153">
        <v>200</v>
      </c>
      <c r="OGL67" s="155">
        <f>SUM(OGJ67:OGK67)</f>
        <v>8875</v>
      </c>
      <c r="OGM67" s="148" t="s">
        <v>96</v>
      </c>
      <c r="OGN67" s="149">
        <v>45845</v>
      </c>
      <c r="OGO67" s="144" t="s">
        <v>40</v>
      </c>
      <c r="OGP67" s="200"/>
      <c r="OGQ67" s="150" t="s">
        <v>123</v>
      </c>
      <c r="OGR67" s="198"/>
      <c r="OGS67" s="199"/>
      <c r="OGT67" s="144" t="s">
        <v>22</v>
      </c>
      <c r="OGU67" s="145">
        <v>8150</v>
      </c>
      <c r="OGV67" s="153">
        <v>85</v>
      </c>
      <c r="OGW67" s="154">
        <v>215</v>
      </c>
      <c r="OGX67" s="154">
        <v>75</v>
      </c>
      <c r="OGY67" s="153">
        <v>150</v>
      </c>
      <c r="OGZ67" s="155">
        <f>SUM(OGU67:OGY67)</f>
        <v>8675</v>
      </c>
      <c r="OHA67" s="153">
        <v>200</v>
      </c>
      <c r="OHB67" s="155">
        <f>SUM(OGZ67:OHA67)</f>
        <v>8875</v>
      </c>
      <c r="OHC67" s="148" t="s">
        <v>96</v>
      </c>
      <c r="OHD67" s="149">
        <v>45845</v>
      </c>
      <c r="OHE67" s="144" t="s">
        <v>40</v>
      </c>
      <c r="OHF67" s="200"/>
      <c r="OHG67" s="150" t="s">
        <v>123</v>
      </c>
      <c r="OHH67" s="198"/>
      <c r="OHI67" s="199"/>
      <c r="OHJ67" s="144" t="s">
        <v>22</v>
      </c>
      <c r="OHK67" s="145">
        <v>8150</v>
      </c>
      <c r="OHL67" s="153">
        <v>85</v>
      </c>
      <c r="OHM67" s="154">
        <v>215</v>
      </c>
      <c r="OHN67" s="154">
        <v>75</v>
      </c>
      <c r="OHO67" s="153">
        <v>150</v>
      </c>
      <c r="OHP67" s="155">
        <f>SUM(OHK67:OHO67)</f>
        <v>8675</v>
      </c>
      <c r="OHQ67" s="153">
        <v>200</v>
      </c>
      <c r="OHR67" s="155">
        <f>SUM(OHP67:OHQ67)</f>
        <v>8875</v>
      </c>
      <c r="OHS67" s="148" t="s">
        <v>96</v>
      </c>
      <c r="OHT67" s="149">
        <v>45845</v>
      </c>
      <c r="OHU67" s="144" t="s">
        <v>40</v>
      </c>
      <c r="OHV67" s="200"/>
      <c r="OHW67" s="150" t="s">
        <v>123</v>
      </c>
      <c r="OHX67" s="198"/>
      <c r="OHY67" s="199"/>
      <c r="OHZ67" s="144" t="s">
        <v>22</v>
      </c>
      <c r="OIA67" s="145">
        <v>8150</v>
      </c>
      <c r="OIB67" s="153">
        <v>85</v>
      </c>
      <c r="OIC67" s="154">
        <v>215</v>
      </c>
      <c r="OID67" s="154">
        <v>75</v>
      </c>
      <c r="OIE67" s="153">
        <v>150</v>
      </c>
      <c r="OIF67" s="155">
        <f>SUM(OIA67:OIE67)</f>
        <v>8675</v>
      </c>
      <c r="OIG67" s="153">
        <v>200</v>
      </c>
      <c r="OIH67" s="155">
        <f>SUM(OIF67:OIG67)</f>
        <v>8875</v>
      </c>
      <c r="OII67" s="148" t="s">
        <v>96</v>
      </c>
      <c r="OIJ67" s="149">
        <v>45845</v>
      </c>
      <c r="OIK67" s="144" t="s">
        <v>40</v>
      </c>
      <c r="OIL67" s="200"/>
      <c r="OIM67" s="150" t="s">
        <v>123</v>
      </c>
      <c r="OIN67" s="198"/>
      <c r="OIO67" s="199"/>
      <c r="OIP67" s="144" t="s">
        <v>22</v>
      </c>
      <c r="OIQ67" s="145">
        <v>8150</v>
      </c>
      <c r="OIR67" s="153">
        <v>85</v>
      </c>
      <c r="OIS67" s="154">
        <v>215</v>
      </c>
      <c r="OIT67" s="154">
        <v>75</v>
      </c>
      <c r="OIU67" s="153">
        <v>150</v>
      </c>
      <c r="OIV67" s="155">
        <f>SUM(OIQ67:OIU67)</f>
        <v>8675</v>
      </c>
      <c r="OIW67" s="153">
        <v>200</v>
      </c>
      <c r="OIX67" s="155">
        <f>SUM(OIV67:OIW67)</f>
        <v>8875</v>
      </c>
      <c r="OIY67" s="148" t="s">
        <v>96</v>
      </c>
      <c r="OIZ67" s="149">
        <v>45845</v>
      </c>
      <c r="OJA67" s="144" t="s">
        <v>40</v>
      </c>
      <c r="OJB67" s="200"/>
      <c r="OJC67" s="150" t="s">
        <v>123</v>
      </c>
      <c r="OJD67" s="198"/>
      <c r="OJE67" s="199"/>
      <c r="OJF67" s="144" t="s">
        <v>22</v>
      </c>
      <c r="OJG67" s="145">
        <v>8150</v>
      </c>
      <c r="OJH67" s="153">
        <v>85</v>
      </c>
      <c r="OJI67" s="154">
        <v>215</v>
      </c>
      <c r="OJJ67" s="154">
        <v>75</v>
      </c>
      <c r="OJK67" s="153">
        <v>150</v>
      </c>
      <c r="OJL67" s="155">
        <f>SUM(OJG67:OJK67)</f>
        <v>8675</v>
      </c>
      <c r="OJM67" s="153">
        <v>200</v>
      </c>
      <c r="OJN67" s="155">
        <f>SUM(OJL67:OJM67)</f>
        <v>8875</v>
      </c>
      <c r="OJO67" s="148" t="s">
        <v>96</v>
      </c>
      <c r="OJP67" s="149">
        <v>45845</v>
      </c>
      <c r="OJQ67" s="144" t="s">
        <v>40</v>
      </c>
      <c r="OJR67" s="200"/>
      <c r="OJS67" s="150" t="s">
        <v>123</v>
      </c>
      <c r="OJT67" s="198"/>
      <c r="OJU67" s="199"/>
      <c r="OJV67" s="144" t="s">
        <v>22</v>
      </c>
      <c r="OJW67" s="145">
        <v>8150</v>
      </c>
      <c r="OJX67" s="153">
        <v>85</v>
      </c>
      <c r="OJY67" s="154">
        <v>215</v>
      </c>
      <c r="OJZ67" s="154">
        <v>75</v>
      </c>
      <c r="OKA67" s="153">
        <v>150</v>
      </c>
      <c r="OKB67" s="155">
        <f>SUM(OJW67:OKA67)</f>
        <v>8675</v>
      </c>
      <c r="OKC67" s="153">
        <v>200</v>
      </c>
      <c r="OKD67" s="155">
        <f>SUM(OKB67:OKC67)</f>
        <v>8875</v>
      </c>
      <c r="OKE67" s="148" t="s">
        <v>96</v>
      </c>
      <c r="OKF67" s="149">
        <v>45845</v>
      </c>
      <c r="OKG67" s="144" t="s">
        <v>40</v>
      </c>
      <c r="OKH67" s="200"/>
      <c r="OKI67" s="150" t="s">
        <v>123</v>
      </c>
      <c r="OKJ67" s="198"/>
      <c r="OKK67" s="199"/>
      <c r="OKL67" s="144" t="s">
        <v>22</v>
      </c>
      <c r="OKM67" s="145">
        <v>8150</v>
      </c>
      <c r="OKN67" s="153">
        <v>85</v>
      </c>
      <c r="OKO67" s="154">
        <v>215</v>
      </c>
      <c r="OKP67" s="154">
        <v>75</v>
      </c>
      <c r="OKQ67" s="153">
        <v>150</v>
      </c>
      <c r="OKR67" s="155">
        <f>SUM(OKM67:OKQ67)</f>
        <v>8675</v>
      </c>
      <c r="OKS67" s="153">
        <v>200</v>
      </c>
      <c r="OKT67" s="155">
        <f>SUM(OKR67:OKS67)</f>
        <v>8875</v>
      </c>
      <c r="OKU67" s="148" t="s">
        <v>96</v>
      </c>
      <c r="OKV67" s="149">
        <v>45845</v>
      </c>
      <c r="OKW67" s="144" t="s">
        <v>40</v>
      </c>
      <c r="OKX67" s="200"/>
      <c r="OKY67" s="150" t="s">
        <v>123</v>
      </c>
      <c r="OKZ67" s="198"/>
      <c r="OLA67" s="199"/>
      <c r="OLB67" s="144" t="s">
        <v>22</v>
      </c>
      <c r="OLC67" s="145">
        <v>8150</v>
      </c>
      <c r="OLD67" s="153">
        <v>85</v>
      </c>
      <c r="OLE67" s="154">
        <v>215</v>
      </c>
      <c r="OLF67" s="154">
        <v>75</v>
      </c>
      <c r="OLG67" s="153">
        <v>150</v>
      </c>
      <c r="OLH67" s="155">
        <f>SUM(OLC67:OLG67)</f>
        <v>8675</v>
      </c>
      <c r="OLI67" s="153">
        <v>200</v>
      </c>
      <c r="OLJ67" s="155">
        <f>SUM(OLH67:OLI67)</f>
        <v>8875</v>
      </c>
      <c r="OLK67" s="148" t="s">
        <v>96</v>
      </c>
      <c r="OLL67" s="149">
        <v>45845</v>
      </c>
      <c r="OLM67" s="144" t="s">
        <v>40</v>
      </c>
      <c r="OLN67" s="200"/>
      <c r="OLO67" s="150" t="s">
        <v>123</v>
      </c>
      <c r="OLP67" s="198"/>
      <c r="OLQ67" s="199"/>
      <c r="OLR67" s="144" t="s">
        <v>22</v>
      </c>
      <c r="OLS67" s="145">
        <v>8150</v>
      </c>
      <c r="OLT67" s="153">
        <v>85</v>
      </c>
      <c r="OLU67" s="154">
        <v>215</v>
      </c>
      <c r="OLV67" s="154">
        <v>75</v>
      </c>
      <c r="OLW67" s="153">
        <v>150</v>
      </c>
      <c r="OLX67" s="155">
        <f>SUM(OLS67:OLW67)</f>
        <v>8675</v>
      </c>
      <c r="OLY67" s="153">
        <v>200</v>
      </c>
      <c r="OLZ67" s="155">
        <f>SUM(OLX67:OLY67)</f>
        <v>8875</v>
      </c>
      <c r="OMA67" s="148" t="s">
        <v>96</v>
      </c>
      <c r="OMB67" s="149">
        <v>45845</v>
      </c>
      <c r="OMC67" s="144" t="s">
        <v>40</v>
      </c>
      <c r="OMD67" s="200"/>
      <c r="OME67" s="150" t="s">
        <v>123</v>
      </c>
      <c r="OMF67" s="198"/>
      <c r="OMG67" s="199"/>
      <c r="OMH67" s="144" t="s">
        <v>22</v>
      </c>
      <c r="OMI67" s="145">
        <v>8150</v>
      </c>
      <c r="OMJ67" s="153">
        <v>85</v>
      </c>
      <c r="OMK67" s="154">
        <v>215</v>
      </c>
      <c r="OML67" s="154">
        <v>75</v>
      </c>
      <c r="OMM67" s="153">
        <v>150</v>
      </c>
      <c r="OMN67" s="155">
        <f>SUM(OMI67:OMM67)</f>
        <v>8675</v>
      </c>
      <c r="OMO67" s="153">
        <v>200</v>
      </c>
      <c r="OMP67" s="155">
        <f>SUM(OMN67:OMO67)</f>
        <v>8875</v>
      </c>
      <c r="OMQ67" s="148" t="s">
        <v>96</v>
      </c>
      <c r="OMR67" s="149">
        <v>45845</v>
      </c>
      <c r="OMS67" s="144" t="s">
        <v>40</v>
      </c>
      <c r="OMT67" s="200"/>
      <c r="OMU67" s="150" t="s">
        <v>123</v>
      </c>
      <c r="OMV67" s="198"/>
      <c r="OMW67" s="199"/>
      <c r="OMX67" s="144" t="s">
        <v>22</v>
      </c>
      <c r="OMY67" s="145">
        <v>8150</v>
      </c>
      <c r="OMZ67" s="153">
        <v>85</v>
      </c>
      <c r="ONA67" s="154">
        <v>215</v>
      </c>
      <c r="ONB67" s="154">
        <v>75</v>
      </c>
      <c r="ONC67" s="153">
        <v>150</v>
      </c>
      <c r="OND67" s="155">
        <f>SUM(OMY67:ONC67)</f>
        <v>8675</v>
      </c>
      <c r="ONE67" s="153">
        <v>200</v>
      </c>
      <c r="ONF67" s="155">
        <f>SUM(OND67:ONE67)</f>
        <v>8875</v>
      </c>
      <c r="ONG67" s="148" t="s">
        <v>96</v>
      </c>
      <c r="ONH67" s="149">
        <v>45845</v>
      </c>
      <c r="ONI67" s="144" t="s">
        <v>40</v>
      </c>
      <c r="ONJ67" s="200"/>
      <c r="ONK67" s="150" t="s">
        <v>123</v>
      </c>
      <c r="ONL67" s="198"/>
      <c r="ONM67" s="199"/>
      <c r="ONN67" s="144" t="s">
        <v>22</v>
      </c>
      <c r="ONO67" s="145">
        <v>8150</v>
      </c>
      <c r="ONP67" s="153">
        <v>85</v>
      </c>
      <c r="ONQ67" s="154">
        <v>215</v>
      </c>
      <c r="ONR67" s="154">
        <v>75</v>
      </c>
      <c r="ONS67" s="153">
        <v>150</v>
      </c>
      <c r="ONT67" s="155">
        <f>SUM(ONO67:ONS67)</f>
        <v>8675</v>
      </c>
      <c r="ONU67" s="153">
        <v>200</v>
      </c>
      <c r="ONV67" s="155">
        <f>SUM(ONT67:ONU67)</f>
        <v>8875</v>
      </c>
      <c r="ONW67" s="148" t="s">
        <v>96</v>
      </c>
      <c r="ONX67" s="149">
        <v>45845</v>
      </c>
      <c r="ONY67" s="144" t="s">
        <v>40</v>
      </c>
      <c r="ONZ67" s="200"/>
      <c r="OOA67" s="150" t="s">
        <v>123</v>
      </c>
      <c r="OOB67" s="198"/>
      <c r="OOC67" s="199"/>
      <c r="OOD67" s="144" t="s">
        <v>22</v>
      </c>
      <c r="OOE67" s="145">
        <v>8150</v>
      </c>
      <c r="OOF67" s="153">
        <v>85</v>
      </c>
      <c r="OOG67" s="154">
        <v>215</v>
      </c>
      <c r="OOH67" s="154">
        <v>75</v>
      </c>
      <c r="OOI67" s="153">
        <v>150</v>
      </c>
      <c r="OOJ67" s="155">
        <f>SUM(OOE67:OOI67)</f>
        <v>8675</v>
      </c>
      <c r="OOK67" s="153">
        <v>200</v>
      </c>
      <c r="OOL67" s="155">
        <f>SUM(OOJ67:OOK67)</f>
        <v>8875</v>
      </c>
      <c r="OOM67" s="148" t="s">
        <v>96</v>
      </c>
      <c r="OON67" s="149">
        <v>45845</v>
      </c>
      <c r="OOO67" s="144" t="s">
        <v>40</v>
      </c>
      <c r="OOP67" s="200"/>
      <c r="OOQ67" s="150" t="s">
        <v>123</v>
      </c>
      <c r="OOR67" s="198"/>
      <c r="OOS67" s="199"/>
      <c r="OOT67" s="144" t="s">
        <v>22</v>
      </c>
      <c r="OOU67" s="145">
        <v>8150</v>
      </c>
      <c r="OOV67" s="153">
        <v>85</v>
      </c>
      <c r="OOW67" s="154">
        <v>215</v>
      </c>
      <c r="OOX67" s="154">
        <v>75</v>
      </c>
      <c r="OOY67" s="153">
        <v>150</v>
      </c>
      <c r="OOZ67" s="155">
        <f>SUM(OOU67:OOY67)</f>
        <v>8675</v>
      </c>
      <c r="OPA67" s="153">
        <v>200</v>
      </c>
      <c r="OPB67" s="155">
        <f>SUM(OOZ67:OPA67)</f>
        <v>8875</v>
      </c>
      <c r="OPC67" s="148" t="s">
        <v>96</v>
      </c>
      <c r="OPD67" s="149">
        <v>45845</v>
      </c>
      <c r="OPE67" s="144" t="s">
        <v>40</v>
      </c>
      <c r="OPF67" s="200"/>
      <c r="OPG67" s="150" t="s">
        <v>123</v>
      </c>
      <c r="OPH67" s="198"/>
      <c r="OPI67" s="199"/>
      <c r="OPJ67" s="144" t="s">
        <v>22</v>
      </c>
      <c r="OPK67" s="145">
        <v>8150</v>
      </c>
      <c r="OPL67" s="153">
        <v>85</v>
      </c>
      <c r="OPM67" s="154">
        <v>215</v>
      </c>
      <c r="OPN67" s="154">
        <v>75</v>
      </c>
      <c r="OPO67" s="153">
        <v>150</v>
      </c>
      <c r="OPP67" s="155">
        <f>SUM(OPK67:OPO67)</f>
        <v>8675</v>
      </c>
      <c r="OPQ67" s="153">
        <v>200</v>
      </c>
      <c r="OPR67" s="155">
        <f>SUM(OPP67:OPQ67)</f>
        <v>8875</v>
      </c>
      <c r="OPS67" s="148" t="s">
        <v>96</v>
      </c>
      <c r="OPT67" s="149">
        <v>45845</v>
      </c>
      <c r="OPU67" s="144" t="s">
        <v>40</v>
      </c>
      <c r="OPV67" s="200"/>
      <c r="OPW67" s="150" t="s">
        <v>123</v>
      </c>
      <c r="OPX67" s="198"/>
      <c r="OPY67" s="199"/>
      <c r="OPZ67" s="144" t="s">
        <v>22</v>
      </c>
      <c r="OQA67" s="145">
        <v>8150</v>
      </c>
      <c r="OQB67" s="153">
        <v>85</v>
      </c>
      <c r="OQC67" s="154">
        <v>215</v>
      </c>
      <c r="OQD67" s="154">
        <v>75</v>
      </c>
      <c r="OQE67" s="153">
        <v>150</v>
      </c>
      <c r="OQF67" s="155">
        <f>SUM(OQA67:OQE67)</f>
        <v>8675</v>
      </c>
      <c r="OQG67" s="153">
        <v>200</v>
      </c>
      <c r="OQH67" s="155">
        <f>SUM(OQF67:OQG67)</f>
        <v>8875</v>
      </c>
      <c r="OQI67" s="148" t="s">
        <v>96</v>
      </c>
      <c r="OQJ67" s="149">
        <v>45845</v>
      </c>
      <c r="OQK67" s="144" t="s">
        <v>40</v>
      </c>
      <c r="OQL67" s="200"/>
      <c r="OQM67" s="150" t="s">
        <v>123</v>
      </c>
      <c r="OQN67" s="198"/>
      <c r="OQO67" s="199"/>
      <c r="OQP67" s="144" t="s">
        <v>22</v>
      </c>
      <c r="OQQ67" s="145">
        <v>8150</v>
      </c>
      <c r="OQR67" s="153">
        <v>85</v>
      </c>
      <c r="OQS67" s="154">
        <v>215</v>
      </c>
      <c r="OQT67" s="154">
        <v>75</v>
      </c>
      <c r="OQU67" s="153">
        <v>150</v>
      </c>
      <c r="OQV67" s="155">
        <f>SUM(OQQ67:OQU67)</f>
        <v>8675</v>
      </c>
      <c r="OQW67" s="153">
        <v>200</v>
      </c>
      <c r="OQX67" s="155">
        <f>SUM(OQV67:OQW67)</f>
        <v>8875</v>
      </c>
      <c r="OQY67" s="148" t="s">
        <v>96</v>
      </c>
      <c r="OQZ67" s="149">
        <v>45845</v>
      </c>
      <c r="ORA67" s="144" t="s">
        <v>40</v>
      </c>
      <c r="ORB67" s="200"/>
      <c r="ORC67" s="150" t="s">
        <v>123</v>
      </c>
      <c r="ORD67" s="198"/>
      <c r="ORE67" s="199"/>
      <c r="ORF67" s="144" t="s">
        <v>22</v>
      </c>
      <c r="ORG67" s="145">
        <v>8150</v>
      </c>
      <c r="ORH67" s="153">
        <v>85</v>
      </c>
      <c r="ORI67" s="154">
        <v>215</v>
      </c>
      <c r="ORJ67" s="154">
        <v>75</v>
      </c>
      <c r="ORK67" s="153">
        <v>150</v>
      </c>
      <c r="ORL67" s="155">
        <f>SUM(ORG67:ORK67)</f>
        <v>8675</v>
      </c>
      <c r="ORM67" s="153">
        <v>200</v>
      </c>
      <c r="ORN67" s="155">
        <f>SUM(ORL67:ORM67)</f>
        <v>8875</v>
      </c>
      <c r="ORO67" s="148" t="s">
        <v>96</v>
      </c>
      <c r="ORP67" s="149">
        <v>45845</v>
      </c>
      <c r="ORQ67" s="144" t="s">
        <v>40</v>
      </c>
      <c r="ORR67" s="200"/>
      <c r="ORS67" s="150" t="s">
        <v>123</v>
      </c>
      <c r="ORT67" s="198"/>
      <c r="ORU67" s="199"/>
      <c r="ORV67" s="144" t="s">
        <v>22</v>
      </c>
      <c r="ORW67" s="145">
        <v>8150</v>
      </c>
      <c r="ORX67" s="153">
        <v>85</v>
      </c>
      <c r="ORY67" s="154">
        <v>215</v>
      </c>
      <c r="ORZ67" s="154">
        <v>75</v>
      </c>
      <c r="OSA67" s="153">
        <v>150</v>
      </c>
      <c r="OSB67" s="155">
        <f>SUM(ORW67:OSA67)</f>
        <v>8675</v>
      </c>
      <c r="OSC67" s="153">
        <v>200</v>
      </c>
      <c r="OSD67" s="155">
        <f>SUM(OSB67:OSC67)</f>
        <v>8875</v>
      </c>
      <c r="OSE67" s="148" t="s">
        <v>96</v>
      </c>
      <c r="OSF67" s="149">
        <v>45845</v>
      </c>
      <c r="OSG67" s="144" t="s">
        <v>40</v>
      </c>
      <c r="OSH67" s="200"/>
      <c r="OSI67" s="150" t="s">
        <v>123</v>
      </c>
      <c r="OSJ67" s="198"/>
      <c r="OSK67" s="199"/>
      <c r="OSL67" s="144" t="s">
        <v>22</v>
      </c>
      <c r="OSM67" s="145">
        <v>8150</v>
      </c>
      <c r="OSN67" s="153">
        <v>85</v>
      </c>
      <c r="OSO67" s="154">
        <v>215</v>
      </c>
      <c r="OSP67" s="154">
        <v>75</v>
      </c>
      <c r="OSQ67" s="153">
        <v>150</v>
      </c>
      <c r="OSR67" s="155">
        <f>SUM(OSM67:OSQ67)</f>
        <v>8675</v>
      </c>
      <c r="OSS67" s="153">
        <v>200</v>
      </c>
      <c r="OST67" s="155">
        <f>SUM(OSR67:OSS67)</f>
        <v>8875</v>
      </c>
      <c r="OSU67" s="148" t="s">
        <v>96</v>
      </c>
      <c r="OSV67" s="149">
        <v>45845</v>
      </c>
      <c r="OSW67" s="144" t="s">
        <v>40</v>
      </c>
      <c r="OSX67" s="200"/>
      <c r="OSY67" s="150" t="s">
        <v>123</v>
      </c>
      <c r="OSZ67" s="198"/>
      <c r="OTA67" s="199"/>
      <c r="OTB67" s="144" t="s">
        <v>22</v>
      </c>
      <c r="OTC67" s="145">
        <v>8150</v>
      </c>
      <c r="OTD67" s="153">
        <v>85</v>
      </c>
      <c r="OTE67" s="154">
        <v>215</v>
      </c>
      <c r="OTF67" s="154">
        <v>75</v>
      </c>
      <c r="OTG67" s="153">
        <v>150</v>
      </c>
      <c r="OTH67" s="155">
        <f>SUM(OTC67:OTG67)</f>
        <v>8675</v>
      </c>
      <c r="OTI67" s="153">
        <v>200</v>
      </c>
      <c r="OTJ67" s="155">
        <f>SUM(OTH67:OTI67)</f>
        <v>8875</v>
      </c>
      <c r="OTK67" s="148" t="s">
        <v>96</v>
      </c>
      <c r="OTL67" s="149">
        <v>45845</v>
      </c>
      <c r="OTM67" s="144" t="s">
        <v>40</v>
      </c>
      <c r="OTN67" s="200"/>
      <c r="OTO67" s="150" t="s">
        <v>123</v>
      </c>
      <c r="OTP67" s="198"/>
      <c r="OTQ67" s="199"/>
      <c r="OTR67" s="144" t="s">
        <v>22</v>
      </c>
      <c r="OTS67" s="145">
        <v>8150</v>
      </c>
      <c r="OTT67" s="153">
        <v>85</v>
      </c>
      <c r="OTU67" s="154">
        <v>215</v>
      </c>
      <c r="OTV67" s="154">
        <v>75</v>
      </c>
      <c r="OTW67" s="153">
        <v>150</v>
      </c>
      <c r="OTX67" s="155">
        <f>SUM(OTS67:OTW67)</f>
        <v>8675</v>
      </c>
      <c r="OTY67" s="153">
        <v>200</v>
      </c>
      <c r="OTZ67" s="155">
        <f>SUM(OTX67:OTY67)</f>
        <v>8875</v>
      </c>
      <c r="OUA67" s="148" t="s">
        <v>96</v>
      </c>
      <c r="OUB67" s="149">
        <v>45845</v>
      </c>
      <c r="OUC67" s="144" t="s">
        <v>40</v>
      </c>
      <c r="OUD67" s="200"/>
      <c r="OUE67" s="150" t="s">
        <v>123</v>
      </c>
      <c r="OUF67" s="198"/>
      <c r="OUG67" s="199"/>
      <c r="OUH67" s="144" t="s">
        <v>22</v>
      </c>
      <c r="OUI67" s="145">
        <v>8150</v>
      </c>
      <c r="OUJ67" s="153">
        <v>85</v>
      </c>
      <c r="OUK67" s="154">
        <v>215</v>
      </c>
      <c r="OUL67" s="154">
        <v>75</v>
      </c>
      <c r="OUM67" s="153">
        <v>150</v>
      </c>
      <c r="OUN67" s="155">
        <f>SUM(OUI67:OUM67)</f>
        <v>8675</v>
      </c>
      <c r="OUO67" s="153">
        <v>200</v>
      </c>
      <c r="OUP67" s="155">
        <f>SUM(OUN67:OUO67)</f>
        <v>8875</v>
      </c>
      <c r="OUQ67" s="148" t="s">
        <v>96</v>
      </c>
      <c r="OUR67" s="149">
        <v>45845</v>
      </c>
      <c r="OUS67" s="144" t="s">
        <v>40</v>
      </c>
      <c r="OUT67" s="200"/>
      <c r="OUU67" s="150" t="s">
        <v>123</v>
      </c>
      <c r="OUV67" s="198"/>
      <c r="OUW67" s="199"/>
      <c r="OUX67" s="144" t="s">
        <v>22</v>
      </c>
      <c r="OUY67" s="145">
        <v>8150</v>
      </c>
      <c r="OUZ67" s="153">
        <v>85</v>
      </c>
      <c r="OVA67" s="154">
        <v>215</v>
      </c>
      <c r="OVB67" s="154">
        <v>75</v>
      </c>
      <c r="OVC67" s="153">
        <v>150</v>
      </c>
      <c r="OVD67" s="155">
        <f>SUM(OUY67:OVC67)</f>
        <v>8675</v>
      </c>
      <c r="OVE67" s="153">
        <v>200</v>
      </c>
      <c r="OVF67" s="155">
        <f>SUM(OVD67:OVE67)</f>
        <v>8875</v>
      </c>
      <c r="OVG67" s="148" t="s">
        <v>96</v>
      </c>
      <c r="OVH67" s="149">
        <v>45845</v>
      </c>
      <c r="OVI67" s="144" t="s">
        <v>40</v>
      </c>
      <c r="OVJ67" s="200"/>
      <c r="OVK67" s="150" t="s">
        <v>123</v>
      </c>
      <c r="OVL67" s="198"/>
      <c r="OVM67" s="199"/>
      <c r="OVN67" s="144" t="s">
        <v>22</v>
      </c>
      <c r="OVO67" s="145">
        <v>8150</v>
      </c>
      <c r="OVP67" s="153">
        <v>85</v>
      </c>
      <c r="OVQ67" s="154">
        <v>215</v>
      </c>
      <c r="OVR67" s="154">
        <v>75</v>
      </c>
      <c r="OVS67" s="153">
        <v>150</v>
      </c>
      <c r="OVT67" s="155">
        <f>SUM(OVO67:OVS67)</f>
        <v>8675</v>
      </c>
      <c r="OVU67" s="153">
        <v>200</v>
      </c>
      <c r="OVV67" s="155">
        <f>SUM(OVT67:OVU67)</f>
        <v>8875</v>
      </c>
      <c r="OVW67" s="148" t="s">
        <v>96</v>
      </c>
      <c r="OVX67" s="149">
        <v>45845</v>
      </c>
      <c r="OVY67" s="144" t="s">
        <v>40</v>
      </c>
      <c r="OVZ67" s="200"/>
      <c r="OWA67" s="150" t="s">
        <v>123</v>
      </c>
      <c r="OWB67" s="198"/>
      <c r="OWC67" s="199"/>
      <c r="OWD67" s="144" t="s">
        <v>22</v>
      </c>
      <c r="OWE67" s="145">
        <v>8150</v>
      </c>
      <c r="OWF67" s="153">
        <v>85</v>
      </c>
      <c r="OWG67" s="154">
        <v>215</v>
      </c>
      <c r="OWH67" s="154">
        <v>75</v>
      </c>
      <c r="OWI67" s="153">
        <v>150</v>
      </c>
      <c r="OWJ67" s="155">
        <f>SUM(OWE67:OWI67)</f>
        <v>8675</v>
      </c>
      <c r="OWK67" s="153">
        <v>200</v>
      </c>
      <c r="OWL67" s="155">
        <f>SUM(OWJ67:OWK67)</f>
        <v>8875</v>
      </c>
      <c r="OWM67" s="148" t="s">
        <v>96</v>
      </c>
      <c r="OWN67" s="149">
        <v>45845</v>
      </c>
      <c r="OWO67" s="144" t="s">
        <v>40</v>
      </c>
      <c r="OWP67" s="200"/>
      <c r="OWQ67" s="150" t="s">
        <v>123</v>
      </c>
      <c r="OWR67" s="198"/>
      <c r="OWS67" s="199"/>
      <c r="OWT67" s="144" t="s">
        <v>22</v>
      </c>
      <c r="OWU67" s="145">
        <v>8150</v>
      </c>
      <c r="OWV67" s="153">
        <v>85</v>
      </c>
      <c r="OWW67" s="154">
        <v>215</v>
      </c>
      <c r="OWX67" s="154">
        <v>75</v>
      </c>
      <c r="OWY67" s="153">
        <v>150</v>
      </c>
      <c r="OWZ67" s="155">
        <f>SUM(OWU67:OWY67)</f>
        <v>8675</v>
      </c>
      <c r="OXA67" s="153">
        <v>200</v>
      </c>
      <c r="OXB67" s="155">
        <f>SUM(OWZ67:OXA67)</f>
        <v>8875</v>
      </c>
      <c r="OXC67" s="148" t="s">
        <v>96</v>
      </c>
      <c r="OXD67" s="149">
        <v>45845</v>
      </c>
      <c r="OXE67" s="144" t="s">
        <v>40</v>
      </c>
      <c r="OXF67" s="200"/>
      <c r="OXG67" s="150" t="s">
        <v>123</v>
      </c>
      <c r="OXH67" s="198"/>
      <c r="OXI67" s="199"/>
      <c r="OXJ67" s="144" t="s">
        <v>22</v>
      </c>
      <c r="OXK67" s="145">
        <v>8150</v>
      </c>
      <c r="OXL67" s="153">
        <v>85</v>
      </c>
      <c r="OXM67" s="154">
        <v>215</v>
      </c>
      <c r="OXN67" s="154">
        <v>75</v>
      </c>
      <c r="OXO67" s="153">
        <v>150</v>
      </c>
      <c r="OXP67" s="155">
        <f>SUM(OXK67:OXO67)</f>
        <v>8675</v>
      </c>
      <c r="OXQ67" s="153">
        <v>200</v>
      </c>
      <c r="OXR67" s="155">
        <f>SUM(OXP67:OXQ67)</f>
        <v>8875</v>
      </c>
      <c r="OXS67" s="148" t="s">
        <v>96</v>
      </c>
      <c r="OXT67" s="149">
        <v>45845</v>
      </c>
      <c r="OXU67" s="144" t="s">
        <v>40</v>
      </c>
      <c r="OXV67" s="200"/>
      <c r="OXW67" s="150" t="s">
        <v>123</v>
      </c>
      <c r="OXX67" s="198"/>
      <c r="OXY67" s="199"/>
      <c r="OXZ67" s="144" t="s">
        <v>22</v>
      </c>
      <c r="OYA67" s="145">
        <v>8150</v>
      </c>
      <c r="OYB67" s="153">
        <v>85</v>
      </c>
      <c r="OYC67" s="154">
        <v>215</v>
      </c>
      <c r="OYD67" s="154">
        <v>75</v>
      </c>
      <c r="OYE67" s="153">
        <v>150</v>
      </c>
      <c r="OYF67" s="155">
        <f>SUM(OYA67:OYE67)</f>
        <v>8675</v>
      </c>
      <c r="OYG67" s="153">
        <v>200</v>
      </c>
      <c r="OYH67" s="155">
        <f>SUM(OYF67:OYG67)</f>
        <v>8875</v>
      </c>
      <c r="OYI67" s="148" t="s">
        <v>96</v>
      </c>
      <c r="OYJ67" s="149">
        <v>45845</v>
      </c>
      <c r="OYK67" s="144" t="s">
        <v>40</v>
      </c>
      <c r="OYL67" s="200"/>
      <c r="OYM67" s="150" t="s">
        <v>123</v>
      </c>
      <c r="OYN67" s="198"/>
      <c r="OYO67" s="199"/>
      <c r="OYP67" s="144" t="s">
        <v>22</v>
      </c>
      <c r="OYQ67" s="145">
        <v>8150</v>
      </c>
      <c r="OYR67" s="153">
        <v>85</v>
      </c>
      <c r="OYS67" s="154">
        <v>215</v>
      </c>
      <c r="OYT67" s="154">
        <v>75</v>
      </c>
      <c r="OYU67" s="153">
        <v>150</v>
      </c>
      <c r="OYV67" s="155">
        <f>SUM(OYQ67:OYU67)</f>
        <v>8675</v>
      </c>
      <c r="OYW67" s="153">
        <v>200</v>
      </c>
      <c r="OYX67" s="155">
        <f>SUM(OYV67:OYW67)</f>
        <v>8875</v>
      </c>
      <c r="OYY67" s="148" t="s">
        <v>96</v>
      </c>
      <c r="OYZ67" s="149">
        <v>45845</v>
      </c>
      <c r="OZA67" s="144" t="s">
        <v>40</v>
      </c>
      <c r="OZB67" s="200"/>
      <c r="OZC67" s="150" t="s">
        <v>123</v>
      </c>
      <c r="OZD67" s="198"/>
      <c r="OZE67" s="199"/>
      <c r="OZF67" s="144" t="s">
        <v>22</v>
      </c>
      <c r="OZG67" s="145">
        <v>8150</v>
      </c>
      <c r="OZH67" s="153">
        <v>85</v>
      </c>
      <c r="OZI67" s="154">
        <v>215</v>
      </c>
      <c r="OZJ67" s="154">
        <v>75</v>
      </c>
      <c r="OZK67" s="153">
        <v>150</v>
      </c>
      <c r="OZL67" s="155">
        <f>SUM(OZG67:OZK67)</f>
        <v>8675</v>
      </c>
      <c r="OZM67" s="153">
        <v>200</v>
      </c>
      <c r="OZN67" s="155">
        <f>SUM(OZL67:OZM67)</f>
        <v>8875</v>
      </c>
      <c r="OZO67" s="148" t="s">
        <v>96</v>
      </c>
      <c r="OZP67" s="149">
        <v>45845</v>
      </c>
      <c r="OZQ67" s="144" t="s">
        <v>40</v>
      </c>
      <c r="OZR67" s="200"/>
      <c r="OZS67" s="150" t="s">
        <v>123</v>
      </c>
      <c r="OZT67" s="198"/>
      <c r="OZU67" s="199"/>
      <c r="OZV67" s="144" t="s">
        <v>22</v>
      </c>
      <c r="OZW67" s="145">
        <v>8150</v>
      </c>
      <c r="OZX67" s="153">
        <v>85</v>
      </c>
      <c r="OZY67" s="154">
        <v>215</v>
      </c>
      <c r="OZZ67" s="154">
        <v>75</v>
      </c>
      <c r="PAA67" s="153">
        <v>150</v>
      </c>
      <c r="PAB67" s="155">
        <f>SUM(OZW67:PAA67)</f>
        <v>8675</v>
      </c>
      <c r="PAC67" s="153">
        <v>200</v>
      </c>
      <c r="PAD67" s="155">
        <f>SUM(PAB67:PAC67)</f>
        <v>8875</v>
      </c>
      <c r="PAE67" s="148" t="s">
        <v>96</v>
      </c>
      <c r="PAF67" s="149">
        <v>45845</v>
      </c>
      <c r="PAG67" s="144" t="s">
        <v>40</v>
      </c>
      <c r="PAH67" s="200"/>
      <c r="PAI67" s="150" t="s">
        <v>123</v>
      </c>
      <c r="PAJ67" s="198"/>
      <c r="PAK67" s="199"/>
      <c r="PAL67" s="144" t="s">
        <v>22</v>
      </c>
      <c r="PAM67" s="145">
        <v>8150</v>
      </c>
      <c r="PAN67" s="153">
        <v>85</v>
      </c>
      <c r="PAO67" s="154">
        <v>215</v>
      </c>
      <c r="PAP67" s="154">
        <v>75</v>
      </c>
      <c r="PAQ67" s="153">
        <v>150</v>
      </c>
      <c r="PAR67" s="155">
        <f>SUM(PAM67:PAQ67)</f>
        <v>8675</v>
      </c>
      <c r="PAS67" s="153">
        <v>200</v>
      </c>
      <c r="PAT67" s="155">
        <f>SUM(PAR67:PAS67)</f>
        <v>8875</v>
      </c>
      <c r="PAU67" s="148" t="s">
        <v>96</v>
      </c>
      <c r="PAV67" s="149">
        <v>45845</v>
      </c>
      <c r="PAW67" s="144" t="s">
        <v>40</v>
      </c>
      <c r="PAX67" s="200"/>
      <c r="PAY67" s="150" t="s">
        <v>123</v>
      </c>
      <c r="PAZ67" s="198"/>
      <c r="PBA67" s="199"/>
      <c r="PBB67" s="144" t="s">
        <v>22</v>
      </c>
      <c r="PBC67" s="145">
        <v>8150</v>
      </c>
      <c r="PBD67" s="153">
        <v>85</v>
      </c>
      <c r="PBE67" s="154">
        <v>215</v>
      </c>
      <c r="PBF67" s="154">
        <v>75</v>
      </c>
      <c r="PBG67" s="153">
        <v>150</v>
      </c>
      <c r="PBH67" s="155">
        <f>SUM(PBC67:PBG67)</f>
        <v>8675</v>
      </c>
      <c r="PBI67" s="153">
        <v>200</v>
      </c>
      <c r="PBJ67" s="155">
        <f>SUM(PBH67:PBI67)</f>
        <v>8875</v>
      </c>
      <c r="PBK67" s="148" t="s">
        <v>96</v>
      </c>
      <c r="PBL67" s="149">
        <v>45845</v>
      </c>
      <c r="PBM67" s="144" t="s">
        <v>40</v>
      </c>
      <c r="PBN67" s="200"/>
      <c r="PBO67" s="150" t="s">
        <v>123</v>
      </c>
      <c r="PBP67" s="198"/>
      <c r="PBQ67" s="199"/>
      <c r="PBR67" s="144" t="s">
        <v>22</v>
      </c>
      <c r="PBS67" s="145">
        <v>8150</v>
      </c>
      <c r="PBT67" s="153">
        <v>85</v>
      </c>
      <c r="PBU67" s="154">
        <v>215</v>
      </c>
      <c r="PBV67" s="154">
        <v>75</v>
      </c>
      <c r="PBW67" s="153">
        <v>150</v>
      </c>
      <c r="PBX67" s="155">
        <f>SUM(PBS67:PBW67)</f>
        <v>8675</v>
      </c>
      <c r="PBY67" s="153">
        <v>200</v>
      </c>
      <c r="PBZ67" s="155">
        <f>SUM(PBX67:PBY67)</f>
        <v>8875</v>
      </c>
      <c r="PCA67" s="148" t="s">
        <v>96</v>
      </c>
      <c r="PCB67" s="149">
        <v>45845</v>
      </c>
      <c r="PCC67" s="144" t="s">
        <v>40</v>
      </c>
      <c r="PCD67" s="200"/>
      <c r="PCE67" s="150" t="s">
        <v>123</v>
      </c>
      <c r="PCF67" s="198"/>
      <c r="PCG67" s="199"/>
      <c r="PCH67" s="144" t="s">
        <v>22</v>
      </c>
      <c r="PCI67" s="145">
        <v>8150</v>
      </c>
      <c r="PCJ67" s="153">
        <v>85</v>
      </c>
      <c r="PCK67" s="154">
        <v>215</v>
      </c>
      <c r="PCL67" s="154">
        <v>75</v>
      </c>
      <c r="PCM67" s="153">
        <v>150</v>
      </c>
      <c r="PCN67" s="155">
        <f>SUM(PCI67:PCM67)</f>
        <v>8675</v>
      </c>
      <c r="PCO67" s="153">
        <v>200</v>
      </c>
      <c r="PCP67" s="155">
        <f>SUM(PCN67:PCO67)</f>
        <v>8875</v>
      </c>
      <c r="PCQ67" s="148" t="s">
        <v>96</v>
      </c>
      <c r="PCR67" s="149">
        <v>45845</v>
      </c>
      <c r="PCS67" s="144" t="s">
        <v>40</v>
      </c>
      <c r="PCT67" s="200"/>
      <c r="PCU67" s="150" t="s">
        <v>123</v>
      </c>
      <c r="PCV67" s="198"/>
      <c r="PCW67" s="199"/>
      <c r="PCX67" s="144" t="s">
        <v>22</v>
      </c>
      <c r="PCY67" s="145">
        <v>8150</v>
      </c>
      <c r="PCZ67" s="153">
        <v>85</v>
      </c>
      <c r="PDA67" s="154">
        <v>215</v>
      </c>
      <c r="PDB67" s="154">
        <v>75</v>
      </c>
      <c r="PDC67" s="153">
        <v>150</v>
      </c>
      <c r="PDD67" s="155">
        <f>SUM(PCY67:PDC67)</f>
        <v>8675</v>
      </c>
      <c r="PDE67" s="153">
        <v>200</v>
      </c>
      <c r="PDF67" s="155">
        <f>SUM(PDD67:PDE67)</f>
        <v>8875</v>
      </c>
      <c r="PDG67" s="148" t="s">
        <v>96</v>
      </c>
      <c r="PDH67" s="149">
        <v>45845</v>
      </c>
      <c r="PDI67" s="144" t="s">
        <v>40</v>
      </c>
      <c r="PDJ67" s="200"/>
      <c r="PDK67" s="150" t="s">
        <v>123</v>
      </c>
      <c r="PDL67" s="198"/>
      <c r="PDM67" s="199"/>
      <c r="PDN67" s="144" t="s">
        <v>22</v>
      </c>
      <c r="PDO67" s="145">
        <v>8150</v>
      </c>
      <c r="PDP67" s="153">
        <v>85</v>
      </c>
      <c r="PDQ67" s="154">
        <v>215</v>
      </c>
      <c r="PDR67" s="154">
        <v>75</v>
      </c>
      <c r="PDS67" s="153">
        <v>150</v>
      </c>
      <c r="PDT67" s="155">
        <f>SUM(PDO67:PDS67)</f>
        <v>8675</v>
      </c>
      <c r="PDU67" s="153">
        <v>200</v>
      </c>
      <c r="PDV67" s="155">
        <f>SUM(PDT67:PDU67)</f>
        <v>8875</v>
      </c>
      <c r="PDW67" s="148" t="s">
        <v>96</v>
      </c>
      <c r="PDX67" s="149">
        <v>45845</v>
      </c>
      <c r="PDY67" s="144" t="s">
        <v>40</v>
      </c>
      <c r="PDZ67" s="200"/>
      <c r="PEA67" s="150" t="s">
        <v>123</v>
      </c>
      <c r="PEB67" s="198"/>
      <c r="PEC67" s="199"/>
      <c r="PED67" s="144" t="s">
        <v>22</v>
      </c>
      <c r="PEE67" s="145">
        <v>8150</v>
      </c>
      <c r="PEF67" s="153">
        <v>85</v>
      </c>
      <c r="PEG67" s="154">
        <v>215</v>
      </c>
      <c r="PEH67" s="154">
        <v>75</v>
      </c>
      <c r="PEI67" s="153">
        <v>150</v>
      </c>
      <c r="PEJ67" s="155">
        <f>SUM(PEE67:PEI67)</f>
        <v>8675</v>
      </c>
      <c r="PEK67" s="153">
        <v>200</v>
      </c>
      <c r="PEL67" s="155">
        <f>SUM(PEJ67:PEK67)</f>
        <v>8875</v>
      </c>
      <c r="PEM67" s="148" t="s">
        <v>96</v>
      </c>
      <c r="PEN67" s="149">
        <v>45845</v>
      </c>
      <c r="PEO67" s="144" t="s">
        <v>40</v>
      </c>
      <c r="PEP67" s="200"/>
      <c r="PEQ67" s="150" t="s">
        <v>123</v>
      </c>
      <c r="PER67" s="198"/>
      <c r="PES67" s="199"/>
      <c r="PET67" s="144" t="s">
        <v>22</v>
      </c>
      <c r="PEU67" s="145">
        <v>8150</v>
      </c>
      <c r="PEV67" s="153">
        <v>85</v>
      </c>
      <c r="PEW67" s="154">
        <v>215</v>
      </c>
      <c r="PEX67" s="154">
        <v>75</v>
      </c>
      <c r="PEY67" s="153">
        <v>150</v>
      </c>
      <c r="PEZ67" s="155">
        <f>SUM(PEU67:PEY67)</f>
        <v>8675</v>
      </c>
      <c r="PFA67" s="153">
        <v>200</v>
      </c>
      <c r="PFB67" s="155">
        <f>SUM(PEZ67:PFA67)</f>
        <v>8875</v>
      </c>
      <c r="PFC67" s="148" t="s">
        <v>96</v>
      </c>
      <c r="PFD67" s="149">
        <v>45845</v>
      </c>
      <c r="PFE67" s="144" t="s">
        <v>40</v>
      </c>
      <c r="PFF67" s="200"/>
      <c r="PFG67" s="150" t="s">
        <v>123</v>
      </c>
      <c r="PFH67" s="198"/>
      <c r="PFI67" s="199"/>
      <c r="PFJ67" s="144" t="s">
        <v>22</v>
      </c>
      <c r="PFK67" s="145">
        <v>8150</v>
      </c>
      <c r="PFL67" s="153">
        <v>85</v>
      </c>
      <c r="PFM67" s="154">
        <v>215</v>
      </c>
      <c r="PFN67" s="154">
        <v>75</v>
      </c>
      <c r="PFO67" s="153">
        <v>150</v>
      </c>
      <c r="PFP67" s="155">
        <f>SUM(PFK67:PFO67)</f>
        <v>8675</v>
      </c>
      <c r="PFQ67" s="153">
        <v>200</v>
      </c>
      <c r="PFR67" s="155">
        <f>SUM(PFP67:PFQ67)</f>
        <v>8875</v>
      </c>
      <c r="PFS67" s="148" t="s">
        <v>96</v>
      </c>
      <c r="PFT67" s="149">
        <v>45845</v>
      </c>
      <c r="PFU67" s="144" t="s">
        <v>40</v>
      </c>
      <c r="PFV67" s="200"/>
      <c r="PFW67" s="150" t="s">
        <v>123</v>
      </c>
      <c r="PFX67" s="198"/>
      <c r="PFY67" s="199"/>
      <c r="PFZ67" s="144" t="s">
        <v>22</v>
      </c>
      <c r="PGA67" s="145">
        <v>8150</v>
      </c>
      <c r="PGB67" s="153">
        <v>85</v>
      </c>
      <c r="PGC67" s="154">
        <v>215</v>
      </c>
      <c r="PGD67" s="154">
        <v>75</v>
      </c>
      <c r="PGE67" s="153">
        <v>150</v>
      </c>
      <c r="PGF67" s="155">
        <f>SUM(PGA67:PGE67)</f>
        <v>8675</v>
      </c>
      <c r="PGG67" s="153">
        <v>200</v>
      </c>
      <c r="PGH67" s="155">
        <f>SUM(PGF67:PGG67)</f>
        <v>8875</v>
      </c>
      <c r="PGI67" s="148" t="s">
        <v>96</v>
      </c>
      <c r="PGJ67" s="149">
        <v>45845</v>
      </c>
      <c r="PGK67" s="144" t="s">
        <v>40</v>
      </c>
      <c r="PGL67" s="200"/>
      <c r="PGM67" s="150" t="s">
        <v>123</v>
      </c>
      <c r="PGN67" s="198"/>
      <c r="PGO67" s="199"/>
      <c r="PGP67" s="144" t="s">
        <v>22</v>
      </c>
      <c r="PGQ67" s="145">
        <v>8150</v>
      </c>
      <c r="PGR67" s="153">
        <v>85</v>
      </c>
      <c r="PGS67" s="154">
        <v>215</v>
      </c>
      <c r="PGT67" s="154">
        <v>75</v>
      </c>
      <c r="PGU67" s="153">
        <v>150</v>
      </c>
      <c r="PGV67" s="155">
        <f>SUM(PGQ67:PGU67)</f>
        <v>8675</v>
      </c>
      <c r="PGW67" s="153">
        <v>200</v>
      </c>
      <c r="PGX67" s="155">
        <f>SUM(PGV67:PGW67)</f>
        <v>8875</v>
      </c>
      <c r="PGY67" s="148" t="s">
        <v>96</v>
      </c>
      <c r="PGZ67" s="149">
        <v>45845</v>
      </c>
      <c r="PHA67" s="144" t="s">
        <v>40</v>
      </c>
      <c r="PHB67" s="200"/>
      <c r="PHC67" s="150" t="s">
        <v>123</v>
      </c>
      <c r="PHD67" s="198"/>
      <c r="PHE67" s="199"/>
      <c r="PHF67" s="144" t="s">
        <v>22</v>
      </c>
      <c r="PHG67" s="145">
        <v>8150</v>
      </c>
      <c r="PHH67" s="153">
        <v>85</v>
      </c>
      <c r="PHI67" s="154">
        <v>215</v>
      </c>
      <c r="PHJ67" s="154">
        <v>75</v>
      </c>
      <c r="PHK67" s="153">
        <v>150</v>
      </c>
      <c r="PHL67" s="155">
        <f>SUM(PHG67:PHK67)</f>
        <v>8675</v>
      </c>
      <c r="PHM67" s="153">
        <v>200</v>
      </c>
      <c r="PHN67" s="155">
        <f>SUM(PHL67:PHM67)</f>
        <v>8875</v>
      </c>
      <c r="PHO67" s="148" t="s">
        <v>96</v>
      </c>
      <c r="PHP67" s="149">
        <v>45845</v>
      </c>
      <c r="PHQ67" s="144" t="s">
        <v>40</v>
      </c>
      <c r="PHR67" s="200"/>
      <c r="PHS67" s="150" t="s">
        <v>123</v>
      </c>
      <c r="PHT67" s="198"/>
      <c r="PHU67" s="199"/>
      <c r="PHV67" s="144" t="s">
        <v>22</v>
      </c>
      <c r="PHW67" s="145">
        <v>8150</v>
      </c>
      <c r="PHX67" s="153">
        <v>85</v>
      </c>
      <c r="PHY67" s="154">
        <v>215</v>
      </c>
      <c r="PHZ67" s="154">
        <v>75</v>
      </c>
      <c r="PIA67" s="153">
        <v>150</v>
      </c>
      <c r="PIB67" s="155">
        <f>SUM(PHW67:PIA67)</f>
        <v>8675</v>
      </c>
      <c r="PIC67" s="153">
        <v>200</v>
      </c>
      <c r="PID67" s="155">
        <f>SUM(PIB67:PIC67)</f>
        <v>8875</v>
      </c>
      <c r="PIE67" s="148" t="s">
        <v>96</v>
      </c>
      <c r="PIF67" s="149">
        <v>45845</v>
      </c>
      <c r="PIG67" s="144" t="s">
        <v>40</v>
      </c>
      <c r="PIH67" s="200"/>
      <c r="PII67" s="150" t="s">
        <v>123</v>
      </c>
      <c r="PIJ67" s="198"/>
      <c r="PIK67" s="199"/>
      <c r="PIL67" s="144" t="s">
        <v>22</v>
      </c>
      <c r="PIM67" s="145">
        <v>8150</v>
      </c>
      <c r="PIN67" s="153">
        <v>85</v>
      </c>
      <c r="PIO67" s="154">
        <v>215</v>
      </c>
      <c r="PIP67" s="154">
        <v>75</v>
      </c>
      <c r="PIQ67" s="153">
        <v>150</v>
      </c>
      <c r="PIR67" s="155">
        <f>SUM(PIM67:PIQ67)</f>
        <v>8675</v>
      </c>
      <c r="PIS67" s="153">
        <v>200</v>
      </c>
      <c r="PIT67" s="155">
        <f>SUM(PIR67:PIS67)</f>
        <v>8875</v>
      </c>
      <c r="PIU67" s="148" t="s">
        <v>96</v>
      </c>
      <c r="PIV67" s="149">
        <v>45845</v>
      </c>
      <c r="PIW67" s="144" t="s">
        <v>40</v>
      </c>
      <c r="PIX67" s="200"/>
      <c r="PIY67" s="150" t="s">
        <v>123</v>
      </c>
      <c r="PIZ67" s="198"/>
      <c r="PJA67" s="199"/>
      <c r="PJB67" s="144" t="s">
        <v>22</v>
      </c>
      <c r="PJC67" s="145">
        <v>8150</v>
      </c>
      <c r="PJD67" s="153">
        <v>85</v>
      </c>
      <c r="PJE67" s="154">
        <v>215</v>
      </c>
      <c r="PJF67" s="154">
        <v>75</v>
      </c>
      <c r="PJG67" s="153">
        <v>150</v>
      </c>
      <c r="PJH67" s="155">
        <f>SUM(PJC67:PJG67)</f>
        <v>8675</v>
      </c>
      <c r="PJI67" s="153">
        <v>200</v>
      </c>
      <c r="PJJ67" s="155">
        <f>SUM(PJH67:PJI67)</f>
        <v>8875</v>
      </c>
      <c r="PJK67" s="148" t="s">
        <v>96</v>
      </c>
      <c r="PJL67" s="149">
        <v>45845</v>
      </c>
      <c r="PJM67" s="144" t="s">
        <v>40</v>
      </c>
      <c r="PJN67" s="200"/>
      <c r="PJO67" s="150" t="s">
        <v>123</v>
      </c>
      <c r="PJP67" s="198"/>
      <c r="PJQ67" s="199"/>
      <c r="PJR67" s="144" t="s">
        <v>22</v>
      </c>
      <c r="PJS67" s="145">
        <v>8150</v>
      </c>
      <c r="PJT67" s="153">
        <v>85</v>
      </c>
      <c r="PJU67" s="154">
        <v>215</v>
      </c>
      <c r="PJV67" s="154">
        <v>75</v>
      </c>
      <c r="PJW67" s="153">
        <v>150</v>
      </c>
      <c r="PJX67" s="155">
        <f>SUM(PJS67:PJW67)</f>
        <v>8675</v>
      </c>
      <c r="PJY67" s="153">
        <v>200</v>
      </c>
      <c r="PJZ67" s="155">
        <f>SUM(PJX67:PJY67)</f>
        <v>8875</v>
      </c>
      <c r="PKA67" s="148" t="s">
        <v>96</v>
      </c>
      <c r="PKB67" s="149">
        <v>45845</v>
      </c>
      <c r="PKC67" s="144" t="s">
        <v>40</v>
      </c>
      <c r="PKD67" s="200"/>
      <c r="PKE67" s="150" t="s">
        <v>123</v>
      </c>
      <c r="PKF67" s="198"/>
      <c r="PKG67" s="199"/>
      <c r="PKH67" s="144" t="s">
        <v>22</v>
      </c>
      <c r="PKI67" s="145">
        <v>8150</v>
      </c>
      <c r="PKJ67" s="153">
        <v>85</v>
      </c>
      <c r="PKK67" s="154">
        <v>215</v>
      </c>
      <c r="PKL67" s="154">
        <v>75</v>
      </c>
      <c r="PKM67" s="153">
        <v>150</v>
      </c>
      <c r="PKN67" s="155">
        <f>SUM(PKI67:PKM67)</f>
        <v>8675</v>
      </c>
      <c r="PKO67" s="153">
        <v>200</v>
      </c>
      <c r="PKP67" s="155">
        <f>SUM(PKN67:PKO67)</f>
        <v>8875</v>
      </c>
      <c r="PKQ67" s="148" t="s">
        <v>96</v>
      </c>
      <c r="PKR67" s="149">
        <v>45845</v>
      </c>
      <c r="PKS67" s="144" t="s">
        <v>40</v>
      </c>
      <c r="PKT67" s="200"/>
      <c r="PKU67" s="150" t="s">
        <v>123</v>
      </c>
      <c r="PKV67" s="198"/>
      <c r="PKW67" s="199"/>
      <c r="PKX67" s="144" t="s">
        <v>22</v>
      </c>
      <c r="PKY67" s="145">
        <v>8150</v>
      </c>
      <c r="PKZ67" s="153">
        <v>85</v>
      </c>
      <c r="PLA67" s="154">
        <v>215</v>
      </c>
      <c r="PLB67" s="154">
        <v>75</v>
      </c>
      <c r="PLC67" s="153">
        <v>150</v>
      </c>
      <c r="PLD67" s="155">
        <f>SUM(PKY67:PLC67)</f>
        <v>8675</v>
      </c>
      <c r="PLE67" s="153">
        <v>200</v>
      </c>
      <c r="PLF67" s="155">
        <f>SUM(PLD67:PLE67)</f>
        <v>8875</v>
      </c>
      <c r="PLG67" s="148" t="s">
        <v>96</v>
      </c>
      <c r="PLH67" s="149">
        <v>45845</v>
      </c>
      <c r="PLI67" s="144" t="s">
        <v>40</v>
      </c>
      <c r="PLJ67" s="200"/>
      <c r="PLK67" s="150" t="s">
        <v>123</v>
      </c>
      <c r="PLL67" s="198"/>
      <c r="PLM67" s="199"/>
      <c r="PLN67" s="144" t="s">
        <v>22</v>
      </c>
      <c r="PLO67" s="145">
        <v>8150</v>
      </c>
      <c r="PLP67" s="153">
        <v>85</v>
      </c>
      <c r="PLQ67" s="154">
        <v>215</v>
      </c>
      <c r="PLR67" s="154">
        <v>75</v>
      </c>
      <c r="PLS67" s="153">
        <v>150</v>
      </c>
      <c r="PLT67" s="155">
        <f>SUM(PLO67:PLS67)</f>
        <v>8675</v>
      </c>
      <c r="PLU67" s="153">
        <v>200</v>
      </c>
      <c r="PLV67" s="155">
        <f>SUM(PLT67:PLU67)</f>
        <v>8875</v>
      </c>
      <c r="PLW67" s="148" t="s">
        <v>96</v>
      </c>
      <c r="PLX67" s="149">
        <v>45845</v>
      </c>
      <c r="PLY67" s="144" t="s">
        <v>40</v>
      </c>
      <c r="PLZ67" s="200"/>
      <c r="PMA67" s="150" t="s">
        <v>123</v>
      </c>
      <c r="PMB67" s="198"/>
      <c r="PMC67" s="199"/>
      <c r="PMD67" s="144" t="s">
        <v>22</v>
      </c>
      <c r="PME67" s="145">
        <v>8150</v>
      </c>
      <c r="PMF67" s="153">
        <v>85</v>
      </c>
      <c r="PMG67" s="154">
        <v>215</v>
      </c>
      <c r="PMH67" s="154">
        <v>75</v>
      </c>
      <c r="PMI67" s="153">
        <v>150</v>
      </c>
      <c r="PMJ67" s="155">
        <f>SUM(PME67:PMI67)</f>
        <v>8675</v>
      </c>
      <c r="PMK67" s="153">
        <v>200</v>
      </c>
      <c r="PML67" s="155">
        <f>SUM(PMJ67:PMK67)</f>
        <v>8875</v>
      </c>
      <c r="PMM67" s="148" t="s">
        <v>96</v>
      </c>
      <c r="PMN67" s="149">
        <v>45845</v>
      </c>
      <c r="PMO67" s="144" t="s">
        <v>40</v>
      </c>
      <c r="PMP67" s="200"/>
      <c r="PMQ67" s="150" t="s">
        <v>123</v>
      </c>
      <c r="PMR67" s="198"/>
      <c r="PMS67" s="199"/>
      <c r="PMT67" s="144" t="s">
        <v>22</v>
      </c>
      <c r="PMU67" s="145">
        <v>8150</v>
      </c>
      <c r="PMV67" s="153">
        <v>85</v>
      </c>
      <c r="PMW67" s="154">
        <v>215</v>
      </c>
      <c r="PMX67" s="154">
        <v>75</v>
      </c>
      <c r="PMY67" s="153">
        <v>150</v>
      </c>
      <c r="PMZ67" s="155">
        <f>SUM(PMU67:PMY67)</f>
        <v>8675</v>
      </c>
      <c r="PNA67" s="153">
        <v>200</v>
      </c>
      <c r="PNB67" s="155">
        <f>SUM(PMZ67:PNA67)</f>
        <v>8875</v>
      </c>
      <c r="PNC67" s="148" t="s">
        <v>96</v>
      </c>
      <c r="PND67" s="149">
        <v>45845</v>
      </c>
      <c r="PNE67" s="144" t="s">
        <v>40</v>
      </c>
      <c r="PNF67" s="200"/>
      <c r="PNG67" s="150" t="s">
        <v>123</v>
      </c>
      <c r="PNH67" s="198"/>
      <c r="PNI67" s="199"/>
      <c r="PNJ67" s="144" t="s">
        <v>22</v>
      </c>
      <c r="PNK67" s="145">
        <v>8150</v>
      </c>
      <c r="PNL67" s="153">
        <v>85</v>
      </c>
      <c r="PNM67" s="154">
        <v>215</v>
      </c>
      <c r="PNN67" s="154">
        <v>75</v>
      </c>
      <c r="PNO67" s="153">
        <v>150</v>
      </c>
      <c r="PNP67" s="155">
        <f>SUM(PNK67:PNO67)</f>
        <v>8675</v>
      </c>
      <c r="PNQ67" s="153">
        <v>200</v>
      </c>
      <c r="PNR67" s="155">
        <f>SUM(PNP67:PNQ67)</f>
        <v>8875</v>
      </c>
      <c r="PNS67" s="148" t="s">
        <v>96</v>
      </c>
      <c r="PNT67" s="149">
        <v>45845</v>
      </c>
      <c r="PNU67" s="144" t="s">
        <v>40</v>
      </c>
      <c r="PNV67" s="200"/>
      <c r="PNW67" s="150" t="s">
        <v>123</v>
      </c>
      <c r="PNX67" s="198"/>
      <c r="PNY67" s="199"/>
      <c r="PNZ67" s="144" t="s">
        <v>22</v>
      </c>
      <c r="POA67" s="145">
        <v>8150</v>
      </c>
      <c r="POB67" s="153">
        <v>85</v>
      </c>
      <c r="POC67" s="154">
        <v>215</v>
      </c>
      <c r="POD67" s="154">
        <v>75</v>
      </c>
      <c r="POE67" s="153">
        <v>150</v>
      </c>
      <c r="POF67" s="155">
        <f>SUM(POA67:POE67)</f>
        <v>8675</v>
      </c>
      <c r="POG67" s="153">
        <v>200</v>
      </c>
      <c r="POH67" s="155">
        <f>SUM(POF67:POG67)</f>
        <v>8875</v>
      </c>
      <c r="POI67" s="148" t="s">
        <v>96</v>
      </c>
      <c r="POJ67" s="149">
        <v>45845</v>
      </c>
      <c r="POK67" s="144" t="s">
        <v>40</v>
      </c>
      <c r="POL67" s="200"/>
      <c r="POM67" s="150" t="s">
        <v>123</v>
      </c>
      <c r="PON67" s="198"/>
      <c r="POO67" s="199"/>
      <c r="POP67" s="144" t="s">
        <v>22</v>
      </c>
      <c r="POQ67" s="145">
        <v>8150</v>
      </c>
      <c r="POR67" s="153">
        <v>85</v>
      </c>
      <c r="POS67" s="154">
        <v>215</v>
      </c>
      <c r="POT67" s="154">
        <v>75</v>
      </c>
      <c r="POU67" s="153">
        <v>150</v>
      </c>
      <c r="POV67" s="155">
        <f>SUM(POQ67:POU67)</f>
        <v>8675</v>
      </c>
      <c r="POW67" s="153">
        <v>200</v>
      </c>
      <c r="POX67" s="155">
        <f>SUM(POV67:POW67)</f>
        <v>8875</v>
      </c>
      <c r="POY67" s="148" t="s">
        <v>96</v>
      </c>
      <c r="POZ67" s="149">
        <v>45845</v>
      </c>
      <c r="PPA67" s="144" t="s">
        <v>40</v>
      </c>
      <c r="PPB67" s="200"/>
      <c r="PPC67" s="150" t="s">
        <v>123</v>
      </c>
      <c r="PPD67" s="198"/>
      <c r="PPE67" s="199"/>
      <c r="PPF67" s="144" t="s">
        <v>22</v>
      </c>
      <c r="PPG67" s="145">
        <v>8150</v>
      </c>
      <c r="PPH67" s="153">
        <v>85</v>
      </c>
      <c r="PPI67" s="154">
        <v>215</v>
      </c>
      <c r="PPJ67" s="154">
        <v>75</v>
      </c>
      <c r="PPK67" s="153">
        <v>150</v>
      </c>
      <c r="PPL67" s="155">
        <f>SUM(PPG67:PPK67)</f>
        <v>8675</v>
      </c>
      <c r="PPM67" s="153">
        <v>200</v>
      </c>
      <c r="PPN67" s="155">
        <f>SUM(PPL67:PPM67)</f>
        <v>8875</v>
      </c>
      <c r="PPO67" s="148" t="s">
        <v>96</v>
      </c>
      <c r="PPP67" s="149">
        <v>45845</v>
      </c>
      <c r="PPQ67" s="144" t="s">
        <v>40</v>
      </c>
      <c r="PPR67" s="200"/>
      <c r="PPS67" s="150" t="s">
        <v>123</v>
      </c>
      <c r="PPT67" s="198"/>
      <c r="PPU67" s="199"/>
      <c r="PPV67" s="144" t="s">
        <v>22</v>
      </c>
      <c r="PPW67" s="145">
        <v>8150</v>
      </c>
      <c r="PPX67" s="153">
        <v>85</v>
      </c>
      <c r="PPY67" s="154">
        <v>215</v>
      </c>
      <c r="PPZ67" s="154">
        <v>75</v>
      </c>
      <c r="PQA67" s="153">
        <v>150</v>
      </c>
      <c r="PQB67" s="155">
        <f>SUM(PPW67:PQA67)</f>
        <v>8675</v>
      </c>
      <c r="PQC67" s="153">
        <v>200</v>
      </c>
      <c r="PQD67" s="155">
        <f>SUM(PQB67:PQC67)</f>
        <v>8875</v>
      </c>
      <c r="PQE67" s="148" t="s">
        <v>96</v>
      </c>
      <c r="PQF67" s="149">
        <v>45845</v>
      </c>
      <c r="PQG67" s="144" t="s">
        <v>40</v>
      </c>
      <c r="PQH67" s="200"/>
      <c r="PQI67" s="150" t="s">
        <v>123</v>
      </c>
      <c r="PQJ67" s="198"/>
      <c r="PQK67" s="199"/>
      <c r="PQL67" s="144" t="s">
        <v>22</v>
      </c>
      <c r="PQM67" s="145">
        <v>8150</v>
      </c>
      <c r="PQN67" s="153">
        <v>85</v>
      </c>
      <c r="PQO67" s="154">
        <v>215</v>
      </c>
      <c r="PQP67" s="154">
        <v>75</v>
      </c>
      <c r="PQQ67" s="153">
        <v>150</v>
      </c>
      <c r="PQR67" s="155">
        <f>SUM(PQM67:PQQ67)</f>
        <v>8675</v>
      </c>
      <c r="PQS67" s="153">
        <v>200</v>
      </c>
      <c r="PQT67" s="155">
        <f>SUM(PQR67:PQS67)</f>
        <v>8875</v>
      </c>
      <c r="PQU67" s="148" t="s">
        <v>96</v>
      </c>
      <c r="PQV67" s="149">
        <v>45845</v>
      </c>
      <c r="PQW67" s="144" t="s">
        <v>40</v>
      </c>
      <c r="PQX67" s="200"/>
      <c r="PQY67" s="150" t="s">
        <v>123</v>
      </c>
      <c r="PQZ67" s="198"/>
      <c r="PRA67" s="199"/>
      <c r="PRB67" s="144" t="s">
        <v>22</v>
      </c>
      <c r="PRC67" s="145">
        <v>8150</v>
      </c>
      <c r="PRD67" s="153">
        <v>85</v>
      </c>
      <c r="PRE67" s="154">
        <v>215</v>
      </c>
      <c r="PRF67" s="154">
        <v>75</v>
      </c>
      <c r="PRG67" s="153">
        <v>150</v>
      </c>
      <c r="PRH67" s="155">
        <f>SUM(PRC67:PRG67)</f>
        <v>8675</v>
      </c>
      <c r="PRI67" s="153">
        <v>200</v>
      </c>
      <c r="PRJ67" s="155">
        <f>SUM(PRH67:PRI67)</f>
        <v>8875</v>
      </c>
      <c r="PRK67" s="148" t="s">
        <v>96</v>
      </c>
      <c r="PRL67" s="149">
        <v>45845</v>
      </c>
      <c r="PRM67" s="144" t="s">
        <v>40</v>
      </c>
      <c r="PRN67" s="200"/>
      <c r="PRO67" s="150" t="s">
        <v>123</v>
      </c>
      <c r="PRP67" s="198"/>
      <c r="PRQ67" s="199"/>
      <c r="PRR67" s="144" t="s">
        <v>22</v>
      </c>
      <c r="PRS67" s="145">
        <v>8150</v>
      </c>
      <c r="PRT67" s="153">
        <v>85</v>
      </c>
      <c r="PRU67" s="154">
        <v>215</v>
      </c>
      <c r="PRV67" s="154">
        <v>75</v>
      </c>
      <c r="PRW67" s="153">
        <v>150</v>
      </c>
      <c r="PRX67" s="155">
        <f>SUM(PRS67:PRW67)</f>
        <v>8675</v>
      </c>
      <c r="PRY67" s="153">
        <v>200</v>
      </c>
      <c r="PRZ67" s="155">
        <f>SUM(PRX67:PRY67)</f>
        <v>8875</v>
      </c>
      <c r="PSA67" s="148" t="s">
        <v>96</v>
      </c>
      <c r="PSB67" s="149">
        <v>45845</v>
      </c>
      <c r="PSC67" s="144" t="s">
        <v>40</v>
      </c>
      <c r="PSD67" s="200"/>
      <c r="PSE67" s="150" t="s">
        <v>123</v>
      </c>
      <c r="PSF67" s="198"/>
      <c r="PSG67" s="199"/>
      <c r="PSH67" s="144" t="s">
        <v>22</v>
      </c>
      <c r="PSI67" s="145">
        <v>8150</v>
      </c>
      <c r="PSJ67" s="153">
        <v>85</v>
      </c>
      <c r="PSK67" s="154">
        <v>215</v>
      </c>
      <c r="PSL67" s="154">
        <v>75</v>
      </c>
      <c r="PSM67" s="153">
        <v>150</v>
      </c>
      <c r="PSN67" s="155">
        <f>SUM(PSI67:PSM67)</f>
        <v>8675</v>
      </c>
      <c r="PSO67" s="153">
        <v>200</v>
      </c>
      <c r="PSP67" s="155">
        <f>SUM(PSN67:PSO67)</f>
        <v>8875</v>
      </c>
      <c r="PSQ67" s="148" t="s">
        <v>96</v>
      </c>
      <c r="PSR67" s="149">
        <v>45845</v>
      </c>
      <c r="PSS67" s="144" t="s">
        <v>40</v>
      </c>
      <c r="PST67" s="200"/>
      <c r="PSU67" s="150" t="s">
        <v>123</v>
      </c>
      <c r="PSV67" s="198"/>
      <c r="PSW67" s="199"/>
      <c r="PSX67" s="144" t="s">
        <v>22</v>
      </c>
      <c r="PSY67" s="145">
        <v>8150</v>
      </c>
      <c r="PSZ67" s="153">
        <v>85</v>
      </c>
      <c r="PTA67" s="154">
        <v>215</v>
      </c>
      <c r="PTB67" s="154">
        <v>75</v>
      </c>
      <c r="PTC67" s="153">
        <v>150</v>
      </c>
      <c r="PTD67" s="155">
        <f>SUM(PSY67:PTC67)</f>
        <v>8675</v>
      </c>
      <c r="PTE67" s="153">
        <v>200</v>
      </c>
      <c r="PTF67" s="155">
        <f>SUM(PTD67:PTE67)</f>
        <v>8875</v>
      </c>
      <c r="PTG67" s="148" t="s">
        <v>96</v>
      </c>
      <c r="PTH67" s="149">
        <v>45845</v>
      </c>
      <c r="PTI67" s="144" t="s">
        <v>40</v>
      </c>
      <c r="PTJ67" s="200"/>
      <c r="PTK67" s="150" t="s">
        <v>123</v>
      </c>
      <c r="PTL67" s="198"/>
      <c r="PTM67" s="199"/>
      <c r="PTN67" s="144" t="s">
        <v>22</v>
      </c>
      <c r="PTO67" s="145">
        <v>8150</v>
      </c>
      <c r="PTP67" s="153">
        <v>85</v>
      </c>
      <c r="PTQ67" s="154">
        <v>215</v>
      </c>
      <c r="PTR67" s="154">
        <v>75</v>
      </c>
      <c r="PTS67" s="153">
        <v>150</v>
      </c>
      <c r="PTT67" s="155">
        <f>SUM(PTO67:PTS67)</f>
        <v>8675</v>
      </c>
      <c r="PTU67" s="153">
        <v>200</v>
      </c>
      <c r="PTV67" s="155">
        <f>SUM(PTT67:PTU67)</f>
        <v>8875</v>
      </c>
      <c r="PTW67" s="148" t="s">
        <v>96</v>
      </c>
      <c r="PTX67" s="149">
        <v>45845</v>
      </c>
      <c r="PTY67" s="144" t="s">
        <v>40</v>
      </c>
      <c r="PTZ67" s="200"/>
      <c r="PUA67" s="150" t="s">
        <v>123</v>
      </c>
      <c r="PUB67" s="198"/>
      <c r="PUC67" s="199"/>
      <c r="PUD67" s="144" t="s">
        <v>22</v>
      </c>
      <c r="PUE67" s="145">
        <v>8150</v>
      </c>
      <c r="PUF67" s="153">
        <v>85</v>
      </c>
      <c r="PUG67" s="154">
        <v>215</v>
      </c>
      <c r="PUH67" s="154">
        <v>75</v>
      </c>
      <c r="PUI67" s="153">
        <v>150</v>
      </c>
      <c r="PUJ67" s="155">
        <f>SUM(PUE67:PUI67)</f>
        <v>8675</v>
      </c>
      <c r="PUK67" s="153">
        <v>200</v>
      </c>
      <c r="PUL67" s="155">
        <f>SUM(PUJ67:PUK67)</f>
        <v>8875</v>
      </c>
      <c r="PUM67" s="148" t="s">
        <v>96</v>
      </c>
      <c r="PUN67" s="149">
        <v>45845</v>
      </c>
      <c r="PUO67" s="144" t="s">
        <v>40</v>
      </c>
      <c r="PUP67" s="200"/>
      <c r="PUQ67" s="150" t="s">
        <v>123</v>
      </c>
      <c r="PUR67" s="198"/>
      <c r="PUS67" s="199"/>
      <c r="PUT67" s="144" t="s">
        <v>22</v>
      </c>
      <c r="PUU67" s="145">
        <v>8150</v>
      </c>
      <c r="PUV67" s="153">
        <v>85</v>
      </c>
      <c r="PUW67" s="154">
        <v>215</v>
      </c>
      <c r="PUX67" s="154">
        <v>75</v>
      </c>
      <c r="PUY67" s="153">
        <v>150</v>
      </c>
      <c r="PUZ67" s="155">
        <f>SUM(PUU67:PUY67)</f>
        <v>8675</v>
      </c>
      <c r="PVA67" s="153">
        <v>200</v>
      </c>
      <c r="PVB67" s="155">
        <f>SUM(PUZ67:PVA67)</f>
        <v>8875</v>
      </c>
      <c r="PVC67" s="148" t="s">
        <v>96</v>
      </c>
      <c r="PVD67" s="149">
        <v>45845</v>
      </c>
      <c r="PVE67" s="144" t="s">
        <v>40</v>
      </c>
      <c r="PVF67" s="200"/>
      <c r="PVG67" s="150" t="s">
        <v>123</v>
      </c>
      <c r="PVH67" s="198"/>
      <c r="PVI67" s="199"/>
      <c r="PVJ67" s="144" t="s">
        <v>22</v>
      </c>
      <c r="PVK67" s="145">
        <v>8150</v>
      </c>
      <c r="PVL67" s="153">
        <v>85</v>
      </c>
      <c r="PVM67" s="154">
        <v>215</v>
      </c>
      <c r="PVN67" s="154">
        <v>75</v>
      </c>
      <c r="PVO67" s="153">
        <v>150</v>
      </c>
      <c r="PVP67" s="155">
        <f>SUM(PVK67:PVO67)</f>
        <v>8675</v>
      </c>
      <c r="PVQ67" s="153">
        <v>200</v>
      </c>
      <c r="PVR67" s="155">
        <f>SUM(PVP67:PVQ67)</f>
        <v>8875</v>
      </c>
      <c r="PVS67" s="148" t="s">
        <v>96</v>
      </c>
      <c r="PVT67" s="149">
        <v>45845</v>
      </c>
      <c r="PVU67" s="144" t="s">
        <v>40</v>
      </c>
      <c r="PVV67" s="200"/>
      <c r="PVW67" s="150" t="s">
        <v>123</v>
      </c>
      <c r="PVX67" s="198"/>
      <c r="PVY67" s="199"/>
      <c r="PVZ67" s="144" t="s">
        <v>22</v>
      </c>
      <c r="PWA67" s="145">
        <v>8150</v>
      </c>
      <c r="PWB67" s="153">
        <v>85</v>
      </c>
      <c r="PWC67" s="154">
        <v>215</v>
      </c>
      <c r="PWD67" s="154">
        <v>75</v>
      </c>
      <c r="PWE67" s="153">
        <v>150</v>
      </c>
      <c r="PWF67" s="155">
        <f>SUM(PWA67:PWE67)</f>
        <v>8675</v>
      </c>
      <c r="PWG67" s="153">
        <v>200</v>
      </c>
      <c r="PWH67" s="155">
        <f>SUM(PWF67:PWG67)</f>
        <v>8875</v>
      </c>
      <c r="PWI67" s="148" t="s">
        <v>96</v>
      </c>
      <c r="PWJ67" s="149">
        <v>45845</v>
      </c>
      <c r="PWK67" s="144" t="s">
        <v>40</v>
      </c>
      <c r="PWL67" s="200"/>
      <c r="PWM67" s="150" t="s">
        <v>123</v>
      </c>
      <c r="PWN67" s="198"/>
      <c r="PWO67" s="199"/>
      <c r="PWP67" s="144" t="s">
        <v>22</v>
      </c>
      <c r="PWQ67" s="145">
        <v>8150</v>
      </c>
      <c r="PWR67" s="153">
        <v>85</v>
      </c>
      <c r="PWS67" s="154">
        <v>215</v>
      </c>
      <c r="PWT67" s="154">
        <v>75</v>
      </c>
      <c r="PWU67" s="153">
        <v>150</v>
      </c>
      <c r="PWV67" s="155">
        <f>SUM(PWQ67:PWU67)</f>
        <v>8675</v>
      </c>
      <c r="PWW67" s="153">
        <v>200</v>
      </c>
      <c r="PWX67" s="155">
        <f>SUM(PWV67:PWW67)</f>
        <v>8875</v>
      </c>
      <c r="PWY67" s="148" t="s">
        <v>96</v>
      </c>
      <c r="PWZ67" s="149">
        <v>45845</v>
      </c>
      <c r="PXA67" s="144" t="s">
        <v>40</v>
      </c>
      <c r="PXB67" s="200"/>
      <c r="PXC67" s="150" t="s">
        <v>123</v>
      </c>
      <c r="PXD67" s="198"/>
      <c r="PXE67" s="199"/>
      <c r="PXF67" s="144" t="s">
        <v>22</v>
      </c>
      <c r="PXG67" s="145">
        <v>8150</v>
      </c>
      <c r="PXH67" s="153">
        <v>85</v>
      </c>
      <c r="PXI67" s="154">
        <v>215</v>
      </c>
      <c r="PXJ67" s="154">
        <v>75</v>
      </c>
      <c r="PXK67" s="153">
        <v>150</v>
      </c>
      <c r="PXL67" s="155">
        <f>SUM(PXG67:PXK67)</f>
        <v>8675</v>
      </c>
      <c r="PXM67" s="153">
        <v>200</v>
      </c>
      <c r="PXN67" s="155">
        <f>SUM(PXL67:PXM67)</f>
        <v>8875</v>
      </c>
      <c r="PXO67" s="148" t="s">
        <v>96</v>
      </c>
      <c r="PXP67" s="149">
        <v>45845</v>
      </c>
      <c r="PXQ67" s="144" t="s">
        <v>40</v>
      </c>
      <c r="PXR67" s="200"/>
      <c r="PXS67" s="150" t="s">
        <v>123</v>
      </c>
      <c r="PXT67" s="198"/>
      <c r="PXU67" s="199"/>
      <c r="PXV67" s="144" t="s">
        <v>22</v>
      </c>
      <c r="PXW67" s="145">
        <v>8150</v>
      </c>
      <c r="PXX67" s="153">
        <v>85</v>
      </c>
      <c r="PXY67" s="154">
        <v>215</v>
      </c>
      <c r="PXZ67" s="154">
        <v>75</v>
      </c>
      <c r="PYA67" s="153">
        <v>150</v>
      </c>
      <c r="PYB67" s="155">
        <f>SUM(PXW67:PYA67)</f>
        <v>8675</v>
      </c>
      <c r="PYC67" s="153">
        <v>200</v>
      </c>
      <c r="PYD67" s="155">
        <f>SUM(PYB67:PYC67)</f>
        <v>8875</v>
      </c>
      <c r="PYE67" s="148" t="s">
        <v>96</v>
      </c>
      <c r="PYF67" s="149">
        <v>45845</v>
      </c>
      <c r="PYG67" s="144" t="s">
        <v>40</v>
      </c>
      <c r="PYH67" s="200"/>
      <c r="PYI67" s="150" t="s">
        <v>123</v>
      </c>
      <c r="PYJ67" s="198"/>
      <c r="PYK67" s="199"/>
      <c r="PYL67" s="144" t="s">
        <v>22</v>
      </c>
      <c r="PYM67" s="145">
        <v>8150</v>
      </c>
      <c r="PYN67" s="153">
        <v>85</v>
      </c>
      <c r="PYO67" s="154">
        <v>215</v>
      </c>
      <c r="PYP67" s="154">
        <v>75</v>
      </c>
      <c r="PYQ67" s="153">
        <v>150</v>
      </c>
      <c r="PYR67" s="155">
        <f>SUM(PYM67:PYQ67)</f>
        <v>8675</v>
      </c>
      <c r="PYS67" s="153">
        <v>200</v>
      </c>
      <c r="PYT67" s="155">
        <f>SUM(PYR67:PYS67)</f>
        <v>8875</v>
      </c>
      <c r="PYU67" s="148" t="s">
        <v>96</v>
      </c>
      <c r="PYV67" s="149">
        <v>45845</v>
      </c>
      <c r="PYW67" s="144" t="s">
        <v>40</v>
      </c>
      <c r="PYX67" s="200"/>
      <c r="PYY67" s="150" t="s">
        <v>123</v>
      </c>
      <c r="PYZ67" s="198"/>
      <c r="PZA67" s="199"/>
      <c r="PZB67" s="144" t="s">
        <v>22</v>
      </c>
      <c r="PZC67" s="145">
        <v>8150</v>
      </c>
      <c r="PZD67" s="153">
        <v>85</v>
      </c>
      <c r="PZE67" s="154">
        <v>215</v>
      </c>
      <c r="PZF67" s="154">
        <v>75</v>
      </c>
      <c r="PZG67" s="153">
        <v>150</v>
      </c>
      <c r="PZH67" s="155">
        <f>SUM(PZC67:PZG67)</f>
        <v>8675</v>
      </c>
      <c r="PZI67" s="153">
        <v>200</v>
      </c>
      <c r="PZJ67" s="155">
        <f>SUM(PZH67:PZI67)</f>
        <v>8875</v>
      </c>
      <c r="PZK67" s="148" t="s">
        <v>96</v>
      </c>
      <c r="PZL67" s="149">
        <v>45845</v>
      </c>
      <c r="PZM67" s="144" t="s">
        <v>40</v>
      </c>
      <c r="PZN67" s="200"/>
      <c r="PZO67" s="150" t="s">
        <v>123</v>
      </c>
      <c r="PZP67" s="198"/>
      <c r="PZQ67" s="199"/>
      <c r="PZR67" s="144" t="s">
        <v>22</v>
      </c>
      <c r="PZS67" s="145">
        <v>8150</v>
      </c>
      <c r="PZT67" s="153">
        <v>85</v>
      </c>
      <c r="PZU67" s="154">
        <v>215</v>
      </c>
      <c r="PZV67" s="154">
        <v>75</v>
      </c>
      <c r="PZW67" s="153">
        <v>150</v>
      </c>
      <c r="PZX67" s="155">
        <f>SUM(PZS67:PZW67)</f>
        <v>8675</v>
      </c>
      <c r="PZY67" s="153">
        <v>200</v>
      </c>
      <c r="PZZ67" s="155">
        <f>SUM(PZX67:PZY67)</f>
        <v>8875</v>
      </c>
      <c r="QAA67" s="148" t="s">
        <v>96</v>
      </c>
      <c r="QAB67" s="149">
        <v>45845</v>
      </c>
      <c r="QAC67" s="144" t="s">
        <v>40</v>
      </c>
      <c r="QAD67" s="200"/>
      <c r="QAE67" s="150" t="s">
        <v>123</v>
      </c>
      <c r="QAF67" s="198"/>
      <c r="QAG67" s="199"/>
      <c r="QAH67" s="144" t="s">
        <v>22</v>
      </c>
      <c r="QAI67" s="145">
        <v>8150</v>
      </c>
      <c r="QAJ67" s="153">
        <v>85</v>
      </c>
      <c r="QAK67" s="154">
        <v>215</v>
      </c>
      <c r="QAL67" s="154">
        <v>75</v>
      </c>
      <c r="QAM67" s="153">
        <v>150</v>
      </c>
      <c r="QAN67" s="155">
        <f>SUM(QAI67:QAM67)</f>
        <v>8675</v>
      </c>
      <c r="QAO67" s="153">
        <v>200</v>
      </c>
      <c r="QAP67" s="155">
        <f>SUM(QAN67:QAO67)</f>
        <v>8875</v>
      </c>
      <c r="QAQ67" s="148" t="s">
        <v>96</v>
      </c>
      <c r="QAR67" s="149">
        <v>45845</v>
      </c>
      <c r="QAS67" s="144" t="s">
        <v>40</v>
      </c>
      <c r="QAT67" s="200"/>
      <c r="QAU67" s="150" t="s">
        <v>123</v>
      </c>
      <c r="QAV67" s="198"/>
      <c r="QAW67" s="199"/>
      <c r="QAX67" s="144" t="s">
        <v>22</v>
      </c>
      <c r="QAY67" s="145">
        <v>8150</v>
      </c>
      <c r="QAZ67" s="153">
        <v>85</v>
      </c>
      <c r="QBA67" s="154">
        <v>215</v>
      </c>
      <c r="QBB67" s="154">
        <v>75</v>
      </c>
      <c r="QBC67" s="153">
        <v>150</v>
      </c>
      <c r="QBD67" s="155">
        <f>SUM(QAY67:QBC67)</f>
        <v>8675</v>
      </c>
      <c r="QBE67" s="153">
        <v>200</v>
      </c>
      <c r="QBF67" s="155">
        <f>SUM(QBD67:QBE67)</f>
        <v>8875</v>
      </c>
      <c r="QBG67" s="148" t="s">
        <v>96</v>
      </c>
      <c r="QBH67" s="149">
        <v>45845</v>
      </c>
      <c r="QBI67" s="144" t="s">
        <v>40</v>
      </c>
      <c r="QBJ67" s="200"/>
      <c r="QBK67" s="150" t="s">
        <v>123</v>
      </c>
      <c r="QBL67" s="198"/>
      <c r="QBM67" s="199"/>
      <c r="QBN67" s="144" t="s">
        <v>22</v>
      </c>
      <c r="QBO67" s="145">
        <v>8150</v>
      </c>
      <c r="QBP67" s="153">
        <v>85</v>
      </c>
      <c r="QBQ67" s="154">
        <v>215</v>
      </c>
      <c r="QBR67" s="154">
        <v>75</v>
      </c>
      <c r="QBS67" s="153">
        <v>150</v>
      </c>
      <c r="QBT67" s="155">
        <f>SUM(QBO67:QBS67)</f>
        <v>8675</v>
      </c>
      <c r="QBU67" s="153">
        <v>200</v>
      </c>
      <c r="QBV67" s="155">
        <f>SUM(QBT67:QBU67)</f>
        <v>8875</v>
      </c>
      <c r="QBW67" s="148" t="s">
        <v>96</v>
      </c>
      <c r="QBX67" s="149">
        <v>45845</v>
      </c>
      <c r="QBY67" s="144" t="s">
        <v>40</v>
      </c>
      <c r="QBZ67" s="200"/>
      <c r="QCA67" s="150" t="s">
        <v>123</v>
      </c>
      <c r="QCB67" s="198"/>
      <c r="QCC67" s="199"/>
      <c r="QCD67" s="144" t="s">
        <v>22</v>
      </c>
      <c r="QCE67" s="145">
        <v>8150</v>
      </c>
      <c r="QCF67" s="153">
        <v>85</v>
      </c>
      <c r="QCG67" s="154">
        <v>215</v>
      </c>
      <c r="QCH67" s="154">
        <v>75</v>
      </c>
      <c r="QCI67" s="153">
        <v>150</v>
      </c>
      <c r="QCJ67" s="155">
        <f>SUM(QCE67:QCI67)</f>
        <v>8675</v>
      </c>
      <c r="QCK67" s="153">
        <v>200</v>
      </c>
      <c r="QCL67" s="155">
        <f>SUM(QCJ67:QCK67)</f>
        <v>8875</v>
      </c>
      <c r="QCM67" s="148" t="s">
        <v>96</v>
      </c>
      <c r="QCN67" s="149">
        <v>45845</v>
      </c>
      <c r="QCO67" s="144" t="s">
        <v>40</v>
      </c>
      <c r="QCP67" s="200"/>
      <c r="QCQ67" s="150" t="s">
        <v>123</v>
      </c>
      <c r="QCR67" s="198"/>
      <c r="QCS67" s="199"/>
      <c r="QCT67" s="144" t="s">
        <v>22</v>
      </c>
      <c r="QCU67" s="145">
        <v>8150</v>
      </c>
      <c r="QCV67" s="153">
        <v>85</v>
      </c>
      <c r="QCW67" s="154">
        <v>215</v>
      </c>
      <c r="QCX67" s="154">
        <v>75</v>
      </c>
      <c r="QCY67" s="153">
        <v>150</v>
      </c>
      <c r="QCZ67" s="155">
        <f>SUM(QCU67:QCY67)</f>
        <v>8675</v>
      </c>
      <c r="QDA67" s="153">
        <v>200</v>
      </c>
      <c r="QDB67" s="155">
        <f>SUM(QCZ67:QDA67)</f>
        <v>8875</v>
      </c>
      <c r="QDC67" s="148" t="s">
        <v>96</v>
      </c>
      <c r="QDD67" s="149">
        <v>45845</v>
      </c>
      <c r="QDE67" s="144" t="s">
        <v>40</v>
      </c>
      <c r="QDF67" s="200"/>
      <c r="QDG67" s="150" t="s">
        <v>123</v>
      </c>
      <c r="QDH67" s="198"/>
      <c r="QDI67" s="199"/>
      <c r="QDJ67" s="144" t="s">
        <v>22</v>
      </c>
      <c r="QDK67" s="145">
        <v>8150</v>
      </c>
      <c r="QDL67" s="153">
        <v>85</v>
      </c>
      <c r="QDM67" s="154">
        <v>215</v>
      </c>
      <c r="QDN67" s="154">
        <v>75</v>
      </c>
      <c r="QDO67" s="153">
        <v>150</v>
      </c>
      <c r="QDP67" s="155">
        <f>SUM(QDK67:QDO67)</f>
        <v>8675</v>
      </c>
      <c r="QDQ67" s="153">
        <v>200</v>
      </c>
      <c r="QDR67" s="155">
        <f>SUM(QDP67:QDQ67)</f>
        <v>8875</v>
      </c>
      <c r="QDS67" s="148" t="s">
        <v>96</v>
      </c>
      <c r="QDT67" s="149">
        <v>45845</v>
      </c>
      <c r="QDU67" s="144" t="s">
        <v>40</v>
      </c>
      <c r="QDV67" s="200"/>
      <c r="QDW67" s="150" t="s">
        <v>123</v>
      </c>
      <c r="QDX67" s="198"/>
      <c r="QDY67" s="199"/>
      <c r="QDZ67" s="144" t="s">
        <v>22</v>
      </c>
      <c r="QEA67" s="145">
        <v>8150</v>
      </c>
      <c r="QEB67" s="153">
        <v>85</v>
      </c>
      <c r="QEC67" s="154">
        <v>215</v>
      </c>
      <c r="QED67" s="154">
        <v>75</v>
      </c>
      <c r="QEE67" s="153">
        <v>150</v>
      </c>
      <c r="QEF67" s="155">
        <f>SUM(QEA67:QEE67)</f>
        <v>8675</v>
      </c>
      <c r="QEG67" s="153">
        <v>200</v>
      </c>
      <c r="QEH67" s="155">
        <f>SUM(QEF67:QEG67)</f>
        <v>8875</v>
      </c>
      <c r="QEI67" s="148" t="s">
        <v>96</v>
      </c>
      <c r="QEJ67" s="149">
        <v>45845</v>
      </c>
      <c r="QEK67" s="144" t="s">
        <v>40</v>
      </c>
      <c r="QEL67" s="200"/>
      <c r="QEM67" s="150" t="s">
        <v>123</v>
      </c>
      <c r="QEN67" s="198"/>
      <c r="QEO67" s="199"/>
      <c r="QEP67" s="144" t="s">
        <v>22</v>
      </c>
      <c r="QEQ67" s="145">
        <v>8150</v>
      </c>
      <c r="QER67" s="153">
        <v>85</v>
      </c>
      <c r="QES67" s="154">
        <v>215</v>
      </c>
      <c r="QET67" s="154">
        <v>75</v>
      </c>
      <c r="QEU67" s="153">
        <v>150</v>
      </c>
      <c r="QEV67" s="155">
        <f>SUM(QEQ67:QEU67)</f>
        <v>8675</v>
      </c>
      <c r="QEW67" s="153">
        <v>200</v>
      </c>
      <c r="QEX67" s="155">
        <f>SUM(QEV67:QEW67)</f>
        <v>8875</v>
      </c>
      <c r="QEY67" s="148" t="s">
        <v>96</v>
      </c>
      <c r="QEZ67" s="149">
        <v>45845</v>
      </c>
      <c r="QFA67" s="144" t="s">
        <v>40</v>
      </c>
      <c r="QFB67" s="200"/>
      <c r="QFC67" s="150" t="s">
        <v>123</v>
      </c>
      <c r="QFD67" s="198"/>
      <c r="QFE67" s="199"/>
      <c r="QFF67" s="144" t="s">
        <v>22</v>
      </c>
      <c r="QFG67" s="145">
        <v>8150</v>
      </c>
      <c r="QFH67" s="153">
        <v>85</v>
      </c>
      <c r="QFI67" s="154">
        <v>215</v>
      </c>
      <c r="QFJ67" s="154">
        <v>75</v>
      </c>
      <c r="QFK67" s="153">
        <v>150</v>
      </c>
      <c r="QFL67" s="155">
        <f>SUM(QFG67:QFK67)</f>
        <v>8675</v>
      </c>
      <c r="QFM67" s="153">
        <v>200</v>
      </c>
      <c r="QFN67" s="155">
        <f>SUM(QFL67:QFM67)</f>
        <v>8875</v>
      </c>
      <c r="QFO67" s="148" t="s">
        <v>96</v>
      </c>
      <c r="QFP67" s="149">
        <v>45845</v>
      </c>
      <c r="QFQ67" s="144" t="s">
        <v>40</v>
      </c>
      <c r="QFR67" s="200"/>
      <c r="QFS67" s="150" t="s">
        <v>123</v>
      </c>
      <c r="QFT67" s="198"/>
      <c r="QFU67" s="199"/>
      <c r="QFV67" s="144" t="s">
        <v>22</v>
      </c>
      <c r="QFW67" s="145">
        <v>8150</v>
      </c>
      <c r="QFX67" s="153">
        <v>85</v>
      </c>
      <c r="QFY67" s="154">
        <v>215</v>
      </c>
      <c r="QFZ67" s="154">
        <v>75</v>
      </c>
      <c r="QGA67" s="153">
        <v>150</v>
      </c>
      <c r="QGB67" s="155">
        <f>SUM(QFW67:QGA67)</f>
        <v>8675</v>
      </c>
      <c r="QGC67" s="153">
        <v>200</v>
      </c>
      <c r="QGD67" s="155">
        <f>SUM(QGB67:QGC67)</f>
        <v>8875</v>
      </c>
      <c r="QGE67" s="148" t="s">
        <v>96</v>
      </c>
      <c r="QGF67" s="149">
        <v>45845</v>
      </c>
      <c r="QGG67" s="144" t="s">
        <v>40</v>
      </c>
      <c r="QGH67" s="200"/>
      <c r="QGI67" s="150" t="s">
        <v>123</v>
      </c>
      <c r="QGJ67" s="198"/>
      <c r="QGK67" s="199"/>
      <c r="QGL67" s="144" t="s">
        <v>22</v>
      </c>
      <c r="QGM67" s="145">
        <v>8150</v>
      </c>
      <c r="QGN67" s="153">
        <v>85</v>
      </c>
      <c r="QGO67" s="154">
        <v>215</v>
      </c>
      <c r="QGP67" s="154">
        <v>75</v>
      </c>
      <c r="QGQ67" s="153">
        <v>150</v>
      </c>
      <c r="QGR67" s="155">
        <f>SUM(QGM67:QGQ67)</f>
        <v>8675</v>
      </c>
      <c r="QGS67" s="153">
        <v>200</v>
      </c>
      <c r="QGT67" s="155">
        <f>SUM(QGR67:QGS67)</f>
        <v>8875</v>
      </c>
      <c r="QGU67" s="148" t="s">
        <v>96</v>
      </c>
      <c r="QGV67" s="149">
        <v>45845</v>
      </c>
      <c r="QGW67" s="144" t="s">
        <v>40</v>
      </c>
      <c r="QGX67" s="200"/>
      <c r="QGY67" s="150" t="s">
        <v>123</v>
      </c>
      <c r="QGZ67" s="198"/>
      <c r="QHA67" s="199"/>
      <c r="QHB67" s="144" t="s">
        <v>22</v>
      </c>
      <c r="QHC67" s="145">
        <v>8150</v>
      </c>
      <c r="QHD67" s="153">
        <v>85</v>
      </c>
      <c r="QHE67" s="154">
        <v>215</v>
      </c>
      <c r="QHF67" s="154">
        <v>75</v>
      </c>
      <c r="QHG67" s="153">
        <v>150</v>
      </c>
      <c r="QHH67" s="155">
        <f>SUM(QHC67:QHG67)</f>
        <v>8675</v>
      </c>
      <c r="QHI67" s="153">
        <v>200</v>
      </c>
      <c r="QHJ67" s="155">
        <f>SUM(QHH67:QHI67)</f>
        <v>8875</v>
      </c>
      <c r="QHK67" s="148" t="s">
        <v>96</v>
      </c>
      <c r="QHL67" s="149">
        <v>45845</v>
      </c>
      <c r="QHM67" s="144" t="s">
        <v>40</v>
      </c>
      <c r="QHN67" s="200"/>
      <c r="QHO67" s="150" t="s">
        <v>123</v>
      </c>
      <c r="QHP67" s="198"/>
      <c r="QHQ67" s="199"/>
      <c r="QHR67" s="144" t="s">
        <v>22</v>
      </c>
      <c r="QHS67" s="145">
        <v>8150</v>
      </c>
      <c r="QHT67" s="153">
        <v>85</v>
      </c>
      <c r="QHU67" s="154">
        <v>215</v>
      </c>
      <c r="QHV67" s="154">
        <v>75</v>
      </c>
      <c r="QHW67" s="153">
        <v>150</v>
      </c>
      <c r="QHX67" s="155">
        <f>SUM(QHS67:QHW67)</f>
        <v>8675</v>
      </c>
      <c r="QHY67" s="153">
        <v>200</v>
      </c>
      <c r="QHZ67" s="155">
        <f>SUM(QHX67:QHY67)</f>
        <v>8875</v>
      </c>
      <c r="QIA67" s="148" t="s">
        <v>96</v>
      </c>
      <c r="QIB67" s="149">
        <v>45845</v>
      </c>
      <c r="QIC67" s="144" t="s">
        <v>40</v>
      </c>
      <c r="QID67" s="200"/>
      <c r="QIE67" s="150" t="s">
        <v>123</v>
      </c>
      <c r="QIF67" s="198"/>
      <c r="QIG67" s="199"/>
      <c r="QIH67" s="144" t="s">
        <v>22</v>
      </c>
      <c r="QII67" s="145">
        <v>8150</v>
      </c>
      <c r="QIJ67" s="153">
        <v>85</v>
      </c>
      <c r="QIK67" s="154">
        <v>215</v>
      </c>
      <c r="QIL67" s="154">
        <v>75</v>
      </c>
      <c r="QIM67" s="153">
        <v>150</v>
      </c>
      <c r="QIN67" s="155">
        <f>SUM(QII67:QIM67)</f>
        <v>8675</v>
      </c>
      <c r="QIO67" s="153">
        <v>200</v>
      </c>
      <c r="QIP67" s="155">
        <f>SUM(QIN67:QIO67)</f>
        <v>8875</v>
      </c>
      <c r="QIQ67" s="148" t="s">
        <v>96</v>
      </c>
      <c r="QIR67" s="149">
        <v>45845</v>
      </c>
      <c r="QIS67" s="144" t="s">
        <v>40</v>
      </c>
      <c r="QIT67" s="200"/>
      <c r="QIU67" s="150" t="s">
        <v>123</v>
      </c>
      <c r="QIV67" s="198"/>
      <c r="QIW67" s="199"/>
      <c r="QIX67" s="144" t="s">
        <v>22</v>
      </c>
      <c r="QIY67" s="145">
        <v>8150</v>
      </c>
      <c r="QIZ67" s="153">
        <v>85</v>
      </c>
      <c r="QJA67" s="154">
        <v>215</v>
      </c>
      <c r="QJB67" s="154">
        <v>75</v>
      </c>
      <c r="QJC67" s="153">
        <v>150</v>
      </c>
      <c r="QJD67" s="155">
        <f>SUM(QIY67:QJC67)</f>
        <v>8675</v>
      </c>
      <c r="QJE67" s="153">
        <v>200</v>
      </c>
      <c r="QJF67" s="155">
        <f>SUM(QJD67:QJE67)</f>
        <v>8875</v>
      </c>
      <c r="QJG67" s="148" t="s">
        <v>96</v>
      </c>
      <c r="QJH67" s="149">
        <v>45845</v>
      </c>
      <c r="QJI67" s="144" t="s">
        <v>40</v>
      </c>
      <c r="QJJ67" s="200"/>
      <c r="QJK67" s="150" t="s">
        <v>123</v>
      </c>
      <c r="QJL67" s="198"/>
      <c r="QJM67" s="199"/>
      <c r="QJN67" s="144" t="s">
        <v>22</v>
      </c>
      <c r="QJO67" s="145">
        <v>8150</v>
      </c>
      <c r="QJP67" s="153">
        <v>85</v>
      </c>
      <c r="QJQ67" s="154">
        <v>215</v>
      </c>
      <c r="QJR67" s="154">
        <v>75</v>
      </c>
      <c r="QJS67" s="153">
        <v>150</v>
      </c>
      <c r="QJT67" s="155">
        <f>SUM(QJO67:QJS67)</f>
        <v>8675</v>
      </c>
      <c r="QJU67" s="153">
        <v>200</v>
      </c>
      <c r="QJV67" s="155">
        <f>SUM(QJT67:QJU67)</f>
        <v>8875</v>
      </c>
      <c r="QJW67" s="148" t="s">
        <v>96</v>
      </c>
      <c r="QJX67" s="149">
        <v>45845</v>
      </c>
      <c r="QJY67" s="144" t="s">
        <v>40</v>
      </c>
      <c r="QJZ67" s="200"/>
      <c r="QKA67" s="150" t="s">
        <v>123</v>
      </c>
      <c r="QKB67" s="198"/>
      <c r="QKC67" s="199"/>
      <c r="QKD67" s="144" t="s">
        <v>22</v>
      </c>
      <c r="QKE67" s="145">
        <v>8150</v>
      </c>
      <c r="QKF67" s="153">
        <v>85</v>
      </c>
      <c r="QKG67" s="154">
        <v>215</v>
      </c>
      <c r="QKH67" s="154">
        <v>75</v>
      </c>
      <c r="QKI67" s="153">
        <v>150</v>
      </c>
      <c r="QKJ67" s="155">
        <f>SUM(QKE67:QKI67)</f>
        <v>8675</v>
      </c>
      <c r="QKK67" s="153">
        <v>200</v>
      </c>
      <c r="QKL67" s="155">
        <f>SUM(QKJ67:QKK67)</f>
        <v>8875</v>
      </c>
      <c r="QKM67" s="148" t="s">
        <v>96</v>
      </c>
      <c r="QKN67" s="149">
        <v>45845</v>
      </c>
      <c r="QKO67" s="144" t="s">
        <v>40</v>
      </c>
      <c r="QKP67" s="200"/>
      <c r="QKQ67" s="150" t="s">
        <v>123</v>
      </c>
      <c r="QKR67" s="198"/>
      <c r="QKS67" s="199"/>
      <c r="QKT67" s="144" t="s">
        <v>22</v>
      </c>
      <c r="QKU67" s="145">
        <v>8150</v>
      </c>
      <c r="QKV67" s="153">
        <v>85</v>
      </c>
      <c r="QKW67" s="154">
        <v>215</v>
      </c>
      <c r="QKX67" s="154">
        <v>75</v>
      </c>
      <c r="QKY67" s="153">
        <v>150</v>
      </c>
      <c r="QKZ67" s="155">
        <f>SUM(QKU67:QKY67)</f>
        <v>8675</v>
      </c>
      <c r="QLA67" s="153">
        <v>200</v>
      </c>
      <c r="QLB67" s="155">
        <f>SUM(QKZ67:QLA67)</f>
        <v>8875</v>
      </c>
      <c r="QLC67" s="148" t="s">
        <v>96</v>
      </c>
      <c r="QLD67" s="149">
        <v>45845</v>
      </c>
      <c r="QLE67" s="144" t="s">
        <v>40</v>
      </c>
      <c r="QLF67" s="200"/>
      <c r="QLG67" s="150" t="s">
        <v>123</v>
      </c>
      <c r="QLH67" s="198"/>
      <c r="QLI67" s="199"/>
      <c r="QLJ67" s="144" t="s">
        <v>22</v>
      </c>
      <c r="QLK67" s="145">
        <v>8150</v>
      </c>
      <c r="QLL67" s="153">
        <v>85</v>
      </c>
      <c r="QLM67" s="154">
        <v>215</v>
      </c>
      <c r="QLN67" s="154">
        <v>75</v>
      </c>
      <c r="QLO67" s="153">
        <v>150</v>
      </c>
      <c r="QLP67" s="155">
        <f>SUM(QLK67:QLO67)</f>
        <v>8675</v>
      </c>
      <c r="QLQ67" s="153">
        <v>200</v>
      </c>
      <c r="QLR67" s="155">
        <f>SUM(QLP67:QLQ67)</f>
        <v>8875</v>
      </c>
      <c r="QLS67" s="148" t="s">
        <v>96</v>
      </c>
      <c r="QLT67" s="149">
        <v>45845</v>
      </c>
      <c r="QLU67" s="144" t="s">
        <v>40</v>
      </c>
      <c r="QLV67" s="200"/>
      <c r="QLW67" s="150" t="s">
        <v>123</v>
      </c>
      <c r="QLX67" s="198"/>
      <c r="QLY67" s="199"/>
      <c r="QLZ67" s="144" t="s">
        <v>22</v>
      </c>
      <c r="QMA67" s="145">
        <v>8150</v>
      </c>
      <c r="QMB67" s="153">
        <v>85</v>
      </c>
      <c r="QMC67" s="154">
        <v>215</v>
      </c>
      <c r="QMD67" s="154">
        <v>75</v>
      </c>
      <c r="QME67" s="153">
        <v>150</v>
      </c>
      <c r="QMF67" s="155">
        <f>SUM(QMA67:QME67)</f>
        <v>8675</v>
      </c>
      <c r="QMG67" s="153">
        <v>200</v>
      </c>
      <c r="QMH67" s="155">
        <f>SUM(QMF67:QMG67)</f>
        <v>8875</v>
      </c>
      <c r="QMI67" s="148" t="s">
        <v>96</v>
      </c>
      <c r="QMJ67" s="149">
        <v>45845</v>
      </c>
      <c r="QMK67" s="144" t="s">
        <v>40</v>
      </c>
      <c r="QML67" s="200"/>
      <c r="QMM67" s="150" t="s">
        <v>123</v>
      </c>
      <c r="QMN67" s="198"/>
      <c r="QMO67" s="199"/>
      <c r="QMP67" s="144" t="s">
        <v>22</v>
      </c>
      <c r="QMQ67" s="145">
        <v>8150</v>
      </c>
      <c r="QMR67" s="153">
        <v>85</v>
      </c>
      <c r="QMS67" s="154">
        <v>215</v>
      </c>
      <c r="QMT67" s="154">
        <v>75</v>
      </c>
      <c r="QMU67" s="153">
        <v>150</v>
      </c>
      <c r="QMV67" s="155">
        <f>SUM(QMQ67:QMU67)</f>
        <v>8675</v>
      </c>
      <c r="QMW67" s="153">
        <v>200</v>
      </c>
      <c r="QMX67" s="155">
        <f>SUM(QMV67:QMW67)</f>
        <v>8875</v>
      </c>
      <c r="QMY67" s="148" t="s">
        <v>96</v>
      </c>
      <c r="QMZ67" s="149">
        <v>45845</v>
      </c>
      <c r="QNA67" s="144" t="s">
        <v>40</v>
      </c>
      <c r="QNB67" s="200"/>
      <c r="QNC67" s="150" t="s">
        <v>123</v>
      </c>
      <c r="QND67" s="198"/>
      <c r="QNE67" s="199"/>
      <c r="QNF67" s="144" t="s">
        <v>22</v>
      </c>
      <c r="QNG67" s="145">
        <v>8150</v>
      </c>
      <c r="QNH67" s="153">
        <v>85</v>
      </c>
      <c r="QNI67" s="154">
        <v>215</v>
      </c>
      <c r="QNJ67" s="154">
        <v>75</v>
      </c>
      <c r="QNK67" s="153">
        <v>150</v>
      </c>
      <c r="QNL67" s="155">
        <f>SUM(QNG67:QNK67)</f>
        <v>8675</v>
      </c>
      <c r="QNM67" s="153">
        <v>200</v>
      </c>
      <c r="QNN67" s="155">
        <f>SUM(QNL67:QNM67)</f>
        <v>8875</v>
      </c>
      <c r="QNO67" s="148" t="s">
        <v>96</v>
      </c>
      <c r="QNP67" s="149">
        <v>45845</v>
      </c>
      <c r="QNQ67" s="144" t="s">
        <v>40</v>
      </c>
      <c r="QNR67" s="200"/>
      <c r="QNS67" s="150" t="s">
        <v>123</v>
      </c>
      <c r="QNT67" s="198"/>
      <c r="QNU67" s="199"/>
      <c r="QNV67" s="144" t="s">
        <v>22</v>
      </c>
      <c r="QNW67" s="145">
        <v>8150</v>
      </c>
      <c r="QNX67" s="153">
        <v>85</v>
      </c>
      <c r="QNY67" s="154">
        <v>215</v>
      </c>
      <c r="QNZ67" s="154">
        <v>75</v>
      </c>
      <c r="QOA67" s="153">
        <v>150</v>
      </c>
      <c r="QOB67" s="155">
        <f>SUM(QNW67:QOA67)</f>
        <v>8675</v>
      </c>
      <c r="QOC67" s="153">
        <v>200</v>
      </c>
      <c r="QOD67" s="155">
        <f>SUM(QOB67:QOC67)</f>
        <v>8875</v>
      </c>
      <c r="QOE67" s="148" t="s">
        <v>96</v>
      </c>
      <c r="QOF67" s="149">
        <v>45845</v>
      </c>
      <c r="QOG67" s="144" t="s">
        <v>40</v>
      </c>
      <c r="QOH67" s="200"/>
      <c r="QOI67" s="150" t="s">
        <v>123</v>
      </c>
      <c r="QOJ67" s="198"/>
      <c r="QOK67" s="199"/>
      <c r="QOL67" s="144" t="s">
        <v>22</v>
      </c>
      <c r="QOM67" s="145">
        <v>8150</v>
      </c>
      <c r="QON67" s="153">
        <v>85</v>
      </c>
      <c r="QOO67" s="154">
        <v>215</v>
      </c>
      <c r="QOP67" s="154">
        <v>75</v>
      </c>
      <c r="QOQ67" s="153">
        <v>150</v>
      </c>
      <c r="QOR67" s="155">
        <f>SUM(QOM67:QOQ67)</f>
        <v>8675</v>
      </c>
      <c r="QOS67" s="153">
        <v>200</v>
      </c>
      <c r="QOT67" s="155">
        <f>SUM(QOR67:QOS67)</f>
        <v>8875</v>
      </c>
      <c r="QOU67" s="148" t="s">
        <v>96</v>
      </c>
      <c r="QOV67" s="149">
        <v>45845</v>
      </c>
      <c r="QOW67" s="144" t="s">
        <v>40</v>
      </c>
      <c r="QOX67" s="200"/>
      <c r="QOY67" s="150" t="s">
        <v>123</v>
      </c>
      <c r="QOZ67" s="198"/>
      <c r="QPA67" s="199"/>
      <c r="QPB67" s="144" t="s">
        <v>22</v>
      </c>
      <c r="QPC67" s="145">
        <v>8150</v>
      </c>
      <c r="QPD67" s="153">
        <v>85</v>
      </c>
      <c r="QPE67" s="154">
        <v>215</v>
      </c>
      <c r="QPF67" s="154">
        <v>75</v>
      </c>
      <c r="QPG67" s="153">
        <v>150</v>
      </c>
      <c r="QPH67" s="155">
        <f>SUM(QPC67:QPG67)</f>
        <v>8675</v>
      </c>
      <c r="QPI67" s="153">
        <v>200</v>
      </c>
      <c r="QPJ67" s="155">
        <f>SUM(QPH67:QPI67)</f>
        <v>8875</v>
      </c>
      <c r="QPK67" s="148" t="s">
        <v>96</v>
      </c>
      <c r="QPL67" s="149">
        <v>45845</v>
      </c>
      <c r="QPM67" s="144" t="s">
        <v>40</v>
      </c>
      <c r="QPN67" s="200"/>
      <c r="QPO67" s="150" t="s">
        <v>123</v>
      </c>
      <c r="QPP67" s="198"/>
      <c r="QPQ67" s="199"/>
      <c r="QPR67" s="144" t="s">
        <v>22</v>
      </c>
      <c r="QPS67" s="145">
        <v>8150</v>
      </c>
      <c r="QPT67" s="153">
        <v>85</v>
      </c>
      <c r="QPU67" s="154">
        <v>215</v>
      </c>
      <c r="QPV67" s="154">
        <v>75</v>
      </c>
      <c r="QPW67" s="153">
        <v>150</v>
      </c>
      <c r="QPX67" s="155">
        <f>SUM(QPS67:QPW67)</f>
        <v>8675</v>
      </c>
      <c r="QPY67" s="153">
        <v>200</v>
      </c>
      <c r="QPZ67" s="155">
        <f>SUM(QPX67:QPY67)</f>
        <v>8875</v>
      </c>
      <c r="QQA67" s="148" t="s">
        <v>96</v>
      </c>
      <c r="QQB67" s="149">
        <v>45845</v>
      </c>
      <c r="QQC67" s="144" t="s">
        <v>40</v>
      </c>
      <c r="QQD67" s="200"/>
      <c r="QQE67" s="150" t="s">
        <v>123</v>
      </c>
      <c r="QQF67" s="198"/>
      <c r="QQG67" s="199"/>
      <c r="QQH67" s="144" t="s">
        <v>22</v>
      </c>
      <c r="QQI67" s="145">
        <v>8150</v>
      </c>
      <c r="QQJ67" s="153">
        <v>85</v>
      </c>
      <c r="QQK67" s="154">
        <v>215</v>
      </c>
      <c r="QQL67" s="154">
        <v>75</v>
      </c>
      <c r="QQM67" s="153">
        <v>150</v>
      </c>
      <c r="QQN67" s="155">
        <f>SUM(QQI67:QQM67)</f>
        <v>8675</v>
      </c>
      <c r="QQO67" s="153">
        <v>200</v>
      </c>
      <c r="QQP67" s="155">
        <f>SUM(QQN67:QQO67)</f>
        <v>8875</v>
      </c>
      <c r="QQQ67" s="148" t="s">
        <v>96</v>
      </c>
      <c r="QQR67" s="149">
        <v>45845</v>
      </c>
      <c r="QQS67" s="144" t="s">
        <v>40</v>
      </c>
      <c r="QQT67" s="200"/>
      <c r="QQU67" s="150" t="s">
        <v>123</v>
      </c>
      <c r="QQV67" s="198"/>
      <c r="QQW67" s="199"/>
      <c r="QQX67" s="144" t="s">
        <v>22</v>
      </c>
      <c r="QQY67" s="145">
        <v>8150</v>
      </c>
      <c r="QQZ67" s="153">
        <v>85</v>
      </c>
      <c r="QRA67" s="154">
        <v>215</v>
      </c>
      <c r="QRB67" s="154">
        <v>75</v>
      </c>
      <c r="QRC67" s="153">
        <v>150</v>
      </c>
      <c r="QRD67" s="155">
        <f>SUM(QQY67:QRC67)</f>
        <v>8675</v>
      </c>
      <c r="QRE67" s="153">
        <v>200</v>
      </c>
      <c r="QRF67" s="155">
        <f>SUM(QRD67:QRE67)</f>
        <v>8875</v>
      </c>
      <c r="QRG67" s="148" t="s">
        <v>96</v>
      </c>
      <c r="QRH67" s="149">
        <v>45845</v>
      </c>
      <c r="QRI67" s="144" t="s">
        <v>40</v>
      </c>
      <c r="QRJ67" s="200"/>
      <c r="QRK67" s="150" t="s">
        <v>123</v>
      </c>
      <c r="QRL67" s="198"/>
      <c r="QRM67" s="199"/>
      <c r="QRN67" s="144" t="s">
        <v>22</v>
      </c>
      <c r="QRO67" s="145">
        <v>8150</v>
      </c>
      <c r="QRP67" s="153">
        <v>85</v>
      </c>
      <c r="QRQ67" s="154">
        <v>215</v>
      </c>
      <c r="QRR67" s="154">
        <v>75</v>
      </c>
      <c r="QRS67" s="153">
        <v>150</v>
      </c>
      <c r="QRT67" s="155">
        <f>SUM(QRO67:QRS67)</f>
        <v>8675</v>
      </c>
      <c r="QRU67" s="153">
        <v>200</v>
      </c>
      <c r="QRV67" s="155">
        <f>SUM(QRT67:QRU67)</f>
        <v>8875</v>
      </c>
      <c r="QRW67" s="148" t="s">
        <v>96</v>
      </c>
      <c r="QRX67" s="149">
        <v>45845</v>
      </c>
      <c r="QRY67" s="144" t="s">
        <v>40</v>
      </c>
      <c r="QRZ67" s="200"/>
      <c r="QSA67" s="150" t="s">
        <v>123</v>
      </c>
      <c r="QSB67" s="198"/>
      <c r="QSC67" s="199"/>
      <c r="QSD67" s="144" t="s">
        <v>22</v>
      </c>
      <c r="QSE67" s="145">
        <v>8150</v>
      </c>
      <c r="QSF67" s="153">
        <v>85</v>
      </c>
      <c r="QSG67" s="154">
        <v>215</v>
      </c>
      <c r="QSH67" s="154">
        <v>75</v>
      </c>
      <c r="QSI67" s="153">
        <v>150</v>
      </c>
      <c r="QSJ67" s="155">
        <f>SUM(QSE67:QSI67)</f>
        <v>8675</v>
      </c>
      <c r="QSK67" s="153">
        <v>200</v>
      </c>
      <c r="QSL67" s="155">
        <f>SUM(QSJ67:QSK67)</f>
        <v>8875</v>
      </c>
      <c r="QSM67" s="148" t="s">
        <v>96</v>
      </c>
      <c r="QSN67" s="149">
        <v>45845</v>
      </c>
      <c r="QSO67" s="144" t="s">
        <v>40</v>
      </c>
      <c r="QSP67" s="200"/>
      <c r="QSQ67" s="150" t="s">
        <v>123</v>
      </c>
      <c r="QSR67" s="198"/>
      <c r="QSS67" s="199"/>
      <c r="QST67" s="144" t="s">
        <v>22</v>
      </c>
      <c r="QSU67" s="145">
        <v>8150</v>
      </c>
      <c r="QSV67" s="153">
        <v>85</v>
      </c>
      <c r="QSW67" s="154">
        <v>215</v>
      </c>
      <c r="QSX67" s="154">
        <v>75</v>
      </c>
      <c r="QSY67" s="153">
        <v>150</v>
      </c>
      <c r="QSZ67" s="155">
        <f>SUM(QSU67:QSY67)</f>
        <v>8675</v>
      </c>
      <c r="QTA67" s="153">
        <v>200</v>
      </c>
      <c r="QTB67" s="155">
        <f>SUM(QSZ67:QTA67)</f>
        <v>8875</v>
      </c>
      <c r="QTC67" s="148" t="s">
        <v>96</v>
      </c>
      <c r="QTD67" s="149">
        <v>45845</v>
      </c>
      <c r="QTE67" s="144" t="s">
        <v>40</v>
      </c>
      <c r="QTF67" s="200"/>
      <c r="QTG67" s="150" t="s">
        <v>123</v>
      </c>
      <c r="QTH67" s="198"/>
      <c r="QTI67" s="199"/>
      <c r="QTJ67" s="144" t="s">
        <v>22</v>
      </c>
      <c r="QTK67" s="145">
        <v>8150</v>
      </c>
      <c r="QTL67" s="153">
        <v>85</v>
      </c>
      <c r="QTM67" s="154">
        <v>215</v>
      </c>
      <c r="QTN67" s="154">
        <v>75</v>
      </c>
      <c r="QTO67" s="153">
        <v>150</v>
      </c>
      <c r="QTP67" s="155">
        <f>SUM(QTK67:QTO67)</f>
        <v>8675</v>
      </c>
      <c r="QTQ67" s="153">
        <v>200</v>
      </c>
      <c r="QTR67" s="155">
        <f>SUM(QTP67:QTQ67)</f>
        <v>8875</v>
      </c>
      <c r="QTS67" s="148" t="s">
        <v>96</v>
      </c>
      <c r="QTT67" s="149">
        <v>45845</v>
      </c>
      <c r="QTU67" s="144" t="s">
        <v>40</v>
      </c>
      <c r="QTV67" s="200"/>
      <c r="QTW67" s="150" t="s">
        <v>123</v>
      </c>
      <c r="QTX67" s="198"/>
      <c r="QTY67" s="199"/>
      <c r="QTZ67" s="144" t="s">
        <v>22</v>
      </c>
      <c r="QUA67" s="145">
        <v>8150</v>
      </c>
      <c r="QUB67" s="153">
        <v>85</v>
      </c>
      <c r="QUC67" s="154">
        <v>215</v>
      </c>
      <c r="QUD67" s="154">
        <v>75</v>
      </c>
      <c r="QUE67" s="153">
        <v>150</v>
      </c>
      <c r="QUF67" s="155">
        <f>SUM(QUA67:QUE67)</f>
        <v>8675</v>
      </c>
      <c r="QUG67" s="153">
        <v>200</v>
      </c>
      <c r="QUH67" s="155">
        <f>SUM(QUF67:QUG67)</f>
        <v>8875</v>
      </c>
      <c r="QUI67" s="148" t="s">
        <v>96</v>
      </c>
      <c r="QUJ67" s="149">
        <v>45845</v>
      </c>
      <c r="QUK67" s="144" t="s">
        <v>40</v>
      </c>
      <c r="QUL67" s="200"/>
      <c r="QUM67" s="150" t="s">
        <v>123</v>
      </c>
      <c r="QUN67" s="198"/>
      <c r="QUO67" s="199"/>
      <c r="QUP67" s="144" t="s">
        <v>22</v>
      </c>
      <c r="QUQ67" s="145">
        <v>8150</v>
      </c>
      <c r="QUR67" s="153">
        <v>85</v>
      </c>
      <c r="QUS67" s="154">
        <v>215</v>
      </c>
      <c r="QUT67" s="154">
        <v>75</v>
      </c>
      <c r="QUU67" s="153">
        <v>150</v>
      </c>
      <c r="QUV67" s="155">
        <f>SUM(QUQ67:QUU67)</f>
        <v>8675</v>
      </c>
      <c r="QUW67" s="153">
        <v>200</v>
      </c>
      <c r="QUX67" s="155">
        <f>SUM(QUV67:QUW67)</f>
        <v>8875</v>
      </c>
      <c r="QUY67" s="148" t="s">
        <v>96</v>
      </c>
      <c r="QUZ67" s="149">
        <v>45845</v>
      </c>
      <c r="QVA67" s="144" t="s">
        <v>40</v>
      </c>
      <c r="QVB67" s="200"/>
      <c r="QVC67" s="150" t="s">
        <v>123</v>
      </c>
      <c r="QVD67" s="198"/>
      <c r="QVE67" s="199"/>
      <c r="QVF67" s="144" t="s">
        <v>22</v>
      </c>
      <c r="QVG67" s="145">
        <v>8150</v>
      </c>
      <c r="QVH67" s="153">
        <v>85</v>
      </c>
      <c r="QVI67" s="154">
        <v>215</v>
      </c>
      <c r="QVJ67" s="154">
        <v>75</v>
      </c>
      <c r="QVK67" s="153">
        <v>150</v>
      </c>
      <c r="QVL67" s="155">
        <f>SUM(QVG67:QVK67)</f>
        <v>8675</v>
      </c>
      <c r="QVM67" s="153">
        <v>200</v>
      </c>
      <c r="QVN67" s="155">
        <f>SUM(QVL67:QVM67)</f>
        <v>8875</v>
      </c>
      <c r="QVO67" s="148" t="s">
        <v>96</v>
      </c>
      <c r="QVP67" s="149">
        <v>45845</v>
      </c>
      <c r="QVQ67" s="144" t="s">
        <v>40</v>
      </c>
      <c r="QVR67" s="200"/>
      <c r="QVS67" s="150" t="s">
        <v>123</v>
      </c>
      <c r="QVT67" s="198"/>
      <c r="QVU67" s="199"/>
      <c r="QVV67" s="144" t="s">
        <v>22</v>
      </c>
      <c r="QVW67" s="145">
        <v>8150</v>
      </c>
      <c r="QVX67" s="153">
        <v>85</v>
      </c>
      <c r="QVY67" s="154">
        <v>215</v>
      </c>
      <c r="QVZ67" s="154">
        <v>75</v>
      </c>
      <c r="QWA67" s="153">
        <v>150</v>
      </c>
      <c r="QWB67" s="155">
        <f>SUM(QVW67:QWA67)</f>
        <v>8675</v>
      </c>
      <c r="QWC67" s="153">
        <v>200</v>
      </c>
      <c r="QWD67" s="155">
        <f>SUM(QWB67:QWC67)</f>
        <v>8875</v>
      </c>
      <c r="QWE67" s="148" t="s">
        <v>96</v>
      </c>
      <c r="QWF67" s="149">
        <v>45845</v>
      </c>
      <c r="QWG67" s="144" t="s">
        <v>40</v>
      </c>
      <c r="QWH67" s="200"/>
      <c r="QWI67" s="150" t="s">
        <v>123</v>
      </c>
      <c r="QWJ67" s="198"/>
      <c r="QWK67" s="199"/>
      <c r="QWL67" s="144" t="s">
        <v>22</v>
      </c>
      <c r="QWM67" s="145">
        <v>8150</v>
      </c>
      <c r="QWN67" s="153">
        <v>85</v>
      </c>
      <c r="QWO67" s="154">
        <v>215</v>
      </c>
      <c r="QWP67" s="154">
        <v>75</v>
      </c>
      <c r="QWQ67" s="153">
        <v>150</v>
      </c>
      <c r="QWR67" s="155">
        <f>SUM(QWM67:QWQ67)</f>
        <v>8675</v>
      </c>
      <c r="QWS67" s="153">
        <v>200</v>
      </c>
      <c r="QWT67" s="155">
        <f>SUM(QWR67:QWS67)</f>
        <v>8875</v>
      </c>
      <c r="QWU67" s="148" t="s">
        <v>96</v>
      </c>
      <c r="QWV67" s="149">
        <v>45845</v>
      </c>
      <c r="QWW67" s="144" t="s">
        <v>40</v>
      </c>
      <c r="QWX67" s="200"/>
      <c r="QWY67" s="150" t="s">
        <v>123</v>
      </c>
      <c r="QWZ67" s="198"/>
      <c r="QXA67" s="199"/>
      <c r="QXB67" s="144" t="s">
        <v>22</v>
      </c>
      <c r="QXC67" s="145">
        <v>8150</v>
      </c>
      <c r="QXD67" s="153">
        <v>85</v>
      </c>
      <c r="QXE67" s="154">
        <v>215</v>
      </c>
      <c r="QXF67" s="154">
        <v>75</v>
      </c>
      <c r="QXG67" s="153">
        <v>150</v>
      </c>
      <c r="QXH67" s="155">
        <f>SUM(QXC67:QXG67)</f>
        <v>8675</v>
      </c>
      <c r="QXI67" s="153">
        <v>200</v>
      </c>
      <c r="QXJ67" s="155">
        <f>SUM(QXH67:QXI67)</f>
        <v>8875</v>
      </c>
      <c r="QXK67" s="148" t="s">
        <v>96</v>
      </c>
      <c r="QXL67" s="149">
        <v>45845</v>
      </c>
      <c r="QXM67" s="144" t="s">
        <v>40</v>
      </c>
      <c r="QXN67" s="200"/>
      <c r="QXO67" s="150" t="s">
        <v>123</v>
      </c>
      <c r="QXP67" s="198"/>
      <c r="QXQ67" s="199"/>
      <c r="QXR67" s="144" t="s">
        <v>22</v>
      </c>
      <c r="QXS67" s="145">
        <v>8150</v>
      </c>
      <c r="QXT67" s="153">
        <v>85</v>
      </c>
      <c r="QXU67" s="154">
        <v>215</v>
      </c>
      <c r="QXV67" s="154">
        <v>75</v>
      </c>
      <c r="QXW67" s="153">
        <v>150</v>
      </c>
      <c r="QXX67" s="155">
        <f>SUM(QXS67:QXW67)</f>
        <v>8675</v>
      </c>
      <c r="QXY67" s="153">
        <v>200</v>
      </c>
      <c r="QXZ67" s="155">
        <f>SUM(QXX67:QXY67)</f>
        <v>8875</v>
      </c>
      <c r="QYA67" s="148" t="s">
        <v>96</v>
      </c>
      <c r="QYB67" s="149">
        <v>45845</v>
      </c>
      <c r="QYC67" s="144" t="s">
        <v>40</v>
      </c>
      <c r="QYD67" s="200"/>
      <c r="QYE67" s="150" t="s">
        <v>123</v>
      </c>
      <c r="QYF67" s="198"/>
      <c r="QYG67" s="199"/>
      <c r="QYH67" s="144" t="s">
        <v>22</v>
      </c>
      <c r="QYI67" s="145">
        <v>8150</v>
      </c>
      <c r="QYJ67" s="153">
        <v>85</v>
      </c>
      <c r="QYK67" s="154">
        <v>215</v>
      </c>
      <c r="QYL67" s="154">
        <v>75</v>
      </c>
      <c r="QYM67" s="153">
        <v>150</v>
      </c>
      <c r="QYN67" s="155">
        <f>SUM(QYI67:QYM67)</f>
        <v>8675</v>
      </c>
      <c r="QYO67" s="153">
        <v>200</v>
      </c>
      <c r="QYP67" s="155">
        <f>SUM(QYN67:QYO67)</f>
        <v>8875</v>
      </c>
      <c r="QYQ67" s="148" t="s">
        <v>96</v>
      </c>
      <c r="QYR67" s="149">
        <v>45845</v>
      </c>
      <c r="QYS67" s="144" t="s">
        <v>40</v>
      </c>
      <c r="QYT67" s="200"/>
      <c r="QYU67" s="150" t="s">
        <v>123</v>
      </c>
      <c r="QYV67" s="198"/>
      <c r="QYW67" s="199"/>
      <c r="QYX67" s="144" t="s">
        <v>22</v>
      </c>
      <c r="QYY67" s="145">
        <v>8150</v>
      </c>
      <c r="QYZ67" s="153">
        <v>85</v>
      </c>
      <c r="QZA67" s="154">
        <v>215</v>
      </c>
      <c r="QZB67" s="154">
        <v>75</v>
      </c>
      <c r="QZC67" s="153">
        <v>150</v>
      </c>
      <c r="QZD67" s="155">
        <f>SUM(QYY67:QZC67)</f>
        <v>8675</v>
      </c>
      <c r="QZE67" s="153">
        <v>200</v>
      </c>
      <c r="QZF67" s="155">
        <f>SUM(QZD67:QZE67)</f>
        <v>8875</v>
      </c>
      <c r="QZG67" s="148" t="s">
        <v>96</v>
      </c>
      <c r="QZH67" s="149">
        <v>45845</v>
      </c>
      <c r="QZI67" s="144" t="s">
        <v>40</v>
      </c>
      <c r="QZJ67" s="200"/>
      <c r="QZK67" s="150" t="s">
        <v>123</v>
      </c>
      <c r="QZL67" s="198"/>
      <c r="QZM67" s="199"/>
      <c r="QZN67" s="144" t="s">
        <v>22</v>
      </c>
      <c r="QZO67" s="145">
        <v>8150</v>
      </c>
      <c r="QZP67" s="153">
        <v>85</v>
      </c>
      <c r="QZQ67" s="154">
        <v>215</v>
      </c>
      <c r="QZR67" s="154">
        <v>75</v>
      </c>
      <c r="QZS67" s="153">
        <v>150</v>
      </c>
      <c r="QZT67" s="155">
        <f>SUM(QZO67:QZS67)</f>
        <v>8675</v>
      </c>
      <c r="QZU67" s="153">
        <v>200</v>
      </c>
      <c r="QZV67" s="155">
        <f>SUM(QZT67:QZU67)</f>
        <v>8875</v>
      </c>
      <c r="QZW67" s="148" t="s">
        <v>96</v>
      </c>
      <c r="QZX67" s="149">
        <v>45845</v>
      </c>
      <c r="QZY67" s="144" t="s">
        <v>40</v>
      </c>
      <c r="QZZ67" s="200"/>
      <c r="RAA67" s="150" t="s">
        <v>123</v>
      </c>
      <c r="RAB67" s="198"/>
      <c r="RAC67" s="199"/>
      <c r="RAD67" s="144" t="s">
        <v>22</v>
      </c>
      <c r="RWW67" s="199"/>
      <c r="RWX67" s="144" t="s">
        <v>22</v>
      </c>
      <c r="RWY67" s="145">
        <v>8150</v>
      </c>
      <c r="RWZ67" s="153">
        <v>85</v>
      </c>
      <c r="RXA67" s="154">
        <v>215</v>
      </c>
      <c r="RXB67" s="154">
        <v>75</v>
      </c>
      <c r="RXC67" s="153">
        <v>150</v>
      </c>
      <c r="RXD67" s="155">
        <f>SUM(RWY67:RXC67)</f>
        <v>8675</v>
      </c>
      <c r="RXE67" s="153">
        <v>200</v>
      </c>
      <c r="RXF67" s="155">
        <f>SUM(RXD67:RXE67)</f>
        <v>8875</v>
      </c>
      <c r="RXG67" s="148" t="s">
        <v>96</v>
      </c>
      <c r="RXH67" s="149">
        <v>45845</v>
      </c>
      <c r="RXI67" s="144" t="s">
        <v>40</v>
      </c>
      <c r="RXJ67" s="200"/>
      <c r="RXK67" s="150" t="s">
        <v>123</v>
      </c>
      <c r="RXL67" s="198"/>
      <c r="RXM67" s="199"/>
      <c r="RXN67" s="144" t="s">
        <v>22</v>
      </c>
      <c r="RXO67" s="145">
        <v>8150</v>
      </c>
      <c r="RXP67" s="153">
        <v>85</v>
      </c>
      <c r="RXQ67" s="154">
        <v>215</v>
      </c>
      <c r="RXR67" s="154">
        <v>75</v>
      </c>
      <c r="RXS67" s="153">
        <v>150</v>
      </c>
      <c r="RXT67" s="155">
        <f>SUM(RXO67:RXS67)</f>
        <v>8675</v>
      </c>
      <c r="RXU67" s="153">
        <v>200</v>
      </c>
      <c r="RXV67" s="155">
        <f>SUM(RXT67:RXU67)</f>
        <v>8875</v>
      </c>
      <c r="RXW67" s="148" t="s">
        <v>96</v>
      </c>
      <c r="RXX67" s="149">
        <v>45845</v>
      </c>
      <c r="RXY67" s="144" t="s">
        <v>40</v>
      </c>
      <c r="RXZ67" s="200"/>
      <c r="RYA67" s="150" t="s">
        <v>123</v>
      </c>
      <c r="RYB67" s="198"/>
      <c r="RYC67" s="199"/>
      <c r="RYD67" s="144" t="s">
        <v>22</v>
      </c>
      <c r="RYE67" s="145">
        <v>8150</v>
      </c>
      <c r="RYF67" s="153">
        <v>85</v>
      </c>
      <c r="RYG67" s="154">
        <v>215</v>
      </c>
      <c r="RYH67" s="154">
        <v>75</v>
      </c>
      <c r="RYI67" s="153">
        <v>150</v>
      </c>
      <c r="RYJ67" s="155">
        <f>SUM(RYE67:RYI67)</f>
        <v>8675</v>
      </c>
      <c r="RYK67" s="153">
        <v>200</v>
      </c>
      <c r="RYL67" s="155">
        <f>SUM(RYJ67:RYK67)</f>
        <v>8875</v>
      </c>
      <c r="RYM67" s="148" t="s">
        <v>96</v>
      </c>
      <c r="RYN67" s="149">
        <v>45845</v>
      </c>
      <c r="RYO67" s="144" t="s">
        <v>40</v>
      </c>
      <c r="RYP67" s="200"/>
      <c r="RYQ67" s="150" t="s">
        <v>123</v>
      </c>
      <c r="RYR67" s="198"/>
      <c r="RYS67" s="199"/>
      <c r="RYT67" s="144" t="s">
        <v>22</v>
      </c>
      <c r="RYU67" s="145">
        <v>8150</v>
      </c>
      <c r="RYV67" s="153">
        <v>85</v>
      </c>
      <c r="RYW67" s="154">
        <v>215</v>
      </c>
      <c r="RYX67" s="154">
        <v>75</v>
      </c>
      <c r="RYY67" s="153">
        <v>150</v>
      </c>
      <c r="RYZ67" s="155">
        <f>SUM(RYU67:RYY67)</f>
        <v>8675</v>
      </c>
      <c r="RZA67" s="153">
        <v>200</v>
      </c>
      <c r="RZB67" s="155">
        <f>SUM(RYZ67:RZA67)</f>
        <v>8875</v>
      </c>
      <c r="RZC67" s="148" t="s">
        <v>96</v>
      </c>
      <c r="RZD67" s="149">
        <v>45845</v>
      </c>
      <c r="RZE67" s="144" t="s">
        <v>40</v>
      </c>
      <c r="RZF67" s="200"/>
      <c r="RZG67" s="150" t="s">
        <v>123</v>
      </c>
      <c r="RZH67" s="198"/>
      <c r="RZI67" s="199"/>
      <c r="RZJ67" s="144" t="s">
        <v>22</v>
      </c>
      <c r="RZK67" s="145">
        <v>8150</v>
      </c>
      <c r="RZL67" s="153">
        <v>85</v>
      </c>
      <c r="RZM67" s="154">
        <v>215</v>
      </c>
      <c r="RZN67" s="154">
        <v>75</v>
      </c>
      <c r="RZO67" s="153">
        <v>150</v>
      </c>
      <c r="RZP67" s="155">
        <f>SUM(RZK67:RZO67)</f>
        <v>8675</v>
      </c>
      <c r="RZQ67" s="153">
        <v>200</v>
      </c>
      <c r="RZR67" s="155">
        <f>SUM(RZP67:RZQ67)</f>
        <v>8875</v>
      </c>
      <c r="RZS67" s="148" t="s">
        <v>96</v>
      </c>
      <c r="RZT67" s="149">
        <v>45845</v>
      </c>
      <c r="RZU67" s="144" t="s">
        <v>40</v>
      </c>
      <c r="RZV67" s="200"/>
      <c r="RZW67" s="150" t="s">
        <v>123</v>
      </c>
      <c r="RZX67" s="198"/>
      <c r="RZY67" s="199"/>
      <c r="RZZ67" s="144" t="s">
        <v>22</v>
      </c>
      <c r="SAA67" s="145">
        <v>8150</v>
      </c>
      <c r="SAB67" s="153">
        <v>85</v>
      </c>
      <c r="SAC67" s="154">
        <v>215</v>
      </c>
      <c r="SAD67" s="154">
        <v>75</v>
      </c>
      <c r="SAE67" s="153">
        <v>150</v>
      </c>
      <c r="SAF67" s="155">
        <f>SUM(SAA67:SAE67)</f>
        <v>8675</v>
      </c>
      <c r="SAG67" s="153">
        <v>200</v>
      </c>
      <c r="SAH67" s="155">
        <f>SUM(SAF67:SAG67)</f>
        <v>8875</v>
      </c>
      <c r="SAI67" s="148" t="s">
        <v>96</v>
      </c>
      <c r="SAJ67" s="149">
        <v>45845</v>
      </c>
      <c r="SAK67" s="144" t="s">
        <v>40</v>
      </c>
      <c r="SAL67" s="200"/>
      <c r="SAM67" s="150" t="s">
        <v>123</v>
      </c>
      <c r="SAN67" s="198"/>
      <c r="SAO67" s="199"/>
      <c r="SAP67" s="144" t="s">
        <v>22</v>
      </c>
      <c r="SAQ67" s="145">
        <v>8150</v>
      </c>
      <c r="SAR67" s="153">
        <v>85</v>
      </c>
      <c r="SAS67" s="154">
        <v>215</v>
      </c>
      <c r="SAT67" s="154">
        <v>75</v>
      </c>
      <c r="SAU67" s="153">
        <v>150</v>
      </c>
      <c r="SAV67" s="155">
        <f>SUM(SAQ67:SAU67)</f>
        <v>8675</v>
      </c>
      <c r="SAW67" s="153">
        <v>200</v>
      </c>
      <c r="SAX67" s="155">
        <f>SUM(SAV67:SAW67)</f>
        <v>8875</v>
      </c>
      <c r="SAY67" s="148" t="s">
        <v>96</v>
      </c>
      <c r="SAZ67" s="149">
        <v>45845</v>
      </c>
      <c r="SBA67" s="144" t="s">
        <v>40</v>
      </c>
      <c r="SBB67" s="200"/>
      <c r="SBC67" s="150" t="s">
        <v>123</v>
      </c>
      <c r="SBD67" s="198"/>
      <c r="SBE67" s="199"/>
      <c r="SBF67" s="144" t="s">
        <v>22</v>
      </c>
      <c r="SBG67" s="145">
        <v>8150</v>
      </c>
      <c r="SBH67" s="153">
        <v>85</v>
      </c>
      <c r="SBI67" s="154">
        <v>215</v>
      </c>
      <c r="SBJ67" s="154">
        <v>75</v>
      </c>
      <c r="SBK67" s="153">
        <v>150</v>
      </c>
      <c r="SBL67" s="155">
        <f>SUM(SBG67:SBK67)</f>
        <v>8675</v>
      </c>
      <c r="SBM67" s="153">
        <v>200</v>
      </c>
      <c r="SBN67" s="155">
        <f>SUM(SBL67:SBM67)</f>
        <v>8875</v>
      </c>
      <c r="SBO67" s="148" t="s">
        <v>96</v>
      </c>
      <c r="SBP67" s="149">
        <v>45845</v>
      </c>
      <c r="SBQ67" s="144" t="s">
        <v>40</v>
      </c>
      <c r="SBR67" s="200"/>
      <c r="SBS67" s="150" t="s">
        <v>123</v>
      </c>
      <c r="SBT67" s="198"/>
      <c r="SBU67" s="199"/>
      <c r="SBV67" s="144" t="s">
        <v>22</v>
      </c>
      <c r="SBW67" s="145">
        <v>8150</v>
      </c>
      <c r="SBX67" s="153">
        <v>85</v>
      </c>
      <c r="SBY67" s="154">
        <v>215</v>
      </c>
      <c r="SBZ67" s="154">
        <v>75</v>
      </c>
      <c r="SCA67" s="153">
        <v>150</v>
      </c>
      <c r="SCB67" s="155">
        <f>SUM(SBW67:SCA67)</f>
        <v>8675</v>
      </c>
      <c r="SCC67" s="153">
        <v>200</v>
      </c>
      <c r="SCD67" s="155">
        <f>SUM(SCB67:SCC67)</f>
        <v>8875</v>
      </c>
      <c r="SCE67" s="148" t="s">
        <v>96</v>
      </c>
      <c r="SCF67" s="149">
        <v>45845</v>
      </c>
      <c r="SCG67" s="144" t="s">
        <v>40</v>
      </c>
      <c r="SCH67" s="200"/>
      <c r="SCI67" s="150" t="s">
        <v>123</v>
      </c>
      <c r="SCJ67" s="198"/>
      <c r="SCK67" s="199"/>
      <c r="SCL67" s="144" t="s">
        <v>22</v>
      </c>
      <c r="SCM67" s="145">
        <v>8150</v>
      </c>
      <c r="SCN67" s="153">
        <v>85</v>
      </c>
      <c r="SCO67" s="154">
        <v>215</v>
      </c>
      <c r="SCP67" s="154">
        <v>75</v>
      </c>
      <c r="SCQ67" s="153">
        <v>150</v>
      </c>
      <c r="SCR67" s="155">
        <f>SUM(SCM67:SCQ67)</f>
        <v>8675</v>
      </c>
      <c r="SCS67" s="153">
        <v>200</v>
      </c>
      <c r="SCT67" s="155">
        <f>SUM(SCR67:SCS67)</f>
        <v>8875</v>
      </c>
      <c r="SCU67" s="148" t="s">
        <v>96</v>
      </c>
      <c r="SCV67" s="149">
        <v>45845</v>
      </c>
      <c r="SCW67" s="144" t="s">
        <v>40</v>
      </c>
      <c r="SCX67" s="200"/>
      <c r="SCY67" s="150" t="s">
        <v>123</v>
      </c>
      <c r="SCZ67" s="198"/>
      <c r="SDA67" s="199"/>
      <c r="SDB67" s="144" t="s">
        <v>22</v>
      </c>
      <c r="SDC67" s="145">
        <v>8150</v>
      </c>
      <c r="SDD67" s="153">
        <v>85</v>
      </c>
      <c r="SDE67" s="154">
        <v>215</v>
      </c>
      <c r="SDF67" s="154">
        <v>75</v>
      </c>
      <c r="SDG67" s="153">
        <v>150</v>
      </c>
      <c r="SDH67" s="155">
        <f>SUM(SDC67:SDG67)</f>
        <v>8675</v>
      </c>
      <c r="SDI67" s="153">
        <v>200</v>
      </c>
      <c r="SDJ67" s="155">
        <f>SUM(SDH67:SDI67)</f>
        <v>8875</v>
      </c>
      <c r="SDK67" s="148" t="s">
        <v>96</v>
      </c>
      <c r="SDL67" s="149">
        <v>45845</v>
      </c>
      <c r="SDM67" s="144" t="s">
        <v>40</v>
      </c>
      <c r="SDN67" s="200"/>
      <c r="SDO67" s="150" t="s">
        <v>123</v>
      </c>
      <c r="SDP67" s="198"/>
      <c r="SDQ67" s="199"/>
      <c r="SDR67" s="144" t="s">
        <v>22</v>
      </c>
      <c r="SDS67" s="145">
        <v>8150</v>
      </c>
      <c r="SDT67" s="153">
        <v>85</v>
      </c>
      <c r="SDU67" s="154">
        <v>215</v>
      </c>
      <c r="SDV67" s="154">
        <v>75</v>
      </c>
      <c r="SDW67" s="153">
        <v>150</v>
      </c>
      <c r="SDX67" s="155">
        <f>SUM(SDS67:SDW67)</f>
        <v>8675</v>
      </c>
      <c r="SDY67" s="153">
        <v>200</v>
      </c>
      <c r="SDZ67" s="155">
        <f>SUM(SDX67:SDY67)</f>
        <v>8875</v>
      </c>
      <c r="SEA67" s="148" t="s">
        <v>96</v>
      </c>
      <c r="SEB67" s="149">
        <v>45845</v>
      </c>
      <c r="SEC67" s="144" t="s">
        <v>40</v>
      </c>
      <c r="SED67" s="200"/>
      <c r="SEE67" s="150" t="s">
        <v>123</v>
      </c>
      <c r="SEF67" s="198"/>
      <c r="SEG67" s="199"/>
      <c r="SEH67" s="144" t="s">
        <v>22</v>
      </c>
      <c r="SEI67" s="145">
        <v>8150</v>
      </c>
      <c r="SEJ67" s="153">
        <v>85</v>
      </c>
      <c r="SEK67" s="154">
        <v>215</v>
      </c>
      <c r="SEL67" s="154">
        <v>75</v>
      </c>
      <c r="SEM67" s="153">
        <v>150</v>
      </c>
      <c r="SEN67" s="155">
        <f>SUM(SEI67:SEM67)</f>
        <v>8675</v>
      </c>
      <c r="SEO67" s="153">
        <v>200</v>
      </c>
      <c r="SEP67" s="155">
        <f>SUM(SEN67:SEO67)</f>
        <v>8875</v>
      </c>
      <c r="SEQ67" s="148" t="s">
        <v>96</v>
      </c>
      <c r="SER67" s="149">
        <v>45845</v>
      </c>
      <c r="SES67" s="144" t="s">
        <v>40</v>
      </c>
      <c r="SET67" s="200"/>
      <c r="SEU67" s="150" t="s">
        <v>123</v>
      </c>
      <c r="SEV67" s="198"/>
      <c r="SEW67" s="199"/>
      <c r="SEX67" s="144" t="s">
        <v>22</v>
      </c>
      <c r="SEY67" s="145">
        <v>8150</v>
      </c>
      <c r="SEZ67" s="153">
        <v>85</v>
      </c>
      <c r="SFA67" s="154">
        <v>215</v>
      </c>
      <c r="SFB67" s="154">
        <v>75</v>
      </c>
      <c r="SFC67" s="153">
        <v>150</v>
      </c>
      <c r="SFD67" s="155">
        <f>SUM(SEY67:SFC67)</f>
        <v>8675</v>
      </c>
      <c r="SFE67" s="153">
        <v>200</v>
      </c>
      <c r="SFF67" s="155">
        <f>SUM(SFD67:SFE67)</f>
        <v>8875</v>
      </c>
      <c r="SFG67" s="148" t="s">
        <v>96</v>
      </c>
      <c r="SFH67" s="149">
        <v>45845</v>
      </c>
      <c r="SFI67" s="144" t="s">
        <v>40</v>
      </c>
      <c r="SFJ67" s="200"/>
      <c r="SFK67" s="150" t="s">
        <v>123</v>
      </c>
      <c r="SFL67" s="198"/>
      <c r="SFM67" s="199"/>
      <c r="SFN67" s="144" t="s">
        <v>22</v>
      </c>
      <c r="SFO67" s="145">
        <v>8150</v>
      </c>
      <c r="SFP67" s="153">
        <v>85</v>
      </c>
      <c r="SFQ67" s="154">
        <v>215</v>
      </c>
      <c r="SFR67" s="154">
        <v>75</v>
      </c>
      <c r="SFS67" s="153">
        <v>150</v>
      </c>
      <c r="SFT67" s="155">
        <f>SUM(SFO67:SFS67)</f>
        <v>8675</v>
      </c>
      <c r="SFU67" s="153">
        <v>200</v>
      </c>
      <c r="SFV67" s="155">
        <f>SUM(SFT67:SFU67)</f>
        <v>8875</v>
      </c>
      <c r="SFW67" s="148" t="s">
        <v>96</v>
      </c>
      <c r="SFX67" s="149">
        <v>45845</v>
      </c>
      <c r="SFY67" s="144" t="s">
        <v>40</v>
      </c>
      <c r="SFZ67" s="200"/>
      <c r="SGA67" s="150" t="s">
        <v>123</v>
      </c>
      <c r="SGB67" s="198"/>
      <c r="SGC67" s="199"/>
      <c r="SGD67" s="144" t="s">
        <v>22</v>
      </c>
      <c r="SGE67" s="145">
        <v>8150</v>
      </c>
      <c r="SGF67" s="153">
        <v>85</v>
      </c>
      <c r="SGG67" s="154">
        <v>215</v>
      </c>
      <c r="SGH67" s="154">
        <v>75</v>
      </c>
      <c r="SGI67" s="153">
        <v>150</v>
      </c>
      <c r="SGJ67" s="155">
        <f>SUM(SGE67:SGI67)</f>
        <v>8675</v>
      </c>
      <c r="SGK67" s="153">
        <v>200</v>
      </c>
      <c r="SGL67" s="155">
        <f>SUM(SGJ67:SGK67)</f>
        <v>8875</v>
      </c>
      <c r="SGM67" s="148" t="s">
        <v>96</v>
      </c>
      <c r="SGN67" s="149">
        <v>45845</v>
      </c>
      <c r="SGO67" s="144" t="s">
        <v>40</v>
      </c>
      <c r="SGP67" s="200"/>
      <c r="SGQ67" s="150" t="s">
        <v>123</v>
      </c>
      <c r="SGR67" s="198"/>
      <c r="SGS67" s="199"/>
      <c r="SGT67" s="144" t="s">
        <v>22</v>
      </c>
      <c r="SGU67" s="145">
        <v>8150</v>
      </c>
      <c r="SGV67" s="153">
        <v>85</v>
      </c>
      <c r="SGW67" s="154">
        <v>215</v>
      </c>
      <c r="SGX67" s="154">
        <v>75</v>
      </c>
      <c r="SGY67" s="153">
        <v>150</v>
      </c>
      <c r="SGZ67" s="155">
        <f>SUM(SGU67:SGY67)</f>
        <v>8675</v>
      </c>
      <c r="SHA67" s="153">
        <v>200</v>
      </c>
      <c r="SHB67" s="155">
        <f>SUM(SGZ67:SHA67)</f>
        <v>8875</v>
      </c>
      <c r="SHC67" s="148" t="s">
        <v>96</v>
      </c>
      <c r="SHD67" s="149">
        <v>45845</v>
      </c>
      <c r="SHE67" s="144" t="s">
        <v>40</v>
      </c>
      <c r="SHF67" s="200"/>
      <c r="SHG67" s="150" t="s">
        <v>123</v>
      </c>
      <c r="SHH67" s="198"/>
      <c r="SHI67" s="199"/>
      <c r="SHJ67" s="144" t="s">
        <v>22</v>
      </c>
      <c r="SHK67" s="145">
        <v>8150</v>
      </c>
      <c r="SHL67" s="153">
        <v>85</v>
      </c>
      <c r="SHM67" s="154">
        <v>215</v>
      </c>
      <c r="SHN67" s="154">
        <v>75</v>
      </c>
      <c r="SHO67" s="153">
        <v>150</v>
      </c>
      <c r="SHP67" s="155">
        <f>SUM(SHK67:SHO67)</f>
        <v>8675</v>
      </c>
      <c r="SHQ67" s="153">
        <v>200</v>
      </c>
      <c r="SHR67" s="155">
        <f>SUM(SHP67:SHQ67)</f>
        <v>8875</v>
      </c>
      <c r="SHS67" s="148" t="s">
        <v>96</v>
      </c>
      <c r="SHT67" s="149">
        <v>45845</v>
      </c>
      <c r="SHU67" s="144" t="s">
        <v>40</v>
      </c>
      <c r="SHV67" s="200"/>
      <c r="SHW67" s="150" t="s">
        <v>123</v>
      </c>
      <c r="SHX67" s="198"/>
      <c r="SHY67" s="199"/>
      <c r="SHZ67" s="144" t="s">
        <v>22</v>
      </c>
      <c r="SIA67" s="145">
        <v>8150</v>
      </c>
      <c r="SIB67" s="153">
        <v>85</v>
      </c>
      <c r="SIC67" s="154">
        <v>215</v>
      </c>
      <c r="SID67" s="154">
        <v>75</v>
      </c>
      <c r="SIE67" s="153">
        <v>150</v>
      </c>
      <c r="SIF67" s="155">
        <f>SUM(SIA67:SIE67)</f>
        <v>8675</v>
      </c>
      <c r="SIG67" s="153">
        <v>200</v>
      </c>
      <c r="SIH67" s="155">
        <f>SUM(SIF67:SIG67)</f>
        <v>8875</v>
      </c>
      <c r="SII67" s="148" t="s">
        <v>96</v>
      </c>
      <c r="SIJ67" s="149">
        <v>45845</v>
      </c>
      <c r="SIK67" s="144" t="s">
        <v>40</v>
      </c>
      <c r="SIL67" s="200"/>
      <c r="SIM67" s="150" t="s">
        <v>123</v>
      </c>
      <c r="SIN67" s="198"/>
      <c r="SIO67" s="199"/>
      <c r="SIP67" s="144" t="s">
        <v>22</v>
      </c>
      <c r="SIQ67" s="145">
        <v>8150</v>
      </c>
      <c r="SIR67" s="153">
        <v>85</v>
      </c>
      <c r="SIS67" s="154">
        <v>215</v>
      </c>
      <c r="SIT67" s="154">
        <v>75</v>
      </c>
      <c r="SIU67" s="153">
        <v>150</v>
      </c>
      <c r="SIV67" s="155">
        <f>SUM(SIQ67:SIU67)</f>
        <v>8675</v>
      </c>
      <c r="SIW67" s="153">
        <v>200</v>
      </c>
      <c r="SIX67" s="155">
        <f>SUM(SIV67:SIW67)</f>
        <v>8875</v>
      </c>
      <c r="SIY67" s="148" t="s">
        <v>96</v>
      </c>
      <c r="SIZ67" s="149">
        <v>45845</v>
      </c>
      <c r="SJA67" s="144" t="s">
        <v>40</v>
      </c>
      <c r="SJB67" s="200"/>
      <c r="SJC67" s="150" t="s">
        <v>123</v>
      </c>
      <c r="SJD67" s="198"/>
      <c r="SJE67" s="199"/>
      <c r="SJF67" s="144" t="s">
        <v>22</v>
      </c>
      <c r="SJG67" s="145">
        <v>8150</v>
      </c>
      <c r="SJH67" s="153">
        <v>85</v>
      </c>
      <c r="SJI67" s="154">
        <v>215</v>
      </c>
      <c r="SJJ67" s="154">
        <v>75</v>
      </c>
      <c r="SJK67" s="153">
        <v>150</v>
      </c>
      <c r="SJL67" s="155">
        <f>SUM(SJG67:SJK67)</f>
        <v>8675</v>
      </c>
      <c r="SJM67" s="153">
        <v>200</v>
      </c>
      <c r="SJN67" s="155">
        <f>SUM(SJL67:SJM67)</f>
        <v>8875</v>
      </c>
      <c r="SJO67" s="148" t="s">
        <v>96</v>
      </c>
      <c r="SJP67" s="149">
        <v>45845</v>
      </c>
      <c r="SJQ67" s="144" t="s">
        <v>40</v>
      </c>
      <c r="SJR67" s="200"/>
      <c r="SJS67" s="150" t="s">
        <v>123</v>
      </c>
      <c r="SJT67" s="198"/>
      <c r="SJU67" s="199"/>
      <c r="SJV67" s="144" t="s">
        <v>22</v>
      </c>
      <c r="SJW67" s="145">
        <v>8150</v>
      </c>
      <c r="SJX67" s="153">
        <v>85</v>
      </c>
      <c r="SJY67" s="154">
        <v>215</v>
      </c>
      <c r="SJZ67" s="154">
        <v>75</v>
      </c>
      <c r="SKA67" s="153">
        <v>150</v>
      </c>
      <c r="SKB67" s="155">
        <f>SUM(SJW67:SKA67)</f>
        <v>8675</v>
      </c>
      <c r="SKC67" s="153">
        <v>200</v>
      </c>
      <c r="SKD67" s="155">
        <f>SUM(SKB67:SKC67)</f>
        <v>8875</v>
      </c>
      <c r="SKE67" s="148" t="s">
        <v>96</v>
      </c>
      <c r="SKF67" s="149">
        <v>45845</v>
      </c>
      <c r="SKG67" s="144" t="s">
        <v>40</v>
      </c>
      <c r="SKH67" s="200"/>
      <c r="SKI67" s="150" t="s">
        <v>123</v>
      </c>
      <c r="SKJ67" s="198"/>
      <c r="SKK67" s="199"/>
      <c r="SKL67" s="144" t="s">
        <v>22</v>
      </c>
      <c r="SKM67" s="145">
        <v>8150</v>
      </c>
      <c r="SKN67" s="153">
        <v>85</v>
      </c>
      <c r="SKO67" s="154">
        <v>215</v>
      </c>
      <c r="SKP67" s="154">
        <v>75</v>
      </c>
      <c r="SKQ67" s="153">
        <v>150</v>
      </c>
      <c r="SKR67" s="155">
        <f>SUM(SKM67:SKQ67)</f>
        <v>8675</v>
      </c>
      <c r="SKS67" s="153">
        <v>200</v>
      </c>
      <c r="SKT67" s="155">
        <f>SUM(SKR67:SKS67)</f>
        <v>8875</v>
      </c>
      <c r="SKU67" s="148" t="s">
        <v>96</v>
      </c>
      <c r="SKV67" s="149">
        <v>45845</v>
      </c>
      <c r="SKW67" s="144" t="s">
        <v>40</v>
      </c>
      <c r="SKX67" s="200"/>
      <c r="SKY67" s="150" t="s">
        <v>123</v>
      </c>
      <c r="SKZ67" s="198"/>
      <c r="SLA67" s="199"/>
      <c r="SLB67" s="144" t="s">
        <v>22</v>
      </c>
      <c r="SLC67" s="145">
        <v>8150</v>
      </c>
      <c r="SLD67" s="153">
        <v>85</v>
      </c>
      <c r="SLE67" s="154">
        <v>215</v>
      </c>
      <c r="SLF67" s="154">
        <v>75</v>
      </c>
      <c r="SLG67" s="153">
        <v>150</v>
      </c>
      <c r="SLH67" s="155">
        <f>SUM(SLC67:SLG67)</f>
        <v>8675</v>
      </c>
      <c r="SLI67" s="153">
        <v>200</v>
      </c>
      <c r="SLJ67" s="155">
        <f>SUM(SLH67:SLI67)</f>
        <v>8875</v>
      </c>
      <c r="SLK67" s="148" t="s">
        <v>96</v>
      </c>
      <c r="SLL67" s="149">
        <v>45845</v>
      </c>
      <c r="SLM67" s="144" t="s">
        <v>40</v>
      </c>
      <c r="SLN67" s="200"/>
      <c r="SLO67" s="150" t="s">
        <v>123</v>
      </c>
      <c r="SLP67" s="198"/>
      <c r="SLQ67" s="199"/>
      <c r="SLR67" s="144" t="s">
        <v>22</v>
      </c>
      <c r="SLS67" s="145">
        <v>8150</v>
      </c>
      <c r="SLT67" s="153">
        <v>85</v>
      </c>
      <c r="SLU67" s="154">
        <v>215</v>
      </c>
      <c r="SLV67" s="154">
        <v>75</v>
      </c>
      <c r="SLW67" s="153">
        <v>150</v>
      </c>
      <c r="SLX67" s="155">
        <f>SUM(SLS67:SLW67)</f>
        <v>8675</v>
      </c>
      <c r="SLY67" s="153">
        <v>200</v>
      </c>
      <c r="SLZ67" s="155">
        <f>SUM(SLX67:SLY67)</f>
        <v>8875</v>
      </c>
      <c r="SMA67" s="148" t="s">
        <v>96</v>
      </c>
      <c r="SMB67" s="149">
        <v>45845</v>
      </c>
      <c r="SMC67" s="144" t="s">
        <v>40</v>
      </c>
      <c r="SMD67" s="200"/>
      <c r="SME67" s="150" t="s">
        <v>123</v>
      </c>
      <c r="SMF67" s="198"/>
      <c r="SMG67" s="199"/>
      <c r="SMH67" s="144" t="s">
        <v>22</v>
      </c>
      <c r="SMI67" s="145">
        <v>8150</v>
      </c>
      <c r="SMJ67" s="153">
        <v>85</v>
      </c>
      <c r="SMK67" s="154">
        <v>215</v>
      </c>
      <c r="SML67" s="154">
        <v>75</v>
      </c>
      <c r="SMM67" s="153">
        <v>150</v>
      </c>
      <c r="SMN67" s="155">
        <f>SUM(SMI67:SMM67)</f>
        <v>8675</v>
      </c>
      <c r="SMO67" s="153">
        <v>200</v>
      </c>
      <c r="SMP67" s="155">
        <f>SUM(SMN67:SMO67)</f>
        <v>8875</v>
      </c>
      <c r="SMQ67" s="148" t="s">
        <v>96</v>
      </c>
      <c r="SMR67" s="149">
        <v>45845</v>
      </c>
      <c r="SMS67" s="144" t="s">
        <v>40</v>
      </c>
      <c r="SMT67" s="200"/>
      <c r="SMU67" s="150" t="s">
        <v>123</v>
      </c>
      <c r="SMV67" s="198"/>
      <c r="SMW67" s="199"/>
      <c r="SMX67" s="144" t="s">
        <v>22</v>
      </c>
      <c r="SMY67" s="145">
        <v>8150</v>
      </c>
      <c r="SMZ67" s="153">
        <v>85</v>
      </c>
      <c r="SNA67" s="154">
        <v>215</v>
      </c>
      <c r="SNB67" s="154">
        <v>75</v>
      </c>
      <c r="SNC67" s="153">
        <v>150</v>
      </c>
      <c r="SND67" s="155">
        <f>SUM(SMY67:SNC67)</f>
        <v>8675</v>
      </c>
      <c r="SNE67" s="153">
        <v>200</v>
      </c>
      <c r="SNF67" s="155">
        <f>SUM(SND67:SNE67)</f>
        <v>8875</v>
      </c>
      <c r="SNG67" s="148" t="s">
        <v>96</v>
      </c>
      <c r="SNH67" s="149">
        <v>45845</v>
      </c>
      <c r="SNI67" s="144" t="s">
        <v>40</v>
      </c>
      <c r="SNJ67" s="200"/>
      <c r="SNK67" s="150" t="s">
        <v>123</v>
      </c>
      <c r="SNL67" s="198"/>
      <c r="SNM67" s="199"/>
      <c r="SNN67" s="144" t="s">
        <v>22</v>
      </c>
      <c r="SNO67" s="145">
        <v>8150</v>
      </c>
      <c r="SNP67" s="153">
        <v>85</v>
      </c>
      <c r="SNQ67" s="154">
        <v>215</v>
      </c>
      <c r="SNR67" s="154">
        <v>75</v>
      </c>
      <c r="SNS67" s="153">
        <v>150</v>
      </c>
      <c r="SNT67" s="155">
        <f>SUM(SNO67:SNS67)</f>
        <v>8675</v>
      </c>
      <c r="SNU67" s="153">
        <v>200</v>
      </c>
      <c r="SNV67" s="155">
        <f>SUM(SNT67:SNU67)</f>
        <v>8875</v>
      </c>
      <c r="SNW67" s="148" t="s">
        <v>96</v>
      </c>
      <c r="SNX67" s="149">
        <v>45845</v>
      </c>
      <c r="SNY67" s="144" t="s">
        <v>40</v>
      </c>
      <c r="SNZ67" s="200"/>
      <c r="SOA67" s="150" t="s">
        <v>123</v>
      </c>
      <c r="SOB67" s="198"/>
      <c r="SOC67" s="199"/>
      <c r="SOD67" s="144" t="s">
        <v>22</v>
      </c>
      <c r="SOE67" s="145">
        <v>8150</v>
      </c>
      <c r="SOF67" s="153">
        <v>85</v>
      </c>
      <c r="SOG67" s="154">
        <v>215</v>
      </c>
      <c r="SOH67" s="154">
        <v>75</v>
      </c>
      <c r="SOI67" s="153">
        <v>150</v>
      </c>
      <c r="SOJ67" s="155">
        <f>SUM(SOE67:SOI67)</f>
        <v>8675</v>
      </c>
      <c r="SOK67" s="153">
        <v>200</v>
      </c>
      <c r="SOL67" s="155">
        <f>SUM(SOJ67:SOK67)</f>
        <v>8875</v>
      </c>
      <c r="SOM67" s="148" t="s">
        <v>96</v>
      </c>
      <c r="SON67" s="149">
        <v>45845</v>
      </c>
      <c r="SOO67" s="144" t="s">
        <v>40</v>
      </c>
      <c r="SOP67" s="200"/>
      <c r="SOQ67" s="150" t="s">
        <v>123</v>
      </c>
      <c r="SOR67" s="198"/>
      <c r="SOS67" s="199"/>
      <c r="SOT67" s="144" t="s">
        <v>22</v>
      </c>
      <c r="SOU67" s="145">
        <v>8150</v>
      </c>
      <c r="SOV67" s="153">
        <v>85</v>
      </c>
      <c r="SOW67" s="154">
        <v>215</v>
      </c>
      <c r="SOX67" s="154">
        <v>75</v>
      </c>
      <c r="SOY67" s="153">
        <v>150</v>
      </c>
      <c r="SOZ67" s="155">
        <f>SUM(SOU67:SOY67)</f>
        <v>8675</v>
      </c>
      <c r="SPA67" s="153">
        <v>200</v>
      </c>
      <c r="SPB67" s="155">
        <f>SUM(SOZ67:SPA67)</f>
        <v>8875</v>
      </c>
      <c r="SPC67" s="148" t="s">
        <v>96</v>
      </c>
      <c r="SPD67" s="149">
        <v>45845</v>
      </c>
      <c r="SPE67" s="144" t="s">
        <v>40</v>
      </c>
      <c r="SPF67" s="200"/>
      <c r="SPG67" s="150" t="s">
        <v>123</v>
      </c>
      <c r="SPH67" s="198"/>
      <c r="SPI67" s="199"/>
      <c r="SPJ67" s="144" t="s">
        <v>22</v>
      </c>
      <c r="SPK67" s="145">
        <v>8150</v>
      </c>
      <c r="SPL67" s="153">
        <v>85</v>
      </c>
      <c r="SPM67" s="154">
        <v>215</v>
      </c>
      <c r="SPN67" s="154">
        <v>75</v>
      </c>
      <c r="SPO67" s="153">
        <v>150</v>
      </c>
      <c r="SPP67" s="155">
        <f>SUM(SPK67:SPO67)</f>
        <v>8675</v>
      </c>
      <c r="SPQ67" s="153">
        <v>200</v>
      </c>
      <c r="SPR67" s="155">
        <f>SUM(SPP67:SPQ67)</f>
        <v>8875</v>
      </c>
      <c r="SPS67" s="148" t="s">
        <v>96</v>
      </c>
      <c r="SPT67" s="149">
        <v>45845</v>
      </c>
      <c r="SPU67" s="144" t="s">
        <v>40</v>
      </c>
      <c r="SPV67" s="200"/>
      <c r="SPW67" s="150" t="s">
        <v>123</v>
      </c>
      <c r="SPX67" s="198"/>
      <c r="SPY67" s="199"/>
      <c r="SPZ67" s="144" t="s">
        <v>22</v>
      </c>
      <c r="SQA67" s="145">
        <v>8150</v>
      </c>
      <c r="SQB67" s="153">
        <v>85</v>
      </c>
      <c r="SQC67" s="154">
        <v>215</v>
      </c>
      <c r="SQD67" s="154">
        <v>75</v>
      </c>
      <c r="SQE67" s="153">
        <v>150</v>
      </c>
      <c r="SQF67" s="155">
        <f>SUM(SQA67:SQE67)</f>
        <v>8675</v>
      </c>
      <c r="SQG67" s="153">
        <v>200</v>
      </c>
      <c r="SQH67" s="155">
        <f>SUM(SQF67:SQG67)</f>
        <v>8875</v>
      </c>
      <c r="SQI67" s="148" t="s">
        <v>96</v>
      </c>
      <c r="SQJ67" s="149">
        <v>45845</v>
      </c>
      <c r="SQK67" s="144" t="s">
        <v>40</v>
      </c>
      <c r="SQL67" s="200"/>
      <c r="SQM67" s="150" t="s">
        <v>123</v>
      </c>
      <c r="SQN67" s="198"/>
      <c r="SQO67" s="199"/>
      <c r="SQP67" s="144" t="s">
        <v>22</v>
      </c>
      <c r="SQQ67" s="145">
        <v>8150</v>
      </c>
      <c r="SQR67" s="153">
        <v>85</v>
      </c>
      <c r="SQS67" s="154">
        <v>215</v>
      </c>
      <c r="SQT67" s="154">
        <v>75</v>
      </c>
      <c r="SQU67" s="153">
        <v>150</v>
      </c>
      <c r="SQV67" s="155">
        <f>SUM(SQQ67:SQU67)</f>
        <v>8675</v>
      </c>
      <c r="SQW67" s="153">
        <v>200</v>
      </c>
      <c r="SQX67" s="155">
        <f>SUM(SQV67:SQW67)</f>
        <v>8875</v>
      </c>
      <c r="SQY67" s="148" t="s">
        <v>96</v>
      </c>
      <c r="SQZ67" s="149">
        <v>45845</v>
      </c>
      <c r="SRA67" s="144" t="s">
        <v>40</v>
      </c>
      <c r="SRB67" s="200"/>
      <c r="SRC67" s="150" t="s">
        <v>123</v>
      </c>
      <c r="SRD67" s="198"/>
      <c r="SRE67" s="199"/>
      <c r="SRF67" s="144" t="s">
        <v>22</v>
      </c>
      <c r="SRG67" s="145">
        <v>8150</v>
      </c>
      <c r="SRH67" s="153">
        <v>85</v>
      </c>
      <c r="SRI67" s="154">
        <v>215</v>
      </c>
      <c r="SRJ67" s="154">
        <v>75</v>
      </c>
      <c r="SRK67" s="153">
        <v>150</v>
      </c>
      <c r="SRL67" s="155">
        <f>SUM(SRG67:SRK67)</f>
        <v>8675</v>
      </c>
      <c r="SRM67" s="153">
        <v>200</v>
      </c>
      <c r="SRN67" s="155">
        <f>SUM(SRL67:SRM67)</f>
        <v>8875</v>
      </c>
      <c r="SRO67" s="148" t="s">
        <v>96</v>
      </c>
      <c r="SRP67" s="149">
        <v>45845</v>
      </c>
      <c r="SRQ67" s="144" t="s">
        <v>40</v>
      </c>
      <c r="SRR67" s="200"/>
      <c r="SRS67" s="150" t="s">
        <v>123</v>
      </c>
      <c r="SRT67" s="198"/>
      <c r="SRU67" s="199"/>
      <c r="SRV67" s="144" t="s">
        <v>22</v>
      </c>
      <c r="SRW67" s="145">
        <v>8150</v>
      </c>
      <c r="SRX67" s="153">
        <v>85</v>
      </c>
      <c r="SRY67" s="154">
        <v>215</v>
      </c>
      <c r="SRZ67" s="154">
        <v>75</v>
      </c>
      <c r="SSA67" s="153">
        <v>150</v>
      </c>
      <c r="SSB67" s="155">
        <f>SUM(SRW67:SSA67)</f>
        <v>8675</v>
      </c>
      <c r="SSC67" s="153">
        <v>200</v>
      </c>
      <c r="SSD67" s="155">
        <f>SUM(SSB67:SSC67)</f>
        <v>8875</v>
      </c>
      <c r="SSE67" s="148" t="s">
        <v>96</v>
      </c>
      <c r="SSF67" s="149">
        <v>45845</v>
      </c>
      <c r="SSG67" s="144" t="s">
        <v>40</v>
      </c>
      <c r="SSH67" s="200"/>
      <c r="SSI67" s="150" t="s">
        <v>123</v>
      </c>
      <c r="SSJ67" s="198"/>
      <c r="SSK67" s="199"/>
      <c r="SSL67" s="144" t="s">
        <v>22</v>
      </c>
      <c r="SSM67" s="145">
        <v>8150</v>
      </c>
      <c r="SSN67" s="153">
        <v>85</v>
      </c>
      <c r="SSO67" s="154">
        <v>215</v>
      </c>
      <c r="SSP67" s="154">
        <v>75</v>
      </c>
      <c r="SSQ67" s="153">
        <v>150</v>
      </c>
      <c r="SSR67" s="155">
        <f>SUM(SSM67:SSQ67)</f>
        <v>8675</v>
      </c>
      <c r="SSS67" s="153">
        <v>200</v>
      </c>
      <c r="SST67" s="155">
        <f>SUM(SSR67:SSS67)</f>
        <v>8875</v>
      </c>
      <c r="SSU67" s="148" t="s">
        <v>96</v>
      </c>
      <c r="SSV67" s="149">
        <v>45845</v>
      </c>
      <c r="SSW67" s="144" t="s">
        <v>40</v>
      </c>
      <c r="SSX67" s="200"/>
      <c r="SSY67" s="150" t="s">
        <v>123</v>
      </c>
      <c r="SSZ67" s="198"/>
      <c r="STA67" s="199"/>
      <c r="STB67" s="144" t="s">
        <v>22</v>
      </c>
      <c r="STC67" s="145">
        <v>8150</v>
      </c>
      <c r="STD67" s="153">
        <v>85</v>
      </c>
      <c r="STE67" s="154">
        <v>215</v>
      </c>
      <c r="STF67" s="154">
        <v>75</v>
      </c>
      <c r="STG67" s="153">
        <v>150</v>
      </c>
      <c r="STH67" s="155">
        <f>SUM(STC67:STG67)</f>
        <v>8675</v>
      </c>
      <c r="STI67" s="153">
        <v>200</v>
      </c>
      <c r="STJ67" s="155">
        <f>SUM(STH67:STI67)</f>
        <v>8875</v>
      </c>
      <c r="STK67" s="148" t="s">
        <v>96</v>
      </c>
      <c r="STL67" s="149">
        <v>45845</v>
      </c>
      <c r="STM67" s="144" t="s">
        <v>40</v>
      </c>
      <c r="STN67" s="200"/>
      <c r="STO67" s="150" t="s">
        <v>123</v>
      </c>
      <c r="STP67" s="198"/>
      <c r="STQ67" s="199"/>
      <c r="STR67" s="144" t="s">
        <v>22</v>
      </c>
      <c r="STS67" s="145">
        <v>8150</v>
      </c>
      <c r="STT67" s="153">
        <v>85</v>
      </c>
      <c r="STU67" s="154">
        <v>215</v>
      </c>
      <c r="STV67" s="154">
        <v>75</v>
      </c>
      <c r="STW67" s="153">
        <v>150</v>
      </c>
      <c r="STX67" s="155">
        <f>SUM(STS67:STW67)</f>
        <v>8675</v>
      </c>
      <c r="STY67" s="153">
        <v>200</v>
      </c>
      <c r="STZ67" s="155">
        <f>SUM(STX67:STY67)</f>
        <v>8875</v>
      </c>
      <c r="SUA67" s="148" t="s">
        <v>96</v>
      </c>
      <c r="SUB67" s="149">
        <v>45845</v>
      </c>
      <c r="SUC67" s="144" t="s">
        <v>40</v>
      </c>
      <c r="SUD67" s="200"/>
      <c r="SUE67" s="150" t="s">
        <v>123</v>
      </c>
      <c r="SUF67" s="198"/>
      <c r="SUG67" s="199"/>
      <c r="SUH67" s="144" t="s">
        <v>22</v>
      </c>
      <c r="SUI67" s="145">
        <v>8150</v>
      </c>
      <c r="SUJ67" s="153">
        <v>85</v>
      </c>
      <c r="SUK67" s="154">
        <v>215</v>
      </c>
      <c r="SUL67" s="154">
        <v>75</v>
      </c>
      <c r="SUM67" s="153">
        <v>150</v>
      </c>
      <c r="SUN67" s="155">
        <f>SUM(SUI67:SUM67)</f>
        <v>8675</v>
      </c>
      <c r="SUO67" s="153">
        <v>200</v>
      </c>
      <c r="SUP67" s="155">
        <f>SUM(SUN67:SUO67)</f>
        <v>8875</v>
      </c>
      <c r="SUQ67" s="148" t="s">
        <v>96</v>
      </c>
      <c r="SUR67" s="149">
        <v>45845</v>
      </c>
      <c r="SUS67" s="144" t="s">
        <v>40</v>
      </c>
      <c r="SUT67" s="200"/>
      <c r="SUU67" s="150" t="s">
        <v>123</v>
      </c>
      <c r="SUV67" s="198"/>
      <c r="SUW67" s="199"/>
      <c r="SUX67" s="144" t="s">
        <v>22</v>
      </c>
      <c r="SUY67" s="145">
        <v>8150</v>
      </c>
      <c r="SUZ67" s="153">
        <v>85</v>
      </c>
      <c r="SVA67" s="154">
        <v>215</v>
      </c>
      <c r="SVB67" s="154">
        <v>75</v>
      </c>
      <c r="SVC67" s="153">
        <v>150</v>
      </c>
      <c r="SVD67" s="155">
        <f>SUM(SUY67:SVC67)</f>
        <v>8675</v>
      </c>
      <c r="SVE67" s="153">
        <v>200</v>
      </c>
      <c r="SVF67" s="155">
        <f>SUM(SVD67:SVE67)</f>
        <v>8875</v>
      </c>
      <c r="SVG67" s="148" t="s">
        <v>96</v>
      </c>
      <c r="SVH67" s="149">
        <v>45845</v>
      </c>
      <c r="SVI67" s="144" t="s">
        <v>40</v>
      </c>
      <c r="SVJ67" s="200"/>
      <c r="SVK67" s="150" t="s">
        <v>123</v>
      </c>
      <c r="SVL67" s="198"/>
      <c r="SVM67" s="199"/>
      <c r="SVN67" s="144" t="s">
        <v>22</v>
      </c>
      <c r="SVO67" s="145">
        <v>8150</v>
      </c>
      <c r="SVP67" s="153">
        <v>85</v>
      </c>
      <c r="SVQ67" s="154">
        <v>215</v>
      </c>
      <c r="SVR67" s="154">
        <v>75</v>
      </c>
      <c r="SVS67" s="153">
        <v>150</v>
      </c>
      <c r="SVT67" s="155">
        <f>SUM(SVO67:SVS67)</f>
        <v>8675</v>
      </c>
      <c r="SVU67" s="153">
        <v>200</v>
      </c>
      <c r="SVV67" s="155">
        <f>SUM(SVT67:SVU67)</f>
        <v>8875</v>
      </c>
      <c r="SVW67" s="148" t="s">
        <v>96</v>
      </c>
      <c r="SVX67" s="149">
        <v>45845</v>
      </c>
      <c r="SVY67" s="144" t="s">
        <v>40</v>
      </c>
      <c r="SVZ67" s="200"/>
      <c r="SWA67" s="150" t="s">
        <v>123</v>
      </c>
      <c r="SWB67" s="198"/>
      <c r="SWC67" s="199"/>
      <c r="SWD67" s="144" t="s">
        <v>22</v>
      </c>
      <c r="SWE67" s="145">
        <v>8150</v>
      </c>
      <c r="SWF67" s="153">
        <v>85</v>
      </c>
      <c r="SWG67" s="154">
        <v>215</v>
      </c>
      <c r="SWH67" s="154">
        <v>75</v>
      </c>
      <c r="SWI67" s="153">
        <v>150</v>
      </c>
      <c r="SWJ67" s="155">
        <f>SUM(SWE67:SWI67)</f>
        <v>8675</v>
      </c>
      <c r="SWK67" s="153">
        <v>200</v>
      </c>
      <c r="SWL67" s="155">
        <f>SUM(SWJ67:SWK67)</f>
        <v>8875</v>
      </c>
      <c r="SWM67" s="148" t="s">
        <v>96</v>
      </c>
      <c r="SWN67" s="149">
        <v>45845</v>
      </c>
      <c r="SWO67" s="144" t="s">
        <v>40</v>
      </c>
      <c r="SWP67" s="200"/>
      <c r="SWQ67" s="150" t="s">
        <v>123</v>
      </c>
      <c r="SWR67" s="198"/>
      <c r="SWS67" s="199"/>
      <c r="SWT67" s="144" t="s">
        <v>22</v>
      </c>
      <c r="SWU67" s="145">
        <v>8150</v>
      </c>
      <c r="SWV67" s="153">
        <v>85</v>
      </c>
      <c r="SWW67" s="154">
        <v>215</v>
      </c>
      <c r="SWX67" s="154">
        <v>75</v>
      </c>
      <c r="SWY67" s="153">
        <v>150</v>
      </c>
      <c r="SWZ67" s="155">
        <f>SUM(SWU67:SWY67)</f>
        <v>8675</v>
      </c>
      <c r="SXA67" s="153">
        <v>200</v>
      </c>
      <c r="SXB67" s="155">
        <f>SUM(SWZ67:SXA67)</f>
        <v>8875</v>
      </c>
      <c r="SXC67" s="148" t="s">
        <v>96</v>
      </c>
      <c r="SXD67" s="149">
        <v>45845</v>
      </c>
      <c r="SXE67" s="144" t="s">
        <v>40</v>
      </c>
      <c r="SXF67" s="200"/>
      <c r="SXG67" s="150" t="s">
        <v>123</v>
      </c>
      <c r="SXH67" s="198"/>
      <c r="SXI67" s="199"/>
      <c r="SXJ67" s="144" t="s">
        <v>22</v>
      </c>
      <c r="SXK67" s="145">
        <v>8150</v>
      </c>
      <c r="SXL67" s="153">
        <v>85</v>
      </c>
      <c r="SXM67" s="154">
        <v>215</v>
      </c>
      <c r="SXN67" s="154">
        <v>75</v>
      </c>
      <c r="SXO67" s="153">
        <v>150</v>
      </c>
      <c r="SXP67" s="155">
        <f>SUM(SXK67:SXO67)</f>
        <v>8675</v>
      </c>
      <c r="SXQ67" s="153">
        <v>200</v>
      </c>
      <c r="SXR67" s="155">
        <f>SUM(SXP67:SXQ67)</f>
        <v>8875</v>
      </c>
      <c r="SXS67" s="148" t="s">
        <v>96</v>
      </c>
      <c r="SXT67" s="149">
        <v>45845</v>
      </c>
      <c r="SXU67" s="144" t="s">
        <v>40</v>
      </c>
      <c r="SXV67" s="200"/>
      <c r="SXW67" s="150" t="s">
        <v>123</v>
      </c>
      <c r="SXX67" s="198"/>
      <c r="SXY67" s="199"/>
      <c r="SXZ67" s="144" t="s">
        <v>22</v>
      </c>
      <c r="SYA67" s="145">
        <v>8150</v>
      </c>
      <c r="SYB67" s="153">
        <v>85</v>
      </c>
      <c r="SYC67" s="154">
        <v>215</v>
      </c>
      <c r="SYD67" s="154">
        <v>75</v>
      </c>
      <c r="SYE67" s="153">
        <v>150</v>
      </c>
      <c r="SYF67" s="155">
        <f>SUM(SYA67:SYE67)</f>
        <v>8675</v>
      </c>
      <c r="SYG67" s="153">
        <v>200</v>
      </c>
      <c r="SYH67" s="155">
        <f>SUM(SYF67:SYG67)</f>
        <v>8875</v>
      </c>
      <c r="SYI67" s="148" t="s">
        <v>96</v>
      </c>
      <c r="SYJ67" s="149">
        <v>45845</v>
      </c>
      <c r="SYK67" s="144" t="s">
        <v>40</v>
      </c>
      <c r="SYL67" s="200"/>
      <c r="SYM67" s="150" t="s">
        <v>123</v>
      </c>
      <c r="SYN67" s="198"/>
      <c r="SYO67" s="199"/>
      <c r="SYP67" s="144" t="s">
        <v>22</v>
      </c>
      <c r="SYQ67" s="145">
        <v>8150</v>
      </c>
      <c r="SYR67" s="153">
        <v>85</v>
      </c>
      <c r="SYS67" s="154">
        <v>215</v>
      </c>
      <c r="SYT67" s="154">
        <v>75</v>
      </c>
      <c r="SYU67" s="153">
        <v>150</v>
      </c>
      <c r="SYV67" s="155">
        <f>SUM(SYQ67:SYU67)</f>
        <v>8675</v>
      </c>
      <c r="SYW67" s="153">
        <v>200</v>
      </c>
      <c r="SYX67" s="155">
        <f>SUM(SYV67:SYW67)</f>
        <v>8875</v>
      </c>
      <c r="SYY67" s="148" t="s">
        <v>96</v>
      </c>
      <c r="SYZ67" s="149">
        <v>45845</v>
      </c>
      <c r="SZA67" s="144" t="s">
        <v>40</v>
      </c>
      <c r="SZB67" s="200"/>
      <c r="SZC67" s="150" t="s">
        <v>123</v>
      </c>
      <c r="SZD67" s="198"/>
      <c r="SZE67" s="199"/>
      <c r="SZF67" s="144" t="s">
        <v>22</v>
      </c>
      <c r="SZG67" s="145">
        <v>8150</v>
      </c>
      <c r="SZH67" s="153">
        <v>85</v>
      </c>
      <c r="SZI67" s="154">
        <v>215</v>
      </c>
      <c r="SZJ67" s="154">
        <v>75</v>
      </c>
      <c r="SZK67" s="153">
        <v>150</v>
      </c>
      <c r="SZL67" s="155">
        <f>SUM(SZG67:SZK67)</f>
        <v>8675</v>
      </c>
      <c r="SZM67" s="153">
        <v>200</v>
      </c>
      <c r="SZN67" s="155">
        <f>SUM(SZL67:SZM67)</f>
        <v>8875</v>
      </c>
      <c r="SZO67" s="148" t="s">
        <v>96</v>
      </c>
      <c r="SZP67" s="149">
        <v>45845</v>
      </c>
      <c r="SZQ67" s="144" t="s">
        <v>40</v>
      </c>
      <c r="SZR67" s="200"/>
      <c r="SZS67" s="150" t="s">
        <v>123</v>
      </c>
      <c r="SZT67" s="198"/>
      <c r="SZU67" s="199"/>
      <c r="SZV67" s="144" t="s">
        <v>22</v>
      </c>
      <c r="SZW67" s="145">
        <v>8150</v>
      </c>
      <c r="SZX67" s="153">
        <v>85</v>
      </c>
      <c r="SZY67" s="154">
        <v>215</v>
      </c>
      <c r="SZZ67" s="154">
        <v>75</v>
      </c>
      <c r="TAA67" s="153">
        <v>150</v>
      </c>
      <c r="TAB67" s="155">
        <f>SUM(SZW67:TAA67)</f>
        <v>8675</v>
      </c>
      <c r="TAC67" s="153">
        <v>200</v>
      </c>
      <c r="TAD67" s="155">
        <f>SUM(TAB67:TAC67)</f>
        <v>8875</v>
      </c>
      <c r="TAE67" s="148" t="s">
        <v>96</v>
      </c>
      <c r="TAF67" s="149">
        <v>45845</v>
      </c>
      <c r="TAG67" s="144" t="s">
        <v>40</v>
      </c>
      <c r="TAH67" s="200"/>
      <c r="TAI67" s="150" t="s">
        <v>123</v>
      </c>
      <c r="TAJ67" s="198"/>
      <c r="TAK67" s="199"/>
      <c r="TAL67" s="144" t="s">
        <v>22</v>
      </c>
      <c r="TAM67" s="145">
        <v>8150</v>
      </c>
      <c r="TAN67" s="153">
        <v>85</v>
      </c>
      <c r="TAO67" s="154">
        <v>215</v>
      </c>
      <c r="TAP67" s="154">
        <v>75</v>
      </c>
      <c r="TAQ67" s="153">
        <v>150</v>
      </c>
      <c r="TAR67" s="155">
        <f>SUM(TAM67:TAQ67)</f>
        <v>8675</v>
      </c>
      <c r="TAS67" s="153">
        <v>200</v>
      </c>
      <c r="TAT67" s="155">
        <f>SUM(TAR67:TAS67)</f>
        <v>8875</v>
      </c>
      <c r="TAU67" s="148" t="s">
        <v>96</v>
      </c>
      <c r="TAV67" s="149">
        <v>45845</v>
      </c>
      <c r="TAW67" s="144" t="s">
        <v>40</v>
      </c>
      <c r="TAX67" s="200"/>
      <c r="TAY67" s="150" t="s">
        <v>123</v>
      </c>
      <c r="TAZ67" s="198"/>
      <c r="TBA67" s="199"/>
      <c r="TBB67" s="144" t="s">
        <v>22</v>
      </c>
      <c r="TBC67" s="145">
        <v>8150</v>
      </c>
      <c r="TBD67" s="153">
        <v>85</v>
      </c>
      <c r="TBE67" s="154">
        <v>215</v>
      </c>
      <c r="TBF67" s="154">
        <v>75</v>
      </c>
      <c r="TBG67" s="153">
        <v>150</v>
      </c>
      <c r="TBH67" s="155">
        <f>SUM(TBC67:TBG67)</f>
        <v>8675</v>
      </c>
      <c r="TBI67" s="153">
        <v>200</v>
      </c>
      <c r="TBJ67" s="155">
        <f>SUM(TBH67:TBI67)</f>
        <v>8875</v>
      </c>
      <c r="TBK67" s="148" t="s">
        <v>96</v>
      </c>
      <c r="TBL67" s="149">
        <v>45845</v>
      </c>
      <c r="TBM67" s="144" t="s">
        <v>40</v>
      </c>
      <c r="TBN67" s="200"/>
      <c r="TBO67" s="150" t="s">
        <v>123</v>
      </c>
      <c r="TBP67" s="198"/>
      <c r="TBQ67" s="199"/>
      <c r="TBR67" s="144" t="s">
        <v>22</v>
      </c>
      <c r="TBS67" s="145">
        <v>8150</v>
      </c>
      <c r="TBT67" s="153">
        <v>85</v>
      </c>
      <c r="TBU67" s="154">
        <v>215</v>
      </c>
      <c r="TBV67" s="154">
        <v>75</v>
      </c>
      <c r="TBW67" s="153">
        <v>150</v>
      </c>
      <c r="TBX67" s="155">
        <f>SUM(TBS67:TBW67)</f>
        <v>8675</v>
      </c>
      <c r="TBY67" s="153">
        <v>200</v>
      </c>
      <c r="TBZ67" s="155">
        <f>SUM(TBX67:TBY67)</f>
        <v>8875</v>
      </c>
      <c r="TCA67" s="148" t="s">
        <v>96</v>
      </c>
      <c r="TCB67" s="149">
        <v>45845</v>
      </c>
      <c r="TCC67" s="144" t="s">
        <v>40</v>
      </c>
      <c r="TCD67" s="200"/>
      <c r="TCE67" s="150" t="s">
        <v>123</v>
      </c>
      <c r="TCF67" s="198"/>
      <c r="TCG67" s="199"/>
      <c r="TCH67" s="144" t="s">
        <v>22</v>
      </c>
      <c r="TCI67" s="145">
        <v>8150</v>
      </c>
      <c r="TCJ67" s="153">
        <v>85</v>
      </c>
      <c r="TCK67" s="154">
        <v>215</v>
      </c>
      <c r="TCL67" s="154">
        <v>75</v>
      </c>
      <c r="TCM67" s="153">
        <v>150</v>
      </c>
      <c r="TCN67" s="155">
        <f>SUM(TCI67:TCM67)</f>
        <v>8675</v>
      </c>
      <c r="TCO67" s="153">
        <v>200</v>
      </c>
      <c r="TCP67" s="155">
        <f>SUM(TCN67:TCO67)</f>
        <v>8875</v>
      </c>
      <c r="TCQ67" s="148" t="s">
        <v>96</v>
      </c>
      <c r="TCR67" s="149">
        <v>45845</v>
      </c>
      <c r="TCS67" s="144" t="s">
        <v>40</v>
      </c>
      <c r="TCT67" s="200"/>
      <c r="TCU67" s="150" t="s">
        <v>123</v>
      </c>
      <c r="TCV67" s="198"/>
      <c r="TCW67" s="199"/>
      <c r="TCX67" s="144" t="s">
        <v>22</v>
      </c>
      <c r="TCY67" s="145">
        <v>8150</v>
      </c>
      <c r="TCZ67" s="153">
        <v>85</v>
      </c>
      <c r="TDA67" s="154">
        <v>215</v>
      </c>
      <c r="TDB67" s="154">
        <v>75</v>
      </c>
      <c r="TDC67" s="153">
        <v>150</v>
      </c>
      <c r="TDD67" s="155">
        <f>SUM(TCY67:TDC67)</f>
        <v>8675</v>
      </c>
      <c r="TDE67" s="153">
        <v>200</v>
      </c>
      <c r="TDF67" s="155">
        <f>SUM(TDD67:TDE67)</f>
        <v>8875</v>
      </c>
      <c r="TDG67" s="148" t="s">
        <v>96</v>
      </c>
      <c r="TDH67" s="149">
        <v>45845</v>
      </c>
      <c r="TDI67" s="144" t="s">
        <v>40</v>
      </c>
      <c r="TDJ67" s="200"/>
      <c r="TDK67" s="150" t="s">
        <v>123</v>
      </c>
      <c r="TDL67" s="198"/>
      <c r="TDM67" s="199"/>
      <c r="TDN67" s="144" t="s">
        <v>22</v>
      </c>
      <c r="TDO67" s="145">
        <v>8150</v>
      </c>
      <c r="TDP67" s="153">
        <v>85</v>
      </c>
      <c r="TDQ67" s="154">
        <v>215</v>
      </c>
      <c r="TDR67" s="154">
        <v>75</v>
      </c>
      <c r="TDS67" s="153">
        <v>150</v>
      </c>
      <c r="TDT67" s="155">
        <f>SUM(TDO67:TDS67)</f>
        <v>8675</v>
      </c>
      <c r="TDU67" s="153">
        <v>200</v>
      </c>
      <c r="TDV67" s="155">
        <f>SUM(TDT67:TDU67)</f>
        <v>8875</v>
      </c>
      <c r="TDW67" s="148" t="s">
        <v>96</v>
      </c>
      <c r="TDX67" s="149">
        <v>45845</v>
      </c>
      <c r="TDY67" s="144" t="s">
        <v>40</v>
      </c>
      <c r="TDZ67" s="200"/>
      <c r="TEA67" s="150" t="s">
        <v>123</v>
      </c>
      <c r="TEB67" s="198"/>
      <c r="TEC67" s="199"/>
      <c r="TED67" s="144" t="s">
        <v>22</v>
      </c>
      <c r="TEE67" s="145">
        <v>8150</v>
      </c>
      <c r="TEF67" s="153">
        <v>85</v>
      </c>
      <c r="TEG67" s="154">
        <v>215</v>
      </c>
      <c r="TEH67" s="154">
        <v>75</v>
      </c>
      <c r="TEI67" s="153">
        <v>150</v>
      </c>
      <c r="TEJ67" s="155">
        <f>SUM(TEE67:TEI67)</f>
        <v>8675</v>
      </c>
      <c r="TEK67" s="153">
        <v>200</v>
      </c>
      <c r="TEL67" s="155">
        <f>SUM(TEJ67:TEK67)</f>
        <v>8875</v>
      </c>
      <c r="TEM67" s="148" t="s">
        <v>96</v>
      </c>
      <c r="TEN67" s="149">
        <v>45845</v>
      </c>
      <c r="TEO67" s="144" t="s">
        <v>40</v>
      </c>
      <c r="TEP67" s="200"/>
      <c r="TEQ67" s="150" t="s">
        <v>123</v>
      </c>
      <c r="TER67" s="198"/>
      <c r="TES67" s="199"/>
      <c r="TET67" s="144" t="s">
        <v>22</v>
      </c>
      <c r="TEU67" s="145">
        <v>8150</v>
      </c>
      <c r="TEV67" s="153">
        <v>85</v>
      </c>
      <c r="TEW67" s="154">
        <v>215</v>
      </c>
      <c r="TEX67" s="154">
        <v>75</v>
      </c>
      <c r="TEY67" s="153">
        <v>150</v>
      </c>
      <c r="TEZ67" s="155">
        <f>SUM(TEU67:TEY67)</f>
        <v>8675</v>
      </c>
      <c r="TFA67" s="153">
        <v>200</v>
      </c>
      <c r="TFB67" s="155">
        <f>SUM(TEZ67:TFA67)</f>
        <v>8875</v>
      </c>
      <c r="TFC67" s="148" t="s">
        <v>96</v>
      </c>
      <c r="TFD67" s="149">
        <v>45845</v>
      </c>
      <c r="TFE67" s="144" t="s">
        <v>40</v>
      </c>
      <c r="TFF67" s="200"/>
      <c r="TFG67" s="150" t="s">
        <v>123</v>
      </c>
      <c r="TFH67" s="198"/>
      <c r="TFI67" s="199"/>
      <c r="TFJ67" s="144" t="s">
        <v>22</v>
      </c>
      <c r="TFK67" s="145">
        <v>8150</v>
      </c>
      <c r="TFL67" s="153">
        <v>85</v>
      </c>
      <c r="TFM67" s="154">
        <v>215</v>
      </c>
      <c r="TFN67" s="154">
        <v>75</v>
      </c>
      <c r="TFO67" s="153">
        <v>150</v>
      </c>
      <c r="TFP67" s="155">
        <f>SUM(TFK67:TFO67)</f>
        <v>8675</v>
      </c>
      <c r="TFQ67" s="153">
        <v>200</v>
      </c>
      <c r="TFR67" s="155">
        <f>SUM(TFP67:TFQ67)</f>
        <v>8875</v>
      </c>
      <c r="TFS67" s="148" t="s">
        <v>96</v>
      </c>
      <c r="TFT67" s="149">
        <v>45845</v>
      </c>
      <c r="TFU67" s="144" t="s">
        <v>40</v>
      </c>
      <c r="TFV67" s="200"/>
      <c r="TFW67" s="150" t="s">
        <v>123</v>
      </c>
      <c r="TFX67" s="198"/>
      <c r="TFY67" s="199"/>
      <c r="TFZ67" s="144" t="s">
        <v>22</v>
      </c>
      <c r="TGA67" s="145">
        <v>8150</v>
      </c>
      <c r="TGB67" s="153">
        <v>85</v>
      </c>
      <c r="TGC67" s="154">
        <v>215</v>
      </c>
      <c r="TGD67" s="154">
        <v>75</v>
      </c>
      <c r="TGE67" s="153">
        <v>150</v>
      </c>
      <c r="TGF67" s="155">
        <f>SUM(TGA67:TGE67)</f>
        <v>8675</v>
      </c>
      <c r="TGG67" s="153">
        <v>200</v>
      </c>
      <c r="TGH67" s="155">
        <f>SUM(TGF67:TGG67)</f>
        <v>8875</v>
      </c>
      <c r="TGI67" s="148" t="s">
        <v>96</v>
      </c>
      <c r="TGJ67" s="149">
        <v>45845</v>
      </c>
      <c r="TGK67" s="144" t="s">
        <v>40</v>
      </c>
      <c r="TGL67" s="200"/>
      <c r="TGM67" s="150" t="s">
        <v>123</v>
      </c>
      <c r="TGN67" s="198"/>
      <c r="TGO67" s="199"/>
      <c r="TGP67" s="144" t="s">
        <v>22</v>
      </c>
      <c r="TGQ67" s="145">
        <v>8150</v>
      </c>
      <c r="TGR67" s="153">
        <v>85</v>
      </c>
      <c r="TGS67" s="154">
        <v>215</v>
      </c>
      <c r="TGT67" s="154">
        <v>75</v>
      </c>
      <c r="TGU67" s="153">
        <v>150</v>
      </c>
      <c r="TGV67" s="155">
        <f>SUM(TGQ67:TGU67)</f>
        <v>8675</v>
      </c>
      <c r="TGW67" s="153">
        <v>200</v>
      </c>
      <c r="TGX67" s="155">
        <f>SUM(TGV67:TGW67)</f>
        <v>8875</v>
      </c>
      <c r="TGY67" s="148" t="s">
        <v>96</v>
      </c>
      <c r="TGZ67" s="149">
        <v>45845</v>
      </c>
      <c r="THA67" s="144" t="s">
        <v>40</v>
      </c>
      <c r="THB67" s="200"/>
      <c r="THC67" s="150" t="s">
        <v>123</v>
      </c>
      <c r="THD67" s="198"/>
      <c r="THE67" s="199"/>
      <c r="THF67" s="144" t="s">
        <v>22</v>
      </c>
      <c r="THG67" s="145">
        <v>8150</v>
      </c>
      <c r="THH67" s="153">
        <v>85</v>
      </c>
      <c r="THI67" s="154">
        <v>215</v>
      </c>
      <c r="THJ67" s="154">
        <v>75</v>
      </c>
      <c r="THK67" s="153">
        <v>150</v>
      </c>
      <c r="THL67" s="155">
        <f>SUM(THG67:THK67)</f>
        <v>8675</v>
      </c>
      <c r="THM67" s="153">
        <v>200</v>
      </c>
      <c r="THN67" s="155">
        <f>SUM(THL67:THM67)</f>
        <v>8875</v>
      </c>
      <c r="THO67" s="148" t="s">
        <v>96</v>
      </c>
      <c r="THP67" s="149">
        <v>45845</v>
      </c>
      <c r="THQ67" s="144" t="s">
        <v>40</v>
      </c>
      <c r="THR67" s="200"/>
      <c r="THS67" s="150" t="s">
        <v>123</v>
      </c>
      <c r="THT67" s="198"/>
      <c r="THU67" s="199"/>
      <c r="THV67" s="144" t="s">
        <v>22</v>
      </c>
      <c r="THW67" s="145">
        <v>8150</v>
      </c>
      <c r="THX67" s="153">
        <v>85</v>
      </c>
      <c r="THY67" s="154">
        <v>215</v>
      </c>
      <c r="THZ67" s="154">
        <v>75</v>
      </c>
      <c r="TIA67" s="153">
        <v>150</v>
      </c>
      <c r="TIB67" s="155">
        <f>SUM(THW67:TIA67)</f>
        <v>8675</v>
      </c>
      <c r="TIC67" s="153">
        <v>200</v>
      </c>
      <c r="TID67" s="155">
        <f>SUM(TIB67:TIC67)</f>
        <v>8875</v>
      </c>
      <c r="TIE67" s="148" t="s">
        <v>96</v>
      </c>
      <c r="TIF67" s="149">
        <v>45845</v>
      </c>
      <c r="TIG67" s="144" t="s">
        <v>40</v>
      </c>
      <c r="TIH67" s="200"/>
      <c r="TII67" s="150" t="s">
        <v>123</v>
      </c>
      <c r="TIJ67" s="198"/>
      <c r="TIK67" s="199"/>
      <c r="TIL67" s="144" t="s">
        <v>22</v>
      </c>
      <c r="TIM67" s="145">
        <v>8150</v>
      </c>
      <c r="TIN67" s="153">
        <v>85</v>
      </c>
      <c r="TIO67" s="154">
        <v>215</v>
      </c>
      <c r="TIP67" s="154">
        <v>75</v>
      </c>
      <c r="TIQ67" s="153">
        <v>150</v>
      </c>
      <c r="TIR67" s="155">
        <f>SUM(TIM67:TIQ67)</f>
        <v>8675</v>
      </c>
      <c r="TIS67" s="153">
        <v>200</v>
      </c>
      <c r="TIT67" s="155">
        <f>SUM(TIR67:TIS67)</f>
        <v>8875</v>
      </c>
      <c r="TIU67" s="148" t="s">
        <v>96</v>
      </c>
      <c r="TIV67" s="149">
        <v>45845</v>
      </c>
      <c r="TIW67" s="144" t="s">
        <v>40</v>
      </c>
      <c r="TIX67" s="200"/>
      <c r="TIY67" s="150" t="s">
        <v>123</v>
      </c>
      <c r="TIZ67" s="198"/>
      <c r="TJA67" s="199"/>
      <c r="TJB67" s="144" t="s">
        <v>22</v>
      </c>
      <c r="TJC67" s="145">
        <v>8150</v>
      </c>
      <c r="TJD67" s="153">
        <v>85</v>
      </c>
      <c r="TJE67" s="154">
        <v>215</v>
      </c>
      <c r="TJF67" s="154">
        <v>75</v>
      </c>
      <c r="TJG67" s="153">
        <v>150</v>
      </c>
      <c r="TJH67" s="155">
        <f>SUM(TJC67:TJG67)</f>
        <v>8675</v>
      </c>
      <c r="TJI67" s="153">
        <v>200</v>
      </c>
      <c r="TJJ67" s="155">
        <f>SUM(TJH67:TJI67)</f>
        <v>8875</v>
      </c>
      <c r="TJK67" s="148" t="s">
        <v>96</v>
      </c>
      <c r="TJL67" s="149">
        <v>45845</v>
      </c>
      <c r="TJM67" s="144" t="s">
        <v>40</v>
      </c>
      <c r="TJN67" s="200"/>
      <c r="TJO67" s="150" t="s">
        <v>123</v>
      </c>
      <c r="TJP67" s="198"/>
      <c r="TJQ67" s="199"/>
      <c r="TJR67" s="144" t="s">
        <v>22</v>
      </c>
      <c r="TJS67" s="145">
        <v>8150</v>
      </c>
      <c r="TJT67" s="153">
        <v>85</v>
      </c>
      <c r="TJU67" s="154">
        <v>215</v>
      </c>
      <c r="TJV67" s="154">
        <v>75</v>
      </c>
      <c r="TJW67" s="153">
        <v>150</v>
      </c>
      <c r="TJX67" s="155">
        <f>SUM(TJS67:TJW67)</f>
        <v>8675</v>
      </c>
      <c r="TJY67" s="153">
        <v>200</v>
      </c>
      <c r="TJZ67" s="155">
        <f>SUM(TJX67:TJY67)</f>
        <v>8875</v>
      </c>
      <c r="TKA67" s="148" t="s">
        <v>96</v>
      </c>
      <c r="TKB67" s="149">
        <v>45845</v>
      </c>
      <c r="TKC67" s="144" t="s">
        <v>40</v>
      </c>
      <c r="TKD67" s="200"/>
      <c r="TKE67" s="150" t="s">
        <v>123</v>
      </c>
      <c r="TKF67" s="198"/>
      <c r="TKG67" s="199"/>
      <c r="TKH67" s="144" t="s">
        <v>22</v>
      </c>
      <c r="TKI67" s="145">
        <v>8150</v>
      </c>
      <c r="TKJ67" s="153">
        <v>85</v>
      </c>
      <c r="TKK67" s="154">
        <v>215</v>
      </c>
      <c r="TKL67" s="154">
        <v>75</v>
      </c>
      <c r="TKM67" s="153">
        <v>150</v>
      </c>
      <c r="TKN67" s="155">
        <f>SUM(TKI67:TKM67)</f>
        <v>8675</v>
      </c>
      <c r="TKO67" s="153">
        <v>200</v>
      </c>
      <c r="TKP67" s="155">
        <f>SUM(TKN67:TKO67)</f>
        <v>8875</v>
      </c>
      <c r="TKQ67" s="148" t="s">
        <v>96</v>
      </c>
      <c r="TKR67" s="149">
        <v>45845</v>
      </c>
      <c r="TKS67" s="144" t="s">
        <v>40</v>
      </c>
      <c r="TKT67" s="200"/>
      <c r="TKU67" s="150" t="s">
        <v>123</v>
      </c>
      <c r="TKV67" s="198"/>
      <c r="TKW67" s="199"/>
      <c r="TKX67" s="144" t="s">
        <v>22</v>
      </c>
      <c r="TKY67" s="145">
        <v>8150</v>
      </c>
      <c r="TKZ67" s="153">
        <v>85</v>
      </c>
      <c r="TLA67" s="154">
        <v>215</v>
      </c>
      <c r="TLB67" s="154">
        <v>75</v>
      </c>
      <c r="TLC67" s="153">
        <v>150</v>
      </c>
      <c r="TLD67" s="155">
        <f>SUM(TKY67:TLC67)</f>
        <v>8675</v>
      </c>
      <c r="TLE67" s="153">
        <v>200</v>
      </c>
      <c r="TLF67" s="155">
        <f>SUM(TLD67:TLE67)</f>
        <v>8875</v>
      </c>
      <c r="TLG67" s="148" t="s">
        <v>96</v>
      </c>
      <c r="TLH67" s="149">
        <v>45845</v>
      </c>
      <c r="TLI67" s="144" t="s">
        <v>40</v>
      </c>
      <c r="TLJ67" s="200"/>
      <c r="TLK67" s="150" t="s">
        <v>123</v>
      </c>
      <c r="TLL67" s="198"/>
      <c r="TLM67" s="199"/>
      <c r="TLN67" s="144" t="s">
        <v>22</v>
      </c>
      <c r="TLO67" s="145">
        <v>8150</v>
      </c>
      <c r="TLP67" s="153">
        <v>85</v>
      </c>
      <c r="TLQ67" s="154">
        <v>215</v>
      </c>
      <c r="TLR67" s="154">
        <v>75</v>
      </c>
      <c r="TLS67" s="153">
        <v>150</v>
      </c>
      <c r="TLT67" s="155">
        <f>SUM(TLO67:TLS67)</f>
        <v>8675</v>
      </c>
      <c r="TLU67" s="153">
        <v>200</v>
      </c>
      <c r="TLV67" s="155">
        <f>SUM(TLT67:TLU67)</f>
        <v>8875</v>
      </c>
      <c r="TLW67" s="148" t="s">
        <v>96</v>
      </c>
      <c r="TLX67" s="149">
        <v>45845</v>
      </c>
      <c r="TLY67" s="144" t="s">
        <v>40</v>
      </c>
      <c r="TLZ67" s="200"/>
      <c r="TMA67" s="150" t="s">
        <v>123</v>
      </c>
      <c r="TMB67" s="198"/>
      <c r="TMC67" s="199"/>
      <c r="TMD67" s="144" t="s">
        <v>22</v>
      </c>
      <c r="TME67" s="145">
        <v>8150</v>
      </c>
      <c r="TMF67" s="153">
        <v>85</v>
      </c>
      <c r="TMG67" s="154">
        <v>215</v>
      </c>
      <c r="TMH67" s="154">
        <v>75</v>
      </c>
      <c r="TMI67" s="153">
        <v>150</v>
      </c>
      <c r="TMJ67" s="155">
        <f>SUM(TME67:TMI67)</f>
        <v>8675</v>
      </c>
      <c r="TMK67" s="153">
        <v>200</v>
      </c>
      <c r="TML67" s="155">
        <f>SUM(TMJ67:TMK67)</f>
        <v>8875</v>
      </c>
      <c r="TMM67" s="148" t="s">
        <v>96</v>
      </c>
      <c r="TMN67" s="149">
        <v>45845</v>
      </c>
      <c r="TMO67" s="144" t="s">
        <v>40</v>
      </c>
      <c r="TMP67" s="200"/>
      <c r="TMQ67" s="150" t="s">
        <v>123</v>
      </c>
      <c r="TMR67" s="198"/>
      <c r="TMS67" s="199"/>
      <c r="TMT67" s="144" t="s">
        <v>22</v>
      </c>
      <c r="TMU67" s="145">
        <v>8150</v>
      </c>
      <c r="TMV67" s="153">
        <v>85</v>
      </c>
      <c r="TMW67" s="154">
        <v>215</v>
      </c>
      <c r="TMX67" s="154">
        <v>75</v>
      </c>
      <c r="TMY67" s="153">
        <v>150</v>
      </c>
      <c r="TMZ67" s="155">
        <f>SUM(TMU67:TMY67)</f>
        <v>8675</v>
      </c>
      <c r="TNA67" s="153">
        <v>200</v>
      </c>
      <c r="TNB67" s="155">
        <f>SUM(TMZ67:TNA67)</f>
        <v>8875</v>
      </c>
      <c r="TNC67" s="148" t="s">
        <v>96</v>
      </c>
      <c r="TND67" s="149">
        <v>45845</v>
      </c>
      <c r="TNE67" s="144" t="s">
        <v>40</v>
      </c>
      <c r="TNF67" s="200"/>
      <c r="TNG67" s="150" t="s">
        <v>123</v>
      </c>
      <c r="TNH67" s="198"/>
      <c r="TNI67" s="199"/>
      <c r="TNJ67" s="144" t="s">
        <v>22</v>
      </c>
      <c r="TNK67" s="145">
        <v>8150</v>
      </c>
      <c r="TNL67" s="153">
        <v>85</v>
      </c>
      <c r="TNM67" s="154">
        <v>215</v>
      </c>
      <c r="TNN67" s="154">
        <v>75</v>
      </c>
      <c r="TNO67" s="153">
        <v>150</v>
      </c>
      <c r="TNP67" s="155">
        <f>SUM(TNK67:TNO67)</f>
        <v>8675</v>
      </c>
      <c r="TNQ67" s="153">
        <v>200</v>
      </c>
      <c r="TNR67" s="155">
        <f>SUM(TNP67:TNQ67)</f>
        <v>8875</v>
      </c>
      <c r="TNS67" s="148" t="s">
        <v>96</v>
      </c>
      <c r="TNT67" s="149">
        <v>45845</v>
      </c>
      <c r="TNU67" s="144" t="s">
        <v>40</v>
      </c>
      <c r="TNV67" s="200"/>
      <c r="TNW67" s="150" t="s">
        <v>123</v>
      </c>
      <c r="TNX67" s="198"/>
      <c r="TNY67" s="199"/>
      <c r="TNZ67" s="144" t="s">
        <v>22</v>
      </c>
      <c r="TOA67" s="145">
        <v>8150</v>
      </c>
      <c r="TOB67" s="153">
        <v>85</v>
      </c>
      <c r="TOC67" s="154">
        <v>215</v>
      </c>
      <c r="TOD67" s="154">
        <v>75</v>
      </c>
      <c r="TOE67" s="153">
        <v>150</v>
      </c>
      <c r="TOF67" s="155">
        <f>SUM(TOA67:TOE67)</f>
        <v>8675</v>
      </c>
      <c r="TOG67" s="153">
        <v>200</v>
      </c>
      <c r="TOH67" s="155">
        <f>SUM(TOF67:TOG67)</f>
        <v>8875</v>
      </c>
      <c r="TOI67" s="148" t="s">
        <v>96</v>
      </c>
      <c r="TOJ67" s="149">
        <v>45845</v>
      </c>
      <c r="TOK67" s="144" t="s">
        <v>40</v>
      </c>
      <c r="TOL67" s="200"/>
      <c r="TOM67" s="150" t="s">
        <v>123</v>
      </c>
      <c r="TON67" s="198"/>
      <c r="TOO67" s="199"/>
      <c r="TOP67" s="144" t="s">
        <v>22</v>
      </c>
      <c r="TOQ67" s="145">
        <v>8150</v>
      </c>
      <c r="TOR67" s="153">
        <v>85</v>
      </c>
      <c r="TOS67" s="154">
        <v>215</v>
      </c>
      <c r="TOT67" s="154">
        <v>75</v>
      </c>
      <c r="TOU67" s="153">
        <v>150</v>
      </c>
      <c r="TOV67" s="155">
        <f>SUM(TOQ67:TOU67)</f>
        <v>8675</v>
      </c>
      <c r="TOW67" s="153">
        <v>200</v>
      </c>
      <c r="TOX67" s="155">
        <f>SUM(TOV67:TOW67)</f>
        <v>8875</v>
      </c>
      <c r="TOY67" s="148" t="s">
        <v>96</v>
      </c>
      <c r="TOZ67" s="149">
        <v>45845</v>
      </c>
      <c r="TPA67" s="144" t="s">
        <v>40</v>
      </c>
      <c r="TPB67" s="200"/>
      <c r="TPC67" s="150" t="s">
        <v>123</v>
      </c>
      <c r="TPD67" s="198"/>
      <c r="TPE67" s="199"/>
      <c r="TPF67" s="144" t="s">
        <v>22</v>
      </c>
      <c r="TPG67" s="145">
        <v>8150</v>
      </c>
      <c r="TPH67" s="153">
        <v>85</v>
      </c>
      <c r="TPI67" s="154">
        <v>215</v>
      </c>
      <c r="TPJ67" s="154">
        <v>75</v>
      </c>
      <c r="TPK67" s="153">
        <v>150</v>
      </c>
      <c r="TPL67" s="155">
        <f>SUM(TPG67:TPK67)</f>
        <v>8675</v>
      </c>
      <c r="TPM67" s="153">
        <v>200</v>
      </c>
      <c r="TPN67" s="155">
        <f>SUM(TPL67:TPM67)</f>
        <v>8875</v>
      </c>
      <c r="TPO67" s="148" t="s">
        <v>96</v>
      </c>
      <c r="TPP67" s="149">
        <v>45845</v>
      </c>
      <c r="TPQ67" s="144" t="s">
        <v>40</v>
      </c>
      <c r="TPR67" s="200"/>
      <c r="TPS67" s="150" t="s">
        <v>123</v>
      </c>
      <c r="TPT67" s="198"/>
      <c r="TPU67" s="199"/>
      <c r="TPV67" s="144" t="s">
        <v>22</v>
      </c>
      <c r="TPW67" s="145">
        <v>8150</v>
      </c>
      <c r="TPX67" s="153">
        <v>85</v>
      </c>
      <c r="TPY67" s="154">
        <v>215</v>
      </c>
      <c r="TPZ67" s="154">
        <v>75</v>
      </c>
      <c r="TQA67" s="153">
        <v>150</v>
      </c>
      <c r="TQB67" s="155">
        <f>SUM(TPW67:TQA67)</f>
        <v>8675</v>
      </c>
      <c r="TQC67" s="153">
        <v>200</v>
      </c>
      <c r="TQD67" s="155">
        <f>SUM(TQB67:TQC67)</f>
        <v>8875</v>
      </c>
      <c r="TQE67" s="148" t="s">
        <v>96</v>
      </c>
      <c r="TQF67" s="149">
        <v>45845</v>
      </c>
      <c r="TQG67" s="144" t="s">
        <v>40</v>
      </c>
      <c r="TQH67" s="200"/>
      <c r="TQI67" s="150" t="s">
        <v>123</v>
      </c>
      <c r="TQJ67" s="198"/>
      <c r="TQK67" s="199"/>
      <c r="TQL67" s="144" t="s">
        <v>22</v>
      </c>
      <c r="TQM67" s="145">
        <v>8150</v>
      </c>
      <c r="TQN67" s="153">
        <v>85</v>
      </c>
      <c r="TQO67" s="154">
        <v>215</v>
      </c>
      <c r="TQP67" s="154">
        <v>75</v>
      </c>
      <c r="TQQ67" s="153">
        <v>150</v>
      </c>
      <c r="TQR67" s="155">
        <f>SUM(TQM67:TQQ67)</f>
        <v>8675</v>
      </c>
      <c r="TQS67" s="153">
        <v>200</v>
      </c>
      <c r="TQT67" s="155">
        <f>SUM(TQR67:TQS67)</f>
        <v>8875</v>
      </c>
      <c r="TQU67" s="148" t="s">
        <v>96</v>
      </c>
      <c r="TQV67" s="149">
        <v>45845</v>
      </c>
      <c r="TQW67" s="144" t="s">
        <v>40</v>
      </c>
      <c r="TQX67" s="200"/>
      <c r="TQY67" s="150" t="s">
        <v>123</v>
      </c>
      <c r="TQZ67" s="198"/>
      <c r="TRA67" s="199"/>
      <c r="TRB67" s="144" t="s">
        <v>22</v>
      </c>
      <c r="TRC67" s="145">
        <v>8150</v>
      </c>
      <c r="TRD67" s="153">
        <v>85</v>
      </c>
      <c r="TRE67" s="154">
        <v>215</v>
      </c>
      <c r="TRF67" s="154">
        <v>75</v>
      </c>
      <c r="TRG67" s="153">
        <v>150</v>
      </c>
      <c r="TRH67" s="155">
        <f>SUM(TRC67:TRG67)</f>
        <v>8675</v>
      </c>
      <c r="TRI67" s="153">
        <v>200</v>
      </c>
      <c r="TRJ67" s="155">
        <f>SUM(TRH67:TRI67)</f>
        <v>8875</v>
      </c>
      <c r="TRK67" s="148" t="s">
        <v>96</v>
      </c>
      <c r="TRL67" s="149">
        <v>45845</v>
      </c>
      <c r="TRM67" s="144" t="s">
        <v>40</v>
      </c>
      <c r="TRN67" s="200"/>
      <c r="TRO67" s="150" t="s">
        <v>123</v>
      </c>
      <c r="TRP67" s="198"/>
      <c r="TRQ67" s="199"/>
      <c r="TRR67" s="144" t="s">
        <v>22</v>
      </c>
      <c r="TRS67" s="145">
        <v>8150</v>
      </c>
      <c r="TRT67" s="153">
        <v>85</v>
      </c>
      <c r="TRU67" s="154">
        <v>215</v>
      </c>
      <c r="TRV67" s="154">
        <v>75</v>
      </c>
      <c r="TRW67" s="153">
        <v>150</v>
      </c>
      <c r="TRX67" s="155">
        <f>SUM(TRS67:TRW67)</f>
        <v>8675</v>
      </c>
      <c r="TRY67" s="153">
        <v>200</v>
      </c>
      <c r="TRZ67" s="155">
        <f>SUM(TRX67:TRY67)</f>
        <v>8875</v>
      </c>
      <c r="TSA67" s="148" t="s">
        <v>96</v>
      </c>
      <c r="TSB67" s="149">
        <v>45845</v>
      </c>
      <c r="TSC67" s="144" t="s">
        <v>40</v>
      </c>
      <c r="TSD67" s="200"/>
      <c r="TSE67" s="150" t="s">
        <v>123</v>
      </c>
      <c r="TSF67" s="198"/>
      <c r="TSG67" s="199"/>
      <c r="TSH67" s="144" t="s">
        <v>22</v>
      </c>
      <c r="TSI67" s="145">
        <v>8150</v>
      </c>
      <c r="TSJ67" s="153">
        <v>85</v>
      </c>
      <c r="TSK67" s="154">
        <v>215</v>
      </c>
      <c r="TSL67" s="154">
        <v>75</v>
      </c>
      <c r="TSM67" s="153">
        <v>150</v>
      </c>
      <c r="TSN67" s="155">
        <f>SUM(TSI67:TSM67)</f>
        <v>8675</v>
      </c>
      <c r="TSO67" s="153">
        <v>200</v>
      </c>
      <c r="TSP67" s="155">
        <f>SUM(TSN67:TSO67)</f>
        <v>8875</v>
      </c>
      <c r="TSQ67" s="148" t="s">
        <v>96</v>
      </c>
      <c r="TSR67" s="149">
        <v>45845</v>
      </c>
      <c r="TSS67" s="144" t="s">
        <v>40</v>
      </c>
      <c r="TST67" s="200"/>
      <c r="TSU67" s="150" t="s">
        <v>123</v>
      </c>
      <c r="TSV67" s="198"/>
      <c r="TSW67" s="199"/>
      <c r="TSX67" s="144" t="s">
        <v>22</v>
      </c>
      <c r="TSY67" s="145">
        <v>8150</v>
      </c>
      <c r="TSZ67" s="153">
        <v>85</v>
      </c>
      <c r="TTA67" s="154">
        <v>215</v>
      </c>
      <c r="TTB67" s="154">
        <v>75</v>
      </c>
      <c r="TTC67" s="153">
        <v>150</v>
      </c>
      <c r="TTD67" s="155">
        <f>SUM(TSY67:TTC67)</f>
        <v>8675</v>
      </c>
      <c r="TTE67" s="153">
        <v>200</v>
      </c>
      <c r="TTF67" s="155">
        <f>SUM(TTD67:TTE67)</f>
        <v>8875</v>
      </c>
      <c r="TTG67" s="148" t="s">
        <v>96</v>
      </c>
      <c r="TTH67" s="149">
        <v>45845</v>
      </c>
      <c r="TTI67" s="144" t="s">
        <v>40</v>
      </c>
      <c r="TTJ67" s="200"/>
      <c r="TTK67" s="150" t="s">
        <v>123</v>
      </c>
      <c r="TTL67" s="198"/>
      <c r="TTM67" s="199"/>
      <c r="TTN67" s="144" t="s">
        <v>22</v>
      </c>
      <c r="TTO67" s="145">
        <v>8150</v>
      </c>
      <c r="TTP67" s="153">
        <v>85</v>
      </c>
      <c r="TTQ67" s="154">
        <v>215</v>
      </c>
      <c r="TTR67" s="154">
        <v>75</v>
      </c>
      <c r="TTS67" s="153">
        <v>150</v>
      </c>
      <c r="TTT67" s="155">
        <f>SUM(TTO67:TTS67)</f>
        <v>8675</v>
      </c>
      <c r="TTU67" s="153">
        <v>200</v>
      </c>
      <c r="TTV67" s="155">
        <f>SUM(TTT67:TTU67)</f>
        <v>8875</v>
      </c>
      <c r="TTW67" s="148" t="s">
        <v>96</v>
      </c>
      <c r="TTX67" s="149">
        <v>45845</v>
      </c>
      <c r="TTY67" s="144" t="s">
        <v>40</v>
      </c>
      <c r="TTZ67" s="200"/>
      <c r="TUA67" s="150" t="s">
        <v>123</v>
      </c>
      <c r="TUB67" s="198"/>
      <c r="TUC67" s="199"/>
      <c r="TUD67" s="144" t="s">
        <v>22</v>
      </c>
      <c r="TUE67" s="145">
        <v>8150</v>
      </c>
      <c r="TUF67" s="153">
        <v>85</v>
      </c>
      <c r="TUG67" s="154">
        <v>215</v>
      </c>
      <c r="TUH67" s="154">
        <v>75</v>
      </c>
      <c r="TUI67" s="153">
        <v>150</v>
      </c>
      <c r="TUJ67" s="155">
        <f>SUM(TUE67:TUI67)</f>
        <v>8675</v>
      </c>
      <c r="TUK67" s="153">
        <v>200</v>
      </c>
      <c r="TUL67" s="155">
        <f>SUM(TUJ67:TUK67)</f>
        <v>8875</v>
      </c>
      <c r="TUM67" s="148" t="s">
        <v>96</v>
      </c>
      <c r="TUN67" s="149">
        <v>45845</v>
      </c>
      <c r="TUO67" s="144" t="s">
        <v>40</v>
      </c>
      <c r="TUP67" s="200"/>
      <c r="TUQ67" s="150" t="s">
        <v>123</v>
      </c>
      <c r="TUR67" s="198"/>
      <c r="TUS67" s="199"/>
      <c r="TUT67" s="144" t="s">
        <v>22</v>
      </c>
      <c r="TUU67" s="145">
        <v>8150</v>
      </c>
      <c r="TUV67" s="153">
        <v>85</v>
      </c>
      <c r="TUW67" s="154">
        <v>215</v>
      </c>
      <c r="TUX67" s="154">
        <v>75</v>
      </c>
      <c r="TUY67" s="153">
        <v>150</v>
      </c>
      <c r="TUZ67" s="155">
        <f>SUM(TUU67:TUY67)</f>
        <v>8675</v>
      </c>
      <c r="TVA67" s="153">
        <v>200</v>
      </c>
      <c r="TVB67" s="155">
        <f>SUM(TUZ67:TVA67)</f>
        <v>8875</v>
      </c>
      <c r="TVC67" s="148" t="s">
        <v>96</v>
      </c>
      <c r="TVD67" s="149">
        <v>45845</v>
      </c>
      <c r="TVE67" s="144" t="s">
        <v>40</v>
      </c>
      <c r="TVF67" s="200"/>
      <c r="TVG67" s="150" t="s">
        <v>123</v>
      </c>
      <c r="TVH67" s="198"/>
      <c r="TVI67" s="199"/>
      <c r="TVJ67" s="144" t="s">
        <v>22</v>
      </c>
      <c r="TVK67" s="145">
        <v>8150</v>
      </c>
      <c r="TVL67" s="153">
        <v>85</v>
      </c>
      <c r="TVM67" s="154">
        <v>215</v>
      </c>
      <c r="TVN67" s="154">
        <v>75</v>
      </c>
      <c r="TVO67" s="153">
        <v>150</v>
      </c>
      <c r="TVP67" s="155">
        <f>SUM(TVK67:TVO67)</f>
        <v>8675</v>
      </c>
      <c r="TVQ67" s="153">
        <v>200</v>
      </c>
      <c r="TVR67" s="155">
        <f>SUM(TVP67:TVQ67)</f>
        <v>8875</v>
      </c>
      <c r="TVS67" s="148" t="s">
        <v>96</v>
      </c>
      <c r="TVT67" s="149">
        <v>45845</v>
      </c>
      <c r="TVU67" s="144" t="s">
        <v>40</v>
      </c>
      <c r="TVV67" s="200"/>
      <c r="TVW67" s="150" t="s">
        <v>123</v>
      </c>
      <c r="TVX67" s="198"/>
      <c r="TVY67" s="199"/>
      <c r="TVZ67" s="144" t="s">
        <v>22</v>
      </c>
      <c r="TWA67" s="145">
        <v>8150</v>
      </c>
      <c r="TWB67" s="153">
        <v>85</v>
      </c>
      <c r="TWC67" s="154">
        <v>215</v>
      </c>
      <c r="TWD67" s="154">
        <v>75</v>
      </c>
      <c r="TWE67" s="153">
        <v>150</v>
      </c>
      <c r="TWF67" s="155">
        <f>SUM(TWA67:TWE67)</f>
        <v>8675</v>
      </c>
      <c r="TWG67" s="153">
        <v>200</v>
      </c>
      <c r="TWH67" s="155">
        <f>SUM(TWF67:TWG67)</f>
        <v>8875</v>
      </c>
      <c r="TWI67" s="148" t="s">
        <v>96</v>
      </c>
      <c r="TWJ67" s="149">
        <v>45845</v>
      </c>
      <c r="TWK67" s="144" t="s">
        <v>40</v>
      </c>
      <c r="TWL67" s="200"/>
      <c r="TWM67" s="150" t="s">
        <v>123</v>
      </c>
      <c r="TWN67" s="198"/>
      <c r="TWO67" s="199"/>
      <c r="TWP67" s="144" t="s">
        <v>22</v>
      </c>
      <c r="TWQ67" s="145">
        <v>8150</v>
      </c>
      <c r="TWR67" s="153">
        <v>85</v>
      </c>
      <c r="TWS67" s="154">
        <v>215</v>
      </c>
      <c r="TWT67" s="154">
        <v>75</v>
      </c>
      <c r="TWU67" s="153">
        <v>150</v>
      </c>
      <c r="TWV67" s="155">
        <f>SUM(TWQ67:TWU67)</f>
        <v>8675</v>
      </c>
      <c r="TWW67" s="153">
        <v>200</v>
      </c>
      <c r="TWX67" s="155">
        <f>SUM(TWV67:TWW67)</f>
        <v>8875</v>
      </c>
      <c r="TWY67" s="148" t="s">
        <v>96</v>
      </c>
      <c r="TWZ67" s="149">
        <v>45845</v>
      </c>
      <c r="TXA67" s="144" t="s">
        <v>40</v>
      </c>
      <c r="TXB67" s="200"/>
      <c r="TXC67" s="150" t="s">
        <v>123</v>
      </c>
      <c r="TXD67" s="198"/>
      <c r="TXE67" s="199"/>
      <c r="TXF67" s="144" t="s">
        <v>22</v>
      </c>
      <c r="TXG67" s="145">
        <v>8150</v>
      </c>
      <c r="TXH67" s="153">
        <v>85</v>
      </c>
      <c r="TXI67" s="154">
        <v>215</v>
      </c>
      <c r="TXJ67" s="154">
        <v>75</v>
      </c>
      <c r="TXK67" s="153">
        <v>150</v>
      </c>
      <c r="TXL67" s="155">
        <f>SUM(TXG67:TXK67)</f>
        <v>8675</v>
      </c>
      <c r="TXM67" s="153">
        <v>200</v>
      </c>
      <c r="TXN67" s="155">
        <f>SUM(TXL67:TXM67)</f>
        <v>8875</v>
      </c>
      <c r="TXO67" s="148" t="s">
        <v>96</v>
      </c>
      <c r="TXP67" s="149">
        <v>45845</v>
      </c>
      <c r="TXQ67" s="144" t="s">
        <v>40</v>
      </c>
      <c r="TXR67" s="200"/>
      <c r="TXS67" s="150" t="s">
        <v>123</v>
      </c>
      <c r="TXT67" s="198"/>
      <c r="TXU67" s="199"/>
      <c r="TXV67" s="144" t="s">
        <v>22</v>
      </c>
      <c r="TXW67" s="145">
        <v>8150</v>
      </c>
      <c r="TXX67" s="153">
        <v>85</v>
      </c>
      <c r="TXY67" s="154">
        <v>215</v>
      </c>
      <c r="TXZ67" s="154">
        <v>75</v>
      </c>
      <c r="TYA67" s="153">
        <v>150</v>
      </c>
      <c r="TYB67" s="155">
        <f>SUM(TXW67:TYA67)</f>
        <v>8675</v>
      </c>
      <c r="TYC67" s="153">
        <v>200</v>
      </c>
      <c r="TYD67" s="155">
        <f>SUM(TYB67:TYC67)</f>
        <v>8875</v>
      </c>
      <c r="TYE67" s="148" t="s">
        <v>96</v>
      </c>
      <c r="TYF67" s="149">
        <v>45845</v>
      </c>
      <c r="TYG67" s="144" t="s">
        <v>40</v>
      </c>
      <c r="TYH67" s="200"/>
      <c r="TYI67" s="150" t="s">
        <v>123</v>
      </c>
      <c r="TYJ67" s="198"/>
      <c r="TYK67" s="199"/>
      <c r="TYL67" s="144" t="s">
        <v>22</v>
      </c>
      <c r="TYM67" s="145">
        <v>8150</v>
      </c>
      <c r="TYN67" s="153">
        <v>85</v>
      </c>
      <c r="TYO67" s="154">
        <v>215</v>
      </c>
      <c r="TYP67" s="154">
        <v>75</v>
      </c>
      <c r="TYQ67" s="153">
        <v>150</v>
      </c>
      <c r="TYR67" s="155">
        <f>SUM(TYM67:TYQ67)</f>
        <v>8675</v>
      </c>
      <c r="TYS67" s="153">
        <v>200</v>
      </c>
      <c r="TYT67" s="155">
        <f>SUM(TYR67:TYS67)</f>
        <v>8875</v>
      </c>
      <c r="TYU67" s="148" t="s">
        <v>96</v>
      </c>
      <c r="TYV67" s="149">
        <v>45845</v>
      </c>
      <c r="TYW67" s="144" t="s">
        <v>40</v>
      </c>
      <c r="TYX67" s="200"/>
      <c r="TYY67" s="150" t="s">
        <v>123</v>
      </c>
      <c r="TYZ67" s="198"/>
      <c r="TZA67" s="199"/>
      <c r="TZB67" s="144" t="s">
        <v>22</v>
      </c>
      <c r="TZC67" s="145">
        <v>8150</v>
      </c>
      <c r="TZD67" s="153">
        <v>85</v>
      </c>
      <c r="TZE67" s="154">
        <v>215</v>
      </c>
      <c r="TZF67" s="154">
        <v>75</v>
      </c>
      <c r="TZG67" s="153">
        <v>150</v>
      </c>
      <c r="TZH67" s="155">
        <f>SUM(TZC67:TZG67)</f>
        <v>8675</v>
      </c>
      <c r="TZI67" s="153">
        <v>200</v>
      </c>
      <c r="TZJ67" s="155">
        <f>SUM(TZH67:TZI67)</f>
        <v>8875</v>
      </c>
      <c r="TZK67" s="148" t="s">
        <v>96</v>
      </c>
      <c r="TZL67" s="149">
        <v>45845</v>
      </c>
      <c r="TZM67" s="144" t="s">
        <v>40</v>
      </c>
      <c r="TZN67" s="200"/>
      <c r="TZO67" s="150" t="s">
        <v>123</v>
      </c>
      <c r="TZP67" s="198"/>
      <c r="TZQ67" s="199"/>
      <c r="TZR67" s="144" t="s">
        <v>22</v>
      </c>
      <c r="TZS67" s="145">
        <v>8150</v>
      </c>
      <c r="TZT67" s="153">
        <v>85</v>
      </c>
      <c r="TZU67" s="154">
        <v>215</v>
      </c>
      <c r="TZV67" s="154">
        <v>75</v>
      </c>
      <c r="TZW67" s="153">
        <v>150</v>
      </c>
      <c r="TZX67" s="155">
        <f>SUM(TZS67:TZW67)</f>
        <v>8675</v>
      </c>
      <c r="TZY67" s="153">
        <v>200</v>
      </c>
      <c r="TZZ67" s="155">
        <f>SUM(TZX67:TZY67)</f>
        <v>8875</v>
      </c>
      <c r="UAA67" s="148" t="s">
        <v>96</v>
      </c>
      <c r="UAB67" s="149">
        <v>45845</v>
      </c>
      <c r="UAC67" s="144" t="s">
        <v>40</v>
      </c>
      <c r="UAD67" s="200"/>
      <c r="UAE67" s="150" t="s">
        <v>123</v>
      </c>
      <c r="UAF67" s="198"/>
      <c r="UAG67" s="199"/>
      <c r="UAH67" s="144" t="s">
        <v>22</v>
      </c>
      <c r="UAI67" s="145">
        <v>8150</v>
      </c>
      <c r="UAJ67" s="153">
        <v>85</v>
      </c>
      <c r="UAK67" s="154">
        <v>215</v>
      </c>
      <c r="UAL67" s="154">
        <v>75</v>
      </c>
      <c r="UAM67" s="153">
        <v>150</v>
      </c>
      <c r="UAN67" s="155">
        <f>SUM(UAI67:UAM67)</f>
        <v>8675</v>
      </c>
      <c r="UAO67" s="153">
        <v>200</v>
      </c>
      <c r="UAP67" s="155">
        <f>SUM(UAN67:UAO67)</f>
        <v>8875</v>
      </c>
      <c r="UAQ67" s="148" t="s">
        <v>96</v>
      </c>
      <c r="UAR67" s="149">
        <v>45845</v>
      </c>
      <c r="UAS67" s="144" t="s">
        <v>40</v>
      </c>
      <c r="UAT67" s="200"/>
      <c r="UAU67" s="150" t="s">
        <v>123</v>
      </c>
      <c r="UAV67" s="198"/>
      <c r="UAW67" s="199"/>
      <c r="UAX67" s="144" t="s">
        <v>22</v>
      </c>
      <c r="UAY67" s="145">
        <v>8150</v>
      </c>
      <c r="UAZ67" s="153">
        <v>85</v>
      </c>
      <c r="UBA67" s="154">
        <v>215</v>
      </c>
      <c r="UBB67" s="154">
        <v>75</v>
      </c>
      <c r="UBC67" s="153">
        <v>150</v>
      </c>
      <c r="UBD67" s="155">
        <f>SUM(UAY67:UBC67)</f>
        <v>8675</v>
      </c>
      <c r="UBE67" s="153">
        <v>200</v>
      </c>
      <c r="UBF67" s="155">
        <f>SUM(UBD67:UBE67)</f>
        <v>8875</v>
      </c>
      <c r="UBG67" s="148" t="s">
        <v>96</v>
      </c>
      <c r="UBH67" s="149">
        <v>45845</v>
      </c>
      <c r="UBI67" s="144" t="s">
        <v>40</v>
      </c>
      <c r="UBJ67" s="200"/>
      <c r="UBK67" s="150" t="s">
        <v>123</v>
      </c>
      <c r="UBL67" s="198"/>
      <c r="UBM67" s="199"/>
      <c r="UBN67" s="144" t="s">
        <v>22</v>
      </c>
      <c r="UBO67" s="145">
        <v>8150</v>
      </c>
      <c r="UBP67" s="153">
        <v>85</v>
      </c>
      <c r="UBQ67" s="154">
        <v>215</v>
      </c>
      <c r="UBR67" s="154">
        <v>75</v>
      </c>
      <c r="UBS67" s="153">
        <v>150</v>
      </c>
      <c r="UBT67" s="155">
        <f>SUM(UBO67:UBS67)</f>
        <v>8675</v>
      </c>
      <c r="UBU67" s="153">
        <v>200</v>
      </c>
      <c r="UBV67" s="155">
        <f>SUM(UBT67:UBU67)</f>
        <v>8875</v>
      </c>
      <c r="UBW67" s="148" t="s">
        <v>96</v>
      </c>
      <c r="UBX67" s="149">
        <v>45845</v>
      </c>
      <c r="UBY67" s="144" t="s">
        <v>40</v>
      </c>
      <c r="UBZ67" s="200"/>
      <c r="UCA67" s="150" t="s">
        <v>123</v>
      </c>
      <c r="UCB67" s="198"/>
      <c r="UCC67" s="199"/>
      <c r="UCD67" s="144" t="s">
        <v>22</v>
      </c>
      <c r="UCE67" s="145">
        <v>8150</v>
      </c>
      <c r="UCF67" s="153">
        <v>85</v>
      </c>
      <c r="UCG67" s="154">
        <v>215</v>
      </c>
      <c r="UCH67" s="154">
        <v>75</v>
      </c>
      <c r="UCI67" s="153">
        <v>150</v>
      </c>
      <c r="UCJ67" s="155">
        <f>SUM(UCE67:UCI67)</f>
        <v>8675</v>
      </c>
      <c r="UCK67" s="153">
        <v>200</v>
      </c>
      <c r="UCL67" s="155">
        <f>SUM(UCJ67:UCK67)</f>
        <v>8875</v>
      </c>
      <c r="UCM67" s="148" t="s">
        <v>96</v>
      </c>
      <c r="UCN67" s="149">
        <v>45845</v>
      </c>
      <c r="UCO67" s="144" t="s">
        <v>40</v>
      </c>
      <c r="UCP67" s="200"/>
      <c r="UCQ67" s="150" t="s">
        <v>123</v>
      </c>
      <c r="UCR67" s="198"/>
      <c r="UCS67" s="199"/>
      <c r="UCT67" s="144" t="s">
        <v>22</v>
      </c>
      <c r="UCU67" s="145">
        <v>8150</v>
      </c>
      <c r="UCV67" s="153">
        <v>85</v>
      </c>
      <c r="UCW67" s="154">
        <v>215</v>
      </c>
      <c r="UCX67" s="154">
        <v>75</v>
      </c>
      <c r="UCY67" s="153">
        <v>150</v>
      </c>
      <c r="UCZ67" s="155">
        <f>SUM(UCU67:UCY67)</f>
        <v>8675</v>
      </c>
      <c r="UDA67" s="153">
        <v>200</v>
      </c>
      <c r="UDB67" s="155">
        <f>SUM(UCZ67:UDA67)</f>
        <v>8875</v>
      </c>
      <c r="UDC67" s="148" t="s">
        <v>96</v>
      </c>
      <c r="UDD67" s="149">
        <v>45845</v>
      </c>
      <c r="UDE67" s="144" t="s">
        <v>40</v>
      </c>
      <c r="UDF67" s="200"/>
      <c r="UDG67" s="150" t="s">
        <v>123</v>
      </c>
      <c r="UDH67" s="198"/>
      <c r="UDI67" s="199"/>
      <c r="UDJ67" s="144" t="s">
        <v>22</v>
      </c>
      <c r="UDK67" s="145">
        <v>8150</v>
      </c>
      <c r="UDL67" s="153">
        <v>85</v>
      </c>
      <c r="UDM67" s="154">
        <v>215</v>
      </c>
      <c r="UDN67" s="154">
        <v>75</v>
      </c>
      <c r="UDO67" s="153">
        <v>150</v>
      </c>
      <c r="UDP67" s="155">
        <f>SUM(UDK67:UDO67)</f>
        <v>8675</v>
      </c>
      <c r="UDQ67" s="153">
        <v>200</v>
      </c>
      <c r="UDR67" s="155">
        <f>SUM(UDP67:UDQ67)</f>
        <v>8875</v>
      </c>
      <c r="UDS67" s="148" t="s">
        <v>96</v>
      </c>
      <c r="UDT67" s="149">
        <v>45845</v>
      </c>
      <c r="UDU67" s="144" t="s">
        <v>40</v>
      </c>
      <c r="UDV67" s="200"/>
      <c r="UDW67" s="150" t="s">
        <v>123</v>
      </c>
      <c r="UDX67" s="198"/>
      <c r="UDY67" s="199"/>
      <c r="UDZ67" s="144" t="s">
        <v>22</v>
      </c>
      <c r="UEA67" s="145">
        <v>8150</v>
      </c>
      <c r="UEB67" s="153">
        <v>85</v>
      </c>
      <c r="UEC67" s="154">
        <v>215</v>
      </c>
      <c r="UED67" s="154">
        <v>75</v>
      </c>
      <c r="UEE67" s="153">
        <v>150</v>
      </c>
      <c r="UEF67" s="155">
        <f>SUM(UEA67:UEE67)</f>
        <v>8675</v>
      </c>
      <c r="UEG67" s="153">
        <v>200</v>
      </c>
      <c r="UEH67" s="155">
        <f>SUM(UEF67:UEG67)</f>
        <v>8875</v>
      </c>
      <c r="UEI67" s="148" t="s">
        <v>96</v>
      </c>
      <c r="UEJ67" s="149">
        <v>45845</v>
      </c>
      <c r="UEK67" s="144" t="s">
        <v>40</v>
      </c>
      <c r="UEL67" s="200"/>
      <c r="UEM67" s="150" t="s">
        <v>123</v>
      </c>
      <c r="UEN67" s="198"/>
      <c r="UEO67" s="199"/>
      <c r="UEP67" s="144" t="s">
        <v>22</v>
      </c>
      <c r="UEQ67" s="145">
        <v>8150</v>
      </c>
      <c r="UER67" s="153">
        <v>85</v>
      </c>
      <c r="UES67" s="154">
        <v>215</v>
      </c>
      <c r="UET67" s="154">
        <v>75</v>
      </c>
      <c r="UEU67" s="153">
        <v>150</v>
      </c>
      <c r="UEV67" s="155">
        <f>SUM(UEQ67:UEU67)</f>
        <v>8675</v>
      </c>
      <c r="UEW67" s="153">
        <v>200</v>
      </c>
      <c r="UEX67" s="155">
        <f>SUM(UEV67:UEW67)</f>
        <v>8875</v>
      </c>
      <c r="UEY67" s="148" t="s">
        <v>96</v>
      </c>
      <c r="UEZ67" s="149">
        <v>45845</v>
      </c>
      <c r="UFA67" s="144" t="s">
        <v>40</v>
      </c>
      <c r="UFB67" s="200"/>
      <c r="UFC67" s="150" t="s">
        <v>123</v>
      </c>
      <c r="UFD67" s="198"/>
      <c r="UFE67" s="199"/>
      <c r="UFF67" s="144" t="s">
        <v>22</v>
      </c>
      <c r="UFG67" s="145">
        <v>8150</v>
      </c>
      <c r="UFH67" s="153">
        <v>85</v>
      </c>
      <c r="UFI67" s="154">
        <v>215</v>
      </c>
      <c r="UFJ67" s="154">
        <v>75</v>
      </c>
      <c r="UFK67" s="153">
        <v>150</v>
      </c>
      <c r="UFL67" s="155">
        <f>SUM(UFG67:UFK67)</f>
        <v>8675</v>
      </c>
      <c r="UFM67" s="153">
        <v>200</v>
      </c>
      <c r="UFN67" s="155">
        <f>SUM(UFL67:UFM67)</f>
        <v>8875</v>
      </c>
      <c r="UFO67" s="148" t="s">
        <v>96</v>
      </c>
      <c r="UFP67" s="149">
        <v>45845</v>
      </c>
      <c r="UFQ67" s="144" t="s">
        <v>40</v>
      </c>
      <c r="UFR67" s="200"/>
      <c r="UFS67" s="150" t="s">
        <v>123</v>
      </c>
      <c r="UFT67" s="198"/>
      <c r="UFU67" s="199"/>
      <c r="UFV67" s="144" t="s">
        <v>22</v>
      </c>
      <c r="UFW67" s="145">
        <v>8150</v>
      </c>
      <c r="UFX67" s="153">
        <v>85</v>
      </c>
      <c r="UFY67" s="154">
        <v>215</v>
      </c>
      <c r="UFZ67" s="154">
        <v>75</v>
      </c>
      <c r="UGA67" s="153">
        <v>150</v>
      </c>
      <c r="UGB67" s="155">
        <f>SUM(UFW67:UGA67)</f>
        <v>8675</v>
      </c>
      <c r="UGC67" s="153">
        <v>200</v>
      </c>
      <c r="UGD67" s="155">
        <f>SUM(UGB67:UGC67)</f>
        <v>8875</v>
      </c>
      <c r="UGE67" s="148" t="s">
        <v>96</v>
      </c>
      <c r="UGF67" s="149">
        <v>45845</v>
      </c>
      <c r="UGG67" s="144" t="s">
        <v>40</v>
      </c>
      <c r="UGH67" s="200"/>
      <c r="UGI67" s="150" t="s">
        <v>123</v>
      </c>
      <c r="UGJ67" s="198"/>
      <c r="UGK67" s="199"/>
      <c r="UGL67" s="144" t="s">
        <v>22</v>
      </c>
      <c r="UGM67" s="145">
        <v>8150</v>
      </c>
      <c r="UGN67" s="153">
        <v>85</v>
      </c>
      <c r="UGO67" s="154">
        <v>215</v>
      </c>
      <c r="UGP67" s="154">
        <v>75</v>
      </c>
      <c r="UGQ67" s="153">
        <v>150</v>
      </c>
      <c r="UGR67" s="155">
        <f>SUM(UGM67:UGQ67)</f>
        <v>8675</v>
      </c>
      <c r="UGS67" s="153">
        <v>200</v>
      </c>
      <c r="UGT67" s="155">
        <f>SUM(UGR67:UGS67)</f>
        <v>8875</v>
      </c>
      <c r="UGU67" s="148" t="s">
        <v>96</v>
      </c>
      <c r="UGV67" s="149">
        <v>45845</v>
      </c>
      <c r="UGW67" s="144" t="s">
        <v>40</v>
      </c>
      <c r="UGX67" s="200"/>
      <c r="UGY67" s="150" t="s">
        <v>123</v>
      </c>
      <c r="UGZ67" s="198"/>
      <c r="UHA67" s="199"/>
      <c r="UHB67" s="144" t="s">
        <v>22</v>
      </c>
      <c r="UHC67" s="145">
        <v>8150</v>
      </c>
      <c r="UHD67" s="153">
        <v>85</v>
      </c>
      <c r="UHE67" s="154">
        <v>215</v>
      </c>
      <c r="UHF67" s="154">
        <v>75</v>
      </c>
      <c r="UHG67" s="153">
        <v>150</v>
      </c>
      <c r="UHH67" s="155">
        <f>SUM(UHC67:UHG67)</f>
        <v>8675</v>
      </c>
      <c r="UHI67" s="153">
        <v>200</v>
      </c>
      <c r="UHJ67" s="155">
        <f>SUM(UHH67:UHI67)</f>
        <v>8875</v>
      </c>
      <c r="UHK67" s="148" t="s">
        <v>96</v>
      </c>
      <c r="UHL67" s="149">
        <v>45845</v>
      </c>
      <c r="UHM67" s="144" t="s">
        <v>40</v>
      </c>
      <c r="UHN67" s="200"/>
      <c r="UHO67" s="150" t="s">
        <v>123</v>
      </c>
      <c r="UHP67" s="198"/>
      <c r="UHQ67" s="199"/>
      <c r="UHR67" s="144" t="s">
        <v>22</v>
      </c>
      <c r="UHS67" s="145">
        <v>8150</v>
      </c>
      <c r="UHT67" s="153">
        <v>85</v>
      </c>
      <c r="UHU67" s="154">
        <v>215</v>
      </c>
      <c r="UHV67" s="154">
        <v>75</v>
      </c>
      <c r="UHW67" s="153">
        <v>150</v>
      </c>
      <c r="UHX67" s="155">
        <f>SUM(UHS67:UHW67)</f>
        <v>8675</v>
      </c>
      <c r="UHY67" s="153">
        <v>200</v>
      </c>
      <c r="UHZ67" s="155">
        <f>SUM(UHX67:UHY67)</f>
        <v>8875</v>
      </c>
      <c r="UIA67" s="148" t="s">
        <v>96</v>
      </c>
      <c r="UIB67" s="149">
        <v>45845</v>
      </c>
      <c r="UIC67" s="144" t="s">
        <v>40</v>
      </c>
      <c r="UID67" s="200"/>
      <c r="UIE67" s="150" t="s">
        <v>123</v>
      </c>
      <c r="UIF67" s="198"/>
      <c r="UIG67" s="199"/>
      <c r="UIH67" s="144" t="s">
        <v>22</v>
      </c>
      <c r="UII67" s="145">
        <v>8150</v>
      </c>
      <c r="UIJ67" s="153">
        <v>85</v>
      </c>
      <c r="UIK67" s="154">
        <v>215</v>
      </c>
      <c r="UIL67" s="154">
        <v>75</v>
      </c>
      <c r="UIM67" s="153">
        <v>150</v>
      </c>
      <c r="UIN67" s="155">
        <f>SUM(UII67:UIM67)</f>
        <v>8675</v>
      </c>
      <c r="UIO67" s="153">
        <v>200</v>
      </c>
      <c r="UIP67" s="155">
        <f>SUM(UIN67:UIO67)</f>
        <v>8875</v>
      </c>
      <c r="UIQ67" s="148" t="s">
        <v>96</v>
      </c>
      <c r="UIR67" s="149">
        <v>45845</v>
      </c>
      <c r="UIS67" s="144" t="s">
        <v>40</v>
      </c>
      <c r="UIT67" s="200"/>
      <c r="UIU67" s="150" t="s">
        <v>123</v>
      </c>
      <c r="UIV67" s="198"/>
      <c r="UIW67" s="199"/>
      <c r="UIX67" s="144" t="s">
        <v>22</v>
      </c>
      <c r="UIY67" s="145">
        <v>8150</v>
      </c>
      <c r="UIZ67" s="153">
        <v>85</v>
      </c>
      <c r="UJA67" s="154">
        <v>215</v>
      </c>
      <c r="UJB67" s="154">
        <v>75</v>
      </c>
      <c r="UJC67" s="153">
        <v>150</v>
      </c>
      <c r="UJD67" s="155">
        <f>SUM(UIY67:UJC67)</f>
        <v>8675</v>
      </c>
      <c r="UJE67" s="153">
        <v>200</v>
      </c>
      <c r="UJF67" s="155">
        <f>SUM(UJD67:UJE67)</f>
        <v>8875</v>
      </c>
      <c r="UJG67" s="148" t="s">
        <v>96</v>
      </c>
      <c r="UJH67" s="149">
        <v>45845</v>
      </c>
      <c r="UJI67" s="144" t="s">
        <v>40</v>
      </c>
      <c r="UJJ67" s="200"/>
      <c r="UJK67" s="150" t="s">
        <v>123</v>
      </c>
      <c r="UJL67" s="198"/>
      <c r="UJM67" s="199"/>
      <c r="UJN67" s="144" t="s">
        <v>22</v>
      </c>
      <c r="UJO67" s="145">
        <v>8150</v>
      </c>
      <c r="UJP67" s="153">
        <v>85</v>
      </c>
      <c r="UJQ67" s="154">
        <v>215</v>
      </c>
      <c r="UJR67" s="154">
        <v>75</v>
      </c>
      <c r="UJS67" s="153">
        <v>150</v>
      </c>
      <c r="UJT67" s="155">
        <f>SUM(UJO67:UJS67)</f>
        <v>8675</v>
      </c>
      <c r="UJU67" s="153">
        <v>200</v>
      </c>
      <c r="UJV67" s="155">
        <f>SUM(UJT67:UJU67)</f>
        <v>8875</v>
      </c>
      <c r="UJW67" s="148" t="s">
        <v>96</v>
      </c>
      <c r="UJX67" s="149">
        <v>45845</v>
      </c>
      <c r="UJY67" s="144" t="s">
        <v>40</v>
      </c>
      <c r="UJZ67" s="200"/>
      <c r="UKA67" s="150" t="s">
        <v>123</v>
      </c>
      <c r="UKB67" s="198"/>
      <c r="UKC67" s="199"/>
      <c r="UKD67" s="144" t="s">
        <v>22</v>
      </c>
      <c r="UKE67" s="145">
        <v>8150</v>
      </c>
      <c r="UKF67" s="153">
        <v>85</v>
      </c>
      <c r="UKG67" s="154">
        <v>215</v>
      </c>
      <c r="UKH67" s="154">
        <v>75</v>
      </c>
      <c r="UKI67" s="153">
        <v>150</v>
      </c>
      <c r="UKJ67" s="155">
        <f>SUM(UKE67:UKI67)</f>
        <v>8675</v>
      </c>
      <c r="UKK67" s="153">
        <v>200</v>
      </c>
      <c r="UKL67" s="155">
        <f>SUM(UKJ67:UKK67)</f>
        <v>8875</v>
      </c>
      <c r="UKM67" s="148" t="s">
        <v>96</v>
      </c>
      <c r="UKN67" s="149">
        <v>45845</v>
      </c>
      <c r="UKO67" s="144" t="s">
        <v>40</v>
      </c>
      <c r="UKP67" s="200"/>
      <c r="UKQ67" s="150" t="s">
        <v>123</v>
      </c>
      <c r="UKR67" s="198"/>
      <c r="UKS67" s="199"/>
      <c r="UKT67" s="144" t="s">
        <v>22</v>
      </c>
      <c r="UKU67" s="145">
        <v>8150</v>
      </c>
      <c r="UKV67" s="153">
        <v>85</v>
      </c>
      <c r="UKW67" s="154">
        <v>215</v>
      </c>
      <c r="UKX67" s="154">
        <v>75</v>
      </c>
      <c r="UKY67" s="153">
        <v>150</v>
      </c>
      <c r="UKZ67" s="155">
        <f>SUM(UKU67:UKY67)</f>
        <v>8675</v>
      </c>
      <c r="ULA67" s="153">
        <v>200</v>
      </c>
      <c r="ULB67" s="155">
        <f>SUM(UKZ67:ULA67)</f>
        <v>8875</v>
      </c>
      <c r="ULC67" s="148" t="s">
        <v>96</v>
      </c>
      <c r="ULD67" s="149">
        <v>45845</v>
      </c>
      <c r="ULE67" s="144" t="s">
        <v>40</v>
      </c>
      <c r="ULF67" s="200"/>
      <c r="ULG67" s="150" t="s">
        <v>123</v>
      </c>
      <c r="ULH67" s="198"/>
      <c r="ULI67" s="199"/>
      <c r="ULJ67" s="144" t="s">
        <v>22</v>
      </c>
      <c r="ULK67" s="145">
        <v>8150</v>
      </c>
      <c r="ULL67" s="153">
        <v>85</v>
      </c>
      <c r="ULM67" s="154">
        <v>215</v>
      </c>
      <c r="ULN67" s="154">
        <v>75</v>
      </c>
      <c r="ULO67" s="153">
        <v>150</v>
      </c>
      <c r="ULP67" s="155">
        <f>SUM(ULK67:ULO67)</f>
        <v>8675</v>
      </c>
      <c r="ULQ67" s="153">
        <v>200</v>
      </c>
      <c r="ULR67" s="155">
        <f>SUM(ULP67:ULQ67)</f>
        <v>8875</v>
      </c>
      <c r="ULS67" s="148" t="s">
        <v>96</v>
      </c>
      <c r="ULT67" s="149">
        <v>45845</v>
      </c>
      <c r="ULU67" s="144" t="s">
        <v>40</v>
      </c>
      <c r="ULV67" s="200"/>
      <c r="ULW67" s="150" t="s">
        <v>123</v>
      </c>
      <c r="ULX67" s="198"/>
      <c r="ULY67" s="199"/>
      <c r="ULZ67" s="144" t="s">
        <v>22</v>
      </c>
      <c r="UMA67" s="145">
        <v>8150</v>
      </c>
      <c r="UMB67" s="153">
        <v>85</v>
      </c>
      <c r="UMC67" s="154">
        <v>215</v>
      </c>
      <c r="UMD67" s="154">
        <v>75</v>
      </c>
      <c r="UME67" s="153">
        <v>150</v>
      </c>
      <c r="UMF67" s="155">
        <f>SUM(UMA67:UME67)</f>
        <v>8675</v>
      </c>
      <c r="UMG67" s="153">
        <v>200</v>
      </c>
      <c r="UMH67" s="155">
        <f>SUM(UMF67:UMG67)</f>
        <v>8875</v>
      </c>
      <c r="UMI67" s="148" t="s">
        <v>96</v>
      </c>
      <c r="UMJ67" s="149">
        <v>45845</v>
      </c>
      <c r="UMK67" s="144" t="s">
        <v>40</v>
      </c>
      <c r="UML67" s="200"/>
      <c r="UMM67" s="150" t="s">
        <v>123</v>
      </c>
      <c r="UMN67" s="198"/>
      <c r="UMO67" s="199"/>
      <c r="UMP67" s="144" t="s">
        <v>22</v>
      </c>
      <c r="UMQ67" s="145">
        <v>8150</v>
      </c>
      <c r="UMR67" s="153">
        <v>85</v>
      </c>
      <c r="UMS67" s="154">
        <v>215</v>
      </c>
      <c r="UMT67" s="154">
        <v>75</v>
      </c>
      <c r="UMU67" s="153">
        <v>150</v>
      </c>
      <c r="UMV67" s="155">
        <f>SUM(UMQ67:UMU67)</f>
        <v>8675</v>
      </c>
      <c r="UMW67" s="153">
        <v>200</v>
      </c>
      <c r="UMX67" s="155">
        <f>SUM(UMV67:UMW67)</f>
        <v>8875</v>
      </c>
      <c r="UMY67" s="148" t="s">
        <v>96</v>
      </c>
      <c r="UMZ67" s="149">
        <v>45845</v>
      </c>
      <c r="UNA67" s="144" t="s">
        <v>40</v>
      </c>
      <c r="UNB67" s="200"/>
      <c r="UNC67" s="150" t="s">
        <v>123</v>
      </c>
      <c r="UND67" s="198"/>
      <c r="UNE67" s="199"/>
      <c r="UNF67" s="144" t="s">
        <v>22</v>
      </c>
      <c r="UNG67" s="145">
        <v>8150</v>
      </c>
      <c r="UNH67" s="153">
        <v>85</v>
      </c>
      <c r="UNI67" s="154">
        <v>215</v>
      </c>
      <c r="UNJ67" s="154">
        <v>75</v>
      </c>
      <c r="UNK67" s="153">
        <v>150</v>
      </c>
      <c r="UNL67" s="155">
        <f>SUM(UNG67:UNK67)</f>
        <v>8675</v>
      </c>
      <c r="UNM67" s="153">
        <v>200</v>
      </c>
      <c r="UNN67" s="155">
        <f>SUM(UNL67:UNM67)</f>
        <v>8875</v>
      </c>
      <c r="UNO67" s="148" t="s">
        <v>96</v>
      </c>
      <c r="UNP67" s="149">
        <v>45845</v>
      </c>
      <c r="UNQ67" s="144" t="s">
        <v>40</v>
      </c>
      <c r="UNR67" s="200"/>
      <c r="UNS67" s="150" t="s">
        <v>123</v>
      </c>
      <c r="UNT67" s="198"/>
      <c r="UNU67" s="199"/>
      <c r="UNV67" s="144" t="s">
        <v>22</v>
      </c>
      <c r="UNW67" s="145">
        <v>8150</v>
      </c>
      <c r="UNX67" s="153">
        <v>85</v>
      </c>
      <c r="UNY67" s="154">
        <v>215</v>
      </c>
      <c r="UNZ67" s="154">
        <v>75</v>
      </c>
      <c r="UOA67" s="153">
        <v>150</v>
      </c>
      <c r="UOB67" s="155">
        <f>SUM(UNW67:UOA67)</f>
        <v>8675</v>
      </c>
      <c r="UOC67" s="153">
        <v>200</v>
      </c>
      <c r="UOD67" s="155">
        <f>SUM(UOB67:UOC67)</f>
        <v>8875</v>
      </c>
      <c r="UOE67" s="148" t="s">
        <v>96</v>
      </c>
      <c r="UOF67" s="149">
        <v>45845</v>
      </c>
      <c r="UOG67" s="144" t="s">
        <v>40</v>
      </c>
      <c r="UOH67" s="200"/>
      <c r="UOI67" s="150" t="s">
        <v>123</v>
      </c>
      <c r="UOJ67" s="198"/>
      <c r="UOK67" s="199"/>
      <c r="UOL67" s="144" t="s">
        <v>22</v>
      </c>
      <c r="UOM67" s="145">
        <v>8150</v>
      </c>
      <c r="UON67" s="153">
        <v>85</v>
      </c>
      <c r="UOO67" s="154">
        <v>215</v>
      </c>
      <c r="UOP67" s="154">
        <v>75</v>
      </c>
      <c r="UOQ67" s="153">
        <v>150</v>
      </c>
      <c r="UOR67" s="155">
        <f>SUM(UOM67:UOQ67)</f>
        <v>8675</v>
      </c>
      <c r="UOS67" s="153">
        <v>200</v>
      </c>
      <c r="UOT67" s="155">
        <f>SUM(UOR67:UOS67)</f>
        <v>8875</v>
      </c>
      <c r="UOU67" s="148" t="s">
        <v>96</v>
      </c>
      <c r="UOV67" s="149">
        <v>45845</v>
      </c>
      <c r="UOW67" s="144" t="s">
        <v>40</v>
      </c>
      <c r="UOX67" s="200"/>
      <c r="UOY67" s="150" t="s">
        <v>123</v>
      </c>
      <c r="UOZ67" s="198"/>
      <c r="UPA67" s="199"/>
      <c r="UPB67" s="144" t="s">
        <v>22</v>
      </c>
      <c r="UPC67" s="145">
        <v>8150</v>
      </c>
      <c r="UPD67" s="153">
        <v>85</v>
      </c>
      <c r="UPE67" s="154">
        <v>215</v>
      </c>
      <c r="UPF67" s="154">
        <v>75</v>
      </c>
      <c r="UPG67" s="153">
        <v>150</v>
      </c>
      <c r="UPH67" s="155">
        <f>SUM(UPC67:UPG67)</f>
        <v>8675</v>
      </c>
      <c r="UPI67" s="153">
        <v>200</v>
      </c>
      <c r="UPJ67" s="155">
        <f>SUM(UPH67:UPI67)</f>
        <v>8875</v>
      </c>
      <c r="UPK67" s="148" t="s">
        <v>96</v>
      </c>
      <c r="UPL67" s="149">
        <v>45845</v>
      </c>
      <c r="UPM67" s="144" t="s">
        <v>40</v>
      </c>
      <c r="UPN67" s="200"/>
      <c r="UPO67" s="150" t="s">
        <v>123</v>
      </c>
      <c r="UPP67" s="198"/>
      <c r="UPQ67" s="199"/>
      <c r="UPR67" s="144" t="s">
        <v>22</v>
      </c>
      <c r="UPS67" s="145">
        <v>8150</v>
      </c>
      <c r="UPT67" s="153">
        <v>85</v>
      </c>
      <c r="UPU67" s="154">
        <v>215</v>
      </c>
      <c r="UPV67" s="154">
        <v>75</v>
      </c>
      <c r="UPW67" s="153">
        <v>150</v>
      </c>
      <c r="UPX67" s="155">
        <f>SUM(UPS67:UPW67)</f>
        <v>8675</v>
      </c>
      <c r="UPY67" s="153">
        <v>200</v>
      </c>
      <c r="UPZ67" s="155">
        <f>SUM(UPX67:UPY67)</f>
        <v>8875</v>
      </c>
      <c r="UQA67" s="148" t="s">
        <v>96</v>
      </c>
      <c r="UQB67" s="149">
        <v>45845</v>
      </c>
      <c r="UQC67" s="144" t="s">
        <v>40</v>
      </c>
      <c r="UQD67" s="200"/>
      <c r="UQE67" s="150" t="s">
        <v>123</v>
      </c>
      <c r="UQF67" s="198"/>
      <c r="UQG67" s="199"/>
      <c r="UQH67" s="144" t="s">
        <v>22</v>
      </c>
      <c r="UQI67" s="145">
        <v>8150</v>
      </c>
      <c r="UQJ67" s="153">
        <v>85</v>
      </c>
      <c r="UQK67" s="154">
        <v>215</v>
      </c>
      <c r="UQL67" s="154">
        <v>75</v>
      </c>
      <c r="UQM67" s="153">
        <v>150</v>
      </c>
      <c r="UQN67" s="155">
        <f>SUM(UQI67:UQM67)</f>
        <v>8675</v>
      </c>
      <c r="UQO67" s="153">
        <v>200</v>
      </c>
      <c r="UQP67" s="155">
        <f>SUM(UQN67:UQO67)</f>
        <v>8875</v>
      </c>
      <c r="UQQ67" s="148" t="s">
        <v>96</v>
      </c>
      <c r="UQR67" s="149">
        <v>45845</v>
      </c>
      <c r="UQS67" s="144" t="s">
        <v>40</v>
      </c>
      <c r="UQT67" s="200"/>
      <c r="UQU67" s="150" t="s">
        <v>123</v>
      </c>
      <c r="UQV67" s="198"/>
      <c r="UQW67" s="199"/>
      <c r="UQX67" s="144" t="s">
        <v>22</v>
      </c>
      <c r="UQY67" s="145">
        <v>8150</v>
      </c>
      <c r="UQZ67" s="153">
        <v>85</v>
      </c>
      <c r="URA67" s="154">
        <v>215</v>
      </c>
      <c r="URB67" s="154">
        <v>75</v>
      </c>
      <c r="URC67" s="153">
        <v>150</v>
      </c>
      <c r="URD67" s="155">
        <f>SUM(UQY67:URC67)</f>
        <v>8675</v>
      </c>
      <c r="URE67" s="153">
        <v>200</v>
      </c>
      <c r="URF67" s="155">
        <f>SUM(URD67:URE67)</f>
        <v>8875</v>
      </c>
      <c r="URG67" s="148" t="s">
        <v>96</v>
      </c>
      <c r="URH67" s="149">
        <v>45845</v>
      </c>
      <c r="URI67" s="144" t="s">
        <v>40</v>
      </c>
      <c r="URJ67" s="200"/>
      <c r="URK67" s="150" t="s">
        <v>123</v>
      </c>
      <c r="URL67" s="198"/>
      <c r="URM67" s="199"/>
      <c r="URN67" s="144" t="s">
        <v>22</v>
      </c>
      <c r="URO67" s="145">
        <v>8150</v>
      </c>
      <c r="URP67" s="153">
        <v>85</v>
      </c>
      <c r="URQ67" s="154">
        <v>215</v>
      </c>
      <c r="URR67" s="154">
        <v>75</v>
      </c>
      <c r="URS67" s="153">
        <v>150</v>
      </c>
      <c r="URT67" s="155">
        <f>SUM(URO67:URS67)</f>
        <v>8675</v>
      </c>
      <c r="URU67" s="153">
        <v>200</v>
      </c>
      <c r="URV67" s="155">
        <f>SUM(URT67:URU67)</f>
        <v>8875</v>
      </c>
      <c r="URW67" s="148" t="s">
        <v>96</v>
      </c>
      <c r="URX67" s="149">
        <v>45845</v>
      </c>
      <c r="URY67" s="144" t="s">
        <v>40</v>
      </c>
      <c r="URZ67" s="200"/>
      <c r="USA67" s="150" t="s">
        <v>123</v>
      </c>
      <c r="USB67" s="198"/>
      <c r="USC67" s="199"/>
      <c r="USD67" s="144" t="s">
        <v>22</v>
      </c>
      <c r="USE67" s="145">
        <v>8150</v>
      </c>
      <c r="USF67" s="153">
        <v>85</v>
      </c>
      <c r="USG67" s="154">
        <v>215</v>
      </c>
      <c r="USH67" s="154">
        <v>75</v>
      </c>
      <c r="USI67" s="153">
        <v>150</v>
      </c>
      <c r="USJ67" s="155">
        <f>SUM(USE67:USI67)</f>
        <v>8675</v>
      </c>
      <c r="USK67" s="153">
        <v>200</v>
      </c>
      <c r="USL67" s="155">
        <f>SUM(USJ67:USK67)</f>
        <v>8875</v>
      </c>
      <c r="USM67" s="148" t="s">
        <v>96</v>
      </c>
      <c r="USN67" s="149">
        <v>45845</v>
      </c>
      <c r="USO67" s="144" t="s">
        <v>40</v>
      </c>
      <c r="USP67" s="200"/>
      <c r="USQ67" s="150" t="s">
        <v>123</v>
      </c>
      <c r="USR67" s="198"/>
      <c r="USS67" s="199"/>
      <c r="UST67" s="144" t="s">
        <v>22</v>
      </c>
      <c r="USU67" s="145">
        <v>8150</v>
      </c>
      <c r="USV67" s="153">
        <v>85</v>
      </c>
      <c r="USW67" s="154">
        <v>215</v>
      </c>
      <c r="USX67" s="154">
        <v>75</v>
      </c>
      <c r="USY67" s="153">
        <v>150</v>
      </c>
      <c r="USZ67" s="155">
        <f>SUM(USU67:USY67)</f>
        <v>8675</v>
      </c>
      <c r="UTA67" s="153">
        <v>200</v>
      </c>
      <c r="UTB67" s="155">
        <f>SUM(USZ67:UTA67)</f>
        <v>8875</v>
      </c>
      <c r="UTC67" s="148" t="s">
        <v>96</v>
      </c>
      <c r="UTD67" s="149">
        <v>45845</v>
      </c>
      <c r="UTE67" s="144" t="s">
        <v>40</v>
      </c>
      <c r="UTF67" s="200"/>
      <c r="UTG67" s="150" t="s">
        <v>123</v>
      </c>
      <c r="UTH67" s="198"/>
      <c r="UTI67" s="199"/>
      <c r="UTJ67" s="144" t="s">
        <v>22</v>
      </c>
      <c r="UTK67" s="145">
        <v>8150</v>
      </c>
      <c r="UTL67" s="153">
        <v>85</v>
      </c>
      <c r="UTM67" s="154">
        <v>215</v>
      </c>
      <c r="UTN67" s="154">
        <v>75</v>
      </c>
      <c r="UTO67" s="153">
        <v>150</v>
      </c>
      <c r="UTP67" s="155">
        <f>SUM(UTK67:UTO67)</f>
        <v>8675</v>
      </c>
      <c r="UTQ67" s="153">
        <v>200</v>
      </c>
      <c r="UTR67" s="155">
        <f>SUM(UTP67:UTQ67)</f>
        <v>8875</v>
      </c>
      <c r="UTS67" s="148" t="s">
        <v>96</v>
      </c>
      <c r="UTT67" s="149">
        <v>45845</v>
      </c>
      <c r="UTU67" s="144" t="s">
        <v>40</v>
      </c>
      <c r="UTV67" s="200"/>
      <c r="UTW67" s="150" t="s">
        <v>123</v>
      </c>
      <c r="UTX67" s="198"/>
      <c r="UTY67" s="199"/>
      <c r="UTZ67" s="144" t="s">
        <v>22</v>
      </c>
      <c r="UUA67" s="145">
        <v>8150</v>
      </c>
      <c r="UUB67" s="153">
        <v>85</v>
      </c>
      <c r="UUC67" s="154">
        <v>215</v>
      </c>
      <c r="UUD67" s="154">
        <v>75</v>
      </c>
      <c r="UUE67" s="153">
        <v>150</v>
      </c>
      <c r="UUF67" s="155">
        <f>SUM(UUA67:UUE67)</f>
        <v>8675</v>
      </c>
      <c r="UUG67" s="153">
        <v>200</v>
      </c>
      <c r="UUH67" s="155">
        <f>SUM(UUF67:UUG67)</f>
        <v>8875</v>
      </c>
      <c r="UUI67" s="148" t="s">
        <v>96</v>
      </c>
      <c r="UUJ67" s="149">
        <v>45845</v>
      </c>
      <c r="UUK67" s="144" t="s">
        <v>40</v>
      </c>
      <c r="UUL67" s="200"/>
      <c r="UUM67" s="150" t="s">
        <v>123</v>
      </c>
      <c r="UUN67" s="198"/>
      <c r="UUO67" s="199"/>
      <c r="UUP67" s="144" t="s">
        <v>22</v>
      </c>
      <c r="UUQ67" s="145">
        <v>8150</v>
      </c>
      <c r="UUR67" s="153">
        <v>85</v>
      </c>
      <c r="UUS67" s="154">
        <v>215</v>
      </c>
      <c r="UUT67" s="154">
        <v>75</v>
      </c>
      <c r="UUU67" s="153">
        <v>150</v>
      </c>
      <c r="UUV67" s="155">
        <f>SUM(UUQ67:UUU67)</f>
        <v>8675</v>
      </c>
      <c r="UUW67" s="153">
        <v>200</v>
      </c>
      <c r="UUX67" s="155">
        <f>SUM(UUV67:UUW67)</f>
        <v>8875</v>
      </c>
      <c r="UUY67" s="148" t="s">
        <v>96</v>
      </c>
      <c r="UUZ67" s="149">
        <v>45845</v>
      </c>
      <c r="UVA67" s="144" t="s">
        <v>40</v>
      </c>
      <c r="UVB67" s="200"/>
      <c r="UVC67" s="150" t="s">
        <v>123</v>
      </c>
      <c r="UVD67" s="198"/>
      <c r="UVE67" s="199"/>
      <c r="UVF67" s="144" t="s">
        <v>22</v>
      </c>
      <c r="UVG67" s="145">
        <v>8150</v>
      </c>
      <c r="UVH67" s="153">
        <v>85</v>
      </c>
      <c r="UVI67" s="154">
        <v>215</v>
      </c>
      <c r="UVJ67" s="154">
        <v>75</v>
      </c>
      <c r="UVK67" s="153">
        <v>150</v>
      </c>
      <c r="UVL67" s="155">
        <f>SUM(UVG67:UVK67)</f>
        <v>8675</v>
      </c>
      <c r="UVM67" s="153">
        <v>200</v>
      </c>
      <c r="UVN67" s="155">
        <f>SUM(UVL67:UVM67)</f>
        <v>8875</v>
      </c>
      <c r="UVO67" s="148" t="s">
        <v>96</v>
      </c>
      <c r="UVP67" s="149">
        <v>45845</v>
      </c>
      <c r="UVQ67" s="144" t="s">
        <v>40</v>
      </c>
      <c r="UVR67" s="200"/>
      <c r="UVS67" s="150" t="s">
        <v>123</v>
      </c>
      <c r="UVT67" s="198"/>
      <c r="UVU67" s="199"/>
      <c r="UVV67" s="144" t="s">
        <v>22</v>
      </c>
      <c r="UVW67" s="145">
        <v>8150</v>
      </c>
      <c r="UVX67" s="153">
        <v>85</v>
      </c>
      <c r="UVY67" s="154">
        <v>215</v>
      </c>
      <c r="UVZ67" s="154">
        <v>75</v>
      </c>
      <c r="UWA67" s="153">
        <v>150</v>
      </c>
      <c r="UWB67" s="155">
        <f>SUM(UVW67:UWA67)</f>
        <v>8675</v>
      </c>
      <c r="UWC67" s="153">
        <v>200</v>
      </c>
      <c r="UWD67" s="155">
        <f>SUM(UWB67:UWC67)</f>
        <v>8875</v>
      </c>
      <c r="UWE67" s="148" t="s">
        <v>96</v>
      </c>
      <c r="UWF67" s="149">
        <v>45845</v>
      </c>
      <c r="UWG67" s="144" t="s">
        <v>40</v>
      </c>
      <c r="UWH67" s="200"/>
      <c r="UWI67" s="150" t="s">
        <v>123</v>
      </c>
      <c r="UWJ67" s="198"/>
      <c r="UWK67" s="199"/>
      <c r="UWL67" s="144" t="s">
        <v>22</v>
      </c>
      <c r="UWM67" s="145">
        <v>8150</v>
      </c>
      <c r="UWN67" s="153">
        <v>85</v>
      </c>
      <c r="UWO67" s="154">
        <v>215</v>
      </c>
      <c r="UWP67" s="154">
        <v>75</v>
      </c>
      <c r="UWQ67" s="153">
        <v>150</v>
      </c>
      <c r="UWR67" s="155">
        <f>SUM(UWM67:UWQ67)</f>
        <v>8675</v>
      </c>
      <c r="UWS67" s="153">
        <v>200</v>
      </c>
      <c r="UWT67" s="155">
        <f>SUM(UWR67:UWS67)</f>
        <v>8875</v>
      </c>
      <c r="UWU67" s="148" t="s">
        <v>96</v>
      </c>
      <c r="UWV67" s="149">
        <v>45845</v>
      </c>
      <c r="UWW67" s="144" t="s">
        <v>40</v>
      </c>
      <c r="UWX67" s="200"/>
      <c r="UWY67" s="150" t="s">
        <v>123</v>
      </c>
      <c r="UWZ67" s="198"/>
      <c r="UXA67" s="199"/>
      <c r="UXB67" s="144" t="s">
        <v>22</v>
      </c>
      <c r="UXC67" s="145">
        <v>8150</v>
      </c>
      <c r="UXD67" s="153">
        <v>85</v>
      </c>
      <c r="UXE67" s="154">
        <v>215</v>
      </c>
      <c r="UXF67" s="154">
        <v>75</v>
      </c>
      <c r="UXG67" s="153">
        <v>150</v>
      </c>
      <c r="UXH67" s="155">
        <f>SUM(UXC67:UXG67)</f>
        <v>8675</v>
      </c>
      <c r="UXI67" s="153">
        <v>200</v>
      </c>
      <c r="UXJ67" s="155">
        <f>SUM(UXH67:UXI67)</f>
        <v>8875</v>
      </c>
      <c r="UXK67" s="148" t="s">
        <v>96</v>
      </c>
      <c r="UXL67" s="149">
        <v>45845</v>
      </c>
      <c r="UXM67" s="144" t="s">
        <v>40</v>
      </c>
      <c r="UXN67" s="200"/>
      <c r="UXO67" s="150" t="s">
        <v>123</v>
      </c>
      <c r="UXP67" s="198"/>
      <c r="UXQ67" s="199"/>
      <c r="UXR67" s="144" t="s">
        <v>22</v>
      </c>
      <c r="UXS67" s="145">
        <v>8150</v>
      </c>
      <c r="UXT67" s="153">
        <v>85</v>
      </c>
      <c r="UXU67" s="154">
        <v>215</v>
      </c>
      <c r="UXV67" s="154">
        <v>75</v>
      </c>
      <c r="UXW67" s="153">
        <v>150</v>
      </c>
      <c r="UXX67" s="155">
        <f>SUM(UXS67:UXW67)</f>
        <v>8675</v>
      </c>
      <c r="UXY67" s="153">
        <v>200</v>
      </c>
      <c r="UXZ67" s="155">
        <f>SUM(UXX67:UXY67)</f>
        <v>8875</v>
      </c>
      <c r="UYA67" s="148" t="s">
        <v>96</v>
      </c>
      <c r="UYB67" s="149">
        <v>45845</v>
      </c>
      <c r="UYC67" s="144" t="s">
        <v>40</v>
      </c>
      <c r="UYD67" s="200"/>
      <c r="UYE67" s="150" t="s">
        <v>123</v>
      </c>
      <c r="UYF67" s="198"/>
      <c r="UYG67" s="199"/>
      <c r="UYH67" s="144" t="s">
        <v>22</v>
      </c>
      <c r="UYI67" s="145">
        <v>8150</v>
      </c>
      <c r="UYJ67" s="153">
        <v>85</v>
      </c>
      <c r="UYK67" s="154">
        <v>215</v>
      </c>
      <c r="UYL67" s="154">
        <v>75</v>
      </c>
      <c r="UYM67" s="153">
        <v>150</v>
      </c>
      <c r="UYN67" s="155">
        <f>SUM(UYI67:UYM67)</f>
        <v>8675</v>
      </c>
      <c r="UYO67" s="153">
        <v>200</v>
      </c>
      <c r="UYP67" s="155">
        <f>SUM(UYN67:UYO67)</f>
        <v>8875</v>
      </c>
      <c r="UYQ67" s="148" t="s">
        <v>96</v>
      </c>
      <c r="UYR67" s="149">
        <v>45845</v>
      </c>
      <c r="UYS67" s="144" t="s">
        <v>40</v>
      </c>
      <c r="UYT67" s="200"/>
      <c r="UYU67" s="150" t="s">
        <v>123</v>
      </c>
      <c r="UYV67" s="198"/>
      <c r="UYW67" s="199"/>
      <c r="UYX67" s="144" t="s">
        <v>22</v>
      </c>
      <c r="UYY67" s="145">
        <v>8150</v>
      </c>
      <c r="UYZ67" s="153">
        <v>85</v>
      </c>
      <c r="UZA67" s="154">
        <v>215</v>
      </c>
      <c r="UZB67" s="154">
        <v>75</v>
      </c>
      <c r="UZC67" s="153">
        <v>150</v>
      </c>
      <c r="UZD67" s="155">
        <f>SUM(UYY67:UZC67)</f>
        <v>8675</v>
      </c>
      <c r="UZE67" s="153">
        <v>200</v>
      </c>
      <c r="UZF67" s="155">
        <f>SUM(UZD67:UZE67)</f>
        <v>8875</v>
      </c>
      <c r="UZG67" s="148" t="s">
        <v>96</v>
      </c>
      <c r="UZH67" s="149">
        <v>45845</v>
      </c>
      <c r="UZI67" s="144" t="s">
        <v>40</v>
      </c>
      <c r="UZJ67" s="200"/>
      <c r="UZK67" s="150" t="s">
        <v>123</v>
      </c>
      <c r="UZL67" s="198"/>
      <c r="UZM67" s="199"/>
      <c r="UZN67" s="144" t="s">
        <v>22</v>
      </c>
      <c r="UZO67" s="145">
        <v>8150</v>
      </c>
      <c r="UZP67" s="153">
        <v>85</v>
      </c>
      <c r="UZQ67" s="154">
        <v>215</v>
      </c>
      <c r="UZR67" s="154">
        <v>75</v>
      </c>
      <c r="UZS67" s="153">
        <v>150</v>
      </c>
      <c r="UZT67" s="155">
        <f>SUM(UZO67:UZS67)</f>
        <v>8675</v>
      </c>
      <c r="UZU67" s="153">
        <v>200</v>
      </c>
      <c r="UZV67" s="155">
        <f>SUM(UZT67:UZU67)</f>
        <v>8875</v>
      </c>
      <c r="UZW67" s="148" t="s">
        <v>96</v>
      </c>
      <c r="UZX67" s="149">
        <v>45845</v>
      </c>
      <c r="UZY67" s="144" t="s">
        <v>40</v>
      </c>
      <c r="UZZ67" s="200"/>
      <c r="VAA67" s="150" t="s">
        <v>123</v>
      </c>
      <c r="VAB67" s="198"/>
      <c r="VAC67" s="199"/>
      <c r="VAD67" s="144" t="s">
        <v>22</v>
      </c>
      <c r="VAE67" s="145">
        <v>8150</v>
      </c>
      <c r="VAF67" s="153">
        <v>85</v>
      </c>
      <c r="VAG67" s="154">
        <v>215</v>
      </c>
      <c r="VAH67" s="154">
        <v>75</v>
      </c>
      <c r="VAI67" s="153">
        <v>150</v>
      </c>
      <c r="VAJ67" s="155">
        <f>SUM(VAE67:VAI67)</f>
        <v>8675</v>
      </c>
      <c r="VAK67" s="153">
        <v>200</v>
      </c>
      <c r="VAL67" s="155">
        <f>SUM(VAJ67:VAK67)</f>
        <v>8875</v>
      </c>
      <c r="VAM67" s="148" t="s">
        <v>96</v>
      </c>
      <c r="VAN67" s="149">
        <v>45845</v>
      </c>
      <c r="VAO67" s="144" t="s">
        <v>40</v>
      </c>
      <c r="VAP67" s="200"/>
      <c r="VAQ67" s="150" t="s">
        <v>123</v>
      </c>
      <c r="VAR67" s="198"/>
      <c r="VAS67" s="199"/>
      <c r="VAT67" s="144" t="s">
        <v>22</v>
      </c>
      <c r="VAU67" s="145">
        <v>8150</v>
      </c>
      <c r="VAV67" s="153">
        <v>85</v>
      </c>
      <c r="VAW67" s="154">
        <v>215</v>
      </c>
      <c r="VAX67" s="154">
        <v>75</v>
      </c>
      <c r="VAY67" s="153">
        <v>150</v>
      </c>
      <c r="VAZ67" s="155">
        <f>SUM(VAU67:VAY67)</f>
        <v>8675</v>
      </c>
      <c r="VBA67" s="153">
        <v>200</v>
      </c>
      <c r="VBB67" s="155">
        <f>SUM(VAZ67:VBA67)</f>
        <v>8875</v>
      </c>
      <c r="VBC67" s="148" t="s">
        <v>96</v>
      </c>
      <c r="VBD67" s="149">
        <v>45845</v>
      </c>
      <c r="VBE67" s="144" t="s">
        <v>40</v>
      </c>
      <c r="VBF67" s="200"/>
      <c r="VBG67" s="150" t="s">
        <v>123</v>
      </c>
      <c r="VBH67" s="198"/>
      <c r="VBI67" s="199"/>
      <c r="VBJ67" s="144" t="s">
        <v>22</v>
      </c>
      <c r="VBK67" s="145">
        <v>8150</v>
      </c>
      <c r="VBL67" s="153">
        <v>85</v>
      </c>
      <c r="VBM67" s="154">
        <v>215</v>
      </c>
      <c r="VBN67" s="154">
        <v>75</v>
      </c>
      <c r="VBO67" s="153">
        <v>150</v>
      </c>
      <c r="VBP67" s="155">
        <f>SUM(VBK67:VBO67)</f>
        <v>8675</v>
      </c>
      <c r="VBQ67" s="153">
        <v>200</v>
      </c>
      <c r="VBR67" s="155">
        <f>SUM(VBP67:VBQ67)</f>
        <v>8875</v>
      </c>
      <c r="VBS67" s="148" t="s">
        <v>96</v>
      </c>
      <c r="VBT67" s="149">
        <v>45845</v>
      </c>
      <c r="VBU67" s="144" t="s">
        <v>40</v>
      </c>
      <c r="VBV67" s="200"/>
      <c r="VBW67" s="150" t="s">
        <v>123</v>
      </c>
      <c r="VBX67" s="198"/>
      <c r="VBY67" s="199"/>
      <c r="VBZ67" s="144" t="s">
        <v>22</v>
      </c>
      <c r="VCA67" s="145">
        <v>8150</v>
      </c>
      <c r="VCB67" s="153">
        <v>85</v>
      </c>
      <c r="VCC67" s="154">
        <v>215</v>
      </c>
      <c r="VCD67" s="154">
        <v>75</v>
      </c>
      <c r="VCE67" s="153">
        <v>150</v>
      </c>
      <c r="VCF67" s="155">
        <f>SUM(VCA67:VCE67)</f>
        <v>8675</v>
      </c>
      <c r="VCG67" s="153">
        <v>200</v>
      </c>
      <c r="VCH67" s="155">
        <f>SUM(VCF67:VCG67)</f>
        <v>8875</v>
      </c>
      <c r="VCI67" s="148" t="s">
        <v>96</v>
      </c>
      <c r="VCJ67" s="149">
        <v>45845</v>
      </c>
      <c r="VCK67" s="144" t="s">
        <v>40</v>
      </c>
      <c r="VCL67" s="200"/>
      <c r="VCM67" s="150" t="s">
        <v>123</v>
      </c>
      <c r="VCN67" s="198"/>
      <c r="VCO67" s="199"/>
      <c r="VCP67" s="144" t="s">
        <v>22</v>
      </c>
      <c r="VCQ67" s="145">
        <v>8150</v>
      </c>
      <c r="VCR67" s="153">
        <v>85</v>
      </c>
      <c r="VCS67" s="154">
        <v>215</v>
      </c>
      <c r="VCT67" s="154">
        <v>75</v>
      </c>
      <c r="VCU67" s="153">
        <v>150</v>
      </c>
      <c r="VCV67" s="155">
        <f>SUM(VCQ67:VCU67)</f>
        <v>8675</v>
      </c>
      <c r="VCW67" s="153">
        <v>200</v>
      </c>
      <c r="VCX67" s="155">
        <f>SUM(VCV67:VCW67)</f>
        <v>8875</v>
      </c>
      <c r="VCY67" s="148" t="s">
        <v>96</v>
      </c>
      <c r="VCZ67" s="149">
        <v>45845</v>
      </c>
      <c r="VDA67" s="144" t="s">
        <v>40</v>
      </c>
      <c r="VDB67" s="200"/>
      <c r="VDC67" s="150" t="s">
        <v>123</v>
      </c>
      <c r="VDD67" s="198"/>
      <c r="VDE67" s="199"/>
      <c r="VDF67" s="144" t="s">
        <v>22</v>
      </c>
      <c r="VDG67" s="145">
        <v>8150</v>
      </c>
      <c r="VDH67" s="153">
        <v>85</v>
      </c>
      <c r="VDI67" s="154">
        <v>215</v>
      </c>
      <c r="VDJ67" s="154">
        <v>75</v>
      </c>
      <c r="VDK67" s="153">
        <v>150</v>
      </c>
      <c r="VDL67" s="155">
        <f>SUM(VDG67:VDK67)</f>
        <v>8675</v>
      </c>
      <c r="VDM67" s="153">
        <v>200</v>
      </c>
      <c r="VDN67" s="155">
        <f>SUM(VDL67:VDM67)</f>
        <v>8875</v>
      </c>
      <c r="VDO67" s="148" t="s">
        <v>96</v>
      </c>
      <c r="VDP67" s="149">
        <v>45845</v>
      </c>
      <c r="VDQ67" s="144" t="s">
        <v>40</v>
      </c>
      <c r="VDR67" s="200"/>
      <c r="VDS67" s="150" t="s">
        <v>123</v>
      </c>
      <c r="VDT67" s="198"/>
      <c r="VDU67" s="199"/>
      <c r="VDV67" s="144" t="s">
        <v>22</v>
      </c>
      <c r="VDW67" s="145">
        <v>8150</v>
      </c>
      <c r="VDX67" s="153">
        <v>85</v>
      </c>
      <c r="VDY67" s="154">
        <v>215</v>
      </c>
      <c r="VDZ67" s="154">
        <v>75</v>
      </c>
      <c r="VEA67" s="153">
        <v>150</v>
      </c>
      <c r="VEB67" s="155">
        <f>SUM(VDW67:VEA67)</f>
        <v>8675</v>
      </c>
      <c r="VEC67" s="153">
        <v>200</v>
      </c>
      <c r="VED67" s="155">
        <f>SUM(VEB67:VEC67)</f>
        <v>8875</v>
      </c>
      <c r="VEE67" s="148" t="s">
        <v>96</v>
      </c>
      <c r="VEF67" s="149">
        <v>45845</v>
      </c>
      <c r="VEG67" s="144" t="s">
        <v>40</v>
      </c>
      <c r="VEH67" s="200"/>
      <c r="VEI67" s="150" t="s">
        <v>123</v>
      </c>
      <c r="VEJ67" s="198"/>
      <c r="VEK67" s="199"/>
      <c r="VEL67" s="144" t="s">
        <v>22</v>
      </c>
      <c r="VEM67" s="145">
        <v>8150</v>
      </c>
      <c r="VEN67" s="153">
        <v>85</v>
      </c>
      <c r="VEO67" s="154">
        <v>215</v>
      </c>
      <c r="VEP67" s="154">
        <v>75</v>
      </c>
      <c r="VEQ67" s="153">
        <v>150</v>
      </c>
      <c r="VER67" s="155">
        <f>SUM(VEM67:VEQ67)</f>
        <v>8675</v>
      </c>
      <c r="VES67" s="153">
        <v>200</v>
      </c>
      <c r="VET67" s="155">
        <f>SUM(VER67:VES67)</f>
        <v>8875</v>
      </c>
      <c r="VEU67" s="148" t="s">
        <v>96</v>
      </c>
      <c r="VEV67" s="149">
        <v>45845</v>
      </c>
      <c r="VEW67" s="144" t="s">
        <v>40</v>
      </c>
      <c r="VEX67" s="200"/>
      <c r="VEY67" s="150" t="s">
        <v>123</v>
      </c>
      <c r="VEZ67" s="198"/>
      <c r="VFA67" s="199"/>
      <c r="VFB67" s="144" t="s">
        <v>22</v>
      </c>
      <c r="VFC67" s="145">
        <v>8150</v>
      </c>
      <c r="VFD67" s="153">
        <v>85</v>
      </c>
      <c r="VFE67" s="154">
        <v>215</v>
      </c>
      <c r="VFF67" s="154">
        <v>75</v>
      </c>
      <c r="VFG67" s="153">
        <v>150</v>
      </c>
      <c r="VFH67" s="155">
        <f>SUM(VFC67:VFG67)</f>
        <v>8675</v>
      </c>
      <c r="VFI67" s="153">
        <v>200</v>
      </c>
      <c r="VFJ67" s="155">
        <f>SUM(VFH67:VFI67)</f>
        <v>8875</v>
      </c>
      <c r="VFK67" s="148" t="s">
        <v>96</v>
      </c>
      <c r="VFL67" s="149">
        <v>45845</v>
      </c>
      <c r="VFM67" s="144" t="s">
        <v>40</v>
      </c>
      <c r="VFN67" s="200"/>
      <c r="VFO67" s="150" t="s">
        <v>123</v>
      </c>
      <c r="VFP67" s="198"/>
      <c r="VFQ67" s="199"/>
      <c r="VFR67" s="144" t="s">
        <v>22</v>
      </c>
      <c r="VFS67" s="145">
        <v>8150</v>
      </c>
      <c r="VFT67" s="153">
        <v>85</v>
      </c>
      <c r="VFU67" s="154">
        <v>215</v>
      </c>
      <c r="VFV67" s="154">
        <v>75</v>
      </c>
      <c r="VFW67" s="153">
        <v>150</v>
      </c>
      <c r="VFX67" s="155">
        <f>SUM(VFS67:VFW67)</f>
        <v>8675</v>
      </c>
      <c r="VFY67" s="153">
        <v>200</v>
      </c>
      <c r="VFZ67" s="155">
        <f>SUM(VFX67:VFY67)</f>
        <v>8875</v>
      </c>
      <c r="VGA67" s="148" t="s">
        <v>96</v>
      </c>
      <c r="VGB67" s="149">
        <v>45845</v>
      </c>
      <c r="VGC67" s="144" t="s">
        <v>40</v>
      </c>
      <c r="VGD67" s="200"/>
      <c r="VGE67" s="150" t="s">
        <v>123</v>
      </c>
      <c r="VGF67" s="198"/>
      <c r="VGG67" s="199"/>
      <c r="VGH67" s="144" t="s">
        <v>22</v>
      </c>
      <c r="VGI67" s="145">
        <v>8150</v>
      </c>
      <c r="VGJ67" s="153">
        <v>85</v>
      </c>
      <c r="VGK67" s="154">
        <v>215</v>
      </c>
      <c r="VGL67" s="154">
        <v>75</v>
      </c>
      <c r="VGM67" s="153">
        <v>150</v>
      </c>
      <c r="VGN67" s="155">
        <f>SUM(VGI67:VGM67)</f>
        <v>8675</v>
      </c>
      <c r="VGO67" s="153">
        <v>200</v>
      </c>
      <c r="VGP67" s="155">
        <f>SUM(VGN67:VGO67)</f>
        <v>8875</v>
      </c>
      <c r="VGQ67" s="148" t="s">
        <v>96</v>
      </c>
      <c r="VGR67" s="149">
        <v>45845</v>
      </c>
      <c r="VGS67" s="144" t="s">
        <v>40</v>
      </c>
      <c r="VGT67" s="200"/>
      <c r="VGU67" s="150" t="s">
        <v>123</v>
      </c>
      <c r="VGV67" s="198"/>
      <c r="VGW67" s="199"/>
      <c r="VGX67" s="144" t="s">
        <v>22</v>
      </c>
      <c r="VGY67" s="145">
        <v>8150</v>
      </c>
      <c r="VGZ67" s="153">
        <v>85</v>
      </c>
      <c r="VHA67" s="154">
        <v>215</v>
      </c>
      <c r="VHB67" s="154">
        <v>75</v>
      </c>
    </row>
    <row r="68" spans="2:62 3072:12198 12789:15082" ht="15" thickBot="1" x14ac:dyDescent="0.35">
      <c r="B68" s="306"/>
      <c r="C68" s="209" t="s">
        <v>112</v>
      </c>
      <c r="D68" s="145" t="s">
        <v>22</v>
      </c>
      <c r="E68" s="146">
        <f>CEILING((((10100+297+50+85)*1.12)- 85)-150,50)</f>
        <v>11600</v>
      </c>
      <c r="F68" s="146">
        <v>85</v>
      </c>
      <c r="G68" s="146">
        <v>215</v>
      </c>
      <c r="H68" s="146">
        <v>75</v>
      </c>
      <c r="I68" s="146">
        <v>150</v>
      </c>
      <c r="J68" s="205">
        <f t="shared" si="8"/>
        <v>12125</v>
      </c>
      <c r="K68" s="146">
        <v>200</v>
      </c>
      <c r="L68" s="205">
        <f t="shared" si="9"/>
        <v>12325</v>
      </c>
      <c r="M68" s="148" t="s">
        <v>96</v>
      </c>
      <c r="N68" s="211" t="s">
        <v>56</v>
      </c>
      <c r="O68" s="206" t="s">
        <v>40</v>
      </c>
      <c r="P68" s="291"/>
      <c r="Q68" s="150" t="s">
        <v>123</v>
      </c>
      <c r="R68" s="173"/>
      <c r="S68" s="166"/>
      <c r="T68" s="167"/>
      <c r="U68" s="168"/>
      <c r="V68" s="167"/>
      <c r="W68" s="169"/>
      <c r="X68" s="167"/>
      <c r="Y68" s="169"/>
      <c r="Z68" s="170"/>
      <c r="AA68" s="171"/>
      <c r="AB68" s="165"/>
      <c r="AC68" s="172"/>
      <c r="AD68" s="175"/>
      <c r="AE68" s="156"/>
      <c r="AF68" s="164"/>
      <c r="AG68"/>
      <c r="AH68" s="157"/>
      <c r="AI68" s="158"/>
      <c r="AJ68" s="159"/>
      <c r="AK68" s="159"/>
      <c r="AL68" s="158"/>
      <c r="AM68" s="160"/>
      <c r="AN68" s="158"/>
      <c r="AO68" s="160"/>
      <c r="AP68" s="161"/>
      <c r="AQ68" s="162"/>
      <c r="AR68"/>
      <c r="AS68" s="163"/>
      <c r="AT68"/>
      <c r="AU68" s="156"/>
      <c r="AV68" s="164"/>
      <c r="AW68"/>
      <c r="AX68" s="157"/>
      <c r="AY68" s="158"/>
      <c r="AZ68" s="159"/>
      <c r="BA68" s="159"/>
      <c r="BB68" s="158"/>
      <c r="BC68" s="160"/>
      <c r="BD68" s="158"/>
      <c r="BE68" s="160"/>
      <c r="BF68" s="161"/>
      <c r="BG68" s="162"/>
      <c r="BH68"/>
      <c r="BI68" s="163"/>
      <c r="BJ68"/>
      <c r="DND68" s="162"/>
      <c r="DNE68"/>
      <c r="DNF68" s="163"/>
      <c r="DNG68"/>
      <c r="DNH68" s="156"/>
      <c r="DNI68" s="164"/>
      <c r="DNJ68"/>
      <c r="DNK68" s="157"/>
      <c r="DNL68" s="158"/>
      <c r="DNM68" s="159"/>
      <c r="DNN68" s="159"/>
      <c r="DNO68" s="158"/>
      <c r="DNP68" s="160"/>
      <c r="DNQ68" s="158"/>
      <c r="DNR68" s="160"/>
      <c r="DNS68" s="161"/>
      <c r="DNT68" s="162"/>
      <c r="DNU68"/>
      <c r="DNV68" s="163"/>
      <c r="DNW68"/>
      <c r="DNX68" s="156"/>
      <c r="DNY68" s="164"/>
      <c r="DNZ68"/>
      <c r="DOA68" s="157"/>
      <c r="DOB68" s="158"/>
      <c r="DOC68" s="159"/>
      <c r="DOD68" s="159"/>
      <c r="DOE68" s="158"/>
      <c r="DOF68" s="160"/>
      <c r="DOG68" s="158"/>
      <c r="DOH68" s="160"/>
      <c r="DOI68" s="161"/>
      <c r="DOJ68" s="162"/>
      <c r="DOK68"/>
      <c r="DOL68" s="163"/>
      <c r="DOM68"/>
      <c r="DON68" s="156"/>
      <c r="DOO68" s="164"/>
      <c r="DOP68"/>
      <c r="DOQ68" s="157"/>
      <c r="DOR68" s="158"/>
      <c r="DOS68" s="159"/>
      <c r="DOT68" s="159"/>
      <c r="DOU68" s="158"/>
      <c r="DOV68" s="160"/>
      <c r="DOW68" s="158"/>
      <c r="DOX68" s="160"/>
      <c r="DOY68" s="161"/>
      <c r="DOZ68" s="162"/>
      <c r="DPA68"/>
      <c r="DPB68" s="163"/>
      <c r="DPC68"/>
      <c r="DPD68" s="156"/>
      <c r="DPE68" s="164"/>
      <c r="DPF68"/>
      <c r="DPG68" s="157"/>
      <c r="DPH68" s="158"/>
      <c r="DPI68" s="159"/>
      <c r="DPJ68" s="159"/>
      <c r="DPK68" s="158"/>
      <c r="DPL68" s="160"/>
      <c r="DPM68" s="158"/>
      <c r="DPN68" s="160"/>
      <c r="DPO68" s="161"/>
      <c r="DPP68" s="162"/>
      <c r="DPQ68"/>
      <c r="DPR68" s="163"/>
      <c r="DPS68"/>
      <c r="DPT68" s="156"/>
      <c r="DPU68" s="164"/>
      <c r="DPV68"/>
      <c r="DPW68" s="157"/>
      <c r="DPX68" s="158"/>
      <c r="DPY68" s="159"/>
      <c r="DPZ68" s="159"/>
      <c r="DQA68" s="158"/>
      <c r="DQB68" s="160"/>
      <c r="DQC68" s="158"/>
      <c r="DQD68" s="160"/>
      <c r="DQE68" s="161"/>
      <c r="DQF68" s="162"/>
      <c r="DQG68"/>
      <c r="DQH68" s="163"/>
      <c r="DQI68"/>
      <c r="DQJ68" s="156"/>
      <c r="DQK68" s="164"/>
      <c r="DQL68"/>
      <c r="DQM68" s="157"/>
      <c r="DQN68" s="158"/>
      <c r="DQO68" s="159"/>
      <c r="DQP68" s="159"/>
      <c r="DQQ68" s="158"/>
      <c r="DQR68" s="160"/>
      <c r="DQS68" s="158"/>
      <c r="DQT68" s="160"/>
      <c r="DQU68" s="161"/>
      <c r="DQV68" s="162"/>
      <c r="DQW68"/>
      <c r="DQX68" s="163"/>
      <c r="DQY68"/>
      <c r="DQZ68" s="156"/>
      <c r="DRA68" s="164"/>
      <c r="DRB68"/>
      <c r="DRC68" s="157"/>
      <c r="DRD68" s="158"/>
      <c r="DRE68" s="159"/>
      <c r="DRF68" s="159"/>
      <c r="DRG68" s="158"/>
      <c r="DRH68" s="160"/>
      <c r="DRI68" s="158"/>
      <c r="DRJ68" s="160"/>
      <c r="DRK68" s="161"/>
      <c r="DRL68" s="162"/>
      <c r="DRM68"/>
      <c r="DRN68" s="163"/>
      <c r="DRO68"/>
      <c r="DRP68" s="156"/>
      <c r="DRQ68" s="164"/>
      <c r="DRR68"/>
      <c r="DRS68" s="157"/>
      <c r="DRT68" s="158"/>
      <c r="DRU68" s="159"/>
      <c r="DRV68" s="159"/>
      <c r="DRW68" s="158"/>
      <c r="DRX68" s="160"/>
      <c r="DRY68" s="158"/>
      <c r="DRZ68" s="160"/>
      <c r="DSA68" s="161"/>
      <c r="DSB68" s="162"/>
      <c r="DSC68"/>
      <c r="DSD68" s="163"/>
      <c r="DSE68"/>
      <c r="DSF68" s="156"/>
      <c r="DSG68" s="164"/>
      <c r="DSH68"/>
      <c r="DSI68" s="157"/>
      <c r="DSJ68" s="158"/>
      <c r="DSK68" s="159"/>
      <c r="DSL68" s="159"/>
      <c r="DSM68" s="158"/>
      <c r="DSN68" s="160"/>
      <c r="DSO68" s="158"/>
      <c r="DSP68" s="160"/>
      <c r="DSQ68" s="161"/>
      <c r="DSR68" s="162"/>
      <c r="DSS68"/>
      <c r="DST68" s="163"/>
      <c r="DSU68"/>
      <c r="DSV68" s="156"/>
      <c r="DSW68" s="164"/>
      <c r="DSX68"/>
      <c r="DSY68" s="157"/>
      <c r="DSZ68" s="158"/>
      <c r="DTA68" s="159"/>
      <c r="DTB68" s="159"/>
      <c r="DTC68" s="158"/>
      <c r="DTD68" s="160"/>
      <c r="DTE68" s="158"/>
      <c r="DTF68" s="160"/>
      <c r="DTG68" s="161"/>
      <c r="DTH68" s="162"/>
      <c r="DTI68"/>
      <c r="DTJ68" s="163"/>
      <c r="DTK68"/>
      <c r="DTL68" s="156"/>
      <c r="DTM68" s="164"/>
      <c r="DTN68"/>
      <c r="DTO68" s="157"/>
      <c r="DTP68" s="158"/>
      <c r="DTQ68" s="159"/>
      <c r="DTR68" s="159"/>
      <c r="DTS68" s="158"/>
      <c r="DTT68" s="160"/>
      <c r="DTU68" s="158"/>
      <c r="DTV68" s="160"/>
      <c r="DTW68" s="161"/>
      <c r="DTX68" s="162"/>
      <c r="DTY68"/>
      <c r="DTZ68" s="163"/>
      <c r="DUA68"/>
      <c r="DUB68" s="156"/>
      <c r="DUC68" s="164"/>
      <c r="DUD68"/>
      <c r="DUE68" s="157"/>
      <c r="DUF68" s="158"/>
      <c r="DUG68" s="159"/>
      <c r="DUH68" s="159"/>
      <c r="DUI68" s="158"/>
      <c r="DUJ68" s="160"/>
      <c r="DUK68" s="158"/>
      <c r="DUL68" s="160"/>
      <c r="DUM68" s="161"/>
      <c r="DUN68" s="162"/>
      <c r="DUO68"/>
      <c r="DUP68" s="163"/>
      <c r="DUQ68"/>
      <c r="DUR68" s="156"/>
      <c r="DUS68" s="164"/>
      <c r="DUT68"/>
      <c r="DUU68" s="157"/>
      <c r="DUV68" s="158"/>
      <c r="DUW68" s="159"/>
      <c r="DUX68" s="159"/>
      <c r="DUY68" s="158"/>
      <c r="DUZ68" s="160"/>
      <c r="DVA68" s="158"/>
      <c r="DVB68" s="160"/>
      <c r="DVC68" s="161"/>
      <c r="DVD68" s="162"/>
      <c r="DVE68"/>
      <c r="DVF68" s="163"/>
      <c r="DVG68"/>
      <c r="DVH68" s="156"/>
      <c r="DVI68" s="164"/>
      <c r="DVJ68"/>
      <c r="DVK68" s="157"/>
      <c r="DVL68" s="158"/>
      <c r="DVM68" s="159"/>
      <c r="DVN68" s="159"/>
      <c r="DVO68" s="158"/>
      <c r="DVP68" s="160"/>
      <c r="DVQ68" s="158"/>
      <c r="DVR68" s="160"/>
      <c r="DVS68" s="161"/>
      <c r="DVT68" s="162"/>
      <c r="DVU68"/>
      <c r="DVV68" s="163"/>
      <c r="DVW68"/>
      <c r="DVX68" s="156"/>
      <c r="DVY68" s="164"/>
      <c r="DVZ68"/>
      <c r="DWA68" s="157"/>
      <c r="DWB68" s="158"/>
      <c r="DWC68" s="159"/>
      <c r="DWD68" s="159"/>
      <c r="DWE68" s="158"/>
      <c r="DWF68" s="160"/>
      <c r="DWG68" s="158"/>
      <c r="DWH68" s="160"/>
      <c r="DWI68" s="161"/>
      <c r="DWJ68" s="162"/>
      <c r="DWK68"/>
      <c r="DWL68" s="163"/>
      <c r="DWM68"/>
      <c r="DWN68" s="156"/>
      <c r="DWO68" s="164"/>
      <c r="DWP68"/>
      <c r="DWQ68" s="157"/>
      <c r="DWR68" s="158"/>
      <c r="DWS68" s="159"/>
      <c r="DWT68" s="159"/>
      <c r="DWU68" s="158"/>
      <c r="DWV68" s="160"/>
      <c r="DWW68" s="158"/>
      <c r="DWX68" s="160"/>
      <c r="DWY68" s="161"/>
      <c r="DWZ68" s="162"/>
      <c r="DXA68"/>
      <c r="DXB68" s="163"/>
      <c r="DXC68"/>
      <c r="DXD68" s="156"/>
      <c r="DXE68" s="164"/>
      <c r="DXF68"/>
      <c r="DXG68" s="157"/>
      <c r="DXH68" s="158"/>
      <c r="DXI68" s="159"/>
      <c r="DXJ68" s="159"/>
      <c r="DXK68" s="158"/>
      <c r="DXL68" s="160"/>
      <c r="DXM68" s="158"/>
      <c r="DXN68" s="160"/>
      <c r="DXO68" s="161"/>
      <c r="DXP68" s="162"/>
      <c r="DXQ68"/>
      <c r="DXR68" s="163"/>
      <c r="DXS68"/>
      <c r="DXT68" s="156"/>
      <c r="DXU68" s="164"/>
      <c r="DXV68"/>
      <c r="DXW68" s="157"/>
      <c r="DXX68" s="158"/>
      <c r="DXY68" s="159"/>
      <c r="DXZ68" s="159"/>
      <c r="DYA68" s="158"/>
      <c r="DYB68" s="160"/>
      <c r="DYC68" s="158"/>
      <c r="DYD68" s="160"/>
      <c r="DYE68" s="161"/>
      <c r="DYF68" s="162"/>
      <c r="DYG68"/>
      <c r="DYH68" s="163"/>
      <c r="DYI68"/>
      <c r="DYJ68" s="156"/>
      <c r="DYK68" s="164"/>
      <c r="DYL68"/>
      <c r="DYM68" s="157"/>
      <c r="DYN68" s="158"/>
      <c r="DYO68" s="159"/>
      <c r="DYP68" s="159"/>
      <c r="DYQ68" s="158"/>
      <c r="DYR68" s="160"/>
      <c r="DYS68" s="158"/>
      <c r="DYT68" s="160"/>
      <c r="DYU68" s="161"/>
      <c r="DYV68" s="162"/>
      <c r="DYW68"/>
      <c r="DYX68" s="163"/>
      <c r="DYY68"/>
      <c r="DYZ68" s="156"/>
      <c r="DZA68" s="164"/>
      <c r="DZB68"/>
      <c r="DZC68" s="157"/>
      <c r="DZD68" s="158"/>
      <c r="DZE68" s="159"/>
      <c r="DZF68" s="159"/>
      <c r="DZG68" s="158"/>
      <c r="DZH68" s="160"/>
      <c r="DZI68" s="158"/>
      <c r="DZJ68" s="160"/>
      <c r="DZK68" s="161"/>
      <c r="DZL68" s="162"/>
      <c r="DZM68"/>
      <c r="DZN68" s="163"/>
      <c r="DZO68"/>
      <c r="DZP68" s="156"/>
      <c r="DZQ68" s="164"/>
      <c r="DZR68"/>
      <c r="DZS68" s="157"/>
      <c r="DZT68" s="158"/>
      <c r="DZU68" s="159"/>
      <c r="DZV68" s="159"/>
      <c r="DZW68" s="158"/>
      <c r="DZX68" s="160"/>
      <c r="DZY68" s="158"/>
      <c r="DZZ68" s="160"/>
      <c r="EAA68" s="161"/>
      <c r="EAB68" s="162"/>
      <c r="EAC68"/>
      <c r="EAD68" s="163"/>
      <c r="EAE68"/>
      <c r="EAF68" s="156"/>
      <c r="EAG68" s="164"/>
      <c r="EAH68"/>
      <c r="EAI68" s="157"/>
      <c r="EAJ68" s="158"/>
      <c r="EAK68" s="159"/>
      <c r="EAL68" s="159"/>
      <c r="EAM68" s="158"/>
      <c r="EAN68" s="160"/>
      <c r="EAO68" s="158"/>
      <c r="EAP68" s="160"/>
      <c r="EAQ68" s="161"/>
      <c r="EAR68" s="162"/>
      <c r="EAS68"/>
      <c r="EAT68" s="163"/>
      <c r="EAU68"/>
      <c r="EAV68" s="156"/>
      <c r="EAW68" s="164"/>
      <c r="EAX68"/>
      <c r="EAY68" s="157"/>
      <c r="EAZ68" s="158"/>
      <c r="EBA68" s="159"/>
      <c r="EBB68" s="159"/>
      <c r="EBC68" s="158"/>
      <c r="EBD68" s="160"/>
      <c r="EBE68" s="158"/>
      <c r="EBF68" s="160"/>
      <c r="EBG68" s="161"/>
      <c r="EBH68" s="162"/>
      <c r="EBI68"/>
      <c r="EBJ68" s="163"/>
      <c r="EBK68"/>
      <c r="EBL68" s="156"/>
      <c r="EBM68" s="164"/>
      <c r="EBN68"/>
      <c r="EBO68" s="157"/>
      <c r="EBP68" s="158"/>
      <c r="EBQ68" s="159"/>
      <c r="EBR68" s="159"/>
      <c r="EBS68" s="158"/>
      <c r="EBT68" s="160"/>
      <c r="EBU68" s="158"/>
      <c r="EBV68" s="160"/>
      <c r="EBW68" s="161"/>
      <c r="EBX68" s="162"/>
      <c r="EBY68"/>
      <c r="EBZ68" s="163"/>
      <c r="ECA68"/>
      <c r="ECB68" s="156"/>
      <c r="ECC68" s="164"/>
      <c r="ECD68"/>
      <c r="ECE68" s="157"/>
      <c r="ECF68" s="158"/>
      <c r="ECG68" s="159"/>
      <c r="ECH68" s="159"/>
      <c r="ECI68" s="158"/>
      <c r="ECJ68" s="160"/>
      <c r="ECK68" s="158"/>
      <c r="ECL68" s="160"/>
      <c r="ECM68" s="161"/>
      <c r="ECN68" s="162"/>
      <c r="ECO68"/>
      <c r="ECP68" s="163"/>
      <c r="ECQ68"/>
      <c r="ECR68" s="156"/>
      <c r="ECS68" s="164"/>
      <c r="ECT68"/>
      <c r="ECU68" s="157"/>
      <c r="ECV68" s="158"/>
      <c r="ECW68" s="159"/>
      <c r="ECX68" s="159"/>
      <c r="ECY68" s="158"/>
      <c r="ECZ68" s="160"/>
      <c r="EDA68" s="158"/>
      <c r="EDB68" s="160"/>
      <c r="EDC68" s="161"/>
      <c r="EDD68" s="162"/>
      <c r="EDE68"/>
      <c r="EDF68" s="163"/>
      <c r="EDG68"/>
      <c r="EDH68" s="156"/>
      <c r="EDI68" s="164"/>
      <c r="EDJ68"/>
      <c r="EDK68" s="157"/>
      <c r="EDL68" s="158"/>
      <c r="EDM68" s="159"/>
      <c r="EDN68" s="159"/>
      <c r="EDO68" s="158"/>
      <c r="EDP68" s="160"/>
      <c r="EDQ68" s="158"/>
      <c r="EDR68" s="160"/>
      <c r="EDS68" s="161"/>
      <c r="EDT68" s="162"/>
      <c r="EDU68"/>
      <c r="EDV68" s="163"/>
      <c r="EDW68"/>
      <c r="EDX68" s="156"/>
      <c r="EDY68" s="164"/>
      <c r="EDZ68"/>
      <c r="EEA68" s="157"/>
      <c r="EEB68" s="158"/>
      <c r="EEC68" s="159"/>
      <c r="EED68" s="159"/>
      <c r="EEE68" s="158"/>
      <c r="EEF68" s="160"/>
      <c r="EEG68" s="158"/>
      <c r="EEH68" s="160"/>
      <c r="EEI68" s="161"/>
      <c r="EEJ68" s="162"/>
      <c r="EEK68"/>
      <c r="EEL68" s="163"/>
      <c r="EEM68"/>
      <c r="EEN68" s="156"/>
      <c r="EEO68" s="164"/>
      <c r="EEP68"/>
      <c r="EEQ68" s="157"/>
      <c r="EER68" s="158"/>
      <c r="EES68" s="159"/>
      <c r="EET68" s="159"/>
      <c r="EEU68" s="158"/>
      <c r="EEV68" s="160"/>
      <c r="EEW68" s="158"/>
      <c r="EEX68" s="160"/>
      <c r="EEY68" s="161"/>
      <c r="EEZ68" s="162"/>
      <c r="EFA68"/>
      <c r="EFB68" s="163"/>
      <c r="EFC68"/>
      <c r="EFD68" s="156"/>
      <c r="EFE68" s="164"/>
      <c r="EFF68"/>
      <c r="EFG68" s="157"/>
      <c r="EFH68" s="158"/>
      <c r="EFI68" s="159"/>
      <c r="EFJ68" s="159"/>
      <c r="EFK68" s="158"/>
      <c r="EFL68" s="160"/>
      <c r="EFM68" s="158"/>
      <c r="EFN68" s="160"/>
      <c r="EFO68" s="161"/>
      <c r="EFP68" s="162"/>
      <c r="EFQ68"/>
      <c r="EFR68" s="163"/>
      <c r="EFS68"/>
      <c r="EFT68" s="156"/>
      <c r="EFU68" s="164"/>
      <c r="EFV68"/>
      <c r="EFW68" s="157"/>
      <c r="EFX68" s="158"/>
      <c r="EFY68" s="159"/>
      <c r="EFZ68" s="159"/>
      <c r="EGA68" s="158"/>
      <c r="EGB68" s="160"/>
      <c r="EGC68" s="158"/>
      <c r="EGD68" s="160"/>
      <c r="EGE68" s="161"/>
      <c r="EGF68" s="162"/>
      <c r="EGG68"/>
      <c r="EGH68" s="163"/>
      <c r="EGI68"/>
      <c r="EGJ68" s="156"/>
      <c r="EGK68" s="164"/>
      <c r="EGL68"/>
      <c r="EGM68" s="157"/>
      <c r="EGN68" s="158"/>
      <c r="EGO68" s="159"/>
      <c r="EGP68" s="159"/>
      <c r="EGQ68" s="158"/>
      <c r="EGR68" s="160"/>
      <c r="EGS68" s="158"/>
      <c r="EGT68" s="160"/>
      <c r="EGU68" s="161"/>
      <c r="EGV68" s="162"/>
      <c r="EGW68"/>
      <c r="EGX68" s="163"/>
      <c r="EGY68"/>
      <c r="EGZ68" s="156"/>
      <c r="EHA68" s="164"/>
      <c r="EHB68"/>
      <c r="EHC68" s="157"/>
      <c r="EHD68" s="158"/>
      <c r="EHE68" s="159"/>
      <c r="EHF68" s="159"/>
      <c r="EHG68" s="158"/>
      <c r="EHH68" s="160"/>
      <c r="EHI68" s="158"/>
      <c r="EHJ68" s="160"/>
      <c r="EHK68" s="161"/>
      <c r="EHL68" s="162"/>
      <c r="EHM68"/>
      <c r="EHN68" s="163"/>
      <c r="EHO68"/>
      <c r="EHP68" s="156"/>
      <c r="EHQ68" s="164"/>
      <c r="EHR68"/>
      <c r="EHS68" s="157"/>
      <c r="EHT68" s="158"/>
      <c r="EHU68" s="159"/>
      <c r="EHV68" s="159"/>
      <c r="EHW68" s="158"/>
      <c r="EHX68" s="160"/>
      <c r="EHY68" s="158"/>
      <c r="EHZ68" s="160"/>
      <c r="EIA68" s="161"/>
      <c r="EIB68" s="162"/>
      <c r="EIC68"/>
      <c r="EID68" s="163"/>
      <c r="EIE68"/>
      <c r="EIF68" s="156"/>
      <c r="EIG68" s="164"/>
      <c r="EIH68"/>
      <c r="EII68" s="157"/>
      <c r="EIJ68" s="158"/>
      <c r="EIK68" s="159"/>
      <c r="EIL68" s="159"/>
      <c r="EIM68" s="158"/>
      <c r="EIN68" s="160"/>
      <c r="EIO68" s="158"/>
      <c r="EIP68" s="160"/>
      <c r="EIQ68" s="161"/>
      <c r="EIR68" s="162"/>
      <c r="EIS68"/>
      <c r="EIT68" s="163"/>
      <c r="EIU68"/>
      <c r="EIV68" s="156"/>
      <c r="EIW68" s="164"/>
      <c r="EIX68"/>
      <c r="EIY68" s="157"/>
      <c r="EIZ68" s="158"/>
      <c r="EJA68" s="159"/>
      <c r="EJB68" s="159"/>
      <c r="EJC68" s="158"/>
      <c r="EJD68" s="160"/>
      <c r="EJE68" s="158"/>
      <c r="EJF68" s="160"/>
      <c r="EJG68" s="161"/>
      <c r="EJH68" s="162"/>
      <c r="EJI68"/>
      <c r="EJJ68" s="163"/>
      <c r="EJK68"/>
      <c r="EJL68" s="156"/>
      <c r="EJM68" s="164"/>
      <c r="EJN68"/>
      <c r="EJO68" s="157"/>
      <c r="EJP68" s="158"/>
      <c r="EJQ68" s="159"/>
      <c r="EJR68" s="159"/>
      <c r="EJS68" s="158"/>
      <c r="EJT68" s="160"/>
      <c r="EJU68" s="158"/>
      <c r="EJV68" s="160"/>
      <c r="EJW68" s="161"/>
      <c r="EJX68" s="162"/>
      <c r="EJY68"/>
      <c r="EJZ68" s="163"/>
      <c r="EKA68"/>
      <c r="EKB68" s="156"/>
      <c r="EKC68" s="164"/>
      <c r="EKD68"/>
      <c r="EKE68" s="157"/>
      <c r="EKF68" s="158"/>
      <c r="EKG68" s="159"/>
      <c r="EKH68" s="159"/>
      <c r="EKI68" s="158"/>
      <c r="EKJ68" s="160"/>
      <c r="EKK68" s="158"/>
      <c r="EKL68" s="160"/>
      <c r="EKM68" s="161"/>
      <c r="EKN68" s="162"/>
      <c r="EKO68"/>
      <c r="EKP68" s="163"/>
      <c r="EKQ68"/>
      <c r="EKR68" s="156"/>
      <c r="EKS68" s="164"/>
      <c r="EKT68"/>
      <c r="EKU68" s="157"/>
      <c r="EKV68" s="158"/>
      <c r="EKW68" s="159"/>
      <c r="EKX68" s="159"/>
      <c r="EKY68" s="158"/>
      <c r="EKZ68" s="160"/>
      <c r="ELA68" s="158"/>
      <c r="ELB68" s="160"/>
      <c r="ELC68" s="161"/>
      <c r="ELD68" s="162"/>
      <c r="ELE68"/>
      <c r="ELF68" s="163"/>
      <c r="ELG68"/>
      <c r="ELH68" s="156"/>
      <c r="ELI68" s="164"/>
      <c r="ELJ68"/>
      <c r="ELK68" s="157"/>
      <c r="ELL68" s="158"/>
      <c r="ELM68" s="159"/>
      <c r="ELN68" s="159"/>
      <c r="ELO68" s="158"/>
      <c r="ELP68" s="160"/>
      <c r="ELQ68" s="158"/>
      <c r="ELR68" s="160"/>
      <c r="ELS68" s="161"/>
      <c r="ELT68" s="162"/>
      <c r="ELU68"/>
      <c r="ELV68" s="163"/>
      <c r="ELW68"/>
      <c r="ELX68" s="156"/>
      <c r="ELY68" s="164"/>
      <c r="ELZ68"/>
      <c r="EMA68" s="157"/>
      <c r="EMB68" s="158"/>
      <c r="EMC68" s="159"/>
      <c r="EMD68" s="159"/>
      <c r="EME68" s="158"/>
      <c r="EMF68" s="160"/>
      <c r="EMG68" s="158"/>
      <c r="EMH68" s="160"/>
      <c r="EMI68" s="161"/>
      <c r="EMJ68" s="162"/>
      <c r="EMK68"/>
      <c r="EML68" s="163"/>
      <c r="EMM68"/>
      <c r="EMN68" s="156"/>
      <c r="EMO68" s="164"/>
      <c r="EMP68"/>
      <c r="EMQ68" s="157"/>
      <c r="EMR68" s="158"/>
      <c r="EMS68" s="159"/>
      <c r="EMT68" s="159"/>
      <c r="EMU68" s="158"/>
      <c r="EMV68" s="160"/>
      <c r="EMW68" s="158"/>
      <c r="EMX68" s="160"/>
      <c r="EMY68" s="161"/>
      <c r="EMZ68" s="162"/>
      <c r="ENA68"/>
      <c r="ENB68" s="163"/>
      <c r="ENC68"/>
      <c r="END68" s="156"/>
      <c r="ENE68" s="164"/>
      <c r="ENF68"/>
      <c r="ENG68" s="157"/>
      <c r="ENH68" s="158"/>
      <c r="ENI68" s="159"/>
      <c r="ENJ68" s="159"/>
      <c r="ENK68" s="158"/>
      <c r="ENL68" s="160"/>
      <c r="ENM68" s="158"/>
      <c r="ENN68" s="160"/>
      <c r="ENO68" s="161"/>
      <c r="ENP68" s="162"/>
      <c r="ENQ68"/>
      <c r="ENR68" s="163"/>
      <c r="ENS68"/>
      <c r="ENT68" s="156"/>
      <c r="ENU68" s="164"/>
      <c r="ENV68"/>
      <c r="ENW68" s="157"/>
      <c r="ENX68" s="158"/>
      <c r="ENY68" s="159"/>
      <c r="ENZ68" s="159"/>
      <c r="EOA68" s="158"/>
      <c r="EOB68" s="160"/>
      <c r="EOC68" s="158"/>
      <c r="EOD68" s="160"/>
      <c r="EOE68" s="161"/>
      <c r="EOF68" s="162"/>
      <c r="EOG68"/>
      <c r="EOH68" s="163"/>
      <c r="EOI68"/>
      <c r="EOJ68" s="156"/>
      <c r="EOK68" s="164"/>
      <c r="EOL68"/>
      <c r="EOM68" s="157"/>
      <c r="EON68" s="158"/>
      <c r="EOO68" s="159"/>
      <c r="EOP68" s="159"/>
      <c r="EOQ68" s="158"/>
      <c r="EOR68" s="160"/>
      <c r="EOS68" s="158"/>
      <c r="EOT68" s="160"/>
      <c r="EOU68" s="161"/>
      <c r="EOV68" s="162"/>
      <c r="EOW68"/>
      <c r="EOX68" s="163"/>
      <c r="EOY68"/>
      <c r="EOZ68" s="156"/>
      <c r="EPA68" s="164"/>
      <c r="EPB68"/>
      <c r="EPC68" s="157"/>
      <c r="EPD68" s="158"/>
      <c r="EPE68" s="159"/>
      <c r="EPF68" s="159"/>
      <c r="EPG68" s="158"/>
      <c r="EPH68" s="160"/>
      <c r="EPI68" s="158"/>
      <c r="EPJ68" s="160"/>
      <c r="EPK68" s="161"/>
      <c r="EPL68" s="162"/>
      <c r="EPM68"/>
      <c r="EPN68" s="163"/>
      <c r="EPO68"/>
      <c r="EPP68" s="156"/>
      <c r="EPQ68" s="164"/>
      <c r="EPR68"/>
      <c r="EPS68" s="157"/>
      <c r="EPT68" s="158"/>
      <c r="EPU68" s="159"/>
      <c r="EPV68" s="159"/>
      <c r="EPW68" s="158"/>
      <c r="EPX68" s="160"/>
      <c r="EPY68" s="158"/>
      <c r="EPZ68" s="160"/>
      <c r="EQA68" s="161"/>
      <c r="EQB68" s="162"/>
      <c r="EQC68"/>
      <c r="EQD68" s="163"/>
      <c r="EQE68"/>
      <c r="EQF68" s="156"/>
      <c r="EQG68" s="164"/>
      <c r="EQH68"/>
      <c r="EQI68" s="157"/>
      <c r="EQJ68" s="158"/>
      <c r="EQK68" s="159"/>
      <c r="EQL68" s="159"/>
      <c r="EQM68" s="158"/>
      <c r="EQN68" s="160"/>
      <c r="EQO68" s="158"/>
      <c r="EQP68" s="160"/>
      <c r="EQQ68" s="161"/>
      <c r="EQR68" s="162"/>
      <c r="EQS68"/>
      <c r="EQT68" s="163"/>
      <c r="EQU68"/>
      <c r="EQV68" s="156"/>
      <c r="EQW68" s="164"/>
      <c r="EQX68"/>
      <c r="EQY68" s="157"/>
      <c r="EQZ68" s="158"/>
      <c r="ERA68" s="159"/>
      <c r="ERB68" s="159"/>
      <c r="ERC68" s="158"/>
      <c r="ERD68" s="160"/>
      <c r="ERE68" s="158"/>
      <c r="ERF68" s="160"/>
      <c r="ERG68" s="161"/>
      <c r="ERH68" s="162"/>
      <c r="ERI68"/>
      <c r="ERJ68" s="163"/>
      <c r="ERK68"/>
      <c r="ERL68" s="156"/>
      <c r="ERM68" s="164"/>
      <c r="ERN68"/>
      <c r="ERO68" s="157"/>
      <c r="ERP68" s="158"/>
      <c r="ERQ68" s="159"/>
      <c r="ERR68" s="159"/>
      <c r="ERS68" s="158"/>
      <c r="ERT68" s="160"/>
      <c r="ERU68" s="158"/>
      <c r="ERV68" s="160"/>
      <c r="ERW68" s="161"/>
      <c r="ERX68" s="162"/>
      <c r="ERY68"/>
      <c r="ERZ68" s="163"/>
      <c r="ESA68"/>
      <c r="ESB68" s="156"/>
      <c r="ESC68" s="164"/>
      <c r="ESD68"/>
      <c r="ESE68" s="157"/>
      <c r="ESF68" s="158"/>
      <c r="ESG68" s="159"/>
      <c r="ESH68" s="159"/>
      <c r="ESI68" s="158"/>
      <c r="ESJ68" s="160"/>
      <c r="ESK68" s="158"/>
      <c r="ESL68" s="160"/>
      <c r="ESM68" s="161"/>
      <c r="ESN68" s="162"/>
      <c r="ESO68"/>
      <c r="ESP68" s="163"/>
      <c r="ESQ68"/>
      <c r="ESR68" s="156"/>
      <c r="ESS68" s="164"/>
      <c r="EST68"/>
      <c r="ESU68" s="157"/>
      <c r="ESV68" s="158"/>
      <c r="ESW68" s="159"/>
      <c r="ESX68" s="159"/>
      <c r="ESY68" s="158"/>
      <c r="ESZ68" s="160"/>
      <c r="ETA68" s="158"/>
      <c r="ETB68" s="160"/>
      <c r="ETC68" s="161"/>
      <c r="ETD68" s="162"/>
      <c r="ETE68"/>
      <c r="ETF68" s="163"/>
      <c r="ETG68"/>
      <c r="ETH68" s="156"/>
      <c r="ETI68" s="164"/>
      <c r="ETJ68"/>
      <c r="ETK68" s="157"/>
      <c r="ETL68" s="158"/>
      <c r="ETM68" s="159"/>
      <c r="ETN68" s="159"/>
      <c r="ETO68" s="158"/>
      <c r="ETP68" s="160"/>
      <c r="ETQ68" s="158"/>
      <c r="ETR68" s="160"/>
      <c r="ETS68" s="161"/>
      <c r="ETT68" s="162"/>
      <c r="ETU68"/>
      <c r="ETV68" s="163"/>
      <c r="ETW68"/>
      <c r="ETX68" s="156"/>
      <c r="ETY68" s="164"/>
      <c r="ETZ68"/>
      <c r="EUA68" s="157"/>
      <c r="EUB68" s="158"/>
      <c r="EUC68" s="159"/>
      <c r="EUD68" s="159"/>
      <c r="EUE68" s="158"/>
      <c r="EUF68" s="160"/>
      <c r="EUG68" s="158"/>
      <c r="EUH68" s="160"/>
      <c r="EUI68" s="161"/>
      <c r="EUJ68" s="162"/>
      <c r="EUK68"/>
      <c r="EUL68" s="163"/>
      <c r="EUM68"/>
      <c r="EUN68" s="156"/>
      <c r="EUO68" s="164"/>
      <c r="EUP68"/>
      <c r="EUQ68" s="157"/>
      <c r="EUR68" s="158"/>
      <c r="EUS68" s="159"/>
      <c r="EUT68" s="159"/>
      <c r="EUU68" s="158"/>
      <c r="EUV68" s="160"/>
      <c r="EUW68" s="158"/>
      <c r="EUX68" s="160"/>
      <c r="EUY68" s="161"/>
      <c r="EUZ68" s="162"/>
      <c r="EVA68"/>
      <c r="EVB68" s="163"/>
      <c r="EVC68"/>
      <c r="EVD68" s="156"/>
      <c r="EVE68" s="164"/>
      <c r="EVF68"/>
      <c r="EVG68" s="157"/>
      <c r="EVH68" s="158"/>
      <c r="EVI68" s="159"/>
      <c r="EVJ68" s="159"/>
      <c r="EVK68" s="158"/>
      <c r="EVL68" s="160"/>
      <c r="EVM68" s="158"/>
      <c r="EVN68" s="160"/>
      <c r="EVO68" s="161"/>
      <c r="EVP68" s="162"/>
      <c r="EVQ68"/>
      <c r="EVR68" s="163"/>
      <c r="EVS68"/>
      <c r="EVT68" s="156"/>
      <c r="EVU68" s="164"/>
      <c r="EVV68"/>
      <c r="EVW68" s="157"/>
      <c r="EVX68" s="158"/>
      <c r="EVY68" s="159"/>
      <c r="EVZ68" s="159"/>
      <c r="EWA68" s="158"/>
      <c r="EWB68" s="160"/>
      <c r="EWC68" s="158"/>
      <c r="EWD68" s="160"/>
      <c r="EWE68" s="161"/>
      <c r="EWF68" s="162"/>
      <c r="EWG68"/>
      <c r="EWH68" s="163"/>
      <c r="EWI68"/>
      <c r="EWJ68" s="156"/>
      <c r="EWK68" s="164"/>
      <c r="EWL68"/>
      <c r="EWM68" s="157"/>
      <c r="EWN68" s="158"/>
      <c r="EWO68" s="159"/>
      <c r="EWP68" s="159"/>
      <c r="EWQ68" s="158"/>
      <c r="EWR68" s="160"/>
      <c r="EWS68" s="158"/>
      <c r="EWT68" s="160"/>
      <c r="EWU68" s="161"/>
      <c r="EWV68" s="162"/>
      <c r="EWW68"/>
      <c r="EWX68" s="163"/>
      <c r="EWY68"/>
      <c r="EWZ68" s="156"/>
      <c r="EXA68" s="164"/>
      <c r="EXB68"/>
      <c r="EXC68" s="157"/>
      <c r="EXD68" s="158"/>
      <c r="EXE68" s="159"/>
      <c r="EXF68" s="159"/>
      <c r="EXG68" s="158"/>
      <c r="EXH68" s="160"/>
      <c r="EXI68" s="158"/>
      <c r="EXJ68" s="160"/>
      <c r="EXK68" s="161"/>
      <c r="EXL68" s="162"/>
      <c r="EXM68"/>
      <c r="EXN68" s="163"/>
      <c r="EXO68"/>
      <c r="EXP68" s="156"/>
      <c r="EXQ68" s="164"/>
      <c r="EXR68"/>
      <c r="EXS68" s="157"/>
      <c r="EXT68" s="158"/>
      <c r="EXU68" s="159"/>
      <c r="EXV68" s="159"/>
      <c r="EXW68" s="158"/>
      <c r="EXX68" s="160"/>
      <c r="EXY68" s="158"/>
      <c r="EXZ68" s="160"/>
      <c r="EYA68" s="161"/>
      <c r="EYB68" s="162"/>
      <c r="EYC68"/>
      <c r="EYD68" s="163"/>
      <c r="EYE68"/>
      <c r="EYF68" s="156"/>
      <c r="EYG68" s="164"/>
      <c r="EYH68"/>
      <c r="EYI68" s="157"/>
      <c r="EYJ68" s="158"/>
      <c r="EYK68" s="159"/>
      <c r="EYL68" s="159"/>
      <c r="EYM68" s="158"/>
      <c r="EYN68" s="160"/>
      <c r="EYO68" s="158"/>
      <c r="EYP68" s="160"/>
      <c r="EYQ68" s="161"/>
      <c r="EYR68" s="162"/>
      <c r="EYS68"/>
      <c r="EYT68" s="163"/>
      <c r="EYU68"/>
      <c r="EYV68" s="156"/>
      <c r="EYW68" s="164"/>
      <c r="EYX68"/>
      <c r="EYY68" s="157"/>
      <c r="EYZ68" s="158"/>
      <c r="EZA68" s="159"/>
      <c r="EZB68" s="159"/>
      <c r="EZC68" s="158"/>
      <c r="EZD68" s="160"/>
      <c r="EZE68" s="158"/>
      <c r="EZF68" s="160"/>
      <c r="EZG68" s="161"/>
      <c r="EZH68" s="162"/>
      <c r="EZI68"/>
      <c r="EZJ68" s="163"/>
      <c r="EZK68"/>
      <c r="EZL68" s="156"/>
      <c r="EZM68" s="164"/>
      <c r="EZN68"/>
      <c r="EZO68" s="157"/>
      <c r="EZP68" s="158"/>
      <c r="EZQ68" s="159"/>
      <c r="EZR68" s="159"/>
      <c r="EZS68" s="158"/>
      <c r="EZT68" s="160"/>
      <c r="EZU68" s="158"/>
      <c r="EZV68" s="160"/>
      <c r="EZW68" s="161"/>
      <c r="EZX68" s="162"/>
      <c r="EZY68"/>
      <c r="EZZ68" s="163"/>
      <c r="FAA68"/>
      <c r="FAB68" s="156"/>
      <c r="FAC68" s="164"/>
      <c r="FAD68"/>
      <c r="FAE68" s="157"/>
      <c r="FAF68" s="158"/>
      <c r="FAG68" s="159"/>
      <c r="FAH68" s="159"/>
      <c r="FAI68" s="158"/>
      <c r="FAJ68" s="160"/>
      <c r="FAK68" s="158"/>
      <c r="FAL68" s="160"/>
      <c r="FAM68" s="161"/>
      <c r="FAN68" s="162"/>
      <c r="FAO68"/>
      <c r="FAP68" s="163"/>
      <c r="FAQ68"/>
      <c r="FAR68" s="156"/>
      <c r="FAS68" s="164"/>
      <c r="FAT68"/>
      <c r="FAU68" s="157"/>
      <c r="FAV68" s="158"/>
      <c r="FAW68" s="159"/>
      <c r="FAX68" s="159"/>
      <c r="FAY68" s="158"/>
      <c r="FAZ68" s="160"/>
      <c r="FBA68" s="158"/>
      <c r="FBB68" s="160"/>
      <c r="FBC68" s="161"/>
      <c r="FBD68" s="162"/>
      <c r="FBE68"/>
      <c r="FBF68" s="163"/>
      <c r="FBG68"/>
      <c r="FBH68" s="156"/>
      <c r="FBI68" s="164"/>
      <c r="FBJ68"/>
      <c r="FBK68" s="157"/>
      <c r="FBL68" s="158"/>
      <c r="FBM68" s="159"/>
      <c r="FBN68" s="159"/>
      <c r="FBO68" s="158"/>
      <c r="FBP68" s="160"/>
      <c r="FBQ68" s="158"/>
      <c r="FBR68" s="160"/>
      <c r="FBS68" s="161"/>
      <c r="FBT68" s="162"/>
      <c r="FBU68"/>
      <c r="FBV68" s="163"/>
      <c r="FBW68"/>
      <c r="FBX68" s="156"/>
      <c r="FBY68" s="164"/>
      <c r="FBZ68"/>
      <c r="FCA68" s="157"/>
      <c r="FCB68" s="158"/>
      <c r="FCC68" s="159"/>
      <c r="FCD68" s="159"/>
      <c r="FCE68" s="158"/>
      <c r="FCF68" s="160"/>
      <c r="FCG68" s="158"/>
      <c r="FCH68" s="160"/>
      <c r="FCI68" s="161"/>
      <c r="FCJ68" s="162"/>
      <c r="FCK68"/>
      <c r="FCL68" s="163"/>
      <c r="FCM68"/>
      <c r="FCN68" s="156"/>
      <c r="FCO68" s="164"/>
      <c r="FCP68"/>
      <c r="FCQ68" s="157"/>
      <c r="FCR68" s="158"/>
      <c r="FCS68" s="159"/>
      <c r="FCT68" s="159"/>
      <c r="FCU68" s="158"/>
      <c r="FCV68" s="160"/>
      <c r="FCW68" s="158"/>
      <c r="FCX68" s="160"/>
      <c r="FCY68" s="161"/>
      <c r="FCZ68" s="162"/>
      <c r="FDA68"/>
      <c r="FDB68" s="163"/>
      <c r="FDC68"/>
      <c r="FDD68" s="156"/>
      <c r="FDE68" s="164"/>
      <c r="FDF68"/>
      <c r="FDG68" s="157"/>
      <c r="FDH68" s="158"/>
      <c r="FDI68" s="159"/>
      <c r="FDJ68" s="159"/>
      <c r="FDK68" s="158"/>
      <c r="FDL68" s="160"/>
      <c r="FDM68" s="158"/>
      <c r="FDN68" s="160"/>
      <c r="FDO68" s="161"/>
      <c r="FDP68" s="162"/>
      <c r="FDQ68"/>
      <c r="FDR68" s="163"/>
      <c r="FDS68"/>
      <c r="FDT68" s="156"/>
      <c r="FDU68" s="164"/>
      <c r="FDV68"/>
      <c r="FDW68" s="157"/>
      <c r="FDX68" s="158"/>
      <c r="FDY68" s="159"/>
      <c r="FDZ68" s="159"/>
      <c r="FEA68" s="158"/>
      <c r="FEB68" s="160"/>
      <c r="FEC68" s="158"/>
      <c r="FED68" s="160"/>
      <c r="FEE68" s="161"/>
      <c r="FEF68" s="162"/>
      <c r="FEG68"/>
      <c r="FEH68" s="163"/>
      <c r="FEI68"/>
      <c r="FEJ68" s="156"/>
      <c r="FEK68" s="164"/>
      <c r="FEL68"/>
      <c r="FEM68" s="157"/>
      <c r="FEN68" s="158"/>
      <c r="FEO68" s="159"/>
      <c r="FEP68" s="159"/>
      <c r="FEQ68" s="158"/>
      <c r="FER68" s="160"/>
      <c r="FES68" s="158"/>
      <c r="FET68" s="160"/>
      <c r="FEU68" s="161"/>
      <c r="FEV68" s="162"/>
      <c r="FEW68"/>
      <c r="FEX68" s="163"/>
      <c r="FEY68"/>
      <c r="FEZ68" s="156"/>
      <c r="FFA68" s="164"/>
      <c r="FFB68"/>
      <c r="FFC68" s="157"/>
      <c r="FFD68" s="158"/>
      <c r="FFE68" s="159"/>
      <c r="FFF68" s="159"/>
      <c r="FFG68" s="158"/>
      <c r="FFH68" s="160"/>
      <c r="FFI68" s="158"/>
      <c r="FFJ68" s="160"/>
      <c r="FFK68" s="161"/>
      <c r="FFL68" s="162"/>
      <c r="FFM68"/>
      <c r="FFN68" s="163"/>
      <c r="FFO68"/>
      <c r="FFP68" s="156"/>
      <c r="FFQ68" s="164"/>
      <c r="FFR68"/>
      <c r="FFS68" s="157"/>
      <c r="FFT68" s="158"/>
      <c r="FFU68" s="159"/>
      <c r="FFV68" s="159"/>
      <c r="FFW68" s="158"/>
      <c r="FFX68" s="160"/>
      <c r="FFY68" s="158"/>
      <c r="FFZ68" s="160"/>
      <c r="FGA68" s="161"/>
      <c r="FGB68" s="162"/>
      <c r="FGC68"/>
      <c r="FGD68" s="163"/>
      <c r="FGE68"/>
      <c r="FGF68" s="156"/>
      <c r="FGG68" s="164"/>
      <c r="FGH68"/>
      <c r="FGI68" s="157"/>
      <c r="FGJ68" s="158"/>
      <c r="FGK68" s="159"/>
      <c r="FGL68" s="159"/>
      <c r="FGM68" s="158"/>
      <c r="FGN68" s="160"/>
      <c r="FGO68" s="158"/>
      <c r="FGP68" s="160"/>
      <c r="FGQ68" s="161"/>
      <c r="FGR68" s="162"/>
      <c r="FGS68"/>
      <c r="FGT68" s="163"/>
      <c r="FGU68"/>
      <c r="FGV68" s="156"/>
      <c r="FGW68" s="164"/>
      <c r="FGX68"/>
      <c r="FGY68" s="157"/>
      <c r="FGZ68" s="158"/>
      <c r="FHA68" s="159"/>
      <c r="FHB68" s="159"/>
      <c r="FHC68" s="158"/>
      <c r="FHD68" s="160"/>
      <c r="FHE68" s="158"/>
      <c r="FHF68" s="160"/>
      <c r="FHG68" s="161"/>
      <c r="FHH68" s="162"/>
      <c r="FHI68"/>
      <c r="FHJ68" s="163"/>
      <c r="FHK68"/>
      <c r="FHL68" s="156"/>
      <c r="FHM68" s="164"/>
      <c r="FHN68"/>
      <c r="FHO68" s="157"/>
      <c r="FHP68" s="158"/>
      <c r="FHQ68" s="159"/>
      <c r="FHR68" s="159"/>
      <c r="FHS68" s="158"/>
      <c r="FHT68" s="160"/>
      <c r="FHU68" s="158"/>
      <c r="FHV68" s="160"/>
      <c r="FHW68" s="161"/>
      <c r="FHX68" s="162"/>
      <c r="FHY68"/>
      <c r="FHZ68" s="163"/>
      <c r="FIA68"/>
      <c r="FIB68" s="156"/>
      <c r="FIC68" s="164"/>
      <c r="FID68"/>
      <c r="FIE68" s="157"/>
      <c r="FIF68" s="158"/>
      <c r="FIG68" s="159"/>
      <c r="FIH68" s="159"/>
      <c r="FII68" s="158"/>
      <c r="FIJ68" s="160"/>
      <c r="FIK68" s="158"/>
      <c r="FIL68" s="160"/>
      <c r="FIM68" s="161"/>
      <c r="FIN68" s="162"/>
      <c r="FIO68"/>
      <c r="FIP68" s="163"/>
      <c r="FIQ68"/>
      <c r="FIR68" s="156"/>
      <c r="FIS68" s="164"/>
      <c r="FIT68"/>
      <c r="FIU68" s="157"/>
      <c r="FIV68" s="158"/>
      <c r="FIW68" s="159"/>
      <c r="FIX68" s="159"/>
      <c r="FIY68" s="158"/>
      <c r="FIZ68" s="160"/>
      <c r="FJA68" s="158"/>
      <c r="FJB68" s="160"/>
      <c r="FJC68" s="161"/>
      <c r="FJD68" s="162"/>
      <c r="FJE68"/>
      <c r="FJF68" s="163"/>
      <c r="FJG68"/>
      <c r="FJH68" s="156"/>
      <c r="FJI68" s="164"/>
      <c r="FJJ68"/>
      <c r="FJK68" s="157"/>
      <c r="FJL68" s="158"/>
      <c r="FJM68" s="159"/>
      <c r="FJN68" s="159"/>
      <c r="FJO68" s="158"/>
      <c r="FJP68" s="160"/>
      <c r="FJQ68" s="158"/>
      <c r="FJR68" s="160"/>
      <c r="FJS68" s="161"/>
      <c r="FJT68" s="162"/>
      <c r="FJU68"/>
      <c r="FJV68" s="163"/>
      <c r="FJW68"/>
      <c r="FJX68" s="156"/>
      <c r="FJY68" s="164"/>
      <c r="FJZ68"/>
      <c r="FKA68" s="157"/>
      <c r="FKB68" s="158"/>
      <c r="FKC68" s="159"/>
      <c r="FKD68" s="159"/>
      <c r="FKE68" s="158"/>
      <c r="FKF68" s="160"/>
      <c r="FKG68" s="158"/>
      <c r="FKH68" s="160"/>
      <c r="FKI68" s="161"/>
      <c r="FKJ68" s="162"/>
      <c r="FKK68"/>
      <c r="FKL68" s="163"/>
      <c r="FKM68"/>
      <c r="FKN68" s="156"/>
      <c r="FKO68" s="164"/>
      <c r="FKP68"/>
      <c r="FKQ68" s="157"/>
      <c r="FKR68" s="158"/>
      <c r="FKS68" s="159"/>
      <c r="FKT68" s="159"/>
      <c r="FKU68" s="158"/>
      <c r="FKV68" s="160"/>
      <c r="FKW68" s="158"/>
      <c r="FKX68" s="160"/>
      <c r="FKY68" s="161"/>
      <c r="FKZ68" s="162"/>
      <c r="FLA68"/>
      <c r="FLB68" s="163"/>
      <c r="FLC68"/>
      <c r="FLD68" s="156"/>
      <c r="FLE68" s="164"/>
      <c r="FLF68"/>
      <c r="FLG68" s="157"/>
      <c r="FLH68" s="158"/>
      <c r="FLI68" s="159"/>
      <c r="FLJ68" s="159"/>
      <c r="FLK68" s="158"/>
      <c r="FLL68" s="160"/>
      <c r="FLM68" s="158"/>
      <c r="FLN68" s="160"/>
      <c r="FLO68" s="161"/>
      <c r="FLP68" s="162"/>
      <c r="FLQ68"/>
      <c r="FLR68" s="163"/>
      <c r="FLS68"/>
      <c r="FLT68" s="156"/>
      <c r="FLU68" s="164"/>
      <c r="FLV68"/>
      <c r="FLW68" s="157"/>
      <c r="FLX68" s="158"/>
      <c r="FLY68" s="159"/>
      <c r="FLZ68" s="159"/>
      <c r="FMA68" s="158"/>
      <c r="FMB68" s="160"/>
      <c r="FMC68" s="158"/>
      <c r="FMD68" s="160"/>
      <c r="FME68" s="161"/>
      <c r="FMF68" s="162"/>
      <c r="FMG68"/>
      <c r="FMH68" s="163"/>
      <c r="FMI68"/>
      <c r="FMJ68" s="156"/>
      <c r="FMK68" s="164"/>
      <c r="FML68"/>
      <c r="FMM68" s="157"/>
      <c r="FMN68" s="158"/>
      <c r="FMO68" s="159"/>
      <c r="FMP68" s="159"/>
      <c r="FMQ68" s="158"/>
      <c r="FMR68" s="160"/>
      <c r="FMS68" s="158"/>
      <c r="FMT68" s="160"/>
      <c r="FMU68" s="161"/>
      <c r="FMV68" s="162"/>
      <c r="FMW68"/>
      <c r="FMX68" s="163"/>
      <c r="FMY68"/>
      <c r="FMZ68" s="156"/>
      <c r="FNA68" s="164"/>
      <c r="FNB68"/>
      <c r="FNC68" s="157"/>
      <c r="FND68" s="158"/>
      <c r="FNE68" s="159"/>
      <c r="FNF68" s="159"/>
      <c r="FNG68" s="158"/>
      <c r="FNH68" s="160"/>
      <c r="FNI68" s="158"/>
      <c r="FNJ68" s="160"/>
      <c r="FNK68" s="161"/>
      <c r="FNL68" s="162"/>
      <c r="FNM68"/>
      <c r="FNN68" s="163"/>
      <c r="FNO68"/>
      <c r="FNP68" s="156"/>
      <c r="FNQ68" s="164"/>
      <c r="FNR68"/>
      <c r="FNS68" s="157"/>
      <c r="FNT68" s="158"/>
      <c r="FNU68" s="159"/>
      <c r="FNV68" s="159"/>
      <c r="FNW68" s="158"/>
      <c r="FNX68" s="160"/>
      <c r="FNY68" s="158"/>
      <c r="FNZ68" s="160"/>
      <c r="FOA68" s="161"/>
      <c r="FOB68" s="162"/>
      <c r="FOC68"/>
      <c r="FOD68" s="163"/>
      <c r="FOE68"/>
      <c r="FOF68" s="156"/>
      <c r="FOG68" s="164"/>
      <c r="FOH68"/>
      <c r="FOI68" s="157"/>
      <c r="FOJ68" s="158"/>
      <c r="FOK68" s="159"/>
      <c r="FOL68" s="159"/>
      <c r="FOM68" s="158"/>
      <c r="FON68" s="160"/>
      <c r="FOO68" s="158"/>
      <c r="FOP68" s="160"/>
      <c r="FOQ68" s="161"/>
      <c r="FOR68" s="162"/>
      <c r="FOS68"/>
      <c r="FOT68" s="163"/>
      <c r="FOU68"/>
      <c r="FOV68" s="156"/>
      <c r="FOW68" s="164"/>
      <c r="FOX68"/>
      <c r="FOY68" s="157"/>
      <c r="FOZ68" s="158"/>
      <c r="FPA68" s="159"/>
      <c r="FPB68" s="159"/>
      <c r="FPC68" s="158"/>
      <c r="FPD68" s="160"/>
      <c r="FPE68" s="158"/>
      <c r="FPF68" s="160"/>
      <c r="FPG68" s="161"/>
      <c r="FPH68" s="162"/>
      <c r="FPI68"/>
      <c r="FPJ68" s="163"/>
      <c r="FPK68"/>
      <c r="FPL68" s="156"/>
      <c r="FPM68" s="164"/>
      <c r="FPN68"/>
      <c r="FPO68" s="157"/>
      <c r="FPP68" s="158"/>
      <c r="FPQ68" s="159"/>
      <c r="FPR68" s="159"/>
      <c r="FPS68" s="158"/>
      <c r="FPT68" s="160"/>
      <c r="FPU68" s="158"/>
      <c r="FPV68" s="160"/>
      <c r="FPW68" s="161"/>
      <c r="FPX68" s="162"/>
      <c r="FPY68"/>
      <c r="FPZ68" s="163"/>
      <c r="FQA68"/>
      <c r="FQB68" s="156"/>
      <c r="FQC68" s="164"/>
      <c r="FQD68"/>
      <c r="FQE68" s="157"/>
      <c r="FQF68" s="158"/>
      <c r="FQG68" s="159"/>
      <c r="FQH68" s="159"/>
      <c r="FQI68" s="158"/>
      <c r="FQJ68" s="160"/>
      <c r="FQK68" s="158"/>
      <c r="FQL68" s="160"/>
      <c r="FQM68" s="161"/>
      <c r="FQN68" s="162"/>
      <c r="FQO68"/>
      <c r="FQP68" s="163"/>
      <c r="FQQ68"/>
      <c r="FQR68" s="156"/>
      <c r="FQS68" s="164"/>
      <c r="FQT68"/>
      <c r="FQU68" s="157"/>
      <c r="FQV68" s="158"/>
      <c r="FQW68" s="159"/>
      <c r="FQX68" s="159"/>
      <c r="FQY68" s="158"/>
      <c r="FQZ68" s="160"/>
      <c r="FRA68" s="158"/>
      <c r="FRB68" s="160"/>
      <c r="FRC68" s="161"/>
      <c r="FRD68" s="162"/>
      <c r="FRE68"/>
      <c r="FRF68" s="163"/>
      <c r="FRG68"/>
      <c r="FRH68" s="156"/>
      <c r="FRI68" s="164"/>
      <c r="FRJ68"/>
      <c r="FRK68" s="157"/>
      <c r="FRL68" s="158"/>
      <c r="FRM68" s="159"/>
      <c r="FRN68" s="159"/>
      <c r="FRO68" s="158"/>
      <c r="FRP68" s="160"/>
      <c r="FRQ68" s="158"/>
      <c r="FRR68" s="160"/>
      <c r="FRS68" s="161"/>
      <c r="FRT68" s="162"/>
      <c r="FRU68"/>
      <c r="FRV68" s="163"/>
      <c r="FRW68"/>
      <c r="FRX68" s="156"/>
      <c r="FRY68" s="164"/>
      <c r="FRZ68"/>
      <c r="FSA68" s="157"/>
      <c r="FSB68" s="158"/>
      <c r="FSC68" s="159"/>
      <c r="FSD68" s="159"/>
      <c r="FSE68" s="158"/>
      <c r="FSF68" s="160"/>
      <c r="FSG68" s="158"/>
      <c r="FSH68" s="160"/>
      <c r="FSI68" s="161"/>
      <c r="FSJ68" s="162"/>
      <c r="FSK68"/>
      <c r="FSL68" s="163"/>
      <c r="FSM68"/>
      <c r="FSN68" s="156"/>
      <c r="FSO68" s="164"/>
      <c r="FSP68"/>
      <c r="FSQ68" s="157"/>
      <c r="FSR68" s="158"/>
      <c r="FSS68" s="159"/>
      <c r="FST68" s="159"/>
      <c r="FSU68" s="158"/>
      <c r="FSV68" s="160"/>
      <c r="FSW68" s="158"/>
      <c r="FSX68" s="160"/>
      <c r="FSY68" s="161"/>
      <c r="FSZ68" s="162"/>
      <c r="FTA68"/>
      <c r="FTB68" s="163"/>
      <c r="FTC68"/>
      <c r="FTD68" s="156"/>
      <c r="FTE68" s="164"/>
      <c r="FTF68"/>
      <c r="FTG68" s="157"/>
      <c r="FTH68" s="158"/>
      <c r="FTI68" s="159"/>
      <c r="FTJ68" s="159"/>
      <c r="FTK68" s="158"/>
      <c r="FTL68" s="160"/>
      <c r="FTM68" s="158"/>
      <c r="FTN68" s="160"/>
      <c r="FTO68" s="161"/>
      <c r="FTP68" s="162"/>
      <c r="FTQ68"/>
      <c r="FTR68" s="163"/>
      <c r="FTS68"/>
      <c r="FTT68" s="156"/>
      <c r="FTU68" s="164"/>
      <c r="FTV68"/>
      <c r="FTW68" s="157"/>
      <c r="FTX68" s="158"/>
      <c r="FTY68" s="159"/>
      <c r="FTZ68" s="159"/>
      <c r="FUA68" s="158"/>
      <c r="FUB68" s="160"/>
      <c r="FUC68" s="158"/>
      <c r="FUD68" s="160"/>
      <c r="FUE68" s="161"/>
      <c r="FUF68" s="162"/>
      <c r="FUG68"/>
      <c r="FUH68" s="163"/>
      <c r="FUI68"/>
      <c r="FUJ68" s="156"/>
      <c r="FUK68" s="164"/>
      <c r="FUL68"/>
      <c r="FUM68" s="157"/>
      <c r="FUN68" s="158"/>
      <c r="FUO68" s="159"/>
      <c r="FUP68" s="159"/>
      <c r="FUQ68" s="158"/>
      <c r="FUR68" s="160"/>
      <c r="FUS68" s="158"/>
      <c r="FUT68" s="160"/>
      <c r="FUU68" s="161"/>
      <c r="FUV68" s="162"/>
      <c r="FUW68"/>
      <c r="FUX68" s="163"/>
      <c r="FUY68"/>
      <c r="FUZ68" s="156"/>
      <c r="FVA68" s="164"/>
      <c r="FVB68"/>
      <c r="FVC68" s="157"/>
      <c r="FVD68" s="158"/>
      <c r="FVE68" s="159"/>
      <c r="FVF68" s="159"/>
      <c r="FVG68" s="158"/>
      <c r="FVH68" s="160"/>
      <c r="FVI68" s="158"/>
      <c r="FVJ68" s="160"/>
      <c r="FVK68" s="161"/>
      <c r="FVL68" s="162"/>
      <c r="FVM68"/>
      <c r="FVN68" s="163"/>
      <c r="FVO68"/>
      <c r="FVP68" s="156"/>
      <c r="FVQ68" s="164"/>
      <c r="FVR68"/>
      <c r="FVS68" s="157"/>
      <c r="FVT68" s="158"/>
      <c r="FVU68" s="159"/>
      <c r="FVV68" s="159"/>
      <c r="FVW68" s="158"/>
      <c r="FVX68" s="160"/>
      <c r="FVY68" s="158"/>
      <c r="FVZ68" s="160"/>
      <c r="FWA68" s="161"/>
      <c r="FWB68" s="162"/>
      <c r="FWC68"/>
      <c r="FWD68" s="163"/>
      <c r="FWE68"/>
      <c r="FWF68" s="156"/>
      <c r="FWG68" s="164"/>
      <c r="FWH68"/>
      <c r="FWI68" s="157"/>
      <c r="FWJ68" s="158"/>
      <c r="FWK68" s="159"/>
      <c r="FWL68" s="159"/>
      <c r="FWM68" s="158"/>
      <c r="FWN68" s="160"/>
      <c r="FWO68" s="158"/>
      <c r="FWP68" s="160"/>
      <c r="FWQ68" s="161"/>
      <c r="FWR68" s="162"/>
      <c r="FWS68"/>
      <c r="FWT68" s="163"/>
      <c r="FWU68"/>
      <c r="FWV68" s="156"/>
      <c r="FWW68" s="164"/>
      <c r="FWX68"/>
      <c r="FWY68" s="157"/>
      <c r="FWZ68" s="158"/>
      <c r="FXA68" s="159"/>
      <c r="FXB68" s="159"/>
      <c r="FXC68" s="158"/>
      <c r="FXD68" s="160"/>
      <c r="FXE68" s="158"/>
      <c r="FXF68" s="160"/>
      <c r="FXG68" s="161"/>
      <c r="FXH68" s="162"/>
      <c r="FXI68"/>
      <c r="FXJ68" s="163"/>
      <c r="FXK68"/>
      <c r="FXL68" s="156"/>
      <c r="FXM68" s="164"/>
      <c r="FXN68"/>
      <c r="FXO68" s="157"/>
      <c r="FXP68" s="158"/>
      <c r="FXQ68" s="159"/>
      <c r="FXR68" s="159"/>
      <c r="FXS68" s="158"/>
      <c r="FXT68" s="160"/>
      <c r="FXU68" s="158"/>
      <c r="FXV68" s="160"/>
      <c r="FXW68" s="161"/>
      <c r="FXX68" s="162"/>
      <c r="FXY68"/>
      <c r="FXZ68" s="163"/>
      <c r="FYA68"/>
      <c r="FYB68" s="156"/>
      <c r="FYC68" s="164"/>
      <c r="FYD68"/>
      <c r="FYE68" s="157"/>
      <c r="FYF68" s="158"/>
      <c r="FYG68" s="159"/>
      <c r="FYH68" s="159"/>
      <c r="FYI68" s="158"/>
      <c r="FYJ68" s="160"/>
      <c r="FYK68" s="158"/>
      <c r="FYL68" s="160"/>
      <c r="FYM68" s="161"/>
      <c r="FYN68" s="162"/>
      <c r="FYO68"/>
      <c r="FYP68" s="163"/>
      <c r="FYQ68"/>
      <c r="FYR68" s="156"/>
      <c r="FYS68" s="164"/>
      <c r="FYT68"/>
      <c r="FYU68" s="157"/>
      <c r="FYV68" s="158"/>
      <c r="FYW68" s="159"/>
      <c r="FYX68" s="159"/>
      <c r="FYY68" s="158"/>
      <c r="FYZ68" s="160"/>
      <c r="FZA68" s="158"/>
      <c r="FZB68" s="160"/>
      <c r="FZC68" s="161"/>
      <c r="FZD68" s="162"/>
      <c r="FZE68"/>
      <c r="FZF68" s="163"/>
      <c r="FZG68"/>
      <c r="FZH68" s="156"/>
      <c r="FZI68" s="164"/>
      <c r="FZJ68"/>
      <c r="FZK68" s="157"/>
      <c r="FZL68" s="158"/>
      <c r="FZM68" s="159"/>
      <c r="FZN68" s="159"/>
      <c r="FZO68" s="158"/>
      <c r="FZP68" s="160"/>
      <c r="FZQ68" s="158"/>
      <c r="FZR68" s="160"/>
      <c r="FZS68" s="161"/>
      <c r="FZT68" s="162"/>
      <c r="FZU68"/>
      <c r="FZV68" s="163"/>
      <c r="FZW68"/>
      <c r="FZX68" s="156"/>
      <c r="FZY68" s="164"/>
      <c r="FZZ68"/>
      <c r="GAA68" s="157"/>
      <c r="GAB68" s="158"/>
      <c r="GAC68" s="159"/>
      <c r="GAD68" s="159"/>
      <c r="GAE68" s="158"/>
      <c r="GAF68" s="160"/>
      <c r="GAG68" s="158"/>
      <c r="GAH68" s="160"/>
      <c r="GAI68" s="161"/>
      <c r="GAJ68" s="162"/>
      <c r="GAK68"/>
      <c r="GAL68" s="163"/>
      <c r="GAM68"/>
      <c r="GAN68" s="156"/>
      <c r="GAO68" s="164"/>
      <c r="GAP68"/>
      <c r="GAQ68" s="157"/>
      <c r="GAR68" s="158"/>
      <c r="GAS68" s="159"/>
      <c r="GAT68" s="159"/>
      <c r="GAU68" s="158"/>
      <c r="GAV68" s="160"/>
      <c r="GAW68" s="158"/>
      <c r="GAX68" s="160"/>
      <c r="GAY68" s="161"/>
      <c r="GAZ68" s="162"/>
      <c r="GBA68"/>
      <c r="GBB68" s="163"/>
      <c r="GBC68"/>
      <c r="GBD68" s="156"/>
      <c r="GBE68" s="164"/>
      <c r="GBF68"/>
      <c r="GBG68" s="157"/>
      <c r="GBH68" s="158"/>
      <c r="GBI68" s="159"/>
      <c r="GBJ68" s="159"/>
      <c r="GBK68" s="158"/>
      <c r="GBL68" s="160"/>
      <c r="GBM68" s="158"/>
      <c r="GBN68" s="160"/>
      <c r="GBO68" s="161"/>
      <c r="GBP68" s="162"/>
      <c r="GBQ68"/>
      <c r="GBR68" s="163"/>
      <c r="GBS68"/>
      <c r="GBT68" s="156"/>
      <c r="GBU68" s="164"/>
      <c r="GBV68"/>
      <c r="GBW68" s="157"/>
      <c r="GBX68" s="158"/>
      <c r="GBY68" s="159"/>
      <c r="GBZ68" s="159"/>
      <c r="GCA68" s="158"/>
      <c r="GCB68" s="160"/>
      <c r="GCC68" s="158"/>
      <c r="GCD68" s="160"/>
      <c r="GCE68" s="161"/>
      <c r="GCF68" s="162"/>
      <c r="GCG68"/>
      <c r="GCH68" s="163"/>
      <c r="GCI68"/>
      <c r="GCJ68" s="156"/>
      <c r="GCK68" s="164"/>
      <c r="GCL68"/>
      <c r="GCM68" s="157"/>
      <c r="GCN68" s="158"/>
      <c r="GCO68" s="159"/>
      <c r="GCP68" s="159"/>
      <c r="GCQ68" s="158"/>
      <c r="GCR68" s="160"/>
      <c r="GCS68" s="158"/>
      <c r="GCT68" s="160"/>
      <c r="GCU68" s="161"/>
      <c r="GCV68" s="162"/>
      <c r="GCW68"/>
      <c r="GCX68" s="163"/>
      <c r="GCY68"/>
      <c r="GCZ68" s="156"/>
      <c r="GDA68" s="164"/>
      <c r="GDB68"/>
      <c r="GDC68" s="157"/>
      <c r="GDD68" s="158"/>
      <c r="GDE68" s="159"/>
      <c r="GDF68" s="159"/>
      <c r="GDG68" s="158"/>
      <c r="GDH68" s="160"/>
      <c r="GDI68" s="158"/>
      <c r="GDJ68" s="160"/>
      <c r="GDK68" s="161"/>
      <c r="GDL68" s="162"/>
      <c r="GDM68"/>
      <c r="GDN68" s="163"/>
      <c r="GDO68"/>
      <c r="GDP68" s="156"/>
      <c r="GDQ68" s="164"/>
      <c r="GDR68"/>
      <c r="GDS68" s="157"/>
      <c r="GDT68" s="158"/>
      <c r="GDU68" s="159"/>
      <c r="GDV68" s="159"/>
      <c r="GDW68" s="158"/>
      <c r="GDX68" s="160"/>
      <c r="GDY68" s="158"/>
      <c r="GDZ68" s="160"/>
      <c r="GEA68" s="161"/>
      <c r="GEB68" s="162"/>
      <c r="GEC68"/>
      <c r="GED68" s="163"/>
      <c r="GEE68"/>
      <c r="GEF68" s="156"/>
      <c r="GEG68" s="164"/>
      <c r="GEH68"/>
      <c r="GEI68" s="157"/>
      <c r="GEJ68" s="158"/>
      <c r="GEK68" s="159"/>
      <c r="GEL68" s="159"/>
      <c r="GEM68" s="158"/>
      <c r="GEN68" s="160"/>
      <c r="GEO68" s="158"/>
      <c r="GEP68" s="160"/>
      <c r="GEQ68" s="161"/>
      <c r="GER68" s="162"/>
      <c r="GES68"/>
      <c r="GET68" s="163"/>
      <c r="GEU68"/>
      <c r="GEV68" s="156"/>
      <c r="GEW68" s="164"/>
      <c r="GEX68"/>
      <c r="GEY68" s="157"/>
      <c r="GEZ68" s="158"/>
      <c r="GFA68" s="159"/>
      <c r="GFB68" s="159"/>
      <c r="GFC68" s="158"/>
      <c r="GFD68" s="160"/>
      <c r="GFE68" s="158"/>
      <c r="GFF68" s="160"/>
      <c r="GFG68" s="161"/>
      <c r="GFH68" s="162"/>
      <c r="GFI68"/>
      <c r="GFJ68" s="163"/>
      <c r="GFK68"/>
      <c r="GFL68" s="156"/>
      <c r="GFM68" s="164"/>
      <c r="GFN68"/>
      <c r="GFO68" s="157"/>
      <c r="GFP68" s="158"/>
      <c r="GFQ68" s="159"/>
      <c r="GFR68" s="159"/>
      <c r="GFS68" s="158"/>
      <c r="GFT68" s="160"/>
      <c r="GFU68" s="158"/>
      <c r="GFV68" s="160"/>
      <c r="GFW68" s="161"/>
      <c r="GFX68" s="162"/>
      <c r="GFY68"/>
      <c r="GFZ68" s="163"/>
      <c r="GGA68"/>
      <c r="GGB68" s="156"/>
      <c r="GGC68" s="164"/>
      <c r="GGD68"/>
      <c r="GGE68" s="157"/>
      <c r="GGF68" s="158"/>
      <c r="GGG68" s="159"/>
      <c r="GGH68" s="159"/>
      <c r="GGI68" s="158"/>
      <c r="GGJ68" s="160"/>
      <c r="GGK68" s="158"/>
      <c r="GGL68" s="160"/>
      <c r="GGM68" s="161"/>
      <c r="GGN68" s="162"/>
      <c r="GGO68"/>
      <c r="GGP68" s="163"/>
      <c r="GGQ68"/>
      <c r="GGR68" s="156"/>
      <c r="GGS68" s="164"/>
      <c r="GGT68"/>
      <c r="GGU68" s="157"/>
      <c r="GGV68" s="158"/>
      <c r="GGW68" s="159"/>
      <c r="GGX68" s="159"/>
      <c r="GGY68" s="158"/>
      <c r="GGZ68" s="160"/>
      <c r="GHA68" s="158"/>
      <c r="GHB68" s="160"/>
      <c r="GHC68" s="161"/>
      <c r="GHD68" s="162"/>
      <c r="GHE68"/>
      <c r="GHF68" s="163"/>
      <c r="GHG68"/>
      <c r="GHH68" s="156"/>
      <c r="GHI68" s="164"/>
      <c r="GHJ68"/>
      <c r="GHK68" s="157"/>
      <c r="GHL68" s="158"/>
      <c r="GHM68" s="159"/>
      <c r="GHN68" s="159"/>
      <c r="GHO68" s="158"/>
      <c r="GHP68" s="160"/>
      <c r="GHQ68" s="158"/>
      <c r="GHR68" s="160"/>
      <c r="GHS68" s="161"/>
      <c r="GHT68" s="162"/>
      <c r="GHU68"/>
      <c r="GHV68" s="163"/>
      <c r="GHW68"/>
      <c r="GHX68" s="156"/>
      <c r="GHY68" s="164"/>
      <c r="GHZ68"/>
      <c r="GIA68" s="157"/>
      <c r="GIB68" s="158"/>
      <c r="GIC68" s="159"/>
      <c r="GID68" s="159"/>
      <c r="GIE68" s="158"/>
      <c r="GIF68" s="160"/>
      <c r="GIG68" s="158"/>
      <c r="GIH68" s="160"/>
      <c r="GII68" s="161"/>
      <c r="GIJ68" s="162"/>
      <c r="GIK68"/>
      <c r="GIL68" s="163"/>
      <c r="GIM68"/>
      <c r="GIN68" s="156"/>
      <c r="GIO68" s="164"/>
      <c r="GIP68"/>
      <c r="GIQ68" s="157"/>
      <c r="GIR68" s="158"/>
      <c r="GIS68" s="159"/>
      <c r="GIT68" s="159"/>
      <c r="GIU68" s="158"/>
      <c r="GIV68" s="160"/>
      <c r="GIW68" s="158"/>
      <c r="GIX68" s="160"/>
      <c r="GIY68" s="161"/>
      <c r="GIZ68" s="162"/>
      <c r="GJA68"/>
      <c r="GJB68" s="163"/>
      <c r="GJC68"/>
      <c r="GJD68" s="156"/>
      <c r="GJE68" s="164"/>
      <c r="GJF68"/>
      <c r="GJG68" s="157"/>
      <c r="GJH68" s="158"/>
      <c r="GJI68" s="159"/>
      <c r="GJJ68" s="159"/>
      <c r="GJK68" s="158"/>
      <c r="GJL68" s="160"/>
      <c r="GJM68" s="158"/>
      <c r="GJN68" s="160"/>
      <c r="GJO68" s="161"/>
      <c r="GJP68" s="162"/>
      <c r="GJQ68"/>
      <c r="GJR68" s="163"/>
      <c r="GJS68"/>
      <c r="GJT68" s="156"/>
      <c r="GJU68" s="164"/>
      <c r="GJV68"/>
      <c r="GJW68" s="157"/>
      <c r="GJX68" s="158"/>
      <c r="GJY68" s="159"/>
      <c r="GJZ68" s="159"/>
      <c r="GKA68" s="158"/>
      <c r="GKB68" s="160"/>
      <c r="GKC68" s="158"/>
      <c r="GKD68" s="160"/>
      <c r="GKE68" s="161"/>
      <c r="GKF68" s="162"/>
      <c r="GKG68"/>
      <c r="GKH68" s="163"/>
      <c r="GKI68"/>
      <c r="GKJ68" s="156"/>
      <c r="GKK68" s="164"/>
      <c r="GKL68"/>
      <c r="GKM68" s="157"/>
      <c r="GKN68" s="158"/>
      <c r="GKO68" s="159"/>
      <c r="GKP68" s="159"/>
      <c r="GKQ68" s="158"/>
      <c r="GKR68" s="160"/>
      <c r="GKS68" s="158"/>
      <c r="GKT68" s="160"/>
      <c r="GKU68" s="161"/>
      <c r="GKV68" s="162"/>
      <c r="GKW68"/>
      <c r="GKX68" s="163"/>
      <c r="GKY68"/>
      <c r="GKZ68" s="156"/>
      <c r="GLA68" s="164"/>
      <c r="GLB68"/>
      <c r="GLC68" s="157"/>
      <c r="GLD68" s="158"/>
      <c r="GLE68" s="159"/>
      <c r="GLF68" s="159"/>
      <c r="GLG68" s="158"/>
      <c r="GLH68" s="160"/>
      <c r="GLI68" s="158"/>
      <c r="GLJ68" s="160"/>
      <c r="GLK68" s="161"/>
      <c r="GLL68" s="162"/>
      <c r="GLM68"/>
      <c r="GLN68" s="163"/>
      <c r="GLO68"/>
      <c r="GLP68" s="156"/>
      <c r="GLQ68" s="164"/>
      <c r="GLR68"/>
      <c r="GLS68" s="157"/>
      <c r="GLT68" s="158"/>
      <c r="GLU68" s="159"/>
      <c r="GLV68" s="159"/>
      <c r="GLW68" s="158"/>
      <c r="GLX68" s="160"/>
      <c r="GLY68" s="158"/>
      <c r="GLZ68" s="160"/>
      <c r="GMA68" s="161"/>
      <c r="GMB68" s="162"/>
      <c r="GMC68"/>
      <c r="GMD68" s="163"/>
      <c r="GME68"/>
      <c r="GMF68" s="156"/>
      <c r="GMG68" s="164"/>
      <c r="GMH68"/>
      <c r="GMI68" s="157"/>
      <c r="GMJ68" s="158"/>
      <c r="GMK68" s="159"/>
      <c r="GML68" s="159"/>
      <c r="GMM68" s="158"/>
      <c r="GMN68" s="160"/>
      <c r="GMO68" s="158"/>
      <c r="GMP68" s="160"/>
      <c r="GMQ68" s="161"/>
      <c r="GMR68" s="162"/>
      <c r="GMS68"/>
      <c r="GMT68" s="163"/>
      <c r="GMU68"/>
      <c r="GMV68" s="156"/>
      <c r="GMW68" s="164"/>
      <c r="GMX68"/>
      <c r="GMY68" s="157"/>
      <c r="GMZ68" s="158"/>
      <c r="GNA68" s="159"/>
      <c r="GNB68" s="159"/>
      <c r="GNC68" s="158"/>
      <c r="GND68" s="160"/>
      <c r="GNE68" s="158"/>
      <c r="GNF68" s="160"/>
      <c r="GNG68" s="161"/>
      <c r="GNH68" s="162"/>
      <c r="GNI68"/>
      <c r="GNJ68" s="163"/>
      <c r="GNK68"/>
      <c r="GNL68" s="156"/>
      <c r="GNM68" s="164"/>
      <c r="GNN68"/>
      <c r="GNO68" s="157"/>
      <c r="GNP68" s="158"/>
      <c r="GNQ68" s="159"/>
      <c r="GNR68" s="159"/>
      <c r="GNS68" s="158"/>
      <c r="GNT68" s="160"/>
      <c r="GNU68" s="158"/>
      <c r="GNV68" s="160"/>
      <c r="GNW68" s="161"/>
      <c r="GNX68" s="162"/>
      <c r="GNY68"/>
      <c r="GNZ68" s="163"/>
      <c r="GOA68"/>
      <c r="GOB68" s="156"/>
      <c r="GOC68" s="164"/>
      <c r="GOD68"/>
      <c r="GOE68" s="157"/>
      <c r="GOF68" s="158"/>
      <c r="GOG68" s="159"/>
      <c r="GOH68" s="159"/>
      <c r="GOI68" s="158"/>
      <c r="GOJ68" s="160"/>
      <c r="GOK68" s="158"/>
      <c r="GOL68" s="160"/>
      <c r="GOM68" s="161"/>
      <c r="GON68" s="162"/>
      <c r="GOO68"/>
      <c r="GOP68" s="163"/>
      <c r="GOQ68"/>
      <c r="GOR68" s="156"/>
      <c r="GOS68" s="164"/>
      <c r="GOT68"/>
      <c r="GOU68" s="157"/>
      <c r="GOV68" s="158"/>
      <c r="GOW68" s="159"/>
      <c r="GOX68" s="159"/>
      <c r="GOY68" s="158"/>
      <c r="GOZ68" s="160"/>
      <c r="GPA68" s="158"/>
      <c r="GPB68" s="160"/>
      <c r="GPC68" s="161"/>
      <c r="GPD68" s="162"/>
      <c r="GPE68"/>
      <c r="GPF68" s="163"/>
      <c r="GPG68"/>
      <c r="GPH68" s="156"/>
      <c r="GPI68" s="164"/>
      <c r="GPJ68"/>
      <c r="GPK68" s="157"/>
      <c r="GPL68" s="158"/>
      <c r="GPM68" s="159"/>
      <c r="GPN68" s="159"/>
      <c r="GPO68" s="158"/>
      <c r="GPP68" s="160"/>
      <c r="GPQ68" s="158"/>
      <c r="GPR68" s="160"/>
      <c r="GPS68" s="161"/>
      <c r="GPT68" s="162"/>
      <c r="GPU68"/>
      <c r="GPV68" s="163"/>
      <c r="GPW68"/>
      <c r="GPX68" s="156"/>
      <c r="GPY68" s="164"/>
      <c r="GPZ68"/>
      <c r="GQA68" s="157"/>
      <c r="GQB68" s="158"/>
      <c r="GQC68" s="159"/>
      <c r="GQD68" s="159"/>
      <c r="GQE68" s="158"/>
      <c r="GQF68" s="160"/>
      <c r="GQG68" s="158"/>
      <c r="GQH68" s="160"/>
      <c r="GQI68" s="161"/>
      <c r="GQJ68" s="162"/>
      <c r="GQK68"/>
      <c r="GQL68" s="163"/>
      <c r="GQM68"/>
      <c r="GQN68" s="156"/>
      <c r="GQO68" s="164"/>
      <c r="GQP68"/>
      <c r="GQQ68" s="157"/>
      <c r="GQR68" s="158"/>
      <c r="GQS68" s="159"/>
      <c r="GQT68" s="159"/>
      <c r="GQU68" s="158"/>
      <c r="GQV68" s="160"/>
      <c r="GQW68" s="158"/>
      <c r="GQX68" s="160"/>
      <c r="GQY68" s="161"/>
      <c r="GQZ68" s="162"/>
      <c r="GRA68"/>
      <c r="GRB68" s="163"/>
      <c r="GRC68"/>
      <c r="GRD68" s="156"/>
      <c r="GRE68" s="164"/>
      <c r="GRF68"/>
      <c r="GRG68" s="157"/>
      <c r="GRH68" s="158"/>
      <c r="GRI68" s="159"/>
      <c r="GRJ68" s="159"/>
      <c r="GRK68" s="158"/>
      <c r="GRL68" s="160"/>
      <c r="GRM68" s="158"/>
      <c r="GRN68" s="160"/>
      <c r="GRO68" s="161"/>
      <c r="GRP68" s="162"/>
      <c r="GRQ68"/>
      <c r="GRR68" s="163"/>
      <c r="GRS68"/>
      <c r="GRT68" s="156"/>
      <c r="GRU68" s="164"/>
      <c r="GRV68"/>
      <c r="GRW68" s="157"/>
      <c r="GRX68" s="158"/>
      <c r="GRY68" s="159"/>
      <c r="GRZ68" s="159"/>
      <c r="GSA68" s="158"/>
      <c r="GSB68" s="160"/>
      <c r="GSC68" s="158"/>
      <c r="GSD68" s="160"/>
      <c r="GSE68" s="161"/>
      <c r="GSF68" s="162"/>
      <c r="GSG68"/>
      <c r="GSH68" s="163"/>
      <c r="GSI68"/>
      <c r="GSJ68" s="156"/>
      <c r="GSK68" s="164"/>
      <c r="GSL68"/>
      <c r="GSM68" s="157"/>
      <c r="GSN68" s="158"/>
      <c r="GSO68" s="159"/>
      <c r="GSP68" s="159"/>
      <c r="GSQ68" s="158"/>
      <c r="GSR68" s="160"/>
      <c r="GSS68" s="158"/>
      <c r="GST68" s="160"/>
      <c r="GSU68" s="161"/>
      <c r="GSV68" s="162"/>
      <c r="GSW68"/>
      <c r="GSX68" s="163"/>
      <c r="GSY68"/>
      <c r="GSZ68" s="156"/>
      <c r="GTA68" s="164"/>
      <c r="GTB68"/>
      <c r="GTC68" s="157"/>
      <c r="GTD68" s="158"/>
      <c r="GTE68" s="159"/>
      <c r="GTF68" s="159"/>
      <c r="GTG68" s="158"/>
      <c r="GTH68" s="160"/>
      <c r="GTI68" s="158"/>
      <c r="GTJ68" s="160"/>
      <c r="GTK68" s="161"/>
      <c r="GTL68" s="162"/>
      <c r="GTM68"/>
      <c r="GTN68" s="163"/>
      <c r="GTO68"/>
      <c r="GTP68" s="156"/>
      <c r="GTQ68" s="164"/>
      <c r="GTR68"/>
      <c r="GTS68" s="157"/>
      <c r="GTT68" s="158"/>
      <c r="GTU68" s="159"/>
      <c r="GTV68" s="159"/>
      <c r="GTW68" s="158"/>
      <c r="GTX68" s="160"/>
      <c r="GTY68" s="158"/>
      <c r="GTZ68" s="160"/>
      <c r="GUA68" s="161"/>
      <c r="GUB68" s="162"/>
      <c r="GUC68"/>
      <c r="GUD68" s="163"/>
      <c r="GUE68"/>
      <c r="GUF68" s="156"/>
      <c r="GUG68" s="164"/>
      <c r="GUH68"/>
      <c r="GUI68" s="157"/>
      <c r="GUJ68" s="158"/>
      <c r="GUK68" s="159"/>
      <c r="GUL68" s="159"/>
      <c r="GUM68" s="158"/>
      <c r="GUN68" s="160"/>
      <c r="GUO68" s="158"/>
      <c r="GUP68" s="160"/>
      <c r="GUQ68" s="161"/>
      <c r="GUR68" s="162"/>
      <c r="GUS68"/>
      <c r="GUT68" s="163"/>
      <c r="GUU68"/>
      <c r="GUV68" s="156"/>
      <c r="GUW68" s="164"/>
      <c r="GUX68"/>
      <c r="GUY68" s="157"/>
      <c r="GUZ68" s="158"/>
      <c r="GVA68" s="159"/>
      <c r="GVB68" s="159"/>
      <c r="GVC68" s="158"/>
      <c r="GVD68" s="160"/>
      <c r="GVE68" s="158"/>
      <c r="GVF68" s="160"/>
      <c r="GVG68" s="161"/>
      <c r="GVH68" s="162"/>
      <c r="GVI68"/>
      <c r="GVJ68" s="163"/>
      <c r="GVK68"/>
      <c r="GVL68" s="156"/>
      <c r="GVM68" s="164"/>
      <c r="GVN68"/>
      <c r="GVO68" s="157"/>
      <c r="GVP68" s="158"/>
      <c r="GVQ68" s="159"/>
      <c r="GVR68" s="159"/>
      <c r="GVS68" s="158"/>
      <c r="GVT68" s="160"/>
      <c r="GVU68" s="158"/>
      <c r="GVV68" s="160"/>
      <c r="GVW68" s="161"/>
      <c r="GVX68" s="162"/>
      <c r="GVY68"/>
      <c r="GVZ68" s="163"/>
      <c r="GWA68"/>
      <c r="GWB68" s="156"/>
      <c r="GWC68" s="164"/>
      <c r="GWD68"/>
      <c r="GWE68" s="157"/>
      <c r="GWF68" s="158"/>
      <c r="GWG68" s="159"/>
      <c r="GWH68" s="159"/>
      <c r="GWI68" s="158"/>
      <c r="GWJ68" s="160"/>
      <c r="GWK68" s="158"/>
      <c r="GWL68" s="160"/>
      <c r="GWM68" s="161"/>
      <c r="GWN68" s="162"/>
      <c r="GWO68"/>
      <c r="GWP68" s="163"/>
      <c r="GWQ68"/>
      <c r="GWR68" s="156"/>
      <c r="GWS68" s="164"/>
      <c r="GWT68"/>
      <c r="GWU68" s="157"/>
      <c r="GWV68" s="158"/>
      <c r="GWW68" s="159"/>
      <c r="GWX68" s="159"/>
      <c r="GWY68" s="158"/>
      <c r="GWZ68" s="160"/>
      <c r="GXA68" s="158"/>
      <c r="GXB68" s="160"/>
      <c r="GXC68" s="161"/>
      <c r="GXD68" s="162"/>
      <c r="GXE68"/>
      <c r="GXF68" s="163"/>
      <c r="GXG68"/>
      <c r="GXH68" s="156"/>
      <c r="GXI68" s="164"/>
      <c r="GXJ68"/>
      <c r="GXK68" s="157"/>
      <c r="GXL68" s="158"/>
      <c r="GXM68" s="159"/>
      <c r="GXN68" s="159"/>
      <c r="GXO68" s="158"/>
      <c r="GXP68" s="160"/>
      <c r="GXQ68" s="158"/>
      <c r="GXR68" s="160"/>
      <c r="GXS68" s="161"/>
      <c r="GXT68" s="162"/>
      <c r="GXU68"/>
      <c r="GXV68" s="163"/>
      <c r="GXW68"/>
      <c r="GXX68" s="156"/>
      <c r="GXY68" s="164"/>
      <c r="GXZ68"/>
      <c r="GYA68" s="157"/>
      <c r="GYB68" s="158"/>
      <c r="GYC68" s="159"/>
      <c r="GYD68" s="159"/>
      <c r="GYE68" s="158"/>
      <c r="GYF68" s="160"/>
      <c r="GYG68" s="158"/>
      <c r="GYH68" s="160"/>
      <c r="GYI68" s="161"/>
      <c r="GYJ68" s="162"/>
      <c r="GYK68"/>
      <c r="GYL68" s="163"/>
      <c r="GYM68"/>
      <c r="GYN68" s="156"/>
      <c r="GYO68" s="164"/>
      <c r="GYP68"/>
      <c r="GYQ68" s="157"/>
      <c r="GYR68" s="158"/>
      <c r="GYS68" s="159"/>
      <c r="GYT68" s="159"/>
      <c r="GYU68" s="158"/>
      <c r="GYV68" s="160"/>
      <c r="GYW68" s="158"/>
      <c r="GYX68" s="160"/>
      <c r="GYY68" s="161"/>
      <c r="GYZ68" s="162"/>
      <c r="GZA68"/>
      <c r="GZB68" s="163"/>
      <c r="GZC68"/>
      <c r="GZD68" s="156"/>
      <c r="GZE68" s="164"/>
      <c r="GZF68"/>
      <c r="GZG68" s="157"/>
      <c r="GZH68" s="158"/>
      <c r="GZI68" s="159"/>
      <c r="GZJ68" s="159"/>
      <c r="GZK68" s="158"/>
      <c r="GZL68" s="160"/>
      <c r="GZM68" s="158"/>
      <c r="GZN68" s="160"/>
      <c r="GZO68" s="161"/>
      <c r="GZP68" s="162"/>
      <c r="GZQ68"/>
      <c r="GZR68" s="163"/>
      <c r="GZS68"/>
      <c r="GZT68" s="156"/>
      <c r="GZU68" s="164"/>
      <c r="GZV68"/>
      <c r="GZW68" s="157"/>
      <c r="GZX68" s="158"/>
      <c r="GZY68" s="159"/>
      <c r="GZZ68" s="159"/>
      <c r="HAA68" s="158"/>
      <c r="HAB68" s="160"/>
      <c r="HAC68" s="158"/>
      <c r="HAD68" s="160"/>
      <c r="HAE68" s="161"/>
      <c r="HAF68" s="162"/>
      <c r="HAG68"/>
      <c r="HAH68" s="163"/>
      <c r="HAI68"/>
      <c r="HAJ68" s="156"/>
      <c r="HAK68" s="164"/>
      <c r="HAL68"/>
      <c r="HAM68" s="157"/>
      <c r="HAN68" s="158"/>
      <c r="HAO68" s="159"/>
      <c r="HAP68" s="159"/>
      <c r="HAQ68" s="158"/>
      <c r="HAR68" s="160"/>
      <c r="HAS68" s="158"/>
      <c r="HAT68" s="160"/>
      <c r="HAU68" s="161"/>
      <c r="HAV68" s="162"/>
      <c r="HAW68"/>
      <c r="HAX68" s="163"/>
      <c r="HAY68"/>
      <c r="HAZ68" s="156"/>
      <c r="HBA68" s="164"/>
      <c r="HBB68"/>
      <c r="HBC68" s="157"/>
      <c r="HBD68" s="158"/>
      <c r="HBE68" s="159"/>
      <c r="HBF68" s="159"/>
      <c r="HBG68" s="158"/>
      <c r="HBH68" s="160"/>
      <c r="HBI68" s="158"/>
      <c r="HBJ68" s="160"/>
      <c r="HBK68" s="161"/>
      <c r="HBL68" s="162"/>
      <c r="HBM68"/>
      <c r="HBN68" s="163"/>
      <c r="HBO68"/>
      <c r="HBP68" s="156"/>
      <c r="HBQ68" s="164"/>
      <c r="HBR68"/>
      <c r="HBS68" s="157"/>
      <c r="HBT68" s="158"/>
      <c r="HBU68" s="159"/>
      <c r="HBV68" s="159"/>
      <c r="HBW68" s="158"/>
      <c r="HBX68" s="160"/>
      <c r="HBY68" s="158"/>
      <c r="HBZ68" s="160"/>
      <c r="HCA68" s="161"/>
      <c r="HCB68" s="162"/>
      <c r="HCC68"/>
      <c r="HCD68" s="163"/>
      <c r="HCE68"/>
      <c r="HCF68" s="156"/>
      <c r="HCG68" s="164"/>
      <c r="HCH68"/>
      <c r="HCI68" s="157"/>
      <c r="HCJ68" s="158"/>
      <c r="HCK68" s="159"/>
      <c r="HCL68" s="159"/>
      <c r="HCM68" s="158"/>
      <c r="HCN68" s="160"/>
      <c r="HCO68" s="158"/>
      <c r="HCP68" s="160"/>
      <c r="HCQ68" s="161"/>
      <c r="HCR68" s="162"/>
      <c r="HCS68"/>
      <c r="HCT68" s="163"/>
      <c r="HCU68"/>
      <c r="HCV68" s="156"/>
      <c r="HCW68" s="164"/>
      <c r="HCX68"/>
      <c r="HCY68" s="157"/>
      <c r="HCZ68" s="158"/>
      <c r="HDA68" s="159"/>
      <c r="HDB68" s="159"/>
      <c r="HDC68" s="158"/>
      <c r="HDD68" s="160"/>
      <c r="HDE68" s="158"/>
      <c r="HDF68" s="160"/>
      <c r="HDG68" s="161"/>
      <c r="HDH68" s="162"/>
      <c r="HDI68"/>
      <c r="HDJ68" s="163"/>
      <c r="HDK68"/>
      <c r="HDL68" s="156"/>
      <c r="HDM68" s="164"/>
      <c r="HDN68"/>
      <c r="HDO68" s="157"/>
      <c r="HDP68" s="158"/>
      <c r="HDQ68" s="159"/>
      <c r="HDR68" s="159"/>
      <c r="HDS68" s="158"/>
      <c r="HDT68" s="160"/>
      <c r="HDU68" s="158"/>
      <c r="HDV68" s="160"/>
      <c r="HDW68" s="161"/>
      <c r="HDX68" s="162"/>
      <c r="HDY68"/>
      <c r="HDZ68" s="163"/>
      <c r="HEA68"/>
      <c r="HEB68" s="156"/>
      <c r="HEC68" s="164"/>
      <c r="HED68"/>
      <c r="HEE68" s="157"/>
      <c r="HEF68" s="158"/>
      <c r="HEG68" s="159"/>
      <c r="HEH68" s="159"/>
      <c r="HEI68" s="158"/>
      <c r="HEJ68" s="160"/>
      <c r="HEK68" s="158"/>
      <c r="HEL68" s="160"/>
      <c r="HEM68" s="161"/>
      <c r="HEN68" s="162"/>
      <c r="HEO68"/>
      <c r="HEP68" s="163"/>
      <c r="HEQ68"/>
      <c r="HER68" s="156"/>
      <c r="HES68" s="164"/>
      <c r="HET68"/>
      <c r="HEU68" s="157"/>
      <c r="HEV68" s="158"/>
      <c r="HEW68" s="159"/>
      <c r="HEX68" s="159"/>
      <c r="HEY68" s="158"/>
      <c r="HEZ68" s="160"/>
      <c r="HFA68" s="158"/>
      <c r="HFB68" s="160"/>
      <c r="HFC68" s="161"/>
      <c r="HFD68" s="162"/>
      <c r="HFE68"/>
      <c r="HFF68" s="163"/>
      <c r="HFG68"/>
      <c r="HFH68" s="156"/>
      <c r="HFI68" s="164"/>
      <c r="HFJ68"/>
      <c r="HFK68" s="157"/>
      <c r="HFL68" s="158"/>
      <c r="HFM68" s="159"/>
      <c r="HFN68" s="159"/>
      <c r="HFO68" s="158"/>
      <c r="HFP68" s="160"/>
      <c r="HFQ68" s="158"/>
      <c r="HFR68" s="160"/>
      <c r="HFS68" s="161"/>
      <c r="HFT68" s="162"/>
      <c r="HFU68"/>
      <c r="HFV68" s="163"/>
      <c r="HFW68"/>
      <c r="HFX68" s="156"/>
      <c r="HFY68" s="164"/>
      <c r="HFZ68"/>
      <c r="HGA68" s="157"/>
      <c r="HGB68" s="158"/>
      <c r="HGC68" s="159"/>
      <c r="HGD68" s="159"/>
      <c r="HGE68" s="158"/>
      <c r="HGF68" s="160"/>
      <c r="HGG68" s="158"/>
      <c r="HGH68" s="160"/>
      <c r="HGI68" s="161"/>
      <c r="HGJ68" s="162"/>
      <c r="HGK68"/>
      <c r="HGL68" s="163"/>
      <c r="HGM68"/>
      <c r="HGN68" s="156"/>
      <c r="HGO68" s="164"/>
      <c r="HGP68"/>
      <c r="HGQ68" s="157"/>
      <c r="HGR68" s="158"/>
      <c r="HGS68" s="159"/>
      <c r="HGT68" s="159"/>
      <c r="HGU68" s="158"/>
      <c r="HGV68" s="160"/>
      <c r="HGW68" s="158"/>
      <c r="HGX68" s="160"/>
      <c r="HGY68" s="161"/>
      <c r="HGZ68" s="162"/>
      <c r="HHA68"/>
      <c r="HHB68" s="163"/>
      <c r="HHC68"/>
      <c r="HHD68" s="156"/>
      <c r="HHE68" s="164"/>
      <c r="HHF68"/>
      <c r="HHG68" s="157"/>
      <c r="HHH68" s="158"/>
      <c r="HHI68" s="159"/>
      <c r="HHJ68" s="159"/>
      <c r="HHK68" s="158"/>
      <c r="HHL68" s="160"/>
      <c r="HHM68" s="158"/>
      <c r="HHN68" s="160"/>
      <c r="HHO68" s="161"/>
      <c r="HHP68" s="162"/>
      <c r="HHQ68"/>
      <c r="HHR68" s="163"/>
      <c r="HHS68"/>
      <c r="HHT68" s="156"/>
      <c r="HHU68" s="164"/>
      <c r="HHV68"/>
      <c r="HHW68" s="157"/>
      <c r="HHX68" s="158"/>
      <c r="HHY68" s="159"/>
      <c r="HHZ68" s="159"/>
      <c r="HIA68" s="158"/>
      <c r="HIB68" s="160"/>
      <c r="HIC68" s="158"/>
      <c r="HID68" s="160"/>
      <c r="HIE68" s="161"/>
      <c r="HIF68" s="162"/>
      <c r="HIG68"/>
      <c r="HIH68" s="163"/>
      <c r="HII68"/>
      <c r="HIJ68" s="156"/>
      <c r="HIK68" s="164"/>
      <c r="HIL68"/>
      <c r="HIM68" s="157"/>
      <c r="HIN68" s="158"/>
      <c r="HIO68" s="159"/>
      <c r="HIP68" s="159"/>
      <c r="HIQ68" s="158"/>
      <c r="HIR68" s="160"/>
      <c r="HIS68" s="158"/>
      <c r="HIT68" s="160"/>
      <c r="HIU68" s="161"/>
      <c r="HIV68" s="162"/>
      <c r="HIW68"/>
      <c r="HIX68" s="163"/>
      <c r="HIY68"/>
      <c r="HIZ68" s="156"/>
      <c r="HJA68" s="164"/>
      <c r="HJB68"/>
      <c r="HJC68" s="157"/>
      <c r="HJD68" s="158"/>
      <c r="HJE68" s="159"/>
      <c r="HJF68" s="159"/>
      <c r="HJG68" s="158"/>
      <c r="HJH68" s="160"/>
      <c r="HJI68" s="158"/>
      <c r="HJJ68" s="160"/>
      <c r="HJK68" s="161"/>
      <c r="HJL68" s="162"/>
      <c r="HJM68"/>
      <c r="HJN68" s="163"/>
      <c r="HJO68"/>
      <c r="HJP68" s="156"/>
      <c r="HJQ68" s="164"/>
      <c r="HJR68"/>
      <c r="HJS68" s="157"/>
      <c r="HJT68" s="158"/>
      <c r="HJU68" s="159"/>
      <c r="HJV68" s="159"/>
      <c r="HJW68" s="158"/>
      <c r="HJX68" s="160"/>
      <c r="HJY68" s="158"/>
      <c r="HJZ68" s="160"/>
      <c r="HKA68" s="161"/>
      <c r="HKB68" s="162"/>
      <c r="HKC68"/>
      <c r="HKD68" s="163"/>
      <c r="HKE68"/>
      <c r="HKF68" s="156"/>
      <c r="HKG68" s="164"/>
      <c r="HKH68"/>
      <c r="HKI68" s="157"/>
      <c r="HKJ68" s="158"/>
      <c r="HKK68" s="159"/>
      <c r="HKL68" s="159"/>
      <c r="HKM68" s="158"/>
      <c r="HKN68" s="160"/>
      <c r="HKO68" s="158"/>
      <c r="HKP68" s="160"/>
      <c r="HKQ68" s="161"/>
      <c r="HKR68" s="162"/>
      <c r="HKS68"/>
      <c r="HKT68" s="163"/>
      <c r="HKU68"/>
      <c r="HKV68" s="156"/>
      <c r="HKW68" s="164"/>
      <c r="HKX68"/>
      <c r="HKY68" s="157"/>
      <c r="HKZ68" s="158"/>
      <c r="HLA68" s="159"/>
      <c r="HLB68" s="159"/>
      <c r="HLC68" s="158"/>
      <c r="HLD68" s="160"/>
      <c r="HLE68" s="158"/>
      <c r="HLF68" s="160"/>
      <c r="HLG68" s="161"/>
      <c r="HLH68" s="162"/>
      <c r="HLI68"/>
      <c r="HLJ68" s="163"/>
      <c r="HLK68"/>
      <c r="HLL68" s="156"/>
      <c r="HLM68" s="164"/>
      <c r="HLN68"/>
      <c r="HLO68" s="157"/>
      <c r="HLP68" s="158"/>
      <c r="HLQ68" s="159"/>
      <c r="HLR68" s="159"/>
      <c r="HLS68" s="158"/>
      <c r="HLT68" s="160"/>
      <c r="HLU68" s="158"/>
      <c r="HLV68" s="160"/>
      <c r="HLW68" s="161"/>
      <c r="HLX68" s="162"/>
      <c r="HLY68"/>
      <c r="HLZ68" s="163"/>
      <c r="HMA68"/>
      <c r="HMB68" s="156"/>
      <c r="HMC68" s="164"/>
      <c r="HMD68"/>
      <c r="HME68" s="157"/>
      <c r="HMF68" s="158"/>
      <c r="HMG68" s="159"/>
      <c r="HMH68" s="159"/>
      <c r="HMI68" s="158"/>
      <c r="HMJ68" s="160"/>
      <c r="HMK68" s="158"/>
      <c r="HML68" s="160"/>
      <c r="HMM68" s="161"/>
      <c r="HMN68" s="162"/>
      <c r="HMO68"/>
      <c r="HMP68" s="163"/>
      <c r="HMQ68"/>
      <c r="HMR68" s="156"/>
      <c r="HMS68" s="164"/>
      <c r="HMT68"/>
      <c r="HMU68" s="157"/>
      <c r="HMV68" s="158"/>
      <c r="HMW68" s="159"/>
      <c r="HMX68" s="159"/>
      <c r="HMY68" s="158"/>
      <c r="HMZ68" s="160"/>
      <c r="HNA68" s="158"/>
      <c r="HNB68" s="160"/>
      <c r="HNC68" s="161"/>
      <c r="HND68" s="162"/>
      <c r="HNE68"/>
      <c r="HNF68" s="163"/>
      <c r="HNG68"/>
      <c r="HNH68" s="156"/>
      <c r="HNI68" s="164"/>
      <c r="HNJ68"/>
      <c r="HNK68" s="157"/>
      <c r="HNL68" s="158"/>
      <c r="HNM68" s="159"/>
      <c r="HNN68" s="159"/>
      <c r="HNO68" s="158"/>
      <c r="HNP68" s="160"/>
      <c r="HNQ68" s="158"/>
      <c r="HNR68" s="160"/>
      <c r="HNS68" s="161"/>
      <c r="HNT68" s="162"/>
      <c r="HNU68"/>
      <c r="HNV68" s="163"/>
      <c r="HNW68"/>
      <c r="HNX68" s="156"/>
      <c r="HNY68" s="164"/>
      <c r="HNZ68"/>
      <c r="HOA68" s="157"/>
      <c r="HOB68" s="158"/>
      <c r="HOC68" s="159"/>
      <c r="HOD68" s="159"/>
      <c r="HOE68" s="158"/>
      <c r="HOF68" s="160"/>
      <c r="HOG68" s="158"/>
      <c r="HOH68" s="160"/>
      <c r="HOI68" s="161"/>
      <c r="HOJ68" s="162"/>
      <c r="HOK68"/>
      <c r="HOL68" s="163"/>
      <c r="HOM68"/>
      <c r="HON68" s="156"/>
      <c r="HOO68" s="164"/>
      <c r="HOP68"/>
      <c r="HOQ68" s="157"/>
      <c r="HOR68" s="158"/>
      <c r="HOS68" s="159"/>
      <c r="HOT68" s="159"/>
      <c r="HOU68" s="158"/>
      <c r="HOV68" s="160"/>
      <c r="HOW68" s="158"/>
      <c r="HOX68" s="160"/>
      <c r="HOY68" s="161"/>
      <c r="HOZ68" s="162"/>
      <c r="HPA68"/>
      <c r="HPB68" s="163"/>
      <c r="HPC68"/>
      <c r="HPD68" s="156"/>
      <c r="HPE68" s="164"/>
      <c r="HPF68"/>
      <c r="HPG68" s="157"/>
      <c r="HPH68" s="158"/>
      <c r="HPI68" s="159"/>
      <c r="HPJ68" s="159"/>
      <c r="HPK68" s="158"/>
      <c r="HPL68" s="160"/>
      <c r="HPM68" s="158"/>
      <c r="HPN68" s="160"/>
      <c r="HPO68" s="161"/>
      <c r="HPP68" s="162"/>
      <c r="HPQ68"/>
      <c r="HPR68" s="163"/>
      <c r="HPS68"/>
      <c r="HPT68" s="156"/>
      <c r="HPU68" s="164"/>
      <c r="HPV68"/>
      <c r="HPW68" s="157"/>
      <c r="HPX68" s="158"/>
      <c r="HPY68" s="159"/>
      <c r="HPZ68" s="159"/>
      <c r="HQA68" s="158"/>
      <c r="HQB68" s="160"/>
      <c r="HQC68" s="158"/>
      <c r="HQD68" s="160"/>
      <c r="HQE68" s="161"/>
      <c r="HQF68" s="162"/>
      <c r="HQG68"/>
      <c r="HQH68" s="163"/>
      <c r="HQI68"/>
      <c r="HQJ68" s="156"/>
      <c r="HQK68" s="164"/>
      <c r="HQL68"/>
      <c r="HQM68" s="157"/>
      <c r="HQN68" s="158"/>
      <c r="HQO68" s="159"/>
      <c r="HQP68" s="159"/>
      <c r="HQQ68" s="158"/>
      <c r="HQR68" s="160"/>
      <c r="HQS68" s="158"/>
      <c r="HQT68" s="160"/>
      <c r="HQU68" s="161"/>
      <c r="HQV68" s="162"/>
      <c r="HQW68"/>
      <c r="HQX68" s="163"/>
      <c r="HQY68"/>
      <c r="HQZ68" s="156"/>
      <c r="HRA68" s="164"/>
      <c r="HRB68"/>
      <c r="HRC68" s="157"/>
      <c r="HRD68" s="158"/>
      <c r="HRE68" s="159"/>
      <c r="HRF68" s="159"/>
      <c r="HRG68" s="158"/>
      <c r="HRH68" s="160"/>
      <c r="HRI68" s="158"/>
      <c r="HRJ68" s="160"/>
      <c r="HRK68" s="161"/>
      <c r="HRL68" s="162"/>
      <c r="HRM68"/>
      <c r="HRN68" s="163"/>
      <c r="HRO68"/>
      <c r="HRP68" s="156"/>
      <c r="HRQ68" s="164"/>
      <c r="HRR68"/>
      <c r="HRS68" s="157"/>
      <c r="HRT68" s="158"/>
      <c r="HRU68" s="159"/>
      <c r="HRV68" s="159"/>
      <c r="HRW68" s="158"/>
      <c r="HRX68" s="160"/>
      <c r="HRY68" s="158"/>
      <c r="HRZ68" s="160"/>
      <c r="HSA68" s="161"/>
      <c r="HSB68" s="162"/>
      <c r="HSC68"/>
      <c r="HSD68" s="163"/>
      <c r="HSE68"/>
      <c r="HSF68" s="156"/>
      <c r="HSG68" s="164"/>
      <c r="HSH68"/>
      <c r="HSI68" s="157"/>
      <c r="HSJ68" s="158"/>
      <c r="HSK68" s="159"/>
      <c r="HSL68" s="159"/>
      <c r="HSM68" s="158"/>
      <c r="HSN68" s="160"/>
      <c r="HSO68" s="158"/>
      <c r="HSP68" s="160"/>
      <c r="HSQ68" s="161"/>
      <c r="HSR68" s="162"/>
      <c r="HSS68"/>
      <c r="HST68" s="163"/>
      <c r="HSU68"/>
      <c r="HSV68" s="156"/>
      <c r="HSW68" s="164"/>
      <c r="HSX68"/>
      <c r="HSY68" s="157"/>
      <c r="HSZ68" s="158"/>
      <c r="HTA68" s="159"/>
      <c r="HTB68" s="159"/>
      <c r="HTC68" s="158"/>
      <c r="HTD68" s="160"/>
      <c r="HTE68" s="158"/>
      <c r="HTF68" s="160"/>
      <c r="HTG68" s="161"/>
      <c r="HTH68" s="162"/>
      <c r="HTI68"/>
      <c r="HTJ68" s="163"/>
      <c r="HTK68"/>
      <c r="HTL68" s="156"/>
      <c r="HTM68" s="164"/>
      <c r="HTN68"/>
      <c r="HTO68" s="157"/>
      <c r="HTP68" s="158"/>
      <c r="HTQ68" s="159"/>
      <c r="HTR68" s="159"/>
      <c r="HTS68" s="158"/>
      <c r="HTT68" s="160"/>
      <c r="HTU68" s="158"/>
      <c r="HTV68" s="160"/>
      <c r="HTW68" s="161"/>
      <c r="HTX68" s="162"/>
      <c r="HTY68"/>
      <c r="HTZ68" s="163"/>
      <c r="HUA68"/>
      <c r="HUB68" s="156"/>
      <c r="HUC68" s="164"/>
      <c r="HUD68"/>
      <c r="HUE68" s="157"/>
      <c r="HUF68" s="158"/>
      <c r="HUG68" s="159"/>
      <c r="HUH68" s="159"/>
      <c r="HUI68" s="158"/>
      <c r="HUJ68" s="160"/>
      <c r="HUK68" s="158"/>
      <c r="HUL68" s="160"/>
      <c r="HUM68" s="161"/>
      <c r="HUN68" s="162"/>
      <c r="HUO68"/>
      <c r="HUP68" s="163"/>
      <c r="HUQ68"/>
      <c r="HUR68" s="156"/>
      <c r="HUS68" s="164"/>
      <c r="HUT68"/>
      <c r="HUU68" s="157"/>
      <c r="HUV68" s="158"/>
      <c r="HUW68" s="159"/>
      <c r="HUX68" s="159"/>
      <c r="HUY68" s="158"/>
      <c r="HUZ68" s="160"/>
      <c r="HVA68" s="158"/>
      <c r="HVB68" s="160"/>
      <c r="HVC68" s="161"/>
      <c r="HVD68" s="162"/>
      <c r="HVE68"/>
      <c r="HVF68" s="163"/>
      <c r="HVG68"/>
      <c r="HVH68" s="156"/>
      <c r="HVI68" s="164"/>
      <c r="HVJ68"/>
      <c r="HVK68" s="157"/>
      <c r="HVL68" s="158"/>
      <c r="HVM68" s="159"/>
      <c r="HVN68" s="159"/>
      <c r="HVO68" s="158"/>
      <c r="HVP68" s="160"/>
      <c r="HVQ68" s="158"/>
      <c r="HVR68" s="160"/>
      <c r="HVS68" s="161"/>
      <c r="HVT68" s="162"/>
      <c r="HVU68"/>
      <c r="HVV68" s="163"/>
      <c r="HVW68"/>
      <c r="HVX68" s="156"/>
      <c r="HVY68" s="164"/>
      <c r="HVZ68"/>
      <c r="HWA68" s="157"/>
      <c r="HWB68" s="158"/>
      <c r="HWC68" s="159"/>
      <c r="HWD68" s="159"/>
      <c r="HWE68" s="158"/>
      <c r="HWF68" s="160"/>
      <c r="HWG68" s="158"/>
      <c r="HWH68" s="160"/>
      <c r="HWI68" s="161"/>
      <c r="HWJ68" s="162"/>
      <c r="HWK68"/>
      <c r="HWL68" s="163"/>
      <c r="HWM68"/>
      <c r="HWN68" s="156"/>
      <c r="HWO68" s="164"/>
      <c r="HWP68"/>
      <c r="HWQ68" s="157"/>
      <c r="HWR68" s="158"/>
      <c r="HWS68" s="159"/>
      <c r="HWT68" s="159"/>
      <c r="HWU68" s="158"/>
      <c r="HWV68" s="160"/>
      <c r="HWW68" s="158"/>
      <c r="HWX68" s="160"/>
      <c r="HWY68" s="161"/>
      <c r="HWZ68" s="162"/>
      <c r="HXA68"/>
      <c r="HXB68" s="163"/>
      <c r="HXC68"/>
      <c r="HXD68" s="156"/>
      <c r="HXE68" s="164"/>
      <c r="HXF68"/>
      <c r="HXG68" s="157"/>
      <c r="HXH68" s="158"/>
      <c r="HXI68" s="159"/>
      <c r="HXJ68" s="159"/>
      <c r="HXK68" s="158"/>
      <c r="HXL68" s="160"/>
      <c r="HXM68" s="158"/>
      <c r="HXN68" s="160"/>
      <c r="HXO68" s="161"/>
      <c r="HXP68" s="162"/>
      <c r="HXQ68"/>
      <c r="HXR68" s="163"/>
      <c r="HXS68"/>
      <c r="HXT68" s="156"/>
      <c r="HXU68" s="164"/>
      <c r="HXV68"/>
      <c r="HXW68" s="157"/>
      <c r="HXX68" s="158"/>
      <c r="HXY68" s="159"/>
      <c r="HXZ68" s="159"/>
      <c r="HYA68" s="158"/>
      <c r="HYB68" s="160"/>
      <c r="HYC68" s="158"/>
      <c r="HYD68" s="160"/>
      <c r="HYE68" s="161"/>
      <c r="HYF68" s="162"/>
      <c r="HYG68"/>
      <c r="HYH68" s="163"/>
      <c r="HYI68"/>
      <c r="HYJ68" s="156"/>
      <c r="HYK68" s="164"/>
      <c r="HYL68"/>
      <c r="HYM68" s="157"/>
      <c r="HYN68" s="158"/>
      <c r="HYO68" s="159"/>
      <c r="HYP68" s="159"/>
      <c r="HYQ68" s="158"/>
      <c r="HYR68" s="160"/>
      <c r="HYS68" s="158"/>
      <c r="HYT68" s="160"/>
      <c r="HYU68" s="161"/>
      <c r="HYV68" s="162"/>
      <c r="HYW68"/>
      <c r="HYX68" s="163"/>
      <c r="HYY68"/>
      <c r="HYZ68" s="156"/>
      <c r="HZA68" s="164"/>
      <c r="HZB68"/>
      <c r="HZC68" s="157"/>
      <c r="HZD68" s="158"/>
      <c r="HZE68" s="159"/>
      <c r="HZF68" s="159"/>
      <c r="HZG68" s="158"/>
      <c r="HZH68" s="160"/>
      <c r="HZI68" s="158"/>
      <c r="HZJ68" s="160"/>
      <c r="HZK68" s="161"/>
      <c r="HZL68" s="162"/>
      <c r="HZM68"/>
      <c r="HZN68" s="163"/>
      <c r="HZO68"/>
      <c r="HZP68" s="156"/>
      <c r="HZQ68" s="164"/>
      <c r="HZR68"/>
      <c r="HZS68" s="157"/>
      <c r="HZT68" s="158"/>
      <c r="HZU68" s="159"/>
      <c r="HZV68" s="159"/>
      <c r="HZW68" s="158"/>
      <c r="HZX68" s="160"/>
      <c r="HZY68" s="158"/>
      <c r="HZZ68" s="160"/>
      <c r="IAA68" s="161"/>
      <c r="IAB68" s="162"/>
      <c r="IAC68"/>
      <c r="IAD68" s="163"/>
      <c r="IAE68"/>
      <c r="IAF68" s="156"/>
      <c r="IAG68" s="164"/>
      <c r="IAH68"/>
      <c r="IAI68" s="157"/>
      <c r="IAJ68" s="158"/>
      <c r="IAK68" s="159"/>
      <c r="IAL68" s="159"/>
      <c r="IAM68" s="158"/>
      <c r="IAN68" s="160"/>
      <c r="IAO68" s="158"/>
      <c r="IAP68" s="160"/>
      <c r="IAQ68" s="161"/>
      <c r="IAR68" s="162"/>
      <c r="IAS68"/>
      <c r="IAT68" s="163"/>
      <c r="IAU68"/>
      <c r="IAV68" s="156"/>
      <c r="IAW68" s="164"/>
      <c r="IAX68"/>
      <c r="IAY68" s="157"/>
      <c r="IAZ68" s="158"/>
      <c r="IBA68" s="159"/>
      <c r="IBB68" s="159"/>
      <c r="IBC68" s="158"/>
      <c r="IBD68" s="160"/>
      <c r="IBE68" s="158"/>
      <c r="IBF68" s="160"/>
      <c r="IBG68" s="161"/>
      <c r="IBH68" s="162"/>
      <c r="IBI68"/>
      <c r="IBJ68" s="163"/>
      <c r="IBK68"/>
      <c r="IBL68" s="156"/>
      <c r="IBM68" s="164"/>
      <c r="IBN68"/>
      <c r="IBO68" s="157"/>
      <c r="IBP68" s="158"/>
      <c r="IBQ68" s="159"/>
      <c r="IBR68" s="159"/>
      <c r="IBS68" s="158"/>
      <c r="IBT68" s="160"/>
      <c r="IBU68" s="158"/>
      <c r="IBV68" s="160"/>
      <c r="IBW68" s="161"/>
      <c r="IBX68" s="162"/>
      <c r="IBY68"/>
      <c r="IBZ68" s="163"/>
      <c r="ICA68"/>
      <c r="ICB68" s="156"/>
      <c r="ICC68" s="164"/>
      <c r="ICD68"/>
      <c r="ICE68" s="157"/>
      <c r="ICF68" s="158"/>
      <c r="ICG68" s="159"/>
      <c r="ICH68" s="159"/>
      <c r="ICI68" s="158"/>
      <c r="ICJ68" s="160"/>
      <c r="ICK68" s="158"/>
      <c r="ICL68" s="160"/>
      <c r="ICM68" s="161"/>
      <c r="ICN68" s="162"/>
      <c r="ICO68"/>
      <c r="ICP68" s="163"/>
      <c r="ICQ68"/>
      <c r="ICR68" s="156"/>
      <c r="ICS68" s="164"/>
      <c r="ICT68"/>
      <c r="ICU68" s="157"/>
      <c r="ICV68" s="158"/>
      <c r="ICW68" s="159"/>
      <c r="ICX68" s="159"/>
      <c r="ICY68" s="158"/>
      <c r="ICZ68" s="160"/>
      <c r="IDA68" s="158"/>
      <c r="IDB68" s="160"/>
      <c r="IDC68" s="161"/>
      <c r="IDD68" s="162"/>
      <c r="IDE68"/>
      <c r="IDF68" s="163"/>
      <c r="IDG68"/>
      <c r="IDH68" s="156"/>
      <c r="IDI68" s="164"/>
      <c r="IDJ68"/>
      <c r="IDK68" s="157"/>
      <c r="IDL68" s="158"/>
      <c r="IDM68" s="159"/>
      <c r="IDN68" s="159"/>
      <c r="IDO68" s="158"/>
      <c r="IDP68" s="160"/>
      <c r="IDQ68" s="158"/>
      <c r="IDR68" s="160"/>
      <c r="IDS68" s="161"/>
      <c r="IDT68" s="162"/>
      <c r="IDU68"/>
      <c r="IDV68" s="163"/>
      <c r="IDW68"/>
      <c r="IDX68" s="156"/>
      <c r="IDY68" s="164"/>
      <c r="IDZ68"/>
      <c r="IEA68" s="157"/>
      <c r="IEB68" s="158"/>
      <c r="IEC68" s="159"/>
      <c r="IED68" s="159"/>
      <c r="IEE68" s="158"/>
      <c r="IEF68" s="160"/>
      <c r="IEG68" s="158"/>
      <c r="IEH68" s="160"/>
      <c r="IEI68" s="161"/>
      <c r="IEJ68" s="162"/>
      <c r="IEK68"/>
      <c r="IEL68" s="163"/>
      <c r="IEM68"/>
      <c r="IEN68" s="156"/>
      <c r="IEO68" s="164"/>
      <c r="IEP68"/>
      <c r="IEQ68" s="157"/>
      <c r="IER68" s="158"/>
      <c r="IES68" s="159"/>
      <c r="IET68" s="159"/>
      <c r="IEU68" s="158"/>
      <c r="IEV68" s="160"/>
      <c r="IEW68" s="158"/>
      <c r="IEX68" s="160"/>
      <c r="IEY68" s="161"/>
      <c r="IEZ68" s="162"/>
      <c r="IFA68"/>
      <c r="IFB68" s="163"/>
      <c r="IFC68"/>
      <c r="IFD68" s="156"/>
      <c r="IFE68" s="164"/>
      <c r="IFF68"/>
      <c r="IFG68" s="157"/>
      <c r="IFH68" s="158"/>
      <c r="IFI68" s="159"/>
      <c r="IFJ68" s="159"/>
      <c r="IFK68" s="158"/>
      <c r="IFL68" s="160"/>
      <c r="IFM68" s="158"/>
      <c r="IFN68" s="160"/>
      <c r="IFO68" s="161"/>
      <c r="IFP68" s="162"/>
      <c r="IFQ68"/>
      <c r="IFR68" s="163"/>
      <c r="IFS68"/>
      <c r="IFT68" s="156"/>
      <c r="IFU68" s="164"/>
      <c r="IFV68"/>
      <c r="IFW68" s="157"/>
      <c r="IFX68" s="158"/>
      <c r="IFY68" s="159"/>
      <c r="IFZ68" s="159"/>
      <c r="IGA68" s="158"/>
      <c r="IGB68" s="160"/>
      <c r="IGC68" s="158"/>
      <c r="IGD68" s="160"/>
      <c r="IGE68" s="161"/>
      <c r="IGF68" s="162"/>
      <c r="IGG68"/>
      <c r="IGH68" s="163"/>
      <c r="IGI68"/>
      <c r="IGJ68" s="156"/>
      <c r="IGK68" s="164"/>
      <c r="IGL68"/>
      <c r="IGM68" s="157"/>
      <c r="IGN68" s="158"/>
      <c r="IGO68" s="159"/>
      <c r="IGP68" s="159"/>
      <c r="IGQ68" s="158"/>
      <c r="IGR68" s="160"/>
      <c r="IGS68" s="158"/>
      <c r="IGT68" s="160"/>
      <c r="IGU68" s="161"/>
      <c r="IGV68" s="162"/>
      <c r="IGW68"/>
      <c r="IGX68" s="163"/>
      <c r="IGY68"/>
      <c r="IGZ68" s="156"/>
      <c r="IHA68" s="164"/>
      <c r="IHB68"/>
      <c r="IHC68" s="157"/>
      <c r="IHD68" s="158"/>
      <c r="IHE68" s="159"/>
      <c r="IHF68" s="159"/>
      <c r="IHG68" s="158"/>
      <c r="IHH68" s="160"/>
      <c r="IHI68" s="158"/>
      <c r="IHJ68" s="160"/>
      <c r="IHK68" s="161"/>
      <c r="IHL68" s="162"/>
      <c r="IHM68"/>
      <c r="IHN68" s="163"/>
      <c r="IHO68"/>
      <c r="IHP68" s="156"/>
      <c r="IHQ68" s="164"/>
      <c r="IHR68"/>
      <c r="IHS68" s="157"/>
      <c r="IHT68" s="158"/>
      <c r="IHU68" s="159"/>
      <c r="IHV68" s="159"/>
      <c r="IHW68" s="158"/>
      <c r="IHX68" s="160"/>
      <c r="IHY68" s="158"/>
      <c r="IHZ68" s="160"/>
      <c r="IIA68" s="161"/>
      <c r="IIB68" s="162"/>
      <c r="IIC68"/>
      <c r="IID68" s="163"/>
      <c r="IIE68"/>
      <c r="IIF68" s="156"/>
      <c r="IIG68" s="164"/>
      <c r="IIH68"/>
      <c r="III68" s="157"/>
      <c r="IIJ68" s="158"/>
      <c r="IIK68" s="159"/>
      <c r="IIL68" s="159"/>
      <c r="IIM68" s="158"/>
      <c r="IIN68" s="160"/>
      <c r="IIO68" s="158"/>
      <c r="IIP68" s="160"/>
      <c r="IIQ68" s="161"/>
      <c r="IIR68" s="162"/>
      <c r="IIS68"/>
      <c r="IIT68" s="163"/>
      <c r="IIU68"/>
      <c r="IIV68" s="156"/>
      <c r="IIW68" s="164"/>
      <c r="IIX68"/>
      <c r="IIY68" s="157"/>
      <c r="IIZ68" s="158"/>
      <c r="IJA68" s="159"/>
      <c r="IJB68" s="159"/>
      <c r="IJC68" s="158"/>
      <c r="IJD68" s="160"/>
      <c r="IJE68" s="158"/>
      <c r="IJF68" s="160"/>
      <c r="IJG68" s="161"/>
      <c r="IJH68" s="162"/>
      <c r="IJI68"/>
      <c r="IJJ68" s="163"/>
      <c r="IJK68"/>
      <c r="IJL68" s="156"/>
      <c r="IJM68" s="164"/>
      <c r="IJN68"/>
      <c r="IJO68" s="157"/>
      <c r="IJP68" s="158"/>
      <c r="IJQ68" s="159"/>
      <c r="IJR68" s="159"/>
      <c r="IJS68" s="158"/>
      <c r="IJT68" s="160"/>
      <c r="IJU68" s="158"/>
      <c r="IJV68" s="160"/>
      <c r="IJW68" s="161"/>
      <c r="IJX68" s="162"/>
      <c r="IJY68"/>
      <c r="IJZ68" s="163"/>
      <c r="IKA68"/>
      <c r="IKB68" s="156"/>
      <c r="IKC68" s="164"/>
      <c r="IKD68"/>
      <c r="IKE68" s="157"/>
      <c r="IKF68" s="158"/>
      <c r="IKG68" s="159"/>
      <c r="IKH68" s="159"/>
      <c r="IKI68" s="158"/>
      <c r="IKJ68" s="160"/>
      <c r="IKK68" s="158"/>
      <c r="IKL68" s="160"/>
      <c r="IKM68" s="161"/>
      <c r="IKN68" s="162"/>
      <c r="IKO68"/>
      <c r="IKP68" s="163"/>
      <c r="IKQ68"/>
      <c r="IKR68" s="156"/>
      <c r="IKS68" s="164"/>
      <c r="IKT68"/>
      <c r="IKU68" s="157"/>
      <c r="IKV68" s="158"/>
      <c r="IKW68" s="159"/>
      <c r="IKX68" s="159"/>
      <c r="IKY68" s="158"/>
      <c r="IKZ68" s="160"/>
      <c r="ILA68" s="158"/>
      <c r="ILB68" s="160"/>
      <c r="ILC68" s="161"/>
      <c r="ILD68" s="162"/>
      <c r="ILE68"/>
      <c r="ILF68" s="163"/>
      <c r="ILG68"/>
      <c r="ILH68" s="156"/>
      <c r="ILI68" s="164"/>
      <c r="ILJ68"/>
      <c r="ILK68" s="157"/>
      <c r="ILL68" s="158"/>
      <c r="ILM68" s="159"/>
      <c r="ILN68" s="159"/>
      <c r="ILO68" s="158"/>
      <c r="ILP68" s="160"/>
      <c r="ILQ68" s="158"/>
      <c r="ILR68" s="160"/>
      <c r="ILS68" s="161"/>
      <c r="ILT68" s="162"/>
      <c r="ILU68"/>
      <c r="ILV68" s="163"/>
      <c r="ILW68"/>
      <c r="ILX68" s="156"/>
      <c r="ILY68" s="164"/>
      <c r="ILZ68"/>
      <c r="IMA68" s="157"/>
      <c r="IMB68" s="158"/>
      <c r="IMC68" s="159"/>
      <c r="IMD68" s="159"/>
      <c r="IME68" s="158"/>
      <c r="IMF68" s="160"/>
      <c r="IMG68" s="158"/>
      <c r="IMH68" s="160"/>
      <c r="IMI68" s="161"/>
      <c r="IMJ68" s="162"/>
      <c r="IMK68"/>
      <c r="IML68" s="163"/>
      <c r="IMM68"/>
      <c r="IMN68" s="156"/>
      <c r="IMO68" s="164"/>
      <c r="IMP68"/>
      <c r="IMQ68" s="157"/>
      <c r="IMR68" s="158"/>
      <c r="IMS68" s="159"/>
      <c r="IMT68" s="159"/>
      <c r="IMU68" s="158"/>
      <c r="IMV68" s="160"/>
      <c r="IMW68" s="158"/>
      <c r="IMX68" s="160"/>
      <c r="IMY68" s="161"/>
      <c r="IMZ68" s="162"/>
      <c r="INA68"/>
      <c r="INB68" s="163"/>
      <c r="INC68"/>
      <c r="IND68" s="156"/>
      <c r="INE68" s="164"/>
      <c r="INF68"/>
      <c r="ING68" s="157"/>
      <c r="INH68" s="158"/>
      <c r="INI68" s="159"/>
      <c r="INJ68" s="159"/>
      <c r="INK68" s="158"/>
      <c r="INL68" s="160"/>
      <c r="INM68" s="158"/>
      <c r="INN68" s="160"/>
      <c r="INO68" s="161"/>
      <c r="INP68" s="162"/>
      <c r="INQ68"/>
      <c r="INR68" s="163"/>
      <c r="INS68"/>
      <c r="INT68" s="156"/>
      <c r="INU68" s="164"/>
      <c r="INV68"/>
      <c r="INW68" s="157"/>
      <c r="INX68" s="158"/>
      <c r="INY68" s="159"/>
      <c r="INZ68" s="159"/>
      <c r="IOA68" s="158"/>
      <c r="IOB68" s="160"/>
      <c r="IOC68" s="158"/>
      <c r="IOD68" s="160"/>
      <c r="IOE68" s="161"/>
      <c r="IOF68" s="162"/>
      <c r="IOG68"/>
      <c r="IOH68" s="163"/>
      <c r="IOI68"/>
      <c r="IOJ68" s="156"/>
      <c r="IOK68" s="164"/>
      <c r="IOL68"/>
      <c r="IOM68" s="157"/>
      <c r="ION68" s="158"/>
      <c r="IOO68" s="159"/>
      <c r="IOP68" s="159"/>
      <c r="IOQ68" s="158"/>
      <c r="IOR68" s="160"/>
      <c r="IOS68" s="158"/>
      <c r="IOT68" s="160"/>
      <c r="IOU68" s="161"/>
      <c r="IOV68" s="162"/>
      <c r="IOW68"/>
      <c r="IOX68" s="163"/>
      <c r="IOY68"/>
      <c r="IOZ68" s="156"/>
      <c r="IPA68" s="164"/>
      <c r="IPB68"/>
      <c r="IPC68" s="157"/>
      <c r="IPD68" s="158"/>
      <c r="IPE68" s="159"/>
      <c r="IPF68" s="159"/>
      <c r="IPG68" s="158"/>
      <c r="IPH68" s="160"/>
      <c r="IPI68" s="158"/>
      <c r="IPJ68" s="160"/>
      <c r="IPK68" s="161"/>
      <c r="IPL68" s="162"/>
      <c r="IPM68"/>
      <c r="IPN68" s="163"/>
      <c r="IPO68"/>
      <c r="IPP68" s="156"/>
      <c r="IPQ68" s="164"/>
      <c r="IPR68"/>
      <c r="IPS68" s="157"/>
      <c r="IPT68" s="158"/>
      <c r="IPU68" s="159"/>
      <c r="IPV68" s="159"/>
      <c r="IPW68" s="158"/>
      <c r="IPX68" s="160"/>
      <c r="IPY68" s="158"/>
      <c r="IPZ68" s="160"/>
      <c r="IQA68" s="161"/>
      <c r="IQB68" s="162"/>
      <c r="IQC68"/>
      <c r="IQD68" s="163"/>
      <c r="IQE68"/>
      <c r="IQF68" s="156"/>
      <c r="IQG68" s="164"/>
      <c r="IQH68"/>
      <c r="IQI68" s="157"/>
      <c r="IQJ68" s="158"/>
      <c r="IQK68" s="159"/>
      <c r="IQL68" s="159"/>
      <c r="IQM68" s="158"/>
      <c r="IQN68" s="160"/>
      <c r="IQO68" s="158"/>
      <c r="IQP68" s="160"/>
      <c r="IQQ68" s="161"/>
      <c r="IQR68" s="162"/>
      <c r="IQS68"/>
      <c r="IQT68" s="163"/>
      <c r="IQU68"/>
      <c r="IQV68" s="156"/>
      <c r="IQW68" s="164"/>
      <c r="IQX68"/>
      <c r="IQY68" s="157"/>
      <c r="IQZ68" s="158"/>
      <c r="IRA68" s="159"/>
      <c r="IRB68" s="159"/>
      <c r="IRC68" s="158"/>
      <c r="IRD68" s="160"/>
      <c r="IRE68" s="158"/>
      <c r="IRF68" s="160"/>
      <c r="IRG68" s="161"/>
      <c r="IRH68" s="162"/>
      <c r="IRI68"/>
      <c r="IRJ68" s="163"/>
      <c r="IRK68"/>
      <c r="IRL68" s="156"/>
      <c r="IRM68" s="164"/>
      <c r="IRN68"/>
      <c r="IRO68" s="157"/>
      <c r="IRP68" s="158"/>
      <c r="IRQ68" s="159"/>
      <c r="IRR68" s="159"/>
      <c r="IRS68" s="158"/>
      <c r="IRT68" s="160"/>
      <c r="IRU68" s="158"/>
      <c r="IRV68" s="160"/>
      <c r="IRW68" s="161"/>
      <c r="IRX68" s="162"/>
      <c r="IRY68"/>
      <c r="IRZ68" s="163"/>
      <c r="ISA68"/>
      <c r="ISB68" s="156"/>
      <c r="ISC68" s="164"/>
      <c r="ISD68"/>
      <c r="ISE68" s="157"/>
      <c r="ISF68" s="158"/>
      <c r="ISG68" s="159"/>
      <c r="ISH68" s="159"/>
      <c r="ISI68" s="158"/>
      <c r="ISJ68" s="160"/>
      <c r="ISK68" s="158"/>
      <c r="ISL68" s="160"/>
      <c r="ISM68" s="161"/>
      <c r="ISN68" s="162"/>
      <c r="ISO68"/>
      <c r="ISP68" s="163"/>
      <c r="ISQ68"/>
      <c r="ISR68" s="156"/>
      <c r="ISS68" s="164"/>
      <c r="IST68"/>
      <c r="ISU68" s="157"/>
      <c r="ISV68" s="158"/>
      <c r="ISW68" s="159"/>
      <c r="ISX68" s="159"/>
      <c r="ISY68" s="158"/>
      <c r="ISZ68" s="160"/>
      <c r="ITA68" s="158"/>
      <c r="ITB68" s="160"/>
      <c r="ITC68" s="161"/>
      <c r="ITD68" s="162"/>
      <c r="ITE68"/>
      <c r="ITF68" s="163"/>
      <c r="ITG68"/>
      <c r="ITH68" s="156"/>
      <c r="ITI68" s="164"/>
      <c r="ITJ68"/>
      <c r="ITK68" s="157"/>
      <c r="ITL68" s="158"/>
      <c r="ITM68" s="159"/>
      <c r="ITN68" s="159"/>
      <c r="ITO68" s="158"/>
      <c r="ITP68" s="160"/>
      <c r="ITQ68" s="158"/>
      <c r="ITR68" s="160"/>
      <c r="ITS68" s="161"/>
      <c r="ITT68" s="162"/>
      <c r="ITU68"/>
      <c r="ITV68" s="163"/>
      <c r="ITW68"/>
      <c r="ITX68" s="156"/>
      <c r="ITY68" s="164"/>
      <c r="ITZ68"/>
      <c r="IUA68" s="157"/>
      <c r="IUB68" s="158"/>
      <c r="IUC68" s="159"/>
      <c r="IUD68" s="159"/>
      <c r="IUE68" s="158"/>
      <c r="IUF68" s="160"/>
      <c r="IUG68" s="158"/>
      <c r="IUH68" s="160"/>
      <c r="IUI68" s="161"/>
      <c r="IUJ68" s="162"/>
      <c r="IUK68"/>
      <c r="IUL68" s="163"/>
      <c r="IUM68"/>
      <c r="IUN68" s="156"/>
      <c r="IUO68" s="164"/>
      <c r="IUP68"/>
      <c r="IUQ68" s="157"/>
      <c r="IUR68" s="158"/>
      <c r="IUS68" s="159"/>
      <c r="IUT68" s="159"/>
      <c r="IUU68" s="158"/>
      <c r="IUV68" s="160"/>
      <c r="IUW68" s="158"/>
      <c r="IUX68" s="160"/>
      <c r="IUY68" s="161"/>
      <c r="IUZ68" s="162"/>
      <c r="IVA68"/>
      <c r="IVB68" s="163"/>
      <c r="IVC68"/>
      <c r="IVD68" s="156"/>
      <c r="IVE68" s="164"/>
      <c r="IVF68"/>
      <c r="IVG68" s="157"/>
      <c r="IVH68" s="158"/>
      <c r="IVI68" s="159"/>
      <c r="IVJ68" s="159"/>
      <c r="IVK68" s="158"/>
      <c r="IVL68" s="160"/>
      <c r="IVM68" s="158"/>
      <c r="IVN68" s="160"/>
      <c r="IVO68" s="161"/>
      <c r="IVP68" s="162"/>
      <c r="IVQ68"/>
      <c r="IVR68" s="163"/>
      <c r="IVS68"/>
      <c r="IVT68" s="156"/>
      <c r="IVU68" s="164"/>
      <c r="IVV68"/>
      <c r="IVW68" s="157"/>
      <c r="IVX68" s="158"/>
      <c r="IVY68" s="159"/>
      <c r="IVZ68" s="159"/>
      <c r="IWA68" s="158"/>
      <c r="IWB68" s="160"/>
      <c r="IWC68" s="158"/>
      <c r="IWD68" s="160"/>
      <c r="IWE68" s="161"/>
      <c r="IWF68" s="162"/>
      <c r="IWG68"/>
      <c r="IWH68" s="163"/>
      <c r="IWI68"/>
      <c r="IWJ68" s="156"/>
      <c r="IWK68" s="164"/>
      <c r="IWL68"/>
      <c r="IWM68" s="157"/>
      <c r="IWN68" s="158"/>
      <c r="IWO68" s="159"/>
      <c r="IWP68" s="159"/>
      <c r="IWQ68" s="158"/>
      <c r="IWR68" s="160"/>
      <c r="IWS68" s="158"/>
      <c r="IWT68" s="160"/>
      <c r="IWU68" s="161"/>
      <c r="IWV68" s="162"/>
      <c r="IWW68"/>
      <c r="IWX68" s="163"/>
      <c r="IWY68"/>
      <c r="IWZ68" s="156"/>
      <c r="IXA68" s="164"/>
      <c r="IXB68"/>
      <c r="IXC68" s="157"/>
      <c r="IXD68" s="158"/>
      <c r="IXE68" s="159"/>
      <c r="IXF68" s="159"/>
      <c r="IXG68" s="158"/>
      <c r="IXH68" s="160"/>
      <c r="IXI68" s="158"/>
      <c r="IXJ68" s="160"/>
      <c r="IXK68" s="161"/>
      <c r="IXL68" s="162"/>
      <c r="IXM68"/>
      <c r="IXN68" s="163"/>
      <c r="IXO68"/>
      <c r="IXP68" s="156"/>
      <c r="IXQ68" s="164"/>
      <c r="IXR68"/>
      <c r="IXS68" s="157"/>
      <c r="IXT68" s="158"/>
      <c r="IXU68" s="159"/>
      <c r="IXV68" s="159"/>
      <c r="IXW68" s="158"/>
      <c r="IXX68" s="160"/>
      <c r="IXY68" s="158"/>
      <c r="IXZ68" s="160"/>
      <c r="IYA68" s="161"/>
      <c r="IYB68" s="162"/>
      <c r="IYC68"/>
      <c r="IYD68" s="163"/>
      <c r="IYE68"/>
      <c r="IYF68" s="156"/>
      <c r="IYG68" s="164"/>
      <c r="IYH68"/>
      <c r="IYI68" s="157"/>
      <c r="IYJ68" s="158"/>
      <c r="IYK68" s="159"/>
      <c r="IYL68" s="159"/>
      <c r="IYM68" s="158"/>
      <c r="IYN68" s="160"/>
      <c r="IYO68" s="158"/>
      <c r="IYP68" s="160"/>
      <c r="IYQ68" s="161"/>
      <c r="IYR68" s="162"/>
      <c r="IYS68"/>
      <c r="IYT68" s="163"/>
      <c r="IYU68"/>
      <c r="IYV68" s="156"/>
      <c r="IYW68" s="164"/>
      <c r="IYX68"/>
      <c r="IYY68" s="157"/>
      <c r="IYZ68" s="158"/>
      <c r="IZA68" s="159"/>
      <c r="IZB68" s="159"/>
      <c r="IZC68" s="158"/>
      <c r="IZD68" s="160"/>
      <c r="IZE68" s="158"/>
      <c r="IZF68" s="160"/>
      <c r="IZG68" s="161"/>
      <c r="IZH68" s="162"/>
      <c r="IZI68"/>
      <c r="IZJ68" s="163"/>
      <c r="IZK68"/>
      <c r="IZL68" s="156"/>
      <c r="IZM68" s="164"/>
      <c r="IZN68"/>
      <c r="IZO68" s="157"/>
      <c r="IZP68" s="158"/>
      <c r="IZQ68" s="159"/>
      <c r="IZR68" s="159"/>
      <c r="IZS68" s="158"/>
      <c r="IZT68" s="160"/>
      <c r="IZU68" s="158"/>
      <c r="IZV68" s="160"/>
      <c r="IZW68" s="161"/>
      <c r="IZX68" s="162"/>
      <c r="IZY68"/>
      <c r="IZZ68" s="163"/>
      <c r="JAA68"/>
      <c r="JAB68" s="156"/>
      <c r="JAC68" s="164"/>
      <c r="JAD68"/>
      <c r="JAE68" s="157"/>
      <c r="JAF68" s="158"/>
      <c r="JAG68" s="159"/>
      <c r="JAH68" s="159"/>
      <c r="JAI68" s="158"/>
      <c r="JAJ68" s="160"/>
      <c r="JAK68" s="158"/>
      <c r="JAL68" s="160"/>
      <c r="JAM68" s="161"/>
      <c r="JAN68" s="162"/>
      <c r="JAO68"/>
      <c r="JAP68" s="163"/>
      <c r="JAQ68"/>
      <c r="JAR68" s="156"/>
      <c r="JAS68" s="164"/>
      <c r="JAT68"/>
      <c r="JAU68" s="157"/>
      <c r="JAV68" s="158"/>
      <c r="JAW68" s="159"/>
      <c r="JAX68" s="159"/>
      <c r="JAY68" s="158"/>
      <c r="JAZ68" s="160"/>
      <c r="JBA68" s="158"/>
      <c r="JBB68" s="160"/>
      <c r="JBC68" s="161"/>
      <c r="JBD68" s="162"/>
      <c r="JBE68"/>
      <c r="JBF68" s="163"/>
      <c r="JBG68"/>
      <c r="JBH68" s="156"/>
      <c r="JBI68" s="164"/>
      <c r="JBJ68"/>
      <c r="JBK68" s="157"/>
      <c r="JBL68" s="158"/>
      <c r="JBM68" s="159"/>
      <c r="JBN68" s="159"/>
      <c r="JBO68" s="158"/>
      <c r="JBP68" s="160"/>
      <c r="JBQ68" s="158"/>
      <c r="JBR68" s="160"/>
      <c r="JBS68" s="161"/>
      <c r="JBT68" s="162"/>
      <c r="JBU68"/>
      <c r="JBV68" s="163"/>
      <c r="JBW68"/>
      <c r="JBX68" s="156"/>
      <c r="JBY68" s="164"/>
      <c r="JBZ68"/>
      <c r="JCA68" s="157"/>
      <c r="JCB68" s="158"/>
      <c r="JCC68" s="159"/>
      <c r="JCD68" s="159"/>
      <c r="JCE68" s="158"/>
      <c r="JCF68" s="160"/>
      <c r="JCG68" s="158"/>
      <c r="JCH68" s="160"/>
      <c r="JCI68" s="161"/>
      <c r="JCJ68" s="162"/>
      <c r="JCK68"/>
      <c r="JCL68" s="163"/>
      <c r="JCM68"/>
      <c r="JCN68" s="156"/>
      <c r="JCO68" s="164"/>
      <c r="JCP68"/>
      <c r="JCQ68" s="157"/>
      <c r="JCR68" s="158"/>
      <c r="JCS68" s="159"/>
      <c r="JCT68" s="159"/>
      <c r="JCU68" s="158"/>
      <c r="JCV68" s="160"/>
      <c r="JCW68" s="158"/>
      <c r="JCX68" s="160"/>
      <c r="JCY68" s="161"/>
      <c r="JCZ68" s="162"/>
      <c r="JDA68"/>
      <c r="JDB68" s="163"/>
      <c r="JDC68"/>
      <c r="JDD68" s="156"/>
      <c r="JDE68" s="164"/>
      <c r="JDF68"/>
      <c r="JDG68" s="157"/>
      <c r="JDH68" s="158"/>
      <c r="JDI68" s="159"/>
      <c r="JDJ68" s="159"/>
      <c r="JDK68" s="158"/>
      <c r="JDL68" s="160"/>
      <c r="JDM68" s="158"/>
      <c r="JDN68" s="160"/>
      <c r="JDO68" s="161"/>
      <c r="JDP68" s="162"/>
      <c r="JDQ68"/>
      <c r="JDR68" s="163"/>
      <c r="JDS68"/>
      <c r="JDT68" s="156"/>
      <c r="JDU68" s="164"/>
      <c r="JDV68"/>
      <c r="JDW68" s="157"/>
      <c r="JDX68" s="158"/>
      <c r="JDY68" s="159"/>
      <c r="JDZ68" s="159"/>
      <c r="JEA68" s="158"/>
      <c r="JEB68" s="160"/>
      <c r="JEC68" s="158"/>
      <c r="JED68" s="160"/>
      <c r="JEE68" s="161"/>
      <c r="JEF68" s="162"/>
      <c r="JEG68"/>
      <c r="JEH68" s="163"/>
      <c r="JEI68"/>
      <c r="JEJ68" s="156"/>
      <c r="JEK68" s="164"/>
      <c r="JEL68"/>
      <c r="JEM68" s="157"/>
      <c r="JEN68" s="158"/>
      <c r="JEO68" s="159"/>
      <c r="JEP68" s="159"/>
      <c r="JEQ68" s="158"/>
      <c r="JER68" s="160"/>
      <c r="JES68" s="158"/>
      <c r="JET68" s="160"/>
      <c r="JEU68" s="161"/>
      <c r="JEV68" s="162"/>
      <c r="JEW68"/>
      <c r="JEX68" s="163"/>
      <c r="JEY68"/>
      <c r="JEZ68" s="156"/>
      <c r="JFA68" s="164"/>
      <c r="JFB68"/>
      <c r="JFC68" s="157"/>
      <c r="JFD68" s="158"/>
      <c r="JFE68" s="159"/>
      <c r="JFF68" s="159"/>
      <c r="JFG68" s="158"/>
      <c r="JFH68" s="160"/>
      <c r="JFI68" s="158"/>
      <c r="JFJ68" s="160"/>
      <c r="JFK68" s="161"/>
      <c r="JFL68" s="162"/>
      <c r="JFM68"/>
      <c r="JFN68" s="163"/>
      <c r="JFO68"/>
      <c r="JFP68" s="156"/>
      <c r="JFQ68" s="164"/>
      <c r="JFR68"/>
      <c r="JFS68" s="157"/>
      <c r="JFT68" s="158"/>
      <c r="JFU68" s="159"/>
      <c r="JFV68" s="159"/>
      <c r="JFW68" s="158"/>
      <c r="JFX68" s="160"/>
      <c r="JFY68" s="158"/>
      <c r="JFZ68" s="160"/>
      <c r="JGA68" s="161"/>
      <c r="JGB68" s="162"/>
      <c r="JGC68"/>
      <c r="JGD68" s="163"/>
      <c r="JGE68"/>
      <c r="JGF68" s="156"/>
      <c r="JGG68" s="164"/>
      <c r="JGH68"/>
      <c r="JGI68" s="157"/>
      <c r="JGJ68" s="158"/>
      <c r="JGK68" s="159"/>
      <c r="JGL68" s="159"/>
      <c r="JGM68" s="158"/>
      <c r="JGN68" s="160"/>
      <c r="JGO68" s="158"/>
      <c r="JGP68" s="160"/>
      <c r="JGQ68" s="161"/>
      <c r="JGR68" s="162"/>
      <c r="JGS68"/>
      <c r="JGT68" s="163"/>
      <c r="JGU68"/>
      <c r="JGV68" s="156"/>
      <c r="JGW68" s="164"/>
      <c r="JGX68"/>
      <c r="JGY68" s="157"/>
      <c r="JGZ68" s="158"/>
      <c r="JHA68" s="159"/>
      <c r="JHB68" s="159"/>
      <c r="JHC68" s="158"/>
      <c r="JHD68" s="160"/>
      <c r="JHE68" s="158"/>
      <c r="JHF68" s="160"/>
      <c r="JHG68" s="161"/>
      <c r="JHH68" s="162"/>
      <c r="JHI68"/>
      <c r="JHJ68" s="163"/>
      <c r="JHK68"/>
      <c r="JHL68" s="156"/>
      <c r="JHM68" s="164"/>
      <c r="JHN68"/>
      <c r="JHO68" s="157"/>
      <c r="JHP68" s="158"/>
      <c r="JHQ68" s="159"/>
      <c r="JHR68" s="159"/>
      <c r="JHS68" s="158"/>
      <c r="JHT68" s="160"/>
      <c r="JHU68" s="158"/>
      <c r="JHV68" s="160"/>
      <c r="JHW68" s="161"/>
      <c r="JHX68" s="162"/>
      <c r="JHY68"/>
      <c r="JHZ68" s="163"/>
      <c r="JIA68"/>
      <c r="JIB68" s="156"/>
      <c r="JIC68" s="164"/>
      <c r="JID68"/>
      <c r="JIE68" s="157"/>
      <c r="JIF68" s="158"/>
      <c r="JIG68" s="159"/>
      <c r="JIH68" s="159"/>
      <c r="JII68" s="158"/>
      <c r="JIJ68" s="160"/>
      <c r="JIK68" s="158"/>
      <c r="JIL68" s="160"/>
      <c r="JIM68" s="161"/>
      <c r="JIN68" s="162"/>
      <c r="JIO68"/>
      <c r="JIP68" s="163"/>
      <c r="JIQ68"/>
      <c r="JIR68" s="156"/>
      <c r="JIS68" s="164"/>
      <c r="JIT68"/>
      <c r="JIU68" s="157"/>
      <c r="JIV68" s="158"/>
      <c r="JIW68" s="159"/>
      <c r="JIX68" s="159"/>
      <c r="JIY68" s="158"/>
      <c r="JIZ68" s="160"/>
      <c r="JJA68" s="158"/>
      <c r="JJB68" s="160"/>
      <c r="JJC68" s="161"/>
      <c r="JJD68" s="162"/>
      <c r="JJE68"/>
      <c r="JJF68" s="163"/>
      <c r="JJG68"/>
      <c r="JJH68" s="156"/>
      <c r="JJI68" s="164"/>
      <c r="JJJ68"/>
      <c r="JJK68" s="157"/>
      <c r="JJL68" s="158"/>
      <c r="JJM68" s="159"/>
      <c r="JJN68" s="159"/>
      <c r="JJO68" s="158"/>
      <c r="JJP68" s="160"/>
      <c r="JJQ68" s="158"/>
      <c r="JJR68" s="160"/>
      <c r="JJS68" s="161"/>
      <c r="JJT68" s="162"/>
      <c r="JJU68"/>
      <c r="JJV68" s="163"/>
      <c r="JJW68"/>
      <c r="JJX68" s="156"/>
      <c r="JJY68" s="164"/>
      <c r="JJZ68"/>
      <c r="JKA68" s="157"/>
      <c r="JKB68" s="158"/>
      <c r="JKC68" s="159"/>
      <c r="JKD68" s="159"/>
      <c r="JKE68" s="158"/>
      <c r="JKF68" s="160"/>
      <c r="JKG68" s="158"/>
      <c r="JKH68" s="160"/>
      <c r="JKI68" s="161"/>
      <c r="JKJ68" s="162"/>
      <c r="JKK68"/>
      <c r="JKL68" s="163"/>
      <c r="JKM68"/>
      <c r="JKN68" s="156"/>
      <c r="JKO68" s="164"/>
      <c r="JKP68"/>
      <c r="JKQ68" s="157"/>
      <c r="JKR68" s="158"/>
      <c r="JKS68" s="159"/>
      <c r="JKT68" s="159"/>
      <c r="JKU68" s="158"/>
      <c r="JKV68" s="160"/>
      <c r="JKW68" s="158"/>
      <c r="JKX68" s="160"/>
      <c r="JKY68" s="161"/>
      <c r="JKZ68" s="162"/>
      <c r="JLA68"/>
      <c r="JLB68" s="163"/>
      <c r="JLC68"/>
      <c r="JLD68" s="156"/>
      <c r="JLE68" s="164"/>
      <c r="JLF68"/>
      <c r="JLG68" s="157"/>
      <c r="JLH68" s="158"/>
      <c r="JLI68" s="159"/>
      <c r="JLJ68" s="159"/>
      <c r="JLK68" s="158"/>
      <c r="JLL68" s="160"/>
      <c r="JLM68" s="158"/>
      <c r="JLN68" s="160"/>
      <c r="JLO68" s="161"/>
      <c r="JLP68" s="162"/>
      <c r="JLQ68"/>
      <c r="JLR68" s="163"/>
      <c r="JLS68"/>
      <c r="JLT68" s="156"/>
      <c r="JLU68" s="164"/>
      <c r="JLV68"/>
      <c r="JLW68" s="157"/>
      <c r="JLX68" s="158"/>
      <c r="JLY68" s="159"/>
      <c r="JLZ68" s="159"/>
      <c r="JMA68" s="158"/>
      <c r="JMB68" s="160"/>
      <c r="JMC68" s="158"/>
      <c r="JMD68" s="160"/>
      <c r="JME68" s="161"/>
      <c r="JMF68" s="162"/>
      <c r="JMG68"/>
      <c r="JMH68" s="163"/>
      <c r="JMI68"/>
      <c r="JMJ68" s="156"/>
      <c r="JMK68" s="164"/>
      <c r="JML68"/>
      <c r="JMM68" s="157"/>
      <c r="JMN68" s="158"/>
      <c r="JMO68" s="159"/>
      <c r="JMP68" s="159"/>
      <c r="JMQ68" s="158"/>
      <c r="JMR68" s="160"/>
      <c r="JMS68" s="158"/>
      <c r="JMT68" s="160"/>
      <c r="JMU68" s="161"/>
      <c r="JMV68" s="162"/>
      <c r="JMW68"/>
      <c r="JMX68" s="163"/>
      <c r="JMY68"/>
      <c r="JMZ68" s="156"/>
      <c r="JNA68" s="164"/>
      <c r="JNB68"/>
      <c r="JNC68" s="157"/>
      <c r="JND68" s="158"/>
      <c r="JNE68" s="159"/>
      <c r="JNF68" s="159"/>
      <c r="JNG68" s="158"/>
      <c r="JNH68" s="160"/>
      <c r="JNI68" s="158"/>
      <c r="JNJ68" s="160"/>
      <c r="JNK68" s="161"/>
      <c r="JNL68" s="162"/>
      <c r="JNM68"/>
      <c r="JNN68" s="163"/>
      <c r="JNO68"/>
      <c r="JNP68" s="156"/>
      <c r="JNQ68" s="164"/>
      <c r="JNR68"/>
      <c r="JNS68" s="157"/>
      <c r="JNT68" s="158"/>
      <c r="JNU68" s="159"/>
      <c r="JNV68" s="159"/>
      <c r="JNW68" s="158"/>
      <c r="JNX68" s="160"/>
      <c r="JNY68" s="158"/>
      <c r="JNZ68" s="160"/>
      <c r="JOA68" s="161"/>
      <c r="JOB68" s="162"/>
      <c r="JOC68"/>
      <c r="JOD68" s="163"/>
      <c r="JOE68"/>
      <c r="JOF68" s="156"/>
      <c r="JOG68" s="164"/>
      <c r="JOH68"/>
      <c r="JOI68" s="157"/>
      <c r="JOJ68" s="158"/>
      <c r="JOK68" s="159"/>
      <c r="JOL68" s="159"/>
      <c r="JOM68" s="158"/>
      <c r="JON68" s="160"/>
      <c r="JOO68" s="158"/>
      <c r="JOP68" s="160"/>
      <c r="JOQ68" s="161"/>
      <c r="JOR68" s="162"/>
      <c r="JOS68"/>
      <c r="JOT68" s="163"/>
      <c r="JOU68"/>
      <c r="JOV68" s="156"/>
      <c r="JOW68" s="164"/>
      <c r="JOX68"/>
      <c r="JOY68" s="157"/>
      <c r="JOZ68" s="158"/>
      <c r="JPA68" s="159"/>
      <c r="JPB68" s="159"/>
      <c r="JPC68" s="158"/>
      <c r="JPD68" s="160"/>
      <c r="JPE68" s="158"/>
      <c r="JPF68" s="160"/>
      <c r="JPG68" s="161"/>
      <c r="JPH68" s="162"/>
      <c r="JPI68"/>
      <c r="JPJ68" s="163"/>
      <c r="JPK68"/>
      <c r="JPL68" s="156"/>
      <c r="JPM68" s="164"/>
      <c r="JPN68"/>
      <c r="JPO68" s="157"/>
      <c r="JPP68" s="158"/>
      <c r="JPQ68" s="159"/>
      <c r="JPR68" s="159"/>
      <c r="JPS68" s="158"/>
      <c r="JPT68" s="160"/>
      <c r="JPU68" s="158"/>
      <c r="JPV68" s="160"/>
      <c r="JPW68" s="161"/>
      <c r="JPX68" s="162"/>
      <c r="JPY68"/>
      <c r="JPZ68" s="163"/>
      <c r="JQA68"/>
      <c r="JQB68" s="156"/>
      <c r="JQC68" s="164"/>
      <c r="JQD68"/>
      <c r="JQE68" s="157"/>
      <c r="JQF68" s="158"/>
      <c r="JQG68" s="159"/>
      <c r="JQH68" s="159"/>
      <c r="JQI68" s="158"/>
      <c r="JQJ68" s="160"/>
      <c r="JQK68" s="158"/>
      <c r="JQL68" s="160"/>
      <c r="JQM68" s="161"/>
      <c r="JQN68" s="162"/>
      <c r="JQO68"/>
      <c r="JQP68" s="163"/>
      <c r="JQQ68"/>
      <c r="JQR68" s="156"/>
      <c r="JQS68" s="164"/>
      <c r="JQT68"/>
      <c r="JQU68" s="157"/>
      <c r="JQV68" s="158"/>
      <c r="JQW68" s="159"/>
      <c r="JQX68" s="159"/>
      <c r="JQY68" s="158"/>
      <c r="JQZ68" s="160"/>
      <c r="JRA68" s="158"/>
      <c r="JRB68" s="160"/>
      <c r="JRC68" s="161"/>
      <c r="JRD68" s="162"/>
      <c r="JRE68"/>
      <c r="JRF68" s="163"/>
      <c r="JRG68"/>
      <c r="JRH68" s="156"/>
      <c r="JRI68" s="164"/>
      <c r="JRJ68"/>
      <c r="JRK68" s="157"/>
      <c r="JRL68" s="158"/>
      <c r="JRM68" s="159"/>
      <c r="JRN68" s="159"/>
      <c r="JRO68" s="158"/>
      <c r="JRP68" s="160"/>
      <c r="JRQ68" s="158"/>
      <c r="JRR68" s="160"/>
      <c r="JRS68" s="161"/>
      <c r="JRT68" s="162"/>
      <c r="JRU68"/>
      <c r="JRV68" s="163"/>
      <c r="JRW68"/>
      <c r="JRX68" s="156"/>
      <c r="JRY68" s="164"/>
      <c r="JRZ68"/>
      <c r="JSA68" s="157"/>
      <c r="JSB68" s="158"/>
      <c r="JSC68" s="159"/>
      <c r="JSD68" s="159"/>
      <c r="JSE68" s="158"/>
      <c r="JSF68" s="160"/>
      <c r="JSG68" s="158"/>
      <c r="JSH68" s="160"/>
      <c r="JSI68" s="161"/>
      <c r="JSJ68" s="162"/>
      <c r="JSK68"/>
      <c r="JSL68" s="163"/>
      <c r="JSM68"/>
      <c r="JSN68" s="156"/>
      <c r="JSO68" s="164"/>
      <c r="JSP68"/>
      <c r="JSQ68" s="157"/>
      <c r="JSR68" s="158"/>
      <c r="JSS68" s="159"/>
      <c r="JST68" s="159"/>
      <c r="JSU68" s="158"/>
      <c r="JSV68" s="160"/>
      <c r="JSW68" s="158"/>
      <c r="JSX68" s="160"/>
      <c r="JSY68" s="161"/>
      <c r="JSZ68" s="162"/>
      <c r="JTA68"/>
      <c r="JTB68" s="163"/>
      <c r="JTC68"/>
      <c r="JTD68" s="156"/>
      <c r="JTE68" s="164"/>
      <c r="JTF68"/>
      <c r="JTG68" s="157"/>
      <c r="JTH68" s="158"/>
      <c r="JTI68" s="159"/>
      <c r="JTJ68" s="159"/>
      <c r="JTK68" s="158"/>
      <c r="JTL68" s="160"/>
      <c r="JTM68" s="158"/>
      <c r="JTN68" s="160"/>
      <c r="JTO68" s="161"/>
      <c r="JTP68" s="162"/>
      <c r="JTQ68"/>
      <c r="JTR68" s="163"/>
      <c r="JTS68"/>
      <c r="JTT68" s="156"/>
      <c r="JTU68" s="164"/>
      <c r="JTV68"/>
      <c r="JTW68" s="157"/>
      <c r="JTX68" s="158"/>
      <c r="JTY68" s="159"/>
      <c r="JTZ68" s="159"/>
      <c r="JUA68" s="158"/>
      <c r="JUB68" s="160"/>
      <c r="JUC68" s="158"/>
      <c r="JUD68" s="160"/>
      <c r="JUE68" s="161"/>
      <c r="JUF68" s="162"/>
      <c r="JUG68"/>
      <c r="JUH68" s="163"/>
      <c r="JUI68"/>
      <c r="JUJ68" s="156"/>
      <c r="JUK68" s="164"/>
      <c r="JUL68"/>
      <c r="JUM68" s="157"/>
      <c r="JUN68" s="158"/>
      <c r="JUO68" s="159"/>
      <c r="JUP68" s="159"/>
      <c r="JUQ68" s="158"/>
      <c r="JUR68" s="160"/>
      <c r="JUS68" s="158"/>
      <c r="JUT68" s="160"/>
      <c r="JUU68" s="161"/>
      <c r="JUV68" s="162"/>
      <c r="JUW68"/>
      <c r="JUX68" s="163"/>
      <c r="JUY68"/>
      <c r="JUZ68" s="156"/>
      <c r="JVA68" s="164"/>
      <c r="JVB68"/>
      <c r="JVC68" s="157"/>
      <c r="JVD68" s="158"/>
      <c r="JVE68" s="159"/>
      <c r="JVF68" s="159"/>
      <c r="JVG68" s="158"/>
      <c r="JVH68" s="160"/>
      <c r="JVI68" s="158"/>
      <c r="JVJ68" s="160"/>
      <c r="JVK68" s="161"/>
      <c r="JVL68" s="162"/>
      <c r="JVM68"/>
      <c r="JVN68" s="163"/>
      <c r="JVO68"/>
      <c r="JVP68" s="156"/>
      <c r="JVQ68" s="164"/>
      <c r="JVR68"/>
      <c r="JVS68" s="157"/>
      <c r="JVT68" s="158"/>
      <c r="JVU68" s="159"/>
      <c r="JVV68" s="159"/>
      <c r="JVW68" s="158"/>
      <c r="JVX68" s="160"/>
      <c r="JVY68" s="158"/>
      <c r="JVZ68" s="160"/>
      <c r="JWA68" s="161"/>
      <c r="JWB68" s="162"/>
      <c r="JWC68"/>
      <c r="JWD68" s="163"/>
      <c r="JWE68"/>
      <c r="JWF68" s="156"/>
      <c r="JWG68" s="164"/>
      <c r="JWH68"/>
      <c r="JWI68" s="157"/>
      <c r="JWJ68" s="158"/>
      <c r="JWK68" s="159"/>
      <c r="JWL68" s="159"/>
      <c r="JWM68" s="158"/>
      <c r="JWN68" s="160"/>
      <c r="JWO68" s="158"/>
      <c r="JWP68" s="160"/>
      <c r="JWQ68" s="161"/>
      <c r="JWR68" s="162"/>
      <c r="JWS68"/>
      <c r="JWT68" s="163"/>
      <c r="JWU68"/>
      <c r="JWV68" s="156"/>
      <c r="JWW68" s="164"/>
      <c r="JWX68"/>
      <c r="JWY68" s="157"/>
      <c r="JWZ68" s="158"/>
      <c r="JXA68" s="159"/>
      <c r="JXB68" s="159"/>
      <c r="JXC68" s="158"/>
      <c r="JXD68" s="160"/>
      <c r="JXE68" s="158"/>
      <c r="JXF68" s="160"/>
      <c r="JXG68" s="161"/>
      <c r="JXH68" s="162"/>
      <c r="JXI68"/>
      <c r="JXJ68" s="163"/>
      <c r="JXK68"/>
      <c r="JXL68" s="156"/>
      <c r="JXM68" s="164"/>
      <c r="JXN68"/>
      <c r="JXO68" s="157"/>
      <c r="JXP68" s="158"/>
      <c r="JXQ68" s="159"/>
      <c r="JXR68" s="159"/>
      <c r="JXS68" s="158"/>
      <c r="JXT68" s="160"/>
      <c r="JXU68" s="158"/>
      <c r="JXV68" s="160"/>
      <c r="JXW68" s="161"/>
      <c r="JXX68" s="162"/>
      <c r="JXY68"/>
      <c r="JXZ68" s="163"/>
      <c r="JYA68"/>
      <c r="JYB68" s="156"/>
      <c r="JYC68" s="164"/>
      <c r="JYD68"/>
      <c r="JYE68" s="157"/>
      <c r="JYF68" s="158"/>
      <c r="JYG68" s="159"/>
      <c r="JYH68" s="159"/>
      <c r="JYI68" s="158"/>
      <c r="JYJ68" s="160"/>
      <c r="JYK68" s="158"/>
      <c r="JYL68" s="160"/>
      <c r="JYM68" s="161"/>
      <c r="JYN68" s="162"/>
      <c r="JYO68"/>
      <c r="JYP68" s="163"/>
      <c r="JYQ68"/>
      <c r="JYR68" s="156"/>
      <c r="JYS68" s="164"/>
      <c r="JYT68"/>
      <c r="JYU68" s="157"/>
      <c r="JYV68" s="158"/>
      <c r="JYW68" s="159"/>
      <c r="JYX68" s="159"/>
      <c r="JYY68" s="158"/>
      <c r="JYZ68" s="160"/>
      <c r="JZA68" s="158"/>
      <c r="JZB68" s="160"/>
      <c r="JZC68" s="161"/>
      <c r="JZD68" s="162"/>
      <c r="JZE68"/>
      <c r="JZF68" s="163"/>
      <c r="JZG68"/>
      <c r="JZH68" s="156"/>
      <c r="JZI68" s="164"/>
      <c r="JZJ68"/>
      <c r="JZK68" s="157"/>
      <c r="JZL68" s="158"/>
      <c r="JZM68" s="159"/>
      <c r="JZN68" s="159"/>
      <c r="JZO68" s="158"/>
      <c r="JZP68" s="160"/>
      <c r="JZQ68" s="158"/>
      <c r="JZR68" s="160"/>
      <c r="JZS68" s="161"/>
      <c r="JZT68" s="162"/>
      <c r="JZU68"/>
      <c r="JZV68" s="163"/>
      <c r="JZW68"/>
      <c r="JZX68" s="156"/>
      <c r="JZY68" s="164"/>
      <c r="JZZ68"/>
      <c r="KAA68" s="157"/>
      <c r="KAB68" s="158"/>
      <c r="KAC68" s="159"/>
      <c r="KAD68" s="159"/>
      <c r="KAE68" s="158"/>
      <c r="KAF68" s="160"/>
      <c r="KAG68" s="158"/>
      <c r="KAH68" s="160"/>
      <c r="KAI68" s="161"/>
      <c r="KAJ68" s="162"/>
      <c r="KAK68"/>
      <c r="KAL68" s="163"/>
      <c r="KAM68"/>
      <c r="KAN68" s="156"/>
      <c r="KAO68" s="164"/>
      <c r="KAP68"/>
      <c r="KAQ68" s="157"/>
      <c r="KAR68" s="158"/>
      <c r="KAS68" s="159"/>
      <c r="KAT68" s="159"/>
      <c r="KAU68" s="158"/>
      <c r="KAV68" s="160"/>
      <c r="KAW68" s="158"/>
      <c r="KAX68" s="160"/>
      <c r="KAY68" s="161"/>
      <c r="KAZ68" s="162"/>
      <c r="KBA68"/>
      <c r="KBB68" s="163"/>
      <c r="KBC68"/>
      <c r="KBD68" s="156"/>
      <c r="KBE68" s="164"/>
      <c r="KBF68"/>
      <c r="KBG68" s="157"/>
      <c r="KBH68" s="158"/>
      <c r="KBI68" s="159"/>
      <c r="KBJ68" s="159"/>
      <c r="KBK68" s="158"/>
      <c r="KBL68" s="160"/>
      <c r="KBM68" s="158"/>
      <c r="KBN68" s="160"/>
      <c r="KBO68" s="161"/>
      <c r="KBP68" s="162"/>
      <c r="KBQ68"/>
      <c r="KBR68" s="163"/>
      <c r="KBS68"/>
      <c r="KBT68" s="156"/>
      <c r="KBU68" s="164"/>
      <c r="KBV68"/>
      <c r="KBW68" s="157"/>
      <c r="KBX68" s="158"/>
      <c r="KBY68" s="159"/>
      <c r="KBZ68" s="159"/>
      <c r="KCA68" s="158"/>
      <c r="KCB68" s="160"/>
      <c r="KCC68" s="158"/>
      <c r="KCD68" s="160"/>
      <c r="KCE68" s="161"/>
      <c r="KCF68" s="162"/>
      <c r="KCG68"/>
      <c r="KCH68" s="163"/>
      <c r="KCI68"/>
      <c r="KCJ68" s="156"/>
      <c r="KCK68" s="164"/>
      <c r="KCL68"/>
      <c r="KCM68" s="157"/>
      <c r="KCN68" s="158"/>
      <c r="KCO68" s="159"/>
      <c r="KCP68" s="159"/>
      <c r="KCQ68" s="158"/>
      <c r="KCR68" s="160"/>
      <c r="KCS68" s="158"/>
      <c r="KCT68" s="160"/>
      <c r="KCU68" s="161"/>
      <c r="KCV68" s="162"/>
      <c r="KCW68"/>
      <c r="KCX68" s="163"/>
      <c r="KCY68"/>
      <c r="KCZ68" s="156"/>
      <c r="KDA68" s="164"/>
      <c r="KDB68"/>
      <c r="KDC68" s="157"/>
      <c r="KDD68" s="158"/>
      <c r="KDE68" s="159"/>
      <c r="KDF68" s="159"/>
      <c r="KDG68" s="158"/>
      <c r="KDH68" s="160"/>
      <c r="KDI68" s="158"/>
      <c r="KDJ68" s="160"/>
      <c r="KDK68" s="161"/>
      <c r="KDL68" s="162"/>
      <c r="KDM68"/>
      <c r="KDN68" s="163"/>
      <c r="KDO68"/>
      <c r="KDP68" s="156"/>
      <c r="KDQ68" s="164"/>
      <c r="KDR68"/>
      <c r="KDS68" s="157"/>
      <c r="KDT68" s="158"/>
      <c r="KDU68" s="159"/>
      <c r="KDV68" s="159"/>
      <c r="KDW68" s="158"/>
      <c r="KDX68" s="160"/>
      <c r="KDY68" s="158"/>
      <c r="KDZ68" s="160"/>
      <c r="KEA68" s="161"/>
      <c r="KEB68" s="162"/>
      <c r="KEC68"/>
      <c r="KED68" s="163"/>
      <c r="KEE68"/>
      <c r="KEF68" s="156"/>
      <c r="KEG68" s="164"/>
      <c r="KEH68"/>
      <c r="KEI68" s="157"/>
      <c r="KEJ68" s="158"/>
      <c r="KEK68" s="159"/>
      <c r="KEL68" s="159"/>
      <c r="KEM68" s="158"/>
      <c r="KEN68" s="160"/>
      <c r="KEO68" s="158"/>
      <c r="KEP68" s="160"/>
      <c r="KEQ68" s="161"/>
      <c r="KER68" s="162"/>
      <c r="KES68"/>
      <c r="KET68" s="163"/>
      <c r="KEU68"/>
      <c r="KEV68" s="156"/>
      <c r="KEW68" s="164"/>
      <c r="KEX68"/>
      <c r="KEY68" s="157"/>
      <c r="KEZ68" s="158"/>
      <c r="KFA68" s="159"/>
      <c r="KFB68" s="159"/>
      <c r="KFC68" s="158"/>
      <c r="KFD68" s="160"/>
      <c r="KFE68" s="158"/>
      <c r="KFF68" s="160"/>
      <c r="KFG68" s="161"/>
      <c r="KFH68" s="162"/>
      <c r="KFI68"/>
      <c r="KFJ68" s="163"/>
      <c r="KFK68"/>
      <c r="KFL68" s="156"/>
      <c r="KFM68" s="164"/>
      <c r="KFN68"/>
      <c r="KFO68" s="157"/>
      <c r="KFP68" s="158"/>
      <c r="KFQ68" s="159"/>
      <c r="KFR68" s="159"/>
      <c r="KFS68" s="158"/>
      <c r="KFT68" s="160"/>
      <c r="KFU68" s="158"/>
      <c r="KFV68" s="160"/>
      <c r="KFW68" s="161"/>
      <c r="KFX68" s="162"/>
      <c r="KFY68"/>
      <c r="KFZ68" s="163"/>
      <c r="KGA68"/>
      <c r="KGB68" s="156"/>
      <c r="KGC68" s="164"/>
      <c r="KGD68"/>
      <c r="KGE68" s="157"/>
      <c r="KGF68" s="158"/>
      <c r="KGG68" s="159"/>
      <c r="KGH68" s="159"/>
      <c r="KGI68" s="158"/>
      <c r="KGJ68" s="160"/>
      <c r="KGK68" s="158"/>
      <c r="KGL68" s="160"/>
      <c r="KGM68" s="161"/>
      <c r="KGN68" s="162"/>
      <c r="KGO68"/>
      <c r="KGP68" s="163"/>
      <c r="KGQ68"/>
      <c r="KGR68" s="156"/>
      <c r="KGS68" s="164"/>
      <c r="KGT68"/>
      <c r="KGU68" s="157"/>
      <c r="KGV68" s="158"/>
      <c r="KGW68" s="159"/>
      <c r="KGX68" s="159"/>
      <c r="KGY68" s="158"/>
      <c r="KGZ68" s="160"/>
      <c r="KHA68" s="158"/>
      <c r="KHB68" s="160"/>
      <c r="KHC68" s="161"/>
      <c r="KHD68" s="162"/>
      <c r="KHE68"/>
      <c r="KHF68" s="163"/>
      <c r="KHG68"/>
      <c r="KHH68" s="156"/>
      <c r="KHI68" s="164"/>
      <c r="KHJ68"/>
      <c r="KHK68" s="157"/>
      <c r="KHL68" s="158"/>
      <c r="KHM68" s="159"/>
      <c r="KHN68" s="159"/>
      <c r="KHO68" s="158"/>
      <c r="KHP68" s="160"/>
      <c r="KHQ68" s="158"/>
      <c r="KHR68" s="160"/>
      <c r="KHS68" s="161"/>
      <c r="KHT68" s="162"/>
      <c r="KHU68"/>
      <c r="KHV68" s="163"/>
      <c r="KHW68"/>
      <c r="KHX68" s="156"/>
      <c r="KHY68" s="164"/>
      <c r="KHZ68"/>
      <c r="KIA68" s="157"/>
      <c r="KIB68" s="158"/>
      <c r="KIC68" s="159"/>
      <c r="KID68" s="159"/>
      <c r="KIE68" s="158"/>
      <c r="KIF68" s="160"/>
      <c r="KIG68" s="158"/>
      <c r="KIH68" s="160"/>
      <c r="KII68" s="161"/>
      <c r="KIJ68" s="162"/>
      <c r="KIK68"/>
      <c r="KIL68" s="163"/>
      <c r="KIM68"/>
      <c r="KIN68" s="156"/>
      <c r="KIO68" s="164"/>
      <c r="KIP68"/>
      <c r="KIQ68" s="157"/>
      <c r="KIR68" s="158"/>
      <c r="KIS68" s="159"/>
      <c r="KIT68" s="159"/>
      <c r="KIU68" s="158"/>
      <c r="KIV68" s="160"/>
      <c r="KIW68" s="158"/>
      <c r="KIX68" s="160"/>
      <c r="KIY68" s="161"/>
      <c r="KIZ68" s="162"/>
      <c r="KJA68"/>
      <c r="KJB68" s="163"/>
      <c r="KJC68"/>
      <c r="KJD68" s="156"/>
      <c r="KJE68" s="164"/>
      <c r="KJF68"/>
      <c r="KJG68" s="157"/>
      <c r="KJH68" s="158"/>
      <c r="KJI68" s="159"/>
      <c r="KJJ68" s="159"/>
      <c r="KJK68" s="158"/>
      <c r="KJL68" s="160"/>
      <c r="KJM68" s="158"/>
      <c r="KJN68" s="160"/>
      <c r="KJO68" s="161"/>
      <c r="KJP68" s="162"/>
      <c r="KJQ68"/>
      <c r="KJR68" s="163"/>
      <c r="KJS68"/>
      <c r="KJT68" s="156"/>
      <c r="KJU68" s="164"/>
      <c r="KJV68"/>
      <c r="KJW68" s="157"/>
      <c r="KJX68" s="158"/>
      <c r="KJY68" s="159"/>
      <c r="KJZ68" s="159"/>
      <c r="KKA68" s="158"/>
      <c r="KKB68" s="160"/>
      <c r="KKC68" s="158"/>
      <c r="KKD68" s="160"/>
      <c r="KKE68" s="161"/>
      <c r="KKF68" s="162"/>
      <c r="KKG68"/>
      <c r="KKH68" s="163"/>
      <c r="KKI68"/>
      <c r="KKJ68" s="156"/>
      <c r="KKK68" s="164"/>
      <c r="KKL68"/>
      <c r="KKM68" s="157"/>
      <c r="KKN68" s="158"/>
      <c r="KKO68" s="159"/>
      <c r="KKP68" s="159"/>
      <c r="KKQ68" s="158"/>
      <c r="KKR68" s="160"/>
      <c r="KKS68" s="158"/>
      <c r="KKT68" s="160"/>
      <c r="KKU68" s="161"/>
      <c r="KKV68" s="162"/>
      <c r="KKW68"/>
      <c r="KKX68" s="163"/>
      <c r="KKY68"/>
      <c r="KKZ68" s="156"/>
      <c r="KLA68" s="164"/>
      <c r="KLB68"/>
      <c r="KLC68" s="157"/>
      <c r="KLD68" s="158"/>
      <c r="KLE68" s="159"/>
      <c r="KLF68" s="159"/>
      <c r="KLG68" s="158"/>
      <c r="KLH68" s="160"/>
      <c r="KLI68" s="158"/>
      <c r="KLJ68" s="160"/>
      <c r="KLK68" s="161"/>
      <c r="KLL68" s="162"/>
      <c r="KLM68"/>
      <c r="KLN68" s="163"/>
      <c r="KLO68"/>
      <c r="KLP68" s="156"/>
      <c r="KLQ68" s="164"/>
      <c r="KLR68"/>
      <c r="KLS68" s="157"/>
      <c r="KLT68" s="158"/>
      <c r="KLU68" s="159"/>
      <c r="KLV68" s="159"/>
      <c r="KLW68" s="158"/>
      <c r="KLX68" s="160"/>
      <c r="KLY68" s="158"/>
      <c r="KLZ68" s="160"/>
      <c r="KMA68" s="161"/>
      <c r="KMB68" s="162"/>
      <c r="KMC68"/>
      <c r="KMD68" s="163"/>
      <c r="KME68"/>
      <c r="KMF68" s="156"/>
      <c r="KMG68" s="164"/>
      <c r="KMH68"/>
      <c r="KMI68" s="157"/>
      <c r="KMJ68" s="158"/>
      <c r="KMK68" s="159"/>
      <c r="KML68" s="159"/>
      <c r="KMM68" s="158"/>
      <c r="KMN68" s="160"/>
      <c r="KMO68" s="158"/>
      <c r="KMP68" s="160"/>
      <c r="KMQ68" s="161"/>
      <c r="KMR68" s="162"/>
      <c r="KMS68"/>
      <c r="KMT68" s="163"/>
      <c r="KMU68"/>
      <c r="KMV68" s="156"/>
      <c r="KMW68" s="164"/>
      <c r="KMX68"/>
      <c r="KMY68" s="157"/>
      <c r="KMZ68" s="158"/>
      <c r="KNA68" s="159"/>
      <c r="KNB68" s="159"/>
      <c r="KNC68" s="158"/>
      <c r="KND68" s="160"/>
      <c r="KNE68" s="158"/>
      <c r="KNF68" s="160"/>
      <c r="KNG68" s="161"/>
      <c r="KNH68" s="162"/>
      <c r="KNI68"/>
      <c r="KNJ68" s="163"/>
      <c r="KNK68"/>
      <c r="KNL68" s="156"/>
      <c r="KNM68" s="164"/>
      <c r="KNN68"/>
      <c r="KNO68" s="157"/>
      <c r="KNP68" s="158"/>
      <c r="KNQ68" s="159"/>
      <c r="KNR68" s="159"/>
      <c r="KNS68" s="158"/>
      <c r="KNT68" s="160"/>
      <c r="KNU68" s="158"/>
      <c r="KNV68" s="160"/>
      <c r="KNW68" s="161"/>
      <c r="KNX68" s="162"/>
      <c r="KNY68"/>
      <c r="KNZ68" s="163"/>
      <c r="KOA68"/>
      <c r="KOB68" s="156"/>
      <c r="KOC68" s="164"/>
      <c r="KOD68"/>
      <c r="KOE68" s="157"/>
      <c r="KOF68" s="158"/>
      <c r="KOG68" s="159"/>
      <c r="KOH68" s="159"/>
      <c r="KOI68" s="158"/>
      <c r="KOJ68" s="160"/>
      <c r="KOK68" s="158"/>
      <c r="KOL68" s="160"/>
      <c r="KOM68" s="161"/>
      <c r="KON68" s="162"/>
      <c r="KOO68"/>
      <c r="KOP68" s="163"/>
      <c r="KOQ68"/>
      <c r="KOR68" s="156"/>
      <c r="KOS68" s="164"/>
      <c r="KOT68"/>
      <c r="KOU68" s="157"/>
      <c r="KOV68" s="158"/>
      <c r="KOW68" s="159"/>
      <c r="KOX68" s="159"/>
      <c r="KOY68" s="158"/>
      <c r="KOZ68" s="160"/>
      <c r="KPA68" s="158"/>
      <c r="KPB68" s="160"/>
      <c r="KPC68" s="161"/>
      <c r="KPD68" s="162"/>
      <c r="KPE68"/>
      <c r="KPF68" s="163"/>
      <c r="KPG68"/>
      <c r="KPH68" s="156"/>
      <c r="KPI68" s="164"/>
      <c r="KPJ68"/>
      <c r="KPK68" s="157"/>
      <c r="KPL68" s="158"/>
      <c r="KPM68" s="159"/>
      <c r="KPN68" s="159"/>
      <c r="KPO68" s="158"/>
      <c r="KPP68" s="160"/>
      <c r="KPQ68" s="158"/>
      <c r="KPR68" s="160"/>
      <c r="KPS68" s="161"/>
      <c r="KPT68" s="162"/>
      <c r="KPU68"/>
      <c r="KPV68" s="163"/>
      <c r="KPW68"/>
      <c r="KPX68" s="156"/>
      <c r="KPY68" s="164"/>
      <c r="KPZ68"/>
      <c r="KQA68" s="157"/>
      <c r="KQB68" s="158"/>
      <c r="KQC68" s="159"/>
      <c r="KQD68" s="159"/>
      <c r="KQE68" s="158"/>
      <c r="KQF68" s="160"/>
      <c r="KQG68" s="158"/>
      <c r="KQH68" s="160"/>
      <c r="KQI68" s="161"/>
      <c r="KQJ68" s="162"/>
      <c r="KQK68"/>
      <c r="KQL68" s="163"/>
      <c r="KQM68"/>
      <c r="KQN68" s="156"/>
      <c r="KQO68" s="164"/>
      <c r="KQP68"/>
      <c r="KQQ68" s="157"/>
      <c r="KQR68" s="158"/>
      <c r="KQS68" s="159"/>
      <c r="KQT68" s="159"/>
      <c r="KQU68" s="158"/>
      <c r="KQV68" s="160"/>
      <c r="KQW68" s="158"/>
      <c r="KQX68" s="160"/>
      <c r="KQY68" s="161"/>
      <c r="KQZ68" s="162"/>
      <c r="KRA68"/>
      <c r="KRB68" s="163"/>
      <c r="KRC68"/>
      <c r="KRD68" s="156"/>
      <c r="KRE68" s="164"/>
      <c r="KRF68"/>
      <c r="KRG68" s="157"/>
      <c r="KRH68" s="158"/>
      <c r="KRI68" s="159"/>
      <c r="KRJ68" s="159"/>
      <c r="KRK68" s="158"/>
      <c r="KRL68" s="160"/>
      <c r="KRM68" s="158"/>
      <c r="KRN68" s="160"/>
      <c r="KRO68" s="161"/>
      <c r="KRP68" s="162"/>
      <c r="KRQ68"/>
      <c r="KRR68" s="163"/>
      <c r="KRS68"/>
      <c r="KRT68" s="156"/>
      <c r="KRU68" s="164"/>
      <c r="KRV68"/>
      <c r="KRW68" s="157"/>
      <c r="KRX68" s="158"/>
      <c r="KRY68" s="159"/>
      <c r="KRZ68" s="159"/>
      <c r="KSA68" s="158"/>
      <c r="KSB68" s="160"/>
      <c r="KSC68" s="158"/>
      <c r="KSD68" s="160"/>
      <c r="KSE68" s="161"/>
      <c r="KSF68" s="162"/>
      <c r="KSG68"/>
      <c r="KSH68" s="163"/>
      <c r="KSI68"/>
      <c r="KSJ68" s="156"/>
      <c r="KSK68" s="164"/>
      <c r="KSL68"/>
      <c r="KSM68" s="157"/>
      <c r="KSN68" s="158"/>
      <c r="KSO68" s="159"/>
      <c r="KSP68" s="159"/>
      <c r="KSQ68" s="158"/>
      <c r="KSR68" s="160"/>
      <c r="KSS68" s="158"/>
      <c r="KST68" s="160"/>
      <c r="KSU68" s="161"/>
      <c r="KSV68" s="162"/>
      <c r="KSW68"/>
      <c r="KSX68" s="163"/>
      <c r="KSY68"/>
      <c r="KSZ68" s="156"/>
      <c r="KTA68" s="164"/>
      <c r="KTB68"/>
      <c r="KTC68" s="157"/>
      <c r="KTD68" s="158"/>
      <c r="KTE68" s="159"/>
      <c r="KTF68" s="159"/>
      <c r="KTG68" s="158"/>
      <c r="KTH68" s="160"/>
      <c r="KTI68" s="158"/>
      <c r="KTJ68" s="160"/>
      <c r="KTK68" s="161"/>
      <c r="KTL68" s="162"/>
      <c r="KTM68"/>
      <c r="KTN68" s="163"/>
      <c r="KTO68"/>
      <c r="KTP68" s="156"/>
      <c r="KTQ68" s="164"/>
      <c r="KTR68"/>
      <c r="KTS68" s="157"/>
      <c r="KTT68" s="158"/>
      <c r="KTU68" s="159"/>
      <c r="KTV68" s="159"/>
      <c r="KTW68" s="158"/>
      <c r="KTX68" s="160"/>
      <c r="KTY68" s="158"/>
      <c r="KTZ68" s="160"/>
      <c r="KUA68" s="161"/>
      <c r="KUB68" s="162"/>
      <c r="KUC68"/>
      <c r="KUD68" s="163"/>
      <c r="KUE68"/>
      <c r="KUF68" s="156"/>
      <c r="KUG68" s="164"/>
      <c r="KUH68"/>
      <c r="KUI68" s="157"/>
      <c r="KUJ68" s="158"/>
      <c r="KUK68" s="159"/>
      <c r="KUL68" s="159"/>
      <c r="KUM68" s="158"/>
      <c r="KUN68" s="160"/>
      <c r="KUO68" s="158"/>
      <c r="KUP68" s="160"/>
      <c r="KUQ68" s="161"/>
      <c r="KUR68" s="162"/>
      <c r="KUS68"/>
      <c r="KUT68" s="163"/>
      <c r="KUU68"/>
      <c r="KUV68" s="156"/>
      <c r="KUW68" s="164"/>
      <c r="KUX68"/>
      <c r="KUY68" s="157"/>
      <c r="KUZ68" s="158"/>
      <c r="KVA68" s="159"/>
      <c r="KVB68" s="159"/>
      <c r="KVC68" s="158"/>
      <c r="KVD68" s="160"/>
      <c r="KVE68" s="158"/>
      <c r="KVF68" s="160"/>
      <c r="KVG68" s="161"/>
      <c r="KVH68" s="162"/>
      <c r="KVI68"/>
      <c r="KVJ68" s="163"/>
      <c r="KVK68"/>
      <c r="KVL68" s="156"/>
      <c r="KVM68" s="164"/>
      <c r="KVN68"/>
      <c r="KVO68" s="157"/>
      <c r="KVP68" s="158"/>
      <c r="KVQ68" s="159"/>
      <c r="KVR68" s="159"/>
      <c r="KVS68" s="158"/>
      <c r="KVT68" s="160"/>
      <c r="KVU68" s="158"/>
      <c r="KVV68" s="160"/>
      <c r="KVW68" s="161"/>
      <c r="KVX68" s="162"/>
      <c r="KVY68"/>
      <c r="KVZ68" s="163"/>
      <c r="KWA68"/>
      <c r="KWB68" s="156"/>
      <c r="KWC68" s="164"/>
      <c r="KWD68"/>
      <c r="KWE68" s="157"/>
      <c r="KWF68" s="158"/>
      <c r="KWG68" s="159"/>
      <c r="KWH68" s="159"/>
      <c r="KWI68" s="158"/>
      <c r="KWJ68" s="160"/>
      <c r="KWK68" s="158"/>
      <c r="KWL68" s="160"/>
      <c r="KWM68" s="161"/>
      <c r="KWN68" s="162"/>
      <c r="KWO68"/>
      <c r="KWP68" s="163"/>
      <c r="KWQ68"/>
      <c r="KWR68" s="156"/>
      <c r="KWS68" s="164"/>
      <c r="KWT68"/>
      <c r="KWU68" s="157"/>
      <c r="KWV68" s="158"/>
      <c r="KWW68" s="159"/>
      <c r="KWX68" s="159"/>
      <c r="KWY68" s="158"/>
      <c r="KWZ68" s="160"/>
      <c r="KXA68" s="158"/>
      <c r="KXB68" s="160"/>
      <c r="KXC68" s="161"/>
      <c r="KXD68" s="162"/>
      <c r="KXE68"/>
      <c r="KXF68" s="163"/>
      <c r="KXG68"/>
      <c r="KXH68" s="156"/>
      <c r="KXI68" s="164"/>
      <c r="KXJ68"/>
      <c r="KXK68" s="157"/>
      <c r="KXL68" s="158"/>
      <c r="KXM68" s="159"/>
      <c r="KXN68" s="159"/>
      <c r="KXO68" s="158"/>
      <c r="KXP68" s="160"/>
      <c r="KXQ68" s="158"/>
      <c r="KXR68" s="160"/>
      <c r="KXS68" s="161"/>
      <c r="KXT68" s="162"/>
      <c r="KXU68"/>
      <c r="KXV68" s="163"/>
      <c r="KXW68"/>
      <c r="KXX68" s="156"/>
      <c r="KXY68" s="164"/>
      <c r="KXZ68"/>
      <c r="KYA68" s="157"/>
      <c r="KYB68" s="158"/>
      <c r="KYC68" s="159"/>
      <c r="KYD68" s="159"/>
      <c r="KYE68" s="158"/>
      <c r="KYF68" s="160"/>
      <c r="KYG68" s="158"/>
      <c r="KYH68" s="160"/>
      <c r="KYI68" s="161"/>
      <c r="KYJ68" s="162"/>
      <c r="KYK68"/>
      <c r="KYL68" s="163"/>
      <c r="KYM68"/>
      <c r="KYN68" s="156"/>
      <c r="KYO68" s="164"/>
      <c r="KYP68"/>
      <c r="KYQ68" s="157"/>
      <c r="KYR68" s="158"/>
      <c r="KYS68" s="159"/>
      <c r="KYT68" s="159"/>
      <c r="KYU68" s="158"/>
      <c r="KYV68" s="160"/>
      <c r="KYW68" s="158"/>
      <c r="KYX68" s="160"/>
      <c r="KYY68" s="161"/>
      <c r="KYZ68" s="162"/>
      <c r="KZA68"/>
      <c r="KZB68" s="163"/>
      <c r="KZC68"/>
      <c r="KZD68" s="156"/>
      <c r="KZE68" s="164"/>
      <c r="KZF68"/>
      <c r="KZG68" s="157"/>
      <c r="KZH68" s="158"/>
      <c r="KZI68" s="159"/>
      <c r="KZJ68" s="159"/>
      <c r="KZK68" s="158"/>
      <c r="KZL68" s="160"/>
      <c r="KZM68" s="158"/>
      <c r="KZN68" s="160"/>
      <c r="KZO68" s="161"/>
      <c r="KZP68" s="162"/>
      <c r="KZQ68"/>
      <c r="KZR68" s="163"/>
      <c r="KZS68"/>
      <c r="KZT68" s="156"/>
      <c r="KZU68" s="164"/>
      <c r="KZV68"/>
      <c r="KZW68" s="157"/>
      <c r="KZX68" s="158"/>
      <c r="KZY68" s="159"/>
      <c r="KZZ68" s="159"/>
      <c r="LAA68" s="158"/>
      <c r="LAB68" s="160"/>
      <c r="LAC68" s="158"/>
      <c r="LAD68" s="160"/>
      <c r="LAE68" s="161"/>
      <c r="LAF68" s="162"/>
      <c r="LAG68"/>
      <c r="LAH68" s="163"/>
      <c r="LAI68"/>
      <c r="LAJ68" s="156"/>
      <c r="LAK68" s="164"/>
      <c r="LAL68"/>
      <c r="LAM68" s="157"/>
      <c r="LAN68" s="158"/>
      <c r="LAO68" s="159"/>
      <c r="LAP68" s="159"/>
      <c r="LAQ68" s="158"/>
      <c r="LAR68" s="160"/>
      <c r="LAS68" s="158"/>
      <c r="LAT68" s="160"/>
      <c r="LAU68" s="161"/>
      <c r="LAV68" s="162"/>
      <c r="LAW68"/>
      <c r="LAX68" s="163"/>
      <c r="LAY68"/>
      <c r="LAZ68" s="156"/>
      <c r="LBA68" s="164"/>
      <c r="LBB68"/>
      <c r="LBC68" s="157"/>
      <c r="LBD68" s="158"/>
      <c r="LBE68" s="159"/>
      <c r="LBF68" s="159"/>
      <c r="LBG68" s="158"/>
      <c r="LBH68" s="160"/>
      <c r="LBI68" s="158"/>
      <c r="LBJ68" s="160"/>
      <c r="LBK68" s="161"/>
      <c r="LBL68" s="162"/>
      <c r="LBM68"/>
      <c r="LBN68" s="163"/>
      <c r="LBO68"/>
      <c r="LBP68" s="156"/>
      <c r="LBQ68" s="164"/>
      <c r="LBR68"/>
      <c r="LBS68" s="157"/>
      <c r="LBT68" s="158"/>
      <c r="LBU68" s="159"/>
      <c r="LBV68" s="159"/>
      <c r="LBW68" s="158"/>
      <c r="LBX68" s="160"/>
      <c r="LBY68" s="158"/>
      <c r="LBZ68" s="160"/>
      <c r="LCA68" s="161"/>
      <c r="LCB68" s="162"/>
      <c r="LCC68"/>
      <c r="LCD68" s="163"/>
      <c r="LCE68"/>
      <c r="LCF68" s="156"/>
      <c r="LCG68" s="164"/>
      <c r="LCH68"/>
      <c r="LCI68" s="157"/>
      <c r="LCJ68" s="158"/>
      <c r="LCK68" s="159"/>
      <c r="LCL68" s="159"/>
      <c r="LCM68" s="158"/>
      <c r="LCN68" s="160"/>
      <c r="LCO68" s="158"/>
      <c r="LCP68" s="160"/>
      <c r="LCQ68" s="161"/>
      <c r="LCR68" s="162"/>
      <c r="LCS68"/>
      <c r="LCT68" s="163"/>
      <c r="LCU68"/>
      <c r="LCV68" s="156"/>
      <c r="LCW68" s="164"/>
      <c r="LCX68"/>
      <c r="LCY68" s="157"/>
      <c r="LCZ68" s="158"/>
      <c r="LDA68" s="159"/>
      <c r="LDB68" s="159"/>
      <c r="LDC68" s="158"/>
      <c r="LDD68" s="160"/>
      <c r="LDE68" s="158"/>
      <c r="LDF68" s="160"/>
      <c r="LDG68" s="161"/>
      <c r="LDH68" s="162"/>
      <c r="LDI68"/>
      <c r="LDJ68" s="163"/>
      <c r="LDK68"/>
      <c r="LDL68" s="156"/>
      <c r="LDM68" s="164"/>
      <c r="LDN68"/>
      <c r="LDO68" s="157"/>
      <c r="LDP68" s="158"/>
      <c r="LDQ68" s="159"/>
      <c r="LDR68" s="159"/>
      <c r="LDS68" s="158"/>
      <c r="LDT68" s="160"/>
      <c r="LDU68" s="158"/>
      <c r="LDV68" s="160"/>
      <c r="LDW68" s="161"/>
      <c r="LDX68" s="162"/>
      <c r="LDY68"/>
      <c r="LDZ68" s="163"/>
      <c r="LEA68"/>
      <c r="LEB68" s="156"/>
      <c r="LEC68" s="164"/>
      <c r="LED68"/>
      <c r="LEE68" s="157"/>
      <c r="LEF68" s="158"/>
      <c r="LEG68" s="159"/>
      <c r="LEH68" s="159"/>
      <c r="LEI68" s="158"/>
      <c r="LEJ68" s="160"/>
      <c r="LEK68" s="158"/>
      <c r="LEL68" s="160"/>
      <c r="LEM68" s="161"/>
      <c r="LEN68" s="162"/>
      <c r="LEO68"/>
      <c r="LEP68" s="163"/>
      <c r="LEQ68"/>
      <c r="LER68" s="156"/>
      <c r="LES68" s="164"/>
      <c r="LET68"/>
      <c r="LEU68" s="157"/>
      <c r="LEV68" s="158"/>
      <c r="LEW68" s="159"/>
      <c r="LEX68" s="159"/>
      <c r="LEY68" s="158"/>
      <c r="LEZ68" s="160"/>
      <c r="LFA68" s="158"/>
      <c r="LFB68" s="160"/>
      <c r="LFC68" s="161"/>
      <c r="LFD68" s="162"/>
      <c r="LFE68"/>
      <c r="LFF68" s="163"/>
      <c r="LFG68"/>
      <c r="LFH68" s="156"/>
      <c r="LFI68" s="164"/>
      <c r="LFJ68"/>
      <c r="LFK68" s="157"/>
      <c r="LFL68" s="158"/>
      <c r="LFM68" s="159"/>
      <c r="LFN68" s="159"/>
      <c r="LFO68" s="158"/>
      <c r="LFP68" s="160"/>
      <c r="LFQ68" s="158"/>
      <c r="LFR68" s="160"/>
      <c r="LFS68" s="161"/>
      <c r="LFT68" s="162"/>
      <c r="LFU68"/>
      <c r="LFV68" s="163"/>
      <c r="LFW68"/>
      <c r="LFX68" s="156"/>
      <c r="LFY68" s="164"/>
      <c r="LFZ68"/>
      <c r="LGA68" s="157"/>
      <c r="LGB68" s="158"/>
      <c r="LGC68" s="159"/>
      <c r="LGD68" s="159"/>
      <c r="LGE68" s="158"/>
      <c r="LGF68" s="160"/>
      <c r="LGG68" s="158"/>
      <c r="LGH68" s="160"/>
      <c r="LGI68" s="161"/>
      <c r="LGJ68" s="162"/>
      <c r="LGK68"/>
      <c r="LGL68" s="163"/>
      <c r="LGM68"/>
      <c r="LGN68" s="156"/>
      <c r="LGO68" s="164"/>
      <c r="LGP68"/>
      <c r="LGQ68" s="157"/>
      <c r="LGR68" s="158"/>
      <c r="LGS68" s="159"/>
      <c r="LGT68" s="159"/>
      <c r="LGU68" s="158"/>
      <c r="LGV68" s="160"/>
      <c r="LGW68" s="158"/>
      <c r="LGX68" s="160"/>
      <c r="LGY68" s="161"/>
      <c r="LGZ68" s="162"/>
      <c r="LHA68"/>
      <c r="LHB68" s="163"/>
      <c r="LHC68"/>
      <c r="LHD68" s="156"/>
      <c r="LHE68" s="164"/>
      <c r="LHF68"/>
      <c r="LHG68" s="157"/>
      <c r="LHH68" s="158"/>
      <c r="LHI68" s="159"/>
      <c r="LHJ68" s="159"/>
      <c r="LHK68" s="158"/>
      <c r="LHL68" s="160"/>
      <c r="LHM68" s="158"/>
      <c r="LHN68" s="160"/>
      <c r="LHO68" s="161"/>
      <c r="LHP68" s="162"/>
      <c r="LHQ68"/>
      <c r="LHR68" s="163"/>
      <c r="LHS68"/>
      <c r="LHT68" s="156"/>
      <c r="LHU68" s="164"/>
      <c r="LHV68"/>
      <c r="LHW68" s="157"/>
      <c r="LHX68" s="158"/>
      <c r="LHY68" s="159"/>
      <c r="LHZ68" s="159"/>
      <c r="LIA68" s="158"/>
      <c r="LIB68" s="160"/>
      <c r="LIC68" s="158"/>
      <c r="LID68" s="160"/>
      <c r="LIE68" s="161"/>
      <c r="LIF68" s="162"/>
      <c r="LIG68"/>
      <c r="LIH68" s="163"/>
      <c r="LII68"/>
      <c r="LIJ68" s="156"/>
      <c r="LIK68" s="164"/>
      <c r="LIL68"/>
      <c r="LIM68" s="157"/>
      <c r="LIN68" s="158"/>
      <c r="LIO68" s="159"/>
      <c r="LIP68" s="159"/>
      <c r="LIQ68" s="158"/>
      <c r="LIR68" s="160"/>
      <c r="LIS68" s="158"/>
      <c r="LIT68" s="160"/>
      <c r="LIU68" s="161"/>
      <c r="LIV68" s="162"/>
      <c r="LIW68"/>
      <c r="LIX68" s="163"/>
      <c r="LIY68"/>
      <c r="LIZ68" s="156"/>
      <c r="LJA68" s="164"/>
      <c r="LJB68"/>
      <c r="LJC68" s="157"/>
      <c r="LJD68" s="158"/>
      <c r="LJE68" s="159"/>
      <c r="LJF68" s="159"/>
      <c r="LJG68" s="158"/>
      <c r="LJH68" s="160"/>
      <c r="LJI68" s="158"/>
      <c r="LJJ68" s="160"/>
      <c r="LJK68" s="161"/>
      <c r="LJL68" s="162"/>
      <c r="LJM68"/>
      <c r="LJN68" s="163"/>
      <c r="LJO68"/>
      <c r="LJP68" s="156"/>
      <c r="LJQ68" s="164"/>
      <c r="LJR68"/>
      <c r="LJS68" s="157"/>
      <c r="LJT68" s="158"/>
      <c r="LJU68" s="159"/>
      <c r="LJV68" s="159"/>
      <c r="LJW68" s="158"/>
      <c r="LJX68" s="160"/>
      <c r="LJY68" s="158"/>
      <c r="LJZ68" s="160"/>
      <c r="LKA68" s="161"/>
      <c r="LKB68" s="162"/>
      <c r="LKC68"/>
      <c r="LKD68" s="163"/>
      <c r="LKE68"/>
      <c r="LKF68" s="156"/>
      <c r="LKG68" s="164"/>
      <c r="LKH68"/>
      <c r="LKI68" s="157"/>
      <c r="LKJ68" s="158"/>
      <c r="LKK68" s="159"/>
      <c r="LKL68" s="159"/>
      <c r="LKM68" s="158"/>
      <c r="LKN68" s="160"/>
      <c r="LKO68" s="158"/>
      <c r="LKP68" s="160"/>
      <c r="LKQ68" s="161"/>
      <c r="LKR68" s="162"/>
      <c r="LKS68"/>
      <c r="LKT68" s="163"/>
      <c r="LKU68"/>
      <c r="LKV68" s="156"/>
      <c r="LKW68" s="164"/>
      <c r="LKX68"/>
      <c r="LKY68" s="157"/>
      <c r="LKZ68" s="158"/>
      <c r="LLA68" s="159"/>
      <c r="LLB68" s="159"/>
      <c r="LLC68" s="158"/>
      <c r="LLD68" s="160"/>
      <c r="LLE68" s="158"/>
      <c r="LLF68" s="160"/>
      <c r="LLG68" s="161"/>
      <c r="LLH68" s="162"/>
      <c r="LLI68"/>
      <c r="LLJ68" s="163"/>
      <c r="LLK68"/>
      <c r="LLL68" s="156"/>
      <c r="LLM68" s="164"/>
      <c r="LLN68"/>
      <c r="LLO68" s="157"/>
      <c r="LLP68" s="158"/>
      <c r="LLQ68" s="159"/>
      <c r="LLR68" s="159"/>
      <c r="LLS68" s="158"/>
      <c r="LLT68" s="160"/>
      <c r="LLU68" s="158"/>
      <c r="LLV68" s="160"/>
      <c r="LLW68" s="161"/>
      <c r="LLX68" s="162"/>
      <c r="LLY68"/>
      <c r="LLZ68" s="163"/>
      <c r="LMA68"/>
      <c r="LMB68" s="156"/>
      <c r="LMC68" s="164"/>
      <c r="LMD68"/>
      <c r="LME68" s="157"/>
      <c r="LMF68" s="158"/>
      <c r="LMG68" s="159"/>
      <c r="LMH68" s="159"/>
      <c r="LMI68" s="158"/>
      <c r="LMJ68" s="160"/>
      <c r="LMK68" s="158"/>
      <c r="LML68" s="160"/>
      <c r="LMM68" s="161"/>
      <c r="LMN68" s="162"/>
      <c r="LMO68"/>
      <c r="LMP68" s="163"/>
      <c r="LMQ68"/>
      <c r="LMR68" s="156"/>
      <c r="LMS68" s="164"/>
      <c r="LMT68"/>
      <c r="LMU68" s="157"/>
      <c r="LMV68" s="158"/>
      <c r="LMW68" s="159"/>
      <c r="LMX68" s="159"/>
      <c r="LMY68" s="158"/>
      <c r="LMZ68" s="160"/>
      <c r="LNA68" s="158"/>
      <c r="LNB68" s="160"/>
      <c r="LNC68" s="161"/>
      <c r="LND68" s="162"/>
      <c r="LNE68"/>
      <c r="LNF68" s="163"/>
      <c r="LNG68"/>
      <c r="LNH68" s="156"/>
      <c r="LNI68" s="164"/>
      <c r="LNJ68"/>
      <c r="LNK68" s="157"/>
      <c r="LNL68" s="158"/>
      <c r="LNM68" s="159"/>
      <c r="LNN68" s="159"/>
      <c r="LNO68" s="158"/>
      <c r="LNP68" s="160"/>
      <c r="LNQ68" s="158"/>
      <c r="LNR68" s="160"/>
      <c r="LNS68" s="161"/>
      <c r="LNT68" s="162"/>
      <c r="LNU68"/>
      <c r="LNV68" s="163"/>
      <c r="LNW68"/>
      <c r="LNX68" s="156"/>
      <c r="LNY68" s="164"/>
      <c r="LNZ68"/>
      <c r="LOA68" s="157"/>
      <c r="LOB68" s="158"/>
      <c r="LOC68" s="159"/>
      <c r="LOD68" s="159"/>
      <c r="LOE68" s="158"/>
      <c r="LOF68" s="160"/>
      <c r="LOG68" s="158"/>
      <c r="LOH68" s="160"/>
      <c r="LOI68" s="161"/>
      <c r="LOJ68" s="162"/>
      <c r="LOK68"/>
      <c r="LOL68" s="163"/>
      <c r="LOM68"/>
      <c r="LON68" s="156"/>
      <c r="LOO68" s="164"/>
      <c r="LOP68"/>
      <c r="LOQ68" s="157"/>
      <c r="LOR68" s="158"/>
      <c r="LOS68" s="159"/>
      <c r="LOT68" s="159"/>
      <c r="LOU68" s="158"/>
      <c r="LOV68" s="160"/>
      <c r="LOW68" s="158"/>
      <c r="LOX68" s="160"/>
      <c r="LOY68" s="161"/>
      <c r="LOZ68" s="162"/>
      <c r="LPA68"/>
      <c r="LPB68" s="163"/>
      <c r="LPC68"/>
      <c r="LPD68" s="156"/>
      <c r="LPE68" s="164"/>
      <c r="LPF68"/>
      <c r="LPG68" s="157"/>
      <c r="LPH68" s="158"/>
      <c r="LPI68" s="159"/>
      <c r="LPJ68" s="159"/>
      <c r="LPK68" s="158"/>
      <c r="LPL68" s="160"/>
      <c r="LPM68" s="158"/>
      <c r="LPN68" s="160"/>
      <c r="LPO68" s="161"/>
      <c r="LPP68" s="162"/>
      <c r="LPQ68"/>
      <c r="LPR68" s="163"/>
      <c r="LPS68"/>
      <c r="LPT68" s="156"/>
      <c r="LPU68" s="164"/>
      <c r="LPV68"/>
      <c r="LPW68" s="157"/>
      <c r="LPX68" s="158"/>
      <c r="LPY68" s="159"/>
      <c r="LPZ68" s="159"/>
      <c r="LQA68" s="158"/>
      <c r="LQB68" s="160"/>
      <c r="LQC68" s="158"/>
      <c r="LQD68" s="160"/>
      <c r="LQE68" s="161"/>
      <c r="LQF68" s="162"/>
      <c r="LQG68"/>
      <c r="LQH68" s="163"/>
      <c r="LQI68"/>
      <c r="LQJ68" s="156"/>
      <c r="LQK68" s="164"/>
      <c r="LQL68"/>
      <c r="LQM68" s="157"/>
      <c r="LQN68" s="158"/>
      <c r="LQO68" s="159"/>
      <c r="LQP68" s="159"/>
      <c r="LQQ68" s="158"/>
      <c r="LQR68" s="160"/>
      <c r="LQS68" s="158"/>
      <c r="LQT68" s="160"/>
      <c r="LQU68" s="161"/>
      <c r="LQV68" s="162"/>
      <c r="LQW68"/>
      <c r="LQX68" s="163"/>
      <c r="LQY68"/>
      <c r="LQZ68" s="156"/>
      <c r="LRA68" s="164"/>
      <c r="LRB68"/>
      <c r="LRC68" s="157"/>
      <c r="LRD68" s="158"/>
      <c r="LRE68" s="159"/>
      <c r="LRF68" s="159"/>
      <c r="LRG68" s="158"/>
      <c r="LRH68" s="160"/>
      <c r="LRI68" s="158"/>
      <c r="LRJ68" s="160"/>
      <c r="LRK68" s="161"/>
      <c r="LRL68" s="162"/>
      <c r="LRM68"/>
      <c r="LRN68" s="163"/>
      <c r="LRO68"/>
      <c r="LRP68" s="156"/>
      <c r="LRQ68" s="164"/>
      <c r="LRR68"/>
      <c r="LRS68" s="157"/>
      <c r="LRT68" s="158"/>
      <c r="LRU68" s="159"/>
      <c r="LRV68" s="159"/>
      <c r="LRW68" s="158"/>
      <c r="LRX68" s="160"/>
      <c r="LRY68" s="158"/>
      <c r="LRZ68" s="160"/>
      <c r="LSA68" s="161"/>
      <c r="LSB68" s="162"/>
      <c r="LSC68"/>
      <c r="LSD68" s="163"/>
      <c r="LSE68"/>
      <c r="LSF68" s="156"/>
      <c r="LSG68" s="164"/>
      <c r="LSH68"/>
      <c r="LSI68" s="157"/>
      <c r="LSJ68" s="158"/>
      <c r="LSK68" s="159"/>
      <c r="LSL68" s="159"/>
      <c r="LSM68" s="158"/>
      <c r="LSN68" s="160"/>
      <c r="LSO68" s="158"/>
      <c r="LSP68" s="160"/>
      <c r="LSQ68" s="161"/>
      <c r="LSR68" s="162"/>
      <c r="LSS68"/>
      <c r="LST68" s="163"/>
      <c r="LSU68"/>
      <c r="LSV68" s="156"/>
      <c r="LSW68" s="164"/>
      <c r="LSX68"/>
      <c r="LSY68" s="157"/>
      <c r="LSZ68" s="158"/>
      <c r="LTA68" s="159"/>
      <c r="LTB68" s="159"/>
      <c r="LTC68" s="158"/>
      <c r="LTD68" s="160"/>
      <c r="LTE68" s="158"/>
      <c r="LTF68" s="160"/>
      <c r="LTG68" s="161"/>
      <c r="LTH68" s="162"/>
      <c r="LTI68"/>
      <c r="LTJ68" s="163"/>
      <c r="LTK68"/>
      <c r="LTL68" s="156"/>
      <c r="LTM68" s="164"/>
      <c r="LTN68"/>
      <c r="LTO68" s="157"/>
      <c r="LTP68" s="158"/>
      <c r="LTQ68" s="159"/>
      <c r="LTR68" s="159"/>
      <c r="LTS68" s="158"/>
      <c r="LTT68" s="160"/>
      <c r="LTU68" s="158"/>
      <c r="LTV68" s="160"/>
      <c r="LTW68" s="161"/>
      <c r="LTX68" s="162"/>
      <c r="LTY68"/>
      <c r="LTZ68" s="163"/>
      <c r="LUA68"/>
      <c r="LUB68" s="156"/>
      <c r="LUC68" s="164"/>
      <c r="LUD68"/>
      <c r="LUE68" s="157"/>
      <c r="LUF68" s="158"/>
      <c r="LUG68" s="159"/>
      <c r="LUH68" s="159"/>
      <c r="LUI68" s="158"/>
      <c r="LUJ68" s="160"/>
      <c r="LUK68" s="158"/>
      <c r="LUL68" s="160"/>
      <c r="LUM68" s="161"/>
      <c r="LUN68" s="162"/>
      <c r="LUO68"/>
      <c r="LUP68" s="163"/>
      <c r="LUQ68"/>
      <c r="LUR68" s="156"/>
      <c r="LUS68" s="164"/>
      <c r="LUT68"/>
      <c r="LUU68" s="157"/>
      <c r="LUV68" s="158"/>
      <c r="LUW68" s="159"/>
      <c r="LUX68" s="159"/>
      <c r="LUY68" s="158"/>
      <c r="LUZ68" s="160"/>
      <c r="LVA68" s="158"/>
      <c r="LVB68" s="160"/>
      <c r="LVC68" s="161"/>
      <c r="LVD68" s="162"/>
      <c r="LVE68"/>
      <c r="LVF68" s="163"/>
      <c r="LVG68"/>
      <c r="LVH68" s="156"/>
      <c r="LVI68" s="164"/>
      <c r="LVJ68"/>
      <c r="LVK68" s="157"/>
      <c r="LVL68" s="158"/>
      <c r="LVM68" s="159"/>
      <c r="LVN68" s="159"/>
      <c r="LVO68" s="158"/>
      <c r="LVP68" s="160"/>
      <c r="LVQ68" s="158"/>
      <c r="LVR68" s="160"/>
      <c r="LVS68" s="161"/>
      <c r="LVT68" s="162"/>
      <c r="LVU68"/>
      <c r="LVV68" s="163"/>
      <c r="LVW68"/>
      <c r="LVX68" s="156"/>
      <c r="LVY68" s="164"/>
      <c r="LVZ68"/>
      <c r="LWA68" s="157"/>
      <c r="LWB68" s="158"/>
      <c r="LWC68" s="159"/>
      <c r="LWD68" s="159"/>
      <c r="LWE68" s="158"/>
      <c r="LWF68" s="160"/>
      <c r="LWG68" s="158"/>
      <c r="LWH68" s="160"/>
      <c r="LWI68" s="161"/>
      <c r="LWJ68" s="162"/>
      <c r="LWK68"/>
      <c r="LWL68" s="163"/>
      <c r="LWM68"/>
      <c r="LWN68" s="156"/>
      <c r="LWO68" s="164"/>
      <c r="LWP68"/>
      <c r="LWQ68" s="157"/>
      <c r="LWR68" s="158"/>
      <c r="LWS68" s="159"/>
      <c r="LWT68" s="159"/>
      <c r="LWU68" s="158"/>
      <c r="LWV68" s="160"/>
      <c r="LWW68" s="158"/>
      <c r="LWX68" s="160"/>
      <c r="LWY68" s="161"/>
      <c r="LWZ68" s="162"/>
      <c r="LXA68"/>
      <c r="LXB68" s="163"/>
      <c r="LXC68"/>
      <c r="LXD68" s="156"/>
      <c r="LXE68" s="164"/>
      <c r="LXF68"/>
      <c r="LXG68" s="157"/>
      <c r="LXH68" s="158"/>
      <c r="LXI68" s="159"/>
      <c r="LXJ68" s="159"/>
      <c r="LXK68" s="158"/>
      <c r="LXL68" s="160"/>
      <c r="LXM68" s="158"/>
      <c r="LXN68" s="160"/>
      <c r="LXO68" s="161"/>
      <c r="LXP68" s="162"/>
      <c r="LXQ68"/>
      <c r="LXR68" s="163"/>
      <c r="LXS68"/>
      <c r="LXT68" s="156"/>
      <c r="LXU68" s="164"/>
      <c r="LXV68"/>
      <c r="LXW68" s="157"/>
      <c r="LXX68" s="158"/>
      <c r="LXY68" s="159"/>
      <c r="LXZ68" s="159"/>
      <c r="LYA68" s="158"/>
      <c r="LYB68" s="160"/>
      <c r="LYC68" s="158"/>
      <c r="LYD68" s="160"/>
      <c r="LYE68" s="161"/>
      <c r="LYF68" s="162"/>
      <c r="LYG68"/>
      <c r="LYH68" s="163"/>
      <c r="LYI68"/>
      <c r="LYJ68" s="156"/>
      <c r="LYK68" s="164"/>
      <c r="LYL68"/>
      <c r="LYM68" s="157"/>
      <c r="LYN68" s="158"/>
      <c r="LYO68" s="159"/>
      <c r="LYP68" s="159"/>
      <c r="LYQ68" s="158"/>
      <c r="LYR68" s="160"/>
      <c r="LYS68" s="158"/>
      <c r="LYT68" s="160"/>
      <c r="LYU68" s="161"/>
      <c r="LYV68" s="162"/>
      <c r="LYW68"/>
      <c r="LYX68" s="163"/>
      <c r="LYY68"/>
      <c r="LYZ68" s="156"/>
      <c r="LZA68" s="164"/>
      <c r="LZB68"/>
      <c r="LZC68" s="157"/>
      <c r="LZD68" s="158"/>
      <c r="LZE68" s="159"/>
      <c r="LZF68" s="159"/>
      <c r="LZG68" s="158"/>
      <c r="LZH68" s="160"/>
      <c r="LZI68" s="158"/>
      <c r="LZJ68" s="160"/>
      <c r="LZK68" s="161"/>
      <c r="LZL68" s="162"/>
      <c r="LZM68"/>
      <c r="LZN68" s="163"/>
      <c r="LZO68"/>
      <c r="LZP68" s="156"/>
      <c r="LZQ68" s="164"/>
      <c r="LZR68"/>
      <c r="LZS68" s="157"/>
      <c r="LZT68" s="158"/>
      <c r="LZU68" s="159"/>
      <c r="LZV68" s="159"/>
      <c r="LZW68" s="158"/>
      <c r="LZX68" s="160"/>
      <c r="LZY68" s="158"/>
      <c r="LZZ68" s="160"/>
      <c r="MAA68" s="161"/>
      <c r="MAB68" s="162"/>
      <c r="MAC68"/>
      <c r="MAD68" s="163"/>
      <c r="MAE68"/>
      <c r="MAF68" s="156"/>
      <c r="MAG68" s="164"/>
      <c r="MAH68"/>
      <c r="MAI68" s="157"/>
      <c r="MAJ68" s="158"/>
      <c r="MAK68" s="159"/>
      <c r="MAL68" s="159"/>
      <c r="MAM68" s="158"/>
      <c r="MAN68" s="160"/>
      <c r="MAO68" s="158"/>
      <c r="MAP68" s="160"/>
      <c r="MAQ68" s="161"/>
      <c r="MAR68" s="162"/>
      <c r="MAS68"/>
      <c r="MAT68" s="163"/>
      <c r="MAU68"/>
      <c r="MAV68" s="156"/>
      <c r="MAW68" s="164"/>
      <c r="MAX68"/>
      <c r="MAY68" s="157"/>
      <c r="MAZ68" s="158"/>
      <c r="MBA68" s="159"/>
      <c r="MBB68" s="159"/>
      <c r="MBC68" s="158"/>
      <c r="MBD68" s="160"/>
      <c r="MBE68" s="158"/>
      <c r="MBF68" s="160"/>
      <c r="MBG68" s="161"/>
      <c r="MBH68" s="162"/>
      <c r="MBI68"/>
      <c r="MBJ68" s="163"/>
      <c r="MBK68"/>
      <c r="MBL68" s="156"/>
      <c r="MBM68" s="164"/>
      <c r="MBN68"/>
      <c r="MBO68" s="157"/>
      <c r="MBP68" s="158"/>
      <c r="MBQ68" s="159"/>
      <c r="MBR68" s="159"/>
      <c r="MBS68" s="158"/>
      <c r="MBT68" s="160"/>
      <c r="MBU68" s="158"/>
      <c r="MBV68" s="160"/>
      <c r="MBW68" s="161"/>
      <c r="MBX68" s="162"/>
      <c r="MBY68"/>
      <c r="MBZ68" s="163"/>
      <c r="MCA68"/>
      <c r="MCB68" s="156"/>
      <c r="MCC68" s="164"/>
      <c r="MCD68"/>
      <c r="MCE68" s="157"/>
      <c r="MCF68" s="158"/>
      <c r="MCG68" s="159"/>
      <c r="MCH68" s="159"/>
      <c r="MCI68" s="158"/>
      <c r="MCJ68" s="160"/>
      <c r="MCK68" s="158"/>
      <c r="MCL68" s="160"/>
      <c r="MCM68" s="161"/>
      <c r="MCN68" s="162"/>
      <c r="MCO68"/>
      <c r="MCP68" s="163"/>
      <c r="MCQ68"/>
      <c r="MCR68" s="156"/>
      <c r="MCS68" s="164"/>
      <c r="MCT68"/>
      <c r="MCU68" s="157"/>
      <c r="MCV68" s="158"/>
      <c r="MCW68" s="159"/>
      <c r="MCX68" s="159"/>
      <c r="MCY68" s="158"/>
      <c r="MCZ68" s="160"/>
      <c r="MDA68" s="158"/>
      <c r="MDB68" s="160"/>
      <c r="MDC68" s="161"/>
      <c r="MDD68" s="162"/>
      <c r="MDE68"/>
      <c r="MDF68" s="163"/>
      <c r="MDG68"/>
      <c r="MDH68" s="156"/>
      <c r="MDI68" s="164"/>
      <c r="MDJ68"/>
      <c r="MDK68" s="157"/>
      <c r="MDL68" s="158"/>
      <c r="MDM68" s="159"/>
      <c r="MDN68" s="159"/>
      <c r="MDO68" s="158"/>
      <c r="MDP68" s="160"/>
      <c r="MDQ68" s="158"/>
      <c r="MDR68" s="160"/>
      <c r="MDS68" s="161"/>
      <c r="MDT68" s="162"/>
      <c r="MDU68"/>
      <c r="MDV68" s="163"/>
      <c r="MDW68"/>
      <c r="MDX68" s="156"/>
      <c r="MDY68" s="164"/>
      <c r="MDZ68"/>
      <c r="MEA68" s="157"/>
      <c r="MEB68" s="158"/>
      <c r="MEC68" s="159"/>
      <c r="MED68" s="159"/>
      <c r="MEE68" s="158"/>
      <c r="MEF68" s="160"/>
      <c r="MEG68" s="158"/>
      <c r="MEH68" s="160"/>
      <c r="MEI68" s="161"/>
      <c r="MEJ68" s="162"/>
      <c r="MEK68"/>
      <c r="MEL68" s="163"/>
      <c r="MEM68"/>
      <c r="MEN68" s="156"/>
      <c r="MEO68" s="164"/>
      <c r="MEP68"/>
      <c r="MEQ68" s="157"/>
      <c r="MER68" s="158"/>
      <c r="MES68" s="159"/>
      <c r="MET68" s="159"/>
      <c r="MEU68" s="158"/>
      <c r="MEV68" s="160"/>
      <c r="MEW68" s="158"/>
      <c r="MEX68" s="160"/>
      <c r="MEY68" s="161"/>
      <c r="MEZ68" s="162"/>
      <c r="MFA68"/>
      <c r="MFB68" s="163"/>
      <c r="MFC68"/>
      <c r="MFD68" s="156"/>
      <c r="MFE68" s="164"/>
      <c r="MFF68"/>
      <c r="MFG68" s="157"/>
      <c r="MFH68" s="158"/>
      <c r="MFI68" s="159"/>
      <c r="MFJ68" s="159"/>
      <c r="MFK68" s="158"/>
      <c r="MFL68" s="160"/>
      <c r="MFM68" s="158"/>
      <c r="MFN68" s="160"/>
      <c r="MFO68" s="161"/>
      <c r="MFP68" s="162"/>
      <c r="MFQ68"/>
      <c r="MFR68" s="163"/>
      <c r="MFS68"/>
      <c r="MFT68" s="156"/>
      <c r="MFU68" s="164"/>
      <c r="MFV68"/>
      <c r="MFW68" s="157"/>
      <c r="MFX68" s="158"/>
      <c r="MFY68" s="159"/>
      <c r="MFZ68" s="159"/>
      <c r="MGA68" s="158"/>
      <c r="MGB68" s="160"/>
      <c r="MGC68" s="158"/>
      <c r="MGD68" s="160"/>
      <c r="MGE68" s="161"/>
      <c r="MGF68" s="162"/>
      <c r="MGG68"/>
      <c r="MGH68" s="163"/>
      <c r="MGI68"/>
      <c r="MGJ68" s="156"/>
      <c r="MGK68" s="164"/>
      <c r="MGL68"/>
      <c r="MGM68" s="157"/>
      <c r="MGN68" s="158"/>
      <c r="MGO68" s="159"/>
      <c r="MGP68" s="159"/>
      <c r="MGQ68" s="158"/>
      <c r="MGR68" s="160"/>
      <c r="MGS68" s="158"/>
      <c r="MGT68" s="160"/>
      <c r="MGU68" s="161"/>
      <c r="MGV68" s="162"/>
      <c r="MGW68"/>
      <c r="MGX68" s="163"/>
      <c r="MGY68"/>
      <c r="MGZ68" s="156"/>
      <c r="MHA68" s="164"/>
      <c r="MHB68"/>
      <c r="MHC68" s="157"/>
      <c r="MHD68" s="158"/>
      <c r="MHE68" s="159"/>
      <c r="MHF68" s="159"/>
      <c r="MHG68" s="158"/>
      <c r="MHH68" s="160"/>
      <c r="MHI68" s="158"/>
      <c r="MHJ68" s="160"/>
      <c r="MHK68" s="161"/>
      <c r="MHL68" s="162"/>
      <c r="MHM68"/>
      <c r="MHN68" s="163"/>
      <c r="MHO68"/>
      <c r="MHP68" s="156"/>
      <c r="MHQ68" s="164"/>
      <c r="MHR68"/>
      <c r="MHS68" s="157"/>
      <c r="MHT68" s="158"/>
      <c r="MHU68" s="159"/>
      <c r="MHV68" s="159"/>
      <c r="MHW68" s="158"/>
      <c r="MHX68" s="160"/>
      <c r="MHY68" s="158"/>
      <c r="MHZ68" s="160"/>
      <c r="MIA68" s="161"/>
      <c r="MIB68" s="162"/>
      <c r="MIC68"/>
      <c r="MID68" s="163"/>
      <c r="MIE68"/>
      <c r="MIF68" s="156"/>
      <c r="MIG68" s="164"/>
      <c r="MIH68"/>
      <c r="MII68" s="157"/>
      <c r="MIJ68" s="158"/>
      <c r="MIK68" s="159"/>
      <c r="MIL68" s="159"/>
      <c r="MIM68" s="158"/>
      <c r="MIN68" s="160"/>
      <c r="MIO68" s="158"/>
      <c r="MIP68" s="160"/>
      <c r="MIQ68" s="161"/>
      <c r="MIR68" s="162"/>
      <c r="MIS68"/>
      <c r="MIT68" s="163"/>
      <c r="MIU68"/>
      <c r="MIV68" s="156"/>
      <c r="MIW68" s="164"/>
      <c r="MIX68"/>
      <c r="MIY68" s="157"/>
      <c r="MIZ68" s="158"/>
      <c r="MJA68" s="159"/>
      <c r="MJB68" s="159"/>
      <c r="MJC68" s="158"/>
      <c r="MJD68" s="160"/>
      <c r="MJE68" s="158"/>
      <c r="MJF68" s="160"/>
      <c r="MJG68" s="161"/>
      <c r="MJH68" s="162"/>
      <c r="MJI68"/>
      <c r="MJJ68" s="163"/>
      <c r="MJK68"/>
      <c r="MJL68" s="156"/>
      <c r="MJM68" s="164"/>
      <c r="MJN68"/>
      <c r="MJO68" s="157"/>
      <c r="MJP68" s="158"/>
      <c r="MJQ68" s="159"/>
      <c r="MJR68" s="159"/>
      <c r="MJS68" s="158"/>
      <c r="MJT68" s="160"/>
      <c r="MJU68" s="158"/>
      <c r="MJV68" s="160"/>
      <c r="MJW68" s="161"/>
      <c r="MJX68" s="162"/>
      <c r="MJY68"/>
      <c r="MJZ68" s="163"/>
      <c r="MKA68"/>
      <c r="MKB68" s="156"/>
      <c r="MKC68" s="164"/>
      <c r="MKD68"/>
      <c r="MKE68" s="157"/>
      <c r="MKF68" s="158"/>
      <c r="MKG68" s="159"/>
      <c r="MKH68" s="159"/>
      <c r="MKI68" s="158"/>
      <c r="MKJ68" s="160"/>
      <c r="MKK68" s="158"/>
      <c r="MKL68" s="160"/>
      <c r="MKM68" s="161"/>
      <c r="MKN68" s="162"/>
      <c r="MKO68"/>
      <c r="MKP68" s="163"/>
      <c r="MKQ68"/>
      <c r="MKR68" s="156"/>
      <c r="MKS68" s="164"/>
      <c r="MKT68"/>
      <c r="MKU68" s="157"/>
      <c r="MKV68" s="158"/>
      <c r="MKW68" s="159"/>
      <c r="MKX68" s="159"/>
      <c r="MKY68" s="158"/>
      <c r="MKZ68" s="160"/>
      <c r="MLA68" s="158"/>
      <c r="MLB68" s="160"/>
      <c r="MLC68" s="161"/>
      <c r="MLD68" s="162"/>
      <c r="MLE68"/>
      <c r="MLF68" s="163"/>
      <c r="MLG68"/>
      <c r="MLH68" s="156"/>
      <c r="MLI68" s="164"/>
      <c r="MLJ68"/>
      <c r="MLK68" s="157"/>
      <c r="MLL68" s="158"/>
      <c r="MLM68" s="159"/>
      <c r="MLN68" s="159"/>
      <c r="MLO68" s="158"/>
      <c r="MLP68" s="160"/>
      <c r="MLQ68" s="158"/>
      <c r="MLR68" s="160"/>
      <c r="MLS68" s="161"/>
      <c r="MLT68" s="162"/>
      <c r="MLU68"/>
      <c r="MLV68" s="163"/>
      <c r="MLW68"/>
      <c r="MLX68" s="156"/>
      <c r="MLY68" s="164"/>
      <c r="MLZ68"/>
      <c r="MMA68" s="157"/>
      <c r="MMB68" s="158"/>
      <c r="MMC68" s="159"/>
      <c r="MMD68" s="159"/>
      <c r="MME68" s="158"/>
      <c r="MMF68" s="160"/>
      <c r="MMG68" s="158"/>
      <c r="MMH68" s="160"/>
      <c r="MMI68" s="161"/>
      <c r="MMJ68" s="162"/>
      <c r="MMK68"/>
      <c r="MML68" s="163"/>
      <c r="MMM68"/>
      <c r="MMN68" s="156"/>
      <c r="MMO68" s="164"/>
      <c r="MMP68"/>
      <c r="MMQ68" s="157"/>
      <c r="MMR68" s="158"/>
      <c r="MMS68" s="159"/>
      <c r="MMT68" s="159"/>
      <c r="MMU68" s="158"/>
      <c r="MMV68" s="160"/>
      <c r="MMW68" s="158"/>
      <c r="MMX68" s="160"/>
      <c r="MMY68" s="161"/>
      <c r="MMZ68" s="162"/>
      <c r="MNA68"/>
      <c r="MNB68" s="163"/>
      <c r="MNC68"/>
      <c r="MND68" s="156"/>
      <c r="MNE68" s="164"/>
      <c r="MNF68"/>
      <c r="MNG68" s="157"/>
      <c r="MNH68" s="158"/>
      <c r="MNI68" s="159"/>
      <c r="MNJ68" s="159"/>
      <c r="MNK68" s="158"/>
      <c r="MNL68" s="160"/>
      <c r="MNM68" s="158"/>
      <c r="MNN68" s="160"/>
      <c r="MNO68" s="161"/>
      <c r="MNP68" s="162"/>
      <c r="MNQ68"/>
      <c r="MNR68" s="163"/>
      <c r="MNS68"/>
      <c r="MNT68" s="156"/>
      <c r="MNU68" s="164"/>
      <c r="MNV68"/>
      <c r="MNW68" s="157"/>
      <c r="MNX68" s="158"/>
      <c r="MNY68" s="159"/>
      <c r="MNZ68" s="159"/>
      <c r="MOA68" s="158"/>
      <c r="MOB68" s="160"/>
      <c r="MOC68" s="158"/>
      <c r="MOD68" s="160"/>
      <c r="MOE68" s="161"/>
      <c r="MOF68" s="162"/>
      <c r="MOG68"/>
      <c r="MOH68" s="163"/>
      <c r="MOI68"/>
      <c r="MOJ68" s="156"/>
      <c r="MOK68" s="164"/>
      <c r="MOL68"/>
      <c r="MOM68" s="157"/>
      <c r="MON68" s="158"/>
      <c r="MOO68" s="159"/>
      <c r="MOP68" s="159"/>
      <c r="MOQ68" s="158"/>
      <c r="MOR68" s="160"/>
      <c r="MOS68" s="158"/>
      <c r="MOT68" s="160"/>
      <c r="MOU68" s="161"/>
      <c r="MOV68" s="162"/>
      <c r="MOW68"/>
      <c r="MOX68" s="163"/>
      <c r="MOY68"/>
      <c r="MOZ68" s="156"/>
      <c r="MPA68" s="164"/>
      <c r="MPB68"/>
      <c r="MPC68" s="157"/>
      <c r="MPD68" s="158"/>
      <c r="MPE68" s="159"/>
      <c r="MPF68" s="159"/>
      <c r="MPG68" s="158"/>
      <c r="MPH68" s="160"/>
      <c r="MPI68" s="158"/>
      <c r="MPJ68" s="160"/>
      <c r="MPK68" s="161"/>
      <c r="MPL68" s="162"/>
      <c r="MPM68"/>
      <c r="MPN68" s="163"/>
      <c r="MPO68"/>
      <c r="MPP68" s="156"/>
      <c r="MPQ68" s="164"/>
      <c r="MPR68"/>
      <c r="MPS68" s="157"/>
      <c r="MPT68" s="158"/>
      <c r="MPU68" s="159"/>
      <c r="MPV68" s="159"/>
      <c r="MPW68" s="158"/>
      <c r="MPX68" s="160"/>
      <c r="MPY68" s="158"/>
      <c r="MPZ68" s="160"/>
      <c r="MQA68" s="161"/>
      <c r="MQB68" s="162"/>
      <c r="MQC68"/>
      <c r="MQD68" s="163"/>
      <c r="MQE68"/>
      <c r="MQF68" s="156"/>
      <c r="MQG68" s="164"/>
      <c r="MQH68"/>
      <c r="MQI68" s="157"/>
      <c r="MQJ68" s="158"/>
      <c r="MQK68" s="159"/>
      <c r="MQL68" s="159"/>
      <c r="MQM68" s="158"/>
      <c r="MQN68" s="160"/>
      <c r="MQO68" s="158"/>
      <c r="MQP68" s="160"/>
      <c r="MQQ68" s="161"/>
      <c r="MQR68" s="162"/>
      <c r="MQS68"/>
      <c r="MQT68" s="163"/>
      <c r="MQU68"/>
      <c r="MQV68" s="156"/>
      <c r="MQW68" s="164"/>
      <c r="MQX68"/>
      <c r="MQY68" s="157"/>
      <c r="MQZ68" s="158"/>
      <c r="MRA68" s="159"/>
      <c r="MRB68" s="159"/>
      <c r="MRC68" s="158"/>
      <c r="MRD68" s="160"/>
      <c r="MRE68" s="158"/>
      <c r="MRF68" s="160"/>
      <c r="MRG68" s="161"/>
      <c r="MRH68" s="162"/>
      <c r="MRI68"/>
      <c r="MRJ68" s="163"/>
      <c r="MRK68"/>
      <c r="MRL68" s="156"/>
      <c r="MRM68" s="164"/>
      <c r="MRN68"/>
      <c r="MRO68" s="157"/>
      <c r="MRP68" s="158"/>
      <c r="MRQ68" s="159"/>
      <c r="MRR68" s="159"/>
      <c r="MRS68" s="158"/>
      <c r="MRT68" s="160"/>
      <c r="MRU68" s="158"/>
      <c r="MRV68" s="160"/>
      <c r="MRW68" s="161"/>
      <c r="MRX68" s="162"/>
      <c r="MRY68"/>
      <c r="MRZ68" s="163"/>
      <c r="MSA68"/>
      <c r="MSB68" s="156"/>
      <c r="MSC68" s="164"/>
      <c r="MSD68"/>
      <c r="MSE68" s="157"/>
      <c r="MSF68" s="158"/>
      <c r="MSG68" s="159"/>
      <c r="MSH68" s="159"/>
      <c r="MSI68" s="158"/>
      <c r="MSJ68" s="160"/>
      <c r="MSK68" s="158"/>
      <c r="MSL68" s="160"/>
      <c r="MSM68" s="161"/>
      <c r="MSN68" s="162"/>
      <c r="MSO68"/>
      <c r="MSP68" s="163"/>
      <c r="MSQ68"/>
      <c r="MSR68" s="156"/>
      <c r="MSS68" s="164"/>
      <c r="MST68"/>
      <c r="MSU68" s="157"/>
      <c r="MSV68" s="158"/>
      <c r="MSW68" s="159"/>
      <c r="MSX68" s="159"/>
      <c r="MSY68" s="158"/>
      <c r="MSZ68" s="160"/>
      <c r="MTA68" s="158"/>
      <c r="MTB68" s="160"/>
      <c r="MTC68" s="161"/>
      <c r="MTD68" s="162"/>
      <c r="MTE68"/>
      <c r="MTF68" s="163"/>
      <c r="MTG68"/>
      <c r="MTH68" s="156"/>
      <c r="MTI68" s="164"/>
      <c r="MTJ68"/>
      <c r="MTK68" s="157"/>
      <c r="MTL68" s="158"/>
      <c r="MTM68" s="159"/>
      <c r="MTN68" s="159"/>
      <c r="MTO68" s="158"/>
      <c r="MTP68" s="160"/>
      <c r="MTQ68" s="158"/>
      <c r="MTR68" s="160"/>
      <c r="MTS68" s="161"/>
      <c r="MTT68" s="162"/>
      <c r="MTU68"/>
      <c r="MTV68" s="163"/>
      <c r="MTW68"/>
      <c r="MTX68" s="156"/>
      <c r="MTY68" s="164"/>
      <c r="MTZ68"/>
      <c r="MUA68" s="157"/>
      <c r="MUB68" s="158"/>
      <c r="MUC68" s="159"/>
      <c r="MUD68" s="159"/>
      <c r="MUE68" s="158"/>
      <c r="MUF68" s="160"/>
      <c r="MUG68" s="158"/>
      <c r="MUH68" s="160"/>
      <c r="MUI68" s="161"/>
      <c r="MUJ68" s="162"/>
      <c r="MUK68"/>
      <c r="MUL68" s="163"/>
      <c r="MUM68"/>
      <c r="MUN68" s="156"/>
      <c r="MUO68" s="164"/>
      <c r="MUP68"/>
      <c r="MUQ68" s="157"/>
      <c r="MUR68" s="158"/>
      <c r="MUS68" s="159"/>
      <c r="MUT68" s="159"/>
      <c r="MUU68" s="158"/>
      <c r="MUV68" s="160"/>
      <c r="MUW68" s="158"/>
      <c r="MUX68" s="160"/>
      <c r="MUY68" s="161"/>
      <c r="MUZ68" s="162"/>
      <c r="MVA68"/>
      <c r="MVB68" s="163"/>
      <c r="MVC68"/>
      <c r="MVD68" s="156"/>
      <c r="MVE68" s="164"/>
      <c r="MVF68"/>
      <c r="MVG68" s="157"/>
      <c r="MVH68" s="158"/>
      <c r="MVI68" s="159"/>
      <c r="MVJ68" s="159"/>
      <c r="MVK68" s="158"/>
      <c r="MVL68" s="160"/>
      <c r="MVM68" s="158"/>
      <c r="MVN68" s="160"/>
      <c r="MVO68" s="161"/>
      <c r="MVP68" s="162"/>
      <c r="MVQ68"/>
      <c r="MVR68" s="163"/>
      <c r="MVS68"/>
      <c r="MVT68" s="156"/>
      <c r="MVU68" s="164"/>
      <c r="MVV68"/>
      <c r="MVW68" s="157"/>
      <c r="MVX68" s="158"/>
      <c r="MVY68" s="159"/>
      <c r="MVZ68" s="159"/>
      <c r="MWA68" s="158"/>
      <c r="MWB68" s="160"/>
      <c r="MWC68" s="158"/>
      <c r="MWD68" s="160"/>
      <c r="MWE68" s="161"/>
      <c r="MWF68" s="162"/>
      <c r="MWG68"/>
      <c r="MWH68" s="163"/>
      <c r="MWI68"/>
      <c r="MWJ68" s="156"/>
      <c r="MWK68" s="164"/>
      <c r="MWL68"/>
      <c r="MWM68" s="157"/>
      <c r="MWN68" s="158"/>
      <c r="MWO68" s="159"/>
      <c r="MWP68" s="159"/>
      <c r="MWQ68" s="158"/>
      <c r="MWR68" s="160"/>
      <c r="MWS68" s="158"/>
      <c r="MWT68" s="160"/>
      <c r="MWU68" s="161"/>
      <c r="MWV68" s="162"/>
      <c r="MWW68"/>
      <c r="MWX68" s="163"/>
      <c r="MWY68"/>
      <c r="MWZ68" s="156"/>
      <c r="MXA68" s="164"/>
      <c r="MXB68"/>
      <c r="MXC68" s="157"/>
      <c r="MXD68" s="158"/>
      <c r="MXE68" s="159"/>
      <c r="MXF68" s="159"/>
      <c r="MXG68" s="158"/>
      <c r="MXH68" s="160"/>
      <c r="MXI68" s="158"/>
      <c r="MXJ68" s="160"/>
      <c r="MXK68" s="161"/>
      <c r="MXL68" s="162"/>
      <c r="MXM68"/>
      <c r="MXN68" s="163"/>
      <c r="MXO68"/>
      <c r="MXP68" s="156"/>
      <c r="MXQ68" s="164"/>
      <c r="MXR68"/>
      <c r="MXS68" s="157"/>
      <c r="MXT68" s="158"/>
      <c r="MXU68" s="159"/>
      <c r="MXV68" s="159"/>
      <c r="MXW68" s="158"/>
      <c r="MXX68" s="160"/>
      <c r="MXY68" s="158"/>
      <c r="MXZ68" s="160"/>
      <c r="MYA68" s="161"/>
      <c r="MYB68" s="162"/>
      <c r="MYC68"/>
      <c r="MYD68" s="163"/>
      <c r="MYE68"/>
      <c r="MYF68" s="156"/>
      <c r="MYG68" s="164"/>
      <c r="MYH68"/>
      <c r="MYI68" s="157"/>
      <c r="MYJ68" s="158"/>
      <c r="MYK68" s="159"/>
      <c r="MYL68" s="159"/>
      <c r="MYM68" s="158"/>
      <c r="MYN68" s="160"/>
      <c r="MYO68" s="158"/>
      <c r="MYP68" s="160"/>
      <c r="MYQ68" s="161"/>
      <c r="MYR68" s="162"/>
      <c r="MYS68"/>
      <c r="MYT68" s="163"/>
      <c r="MYU68"/>
      <c r="MYV68" s="156"/>
      <c r="MYW68" s="164"/>
      <c r="MYX68"/>
      <c r="MYY68" s="157"/>
      <c r="MYZ68" s="158"/>
      <c r="MZA68" s="159"/>
      <c r="MZB68" s="159"/>
      <c r="MZC68" s="158"/>
      <c r="MZD68" s="160"/>
      <c r="MZE68" s="158"/>
      <c r="MZF68" s="160"/>
      <c r="MZG68" s="161"/>
      <c r="MZH68" s="162"/>
      <c r="MZI68"/>
      <c r="MZJ68" s="163"/>
      <c r="MZK68"/>
      <c r="MZL68" s="156"/>
      <c r="MZM68" s="164"/>
      <c r="MZN68"/>
      <c r="MZO68" s="157"/>
      <c r="MZP68" s="158"/>
      <c r="MZQ68" s="159"/>
      <c r="MZR68" s="159"/>
      <c r="MZS68" s="158"/>
      <c r="MZT68" s="160"/>
      <c r="MZU68" s="158"/>
      <c r="MZV68" s="160"/>
      <c r="MZW68" s="161"/>
      <c r="MZX68" s="162"/>
      <c r="MZY68"/>
      <c r="MZZ68" s="163"/>
      <c r="NAA68"/>
      <c r="NAB68" s="156"/>
      <c r="NAC68" s="164"/>
      <c r="NAD68"/>
      <c r="NAE68" s="157"/>
      <c r="NAF68" s="158"/>
      <c r="NAG68" s="159"/>
      <c r="NAH68" s="159"/>
      <c r="NAI68" s="158"/>
      <c r="NAJ68" s="160"/>
      <c r="NAK68" s="158"/>
      <c r="NAL68" s="160"/>
      <c r="NAM68" s="161"/>
      <c r="NAN68" s="162"/>
      <c r="NAO68"/>
      <c r="NAP68" s="163"/>
      <c r="NAQ68"/>
      <c r="NAR68" s="156"/>
      <c r="NAS68" s="164"/>
      <c r="NAT68"/>
      <c r="NAU68" s="157"/>
      <c r="NAV68" s="158"/>
      <c r="NAW68" s="159"/>
      <c r="NAX68" s="159"/>
      <c r="NAY68" s="158"/>
      <c r="NAZ68" s="160"/>
      <c r="NBA68" s="158"/>
      <c r="NBB68" s="160"/>
      <c r="NBC68" s="161"/>
      <c r="NBD68" s="162"/>
      <c r="NBE68"/>
      <c r="NBF68" s="163"/>
      <c r="NBG68"/>
      <c r="NBH68" s="156"/>
      <c r="NBI68" s="164"/>
      <c r="NBJ68"/>
      <c r="NBK68" s="157"/>
      <c r="NBL68" s="158"/>
      <c r="NBM68" s="159"/>
      <c r="NBN68" s="159"/>
      <c r="NBO68" s="158"/>
      <c r="NBP68" s="160"/>
      <c r="NBQ68" s="158"/>
      <c r="NBR68" s="160"/>
      <c r="NBS68" s="161"/>
      <c r="NBT68" s="162"/>
      <c r="NBU68"/>
      <c r="NBV68" s="163"/>
      <c r="NBW68"/>
      <c r="NBX68" s="156"/>
      <c r="NBY68" s="164"/>
      <c r="NBZ68"/>
      <c r="NCA68" s="157"/>
      <c r="NCB68" s="158"/>
      <c r="NCC68" s="159"/>
      <c r="NCD68" s="159"/>
      <c r="NCE68" s="158"/>
      <c r="NCF68" s="160"/>
      <c r="NCG68" s="158"/>
      <c r="NCH68" s="160"/>
      <c r="NCI68" s="161"/>
      <c r="NCJ68" s="162"/>
      <c r="NCK68"/>
      <c r="NCL68" s="163"/>
      <c r="NCM68"/>
      <c r="NCN68" s="156"/>
      <c r="NCO68" s="164"/>
      <c r="NCP68"/>
      <c r="NCQ68" s="157"/>
      <c r="NCR68" s="158"/>
      <c r="NCS68" s="159"/>
      <c r="NCT68" s="159"/>
      <c r="NCU68" s="158"/>
      <c r="NCV68" s="160"/>
      <c r="NCW68" s="158"/>
      <c r="NCX68" s="160"/>
      <c r="NCY68" s="161"/>
      <c r="NCZ68" s="162"/>
      <c r="NDA68"/>
      <c r="NDB68" s="163"/>
      <c r="NDC68"/>
      <c r="NDD68" s="156"/>
      <c r="NDE68" s="164"/>
      <c r="NDF68"/>
      <c r="NDG68" s="157"/>
      <c r="NDH68" s="158"/>
      <c r="NDI68" s="159"/>
      <c r="NDJ68" s="159"/>
      <c r="NDK68" s="158"/>
      <c r="NDL68" s="160"/>
      <c r="NDM68" s="158"/>
      <c r="NDN68" s="160"/>
      <c r="NDO68" s="161"/>
      <c r="NDP68" s="162"/>
      <c r="NDQ68"/>
      <c r="NDR68" s="163"/>
      <c r="NDS68"/>
      <c r="NDT68" s="156"/>
      <c r="NDU68" s="164"/>
      <c r="NDV68"/>
      <c r="NDW68" s="157"/>
      <c r="NDX68" s="158"/>
      <c r="NDY68" s="159"/>
      <c r="NDZ68" s="159"/>
      <c r="NEA68" s="158"/>
      <c r="NEB68" s="160"/>
      <c r="NEC68" s="158"/>
      <c r="NED68" s="160"/>
      <c r="NEE68" s="161"/>
      <c r="NEF68" s="162"/>
      <c r="NEG68"/>
      <c r="NEH68" s="163"/>
      <c r="NEI68"/>
      <c r="NEJ68" s="156"/>
      <c r="NEK68" s="164"/>
      <c r="NEL68"/>
      <c r="NEM68" s="157"/>
      <c r="NEN68" s="158"/>
      <c r="NEO68" s="159"/>
      <c r="NEP68" s="159"/>
      <c r="NEQ68" s="158"/>
      <c r="NER68" s="160"/>
      <c r="NES68" s="158"/>
      <c r="NET68" s="160"/>
      <c r="NEU68" s="161"/>
      <c r="NEV68" s="162"/>
      <c r="NEW68"/>
      <c r="NEX68" s="163"/>
      <c r="NEY68"/>
      <c r="NEZ68" s="156"/>
      <c r="NFA68" s="164"/>
      <c r="NFB68"/>
      <c r="NFC68" s="157"/>
      <c r="NFD68" s="158"/>
      <c r="NFE68" s="159"/>
      <c r="NFF68" s="159"/>
      <c r="NFG68" s="158"/>
      <c r="NFH68" s="160"/>
      <c r="NFI68" s="158"/>
      <c r="NFJ68" s="160"/>
      <c r="NFK68" s="161"/>
      <c r="NFL68" s="162"/>
      <c r="NFM68"/>
      <c r="NFN68" s="163"/>
      <c r="NFO68"/>
      <c r="NFP68" s="156"/>
      <c r="NFQ68" s="164"/>
      <c r="NFR68"/>
      <c r="NFS68" s="157"/>
      <c r="NFT68" s="158"/>
      <c r="NFU68" s="159"/>
      <c r="NFV68" s="159"/>
      <c r="NFW68" s="158"/>
      <c r="NFX68" s="160"/>
      <c r="NFY68" s="158"/>
      <c r="NFZ68" s="160"/>
      <c r="NGA68" s="161"/>
      <c r="NGB68" s="162"/>
      <c r="NGC68"/>
      <c r="NGD68" s="163"/>
      <c r="NGE68"/>
      <c r="NGF68" s="156"/>
      <c r="NGG68" s="164"/>
      <c r="NGH68"/>
      <c r="NGI68" s="157"/>
      <c r="NGJ68" s="158"/>
      <c r="NGK68" s="159"/>
      <c r="NGL68" s="159"/>
      <c r="NGM68" s="158"/>
      <c r="NGN68" s="160"/>
      <c r="NGO68" s="158"/>
      <c r="NGP68" s="160"/>
      <c r="NGQ68" s="161"/>
      <c r="NGR68" s="162"/>
      <c r="NGS68"/>
      <c r="NGT68" s="163"/>
      <c r="NGU68"/>
      <c r="NGV68" s="156"/>
      <c r="NGW68" s="164"/>
      <c r="NGX68"/>
      <c r="NGY68" s="157"/>
      <c r="NGZ68" s="158"/>
      <c r="NHA68" s="159"/>
      <c r="NHB68" s="159"/>
      <c r="NHC68" s="158"/>
      <c r="NHD68" s="160"/>
      <c r="NHE68" s="158"/>
      <c r="NHF68" s="160"/>
      <c r="NHG68" s="161"/>
      <c r="NHH68" s="162"/>
      <c r="NHI68"/>
      <c r="NHJ68" s="163"/>
      <c r="NHK68"/>
      <c r="NHL68" s="156"/>
      <c r="NHM68" s="164"/>
      <c r="NHN68"/>
      <c r="NHO68" s="157"/>
      <c r="NHP68" s="158"/>
      <c r="NHQ68" s="159"/>
      <c r="NHR68" s="159"/>
      <c r="NHS68" s="158"/>
      <c r="NHT68" s="160"/>
      <c r="NHU68" s="158"/>
      <c r="NHV68" s="160"/>
      <c r="NHW68" s="161"/>
      <c r="NHX68" s="162"/>
      <c r="NHY68"/>
      <c r="NHZ68" s="163"/>
      <c r="NIA68"/>
      <c r="NIB68" s="156"/>
      <c r="NIC68" s="164"/>
      <c r="NID68"/>
      <c r="NIE68" s="157"/>
      <c r="NIF68" s="158"/>
      <c r="NIG68" s="159"/>
      <c r="NIH68" s="159"/>
      <c r="NII68" s="158"/>
      <c r="NIJ68" s="160"/>
      <c r="NIK68" s="158"/>
      <c r="NIL68" s="160"/>
      <c r="NIM68" s="161"/>
      <c r="NIN68" s="162"/>
      <c r="NIO68"/>
      <c r="NIP68" s="163"/>
      <c r="NIQ68"/>
      <c r="NIR68" s="156"/>
      <c r="NIS68" s="164"/>
      <c r="NIT68"/>
      <c r="NIU68" s="157"/>
      <c r="NIV68" s="158"/>
      <c r="NIW68" s="159"/>
      <c r="NIX68" s="159"/>
      <c r="NIY68" s="158"/>
      <c r="NIZ68" s="160"/>
      <c r="NJA68" s="158"/>
      <c r="NJB68" s="160"/>
      <c r="NJC68" s="161"/>
      <c r="NJD68" s="162"/>
      <c r="NJE68"/>
      <c r="NJF68" s="163"/>
      <c r="NJG68"/>
      <c r="NJH68" s="156"/>
      <c r="NJI68" s="164"/>
      <c r="NJJ68"/>
      <c r="NJK68" s="157"/>
      <c r="NJL68" s="158"/>
      <c r="NJM68" s="159"/>
      <c r="NJN68" s="159"/>
      <c r="NJO68" s="158"/>
      <c r="NJP68" s="160"/>
      <c r="NJQ68" s="158"/>
      <c r="NJR68" s="160"/>
      <c r="NJS68" s="161"/>
      <c r="NJT68" s="162"/>
      <c r="NJU68"/>
      <c r="NJV68" s="163"/>
      <c r="NJW68"/>
      <c r="NJX68" s="156"/>
      <c r="NJY68" s="164"/>
      <c r="NJZ68"/>
      <c r="NKA68" s="157"/>
      <c r="NKB68" s="158"/>
      <c r="NKC68" s="159"/>
      <c r="NKD68" s="159"/>
      <c r="NKE68" s="158"/>
      <c r="NKF68" s="160"/>
      <c r="NKG68" s="158"/>
      <c r="NKH68" s="160"/>
      <c r="NKI68" s="161"/>
      <c r="NKJ68" s="162"/>
      <c r="NKK68"/>
      <c r="NKL68" s="163"/>
      <c r="NKM68"/>
      <c r="NKN68" s="156"/>
      <c r="NKO68" s="164"/>
      <c r="NKP68"/>
      <c r="NKQ68" s="157"/>
      <c r="NKR68" s="158"/>
      <c r="NKS68" s="159"/>
      <c r="NKT68" s="159"/>
      <c r="NKU68" s="158"/>
      <c r="NKV68" s="160"/>
      <c r="NKW68" s="158"/>
      <c r="NKX68" s="160"/>
      <c r="NKY68" s="161"/>
      <c r="NKZ68" s="162"/>
      <c r="NLA68"/>
      <c r="NLB68" s="163"/>
      <c r="NLC68"/>
      <c r="NLD68" s="156"/>
      <c r="NLE68" s="164"/>
      <c r="NLF68"/>
      <c r="NLG68" s="157"/>
      <c r="NLH68" s="158"/>
      <c r="NLI68" s="159"/>
      <c r="NLJ68" s="159"/>
      <c r="NLK68" s="158"/>
      <c r="NLL68" s="160"/>
      <c r="NLM68" s="158"/>
      <c r="NLN68" s="160"/>
      <c r="NLO68" s="161"/>
      <c r="NLP68" s="162"/>
      <c r="NLQ68"/>
      <c r="NLR68" s="163"/>
      <c r="NLS68"/>
      <c r="NLT68" s="156"/>
      <c r="NLU68" s="164"/>
      <c r="NLV68"/>
      <c r="NLW68" s="157"/>
      <c r="NLX68" s="158"/>
      <c r="NLY68" s="159"/>
      <c r="NLZ68" s="159"/>
      <c r="NMA68" s="158"/>
      <c r="NMB68" s="160"/>
      <c r="NMC68" s="158"/>
      <c r="NMD68" s="160"/>
      <c r="NME68" s="161"/>
      <c r="NMF68" s="162"/>
      <c r="NMG68"/>
      <c r="NMH68" s="163"/>
      <c r="NMI68"/>
      <c r="NMJ68" s="156"/>
      <c r="NMK68" s="164"/>
      <c r="NML68"/>
      <c r="NMM68" s="157"/>
      <c r="NMN68" s="158"/>
      <c r="NMO68" s="159"/>
      <c r="NMP68" s="159"/>
      <c r="NMQ68" s="158"/>
      <c r="NMR68" s="160"/>
      <c r="NMS68" s="158"/>
      <c r="NMT68" s="160"/>
      <c r="NMU68" s="161"/>
      <c r="NMV68" s="162"/>
      <c r="NMW68"/>
      <c r="NMX68" s="163"/>
      <c r="NMY68"/>
      <c r="NMZ68" s="156"/>
      <c r="NNA68" s="164"/>
      <c r="NNB68"/>
      <c r="NNC68" s="157"/>
      <c r="NND68" s="158"/>
      <c r="NNE68" s="159"/>
      <c r="NNF68" s="159"/>
      <c r="NNG68" s="158"/>
      <c r="NNH68" s="160"/>
      <c r="NNI68" s="158"/>
      <c r="NNJ68" s="160"/>
      <c r="NNK68" s="161"/>
      <c r="NNL68" s="162"/>
      <c r="NNM68"/>
      <c r="NNN68" s="163"/>
      <c r="NNO68"/>
      <c r="NNP68" s="156"/>
      <c r="NNQ68" s="164"/>
      <c r="NNR68"/>
      <c r="NNS68" s="157"/>
      <c r="NNT68" s="158"/>
      <c r="NNU68" s="159"/>
      <c r="NNV68" s="159"/>
      <c r="NNW68" s="158"/>
      <c r="NNX68" s="160"/>
      <c r="NNY68" s="158"/>
      <c r="NNZ68" s="160"/>
      <c r="NOA68" s="161"/>
      <c r="NOB68" s="162"/>
      <c r="NOC68"/>
      <c r="NOD68" s="163"/>
      <c r="NOE68"/>
      <c r="NOF68" s="156"/>
      <c r="NOG68" s="164"/>
      <c r="NOH68"/>
      <c r="NOI68" s="157"/>
      <c r="NOJ68" s="158"/>
      <c r="NOK68" s="159"/>
      <c r="NOL68" s="159"/>
      <c r="NOM68" s="158"/>
      <c r="NON68" s="160"/>
      <c r="NOO68" s="158"/>
      <c r="NOP68" s="160"/>
      <c r="NOQ68" s="161"/>
      <c r="NOR68" s="162"/>
      <c r="NOS68"/>
      <c r="NOT68" s="163"/>
      <c r="NOU68"/>
      <c r="NOV68" s="156"/>
      <c r="NOW68" s="164"/>
      <c r="NOX68"/>
      <c r="NOY68" s="157"/>
      <c r="NOZ68" s="158"/>
      <c r="NPA68" s="159"/>
      <c r="NPB68" s="159"/>
      <c r="NPC68" s="158"/>
      <c r="NPD68" s="160"/>
      <c r="NPE68" s="158"/>
      <c r="NPF68" s="160"/>
      <c r="NPG68" s="161"/>
      <c r="NPH68" s="162"/>
      <c r="NPI68"/>
      <c r="NPJ68" s="163"/>
      <c r="NPK68"/>
      <c r="NPL68" s="156"/>
      <c r="NPM68" s="164"/>
      <c r="NPN68"/>
      <c r="NPO68" s="157"/>
      <c r="NPP68" s="158"/>
      <c r="NPQ68" s="159"/>
      <c r="NPR68" s="159"/>
      <c r="NPS68" s="158"/>
      <c r="NPT68" s="160"/>
      <c r="NPU68" s="158"/>
      <c r="NPV68" s="160"/>
      <c r="NPW68" s="161"/>
      <c r="NPX68" s="162"/>
      <c r="NPY68"/>
      <c r="NPZ68" s="163"/>
      <c r="NQA68"/>
      <c r="NQB68" s="156"/>
      <c r="NQC68" s="164"/>
      <c r="NQD68"/>
      <c r="NQE68" s="157"/>
      <c r="NQF68" s="158"/>
      <c r="NQG68" s="159"/>
      <c r="NQH68" s="159"/>
      <c r="NQI68" s="158"/>
      <c r="NQJ68" s="160"/>
      <c r="NQK68" s="158"/>
      <c r="NQL68" s="160"/>
      <c r="NQM68" s="161"/>
      <c r="NQN68" s="162"/>
      <c r="NQO68"/>
      <c r="NQP68" s="163"/>
      <c r="NQQ68"/>
      <c r="NQR68" s="156"/>
      <c r="NQS68" s="164"/>
      <c r="NQT68"/>
      <c r="NQU68" s="157"/>
      <c r="NQV68" s="158"/>
      <c r="NQW68" s="159"/>
      <c r="NQX68" s="159"/>
      <c r="NQY68" s="158"/>
      <c r="NQZ68" s="160"/>
      <c r="NRA68" s="158"/>
      <c r="NRB68" s="160"/>
      <c r="NRC68" s="161"/>
      <c r="NRD68" s="162"/>
      <c r="NRE68"/>
      <c r="NRF68" s="163"/>
      <c r="NRG68"/>
      <c r="NRH68" s="156"/>
      <c r="NRI68" s="164"/>
      <c r="NRJ68"/>
      <c r="NRK68" s="157"/>
      <c r="NRL68" s="158"/>
      <c r="NRM68" s="159"/>
      <c r="NRN68" s="159"/>
      <c r="NRO68" s="158"/>
      <c r="NRP68" s="160"/>
      <c r="NRQ68" s="158"/>
      <c r="NRR68" s="160"/>
      <c r="NRS68" s="161"/>
      <c r="NRT68" s="162"/>
      <c r="NRU68"/>
      <c r="NRV68" s="163"/>
      <c r="NRW68"/>
      <c r="NRX68" s="156"/>
      <c r="NRY68" s="164"/>
      <c r="NRZ68"/>
      <c r="NSA68" s="157"/>
      <c r="NSB68" s="158"/>
      <c r="NSC68" s="159"/>
      <c r="NSD68" s="159"/>
      <c r="NSE68" s="158"/>
      <c r="NSF68" s="160"/>
      <c r="NSG68" s="158"/>
      <c r="NSH68" s="160"/>
      <c r="NSI68" s="161"/>
      <c r="NSJ68" s="162"/>
      <c r="NSK68"/>
      <c r="NSL68" s="163"/>
      <c r="NSM68"/>
      <c r="NSN68" s="156"/>
      <c r="NSO68" s="164"/>
      <c r="NSP68"/>
      <c r="NSQ68" s="157"/>
      <c r="NSR68" s="158"/>
      <c r="NSS68" s="159"/>
      <c r="NST68" s="159"/>
      <c r="NSU68" s="158"/>
      <c r="NSV68" s="160"/>
      <c r="NSW68" s="158"/>
      <c r="NSX68" s="160"/>
      <c r="NSY68" s="161"/>
      <c r="NSZ68" s="162"/>
      <c r="NTA68"/>
      <c r="NTB68" s="163"/>
      <c r="NTC68"/>
      <c r="NTD68" s="156"/>
      <c r="NTE68" s="164"/>
      <c r="NTF68"/>
      <c r="NTG68" s="157"/>
      <c r="NTH68" s="158"/>
      <c r="NTI68" s="159"/>
      <c r="NTJ68" s="159"/>
      <c r="NTK68" s="158"/>
      <c r="NTL68" s="160"/>
      <c r="NTM68" s="158"/>
      <c r="NTN68" s="160"/>
      <c r="NTO68" s="161"/>
      <c r="NTP68" s="162"/>
      <c r="NTQ68"/>
      <c r="NTR68" s="163"/>
      <c r="NTS68"/>
      <c r="NTT68" s="156"/>
      <c r="NTU68" s="164"/>
      <c r="NTV68"/>
      <c r="NTW68" s="157"/>
      <c r="NTX68" s="158"/>
      <c r="NTY68" s="159"/>
      <c r="NTZ68" s="159"/>
      <c r="NUA68" s="158"/>
      <c r="NUB68" s="160"/>
      <c r="NUC68" s="158"/>
      <c r="NUD68" s="160"/>
      <c r="NUE68" s="161"/>
      <c r="NUF68" s="162"/>
      <c r="NUG68"/>
      <c r="NUH68" s="163"/>
      <c r="NUI68"/>
      <c r="NUJ68" s="156"/>
      <c r="NUK68" s="164"/>
      <c r="NUL68"/>
      <c r="NUM68" s="157"/>
      <c r="NUN68" s="158"/>
      <c r="NUO68" s="159"/>
      <c r="NUP68" s="159"/>
      <c r="NUQ68" s="158"/>
      <c r="NUR68" s="160"/>
      <c r="NUS68" s="158"/>
      <c r="NUT68" s="160"/>
      <c r="NUU68" s="161"/>
      <c r="NUV68" s="162"/>
      <c r="NUW68"/>
      <c r="NUX68" s="163"/>
      <c r="NUY68"/>
      <c r="NUZ68" s="156"/>
      <c r="NVA68" s="164"/>
      <c r="NVB68"/>
      <c r="NVC68" s="157"/>
      <c r="NVD68" s="158"/>
      <c r="NVE68" s="159"/>
      <c r="NVF68" s="159"/>
      <c r="NVG68" s="158"/>
      <c r="NVH68" s="160"/>
      <c r="NVI68" s="158"/>
      <c r="NVJ68" s="160"/>
      <c r="NVK68" s="161"/>
      <c r="NVL68" s="162"/>
      <c r="NVM68"/>
      <c r="NVN68" s="163"/>
      <c r="NVO68"/>
      <c r="NVP68" s="156"/>
      <c r="NVQ68" s="164"/>
      <c r="NVR68"/>
      <c r="NVS68" s="157"/>
      <c r="NVT68" s="158"/>
      <c r="NVU68" s="159"/>
      <c r="NVV68" s="159"/>
      <c r="NVW68" s="158"/>
      <c r="NVX68" s="160"/>
      <c r="NVY68" s="158"/>
      <c r="NVZ68" s="160"/>
      <c r="NWA68" s="161"/>
      <c r="NWB68" s="162"/>
      <c r="NWC68"/>
      <c r="NWD68" s="163"/>
      <c r="NWE68"/>
      <c r="NWF68" s="156"/>
      <c r="NWG68" s="164"/>
      <c r="NWH68"/>
      <c r="NWI68" s="157"/>
      <c r="NWJ68" s="158"/>
      <c r="NWK68" s="159"/>
      <c r="NWL68" s="159"/>
      <c r="NWM68" s="158"/>
      <c r="NWN68" s="160"/>
      <c r="NWO68" s="158"/>
      <c r="NWP68" s="160"/>
      <c r="NWQ68" s="161"/>
      <c r="NWR68" s="162"/>
      <c r="NWS68"/>
      <c r="NWT68" s="163"/>
      <c r="NWU68"/>
      <c r="NWV68" s="156"/>
      <c r="NWW68" s="164"/>
      <c r="NWX68"/>
      <c r="NWY68" s="157"/>
      <c r="NWZ68" s="158"/>
      <c r="NXA68" s="159"/>
      <c r="NXB68" s="159"/>
      <c r="NXC68" s="158"/>
      <c r="NXD68" s="160"/>
      <c r="NXE68" s="158"/>
      <c r="NXF68" s="160"/>
      <c r="NXG68" s="161"/>
      <c r="NXH68" s="162"/>
      <c r="NXI68"/>
      <c r="NXJ68" s="163"/>
      <c r="NXK68"/>
      <c r="NXL68" s="156"/>
      <c r="NXM68" s="164"/>
      <c r="NXN68"/>
      <c r="NXO68" s="157"/>
      <c r="NXP68" s="158"/>
      <c r="NXQ68" s="159"/>
      <c r="NXR68" s="159"/>
      <c r="NXS68" s="158"/>
      <c r="NXT68" s="160"/>
      <c r="NXU68" s="158"/>
      <c r="NXV68" s="160"/>
      <c r="NXW68" s="161"/>
      <c r="NXX68" s="162"/>
      <c r="NXY68"/>
      <c r="NXZ68" s="163"/>
      <c r="NYA68"/>
      <c r="NYB68" s="156"/>
      <c r="NYC68" s="164"/>
      <c r="NYD68"/>
      <c r="NYE68" s="157"/>
      <c r="NYF68" s="158"/>
      <c r="NYG68" s="159"/>
      <c r="NYH68" s="159"/>
      <c r="NYI68" s="158"/>
      <c r="NYJ68" s="160"/>
      <c r="NYK68" s="158"/>
      <c r="NYL68" s="160"/>
      <c r="NYM68" s="161"/>
      <c r="NYN68" s="162"/>
      <c r="NYO68"/>
      <c r="NYP68" s="163"/>
      <c r="NYQ68"/>
      <c r="NYR68" s="156"/>
      <c r="NYS68" s="164"/>
      <c r="NYT68"/>
      <c r="NYU68" s="157"/>
      <c r="NYV68" s="158"/>
      <c r="NYW68" s="159"/>
      <c r="NYX68" s="159"/>
      <c r="NYY68" s="158"/>
      <c r="NYZ68" s="160"/>
      <c r="NZA68" s="158"/>
      <c r="NZB68" s="160"/>
      <c r="NZC68" s="161"/>
      <c r="NZD68" s="162"/>
      <c r="NZE68"/>
      <c r="NZF68" s="163"/>
      <c r="NZG68"/>
      <c r="NZH68" s="156"/>
      <c r="NZI68" s="164"/>
      <c r="NZJ68"/>
      <c r="NZK68" s="157"/>
      <c r="NZL68" s="158"/>
      <c r="NZM68" s="159"/>
      <c r="NZN68" s="159"/>
      <c r="NZO68" s="158"/>
      <c r="NZP68" s="160"/>
      <c r="NZQ68" s="158"/>
      <c r="NZR68" s="160"/>
      <c r="NZS68" s="161"/>
      <c r="NZT68" s="162"/>
      <c r="NZU68"/>
      <c r="NZV68" s="163"/>
      <c r="NZW68"/>
      <c r="NZX68" s="156"/>
      <c r="NZY68" s="164"/>
      <c r="NZZ68"/>
      <c r="OAA68" s="157"/>
      <c r="OAB68" s="158"/>
      <c r="OAC68" s="159"/>
      <c r="OAD68" s="159"/>
      <c r="OAE68" s="158"/>
      <c r="OAF68" s="160"/>
      <c r="OAG68" s="158"/>
      <c r="OAH68" s="160"/>
      <c r="OAI68" s="161"/>
      <c r="OAJ68" s="162"/>
      <c r="OAK68"/>
      <c r="OAL68" s="163"/>
      <c r="OAM68"/>
      <c r="OAN68" s="156"/>
      <c r="OAO68" s="164"/>
      <c r="OAP68"/>
      <c r="OAQ68" s="157"/>
      <c r="OAR68" s="158"/>
      <c r="OAS68" s="159"/>
      <c r="OAT68" s="159"/>
      <c r="OAU68" s="158"/>
      <c r="OAV68" s="160"/>
      <c r="OAW68" s="158"/>
      <c r="OAX68" s="160"/>
      <c r="OAY68" s="161"/>
      <c r="OAZ68" s="162"/>
      <c r="OBA68"/>
      <c r="OBB68" s="163"/>
      <c r="OBC68"/>
      <c r="OBD68" s="156"/>
      <c r="OBE68" s="164"/>
      <c r="OBF68"/>
      <c r="OBG68" s="157"/>
      <c r="OBH68" s="158"/>
      <c r="OBI68" s="159"/>
      <c r="OBJ68" s="159"/>
      <c r="OBK68" s="158"/>
      <c r="OBL68" s="160"/>
      <c r="OBM68" s="158"/>
      <c r="OBN68" s="160"/>
      <c r="OBO68" s="161"/>
      <c r="OBP68" s="162"/>
      <c r="OBQ68"/>
      <c r="OBR68" s="163"/>
      <c r="OBS68"/>
      <c r="OBT68" s="156"/>
      <c r="OBU68" s="164"/>
      <c r="OBV68"/>
      <c r="OBW68" s="157"/>
      <c r="OBX68" s="158"/>
      <c r="OBY68" s="159"/>
      <c r="OBZ68" s="159"/>
      <c r="OCA68" s="158"/>
      <c r="OCB68" s="160"/>
      <c r="OCC68" s="158"/>
      <c r="OCD68" s="160"/>
      <c r="OCE68" s="161"/>
      <c r="OCF68" s="162"/>
      <c r="OCG68"/>
      <c r="OCH68" s="163"/>
      <c r="OCI68"/>
      <c r="OCJ68" s="156"/>
      <c r="OCK68" s="164"/>
      <c r="OCL68"/>
      <c r="OCM68" s="157"/>
      <c r="OCN68" s="158"/>
      <c r="OCO68" s="159"/>
      <c r="OCP68" s="159"/>
      <c r="OCQ68" s="158"/>
      <c r="OCR68" s="160"/>
      <c r="OCS68" s="158"/>
      <c r="OCT68" s="160"/>
      <c r="OCU68" s="161"/>
      <c r="OCV68" s="162"/>
      <c r="OCW68"/>
      <c r="OCX68" s="163"/>
      <c r="OCY68"/>
      <c r="OCZ68" s="156"/>
      <c r="ODA68" s="164"/>
      <c r="ODB68"/>
      <c r="ODC68" s="157"/>
      <c r="ODD68" s="158"/>
      <c r="ODE68" s="159"/>
      <c r="ODF68" s="159"/>
      <c r="ODG68" s="158"/>
      <c r="ODH68" s="160"/>
      <c r="ODI68" s="158"/>
      <c r="ODJ68" s="160"/>
      <c r="ODK68" s="161"/>
      <c r="ODL68" s="162"/>
      <c r="ODM68"/>
      <c r="ODN68" s="163"/>
      <c r="ODO68"/>
      <c r="ODP68" s="156"/>
      <c r="ODQ68" s="164"/>
      <c r="ODR68"/>
      <c r="ODS68" s="157"/>
      <c r="ODT68" s="158"/>
      <c r="ODU68" s="159"/>
      <c r="ODV68" s="159"/>
      <c r="ODW68" s="158"/>
      <c r="ODX68" s="160"/>
      <c r="ODY68" s="158"/>
      <c r="ODZ68" s="160"/>
      <c r="OEA68" s="161"/>
      <c r="OEB68" s="162"/>
      <c r="OEC68"/>
      <c r="OED68" s="163"/>
      <c r="OEE68"/>
      <c r="OEF68" s="156"/>
      <c r="OEG68" s="164"/>
      <c r="OEH68"/>
      <c r="OEI68" s="157"/>
      <c r="OEJ68" s="158"/>
      <c r="OEK68" s="159"/>
      <c r="OEL68" s="159"/>
      <c r="OEM68" s="158"/>
      <c r="OEN68" s="160"/>
      <c r="OEO68" s="158"/>
      <c r="OEP68" s="160"/>
      <c r="OEQ68" s="161"/>
      <c r="OER68" s="162"/>
      <c r="OES68"/>
      <c r="OET68" s="163"/>
      <c r="OEU68"/>
      <c r="OEV68" s="156"/>
      <c r="OEW68" s="164"/>
      <c r="OEX68"/>
      <c r="OEY68" s="157"/>
      <c r="OEZ68" s="158"/>
      <c r="OFA68" s="159"/>
      <c r="OFB68" s="159"/>
      <c r="OFC68" s="158"/>
      <c r="OFD68" s="160"/>
      <c r="OFE68" s="158"/>
      <c r="OFF68" s="160"/>
      <c r="OFG68" s="161"/>
      <c r="OFH68" s="162"/>
      <c r="OFI68"/>
      <c r="OFJ68" s="163"/>
      <c r="OFK68"/>
      <c r="OFL68" s="156"/>
      <c r="OFM68" s="164"/>
      <c r="OFN68"/>
      <c r="OFO68" s="157"/>
      <c r="OFP68" s="158"/>
      <c r="OFQ68" s="159"/>
      <c r="OFR68" s="159"/>
      <c r="OFS68" s="158"/>
      <c r="OFT68" s="160"/>
      <c r="OFU68" s="158"/>
      <c r="OFV68" s="160"/>
      <c r="OFW68" s="161"/>
      <c r="OFX68" s="162"/>
      <c r="OFY68"/>
      <c r="OFZ68" s="163"/>
      <c r="OGA68"/>
      <c r="OGB68" s="156"/>
      <c r="OGC68" s="164"/>
      <c r="OGD68"/>
      <c r="OGE68" s="157"/>
      <c r="OGF68" s="158"/>
      <c r="OGG68" s="159"/>
      <c r="OGH68" s="159"/>
      <c r="OGI68" s="158"/>
      <c r="OGJ68" s="160"/>
      <c r="OGK68" s="158"/>
      <c r="OGL68" s="160"/>
      <c r="OGM68" s="161"/>
      <c r="OGN68" s="162"/>
      <c r="OGO68"/>
      <c r="OGP68" s="163"/>
      <c r="OGQ68"/>
      <c r="OGR68" s="156"/>
      <c r="OGS68" s="164"/>
      <c r="OGT68"/>
      <c r="OGU68" s="157"/>
      <c r="OGV68" s="158"/>
      <c r="OGW68" s="159"/>
      <c r="OGX68" s="159"/>
      <c r="OGY68" s="158"/>
      <c r="OGZ68" s="160"/>
      <c r="OHA68" s="158"/>
      <c r="OHB68" s="160"/>
      <c r="OHC68" s="161"/>
      <c r="OHD68" s="162"/>
      <c r="OHE68"/>
      <c r="OHF68" s="163"/>
      <c r="OHG68"/>
      <c r="OHH68" s="156"/>
      <c r="OHI68" s="164"/>
      <c r="OHJ68"/>
      <c r="OHK68" s="157"/>
      <c r="OHL68" s="158"/>
      <c r="OHM68" s="159"/>
      <c r="OHN68" s="159"/>
      <c r="OHO68" s="158"/>
      <c r="OHP68" s="160"/>
      <c r="OHQ68" s="158"/>
      <c r="OHR68" s="160"/>
      <c r="OHS68" s="161"/>
      <c r="OHT68" s="162"/>
      <c r="OHU68"/>
      <c r="OHV68" s="163"/>
      <c r="OHW68"/>
      <c r="OHX68" s="156"/>
      <c r="OHY68" s="164"/>
      <c r="OHZ68"/>
      <c r="OIA68" s="157"/>
      <c r="OIB68" s="158"/>
      <c r="OIC68" s="159"/>
      <c r="OID68" s="159"/>
      <c r="OIE68" s="158"/>
      <c r="OIF68" s="160"/>
      <c r="OIG68" s="158"/>
      <c r="OIH68" s="160"/>
      <c r="OII68" s="161"/>
      <c r="OIJ68" s="162"/>
      <c r="OIK68"/>
      <c r="OIL68" s="163"/>
      <c r="OIM68"/>
      <c r="OIN68" s="156"/>
      <c r="OIO68" s="164"/>
      <c r="OIP68"/>
      <c r="OIQ68" s="157"/>
      <c r="OIR68" s="158"/>
      <c r="OIS68" s="159"/>
      <c r="OIT68" s="159"/>
      <c r="OIU68" s="158"/>
      <c r="OIV68" s="160"/>
      <c r="OIW68" s="158"/>
      <c r="OIX68" s="160"/>
      <c r="OIY68" s="161"/>
      <c r="OIZ68" s="162"/>
      <c r="OJA68"/>
      <c r="OJB68" s="163"/>
      <c r="OJC68"/>
      <c r="OJD68" s="156"/>
      <c r="OJE68" s="164"/>
      <c r="OJF68"/>
      <c r="OJG68" s="157"/>
      <c r="OJH68" s="158"/>
      <c r="OJI68" s="159"/>
      <c r="OJJ68" s="159"/>
      <c r="OJK68" s="158"/>
      <c r="OJL68" s="160"/>
      <c r="OJM68" s="158"/>
      <c r="OJN68" s="160"/>
      <c r="OJO68" s="161"/>
      <c r="OJP68" s="162"/>
      <c r="OJQ68"/>
      <c r="OJR68" s="163"/>
      <c r="OJS68"/>
      <c r="OJT68" s="156"/>
      <c r="OJU68" s="164"/>
      <c r="OJV68"/>
      <c r="OJW68" s="157"/>
      <c r="OJX68" s="158"/>
      <c r="OJY68" s="159"/>
      <c r="OJZ68" s="159"/>
      <c r="OKA68" s="158"/>
      <c r="OKB68" s="160"/>
      <c r="OKC68" s="158"/>
      <c r="OKD68" s="160"/>
      <c r="OKE68" s="161"/>
      <c r="OKF68" s="162"/>
      <c r="OKG68"/>
      <c r="OKH68" s="163"/>
      <c r="OKI68"/>
      <c r="OKJ68" s="156"/>
      <c r="OKK68" s="164"/>
      <c r="OKL68"/>
      <c r="OKM68" s="157"/>
      <c r="OKN68" s="158"/>
      <c r="OKO68" s="159"/>
      <c r="OKP68" s="159"/>
      <c r="OKQ68" s="158"/>
      <c r="OKR68" s="160"/>
      <c r="OKS68" s="158"/>
      <c r="OKT68" s="160"/>
      <c r="OKU68" s="161"/>
      <c r="OKV68" s="162"/>
      <c r="OKW68"/>
      <c r="OKX68" s="163"/>
      <c r="OKY68"/>
      <c r="OKZ68" s="156"/>
      <c r="OLA68" s="164"/>
      <c r="OLB68"/>
      <c r="OLC68" s="157"/>
      <c r="OLD68" s="158"/>
      <c r="OLE68" s="159"/>
      <c r="OLF68" s="159"/>
      <c r="OLG68" s="158"/>
      <c r="OLH68" s="160"/>
      <c r="OLI68" s="158"/>
      <c r="OLJ68" s="160"/>
      <c r="OLK68" s="161"/>
      <c r="OLL68" s="162"/>
      <c r="OLM68"/>
      <c r="OLN68" s="163"/>
      <c r="OLO68"/>
      <c r="OLP68" s="156"/>
      <c r="OLQ68" s="164"/>
      <c r="OLR68"/>
      <c r="OLS68" s="157"/>
      <c r="OLT68" s="158"/>
      <c r="OLU68" s="159"/>
      <c r="OLV68" s="159"/>
      <c r="OLW68" s="158"/>
      <c r="OLX68" s="160"/>
      <c r="OLY68" s="158"/>
      <c r="OLZ68" s="160"/>
      <c r="OMA68" s="161"/>
      <c r="OMB68" s="162"/>
      <c r="OMC68"/>
      <c r="OMD68" s="163"/>
      <c r="OME68"/>
      <c r="OMF68" s="156"/>
      <c r="OMG68" s="164"/>
      <c r="OMH68"/>
      <c r="OMI68" s="157"/>
      <c r="OMJ68" s="158"/>
      <c r="OMK68" s="159"/>
      <c r="OML68" s="159"/>
      <c r="OMM68" s="158"/>
      <c r="OMN68" s="160"/>
      <c r="OMO68" s="158"/>
      <c r="OMP68" s="160"/>
      <c r="OMQ68" s="161"/>
      <c r="OMR68" s="162"/>
      <c r="OMS68"/>
      <c r="OMT68" s="163"/>
      <c r="OMU68"/>
      <c r="OMV68" s="156"/>
      <c r="OMW68" s="164"/>
      <c r="OMX68"/>
      <c r="OMY68" s="157"/>
      <c r="OMZ68" s="158"/>
      <c r="ONA68" s="159"/>
      <c r="ONB68" s="159"/>
      <c r="ONC68" s="158"/>
      <c r="OND68" s="160"/>
      <c r="ONE68" s="158"/>
      <c r="ONF68" s="160"/>
      <c r="ONG68" s="161"/>
      <c r="ONH68" s="162"/>
      <c r="ONI68"/>
      <c r="ONJ68" s="163"/>
      <c r="ONK68"/>
      <c r="ONL68" s="156"/>
      <c r="ONM68" s="164"/>
      <c r="ONN68"/>
      <c r="ONO68" s="157"/>
      <c r="ONP68" s="158"/>
      <c r="ONQ68" s="159"/>
      <c r="ONR68" s="159"/>
      <c r="ONS68" s="158"/>
      <c r="ONT68" s="160"/>
      <c r="ONU68" s="158"/>
      <c r="ONV68" s="160"/>
      <c r="ONW68" s="161"/>
      <c r="ONX68" s="162"/>
      <c r="ONY68"/>
      <c r="ONZ68" s="163"/>
      <c r="OOA68"/>
      <c r="OOB68" s="156"/>
      <c r="OOC68" s="164"/>
      <c r="OOD68"/>
      <c r="OOE68" s="157"/>
      <c r="OOF68" s="158"/>
      <c r="OOG68" s="159"/>
      <c r="OOH68" s="159"/>
      <c r="OOI68" s="158"/>
      <c r="OOJ68" s="160"/>
      <c r="OOK68" s="158"/>
      <c r="OOL68" s="160"/>
      <c r="OOM68" s="161"/>
      <c r="OON68" s="162"/>
      <c r="OOO68"/>
      <c r="OOP68" s="163"/>
      <c r="OOQ68"/>
      <c r="OOR68" s="156"/>
      <c r="OOS68" s="164"/>
      <c r="OOT68"/>
      <c r="OOU68" s="157"/>
      <c r="OOV68" s="158"/>
      <c r="OOW68" s="159"/>
      <c r="OOX68" s="159"/>
      <c r="OOY68" s="158"/>
      <c r="OOZ68" s="160"/>
      <c r="OPA68" s="158"/>
      <c r="OPB68" s="160"/>
      <c r="OPC68" s="161"/>
      <c r="OPD68" s="162"/>
      <c r="OPE68"/>
      <c r="OPF68" s="163"/>
      <c r="OPG68"/>
      <c r="OPH68" s="156"/>
      <c r="OPI68" s="164"/>
      <c r="OPJ68"/>
      <c r="OPK68" s="157"/>
      <c r="OPL68" s="158"/>
      <c r="OPM68" s="159"/>
      <c r="OPN68" s="159"/>
      <c r="OPO68" s="158"/>
      <c r="OPP68" s="160"/>
      <c r="OPQ68" s="158"/>
      <c r="OPR68" s="160"/>
      <c r="OPS68" s="161"/>
      <c r="OPT68" s="162"/>
      <c r="OPU68"/>
      <c r="OPV68" s="163"/>
      <c r="OPW68"/>
      <c r="OPX68" s="156"/>
      <c r="OPY68" s="164"/>
      <c r="OPZ68"/>
      <c r="OQA68" s="157"/>
      <c r="OQB68" s="158"/>
      <c r="OQC68" s="159"/>
      <c r="OQD68" s="159"/>
      <c r="OQE68" s="158"/>
      <c r="OQF68" s="160"/>
      <c r="OQG68" s="158"/>
      <c r="OQH68" s="160"/>
      <c r="OQI68" s="161"/>
      <c r="OQJ68" s="162"/>
      <c r="OQK68"/>
      <c r="OQL68" s="163"/>
      <c r="OQM68"/>
      <c r="OQN68" s="156"/>
      <c r="OQO68" s="164"/>
      <c r="OQP68"/>
      <c r="OQQ68" s="157"/>
      <c r="OQR68" s="158"/>
      <c r="OQS68" s="159"/>
      <c r="OQT68" s="159"/>
      <c r="OQU68" s="158"/>
      <c r="OQV68" s="160"/>
      <c r="OQW68" s="158"/>
      <c r="OQX68" s="160"/>
      <c r="OQY68" s="161"/>
      <c r="OQZ68" s="162"/>
      <c r="ORA68"/>
      <c r="ORB68" s="163"/>
      <c r="ORC68"/>
      <c r="ORD68" s="156"/>
      <c r="ORE68" s="164"/>
      <c r="ORF68"/>
      <c r="ORG68" s="157"/>
      <c r="ORH68" s="158"/>
      <c r="ORI68" s="159"/>
      <c r="ORJ68" s="159"/>
      <c r="ORK68" s="158"/>
      <c r="ORL68" s="160"/>
      <c r="ORM68" s="158"/>
      <c r="ORN68" s="160"/>
      <c r="ORO68" s="161"/>
      <c r="ORP68" s="162"/>
      <c r="ORQ68"/>
      <c r="ORR68" s="163"/>
      <c r="ORS68"/>
      <c r="ORT68" s="156"/>
      <c r="ORU68" s="164"/>
      <c r="ORV68"/>
      <c r="ORW68" s="157"/>
      <c r="ORX68" s="158"/>
      <c r="ORY68" s="159"/>
      <c r="ORZ68" s="159"/>
      <c r="OSA68" s="158"/>
      <c r="OSB68" s="160"/>
      <c r="OSC68" s="158"/>
      <c r="OSD68" s="160"/>
      <c r="OSE68" s="161"/>
      <c r="OSF68" s="162"/>
      <c r="OSG68"/>
      <c r="OSH68" s="163"/>
      <c r="OSI68"/>
      <c r="OSJ68" s="156"/>
      <c r="OSK68" s="164"/>
      <c r="OSL68"/>
      <c r="OSM68" s="157"/>
      <c r="OSN68" s="158"/>
      <c r="OSO68" s="159"/>
      <c r="OSP68" s="159"/>
      <c r="OSQ68" s="158"/>
      <c r="OSR68" s="160"/>
      <c r="OSS68" s="158"/>
      <c r="OST68" s="160"/>
      <c r="OSU68" s="161"/>
      <c r="OSV68" s="162"/>
      <c r="OSW68"/>
      <c r="OSX68" s="163"/>
      <c r="OSY68"/>
      <c r="OSZ68" s="156"/>
      <c r="OTA68" s="164"/>
      <c r="OTB68"/>
      <c r="OTC68" s="157"/>
      <c r="OTD68" s="158"/>
      <c r="OTE68" s="159"/>
      <c r="OTF68" s="159"/>
      <c r="OTG68" s="158"/>
      <c r="OTH68" s="160"/>
      <c r="OTI68" s="158"/>
      <c r="OTJ68" s="160"/>
      <c r="OTK68" s="161"/>
      <c r="OTL68" s="162"/>
      <c r="OTM68"/>
      <c r="OTN68" s="163"/>
      <c r="OTO68"/>
      <c r="OTP68" s="156"/>
      <c r="OTQ68" s="164"/>
      <c r="OTR68"/>
      <c r="OTS68" s="157"/>
      <c r="OTT68" s="158"/>
      <c r="OTU68" s="159"/>
      <c r="OTV68" s="159"/>
      <c r="OTW68" s="158"/>
      <c r="OTX68" s="160"/>
      <c r="OTY68" s="158"/>
      <c r="OTZ68" s="160"/>
      <c r="OUA68" s="161"/>
      <c r="OUB68" s="162"/>
      <c r="OUC68"/>
      <c r="OUD68" s="163"/>
      <c r="OUE68"/>
      <c r="OUF68" s="156"/>
      <c r="OUG68" s="164"/>
      <c r="OUH68"/>
      <c r="OUI68" s="157"/>
      <c r="OUJ68" s="158"/>
      <c r="OUK68" s="159"/>
      <c r="OUL68" s="159"/>
      <c r="OUM68" s="158"/>
      <c r="OUN68" s="160"/>
      <c r="OUO68" s="158"/>
      <c r="OUP68" s="160"/>
      <c r="OUQ68" s="161"/>
      <c r="OUR68" s="162"/>
      <c r="OUS68"/>
      <c r="OUT68" s="163"/>
      <c r="OUU68"/>
      <c r="OUV68" s="156"/>
      <c r="OUW68" s="164"/>
      <c r="OUX68"/>
      <c r="OUY68" s="157"/>
      <c r="OUZ68" s="158"/>
      <c r="OVA68" s="159"/>
      <c r="OVB68" s="159"/>
      <c r="OVC68" s="158"/>
      <c r="OVD68" s="160"/>
      <c r="OVE68" s="158"/>
      <c r="OVF68" s="160"/>
      <c r="OVG68" s="161"/>
      <c r="OVH68" s="162"/>
      <c r="OVI68"/>
      <c r="OVJ68" s="163"/>
      <c r="OVK68"/>
      <c r="OVL68" s="156"/>
      <c r="OVM68" s="164"/>
      <c r="OVN68"/>
      <c r="OVO68" s="157"/>
      <c r="OVP68" s="158"/>
      <c r="OVQ68" s="159"/>
      <c r="OVR68" s="159"/>
      <c r="OVS68" s="158"/>
      <c r="OVT68" s="160"/>
      <c r="OVU68" s="158"/>
      <c r="OVV68" s="160"/>
      <c r="OVW68" s="161"/>
      <c r="OVX68" s="162"/>
      <c r="OVY68"/>
      <c r="OVZ68" s="163"/>
      <c r="OWA68"/>
      <c r="OWB68" s="156"/>
      <c r="OWC68" s="164"/>
      <c r="OWD68"/>
      <c r="OWE68" s="157"/>
      <c r="OWF68" s="158"/>
      <c r="OWG68" s="159"/>
      <c r="OWH68" s="159"/>
      <c r="OWI68" s="158"/>
      <c r="OWJ68" s="160"/>
      <c r="OWK68" s="158"/>
      <c r="OWL68" s="160"/>
      <c r="OWM68" s="161"/>
      <c r="OWN68" s="162"/>
      <c r="OWO68"/>
      <c r="OWP68" s="163"/>
      <c r="OWQ68"/>
      <c r="OWR68" s="156"/>
      <c r="OWS68" s="164"/>
      <c r="OWT68"/>
      <c r="OWU68" s="157"/>
      <c r="OWV68" s="158"/>
      <c r="OWW68" s="159"/>
      <c r="OWX68" s="159"/>
      <c r="OWY68" s="158"/>
      <c r="OWZ68" s="160"/>
      <c r="OXA68" s="158"/>
      <c r="OXB68" s="160"/>
      <c r="OXC68" s="161"/>
      <c r="OXD68" s="162"/>
      <c r="OXE68"/>
      <c r="OXF68" s="163"/>
      <c r="OXG68"/>
      <c r="OXH68" s="156"/>
      <c r="OXI68" s="164"/>
      <c r="OXJ68"/>
      <c r="OXK68" s="157"/>
      <c r="OXL68" s="158"/>
      <c r="OXM68" s="159"/>
      <c r="OXN68" s="159"/>
      <c r="OXO68" s="158"/>
      <c r="OXP68" s="160"/>
      <c r="OXQ68" s="158"/>
      <c r="OXR68" s="160"/>
      <c r="OXS68" s="161"/>
      <c r="OXT68" s="162"/>
      <c r="OXU68"/>
      <c r="OXV68" s="163"/>
      <c r="OXW68"/>
      <c r="OXX68" s="156"/>
      <c r="OXY68" s="164"/>
      <c r="OXZ68"/>
      <c r="OYA68" s="157"/>
      <c r="OYB68" s="158"/>
      <c r="OYC68" s="159"/>
      <c r="OYD68" s="159"/>
      <c r="OYE68" s="158"/>
      <c r="OYF68" s="160"/>
      <c r="OYG68" s="158"/>
      <c r="OYH68" s="160"/>
      <c r="OYI68" s="161"/>
      <c r="OYJ68" s="162"/>
      <c r="OYK68"/>
      <c r="OYL68" s="163"/>
      <c r="OYM68"/>
      <c r="OYN68" s="156"/>
      <c r="OYO68" s="164"/>
      <c r="OYP68"/>
      <c r="OYQ68" s="157"/>
      <c r="OYR68" s="158"/>
      <c r="OYS68" s="159"/>
      <c r="OYT68" s="159"/>
      <c r="OYU68" s="158"/>
      <c r="OYV68" s="160"/>
      <c r="OYW68" s="158"/>
      <c r="OYX68" s="160"/>
      <c r="OYY68" s="161"/>
      <c r="OYZ68" s="162"/>
      <c r="OZA68"/>
      <c r="OZB68" s="163"/>
      <c r="OZC68"/>
      <c r="OZD68" s="156"/>
      <c r="OZE68" s="164"/>
      <c r="OZF68"/>
      <c r="OZG68" s="157"/>
      <c r="OZH68" s="158"/>
      <c r="OZI68" s="159"/>
      <c r="OZJ68" s="159"/>
      <c r="OZK68" s="158"/>
      <c r="OZL68" s="160"/>
      <c r="OZM68" s="158"/>
      <c r="OZN68" s="160"/>
      <c r="OZO68" s="161"/>
      <c r="OZP68" s="162"/>
      <c r="OZQ68"/>
      <c r="OZR68" s="163"/>
      <c r="OZS68"/>
      <c r="OZT68" s="156"/>
      <c r="OZU68" s="164"/>
      <c r="OZV68"/>
      <c r="OZW68" s="157"/>
      <c r="OZX68" s="158"/>
      <c r="OZY68" s="159"/>
      <c r="OZZ68" s="159"/>
      <c r="PAA68" s="158"/>
      <c r="PAB68" s="160"/>
      <c r="PAC68" s="158"/>
      <c r="PAD68" s="160"/>
      <c r="PAE68" s="161"/>
      <c r="PAF68" s="162"/>
      <c r="PAG68"/>
      <c r="PAH68" s="163"/>
      <c r="PAI68"/>
      <c r="PAJ68" s="156"/>
      <c r="PAK68" s="164"/>
      <c r="PAL68"/>
      <c r="PAM68" s="157"/>
      <c r="PAN68" s="158"/>
      <c r="PAO68" s="159"/>
      <c r="PAP68" s="159"/>
      <c r="PAQ68" s="158"/>
      <c r="PAR68" s="160"/>
      <c r="PAS68" s="158"/>
      <c r="PAT68" s="160"/>
      <c r="PAU68" s="161"/>
      <c r="PAV68" s="162"/>
      <c r="PAW68"/>
      <c r="PAX68" s="163"/>
      <c r="PAY68"/>
      <c r="PAZ68" s="156"/>
      <c r="PBA68" s="164"/>
      <c r="PBB68"/>
      <c r="PBC68" s="157"/>
      <c r="PBD68" s="158"/>
      <c r="PBE68" s="159"/>
      <c r="PBF68" s="159"/>
      <c r="PBG68" s="158"/>
      <c r="PBH68" s="160"/>
      <c r="PBI68" s="158"/>
      <c r="PBJ68" s="160"/>
      <c r="PBK68" s="161"/>
      <c r="PBL68" s="162"/>
      <c r="PBM68"/>
      <c r="PBN68" s="163"/>
      <c r="PBO68"/>
      <c r="PBP68" s="156"/>
      <c r="PBQ68" s="164"/>
      <c r="PBR68"/>
      <c r="PBS68" s="157"/>
      <c r="PBT68" s="158"/>
      <c r="PBU68" s="159"/>
      <c r="PBV68" s="159"/>
      <c r="PBW68" s="158"/>
      <c r="PBX68" s="160"/>
      <c r="PBY68" s="158"/>
      <c r="PBZ68" s="160"/>
      <c r="PCA68" s="161"/>
      <c r="PCB68" s="162"/>
      <c r="PCC68"/>
      <c r="PCD68" s="163"/>
      <c r="PCE68"/>
      <c r="PCF68" s="156"/>
      <c r="PCG68" s="164"/>
      <c r="PCH68"/>
      <c r="PCI68" s="157"/>
      <c r="PCJ68" s="158"/>
      <c r="PCK68" s="159"/>
      <c r="PCL68" s="159"/>
      <c r="PCM68" s="158"/>
      <c r="PCN68" s="160"/>
      <c r="PCO68" s="158"/>
      <c r="PCP68" s="160"/>
      <c r="PCQ68" s="161"/>
      <c r="PCR68" s="162"/>
      <c r="PCS68"/>
      <c r="PCT68" s="163"/>
      <c r="PCU68"/>
      <c r="PCV68" s="156"/>
      <c r="PCW68" s="164"/>
      <c r="PCX68"/>
      <c r="PCY68" s="157"/>
      <c r="PCZ68" s="158"/>
      <c r="PDA68" s="159"/>
      <c r="PDB68" s="159"/>
      <c r="PDC68" s="158"/>
      <c r="PDD68" s="160"/>
      <c r="PDE68" s="158"/>
      <c r="PDF68" s="160"/>
      <c r="PDG68" s="161"/>
      <c r="PDH68" s="162"/>
      <c r="PDI68"/>
      <c r="PDJ68" s="163"/>
      <c r="PDK68"/>
      <c r="PDL68" s="156"/>
      <c r="PDM68" s="164"/>
      <c r="PDN68"/>
      <c r="PDO68" s="157"/>
      <c r="PDP68" s="158"/>
      <c r="PDQ68" s="159"/>
      <c r="PDR68" s="159"/>
      <c r="PDS68" s="158"/>
      <c r="PDT68" s="160"/>
      <c r="PDU68" s="158"/>
      <c r="PDV68" s="160"/>
      <c r="PDW68" s="161"/>
      <c r="PDX68" s="162"/>
      <c r="PDY68"/>
      <c r="PDZ68" s="163"/>
      <c r="PEA68"/>
      <c r="PEB68" s="156"/>
      <c r="PEC68" s="164"/>
      <c r="PED68"/>
      <c r="PEE68" s="157"/>
      <c r="PEF68" s="158"/>
      <c r="PEG68" s="159"/>
      <c r="PEH68" s="159"/>
      <c r="PEI68" s="158"/>
      <c r="PEJ68" s="160"/>
      <c r="PEK68" s="158"/>
      <c r="PEL68" s="160"/>
      <c r="PEM68" s="161"/>
      <c r="PEN68" s="162"/>
      <c r="PEO68"/>
      <c r="PEP68" s="163"/>
      <c r="PEQ68"/>
      <c r="PER68" s="156"/>
      <c r="PES68" s="164"/>
      <c r="PET68"/>
      <c r="PEU68" s="157"/>
      <c r="PEV68" s="158"/>
      <c r="PEW68" s="159"/>
      <c r="PEX68" s="159"/>
      <c r="PEY68" s="158"/>
      <c r="PEZ68" s="160"/>
      <c r="PFA68" s="158"/>
      <c r="PFB68" s="160"/>
      <c r="PFC68" s="161"/>
      <c r="PFD68" s="162"/>
      <c r="PFE68"/>
      <c r="PFF68" s="163"/>
      <c r="PFG68"/>
      <c r="PFH68" s="156"/>
      <c r="PFI68" s="164"/>
      <c r="PFJ68"/>
      <c r="PFK68" s="157"/>
      <c r="PFL68" s="158"/>
      <c r="PFM68" s="159"/>
      <c r="PFN68" s="159"/>
      <c r="PFO68" s="158"/>
      <c r="PFP68" s="160"/>
      <c r="PFQ68" s="158"/>
      <c r="PFR68" s="160"/>
      <c r="PFS68" s="161"/>
      <c r="PFT68" s="162"/>
      <c r="PFU68"/>
      <c r="PFV68" s="163"/>
      <c r="PFW68"/>
      <c r="PFX68" s="156"/>
      <c r="PFY68" s="164"/>
      <c r="PFZ68"/>
      <c r="PGA68" s="157"/>
      <c r="PGB68" s="158"/>
      <c r="PGC68" s="159"/>
      <c r="PGD68" s="159"/>
      <c r="PGE68" s="158"/>
      <c r="PGF68" s="160"/>
      <c r="PGG68" s="158"/>
      <c r="PGH68" s="160"/>
      <c r="PGI68" s="161"/>
      <c r="PGJ68" s="162"/>
      <c r="PGK68"/>
      <c r="PGL68" s="163"/>
      <c r="PGM68"/>
      <c r="PGN68" s="156"/>
      <c r="PGO68" s="164"/>
      <c r="PGP68"/>
      <c r="PGQ68" s="157"/>
      <c r="PGR68" s="158"/>
      <c r="PGS68" s="159"/>
      <c r="PGT68" s="159"/>
      <c r="PGU68" s="158"/>
      <c r="PGV68" s="160"/>
      <c r="PGW68" s="158"/>
      <c r="PGX68" s="160"/>
      <c r="PGY68" s="161"/>
      <c r="PGZ68" s="162"/>
      <c r="PHA68"/>
      <c r="PHB68" s="163"/>
      <c r="PHC68"/>
      <c r="PHD68" s="156"/>
      <c r="PHE68" s="164"/>
      <c r="PHF68"/>
      <c r="PHG68" s="157"/>
      <c r="PHH68" s="158"/>
      <c r="PHI68" s="159"/>
      <c r="PHJ68" s="159"/>
      <c r="PHK68" s="158"/>
      <c r="PHL68" s="160"/>
      <c r="PHM68" s="158"/>
      <c r="PHN68" s="160"/>
      <c r="PHO68" s="161"/>
      <c r="PHP68" s="162"/>
      <c r="PHQ68"/>
      <c r="PHR68" s="163"/>
      <c r="PHS68"/>
      <c r="PHT68" s="156"/>
      <c r="PHU68" s="164"/>
      <c r="PHV68"/>
      <c r="PHW68" s="157"/>
      <c r="PHX68" s="158"/>
      <c r="PHY68" s="159"/>
      <c r="PHZ68" s="159"/>
      <c r="PIA68" s="158"/>
      <c r="PIB68" s="160"/>
      <c r="PIC68" s="158"/>
      <c r="PID68" s="160"/>
      <c r="PIE68" s="161"/>
      <c r="PIF68" s="162"/>
      <c r="PIG68"/>
      <c r="PIH68" s="163"/>
      <c r="PII68"/>
      <c r="PIJ68" s="156"/>
      <c r="PIK68" s="164"/>
      <c r="PIL68"/>
      <c r="PIM68" s="157"/>
      <c r="PIN68" s="158"/>
      <c r="PIO68" s="159"/>
      <c r="PIP68" s="159"/>
      <c r="PIQ68" s="158"/>
      <c r="PIR68" s="160"/>
      <c r="PIS68" s="158"/>
      <c r="PIT68" s="160"/>
      <c r="PIU68" s="161"/>
      <c r="PIV68" s="162"/>
      <c r="PIW68"/>
      <c r="PIX68" s="163"/>
      <c r="PIY68"/>
      <c r="PIZ68" s="156"/>
      <c r="PJA68" s="164"/>
      <c r="PJB68"/>
      <c r="PJC68" s="157"/>
      <c r="PJD68" s="158"/>
      <c r="PJE68" s="159"/>
      <c r="PJF68" s="159"/>
      <c r="PJG68" s="158"/>
      <c r="PJH68" s="160"/>
      <c r="PJI68" s="158"/>
      <c r="PJJ68" s="160"/>
      <c r="PJK68" s="161"/>
      <c r="PJL68" s="162"/>
      <c r="PJM68"/>
      <c r="PJN68" s="163"/>
      <c r="PJO68"/>
      <c r="PJP68" s="156"/>
      <c r="PJQ68" s="164"/>
      <c r="PJR68"/>
      <c r="PJS68" s="157"/>
      <c r="PJT68" s="158"/>
      <c r="PJU68" s="159"/>
      <c r="PJV68" s="159"/>
      <c r="PJW68" s="158"/>
      <c r="PJX68" s="160"/>
      <c r="PJY68" s="158"/>
      <c r="PJZ68" s="160"/>
      <c r="PKA68" s="161"/>
      <c r="PKB68" s="162"/>
      <c r="PKC68"/>
      <c r="PKD68" s="163"/>
      <c r="PKE68"/>
      <c r="PKF68" s="156"/>
      <c r="PKG68" s="164"/>
      <c r="PKH68"/>
      <c r="PKI68" s="157"/>
      <c r="PKJ68" s="158"/>
      <c r="PKK68" s="159"/>
      <c r="PKL68" s="159"/>
      <c r="PKM68" s="158"/>
      <c r="PKN68" s="160"/>
      <c r="PKO68" s="158"/>
      <c r="PKP68" s="160"/>
      <c r="PKQ68" s="161"/>
      <c r="PKR68" s="162"/>
      <c r="PKS68"/>
      <c r="PKT68" s="163"/>
      <c r="PKU68"/>
      <c r="PKV68" s="156"/>
      <c r="PKW68" s="164"/>
      <c r="PKX68"/>
      <c r="PKY68" s="157"/>
      <c r="PKZ68" s="158"/>
      <c r="PLA68" s="159"/>
      <c r="PLB68" s="159"/>
      <c r="PLC68" s="158"/>
      <c r="PLD68" s="160"/>
      <c r="PLE68" s="158"/>
      <c r="PLF68" s="160"/>
      <c r="PLG68" s="161"/>
      <c r="PLH68" s="162"/>
      <c r="PLI68"/>
      <c r="PLJ68" s="163"/>
      <c r="PLK68"/>
      <c r="PLL68" s="156"/>
      <c r="PLM68" s="164"/>
      <c r="PLN68"/>
      <c r="PLO68" s="157"/>
      <c r="PLP68" s="158"/>
      <c r="PLQ68" s="159"/>
      <c r="PLR68" s="159"/>
      <c r="PLS68" s="158"/>
      <c r="PLT68" s="160"/>
      <c r="PLU68" s="158"/>
      <c r="PLV68" s="160"/>
      <c r="PLW68" s="161"/>
      <c r="PLX68" s="162"/>
      <c r="PLY68"/>
      <c r="PLZ68" s="163"/>
      <c r="PMA68"/>
      <c r="PMB68" s="156"/>
      <c r="PMC68" s="164"/>
      <c r="PMD68"/>
      <c r="PME68" s="157"/>
      <c r="PMF68" s="158"/>
      <c r="PMG68" s="159"/>
      <c r="PMH68" s="159"/>
      <c r="PMI68" s="158"/>
      <c r="PMJ68" s="160"/>
      <c r="PMK68" s="158"/>
      <c r="PML68" s="160"/>
      <c r="PMM68" s="161"/>
      <c r="PMN68" s="162"/>
      <c r="PMO68"/>
      <c r="PMP68" s="163"/>
      <c r="PMQ68"/>
      <c r="PMR68" s="156"/>
      <c r="PMS68" s="164"/>
      <c r="PMT68"/>
      <c r="PMU68" s="157"/>
      <c r="PMV68" s="158"/>
      <c r="PMW68" s="159"/>
      <c r="PMX68" s="159"/>
      <c r="PMY68" s="158"/>
      <c r="PMZ68" s="160"/>
      <c r="PNA68" s="158"/>
      <c r="PNB68" s="160"/>
      <c r="PNC68" s="161"/>
      <c r="PND68" s="162"/>
      <c r="PNE68"/>
      <c r="PNF68" s="163"/>
      <c r="PNG68"/>
      <c r="PNH68" s="156"/>
      <c r="PNI68" s="164"/>
      <c r="PNJ68"/>
      <c r="PNK68" s="157"/>
      <c r="PNL68" s="158"/>
      <c r="PNM68" s="159"/>
      <c r="PNN68" s="159"/>
      <c r="PNO68" s="158"/>
      <c r="PNP68" s="160"/>
      <c r="PNQ68" s="158"/>
      <c r="PNR68" s="160"/>
      <c r="PNS68" s="161"/>
      <c r="PNT68" s="162"/>
      <c r="PNU68"/>
      <c r="PNV68" s="163"/>
      <c r="PNW68"/>
      <c r="PNX68" s="156"/>
      <c r="PNY68" s="164"/>
      <c r="PNZ68"/>
      <c r="POA68" s="157"/>
      <c r="POB68" s="158"/>
      <c r="POC68" s="159"/>
      <c r="POD68" s="159"/>
      <c r="POE68" s="158"/>
      <c r="POF68" s="160"/>
      <c r="POG68" s="158"/>
      <c r="POH68" s="160"/>
      <c r="POI68" s="161"/>
      <c r="POJ68" s="162"/>
      <c r="POK68"/>
      <c r="POL68" s="163"/>
      <c r="POM68"/>
      <c r="PON68" s="156"/>
      <c r="POO68" s="164"/>
      <c r="POP68"/>
      <c r="POQ68" s="157"/>
      <c r="POR68" s="158"/>
      <c r="POS68" s="159"/>
      <c r="POT68" s="159"/>
      <c r="POU68" s="158"/>
      <c r="POV68" s="160"/>
      <c r="POW68" s="158"/>
      <c r="POX68" s="160"/>
      <c r="POY68" s="161"/>
      <c r="POZ68" s="162"/>
      <c r="PPA68"/>
      <c r="PPB68" s="163"/>
      <c r="PPC68"/>
      <c r="PPD68" s="156"/>
      <c r="PPE68" s="164"/>
      <c r="PPF68"/>
      <c r="PPG68" s="157"/>
      <c r="PPH68" s="158"/>
      <c r="PPI68" s="159"/>
      <c r="PPJ68" s="159"/>
      <c r="PPK68" s="158"/>
      <c r="PPL68" s="160"/>
      <c r="PPM68" s="158"/>
      <c r="PPN68" s="160"/>
      <c r="PPO68" s="161"/>
      <c r="PPP68" s="162"/>
      <c r="PPQ68"/>
      <c r="PPR68" s="163"/>
      <c r="PPS68"/>
      <c r="PPT68" s="156"/>
      <c r="PPU68" s="164"/>
      <c r="PPV68"/>
      <c r="PPW68" s="157"/>
      <c r="PPX68" s="158"/>
      <c r="PPY68" s="159"/>
      <c r="PPZ68" s="159"/>
      <c r="PQA68" s="158"/>
      <c r="PQB68" s="160"/>
      <c r="PQC68" s="158"/>
      <c r="PQD68" s="160"/>
      <c r="PQE68" s="161"/>
      <c r="PQF68" s="162"/>
      <c r="PQG68"/>
      <c r="PQH68" s="163"/>
      <c r="PQI68"/>
      <c r="PQJ68" s="156"/>
      <c r="PQK68" s="164"/>
      <c r="PQL68"/>
      <c r="PQM68" s="157"/>
      <c r="PQN68" s="158"/>
      <c r="PQO68" s="159"/>
      <c r="PQP68" s="159"/>
      <c r="PQQ68" s="158"/>
      <c r="PQR68" s="160"/>
      <c r="PQS68" s="158"/>
      <c r="PQT68" s="160"/>
      <c r="PQU68" s="161"/>
      <c r="PQV68" s="162"/>
      <c r="PQW68"/>
      <c r="PQX68" s="163"/>
      <c r="PQY68"/>
      <c r="PQZ68" s="156"/>
      <c r="PRA68" s="164"/>
      <c r="PRB68"/>
      <c r="PRC68" s="157"/>
      <c r="PRD68" s="158"/>
      <c r="PRE68" s="159"/>
      <c r="PRF68" s="159"/>
      <c r="PRG68" s="158"/>
      <c r="PRH68" s="160"/>
      <c r="PRI68" s="158"/>
      <c r="PRJ68" s="160"/>
      <c r="PRK68" s="161"/>
      <c r="PRL68" s="162"/>
      <c r="PRM68"/>
      <c r="PRN68" s="163"/>
      <c r="PRO68"/>
      <c r="PRP68" s="156"/>
      <c r="PRQ68" s="164"/>
      <c r="PRR68"/>
      <c r="PRS68" s="157"/>
      <c r="PRT68" s="158"/>
      <c r="PRU68" s="159"/>
      <c r="PRV68" s="159"/>
      <c r="PRW68" s="158"/>
      <c r="PRX68" s="160"/>
      <c r="PRY68" s="158"/>
      <c r="PRZ68" s="160"/>
      <c r="PSA68" s="161"/>
      <c r="PSB68" s="162"/>
      <c r="PSC68"/>
      <c r="PSD68" s="163"/>
      <c r="PSE68"/>
      <c r="PSF68" s="156"/>
      <c r="PSG68" s="164"/>
      <c r="PSH68"/>
      <c r="PSI68" s="157"/>
      <c r="PSJ68" s="158"/>
      <c r="PSK68" s="159"/>
      <c r="PSL68" s="159"/>
      <c r="PSM68" s="158"/>
      <c r="PSN68" s="160"/>
      <c r="PSO68" s="158"/>
      <c r="PSP68" s="160"/>
      <c r="PSQ68" s="161"/>
      <c r="PSR68" s="162"/>
      <c r="PSS68"/>
      <c r="PST68" s="163"/>
      <c r="PSU68"/>
      <c r="PSV68" s="156"/>
      <c r="PSW68" s="164"/>
      <c r="PSX68"/>
      <c r="PSY68" s="157"/>
      <c r="PSZ68" s="158"/>
      <c r="PTA68" s="159"/>
      <c r="PTB68" s="159"/>
      <c r="PTC68" s="158"/>
      <c r="PTD68" s="160"/>
      <c r="PTE68" s="158"/>
      <c r="PTF68" s="160"/>
      <c r="PTG68" s="161"/>
      <c r="PTH68" s="162"/>
      <c r="PTI68"/>
      <c r="PTJ68" s="163"/>
      <c r="PTK68"/>
      <c r="PTL68" s="156"/>
      <c r="PTM68" s="164"/>
      <c r="PTN68"/>
      <c r="PTO68" s="157"/>
      <c r="PTP68" s="158"/>
      <c r="PTQ68" s="159"/>
      <c r="PTR68" s="159"/>
      <c r="PTS68" s="158"/>
      <c r="PTT68" s="160"/>
      <c r="PTU68" s="158"/>
      <c r="PTV68" s="160"/>
      <c r="PTW68" s="161"/>
      <c r="PTX68" s="162"/>
      <c r="PTY68"/>
      <c r="PTZ68" s="163"/>
      <c r="PUA68"/>
      <c r="PUB68" s="156"/>
      <c r="PUC68" s="164"/>
      <c r="PUD68"/>
      <c r="PUE68" s="157"/>
      <c r="PUF68" s="158"/>
      <c r="PUG68" s="159"/>
      <c r="PUH68" s="159"/>
      <c r="PUI68" s="158"/>
      <c r="PUJ68" s="160"/>
      <c r="PUK68" s="158"/>
      <c r="PUL68" s="160"/>
      <c r="PUM68" s="161"/>
      <c r="PUN68" s="162"/>
      <c r="PUO68"/>
      <c r="PUP68" s="163"/>
      <c r="PUQ68"/>
      <c r="PUR68" s="156"/>
      <c r="PUS68" s="164"/>
      <c r="PUT68"/>
      <c r="PUU68" s="157"/>
      <c r="PUV68" s="158"/>
      <c r="PUW68" s="159"/>
      <c r="PUX68" s="159"/>
      <c r="PUY68" s="158"/>
      <c r="PUZ68" s="160"/>
      <c r="PVA68" s="158"/>
      <c r="PVB68" s="160"/>
      <c r="PVC68" s="161"/>
      <c r="PVD68" s="162"/>
      <c r="PVE68"/>
      <c r="PVF68" s="163"/>
      <c r="PVG68"/>
      <c r="PVH68" s="156"/>
      <c r="PVI68" s="164"/>
      <c r="PVJ68"/>
      <c r="PVK68" s="157"/>
      <c r="PVL68" s="158"/>
      <c r="PVM68" s="159"/>
      <c r="PVN68" s="159"/>
      <c r="PVO68" s="158"/>
      <c r="PVP68" s="160"/>
      <c r="PVQ68" s="158"/>
      <c r="PVR68" s="160"/>
      <c r="PVS68" s="161"/>
      <c r="PVT68" s="162"/>
      <c r="PVU68"/>
      <c r="PVV68" s="163"/>
      <c r="PVW68"/>
      <c r="PVX68" s="156"/>
      <c r="PVY68" s="164"/>
      <c r="PVZ68"/>
      <c r="PWA68" s="157"/>
      <c r="PWB68" s="158"/>
      <c r="PWC68" s="159"/>
      <c r="PWD68" s="159"/>
      <c r="PWE68" s="158"/>
      <c r="PWF68" s="160"/>
      <c r="PWG68" s="158"/>
      <c r="PWH68" s="160"/>
      <c r="PWI68" s="161"/>
      <c r="PWJ68" s="162"/>
      <c r="PWK68"/>
      <c r="PWL68" s="163"/>
      <c r="PWM68"/>
      <c r="PWN68" s="156"/>
      <c r="PWO68" s="164"/>
      <c r="PWP68"/>
      <c r="PWQ68" s="157"/>
      <c r="PWR68" s="158"/>
      <c r="PWS68" s="159"/>
      <c r="PWT68" s="159"/>
      <c r="PWU68" s="158"/>
      <c r="PWV68" s="160"/>
      <c r="PWW68" s="158"/>
      <c r="PWX68" s="160"/>
      <c r="PWY68" s="161"/>
      <c r="PWZ68" s="162"/>
      <c r="PXA68"/>
      <c r="PXB68" s="163"/>
      <c r="PXC68"/>
      <c r="PXD68" s="156"/>
      <c r="PXE68" s="164"/>
      <c r="PXF68"/>
      <c r="PXG68" s="157"/>
      <c r="PXH68" s="158"/>
      <c r="PXI68" s="159"/>
      <c r="PXJ68" s="159"/>
      <c r="PXK68" s="158"/>
      <c r="PXL68" s="160"/>
      <c r="PXM68" s="158"/>
      <c r="PXN68" s="160"/>
      <c r="PXO68" s="161"/>
      <c r="PXP68" s="162"/>
      <c r="PXQ68"/>
      <c r="PXR68" s="163"/>
      <c r="PXS68"/>
      <c r="PXT68" s="156"/>
      <c r="PXU68" s="164"/>
      <c r="PXV68"/>
      <c r="PXW68" s="157"/>
      <c r="PXX68" s="158"/>
      <c r="PXY68" s="159"/>
      <c r="PXZ68" s="159"/>
      <c r="PYA68" s="158"/>
      <c r="PYB68" s="160"/>
      <c r="PYC68" s="158"/>
      <c r="PYD68" s="160"/>
      <c r="PYE68" s="161"/>
      <c r="PYF68" s="162"/>
      <c r="PYG68"/>
      <c r="PYH68" s="163"/>
      <c r="PYI68"/>
      <c r="PYJ68" s="156"/>
      <c r="PYK68" s="164"/>
      <c r="PYL68"/>
      <c r="PYM68" s="157"/>
      <c r="PYN68" s="158"/>
      <c r="PYO68" s="159"/>
      <c r="PYP68" s="159"/>
      <c r="PYQ68" s="158"/>
      <c r="PYR68" s="160"/>
      <c r="PYS68" s="158"/>
      <c r="PYT68" s="160"/>
      <c r="PYU68" s="161"/>
      <c r="PYV68" s="162"/>
      <c r="PYW68"/>
      <c r="PYX68" s="163"/>
      <c r="PYY68"/>
      <c r="PYZ68" s="156"/>
      <c r="PZA68" s="164"/>
      <c r="PZB68"/>
      <c r="PZC68" s="157"/>
      <c r="PZD68" s="158"/>
      <c r="PZE68" s="159"/>
      <c r="PZF68" s="159"/>
      <c r="PZG68" s="158"/>
      <c r="PZH68" s="160"/>
      <c r="PZI68" s="158"/>
      <c r="PZJ68" s="160"/>
      <c r="PZK68" s="161"/>
      <c r="PZL68" s="162"/>
      <c r="PZM68"/>
      <c r="PZN68" s="163"/>
      <c r="PZO68"/>
      <c r="PZP68" s="156"/>
      <c r="PZQ68" s="164"/>
      <c r="PZR68"/>
      <c r="PZS68" s="157"/>
      <c r="PZT68" s="158"/>
      <c r="PZU68" s="159"/>
      <c r="PZV68" s="159"/>
      <c r="PZW68" s="158"/>
      <c r="PZX68" s="160"/>
      <c r="PZY68" s="158"/>
      <c r="PZZ68" s="160"/>
      <c r="QAA68" s="161"/>
      <c r="QAB68" s="162"/>
      <c r="QAC68"/>
      <c r="QAD68" s="163"/>
      <c r="QAE68"/>
      <c r="QAF68" s="156"/>
      <c r="QAG68" s="164"/>
      <c r="QAH68"/>
      <c r="QAI68" s="157"/>
      <c r="QAJ68" s="158"/>
      <c r="QAK68" s="159"/>
      <c r="QAL68" s="159"/>
      <c r="QAM68" s="158"/>
      <c r="QAN68" s="160"/>
      <c r="QAO68" s="158"/>
      <c r="QAP68" s="160"/>
      <c r="QAQ68" s="161"/>
      <c r="QAR68" s="162"/>
      <c r="QAS68"/>
      <c r="QAT68" s="163"/>
      <c r="QAU68"/>
      <c r="QAV68" s="156"/>
      <c r="QAW68" s="164"/>
      <c r="QAX68"/>
      <c r="QAY68" s="157"/>
      <c r="QAZ68" s="158"/>
      <c r="QBA68" s="159"/>
      <c r="QBB68" s="159"/>
      <c r="QBC68" s="158"/>
      <c r="QBD68" s="160"/>
      <c r="QBE68" s="158"/>
      <c r="QBF68" s="160"/>
      <c r="QBG68" s="161"/>
      <c r="QBH68" s="162"/>
      <c r="QBI68"/>
      <c r="QBJ68" s="163"/>
      <c r="QBK68"/>
      <c r="QBL68" s="156"/>
      <c r="QBM68" s="164"/>
      <c r="QBN68"/>
      <c r="QBO68" s="157"/>
      <c r="QBP68" s="158"/>
      <c r="QBQ68" s="159"/>
      <c r="QBR68" s="159"/>
      <c r="QBS68" s="158"/>
      <c r="QBT68" s="160"/>
      <c r="QBU68" s="158"/>
      <c r="QBV68" s="160"/>
      <c r="QBW68" s="161"/>
      <c r="QBX68" s="162"/>
      <c r="QBY68"/>
      <c r="QBZ68" s="163"/>
      <c r="QCA68"/>
      <c r="QCB68" s="156"/>
      <c r="QCC68" s="164"/>
      <c r="QCD68"/>
      <c r="QCE68" s="157"/>
      <c r="QCF68" s="158"/>
      <c r="QCG68" s="159"/>
      <c r="QCH68" s="159"/>
      <c r="QCI68" s="158"/>
      <c r="QCJ68" s="160"/>
      <c r="QCK68" s="158"/>
      <c r="QCL68" s="160"/>
      <c r="QCM68" s="161"/>
      <c r="QCN68" s="162"/>
      <c r="QCO68"/>
      <c r="QCP68" s="163"/>
      <c r="QCQ68"/>
      <c r="QCR68" s="156"/>
      <c r="QCS68" s="164"/>
      <c r="QCT68"/>
      <c r="QCU68" s="157"/>
      <c r="QCV68" s="158"/>
      <c r="QCW68" s="159"/>
      <c r="QCX68" s="159"/>
      <c r="QCY68" s="158"/>
      <c r="QCZ68" s="160"/>
      <c r="QDA68" s="158"/>
      <c r="QDB68" s="160"/>
      <c r="QDC68" s="161"/>
      <c r="QDD68" s="162"/>
      <c r="QDE68"/>
      <c r="QDF68" s="163"/>
      <c r="QDG68"/>
      <c r="QDH68" s="156"/>
      <c r="QDI68" s="164"/>
      <c r="QDJ68"/>
      <c r="QDK68" s="157"/>
      <c r="QDL68" s="158"/>
      <c r="QDM68" s="159"/>
      <c r="QDN68" s="159"/>
      <c r="QDO68" s="158"/>
      <c r="QDP68" s="160"/>
      <c r="QDQ68" s="158"/>
      <c r="QDR68" s="160"/>
      <c r="QDS68" s="161"/>
      <c r="QDT68" s="162"/>
      <c r="QDU68"/>
      <c r="QDV68" s="163"/>
      <c r="QDW68"/>
      <c r="QDX68" s="156"/>
      <c r="QDY68" s="164"/>
      <c r="QDZ68"/>
      <c r="QEA68" s="157"/>
      <c r="QEB68" s="158"/>
      <c r="QEC68" s="159"/>
      <c r="QED68" s="159"/>
      <c r="QEE68" s="158"/>
      <c r="QEF68" s="160"/>
      <c r="QEG68" s="158"/>
      <c r="QEH68" s="160"/>
      <c r="QEI68" s="161"/>
      <c r="QEJ68" s="162"/>
      <c r="QEK68"/>
      <c r="QEL68" s="163"/>
      <c r="QEM68"/>
      <c r="QEN68" s="156"/>
      <c r="QEO68" s="164"/>
      <c r="QEP68"/>
      <c r="QEQ68" s="157"/>
      <c r="QER68" s="158"/>
      <c r="QES68" s="159"/>
      <c r="QET68" s="159"/>
      <c r="QEU68" s="158"/>
      <c r="QEV68" s="160"/>
      <c r="QEW68" s="158"/>
      <c r="QEX68" s="160"/>
      <c r="QEY68" s="161"/>
      <c r="QEZ68" s="162"/>
      <c r="QFA68"/>
      <c r="QFB68" s="163"/>
      <c r="QFC68"/>
      <c r="QFD68" s="156"/>
      <c r="QFE68" s="164"/>
      <c r="QFF68"/>
      <c r="QFG68" s="157"/>
      <c r="QFH68" s="158"/>
      <c r="QFI68" s="159"/>
      <c r="QFJ68" s="159"/>
      <c r="QFK68" s="158"/>
      <c r="QFL68" s="160"/>
      <c r="QFM68" s="158"/>
      <c r="QFN68" s="160"/>
      <c r="QFO68" s="161"/>
      <c r="QFP68" s="162"/>
      <c r="QFQ68"/>
      <c r="QFR68" s="163"/>
      <c r="QFS68"/>
      <c r="QFT68" s="156"/>
      <c r="QFU68" s="164"/>
      <c r="QFV68"/>
      <c r="QFW68" s="157"/>
      <c r="QFX68" s="158"/>
      <c r="QFY68" s="159"/>
      <c r="QFZ68" s="159"/>
      <c r="QGA68" s="158"/>
      <c r="QGB68" s="160"/>
      <c r="QGC68" s="158"/>
      <c r="QGD68" s="160"/>
      <c r="QGE68" s="161"/>
      <c r="QGF68" s="162"/>
      <c r="QGG68"/>
      <c r="QGH68" s="163"/>
      <c r="QGI68"/>
      <c r="QGJ68" s="156"/>
      <c r="QGK68" s="164"/>
      <c r="QGL68"/>
      <c r="QGM68" s="157"/>
      <c r="QGN68" s="158"/>
      <c r="QGO68" s="159"/>
      <c r="QGP68" s="159"/>
      <c r="QGQ68" s="158"/>
      <c r="QGR68" s="160"/>
      <c r="QGS68" s="158"/>
      <c r="QGT68" s="160"/>
      <c r="QGU68" s="161"/>
      <c r="QGV68" s="162"/>
      <c r="QGW68"/>
      <c r="QGX68" s="163"/>
      <c r="QGY68"/>
      <c r="QGZ68" s="156"/>
      <c r="QHA68" s="164"/>
      <c r="QHB68"/>
      <c r="QHC68" s="157"/>
      <c r="QHD68" s="158"/>
      <c r="QHE68" s="159"/>
      <c r="QHF68" s="159"/>
      <c r="QHG68" s="158"/>
      <c r="QHH68" s="160"/>
      <c r="QHI68" s="158"/>
      <c r="QHJ68" s="160"/>
      <c r="QHK68" s="161"/>
      <c r="QHL68" s="162"/>
      <c r="QHM68"/>
      <c r="QHN68" s="163"/>
      <c r="QHO68"/>
      <c r="QHP68" s="156"/>
      <c r="QHQ68" s="164"/>
      <c r="QHR68"/>
      <c r="QHS68" s="157"/>
      <c r="QHT68" s="158"/>
      <c r="QHU68" s="159"/>
      <c r="QHV68" s="159"/>
      <c r="QHW68" s="158"/>
      <c r="QHX68" s="160"/>
      <c r="QHY68" s="158"/>
      <c r="QHZ68" s="160"/>
      <c r="QIA68" s="161"/>
      <c r="QIB68" s="162"/>
      <c r="QIC68"/>
      <c r="QID68" s="163"/>
      <c r="QIE68"/>
      <c r="QIF68" s="156"/>
      <c r="QIG68" s="164"/>
      <c r="QIH68"/>
      <c r="QII68" s="157"/>
      <c r="QIJ68" s="158"/>
      <c r="QIK68" s="159"/>
      <c r="QIL68" s="159"/>
      <c r="QIM68" s="158"/>
      <c r="QIN68" s="160"/>
      <c r="QIO68" s="158"/>
      <c r="QIP68" s="160"/>
      <c r="QIQ68" s="161"/>
      <c r="QIR68" s="162"/>
      <c r="QIS68"/>
      <c r="QIT68" s="163"/>
      <c r="QIU68"/>
      <c r="QIV68" s="156"/>
      <c r="QIW68" s="164"/>
      <c r="QIX68"/>
      <c r="QIY68" s="157"/>
      <c r="QIZ68" s="158"/>
      <c r="QJA68" s="159"/>
      <c r="QJB68" s="159"/>
      <c r="QJC68" s="158"/>
      <c r="QJD68" s="160"/>
      <c r="QJE68" s="158"/>
      <c r="QJF68" s="160"/>
      <c r="QJG68" s="161"/>
      <c r="QJH68" s="162"/>
      <c r="QJI68"/>
      <c r="QJJ68" s="163"/>
      <c r="QJK68"/>
      <c r="QJL68" s="156"/>
      <c r="QJM68" s="164"/>
      <c r="QJN68"/>
      <c r="QJO68" s="157"/>
      <c r="QJP68" s="158"/>
      <c r="QJQ68" s="159"/>
      <c r="QJR68" s="159"/>
      <c r="QJS68" s="158"/>
      <c r="QJT68" s="160"/>
      <c r="QJU68" s="158"/>
      <c r="QJV68" s="160"/>
      <c r="QJW68" s="161"/>
      <c r="QJX68" s="162"/>
      <c r="QJY68"/>
      <c r="QJZ68" s="163"/>
      <c r="QKA68"/>
      <c r="QKB68" s="156"/>
      <c r="QKC68" s="164"/>
      <c r="QKD68"/>
      <c r="QKE68" s="157"/>
      <c r="QKF68" s="158"/>
      <c r="QKG68" s="159"/>
      <c r="QKH68" s="159"/>
      <c r="QKI68" s="158"/>
      <c r="QKJ68" s="160"/>
      <c r="QKK68" s="158"/>
      <c r="QKL68" s="160"/>
      <c r="QKM68" s="161"/>
      <c r="QKN68" s="162"/>
      <c r="QKO68"/>
      <c r="QKP68" s="163"/>
      <c r="QKQ68"/>
      <c r="QKR68" s="156"/>
      <c r="QKS68" s="164"/>
      <c r="QKT68"/>
      <c r="QKU68" s="157"/>
      <c r="QKV68" s="158"/>
      <c r="QKW68" s="159"/>
      <c r="QKX68" s="159"/>
      <c r="QKY68" s="158"/>
      <c r="QKZ68" s="160"/>
      <c r="QLA68" s="158"/>
      <c r="QLB68" s="160"/>
      <c r="QLC68" s="161"/>
      <c r="QLD68" s="162"/>
      <c r="QLE68"/>
      <c r="QLF68" s="163"/>
      <c r="QLG68"/>
      <c r="QLH68" s="156"/>
      <c r="QLI68" s="164"/>
      <c r="QLJ68"/>
      <c r="QLK68" s="157"/>
      <c r="QLL68" s="158"/>
      <c r="QLM68" s="159"/>
      <c r="QLN68" s="159"/>
      <c r="QLO68" s="158"/>
      <c r="QLP68" s="160"/>
      <c r="QLQ68" s="158"/>
      <c r="QLR68" s="160"/>
      <c r="QLS68" s="161"/>
      <c r="QLT68" s="162"/>
      <c r="QLU68"/>
      <c r="QLV68" s="163"/>
      <c r="QLW68"/>
      <c r="QLX68" s="156"/>
      <c r="QLY68" s="164"/>
      <c r="QLZ68"/>
      <c r="QMA68" s="157"/>
      <c r="QMB68" s="158"/>
      <c r="QMC68" s="159"/>
      <c r="QMD68" s="159"/>
      <c r="QME68" s="158"/>
      <c r="QMF68" s="160"/>
      <c r="QMG68" s="158"/>
      <c r="QMH68" s="160"/>
      <c r="QMI68" s="161"/>
      <c r="QMJ68" s="162"/>
      <c r="QMK68"/>
      <c r="QML68" s="163"/>
      <c r="QMM68"/>
      <c r="QMN68" s="156"/>
      <c r="QMO68" s="164"/>
      <c r="QMP68"/>
      <c r="QMQ68" s="157"/>
      <c r="QMR68" s="158"/>
      <c r="QMS68" s="159"/>
      <c r="QMT68" s="159"/>
      <c r="QMU68" s="158"/>
      <c r="QMV68" s="160"/>
      <c r="QMW68" s="158"/>
      <c r="QMX68" s="160"/>
      <c r="QMY68" s="161"/>
      <c r="QMZ68" s="162"/>
      <c r="QNA68"/>
      <c r="QNB68" s="163"/>
      <c r="QNC68"/>
      <c r="QND68" s="156"/>
      <c r="QNE68" s="164"/>
      <c r="QNF68"/>
      <c r="QNG68" s="157"/>
      <c r="QNH68" s="158"/>
      <c r="QNI68" s="159"/>
      <c r="QNJ68" s="159"/>
      <c r="QNK68" s="158"/>
      <c r="QNL68" s="160"/>
      <c r="QNM68" s="158"/>
      <c r="QNN68" s="160"/>
      <c r="QNO68" s="161"/>
      <c r="QNP68" s="162"/>
      <c r="QNQ68"/>
      <c r="QNR68" s="163"/>
      <c r="QNS68"/>
      <c r="QNT68" s="156"/>
      <c r="QNU68" s="164"/>
      <c r="QNV68"/>
      <c r="QNW68" s="157"/>
      <c r="QNX68" s="158"/>
      <c r="QNY68" s="159"/>
      <c r="QNZ68" s="159"/>
      <c r="QOA68" s="158"/>
      <c r="QOB68" s="160"/>
      <c r="QOC68" s="158"/>
      <c r="QOD68" s="160"/>
      <c r="QOE68" s="161"/>
      <c r="QOF68" s="162"/>
      <c r="QOG68"/>
      <c r="QOH68" s="163"/>
      <c r="QOI68"/>
      <c r="QOJ68" s="156"/>
      <c r="QOK68" s="164"/>
      <c r="QOL68"/>
      <c r="QOM68" s="157"/>
      <c r="QON68" s="158"/>
      <c r="QOO68" s="159"/>
      <c r="QOP68" s="159"/>
      <c r="QOQ68" s="158"/>
      <c r="QOR68" s="160"/>
      <c r="QOS68" s="158"/>
      <c r="QOT68" s="160"/>
      <c r="QOU68" s="161"/>
      <c r="QOV68" s="162"/>
      <c r="QOW68"/>
      <c r="QOX68" s="163"/>
      <c r="QOY68"/>
      <c r="QOZ68" s="156"/>
      <c r="QPA68" s="164"/>
      <c r="QPB68"/>
      <c r="QPC68" s="157"/>
      <c r="QPD68" s="158"/>
      <c r="QPE68" s="159"/>
      <c r="QPF68" s="159"/>
      <c r="QPG68" s="158"/>
      <c r="QPH68" s="160"/>
      <c r="QPI68" s="158"/>
      <c r="QPJ68" s="160"/>
      <c r="QPK68" s="161"/>
      <c r="QPL68" s="162"/>
      <c r="QPM68"/>
      <c r="QPN68" s="163"/>
      <c r="QPO68"/>
      <c r="QPP68" s="156"/>
      <c r="QPQ68" s="164"/>
      <c r="QPR68"/>
      <c r="QPS68" s="157"/>
      <c r="QPT68" s="158"/>
      <c r="QPU68" s="159"/>
      <c r="QPV68" s="159"/>
      <c r="QPW68" s="158"/>
      <c r="QPX68" s="160"/>
      <c r="QPY68" s="158"/>
      <c r="QPZ68" s="160"/>
      <c r="QQA68" s="161"/>
      <c r="QQB68" s="162"/>
      <c r="QQC68"/>
      <c r="QQD68" s="163"/>
      <c r="QQE68"/>
      <c r="QQF68" s="156"/>
      <c r="QQG68" s="164"/>
      <c r="QQH68"/>
      <c r="QQI68" s="157"/>
      <c r="QQJ68" s="158"/>
      <c r="QQK68" s="159"/>
      <c r="QQL68" s="159"/>
      <c r="QQM68" s="158"/>
      <c r="QQN68" s="160"/>
      <c r="QQO68" s="158"/>
      <c r="QQP68" s="160"/>
      <c r="QQQ68" s="161"/>
      <c r="QQR68" s="162"/>
      <c r="QQS68"/>
      <c r="QQT68" s="163"/>
      <c r="QQU68"/>
      <c r="QQV68" s="156"/>
      <c r="QQW68" s="164"/>
      <c r="QQX68"/>
      <c r="QQY68" s="157"/>
      <c r="QQZ68" s="158"/>
      <c r="QRA68" s="159"/>
      <c r="QRB68" s="159"/>
      <c r="QRC68" s="158"/>
      <c r="QRD68" s="160"/>
      <c r="QRE68" s="158"/>
      <c r="QRF68" s="160"/>
      <c r="QRG68" s="161"/>
      <c r="QRH68" s="162"/>
      <c r="QRI68"/>
      <c r="QRJ68" s="163"/>
      <c r="QRK68"/>
      <c r="QRL68" s="156"/>
      <c r="QRM68" s="164"/>
      <c r="QRN68"/>
      <c r="QRO68" s="157"/>
      <c r="QRP68" s="158"/>
      <c r="QRQ68" s="159"/>
      <c r="QRR68" s="159"/>
      <c r="QRS68" s="158"/>
      <c r="QRT68" s="160"/>
      <c r="QRU68" s="158"/>
      <c r="QRV68" s="160"/>
      <c r="QRW68" s="161"/>
      <c r="QRX68" s="162"/>
      <c r="QRY68"/>
      <c r="QRZ68" s="163"/>
      <c r="QSA68"/>
      <c r="QSB68" s="156"/>
      <c r="QSC68" s="164"/>
      <c r="QSD68"/>
      <c r="QSE68" s="157"/>
      <c r="QSF68" s="158"/>
      <c r="QSG68" s="159"/>
      <c r="QSH68" s="159"/>
      <c r="QSI68" s="158"/>
      <c r="QSJ68" s="160"/>
      <c r="QSK68" s="158"/>
      <c r="QSL68" s="160"/>
      <c r="QSM68" s="161"/>
      <c r="QSN68" s="162"/>
      <c r="QSO68"/>
      <c r="QSP68" s="163"/>
      <c r="QSQ68"/>
      <c r="QSR68" s="156"/>
      <c r="QSS68" s="164"/>
      <c r="QST68"/>
      <c r="QSU68" s="157"/>
      <c r="QSV68" s="158"/>
      <c r="QSW68" s="159"/>
      <c r="QSX68" s="159"/>
      <c r="QSY68" s="158"/>
      <c r="QSZ68" s="160"/>
      <c r="QTA68" s="158"/>
      <c r="QTB68" s="160"/>
      <c r="QTC68" s="161"/>
      <c r="QTD68" s="162"/>
      <c r="QTE68"/>
      <c r="QTF68" s="163"/>
      <c r="QTG68"/>
      <c r="QTH68" s="156"/>
      <c r="QTI68" s="164"/>
      <c r="QTJ68"/>
      <c r="QTK68" s="157"/>
      <c r="QTL68" s="158"/>
      <c r="QTM68" s="159"/>
      <c r="QTN68" s="159"/>
      <c r="QTO68" s="158"/>
      <c r="QTP68" s="160"/>
      <c r="QTQ68" s="158"/>
      <c r="QTR68" s="160"/>
      <c r="QTS68" s="161"/>
      <c r="QTT68" s="162"/>
      <c r="QTU68"/>
      <c r="QTV68" s="163"/>
      <c r="QTW68"/>
      <c r="QTX68" s="156"/>
      <c r="QTY68" s="164"/>
      <c r="QTZ68"/>
      <c r="QUA68" s="157"/>
      <c r="QUB68" s="158"/>
      <c r="QUC68" s="159"/>
      <c r="QUD68" s="159"/>
      <c r="QUE68" s="158"/>
      <c r="QUF68" s="160"/>
      <c r="QUG68" s="158"/>
      <c r="QUH68" s="160"/>
      <c r="QUI68" s="161"/>
      <c r="QUJ68" s="162"/>
      <c r="QUK68"/>
      <c r="QUL68" s="163"/>
      <c r="QUM68"/>
      <c r="QUN68" s="156"/>
      <c r="QUO68" s="164"/>
      <c r="QUP68"/>
      <c r="QUQ68" s="157"/>
      <c r="QUR68" s="158"/>
      <c r="QUS68" s="159"/>
      <c r="QUT68" s="159"/>
      <c r="QUU68" s="158"/>
      <c r="QUV68" s="160"/>
      <c r="QUW68" s="158"/>
      <c r="QUX68" s="160"/>
      <c r="QUY68" s="161"/>
      <c r="QUZ68" s="162"/>
      <c r="QVA68"/>
      <c r="QVB68" s="163"/>
      <c r="QVC68"/>
      <c r="QVD68" s="156"/>
      <c r="QVE68" s="164"/>
      <c r="QVF68"/>
      <c r="QVG68" s="157"/>
      <c r="QVH68" s="158"/>
      <c r="QVI68" s="159"/>
      <c r="QVJ68" s="159"/>
      <c r="QVK68" s="158"/>
      <c r="QVL68" s="160"/>
      <c r="QVM68" s="158"/>
      <c r="QVN68" s="160"/>
      <c r="QVO68" s="161"/>
      <c r="QVP68" s="162"/>
      <c r="QVQ68"/>
      <c r="QVR68" s="163"/>
      <c r="QVS68"/>
      <c r="QVT68" s="156"/>
      <c r="QVU68" s="164"/>
      <c r="QVV68"/>
      <c r="QVW68" s="157"/>
      <c r="QVX68" s="158"/>
      <c r="QVY68" s="159"/>
      <c r="QVZ68" s="159"/>
      <c r="QWA68" s="158"/>
      <c r="QWB68" s="160"/>
      <c r="QWC68" s="158"/>
      <c r="QWD68" s="160"/>
      <c r="QWE68" s="161"/>
      <c r="QWF68" s="162"/>
      <c r="QWG68"/>
      <c r="QWH68" s="163"/>
      <c r="QWI68"/>
      <c r="QWJ68" s="156"/>
      <c r="QWK68" s="164"/>
      <c r="QWL68"/>
      <c r="QWM68" s="157"/>
      <c r="QWN68" s="158"/>
      <c r="QWO68" s="159"/>
      <c r="QWP68" s="159"/>
      <c r="QWQ68" s="158"/>
      <c r="QWR68" s="160"/>
      <c r="QWS68" s="158"/>
      <c r="QWT68" s="160"/>
      <c r="QWU68" s="161"/>
      <c r="QWV68" s="162"/>
      <c r="QWW68"/>
      <c r="QWX68" s="163"/>
      <c r="QWY68"/>
      <c r="QWZ68" s="156"/>
      <c r="QXA68" s="164"/>
      <c r="QXB68"/>
      <c r="QXC68" s="157"/>
      <c r="QXD68" s="158"/>
      <c r="QXE68" s="159"/>
      <c r="QXF68" s="159"/>
      <c r="QXG68" s="158"/>
      <c r="QXH68" s="160"/>
      <c r="QXI68" s="158"/>
      <c r="QXJ68" s="160"/>
      <c r="QXK68" s="161"/>
      <c r="QXL68" s="162"/>
      <c r="QXM68"/>
      <c r="QXN68" s="163"/>
      <c r="QXO68"/>
      <c r="QXP68" s="156"/>
      <c r="QXQ68" s="164"/>
      <c r="QXR68"/>
      <c r="QXS68" s="157"/>
      <c r="QXT68" s="158"/>
      <c r="QXU68" s="159"/>
      <c r="QXV68" s="159"/>
      <c r="QXW68" s="158"/>
      <c r="QXX68" s="160"/>
      <c r="QXY68" s="158"/>
      <c r="QXZ68" s="160"/>
      <c r="QYA68" s="161"/>
      <c r="QYB68" s="162"/>
      <c r="QYC68"/>
      <c r="QYD68" s="163"/>
      <c r="QYE68"/>
      <c r="QYF68" s="156"/>
      <c r="QYG68" s="164"/>
      <c r="QYH68"/>
      <c r="QYI68" s="157"/>
      <c r="QYJ68" s="158"/>
      <c r="QYK68" s="159"/>
      <c r="QYL68" s="159"/>
      <c r="QYM68" s="158"/>
      <c r="QYN68" s="160"/>
      <c r="QYO68" s="158"/>
      <c r="QYP68" s="160"/>
      <c r="QYQ68" s="161"/>
      <c r="QYR68" s="162"/>
      <c r="QYS68"/>
      <c r="QYT68" s="163"/>
      <c r="QYU68"/>
      <c r="QYV68" s="156"/>
      <c r="QYW68" s="164"/>
      <c r="QYX68"/>
      <c r="QYY68" s="157"/>
      <c r="QYZ68" s="158"/>
      <c r="QZA68" s="159"/>
      <c r="QZB68" s="159"/>
      <c r="QZC68" s="158"/>
      <c r="QZD68" s="160"/>
      <c r="QZE68" s="158"/>
      <c r="QZF68" s="160"/>
      <c r="QZG68" s="161"/>
      <c r="QZH68" s="162"/>
      <c r="QZI68"/>
      <c r="QZJ68" s="163"/>
      <c r="QZK68"/>
      <c r="QZL68" s="156"/>
      <c r="QZM68" s="164"/>
      <c r="QZN68"/>
      <c r="QZO68" s="157"/>
      <c r="QZP68" s="158"/>
      <c r="QZQ68" s="159"/>
      <c r="QZR68" s="159"/>
      <c r="QZS68" s="158"/>
      <c r="QZT68" s="160"/>
      <c r="QZU68" s="158"/>
      <c r="QZV68" s="160"/>
      <c r="QZW68" s="161"/>
      <c r="QZX68" s="162"/>
      <c r="QZY68"/>
      <c r="QZZ68" s="163"/>
      <c r="RAA68"/>
      <c r="RAB68" s="156"/>
      <c r="RAC68" s="164"/>
      <c r="RAD68"/>
      <c r="RWW68" s="164"/>
      <c r="RWX68"/>
      <c r="RWY68" s="157"/>
      <c r="RWZ68" s="158"/>
      <c r="RXA68" s="159"/>
      <c r="RXB68" s="159"/>
      <c r="RXC68" s="158"/>
      <c r="RXD68" s="160"/>
      <c r="RXE68" s="158"/>
      <c r="RXF68" s="160"/>
      <c r="RXG68" s="161"/>
      <c r="RXH68" s="162"/>
      <c r="RXI68"/>
      <c r="RXJ68" s="163"/>
      <c r="RXK68"/>
      <c r="RXL68" s="156"/>
      <c r="RXM68" s="164"/>
      <c r="RXN68"/>
      <c r="RXO68" s="157"/>
      <c r="RXP68" s="158"/>
      <c r="RXQ68" s="159"/>
      <c r="RXR68" s="159"/>
      <c r="RXS68" s="158"/>
      <c r="RXT68" s="160"/>
      <c r="RXU68" s="158"/>
      <c r="RXV68" s="160"/>
      <c r="RXW68" s="161"/>
      <c r="RXX68" s="162"/>
      <c r="RXY68"/>
      <c r="RXZ68" s="163"/>
      <c r="RYA68"/>
      <c r="RYB68" s="156"/>
      <c r="RYC68" s="164"/>
      <c r="RYD68"/>
      <c r="RYE68" s="157"/>
      <c r="RYF68" s="158"/>
      <c r="RYG68" s="159"/>
      <c r="RYH68" s="159"/>
      <c r="RYI68" s="158"/>
      <c r="RYJ68" s="160"/>
      <c r="RYK68" s="158"/>
      <c r="RYL68" s="160"/>
      <c r="RYM68" s="161"/>
      <c r="RYN68" s="162"/>
      <c r="RYO68"/>
      <c r="RYP68" s="163"/>
      <c r="RYQ68"/>
      <c r="RYR68" s="156"/>
      <c r="RYS68" s="164"/>
      <c r="RYT68"/>
      <c r="RYU68" s="157"/>
      <c r="RYV68" s="158"/>
      <c r="RYW68" s="159"/>
      <c r="RYX68" s="159"/>
      <c r="RYY68" s="158"/>
      <c r="RYZ68" s="160"/>
      <c r="RZA68" s="158"/>
      <c r="RZB68" s="160"/>
      <c r="RZC68" s="161"/>
      <c r="RZD68" s="162"/>
      <c r="RZE68"/>
      <c r="RZF68" s="163"/>
      <c r="RZG68"/>
      <c r="RZH68" s="156"/>
      <c r="RZI68" s="164"/>
      <c r="RZJ68"/>
      <c r="RZK68" s="157"/>
      <c r="RZL68" s="158"/>
      <c r="RZM68" s="159"/>
      <c r="RZN68" s="159"/>
      <c r="RZO68" s="158"/>
      <c r="RZP68" s="160"/>
      <c r="RZQ68" s="158"/>
      <c r="RZR68" s="160"/>
      <c r="RZS68" s="161"/>
      <c r="RZT68" s="162"/>
      <c r="RZU68"/>
      <c r="RZV68" s="163"/>
      <c r="RZW68"/>
      <c r="RZX68" s="156"/>
      <c r="RZY68" s="164"/>
      <c r="RZZ68"/>
      <c r="SAA68" s="157"/>
      <c r="SAB68" s="158"/>
      <c r="SAC68" s="159"/>
      <c r="SAD68" s="159"/>
      <c r="SAE68" s="158"/>
      <c r="SAF68" s="160"/>
      <c r="SAG68" s="158"/>
      <c r="SAH68" s="160"/>
      <c r="SAI68" s="161"/>
      <c r="SAJ68" s="162"/>
      <c r="SAK68"/>
      <c r="SAL68" s="163"/>
      <c r="SAM68"/>
      <c r="SAN68" s="156"/>
      <c r="SAO68" s="164"/>
      <c r="SAP68"/>
      <c r="SAQ68" s="157"/>
      <c r="SAR68" s="158"/>
      <c r="SAS68" s="159"/>
      <c r="SAT68" s="159"/>
      <c r="SAU68" s="158"/>
      <c r="SAV68" s="160"/>
      <c r="SAW68" s="158"/>
      <c r="SAX68" s="160"/>
      <c r="SAY68" s="161"/>
      <c r="SAZ68" s="162"/>
      <c r="SBA68"/>
      <c r="SBB68" s="163"/>
      <c r="SBC68"/>
      <c r="SBD68" s="156"/>
      <c r="SBE68" s="164"/>
      <c r="SBF68"/>
      <c r="SBG68" s="157"/>
      <c r="SBH68" s="158"/>
      <c r="SBI68" s="159"/>
      <c r="SBJ68" s="159"/>
      <c r="SBK68" s="158"/>
      <c r="SBL68" s="160"/>
      <c r="SBM68" s="158"/>
      <c r="SBN68" s="160"/>
      <c r="SBO68" s="161"/>
      <c r="SBP68" s="162"/>
      <c r="SBQ68"/>
      <c r="SBR68" s="163"/>
      <c r="SBS68"/>
      <c r="SBT68" s="156"/>
      <c r="SBU68" s="164"/>
      <c r="SBV68"/>
      <c r="SBW68" s="157"/>
      <c r="SBX68" s="158"/>
      <c r="SBY68" s="159"/>
      <c r="SBZ68" s="159"/>
      <c r="SCA68" s="158"/>
      <c r="SCB68" s="160"/>
      <c r="SCC68" s="158"/>
      <c r="SCD68" s="160"/>
      <c r="SCE68" s="161"/>
      <c r="SCF68" s="162"/>
      <c r="SCG68"/>
      <c r="SCH68" s="163"/>
      <c r="SCI68"/>
      <c r="SCJ68" s="156"/>
      <c r="SCK68" s="164"/>
      <c r="SCL68"/>
      <c r="SCM68" s="157"/>
      <c r="SCN68" s="158"/>
      <c r="SCO68" s="159"/>
      <c r="SCP68" s="159"/>
      <c r="SCQ68" s="158"/>
      <c r="SCR68" s="160"/>
      <c r="SCS68" s="158"/>
      <c r="SCT68" s="160"/>
      <c r="SCU68" s="161"/>
      <c r="SCV68" s="162"/>
      <c r="SCW68"/>
      <c r="SCX68" s="163"/>
      <c r="SCY68"/>
      <c r="SCZ68" s="156"/>
      <c r="SDA68" s="164"/>
      <c r="SDB68"/>
      <c r="SDC68" s="157"/>
      <c r="SDD68" s="158"/>
      <c r="SDE68" s="159"/>
      <c r="SDF68" s="159"/>
      <c r="SDG68" s="158"/>
      <c r="SDH68" s="160"/>
      <c r="SDI68" s="158"/>
      <c r="SDJ68" s="160"/>
      <c r="SDK68" s="161"/>
      <c r="SDL68" s="162"/>
      <c r="SDM68"/>
      <c r="SDN68" s="163"/>
      <c r="SDO68"/>
      <c r="SDP68" s="156"/>
      <c r="SDQ68" s="164"/>
      <c r="SDR68"/>
      <c r="SDS68" s="157"/>
      <c r="SDT68" s="158"/>
      <c r="SDU68" s="159"/>
      <c r="SDV68" s="159"/>
      <c r="SDW68" s="158"/>
      <c r="SDX68" s="160"/>
      <c r="SDY68" s="158"/>
      <c r="SDZ68" s="160"/>
      <c r="SEA68" s="161"/>
      <c r="SEB68" s="162"/>
      <c r="SEC68"/>
      <c r="SED68" s="163"/>
      <c r="SEE68"/>
      <c r="SEF68" s="156"/>
      <c r="SEG68" s="164"/>
      <c r="SEH68"/>
      <c r="SEI68" s="157"/>
      <c r="SEJ68" s="158"/>
      <c r="SEK68" s="159"/>
      <c r="SEL68" s="159"/>
      <c r="SEM68" s="158"/>
      <c r="SEN68" s="160"/>
      <c r="SEO68" s="158"/>
      <c r="SEP68" s="160"/>
      <c r="SEQ68" s="161"/>
      <c r="SER68" s="162"/>
      <c r="SES68"/>
      <c r="SET68" s="163"/>
      <c r="SEU68"/>
      <c r="SEV68" s="156"/>
      <c r="SEW68" s="164"/>
      <c r="SEX68"/>
      <c r="SEY68" s="157"/>
      <c r="SEZ68" s="158"/>
      <c r="SFA68" s="159"/>
      <c r="SFB68" s="159"/>
      <c r="SFC68" s="158"/>
      <c r="SFD68" s="160"/>
      <c r="SFE68" s="158"/>
      <c r="SFF68" s="160"/>
      <c r="SFG68" s="161"/>
      <c r="SFH68" s="162"/>
      <c r="SFI68"/>
      <c r="SFJ68" s="163"/>
      <c r="SFK68"/>
      <c r="SFL68" s="156"/>
      <c r="SFM68" s="164"/>
      <c r="SFN68"/>
      <c r="SFO68" s="157"/>
      <c r="SFP68" s="158"/>
      <c r="SFQ68" s="159"/>
      <c r="SFR68" s="159"/>
      <c r="SFS68" s="158"/>
      <c r="SFT68" s="160"/>
      <c r="SFU68" s="158"/>
      <c r="SFV68" s="160"/>
      <c r="SFW68" s="161"/>
      <c r="SFX68" s="162"/>
      <c r="SFY68"/>
      <c r="SFZ68" s="163"/>
      <c r="SGA68"/>
      <c r="SGB68" s="156"/>
      <c r="SGC68" s="164"/>
      <c r="SGD68"/>
      <c r="SGE68" s="157"/>
      <c r="SGF68" s="158"/>
      <c r="SGG68" s="159"/>
      <c r="SGH68" s="159"/>
      <c r="SGI68" s="158"/>
      <c r="SGJ68" s="160"/>
      <c r="SGK68" s="158"/>
      <c r="SGL68" s="160"/>
      <c r="SGM68" s="161"/>
      <c r="SGN68" s="162"/>
      <c r="SGO68"/>
      <c r="SGP68" s="163"/>
      <c r="SGQ68"/>
      <c r="SGR68" s="156"/>
      <c r="SGS68" s="164"/>
      <c r="SGT68"/>
      <c r="SGU68" s="157"/>
      <c r="SGV68" s="158"/>
      <c r="SGW68" s="159"/>
      <c r="SGX68" s="159"/>
      <c r="SGY68" s="158"/>
      <c r="SGZ68" s="160"/>
      <c r="SHA68" s="158"/>
      <c r="SHB68" s="160"/>
      <c r="SHC68" s="161"/>
      <c r="SHD68" s="162"/>
      <c r="SHE68"/>
      <c r="SHF68" s="163"/>
      <c r="SHG68"/>
      <c r="SHH68" s="156"/>
      <c r="SHI68" s="164"/>
      <c r="SHJ68"/>
      <c r="SHK68" s="157"/>
      <c r="SHL68" s="158"/>
      <c r="SHM68" s="159"/>
      <c r="SHN68" s="159"/>
      <c r="SHO68" s="158"/>
      <c r="SHP68" s="160"/>
      <c r="SHQ68" s="158"/>
      <c r="SHR68" s="160"/>
      <c r="SHS68" s="161"/>
      <c r="SHT68" s="162"/>
      <c r="SHU68"/>
      <c r="SHV68" s="163"/>
      <c r="SHW68"/>
      <c r="SHX68" s="156"/>
      <c r="SHY68" s="164"/>
      <c r="SHZ68"/>
      <c r="SIA68" s="157"/>
      <c r="SIB68" s="158"/>
      <c r="SIC68" s="159"/>
      <c r="SID68" s="159"/>
      <c r="SIE68" s="158"/>
      <c r="SIF68" s="160"/>
      <c r="SIG68" s="158"/>
      <c r="SIH68" s="160"/>
      <c r="SII68" s="161"/>
      <c r="SIJ68" s="162"/>
      <c r="SIK68"/>
      <c r="SIL68" s="163"/>
      <c r="SIM68"/>
      <c r="SIN68" s="156"/>
      <c r="SIO68" s="164"/>
      <c r="SIP68"/>
      <c r="SIQ68" s="157"/>
      <c r="SIR68" s="158"/>
      <c r="SIS68" s="159"/>
      <c r="SIT68" s="159"/>
      <c r="SIU68" s="158"/>
      <c r="SIV68" s="160"/>
      <c r="SIW68" s="158"/>
      <c r="SIX68" s="160"/>
      <c r="SIY68" s="161"/>
      <c r="SIZ68" s="162"/>
      <c r="SJA68"/>
      <c r="SJB68" s="163"/>
      <c r="SJC68"/>
      <c r="SJD68" s="156"/>
      <c r="SJE68" s="164"/>
      <c r="SJF68"/>
      <c r="SJG68" s="157"/>
      <c r="SJH68" s="158"/>
      <c r="SJI68" s="159"/>
      <c r="SJJ68" s="159"/>
      <c r="SJK68" s="158"/>
      <c r="SJL68" s="160"/>
      <c r="SJM68" s="158"/>
      <c r="SJN68" s="160"/>
      <c r="SJO68" s="161"/>
      <c r="SJP68" s="162"/>
      <c r="SJQ68"/>
      <c r="SJR68" s="163"/>
      <c r="SJS68"/>
      <c r="SJT68" s="156"/>
      <c r="SJU68" s="164"/>
      <c r="SJV68"/>
      <c r="SJW68" s="157"/>
      <c r="SJX68" s="158"/>
      <c r="SJY68" s="159"/>
      <c r="SJZ68" s="159"/>
      <c r="SKA68" s="158"/>
      <c r="SKB68" s="160"/>
      <c r="SKC68" s="158"/>
      <c r="SKD68" s="160"/>
      <c r="SKE68" s="161"/>
      <c r="SKF68" s="162"/>
      <c r="SKG68"/>
      <c r="SKH68" s="163"/>
      <c r="SKI68"/>
      <c r="SKJ68" s="156"/>
      <c r="SKK68" s="164"/>
      <c r="SKL68"/>
      <c r="SKM68" s="157"/>
      <c r="SKN68" s="158"/>
      <c r="SKO68" s="159"/>
      <c r="SKP68" s="159"/>
      <c r="SKQ68" s="158"/>
      <c r="SKR68" s="160"/>
      <c r="SKS68" s="158"/>
      <c r="SKT68" s="160"/>
      <c r="SKU68" s="161"/>
      <c r="SKV68" s="162"/>
      <c r="SKW68"/>
      <c r="SKX68" s="163"/>
      <c r="SKY68"/>
      <c r="SKZ68" s="156"/>
      <c r="SLA68" s="164"/>
      <c r="SLB68"/>
      <c r="SLC68" s="157"/>
      <c r="SLD68" s="158"/>
      <c r="SLE68" s="159"/>
      <c r="SLF68" s="159"/>
      <c r="SLG68" s="158"/>
      <c r="SLH68" s="160"/>
      <c r="SLI68" s="158"/>
      <c r="SLJ68" s="160"/>
      <c r="SLK68" s="161"/>
      <c r="SLL68" s="162"/>
      <c r="SLM68"/>
      <c r="SLN68" s="163"/>
      <c r="SLO68"/>
      <c r="SLP68" s="156"/>
      <c r="SLQ68" s="164"/>
      <c r="SLR68"/>
      <c r="SLS68" s="157"/>
      <c r="SLT68" s="158"/>
      <c r="SLU68" s="159"/>
      <c r="SLV68" s="159"/>
      <c r="SLW68" s="158"/>
      <c r="SLX68" s="160"/>
      <c r="SLY68" s="158"/>
      <c r="SLZ68" s="160"/>
      <c r="SMA68" s="161"/>
      <c r="SMB68" s="162"/>
      <c r="SMC68"/>
      <c r="SMD68" s="163"/>
      <c r="SME68"/>
      <c r="SMF68" s="156"/>
      <c r="SMG68" s="164"/>
      <c r="SMH68"/>
      <c r="SMI68" s="157"/>
      <c r="SMJ68" s="158"/>
      <c r="SMK68" s="159"/>
      <c r="SML68" s="159"/>
      <c r="SMM68" s="158"/>
      <c r="SMN68" s="160"/>
      <c r="SMO68" s="158"/>
      <c r="SMP68" s="160"/>
      <c r="SMQ68" s="161"/>
      <c r="SMR68" s="162"/>
      <c r="SMS68"/>
      <c r="SMT68" s="163"/>
      <c r="SMU68"/>
      <c r="SMV68" s="156"/>
      <c r="SMW68" s="164"/>
      <c r="SMX68"/>
      <c r="SMY68" s="157"/>
      <c r="SMZ68" s="158"/>
      <c r="SNA68" s="159"/>
      <c r="SNB68" s="159"/>
      <c r="SNC68" s="158"/>
      <c r="SND68" s="160"/>
      <c r="SNE68" s="158"/>
      <c r="SNF68" s="160"/>
      <c r="SNG68" s="161"/>
      <c r="SNH68" s="162"/>
      <c r="SNI68"/>
      <c r="SNJ68" s="163"/>
      <c r="SNK68"/>
      <c r="SNL68" s="156"/>
      <c r="SNM68" s="164"/>
      <c r="SNN68"/>
      <c r="SNO68" s="157"/>
      <c r="SNP68" s="158"/>
      <c r="SNQ68" s="159"/>
      <c r="SNR68" s="159"/>
      <c r="SNS68" s="158"/>
      <c r="SNT68" s="160"/>
      <c r="SNU68" s="158"/>
      <c r="SNV68" s="160"/>
      <c r="SNW68" s="161"/>
      <c r="SNX68" s="162"/>
      <c r="SNY68"/>
      <c r="SNZ68" s="163"/>
      <c r="SOA68"/>
      <c r="SOB68" s="156"/>
      <c r="SOC68" s="164"/>
      <c r="SOD68"/>
      <c r="SOE68" s="157"/>
      <c r="SOF68" s="158"/>
      <c r="SOG68" s="159"/>
      <c r="SOH68" s="159"/>
      <c r="SOI68" s="158"/>
      <c r="SOJ68" s="160"/>
      <c r="SOK68" s="158"/>
      <c r="SOL68" s="160"/>
      <c r="SOM68" s="161"/>
      <c r="SON68" s="162"/>
      <c r="SOO68"/>
      <c r="SOP68" s="163"/>
      <c r="SOQ68"/>
      <c r="SOR68" s="156"/>
      <c r="SOS68" s="164"/>
      <c r="SOT68"/>
      <c r="SOU68" s="157"/>
      <c r="SOV68" s="158"/>
      <c r="SOW68" s="159"/>
      <c r="SOX68" s="159"/>
      <c r="SOY68" s="158"/>
      <c r="SOZ68" s="160"/>
      <c r="SPA68" s="158"/>
      <c r="SPB68" s="160"/>
      <c r="SPC68" s="161"/>
      <c r="SPD68" s="162"/>
      <c r="SPE68"/>
      <c r="SPF68" s="163"/>
      <c r="SPG68"/>
      <c r="SPH68" s="156"/>
      <c r="SPI68" s="164"/>
      <c r="SPJ68"/>
      <c r="SPK68" s="157"/>
      <c r="SPL68" s="158"/>
      <c r="SPM68" s="159"/>
      <c r="SPN68" s="159"/>
      <c r="SPO68" s="158"/>
      <c r="SPP68" s="160"/>
      <c r="SPQ68" s="158"/>
      <c r="SPR68" s="160"/>
      <c r="SPS68" s="161"/>
      <c r="SPT68" s="162"/>
      <c r="SPU68"/>
      <c r="SPV68" s="163"/>
      <c r="SPW68"/>
      <c r="SPX68" s="156"/>
      <c r="SPY68" s="164"/>
      <c r="SPZ68"/>
      <c r="SQA68" s="157"/>
      <c r="SQB68" s="158"/>
      <c r="SQC68" s="159"/>
      <c r="SQD68" s="159"/>
      <c r="SQE68" s="158"/>
      <c r="SQF68" s="160"/>
      <c r="SQG68" s="158"/>
      <c r="SQH68" s="160"/>
      <c r="SQI68" s="161"/>
      <c r="SQJ68" s="162"/>
      <c r="SQK68"/>
      <c r="SQL68" s="163"/>
      <c r="SQM68"/>
      <c r="SQN68" s="156"/>
      <c r="SQO68" s="164"/>
      <c r="SQP68"/>
      <c r="SQQ68" s="157"/>
      <c r="SQR68" s="158"/>
      <c r="SQS68" s="159"/>
      <c r="SQT68" s="159"/>
      <c r="SQU68" s="158"/>
      <c r="SQV68" s="160"/>
      <c r="SQW68" s="158"/>
      <c r="SQX68" s="160"/>
      <c r="SQY68" s="161"/>
      <c r="SQZ68" s="162"/>
      <c r="SRA68"/>
      <c r="SRB68" s="163"/>
      <c r="SRC68"/>
      <c r="SRD68" s="156"/>
      <c r="SRE68" s="164"/>
      <c r="SRF68"/>
      <c r="SRG68" s="157"/>
      <c r="SRH68" s="158"/>
      <c r="SRI68" s="159"/>
      <c r="SRJ68" s="159"/>
      <c r="SRK68" s="158"/>
      <c r="SRL68" s="160"/>
      <c r="SRM68" s="158"/>
      <c r="SRN68" s="160"/>
      <c r="SRO68" s="161"/>
      <c r="SRP68" s="162"/>
      <c r="SRQ68"/>
      <c r="SRR68" s="163"/>
      <c r="SRS68"/>
      <c r="SRT68" s="156"/>
      <c r="SRU68" s="164"/>
      <c r="SRV68"/>
      <c r="SRW68" s="157"/>
      <c r="SRX68" s="158"/>
      <c r="SRY68" s="159"/>
      <c r="SRZ68" s="159"/>
      <c r="SSA68" s="158"/>
      <c r="SSB68" s="160"/>
      <c r="SSC68" s="158"/>
      <c r="SSD68" s="160"/>
      <c r="SSE68" s="161"/>
      <c r="SSF68" s="162"/>
      <c r="SSG68"/>
      <c r="SSH68" s="163"/>
      <c r="SSI68"/>
      <c r="SSJ68" s="156"/>
      <c r="SSK68" s="164"/>
      <c r="SSL68"/>
      <c r="SSM68" s="157"/>
      <c r="SSN68" s="158"/>
      <c r="SSO68" s="159"/>
      <c r="SSP68" s="159"/>
      <c r="SSQ68" s="158"/>
      <c r="SSR68" s="160"/>
      <c r="SSS68" s="158"/>
      <c r="SST68" s="160"/>
      <c r="SSU68" s="161"/>
      <c r="SSV68" s="162"/>
      <c r="SSW68"/>
      <c r="SSX68" s="163"/>
      <c r="SSY68"/>
      <c r="SSZ68" s="156"/>
      <c r="STA68" s="164"/>
      <c r="STB68"/>
      <c r="STC68" s="157"/>
      <c r="STD68" s="158"/>
      <c r="STE68" s="159"/>
      <c r="STF68" s="159"/>
      <c r="STG68" s="158"/>
      <c r="STH68" s="160"/>
      <c r="STI68" s="158"/>
      <c r="STJ68" s="160"/>
      <c r="STK68" s="161"/>
      <c r="STL68" s="162"/>
      <c r="STM68"/>
      <c r="STN68" s="163"/>
      <c r="STO68"/>
      <c r="STP68" s="156"/>
      <c r="STQ68" s="164"/>
      <c r="STR68"/>
      <c r="STS68" s="157"/>
      <c r="STT68" s="158"/>
      <c r="STU68" s="159"/>
      <c r="STV68" s="159"/>
      <c r="STW68" s="158"/>
      <c r="STX68" s="160"/>
      <c r="STY68" s="158"/>
      <c r="STZ68" s="160"/>
      <c r="SUA68" s="161"/>
      <c r="SUB68" s="162"/>
      <c r="SUC68"/>
      <c r="SUD68" s="163"/>
      <c r="SUE68"/>
      <c r="SUF68" s="156"/>
      <c r="SUG68" s="164"/>
      <c r="SUH68"/>
      <c r="SUI68" s="157"/>
      <c r="SUJ68" s="158"/>
      <c r="SUK68" s="159"/>
      <c r="SUL68" s="159"/>
      <c r="SUM68" s="158"/>
      <c r="SUN68" s="160"/>
      <c r="SUO68" s="158"/>
      <c r="SUP68" s="160"/>
      <c r="SUQ68" s="161"/>
      <c r="SUR68" s="162"/>
      <c r="SUS68"/>
      <c r="SUT68" s="163"/>
      <c r="SUU68"/>
      <c r="SUV68" s="156"/>
      <c r="SUW68" s="164"/>
      <c r="SUX68"/>
      <c r="SUY68" s="157"/>
      <c r="SUZ68" s="158"/>
      <c r="SVA68" s="159"/>
      <c r="SVB68" s="159"/>
      <c r="SVC68" s="158"/>
      <c r="SVD68" s="160"/>
      <c r="SVE68" s="158"/>
      <c r="SVF68" s="160"/>
      <c r="SVG68" s="161"/>
      <c r="SVH68" s="162"/>
      <c r="SVI68"/>
      <c r="SVJ68" s="163"/>
      <c r="SVK68"/>
      <c r="SVL68" s="156"/>
      <c r="SVM68" s="164"/>
      <c r="SVN68"/>
      <c r="SVO68" s="157"/>
      <c r="SVP68" s="158"/>
      <c r="SVQ68" s="159"/>
      <c r="SVR68" s="159"/>
      <c r="SVS68" s="158"/>
      <c r="SVT68" s="160"/>
      <c r="SVU68" s="158"/>
      <c r="SVV68" s="160"/>
      <c r="SVW68" s="161"/>
      <c r="SVX68" s="162"/>
      <c r="SVY68"/>
      <c r="SVZ68" s="163"/>
      <c r="SWA68"/>
      <c r="SWB68" s="156"/>
      <c r="SWC68" s="164"/>
      <c r="SWD68"/>
      <c r="SWE68" s="157"/>
      <c r="SWF68" s="158"/>
      <c r="SWG68" s="159"/>
      <c r="SWH68" s="159"/>
      <c r="SWI68" s="158"/>
      <c r="SWJ68" s="160"/>
      <c r="SWK68" s="158"/>
      <c r="SWL68" s="160"/>
      <c r="SWM68" s="161"/>
      <c r="SWN68" s="162"/>
      <c r="SWO68"/>
      <c r="SWP68" s="163"/>
      <c r="SWQ68"/>
      <c r="SWR68" s="156"/>
      <c r="SWS68" s="164"/>
      <c r="SWT68"/>
      <c r="SWU68" s="157"/>
      <c r="SWV68" s="158"/>
      <c r="SWW68" s="159"/>
      <c r="SWX68" s="159"/>
      <c r="SWY68" s="158"/>
      <c r="SWZ68" s="160"/>
      <c r="SXA68" s="158"/>
      <c r="SXB68" s="160"/>
      <c r="SXC68" s="161"/>
      <c r="SXD68" s="162"/>
      <c r="SXE68"/>
      <c r="SXF68" s="163"/>
      <c r="SXG68"/>
      <c r="SXH68" s="156"/>
      <c r="SXI68" s="164"/>
      <c r="SXJ68"/>
      <c r="SXK68" s="157"/>
      <c r="SXL68" s="158"/>
      <c r="SXM68" s="159"/>
      <c r="SXN68" s="159"/>
      <c r="SXO68" s="158"/>
      <c r="SXP68" s="160"/>
      <c r="SXQ68" s="158"/>
      <c r="SXR68" s="160"/>
      <c r="SXS68" s="161"/>
      <c r="SXT68" s="162"/>
      <c r="SXU68"/>
      <c r="SXV68" s="163"/>
      <c r="SXW68"/>
      <c r="SXX68" s="156"/>
      <c r="SXY68" s="164"/>
      <c r="SXZ68"/>
      <c r="SYA68" s="157"/>
      <c r="SYB68" s="158"/>
      <c r="SYC68" s="159"/>
      <c r="SYD68" s="159"/>
      <c r="SYE68" s="158"/>
      <c r="SYF68" s="160"/>
      <c r="SYG68" s="158"/>
      <c r="SYH68" s="160"/>
      <c r="SYI68" s="161"/>
      <c r="SYJ68" s="162"/>
      <c r="SYK68"/>
      <c r="SYL68" s="163"/>
      <c r="SYM68"/>
      <c r="SYN68" s="156"/>
      <c r="SYO68" s="164"/>
      <c r="SYP68"/>
      <c r="SYQ68" s="157"/>
      <c r="SYR68" s="158"/>
      <c r="SYS68" s="159"/>
      <c r="SYT68" s="159"/>
      <c r="SYU68" s="158"/>
      <c r="SYV68" s="160"/>
      <c r="SYW68" s="158"/>
      <c r="SYX68" s="160"/>
      <c r="SYY68" s="161"/>
      <c r="SYZ68" s="162"/>
      <c r="SZA68"/>
      <c r="SZB68" s="163"/>
      <c r="SZC68"/>
      <c r="SZD68" s="156"/>
      <c r="SZE68" s="164"/>
      <c r="SZF68"/>
      <c r="SZG68" s="157"/>
      <c r="SZH68" s="158"/>
      <c r="SZI68" s="159"/>
      <c r="SZJ68" s="159"/>
      <c r="SZK68" s="158"/>
      <c r="SZL68" s="160"/>
      <c r="SZM68" s="158"/>
      <c r="SZN68" s="160"/>
      <c r="SZO68" s="161"/>
      <c r="SZP68" s="162"/>
      <c r="SZQ68"/>
      <c r="SZR68" s="163"/>
      <c r="SZS68"/>
      <c r="SZT68" s="156"/>
      <c r="SZU68" s="164"/>
      <c r="SZV68"/>
      <c r="SZW68" s="157"/>
      <c r="SZX68" s="158"/>
      <c r="SZY68" s="159"/>
      <c r="SZZ68" s="159"/>
      <c r="TAA68" s="158"/>
      <c r="TAB68" s="160"/>
      <c r="TAC68" s="158"/>
      <c r="TAD68" s="160"/>
      <c r="TAE68" s="161"/>
      <c r="TAF68" s="162"/>
      <c r="TAG68"/>
      <c r="TAH68" s="163"/>
      <c r="TAI68"/>
      <c r="TAJ68" s="156"/>
      <c r="TAK68" s="164"/>
      <c r="TAL68"/>
      <c r="TAM68" s="157"/>
      <c r="TAN68" s="158"/>
      <c r="TAO68" s="159"/>
      <c r="TAP68" s="159"/>
      <c r="TAQ68" s="158"/>
      <c r="TAR68" s="160"/>
      <c r="TAS68" s="158"/>
      <c r="TAT68" s="160"/>
      <c r="TAU68" s="161"/>
      <c r="TAV68" s="162"/>
      <c r="TAW68"/>
      <c r="TAX68" s="163"/>
      <c r="TAY68"/>
      <c r="TAZ68" s="156"/>
      <c r="TBA68" s="164"/>
      <c r="TBB68"/>
      <c r="TBC68" s="157"/>
      <c r="TBD68" s="158"/>
      <c r="TBE68" s="159"/>
      <c r="TBF68" s="159"/>
      <c r="TBG68" s="158"/>
      <c r="TBH68" s="160"/>
      <c r="TBI68" s="158"/>
      <c r="TBJ68" s="160"/>
      <c r="TBK68" s="161"/>
      <c r="TBL68" s="162"/>
      <c r="TBM68"/>
      <c r="TBN68" s="163"/>
      <c r="TBO68"/>
      <c r="TBP68" s="156"/>
      <c r="TBQ68" s="164"/>
      <c r="TBR68"/>
      <c r="TBS68" s="157"/>
      <c r="TBT68" s="158"/>
      <c r="TBU68" s="159"/>
      <c r="TBV68" s="159"/>
      <c r="TBW68" s="158"/>
      <c r="TBX68" s="160"/>
      <c r="TBY68" s="158"/>
      <c r="TBZ68" s="160"/>
      <c r="TCA68" s="161"/>
      <c r="TCB68" s="162"/>
      <c r="TCC68"/>
      <c r="TCD68" s="163"/>
      <c r="TCE68"/>
      <c r="TCF68" s="156"/>
      <c r="TCG68" s="164"/>
      <c r="TCH68"/>
      <c r="TCI68" s="157"/>
      <c r="TCJ68" s="158"/>
      <c r="TCK68" s="159"/>
      <c r="TCL68" s="159"/>
      <c r="TCM68" s="158"/>
      <c r="TCN68" s="160"/>
      <c r="TCO68" s="158"/>
      <c r="TCP68" s="160"/>
      <c r="TCQ68" s="161"/>
      <c r="TCR68" s="162"/>
      <c r="TCS68"/>
      <c r="TCT68" s="163"/>
      <c r="TCU68"/>
      <c r="TCV68" s="156"/>
      <c r="TCW68" s="164"/>
      <c r="TCX68"/>
      <c r="TCY68" s="157"/>
      <c r="TCZ68" s="158"/>
      <c r="TDA68" s="159"/>
      <c r="TDB68" s="159"/>
      <c r="TDC68" s="158"/>
      <c r="TDD68" s="160"/>
      <c r="TDE68" s="158"/>
      <c r="TDF68" s="160"/>
      <c r="TDG68" s="161"/>
      <c r="TDH68" s="162"/>
      <c r="TDI68"/>
      <c r="TDJ68" s="163"/>
      <c r="TDK68"/>
      <c r="TDL68" s="156"/>
      <c r="TDM68" s="164"/>
      <c r="TDN68"/>
      <c r="TDO68" s="157"/>
      <c r="TDP68" s="158"/>
      <c r="TDQ68" s="159"/>
      <c r="TDR68" s="159"/>
      <c r="TDS68" s="158"/>
      <c r="TDT68" s="160"/>
      <c r="TDU68" s="158"/>
      <c r="TDV68" s="160"/>
      <c r="TDW68" s="161"/>
      <c r="TDX68" s="162"/>
      <c r="TDY68"/>
      <c r="TDZ68" s="163"/>
      <c r="TEA68"/>
      <c r="TEB68" s="156"/>
      <c r="TEC68" s="164"/>
      <c r="TED68"/>
      <c r="TEE68" s="157"/>
      <c r="TEF68" s="158"/>
      <c r="TEG68" s="159"/>
      <c r="TEH68" s="159"/>
      <c r="TEI68" s="158"/>
      <c r="TEJ68" s="160"/>
      <c r="TEK68" s="158"/>
      <c r="TEL68" s="160"/>
      <c r="TEM68" s="161"/>
      <c r="TEN68" s="162"/>
      <c r="TEO68"/>
      <c r="TEP68" s="163"/>
      <c r="TEQ68"/>
      <c r="TER68" s="156"/>
      <c r="TES68" s="164"/>
      <c r="TET68"/>
      <c r="TEU68" s="157"/>
      <c r="TEV68" s="158"/>
      <c r="TEW68" s="159"/>
      <c r="TEX68" s="159"/>
      <c r="TEY68" s="158"/>
      <c r="TEZ68" s="160"/>
      <c r="TFA68" s="158"/>
      <c r="TFB68" s="160"/>
      <c r="TFC68" s="161"/>
      <c r="TFD68" s="162"/>
      <c r="TFE68"/>
      <c r="TFF68" s="163"/>
      <c r="TFG68"/>
      <c r="TFH68" s="156"/>
      <c r="TFI68" s="164"/>
      <c r="TFJ68"/>
      <c r="TFK68" s="157"/>
      <c r="TFL68" s="158"/>
      <c r="TFM68" s="159"/>
      <c r="TFN68" s="159"/>
      <c r="TFO68" s="158"/>
      <c r="TFP68" s="160"/>
      <c r="TFQ68" s="158"/>
      <c r="TFR68" s="160"/>
      <c r="TFS68" s="161"/>
      <c r="TFT68" s="162"/>
      <c r="TFU68"/>
      <c r="TFV68" s="163"/>
      <c r="TFW68"/>
      <c r="TFX68" s="156"/>
      <c r="TFY68" s="164"/>
      <c r="TFZ68"/>
      <c r="TGA68" s="157"/>
      <c r="TGB68" s="158"/>
      <c r="TGC68" s="159"/>
      <c r="TGD68" s="159"/>
      <c r="TGE68" s="158"/>
      <c r="TGF68" s="160"/>
      <c r="TGG68" s="158"/>
      <c r="TGH68" s="160"/>
      <c r="TGI68" s="161"/>
      <c r="TGJ68" s="162"/>
      <c r="TGK68"/>
      <c r="TGL68" s="163"/>
      <c r="TGM68"/>
      <c r="TGN68" s="156"/>
      <c r="TGO68" s="164"/>
      <c r="TGP68"/>
      <c r="TGQ68" s="157"/>
      <c r="TGR68" s="158"/>
      <c r="TGS68" s="159"/>
      <c r="TGT68" s="159"/>
      <c r="TGU68" s="158"/>
      <c r="TGV68" s="160"/>
      <c r="TGW68" s="158"/>
      <c r="TGX68" s="160"/>
      <c r="TGY68" s="161"/>
      <c r="TGZ68" s="162"/>
      <c r="THA68"/>
      <c r="THB68" s="163"/>
      <c r="THC68"/>
      <c r="THD68" s="156"/>
      <c r="THE68" s="164"/>
      <c r="THF68"/>
      <c r="THG68" s="157"/>
      <c r="THH68" s="158"/>
      <c r="THI68" s="159"/>
      <c r="THJ68" s="159"/>
      <c r="THK68" s="158"/>
      <c r="THL68" s="160"/>
      <c r="THM68" s="158"/>
      <c r="THN68" s="160"/>
      <c r="THO68" s="161"/>
      <c r="THP68" s="162"/>
      <c r="THQ68"/>
      <c r="THR68" s="163"/>
      <c r="THS68"/>
      <c r="THT68" s="156"/>
      <c r="THU68" s="164"/>
      <c r="THV68"/>
      <c r="THW68" s="157"/>
      <c r="THX68" s="158"/>
      <c r="THY68" s="159"/>
      <c r="THZ68" s="159"/>
      <c r="TIA68" s="158"/>
      <c r="TIB68" s="160"/>
      <c r="TIC68" s="158"/>
      <c r="TID68" s="160"/>
      <c r="TIE68" s="161"/>
      <c r="TIF68" s="162"/>
      <c r="TIG68"/>
      <c r="TIH68" s="163"/>
      <c r="TII68"/>
      <c r="TIJ68" s="156"/>
      <c r="TIK68" s="164"/>
      <c r="TIL68"/>
      <c r="TIM68" s="157"/>
      <c r="TIN68" s="158"/>
      <c r="TIO68" s="159"/>
      <c r="TIP68" s="159"/>
      <c r="TIQ68" s="158"/>
      <c r="TIR68" s="160"/>
      <c r="TIS68" s="158"/>
      <c r="TIT68" s="160"/>
      <c r="TIU68" s="161"/>
      <c r="TIV68" s="162"/>
      <c r="TIW68"/>
      <c r="TIX68" s="163"/>
      <c r="TIY68"/>
      <c r="TIZ68" s="156"/>
      <c r="TJA68" s="164"/>
      <c r="TJB68"/>
      <c r="TJC68" s="157"/>
      <c r="TJD68" s="158"/>
      <c r="TJE68" s="159"/>
      <c r="TJF68" s="159"/>
      <c r="TJG68" s="158"/>
      <c r="TJH68" s="160"/>
      <c r="TJI68" s="158"/>
      <c r="TJJ68" s="160"/>
      <c r="TJK68" s="161"/>
      <c r="TJL68" s="162"/>
      <c r="TJM68"/>
      <c r="TJN68" s="163"/>
      <c r="TJO68"/>
      <c r="TJP68" s="156"/>
      <c r="TJQ68" s="164"/>
      <c r="TJR68"/>
      <c r="TJS68" s="157"/>
      <c r="TJT68" s="158"/>
      <c r="TJU68" s="159"/>
      <c r="TJV68" s="159"/>
      <c r="TJW68" s="158"/>
      <c r="TJX68" s="160"/>
      <c r="TJY68" s="158"/>
      <c r="TJZ68" s="160"/>
      <c r="TKA68" s="161"/>
      <c r="TKB68" s="162"/>
      <c r="TKC68"/>
      <c r="TKD68" s="163"/>
      <c r="TKE68"/>
      <c r="TKF68" s="156"/>
      <c r="TKG68" s="164"/>
      <c r="TKH68"/>
      <c r="TKI68" s="157"/>
      <c r="TKJ68" s="158"/>
      <c r="TKK68" s="159"/>
      <c r="TKL68" s="159"/>
      <c r="TKM68" s="158"/>
      <c r="TKN68" s="160"/>
      <c r="TKO68" s="158"/>
      <c r="TKP68" s="160"/>
      <c r="TKQ68" s="161"/>
      <c r="TKR68" s="162"/>
      <c r="TKS68"/>
      <c r="TKT68" s="163"/>
      <c r="TKU68"/>
      <c r="TKV68" s="156"/>
      <c r="TKW68" s="164"/>
      <c r="TKX68"/>
      <c r="TKY68" s="157"/>
      <c r="TKZ68" s="158"/>
      <c r="TLA68" s="159"/>
      <c r="TLB68" s="159"/>
      <c r="TLC68" s="158"/>
      <c r="TLD68" s="160"/>
      <c r="TLE68" s="158"/>
      <c r="TLF68" s="160"/>
      <c r="TLG68" s="161"/>
      <c r="TLH68" s="162"/>
      <c r="TLI68"/>
      <c r="TLJ68" s="163"/>
      <c r="TLK68"/>
      <c r="TLL68" s="156"/>
      <c r="TLM68" s="164"/>
      <c r="TLN68"/>
      <c r="TLO68" s="157"/>
      <c r="TLP68" s="158"/>
      <c r="TLQ68" s="159"/>
      <c r="TLR68" s="159"/>
      <c r="TLS68" s="158"/>
      <c r="TLT68" s="160"/>
      <c r="TLU68" s="158"/>
      <c r="TLV68" s="160"/>
      <c r="TLW68" s="161"/>
      <c r="TLX68" s="162"/>
      <c r="TLY68"/>
      <c r="TLZ68" s="163"/>
      <c r="TMA68"/>
      <c r="TMB68" s="156"/>
      <c r="TMC68" s="164"/>
      <c r="TMD68"/>
      <c r="TME68" s="157"/>
      <c r="TMF68" s="158"/>
      <c r="TMG68" s="159"/>
      <c r="TMH68" s="159"/>
      <c r="TMI68" s="158"/>
      <c r="TMJ68" s="160"/>
      <c r="TMK68" s="158"/>
      <c r="TML68" s="160"/>
      <c r="TMM68" s="161"/>
      <c r="TMN68" s="162"/>
      <c r="TMO68"/>
      <c r="TMP68" s="163"/>
      <c r="TMQ68"/>
      <c r="TMR68" s="156"/>
      <c r="TMS68" s="164"/>
      <c r="TMT68"/>
      <c r="TMU68" s="157"/>
      <c r="TMV68" s="158"/>
      <c r="TMW68" s="159"/>
      <c r="TMX68" s="159"/>
      <c r="TMY68" s="158"/>
      <c r="TMZ68" s="160"/>
      <c r="TNA68" s="158"/>
      <c r="TNB68" s="160"/>
      <c r="TNC68" s="161"/>
      <c r="TND68" s="162"/>
      <c r="TNE68"/>
      <c r="TNF68" s="163"/>
      <c r="TNG68"/>
      <c r="TNH68" s="156"/>
      <c r="TNI68" s="164"/>
      <c r="TNJ68"/>
      <c r="TNK68" s="157"/>
      <c r="TNL68" s="158"/>
      <c r="TNM68" s="159"/>
      <c r="TNN68" s="159"/>
      <c r="TNO68" s="158"/>
      <c r="TNP68" s="160"/>
      <c r="TNQ68" s="158"/>
      <c r="TNR68" s="160"/>
      <c r="TNS68" s="161"/>
      <c r="TNT68" s="162"/>
      <c r="TNU68"/>
      <c r="TNV68" s="163"/>
      <c r="TNW68"/>
      <c r="TNX68" s="156"/>
      <c r="TNY68" s="164"/>
      <c r="TNZ68"/>
      <c r="TOA68" s="157"/>
      <c r="TOB68" s="158"/>
      <c r="TOC68" s="159"/>
      <c r="TOD68" s="159"/>
      <c r="TOE68" s="158"/>
      <c r="TOF68" s="160"/>
      <c r="TOG68" s="158"/>
      <c r="TOH68" s="160"/>
      <c r="TOI68" s="161"/>
      <c r="TOJ68" s="162"/>
      <c r="TOK68"/>
      <c r="TOL68" s="163"/>
      <c r="TOM68"/>
      <c r="TON68" s="156"/>
      <c r="TOO68" s="164"/>
      <c r="TOP68"/>
      <c r="TOQ68" s="157"/>
      <c r="TOR68" s="158"/>
      <c r="TOS68" s="159"/>
      <c r="TOT68" s="159"/>
      <c r="TOU68" s="158"/>
      <c r="TOV68" s="160"/>
      <c r="TOW68" s="158"/>
      <c r="TOX68" s="160"/>
      <c r="TOY68" s="161"/>
      <c r="TOZ68" s="162"/>
      <c r="TPA68"/>
      <c r="TPB68" s="163"/>
      <c r="TPC68"/>
      <c r="TPD68" s="156"/>
      <c r="TPE68" s="164"/>
      <c r="TPF68"/>
      <c r="TPG68" s="157"/>
      <c r="TPH68" s="158"/>
      <c r="TPI68" s="159"/>
      <c r="TPJ68" s="159"/>
      <c r="TPK68" s="158"/>
      <c r="TPL68" s="160"/>
      <c r="TPM68" s="158"/>
      <c r="TPN68" s="160"/>
      <c r="TPO68" s="161"/>
      <c r="TPP68" s="162"/>
      <c r="TPQ68"/>
      <c r="TPR68" s="163"/>
      <c r="TPS68"/>
      <c r="TPT68" s="156"/>
      <c r="TPU68" s="164"/>
      <c r="TPV68"/>
      <c r="TPW68" s="157"/>
      <c r="TPX68" s="158"/>
      <c r="TPY68" s="159"/>
      <c r="TPZ68" s="159"/>
      <c r="TQA68" s="158"/>
      <c r="TQB68" s="160"/>
      <c r="TQC68" s="158"/>
      <c r="TQD68" s="160"/>
      <c r="TQE68" s="161"/>
      <c r="TQF68" s="162"/>
      <c r="TQG68"/>
      <c r="TQH68" s="163"/>
      <c r="TQI68"/>
      <c r="TQJ68" s="156"/>
      <c r="TQK68" s="164"/>
      <c r="TQL68"/>
      <c r="TQM68" s="157"/>
      <c r="TQN68" s="158"/>
      <c r="TQO68" s="159"/>
      <c r="TQP68" s="159"/>
      <c r="TQQ68" s="158"/>
      <c r="TQR68" s="160"/>
      <c r="TQS68" s="158"/>
      <c r="TQT68" s="160"/>
      <c r="TQU68" s="161"/>
      <c r="TQV68" s="162"/>
      <c r="TQW68"/>
      <c r="TQX68" s="163"/>
      <c r="TQY68"/>
      <c r="TQZ68" s="156"/>
      <c r="TRA68" s="164"/>
      <c r="TRB68"/>
      <c r="TRC68" s="157"/>
      <c r="TRD68" s="158"/>
      <c r="TRE68" s="159"/>
      <c r="TRF68" s="159"/>
      <c r="TRG68" s="158"/>
      <c r="TRH68" s="160"/>
      <c r="TRI68" s="158"/>
      <c r="TRJ68" s="160"/>
      <c r="TRK68" s="161"/>
      <c r="TRL68" s="162"/>
      <c r="TRM68"/>
      <c r="TRN68" s="163"/>
      <c r="TRO68"/>
      <c r="TRP68" s="156"/>
      <c r="TRQ68" s="164"/>
      <c r="TRR68"/>
      <c r="TRS68" s="157"/>
      <c r="TRT68" s="158"/>
      <c r="TRU68" s="159"/>
      <c r="TRV68" s="159"/>
      <c r="TRW68" s="158"/>
      <c r="TRX68" s="160"/>
      <c r="TRY68" s="158"/>
      <c r="TRZ68" s="160"/>
      <c r="TSA68" s="161"/>
      <c r="TSB68" s="162"/>
      <c r="TSC68"/>
      <c r="TSD68" s="163"/>
      <c r="TSE68"/>
      <c r="TSF68" s="156"/>
      <c r="TSG68" s="164"/>
      <c r="TSH68"/>
      <c r="TSI68" s="157"/>
      <c r="TSJ68" s="158"/>
      <c r="TSK68" s="159"/>
      <c r="TSL68" s="159"/>
      <c r="TSM68" s="158"/>
      <c r="TSN68" s="160"/>
      <c r="TSO68" s="158"/>
      <c r="TSP68" s="160"/>
      <c r="TSQ68" s="161"/>
      <c r="TSR68" s="162"/>
      <c r="TSS68"/>
      <c r="TST68" s="163"/>
      <c r="TSU68"/>
      <c r="TSV68" s="156"/>
      <c r="TSW68" s="164"/>
      <c r="TSX68"/>
      <c r="TSY68" s="157"/>
      <c r="TSZ68" s="158"/>
      <c r="TTA68" s="159"/>
      <c r="TTB68" s="159"/>
      <c r="TTC68" s="158"/>
      <c r="TTD68" s="160"/>
      <c r="TTE68" s="158"/>
      <c r="TTF68" s="160"/>
      <c r="TTG68" s="161"/>
      <c r="TTH68" s="162"/>
      <c r="TTI68"/>
      <c r="TTJ68" s="163"/>
      <c r="TTK68"/>
      <c r="TTL68" s="156"/>
      <c r="TTM68" s="164"/>
      <c r="TTN68"/>
      <c r="TTO68" s="157"/>
      <c r="TTP68" s="158"/>
      <c r="TTQ68" s="159"/>
      <c r="TTR68" s="159"/>
      <c r="TTS68" s="158"/>
      <c r="TTT68" s="160"/>
      <c r="TTU68" s="158"/>
      <c r="TTV68" s="160"/>
      <c r="TTW68" s="161"/>
      <c r="TTX68" s="162"/>
      <c r="TTY68"/>
      <c r="TTZ68" s="163"/>
      <c r="TUA68"/>
      <c r="TUB68" s="156"/>
      <c r="TUC68" s="164"/>
      <c r="TUD68"/>
      <c r="TUE68" s="157"/>
      <c r="TUF68" s="158"/>
      <c r="TUG68" s="159"/>
      <c r="TUH68" s="159"/>
      <c r="TUI68" s="158"/>
      <c r="TUJ68" s="160"/>
      <c r="TUK68" s="158"/>
      <c r="TUL68" s="160"/>
      <c r="TUM68" s="161"/>
      <c r="TUN68" s="162"/>
      <c r="TUO68"/>
      <c r="TUP68" s="163"/>
      <c r="TUQ68"/>
      <c r="TUR68" s="156"/>
      <c r="TUS68" s="164"/>
      <c r="TUT68"/>
      <c r="TUU68" s="157"/>
      <c r="TUV68" s="158"/>
      <c r="TUW68" s="159"/>
      <c r="TUX68" s="159"/>
      <c r="TUY68" s="158"/>
      <c r="TUZ68" s="160"/>
      <c r="TVA68" s="158"/>
      <c r="TVB68" s="160"/>
      <c r="TVC68" s="161"/>
      <c r="TVD68" s="162"/>
      <c r="TVE68"/>
      <c r="TVF68" s="163"/>
      <c r="TVG68"/>
      <c r="TVH68" s="156"/>
      <c r="TVI68" s="164"/>
      <c r="TVJ68"/>
      <c r="TVK68" s="157"/>
      <c r="TVL68" s="158"/>
      <c r="TVM68" s="159"/>
      <c r="TVN68" s="159"/>
      <c r="TVO68" s="158"/>
      <c r="TVP68" s="160"/>
      <c r="TVQ68" s="158"/>
      <c r="TVR68" s="160"/>
      <c r="TVS68" s="161"/>
      <c r="TVT68" s="162"/>
      <c r="TVU68"/>
      <c r="TVV68" s="163"/>
      <c r="TVW68"/>
      <c r="TVX68" s="156"/>
      <c r="TVY68" s="164"/>
      <c r="TVZ68"/>
      <c r="TWA68" s="157"/>
      <c r="TWB68" s="158"/>
      <c r="TWC68" s="159"/>
      <c r="TWD68" s="159"/>
      <c r="TWE68" s="158"/>
      <c r="TWF68" s="160"/>
      <c r="TWG68" s="158"/>
      <c r="TWH68" s="160"/>
      <c r="TWI68" s="161"/>
      <c r="TWJ68" s="162"/>
      <c r="TWK68"/>
      <c r="TWL68" s="163"/>
      <c r="TWM68"/>
      <c r="TWN68" s="156"/>
      <c r="TWO68" s="164"/>
      <c r="TWP68"/>
      <c r="TWQ68" s="157"/>
      <c r="TWR68" s="158"/>
      <c r="TWS68" s="159"/>
      <c r="TWT68" s="159"/>
      <c r="TWU68" s="158"/>
      <c r="TWV68" s="160"/>
      <c r="TWW68" s="158"/>
      <c r="TWX68" s="160"/>
      <c r="TWY68" s="161"/>
      <c r="TWZ68" s="162"/>
      <c r="TXA68"/>
      <c r="TXB68" s="163"/>
      <c r="TXC68"/>
      <c r="TXD68" s="156"/>
      <c r="TXE68" s="164"/>
      <c r="TXF68"/>
      <c r="TXG68" s="157"/>
      <c r="TXH68" s="158"/>
      <c r="TXI68" s="159"/>
      <c r="TXJ68" s="159"/>
      <c r="TXK68" s="158"/>
      <c r="TXL68" s="160"/>
      <c r="TXM68" s="158"/>
      <c r="TXN68" s="160"/>
      <c r="TXO68" s="161"/>
      <c r="TXP68" s="162"/>
      <c r="TXQ68"/>
      <c r="TXR68" s="163"/>
      <c r="TXS68"/>
      <c r="TXT68" s="156"/>
      <c r="TXU68" s="164"/>
      <c r="TXV68"/>
      <c r="TXW68" s="157"/>
      <c r="TXX68" s="158"/>
      <c r="TXY68" s="159"/>
      <c r="TXZ68" s="159"/>
      <c r="TYA68" s="158"/>
      <c r="TYB68" s="160"/>
      <c r="TYC68" s="158"/>
      <c r="TYD68" s="160"/>
      <c r="TYE68" s="161"/>
      <c r="TYF68" s="162"/>
      <c r="TYG68"/>
      <c r="TYH68" s="163"/>
      <c r="TYI68"/>
      <c r="TYJ68" s="156"/>
      <c r="TYK68" s="164"/>
      <c r="TYL68"/>
      <c r="TYM68" s="157"/>
      <c r="TYN68" s="158"/>
      <c r="TYO68" s="159"/>
      <c r="TYP68" s="159"/>
      <c r="TYQ68" s="158"/>
      <c r="TYR68" s="160"/>
      <c r="TYS68" s="158"/>
      <c r="TYT68" s="160"/>
      <c r="TYU68" s="161"/>
      <c r="TYV68" s="162"/>
      <c r="TYW68"/>
      <c r="TYX68" s="163"/>
      <c r="TYY68"/>
      <c r="TYZ68" s="156"/>
      <c r="TZA68" s="164"/>
      <c r="TZB68"/>
      <c r="TZC68" s="157"/>
      <c r="TZD68" s="158"/>
      <c r="TZE68" s="159"/>
      <c r="TZF68" s="159"/>
      <c r="TZG68" s="158"/>
      <c r="TZH68" s="160"/>
      <c r="TZI68" s="158"/>
      <c r="TZJ68" s="160"/>
      <c r="TZK68" s="161"/>
      <c r="TZL68" s="162"/>
      <c r="TZM68"/>
      <c r="TZN68" s="163"/>
      <c r="TZO68"/>
      <c r="TZP68" s="156"/>
      <c r="TZQ68" s="164"/>
      <c r="TZR68"/>
      <c r="TZS68" s="157"/>
      <c r="TZT68" s="158"/>
      <c r="TZU68" s="159"/>
      <c r="TZV68" s="159"/>
      <c r="TZW68" s="158"/>
      <c r="TZX68" s="160"/>
      <c r="TZY68" s="158"/>
      <c r="TZZ68" s="160"/>
      <c r="UAA68" s="161"/>
      <c r="UAB68" s="162"/>
      <c r="UAC68"/>
      <c r="UAD68" s="163"/>
      <c r="UAE68"/>
      <c r="UAF68" s="156"/>
      <c r="UAG68" s="164"/>
      <c r="UAH68"/>
      <c r="UAI68" s="157"/>
      <c r="UAJ68" s="158"/>
      <c r="UAK68" s="159"/>
      <c r="UAL68" s="159"/>
      <c r="UAM68" s="158"/>
      <c r="UAN68" s="160"/>
      <c r="UAO68" s="158"/>
      <c r="UAP68" s="160"/>
      <c r="UAQ68" s="161"/>
      <c r="UAR68" s="162"/>
      <c r="UAS68"/>
      <c r="UAT68" s="163"/>
      <c r="UAU68"/>
      <c r="UAV68" s="156"/>
      <c r="UAW68" s="164"/>
      <c r="UAX68"/>
      <c r="UAY68" s="157"/>
      <c r="UAZ68" s="158"/>
      <c r="UBA68" s="159"/>
      <c r="UBB68" s="159"/>
      <c r="UBC68" s="158"/>
      <c r="UBD68" s="160"/>
      <c r="UBE68" s="158"/>
      <c r="UBF68" s="160"/>
      <c r="UBG68" s="161"/>
      <c r="UBH68" s="162"/>
      <c r="UBI68"/>
      <c r="UBJ68" s="163"/>
      <c r="UBK68"/>
      <c r="UBL68" s="156"/>
      <c r="UBM68" s="164"/>
      <c r="UBN68"/>
      <c r="UBO68" s="157"/>
      <c r="UBP68" s="158"/>
      <c r="UBQ68" s="159"/>
      <c r="UBR68" s="159"/>
      <c r="UBS68" s="158"/>
      <c r="UBT68" s="160"/>
      <c r="UBU68" s="158"/>
      <c r="UBV68" s="160"/>
      <c r="UBW68" s="161"/>
      <c r="UBX68" s="162"/>
      <c r="UBY68"/>
      <c r="UBZ68" s="163"/>
      <c r="UCA68"/>
      <c r="UCB68" s="156"/>
      <c r="UCC68" s="164"/>
      <c r="UCD68"/>
      <c r="UCE68" s="157"/>
      <c r="UCF68" s="158"/>
      <c r="UCG68" s="159"/>
      <c r="UCH68" s="159"/>
      <c r="UCI68" s="158"/>
      <c r="UCJ68" s="160"/>
      <c r="UCK68" s="158"/>
      <c r="UCL68" s="160"/>
      <c r="UCM68" s="161"/>
      <c r="UCN68" s="162"/>
      <c r="UCO68"/>
      <c r="UCP68" s="163"/>
      <c r="UCQ68"/>
      <c r="UCR68" s="156"/>
      <c r="UCS68" s="164"/>
      <c r="UCT68"/>
      <c r="UCU68" s="157"/>
      <c r="UCV68" s="158"/>
      <c r="UCW68" s="159"/>
      <c r="UCX68" s="159"/>
      <c r="UCY68" s="158"/>
      <c r="UCZ68" s="160"/>
      <c r="UDA68" s="158"/>
      <c r="UDB68" s="160"/>
      <c r="UDC68" s="161"/>
      <c r="UDD68" s="162"/>
      <c r="UDE68"/>
      <c r="UDF68" s="163"/>
      <c r="UDG68"/>
      <c r="UDH68" s="156"/>
      <c r="UDI68" s="164"/>
      <c r="UDJ68"/>
      <c r="UDK68" s="157"/>
      <c r="UDL68" s="158"/>
      <c r="UDM68" s="159"/>
      <c r="UDN68" s="159"/>
      <c r="UDO68" s="158"/>
      <c r="UDP68" s="160"/>
      <c r="UDQ68" s="158"/>
      <c r="UDR68" s="160"/>
      <c r="UDS68" s="161"/>
      <c r="UDT68" s="162"/>
      <c r="UDU68"/>
      <c r="UDV68" s="163"/>
      <c r="UDW68"/>
      <c r="UDX68" s="156"/>
      <c r="UDY68" s="164"/>
      <c r="UDZ68"/>
      <c r="UEA68" s="157"/>
      <c r="UEB68" s="158"/>
      <c r="UEC68" s="159"/>
      <c r="UED68" s="159"/>
      <c r="UEE68" s="158"/>
      <c r="UEF68" s="160"/>
      <c r="UEG68" s="158"/>
      <c r="UEH68" s="160"/>
      <c r="UEI68" s="161"/>
      <c r="UEJ68" s="162"/>
      <c r="UEK68"/>
      <c r="UEL68" s="163"/>
      <c r="UEM68"/>
      <c r="UEN68" s="156"/>
      <c r="UEO68" s="164"/>
      <c r="UEP68"/>
      <c r="UEQ68" s="157"/>
      <c r="UER68" s="158"/>
      <c r="UES68" s="159"/>
      <c r="UET68" s="159"/>
      <c r="UEU68" s="158"/>
      <c r="UEV68" s="160"/>
      <c r="UEW68" s="158"/>
      <c r="UEX68" s="160"/>
      <c r="UEY68" s="161"/>
      <c r="UEZ68" s="162"/>
      <c r="UFA68"/>
      <c r="UFB68" s="163"/>
      <c r="UFC68"/>
      <c r="UFD68" s="156"/>
      <c r="UFE68" s="164"/>
      <c r="UFF68"/>
      <c r="UFG68" s="157"/>
      <c r="UFH68" s="158"/>
      <c r="UFI68" s="159"/>
      <c r="UFJ68" s="159"/>
      <c r="UFK68" s="158"/>
      <c r="UFL68" s="160"/>
      <c r="UFM68" s="158"/>
      <c r="UFN68" s="160"/>
      <c r="UFO68" s="161"/>
      <c r="UFP68" s="162"/>
      <c r="UFQ68"/>
      <c r="UFR68" s="163"/>
      <c r="UFS68"/>
      <c r="UFT68" s="156"/>
      <c r="UFU68" s="164"/>
      <c r="UFV68"/>
      <c r="UFW68" s="157"/>
      <c r="UFX68" s="158"/>
      <c r="UFY68" s="159"/>
      <c r="UFZ68" s="159"/>
      <c r="UGA68" s="158"/>
      <c r="UGB68" s="160"/>
      <c r="UGC68" s="158"/>
      <c r="UGD68" s="160"/>
      <c r="UGE68" s="161"/>
      <c r="UGF68" s="162"/>
      <c r="UGG68"/>
      <c r="UGH68" s="163"/>
      <c r="UGI68"/>
      <c r="UGJ68" s="156"/>
      <c r="UGK68" s="164"/>
      <c r="UGL68"/>
      <c r="UGM68" s="157"/>
      <c r="UGN68" s="158"/>
      <c r="UGO68" s="159"/>
      <c r="UGP68" s="159"/>
      <c r="UGQ68" s="158"/>
      <c r="UGR68" s="160"/>
      <c r="UGS68" s="158"/>
      <c r="UGT68" s="160"/>
      <c r="UGU68" s="161"/>
      <c r="UGV68" s="162"/>
      <c r="UGW68"/>
      <c r="UGX68" s="163"/>
      <c r="UGY68"/>
      <c r="UGZ68" s="156"/>
      <c r="UHA68" s="164"/>
      <c r="UHB68"/>
      <c r="UHC68" s="157"/>
      <c r="UHD68" s="158"/>
      <c r="UHE68" s="159"/>
      <c r="UHF68" s="159"/>
      <c r="UHG68" s="158"/>
      <c r="UHH68" s="160"/>
      <c r="UHI68" s="158"/>
      <c r="UHJ68" s="160"/>
      <c r="UHK68" s="161"/>
      <c r="UHL68" s="162"/>
      <c r="UHM68"/>
      <c r="UHN68" s="163"/>
      <c r="UHO68"/>
      <c r="UHP68" s="156"/>
      <c r="UHQ68" s="164"/>
      <c r="UHR68"/>
      <c r="UHS68" s="157"/>
      <c r="UHT68" s="158"/>
      <c r="UHU68" s="159"/>
      <c r="UHV68" s="159"/>
      <c r="UHW68" s="158"/>
      <c r="UHX68" s="160"/>
      <c r="UHY68" s="158"/>
      <c r="UHZ68" s="160"/>
      <c r="UIA68" s="161"/>
      <c r="UIB68" s="162"/>
      <c r="UIC68"/>
      <c r="UID68" s="163"/>
      <c r="UIE68"/>
      <c r="UIF68" s="156"/>
      <c r="UIG68" s="164"/>
      <c r="UIH68"/>
      <c r="UII68" s="157"/>
      <c r="UIJ68" s="158"/>
      <c r="UIK68" s="159"/>
      <c r="UIL68" s="159"/>
      <c r="UIM68" s="158"/>
      <c r="UIN68" s="160"/>
      <c r="UIO68" s="158"/>
      <c r="UIP68" s="160"/>
      <c r="UIQ68" s="161"/>
      <c r="UIR68" s="162"/>
      <c r="UIS68"/>
      <c r="UIT68" s="163"/>
      <c r="UIU68"/>
      <c r="UIV68" s="156"/>
      <c r="UIW68" s="164"/>
      <c r="UIX68"/>
      <c r="UIY68" s="157"/>
      <c r="UIZ68" s="158"/>
      <c r="UJA68" s="159"/>
      <c r="UJB68" s="159"/>
      <c r="UJC68" s="158"/>
      <c r="UJD68" s="160"/>
      <c r="UJE68" s="158"/>
      <c r="UJF68" s="160"/>
      <c r="UJG68" s="161"/>
      <c r="UJH68" s="162"/>
      <c r="UJI68"/>
      <c r="UJJ68" s="163"/>
      <c r="UJK68"/>
      <c r="UJL68" s="156"/>
      <c r="UJM68" s="164"/>
      <c r="UJN68"/>
      <c r="UJO68" s="157"/>
      <c r="UJP68" s="158"/>
      <c r="UJQ68" s="159"/>
      <c r="UJR68" s="159"/>
      <c r="UJS68" s="158"/>
      <c r="UJT68" s="160"/>
      <c r="UJU68" s="158"/>
      <c r="UJV68" s="160"/>
      <c r="UJW68" s="161"/>
      <c r="UJX68" s="162"/>
      <c r="UJY68"/>
      <c r="UJZ68" s="163"/>
      <c r="UKA68"/>
      <c r="UKB68" s="156"/>
      <c r="UKC68" s="164"/>
      <c r="UKD68"/>
      <c r="UKE68" s="157"/>
      <c r="UKF68" s="158"/>
      <c r="UKG68" s="159"/>
      <c r="UKH68" s="159"/>
      <c r="UKI68" s="158"/>
      <c r="UKJ68" s="160"/>
      <c r="UKK68" s="158"/>
      <c r="UKL68" s="160"/>
      <c r="UKM68" s="161"/>
      <c r="UKN68" s="162"/>
      <c r="UKO68"/>
      <c r="UKP68" s="163"/>
      <c r="UKQ68"/>
      <c r="UKR68" s="156"/>
      <c r="UKS68" s="164"/>
      <c r="UKT68"/>
      <c r="UKU68" s="157"/>
      <c r="UKV68" s="158"/>
      <c r="UKW68" s="159"/>
      <c r="UKX68" s="159"/>
      <c r="UKY68" s="158"/>
      <c r="UKZ68" s="160"/>
      <c r="ULA68" s="158"/>
      <c r="ULB68" s="160"/>
      <c r="ULC68" s="161"/>
      <c r="ULD68" s="162"/>
      <c r="ULE68"/>
      <c r="ULF68" s="163"/>
      <c r="ULG68"/>
      <c r="ULH68" s="156"/>
      <c r="ULI68" s="164"/>
      <c r="ULJ68"/>
      <c r="ULK68" s="157"/>
      <c r="ULL68" s="158"/>
      <c r="ULM68" s="159"/>
      <c r="ULN68" s="159"/>
      <c r="ULO68" s="158"/>
      <c r="ULP68" s="160"/>
      <c r="ULQ68" s="158"/>
      <c r="ULR68" s="160"/>
      <c r="ULS68" s="161"/>
      <c r="ULT68" s="162"/>
      <c r="ULU68"/>
      <c r="ULV68" s="163"/>
      <c r="ULW68"/>
      <c r="ULX68" s="156"/>
      <c r="ULY68" s="164"/>
      <c r="ULZ68"/>
      <c r="UMA68" s="157"/>
      <c r="UMB68" s="158"/>
      <c r="UMC68" s="159"/>
      <c r="UMD68" s="159"/>
      <c r="UME68" s="158"/>
      <c r="UMF68" s="160"/>
      <c r="UMG68" s="158"/>
      <c r="UMH68" s="160"/>
      <c r="UMI68" s="161"/>
      <c r="UMJ68" s="162"/>
      <c r="UMK68"/>
      <c r="UML68" s="163"/>
      <c r="UMM68"/>
      <c r="UMN68" s="156"/>
      <c r="UMO68" s="164"/>
      <c r="UMP68"/>
      <c r="UMQ68" s="157"/>
      <c r="UMR68" s="158"/>
      <c r="UMS68" s="159"/>
      <c r="UMT68" s="159"/>
      <c r="UMU68" s="158"/>
      <c r="UMV68" s="160"/>
      <c r="UMW68" s="158"/>
      <c r="UMX68" s="160"/>
      <c r="UMY68" s="161"/>
      <c r="UMZ68" s="162"/>
      <c r="UNA68"/>
      <c r="UNB68" s="163"/>
      <c r="UNC68"/>
      <c r="UND68" s="156"/>
      <c r="UNE68" s="164"/>
      <c r="UNF68"/>
      <c r="UNG68" s="157"/>
      <c r="UNH68" s="158"/>
      <c r="UNI68" s="159"/>
      <c r="UNJ68" s="159"/>
      <c r="UNK68" s="158"/>
      <c r="UNL68" s="160"/>
      <c r="UNM68" s="158"/>
      <c r="UNN68" s="160"/>
      <c r="UNO68" s="161"/>
      <c r="UNP68" s="162"/>
      <c r="UNQ68"/>
      <c r="UNR68" s="163"/>
      <c r="UNS68"/>
      <c r="UNT68" s="156"/>
      <c r="UNU68" s="164"/>
      <c r="UNV68"/>
      <c r="UNW68" s="157"/>
      <c r="UNX68" s="158"/>
      <c r="UNY68" s="159"/>
      <c r="UNZ68" s="159"/>
      <c r="UOA68" s="158"/>
      <c r="UOB68" s="160"/>
      <c r="UOC68" s="158"/>
      <c r="UOD68" s="160"/>
      <c r="UOE68" s="161"/>
      <c r="UOF68" s="162"/>
      <c r="UOG68"/>
      <c r="UOH68" s="163"/>
      <c r="UOI68"/>
      <c r="UOJ68" s="156"/>
      <c r="UOK68" s="164"/>
      <c r="UOL68"/>
      <c r="UOM68" s="157"/>
      <c r="UON68" s="158"/>
      <c r="UOO68" s="159"/>
      <c r="UOP68" s="159"/>
      <c r="UOQ68" s="158"/>
      <c r="UOR68" s="160"/>
      <c r="UOS68" s="158"/>
      <c r="UOT68" s="160"/>
      <c r="UOU68" s="161"/>
      <c r="UOV68" s="162"/>
      <c r="UOW68"/>
      <c r="UOX68" s="163"/>
      <c r="UOY68"/>
      <c r="UOZ68" s="156"/>
      <c r="UPA68" s="164"/>
      <c r="UPB68"/>
      <c r="UPC68" s="157"/>
      <c r="UPD68" s="158"/>
      <c r="UPE68" s="159"/>
      <c r="UPF68" s="159"/>
      <c r="UPG68" s="158"/>
      <c r="UPH68" s="160"/>
      <c r="UPI68" s="158"/>
      <c r="UPJ68" s="160"/>
      <c r="UPK68" s="161"/>
      <c r="UPL68" s="162"/>
      <c r="UPM68"/>
      <c r="UPN68" s="163"/>
      <c r="UPO68"/>
      <c r="UPP68" s="156"/>
      <c r="UPQ68" s="164"/>
      <c r="UPR68"/>
      <c r="UPS68" s="157"/>
      <c r="UPT68" s="158"/>
      <c r="UPU68" s="159"/>
      <c r="UPV68" s="159"/>
      <c r="UPW68" s="158"/>
      <c r="UPX68" s="160"/>
      <c r="UPY68" s="158"/>
      <c r="UPZ68" s="160"/>
      <c r="UQA68" s="161"/>
      <c r="UQB68" s="162"/>
      <c r="UQC68"/>
      <c r="UQD68" s="163"/>
      <c r="UQE68"/>
      <c r="UQF68" s="156"/>
      <c r="UQG68" s="164"/>
      <c r="UQH68"/>
      <c r="UQI68" s="157"/>
      <c r="UQJ68" s="158"/>
      <c r="UQK68" s="159"/>
      <c r="UQL68" s="159"/>
      <c r="UQM68" s="158"/>
      <c r="UQN68" s="160"/>
      <c r="UQO68" s="158"/>
      <c r="UQP68" s="160"/>
      <c r="UQQ68" s="161"/>
      <c r="UQR68" s="162"/>
      <c r="UQS68"/>
      <c r="UQT68" s="163"/>
      <c r="UQU68"/>
      <c r="UQV68" s="156"/>
      <c r="UQW68" s="164"/>
      <c r="UQX68"/>
      <c r="UQY68" s="157"/>
      <c r="UQZ68" s="158"/>
      <c r="URA68" s="159"/>
      <c r="URB68" s="159"/>
      <c r="URC68" s="158"/>
      <c r="URD68" s="160"/>
      <c r="URE68" s="158"/>
      <c r="URF68" s="160"/>
      <c r="URG68" s="161"/>
      <c r="URH68" s="162"/>
      <c r="URI68"/>
      <c r="URJ68" s="163"/>
      <c r="URK68"/>
      <c r="URL68" s="156"/>
      <c r="URM68" s="164"/>
      <c r="URN68"/>
      <c r="URO68" s="157"/>
      <c r="URP68" s="158"/>
      <c r="URQ68" s="159"/>
      <c r="URR68" s="159"/>
      <c r="URS68" s="158"/>
      <c r="URT68" s="160"/>
      <c r="URU68" s="158"/>
      <c r="URV68" s="160"/>
      <c r="URW68" s="161"/>
      <c r="URX68" s="162"/>
      <c r="URY68"/>
      <c r="URZ68" s="163"/>
      <c r="USA68"/>
      <c r="USB68" s="156"/>
      <c r="USC68" s="164"/>
      <c r="USD68"/>
      <c r="USE68" s="157"/>
      <c r="USF68" s="158"/>
      <c r="USG68" s="159"/>
      <c r="USH68" s="159"/>
      <c r="USI68" s="158"/>
      <c r="USJ68" s="160"/>
      <c r="USK68" s="158"/>
      <c r="USL68" s="160"/>
      <c r="USM68" s="161"/>
      <c r="USN68" s="162"/>
      <c r="USO68"/>
      <c r="USP68" s="163"/>
      <c r="USQ68"/>
      <c r="USR68" s="156"/>
      <c r="USS68" s="164"/>
      <c r="UST68"/>
      <c r="USU68" s="157"/>
      <c r="USV68" s="158"/>
      <c r="USW68" s="159"/>
      <c r="USX68" s="159"/>
      <c r="USY68" s="158"/>
      <c r="USZ68" s="160"/>
      <c r="UTA68" s="158"/>
      <c r="UTB68" s="160"/>
      <c r="UTC68" s="161"/>
      <c r="UTD68" s="162"/>
      <c r="UTE68"/>
      <c r="UTF68" s="163"/>
      <c r="UTG68"/>
      <c r="UTH68" s="156"/>
      <c r="UTI68" s="164"/>
      <c r="UTJ68"/>
      <c r="UTK68" s="157"/>
      <c r="UTL68" s="158"/>
      <c r="UTM68" s="159"/>
      <c r="UTN68" s="159"/>
      <c r="UTO68" s="158"/>
      <c r="UTP68" s="160"/>
      <c r="UTQ68" s="158"/>
      <c r="UTR68" s="160"/>
      <c r="UTS68" s="161"/>
      <c r="UTT68" s="162"/>
      <c r="UTU68"/>
      <c r="UTV68" s="163"/>
      <c r="UTW68"/>
      <c r="UTX68" s="156"/>
      <c r="UTY68" s="164"/>
      <c r="UTZ68"/>
      <c r="UUA68" s="157"/>
      <c r="UUB68" s="158"/>
      <c r="UUC68" s="159"/>
      <c r="UUD68" s="159"/>
      <c r="UUE68" s="158"/>
      <c r="UUF68" s="160"/>
      <c r="UUG68" s="158"/>
      <c r="UUH68" s="160"/>
      <c r="UUI68" s="161"/>
      <c r="UUJ68" s="162"/>
      <c r="UUK68"/>
      <c r="UUL68" s="163"/>
      <c r="UUM68"/>
      <c r="UUN68" s="156"/>
      <c r="UUO68" s="164"/>
      <c r="UUP68"/>
      <c r="UUQ68" s="157"/>
      <c r="UUR68" s="158"/>
      <c r="UUS68" s="159"/>
      <c r="UUT68" s="159"/>
      <c r="UUU68" s="158"/>
      <c r="UUV68" s="160"/>
      <c r="UUW68" s="158"/>
      <c r="UUX68" s="160"/>
      <c r="UUY68" s="161"/>
      <c r="UUZ68" s="162"/>
      <c r="UVA68"/>
      <c r="UVB68" s="163"/>
      <c r="UVC68"/>
      <c r="UVD68" s="156"/>
      <c r="UVE68" s="164"/>
      <c r="UVF68"/>
      <c r="UVG68" s="157"/>
      <c r="UVH68" s="158"/>
      <c r="UVI68" s="159"/>
      <c r="UVJ68" s="159"/>
      <c r="UVK68" s="158"/>
      <c r="UVL68" s="160"/>
      <c r="UVM68" s="158"/>
      <c r="UVN68" s="160"/>
      <c r="UVO68" s="161"/>
      <c r="UVP68" s="162"/>
      <c r="UVQ68"/>
      <c r="UVR68" s="163"/>
      <c r="UVS68"/>
      <c r="UVT68" s="156"/>
      <c r="UVU68" s="164"/>
      <c r="UVV68"/>
      <c r="UVW68" s="157"/>
      <c r="UVX68" s="158"/>
      <c r="UVY68" s="159"/>
      <c r="UVZ68" s="159"/>
      <c r="UWA68" s="158"/>
      <c r="UWB68" s="160"/>
      <c r="UWC68" s="158"/>
      <c r="UWD68" s="160"/>
      <c r="UWE68" s="161"/>
      <c r="UWF68" s="162"/>
      <c r="UWG68"/>
      <c r="UWH68" s="163"/>
      <c r="UWI68"/>
      <c r="UWJ68" s="156"/>
      <c r="UWK68" s="164"/>
      <c r="UWL68"/>
      <c r="UWM68" s="157"/>
      <c r="UWN68" s="158"/>
      <c r="UWO68" s="159"/>
      <c r="UWP68" s="159"/>
      <c r="UWQ68" s="158"/>
      <c r="UWR68" s="160"/>
      <c r="UWS68" s="158"/>
      <c r="UWT68" s="160"/>
      <c r="UWU68" s="161"/>
      <c r="UWV68" s="162"/>
      <c r="UWW68"/>
      <c r="UWX68" s="163"/>
      <c r="UWY68"/>
      <c r="UWZ68" s="156"/>
      <c r="UXA68" s="164"/>
      <c r="UXB68"/>
      <c r="UXC68" s="157"/>
      <c r="UXD68" s="158"/>
      <c r="UXE68" s="159"/>
      <c r="UXF68" s="159"/>
      <c r="UXG68" s="158"/>
      <c r="UXH68" s="160"/>
      <c r="UXI68" s="158"/>
      <c r="UXJ68" s="160"/>
      <c r="UXK68" s="161"/>
      <c r="UXL68" s="162"/>
      <c r="UXM68"/>
      <c r="UXN68" s="163"/>
      <c r="UXO68"/>
      <c r="UXP68" s="156"/>
      <c r="UXQ68" s="164"/>
      <c r="UXR68"/>
      <c r="UXS68" s="157"/>
      <c r="UXT68" s="158"/>
      <c r="UXU68" s="159"/>
      <c r="UXV68" s="159"/>
      <c r="UXW68" s="158"/>
      <c r="UXX68" s="160"/>
      <c r="UXY68" s="158"/>
      <c r="UXZ68" s="160"/>
      <c r="UYA68" s="161"/>
      <c r="UYB68" s="162"/>
      <c r="UYC68"/>
      <c r="UYD68" s="163"/>
      <c r="UYE68"/>
      <c r="UYF68" s="156"/>
      <c r="UYG68" s="164"/>
      <c r="UYH68"/>
      <c r="UYI68" s="157"/>
      <c r="UYJ68" s="158"/>
      <c r="UYK68" s="159"/>
      <c r="UYL68" s="159"/>
      <c r="UYM68" s="158"/>
      <c r="UYN68" s="160"/>
      <c r="UYO68" s="158"/>
      <c r="UYP68" s="160"/>
      <c r="UYQ68" s="161"/>
      <c r="UYR68" s="162"/>
      <c r="UYS68"/>
      <c r="UYT68" s="163"/>
      <c r="UYU68"/>
      <c r="UYV68" s="156"/>
      <c r="UYW68" s="164"/>
      <c r="UYX68"/>
      <c r="UYY68" s="157"/>
      <c r="UYZ68" s="158"/>
      <c r="UZA68" s="159"/>
      <c r="UZB68" s="159"/>
      <c r="UZC68" s="158"/>
      <c r="UZD68" s="160"/>
      <c r="UZE68" s="158"/>
      <c r="UZF68" s="160"/>
      <c r="UZG68" s="161"/>
      <c r="UZH68" s="162"/>
      <c r="UZI68"/>
      <c r="UZJ68" s="163"/>
      <c r="UZK68"/>
      <c r="UZL68" s="156"/>
      <c r="UZM68" s="164"/>
      <c r="UZN68"/>
      <c r="UZO68" s="157"/>
      <c r="UZP68" s="158"/>
      <c r="UZQ68" s="159"/>
      <c r="UZR68" s="159"/>
      <c r="UZS68" s="158"/>
      <c r="UZT68" s="160"/>
      <c r="UZU68" s="158"/>
      <c r="UZV68" s="160"/>
      <c r="UZW68" s="161"/>
      <c r="UZX68" s="162"/>
      <c r="UZY68"/>
      <c r="UZZ68" s="163"/>
      <c r="VAA68"/>
      <c r="VAB68" s="156"/>
      <c r="VAC68" s="164"/>
      <c r="VAD68"/>
      <c r="VAE68" s="157"/>
      <c r="VAF68" s="158"/>
      <c r="VAG68" s="159"/>
      <c r="VAH68" s="159"/>
      <c r="VAI68" s="158"/>
      <c r="VAJ68" s="160"/>
      <c r="VAK68" s="158"/>
      <c r="VAL68" s="160"/>
      <c r="VAM68" s="161"/>
      <c r="VAN68" s="162"/>
      <c r="VAO68"/>
      <c r="VAP68" s="163"/>
      <c r="VAQ68"/>
      <c r="VAR68" s="156"/>
      <c r="VAS68" s="164"/>
      <c r="VAT68"/>
      <c r="VAU68" s="157"/>
      <c r="VAV68" s="158"/>
      <c r="VAW68" s="159"/>
      <c r="VAX68" s="159"/>
      <c r="VAY68" s="158"/>
      <c r="VAZ68" s="160"/>
      <c r="VBA68" s="158"/>
      <c r="VBB68" s="160"/>
      <c r="VBC68" s="161"/>
      <c r="VBD68" s="162"/>
      <c r="VBE68"/>
      <c r="VBF68" s="163"/>
      <c r="VBG68"/>
      <c r="VBH68" s="156"/>
      <c r="VBI68" s="164"/>
      <c r="VBJ68"/>
      <c r="VBK68" s="157"/>
      <c r="VBL68" s="158"/>
      <c r="VBM68" s="159"/>
      <c r="VBN68" s="159"/>
      <c r="VBO68" s="158"/>
      <c r="VBP68" s="160"/>
      <c r="VBQ68" s="158"/>
      <c r="VBR68" s="160"/>
      <c r="VBS68" s="161"/>
      <c r="VBT68" s="162"/>
      <c r="VBU68"/>
      <c r="VBV68" s="163"/>
      <c r="VBW68"/>
      <c r="VBX68" s="156"/>
      <c r="VBY68" s="164"/>
      <c r="VBZ68"/>
      <c r="VCA68" s="157"/>
      <c r="VCB68" s="158"/>
      <c r="VCC68" s="159"/>
      <c r="VCD68" s="159"/>
      <c r="VCE68" s="158"/>
      <c r="VCF68" s="160"/>
      <c r="VCG68" s="158"/>
      <c r="VCH68" s="160"/>
      <c r="VCI68" s="161"/>
      <c r="VCJ68" s="162"/>
      <c r="VCK68"/>
      <c r="VCL68" s="163"/>
      <c r="VCM68"/>
      <c r="VCN68" s="156"/>
      <c r="VCO68" s="164"/>
      <c r="VCP68"/>
      <c r="VCQ68" s="157"/>
      <c r="VCR68" s="158"/>
      <c r="VCS68" s="159"/>
      <c r="VCT68" s="159"/>
      <c r="VCU68" s="158"/>
      <c r="VCV68" s="160"/>
      <c r="VCW68" s="158"/>
      <c r="VCX68" s="160"/>
      <c r="VCY68" s="161"/>
      <c r="VCZ68" s="162"/>
      <c r="VDA68"/>
      <c r="VDB68" s="163"/>
      <c r="VDC68"/>
      <c r="VDD68" s="156"/>
      <c r="VDE68" s="164"/>
      <c r="VDF68"/>
      <c r="VDG68" s="157"/>
      <c r="VDH68" s="158"/>
      <c r="VDI68" s="159"/>
      <c r="VDJ68" s="159"/>
      <c r="VDK68" s="158"/>
      <c r="VDL68" s="160"/>
      <c r="VDM68" s="158"/>
      <c r="VDN68" s="160"/>
      <c r="VDO68" s="161"/>
      <c r="VDP68" s="162"/>
      <c r="VDQ68"/>
      <c r="VDR68" s="163"/>
      <c r="VDS68"/>
      <c r="VDT68" s="156"/>
      <c r="VDU68" s="164"/>
      <c r="VDV68"/>
      <c r="VDW68" s="157"/>
      <c r="VDX68" s="158"/>
      <c r="VDY68" s="159"/>
      <c r="VDZ68" s="159"/>
      <c r="VEA68" s="158"/>
      <c r="VEB68" s="160"/>
      <c r="VEC68" s="158"/>
      <c r="VED68" s="160"/>
      <c r="VEE68" s="161"/>
      <c r="VEF68" s="162"/>
      <c r="VEG68"/>
      <c r="VEH68" s="163"/>
      <c r="VEI68"/>
      <c r="VEJ68" s="156"/>
      <c r="VEK68" s="164"/>
      <c r="VEL68"/>
      <c r="VEM68" s="157"/>
      <c r="VEN68" s="158"/>
      <c r="VEO68" s="159"/>
      <c r="VEP68" s="159"/>
      <c r="VEQ68" s="158"/>
      <c r="VER68" s="160"/>
      <c r="VES68" s="158"/>
      <c r="VET68" s="160"/>
      <c r="VEU68" s="161"/>
      <c r="VEV68" s="162"/>
      <c r="VEW68"/>
      <c r="VEX68" s="163"/>
      <c r="VEY68"/>
      <c r="VEZ68" s="156"/>
      <c r="VFA68" s="164"/>
      <c r="VFB68"/>
      <c r="VFC68" s="157"/>
      <c r="VFD68" s="158"/>
      <c r="VFE68" s="159"/>
      <c r="VFF68" s="159"/>
      <c r="VFG68" s="158"/>
      <c r="VFH68" s="160"/>
      <c r="VFI68" s="158"/>
      <c r="VFJ68" s="160"/>
      <c r="VFK68" s="161"/>
      <c r="VFL68" s="162"/>
      <c r="VFM68"/>
      <c r="VFN68" s="163"/>
      <c r="VFO68"/>
      <c r="VFP68" s="156"/>
      <c r="VFQ68" s="164"/>
      <c r="VFR68"/>
      <c r="VFS68" s="157"/>
      <c r="VFT68" s="158"/>
      <c r="VFU68" s="159"/>
      <c r="VFV68" s="159"/>
      <c r="VFW68" s="158"/>
      <c r="VFX68" s="160"/>
      <c r="VFY68" s="158"/>
      <c r="VFZ68" s="160"/>
      <c r="VGA68" s="161"/>
      <c r="VGB68" s="162"/>
      <c r="VGC68"/>
      <c r="VGD68" s="163"/>
      <c r="VGE68"/>
      <c r="VGF68" s="156"/>
      <c r="VGG68" s="164"/>
      <c r="VGH68"/>
      <c r="VGI68" s="157"/>
      <c r="VGJ68" s="158"/>
      <c r="VGK68" s="159"/>
      <c r="VGL68" s="159"/>
      <c r="VGM68" s="158"/>
      <c r="VGN68" s="160"/>
      <c r="VGO68" s="158"/>
      <c r="VGP68" s="160"/>
      <c r="VGQ68" s="161"/>
      <c r="VGR68" s="162"/>
      <c r="VGS68"/>
      <c r="VGT68" s="163"/>
      <c r="VGU68"/>
      <c r="VGV68" s="156"/>
      <c r="VGW68" s="164"/>
      <c r="VGX68"/>
      <c r="VGY68" s="157"/>
      <c r="VGZ68" s="158"/>
      <c r="VHA68" s="159"/>
      <c r="VHB68" s="159"/>
    </row>
    <row r="69" spans="2:62 3072:12198 12789:15082" ht="28.8" x14ac:dyDescent="0.3">
      <c r="B69" s="218" t="s">
        <v>150</v>
      </c>
      <c r="C69" s="218"/>
      <c r="D69" s="218"/>
      <c r="E69" s="218"/>
      <c r="F69" s="218"/>
      <c r="G69" s="218"/>
      <c r="H69" s="218"/>
      <c r="I69" s="218"/>
      <c r="J69" s="218"/>
      <c r="K69" s="218"/>
      <c r="L69" s="218"/>
      <c r="M69" s="218"/>
      <c r="N69" s="218"/>
      <c r="O69" s="218"/>
      <c r="P69" s="218"/>
      <c r="Q69" s="218"/>
    </row>
    <row r="70" spans="2:62 3072:12198 12789:15082" ht="28.8" x14ac:dyDescent="0.3">
      <c r="B70" s="98" t="s">
        <v>1</v>
      </c>
      <c r="C70" s="220" t="s">
        <v>2</v>
      </c>
      <c r="D70" s="220"/>
      <c r="E70" s="8" t="s">
        <v>3</v>
      </c>
      <c r="F70" s="8" t="s">
        <v>4</v>
      </c>
      <c r="G70" s="8" t="s">
        <v>115</v>
      </c>
      <c r="H70" s="1" t="s">
        <v>51</v>
      </c>
      <c r="I70" s="93" t="s">
        <v>140</v>
      </c>
      <c r="J70" s="2" t="s">
        <v>9</v>
      </c>
      <c r="K70" s="2" t="s">
        <v>10</v>
      </c>
      <c r="L70" s="2" t="s">
        <v>11</v>
      </c>
      <c r="M70" s="8" t="s">
        <v>12</v>
      </c>
      <c r="N70" s="126" t="s">
        <v>13</v>
      </c>
      <c r="O70" s="126" t="s">
        <v>14</v>
      </c>
      <c r="P70" s="126" t="s">
        <v>141</v>
      </c>
      <c r="Q70" s="104" t="s">
        <v>142</v>
      </c>
    </row>
    <row r="71" spans="2:62 3072:12198 12789:15082" x14ac:dyDescent="0.3">
      <c r="B71" s="274" t="s">
        <v>151</v>
      </c>
      <c r="C71" s="209" t="s">
        <v>112</v>
      </c>
      <c r="D71" s="145" t="s">
        <v>17</v>
      </c>
      <c r="E71" s="146">
        <f t="shared" ref="E71:E72" si="10">CEILING((((10100+297+50+85)*1.12)- 85)-150,50)</f>
        <v>11600</v>
      </c>
      <c r="F71" s="146">
        <v>85</v>
      </c>
      <c r="G71" s="146">
        <v>215</v>
      </c>
      <c r="H71" s="146">
        <v>75</v>
      </c>
      <c r="I71" s="146">
        <v>150</v>
      </c>
      <c r="J71" s="205">
        <f>SUM(E71:I71)</f>
        <v>12125</v>
      </c>
      <c r="K71" s="146">
        <v>200</v>
      </c>
      <c r="L71" s="205">
        <f>SUM(J71:K71)</f>
        <v>12325</v>
      </c>
      <c r="M71" s="148" t="s">
        <v>96</v>
      </c>
      <c r="N71" s="211" t="s">
        <v>56</v>
      </c>
      <c r="O71" s="206" t="s">
        <v>40</v>
      </c>
      <c r="P71" s="290" t="s">
        <v>75</v>
      </c>
      <c r="Q71" s="150" t="s">
        <v>123</v>
      </c>
    </row>
    <row r="72" spans="2:62 3072:12198 12789:15082" ht="15" thickBot="1" x14ac:dyDescent="0.35">
      <c r="B72" s="306"/>
      <c r="C72" s="209" t="s">
        <v>112</v>
      </c>
      <c r="D72" s="145" t="s">
        <v>22</v>
      </c>
      <c r="E72" s="146">
        <f t="shared" si="10"/>
        <v>11600</v>
      </c>
      <c r="F72" s="146">
        <v>85</v>
      </c>
      <c r="G72" s="146">
        <v>215</v>
      </c>
      <c r="H72" s="146">
        <v>75</v>
      </c>
      <c r="I72" s="146">
        <v>150</v>
      </c>
      <c r="J72" s="205">
        <f>SUM(E72:I72)</f>
        <v>12125</v>
      </c>
      <c r="K72" s="146">
        <v>200</v>
      </c>
      <c r="L72" s="205">
        <f>SUM(J72:K72)</f>
        <v>12325</v>
      </c>
      <c r="M72" s="148" t="s">
        <v>96</v>
      </c>
      <c r="N72" s="211" t="s">
        <v>56</v>
      </c>
      <c r="O72" s="206" t="s">
        <v>40</v>
      </c>
      <c r="P72" s="291"/>
      <c r="Q72" s="150" t="s">
        <v>123</v>
      </c>
    </row>
    <row r="73" spans="2:62 3072:12198 12789:15082" x14ac:dyDescent="0.3">
      <c r="B73" s="27"/>
      <c r="C73" s="27"/>
      <c r="E73" s="62"/>
      <c r="F73" s="63"/>
      <c r="G73" s="63"/>
      <c r="H73" s="63"/>
      <c r="I73" s="63"/>
      <c r="J73" s="64"/>
      <c r="K73" s="64"/>
      <c r="L73" s="64"/>
      <c r="M73" s="64"/>
      <c r="N73" s="119"/>
      <c r="O73" s="64"/>
      <c r="P73" s="65"/>
      <c r="Q73" s="66"/>
    </row>
    <row r="75" spans="2:62 3072:12198 12789:15082" ht="15.6" x14ac:dyDescent="0.3">
      <c r="B75" s="5" t="s">
        <v>32</v>
      </c>
      <c r="C75" s="6"/>
      <c r="D75" s="6"/>
      <c r="E75" s="6"/>
      <c r="F75" s="6"/>
      <c r="G75" s="6"/>
      <c r="H75" s="6"/>
      <c r="I75" s="6"/>
      <c r="J75" s="6"/>
      <c r="K75" s="6"/>
      <c r="L75" s="6"/>
      <c r="M75" s="6"/>
      <c r="N75" s="6"/>
      <c r="O75" s="6"/>
      <c r="P75" s="6"/>
      <c r="Q75" s="6"/>
      <c r="R75" s="6"/>
      <c r="S75" s="6"/>
      <c r="T75" s="6"/>
    </row>
    <row r="76" spans="2:62 3072:12198 12789:15082" x14ac:dyDescent="0.3">
      <c r="B76" s="241" t="s">
        <v>33</v>
      </c>
      <c r="C76" s="241"/>
      <c r="D76" s="241"/>
      <c r="E76" s="241"/>
      <c r="F76" s="241"/>
      <c r="G76" s="241"/>
      <c r="H76" s="241"/>
      <c r="I76" s="241"/>
      <c r="J76" s="241"/>
      <c r="K76" s="241"/>
      <c r="L76" s="241"/>
      <c r="M76" s="241"/>
      <c r="N76" s="241"/>
      <c r="O76" s="241"/>
      <c r="P76" s="241"/>
      <c r="Q76" s="241"/>
      <c r="R76" s="241"/>
      <c r="S76" s="241"/>
      <c r="T76" s="241"/>
    </row>
    <row r="77" spans="2:62 3072:12198 12789:15082" x14ac:dyDescent="0.3">
      <c r="B77" s="241"/>
      <c r="C77" s="241"/>
      <c r="D77" s="241"/>
      <c r="E77" s="241"/>
      <c r="F77" s="241"/>
      <c r="G77" s="241"/>
      <c r="H77" s="241"/>
      <c r="I77" s="241"/>
      <c r="J77" s="241"/>
      <c r="K77" s="241"/>
      <c r="L77" s="241"/>
      <c r="M77" s="241"/>
      <c r="N77" s="241"/>
      <c r="O77" s="241"/>
      <c r="P77" s="241"/>
      <c r="Q77" s="241"/>
      <c r="R77" s="241"/>
      <c r="S77" s="241"/>
      <c r="T77" s="241"/>
    </row>
    <row r="78" spans="2:62 3072:12198 12789:15082" x14ac:dyDescent="0.3">
      <c r="B78" s="241"/>
      <c r="C78" s="241"/>
      <c r="D78" s="241"/>
      <c r="E78" s="241"/>
      <c r="F78" s="241"/>
      <c r="G78" s="241"/>
      <c r="H78" s="241"/>
      <c r="I78" s="241"/>
      <c r="J78" s="241"/>
      <c r="K78" s="241"/>
      <c r="L78" s="241"/>
      <c r="M78" s="241"/>
      <c r="N78" s="241"/>
      <c r="O78" s="241"/>
      <c r="P78" s="241"/>
      <c r="Q78" s="241"/>
      <c r="R78" s="241"/>
      <c r="S78" s="241"/>
      <c r="T78" s="241"/>
    </row>
    <row r="79" spans="2:62 3072:12198 12789:15082" x14ac:dyDescent="0.3">
      <c r="B79" s="241"/>
      <c r="C79" s="241"/>
      <c r="D79" s="241"/>
      <c r="E79" s="241"/>
      <c r="F79" s="241"/>
      <c r="G79" s="241"/>
      <c r="H79" s="241"/>
      <c r="I79" s="241"/>
      <c r="J79" s="241"/>
      <c r="K79" s="241"/>
      <c r="L79" s="241"/>
      <c r="M79" s="241"/>
      <c r="N79" s="241"/>
      <c r="O79" s="241"/>
      <c r="P79" s="241"/>
      <c r="Q79" s="241"/>
      <c r="R79" s="241"/>
      <c r="S79" s="241"/>
      <c r="T79" s="241"/>
    </row>
    <row r="88" spans="2:20" ht="28.8" x14ac:dyDescent="0.3">
      <c r="B88" s="225" t="s">
        <v>152</v>
      </c>
      <c r="C88" s="225"/>
      <c r="D88" s="225"/>
      <c r="E88" s="225"/>
      <c r="F88" s="225"/>
      <c r="G88" s="225"/>
      <c r="H88" s="225"/>
      <c r="I88" s="225"/>
      <c r="J88" s="225"/>
      <c r="K88" s="225"/>
      <c r="L88" s="225"/>
      <c r="M88" s="225"/>
      <c r="N88" s="225"/>
      <c r="O88" s="225"/>
      <c r="P88" s="225"/>
      <c r="Q88" s="225"/>
      <c r="R88" s="225"/>
      <c r="S88" s="225"/>
    </row>
    <row r="89" spans="2:20" ht="27" customHeight="1" x14ac:dyDescent="0.3">
      <c r="B89" s="1" t="s">
        <v>1</v>
      </c>
      <c r="C89" s="305" t="s">
        <v>2</v>
      </c>
      <c r="D89" s="305"/>
      <c r="E89" s="129" t="s">
        <v>128</v>
      </c>
      <c r="F89" s="12" t="s">
        <v>129</v>
      </c>
      <c r="G89" s="13" t="s">
        <v>89</v>
      </c>
      <c r="H89" s="12" t="s">
        <v>6</v>
      </c>
      <c r="I89" s="2" t="s">
        <v>153</v>
      </c>
      <c r="J89" s="2" t="s">
        <v>9</v>
      </c>
      <c r="K89" s="2" t="s">
        <v>10</v>
      </c>
      <c r="L89" s="2" t="s">
        <v>11</v>
      </c>
      <c r="M89" s="8" t="s">
        <v>12</v>
      </c>
      <c r="N89" s="10" t="s">
        <v>13</v>
      </c>
      <c r="O89" s="189" t="s">
        <v>14</v>
      </c>
      <c r="P89" s="17" t="s">
        <v>120</v>
      </c>
      <c r="Q89" s="220" t="s">
        <v>36</v>
      </c>
      <c r="R89" s="220"/>
      <c r="S89" s="220"/>
    </row>
    <row r="90" spans="2:20" ht="28.95" customHeight="1" x14ac:dyDescent="0.3">
      <c r="B90" s="223" t="s">
        <v>90</v>
      </c>
      <c r="C90" s="230" t="s">
        <v>112</v>
      </c>
      <c r="D90" s="53" t="s">
        <v>17</v>
      </c>
      <c r="E90" s="36">
        <v>1500</v>
      </c>
      <c r="F90" s="54">
        <v>175</v>
      </c>
      <c r="G90" s="36">
        <v>150</v>
      </c>
      <c r="H90" s="36">
        <v>14</v>
      </c>
      <c r="I90" s="56">
        <v>300</v>
      </c>
      <c r="J90" s="58">
        <f>SUM(E90:I90)</f>
        <v>2139</v>
      </c>
      <c r="K90" s="56">
        <v>200</v>
      </c>
      <c r="L90" s="58">
        <f>J90+K90</f>
        <v>2339</v>
      </c>
      <c r="M90" s="103" t="s">
        <v>154</v>
      </c>
      <c r="N90" s="215" t="s">
        <v>20</v>
      </c>
      <c r="O90" s="40" t="s">
        <v>45</v>
      </c>
      <c r="P90" s="53" t="s">
        <v>155</v>
      </c>
      <c r="Q90" s="238" t="s">
        <v>46</v>
      </c>
      <c r="R90" s="238"/>
      <c r="S90" s="238"/>
    </row>
    <row r="91" spans="2:20" x14ac:dyDescent="0.3">
      <c r="B91" s="222"/>
      <c r="C91" s="230"/>
      <c r="D91" s="53" t="s">
        <v>22</v>
      </c>
      <c r="E91" s="37">
        <v>1950</v>
      </c>
      <c r="F91" s="54">
        <v>225</v>
      </c>
      <c r="G91" s="36">
        <v>150</v>
      </c>
      <c r="H91" s="36">
        <v>14</v>
      </c>
      <c r="I91" s="56">
        <v>600</v>
      </c>
      <c r="J91" s="58">
        <f>SUM(E91:I91)</f>
        <v>2939</v>
      </c>
      <c r="K91" s="56">
        <v>200</v>
      </c>
      <c r="L91" s="58">
        <f>J91+K91</f>
        <v>3139</v>
      </c>
      <c r="M91" s="103" t="s">
        <v>154</v>
      </c>
      <c r="N91" s="215" t="s">
        <v>20</v>
      </c>
      <c r="O91" s="40" t="s">
        <v>45</v>
      </c>
      <c r="P91" s="53" t="s">
        <v>155</v>
      </c>
      <c r="Q91" s="238"/>
      <c r="R91" s="238"/>
      <c r="S91" s="238"/>
    </row>
    <row r="93" spans="2:20" ht="15.6" x14ac:dyDescent="0.3">
      <c r="B93" s="5" t="s">
        <v>32</v>
      </c>
      <c r="C93" s="6"/>
      <c r="D93" s="6"/>
      <c r="E93" s="6"/>
      <c r="F93" s="6"/>
      <c r="G93" s="6"/>
      <c r="H93" s="6"/>
      <c r="I93" s="6"/>
      <c r="J93" s="6"/>
      <c r="K93" s="6"/>
      <c r="L93" s="6"/>
      <c r="M93" s="6"/>
      <c r="N93" s="6"/>
      <c r="O93" s="6"/>
      <c r="P93" s="6"/>
      <c r="Q93" s="6"/>
      <c r="R93" s="6"/>
      <c r="S93" s="6"/>
      <c r="T93" s="6"/>
    </row>
    <row r="94" spans="2:20" x14ac:dyDescent="0.3">
      <c r="B94" s="241" t="s">
        <v>33</v>
      </c>
      <c r="C94" s="241"/>
      <c r="D94" s="241"/>
      <c r="E94" s="241"/>
      <c r="F94" s="241"/>
      <c r="G94" s="241"/>
      <c r="H94" s="241"/>
      <c r="I94" s="241"/>
      <c r="J94" s="241"/>
      <c r="K94" s="241"/>
      <c r="L94" s="241"/>
      <c r="M94" s="241"/>
      <c r="N94" s="241"/>
      <c r="O94" s="241"/>
      <c r="P94" s="241"/>
      <c r="Q94" s="241"/>
      <c r="R94" s="241"/>
      <c r="S94" s="241"/>
      <c r="T94" s="241"/>
    </row>
    <row r="95" spans="2:20" x14ac:dyDescent="0.3">
      <c r="B95" s="241"/>
      <c r="C95" s="241"/>
      <c r="D95" s="241"/>
      <c r="E95" s="241"/>
      <c r="F95" s="241"/>
      <c r="G95" s="241"/>
      <c r="H95" s="241"/>
      <c r="I95" s="241"/>
      <c r="J95" s="241"/>
      <c r="K95" s="241"/>
      <c r="L95" s="241"/>
      <c r="M95" s="241"/>
      <c r="N95" s="241"/>
      <c r="O95" s="241"/>
      <c r="P95" s="241"/>
      <c r="Q95" s="241"/>
      <c r="R95" s="241"/>
      <c r="S95" s="241"/>
      <c r="T95" s="241"/>
    </row>
    <row r="96" spans="2:20" x14ac:dyDescent="0.3">
      <c r="B96" s="241"/>
      <c r="C96" s="241"/>
      <c r="D96" s="241"/>
      <c r="E96" s="241"/>
      <c r="F96" s="241"/>
      <c r="G96" s="241"/>
      <c r="H96" s="241"/>
      <c r="I96" s="241"/>
      <c r="J96" s="241"/>
      <c r="K96" s="241"/>
      <c r="L96" s="241"/>
      <c r="M96" s="241"/>
      <c r="N96" s="241"/>
      <c r="O96" s="241"/>
      <c r="P96" s="241"/>
      <c r="Q96" s="241"/>
      <c r="R96" s="241"/>
      <c r="S96" s="241"/>
      <c r="T96" s="241"/>
    </row>
    <row r="97" spans="2:20" x14ac:dyDescent="0.3">
      <c r="B97" s="241"/>
      <c r="C97" s="241"/>
      <c r="D97" s="241"/>
      <c r="E97" s="241"/>
      <c r="F97" s="241"/>
      <c r="G97" s="241"/>
      <c r="H97" s="241"/>
      <c r="I97" s="241"/>
      <c r="J97" s="241"/>
      <c r="K97" s="241"/>
      <c r="L97" s="241"/>
      <c r="M97" s="241"/>
      <c r="N97" s="241"/>
      <c r="O97" s="241"/>
      <c r="P97" s="241"/>
      <c r="Q97" s="241"/>
      <c r="R97" s="241"/>
      <c r="S97" s="241"/>
      <c r="T97" s="241"/>
    </row>
    <row r="107" spans="2:20" ht="15" thickBot="1" x14ac:dyDescent="0.35"/>
    <row r="108" spans="2:20" ht="28.8" x14ac:dyDescent="0.3">
      <c r="B108" s="218" t="s">
        <v>156</v>
      </c>
      <c r="C108" s="218"/>
      <c r="D108" s="218"/>
      <c r="E108" s="218"/>
      <c r="F108" s="218"/>
      <c r="G108" s="218"/>
      <c r="H108" s="218"/>
      <c r="I108" s="218"/>
      <c r="J108" s="218"/>
      <c r="K108" s="218"/>
      <c r="L108" s="218"/>
      <c r="M108" s="218"/>
      <c r="N108" s="218"/>
      <c r="O108" s="218"/>
      <c r="P108" s="218"/>
      <c r="Q108" s="218"/>
    </row>
    <row r="109" spans="2:20" ht="28.8" x14ac:dyDescent="0.3">
      <c r="B109" s="98" t="s">
        <v>1</v>
      </c>
      <c r="C109" s="220" t="s">
        <v>2</v>
      </c>
      <c r="D109" s="220"/>
      <c r="E109" s="8" t="s">
        <v>3</v>
      </c>
      <c r="F109" s="8" t="s">
        <v>4</v>
      </c>
      <c r="G109" s="8" t="s">
        <v>115</v>
      </c>
      <c r="H109" s="1" t="s">
        <v>51</v>
      </c>
      <c r="I109" s="93" t="s">
        <v>140</v>
      </c>
      <c r="J109" s="2" t="s">
        <v>9</v>
      </c>
      <c r="K109" s="2" t="s">
        <v>10</v>
      </c>
      <c r="L109" s="2" t="s">
        <v>11</v>
      </c>
      <c r="M109" s="8" t="s">
        <v>12</v>
      </c>
      <c r="N109" s="126" t="s">
        <v>13</v>
      </c>
      <c r="O109" s="126" t="s">
        <v>14</v>
      </c>
      <c r="P109" s="126" t="s">
        <v>141</v>
      </c>
      <c r="Q109" s="104" t="s">
        <v>142</v>
      </c>
    </row>
    <row r="110" spans="2:20" x14ac:dyDescent="0.3">
      <c r="B110" s="307" t="s">
        <v>157</v>
      </c>
      <c r="C110" s="230" t="s">
        <v>112</v>
      </c>
      <c r="D110" s="53" t="s">
        <v>17</v>
      </c>
      <c r="E110" s="83">
        <v>3350</v>
      </c>
      <c r="F110" s="56">
        <v>85</v>
      </c>
      <c r="G110" s="54">
        <v>215</v>
      </c>
      <c r="H110" s="54">
        <v>75</v>
      </c>
      <c r="I110" s="56">
        <v>150</v>
      </c>
      <c r="J110" s="58">
        <f>SUM(E110:I110)</f>
        <v>3875</v>
      </c>
      <c r="K110" s="56">
        <v>200</v>
      </c>
      <c r="L110" s="58">
        <f>SUM(J110:K110)</f>
        <v>4075</v>
      </c>
      <c r="M110" s="59" t="s">
        <v>158</v>
      </c>
      <c r="N110" s="215" t="s">
        <v>20</v>
      </c>
      <c r="O110" s="53" t="s">
        <v>40</v>
      </c>
      <c r="P110" s="94" t="s">
        <v>159</v>
      </c>
      <c r="Q110" s="105" t="s">
        <v>160</v>
      </c>
    </row>
    <row r="111" spans="2:20" x14ac:dyDescent="0.3">
      <c r="B111" s="307"/>
      <c r="C111" s="230"/>
      <c r="D111" s="53" t="s">
        <v>22</v>
      </c>
      <c r="E111" s="83">
        <v>4400</v>
      </c>
      <c r="F111" s="56">
        <v>85</v>
      </c>
      <c r="G111" s="54">
        <v>215</v>
      </c>
      <c r="H111" s="54">
        <v>75</v>
      </c>
      <c r="I111" s="56">
        <v>150</v>
      </c>
      <c r="J111" s="58">
        <f>SUM(E111:I111)</f>
        <v>4925</v>
      </c>
      <c r="K111" s="56">
        <v>200</v>
      </c>
      <c r="L111" s="58">
        <f>SUM(J111:K111)</f>
        <v>5125</v>
      </c>
      <c r="M111" s="59" t="s">
        <v>158</v>
      </c>
      <c r="N111" s="215" t="s">
        <v>20</v>
      </c>
      <c r="O111" s="53" t="s">
        <v>40</v>
      </c>
      <c r="P111" s="94" t="s">
        <v>159</v>
      </c>
      <c r="Q111" s="105" t="s">
        <v>160</v>
      </c>
    </row>
    <row r="120" spans="2:17" ht="15" thickBot="1" x14ac:dyDescent="0.35"/>
    <row r="121" spans="2:17" ht="28.8" x14ac:dyDescent="0.3">
      <c r="B121" s="218" t="s">
        <v>161</v>
      </c>
      <c r="C121" s="218"/>
      <c r="D121" s="218"/>
      <c r="E121" s="218"/>
      <c r="F121" s="218"/>
      <c r="G121" s="218"/>
      <c r="H121" s="218"/>
      <c r="I121" s="218"/>
      <c r="J121" s="218"/>
      <c r="K121" s="218"/>
      <c r="L121" s="218"/>
      <c r="M121" s="218"/>
      <c r="N121" s="218"/>
      <c r="O121" s="218"/>
      <c r="P121" s="218"/>
      <c r="Q121" s="218"/>
    </row>
    <row r="122" spans="2:17" ht="28.8" x14ac:dyDescent="0.3">
      <c r="B122" s="98" t="s">
        <v>1</v>
      </c>
      <c r="C122" s="220" t="s">
        <v>2</v>
      </c>
      <c r="D122" s="220"/>
      <c r="E122" s="8" t="s">
        <v>3</v>
      </c>
      <c r="F122" s="8" t="s">
        <v>4</v>
      </c>
      <c r="G122" s="8" t="s">
        <v>115</v>
      </c>
      <c r="H122" s="1" t="s">
        <v>51</v>
      </c>
      <c r="I122" s="93" t="s">
        <v>140</v>
      </c>
      <c r="J122" s="2" t="s">
        <v>9</v>
      </c>
      <c r="K122" s="2" t="s">
        <v>10</v>
      </c>
      <c r="L122" s="2" t="s">
        <v>11</v>
      </c>
      <c r="M122" s="8" t="s">
        <v>12</v>
      </c>
      <c r="N122" s="126" t="s">
        <v>13</v>
      </c>
      <c r="O122" s="126" t="s">
        <v>14</v>
      </c>
      <c r="P122" s="126" t="s">
        <v>141</v>
      </c>
      <c r="Q122" s="104" t="s">
        <v>142</v>
      </c>
    </row>
    <row r="123" spans="2:17" x14ac:dyDescent="0.3">
      <c r="B123" s="307" t="s">
        <v>162</v>
      </c>
      <c r="C123" s="230" t="s">
        <v>112</v>
      </c>
      <c r="D123" s="53" t="s">
        <v>17</v>
      </c>
      <c r="E123" s="54">
        <v>2575</v>
      </c>
      <c r="F123" s="54">
        <v>370</v>
      </c>
      <c r="G123" s="54">
        <v>150</v>
      </c>
      <c r="H123" s="54">
        <v>75</v>
      </c>
      <c r="I123" s="54">
        <v>150</v>
      </c>
      <c r="J123" s="54">
        <f>SUM(E123:I123)</f>
        <v>3320</v>
      </c>
      <c r="K123" s="54">
        <v>200</v>
      </c>
      <c r="L123" s="54">
        <f>SUM(J123:K123)</f>
        <v>3520</v>
      </c>
      <c r="M123" s="202">
        <v>30</v>
      </c>
      <c r="N123" s="215" t="s">
        <v>20</v>
      </c>
      <c r="O123" s="202" t="s">
        <v>42</v>
      </c>
      <c r="P123" s="94" t="s">
        <v>159</v>
      </c>
      <c r="Q123" s="203" t="s">
        <v>31</v>
      </c>
    </row>
    <row r="124" spans="2:17" x14ac:dyDescent="0.3">
      <c r="B124" s="307" t="s">
        <v>162</v>
      </c>
      <c r="C124" s="230" t="s">
        <v>112</v>
      </c>
      <c r="D124" s="53" t="s">
        <v>22</v>
      </c>
      <c r="E124" s="54">
        <v>3000</v>
      </c>
      <c r="F124" s="54">
        <v>370</v>
      </c>
      <c r="G124" s="54">
        <v>150</v>
      </c>
      <c r="H124" s="54">
        <v>75</v>
      </c>
      <c r="I124" s="54">
        <v>150</v>
      </c>
      <c r="J124" s="54">
        <f>SUM(E124:I124)</f>
        <v>3745</v>
      </c>
      <c r="K124" s="54">
        <v>200</v>
      </c>
      <c r="L124" s="54">
        <f>SUM(J124:K124)</f>
        <v>3945</v>
      </c>
      <c r="M124" s="202">
        <v>30</v>
      </c>
      <c r="N124" s="215" t="s">
        <v>20</v>
      </c>
      <c r="O124" s="202" t="s">
        <v>42</v>
      </c>
      <c r="P124" s="94" t="s">
        <v>159</v>
      </c>
      <c r="Q124" s="203" t="s">
        <v>31</v>
      </c>
    </row>
    <row r="125" spans="2:17" x14ac:dyDescent="0.3">
      <c r="B125" s="307" t="s">
        <v>163</v>
      </c>
      <c r="C125" s="230" t="s">
        <v>112</v>
      </c>
      <c r="D125" s="53" t="s">
        <v>17</v>
      </c>
      <c r="E125" s="54">
        <f>CEILING((((1300+130+10+72+20+100)*1.15)-100)-150,50)</f>
        <v>1650</v>
      </c>
      <c r="F125" s="54">
        <v>100</v>
      </c>
      <c r="G125" s="54">
        <v>215</v>
      </c>
      <c r="H125" s="54">
        <v>75</v>
      </c>
      <c r="I125" s="54">
        <v>150</v>
      </c>
      <c r="J125" s="54">
        <f>SUM(E125:I125)</f>
        <v>2190</v>
      </c>
      <c r="K125" s="54">
        <v>200</v>
      </c>
      <c r="L125" s="54">
        <f>SUM(J125:K125)</f>
        <v>2390</v>
      </c>
      <c r="M125" s="59">
        <v>30</v>
      </c>
      <c r="N125" s="215" t="s">
        <v>20</v>
      </c>
      <c r="O125" s="59" t="s">
        <v>60</v>
      </c>
      <c r="P125" s="94" t="s">
        <v>159</v>
      </c>
      <c r="Q125" s="203" t="s">
        <v>160</v>
      </c>
    </row>
    <row r="126" spans="2:17" x14ac:dyDescent="0.3">
      <c r="B126" s="307"/>
      <c r="C126" s="230"/>
      <c r="D126" s="53" t="s">
        <v>22</v>
      </c>
      <c r="E126" s="54">
        <f>CEILING((((1400+260+10+72+20+150)*1.15)-150)-150,50)</f>
        <v>1900</v>
      </c>
      <c r="F126" s="54">
        <v>150</v>
      </c>
      <c r="G126" s="54">
        <v>215</v>
      </c>
      <c r="H126" s="54">
        <v>75</v>
      </c>
      <c r="I126" s="54">
        <v>150</v>
      </c>
      <c r="J126" s="54">
        <f>SUM(E126:I126)</f>
        <v>2490</v>
      </c>
      <c r="K126" s="54">
        <v>200</v>
      </c>
      <c r="L126" s="54">
        <f>SUM(J126:K126)</f>
        <v>2690</v>
      </c>
      <c r="M126" s="59">
        <v>30</v>
      </c>
      <c r="N126" s="215" t="s">
        <v>20</v>
      </c>
      <c r="O126" s="59" t="s">
        <v>60</v>
      </c>
      <c r="P126" s="94" t="s">
        <v>159</v>
      </c>
      <c r="Q126" s="105" t="s">
        <v>160</v>
      </c>
    </row>
  </sheetData>
  <mergeCells count="59">
    <mergeCell ref="B125:B126"/>
    <mergeCell ref="C125:C126"/>
    <mergeCell ref="B123:B124"/>
    <mergeCell ref="C123:C124"/>
    <mergeCell ref="B20:R20"/>
    <mergeCell ref="B21:R24"/>
    <mergeCell ref="B110:B111"/>
    <mergeCell ref="C110:C111"/>
    <mergeCell ref="B90:B91"/>
    <mergeCell ref="C90:C91"/>
    <mergeCell ref="Q90:S91"/>
    <mergeCell ref="B94:T97"/>
    <mergeCell ref="B108:Q108"/>
    <mergeCell ref="C109:D109"/>
    <mergeCell ref="B121:Q121"/>
    <mergeCell ref="C122:D122"/>
    <mergeCell ref="Q89:S89"/>
    <mergeCell ref="B88:S88"/>
    <mergeCell ref="C89:D89"/>
    <mergeCell ref="C66:D66"/>
    <mergeCell ref="B63:B64"/>
    <mergeCell ref="C63:C64"/>
    <mergeCell ref="B65:Q65"/>
    <mergeCell ref="C70:D70"/>
    <mergeCell ref="B76:T79"/>
    <mergeCell ref="B67:B68"/>
    <mergeCell ref="B69:Q69"/>
    <mergeCell ref="B71:B72"/>
    <mergeCell ref="P67:P68"/>
    <mergeCell ref="P71:P72"/>
    <mergeCell ref="B9:Q9"/>
    <mergeCell ref="C61:C62"/>
    <mergeCell ref="B13:B14"/>
    <mergeCell ref="C13:C14"/>
    <mergeCell ref="B57:B58"/>
    <mergeCell ref="C57:C58"/>
    <mergeCell ref="B42:S45"/>
    <mergeCell ref="B55:Q55"/>
    <mergeCell ref="C56:D56"/>
    <mergeCell ref="B34:R34"/>
    <mergeCell ref="C35:D35"/>
    <mergeCell ref="P35:R35"/>
    <mergeCell ref="P38:R38"/>
    <mergeCell ref="B59:B60"/>
    <mergeCell ref="C59:C60"/>
    <mergeCell ref="C10:D10"/>
    <mergeCell ref="P57:P60"/>
    <mergeCell ref="P61:P64"/>
    <mergeCell ref="B11:B12"/>
    <mergeCell ref="C11:C12"/>
    <mergeCell ref="B61:B62"/>
    <mergeCell ref="P39:R39"/>
    <mergeCell ref="B15:B16"/>
    <mergeCell ref="C15:C16"/>
    <mergeCell ref="B17:B18"/>
    <mergeCell ref="C17:C18"/>
    <mergeCell ref="B36:B37"/>
    <mergeCell ref="C36:C37"/>
    <mergeCell ref="P36:R37"/>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10"/>
  <sheetViews>
    <sheetView topLeftCell="B89" zoomScaleNormal="100" zoomScaleSheetLayoutView="100" workbookViewId="0">
      <selection activeCell="E59" sqref="E59"/>
    </sheetView>
  </sheetViews>
  <sheetFormatPr defaultColWidth="9.109375" defaultRowHeight="14.4" x14ac:dyDescent="0.3"/>
  <cols>
    <col min="1" max="1" width="9.109375" style="19"/>
    <col min="2" max="2" width="28.6640625" style="19" customWidth="1"/>
    <col min="3" max="3" width="15.88671875" style="19" customWidth="1"/>
    <col min="4" max="4" width="4.5546875" style="19" bestFit="1" customWidth="1"/>
    <col min="5" max="5" width="12.33203125" style="19" bestFit="1" customWidth="1"/>
    <col min="6" max="6" width="10.6640625" style="19" bestFit="1" customWidth="1"/>
    <col min="7" max="7" width="12.33203125" style="19" bestFit="1" customWidth="1"/>
    <col min="8" max="8" width="13.6640625" style="19" customWidth="1"/>
    <col min="9" max="9" width="14.109375" style="19" bestFit="1" customWidth="1"/>
    <col min="10" max="10" width="13" style="19" bestFit="1" customWidth="1"/>
    <col min="11" max="11" width="15.88671875" style="19" customWidth="1"/>
    <col min="12" max="13" width="13.5546875" style="19" customWidth="1"/>
    <col min="14" max="14" width="15.33203125" style="19" customWidth="1"/>
    <col min="15" max="15" width="12.6640625" style="19" customWidth="1"/>
    <col min="16" max="16" width="11.44140625" style="19" customWidth="1"/>
    <col min="17" max="17" width="25.6640625" style="19" customWidth="1"/>
    <col min="18" max="18" width="17" style="19" customWidth="1"/>
    <col min="19" max="16384" width="9.109375" style="19"/>
  </cols>
  <sheetData>
    <row r="8" spans="2:18" x14ac:dyDescent="0.3">
      <c r="B8" s="128"/>
      <c r="C8" s="128"/>
      <c r="D8" s="321"/>
      <c r="E8" s="321"/>
      <c r="F8" s="128"/>
      <c r="G8" s="128"/>
      <c r="H8" s="128"/>
      <c r="I8" s="128"/>
      <c r="J8" s="128"/>
      <c r="K8" s="128"/>
      <c r="L8" s="128"/>
      <c r="M8" s="128"/>
      <c r="N8" s="128"/>
      <c r="O8" s="128"/>
      <c r="P8" s="128"/>
      <c r="Q8" s="128"/>
      <c r="R8" s="128"/>
    </row>
    <row r="9" spans="2:18" ht="28.8" x14ac:dyDescent="0.55000000000000004">
      <c r="B9" s="330" t="s">
        <v>164</v>
      </c>
      <c r="C9" s="330"/>
      <c r="D9" s="330"/>
      <c r="E9" s="330"/>
      <c r="F9" s="330"/>
      <c r="G9" s="330"/>
      <c r="H9" s="330"/>
      <c r="I9" s="330"/>
      <c r="J9" s="330"/>
      <c r="K9" s="330"/>
      <c r="L9" s="330"/>
      <c r="M9" s="330"/>
      <c r="N9" s="330"/>
      <c r="O9" s="330"/>
      <c r="P9" s="330"/>
    </row>
    <row r="10" spans="2:18" ht="28.8" x14ac:dyDescent="0.3">
      <c r="B10" s="129" t="s">
        <v>1</v>
      </c>
      <c r="C10" s="339" t="s">
        <v>2</v>
      </c>
      <c r="D10" s="340"/>
      <c r="E10" s="12" t="s">
        <v>3</v>
      </c>
      <c r="F10" s="12" t="s">
        <v>4</v>
      </c>
      <c r="G10" s="13" t="s">
        <v>5</v>
      </c>
      <c r="H10" s="12" t="s">
        <v>165</v>
      </c>
      <c r="I10" s="13" t="s">
        <v>166</v>
      </c>
      <c r="J10" s="13" t="s">
        <v>8</v>
      </c>
      <c r="K10" s="13" t="s">
        <v>9</v>
      </c>
      <c r="L10" s="13" t="s">
        <v>10</v>
      </c>
      <c r="M10" s="13" t="s">
        <v>11</v>
      </c>
      <c r="N10" s="12" t="s">
        <v>12</v>
      </c>
      <c r="O10" s="12" t="s">
        <v>13</v>
      </c>
      <c r="P10" s="14" t="s">
        <v>14</v>
      </c>
      <c r="Q10" s="128"/>
    </row>
    <row r="11" spans="2:18" x14ac:dyDescent="0.3">
      <c r="B11" s="341" t="s">
        <v>167</v>
      </c>
      <c r="C11" s="341" t="s">
        <v>168</v>
      </c>
      <c r="D11" s="41" t="s">
        <v>17</v>
      </c>
      <c r="E11" s="38">
        <f>(2025)+500</f>
        <v>2525</v>
      </c>
      <c r="F11" s="38">
        <v>175</v>
      </c>
      <c r="G11" s="38">
        <v>85</v>
      </c>
      <c r="H11" s="38">
        <v>175</v>
      </c>
      <c r="I11" s="38">
        <v>75</v>
      </c>
      <c r="J11" s="38">
        <v>150</v>
      </c>
      <c r="K11" s="68">
        <f t="shared" ref="K11:K16" si="0">SUM(E11:J11)</f>
        <v>3185</v>
      </c>
      <c r="L11" s="38">
        <v>200</v>
      </c>
      <c r="M11" s="68">
        <f>K11+L11</f>
        <v>3385</v>
      </c>
      <c r="N11" s="41" t="s">
        <v>169</v>
      </c>
      <c r="O11" s="215" t="s">
        <v>20</v>
      </c>
      <c r="P11" s="45" t="s">
        <v>23</v>
      </c>
      <c r="Q11" s="128"/>
    </row>
    <row r="12" spans="2:18" x14ac:dyDescent="0.3">
      <c r="B12" s="342"/>
      <c r="C12" s="342"/>
      <c r="D12" s="41" t="s">
        <v>22</v>
      </c>
      <c r="E12" s="38">
        <f>(2850)+650</f>
        <v>3500</v>
      </c>
      <c r="F12" s="38">
        <v>235</v>
      </c>
      <c r="G12" s="38">
        <v>85</v>
      </c>
      <c r="H12" s="38">
        <v>175</v>
      </c>
      <c r="I12" s="38">
        <v>150</v>
      </c>
      <c r="J12" s="38">
        <v>300</v>
      </c>
      <c r="K12" s="68">
        <f t="shared" si="0"/>
        <v>4445</v>
      </c>
      <c r="L12" s="38">
        <v>200</v>
      </c>
      <c r="M12" s="68">
        <f t="shared" ref="M12:M16" si="1">K12+L12</f>
        <v>4645</v>
      </c>
      <c r="N12" s="41" t="s">
        <v>169</v>
      </c>
      <c r="O12" s="215" t="s">
        <v>20</v>
      </c>
      <c r="P12" s="69" t="s">
        <v>23</v>
      </c>
      <c r="Q12" s="128"/>
    </row>
    <row r="13" spans="2:18" x14ac:dyDescent="0.3">
      <c r="B13" s="341" t="s">
        <v>170</v>
      </c>
      <c r="C13" s="341" t="s">
        <v>168</v>
      </c>
      <c r="D13" s="41" t="s">
        <v>17</v>
      </c>
      <c r="E13" s="38">
        <f>(2725)+500</f>
        <v>3225</v>
      </c>
      <c r="F13" s="38">
        <v>175</v>
      </c>
      <c r="G13" s="38">
        <v>85</v>
      </c>
      <c r="H13" s="38">
        <v>175</v>
      </c>
      <c r="I13" s="38">
        <v>75</v>
      </c>
      <c r="J13" s="38">
        <v>150</v>
      </c>
      <c r="K13" s="68">
        <f t="shared" si="0"/>
        <v>3885</v>
      </c>
      <c r="L13" s="38">
        <v>200</v>
      </c>
      <c r="M13" s="68">
        <f t="shared" si="1"/>
        <v>4085</v>
      </c>
      <c r="N13" s="41" t="s">
        <v>171</v>
      </c>
      <c r="O13" s="215" t="s">
        <v>20</v>
      </c>
      <c r="P13" s="69" t="s">
        <v>23</v>
      </c>
      <c r="Q13" s="128"/>
    </row>
    <row r="14" spans="2:18" x14ac:dyDescent="0.3">
      <c r="B14" s="342"/>
      <c r="C14" s="342"/>
      <c r="D14" s="41" t="s">
        <v>22</v>
      </c>
      <c r="E14" s="38">
        <f>(4025)+600</f>
        <v>4625</v>
      </c>
      <c r="F14" s="38">
        <v>235</v>
      </c>
      <c r="G14" s="38">
        <v>85</v>
      </c>
      <c r="H14" s="38">
        <v>175</v>
      </c>
      <c r="I14" s="38">
        <v>150</v>
      </c>
      <c r="J14" s="38">
        <v>300</v>
      </c>
      <c r="K14" s="68">
        <f t="shared" si="0"/>
        <v>5570</v>
      </c>
      <c r="L14" s="38">
        <v>200</v>
      </c>
      <c r="M14" s="68">
        <f t="shared" si="1"/>
        <v>5770</v>
      </c>
      <c r="N14" s="41" t="s">
        <v>146</v>
      </c>
      <c r="O14" s="215" t="s">
        <v>20</v>
      </c>
      <c r="P14" s="69" t="s">
        <v>23</v>
      </c>
      <c r="Q14" s="128"/>
    </row>
    <row r="15" spans="2:18" x14ac:dyDescent="0.3">
      <c r="B15" s="341" t="s">
        <v>125</v>
      </c>
      <c r="C15" s="341" t="s">
        <v>168</v>
      </c>
      <c r="D15" s="41" t="s">
        <v>17</v>
      </c>
      <c r="E15" s="38">
        <f>(2725)+500</f>
        <v>3225</v>
      </c>
      <c r="F15" s="38">
        <v>175</v>
      </c>
      <c r="G15" s="38">
        <v>85</v>
      </c>
      <c r="H15" s="38">
        <v>175</v>
      </c>
      <c r="I15" s="38">
        <v>75</v>
      </c>
      <c r="J15" s="38">
        <v>150</v>
      </c>
      <c r="K15" s="68">
        <f t="shared" si="0"/>
        <v>3885</v>
      </c>
      <c r="L15" s="38">
        <v>200</v>
      </c>
      <c r="M15" s="68">
        <f t="shared" si="1"/>
        <v>4085</v>
      </c>
      <c r="N15" s="41" t="s">
        <v>146</v>
      </c>
      <c r="O15" s="215" t="s">
        <v>20</v>
      </c>
      <c r="P15" s="69" t="s">
        <v>23</v>
      </c>
      <c r="Q15" s="128"/>
    </row>
    <row r="16" spans="2:18" x14ac:dyDescent="0.3">
      <c r="B16" s="342"/>
      <c r="C16" s="342"/>
      <c r="D16" s="41" t="s">
        <v>22</v>
      </c>
      <c r="E16" s="38">
        <f>(4025)+600</f>
        <v>4625</v>
      </c>
      <c r="F16" s="38">
        <v>235</v>
      </c>
      <c r="G16" s="38">
        <v>85</v>
      </c>
      <c r="H16" s="38">
        <v>175</v>
      </c>
      <c r="I16" s="38">
        <v>150</v>
      </c>
      <c r="J16" s="38">
        <v>300</v>
      </c>
      <c r="K16" s="68">
        <f t="shared" si="0"/>
        <v>5570</v>
      </c>
      <c r="L16" s="38">
        <v>200</v>
      </c>
      <c r="M16" s="68">
        <f t="shared" si="1"/>
        <v>5770</v>
      </c>
      <c r="N16" s="41" t="s">
        <v>27</v>
      </c>
      <c r="O16" s="215" t="s">
        <v>20</v>
      </c>
      <c r="P16" s="69" t="s">
        <v>23</v>
      </c>
      <c r="Q16" s="128"/>
    </row>
    <row r="17" spans="2:17" x14ac:dyDescent="0.3">
      <c r="B17" s="27"/>
      <c r="C17" s="61"/>
      <c r="E17" s="67"/>
      <c r="F17" s="63"/>
      <c r="G17" s="63"/>
      <c r="H17" s="63"/>
      <c r="I17" s="64"/>
      <c r="J17" s="62"/>
      <c r="K17" s="64"/>
      <c r="L17" s="64"/>
      <c r="M17" s="65"/>
      <c r="N17" s="34"/>
    </row>
    <row r="18" spans="2:17" ht="15.6" x14ac:dyDescent="0.3">
      <c r="B18" s="345" t="s">
        <v>32</v>
      </c>
      <c r="C18" s="346"/>
      <c r="D18" s="346"/>
      <c r="E18" s="346"/>
      <c r="F18" s="346"/>
      <c r="G18" s="346"/>
      <c r="H18" s="346"/>
      <c r="I18" s="346"/>
      <c r="J18" s="346"/>
      <c r="K18" s="346"/>
      <c r="L18" s="346"/>
      <c r="M18" s="346"/>
      <c r="N18" s="346"/>
      <c r="O18" s="346"/>
      <c r="P18" s="347"/>
    </row>
    <row r="19" spans="2:17" ht="14.4" customHeight="1" x14ac:dyDescent="0.3">
      <c r="B19" s="311" t="s">
        <v>33</v>
      </c>
      <c r="C19" s="312"/>
      <c r="D19" s="312"/>
      <c r="E19" s="312"/>
      <c r="F19" s="312"/>
      <c r="G19" s="312"/>
      <c r="H19" s="312"/>
      <c r="I19" s="312"/>
      <c r="J19" s="312"/>
      <c r="K19" s="312"/>
      <c r="L19" s="312"/>
      <c r="M19" s="312"/>
      <c r="N19" s="312"/>
      <c r="O19" s="312"/>
      <c r="P19" s="313"/>
    </row>
    <row r="20" spans="2:17" x14ac:dyDescent="0.3">
      <c r="B20" s="314"/>
      <c r="C20" s="284"/>
      <c r="D20" s="284"/>
      <c r="E20" s="284"/>
      <c r="F20" s="284"/>
      <c r="G20" s="284"/>
      <c r="H20" s="284"/>
      <c r="I20" s="284"/>
      <c r="J20" s="284"/>
      <c r="K20" s="284"/>
      <c r="L20" s="284"/>
      <c r="M20" s="284"/>
      <c r="N20" s="284"/>
      <c r="O20" s="284"/>
      <c r="P20" s="315"/>
    </row>
    <row r="21" spans="2:17" x14ac:dyDescent="0.3">
      <c r="B21" s="314"/>
      <c r="C21" s="284"/>
      <c r="D21" s="284"/>
      <c r="E21" s="284"/>
      <c r="F21" s="284"/>
      <c r="G21" s="284"/>
      <c r="H21" s="284"/>
      <c r="I21" s="284"/>
      <c r="J21" s="284"/>
      <c r="K21" s="284"/>
      <c r="L21" s="284"/>
      <c r="M21" s="284"/>
      <c r="N21" s="284"/>
      <c r="O21" s="284"/>
      <c r="P21" s="315"/>
    </row>
    <row r="22" spans="2:17" x14ac:dyDescent="0.3">
      <c r="B22" s="316"/>
      <c r="C22" s="317"/>
      <c r="D22" s="317"/>
      <c r="E22" s="317"/>
      <c r="F22" s="317"/>
      <c r="G22" s="317"/>
      <c r="H22" s="317"/>
      <c r="I22" s="317"/>
      <c r="J22" s="317"/>
      <c r="K22" s="317"/>
      <c r="L22" s="317"/>
      <c r="M22" s="317"/>
      <c r="N22" s="317"/>
      <c r="O22" s="317"/>
      <c r="P22" s="318"/>
    </row>
    <row r="23" spans="2:17" x14ac:dyDescent="0.3">
      <c r="B23" s="27"/>
      <c r="C23" s="61"/>
      <c r="E23" s="67"/>
      <c r="F23" s="63"/>
      <c r="G23" s="63"/>
      <c r="H23" s="63"/>
      <c r="I23" s="64"/>
      <c r="J23" s="62"/>
      <c r="K23" s="64"/>
      <c r="L23" s="64"/>
      <c r="M23" s="65"/>
      <c r="N23" s="34"/>
    </row>
    <row r="24" spans="2:17" x14ac:dyDescent="0.3">
      <c r="B24" s="27"/>
      <c r="C24" s="61"/>
      <c r="D24" s="130"/>
      <c r="E24" s="67"/>
      <c r="F24" s="63"/>
      <c r="G24" s="63"/>
      <c r="H24" s="63"/>
      <c r="I24" s="64"/>
      <c r="J24" s="62"/>
      <c r="K24" s="64"/>
      <c r="L24" s="64"/>
      <c r="M24" s="65"/>
      <c r="N24" s="34"/>
    </row>
    <row r="25" spans="2:17" x14ac:dyDescent="0.3">
      <c r="B25" s="27"/>
      <c r="C25" s="61"/>
      <c r="E25" s="67"/>
      <c r="F25" s="63"/>
      <c r="G25" s="63"/>
      <c r="H25" s="63"/>
      <c r="I25" s="64"/>
      <c r="J25" s="62"/>
      <c r="K25" s="64"/>
      <c r="L25" s="64"/>
      <c r="M25" s="65"/>
      <c r="N25" s="34"/>
    </row>
    <row r="26" spans="2:17" x14ac:dyDescent="0.3">
      <c r="B26" s="27"/>
      <c r="C26" s="61"/>
      <c r="E26" s="67"/>
      <c r="F26" s="63"/>
      <c r="G26" s="63"/>
      <c r="H26" s="63"/>
      <c r="I26" s="64"/>
      <c r="J26" s="62"/>
      <c r="K26" s="64"/>
      <c r="L26" s="64"/>
      <c r="M26" s="65"/>
      <c r="N26" s="34"/>
    </row>
    <row r="27" spans="2:17" x14ac:dyDescent="0.3">
      <c r="B27" s="27"/>
      <c r="C27" s="61"/>
      <c r="E27" s="67"/>
      <c r="F27" s="63"/>
      <c r="G27" s="63"/>
      <c r="H27" s="63"/>
      <c r="I27" s="64"/>
      <c r="J27" s="62"/>
      <c r="K27" s="64"/>
      <c r="L27" s="64"/>
      <c r="M27" s="65"/>
      <c r="N27" s="34"/>
    </row>
    <row r="28" spans="2:17" x14ac:dyDescent="0.3">
      <c r="B28" s="27"/>
      <c r="C28" s="61"/>
      <c r="E28" s="67"/>
      <c r="F28" s="63"/>
      <c r="G28" s="63"/>
      <c r="H28" s="63"/>
      <c r="I28" s="64"/>
      <c r="J28" s="62"/>
      <c r="K28" s="64"/>
      <c r="L28" s="64"/>
      <c r="M28" s="65"/>
      <c r="N28" s="34"/>
    </row>
    <row r="29" spans="2:17" x14ac:dyDescent="0.3">
      <c r="B29" s="27"/>
      <c r="C29" s="61"/>
      <c r="E29" s="67"/>
      <c r="F29" s="63"/>
      <c r="G29" s="63"/>
      <c r="H29" s="63"/>
      <c r="I29" s="64"/>
      <c r="J29" s="62"/>
      <c r="K29" s="64"/>
      <c r="L29" s="64"/>
      <c r="M29" s="65"/>
      <c r="N29" s="34"/>
    </row>
    <row r="30" spans="2:17" x14ac:dyDescent="0.3">
      <c r="B30" s="27"/>
      <c r="C30" s="61"/>
      <c r="E30" s="67"/>
      <c r="F30" s="63"/>
      <c r="G30" s="63"/>
      <c r="H30" s="63"/>
      <c r="I30" s="64"/>
      <c r="J30" s="62"/>
      <c r="K30" s="64"/>
      <c r="L30" s="64"/>
      <c r="M30" s="65"/>
      <c r="N30" s="34"/>
    </row>
    <row r="31" spans="2:17" x14ac:dyDescent="0.3">
      <c r="B31" s="27"/>
      <c r="C31" s="61"/>
      <c r="E31" s="67"/>
      <c r="F31" s="63"/>
      <c r="G31" s="63"/>
      <c r="H31" s="63"/>
      <c r="I31" s="64"/>
      <c r="J31" s="62"/>
      <c r="K31" s="64"/>
      <c r="L31" s="64"/>
      <c r="M31" s="65"/>
      <c r="N31" s="34"/>
    </row>
    <row r="32" spans="2:17" ht="28.8" x14ac:dyDescent="0.55000000000000004">
      <c r="B32" s="343" t="s">
        <v>172</v>
      </c>
      <c r="C32" s="324"/>
      <c r="D32" s="324"/>
      <c r="E32" s="324"/>
      <c r="F32" s="324"/>
      <c r="G32" s="324"/>
      <c r="H32" s="324"/>
      <c r="I32" s="324"/>
      <c r="J32" s="324"/>
      <c r="K32" s="324"/>
      <c r="L32" s="324"/>
      <c r="M32" s="324"/>
      <c r="N32" s="324"/>
      <c r="O32" s="324"/>
      <c r="P32" s="324"/>
      <c r="Q32" s="344"/>
    </row>
    <row r="33" spans="2:17" ht="28.8" x14ac:dyDescent="0.3">
      <c r="B33" s="129" t="s">
        <v>1</v>
      </c>
      <c r="C33" s="348" t="s">
        <v>2</v>
      </c>
      <c r="D33" s="348"/>
      <c r="E33" s="129" t="s">
        <v>128</v>
      </c>
      <c r="F33" s="129" t="s">
        <v>129</v>
      </c>
      <c r="G33" s="11" t="s">
        <v>89</v>
      </c>
      <c r="H33" s="11" t="s">
        <v>173</v>
      </c>
      <c r="I33" s="11" t="s">
        <v>174</v>
      </c>
      <c r="J33" s="11" t="s">
        <v>9</v>
      </c>
      <c r="K33" s="11" t="s">
        <v>175</v>
      </c>
      <c r="L33" s="11" t="s">
        <v>11</v>
      </c>
      <c r="M33" s="129" t="s">
        <v>12</v>
      </c>
      <c r="N33" s="129" t="s">
        <v>13</v>
      </c>
      <c r="O33" s="129" t="s">
        <v>14</v>
      </c>
      <c r="P33" s="270" t="s">
        <v>36</v>
      </c>
      <c r="Q33" s="271"/>
    </row>
    <row r="34" spans="2:17" ht="14.4" customHeight="1" x14ac:dyDescent="0.3">
      <c r="B34" s="337" t="s">
        <v>176</v>
      </c>
      <c r="C34" s="338" t="s">
        <v>168</v>
      </c>
      <c r="D34" s="40" t="s">
        <v>17</v>
      </c>
      <c r="E34" s="36">
        <v>4200</v>
      </c>
      <c r="F34" s="38">
        <v>175</v>
      </c>
      <c r="G34" s="38">
        <v>85</v>
      </c>
      <c r="H34" s="36">
        <v>175</v>
      </c>
      <c r="I34" s="36">
        <v>75</v>
      </c>
      <c r="J34" s="107">
        <f>SUM(E34:I34)</f>
        <v>4710</v>
      </c>
      <c r="K34" s="36">
        <v>200</v>
      </c>
      <c r="L34" s="107">
        <f t="shared" ref="L34:L36" si="2">J34+K34</f>
        <v>4910</v>
      </c>
      <c r="M34" s="108">
        <v>35</v>
      </c>
      <c r="N34" s="215" t="s">
        <v>177</v>
      </c>
      <c r="O34" s="40" t="s">
        <v>45</v>
      </c>
      <c r="P34" s="234" t="s">
        <v>178</v>
      </c>
      <c r="Q34" s="235"/>
    </row>
    <row r="35" spans="2:17" x14ac:dyDescent="0.3">
      <c r="B35" s="337"/>
      <c r="C35" s="338"/>
      <c r="D35" s="40" t="s">
        <v>22</v>
      </c>
      <c r="E35" s="36">
        <v>4500</v>
      </c>
      <c r="F35" s="38">
        <v>235</v>
      </c>
      <c r="G35" s="38">
        <v>85</v>
      </c>
      <c r="H35" s="36">
        <v>175</v>
      </c>
      <c r="I35" s="36">
        <v>150</v>
      </c>
      <c r="J35" s="107">
        <f t="shared" ref="J35" si="3">SUM(E35:I35)</f>
        <v>5145</v>
      </c>
      <c r="K35" s="36">
        <v>200</v>
      </c>
      <c r="L35" s="107">
        <f t="shared" si="2"/>
        <v>5345</v>
      </c>
      <c r="M35" s="108">
        <v>35</v>
      </c>
      <c r="N35" s="215" t="s">
        <v>177</v>
      </c>
      <c r="O35" s="40" t="s">
        <v>45</v>
      </c>
      <c r="P35" s="301"/>
      <c r="Q35" s="303"/>
    </row>
    <row r="36" spans="2:17" x14ac:dyDescent="0.3">
      <c r="B36" s="121" t="s">
        <v>179</v>
      </c>
      <c r="C36" s="40" t="s">
        <v>168</v>
      </c>
      <c r="D36" s="40" t="s">
        <v>17</v>
      </c>
      <c r="E36" s="145">
        <v>4100</v>
      </c>
      <c r="F36" s="36" t="s">
        <v>180</v>
      </c>
      <c r="G36" s="36">
        <v>175</v>
      </c>
      <c r="H36" s="36">
        <v>175</v>
      </c>
      <c r="I36" s="36">
        <v>75</v>
      </c>
      <c r="J36" s="107">
        <f>SUM(E36:I36)</f>
        <v>4525</v>
      </c>
      <c r="K36" s="36">
        <v>200</v>
      </c>
      <c r="L36" s="107">
        <f t="shared" si="2"/>
        <v>4725</v>
      </c>
      <c r="M36" s="108">
        <v>35</v>
      </c>
      <c r="N36" s="215" t="s">
        <v>20</v>
      </c>
      <c r="O36" s="40" t="s">
        <v>45</v>
      </c>
      <c r="P36" s="236"/>
      <c r="Q36" s="237"/>
    </row>
    <row r="37" spans="2:17" x14ac:dyDescent="0.3">
      <c r="B37" s="73"/>
      <c r="C37" s="128"/>
      <c r="D37" s="128"/>
      <c r="E37" s="43"/>
      <c r="F37" s="43"/>
      <c r="G37" s="43"/>
      <c r="H37" s="43"/>
      <c r="I37" s="43"/>
      <c r="J37" s="71"/>
      <c r="K37" s="43"/>
      <c r="L37" s="43"/>
      <c r="M37" s="71"/>
      <c r="N37" s="44"/>
      <c r="O37" s="72"/>
      <c r="P37" s="128"/>
    </row>
    <row r="38" spans="2:17" x14ac:dyDescent="0.3">
      <c r="B38" s="42"/>
      <c r="E38" s="43"/>
      <c r="F38" s="43"/>
      <c r="G38" s="43"/>
      <c r="H38" s="43"/>
      <c r="I38" s="64"/>
      <c r="J38" s="62"/>
      <c r="K38" s="64"/>
      <c r="L38" s="64"/>
      <c r="M38" s="128"/>
      <c r="N38" s="34"/>
      <c r="O38" s="128"/>
    </row>
    <row r="39" spans="2:17" ht="15.6" x14ac:dyDescent="0.3">
      <c r="B39" s="5" t="s">
        <v>32</v>
      </c>
      <c r="C39" s="6"/>
      <c r="D39" s="6"/>
      <c r="E39" s="6"/>
      <c r="F39" s="6"/>
      <c r="G39" s="6"/>
      <c r="H39" s="6"/>
      <c r="I39" s="6"/>
      <c r="J39" s="6"/>
      <c r="K39" s="6"/>
      <c r="L39" s="6"/>
      <c r="M39" s="6"/>
      <c r="N39" s="6"/>
      <c r="O39" s="6"/>
      <c r="P39" s="7"/>
    </row>
    <row r="40" spans="2:17" x14ac:dyDescent="0.3">
      <c r="B40" s="242" t="s">
        <v>33</v>
      </c>
      <c r="C40" s="243"/>
      <c r="D40" s="243"/>
      <c r="E40" s="243"/>
      <c r="F40" s="243"/>
      <c r="G40" s="243"/>
      <c r="H40" s="243"/>
      <c r="I40" s="243"/>
      <c r="J40" s="243"/>
      <c r="K40" s="243"/>
      <c r="L40" s="243"/>
      <c r="M40" s="243"/>
      <c r="N40" s="243"/>
      <c r="O40" s="243"/>
      <c r="P40" s="244"/>
    </row>
    <row r="41" spans="2:17" x14ac:dyDescent="0.3">
      <c r="B41" s="242"/>
      <c r="C41" s="243"/>
      <c r="D41" s="243"/>
      <c r="E41" s="243"/>
      <c r="F41" s="243"/>
      <c r="G41" s="243"/>
      <c r="H41" s="243"/>
      <c r="I41" s="243"/>
      <c r="J41" s="243"/>
      <c r="K41" s="243"/>
      <c r="L41" s="243"/>
      <c r="M41" s="243"/>
      <c r="N41" s="243"/>
      <c r="O41" s="243"/>
      <c r="P41" s="244"/>
    </row>
    <row r="42" spans="2:17" x14ac:dyDescent="0.3">
      <c r="B42" s="242"/>
      <c r="C42" s="243"/>
      <c r="D42" s="243"/>
      <c r="E42" s="243"/>
      <c r="F42" s="243"/>
      <c r="G42" s="243"/>
      <c r="H42" s="243"/>
      <c r="I42" s="243"/>
      <c r="J42" s="243"/>
      <c r="K42" s="243"/>
      <c r="L42" s="243"/>
      <c r="M42" s="243"/>
      <c r="N42" s="243"/>
      <c r="O42" s="243"/>
      <c r="P42" s="244"/>
    </row>
    <row r="43" spans="2:17" x14ac:dyDescent="0.3">
      <c r="B43" s="245"/>
      <c r="C43" s="246"/>
      <c r="D43" s="246"/>
      <c r="E43" s="246"/>
      <c r="F43" s="246"/>
      <c r="G43" s="246"/>
      <c r="H43" s="246"/>
      <c r="I43" s="246"/>
      <c r="J43" s="246"/>
      <c r="K43" s="246"/>
      <c r="L43" s="246"/>
      <c r="M43" s="246"/>
      <c r="N43" s="246"/>
      <c r="O43" s="246"/>
      <c r="P43" s="247"/>
    </row>
    <row r="44" spans="2:17" x14ac:dyDescent="0.3">
      <c r="B44" s="42"/>
      <c r="E44" s="43"/>
      <c r="F44" s="43"/>
      <c r="G44" s="43"/>
      <c r="H44" s="43"/>
      <c r="I44" s="64"/>
      <c r="J44" s="62"/>
      <c r="K44" s="64"/>
      <c r="L44" s="64"/>
      <c r="M44" s="128"/>
      <c r="N44" s="34"/>
      <c r="O44" s="128"/>
    </row>
    <row r="45" spans="2:17" x14ac:dyDescent="0.3">
      <c r="B45" s="42"/>
      <c r="E45" s="43"/>
      <c r="F45" s="43"/>
      <c r="G45" s="43"/>
      <c r="H45" s="43"/>
      <c r="I45" s="64"/>
      <c r="J45" s="62"/>
      <c r="K45" s="64"/>
      <c r="L45" s="64"/>
      <c r="M45" s="128"/>
      <c r="N45" s="34"/>
      <c r="O45" s="128"/>
    </row>
    <row r="46" spans="2:17" x14ac:dyDescent="0.3">
      <c r="B46" s="42"/>
      <c r="E46" s="43"/>
      <c r="F46" s="43"/>
      <c r="G46" s="43"/>
      <c r="H46" s="43"/>
      <c r="I46" s="64"/>
      <c r="J46" s="62"/>
      <c r="K46" s="64"/>
      <c r="L46" s="64"/>
      <c r="M46" s="128"/>
      <c r="N46" s="34"/>
      <c r="O46" s="128"/>
    </row>
    <row r="47" spans="2:17" x14ac:dyDescent="0.3">
      <c r="B47" s="42"/>
      <c r="E47" s="43"/>
      <c r="F47" s="43"/>
      <c r="G47" s="43"/>
      <c r="H47" s="43"/>
      <c r="I47" s="64"/>
      <c r="J47" s="62"/>
      <c r="K47" s="64"/>
      <c r="L47" s="64"/>
      <c r="M47" s="128"/>
      <c r="N47" s="34"/>
      <c r="O47" s="128"/>
    </row>
    <row r="48" spans="2:17" x14ac:dyDescent="0.3">
      <c r="B48" s="42"/>
      <c r="E48" s="43"/>
      <c r="F48" s="43"/>
      <c r="G48" s="43"/>
      <c r="H48" s="43"/>
      <c r="I48" s="64"/>
      <c r="J48" s="62"/>
      <c r="K48" s="64"/>
      <c r="L48" s="64"/>
      <c r="M48" s="128"/>
      <c r="N48" s="34"/>
      <c r="O48" s="128"/>
    </row>
    <row r="49" spans="2:17" x14ac:dyDescent="0.3">
      <c r="B49" s="42"/>
      <c r="E49" s="43"/>
      <c r="F49" s="43"/>
      <c r="G49" s="43"/>
      <c r="H49" s="43"/>
      <c r="I49" s="64"/>
      <c r="J49" s="62"/>
      <c r="K49" s="64"/>
      <c r="L49" s="64"/>
      <c r="M49" s="128"/>
      <c r="N49" s="34"/>
      <c r="O49" s="128"/>
    </row>
    <row r="50" spans="2:17" x14ac:dyDescent="0.3">
      <c r="B50" s="42"/>
      <c r="E50" s="43"/>
      <c r="F50" s="43"/>
      <c r="G50" s="43"/>
      <c r="H50" s="43"/>
      <c r="I50" s="64"/>
      <c r="J50" s="62"/>
      <c r="K50" s="64"/>
      <c r="L50" s="64"/>
      <c r="M50" s="128"/>
      <c r="N50" s="34"/>
      <c r="O50" s="128"/>
    </row>
    <row r="51" spans="2:17" ht="15" thickBot="1" x14ac:dyDescent="0.35">
      <c r="B51" s="42"/>
      <c r="E51" s="43"/>
      <c r="F51" s="43"/>
      <c r="G51" s="43"/>
      <c r="H51" s="43"/>
      <c r="I51" s="64"/>
      <c r="J51" s="62"/>
      <c r="K51" s="64"/>
      <c r="L51" s="64"/>
      <c r="M51" s="128"/>
      <c r="N51" s="34"/>
      <c r="O51" s="128"/>
    </row>
    <row r="52" spans="2:17" ht="28.8" x14ac:dyDescent="0.55000000000000004">
      <c r="B52" s="334" t="s">
        <v>181</v>
      </c>
      <c r="C52" s="335"/>
      <c r="D52" s="335"/>
      <c r="E52" s="335"/>
      <c r="F52" s="335"/>
      <c r="G52" s="335"/>
      <c r="H52" s="335"/>
      <c r="I52" s="335"/>
      <c r="J52" s="335"/>
      <c r="K52" s="335"/>
      <c r="L52" s="335"/>
      <c r="M52" s="335"/>
      <c r="N52" s="335"/>
      <c r="O52" s="335"/>
      <c r="P52" s="335"/>
      <c r="Q52" s="336"/>
    </row>
    <row r="53" spans="2:17" ht="28.8" x14ac:dyDescent="0.3">
      <c r="B53" s="98" t="s">
        <v>1</v>
      </c>
      <c r="C53" s="220" t="s">
        <v>2</v>
      </c>
      <c r="D53" s="220"/>
      <c r="E53" s="122" t="s">
        <v>3</v>
      </c>
      <c r="F53" s="122" t="s">
        <v>4</v>
      </c>
      <c r="G53" s="122" t="s">
        <v>173</v>
      </c>
      <c r="H53" s="122" t="s">
        <v>115</v>
      </c>
      <c r="I53" s="3" t="s">
        <v>174</v>
      </c>
      <c r="J53" s="3" t="s">
        <v>50</v>
      </c>
      <c r="K53" s="3" t="s">
        <v>9</v>
      </c>
      <c r="L53" s="3" t="s">
        <v>10</v>
      </c>
      <c r="M53" s="3" t="s">
        <v>11</v>
      </c>
      <c r="N53" s="3" t="s">
        <v>12</v>
      </c>
      <c r="O53" s="122" t="s">
        <v>13</v>
      </c>
      <c r="P53" s="122" t="s">
        <v>14</v>
      </c>
      <c r="Q53" s="123" t="s">
        <v>141</v>
      </c>
    </row>
    <row r="54" spans="2:17" ht="40.950000000000003" customHeight="1" x14ac:dyDescent="0.3">
      <c r="B54" s="221" t="s">
        <v>182</v>
      </c>
      <c r="C54" s="319" t="s">
        <v>168</v>
      </c>
      <c r="D54" s="53" t="s">
        <v>17</v>
      </c>
      <c r="E54" s="83">
        <f>CEILING((((9540+40+115)*1.12))-150,50)</f>
        <v>10750</v>
      </c>
      <c r="F54" s="56">
        <v>160</v>
      </c>
      <c r="G54" s="54">
        <v>175</v>
      </c>
      <c r="H54" s="54">
        <v>215</v>
      </c>
      <c r="I54" s="54">
        <v>75</v>
      </c>
      <c r="J54" s="54">
        <v>50</v>
      </c>
      <c r="K54" s="58">
        <f t="shared" ref="K54:K55" si="4">SUM(E54:J54)</f>
        <v>11425</v>
      </c>
      <c r="L54" s="56">
        <v>200</v>
      </c>
      <c r="M54" s="147">
        <f>SUM(K54:L54)</f>
        <v>11625</v>
      </c>
      <c r="N54" s="59" t="s">
        <v>183</v>
      </c>
      <c r="O54" s="211" t="s">
        <v>56</v>
      </c>
      <c r="P54" s="53" t="s">
        <v>60</v>
      </c>
      <c r="Q54" s="111" t="s">
        <v>184</v>
      </c>
    </row>
    <row r="55" spans="2:17" ht="42" customHeight="1" thickBot="1" x14ac:dyDescent="0.35">
      <c r="B55" s="221"/>
      <c r="C55" s="319"/>
      <c r="D55" s="53" t="s">
        <v>22</v>
      </c>
      <c r="E55" s="83">
        <f>CEILING((((9680+115)*1.12))-150,50)</f>
        <v>10850</v>
      </c>
      <c r="F55" s="56">
        <v>160</v>
      </c>
      <c r="G55" s="54">
        <v>175</v>
      </c>
      <c r="H55" s="54">
        <v>215</v>
      </c>
      <c r="I55" s="54">
        <v>150</v>
      </c>
      <c r="J55" s="54">
        <v>50</v>
      </c>
      <c r="K55" s="58">
        <f t="shared" si="4"/>
        <v>11600</v>
      </c>
      <c r="L55" s="56">
        <v>200</v>
      </c>
      <c r="M55" s="147">
        <f>SUM(K55:L55)</f>
        <v>11800</v>
      </c>
      <c r="N55" s="59" t="s">
        <v>183</v>
      </c>
      <c r="O55" s="211" t="s">
        <v>56</v>
      </c>
      <c r="P55" s="53" t="s">
        <v>60</v>
      </c>
      <c r="Q55" s="111" t="s">
        <v>184</v>
      </c>
    </row>
    <row r="56" spans="2:17" ht="28.8" x14ac:dyDescent="0.55000000000000004">
      <c r="B56" s="334" t="s">
        <v>185</v>
      </c>
      <c r="C56" s="335"/>
      <c r="D56" s="335"/>
      <c r="E56" s="335"/>
      <c r="F56" s="335"/>
      <c r="G56" s="335"/>
      <c r="H56" s="335"/>
      <c r="I56" s="335"/>
      <c r="J56" s="335"/>
      <c r="K56" s="335"/>
      <c r="L56" s="335"/>
      <c r="M56" s="335"/>
      <c r="N56" s="335"/>
      <c r="O56" s="335"/>
      <c r="P56" s="335"/>
      <c r="Q56" s="336"/>
    </row>
    <row r="57" spans="2:17" ht="28.8" x14ac:dyDescent="0.3">
      <c r="B57" s="98" t="s">
        <v>1</v>
      </c>
      <c r="C57" s="220" t="s">
        <v>2</v>
      </c>
      <c r="D57" s="220"/>
      <c r="E57" s="122" t="s">
        <v>3</v>
      </c>
      <c r="F57" s="122" t="s">
        <v>4</v>
      </c>
      <c r="G57" s="122" t="s">
        <v>173</v>
      </c>
      <c r="H57" s="122" t="s">
        <v>115</v>
      </c>
      <c r="I57" s="3" t="s">
        <v>174</v>
      </c>
      <c r="J57" s="3" t="s">
        <v>50</v>
      </c>
      <c r="K57" s="3" t="s">
        <v>9</v>
      </c>
      <c r="L57" s="3" t="s">
        <v>10</v>
      </c>
      <c r="M57" s="3" t="s">
        <v>11</v>
      </c>
      <c r="N57" s="3" t="s">
        <v>12</v>
      </c>
      <c r="O57" s="122" t="s">
        <v>13</v>
      </c>
      <c r="P57" s="122" t="s">
        <v>14</v>
      </c>
      <c r="Q57" s="123" t="s">
        <v>141</v>
      </c>
    </row>
    <row r="58" spans="2:17" ht="28.95" customHeight="1" x14ac:dyDescent="0.3">
      <c r="B58" s="221" t="s">
        <v>73</v>
      </c>
      <c r="C58" s="319" t="s">
        <v>168</v>
      </c>
      <c r="D58" s="53" t="s">
        <v>17</v>
      </c>
      <c r="E58" s="83">
        <f>CEILING((((10040+40+115)*1.12))-150,50)</f>
        <v>11300</v>
      </c>
      <c r="F58" s="151">
        <v>130</v>
      </c>
      <c r="G58" s="152">
        <v>175</v>
      </c>
      <c r="H58" s="152">
        <v>275</v>
      </c>
      <c r="I58" s="152">
        <v>75</v>
      </c>
      <c r="J58" s="152">
        <v>50</v>
      </c>
      <c r="K58" s="147">
        <f t="shared" ref="K58:K59" si="5">SUM(E58:J58)</f>
        <v>12005</v>
      </c>
      <c r="L58" s="146">
        <v>200</v>
      </c>
      <c r="M58" s="147">
        <f>SUM(K58:L58)</f>
        <v>12205</v>
      </c>
      <c r="N58" s="148" t="s">
        <v>183</v>
      </c>
      <c r="O58" s="211" t="s">
        <v>56</v>
      </c>
      <c r="P58" s="53" t="s">
        <v>60</v>
      </c>
      <c r="Q58" s="326" t="s">
        <v>186</v>
      </c>
    </row>
    <row r="59" spans="2:17" x14ac:dyDescent="0.3">
      <c r="B59" s="221"/>
      <c r="C59" s="319"/>
      <c r="D59" s="53" t="s">
        <v>22</v>
      </c>
      <c r="E59" s="83">
        <f>CEILING((((10180+80+115)*1.12))-150,50)</f>
        <v>11500</v>
      </c>
      <c r="F59" s="151">
        <v>160</v>
      </c>
      <c r="G59" s="152">
        <v>175</v>
      </c>
      <c r="H59" s="152">
        <v>275</v>
      </c>
      <c r="I59" s="152">
        <v>150</v>
      </c>
      <c r="J59" s="152">
        <v>50</v>
      </c>
      <c r="K59" s="147">
        <f t="shared" si="5"/>
        <v>12310</v>
      </c>
      <c r="L59" s="146">
        <v>200</v>
      </c>
      <c r="M59" s="147">
        <f>SUM(K59:L59)</f>
        <v>12510</v>
      </c>
      <c r="N59" s="148" t="s">
        <v>183</v>
      </c>
      <c r="O59" s="211" t="s">
        <v>56</v>
      </c>
      <c r="P59" s="53" t="s">
        <v>60</v>
      </c>
      <c r="Q59" s="327"/>
    </row>
    <row r="60" spans="2:17" ht="28.8" x14ac:dyDescent="0.55000000000000004">
      <c r="B60" s="323" t="s">
        <v>187</v>
      </c>
      <c r="C60" s="324"/>
      <c r="D60" s="324"/>
      <c r="E60" s="324"/>
      <c r="F60" s="324"/>
      <c r="G60" s="324"/>
      <c r="H60" s="324"/>
      <c r="I60" s="324"/>
      <c r="J60" s="324"/>
      <c r="K60" s="324"/>
      <c r="L60" s="324"/>
      <c r="M60" s="324"/>
      <c r="N60" s="324"/>
      <c r="O60" s="324"/>
      <c r="P60" s="324"/>
      <c r="Q60" s="325"/>
    </row>
    <row r="61" spans="2:17" ht="28.8" x14ac:dyDescent="0.3">
      <c r="B61" s="110" t="s">
        <v>1</v>
      </c>
      <c r="C61" s="305" t="s">
        <v>2</v>
      </c>
      <c r="D61" s="305"/>
      <c r="E61" s="8" t="s">
        <v>3</v>
      </c>
      <c r="F61" s="1" t="s">
        <v>4</v>
      </c>
      <c r="G61" s="9" t="s">
        <v>173</v>
      </c>
      <c r="H61" s="9" t="s">
        <v>115</v>
      </c>
      <c r="I61" s="3" t="s">
        <v>174</v>
      </c>
      <c r="J61" s="2" t="s">
        <v>50</v>
      </c>
      <c r="K61" s="2" t="s">
        <v>9</v>
      </c>
      <c r="L61" s="2" t="s">
        <v>10</v>
      </c>
      <c r="M61" s="2" t="s">
        <v>11</v>
      </c>
      <c r="N61" s="8" t="s">
        <v>12</v>
      </c>
      <c r="O61" s="9" t="s">
        <v>13</v>
      </c>
      <c r="P61" s="126" t="s">
        <v>14</v>
      </c>
      <c r="Q61" s="104" t="s">
        <v>141</v>
      </c>
    </row>
    <row r="62" spans="2:17" ht="14.4" customHeight="1" x14ac:dyDescent="0.3">
      <c r="B62" s="331" t="s">
        <v>188</v>
      </c>
      <c r="C62" s="319" t="s">
        <v>168</v>
      </c>
      <c r="D62" s="53" t="s">
        <v>17</v>
      </c>
      <c r="E62" s="83">
        <f>CEILING((((10040+40+115)*1.12))-150,50)</f>
        <v>11300</v>
      </c>
      <c r="F62" s="151">
        <v>130</v>
      </c>
      <c r="G62" s="152">
        <v>175</v>
      </c>
      <c r="H62" s="152">
        <v>275</v>
      </c>
      <c r="I62" s="152">
        <v>75</v>
      </c>
      <c r="J62" s="152">
        <v>50</v>
      </c>
      <c r="K62" s="147">
        <f t="shared" ref="K62:K63" si="6">SUM(E62:J62)</f>
        <v>12005</v>
      </c>
      <c r="L62" s="146">
        <v>200</v>
      </c>
      <c r="M62" s="147">
        <f>SUM(K62:L62)</f>
        <v>12205</v>
      </c>
      <c r="N62" s="148" t="s">
        <v>183</v>
      </c>
      <c r="O62" s="211" t="s">
        <v>56</v>
      </c>
      <c r="P62" s="53" t="s">
        <v>60</v>
      </c>
      <c r="Q62" s="326" t="s">
        <v>186</v>
      </c>
    </row>
    <row r="63" spans="2:17" x14ac:dyDescent="0.3">
      <c r="B63" s="331"/>
      <c r="C63" s="319"/>
      <c r="D63" s="53" t="s">
        <v>22</v>
      </c>
      <c r="E63" s="83">
        <f>CEILING((((10180+80+115)*1.12))-150,50)</f>
        <v>11500</v>
      </c>
      <c r="F63" s="151">
        <v>160</v>
      </c>
      <c r="G63" s="152">
        <v>175</v>
      </c>
      <c r="H63" s="152">
        <v>275</v>
      </c>
      <c r="I63" s="152">
        <v>150</v>
      </c>
      <c r="J63" s="152">
        <v>50</v>
      </c>
      <c r="K63" s="147">
        <f t="shared" si="6"/>
        <v>12310</v>
      </c>
      <c r="L63" s="146">
        <v>200</v>
      </c>
      <c r="M63" s="147">
        <f>SUM(K63:L63)</f>
        <v>12510</v>
      </c>
      <c r="N63" s="148" t="s">
        <v>183</v>
      </c>
      <c r="O63" s="211" t="s">
        <v>56</v>
      </c>
      <c r="P63" s="53" t="s">
        <v>60</v>
      </c>
      <c r="Q63" s="327"/>
    </row>
    <row r="64" spans="2:17" ht="28.8" x14ac:dyDescent="0.55000000000000004">
      <c r="B64" s="323" t="s">
        <v>189</v>
      </c>
      <c r="C64" s="324"/>
      <c r="D64" s="324"/>
      <c r="E64" s="324"/>
      <c r="F64" s="324"/>
      <c r="G64" s="324"/>
      <c r="H64" s="324"/>
      <c r="I64" s="324"/>
      <c r="J64" s="324"/>
      <c r="K64" s="324"/>
      <c r="L64" s="324"/>
      <c r="M64" s="324"/>
      <c r="N64" s="324"/>
      <c r="O64" s="324"/>
      <c r="P64" s="324"/>
      <c r="Q64" s="325"/>
    </row>
    <row r="65" spans="2:18" ht="28.8" x14ac:dyDescent="0.3">
      <c r="B65" s="110" t="s">
        <v>1</v>
      </c>
      <c r="C65" s="305" t="s">
        <v>2</v>
      </c>
      <c r="D65" s="305"/>
      <c r="E65" s="8" t="s">
        <v>3</v>
      </c>
      <c r="F65" s="1" t="s">
        <v>4</v>
      </c>
      <c r="G65" s="9" t="s">
        <v>173</v>
      </c>
      <c r="H65" s="9" t="s">
        <v>115</v>
      </c>
      <c r="I65" s="3" t="s">
        <v>174</v>
      </c>
      <c r="J65" s="2" t="s">
        <v>50</v>
      </c>
      <c r="K65" s="2" t="s">
        <v>9</v>
      </c>
      <c r="L65" s="2" t="s">
        <v>10</v>
      </c>
      <c r="M65" s="2" t="s">
        <v>11</v>
      </c>
      <c r="N65" s="8" t="s">
        <v>12</v>
      </c>
      <c r="O65" s="9" t="s">
        <v>13</v>
      </c>
      <c r="P65" s="126" t="s">
        <v>14</v>
      </c>
      <c r="Q65" s="104" t="s">
        <v>141</v>
      </c>
    </row>
    <row r="66" spans="2:18" x14ac:dyDescent="0.3">
      <c r="B66" s="331" t="s">
        <v>190</v>
      </c>
      <c r="C66" s="319" t="s">
        <v>168</v>
      </c>
      <c r="D66" s="53" t="s">
        <v>17</v>
      </c>
      <c r="E66" s="83">
        <f>CEILING((((10040+40+115)*1.12))-150,50)</f>
        <v>11300</v>
      </c>
      <c r="F66" s="151">
        <v>130</v>
      </c>
      <c r="G66" s="152">
        <v>175</v>
      </c>
      <c r="H66" s="152">
        <v>275</v>
      </c>
      <c r="I66" s="152">
        <v>75</v>
      </c>
      <c r="J66" s="152">
        <v>50</v>
      </c>
      <c r="K66" s="147">
        <f t="shared" ref="K66:K67" si="7">SUM(E66:J66)</f>
        <v>12005</v>
      </c>
      <c r="L66" s="146">
        <v>200</v>
      </c>
      <c r="M66" s="147">
        <f>SUM(K66:L66)</f>
        <v>12205</v>
      </c>
      <c r="N66" s="148" t="s">
        <v>183</v>
      </c>
      <c r="O66" s="211" t="s">
        <v>56</v>
      </c>
      <c r="P66" s="53" t="s">
        <v>60</v>
      </c>
      <c r="Q66" s="328" t="s">
        <v>191</v>
      </c>
    </row>
    <row r="67" spans="2:18" x14ac:dyDescent="0.3">
      <c r="B67" s="331"/>
      <c r="C67" s="319"/>
      <c r="D67" s="53" t="s">
        <v>22</v>
      </c>
      <c r="E67" s="83">
        <f>CEILING((((10180+80+115)*1.12))-150,50)</f>
        <v>11500</v>
      </c>
      <c r="F67" s="151">
        <v>160</v>
      </c>
      <c r="G67" s="152">
        <v>175</v>
      </c>
      <c r="H67" s="152">
        <v>275</v>
      </c>
      <c r="I67" s="152">
        <v>150</v>
      </c>
      <c r="J67" s="152">
        <v>50</v>
      </c>
      <c r="K67" s="147">
        <f t="shared" si="7"/>
        <v>12310</v>
      </c>
      <c r="L67" s="146">
        <v>200</v>
      </c>
      <c r="M67" s="147">
        <f>SUM(K67:L67)</f>
        <v>12510</v>
      </c>
      <c r="N67" s="148" t="s">
        <v>183</v>
      </c>
      <c r="O67" s="211" t="s">
        <v>56</v>
      </c>
      <c r="P67" s="53" t="s">
        <v>60</v>
      </c>
      <c r="Q67" s="332"/>
    </row>
    <row r="68" spans="2:18" ht="28.8" x14ac:dyDescent="0.55000000000000004">
      <c r="B68" s="323" t="s">
        <v>192</v>
      </c>
      <c r="C68" s="324"/>
      <c r="D68" s="324"/>
      <c r="E68" s="324"/>
      <c r="F68" s="324"/>
      <c r="G68" s="324"/>
      <c r="H68" s="324"/>
      <c r="I68" s="324"/>
      <c r="J68" s="324"/>
      <c r="K68" s="324"/>
      <c r="L68" s="324"/>
      <c r="M68" s="324"/>
      <c r="N68" s="324"/>
      <c r="O68" s="324"/>
      <c r="P68" s="324"/>
      <c r="Q68" s="325"/>
    </row>
    <row r="69" spans="2:18" ht="28.8" x14ac:dyDescent="0.3">
      <c r="B69" s="110" t="s">
        <v>1</v>
      </c>
      <c r="C69" s="305" t="s">
        <v>2</v>
      </c>
      <c r="D69" s="305"/>
      <c r="E69" s="8" t="s">
        <v>3</v>
      </c>
      <c r="F69" s="1" t="s">
        <v>4</v>
      </c>
      <c r="G69" s="9" t="s">
        <v>173</v>
      </c>
      <c r="H69" s="9" t="s">
        <v>115</v>
      </c>
      <c r="I69" s="3" t="s">
        <v>174</v>
      </c>
      <c r="J69" s="2" t="s">
        <v>50</v>
      </c>
      <c r="K69" s="2" t="s">
        <v>9</v>
      </c>
      <c r="L69" s="2" t="s">
        <v>10</v>
      </c>
      <c r="M69" s="2" t="s">
        <v>11</v>
      </c>
      <c r="N69" s="8" t="s">
        <v>12</v>
      </c>
      <c r="O69" s="9" t="s">
        <v>13</v>
      </c>
      <c r="P69" s="126" t="s">
        <v>14</v>
      </c>
      <c r="Q69" s="104" t="s">
        <v>141</v>
      </c>
    </row>
    <row r="70" spans="2:18" ht="14.4" customHeight="1" x14ac:dyDescent="0.3">
      <c r="B70" s="221" t="s">
        <v>193</v>
      </c>
      <c r="C70" s="319" t="s">
        <v>168</v>
      </c>
      <c r="D70" s="53" t="s">
        <v>17</v>
      </c>
      <c r="E70" s="83">
        <f>CEILING((((9840+297+50+85)*1.12)- 85)-150,50)</f>
        <v>11300</v>
      </c>
      <c r="F70" s="151">
        <v>130</v>
      </c>
      <c r="G70" s="152">
        <v>175</v>
      </c>
      <c r="H70" s="152">
        <v>275</v>
      </c>
      <c r="I70" s="152">
        <v>75</v>
      </c>
      <c r="J70" s="152">
        <v>50</v>
      </c>
      <c r="K70" s="58">
        <f t="shared" ref="K70:K71" si="8">SUM(E70:J70)</f>
        <v>12005</v>
      </c>
      <c r="L70" s="56">
        <v>200</v>
      </c>
      <c r="M70" s="147">
        <f>SUM(K70:L70)</f>
        <v>12205</v>
      </c>
      <c r="N70" s="59" t="s">
        <v>183</v>
      </c>
      <c r="O70" s="211" t="s">
        <v>56</v>
      </c>
      <c r="P70" s="53" t="s">
        <v>40</v>
      </c>
      <c r="Q70" s="328" t="s">
        <v>191</v>
      </c>
    </row>
    <row r="71" spans="2:18" x14ac:dyDescent="0.3">
      <c r="B71" s="221"/>
      <c r="C71" s="319"/>
      <c r="D71" s="53" t="s">
        <v>22</v>
      </c>
      <c r="E71" s="83">
        <f>CEILING((((10280+297+50+160)*1.12)- 160)-150,50)</f>
        <v>11800</v>
      </c>
      <c r="F71" s="151">
        <v>160</v>
      </c>
      <c r="G71" s="152">
        <v>175</v>
      </c>
      <c r="H71" s="152">
        <v>275</v>
      </c>
      <c r="I71" s="152">
        <v>150</v>
      </c>
      <c r="J71" s="152">
        <v>50</v>
      </c>
      <c r="K71" s="58">
        <f t="shared" si="8"/>
        <v>12610</v>
      </c>
      <c r="L71" s="56">
        <v>200</v>
      </c>
      <c r="M71" s="147">
        <f>SUM(K71:L71)</f>
        <v>12810</v>
      </c>
      <c r="N71" s="59" t="s">
        <v>183</v>
      </c>
      <c r="O71" s="211" t="s">
        <v>56</v>
      </c>
      <c r="P71" s="53" t="s">
        <v>40</v>
      </c>
      <c r="Q71" s="333"/>
    </row>
    <row r="72" spans="2:18" ht="28.8" x14ac:dyDescent="0.55000000000000004">
      <c r="B72" s="323" t="s">
        <v>194</v>
      </c>
      <c r="C72" s="324"/>
      <c r="D72" s="324"/>
      <c r="E72" s="324"/>
      <c r="F72" s="324"/>
      <c r="G72" s="324"/>
      <c r="H72" s="324"/>
      <c r="I72" s="324"/>
      <c r="J72" s="324"/>
      <c r="K72" s="324"/>
      <c r="L72" s="324"/>
      <c r="M72" s="324"/>
      <c r="N72" s="330"/>
      <c r="O72" s="324"/>
      <c r="P72" s="324"/>
      <c r="Q72" s="325"/>
    </row>
    <row r="73" spans="2:18" ht="28.8" x14ac:dyDescent="0.3">
      <c r="B73" s="110" t="s">
        <v>1</v>
      </c>
      <c r="C73" s="305" t="s">
        <v>2</v>
      </c>
      <c r="D73" s="305"/>
      <c r="E73" s="8" t="s">
        <v>3</v>
      </c>
      <c r="F73" s="1" t="s">
        <v>4</v>
      </c>
      <c r="G73" s="9" t="s">
        <v>173</v>
      </c>
      <c r="H73" s="9" t="s">
        <v>115</v>
      </c>
      <c r="I73" s="3" t="s">
        <v>174</v>
      </c>
      <c r="J73" s="2" t="s">
        <v>50</v>
      </c>
      <c r="K73" s="2" t="s">
        <v>9</v>
      </c>
      <c r="L73" s="2" t="s">
        <v>10</v>
      </c>
      <c r="M73" s="2" t="s">
        <v>11</v>
      </c>
      <c r="N73" s="8" t="s">
        <v>12</v>
      </c>
      <c r="O73" s="9" t="s">
        <v>13</v>
      </c>
      <c r="P73" s="126" t="s">
        <v>14</v>
      </c>
      <c r="Q73" s="104" t="s">
        <v>141</v>
      </c>
    </row>
    <row r="74" spans="2:18" x14ac:dyDescent="0.3">
      <c r="B74" s="221" t="s">
        <v>195</v>
      </c>
      <c r="C74" s="319" t="s">
        <v>168</v>
      </c>
      <c r="D74" s="53" t="s">
        <v>17</v>
      </c>
      <c r="E74" s="83">
        <f>CEILING((((10040+40+115)*1.12))-150,50)</f>
        <v>11300</v>
      </c>
      <c r="F74" s="151">
        <v>130</v>
      </c>
      <c r="G74" s="152">
        <v>175</v>
      </c>
      <c r="H74" s="152">
        <v>275</v>
      </c>
      <c r="I74" s="152">
        <v>75</v>
      </c>
      <c r="J74" s="152">
        <v>50</v>
      </c>
      <c r="K74" s="147">
        <f t="shared" ref="K74:K75" si="9">SUM(E74:J74)</f>
        <v>12005</v>
      </c>
      <c r="L74" s="146">
        <v>200</v>
      </c>
      <c r="M74" s="147">
        <f>SUM(K74:L74)</f>
        <v>12205</v>
      </c>
      <c r="N74" s="148" t="s">
        <v>183</v>
      </c>
      <c r="O74" s="211" t="s">
        <v>56</v>
      </c>
      <c r="P74" s="53" t="s">
        <v>60</v>
      </c>
      <c r="Q74" s="328" t="s">
        <v>191</v>
      </c>
    </row>
    <row r="75" spans="2:18" ht="15" thickBot="1" x14ac:dyDescent="0.35">
      <c r="B75" s="322"/>
      <c r="C75" s="320"/>
      <c r="D75" s="91" t="s">
        <v>22</v>
      </c>
      <c r="E75" s="83">
        <f>CEILING((((10180+80+115)*1.12))-150,50)</f>
        <v>11500</v>
      </c>
      <c r="F75" s="177">
        <v>160</v>
      </c>
      <c r="G75" s="178">
        <v>175</v>
      </c>
      <c r="H75" s="178">
        <v>275</v>
      </c>
      <c r="I75" s="178">
        <v>150</v>
      </c>
      <c r="J75" s="178">
        <v>50</v>
      </c>
      <c r="K75" s="179">
        <f t="shared" si="9"/>
        <v>12310</v>
      </c>
      <c r="L75" s="180">
        <v>200</v>
      </c>
      <c r="M75" s="179">
        <f>SUM(K75:L75)</f>
        <v>12510</v>
      </c>
      <c r="N75" s="181" t="s">
        <v>183</v>
      </c>
      <c r="O75" s="211" t="s">
        <v>56</v>
      </c>
      <c r="P75" s="91" t="s">
        <v>60</v>
      </c>
      <c r="Q75" s="329"/>
    </row>
    <row r="76" spans="2:18" ht="15" thickBot="1" x14ac:dyDescent="0.35">
      <c r="B76" s="128"/>
      <c r="C76" s="128"/>
      <c r="D76" s="321" t="s">
        <v>196</v>
      </c>
      <c r="E76" s="321"/>
      <c r="F76" s="128"/>
      <c r="G76" s="128"/>
      <c r="H76" s="128"/>
      <c r="I76" s="128"/>
      <c r="J76" s="70"/>
      <c r="K76" s="128"/>
      <c r="L76" s="128"/>
      <c r="M76" s="70"/>
      <c r="N76" s="128"/>
      <c r="O76" s="128"/>
      <c r="P76" s="128"/>
      <c r="Q76" s="128"/>
      <c r="R76" s="128"/>
    </row>
    <row r="77" spans="2:18" ht="15.6" x14ac:dyDescent="0.3">
      <c r="B77" s="280" t="s">
        <v>32</v>
      </c>
      <c r="C77" s="281"/>
      <c r="D77" s="281"/>
      <c r="E77" s="281"/>
      <c r="F77" s="281"/>
      <c r="G77" s="281"/>
      <c r="H77" s="281"/>
      <c r="I77" s="281"/>
      <c r="J77" s="281"/>
      <c r="K77" s="281"/>
      <c r="L77" s="281"/>
      <c r="M77" s="281"/>
      <c r="N77" s="281"/>
      <c r="O77" s="281"/>
      <c r="P77" s="281"/>
      <c r="Q77" s="281"/>
      <c r="R77" s="282"/>
    </row>
    <row r="78" spans="2:18" x14ac:dyDescent="0.3">
      <c r="B78" s="283" t="s">
        <v>33</v>
      </c>
      <c r="C78" s="284"/>
      <c r="D78" s="284"/>
      <c r="E78" s="284"/>
      <c r="F78" s="284"/>
      <c r="G78" s="284"/>
      <c r="H78" s="284"/>
      <c r="I78" s="284"/>
      <c r="J78" s="284"/>
      <c r="K78" s="284"/>
      <c r="L78" s="284"/>
      <c r="M78" s="284"/>
      <c r="N78" s="284"/>
      <c r="O78" s="284"/>
      <c r="P78" s="284"/>
      <c r="Q78" s="284"/>
      <c r="R78" s="285"/>
    </row>
    <row r="79" spans="2:18" x14ac:dyDescent="0.3">
      <c r="B79" s="283"/>
      <c r="C79" s="284"/>
      <c r="D79" s="284"/>
      <c r="E79" s="284"/>
      <c r="F79" s="284"/>
      <c r="G79" s="284"/>
      <c r="H79" s="284"/>
      <c r="I79" s="284"/>
      <c r="J79" s="284"/>
      <c r="K79" s="284"/>
      <c r="L79" s="284"/>
      <c r="M79" s="284"/>
      <c r="N79" s="284"/>
      <c r="O79" s="284"/>
      <c r="P79" s="284"/>
      <c r="Q79" s="284"/>
      <c r="R79" s="285"/>
    </row>
    <row r="80" spans="2:18" x14ac:dyDescent="0.3">
      <c r="B80" s="283"/>
      <c r="C80" s="284"/>
      <c r="D80" s="284"/>
      <c r="E80" s="284"/>
      <c r="F80" s="284"/>
      <c r="G80" s="284"/>
      <c r="H80" s="284"/>
      <c r="I80" s="284"/>
      <c r="J80" s="284"/>
      <c r="K80" s="284"/>
      <c r="L80" s="284"/>
      <c r="M80" s="284"/>
      <c r="N80" s="284"/>
      <c r="O80" s="284"/>
      <c r="P80" s="284"/>
      <c r="Q80" s="284"/>
      <c r="R80" s="285"/>
    </row>
    <row r="81" spans="2:18" ht="15" thickBot="1" x14ac:dyDescent="0.35">
      <c r="B81" s="286"/>
      <c r="C81" s="287"/>
      <c r="D81" s="287"/>
      <c r="E81" s="287"/>
      <c r="F81" s="287"/>
      <c r="G81" s="287"/>
      <c r="H81" s="287"/>
      <c r="I81" s="287"/>
      <c r="J81" s="287"/>
      <c r="K81" s="287"/>
      <c r="L81" s="287"/>
      <c r="M81" s="287"/>
      <c r="N81" s="287"/>
      <c r="O81" s="287"/>
      <c r="P81" s="287"/>
      <c r="Q81" s="287"/>
      <c r="R81" s="288"/>
    </row>
    <row r="89" spans="2:18" ht="28.8" x14ac:dyDescent="0.3">
      <c r="B89" s="289" t="s">
        <v>197</v>
      </c>
      <c r="C89" s="289"/>
      <c r="D89" s="289"/>
      <c r="E89" s="289"/>
      <c r="F89" s="289"/>
      <c r="G89" s="289"/>
      <c r="H89" s="289"/>
      <c r="I89" s="289"/>
      <c r="J89" s="289"/>
      <c r="K89" s="289"/>
      <c r="L89" s="289"/>
      <c r="M89" s="289"/>
      <c r="N89" s="289"/>
      <c r="O89" s="289"/>
      <c r="P89" s="289"/>
      <c r="Q89" s="289"/>
      <c r="R89" s="289"/>
    </row>
    <row r="90" spans="2:18" ht="28.8" x14ac:dyDescent="0.3">
      <c r="B90" s="1" t="s">
        <v>1</v>
      </c>
      <c r="C90" s="305" t="s">
        <v>2</v>
      </c>
      <c r="D90" s="305"/>
      <c r="E90" s="129" t="s">
        <v>128</v>
      </c>
      <c r="F90" s="1" t="s">
        <v>4</v>
      </c>
      <c r="G90" s="9" t="s">
        <v>173</v>
      </c>
      <c r="H90" s="9" t="s">
        <v>115</v>
      </c>
      <c r="I90" s="2" t="s">
        <v>198</v>
      </c>
      <c r="J90" s="2" t="s">
        <v>9</v>
      </c>
      <c r="K90" s="2" t="s">
        <v>10</v>
      </c>
      <c r="L90" s="2" t="s">
        <v>11</v>
      </c>
      <c r="M90" s="8" t="s">
        <v>12</v>
      </c>
      <c r="N90" s="9" t="s">
        <v>13</v>
      </c>
      <c r="O90" s="9" t="s">
        <v>14</v>
      </c>
      <c r="P90" s="126" t="s">
        <v>120</v>
      </c>
      <c r="Q90" s="220" t="s">
        <v>36</v>
      </c>
      <c r="R90" s="220"/>
    </row>
    <row r="91" spans="2:18" x14ac:dyDescent="0.3">
      <c r="B91" s="222" t="s">
        <v>90</v>
      </c>
      <c r="C91" s="230" t="s">
        <v>168</v>
      </c>
      <c r="D91" s="53" t="s">
        <v>17</v>
      </c>
      <c r="E91" s="36">
        <v>1400</v>
      </c>
      <c r="F91" s="38">
        <v>175</v>
      </c>
      <c r="G91" s="54">
        <v>150</v>
      </c>
      <c r="H91" s="54">
        <v>175</v>
      </c>
      <c r="I91" s="54">
        <v>75</v>
      </c>
      <c r="J91" s="58">
        <f>SUM(E91:I91)</f>
        <v>1975</v>
      </c>
      <c r="K91" s="56">
        <v>200</v>
      </c>
      <c r="L91" s="58">
        <f>J91+K91</f>
        <v>2175</v>
      </c>
      <c r="M91" s="103" t="s">
        <v>154</v>
      </c>
      <c r="N91" s="215" t="s">
        <v>20</v>
      </c>
      <c r="O91" s="40" t="s">
        <v>45</v>
      </c>
      <c r="P91" s="53" t="s">
        <v>155</v>
      </c>
      <c r="Q91" s="238" t="s">
        <v>46</v>
      </c>
      <c r="R91" s="238"/>
    </row>
    <row r="92" spans="2:18" x14ac:dyDescent="0.3">
      <c r="B92" s="222"/>
      <c r="C92" s="230"/>
      <c r="D92" s="53" t="s">
        <v>22</v>
      </c>
      <c r="E92" s="36">
        <v>1800</v>
      </c>
      <c r="F92" s="38">
        <v>235</v>
      </c>
      <c r="G92" s="54">
        <v>150</v>
      </c>
      <c r="H92" s="54">
        <v>175</v>
      </c>
      <c r="I92" s="54">
        <v>75</v>
      </c>
      <c r="J92" s="58">
        <f>SUM(E92:I92)</f>
        <v>2435</v>
      </c>
      <c r="K92" s="56">
        <v>200</v>
      </c>
      <c r="L92" s="58">
        <f>J92+K92</f>
        <v>2635</v>
      </c>
      <c r="M92" s="103" t="s">
        <v>154</v>
      </c>
      <c r="N92" s="215" t="s">
        <v>20</v>
      </c>
      <c r="O92" s="40" t="s">
        <v>45</v>
      </c>
      <c r="P92" s="53" t="s">
        <v>155</v>
      </c>
      <c r="Q92" s="238"/>
      <c r="R92" s="238"/>
    </row>
    <row r="94" spans="2:18" ht="15.6" x14ac:dyDescent="0.3">
      <c r="B94" s="5" t="s">
        <v>32</v>
      </c>
      <c r="C94" s="6"/>
      <c r="D94" s="6"/>
      <c r="E94" s="6"/>
      <c r="F94" s="6"/>
      <c r="G94" s="6"/>
      <c r="H94" s="6"/>
      <c r="I94" s="6"/>
      <c r="J94" s="6"/>
      <c r="K94" s="6"/>
      <c r="L94" s="6"/>
      <c r="M94" s="6"/>
      <c r="N94" s="6"/>
      <c r="O94" s="6"/>
      <c r="P94" s="6"/>
      <c r="Q94" s="6"/>
      <c r="R94" s="6"/>
    </row>
    <row r="95" spans="2:18" x14ac:dyDescent="0.3">
      <c r="B95" s="241" t="s">
        <v>33</v>
      </c>
      <c r="C95" s="241"/>
      <c r="D95" s="241"/>
      <c r="E95" s="241"/>
      <c r="F95" s="241"/>
      <c r="G95" s="241"/>
      <c r="H95" s="241"/>
      <c r="I95" s="241"/>
      <c r="J95" s="241"/>
      <c r="K95" s="241"/>
      <c r="L95" s="241"/>
      <c r="M95" s="241"/>
      <c r="N95" s="241"/>
      <c r="O95" s="241"/>
      <c r="P95" s="241"/>
      <c r="Q95" s="241"/>
      <c r="R95" s="241"/>
    </row>
    <row r="96" spans="2:18" x14ac:dyDescent="0.3">
      <c r="B96" s="241"/>
      <c r="C96" s="241"/>
      <c r="D96" s="241"/>
      <c r="E96" s="241"/>
      <c r="F96" s="241"/>
      <c r="G96" s="241"/>
      <c r="H96" s="241"/>
      <c r="I96" s="241"/>
      <c r="J96" s="241"/>
      <c r="K96" s="241"/>
      <c r="L96" s="241"/>
      <c r="M96" s="241"/>
      <c r="N96" s="241"/>
      <c r="O96" s="241"/>
      <c r="P96" s="241"/>
      <c r="Q96" s="241"/>
      <c r="R96" s="241"/>
    </row>
    <row r="97" spans="2:18" x14ac:dyDescent="0.3">
      <c r="B97" s="241"/>
      <c r="C97" s="241"/>
      <c r="D97" s="241"/>
      <c r="E97" s="241"/>
      <c r="F97" s="241"/>
      <c r="G97" s="241"/>
      <c r="H97" s="241"/>
      <c r="I97" s="241"/>
      <c r="J97" s="241"/>
      <c r="K97" s="241"/>
      <c r="L97" s="241"/>
      <c r="M97" s="241"/>
      <c r="N97" s="241"/>
      <c r="O97" s="241"/>
      <c r="P97" s="241"/>
      <c r="Q97" s="241"/>
      <c r="R97" s="241"/>
    </row>
    <row r="98" spans="2:18" x14ac:dyDescent="0.3">
      <c r="B98" s="241"/>
      <c r="C98" s="241"/>
      <c r="D98" s="241"/>
      <c r="E98" s="241"/>
      <c r="F98" s="241"/>
      <c r="G98" s="241"/>
      <c r="H98" s="241"/>
      <c r="I98" s="241"/>
      <c r="J98" s="241"/>
      <c r="K98" s="241"/>
      <c r="L98" s="241"/>
      <c r="M98" s="241"/>
      <c r="N98" s="241"/>
      <c r="O98" s="241"/>
      <c r="P98" s="241"/>
      <c r="Q98" s="241"/>
      <c r="R98" s="241"/>
    </row>
    <row r="99" spans="2:18" x14ac:dyDescent="0.3">
      <c r="B99" s="124"/>
      <c r="C99" s="124"/>
      <c r="D99" s="124"/>
      <c r="E99" s="124"/>
      <c r="F99" s="124"/>
      <c r="G99" s="124"/>
      <c r="H99" s="124"/>
      <c r="I99" s="124"/>
      <c r="J99" s="124"/>
      <c r="K99" s="124"/>
      <c r="L99" s="124"/>
      <c r="M99" s="124"/>
      <c r="N99" s="124"/>
      <c r="O99" s="124"/>
      <c r="P99" s="124"/>
      <c r="Q99" s="124"/>
      <c r="R99" s="124"/>
    </row>
    <row r="100" spans="2:18" x14ac:dyDescent="0.3">
      <c r="C100" s="28"/>
    </row>
    <row r="101" spans="2:18" x14ac:dyDescent="0.3">
      <c r="C101" s="28"/>
    </row>
    <row r="102" spans="2:18" x14ac:dyDescent="0.3">
      <c r="C102" s="28"/>
    </row>
    <row r="103" spans="2:18" x14ac:dyDescent="0.3">
      <c r="C103" s="28"/>
    </row>
    <row r="104" spans="2:18" x14ac:dyDescent="0.3">
      <c r="C104" s="28"/>
    </row>
    <row r="105" spans="2:18" ht="28.8" x14ac:dyDescent="0.3">
      <c r="B105" s="258" t="s">
        <v>199</v>
      </c>
      <c r="C105" s="225"/>
      <c r="D105" s="225"/>
      <c r="E105" s="225"/>
      <c r="F105" s="225"/>
      <c r="G105" s="225"/>
      <c r="H105" s="225"/>
      <c r="I105" s="225"/>
      <c r="J105" s="225"/>
      <c r="K105" s="225"/>
      <c r="L105" s="225"/>
      <c r="M105" s="225"/>
      <c r="N105" s="225"/>
      <c r="O105" s="225"/>
      <c r="P105" s="225"/>
      <c r="Q105" s="225"/>
      <c r="R105" s="225"/>
    </row>
    <row r="106" spans="2:18" ht="28.8" x14ac:dyDescent="0.3">
      <c r="B106" s="98" t="s">
        <v>1</v>
      </c>
      <c r="C106" s="220" t="s">
        <v>2</v>
      </c>
      <c r="D106" s="220"/>
      <c r="E106" s="8" t="s">
        <v>3</v>
      </c>
      <c r="F106" s="122" t="s">
        <v>4</v>
      </c>
      <c r="G106" s="122" t="s">
        <v>173</v>
      </c>
      <c r="H106" s="122" t="s">
        <v>115</v>
      </c>
      <c r="I106" s="3" t="s">
        <v>174</v>
      </c>
      <c r="J106" s="3" t="s">
        <v>50</v>
      </c>
      <c r="K106" s="2" t="s">
        <v>9</v>
      </c>
      <c r="L106" s="2" t="s">
        <v>10</v>
      </c>
      <c r="M106" s="2" t="s">
        <v>11</v>
      </c>
      <c r="N106" s="8" t="s">
        <v>12</v>
      </c>
      <c r="O106" s="126" t="s">
        <v>13</v>
      </c>
      <c r="P106" s="126" t="s">
        <v>14</v>
      </c>
      <c r="Q106" s="126" t="s">
        <v>141</v>
      </c>
      <c r="R106" s="104" t="s">
        <v>142</v>
      </c>
    </row>
    <row r="107" spans="2:18" x14ac:dyDescent="0.3">
      <c r="B107" s="307" t="s">
        <v>99</v>
      </c>
      <c r="C107" s="230" t="s">
        <v>168</v>
      </c>
      <c r="D107" s="53" t="s">
        <v>17</v>
      </c>
      <c r="E107" s="54">
        <v>1900</v>
      </c>
      <c r="F107" s="54">
        <v>300</v>
      </c>
      <c r="G107" s="54">
        <v>175</v>
      </c>
      <c r="H107" s="54">
        <v>150</v>
      </c>
      <c r="I107" s="54">
        <v>75</v>
      </c>
      <c r="J107" s="54">
        <v>50</v>
      </c>
      <c r="K107" s="204">
        <f>SUM(E107:J107)</f>
        <v>2650</v>
      </c>
      <c r="L107" s="54">
        <v>200</v>
      </c>
      <c r="M107" s="204">
        <f>SUM(K107:L107)</f>
        <v>2850</v>
      </c>
      <c r="N107" s="59">
        <v>30</v>
      </c>
      <c r="O107" s="215" t="s">
        <v>20</v>
      </c>
      <c r="P107" s="53" t="s">
        <v>60</v>
      </c>
      <c r="Q107" s="94" t="s">
        <v>159</v>
      </c>
      <c r="R107" s="105" t="s">
        <v>160</v>
      </c>
    </row>
    <row r="108" spans="2:18" x14ac:dyDescent="0.3">
      <c r="B108" s="307"/>
      <c r="C108" s="230"/>
      <c r="D108" s="53" t="s">
        <v>22</v>
      </c>
      <c r="E108" s="54">
        <v>2100</v>
      </c>
      <c r="F108" s="54">
        <v>300</v>
      </c>
      <c r="G108" s="54">
        <v>175</v>
      </c>
      <c r="H108" s="54">
        <v>150</v>
      </c>
      <c r="I108" s="54">
        <v>150</v>
      </c>
      <c r="J108" s="54">
        <v>50</v>
      </c>
      <c r="K108" s="204">
        <f>SUM(E108:J108)</f>
        <v>2925</v>
      </c>
      <c r="L108" s="54">
        <v>200</v>
      </c>
      <c r="M108" s="204">
        <f>SUM(K108:L108)</f>
        <v>3125</v>
      </c>
      <c r="N108" s="59">
        <v>30</v>
      </c>
      <c r="O108" s="215" t="s">
        <v>20</v>
      </c>
      <c r="P108" s="53" t="s">
        <v>60</v>
      </c>
      <c r="Q108" s="94" t="s">
        <v>159</v>
      </c>
      <c r="R108" s="105" t="s">
        <v>160</v>
      </c>
    </row>
    <row r="109" spans="2:18" x14ac:dyDescent="0.3">
      <c r="B109" s="307" t="s">
        <v>163</v>
      </c>
      <c r="C109" s="230" t="s">
        <v>168</v>
      </c>
      <c r="D109" s="53" t="s">
        <v>17</v>
      </c>
      <c r="E109" s="54">
        <f>CEILING((((1300+130+10+72+20+100)*1.15)-100)-150,50)</f>
        <v>1650</v>
      </c>
      <c r="F109" s="54">
        <v>160</v>
      </c>
      <c r="G109" s="54">
        <v>175</v>
      </c>
      <c r="H109" s="54">
        <v>215</v>
      </c>
      <c r="I109" s="54">
        <v>75</v>
      </c>
      <c r="J109" s="54">
        <v>50</v>
      </c>
      <c r="K109" s="204">
        <f>SUM(E109:J109)</f>
        <v>2325</v>
      </c>
      <c r="L109" s="54">
        <v>200</v>
      </c>
      <c r="M109" s="204">
        <f>SUM(K109:L109)</f>
        <v>2525</v>
      </c>
      <c r="N109" s="59">
        <v>30</v>
      </c>
      <c r="O109" s="215" t="s">
        <v>20</v>
      </c>
      <c r="P109" s="53" t="s">
        <v>60</v>
      </c>
      <c r="Q109" s="94" t="s">
        <v>159</v>
      </c>
      <c r="R109" s="105" t="s">
        <v>160</v>
      </c>
    </row>
    <row r="110" spans="2:18" x14ac:dyDescent="0.3">
      <c r="B110" s="307"/>
      <c r="C110" s="230"/>
      <c r="D110" s="53" t="s">
        <v>22</v>
      </c>
      <c r="E110" s="54">
        <f>CEILING((((1400+260+10+72+20+150)*1.15)-150)-150,50)</f>
        <v>1900</v>
      </c>
      <c r="F110" s="54">
        <v>160</v>
      </c>
      <c r="G110" s="54">
        <v>175</v>
      </c>
      <c r="H110" s="54">
        <v>215</v>
      </c>
      <c r="I110" s="54">
        <v>150</v>
      </c>
      <c r="J110" s="54">
        <v>50</v>
      </c>
      <c r="K110" s="204">
        <f>SUM(E110:J110)</f>
        <v>2650</v>
      </c>
      <c r="L110" s="54">
        <v>200</v>
      </c>
      <c r="M110" s="204">
        <f>SUM(K110:L110)</f>
        <v>2850</v>
      </c>
      <c r="N110" s="59">
        <v>30</v>
      </c>
      <c r="O110" s="215" t="s">
        <v>20</v>
      </c>
      <c r="P110" s="53" t="s">
        <v>60</v>
      </c>
      <c r="Q110" s="94" t="s">
        <v>159</v>
      </c>
      <c r="R110" s="105" t="s">
        <v>160</v>
      </c>
    </row>
  </sheetData>
  <mergeCells count="63">
    <mergeCell ref="B15:B16"/>
    <mergeCell ref="C15:C16"/>
    <mergeCell ref="P33:Q33"/>
    <mergeCell ref="B32:Q32"/>
    <mergeCell ref="B18:P18"/>
    <mergeCell ref="B19:P22"/>
    <mergeCell ref="C33:D33"/>
    <mergeCell ref="D8:E8"/>
    <mergeCell ref="C10:D10"/>
    <mergeCell ref="B11:B12"/>
    <mergeCell ref="C11:C12"/>
    <mergeCell ref="B13:B14"/>
    <mergeCell ref="C13:C14"/>
    <mergeCell ref="B9:P9"/>
    <mergeCell ref="B54:B55"/>
    <mergeCell ref="C54:C55"/>
    <mergeCell ref="B56:Q56"/>
    <mergeCell ref="B34:B35"/>
    <mergeCell ref="C34:C35"/>
    <mergeCell ref="B40:P43"/>
    <mergeCell ref="B52:Q52"/>
    <mergeCell ref="C53:D53"/>
    <mergeCell ref="P34:Q36"/>
    <mergeCell ref="C57:D57"/>
    <mergeCell ref="B68:Q68"/>
    <mergeCell ref="C69:D69"/>
    <mergeCell ref="B70:B71"/>
    <mergeCell ref="C70:C71"/>
    <mergeCell ref="C58:C59"/>
    <mergeCell ref="B60:Q60"/>
    <mergeCell ref="C61:D61"/>
    <mergeCell ref="B62:B63"/>
    <mergeCell ref="C62:C63"/>
    <mergeCell ref="Q62:Q63"/>
    <mergeCell ref="B66:B67"/>
    <mergeCell ref="C66:C67"/>
    <mergeCell ref="B58:B59"/>
    <mergeCell ref="Q66:Q67"/>
    <mergeCell ref="Q70:Q71"/>
    <mergeCell ref="B64:Q64"/>
    <mergeCell ref="C65:D65"/>
    <mergeCell ref="Q58:Q59"/>
    <mergeCell ref="B95:R98"/>
    <mergeCell ref="Q90:R90"/>
    <mergeCell ref="B91:B92"/>
    <mergeCell ref="C91:C92"/>
    <mergeCell ref="Q91:R92"/>
    <mergeCell ref="Q74:Q75"/>
    <mergeCell ref="B72:Q72"/>
    <mergeCell ref="C73:D73"/>
    <mergeCell ref="C106:D106"/>
    <mergeCell ref="B109:B110"/>
    <mergeCell ref="C109:C110"/>
    <mergeCell ref="C74:C75"/>
    <mergeCell ref="B89:R89"/>
    <mergeCell ref="D76:E76"/>
    <mergeCell ref="B77:R77"/>
    <mergeCell ref="B78:R81"/>
    <mergeCell ref="B74:B75"/>
    <mergeCell ref="C90:D90"/>
    <mergeCell ref="B107:B108"/>
    <mergeCell ref="C107:C108"/>
    <mergeCell ref="B105:R105"/>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7:T42"/>
  <sheetViews>
    <sheetView topLeftCell="E1" zoomScale="90" zoomScaleNormal="90" zoomScaleSheetLayoutView="100" workbookViewId="0">
      <selection activeCell="R11" sqref="R11"/>
    </sheetView>
  </sheetViews>
  <sheetFormatPr defaultColWidth="9.109375" defaultRowHeight="14.4" x14ac:dyDescent="0.3"/>
  <cols>
    <col min="1" max="1" width="9.109375" style="19"/>
    <col min="2" max="2" width="11.88671875" style="19" bestFit="1" customWidth="1"/>
    <col min="3" max="3" width="10.6640625" style="19" bestFit="1" customWidth="1"/>
    <col min="4" max="4" width="5.6640625" style="19" bestFit="1" customWidth="1"/>
    <col min="5" max="5" width="14" style="19" customWidth="1"/>
    <col min="6" max="6" width="14.88671875" style="52" bestFit="1" customWidth="1"/>
    <col min="7" max="8" width="13" style="52" customWidth="1"/>
    <col min="9" max="9" width="15.33203125" style="52" customWidth="1"/>
    <col min="10" max="10" width="12.6640625" style="19" bestFit="1" customWidth="1"/>
    <col min="11" max="11" width="16.6640625" style="19" bestFit="1" customWidth="1"/>
    <col min="12" max="12" width="18.33203125" style="19" customWidth="1"/>
    <col min="13" max="13" width="17.88671875" style="19" customWidth="1"/>
    <col min="14" max="14" width="16.33203125" style="19" customWidth="1"/>
    <col min="15" max="15" width="25.33203125" style="19" bestFit="1" customWidth="1"/>
    <col min="16" max="16" width="11" style="19" bestFit="1" customWidth="1"/>
    <col min="17" max="17" width="14.44140625" style="19" customWidth="1"/>
    <col min="18" max="18" width="11" style="19" bestFit="1" customWidth="1"/>
    <col min="19" max="19" width="7.109375" style="19" bestFit="1" customWidth="1"/>
    <col min="20" max="20" width="15.5546875" style="19" customWidth="1"/>
    <col min="21" max="21" width="8.5546875" style="19" customWidth="1"/>
    <col min="22" max="23" width="9.109375" style="19"/>
    <col min="24" max="24" width="10.33203125" style="19" bestFit="1" customWidth="1"/>
    <col min="25" max="16384" width="9.109375" style="19"/>
  </cols>
  <sheetData>
    <row r="7" spans="2:19" ht="28.8" x14ac:dyDescent="0.3">
      <c r="B7" s="258" t="s">
        <v>200</v>
      </c>
      <c r="C7" s="225"/>
      <c r="D7" s="225"/>
      <c r="E7" s="225"/>
      <c r="F7" s="225"/>
      <c r="G7" s="225"/>
      <c r="H7" s="225"/>
      <c r="I7" s="225"/>
      <c r="J7" s="225"/>
      <c r="K7" s="225"/>
      <c r="L7" s="225"/>
      <c r="M7" s="225"/>
      <c r="N7" s="225"/>
      <c r="O7" s="225"/>
      <c r="P7" s="225"/>
      <c r="Q7" s="225"/>
    </row>
    <row r="8" spans="2:19" ht="57.6" x14ac:dyDescent="0.3">
      <c r="B8" s="98" t="s">
        <v>1</v>
      </c>
      <c r="C8" s="220" t="s">
        <v>2</v>
      </c>
      <c r="D8" s="220"/>
      <c r="E8" s="122" t="s">
        <v>3</v>
      </c>
      <c r="F8" s="3" t="s">
        <v>107</v>
      </c>
      <c r="G8" s="122" t="s">
        <v>108</v>
      </c>
      <c r="H8" s="122" t="s">
        <v>201</v>
      </c>
      <c r="I8" s="3" t="s">
        <v>110</v>
      </c>
      <c r="J8" s="3" t="s">
        <v>93</v>
      </c>
      <c r="K8" s="3" t="s">
        <v>109</v>
      </c>
      <c r="L8" s="3" t="s">
        <v>52</v>
      </c>
      <c r="M8" s="3" t="s">
        <v>10</v>
      </c>
      <c r="N8" s="3" t="s">
        <v>11</v>
      </c>
      <c r="O8" s="3" t="s">
        <v>12</v>
      </c>
      <c r="P8" s="122" t="s">
        <v>13</v>
      </c>
      <c r="Q8" s="122" t="s">
        <v>14</v>
      </c>
    </row>
    <row r="9" spans="2:19" x14ac:dyDescent="0.3">
      <c r="B9" s="137" t="s">
        <v>16</v>
      </c>
      <c r="C9" s="137" t="s">
        <v>112</v>
      </c>
      <c r="D9" s="118" t="s">
        <v>22</v>
      </c>
      <c r="E9" s="145">
        <v>1300</v>
      </c>
      <c r="F9" s="145" t="s">
        <v>180</v>
      </c>
      <c r="G9" s="96">
        <v>410</v>
      </c>
      <c r="H9" s="96">
        <v>54.2</v>
      </c>
      <c r="I9" s="96" t="s">
        <v>180</v>
      </c>
      <c r="J9" s="96">
        <v>40</v>
      </c>
      <c r="K9" s="190">
        <v>65</v>
      </c>
      <c r="L9" s="97">
        <f>SUM(E9:K9)</f>
        <v>1869.2</v>
      </c>
      <c r="M9" s="96">
        <v>200</v>
      </c>
      <c r="N9" s="97">
        <f>L9+M9</f>
        <v>2069.1999999999998</v>
      </c>
      <c r="O9" s="184" t="s">
        <v>113</v>
      </c>
      <c r="P9" s="211" t="s">
        <v>20</v>
      </c>
      <c r="Q9" s="95" t="s">
        <v>21</v>
      </c>
    </row>
    <row r="10" spans="2:19" ht="28.8" x14ac:dyDescent="0.3">
      <c r="B10" s="258" t="s">
        <v>200</v>
      </c>
      <c r="C10" s="225"/>
      <c r="D10" s="225"/>
      <c r="E10" s="225"/>
      <c r="F10" s="225"/>
      <c r="G10" s="225"/>
      <c r="H10" s="225"/>
      <c r="I10" s="225"/>
      <c r="J10" s="225"/>
      <c r="K10" s="225"/>
      <c r="L10" s="225"/>
      <c r="M10" s="225"/>
      <c r="N10" s="225"/>
      <c r="O10" s="225"/>
      <c r="P10" s="225"/>
      <c r="Q10" s="225"/>
    </row>
    <row r="11" spans="2:19" ht="57.6" x14ac:dyDescent="0.3">
      <c r="B11" s="98" t="s">
        <v>1</v>
      </c>
      <c r="C11" s="220" t="s">
        <v>2</v>
      </c>
      <c r="D11" s="220"/>
      <c r="E11" s="122" t="s">
        <v>3</v>
      </c>
      <c r="F11" s="3" t="s">
        <v>107</v>
      </c>
      <c r="G11" s="122" t="s">
        <v>108</v>
      </c>
      <c r="H11" s="122" t="s">
        <v>201</v>
      </c>
      <c r="I11" s="3" t="s">
        <v>110</v>
      </c>
      <c r="J11" s="3" t="s">
        <v>93</v>
      </c>
      <c r="K11" s="3" t="s">
        <v>109</v>
      </c>
      <c r="L11" s="3" t="s">
        <v>52</v>
      </c>
      <c r="M11" s="3" t="s">
        <v>10</v>
      </c>
      <c r="N11" s="3" t="s">
        <v>11</v>
      </c>
      <c r="O11" s="3" t="s">
        <v>12</v>
      </c>
      <c r="P11" s="122" t="s">
        <v>13</v>
      </c>
      <c r="Q11" s="122" t="s">
        <v>14</v>
      </c>
    </row>
    <row r="12" spans="2:19" x14ac:dyDescent="0.3">
      <c r="B12" s="223" t="s">
        <v>29</v>
      </c>
      <c r="C12" s="222" t="s">
        <v>112</v>
      </c>
      <c r="D12" s="118" t="s">
        <v>17</v>
      </c>
      <c r="E12" s="145">
        <v>450</v>
      </c>
      <c r="F12" s="145">
        <v>120</v>
      </c>
      <c r="G12" s="96">
        <v>340</v>
      </c>
      <c r="H12" s="96">
        <v>97.87</v>
      </c>
      <c r="I12" s="96">
        <v>160</v>
      </c>
      <c r="J12" s="96">
        <v>60</v>
      </c>
      <c r="K12" s="190">
        <v>62.7</v>
      </c>
      <c r="L12" s="97">
        <f>SUM(E12:K12)</f>
        <v>1290.57</v>
      </c>
      <c r="M12" s="96">
        <v>200</v>
      </c>
      <c r="N12" s="97">
        <f>L12+M12</f>
        <v>1490.57</v>
      </c>
      <c r="O12" s="184" t="s">
        <v>113</v>
      </c>
      <c r="P12" s="211" t="s">
        <v>20</v>
      </c>
      <c r="Q12" s="95" t="s">
        <v>67</v>
      </c>
    </row>
    <row r="13" spans="2:19" x14ac:dyDescent="0.3">
      <c r="B13" s="224"/>
      <c r="C13" s="222"/>
      <c r="D13" s="118" t="s">
        <v>22</v>
      </c>
      <c r="E13" s="145">
        <v>600</v>
      </c>
      <c r="F13" s="145">
        <v>240</v>
      </c>
      <c r="G13" s="96">
        <v>340</v>
      </c>
      <c r="H13" s="96">
        <v>97.87</v>
      </c>
      <c r="I13" s="96">
        <v>210</v>
      </c>
      <c r="J13" s="96">
        <v>60</v>
      </c>
      <c r="K13" s="190">
        <v>62.7</v>
      </c>
      <c r="L13" s="97">
        <f>SUM(E13:K13)</f>
        <v>1610.57</v>
      </c>
      <c r="M13" s="96">
        <v>200</v>
      </c>
      <c r="N13" s="97">
        <f>L13+M13</f>
        <v>1810.57</v>
      </c>
      <c r="O13" s="184" t="s">
        <v>113</v>
      </c>
      <c r="P13" s="211" t="s">
        <v>20</v>
      </c>
      <c r="Q13" s="95" t="s">
        <v>67</v>
      </c>
    </row>
    <row r="14" spans="2:19" ht="28.8" x14ac:dyDescent="0.3">
      <c r="B14" s="258" t="s">
        <v>202</v>
      </c>
      <c r="C14" s="225"/>
      <c r="D14" s="225"/>
      <c r="E14" s="225"/>
      <c r="F14" s="225"/>
      <c r="G14" s="225"/>
      <c r="H14" s="225"/>
      <c r="I14" s="225"/>
      <c r="J14" s="225"/>
      <c r="K14" s="225"/>
      <c r="L14" s="225"/>
      <c r="M14" s="225"/>
      <c r="N14" s="225"/>
      <c r="O14" s="225"/>
      <c r="P14" s="225"/>
      <c r="Q14" s="225"/>
      <c r="R14" s="225"/>
    </row>
    <row r="15" spans="2:19" ht="57.6" x14ac:dyDescent="0.3">
      <c r="B15" s="98" t="s">
        <v>1</v>
      </c>
      <c r="C15" s="220" t="s">
        <v>2</v>
      </c>
      <c r="D15" s="220"/>
      <c r="E15" s="122" t="s">
        <v>3</v>
      </c>
      <c r="F15" s="3" t="s">
        <v>107</v>
      </c>
      <c r="G15" s="122" t="s">
        <v>108</v>
      </c>
      <c r="H15" s="122" t="s">
        <v>201</v>
      </c>
      <c r="I15" s="3" t="s">
        <v>110</v>
      </c>
      <c r="J15" s="3" t="s">
        <v>93</v>
      </c>
      <c r="K15" s="3" t="s">
        <v>203</v>
      </c>
      <c r="L15" s="3" t="s">
        <v>204</v>
      </c>
      <c r="M15" s="3" t="s">
        <v>205</v>
      </c>
      <c r="N15" s="3" t="s">
        <v>52</v>
      </c>
      <c r="O15" s="3" t="s">
        <v>10</v>
      </c>
      <c r="P15" s="3" t="s">
        <v>11</v>
      </c>
      <c r="Q15" s="3" t="s">
        <v>12</v>
      </c>
      <c r="R15" s="122" t="s">
        <v>13</v>
      </c>
      <c r="S15" s="122" t="s">
        <v>14</v>
      </c>
    </row>
    <row r="16" spans="2:19" x14ac:dyDescent="0.3">
      <c r="B16" s="222" t="s">
        <v>29</v>
      </c>
      <c r="C16" s="222" t="s">
        <v>168</v>
      </c>
      <c r="D16" s="118" t="s">
        <v>17</v>
      </c>
      <c r="E16" s="120">
        <v>400</v>
      </c>
      <c r="F16" s="145">
        <v>120</v>
      </c>
      <c r="G16" s="96">
        <v>340</v>
      </c>
      <c r="H16" s="96">
        <v>97.87</v>
      </c>
      <c r="I16" s="96">
        <v>150</v>
      </c>
      <c r="J16" s="96">
        <v>50</v>
      </c>
      <c r="K16" s="96">
        <v>165</v>
      </c>
      <c r="L16" s="96">
        <v>175</v>
      </c>
      <c r="M16" s="190">
        <v>66</v>
      </c>
      <c r="N16" s="97">
        <f>SUM(E16:M16)</f>
        <v>1563.87</v>
      </c>
      <c r="O16" s="96">
        <v>200</v>
      </c>
      <c r="P16" s="97">
        <f>N16+O16</f>
        <v>1763.87</v>
      </c>
      <c r="Q16" s="184" t="s">
        <v>113</v>
      </c>
      <c r="R16" s="211" t="s">
        <v>20</v>
      </c>
      <c r="S16" s="95" t="s">
        <v>67</v>
      </c>
    </row>
    <row r="17" spans="2:19" x14ac:dyDescent="0.3">
      <c r="B17" s="222"/>
      <c r="C17" s="222"/>
      <c r="D17" s="118" t="s">
        <v>22</v>
      </c>
      <c r="E17" s="120">
        <v>550</v>
      </c>
      <c r="F17" s="145">
        <v>240</v>
      </c>
      <c r="G17" s="96">
        <v>340</v>
      </c>
      <c r="H17" s="96">
        <v>97.87</v>
      </c>
      <c r="I17" s="96">
        <v>200</v>
      </c>
      <c r="J17" s="96">
        <v>50</v>
      </c>
      <c r="K17" s="96">
        <v>165</v>
      </c>
      <c r="L17" s="96">
        <v>175</v>
      </c>
      <c r="M17" s="190">
        <v>66</v>
      </c>
      <c r="N17" s="97">
        <f>SUM(E17:M17)</f>
        <v>1883.87</v>
      </c>
      <c r="O17" s="96">
        <v>200</v>
      </c>
      <c r="P17" s="97">
        <f>N17+O17</f>
        <v>2083.87</v>
      </c>
      <c r="Q17" s="184" t="s">
        <v>113</v>
      </c>
      <c r="R17" s="211" t="s">
        <v>20</v>
      </c>
      <c r="S17" s="95" t="s">
        <v>67</v>
      </c>
    </row>
    <row r="18" spans="2:19" ht="28.8" x14ac:dyDescent="0.3">
      <c r="B18" s="351" t="s">
        <v>206</v>
      </c>
      <c r="C18" s="352"/>
      <c r="D18" s="352"/>
      <c r="E18" s="352"/>
      <c r="F18" s="352"/>
      <c r="G18" s="352"/>
      <c r="H18" s="352"/>
      <c r="I18" s="352"/>
      <c r="J18" s="352"/>
      <c r="K18" s="352"/>
      <c r="L18" s="352"/>
      <c r="M18" s="352"/>
      <c r="N18" s="352"/>
      <c r="O18" s="352"/>
      <c r="P18" s="352"/>
      <c r="Q18" s="352"/>
    </row>
    <row r="19" spans="2:19" ht="28.8" x14ac:dyDescent="0.3">
      <c r="B19" s="98" t="s">
        <v>1</v>
      </c>
      <c r="C19" s="220" t="s">
        <v>2</v>
      </c>
      <c r="D19" s="220"/>
      <c r="E19" s="122" t="s">
        <v>3</v>
      </c>
      <c r="F19" s="3" t="s">
        <v>107</v>
      </c>
      <c r="G19" s="122" t="s">
        <v>108</v>
      </c>
      <c r="H19" s="122" t="s">
        <v>201</v>
      </c>
      <c r="I19" s="3" t="s">
        <v>93</v>
      </c>
      <c r="J19" s="3" t="s">
        <v>52</v>
      </c>
      <c r="K19" s="3" t="s">
        <v>10</v>
      </c>
      <c r="L19" s="3" t="s">
        <v>11</v>
      </c>
      <c r="M19" s="3" t="s">
        <v>12</v>
      </c>
      <c r="N19" s="122" t="s">
        <v>13</v>
      </c>
      <c r="O19" s="122" t="s">
        <v>14</v>
      </c>
      <c r="P19" s="349" t="s">
        <v>141</v>
      </c>
      <c r="Q19" s="350"/>
    </row>
    <row r="20" spans="2:19" x14ac:dyDescent="0.3">
      <c r="B20" s="222" t="s">
        <v>29</v>
      </c>
      <c r="C20" s="222" t="s">
        <v>207</v>
      </c>
      <c r="D20" s="118" t="s">
        <v>17</v>
      </c>
      <c r="E20" s="120">
        <v>1000</v>
      </c>
      <c r="F20" s="96">
        <v>130</v>
      </c>
      <c r="G20" s="96">
        <v>355</v>
      </c>
      <c r="H20" s="96">
        <v>76.5</v>
      </c>
      <c r="I20" s="96">
        <v>50</v>
      </c>
      <c r="J20" s="97">
        <f>SUM(E20:I20)</f>
        <v>1611.5</v>
      </c>
      <c r="K20" s="96">
        <v>200</v>
      </c>
      <c r="L20" s="97">
        <f>J20+K20</f>
        <v>1811.5</v>
      </c>
      <c r="M20" s="184" t="s">
        <v>113</v>
      </c>
      <c r="N20" s="211" t="s">
        <v>20</v>
      </c>
      <c r="O20" s="95" t="s">
        <v>45</v>
      </c>
      <c r="P20" s="188" t="s">
        <v>208</v>
      </c>
      <c r="Q20" s="53"/>
    </row>
    <row r="21" spans="2:19" x14ac:dyDescent="0.3">
      <c r="B21" s="222"/>
      <c r="C21" s="222"/>
      <c r="D21" s="118" t="s">
        <v>22</v>
      </c>
      <c r="E21" s="120">
        <v>2000</v>
      </c>
      <c r="F21" s="96">
        <v>260</v>
      </c>
      <c r="G21" s="96">
        <v>355</v>
      </c>
      <c r="H21" s="96">
        <v>76.5</v>
      </c>
      <c r="I21" s="96">
        <v>50</v>
      </c>
      <c r="J21" s="97">
        <f>SUM(E21:I21)</f>
        <v>2741.5</v>
      </c>
      <c r="K21" s="96">
        <v>200</v>
      </c>
      <c r="L21" s="97">
        <f>J21+K21</f>
        <v>2941.5</v>
      </c>
      <c r="M21" s="184" t="s">
        <v>113</v>
      </c>
      <c r="N21" s="211" t="s">
        <v>20</v>
      </c>
      <c r="O21" s="95" t="s">
        <v>45</v>
      </c>
      <c r="P21" s="188" t="s">
        <v>208</v>
      </c>
      <c r="Q21" s="53"/>
    </row>
    <row r="22" spans="2:19" ht="28.95" customHeight="1" x14ac:dyDescent="0.3">
      <c r="B22" s="278" t="s">
        <v>209</v>
      </c>
      <c r="C22" s="232"/>
      <c r="D22" s="232"/>
      <c r="E22" s="232"/>
      <c r="F22" s="232"/>
      <c r="G22" s="232"/>
      <c r="H22" s="232"/>
      <c r="I22" s="232"/>
      <c r="J22" s="232"/>
      <c r="K22" s="232"/>
      <c r="L22" s="232"/>
      <c r="M22" s="232"/>
      <c r="N22" s="232"/>
      <c r="O22" s="232"/>
      <c r="P22" s="214"/>
    </row>
    <row r="23" spans="2:19" ht="28.8" x14ac:dyDescent="0.3">
      <c r="B23" s="98" t="s">
        <v>1</v>
      </c>
      <c r="C23" s="220" t="s">
        <v>2</v>
      </c>
      <c r="D23" s="220"/>
      <c r="E23" s="122" t="s">
        <v>3</v>
      </c>
      <c r="F23" s="122" t="s">
        <v>108</v>
      </c>
      <c r="G23" s="122" t="s">
        <v>201</v>
      </c>
      <c r="H23" s="3" t="s">
        <v>93</v>
      </c>
      <c r="I23" s="3" t="s">
        <v>52</v>
      </c>
      <c r="J23" s="3" t="s">
        <v>10</v>
      </c>
      <c r="K23" s="3" t="s">
        <v>11</v>
      </c>
      <c r="L23" s="3" t="s">
        <v>12</v>
      </c>
      <c r="M23" s="122" t="s">
        <v>13</v>
      </c>
      <c r="N23" s="122" t="s">
        <v>14</v>
      </c>
      <c r="O23" s="122" t="s">
        <v>141</v>
      </c>
      <c r="P23" s="353"/>
      <c r="Q23" s="354"/>
    </row>
    <row r="24" spans="2:19" x14ac:dyDescent="0.3">
      <c r="B24" s="222" t="s">
        <v>16</v>
      </c>
      <c r="C24" s="222" t="s">
        <v>210</v>
      </c>
      <c r="D24" s="118" t="s">
        <v>17</v>
      </c>
      <c r="E24" s="141">
        <f>CEILING((((725)*1.5)-355),100)</f>
        <v>800</v>
      </c>
      <c r="F24" s="96">
        <v>355</v>
      </c>
      <c r="G24" s="96">
        <v>76.5</v>
      </c>
      <c r="H24" s="96">
        <v>50</v>
      </c>
      <c r="I24" s="97">
        <f>SUM(E24:H24)</f>
        <v>1281.5</v>
      </c>
      <c r="J24" s="96">
        <v>200</v>
      </c>
      <c r="K24" s="97">
        <f>I24+J24</f>
        <v>1481.5</v>
      </c>
      <c r="L24" s="184" t="s">
        <v>211</v>
      </c>
      <c r="M24" s="211" t="s">
        <v>20</v>
      </c>
      <c r="N24" s="95" t="s">
        <v>45</v>
      </c>
      <c r="O24" s="213" t="s">
        <v>208</v>
      </c>
      <c r="P24" s="212"/>
    </row>
    <row r="25" spans="2:19" x14ac:dyDescent="0.3">
      <c r="B25" s="222"/>
      <c r="C25" s="222"/>
      <c r="D25" s="118" t="s">
        <v>22</v>
      </c>
      <c r="E25" s="141">
        <f>CEILING((((1200)*1.4)-289),50)</f>
        <v>1400</v>
      </c>
      <c r="F25" s="96">
        <v>355</v>
      </c>
      <c r="G25" s="96">
        <v>76.5</v>
      </c>
      <c r="H25" s="96">
        <v>50</v>
      </c>
      <c r="I25" s="97">
        <f>SUM(E25:H25)</f>
        <v>1881.5</v>
      </c>
      <c r="J25" s="96">
        <v>200</v>
      </c>
      <c r="K25" s="97">
        <f>I25+J25</f>
        <v>2081.5</v>
      </c>
      <c r="L25" s="184" t="s">
        <v>211</v>
      </c>
      <c r="M25" s="211" t="s">
        <v>20</v>
      </c>
      <c r="N25" s="95" t="s">
        <v>45</v>
      </c>
      <c r="O25" s="213" t="s">
        <v>208</v>
      </c>
      <c r="P25" s="212"/>
    </row>
    <row r="26" spans="2:19" ht="28.8" x14ac:dyDescent="0.3">
      <c r="B26" s="258" t="s">
        <v>212</v>
      </c>
      <c r="C26" s="225"/>
      <c r="D26" s="225"/>
      <c r="E26" s="225"/>
      <c r="F26" s="225"/>
      <c r="G26" s="225"/>
      <c r="H26" s="225"/>
      <c r="I26" s="225"/>
      <c r="J26" s="225"/>
      <c r="K26" s="225"/>
      <c r="L26" s="225"/>
      <c r="M26" s="225"/>
      <c r="N26" s="225"/>
      <c r="O26" s="225"/>
      <c r="P26" s="61"/>
    </row>
    <row r="27" spans="2:19" ht="28.8" x14ac:dyDescent="0.3">
      <c r="B27" s="98" t="s">
        <v>1</v>
      </c>
      <c r="C27" s="220" t="s">
        <v>2</v>
      </c>
      <c r="D27" s="220"/>
      <c r="E27" s="122" t="s">
        <v>3</v>
      </c>
      <c r="F27" s="122" t="s">
        <v>108</v>
      </c>
      <c r="G27" s="122" t="s">
        <v>201</v>
      </c>
      <c r="H27" s="3" t="s">
        <v>93</v>
      </c>
      <c r="I27" s="3" t="s">
        <v>52</v>
      </c>
      <c r="J27" s="3" t="s">
        <v>10</v>
      </c>
      <c r="K27" s="3" t="s">
        <v>11</v>
      </c>
      <c r="L27" s="3" t="s">
        <v>12</v>
      </c>
      <c r="M27" s="122" t="s">
        <v>13</v>
      </c>
      <c r="N27" s="122" t="s">
        <v>14</v>
      </c>
      <c r="O27" s="122" t="s">
        <v>141</v>
      </c>
      <c r="P27" s="61"/>
    </row>
    <row r="28" spans="2:19" ht="15" customHeight="1" x14ac:dyDescent="0.3">
      <c r="B28" s="222" t="s">
        <v>16</v>
      </c>
      <c r="C28" s="222" t="s">
        <v>116</v>
      </c>
      <c r="D28" s="118" t="s">
        <v>17</v>
      </c>
      <c r="E28" s="141">
        <f>CEILING((((490+5+85+15)*1.15)),75)</f>
        <v>750</v>
      </c>
      <c r="F28" s="96">
        <v>259</v>
      </c>
      <c r="G28" s="96">
        <f>60*1.125</f>
        <v>67.5</v>
      </c>
      <c r="H28" s="96">
        <v>60</v>
      </c>
      <c r="I28" s="97">
        <f>SUM(E28:H28)</f>
        <v>1136.5</v>
      </c>
      <c r="J28" s="96">
        <v>200</v>
      </c>
      <c r="K28" s="97">
        <f>I28+J28</f>
        <v>1336.5</v>
      </c>
      <c r="L28" s="184" t="s">
        <v>25</v>
      </c>
      <c r="M28" s="211" t="s">
        <v>20</v>
      </c>
      <c r="N28" s="95" t="s">
        <v>213</v>
      </c>
      <c r="O28" s="188" t="s">
        <v>208</v>
      </c>
      <c r="P28" s="61"/>
    </row>
    <row r="29" spans="2:19" x14ac:dyDescent="0.3">
      <c r="B29" s="222"/>
      <c r="C29" s="222"/>
      <c r="D29" s="118" t="s">
        <v>22</v>
      </c>
      <c r="E29" s="141">
        <f>CEILING((((500+5+175+15)*1.15)),75)</f>
        <v>825</v>
      </c>
      <c r="F29" s="96">
        <v>259</v>
      </c>
      <c r="G29" s="96">
        <f>60*1.125</f>
        <v>67.5</v>
      </c>
      <c r="H29" s="96">
        <v>60</v>
      </c>
      <c r="I29" s="97">
        <f>SUM(E29:H29)</f>
        <v>1211.5</v>
      </c>
      <c r="J29" s="96">
        <v>200</v>
      </c>
      <c r="K29" s="97">
        <f>I29+J29</f>
        <v>1411.5</v>
      </c>
      <c r="L29" s="184" t="s">
        <v>25</v>
      </c>
      <c r="M29" s="211" t="s">
        <v>20</v>
      </c>
      <c r="N29" s="95" t="s">
        <v>213</v>
      </c>
      <c r="O29" s="188" t="s">
        <v>208</v>
      </c>
      <c r="P29" s="61"/>
    </row>
    <row r="31" spans="2:19" ht="15.6" x14ac:dyDescent="0.3">
      <c r="B31" s="5" t="s">
        <v>32</v>
      </c>
      <c r="C31" s="6"/>
      <c r="D31" s="6"/>
      <c r="E31" s="6"/>
      <c r="F31" s="6"/>
      <c r="G31" s="6"/>
      <c r="H31" s="6"/>
      <c r="I31" s="6"/>
      <c r="J31" s="6"/>
      <c r="K31" s="6"/>
      <c r="L31" s="6"/>
      <c r="M31" s="6"/>
      <c r="N31" s="6"/>
      <c r="O31" s="6"/>
      <c r="P31" s="6"/>
      <c r="Q31" s="7"/>
    </row>
    <row r="32" spans="2:19" x14ac:dyDescent="0.3">
      <c r="B32" s="242" t="s">
        <v>33</v>
      </c>
      <c r="C32" s="243"/>
      <c r="D32" s="243"/>
      <c r="E32" s="243"/>
      <c r="F32" s="243"/>
      <c r="G32" s="243"/>
      <c r="H32" s="243"/>
      <c r="I32" s="243"/>
      <c r="J32" s="243"/>
      <c r="K32" s="243"/>
      <c r="L32" s="243"/>
      <c r="M32" s="243"/>
      <c r="N32" s="243"/>
      <c r="O32" s="243"/>
      <c r="P32" s="243"/>
      <c r="Q32" s="244"/>
    </row>
    <row r="33" spans="2:17" x14ac:dyDescent="0.3">
      <c r="B33" s="242"/>
      <c r="C33" s="243"/>
      <c r="D33" s="243"/>
      <c r="E33" s="243"/>
      <c r="F33" s="243"/>
      <c r="G33" s="243"/>
      <c r="H33" s="243"/>
      <c r="I33" s="243"/>
      <c r="J33" s="243"/>
      <c r="K33" s="243"/>
      <c r="L33" s="243"/>
      <c r="M33" s="243"/>
      <c r="N33" s="243"/>
      <c r="O33" s="243"/>
      <c r="P33" s="243"/>
      <c r="Q33" s="244"/>
    </row>
    <row r="34" spans="2:17" x14ac:dyDescent="0.3">
      <c r="B34" s="242"/>
      <c r="C34" s="243"/>
      <c r="D34" s="243"/>
      <c r="E34" s="243"/>
      <c r="F34" s="243"/>
      <c r="G34" s="243"/>
      <c r="H34" s="243"/>
      <c r="I34" s="243"/>
      <c r="J34" s="243"/>
      <c r="K34" s="243"/>
      <c r="L34" s="243"/>
      <c r="M34" s="243"/>
      <c r="N34" s="243"/>
      <c r="O34" s="243"/>
      <c r="P34" s="243"/>
      <c r="Q34" s="244"/>
    </row>
    <row r="35" spans="2:17" x14ac:dyDescent="0.3">
      <c r="B35" s="245"/>
      <c r="C35" s="246"/>
      <c r="D35" s="246"/>
      <c r="E35" s="246"/>
      <c r="F35" s="246"/>
      <c r="G35" s="246"/>
      <c r="H35" s="246"/>
      <c r="I35" s="246"/>
      <c r="J35" s="246"/>
      <c r="K35" s="246"/>
      <c r="L35" s="246"/>
      <c r="M35" s="246"/>
      <c r="N35" s="246"/>
      <c r="O35" s="246"/>
      <c r="P35" s="246"/>
      <c r="Q35" s="247"/>
    </row>
    <row r="36" spans="2:17" x14ac:dyDescent="0.3">
      <c r="B36" s="35"/>
      <c r="C36" s="35"/>
      <c r="D36" s="35"/>
      <c r="E36" s="35"/>
      <c r="F36" s="35"/>
      <c r="G36" s="35"/>
      <c r="H36" s="35"/>
      <c r="I36" s="35"/>
      <c r="J36" s="35"/>
      <c r="K36" s="35"/>
      <c r="L36" s="35"/>
      <c r="M36" s="35"/>
      <c r="N36" s="35"/>
      <c r="O36" s="35"/>
      <c r="P36" s="35"/>
      <c r="Q36" s="35"/>
    </row>
    <row r="37" spans="2:17" x14ac:dyDescent="0.3">
      <c r="B37" s="35"/>
      <c r="C37" s="35"/>
      <c r="D37" s="35"/>
      <c r="E37" s="35"/>
      <c r="F37" s="35"/>
      <c r="G37" s="35"/>
      <c r="H37" s="35"/>
      <c r="I37" s="35"/>
      <c r="J37" s="35"/>
      <c r="K37" s="35"/>
      <c r="L37" s="35"/>
      <c r="M37" s="35"/>
      <c r="N37" s="35"/>
      <c r="O37" s="35"/>
      <c r="P37" s="35"/>
      <c r="Q37" s="35"/>
    </row>
    <row r="38" spans="2:17" x14ac:dyDescent="0.3">
      <c r="B38" s="35"/>
      <c r="C38" s="35"/>
      <c r="D38" s="35"/>
      <c r="E38" s="35"/>
      <c r="F38" s="35"/>
      <c r="G38" s="35"/>
      <c r="H38" s="35"/>
      <c r="I38" s="35"/>
      <c r="J38" s="35"/>
      <c r="K38" s="35"/>
      <c r="L38" s="35"/>
      <c r="M38" s="35"/>
      <c r="N38" s="35"/>
      <c r="O38" s="35"/>
      <c r="P38" s="35"/>
      <c r="Q38" s="35"/>
    </row>
    <row r="39" spans="2:17" x14ac:dyDescent="0.3">
      <c r="B39" s="35"/>
      <c r="C39" s="35"/>
      <c r="D39" s="35"/>
      <c r="E39" s="35"/>
      <c r="F39" s="35"/>
      <c r="G39" s="35"/>
      <c r="H39" s="35"/>
      <c r="I39" s="35"/>
      <c r="J39" s="35"/>
      <c r="K39" s="35"/>
      <c r="L39" s="35"/>
      <c r="M39" s="35"/>
      <c r="N39" s="35"/>
      <c r="O39" s="35"/>
      <c r="P39" s="35"/>
      <c r="Q39" s="35"/>
    </row>
    <row r="40" spans="2:17" x14ac:dyDescent="0.3">
      <c r="B40" s="35"/>
      <c r="C40" s="35"/>
      <c r="D40" s="35"/>
      <c r="E40" s="35"/>
      <c r="F40" s="35"/>
      <c r="G40" s="35"/>
      <c r="H40" s="35"/>
      <c r="I40" s="35"/>
      <c r="J40" s="35"/>
      <c r="K40" s="35"/>
      <c r="L40" s="35"/>
      <c r="M40" s="35"/>
      <c r="N40" s="35"/>
      <c r="O40" s="35"/>
      <c r="P40" s="35"/>
      <c r="Q40" s="35"/>
    </row>
    <row r="41" spans="2:17" x14ac:dyDescent="0.3">
      <c r="B41" s="35"/>
      <c r="C41" s="35"/>
      <c r="D41" s="35"/>
      <c r="E41" s="35"/>
      <c r="F41" s="35"/>
      <c r="G41" s="35"/>
      <c r="H41" s="35"/>
      <c r="I41" s="35"/>
      <c r="J41" s="35"/>
      <c r="K41" s="35"/>
      <c r="L41" s="35"/>
      <c r="M41" s="35"/>
      <c r="N41" s="35"/>
      <c r="O41" s="35"/>
      <c r="P41" s="35"/>
      <c r="Q41" s="35"/>
    </row>
    <row r="42" spans="2:17" x14ac:dyDescent="0.3">
      <c r="B42" s="35"/>
      <c r="C42" s="35"/>
      <c r="D42" s="35"/>
      <c r="E42" s="35"/>
      <c r="F42" s="35"/>
      <c r="G42" s="35"/>
      <c r="H42" s="35"/>
      <c r="I42" s="35"/>
      <c r="J42" s="35"/>
      <c r="K42" s="35"/>
      <c r="L42" s="35"/>
      <c r="M42" s="35"/>
      <c r="N42" s="35"/>
      <c r="O42" s="35"/>
      <c r="P42" s="35"/>
      <c r="Q42" s="35"/>
    </row>
  </sheetData>
  <mergeCells count="25">
    <mergeCell ref="B32:Q35"/>
    <mergeCell ref="C23:D23"/>
    <mergeCell ref="B26:O26"/>
    <mergeCell ref="C27:D27"/>
    <mergeCell ref="B28:B29"/>
    <mergeCell ref="C28:C29"/>
    <mergeCell ref="B24:B25"/>
    <mergeCell ref="C24:C25"/>
    <mergeCell ref="P23:Q23"/>
    <mergeCell ref="P19:Q19"/>
    <mergeCell ref="B18:Q18"/>
    <mergeCell ref="B22:O22"/>
    <mergeCell ref="B7:Q7"/>
    <mergeCell ref="C8:D8"/>
    <mergeCell ref="B10:Q10"/>
    <mergeCell ref="C15:D15"/>
    <mergeCell ref="C19:D19"/>
    <mergeCell ref="B14:R14"/>
    <mergeCell ref="C11:D11"/>
    <mergeCell ref="C20:C21"/>
    <mergeCell ref="B16:B17"/>
    <mergeCell ref="C16:C17"/>
    <mergeCell ref="B20:B21"/>
    <mergeCell ref="B12:B13"/>
    <mergeCell ref="C12:C13"/>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8671875" defaultRowHeight="14.4" x14ac:dyDescent="0.3"/>
  <cols>
    <col min="1" max="1" width="8.88671875" style="19"/>
    <col min="2" max="2" width="18.6640625" style="19" bestFit="1" customWidth="1"/>
    <col min="3" max="3" width="11.6640625" style="19" bestFit="1" customWidth="1"/>
    <col min="4" max="4" width="4.33203125" style="19" bestFit="1" customWidth="1"/>
    <col min="5" max="5" width="10.44140625" style="19" bestFit="1" customWidth="1"/>
    <col min="6" max="6" width="8.5546875" style="19" bestFit="1" customWidth="1"/>
    <col min="7" max="8" width="7.6640625" style="19" bestFit="1" customWidth="1"/>
    <col min="9" max="9" width="11.5546875" style="19" customWidth="1"/>
    <col min="10" max="10" width="12.6640625" style="19" customWidth="1"/>
    <col min="11" max="11" width="8.5546875" style="19" bestFit="1" customWidth="1"/>
    <col min="12" max="12" width="10.44140625" style="19" bestFit="1" customWidth="1"/>
    <col min="13" max="13" width="6.88671875" style="19" bestFit="1" customWidth="1"/>
    <col min="14" max="14" width="9.33203125" style="19" bestFit="1" customWidth="1"/>
    <col min="15" max="15" width="6.5546875" style="19" customWidth="1"/>
    <col min="16" max="16" width="30.88671875" style="19" customWidth="1"/>
    <col min="17" max="16384" width="8.88671875" style="19"/>
  </cols>
  <sheetData>
    <row r="1" spans="2:16" x14ac:dyDescent="0.3">
      <c r="B1" s="35"/>
      <c r="C1" s="35"/>
      <c r="D1" s="35"/>
      <c r="E1" s="35"/>
      <c r="F1" s="35"/>
      <c r="G1" s="35"/>
      <c r="H1" s="35"/>
      <c r="I1" s="35"/>
      <c r="J1" s="35"/>
      <c r="K1" s="35"/>
      <c r="L1" s="35"/>
      <c r="M1" s="35"/>
      <c r="N1" s="35"/>
      <c r="O1" s="35"/>
    </row>
    <row r="2" spans="2:16" x14ac:dyDescent="0.3">
      <c r="B2" s="35"/>
      <c r="C2" s="35"/>
      <c r="D2" s="35"/>
      <c r="E2" s="35"/>
      <c r="F2" s="35"/>
      <c r="G2" s="35"/>
      <c r="H2" s="35"/>
      <c r="I2" s="35"/>
      <c r="J2" s="35"/>
      <c r="K2" s="35"/>
      <c r="L2" s="35"/>
      <c r="M2" s="35"/>
      <c r="N2" s="35"/>
      <c r="O2" s="35"/>
    </row>
    <row r="3" spans="2:16" x14ac:dyDescent="0.3">
      <c r="B3" s="35"/>
      <c r="C3" s="35"/>
      <c r="D3" s="35"/>
      <c r="E3" s="35"/>
      <c r="F3" s="35"/>
      <c r="G3" s="35"/>
      <c r="H3" s="35"/>
      <c r="I3" s="35"/>
      <c r="J3" s="35"/>
      <c r="K3" s="35"/>
      <c r="L3" s="35"/>
      <c r="M3" s="35"/>
      <c r="N3" s="35"/>
      <c r="O3" s="35"/>
    </row>
    <row r="4" spans="2:16" x14ac:dyDescent="0.3">
      <c r="B4" s="35"/>
      <c r="C4" s="35"/>
      <c r="D4" s="35"/>
      <c r="E4" s="35"/>
      <c r="F4" s="35"/>
      <c r="G4" s="35"/>
      <c r="H4" s="35"/>
      <c r="I4" s="35"/>
      <c r="J4" s="35"/>
      <c r="K4" s="35"/>
      <c r="L4" s="35"/>
      <c r="M4" s="35"/>
      <c r="N4" s="35"/>
      <c r="O4" s="35"/>
    </row>
    <row r="5" spans="2:16" x14ac:dyDescent="0.3">
      <c r="B5" s="35"/>
      <c r="C5" s="35"/>
      <c r="D5" s="35"/>
      <c r="E5" s="35"/>
      <c r="F5" s="35"/>
      <c r="G5" s="35"/>
      <c r="H5" s="35"/>
      <c r="I5" s="35"/>
      <c r="J5" s="35"/>
      <c r="K5" s="35"/>
      <c r="L5" s="35"/>
      <c r="M5" s="35"/>
      <c r="N5" s="35"/>
      <c r="O5" s="35"/>
    </row>
    <row r="6" spans="2:16" x14ac:dyDescent="0.3">
      <c r="B6" s="35"/>
      <c r="C6" s="35"/>
      <c r="D6" s="35"/>
      <c r="E6" s="35"/>
      <c r="F6" s="35"/>
      <c r="G6" s="35"/>
      <c r="H6" s="35"/>
      <c r="I6" s="35"/>
      <c r="J6" s="35"/>
      <c r="K6" s="35"/>
      <c r="L6" s="35"/>
      <c r="M6" s="35"/>
      <c r="N6" s="35"/>
      <c r="O6" s="35"/>
    </row>
    <row r="7" spans="2:16" x14ac:dyDescent="0.3">
      <c r="B7" s="35"/>
      <c r="C7" s="35"/>
      <c r="D7" s="35"/>
      <c r="E7" s="35"/>
      <c r="F7" s="35"/>
      <c r="G7" s="35"/>
      <c r="H7" s="35"/>
      <c r="I7" s="35"/>
      <c r="J7" s="35"/>
      <c r="K7" s="35"/>
      <c r="L7" s="35"/>
      <c r="M7" s="35"/>
      <c r="N7" s="35"/>
      <c r="O7" s="35"/>
    </row>
    <row r="8" spans="2:16" ht="15" thickBot="1" x14ac:dyDescent="0.35">
      <c r="B8" s="27"/>
      <c r="C8" s="27"/>
      <c r="D8" s="28"/>
      <c r="E8" s="29"/>
      <c r="F8" s="30"/>
      <c r="G8" s="30"/>
      <c r="H8" s="30"/>
      <c r="I8" s="30"/>
      <c r="J8" s="31"/>
      <c r="K8" s="32"/>
      <c r="L8" s="31"/>
      <c r="M8" s="33"/>
      <c r="N8" s="34"/>
      <c r="O8" s="28"/>
      <c r="P8" s="28"/>
    </row>
    <row r="9" spans="2:16" ht="28.8" x14ac:dyDescent="0.3">
      <c r="B9" s="75" t="s">
        <v>214</v>
      </c>
      <c r="C9" s="76"/>
      <c r="D9" s="76"/>
      <c r="E9" s="76"/>
      <c r="F9" s="76"/>
      <c r="G9" s="76"/>
      <c r="H9" s="76"/>
      <c r="I9" s="76"/>
      <c r="J9" s="76"/>
      <c r="K9" s="76"/>
      <c r="L9" s="76"/>
      <c r="M9" s="76"/>
      <c r="N9" s="76"/>
      <c r="O9" s="76"/>
      <c r="P9" s="77"/>
    </row>
    <row r="10" spans="2:16" ht="28.8" x14ac:dyDescent="0.3">
      <c r="B10" s="78" t="s">
        <v>1</v>
      </c>
      <c r="C10" s="367" t="s">
        <v>2</v>
      </c>
      <c r="D10" s="367"/>
      <c r="E10" s="15" t="s">
        <v>3</v>
      </c>
      <c r="F10" s="15" t="s">
        <v>4</v>
      </c>
      <c r="G10" s="15" t="s">
        <v>5</v>
      </c>
      <c r="H10" s="15" t="s">
        <v>6</v>
      </c>
      <c r="I10" s="16" t="s">
        <v>49</v>
      </c>
      <c r="J10" s="16" t="s">
        <v>52</v>
      </c>
      <c r="K10" s="16" t="s">
        <v>10</v>
      </c>
      <c r="L10" s="16" t="s">
        <v>11</v>
      </c>
      <c r="M10" s="16" t="s">
        <v>12</v>
      </c>
      <c r="N10" s="15" t="s">
        <v>13</v>
      </c>
      <c r="O10" s="15" t="s">
        <v>14</v>
      </c>
      <c r="P10" s="79" t="s">
        <v>36</v>
      </c>
    </row>
    <row r="11" spans="2:16" ht="28.8" x14ac:dyDescent="0.3">
      <c r="B11" s="363" t="s">
        <v>215</v>
      </c>
      <c r="C11" s="365" t="s">
        <v>29</v>
      </c>
      <c r="D11" s="45" t="s">
        <v>17</v>
      </c>
      <c r="E11" s="46">
        <v>11500</v>
      </c>
      <c r="F11" s="47">
        <v>335</v>
      </c>
      <c r="G11" s="47">
        <v>76.5</v>
      </c>
      <c r="H11" s="47">
        <v>14</v>
      </c>
      <c r="I11" s="47">
        <v>10</v>
      </c>
      <c r="J11" s="48">
        <f t="shared" ref="J11:J16" si="0">SUM(E11:I11)</f>
        <v>11935.5</v>
      </c>
      <c r="K11" s="24">
        <v>200</v>
      </c>
      <c r="L11" s="48">
        <f t="shared" ref="L11:L27" si="1">SUM(J11:K11)</f>
        <v>12135.5</v>
      </c>
      <c r="M11" s="49" t="s">
        <v>96</v>
      </c>
      <c r="N11" s="50">
        <v>45504</v>
      </c>
      <c r="O11" s="49" t="s">
        <v>105</v>
      </c>
      <c r="P11" s="80" t="s">
        <v>216</v>
      </c>
    </row>
    <row r="12" spans="2:16" ht="28.8" x14ac:dyDescent="0.3">
      <c r="B12" s="368"/>
      <c r="C12" s="365"/>
      <c r="D12" s="45" t="s">
        <v>22</v>
      </c>
      <c r="E12" s="46">
        <v>12000</v>
      </c>
      <c r="F12" s="47">
        <v>335</v>
      </c>
      <c r="G12" s="47">
        <v>76.5</v>
      </c>
      <c r="H12" s="47">
        <v>14</v>
      </c>
      <c r="I12" s="47">
        <v>10</v>
      </c>
      <c r="J12" s="48">
        <f t="shared" si="0"/>
        <v>12435.5</v>
      </c>
      <c r="K12" s="24">
        <v>200</v>
      </c>
      <c r="L12" s="48">
        <f t="shared" si="1"/>
        <v>12635.5</v>
      </c>
      <c r="M12" s="49" t="s">
        <v>96</v>
      </c>
      <c r="N12" s="50">
        <v>45504</v>
      </c>
      <c r="O12" s="49" t="s">
        <v>105</v>
      </c>
      <c r="P12" s="80" t="s">
        <v>216</v>
      </c>
    </row>
    <row r="13" spans="2:16" ht="28.8" x14ac:dyDescent="0.3">
      <c r="B13" s="368"/>
      <c r="C13" s="365" t="s">
        <v>16</v>
      </c>
      <c r="D13" s="45" t="s">
        <v>17</v>
      </c>
      <c r="E13" s="46">
        <v>11500</v>
      </c>
      <c r="F13" s="47">
        <v>335</v>
      </c>
      <c r="G13" s="47">
        <v>76.5</v>
      </c>
      <c r="H13" s="47">
        <v>14</v>
      </c>
      <c r="I13" s="47">
        <v>10</v>
      </c>
      <c r="J13" s="48">
        <f t="shared" si="0"/>
        <v>11935.5</v>
      </c>
      <c r="K13" s="24">
        <v>200</v>
      </c>
      <c r="L13" s="48">
        <f t="shared" si="1"/>
        <v>12135.5</v>
      </c>
      <c r="M13" s="49" t="s">
        <v>96</v>
      </c>
      <c r="N13" s="50">
        <v>45504</v>
      </c>
      <c r="O13" s="49" t="s">
        <v>105</v>
      </c>
      <c r="P13" s="80" t="s">
        <v>216</v>
      </c>
    </row>
    <row r="14" spans="2:16" ht="28.8" x14ac:dyDescent="0.3">
      <c r="B14" s="368"/>
      <c r="C14" s="365"/>
      <c r="D14" s="45" t="s">
        <v>22</v>
      </c>
      <c r="E14" s="46">
        <v>12000</v>
      </c>
      <c r="F14" s="47">
        <v>335</v>
      </c>
      <c r="G14" s="47">
        <v>76.5</v>
      </c>
      <c r="H14" s="47">
        <v>14</v>
      </c>
      <c r="I14" s="47">
        <v>10</v>
      </c>
      <c r="J14" s="48">
        <f t="shared" si="0"/>
        <v>12435.5</v>
      </c>
      <c r="K14" s="24">
        <v>200</v>
      </c>
      <c r="L14" s="48">
        <f t="shared" si="1"/>
        <v>12635.5</v>
      </c>
      <c r="M14" s="49" t="s">
        <v>96</v>
      </c>
      <c r="N14" s="50">
        <v>45504</v>
      </c>
      <c r="O14" s="49" t="s">
        <v>105</v>
      </c>
      <c r="P14" s="80" t="s">
        <v>216</v>
      </c>
    </row>
    <row r="15" spans="2:16" ht="28.8" x14ac:dyDescent="0.3">
      <c r="B15" s="368"/>
      <c r="C15" s="365" t="s">
        <v>29</v>
      </c>
      <c r="D15" s="45" t="s">
        <v>17</v>
      </c>
      <c r="E15" s="46">
        <v>11550</v>
      </c>
      <c r="F15" s="47">
        <v>300</v>
      </c>
      <c r="G15" s="47">
        <v>97.88</v>
      </c>
      <c r="H15" s="47" t="s">
        <v>117</v>
      </c>
      <c r="I15" s="51">
        <v>55</v>
      </c>
      <c r="J15" s="48">
        <f t="shared" si="0"/>
        <v>12002.88</v>
      </c>
      <c r="K15" s="24">
        <v>200</v>
      </c>
      <c r="L15" s="48">
        <f t="shared" si="1"/>
        <v>12202.88</v>
      </c>
      <c r="M15" s="49" t="s">
        <v>96</v>
      </c>
      <c r="N15" s="50">
        <v>45487</v>
      </c>
      <c r="O15" s="49" t="s">
        <v>67</v>
      </c>
      <c r="P15" s="81" t="s">
        <v>217</v>
      </c>
    </row>
    <row r="16" spans="2:16" ht="28.8" x14ac:dyDescent="0.3">
      <c r="B16" s="368"/>
      <c r="C16" s="365"/>
      <c r="D16" s="45" t="s">
        <v>22</v>
      </c>
      <c r="E16" s="46">
        <v>11750</v>
      </c>
      <c r="F16" s="47">
        <v>300</v>
      </c>
      <c r="G16" s="47">
        <v>97.88</v>
      </c>
      <c r="H16" s="47" t="s">
        <v>117</v>
      </c>
      <c r="I16" s="51">
        <v>55</v>
      </c>
      <c r="J16" s="48">
        <f t="shared" si="0"/>
        <v>12202.88</v>
      </c>
      <c r="K16" s="24">
        <v>200</v>
      </c>
      <c r="L16" s="48">
        <f>SUM(J16:K16)</f>
        <v>12402.88</v>
      </c>
      <c r="M16" s="49" t="s">
        <v>96</v>
      </c>
      <c r="N16" s="50">
        <v>45487</v>
      </c>
      <c r="O16" s="49" t="s">
        <v>67</v>
      </c>
      <c r="P16" s="81" t="s">
        <v>217</v>
      </c>
    </row>
    <row r="17" spans="2:16" ht="28.8" x14ac:dyDescent="0.3">
      <c r="B17" s="368"/>
      <c r="C17" s="365" t="s">
        <v>29</v>
      </c>
      <c r="D17" s="45" t="s">
        <v>17</v>
      </c>
      <c r="E17" s="46">
        <v>10900</v>
      </c>
      <c r="F17" s="47">
        <v>259</v>
      </c>
      <c r="G17" s="47">
        <v>61.88</v>
      </c>
      <c r="H17" s="47" t="s">
        <v>117</v>
      </c>
      <c r="I17" s="47" t="s">
        <v>117</v>
      </c>
      <c r="J17" s="48">
        <f>SUM(F17:I17)</f>
        <v>320.88</v>
      </c>
      <c r="K17" s="24">
        <v>200</v>
      </c>
      <c r="L17" s="48">
        <f t="shared" ref="L17:L18" si="2">SUM(J17:K17)</f>
        <v>520.88</v>
      </c>
      <c r="M17" s="49" t="s">
        <v>96</v>
      </c>
      <c r="N17" s="50">
        <v>45487</v>
      </c>
      <c r="O17" s="49" t="s">
        <v>60</v>
      </c>
      <c r="P17" s="80" t="s">
        <v>218</v>
      </c>
    </row>
    <row r="18" spans="2:16" ht="28.8" x14ac:dyDescent="0.3">
      <c r="B18" s="368"/>
      <c r="C18" s="365"/>
      <c r="D18" s="45" t="s">
        <v>22</v>
      </c>
      <c r="E18" s="46">
        <v>11900</v>
      </c>
      <c r="F18" s="47">
        <v>259</v>
      </c>
      <c r="G18" s="47">
        <v>61.88</v>
      </c>
      <c r="H18" s="47" t="s">
        <v>117</v>
      </c>
      <c r="I18" s="47" t="s">
        <v>117</v>
      </c>
      <c r="J18" s="48">
        <f>SUM(F18:I18)</f>
        <v>320.88</v>
      </c>
      <c r="K18" s="24">
        <v>200</v>
      </c>
      <c r="L18" s="48">
        <f t="shared" si="2"/>
        <v>520.88</v>
      </c>
      <c r="M18" s="49" t="s">
        <v>96</v>
      </c>
      <c r="N18" s="50">
        <v>45487</v>
      </c>
      <c r="O18" s="49" t="s">
        <v>60</v>
      </c>
      <c r="P18" s="80" t="s">
        <v>218</v>
      </c>
    </row>
    <row r="19" spans="2:16" ht="43.2" x14ac:dyDescent="0.3">
      <c r="B19" s="368"/>
      <c r="C19" s="365" t="s">
        <v>29</v>
      </c>
      <c r="D19" s="45" t="s">
        <v>17</v>
      </c>
      <c r="E19" s="46">
        <v>10900</v>
      </c>
      <c r="F19" s="47">
        <v>270</v>
      </c>
      <c r="G19" s="47">
        <v>70</v>
      </c>
      <c r="H19" s="51">
        <v>18</v>
      </c>
      <c r="I19" s="47" t="s">
        <v>117</v>
      </c>
      <c r="J19" s="48">
        <f>SUM(E19:I19)</f>
        <v>11258</v>
      </c>
      <c r="K19" s="24">
        <v>200</v>
      </c>
      <c r="L19" s="48">
        <f t="shared" si="1"/>
        <v>11458</v>
      </c>
      <c r="M19" s="49" t="s">
        <v>96</v>
      </c>
      <c r="N19" s="50">
        <v>45487</v>
      </c>
      <c r="O19" s="49" t="s">
        <v>40</v>
      </c>
      <c r="P19" s="80" t="s">
        <v>219</v>
      </c>
    </row>
    <row r="20" spans="2:16" ht="43.2" x14ac:dyDescent="0.3">
      <c r="B20" s="364"/>
      <c r="C20" s="365"/>
      <c r="D20" s="45" t="s">
        <v>22</v>
      </c>
      <c r="E20" s="46">
        <v>12350</v>
      </c>
      <c r="F20" s="47">
        <v>270</v>
      </c>
      <c r="G20" s="47">
        <v>70</v>
      </c>
      <c r="H20" s="51">
        <v>18</v>
      </c>
      <c r="I20" s="47" t="s">
        <v>117</v>
      </c>
      <c r="J20" s="48">
        <f>SUM(E20:I20)</f>
        <v>12708</v>
      </c>
      <c r="K20" s="24">
        <v>200</v>
      </c>
      <c r="L20" s="48">
        <f t="shared" si="1"/>
        <v>12908</v>
      </c>
      <c r="M20" s="49" t="s">
        <v>96</v>
      </c>
      <c r="N20" s="50">
        <v>45487</v>
      </c>
      <c r="O20" s="49" t="s">
        <v>40</v>
      </c>
      <c r="P20" s="80" t="s">
        <v>219</v>
      </c>
    </row>
    <row r="21" spans="2:16" ht="28.8" x14ac:dyDescent="0.3">
      <c r="B21" s="363" t="s">
        <v>220</v>
      </c>
      <c r="C21" s="365" t="s">
        <v>29</v>
      </c>
      <c r="D21" s="45" t="s">
        <v>17</v>
      </c>
      <c r="E21" s="46">
        <v>11650</v>
      </c>
      <c r="F21" s="47">
        <v>335</v>
      </c>
      <c r="G21" s="47">
        <v>76.5</v>
      </c>
      <c r="H21" s="47">
        <v>14</v>
      </c>
      <c r="I21" s="47">
        <v>10</v>
      </c>
      <c r="J21" s="48">
        <f>SUM(E21:I21)</f>
        <v>12085.5</v>
      </c>
      <c r="K21" s="24">
        <v>200</v>
      </c>
      <c r="L21" s="48">
        <f t="shared" si="1"/>
        <v>12285.5</v>
      </c>
      <c r="M21" s="49" t="s">
        <v>96</v>
      </c>
      <c r="N21" s="50">
        <v>45504</v>
      </c>
      <c r="O21" s="49" t="s">
        <v>105</v>
      </c>
      <c r="P21" s="80" t="s">
        <v>216</v>
      </c>
    </row>
    <row r="22" spans="2:16" ht="28.8" x14ac:dyDescent="0.3">
      <c r="B22" s="364"/>
      <c r="C22" s="365"/>
      <c r="D22" s="45" t="s">
        <v>22</v>
      </c>
      <c r="E22" s="46">
        <v>12300</v>
      </c>
      <c r="F22" s="47">
        <v>335</v>
      </c>
      <c r="G22" s="47">
        <v>76.5</v>
      </c>
      <c r="H22" s="47">
        <v>14</v>
      </c>
      <c r="I22" s="47">
        <v>10</v>
      </c>
      <c r="J22" s="48">
        <f>SUM(E22:I22)</f>
        <v>12735.5</v>
      </c>
      <c r="K22" s="24">
        <v>200</v>
      </c>
      <c r="L22" s="48">
        <f t="shared" si="1"/>
        <v>12935.5</v>
      </c>
      <c r="M22" s="49" t="s">
        <v>96</v>
      </c>
      <c r="N22" s="50">
        <v>45504</v>
      </c>
      <c r="O22" s="49" t="s">
        <v>105</v>
      </c>
      <c r="P22" s="80" t="s">
        <v>216</v>
      </c>
    </row>
    <row r="23" spans="2:16" ht="28.8" x14ac:dyDescent="0.3">
      <c r="B23" s="363" t="s">
        <v>221</v>
      </c>
      <c r="C23" s="365" t="s">
        <v>29</v>
      </c>
      <c r="D23" s="45" t="s">
        <v>17</v>
      </c>
      <c r="E23" s="46">
        <v>11800</v>
      </c>
      <c r="F23" s="47">
        <v>270</v>
      </c>
      <c r="G23" s="47">
        <v>70</v>
      </c>
      <c r="H23" s="47" t="s">
        <v>117</v>
      </c>
      <c r="I23" s="47" t="s">
        <v>117</v>
      </c>
      <c r="J23" s="48">
        <f t="shared" ref="J23:J25" si="3">SUM(E23:I23)</f>
        <v>12140</v>
      </c>
      <c r="K23" s="24">
        <v>200</v>
      </c>
      <c r="L23" s="48">
        <f t="shared" si="1"/>
        <v>12340</v>
      </c>
      <c r="M23" s="49" t="s">
        <v>96</v>
      </c>
      <c r="N23" s="50">
        <v>45504</v>
      </c>
      <c r="O23" s="49" t="s">
        <v>40</v>
      </c>
      <c r="P23" s="80" t="s">
        <v>222</v>
      </c>
    </row>
    <row r="24" spans="2:16" ht="28.8" x14ac:dyDescent="0.3">
      <c r="B24" s="364"/>
      <c r="C24" s="365"/>
      <c r="D24" s="45" t="s">
        <v>22</v>
      </c>
      <c r="E24" s="46">
        <v>13500</v>
      </c>
      <c r="F24" s="47">
        <v>270</v>
      </c>
      <c r="G24" s="47">
        <v>70</v>
      </c>
      <c r="H24" s="47" t="s">
        <v>117</v>
      </c>
      <c r="I24" s="47" t="s">
        <v>117</v>
      </c>
      <c r="J24" s="48">
        <f t="shared" si="3"/>
        <v>13840</v>
      </c>
      <c r="K24" s="24">
        <v>200</v>
      </c>
      <c r="L24" s="48">
        <f t="shared" si="1"/>
        <v>14040</v>
      </c>
      <c r="M24" s="74" t="s">
        <v>96</v>
      </c>
      <c r="N24" s="50">
        <v>45504</v>
      </c>
      <c r="O24" s="49" t="s">
        <v>40</v>
      </c>
      <c r="P24" s="80" t="s">
        <v>222</v>
      </c>
    </row>
    <row r="25" spans="2:16" ht="28.8" hidden="1" x14ac:dyDescent="0.3">
      <c r="B25" s="221" t="s">
        <v>223</v>
      </c>
      <c r="C25" s="222" t="s">
        <v>29</v>
      </c>
      <c r="D25" s="40" t="s">
        <v>17</v>
      </c>
      <c r="E25" s="83">
        <v>5300</v>
      </c>
      <c r="F25" s="56">
        <v>259</v>
      </c>
      <c r="G25" s="56">
        <v>60</v>
      </c>
      <c r="H25" s="56" t="s">
        <v>117</v>
      </c>
      <c r="I25" s="56" t="s">
        <v>117</v>
      </c>
      <c r="J25" s="58">
        <f t="shared" si="3"/>
        <v>5619</v>
      </c>
      <c r="K25" s="24">
        <v>200</v>
      </c>
      <c r="L25" s="58">
        <f t="shared" si="1"/>
        <v>5819</v>
      </c>
      <c r="M25" s="59" t="s">
        <v>224</v>
      </c>
      <c r="N25" s="60">
        <v>45493</v>
      </c>
      <c r="O25" s="53" t="s">
        <v>225</v>
      </c>
      <c r="P25" s="84" t="s">
        <v>226</v>
      </c>
    </row>
    <row r="26" spans="2:16" ht="28.8" hidden="1" x14ac:dyDescent="0.3">
      <c r="B26" s="221"/>
      <c r="C26" s="222"/>
      <c r="D26" s="40" t="s">
        <v>22</v>
      </c>
      <c r="E26" s="83">
        <v>7500</v>
      </c>
      <c r="F26" s="56">
        <v>259</v>
      </c>
      <c r="G26" s="56">
        <v>60</v>
      </c>
      <c r="H26" s="56" t="s">
        <v>117</v>
      </c>
      <c r="I26" s="56" t="s">
        <v>117</v>
      </c>
      <c r="J26" s="58">
        <f>SUM(E26:I26)</f>
        <v>7819</v>
      </c>
      <c r="K26" s="24">
        <v>200</v>
      </c>
      <c r="L26" s="58">
        <f t="shared" si="1"/>
        <v>8019</v>
      </c>
      <c r="M26" s="59" t="s">
        <v>224</v>
      </c>
      <c r="N26" s="60">
        <v>45493</v>
      </c>
      <c r="O26" s="53" t="s">
        <v>225</v>
      </c>
      <c r="P26" s="84" t="s">
        <v>226</v>
      </c>
    </row>
    <row r="27" spans="2:16" ht="15" thickBot="1" x14ac:dyDescent="0.35">
      <c r="B27" s="322"/>
      <c r="C27" s="366"/>
      <c r="D27" s="85" t="s">
        <v>17</v>
      </c>
      <c r="E27" s="86">
        <v>14200</v>
      </c>
      <c r="F27" s="87">
        <v>335</v>
      </c>
      <c r="G27" s="87">
        <v>76.5</v>
      </c>
      <c r="H27" s="87">
        <v>14</v>
      </c>
      <c r="I27" s="87">
        <v>10</v>
      </c>
      <c r="J27" s="88">
        <f>SUM(E27:I27)</f>
        <v>14635.5</v>
      </c>
      <c r="K27" s="82">
        <v>200</v>
      </c>
      <c r="L27" s="88">
        <f t="shared" si="1"/>
        <v>14835.5</v>
      </c>
      <c r="M27" s="89" t="s">
        <v>96</v>
      </c>
      <c r="N27" s="90">
        <v>45493</v>
      </c>
      <c r="O27" s="91" t="s">
        <v>105</v>
      </c>
      <c r="P27" s="92" t="s">
        <v>227</v>
      </c>
    </row>
    <row r="28" spans="2:16" ht="15" thickBot="1" x14ac:dyDescent="0.35">
      <c r="B28" s="27"/>
      <c r="C28" s="27"/>
      <c r="D28" s="28"/>
      <c r="E28" s="29"/>
      <c r="F28" s="30"/>
      <c r="G28" s="30"/>
      <c r="H28" s="30"/>
      <c r="I28" s="30"/>
      <c r="J28" s="31"/>
      <c r="K28" s="32"/>
      <c r="L28" s="31"/>
      <c r="M28" s="33"/>
      <c r="N28" s="34"/>
      <c r="O28" s="28"/>
    </row>
    <row r="29" spans="2:16" ht="15.6" x14ac:dyDescent="0.3">
      <c r="B29" s="355" t="s">
        <v>32</v>
      </c>
      <c r="C29" s="356"/>
      <c r="D29" s="356"/>
      <c r="E29" s="356"/>
      <c r="F29" s="356"/>
      <c r="G29" s="356"/>
      <c r="H29" s="356"/>
      <c r="I29" s="356"/>
      <c r="J29" s="356"/>
      <c r="K29" s="356"/>
      <c r="L29" s="356"/>
      <c r="M29" s="356"/>
      <c r="N29" s="356"/>
      <c r="O29" s="356"/>
      <c r="P29" s="357"/>
    </row>
    <row r="30" spans="2:16" x14ac:dyDescent="0.3">
      <c r="B30" s="358" t="s">
        <v>33</v>
      </c>
      <c r="C30" s="243"/>
      <c r="D30" s="243"/>
      <c r="E30" s="243"/>
      <c r="F30" s="243"/>
      <c r="G30" s="243"/>
      <c r="H30" s="243"/>
      <c r="I30" s="243"/>
      <c r="J30" s="243"/>
      <c r="K30" s="243"/>
      <c r="L30" s="243"/>
      <c r="M30" s="243"/>
      <c r="N30" s="243"/>
      <c r="O30" s="243"/>
      <c r="P30" s="359"/>
    </row>
    <row r="31" spans="2:16" x14ac:dyDescent="0.3">
      <c r="B31" s="358"/>
      <c r="C31" s="243"/>
      <c r="D31" s="243"/>
      <c r="E31" s="243"/>
      <c r="F31" s="243"/>
      <c r="G31" s="243"/>
      <c r="H31" s="243"/>
      <c r="I31" s="243"/>
      <c r="J31" s="243"/>
      <c r="K31" s="243"/>
      <c r="L31" s="243"/>
      <c r="M31" s="243"/>
      <c r="N31" s="243"/>
      <c r="O31" s="243"/>
      <c r="P31" s="359"/>
    </row>
    <row r="32" spans="2:16" x14ac:dyDescent="0.3">
      <c r="B32" s="358"/>
      <c r="C32" s="243"/>
      <c r="D32" s="243"/>
      <c r="E32" s="243"/>
      <c r="F32" s="243"/>
      <c r="G32" s="243"/>
      <c r="H32" s="243"/>
      <c r="I32" s="243"/>
      <c r="J32" s="243"/>
      <c r="K32" s="243"/>
      <c r="L32" s="243"/>
      <c r="M32" s="243"/>
      <c r="N32" s="243"/>
      <c r="O32" s="243"/>
      <c r="P32" s="359"/>
    </row>
    <row r="33" spans="2:16" ht="15" thickBot="1" x14ac:dyDescent="0.35">
      <c r="B33" s="360"/>
      <c r="C33" s="361"/>
      <c r="D33" s="361"/>
      <c r="E33" s="361"/>
      <c r="F33" s="361"/>
      <c r="G33" s="361"/>
      <c r="H33" s="361"/>
      <c r="I33" s="361"/>
      <c r="J33" s="361"/>
      <c r="K33" s="361"/>
      <c r="L33" s="361"/>
      <c r="M33" s="361"/>
      <c r="N33" s="361"/>
      <c r="O33" s="361"/>
      <c r="P33" s="362"/>
    </row>
  </sheetData>
  <mergeCells count="15">
    <mergeCell ref="C10:D10"/>
    <mergeCell ref="B11:B20"/>
    <mergeCell ref="C11:C12"/>
    <mergeCell ref="C13:C14"/>
    <mergeCell ref="C15:C16"/>
    <mergeCell ref="C17:C18"/>
    <mergeCell ref="C19:C20"/>
    <mergeCell ref="B29:P29"/>
    <mergeCell ref="B30:P33"/>
    <mergeCell ref="B21:B22"/>
    <mergeCell ref="C21:C22"/>
    <mergeCell ref="B23:B24"/>
    <mergeCell ref="C23:C24"/>
    <mergeCell ref="B25:B27"/>
    <mergeCell ref="C25:C27"/>
  </mergeCells>
  <pageMargins left="0.7" right="0.7" top="0.75" bottom="0.75" header="0.3" footer="0.3"/>
  <pageSetup scale="6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customXml/itemProps2.xml><?xml version="1.0" encoding="utf-8"?>
<ds:datastoreItem xmlns:ds="http://schemas.openxmlformats.org/officeDocument/2006/customXml" ds:itemID="{6AAFA3EB-B8AB-4135-B122-0B0233A6C07D}">
  <ds:schemaRefs>
    <ds:schemaRef ds:uri="http://schemas.microsoft.com/sharepoint/v3/contenttype/forms"/>
  </ds:schemaRefs>
</ds:datastoreItem>
</file>

<file path=customXml/itemProps3.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TT</vt:lpstr>
      <vt:lpstr>GUY</vt:lpstr>
      <vt:lpstr>SUR</vt:lpstr>
      <vt:lpstr>Trinidad Exports</vt:lpstr>
      <vt:lpstr>Print FE-TT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Stephanie Galera</cp:lastModifiedBy>
  <cp:revision/>
  <dcterms:created xsi:type="dcterms:W3CDTF">2024-04-15T12:06:48Z</dcterms:created>
  <dcterms:modified xsi:type="dcterms:W3CDTF">2026-08-17T16:15:02Z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