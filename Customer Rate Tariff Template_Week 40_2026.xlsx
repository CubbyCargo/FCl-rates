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1E2D8DBE-6190-4DD0-957C-C416357EF321}" xr6:coauthVersionLast="47" xr6:coauthVersionMax="47" xr10:uidLastSave="{00000000-0000-0000-0000-000000000000}"/>
  <bookViews>
    <workbookView xWindow="-108" yWindow="-108" windowWidth="23256" windowHeight="12456" activeTab="3" xr2:uid="{493693A0-0616-4273-B364-7C8DEB21885C}"/>
  </bookViews>
  <sheets>
    <sheet name="TT" sheetId="28" r:id="rId1"/>
    <sheet name="GUY" sheetId="25" r:id="rId2"/>
    <sheet name="SUR" sheetId="21" r:id="rId3"/>
    <sheet name="Trinidad Exports" sheetId="27" r:id="rId4"/>
    <sheet name="Print FE-TT" sheetId="16" state="hidden" r:id="rId5"/>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 i="25" l="1"/>
  <c r="E36" i="25"/>
  <c r="E74" i="28"/>
  <c r="E73" i="28"/>
  <c r="I39" i="25"/>
  <c r="K39" i="25"/>
  <c r="I40" i="25"/>
  <c r="K40" i="25"/>
  <c r="I40" i="28"/>
  <c r="K40" i="28"/>
  <c r="E41" i="28"/>
  <c r="E38" i="28"/>
  <c r="E37" i="28"/>
  <c r="E13" i="28"/>
  <c r="E12" i="28"/>
  <c r="E104" i="28"/>
  <c r="L104" i="28"/>
  <c r="N104" i="28"/>
  <c r="E103" i="28"/>
  <c r="L103" i="28"/>
  <c r="N103" i="28"/>
  <c r="E100" i="28"/>
  <c r="L100" i="28"/>
  <c r="N100" i="28"/>
  <c r="E99" i="28"/>
  <c r="L99" i="28"/>
  <c r="N99" i="28"/>
  <c r="E96" i="28"/>
  <c r="L96" i="28"/>
  <c r="N96" i="28"/>
  <c r="E95" i="28"/>
  <c r="L95" i="28"/>
  <c r="N95" i="28"/>
  <c r="E92" i="28"/>
  <c r="L92" i="28"/>
  <c r="N92" i="28"/>
  <c r="E91" i="28"/>
  <c r="L91" i="28"/>
  <c r="N91" i="28"/>
  <c r="E88" i="28"/>
  <c r="L88" i="28"/>
  <c r="N88" i="28"/>
  <c r="E87" i="28"/>
  <c r="L87" i="28"/>
  <c r="N87" i="28"/>
  <c r="E84" i="28"/>
  <c r="E83" i="28"/>
  <c r="L83" i="28"/>
  <c r="N83" i="28"/>
  <c r="E80" i="28"/>
  <c r="L80" i="28"/>
  <c r="N80" i="28"/>
  <c r="E79" i="28"/>
  <c r="L79" i="28"/>
  <c r="N79" i="28"/>
  <c r="E78" i="28"/>
  <c r="L78" i="28"/>
  <c r="N78" i="28"/>
  <c r="E77" i="28"/>
  <c r="L77" i="28"/>
  <c r="N77" i="28"/>
  <c r="E76" i="28"/>
  <c r="L76" i="28"/>
  <c r="N76" i="28"/>
  <c r="E75" i="28"/>
  <c r="L75" i="28"/>
  <c r="N75" i="28"/>
  <c r="E72" i="28"/>
  <c r="L72" i="28"/>
  <c r="N72" i="28"/>
  <c r="E71" i="28"/>
  <c r="L71" i="28"/>
  <c r="N71" i="28"/>
  <c r="E70" i="28"/>
  <c r="L70" i="28"/>
  <c r="N70" i="28"/>
  <c r="E69" i="28"/>
  <c r="L69" i="28"/>
  <c r="N69" i="28"/>
  <c r="E66" i="28"/>
  <c r="E65" i="28"/>
  <c r="E62" i="28"/>
  <c r="L62" i="28"/>
  <c r="N62" i="28"/>
  <c r="E61" i="28"/>
  <c r="L61" i="28"/>
  <c r="N61" i="28"/>
  <c r="E60" i="28"/>
  <c r="E59" i="28"/>
  <c r="L59" i="28"/>
  <c r="N59" i="28"/>
  <c r="E75" i="21"/>
  <c r="E74" i="21"/>
  <c r="E71" i="21"/>
  <c r="E70" i="21"/>
  <c r="E67" i="21"/>
  <c r="E66" i="21"/>
  <c r="E63" i="21"/>
  <c r="E62" i="21"/>
  <c r="E58" i="21"/>
  <c r="E59" i="21"/>
  <c r="E55" i="21"/>
  <c r="E54" i="21"/>
  <c r="E73" i="25"/>
  <c r="E72" i="25"/>
  <c r="J72" i="25"/>
  <c r="L72" i="25"/>
  <c r="E69" i="25"/>
  <c r="J69" i="25"/>
  <c r="L69" i="25"/>
  <c r="E68" i="25"/>
  <c r="J68" i="25"/>
  <c r="L68" i="25"/>
  <c r="E65" i="25"/>
  <c r="J65" i="25"/>
  <c r="L65" i="25"/>
  <c r="E64" i="25"/>
  <c r="J64" i="25"/>
  <c r="L64" i="25"/>
  <c r="E63" i="25"/>
  <c r="J63" i="25"/>
  <c r="L63" i="25"/>
  <c r="E62" i="25"/>
  <c r="J62" i="25"/>
  <c r="L62" i="25"/>
  <c r="E61" i="25"/>
  <c r="E60" i="25"/>
  <c r="J60" i="25"/>
  <c r="L60" i="25"/>
  <c r="E59" i="25"/>
  <c r="J59" i="25"/>
  <c r="L59" i="25"/>
  <c r="E58" i="25"/>
  <c r="J58" i="25"/>
  <c r="L58" i="25"/>
  <c r="E68" i="28"/>
  <c r="L68" i="28"/>
  <c r="N68" i="28"/>
  <c r="E67" i="28"/>
  <c r="L67" i="28"/>
  <c r="N67" i="28"/>
  <c r="E64" i="28"/>
  <c r="L64" i="28"/>
  <c r="N64" i="28"/>
  <c r="E63" i="28"/>
  <c r="L63" i="28"/>
  <c r="N63" i="28"/>
  <c r="L60" i="28"/>
  <c r="N60" i="28"/>
  <c r="J73" i="25"/>
  <c r="L73" i="25"/>
  <c r="J61" i="25"/>
  <c r="L61" i="25"/>
  <c r="L66" i="28"/>
  <c r="N66" i="28"/>
  <c r="L65" i="28"/>
  <c r="N65" i="28"/>
  <c r="I39" i="28"/>
  <c r="K39" i="28"/>
  <c r="K54" i="21"/>
  <c r="M54" i="21"/>
  <c r="I36" i="25"/>
  <c r="K36" i="25"/>
  <c r="I41" i="28"/>
  <c r="K41" i="28"/>
  <c r="E139" i="28"/>
  <c r="K139" i="28"/>
  <c r="M139" i="28"/>
  <c r="L9" i="27"/>
  <c r="N9" i="27"/>
  <c r="E16" i="21"/>
  <c r="E15" i="21"/>
  <c r="E14" i="21"/>
  <c r="E13" i="21"/>
  <c r="E11" i="21"/>
  <c r="E12" i="21"/>
  <c r="E18" i="25"/>
  <c r="K18" i="25"/>
  <c r="M18" i="25"/>
  <c r="E17" i="25"/>
  <c r="K17" i="25"/>
  <c r="M17" i="25"/>
  <c r="E16" i="25"/>
  <c r="K16" i="25"/>
  <c r="M16" i="25"/>
  <c r="E15" i="25"/>
  <c r="E12" i="25"/>
  <c r="E14" i="25"/>
  <c r="E13" i="25"/>
  <c r="E11" i="25"/>
  <c r="E25" i="27"/>
  <c r="E24" i="27"/>
  <c r="K189" i="28"/>
  <c r="M189" i="28"/>
  <c r="K190" i="28"/>
  <c r="M190" i="28"/>
  <c r="J177" i="28"/>
  <c r="L177" i="28"/>
  <c r="J176" i="28"/>
  <c r="L176" i="28"/>
  <c r="K164" i="28"/>
  <c r="M164" i="28"/>
  <c r="K163" i="28"/>
  <c r="M163" i="28"/>
  <c r="I38" i="25"/>
  <c r="K38" i="25"/>
  <c r="I37" i="25"/>
  <c r="K37" i="25"/>
  <c r="K108" i="21"/>
  <c r="M108" i="21"/>
  <c r="K107" i="21"/>
  <c r="M107" i="21"/>
  <c r="J125" i="25"/>
  <c r="L125" i="25"/>
  <c r="J124" i="25"/>
  <c r="L124" i="25"/>
  <c r="K145" i="28"/>
  <c r="M145" i="28"/>
  <c r="K144" i="28"/>
  <c r="M144" i="28"/>
  <c r="I38" i="28"/>
  <c r="K38" i="28"/>
  <c r="I37" i="28"/>
  <c r="K37" i="28"/>
  <c r="K75" i="21"/>
  <c r="M75" i="21"/>
  <c r="K74" i="21"/>
  <c r="M74" i="21"/>
  <c r="K71" i="21"/>
  <c r="M71" i="21"/>
  <c r="K70" i="21"/>
  <c r="M70" i="21"/>
  <c r="K67" i="21"/>
  <c r="M67" i="21"/>
  <c r="K66" i="21"/>
  <c r="M66" i="21"/>
  <c r="L73" i="28"/>
  <c r="N73" i="28"/>
  <c r="K15" i="21"/>
  <c r="M15" i="21"/>
  <c r="E21" i="28"/>
  <c r="K21" i="28"/>
  <c r="M21" i="28"/>
  <c r="E20" i="28"/>
  <c r="K20" i="28"/>
  <c r="M20" i="28"/>
  <c r="E19" i="28"/>
  <c r="K19" i="28"/>
  <c r="M19" i="28"/>
  <c r="E18" i="28"/>
  <c r="K18" i="28"/>
  <c r="M18" i="28"/>
  <c r="E17" i="28"/>
  <c r="K17" i="28"/>
  <c r="M17" i="28"/>
  <c r="E16" i="28"/>
  <c r="K16" i="28"/>
  <c r="M16" i="28"/>
  <c r="E15" i="28"/>
  <c r="K15" i="28"/>
  <c r="M15" i="28"/>
  <c r="E14" i="28"/>
  <c r="K14" i="28"/>
  <c r="M14" i="28"/>
  <c r="K14" i="25"/>
  <c r="M14" i="25"/>
  <c r="K12" i="25"/>
  <c r="M12" i="25"/>
  <c r="E110" i="21"/>
  <c r="K110" i="21"/>
  <c r="E109" i="21"/>
  <c r="K109" i="21"/>
  <c r="M109" i="21"/>
  <c r="M110" i="21"/>
  <c r="K147" i="28"/>
  <c r="M147" i="28"/>
  <c r="E127" i="25"/>
  <c r="J127" i="25"/>
  <c r="L127" i="25"/>
  <c r="E126" i="25"/>
  <c r="J126" i="25"/>
  <c r="L126" i="25"/>
  <c r="J21" i="27"/>
  <c r="L21" i="27"/>
  <c r="J20" i="27"/>
  <c r="L20" i="27"/>
  <c r="E138" i="28"/>
  <c r="K138" i="28"/>
  <c r="M138" i="28"/>
  <c r="K146" i="28"/>
  <c r="M146" i="28"/>
  <c r="K137" i="28"/>
  <c r="M137" i="28"/>
  <c r="I121" i="28"/>
  <c r="K121" i="28"/>
  <c r="I122" i="28"/>
  <c r="K122" i="28"/>
  <c r="L74" i="28"/>
  <c r="N74" i="28"/>
  <c r="L84" i="28"/>
  <c r="N84" i="28"/>
  <c r="K10" i="28"/>
  <c r="M10" i="28"/>
  <c r="K11" i="28"/>
  <c r="M11" i="28"/>
  <c r="K12" i="28"/>
  <c r="M12" i="28"/>
  <c r="K13" i="28"/>
  <c r="M13" i="28"/>
  <c r="L13" i="27"/>
  <c r="L12" i="27"/>
  <c r="G29" i="27"/>
  <c r="G28" i="27"/>
  <c r="E29" i="27"/>
  <c r="E28" i="27"/>
  <c r="I29" i="27"/>
  <c r="K29" i="27"/>
  <c r="I28" i="27"/>
  <c r="K28" i="27"/>
  <c r="I25" i="27"/>
  <c r="K25" i="27"/>
  <c r="I24" i="27"/>
  <c r="K24" i="27"/>
  <c r="N16" i="27"/>
  <c r="N17" i="27"/>
  <c r="P17" i="27"/>
  <c r="P16" i="27"/>
  <c r="N13" i="27"/>
  <c r="N12" i="27"/>
  <c r="K55" i="21"/>
  <c r="M55" i="21"/>
  <c r="K63" i="21"/>
  <c r="M63" i="21"/>
  <c r="K62" i="21"/>
  <c r="M62" i="21"/>
  <c r="K59" i="21"/>
  <c r="M59" i="21"/>
  <c r="K58" i="21"/>
  <c r="M58" i="21"/>
  <c r="K11" i="21"/>
  <c r="M11" i="21"/>
  <c r="J112" i="25"/>
  <c r="L112" i="25"/>
  <c r="J111" i="25"/>
  <c r="L111" i="25"/>
  <c r="J92" i="25"/>
  <c r="L92" i="25"/>
  <c r="J91" i="25"/>
  <c r="L91" i="25"/>
  <c r="VGN68" i="25"/>
  <c r="VGP68" i="25"/>
  <c r="VFX68" i="25"/>
  <c r="VFZ68" i="25"/>
  <c r="VFH68" i="25"/>
  <c r="VFJ68" i="25"/>
  <c r="VER68" i="25"/>
  <c r="VET68" i="25"/>
  <c r="VEB68" i="25"/>
  <c r="VED68" i="25"/>
  <c r="VDL68" i="25"/>
  <c r="VDN68" i="25"/>
  <c r="VCV68" i="25"/>
  <c r="VCX68" i="25"/>
  <c r="VCF68" i="25"/>
  <c r="VCH68" i="25"/>
  <c r="VBP68" i="25"/>
  <c r="VBR68" i="25"/>
  <c r="VAZ68" i="25"/>
  <c r="VBB68" i="25"/>
  <c r="VAJ68" i="25"/>
  <c r="VAL68" i="25"/>
  <c r="UZT68" i="25"/>
  <c r="UZV68" i="25"/>
  <c r="UZD68" i="25"/>
  <c r="UZF68" i="25"/>
  <c r="UYN68" i="25"/>
  <c r="UYP68" i="25"/>
  <c r="UXX68" i="25"/>
  <c r="UXZ68" i="25"/>
  <c r="UXH68" i="25"/>
  <c r="UXJ68" i="25"/>
  <c r="UWR68" i="25"/>
  <c r="UWT68" i="25"/>
  <c r="UWB68" i="25"/>
  <c r="UWD68" i="25"/>
  <c r="UVL68" i="25"/>
  <c r="UVN68" i="25"/>
  <c r="UUV68" i="25"/>
  <c r="UUX68" i="25"/>
  <c r="UUF68" i="25"/>
  <c r="UUH68" i="25"/>
  <c r="UTP68" i="25"/>
  <c r="UTR68" i="25"/>
  <c r="USZ68" i="25"/>
  <c r="UTB68" i="25"/>
  <c r="USJ68" i="25"/>
  <c r="USL68" i="25"/>
  <c r="URT68" i="25"/>
  <c r="URV68" i="25"/>
  <c r="URD68" i="25"/>
  <c r="URF68" i="25"/>
  <c r="UQN68" i="25"/>
  <c r="UQP68" i="25"/>
  <c r="UPX68" i="25"/>
  <c r="UPZ68" i="25"/>
  <c r="UPH68" i="25"/>
  <c r="UPJ68" i="25"/>
  <c r="UOR68" i="25"/>
  <c r="UOT68" i="25"/>
  <c r="UOB68" i="25"/>
  <c r="UOD68" i="25"/>
  <c r="UNL68" i="25"/>
  <c r="UNN68" i="25"/>
  <c r="UMV68" i="25"/>
  <c r="UMX68" i="25"/>
  <c r="UMF68" i="25"/>
  <c r="UMH68" i="25"/>
  <c r="ULP68" i="25"/>
  <c r="ULR68" i="25"/>
  <c r="UKZ68" i="25"/>
  <c r="ULB68" i="25"/>
  <c r="UKJ68" i="25"/>
  <c r="UKL68" i="25"/>
  <c r="UJT68" i="25"/>
  <c r="UJV68" i="25"/>
  <c r="UJD68" i="25"/>
  <c r="UJF68" i="25"/>
  <c r="UIN68" i="25"/>
  <c r="UIP68" i="25"/>
  <c r="UHX68" i="25"/>
  <c r="UHZ68" i="25"/>
  <c r="UHH68" i="25"/>
  <c r="UHJ68" i="25"/>
  <c r="UGR68" i="25"/>
  <c r="UGT68" i="25"/>
  <c r="UGB68" i="25"/>
  <c r="UGD68" i="25"/>
  <c r="UFL68" i="25"/>
  <c r="UFN68" i="25"/>
  <c r="UEV68" i="25"/>
  <c r="UEX68" i="25"/>
  <c r="UEF68" i="25"/>
  <c r="UEH68" i="25"/>
  <c r="UDP68" i="25"/>
  <c r="UDR68" i="25"/>
  <c r="UCZ68" i="25"/>
  <c r="UDB68" i="25"/>
  <c r="UCJ68" i="25"/>
  <c r="UCL68" i="25"/>
  <c r="UBT68" i="25"/>
  <c r="UBV68" i="25"/>
  <c r="UBD68" i="25"/>
  <c r="UBF68" i="25"/>
  <c r="UAN68" i="25"/>
  <c r="UAP68" i="25"/>
  <c r="TZX68" i="25"/>
  <c r="TZZ68" i="25"/>
  <c r="TZH68" i="25"/>
  <c r="TZJ68" i="25"/>
  <c r="TYR68" i="25"/>
  <c r="TYT68" i="25"/>
  <c r="TYB68" i="25"/>
  <c r="TYD68" i="25"/>
  <c r="TXL68" i="25"/>
  <c r="TXN68" i="25"/>
  <c r="TWV68" i="25"/>
  <c r="TWX68" i="25"/>
  <c r="TWF68" i="25"/>
  <c r="TWH68" i="25"/>
  <c r="TVP68" i="25"/>
  <c r="TVR68" i="25"/>
  <c r="TUZ68" i="25"/>
  <c r="TVB68" i="25"/>
  <c r="TUJ68" i="25"/>
  <c r="TUL68" i="25"/>
  <c r="TTT68" i="25"/>
  <c r="TTV68" i="25"/>
  <c r="TTD68" i="25"/>
  <c r="TTF68" i="25"/>
  <c r="TSN68" i="25"/>
  <c r="TSP68" i="25"/>
  <c r="TRX68" i="25"/>
  <c r="TRZ68" i="25"/>
  <c r="TRH68" i="25"/>
  <c r="TRJ68" i="25"/>
  <c r="TQR68" i="25"/>
  <c r="TQT68" i="25"/>
  <c r="TQB68" i="25"/>
  <c r="TQD68" i="25"/>
  <c r="TPL68" i="25"/>
  <c r="TPN68" i="25"/>
  <c r="TOV68" i="25"/>
  <c r="TOX68" i="25"/>
  <c r="TOF68" i="25"/>
  <c r="TOH68" i="25"/>
  <c r="TNP68" i="25"/>
  <c r="TNR68" i="25"/>
  <c r="TMZ68" i="25"/>
  <c r="TNB68" i="25"/>
  <c r="TMJ68" i="25"/>
  <c r="TML68" i="25"/>
  <c r="TLT68" i="25"/>
  <c r="TLV68" i="25"/>
  <c r="TLD68" i="25"/>
  <c r="TLF68" i="25"/>
  <c r="TKN68" i="25"/>
  <c r="TKP68" i="25"/>
  <c r="TJX68" i="25"/>
  <c r="TJZ68" i="25"/>
  <c r="TJH68" i="25"/>
  <c r="TJJ68" i="25"/>
  <c r="TIR68" i="25"/>
  <c r="TIT68" i="25"/>
  <c r="TIB68" i="25"/>
  <c r="TID68" i="25"/>
  <c r="THL68" i="25"/>
  <c r="THN68" i="25"/>
  <c r="TGV68" i="25"/>
  <c r="TGX68" i="25"/>
  <c r="TGF68" i="25"/>
  <c r="TGH68" i="25"/>
  <c r="TFP68" i="25"/>
  <c r="TFR68" i="25"/>
  <c r="TEZ68" i="25"/>
  <c r="TFB68" i="25"/>
  <c r="TEJ68" i="25"/>
  <c r="TEL68" i="25"/>
  <c r="TDT68" i="25"/>
  <c r="TDV68" i="25"/>
  <c r="TDD68" i="25"/>
  <c r="TDF68" i="25"/>
  <c r="TCN68" i="25"/>
  <c r="TCP68" i="25"/>
  <c r="TBX68" i="25"/>
  <c r="TBZ68" i="25"/>
  <c r="TBH68" i="25"/>
  <c r="TBJ68" i="25"/>
  <c r="TAR68" i="25"/>
  <c r="TAT68" i="25"/>
  <c r="TAB68" i="25"/>
  <c r="TAD68" i="25"/>
  <c r="SZL68" i="25"/>
  <c r="SZN68" i="25"/>
  <c r="SYV68" i="25"/>
  <c r="SYX68" i="25"/>
  <c r="SYF68" i="25"/>
  <c r="SYH68" i="25"/>
  <c r="SXP68" i="25"/>
  <c r="SXR68" i="25"/>
  <c r="SWZ68" i="25"/>
  <c r="SXB68" i="25"/>
  <c r="SWJ68" i="25"/>
  <c r="SWL68" i="25"/>
  <c r="SVT68" i="25"/>
  <c r="SVV68" i="25"/>
  <c r="SVD68" i="25"/>
  <c r="SVF68" i="25"/>
  <c r="SUN68" i="25"/>
  <c r="SUP68" i="25"/>
  <c r="STX68" i="25"/>
  <c r="STZ68" i="25"/>
  <c r="STH68" i="25"/>
  <c r="STJ68" i="25"/>
  <c r="SSR68" i="25"/>
  <c r="SST68" i="25"/>
  <c r="SSB68" i="25"/>
  <c r="SSD68" i="25"/>
  <c r="SRL68" i="25"/>
  <c r="SRN68" i="25"/>
  <c r="SQV68" i="25"/>
  <c r="SQX68" i="25"/>
  <c r="SQF68" i="25"/>
  <c r="SQH68" i="25"/>
  <c r="SPP68" i="25"/>
  <c r="SPR68" i="25"/>
  <c r="SOZ68" i="25"/>
  <c r="SPB68" i="25"/>
  <c r="SOJ68" i="25"/>
  <c r="SOL68" i="25"/>
  <c r="SNT68" i="25"/>
  <c r="SNV68" i="25"/>
  <c r="SND68" i="25"/>
  <c r="SNF68" i="25"/>
  <c r="SMN68" i="25"/>
  <c r="SMP68" i="25"/>
  <c r="SLX68" i="25"/>
  <c r="SLZ68" i="25"/>
  <c r="SLH68" i="25"/>
  <c r="SLJ68" i="25"/>
  <c r="SKR68" i="25"/>
  <c r="SKT68" i="25"/>
  <c r="SKB68" i="25"/>
  <c r="SKD68" i="25"/>
  <c r="SJL68" i="25"/>
  <c r="SJN68" i="25"/>
  <c r="SIV68" i="25"/>
  <c r="SIX68" i="25"/>
  <c r="SIF68" i="25"/>
  <c r="SIH68" i="25"/>
  <c r="SHP68" i="25"/>
  <c r="SHR68" i="25"/>
  <c r="SGZ68" i="25"/>
  <c r="SHB68" i="25"/>
  <c r="SGJ68" i="25"/>
  <c r="SGL68" i="25"/>
  <c r="SFT68" i="25"/>
  <c r="SFV68" i="25"/>
  <c r="SFD68" i="25"/>
  <c r="SFF68" i="25"/>
  <c r="SEN68" i="25"/>
  <c r="SEP68" i="25"/>
  <c r="SDX68" i="25"/>
  <c r="SDZ68" i="25"/>
  <c r="SDH68" i="25"/>
  <c r="SDJ68" i="25"/>
  <c r="SCR68" i="25"/>
  <c r="SCT68" i="25"/>
  <c r="SCB68" i="25"/>
  <c r="SCD68" i="25"/>
  <c r="SBL68" i="25"/>
  <c r="SBN68" i="25"/>
  <c r="SAV68" i="25"/>
  <c r="SAX68" i="25"/>
  <c r="SAF68" i="25"/>
  <c r="SAH68" i="25"/>
  <c r="RZP68" i="25"/>
  <c r="RZR68" i="25"/>
  <c r="RYZ68" i="25"/>
  <c r="RZB68" i="25"/>
  <c r="RYJ68" i="25"/>
  <c r="RYL68" i="25"/>
  <c r="RXT68" i="25"/>
  <c r="RXV68" i="25"/>
  <c r="RXD68" i="25"/>
  <c r="RXF68" i="25"/>
  <c r="QZT68" i="25"/>
  <c r="QZV68" i="25"/>
  <c r="QZD68" i="25"/>
  <c r="QZF68" i="25"/>
  <c r="QYN68" i="25"/>
  <c r="QYP68" i="25"/>
  <c r="QXX68" i="25"/>
  <c r="QXZ68" i="25"/>
  <c r="QXH68" i="25"/>
  <c r="QXJ68" i="25"/>
  <c r="QWR68" i="25"/>
  <c r="QWT68" i="25"/>
  <c r="QWB68" i="25"/>
  <c r="QWD68" i="25"/>
  <c r="QVL68" i="25"/>
  <c r="QVN68" i="25"/>
  <c r="QUV68" i="25"/>
  <c r="QUX68" i="25"/>
  <c r="QUF68" i="25"/>
  <c r="QUH68" i="25"/>
  <c r="QTP68" i="25"/>
  <c r="QTR68" i="25"/>
  <c r="QSZ68" i="25"/>
  <c r="QTB68" i="25"/>
  <c r="QSJ68" i="25"/>
  <c r="QSL68" i="25"/>
  <c r="QRT68" i="25"/>
  <c r="QRV68" i="25"/>
  <c r="QRD68" i="25"/>
  <c r="QRF68" i="25"/>
  <c r="QQN68" i="25"/>
  <c r="QQP68" i="25"/>
  <c r="QPX68" i="25"/>
  <c r="QPZ68" i="25"/>
  <c r="QPH68" i="25"/>
  <c r="QPJ68" i="25"/>
  <c r="QOR68" i="25"/>
  <c r="QOT68" i="25"/>
  <c r="QOB68" i="25"/>
  <c r="QOD68" i="25"/>
  <c r="QNL68" i="25"/>
  <c r="QNN68" i="25"/>
  <c r="QMV68" i="25"/>
  <c r="QMX68" i="25"/>
  <c r="QMF68" i="25"/>
  <c r="QMH68" i="25"/>
  <c r="QLP68" i="25"/>
  <c r="QLR68" i="25"/>
  <c r="QKZ68" i="25"/>
  <c r="QLB68" i="25"/>
  <c r="QKJ68" i="25"/>
  <c r="QKL68" i="25"/>
  <c r="QJT68" i="25"/>
  <c r="QJV68" i="25"/>
  <c r="QJD68" i="25"/>
  <c r="QJF68" i="25"/>
  <c r="QIN68" i="25"/>
  <c r="QIP68" i="25"/>
  <c r="QHX68" i="25"/>
  <c r="QHZ68" i="25"/>
  <c r="QHH68" i="25"/>
  <c r="QHJ68" i="25"/>
  <c r="QGR68" i="25"/>
  <c r="QGT68" i="25"/>
  <c r="QGB68" i="25"/>
  <c r="QGD68" i="25"/>
  <c r="QFL68" i="25"/>
  <c r="QFN68" i="25"/>
  <c r="QEV68" i="25"/>
  <c r="QEX68" i="25"/>
  <c r="QEF68" i="25"/>
  <c r="QEH68" i="25"/>
  <c r="QDP68" i="25"/>
  <c r="QDR68" i="25"/>
  <c r="QCZ68" i="25"/>
  <c r="QDB68" i="25"/>
  <c r="QCJ68" i="25"/>
  <c r="QCL68" i="25"/>
  <c r="QBT68" i="25"/>
  <c r="QBV68" i="25"/>
  <c r="QBD68" i="25"/>
  <c r="QBF68" i="25"/>
  <c r="QAN68" i="25"/>
  <c r="QAP68" i="25"/>
  <c r="PZX68" i="25"/>
  <c r="PZZ68" i="25"/>
  <c r="PZH68" i="25"/>
  <c r="PZJ68" i="25"/>
  <c r="PYR68" i="25"/>
  <c r="PYT68" i="25"/>
  <c r="PYB68" i="25"/>
  <c r="PYD68" i="25"/>
  <c r="PXL68" i="25"/>
  <c r="PXN68" i="25"/>
  <c r="PWV68" i="25"/>
  <c r="PWX68" i="25"/>
  <c r="PWF68" i="25"/>
  <c r="PWH68" i="25"/>
  <c r="PVP68" i="25"/>
  <c r="PVR68" i="25"/>
  <c r="PUZ68" i="25"/>
  <c r="PVB68" i="25"/>
  <c r="PUJ68" i="25"/>
  <c r="PUL68" i="25"/>
  <c r="PTT68" i="25"/>
  <c r="PTV68" i="25"/>
  <c r="PTD68" i="25"/>
  <c r="PTF68" i="25"/>
  <c r="PSN68" i="25"/>
  <c r="PSP68" i="25"/>
  <c r="PRX68" i="25"/>
  <c r="PRZ68" i="25"/>
  <c r="PRH68" i="25"/>
  <c r="PRJ68" i="25"/>
  <c r="PQR68" i="25"/>
  <c r="PQT68" i="25"/>
  <c r="PQB68" i="25"/>
  <c r="PQD68" i="25"/>
  <c r="PPL68" i="25"/>
  <c r="PPN68" i="25"/>
  <c r="POV68" i="25"/>
  <c r="POX68" i="25"/>
  <c r="POF68" i="25"/>
  <c r="POH68" i="25"/>
  <c r="PNP68" i="25"/>
  <c r="PNR68" i="25"/>
  <c r="PMZ68" i="25"/>
  <c r="PNB68" i="25"/>
  <c r="PMJ68" i="25"/>
  <c r="PML68" i="25"/>
  <c r="PLT68" i="25"/>
  <c r="PLV68" i="25"/>
  <c r="PLD68" i="25"/>
  <c r="PLF68" i="25"/>
  <c r="PKN68" i="25"/>
  <c r="PKP68" i="25"/>
  <c r="PJX68" i="25"/>
  <c r="PJZ68" i="25"/>
  <c r="PJH68" i="25"/>
  <c r="PJJ68" i="25"/>
  <c r="PIR68" i="25"/>
  <c r="PIT68" i="25"/>
  <c r="PIB68" i="25"/>
  <c r="PID68" i="25"/>
  <c r="PHL68" i="25"/>
  <c r="PHN68" i="25"/>
  <c r="PGV68" i="25"/>
  <c r="PGX68" i="25"/>
  <c r="PGF68" i="25"/>
  <c r="PGH68" i="25"/>
  <c r="PFP68" i="25"/>
  <c r="PFR68" i="25"/>
  <c r="PEZ68" i="25"/>
  <c r="PFB68" i="25"/>
  <c r="PEJ68" i="25"/>
  <c r="PEL68" i="25"/>
  <c r="PDT68" i="25"/>
  <c r="PDV68" i="25"/>
  <c r="PDD68" i="25"/>
  <c r="PDF68" i="25"/>
  <c r="PCN68" i="25"/>
  <c r="PCP68" i="25"/>
  <c r="PBX68" i="25"/>
  <c r="PBZ68" i="25"/>
  <c r="PBH68" i="25"/>
  <c r="PBJ68" i="25"/>
  <c r="PAR68" i="25"/>
  <c r="PAT68" i="25"/>
  <c r="PAB68" i="25"/>
  <c r="PAD68" i="25"/>
  <c r="OZL68" i="25"/>
  <c r="OZN68" i="25"/>
  <c r="OYV68" i="25"/>
  <c r="OYX68" i="25"/>
  <c r="OYF68" i="25"/>
  <c r="OYH68" i="25"/>
  <c r="OXP68" i="25"/>
  <c r="OXR68" i="25"/>
  <c r="OWZ68" i="25"/>
  <c r="OXB68" i="25"/>
  <c r="OWJ68" i="25"/>
  <c r="OWL68" i="25"/>
  <c r="OVT68" i="25"/>
  <c r="OVV68" i="25"/>
  <c r="OVD68" i="25"/>
  <c r="OVF68" i="25"/>
  <c r="OUN68" i="25"/>
  <c r="OUP68" i="25"/>
  <c r="OTX68" i="25"/>
  <c r="OTZ68" i="25"/>
  <c r="OTH68" i="25"/>
  <c r="OTJ68" i="25"/>
  <c r="OSR68" i="25"/>
  <c r="OST68" i="25"/>
  <c r="OSB68" i="25"/>
  <c r="OSD68" i="25"/>
  <c r="ORL68" i="25"/>
  <c r="ORN68" i="25"/>
  <c r="OQV68" i="25"/>
  <c r="OQX68" i="25"/>
  <c r="OQF68" i="25"/>
  <c r="OQH68" i="25"/>
  <c r="OPP68" i="25"/>
  <c r="OPR68" i="25"/>
  <c r="OOZ68" i="25"/>
  <c r="OPB68" i="25"/>
  <c r="OOJ68" i="25"/>
  <c r="OOL68" i="25"/>
  <c r="ONT68" i="25"/>
  <c r="ONV68" i="25"/>
  <c r="OND68" i="25"/>
  <c r="ONF68" i="25"/>
  <c r="OMN68" i="25"/>
  <c r="OMP68" i="25"/>
  <c r="OLX68" i="25"/>
  <c r="OLZ68" i="25"/>
  <c r="OLH68" i="25"/>
  <c r="OLJ68" i="25"/>
  <c r="OKR68" i="25"/>
  <c r="OKT68" i="25"/>
  <c r="OKB68" i="25"/>
  <c r="OKD68" i="25"/>
  <c r="OJL68" i="25"/>
  <c r="OJN68" i="25"/>
  <c r="OIV68" i="25"/>
  <c r="OIX68" i="25"/>
  <c r="OIF68" i="25"/>
  <c r="OIH68" i="25"/>
  <c r="OHP68" i="25"/>
  <c r="OHR68" i="25"/>
  <c r="OGZ68" i="25"/>
  <c r="OHB68" i="25"/>
  <c r="OGJ68" i="25"/>
  <c r="OGL68" i="25"/>
  <c r="OFT68" i="25"/>
  <c r="OFV68" i="25"/>
  <c r="OFD68" i="25"/>
  <c r="OFF68" i="25"/>
  <c r="OEN68" i="25"/>
  <c r="OEP68" i="25"/>
  <c r="ODX68" i="25"/>
  <c r="ODZ68" i="25"/>
  <c r="ODH68" i="25"/>
  <c r="ODJ68" i="25"/>
  <c r="OCR68" i="25"/>
  <c r="OCT68" i="25"/>
  <c r="OCB68" i="25"/>
  <c r="OCD68" i="25"/>
  <c r="OBL68" i="25"/>
  <c r="OBN68" i="25"/>
  <c r="OAV68" i="25"/>
  <c r="OAX68" i="25"/>
  <c r="OAF68" i="25"/>
  <c r="OAH68" i="25"/>
  <c r="NZP68" i="25"/>
  <c r="NZR68" i="25"/>
  <c r="NYZ68" i="25"/>
  <c r="NZB68" i="25"/>
  <c r="NYJ68" i="25"/>
  <c r="NYL68" i="25"/>
  <c r="NXT68" i="25"/>
  <c r="NXV68" i="25"/>
  <c r="NXD68" i="25"/>
  <c r="NXF68" i="25"/>
  <c r="NWN68" i="25"/>
  <c r="NWP68" i="25"/>
  <c r="NVX68" i="25"/>
  <c r="NVZ68" i="25"/>
  <c r="NVH68" i="25"/>
  <c r="NVJ68" i="25"/>
  <c r="NUR68" i="25"/>
  <c r="NUT68" i="25"/>
  <c r="NUB68" i="25"/>
  <c r="NUD68" i="25"/>
  <c r="NTL68" i="25"/>
  <c r="NTN68" i="25"/>
  <c r="NSV68" i="25"/>
  <c r="NSX68" i="25"/>
  <c r="NSF68" i="25"/>
  <c r="NSH68" i="25"/>
  <c r="NRP68" i="25"/>
  <c r="NRR68" i="25"/>
  <c r="NQZ68" i="25"/>
  <c r="NRB68" i="25"/>
  <c r="NQJ68" i="25"/>
  <c r="NQL68" i="25"/>
  <c r="NPT68" i="25"/>
  <c r="NPV68" i="25"/>
  <c r="NPD68" i="25"/>
  <c r="NPF68" i="25"/>
  <c r="NON68" i="25"/>
  <c r="NOP68" i="25"/>
  <c r="NNX68" i="25"/>
  <c r="NNZ68" i="25"/>
  <c r="NNH68" i="25"/>
  <c r="NNJ68" i="25"/>
  <c r="NMR68" i="25"/>
  <c r="NMT68" i="25"/>
  <c r="NMB68" i="25"/>
  <c r="NMD68" i="25"/>
  <c r="NLL68" i="25"/>
  <c r="NLN68" i="25"/>
  <c r="NKV68" i="25"/>
  <c r="NKX68" i="25"/>
  <c r="NKF68" i="25"/>
  <c r="NKH68" i="25"/>
  <c r="NJP68" i="25"/>
  <c r="NJR68" i="25"/>
  <c r="NIZ68" i="25"/>
  <c r="NJB68" i="25"/>
  <c r="NIJ68" i="25"/>
  <c r="NIL68" i="25"/>
  <c r="NHT68" i="25"/>
  <c r="NHV68" i="25"/>
  <c r="NHD68" i="25"/>
  <c r="NHF68" i="25"/>
  <c r="NGN68" i="25"/>
  <c r="NGP68" i="25"/>
  <c r="NFX68" i="25"/>
  <c r="NFZ68" i="25"/>
  <c r="NFH68" i="25"/>
  <c r="NFJ68" i="25"/>
  <c r="NER68" i="25"/>
  <c r="NET68" i="25"/>
  <c r="NEB68" i="25"/>
  <c r="NED68" i="25"/>
  <c r="NDL68" i="25"/>
  <c r="NDN68" i="25"/>
  <c r="NCV68" i="25"/>
  <c r="NCX68" i="25"/>
  <c r="NCF68" i="25"/>
  <c r="NCH68" i="25"/>
  <c r="NBP68" i="25"/>
  <c r="NBR68" i="25"/>
  <c r="NAZ68" i="25"/>
  <c r="NBB68" i="25"/>
  <c r="NAJ68" i="25"/>
  <c r="NAL68" i="25"/>
  <c r="MZT68" i="25"/>
  <c r="MZV68" i="25"/>
  <c r="MZD68" i="25"/>
  <c r="MZF68" i="25"/>
  <c r="MYN68" i="25"/>
  <c r="MYP68" i="25"/>
  <c r="MXX68" i="25"/>
  <c r="MXZ68" i="25"/>
  <c r="MXH68" i="25"/>
  <c r="MXJ68" i="25"/>
  <c r="MWR68" i="25"/>
  <c r="MWT68" i="25"/>
  <c r="MWB68" i="25"/>
  <c r="MWD68" i="25"/>
  <c r="MVL68" i="25"/>
  <c r="MVN68" i="25"/>
  <c r="MUV68" i="25"/>
  <c r="MUX68" i="25"/>
  <c r="MUF68" i="25"/>
  <c r="MUH68" i="25"/>
  <c r="MTP68" i="25"/>
  <c r="MTR68" i="25"/>
  <c r="MSZ68" i="25"/>
  <c r="MTB68" i="25"/>
  <c r="MSJ68" i="25"/>
  <c r="MSL68" i="25"/>
  <c r="MRT68" i="25"/>
  <c r="MRV68" i="25"/>
  <c r="MRD68" i="25"/>
  <c r="MRF68" i="25"/>
  <c r="MQN68" i="25"/>
  <c r="MQP68" i="25"/>
  <c r="MPX68" i="25"/>
  <c r="MPZ68" i="25"/>
  <c r="MPH68" i="25"/>
  <c r="MPJ68" i="25"/>
  <c r="MOR68" i="25"/>
  <c r="MOT68" i="25"/>
  <c r="MOB68" i="25"/>
  <c r="MOD68" i="25"/>
  <c r="MNL68" i="25"/>
  <c r="MNN68" i="25"/>
  <c r="MMV68" i="25"/>
  <c r="MMX68" i="25"/>
  <c r="MMF68" i="25"/>
  <c r="MMH68" i="25"/>
  <c r="MLP68" i="25"/>
  <c r="MLR68" i="25"/>
  <c r="MKZ68" i="25"/>
  <c r="MLB68" i="25"/>
  <c r="MKJ68" i="25"/>
  <c r="MKL68" i="25"/>
  <c r="MJT68" i="25"/>
  <c r="MJV68" i="25"/>
  <c r="MJD68" i="25"/>
  <c r="MJF68" i="25"/>
  <c r="MIN68" i="25"/>
  <c r="MIP68" i="25"/>
  <c r="MHX68" i="25"/>
  <c r="MHZ68" i="25"/>
  <c r="MHH68" i="25"/>
  <c r="MHJ68" i="25"/>
  <c r="MGR68" i="25"/>
  <c r="MGT68" i="25"/>
  <c r="MGB68" i="25"/>
  <c r="MGD68" i="25"/>
  <c r="MFL68" i="25"/>
  <c r="MFN68" i="25"/>
  <c r="MEV68" i="25"/>
  <c r="MEX68" i="25"/>
  <c r="MEF68" i="25"/>
  <c r="MEH68" i="25"/>
  <c r="MDP68" i="25"/>
  <c r="MDR68" i="25"/>
  <c r="MCZ68" i="25"/>
  <c r="MDB68" i="25"/>
  <c r="MCJ68" i="25"/>
  <c r="MCL68" i="25"/>
  <c r="MBT68" i="25"/>
  <c r="MBV68" i="25"/>
  <c r="MBD68" i="25"/>
  <c r="MBF68" i="25"/>
  <c r="MAN68" i="25"/>
  <c r="MAP68" i="25"/>
  <c r="LZX68" i="25"/>
  <c r="LZZ68" i="25"/>
  <c r="LZH68" i="25"/>
  <c r="LZJ68" i="25"/>
  <c r="LYR68" i="25"/>
  <c r="LYT68" i="25"/>
  <c r="LYB68" i="25"/>
  <c r="LYD68" i="25"/>
  <c r="LXL68" i="25"/>
  <c r="LXN68" i="25"/>
  <c r="LWV68" i="25"/>
  <c r="LWX68" i="25"/>
  <c r="LWF68" i="25"/>
  <c r="LWH68" i="25"/>
  <c r="LVP68" i="25"/>
  <c r="LVR68" i="25"/>
  <c r="LUZ68" i="25"/>
  <c r="LVB68" i="25"/>
  <c r="LUJ68" i="25"/>
  <c r="LUL68" i="25"/>
  <c r="LTT68" i="25"/>
  <c r="LTV68" i="25"/>
  <c r="LTD68" i="25"/>
  <c r="LTF68" i="25"/>
  <c r="LSN68" i="25"/>
  <c r="LSP68" i="25"/>
  <c r="LRX68" i="25"/>
  <c r="LRZ68" i="25"/>
  <c r="LRH68" i="25"/>
  <c r="LRJ68" i="25"/>
  <c r="LQR68" i="25"/>
  <c r="LQT68" i="25"/>
  <c r="LQB68" i="25"/>
  <c r="LQD68" i="25"/>
  <c r="LPL68" i="25"/>
  <c r="LPN68" i="25"/>
  <c r="LOV68" i="25"/>
  <c r="LOX68" i="25"/>
  <c r="LOF68" i="25"/>
  <c r="LOH68" i="25"/>
  <c r="LNP68" i="25"/>
  <c r="LNR68" i="25"/>
  <c r="LMZ68" i="25"/>
  <c r="LNB68" i="25"/>
  <c r="LMJ68" i="25"/>
  <c r="LML68" i="25"/>
  <c r="LLT68" i="25"/>
  <c r="LLV68" i="25"/>
  <c r="LLD68" i="25"/>
  <c r="LLF68" i="25"/>
  <c r="LKN68" i="25"/>
  <c r="LKP68" i="25"/>
  <c r="LJX68" i="25"/>
  <c r="LJZ68" i="25"/>
  <c r="LJH68" i="25"/>
  <c r="LJJ68" i="25"/>
  <c r="LIR68" i="25"/>
  <c r="LIT68" i="25"/>
  <c r="LIB68" i="25"/>
  <c r="LID68" i="25"/>
  <c r="LHL68" i="25"/>
  <c r="LHN68" i="25"/>
  <c r="LGV68" i="25"/>
  <c r="LGX68" i="25"/>
  <c r="LGF68" i="25"/>
  <c r="LGH68" i="25"/>
  <c r="LFP68" i="25"/>
  <c r="LFR68" i="25"/>
  <c r="LEZ68" i="25"/>
  <c r="LFB68" i="25"/>
  <c r="LEJ68" i="25"/>
  <c r="LEL68" i="25"/>
  <c r="LDT68" i="25"/>
  <c r="LDV68" i="25"/>
  <c r="LDD68" i="25"/>
  <c r="LDF68" i="25"/>
  <c r="LCN68" i="25"/>
  <c r="LCP68" i="25"/>
  <c r="LBX68" i="25"/>
  <c r="LBZ68" i="25"/>
  <c r="LBH68" i="25"/>
  <c r="LBJ68" i="25"/>
  <c r="LAR68" i="25"/>
  <c r="LAT68" i="25"/>
  <c r="LAB68" i="25"/>
  <c r="LAD68" i="25"/>
  <c r="KZL68" i="25"/>
  <c r="KZN68" i="25"/>
  <c r="KYV68" i="25"/>
  <c r="KYX68" i="25"/>
  <c r="KYF68" i="25"/>
  <c r="KYH68" i="25"/>
  <c r="KXP68" i="25"/>
  <c r="KXR68" i="25"/>
  <c r="KWZ68" i="25"/>
  <c r="KXB68" i="25"/>
  <c r="KWJ68" i="25"/>
  <c r="KWL68" i="25"/>
  <c r="KVT68" i="25"/>
  <c r="KVV68" i="25"/>
  <c r="KVD68" i="25"/>
  <c r="KVF68" i="25"/>
  <c r="KUN68" i="25"/>
  <c r="KUP68" i="25"/>
  <c r="KTX68" i="25"/>
  <c r="KTZ68" i="25"/>
  <c r="KTH68" i="25"/>
  <c r="KTJ68" i="25"/>
  <c r="KSR68" i="25"/>
  <c r="KST68" i="25"/>
  <c r="KSB68" i="25"/>
  <c r="KSD68" i="25"/>
  <c r="KRL68" i="25"/>
  <c r="KRN68" i="25"/>
  <c r="KQV68" i="25"/>
  <c r="KQX68" i="25"/>
  <c r="KQF68" i="25"/>
  <c r="KQH68" i="25"/>
  <c r="KPP68" i="25"/>
  <c r="KPR68" i="25"/>
  <c r="KOZ68" i="25"/>
  <c r="KPB68" i="25"/>
  <c r="KOJ68" i="25"/>
  <c r="KOL68" i="25"/>
  <c r="KNT68" i="25"/>
  <c r="KNV68" i="25"/>
  <c r="KND68" i="25"/>
  <c r="KNF68" i="25"/>
  <c r="KMN68" i="25"/>
  <c r="KMP68" i="25"/>
  <c r="KLX68" i="25"/>
  <c r="KLZ68" i="25"/>
  <c r="KLH68" i="25"/>
  <c r="KLJ68" i="25"/>
  <c r="KKR68" i="25"/>
  <c r="KKT68" i="25"/>
  <c r="KKB68" i="25"/>
  <c r="KKD68" i="25"/>
  <c r="KJL68" i="25"/>
  <c r="KJN68" i="25"/>
  <c r="KIV68" i="25"/>
  <c r="KIX68" i="25"/>
  <c r="KIF68" i="25"/>
  <c r="KIH68" i="25"/>
  <c r="KHP68" i="25"/>
  <c r="KHR68" i="25"/>
  <c r="KGZ68" i="25"/>
  <c r="KHB68" i="25"/>
  <c r="KGJ68" i="25"/>
  <c r="KGL68" i="25"/>
  <c r="KFT68" i="25"/>
  <c r="KFV68" i="25"/>
  <c r="KFD68" i="25"/>
  <c r="KFF68" i="25"/>
  <c r="KEN68" i="25"/>
  <c r="KEP68" i="25"/>
  <c r="KDX68" i="25"/>
  <c r="KDZ68" i="25"/>
  <c r="KDH68" i="25"/>
  <c r="KDJ68" i="25"/>
  <c r="KCR68" i="25"/>
  <c r="KCT68" i="25"/>
  <c r="KCB68" i="25"/>
  <c r="KCD68" i="25"/>
  <c r="KBL68" i="25"/>
  <c r="KBN68" i="25"/>
  <c r="KAV68" i="25"/>
  <c r="KAX68" i="25"/>
  <c r="KAF68" i="25"/>
  <c r="KAH68" i="25"/>
  <c r="JZP68" i="25"/>
  <c r="JZR68" i="25"/>
  <c r="JYZ68" i="25"/>
  <c r="JZB68" i="25"/>
  <c r="JYJ68" i="25"/>
  <c r="JYL68" i="25"/>
  <c r="JXT68" i="25"/>
  <c r="JXV68" i="25"/>
  <c r="JXD68" i="25"/>
  <c r="JXF68" i="25"/>
  <c r="JWN68" i="25"/>
  <c r="JWP68" i="25"/>
  <c r="JVX68" i="25"/>
  <c r="JVZ68" i="25"/>
  <c r="JVH68" i="25"/>
  <c r="JVJ68" i="25"/>
  <c r="JUR68" i="25"/>
  <c r="JUT68" i="25"/>
  <c r="JUB68" i="25"/>
  <c r="JUD68" i="25"/>
  <c r="JTL68" i="25"/>
  <c r="JTN68" i="25"/>
  <c r="JSV68" i="25"/>
  <c r="JSX68" i="25"/>
  <c r="JSF68" i="25"/>
  <c r="JSH68" i="25"/>
  <c r="JRP68" i="25"/>
  <c r="JRR68" i="25"/>
  <c r="JQZ68" i="25"/>
  <c r="JRB68" i="25"/>
  <c r="JQJ68" i="25"/>
  <c r="JQL68" i="25"/>
  <c r="JPT68" i="25"/>
  <c r="JPV68" i="25"/>
  <c r="JPD68" i="25"/>
  <c r="JPF68" i="25"/>
  <c r="JON68" i="25"/>
  <c r="JOP68" i="25"/>
  <c r="JNX68" i="25"/>
  <c r="JNZ68" i="25"/>
  <c r="JNH68" i="25"/>
  <c r="JNJ68" i="25"/>
  <c r="JMR68" i="25"/>
  <c r="JMT68" i="25"/>
  <c r="JMB68" i="25"/>
  <c r="JMD68" i="25"/>
  <c r="JLL68" i="25"/>
  <c r="JLN68" i="25"/>
  <c r="JKV68" i="25"/>
  <c r="JKX68" i="25"/>
  <c r="JKF68" i="25"/>
  <c r="JKH68" i="25"/>
  <c r="JJP68" i="25"/>
  <c r="JJR68" i="25"/>
  <c r="JIZ68" i="25"/>
  <c r="JJB68" i="25"/>
  <c r="JIJ68" i="25"/>
  <c r="JIL68" i="25"/>
  <c r="JHT68" i="25"/>
  <c r="JHV68" i="25"/>
  <c r="JHD68" i="25"/>
  <c r="JHF68" i="25"/>
  <c r="JGN68" i="25"/>
  <c r="JGP68" i="25"/>
  <c r="JFX68" i="25"/>
  <c r="JFZ68" i="25"/>
  <c r="JFH68" i="25"/>
  <c r="JFJ68" i="25"/>
  <c r="JER68" i="25"/>
  <c r="JET68" i="25"/>
  <c r="JEB68" i="25"/>
  <c r="JED68" i="25"/>
  <c r="JDL68" i="25"/>
  <c r="JDN68" i="25"/>
  <c r="JCV68" i="25"/>
  <c r="JCX68" i="25"/>
  <c r="JCF68" i="25"/>
  <c r="JCH68" i="25"/>
  <c r="JBP68" i="25"/>
  <c r="JBR68" i="25"/>
  <c r="JAZ68" i="25"/>
  <c r="JBB68" i="25"/>
  <c r="JAJ68" i="25"/>
  <c r="JAL68" i="25"/>
  <c r="IZT68" i="25"/>
  <c r="IZV68" i="25"/>
  <c r="IZD68" i="25"/>
  <c r="IZF68" i="25"/>
  <c r="IYN68" i="25"/>
  <c r="IYP68" i="25"/>
  <c r="IXX68" i="25"/>
  <c r="IXZ68" i="25"/>
  <c r="IXH68" i="25"/>
  <c r="IXJ68" i="25"/>
  <c r="IWR68" i="25"/>
  <c r="IWT68" i="25"/>
  <c r="IWB68" i="25"/>
  <c r="IWD68" i="25"/>
  <c r="IVL68" i="25"/>
  <c r="IVN68" i="25"/>
  <c r="IUV68" i="25"/>
  <c r="IUX68" i="25"/>
  <c r="IUF68" i="25"/>
  <c r="IUH68" i="25"/>
  <c r="ITP68" i="25"/>
  <c r="ITR68" i="25"/>
  <c r="ISZ68" i="25"/>
  <c r="ITB68" i="25"/>
  <c r="ISJ68" i="25"/>
  <c r="ISL68" i="25"/>
  <c r="IRT68" i="25"/>
  <c r="IRV68" i="25"/>
  <c r="IRD68" i="25"/>
  <c r="IRF68" i="25"/>
  <c r="IQN68" i="25"/>
  <c r="IQP68" i="25"/>
  <c r="IPX68" i="25"/>
  <c r="IPZ68" i="25"/>
  <c r="IPH68" i="25"/>
  <c r="IPJ68" i="25"/>
  <c r="IOR68" i="25"/>
  <c r="IOT68" i="25"/>
  <c r="IOB68" i="25"/>
  <c r="IOD68" i="25"/>
  <c r="INL68" i="25"/>
  <c r="INN68" i="25"/>
  <c r="IMV68" i="25"/>
  <c r="IMX68" i="25"/>
  <c r="IMF68" i="25"/>
  <c r="IMH68" i="25"/>
  <c r="ILP68" i="25"/>
  <c r="ILR68" i="25"/>
  <c r="IKZ68" i="25"/>
  <c r="ILB68" i="25"/>
  <c r="IKJ68" i="25"/>
  <c r="IKL68" i="25"/>
  <c r="IJT68" i="25"/>
  <c r="IJV68" i="25"/>
  <c r="IJD68" i="25"/>
  <c r="IJF68" i="25"/>
  <c r="IIN68" i="25"/>
  <c r="IIP68" i="25"/>
  <c r="IHX68" i="25"/>
  <c r="IHZ68" i="25"/>
  <c r="IHH68" i="25"/>
  <c r="IHJ68" i="25"/>
  <c r="IGR68" i="25"/>
  <c r="IGT68" i="25"/>
  <c r="IGB68" i="25"/>
  <c r="IGD68" i="25"/>
  <c r="IFL68" i="25"/>
  <c r="IFN68" i="25"/>
  <c r="IEV68" i="25"/>
  <c r="IEX68" i="25"/>
  <c r="IEF68" i="25"/>
  <c r="IEH68" i="25"/>
  <c r="IDP68" i="25"/>
  <c r="IDR68" i="25"/>
  <c r="ICZ68" i="25"/>
  <c r="IDB68" i="25"/>
  <c r="ICJ68" i="25"/>
  <c r="ICL68" i="25"/>
  <c r="IBT68" i="25"/>
  <c r="IBV68" i="25"/>
  <c r="IBD68" i="25"/>
  <c r="IBF68" i="25"/>
  <c r="IAN68" i="25"/>
  <c r="IAP68" i="25"/>
  <c r="HZX68" i="25"/>
  <c r="HZZ68" i="25"/>
  <c r="HZH68" i="25"/>
  <c r="HZJ68" i="25"/>
  <c r="HYR68" i="25"/>
  <c r="HYT68" i="25"/>
  <c r="HYB68" i="25"/>
  <c r="HYD68" i="25"/>
  <c r="HXL68" i="25"/>
  <c r="HXN68" i="25"/>
  <c r="HWV68" i="25"/>
  <c r="HWX68" i="25"/>
  <c r="HWF68" i="25"/>
  <c r="HWH68" i="25"/>
  <c r="HVP68" i="25"/>
  <c r="HVR68" i="25"/>
  <c r="HUZ68" i="25"/>
  <c r="HVB68" i="25"/>
  <c r="HUJ68" i="25"/>
  <c r="HUL68" i="25"/>
  <c r="HTT68" i="25"/>
  <c r="HTV68" i="25"/>
  <c r="HTD68" i="25"/>
  <c r="HTF68" i="25"/>
  <c r="HSN68" i="25"/>
  <c r="HSP68" i="25"/>
  <c r="HRX68" i="25"/>
  <c r="HRZ68" i="25"/>
  <c r="HRH68" i="25"/>
  <c r="HRJ68" i="25"/>
  <c r="HQR68" i="25"/>
  <c r="HQT68" i="25"/>
  <c r="HQB68" i="25"/>
  <c r="HQD68" i="25"/>
  <c r="HPL68" i="25"/>
  <c r="HPN68" i="25"/>
  <c r="HOV68" i="25"/>
  <c r="HOX68" i="25"/>
  <c r="HOF68" i="25"/>
  <c r="HOH68" i="25"/>
  <c r="HNP68" i="25"/>
  <c r="HNR68" i="25"/>
  <c r="HMZ68" i="25"/>
  <c r="HNB68" i="25"/>
  <c r="HMJ68" i="25"/>
  <c r="HML68" i="25"/>
  <c r="HLT68" i="25"/>
  <c r="HLV68" i="25"/>
  <c r="HLD68" i="25"/>
  <c r="HLF68" i="25"/>
  <c r="HKN68" i="25"/>
  <c r="HKP68" i="25"/>
  <c r="HJX68" i="25"/>
  <c r="HJZ68" i="25"/>
  <c r="HJH68" i="25"/>
  <c r="HJJ68" i="25"/>
  <c r="HIR68" i="25"/>
  <c r="HIT68" i="25"/>
  <c r="HIB68" i="25"/>
  <c r="HID68" i="25"/>
  <c r="HHL68" i="25"/>
  <c r="HHN68" i="25"/>
  <c r="HGV68" i="25"/>
  <c r="HGX68" i="25"/>
  <c r="HGF68" i="25"/>
  <c r="HGH68" i="25"/>
  <c r="HFP68" i="25"/>
  <c r="HFR68" i="25"/>
  <c r="HEZ68" i="25"/>
  <c r="HFB68" i="25"/>
  <c r="HEJ68" i="25"/>
  <c r="HEL68" i="25"/>
  <c r="HDT68" i="25"/>
  <c r="HDV68" i="25"/>
  <c r="HDD68" i="25"/>
  <c r="HDF68" i="25"/>
  <c r="HCN68" i="25"/>
  <c r="HCP68" i="25"/>
  <c r="HBX68" i="25"/>
  <c r="HBZ68" i="25"/>
  <c r="HBH68" i="25"/>
  <c r="HBJ68" i="25"/>
  <c r="HAR68" i="25"/>
  <c r="HAT68" i="25"/>
  <c r="HAB68" i="25"/>
  <c r="HAD68" i="25"/>
  <c r="GZL68" i="25"/>
  <c r="GZN68" i="25"/>
  <c r="GYV68" i="25"/>
  <c r="GYX68" i="25"/>
  <c r="GYF68" i="25"/>
  <c r="GYH68" i="25"/>
  <c r="GXP68" i="25"/>
  <c r="GXR68" i="25"/>
  <c r="GWZ68" i="25"/>
  <c r="GXB68" i="25"/>
  <c r="GWJ68" i="25"/>
  <c r="GWL68" i="25"/>
  <c r="GVT68" i="25"/>
  <c r="GVV68" i="25"/>
  <c r="GVD68" i="25"/>
  <c r="GVF68" i="25"/>
  <c r="GUN68" i="25"/>
  <c r="GUP68" i="25"/>
  <c r="GTX68" i="25"/>
  <c r="GTZ68" i="25"/>
  <c r="GTH68" i="25"/>
  <c r="GTJ68" i="25"/>
  <c r="GSR68" i="25"/>
  <c r="GST68" i="25"/>
  <c r="GSB68" i="25"/>
  <c r="GSD68" i="25"/>
  <c r="GRL68" i="25"/>
  <c r="GRN68" i="25"/>
  <c r="GQV68" i="25"/>
  <c r="GQX68" i="25"/>
  <c r="GQF68" i="25"/>
  <c r="GQH68" i="25"/>
  <c r="GPP68" i="25"/>
  <c r="GPR68" i="25"/>
  <c r="GOZ68" i="25"/>
  <c r="GPB68" i="25"/>
  <c r="GOJ68" i="25"/>
  <c r="GOL68" i="25"/>
  <c r="GNT68" i="25"/>
  <c r="GNV68" i="25"/>
  <c r="GND68" i="25"/>
  <c r="GNF68" i="25"/>
  <c r="GMN68" i="25"/>
  <c r="GMP68" i="25"/>
  <c r="GLX68" i="25"/>
  <c r="GLZ68" i="25"/>
  <c r="GLH68" i="25"/>
  <c r="GLJ68" i="25"/>
  <c r="GKR68" i="25"/>
  <c r="GKT68" i="25"/>
  <c r="GKB68" i="25"/>
  <c r="GKD68" i="25"/>
  <c r="GJL68" i="25"/>
  <c r="GJN68" i="25"/>
  <c r="GIV68" i="25"/>
  <c r="GIX68" i="25"/>
  <c r="GIF68" i="25"/>
  <c r="GIH68" i="25"/>
  <c r="GHP68" i="25"/>
  <c r="GHR68" i="25"/>
  <c r="GGZ68" i="25"/>
  <c r="GHB68" i="25"/>
  <c r="GGJ68" i="25"/>
  <c r="GGL68" i="25"/>
  <c r="GFT68" i="25"/>
  <c r="GFV68" i="25"/>
  <c r="GFD68" i="25"/>
  <c r="GFF68" i="25"/>
  <c r="GEN68" i="25"/>
  <c r="GEP68" i="25"/>
  <c r="GDX68" i="25"/>
  <c r="GDZ68" i="25"/>
  <c r="GDH68" i="25"/>
  <c r="GDJ68" i="25"/>
  <c r="GCR68" i="25"/>
  <c r="GCT68" i="25"/>
  <c r="GCB68" i="25"/>
  <c r="GCD68" i="25"/>
  <c r="GBL68" i="25"/>
  <c r="GBN68" i="25"/>
  <c r="GAV68" i="25"/>
  <c r="GAX68" i="25"/>
  <c r="GAF68" i="25"/>
  <c r="GAH68" i="25"/>
  <c r="FZP68" i="25"/>
  <c r="FZR68" i="25"/>
  <c r="FYZ68" i="25"/>
  <c r="FZB68" i="25"/>
  <c r="FYJ68" i="25"/>
  <c r="FYL68" i="25"/>
  <c r="FXT68" i="25"/>
  <c r="FXV68" i="25"/>
  <c r="FXD68" i="25"/>
  <c r="FXF68" i="25"/>
  <c r="FWN68" i="25"/>
  <c r="FWP68" i="25"/>
  <c r="FVX68" i="25"/>
  <c r="FVZ68" i="25"/>
  <c r="FVH68" i="25"/>
  <c r="FVJ68" i="25"/>
  <c r="FUR68" i="25"/>
  <c r="FUT68" i="25"/>
  <c r="FUB68" i="25"/>
  <c r="FUD68" i="25"/>
  <c r="FTL68" i="25"/>
  <c r="FTN68" i="25"/>
  <c r="FSV68" i="25"/>
  <c r="FSX68" i="25"/>
  <c r="FSF68" i="25"/>
  <c r="FSH68" i="25"/>
  <c r="FRP68" i="25"/>
  <c r="FRR68" i="25"/>
  <c r="FQZ68" i="25"/>
  <c r="FRB68" i="25"/>
  <c r="FQJ68" i="25"/>
  <c r="FQL68" i="25"/>
  <c r="FPT68" i="25"/>
  <c r="FPV68" i="25"/>
  <c r="FPD68" i="25"/>
  <c r="FPF68" i="25"/>
  <c r="FON68" i="25"/>
  <c r="FOP68" i="25"/>
  <c r="FNX68" i="25"/>
  <c r="FNZ68" i="25"/>
  <c r="FNH68" i="25"/>
  <c r="FNJ68" i="25"/>
  <c r="FMR68" i="25"/>
  <c r="FMT68" i="25"/>
  <c r="FMB68" i="25"/>
  <c r="FMD68" i="25"/>
  <c r="FLL68" i="25"/>
  <c r="FLN68" i="25"/>
  <c r="FKV68" i="25"/>
  <c r="FKX68" i="25"/>
  <c r="FKF68" i="25"/>
  <c r="FKH68" i="25"/>
  <c r="FJP68" i="25"/>
  <c r="FJR68" i="25"/>
  <c r="FIZ68" i="25"/>
  <c r="FJB68" i="25"/>
  <c r="FIJ68" i="25"/>
  <c r="FIL68" i="25"/>
  <c r="FHT68" i="25"/>
  <c r="FHV68" i="25"/>
  <c r="FHD68" i="25"/>
  <c r="FHF68" i="25"/>
  <c r="FGN68" i="25"/>
  <c r="FGP68" i="25"/>
  <c r="FFX68" i="25"/>
  <c r="FFZ68" i="25"/>
  <c r="FFH68" i="25"/>
  <c r="FFJ68" i="25"/>
  <c r="FER68" i="25"/>
  <c r="FET68" i="25"/>
  <c r="FEB68" i="25"/>
  <c r="FED68" i="25"/>
  <c r="FDL68" i="25"/>
  <c r="FDN68" i="25"/>
  <c r="FCV68" i="25"/>
  <c r="FCX68" i="25"/>
  <c r="FCF68" i="25"/>
  <c r="FCH68" i="25"/>
  <c r="FBP68" i="25"/>
  <c r="FBR68" i="25"/>
  <c r="FAZ68" i="25"/>
  <c r="FBB68" i="25"/>
  <c r="FAJ68" i="25"/>
  <c r="FAL68" i="25"/>
  <c r="EZT68" i="25"/>
  <c r="EZV68" i="25"/>
  <c r="EZD68" i="25"/>
  <c r="EZF68" i="25"/>
  <c r="EYN68" i="25"/>
  <c r="EYP68" i="25"/>
  <c r="EXX68" i="25"/>
  <c r="EXZ68" i="25"/>
  <c r="EXH68" i="25"/>
  <c r="EXJ68" i="25"/>
  <c r="EWR68" i="25"/>
  <c r="EWT68" i="25"/>
  <c r="EWB68" i="25"/>
  <c r="EWD68" i="25"/>
  <c r="EVL68" i="25"/>
  <c r="EVN68" i="25"/>
  <c r="EUV68" i="25"/>
  <c r="EUX68" i="25"/>
  <c r="EUF68" i="25"/>
  <c r="EUH68" i="25"/>
  <c r="ETP68" i="25"/>
  <c r="ETR68" i="25"/>
  <c r="ESZ68" i="25"/>
  <c r="ETB68" i="25"/>
  <c r="ESJ68" i="25"/>
  <c r="ESL68" i="25"/>
  <c r="ERT68" i="25"/>
  <c r="ERV68" i="25"/>
  <c r="ERD68" i="25"/>
  <c r="ERF68" i="25"/>
  <c r="EQN68" i="25"/>
  <c r="EQP68" i="25"/>
  <c r="EPX68" i="25"/>
  <c r="EPZ68" i="25"/>
  <c r="EPH68" i="25"/>
  <c r="EPJ68" i="25"/>
  <c r="EOR68" i="25"/>
  <c r="EOT68" i="25"/>
  <c r="EOB68" i="25"/>
  <c r="EOD68" i="25"/>
  <c r="ENL68" i="25"/>
  <c r="ENN68" i="25"/>
  <c r="EMV68" i="25"/>
  <c r="EMX68" i="25"/>
  <c r="EMF68" i="25"/>
  <c r="EMH68" i="25"/>
  <c r="ELP68" i="25"/>
  <c r="ELR68" i="25"/>
  <c r="EKZ68" i="25"/>
  <c r="ELB68" i="25"/>
  <c r="EKJ68" i="25"/>
  <c r="EKL68" i="25"/>
  <c r="EJT68" i="25"/>
  <c r="EJV68" i="25"/>
  <c r="EJD68" i="25"/>
  <c r="EJF68" i="25"/>
  <c r="EIN68" i="25"/>
  <c r="EIP68" i="25"/>
  <c r="EHX68" i="25"/>
  <c r="EHZ68" i="25"/>
  <c r="EHH68" i="25"/>
  <c r="EHJ68" i="25"/>
  <c r="EGR68" i="25"/>
  <c r="EGT68" i="25"/>
  <c r="EGB68" i="25"/>
  <c r="EGD68" i="25"/>
  <c r="EFL68" i="25"/>
  <c r="EFN68" i="25"/>
  <c r="EEV68" i="25"/>
  <c r="EEX68" i="25"/>
  <c r="EEF68" i="25"/>
  <c r="EEH68" i="25"/>
  <c r="EDP68" i="25"/>
  <c r="EDR68" i="25"/>
  <c r="ECZ68" i="25"/>
  <c r="EDB68" i="25"/>
  <c r="ECJ68" i="25"/>
  <c r="ECL68" i="25"/>
  <c r="EBT68" i="25"/>
  <c r="EBV68" i="25"/>
  <c r="EBD68" i="25"/>
  <c r="EBF68" i="25"/>
  <c r="EAN68" i="25"/>
  <c r="EAP68" i="25"/>
  <c r="DZX68" i="25"/>
  <c r="DZZ68" i="25"/>
  <c r="DZH68" i="25"/>
  <c r="DZJ68" i="25"/>
  <c r="DYR68" i="25"/>
  <c r="DYT68" i="25"/>
  <c r="DYB68" i="25"/>
  <c r="DYD68" i="25"/>
  <c r="DXL68" i="25"/>
  <c r="DXN68" i="25"/>
  <c r="DWV68" i="25"/>
  <c r="DWX68" i="25"/>
  <c r="DWF68" i="25"/>
  <c r="DWH68" i="25"/>
  <c r="DVP68" i="25"/>
  <c r="DVR68" i="25"/>
  <c r="DUZ68" i="25"/>
  <c r="DVB68" i="25"/>
  <c r="DUJ68" i="25"/>
  <c r="DUL68" i="25"/>
  <c r="DTT68" i="25"/>
  <c r="DTV68" i="25"/>
  <c r="DTD68" i="25"/>
  <c r="DTF68" i="25"/>
  <c r="DSN68" i="25"/>
  <c r="DSP68" i="25"/>
  <c r="DRX68" i="25"/>
  <c r="DRZ68" i="25"/>
  <c r="DRH68" i="25"/>
  <c r="DRJ68" i="25"/>
  <c r="DQR68" i="25"/>
  <c r="DQT68" i="25"/>
  <c r="DQB68" i="25"/>
  <c r="DQD68" i="25"/>
  <c r="DPL68" i="25"/>
  <c r="DPN68" i="25"/>
  <c r="DOV68" i="25"/>
  <c r="DOX68" i="25"/>
  <c r="DOF68" i="25"/>
  <c r="DOH68" i="25"/>
  <c r="DNP68" i="25"/>
  <c r="DNR68" i="25"/>
  <c r="K15" i="25"/>
  <c r="M15" i="25"/>
  <c r="K13" i="25"/>
  <c r="M13" i="25"/>
  <c r="K11" i="25"/>
  <c r="M11" i="25"/>
  <c r="J36" i="21"/>
  <c r="L36" i="21"/>
  <c r="J35" i="21"/>
  <c r="L35" i="21"/>
  <c r="J34" i="21"/>
  <c r="L34" i="21"/>
  <c r="J92" i="21"/>
  <c r="L92" i="21"/>
  <c r="J91" i="21"/>
  <c r="L91" i="21"/>
  <c r="K16" i="21"/>
  <c r="M16"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alcChain>
</file>

<file path=xl/sharedStrings.xml><?xml version="1.0" encoding="utf-8"?>
<sst xmlns="http://schemas.openxmlformats.org/spreadsheetml/2006/main" count="4400" uniqueCount="232">
  <si>
    <t>USA / TRINIDAD SHIPPING TARIFF</t>
  </si>
  <si>
    <t>POL</t>
  </si>
  <si>
    <t>POD</t>
  </si>
  <si>
    <t>OF/Bunker</t>
  </si>
  <si>
    <t xml:space="preserve">THC </t>
  </si>
  <si>
    <t>LAC</t>
  </si>
  <si>
    <t>ISPS</t>
  </si>
  <si>
    <t>Container Inspection</t>
  </si>
  <si>
    <t>Peak season Surcharge</t>
  </si>
  <si>
    <t>Total without Insurance</t>
  </si>
  <si>
    <t xml:space="preserve">Insurance </t>
  </si>
  <si>
    <t>Total with Insurance</t>
  </si>
  <si>
    <t xml:space="preserve">Transit Time </t>
  </si>
  <si>
    <t xml:space="preserve">Validity </t>
  </si>
  <si>
    <t>Carrier</t>
  </si>
  <si>
    <t>Port Everglades</t>
  </si>
  <si>
    <t>Point Lisas</t>
  </si>
  <si>
    <t>20ft</t>
  </si>
  <si>
    <t>N/A</t>
  </si>
  <si>
    <t xml:space="preserve">6 days </t>
  </si>
  <si>
    <t>31/10/2026</t>
  </si>
  <si>
    <t>King Ocean</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</si>
  <si>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</si>
  <si>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</si>
  <si>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</si>
  <si>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</si>
  <si>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</si>
  <si>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</si>
  <si>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</si>
  <si>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</si>
  <si>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</si>
  <si>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</si>
  <si>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</si>
  <si>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</si>
  <si>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</si>
  <si>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</si>
  <si>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</si>
  <si>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</si>
  <si>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</si>
  <si>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Maersk</t>
  </si>
  <si>
    <t>Space is available, there is an increase in demand this month so advanced bookings are recommended.</t>
  </si>
  <si>
    <t>Santos/Imbituba/Salvador (TILES)</t>
  </si>
  <si>
    <t>23-28</t>
  </si>
  <si>
    <t>CMA CGM</t>
  </si>
  <si>
    <t>Space is available</t>
  </si>
  <si>
    <t>Santos/Salvador/Itajaí (TILES)</t>
  </si>
  <si>
    <t>MSC</t>
  </si>
  <si>
    <t xml:space="preserve">MSC are having issues with shortage of 20ft containers </t>
  </si>
  <si>
    <t>Santos/Itajai/Paranagua/Rio Grande(Lumber)</t>
  </si>
  <si>
    <t>CHINA / TRINIDAD SHIPPING TARIFF</t>
  </si>
  <si>
    <t>Other Port Charges</t>
  </si>
  <si>
    <t>Local Handling</t>
  </si>
  <si>
    <t>Admin</t>
  </si>
  <si>
    <t>Total w/out Insurance</t>
  </si>
  <si>
    <t>Shenzhen/Shanghai/Ningbo/Xiamen/Shekou/Yantian/Qingdao)</t>
  </si>
  <si>
    <t>Port of Spain/Point Lisas</t>
  </si>
  <si>
    <t>45-55</t>
  </si>
  <si>
    <t>11/10/2026</t>
  </si>
  <si>
    <t>Space is becoming more available, advanced bookings are still high advised.</t>
  </si>
  <si>
    <t xml:space="preserve">Gaoming </t>
  </si>
  <si>
    <t>Shanghai/Xiamen/Tianjin/Shenzhen/Ningbo/Qingdao/Hong Kong/Xingang/Yantian</t>
  </si>
  <si>
    <t>07/10/2026</t>
  </si>
  <si>
    <t>COSCO</t>
  </si>
  <si>
    <t>Severe Space issues, booking need to be made 7 days before ETA</t>
  </si>
  <si>
    <t xml:space="preserve">Tianjin/Jiujiang (Shunde)/Hong Kong/Dalian </t>
  </si>
  <si>
    <t xml:space="preserve">Space is becoming more available, advanced bookings are still high advised.
</t>
  </si>
  <si>
    <t>Dalian/Gaoming(Foshan)/Sanshui/Yunfu/Nansha/Huangpu/Guangzhou</t>
  </si>
  <si>
    <t xml:space="preserve">Nansha/Guangzhou/Huangpu </t>
  </si>
  <si>
    <t xml:space="preserve">Nanjing/Jiujiang (Jiangxi) </t>
  </si>
  <si>
    <t>Shekou/Shanghai/Ningbo/Qingdao/Xiamen/Hong Kong/Yantian</t>
  </si>
  <si>
    <t>ONE</t>
  </si>
  <si>
    <t>Space is LIMITED, no guarantee to obtain space.
OVW FEE: USD200 AFTER 18 TONS</t>
  </si>
  <si>
    <t xml:space="preserve">Shantou </t>
  </si>
  <si>
    <t>Liangyungang</t>
  </si>
  <si>
    <t>Yichang</t>
  </si>
  <si>
    <t>KOREA / TRINIDAD SHIPPING TARIFF</t>
  </si>
  <si>
    <t>Busan</t>
  </si>
  <si>
    <t>Port of Spain/ Point Lisas</t>
  </si>
  <si>
    <t>TAIWAN / TRINIDAD SHIPPING TARIFF</t>
  </si>
  <si>
    <t xml:space="preserve">Keelung/ Kaoisung </t>
  </si>
  <si>
    <t>55-60</t>
  </si>
  <si>
    <t>JAPAN / TRINIDAD SHIPPING TARIFF</t>
  </si>
  <si>
    <t xml:space="preserve">Yokohama, Osaka, Nagoya </t>
  </si>
  <si>
    <t>VIETNAM / TRINIDAD SHIPPING TARIFF</t>
  </si>
  <si>
    <t xml:space="preserve">Ho Chi Minh </t>
  </si>
  <si>
    <t>MALAYSIA / TRINIDAD SHIPPING TARIFF</t>
  </si>
  <si>
    <t xml:space="preserve">Port Klang, Pasir Gudang </t>
  </si>
  <si>
    <t>Space is ok, space released once booking form is completed</t>
  </si>
  <si>
    <t>THAILAND/ TRINIDAD SHIPPING TARIFF</t>
  </si>
  <si>
    <t xml:space="preserve">Bangkok </t>
  </si>
  <si>
    <t>PANAMA / TRINIDAD SHIPPING TARIFF</t>
  </si>
  <si>
    <t>LAC/Local charges</t>
  </si>
  <si>
    <t>Manzanillo</t>
  </si>
  <si>
    <t>14/10/2026</t>
  </si>
  <si>
    <t>TURKEY / TRINIDAD SHIPPING TARIFF</t>
  </si>
  <si>
    <t>ISPS&amp;Container Inspection</t>
  </si>
  <si>
    <t>Docs</t>
  </si>
  <si>
    <t>Gemlik (TILES)</t>
  </si>
  <si>
    <t>Port-of-Spain</t>
  </si>
  <si>
    <t>55-65</t>
  </si>
  <si>
    <t>Gebze/ Gemilk / Aliaga/ Istanbul</t>
  </si>
  <si>
    <t>COLOMBIA / TRINIDAD SHIPPING TARIFF</t>
  </si>
  <si>
    <t>Buenaventura</t>
  </si>
  <si>
    <t>16-20</t>
  </si>
  <si>
    <t>Cartagena</t>
  </si>
  <si>
    <t>MEXICO / TRINIDAD SHIPPING TARIFF</t>
  </si>
  <si>
    <t>Altamira</t>
  </si>
  <si>
    <t>Port-of-Spain/ Point Lisas</t>
  </si>
  <si>
    <t>CMA</t>
  </si>
  <si>
    <t>GUYANA TO TRINIDAD SHIPPING TARIFF</t>
  </si>
  <si>
    <t>Agency Admin (Guyana)</t>
  </si>
  <si>
    <t>Destination Terminal Handling Charge (DTHC)</t>
  </si>
  <si>
    <t>Destination LAC</t>
  </si>
  <si>
    <t>Georgetown</t>
  </si>
  <si>
    <t>1-2 days</t>
  </si>
  <si>
    <t>DOMINICAN REPUBLIC / TRINIDAD SHIPPING TARIFF</t>
  </si>
  <si>
    <t>Port Charges</t>
  </si>
  <si>
    <t>Caucedo</t>
  </si>
  <si>
    <t>-</t>
  </si>
  <si>
    <t>2-4</t>
  </si>
  <si>
    <t>USA / GUYANA SHIPPING TARIFF</t>
  </si>
  <si>
    <t>Peak Season Surcharge</t>
  </si>
  <si>
    <t>Free Days</t>
  </si>
  <si>
    <t>12-15 days</t>
  </si>
  <si>
    <t>14 Days</t>
  </si>
  <si>
    <t>14 days</t>
  </si>
  <si>
    <t>22 days</t>
  </si>
  <si>
    <t xml:space="preserve">New York </t>
  </si>
  <si>
    <t>15 days</t>
  </si>
  <si>
    <t>BRAZIL / GUYANA SHIPPING TARIFF</t>
  </si>
  <si>
    <t>Ocean Freight</t>
  </si>
  <si>
    <t>DTHC</t>
  </si>
  <si>
    <t>Santos/Rio de Janiero/Salvador/Parangua</t>
  </si>
  <si>
    <t>39-43</t>
  </si>
  <si>
    <t>ZIM</t>
  </si>
  <si>
    <t>Space is very limited, sailings are booking quickly so advanced bookings are recommended.</t>
  </si>
  <si>
    <t xml:space="preserve"> Included </t>
  </si>
  <si>
    <t>21 Days</t>
  </si>
  <si>
    <t>Space is available, sailings are booking quickly so advanced bookings are recommended.</t>
  </si>
  <si>
    <t>Santos/Itajaí (TILES)</t>
  </si>
  <si>
    <t>Santos / Itapoá (TILES)</t>
  </si>
  <si>
    <t xml:space="preserve">
</t>
  </si>
  <si>
    <t>CHINA / GUYANA SHIPPING TARIFF</t>
  </si>
  <si>
    <t>Handling Fee</t>
  </si>
  <si>
    <t>Comments</t>
  </si>
  <si>
    <t>Free time</t>
  </si>
  <si>
    <t xml:space="preserve">Shenzhen/ Shanghai/ Ningbo/ Qingdao/ Xiamen/ Hong Kong/ Chiwan/Yantian/Xingang </t>
  </si>
  <si>
    <t xml:space="preserve">Foshan/Gaoming/Yunfu/Tianjin/Guangzhou </t>
  </si>
  <si>
    <t>Shenzhen/ Shanghai/ Ningbo/ Qingdao/ Xiamen/ Hong Kong/ Chiwan/Yantian/Xingang/Tianjin</t>
  </si>
  <si>
    <t>17 days</t>
  </si>
  <si>
    <t>Yunfu/Gaoming</t>
  </si>
  <si>
    <t>JAPAN / GUYANA SHIPPING TARIFF</t>
  </si>
  <si>
    <t>Yokohama, Osaka, Nagoya, Tokyo</t>
  </si>
  <si>
    <t>MALAYSIA / GUYANA SHIPPING TARIFF</t>
  </si>
  <si>
    <t>Port Klang, Tanjung</t>
  </si>
  <si>
    <t>PANAMA / GUYANA SHIPPING TARIFF</t>
  </si>
  <si>
    <t>Guyana Port Congestion</t>
  </si>
  <si>
    <t>15 to 16 days</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</si>
  <si>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</si>
  <si>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</si>
  <si>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</si>
  <si>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</si>
  <si>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</si>
  <si>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</si>
  <si>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</si>
  <si>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</si>
  <si>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</si>
  <si>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</si>
  <si>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</si>
  <si>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</si>
  <si>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</si>
  <si>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</si>
  <si>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</si>
  <si>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</si>
  <si>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</si>
  <si>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</si>
  <si>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</si>
  <si>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</si>
  <si>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</si>
  <si>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</si>
  <si>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</si>
  <si>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Santos (Tiles)</t>
  </si>
  <si>
    <t>Included</t>
  </si>
  <si>
    <t>CHINA / SURINAME SHIPPING TARIFF</t>
  </si>
  <si>
    <t>Shenzhen/ Shanghai/ Ningbo/ Qingdao/ Xiamen/ Hong Kong/ Chiwan/Yantian</t>
  </si>
  <si>
    <t>65-75</t>
  </si>
  <si>
    <t xml:space="preserve">Port Charges does not incl. storage fees. </t>
  </si>
  <si>
    <t>KOREA / SURINAME SHIPPING TARIFF</t>
  </si>
  <si>
    <t xml:space="preserve">Space is LIMITED, BOOK NOW
Port Charges does not incl. storage fees. </t>
  </si>
  <si>
    <t>MALAYSIA / SURINAME SHIPPING TARIFF</t>
  </si>
  <si>
    <t>Port Klang/ Pasir Gudang</t>
  </si>
  <si>
    <t>VIETNAM / SURINAME SHIPPING TARIFF</t>
  </si>
  <si>
    <t>Ho Chi Minh</t>
  </si>
  <si>
    <t xml:space="preserve">Port Charges does not incl. deposit, extra dienst or storage fees. </t>
  </si>
  <si>
    <t>JAPAN / SURINAME SHIPPING TARIFF</t>
  </si>
  <si>
    <t>Yokohama</t>
  </si>
  <si>
    <t>THAILAND/ SURINAME SHIPPING TARIFF</t>
  </si>
  <si>
    <t>Bangkok</t>
  </si>
  <si>
    <t> </t>
  </si>
  <si>
    <t>PANAMA / SURINAME SHIPPING TARIFF</t>
  </si>
  <si>
    <t>Administration</t>
  </si>
  <si>
    <t>COLOMBIA/ SURINAME SHIPPING TARIFF</t>
  </si>
  <si>
    <t>TRINIDAD TO GUYANA SHIPPING TARIFF</t>
  </si>
  <si>
    <t>Emergency Fuel Surcharge</t>
  </si>
  <si>
    <t xml:space="preserve">OTHC </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</si>
  <si>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</si>
  <si>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</si>
  <si>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</si>
  <si>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</si>
  <si>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</si>
  <si>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</si>
  <si>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</si>
  <si>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</si>
  <si>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</si>
  <si>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</si>
  <si>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5 days</t>
  </si>
  <si>
    <t>TRINIDAD TO DOMINICAN REPUBLIC SHIPPING TARIFF</t>
  </si>
  <si>
    <t>Hapag Lloyd</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</si>
  <si>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</si>
  <si>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</si>
  <si>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</si>
  <si>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</si>
  <si>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</si>
  <si>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</si>
  <si>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</si>
  <si>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</si>
  <si>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</si>
  <si>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</si>
  <si>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</si>
  <si>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</si>
  <si>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</si>
  <si>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Space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</si>
</sst>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43" formatCode="_(* #,##0.00_);_(* \(#,##0.00\);_(* &quot;-&quot;??_);_(@_)"/>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74">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7" fillId="5" borderId="1" xfId="0" applyFont="1" applyFill="1" applyBorder="1" applyAlignment="1">
      <alignment vertical="center"/>
    </xf>
    <xf numFmtId="0" fontId="0" fillId="5" borderId="36" xfId="0" applyFill="1" applyBorder="1" applyAlignment="1">
      <alignment horizontal="center" vertical="center" wrapText="1"/>
    </xf>
    <xf numFmtId="0" fontId="0" fillId="5" borderId="1" xfId="0" applyFill="1" applyBorder="1" applyAlignment="1">
      <alignment horizontal="center" vertical="center"/>
    </xf>
    <xf numFmtId="0" fontId="7" fillId="0" borderId="1" xfId="0" applyFont="1" applyBorder="1" applyAlignment="1">
      <alignment horizontal="center"/>
    </xf>
    <xf numFmtId="8" fontId="9" fillId="0" borderId="1" xfId="0" applyNumberFormat="1" applyFont="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67" xfId="0" applyBorder="1"/>
    <xf numFmtId="8" fontId="9" fillId="0" borderId="67" xfId="0" applyNumberFormat="1" applyFont="1" applyBorder="1"/>
    <xf numFmtId="44" fontId="0" fillId="0" borderId="67" xfId="1" applyFont="1" applyBorder="1"/>
    <xf numFmtId="44" fontId="0" fillId="0" borderId="67" xfId="1" applyFont="1" applyBorder="1" applyAlignment="1">
      <alignment horizontal="right"/>
    </xf>
    <xf numFmtId="8" fontId="2" fillId="0" borderId="67" xfId="1" applyNumberFormat="1" applyFont="1" applyBorder="1"/>
    <xf numFmtId="0" fontId="0" fillId="0" borderId="67" xfId="0" applyBorder="1" applyAlignment="1">
      <alignment horizontal="left"/>
    </xf>
    <xf numFmtId="14" fontId="0" fillId="0" borderId="67" xfId="0" applyNumberFormat="1" applyBorder="1" applyAlignment="1">
      <alignment vertical="center"/>
    </xf>
    <xf numFmtId="0" fontId="2" fillId="0" borderId="67" xfId="0" applyFont="1" applyBorder="1" applyAlignment="1">
      <alignment horizontal="center" vertical="center" wrapText="1"/>
    </xf>
    <xf numFmtId="0" fontId="0" fillId="0" borderId="68" xfId="0" applyBorder="1"/>
    <xf numFmtId="0" fontId="4" fillId="2" borderId="5" xfId="0" applyFont="1" applyFill="1" applyBorder="1" applyAlignment="1">
      <alignment horizontal="left"/>
    </xf>
    <xf numFmtId="0" fontId="0" fillId="0" borderId="69"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44" fontId="0" fillId="0" borderId="1" xfId="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44" fontId="2" fillId="0" borderId="1" xfId="1" applyFont="1" applyFill="1" applyBorder="1"/>
    <xf numFmtId="0" fontId="0" fillId="0" borderId="5" xfId="0" applyBorder="1"/>
    <xf numFmtId="44" fontId="15" fillId="0" borderId="1" xfId="1" applyFont="1" applyFill="1" applyBorder="1" applyAlignment="1">
      <alignment horizontal="center"/>
    </xf>
    <xf numFmtId="44" fontId="0" fillId="0" borderId="5" xfId="1" applyFont="1" applyFill="1" applyBorder="1" applyAlignment="1">
      <alignment horizontal="center"/>
    </xf>
    <xf numFmtId="0" fontId="0" fillId="0" borderId="1" xfId="0" applyBorder="1" applyAlignment="1">
      <alignment vertical="center"/>
    </xf>
    <xf numFmtId="49" fontId="0" fillId="5" borderId="1" xfId="0" applyNumberFormat="1" applyFill="1" applyBorder="1" applyAlignment="1">
      <alignment horizontal="center"/>
    </xf>
    <xf numFmtId="49" fontId="15" fillId="0" borderId="1" xfId="0" applyNumberFormat="1" applyFont="1" applyBorder="1" applyAlignment="1">
      <alignment horizontal="left" vertical="center"/>
    </xf>
    <xf numFmtId="14" fontId="15" fillId="0" borderId="0" xfId="0" applyNumberFormat="1" applyFont="1" applyAlignment="1">
      <alignment horizontal="left" vertical="center"/>
    </xf>
    <xf numFmtId="14" fontId="15" fillId="0" borderId="5" xfId="0" applyNumberFormat="1" applyFont="1" applyBorder="1" applyAlignment="1">
      <alignment horizontal="left" vertical="center"/>
    </xf>
    <xf numFmtId="0" fontId="5" fillId="0" borderId="9" xfId="0" applyFont="1" applyBorder="1" applyAlignment="1">
      <alignment vertical="center"/>
    </xf>
    <xf numFmtId="49" fontId="0" fillId="5" borderId="5" xfId="0" applyNumberFormat="1" applyFill="1" applyBorder="1" applyAlignment="1">
      <alignment vertical="center"/>
    </xf>
    <xf numFmtId="8" fontId="9" fillId="0" borderId="1" xfId="0" applyNumberFormat="1" applyFont="1" applyBorder="1" applyAlignment="1">
      <alignment horizontal="right"/>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6" xfId="0" applyFill="1" applyBorder="1" applyAlignment="1">
      <alignment horizontal="center" vertical="center" wrapText="1"/>
    </xf>
    <xf numFmtId="0" fontId="7" fillId="5" borderId="1" xfId="0" applyFont="1" applyFill="1" applyBorder="1" applyAlignment="1">
      <alignment horizontal="center" vertical="center"/>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0" xfId="0" applyFill="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5" fillId="3" borderId="42"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44" xfId="0" applyFont="1" applyFill="1" applyBorder="1" applyAlignment="1">
      <alignment horizontal="center" vertical="center"/>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5" fillId="3" borderId="13"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44" xfId="0" applyFont="1" applyFill="1" applyBorder="1" applyAlignment="1">
      <alignment horizontal="center" vertical="center"/>
    </xf>
    <xf numFmtId="0" fontId="10" fillId="6" borderId="8" xfId="0" applyFont="1" applyFill="1" applyBorder="1" applyAlignment="1">
      <alignment horizontal="center" wrapText="1"/>
    </xf>
    <xf numFmtId="0" fontId="10" fillId="6" borderId="10" xfId="0" applyFont="1" applyFill="1" applyBorder="1" applyAlignment="1">
      <alignment horizontal="center" wrapText="1"/>
    </xf>
    <xf numFmtId="0" fontId="10" fillId="6" borderId="7" xfId="0" applyFont="1" applyFill="1" applyBorder="1" applyAlignment="1">
      <alignment horizontal="center" wrapText="1"/>
    </xf>
    <xf numFmtId="0" fontId="10" fillId="6" borderId="14" xfId="0" applyFont="1" applyFill="1" applyBorder="1" applyAlignment="1">
      <alignment horizontal="center" wrapText="1"/>
    </xf>
    <xf numFmtId="0" fontId="5" fillId="3" borderId="59" xfId="0" applyFont="1" applyFill="1" applyBorder="1" applyAlignment="1">
      <alignment horizontal="center" vertical="center"/>
    </xf>
    <xf numFmtId="0" fontId="0" fillId="0" borderId="45" xfId="0" applyBorder="1" applyAlignment="1">
      <alignment horizontal="center" vertical="center" wrapText="1"/>
    </xf>
    <xf numFmtId="0" fontId="0" fillId="0" borderId="66" xfId="0" applyBorder="1" applyAlignment="1">
      <alignment horizontal="center" vertical="center" wrapText="1"/>
    </xf>
    <xf numFmtId="0" fontId="7" fillId="0" borderId="2" xfId="0" applyFont="1" applyBorder="1" applyAlignment="1">
      <alignment horizontal="center" vertical="center"/>
    </xf>
    <xf numFmtId="0" fontId="7" fillId="0" borderId="63" xfId="0" applyFont="1" applyBorder="1" applyAlignment="1">
      <alignment horizontal="center" vertical="center"/>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0" fillId="5" borderId="1" xfId="0" applyFill="1" applyBorder="1" applyAlignment="1">
      <alignment horizont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7" xfId="0" applyFont="1" applyBorder="1" applyAlignment="1">
      <alignment vertical="center" wrapText="1"/>
    </xf>
    <xf numFmtId="0" fontId="2" fillId="0" borderId="14" xfId="0" applyFont="1" applyBorder="1" applyAlignment="1">
      <alignment vertical="center" wrapText="1"/>
    </xf>
    <xf numFmtId="0" fontId="5" fillId="3" borderId="48" xfId="0" applyFont="1"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36" xfId="0"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4" fillId="2" borderId="1" xfId="0" applyFont="1" applyFill="1" applyBorder="1" applyAlignment="1">
      <alignment horizontal="left"/>
    </xf>
    <xf numFmtId="0" fontId="0" fillId="0" borderId="36" xfId="0" applyBorder="1" applyAlignment="1">
      <alignment horizontal="center" vertical="center" wrapText="1"/>
    </xf>
    <xf numFmtId="0" fontId="0" fillId="0" borderId="1" xfId="0" applyBorder="1" applyAlignment="1">
      <alignment horizontal="center" vertical="center"/>
    </xf>
    <xf numFmtId="0" fontId="0" fillId="0" borderId="60" xfId="0" applyBorder="1" applyAlignment="1">
      <alignment horizontal="center" vertic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5" borderId="20" xfId="0" applyFont="1" applyFill="1" applyBorder="1" applyAlignment="1">
      <alignment horizontal="center" vertical="center" wrapText="1"/>
    </xf>
    <xf numFmtId="0" fontId="2" fillId="0" borderId="4"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7" fillId="5" borderId="3" xfId="0" applyFont="1" applyFill="1" applyBorder="1"/>
    <xf numFmtId="0" fontId="7" fillId="5" borderId="15" xfId="0" applyFont="1" applyFill="1" applyBorder="1"/>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8" fillId="4" borderId="1" xfId="0" applyFont="1" applyFill="1" applyBorder="1"/>
    <xf numFmtId="0" fontId="7" fillId="5" borderId="0" xfId="0" applyFont="1" applyFill="1"/>
    <xf numFmtId="0" fontId="8" fillId="4" borderId="20" xfId="0" applyFont="1" applyFill="1" applyBorder="1"/>
    <xf numFmtId="0" fontId="8" fillId="4" borderId="19" xfId="0" applyFont="1" applyFill="1" applyBorder="1"/>
    <xf numFmtId="0" fontId="11" fillId="3" borderId="13" xfId="0" applyFont="1" applyFill="1" applyBorder="1" applyAlignment="1">
      <alignment horizontal="center"/>
    </xf>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11" fillId="3" borderId="43" xfId="0" applyFont="1" applyFill="1" applyBorder="1" applyAlignment="1">
      <alignment horizontal="center"/>
    </xf>
    <xf numFmtId="0" fontId="11" fillId="3" borderId="44" xfId="0" applyFont="1" applyFill="1" applyBorder="1" applyAlignment="1">
      <alignment horizontal="center"/>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4"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7" fillId="5" borderId="30" xfId="0" applyFont="1" applyFill="1" applyBorder="1" applyAlignment="1">
      <alignment vertical="center"/>
    </xf>
    <xf numFmtId="0" fontId="0" fillId="5" borderId="38" xfId="0" applyFill="1" applyBorder="1" applyAlignment="1">
      <alignment horizontal="center" vertical="center" wrapText="1"/>
    </xf>
    <xf numFmtId="0" fontId="4" fillId="0" borderId="11" xfId="0" applyFont="1" applyBorder="1" applyAlignment="1">
      <alignment horizontal="center" vertical="center"/>
    </xf>
    <xf numFmtId="0" fontId="4" fillId="0" borderId="0" xfId="0" applyFont="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70" xfId="0" applyFont="1" applyFill="1" applyBorder="1" applyAlignment="1">
      <alignment horizontal="center" vertical="center"/>
    </xf>
    <xf numFmtId="0" fontId="5" fillId="3" borderId="9"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48</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111</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129</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155</xdr:row>
      <xdr:rowOff>0</xdr:rowOff>
    </xdr:from>
    <xdr:ext cx="2339340" cy="770854"/>
    <xdr:pic>
      <xdr:nvPicPr>
        <xdr:cNvPr id="9"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oneCellAnchor>
    <xdr:from>
      <xdr:col>1</xdr:col>
      <xdr:colOff>21772</xdr:colOff>
      <xdr:row>181</xdr:row>
      <xdr:rowOff>0</xdr:rowOff>
    </xdr:from>
    <xdr:ext cx="2339340" cy="770854"/>
    <xdr:pic>
      <xdr:nvPicPr>
        <xdr:cNvPr id="10" name="Picture 7" descr="A blue and black logo&#10;&#10;Description automatically generated">
          <a:extLst>
            <a:ext uri="{FF2B5EF4-FFF2-40B4-BE49-F238E27FC236}">
              <a16:creationId xmlns:a16="http://schemas.microsoft.com/office/drawing/2014/main" id="{A2073D2A-8878-4AF9-BBD2-B60AE5850FC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1372" y="39790914"/>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48</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81</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101</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115</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45</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82</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0</xdr:col>
      <xdr:colOff>600075</xdr:colOff>
      <xdr:row>98</xdr:row>
      <xdr:rowOff>57150</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0075" y="22221825"/>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T1048572"/>
  <sheetViews>
    <sheetView topLeftCell="A55" zoomScale="80" zoomScaleNormal="80" workbookViewId="0">
      <selection activeCell="T1" sqref="T1:T1048576"/>
    </sheetView>
  </sheetViews>
  <sheetFormatPr defaultColWidth="8.88671875" defaultRowHeight="14.4" x14ac:dyDescent="0.3"/>
  <cols>
    <col min="1" max="1" width="8.88671875" style="19"/>
    <col min="2" max="2" width="45.5546875" style="19" customWidth="1"/>
    <col min="3" max="3" width="21.33203125" style="19" bestFit="1" customWidth="1"/>
    <col min="4" max="4" width="5.6640625" style="19" bestFit="1" customWidth="1"/>
    <col min="5" max="5" width="14" style="19" customWidth="1"/>
    <col min="6" max="6" width="11.6640625" style="52" bestFit="1" customWidth="1"/>
    <col min="7" max="7" width="13" style="52" customWidth="1"/>
    <col min="8" max="8" width="14.88671875" style="52" customWidth="1"/>
    <col min="9" max="9" width="16.6640625" style="52" bestFit="1" customWidth="1"/>
    <col min="10" max="10" width="17.44140625" style="19" customWidth="1"/>
    <col min="11" max="11" width="16.6640625" style="19" bestFit="1" customWidth="1"/>
    <col min="12" max="12" width="16.109375" style="19" bestFit="1" customWidth="1"/>
    <col min="13" max="13" width="17.88671875" style="19" customWidth="1"/>
    <col min="14" max="14" width="16.33203125" style="19" customWidth="1"/>
    <col min="15" max="15" width="13" style="19" customWidth="1"/>
    <col min="16" max="16" width="14.109375" style="19" customWidth="1"/>
    <col min="17" max="17" width="14.44140625" style="19" customWidth="1"/>
    <col min="18" max="18" width="42" style="19" customWidth="1"/>
    <col min="19" max="19" width="15.33203125" style="19" customWidth="1"/>
    <col min="20" max="20" width="8.88671875" style="19" customWidth="1"/>
    <col min="21" max="22" width="9.109375" style="19" bestFit="1" customWidth="1"/>
    <col min="23" max="23" width="10.33203125" style="19" bestFit="1" customWidth="1"/>
    <col min="24" max="16384" width="8.88671875" style="19"/>
  </cols>
  <sheetData>
    <row r="7" spans="2:17" x14ac:dyDescent="0.3">
      <c r="B7" s="18"/>
      <c r="C7" s="18"/>
      <c r="D7" s="18"/>
      <c r="E7" s="18"/>
      <c r="F7" s="18"/>
      <c r="G7" s="18"/>
      <c r="H7" s="18"/>
      <c r="I7" s="18"/>
      <c r="J7" s="18"/>
      <c r="K7" s="18"/>
      <c r="L7" s="18"/>
      <c r="M7" s="18"/>
      <c r="N7" s="18"/>
      <c r="O7" s="18"/>
      <c r="P7" s="18"/>
    </row>
    <row r="8" spans="2:17" ht="28.8" x14ac:dyDescent="0.3">
      <c r="B8" s="254" t="s">
        <v>0</v>
      </c>
      <c r="C8" s="254"/>
      <c r="D8" s="254"/>
      <c r="E8" s="254"/>
      <c r="F8" s="254"/>
      <c r="G8" s="254"/>
      <c r="H8" s="254"/>
      <c r="I8" s="254"/>
      <c r="J8" s="254"/>
      <c r="K8" s="254"/>
      <c r="L8" s="254"/>
      <c r="M8" s="254"/>
      <c r="N8" s="254"/>
      <c r="O8" s="254"/>
      <c r="P8" s="254"/>
    </row>
    <row r="9" spans="2:17" ht="28.8" x14ac:dyDescent="0.3">
      <c r="B9" s="4" t="s">
        <v>1</v>
      </c>
      <c r="C9" s="223" t="s">
        <v>2</v>
      </c>
      <c r="D9" s="223"/>
      <c r="E9" s="122" t="s">
        <v>3</v>
      </c>
      <c r="F9" s="122" t="s">
        <v>4</v>
      </c>
      <c r="G9" s="122" t="s">
        <v>5</v>
      </c>
      <c r="H9" s="122" t="s">
        <v>6</v>
      </c>
      <c r="I9" s="3" t="s">
        <v>7</v>
      </c>
      <c r="J9" s="3" t="s">
        <v>8</v>
      </c>
      <c r="K9" s="3" t="s">
        <v>9</v>
      </c>
      <c r="L9" s="3" t="s">
        <v>10</v>
      </c>
      <c r="M9" s="3" t="s">
        <v>11</v>
      </c>
      <c r="N9" s="122" t="s">
        <v>12</v>
      </c>
      <c r="O9" s="122" t="s">
        <v>13</v>
      </c>
      <c r="P9" s="4" t="s">
        <v>14</v>
      </c>
    </row>
    <row r="10" spans="2:17" x14ac:dyDescent="0.3">
      <c r="B10" s="290" t="s">
        <v>15</v>
      </c>
      <c r="C10" s="290" t="s">
        <v>16</v>
      </c>
      <c r="D10" s="20" t="s">
        <v>17</v>
      </c>
      <c r="E10" s="21">
        <v>1700</v>
      </c>
      <c r="F10" s="22">
        <v>410</v>
      </c>
      <c r="G10" s="22">
        <v>80</v>
      </c>
      <c r="H10" s="22" t="s">
        <v>18</v>
      </c>
      <c r="I10" s="22" t="s">
        <v>18</v>
      </c>
      <c r="J10" s="22">
        <v>250</v>
      </c>
      <c r="K10" s="23">
        <f t="shared" ref="K10:K21" si="0">SUM(E10:J10)</f>
        <v>2440</v>
      </c>
      <c r="L10" s="24">
        <v>200</v>
      </c>
      <c r="M10" s="23">
        <f t="shared" ref="M10:M21" si="1">K10+L10</f>
        <v>2640</v>
      </c>
      <c r="N10" s="116" t="s">
        <v>19</v>
      </c>
      <c r="O10" s="214" t="s">
        <v>20</v>
      </c>
      <c r="P10" s="25" t="s">
        <v>21</v>
      </c>
    </row>
    <row r="11" spans="2:17" x14ac:dyDescent="0.3">
      <c r="B11" s="291"/>
      <c r="C11" s="291"/>
      <c r="D11" s="20" t="s">
        <v>22</v>
      </c>
      <c r="E11" s="21">
        <v>2700</v>
      </c>
      <c r="F11" s="22">
        <v>410</v>
      </c>
      <c r="G11" s="22">
        <v>80</v>
      </c>
      <c r="H11" s="22" t="s">
        <v>18</v>
      </c>
      <c r="I11" s="22" t="s">
        <v>18</v>
      </c>
      <c r="J11" s="22">
        <v>500</v>
      </c>
      <c r="K11" s="23">
        <f t="shared" si="0"/>
        <v>3690</v>
      </c>
      <c r="L11" s="24">
        <v>200</v>
      </c>
      <c r="M11" s="23">
        <f t="shared" si="1"/>
        <v>3890</v>
      </c>
      <c r="N11" s="116" t="s">
        <v>19</v>
      </c>
      <c r="O11" s="214" t="s">
        <v>20</v>
      </c>
      <c r="P11" s="25" t="s">
        <v>21</v>
      </c>
    </row>
    <row r="12" spans="2:17" x14ac:dyDescent="0.3">
      <c r="B12" s="291"/>
      <c r="C12" s="290" t="s">
        <v>16</v>
      </c>
      <c r="D12" s="112" t="s">
        <v>17</v>
      </c>
      <c r="E12" s="21">
        <f>(1275)+525</f>
        <v>1800</v>
      </c>
      <c r="F12" s="22">
        <v>355</v>
      </c>
      <c r="G12" s="22">
        <v>80</v>
      </c>
      <c r="H12" s="22">
        <v>14</v>
      </c>
      <c r="I12" s="22">
        <v>15</v>
      </c>
      <c r="J12" s="22">
        <v>250</v>
      </c>
      <c r="K12" s="23">
        <f t="shared" si="0"/>
        <v>2514</v>
      </c>
      <c r="L12" s="24">
        <v>200</v>
      </c>
      <c r="M12" s="23">
        <f t="shared" si="1"/>
        <v>2714</v>
      </c>
      <c r="N12" s="116" t="s">
        <v>19</v>
      </c>
      <c r="O12" s="214" t="s">
        <v>20</v>
      </c>
      <c r="P12" s="25" t="s">
        <v>23</v>
      </c>
    </row>
    <row r="13" spans="2:17" x14ac:dyDescent="0.3">
      <c r="B13" s="291"/>
      <c r="C13" s="291"/>
      <c r="D13" s="112" t="s">
        <v>22</v>
      </c>
      <c r="E13" s="21">
        <f>(1935)+515</f>
        <v>2450</v>
      </c>
      <c r="F13" s="22">
        <v>355</v>
      </c>
      <c r="G13" s="22">
        <v>80</v>
      </c>
      <c r="H13" s="22">
        <v>14</v>
      </c>
      <c r="I13" s="22">
        <v>25</v>
      </c>
      <c r="J13" s="22">
        <v>500</v>
      </c>
      <c r="K13" s="23">
        <f t="shared" si="0"/>
        <v>3424</v>
      </c>
      <c r="L13" s="24">
        <v>200</v>
      </c>
      <c r="M13" s="23">
        <f t="shared" si="1"/>
        <v>3624</v>
      </c>
      <c r="N13" s="116" t="s">
        <v>19</v>
      </c>
      <c r="O13" s="214" t="s">
        <v>20</v>
      </c>
      <c r="P13" s="25" t="s">
        <v>23</v>
      </c>
      <c r="Q13" s="26"/>
    </row>
    <row r="14" spans="2:17" x14ac:dyDescent="0.3">
      <c r="B14" s="292" t="s">
        <v>24</v>
      </c>
      <c r="C14" s="242" t="s">
        <v>16</v>
      </c>
      <c r="D14" s="20" t="s">
        <v>17</v>
      </c>
      <c r="E14" s="21">
        <f>(1225+265)+500</f>
        <v>1990</v>
      </c>
      <c r="F14" s="22">
        <v>355</v>
      </c>
      <c r="G14" s="22">
        <v>80</v>
      </c>
      <c r="H14" s="22">
        <v>14</v>
      </c>
      <c r="I14" s="22">
        <v>15</v>
      </c>
      <c r="J14" s="22">
        <v>250</v>
      </c>
      <c r="K14" s="23">
        <f t="shared" si="0"/>
        <v>2704</v>
      </c>
      <c r="L14" s="24">
        <v>200</v>
      </c>
      <c r="M14" s="23">
        <f t="shared" si="1"/>
        <v>2904</v>
      </c>
      <c r="N14" s="116" t="s">
        <v>25</v>
      </c>
      <c r="O14" s="214" t="s">
        <v>20</v>
      </c>
      <c r="P14" s="25" t="s">
        <v>23</v>
      </c>
    </row>
    <row r="15" spans="2:17" x14ac:dyDescent="0.3">
      <c r="B15" s="293"/>
      <c r="C15" s="242"/>
      <c r="D15" s="20" t="s">
        <v>22</v>
      </c>
      <c r="E15" s="21">
        <f>(1950+530)+500</f>
        <v>2980</v>
      </c>
      <c r="F15" s="22">
        <v>355</v>
      </c>
      <c r="G15" s="22">
        <v>80</v>
      </c>
      <c r="H15" s="22">
        <v>14</v>
      </c>
      <c r="I15" s="22">
        <v>25</v>
      </c>
      <c r="J15" s="22">
        <v>500</v>
      </c>
      <c r="K15" s="23">
        <f t="shared" si="0"/>
        <v>3954</v>
      </c>
      <c r="L15" s="24">
        <v>200</v>
      </c>
      <c r="M15" s="23">
        <f t="shared" si="1"/>
        <v>4154</v>
      </c>
      <c r="N15" s="116" t="s">
        <v>25</v>
      </c>
      <c r="O15" s="214" t="s">
        <v>20</v>
      </c>
      <c r="P15" s="25" t="s">
        <v>23</v>
      </c>
    </row>
    <row r="16" spans="2:17" x14ac:dyDescent="0.3">
      <c r="B16" s="292" t="s">
        <v>26</v>
      </c>
      <c r="C16" s="292" t="s">
        <v>16</v>
      </c>
      <c r="D16" s="20" t="s">
        <v>17</v>
      </c>
      <c r="E16" s="21">
        <f>(1425+265)+500</f>
        <v>2190</v>
      </c>
      <c r="F16" s="22">
        <v>355</v>
      </c>
      <c r="G16" s="22">
        <v>80</v>
      </c>
      <c r="H16" s="22">
        <v>14</v>
      </c>
      <c r="I16" s="22">
        <v>15</v>
      </c>
      <c r="J16" s="22">
        <v>250</v>
      </c>
      <c r="K16" s="23">
        <f t="shared" si="0"/>
        <v>2904</v>
      </c>
      <c r="L16" s="24">
        <v>200</v>
      </c>
      <c r="M16" s="23">
        <f t="shared" si="1"/>
        <v>3104</v>
      </c>
      <c r="N16" s="116" t="s">
        <v>27</v>
      </c>
      <c r="O16" s="214" t="s">
        <v>20</v>
      </c>
      <c r="P16" s="25" t="s">
        <v>23</v>
      </c>
    </row>
    <row r="17" spans="2:17" x14ac:dyDescent="0.3">
      <c r="B17" s="293"/>
      <c r="C17" s="293"/>
      <c r="D17" s="20" t="s">
        <v>22</v>
      </c>
      <c r="E17" s="21">
        <f>(2350+530)+500</f>
        <v>3380</v>
      </c>
      <c r="F17" s="22">
        <v>355</v>
      </c>
      <c r="G17" s="22">
        <v>80</v>
      </c>
      <c r="H17" s="22">
        <v>14</v>
      </c>
      <c r="I17" s="22">
        <v>25</v>
      </c>
      <c r="J17" s="22">
        <v>500</v>
      </c>
      <c r="K17" s="23">
        <f t="shared" si="0"/>
        <v>4354</v>
      </c>
      <c r="L17" s="24">
        <v>200</v>
      </c>
      <c r="M17" s="23">
        <f t="shared" si="1"/>
        <v>4554</v>
      </c>
      <c r="N17" s="116" t="s">
        <v>27</v>
      </c>
      <c r="O17" s="214" t="s">
        <v>20</v>
      </c>
      <c r="P17" s="25" t="s">
        <v>23</v>
      </c>
    </row>
    <row r="18" spans="2:17" x14ac:dyDescent="0.3">
      <c r="B18" s="292" t="s">
        <v>28</v>
      </c>
      <c r="C18" s="242" t="s">
        <v>29</v>
      </c>
      <c r="D18" s="20" t="s">
        <v>17</v>
      </c>
      <c r="E18" s="21">
        <f>(1225+265)+500</f>
        <v>1990</v>
      </c>
      <c r="F18" s="22">
        <v>355</v>
      </c>
      <c r="G18" s="22">
        <v>80</v>
      </c>
      <c r="H18" s="22">
        <v>14</v>
      </c>
      <c r="I18" s="22">
        <v>15</v>
      </c>
      <c r="J18" s="22">
        <v>250</v>
      </c>
      <c r="K18" s="23">
        <f t="shared" si="0"/>
        <v>2704</v>
      </c>
      <c r="L18" s="24">
        <v>200</v>
      </c>
      <c r="M18" s="23">
        <f t="shared" si="1"/>
        <v>2904</v>
      </c>
      <c r="N18" s="116" t="s">
        <v>30</v>
      </c>
      <c r="O18" s="214" t="s">
        <v>20</v>
      </c>
      <c r="P18" s="25" t="s">
        <v>23</v>
      </c>
      <c r="Q18" s="26"/>
    </row>
    <row r="19" spans="2:17" x14ac:dyDescent="0.3">
      <c r="B19" s="296"/>
      <c r="C19" s="242"/>
      <c r="D19" s="20" t="s">
        <v>22</v>
      </c>
      <c r="E19" s="21">
        <f>(1950+530)+500</f>
        <v>2980</v>
      </c>
      <c r="F19" s="22">
        <v>355</v>
      </c>
      <c r="G19" s="22">
        <v>80</v>
      </c>
      <c r="H19" s="22">
        <v>14</v>
      </c>
      <c r="I19" s="22">
        <v>25</v>
      </c>
      <c r="J19" s="22">
        <v>500</v>
      </c>
      <c r="K19" s="23">
        <f t="shared" si="0"/>
        <v>3954</v>
      </c>
      <c r="L19" s="24">
        <v>200</v>
      </c>
      <c r="M19" s="23">
        <f t="shared" si="1"/>
        <v>4154</v>
      </c>
      <c r="N19" s="116" t="s">
        <v>30</v>
      </c>
      <c r="O19" s="214" t="s">
        <v>20</v>
      </c>
      <c r="P19" s="25" t="s">
        <v>23</v>
      </c>
      <c r="Q19" s="26"/>
    </row>
    <row r="20" spans="2:17" x14ac:dyDescent="0.3">
      <c r="B20" s="296"/>
      <c r="C20" s="242" t="s">
        <v>16</v>
      </c>
      <c r="D20" s="20" t="s">
        <v>17</v>
      </c>
      <c r="E20" s="21">
        <f>(1225+265)+500</f>
        <v>1990</v>
      </c>
      <c r="F20" s="22">
        <v>355</v>
      </c>
      <c r="G20" s="22">
        <v>80</v>
      </c>
      <c r="H20" s="22">
        <v>14</v>
      </c>
      <c r="I20" s="22">
        <v>15</v>
      </c>
      <c r="J20" s="22">
        <v>250</v>
      </c>
      <c r="K20" s="23">
        <f t="shared" si="0"/>
        <v>2704</v>
      </c>
      <c r="L20" s="24">
        <v>200</v>
      </c>
      <c r="M20" s="23">
        <f t="shared" si="1"/>
        <v>2904</v>
      </c>
      <c r="N20" s="116" t="s">
        <v>31</v>
      </c>
      <c r="O20" s="214" t="s">
        <v>20</v>
      </c>
      <c r="P20" s="25" t="s">
        <v>23</v>
      </c>
    </row>
    <row r="21" spans="2:17" x14ac:dyDescent="0.3">
      <c r="B21" s="293"/>
      <c r="C21" s="242"/>
      <c r="D21" s="20" t="s">
        <v>22</v>
      </c>
      <c r="E21" s="21">
        <f>(1950+530)+500</f>
        <v>2980</v>
      </c>
      <c r="F21" s="22">
        <v>355</v>
      </c>
      <c r="G21" s="22">
        <v>80</v>
      </c>
      <c r="H21" s="22">
        <v>14</v>
      </c>
      <c r="I21" s="22">
        <v>25</v>
      </c>
      <c r="J21" s="22">
        <v>500</v>
      </c>
      <c r="K21" s="23">
        <f t="shared" si="0"/>
        <v>3954</v>
      </c>
      <c r="L21" s="24">
        <v>200</v>
      </c>
      <c r="M21" s="23">
        <f t="shared" si="1"/>
        <v>4154</v>
      </c>
      <c r="N21" s="116" t="s">
        <v>31</v>
      </c>
      <c r="O21" s="214" t="s">
        <v>20</v>
      </c>
      <c r="P21" s="25" t="s">
        <v>23</v>
      </c>
    </row>
    <row r="22" spans="2:17" x14ac:dyDescent="0.3">
      <c r="B22" s="27"/>
      <c r="C22" s="27"/>
      <c r="D22" s="28"/>
      <c r="E22" s="117"/>
      <c r="F22" s="99"/>
      <c r="G22" s="99"/>
      <c r="H22" s="99"/>
      <c r="I22" s="99"/>
      <c r="J22" s="102"/>
      <c r="K22" s="102"/>
      <c r="L22" s="102"/>
      <c r="M22" s="101"/>
      <c r="N22" s="102"/>
      <c r="O22" s="101"/>
      <c r="P22" s="34"/>
      <c r="Q22" s="28"/>
    </row>
    <row r="23" spans="2:17" ht="15.6" x14ac:dyDescent="0.3">
      <c r="B23" s="190" t="s">
        <v>32</v>
      </c>
      <c r="C23" s="191"/>
      <c r="D23" s="191"/>
      <c r="E23" s="191"/>
      <c r="F23" s="191"/>
      <c r="G23" s="191"/>
      <c r="H23" s="191"/>
      <c r="I23" s="191"/>
      <c r="J23" s="191"/>
      <c r="K23" s="191"/>
      <c r="L23" s="191"/>
      <c r="M23" s="191"/>
      <c r="N23" s="191"/>
      <c r="O23" s="191"/>
      <c r="P23" s="191"/>
    </row>
    <row r="24" spans="2:17" ht="14.4" customHeight="1" x14ac:dyDescent="0.3">
      <c r="B24" s="282" t="s">
        <v>33</v>
      </c>
      <c r="C24" s="282"/>
      <c r="D24" s="282"/>
      <c r="E24" s="282"/>
      <c r="F24" s="282"/>
      <c r="G24" s="282"/>
      <c r="H24" s="282"/>
      <c r="I24" s="282"/>
      <c r="J24" s="282"/>
      <c r="K24" s="282"/>
      <c r="L24" s="282"/>
      <c r="M24" s="282"/>
      <c r="N24" s="282"/>
      <c r="O24" s="282"/>
      <c r="P24" s="282"/>
    </row>
    <row r="25" spans="2:17" x14ac:dyDescent="0.3">
      <c r="B25" s="282"/>
      <c r="C25" s="282"/>
      <c r="D25" s="282"/>
      <c r="E25" s="282"/>
      <c r="F25" s="282"/>
      <c r="G25" s="282"/>
      <c r="H25" s="282"/>
      <c r="I25" s="282"/>
      <c r="J25" s="282"/>
      <c r="K25" s="282"/>
      <c r="L25" s="282"/>
      <c r="M25" s="282"/>
      <c r="N25" s="282"/>
      <c r="O25" s="282"/>
      <c r="P25" s="282"/>
    </row>
    <row r="26" spans="2:17" x14ac:dyDescent="0.3">
      <c r="B26" s="282"/>
      <c r="C26" s="282"/>
      <c r="D26" s="282"/>
      <c r="E26" s="282"/>
      <c r="F26" s="282"/>
      <c r="G26" s="282"/>
      <c r="H26" s="282"/>
      <c r="I26" s="282"/>
      <c r="J26" s="282"/>
      <c r="K26" s="282"/>
      <c r="L26" s="282"/>
      <c r="M26" s="282"/>
      <c r="N26" s="282"/>
      <c r="O26" s="282"/>
      <c r="P26" s="282"/>
    </row>
    <row r="27" spans="2:17" x14ac:dyDescent="0.3">
      <c r="B27" s="282"/>
      <c r="C27" s="282"/>
      <c r="D27" s="282"/>
      <c r="E27" s="282"/>
      <c r="F27" s="282"/>
      <c r="G27" s="282"/>
      <c r="H27" s="282"/>
      <c r="I27" s="282"/>
      <c r="J27" s="282"/>
      <c r="K27" s="282"/>
      <c r="L27" s="282"/>
      <c r="M27" s="282"/>
      <c r="N27" s="282"/>
      <c r="O27" s="282"/>
      <c r="P27" s="282"/>
    </row>
    <row r="28" spans="2:17" x14ac:dyDescent="0.3">
      <c r="B28" s="35"/>
      <c r="C28" s="35"/>
      <c r="D28" s="35"/>
      <c r="E28" s="35"/>
      <c r="F28" s="35"/>
      <c r="G28" s="35"/>
      <c r="H28" s="35"/>
      <c r="I28" s="35"/>
      <c r="J28" s="35"/>
      <c r="K28" s="35"/>
      <c r="L28" s="35"/>
      <c r="M28" s="35"/>
      <c r="N28" s="35"/>
      <c r="O28" s="35"/>
      <c r="P28" s="35"/>
      <c r="Q28" s="35"/>
    </row>
    <row r="29" spans="2:17" x14ac:dyDescent="0.3">
      <c r="B29" s="35"/>
      <c r="C29" s="35"/>
      <c r="D29" s="35"/>
      <c r="E29" s="35"/>
      <c r="F29" s="35"/>
      <c r="G29" s="35"/>
      <c r="H29" s="35"/>
      <c r="I29" s="35"/>
      <c r="J29" s="35"/>
      <c r="K29" s="35"/>
      <c r="L29" s="35"/>
      <c r="M29" s="35"/>
      <c r="N29" s="35"/>
      <c r="O29" s="35"/>
      <c r="P29" s="35"/>
      <c r="Q29" s="35"/>
    </row>
    <row r="30" spans="2:17" x14ac:dyDescent="0.3">
      <c r="B30" s="35"/>
      <c r="C30" s="35"/>
      <c r="D30" s="35"/>
      <c r="E30" s="35"/>
      <c r="F30" s="35"/>
      <c r="G30" s="35"/>
      <c r="H30" s="35"/>
      <c r="I30" s="35"/>
      <c r="J30" s="35"/>
      <c r="K30" s="35"/>
      <c r="L30" s="35"/>
      <c r="M30" s="35"/>
      <c r="N30" s="35"/>
      <c r="O30" s="35"/>
      <c r="P30" s="35"/>
      <c r="Q30" s="35"/>
    </row>
    <row r="31" spans="2:17" x14ac:dyDescent="0.3">
      <c r="B31" s="35"/>
      <c r="C31" s="35"/>
      <c r="D31" s="35"/>
      <c r="E31" s="35"/>
      <c r="F31" s="35"/>
      <c r="G31" s="35"/>
      <c r="H31" s="35"/>
      <c r="I31" s="35"/>
      <c r="J31" s="35"/>
      <c r="K31" s="35"/>
      <c r="L31" s="35"/>
      <c r="M31" s="35"/>
      <c r="N31" s="35"/>
      <c r="O31" s="35"/>
      <c r="P31" s="35"/>
      <c r="Q31" s="35"/>
    </row>
    <row r="32" spans="2:17" x14ac:dyDescent="0.3">
      <c r="B32" s="35"/>
      <c r="C32" s="35"/>
      <c r="D32" s="35"/>
      <c r="E32" s="35"/>
      <c r="F32" s="35"/>
      <c r="G32" s="35"/>
      <c r="H32" s="35"/>
      <c r="I32" s="35"/>
      <c r="J32" s="35"/>
      <c r="K32" s="35"/>
      <c r="L32" s="35"/>
      <c r="M32" s="35"/>
      <c r="N32" s="35"/>
      <c r="O32" s="35"/>
      <c r="P32" s="35"/>
      <c r="Q32" s="35"/>
    </row>
    <row r="33" spans="2:17" x14ac:dyDescent="0.3">
      <c r="B33" s="35"/>
      <c r="C33" s="35"/>
      <c r="D33" s="35"/>
      <c r="E33" s="35"/>
      <c r="F33" s="35"/>
      <c r="G33" s="35"/>
      <c r="H33" s="35"/>
      <c r="I33" s="35"/>
      <c r="J33" s="35"/>
      <c r="K33" s="35"/>
      <c r="L33" s="35"/>
      <c r="M33" s="35"/>
      <c r="N33" s="35"/>
      <c r="O33" s="35"/>
      <c r="P33" s="35"/>
      <c r="Q33" s="35"/>
    </row>
    <row r="34" spans="2:17" x14ac:dyDescent="0.3">
      <c r="B34" s="27"/>
      <c r="C34" s="27"/>
      <c r="D34" s="28"/>
      <c r="E34" s="117"/>
      <c r="F34" s="99"/>
      <c r="G34" s="99"/>
      <c r="H34" s="99"/>
      <c r="I34" s="99"/>
      <c r="J34" s="102"/>
      <c r="K34" s="102"/>
      <c r="L34" s="102"/>
      <c r="M34" s="101"/>
      <c r="N34" s="102"/>
      <c r="O34" s="101"/>
      <c r="P34" s="34"/>
      <c r="Q34" s="28"/>
    </row>
    <row r="35" spans="2:17" ht="28.8" x14ac:dyDescent="0.3">
      <c r="B35" s="294" t="s">
        <v>34</v>
      </c>
      <c r="C35" s="256"/>
      <c r="D35" s="256"/>
      <c r="E35" s="256"/>
      <c r="F35" s="256"/>
      <c r="G35" s="256"/>
      <c r="H35" s="256"/>
      <c r="I35" s="256"/>
      <c r="J35" s="256"/>
      <c r="K35" s="256"/>
      <c r="L35" s="256"/>
      <c r="M35" s="256"/>
      <c r="N35" s="256"/>
      <c r="O35" s="256"/>
      <c r="P35" s="256"/>
    </row>
    <row r="36" spans="2:17" ht="28.8" x14ac:dyDescent="0.3">
      <c r="B36" s="122" t="s">
        <v>1</v>
      </c>
      <c r="C36" s="223" t="s">
        <v>2</v>
      </c>
      <c r="D36" s="223"/>
      <c r="E36" s="122" t="s">
        <v>3</v>
      </c>
      <c r="F36" s="122" t="s">
        <v>4</v>
      </c>
      <c r="G36" s="11" t="s">
        <v>35</v>
      </c>
      <c r="H36" s="128" t="s">
        <v>6</v>
      </c>
      <c r="I36" s="3" t="s">
        <v>9</v>
      </c>
      <c r="J36" s="3" t="s">
        <v>10</v>
      </c>
      <c r="K36" s="3" t="s">
        <v>11</v>
      </c>
      <c r="L36" s="122" t="s">
        <v>12</v>
      </c>
      <c r="M36" s="122" t="s">
        <v>13</v>
      </c>
      <c r="N36" s="122" t="s">
        <v>14</v>
      </c>
      <c r="O36" s="223" t="s">
        <v>36</v>
      </c>
      <c r="P36" s="223"/>
    </row>
    <row r="37" spans="2:17" x14ac:dyDescent="0.3">
      <c r="B37" s="295" t="s">
        <v>37</v>
      </c>
      <c r="C37" s="138" t="s">
        <v>16</v>
      </c>
      <c r="D37" s="20" t="s">
        <v>17</v>
      </c>
      <c r="E37" s="144">
        <f>CEILING((((4205+50)*1.15)),50)</f>
        <v>4900</v>
      </c>
      <c r="F37" s="206">
        <v>335</v>
      </c>
      <c r="G37" s="206">
        <v>65</v>
      </c>
      <c r="H37" s="206">
        <v>0</v>
      </c>
      <c r="I37" s="39">
        <f>SUM(E37:H37)</f>
        <v>5300</v>
      </c>
      <c r="J37" s="24">
        <v>200</v>
      </c>
      <c r="K37" s="23">
        <f>I37+J37</f>
        <v>5500</v>
      </c>
      <c r="L37" s="40" t="s">
        <v>38</v>
      </c>
      <c r="M37" s="214" t="s">
        <v>20</v>
      </c>
      <c r="N37" s="142" t="s">
        <v>39</v>
      </c>
      <c r="O37" s="267" t="s">
        <v>40</v>
      </c>
      <c r="P37" s="268"/>
    </row>
    <row r="38" spans="2:17" x14ac:dyDescent="0.3">
      <c r="B38" s="295"/>
      <c r="C38" s="138" t="s">
        <v>16</v>
      </c>
      <c r="D38" s="20" t="s">
        <v>22</v>
      </c>
      <c r="E38" s="144">
        <f>CEILING((((4355+50)*1.15)),50)</f>
        <v>5100</v>
      </c>
      <c r="F38" s="206">
        <v>335</v>
      </c>
      <c r="G38" s="206">
        <v>65</v>
      </c>
      <c r="H38" s="206">
        <v>0</v>
      </c>
      <c r="I38" s="39">
        <f>SUM(E38:H38)</f>
        <v>5500</v>
      </c>
      <c r="J38" s="24">
        <v>200</v>
      </c>
      <c r="K38" s="23">
        <f>I38+J38</f>
        <v>5700</v>
      </c>
      <c r="L38" s="40" t="s">
        <v>38</v>
      </c>
      <c r="M38" s="214" t="s">
        <v>20</v>
      </c>
      <c r="N38" s="142" t="s">
        <v>39</v>
      </c>
      <c r="O38" s="269"/>
      <c r="P38" s="270"/>
    </row>
    <row r="39" spans="2:17" ht="14.4" customHeight="1" x14ac:dyDescent="0.3">
      <c r="B39" s="192" t="s">
        <v>41</v>
      </c>
      <c r="C39" s="138" t="s">
        <v>29</v>
      </c>
      <c r="D39" s="20" t="s">
        <v>17</v>
      </c>
      <c r="E39" s="215">
        <v>4425</v>
      </c>
      <c r="F39" s="22">
        <v>355</v>
      </c>
      <c r="G39" s="22">
        <v>80</v>
      </c>
      <c r="H39" s="22">
        <v>30</v>
      </c>
      <c r="I39" s="39">
        <f>SUM(E39:H39)</f>
        <v>4890</v>
      </c>
      <c r="J39" s="24">
        <v>200</v>
      </c>
      <c r="K39" s="23">
        <f>I39+J39</f>
        <v>5090</v>
      </c>
      <c r="L39" s="40" t="s">
        <v>42</v>
      </c>
      <c r="M39" s="214" t="s">
        <v>20</v>
      </c>
      <c r="N39" s="95" t="s">
        <v>43</v>
      </c>
      <c r="O39" s="243" t="s">
        <v>44</v>
      </c>
      <c r="P39" s="243"/>
    </row>
    <row r="40" spans="2:17" ht="29.4" customHeight="1" x14ac:dyDescent="0.3">
      <c r="B40" s="192" t="s">
        <v>45</v>
      </c>
      <c r="C40" s="138" t="s">
        <v>29</v>
      </c>
      <c r="D40" s="20" t="s">
        <v>17</v>
      </c>
      <c r="E40" s="215">
        <v>3975</v>
      </c>
      <c r="F40" s="22">
        <v>340</v>
      </c>
      <c r="G40" s="22">
        <v>85</v>
      </c>
      <c r="H40" s="22">
        <v>10</v>
      </c>
      <c r="I40" s="39">
        <f>SUM(E40:H40)</f>
        <v>4410</v>
      </c>
      <c r="J40" s="24">
        <v>200</v>
      </c>
      <c r="K40" s="23">
        <f>I40+J40</f>
        <v>4610</v>
      </c>
      <c r="L40" s="40" t="s">
        <v>42</v>
      </c>
      <c r="M40" s="214" t="s">
        <v>20</v>
      </c>
      <c r="N40" s="142" t="s">
        <v>46</v>
      </c>
      <c r="O40" s="219" t="s">
        <v>47</v>
      </c>
      <c r="P40" s="220"/>
    </row>
    <row r="41" spans="2:17" ht="14.4" customHeight="1" x14ac:dyDescent="0.3">
      <c r="B41" s="192" t="s">
        <v>48</v>
      </c>
      <c r="C41" s="138" t="s">
        <v>16</v>
      </c>
      <c r="D41" s="20" t="s">
        <v>22</v>
      </c>
      <c r="E41" s="144">
        <f>CEILING((((3811+50)*1.13)),50)</f>
        <v>4400</v>
      </c>
      <c r="F41" s="206">
        <v>340</v>
      </c>
      <c r="G41" s="206">
        <v>85</v>
      </c>
      <c r="H41" s="206">
        <v>18</v>
      </c>
      <c r="I41" s="39">
        <f>SUM(E41:H41)</f>
        <v>4843</v>
      </c>
      <c r="J41" s="24">
        <v>200</v>
      </c>
      <c r="K41" s="23">
        <f>I41+J41</f>
        <v>5043</v>
      </c>
      <c r="L41" s="40" t="s">
        <v>38</v>
      </c>
      <c r="M41" s="214" t="s">
        <v>20</v>
      </c>
      <c r="N41" s="142" t="s">
        <v>46</v>
      </c>
      <c r="O41" s="243" t="s">
        <v>44</v>
      </c>
      <c r="P41" s="243"/>
    </row>
    <row r="42" spans="2:17" x14ac:dyDescent="0.3">
      <c r="B42" s="42"/>
      <c r="C42" s="127"/>
      <c r="D42" s="28"/>
      <c r="E42" s="43"/>
      <c r="F42" s="43"/>
      <c r="G42" s="43"/>
      <c r="H42" s="127"/>
      <c r="I42" s="99"/>
      <c r="J42" s="100"/>
      <c r="K42" s="100"/>
      <c r="L42" s="100"/>
      <c r="M42" s="101"/>
      <c r="N42" s="102"/>
      <c r="O42" s="44"/>
      <c r="P42" s="34"/>
      <c r="Q42" s="127"/>
    </row>
    <row r="43" spans="2:17" ht="15.6" x14ac:dyDescent="0.3">
      <c r="B43" s="5" t="s">
        <v>32</v>
      </c>
      <c r="C43" s="6"/>
      <c r="D43" s="6"/>
      <c r="E43" s="6"/>
      <c r="F43" s="6"/>
      <c r="G43" s="6"/>
      <c r="H43" s="6"/>
      <c r="I43" s="6"/>
      <c r="J43" s="6"/>
      <c r="K43" s="6"/>
      <c r="L43" s="6"/>
      <c r="M43" s="6"/>
      <c r="N43" s="6"/>
      <c r="O43" s="6"/>
      <c r="P43" s="6"/>
      <c r="Q43" s="7"/>
    </row>
    <row r="44" spans="2:17" x14ac:dyDescent="0.3">
      <c r="B44" s="226" t="s">
        <v>33</v>
      </c>
      <c r="C44" s="227"/>
      <c r="D44" s="227"/>
      <c r="E44" s="227"/>
      <c r="F44" s="227"/>
      <c r="G44" s="227"/>
      <c r="H44" s="227"/>
      <c r="I44" s="227"/>
      <c r="J44" s="227"/>
      <c r="K44" s="227"/>
      <c r="L44" s="227"/>
      <c r="M44" s="227"/>
      <c r="N44" s="227"/>
      <c r="O44" s="227"/>
      <c r="P44" s="227"/>
      <c r="Q44" s="228"/>
    </row>
    <row r="45" spans="2:17" x14ac:dyDescent="0.3">
      <c r="B45" s="226"/>
      <c r="C45" s="227"/>
      <c r="D45" s="227"/>
      <c r="E45" s="227"/>
      <c r="F45" s="227"/>
      <c r="G45" s="227"/>
      <c r="H45" s="227"/>
      <c r="I45" s="227"/>
      <c r="J45" s="227"/>
      <c r="K45" s="227"/>
      <c r="L45" s="227"/>
      <c r="M45" s="227"/>
      <c r="N45" s="227"/>
      <c r="O45" s="227"/>
      <c r="P45" s="227"/>
      <c r="Q45" s="228"/>
    </row>
    <row r="46" spans="2:17" x14ac:dyDescent="0.3">
      <c r="B46" s="226"/>
      <c r="C46" s="227"/>
      <c r="D46" s="227"/>
      <c r="E46" s="227"/>
      <c r="F46" s="227"/>
      <c r="G46" s="227"/>
      <c r="H46" s="227"/>
      <c r="I46" s="227"/>
      <c r="J46" s="227"/>
      <c r="K46" s="227"/>
      <c r="L46" s="227"/>
      <c r="M46" s="227"/>
      <c r="N46" s="227"/>
      <c r="O46" s="227"/>
      <c r="P46" s="227"/>
      <c r="Q46" s="228"/>
    </row>
    <row r="47" spans="2:17" x14ac:dyDescent="0.3">
      <c r="B47" s="229"/>
      <c r="C47" s="230"/>
      <c r="D47" s="230"/>
      <c r="E47" s="230"/>
      <c r="F47" s="230"/>
      <c r="G47" s="230"/>
      <c r="H47" s="230"/>
      <c r="I47" s="230"/>
      <c r="J47" s="230"/>
      <c r="K47" s="230"/>
      <c r="L47" s="230"/>
      <c r="M47" s="230"/>
      <c r="N47" s="230"/>
      <c r="O47" s="230"/>
      <c r="P47" s="230"/>
      <c r="Q47" s="231"/>
    </row>
    <row r="48" spans="2:17" x14ac:dyDescent="0.3">
      <c r="B48" s="35"/>
      <c r="C48" s="35"/>
      <c r="D48" s="35"/>
      <c r="E48" s="35"/>
      <c r="F48" s="35"/>
      <c r="G48" s="35"/>
      <c r="H48" s="35"/>
      <c r="I48" s="35"/>
      <c r="J48" s="35"/>
      <c r="K48" s="35"/>
      <c r="L48" s="35"/>
      <c r="M48" s="35"/>
      <c r="N48" s="35"/>
      <c r="O48" s="35"/>
      <c r="P48" s="35"/>
      <c r="Q48" s="115"/>
    </row>
    <row r="49" spans="2:19" x14ac:dyDescent="0.3">
      <c r="B49" s="35"/>
      <c r="C49" s="35"/>
      <c r="D49" s="35"/>
      <c r="E49" s="35"/>
      <c r="F49" s="35"/>
      <c r="G49" s="35"/>
      <c r="H49" s="35"/>
      <c r="I49" s="35"/>
      <c r="J49" s="35"/>
      <c r="K49" s="35"/>
      <c r="L49" s="35"/>
      <c r="M49" s="35"/>
      <c r="N49" s="35"/>
      <c r="O49" s="35"/>
      <c r="P49" s="35"/>
      <c r="Q49" s="35"/>
    </row>
    <row r="50" spans="2:19" x14ac:dyDescent="0.3">
      <c r="B50" s="35"/>
      <c r="C50" s="35"/>
      <c r="D50" s="35"/>
      <c r="E50" s="35"/>
      <c r="F50" s="35"/>
      <c r="G50" s="35"/>
      <c r="H50" s="35"/>
      <c r="I50" s="35"/>
      <c r="J50" s="35"/>
      <c r="K50" s="35"/>
      <c r="L50" s="35"/>
      <c r="M50" s="35"/>
      <c r="N50" s="35"/>
      <c r="O50" s="35"/>
      <c r="P50" s="35"/>
      <c r="Q50" s="35"/>
    </row>
    <row r="51" spans="2:19" x14ac:dyDescent="0.3">
      <c r="B51" s="35"/>
      <c r="C51" s="35"/>
      <c r="D51" s="35"/>
      <c r="E51" s="35"/>
      <c r="F51" s="35"/>
      <c r="G51" s="35"/>
      <c r="H51" s="35"/>
      <c r="I51" s="35"/>
      <c r="J51" s="35"/>
      <c r="K51" s="35"/>
      <c r="L51" s="35"/>
      <c r="M51" s="35"/>
      <c r="N51" s="35"/>
      <c r="O51" s="35"/>
      <c r="P51" s="35"/>
      <c r="Q51" s="35"/>
    </row>
    <row r="52" spans="2:19" x14ac:dyDescent="0.3">
      <c r="B52" s="35"/>
      <c r="C52" s="35"/>
      <c r="D52" s="35"/>
      <c r="E52" s="35"/>
      <c r="F52" s="35"/>
      <c r="G52" s="35"/>
      <c r="H52" s="35"/>
      <c r="I52" s="35"/>
      <c r="J52" s="35"/>
      <c r="K52" s="35"/>
      <c r="L52" s="35"/>
      <c r="M52" s="35"/>
      <c r="N52" s="35"/>
      <c r="O52" s="35"/>
      <c r="P52" s="35"/>
      <c r="Q52" s="35"/>
    </row>
    <row r="53" spans="2:19" x14ac:dyDescent="0.3">
      <c r="B53" s="35"/>
      <c r="C53" s="35"/>
      <c r="D53" s="35"/>
      <c r="E53" s="35"/>
      <c r="F53" s="35"/>
      <c r="G53" s="35"/>
      <c r="H53" s="35"/>
      <c r="I53" s="35"/>
      <c r="J53" s="35"/>
      <c r="K53" s="35"/>
      <c r="L53" s="35"/>
      <c r="M53" s="35"/>
      <c r="N53" s="35"/>
      <c r="O53" s="35"/>
      <c r="P53" s="35"/>
      <c r="Q53" s="35"/>
    </row>
    <row r="54" spans="2:19" x14ac:dyDescent="0.3">
      <c r="B54" s="35"/>
      <c r="C54" s="35"/>
      <c r="D54" s="35"/>
      <c r="E54" s="35"/>
      <c r="F54" s="35"/>
      <c r="G54" s="35"/>
      <c r="H54" s="35"/>
      <c r="I54" s="35"/>
      <c r="J54" s="35"/>
      <c r="K54" s="35"/>
      <c r="L54" s="35"/>
      <c r="M54" s="35"/>
      <c r="N54" s="35"/>
      <c r="O54" s="35"/>
      <c r="P54" s="35"/>
      <c r="Q54" s="35"/>
    </row>
    <row r="55" spans="2:19" x14ac:dyDescent="0.3">
      <c r="B55" s="35"/>
      <c r="C55" s="35"/>
      <c r="D55" s="35"/>
      <c r="E55" s="35"/>
      <c r="F55" s="35"/>
      <c r="G55" s="35"/>
      <c r="H55" s="35"/>
      <c r="I55" s="35"/>
      <c r="J55" s="35"/>
      <c r="K55" s="35"/>
      <c r="L55" s="35"/>
      <c r="M55" s="35"/>
      <c r="N55" s="35"/>
      <c r="O55" s="35"/>
      <c r="P55" s="35"/>
      <c r="Q55" s="35"/>
    </row>
    <row r="56" spans="2:19" ht="15" thickBot="1" x14ac:dyDescent="0.35">
      <c r="B56" s="27"/>
      <c r="C56" s="27"/>
      <c r="D56" s="28"/>
      <c r="E56" s="117"/>
      <c r="F56" s="99"/>
      <c r="G56" s="99"/>
      <c r="H56" s="99"/>
      <c r="I56" s="99"/>
      <c r="J56" s="102"/>
      <c r="K56" s="102"/>
      <c r="L56" s="102"/>
      <c r="M56" s="101"/>
      <c r="N56" s="102"/>
      <c r="O56" s="101"/>
      <c r="P56" s="34"/>
      <c r="Q56" s="28"/>
      <c r="R56" s="28"/>
    </row>
    <row r="57" spans="2:19" ht="28.8" x14ac:dyDescent="0.3">
      <c r="B57" s="221" t="s">
        <v>49</v>
      </c>
      <c r="C57" s="222"/>
      <c r="D57" s="222"/>
      <c r="E57" s="222"/>
      <c r="F57" s="222"/>
      <c r="G57" s="222"/>
      <c r="H57" s="222"/>
      <c r="I57" s="222"/>
      <c r="J57" s="222"/>
      <c r="K57" s="222"/>
      <c r="L57" s="222"/>
      <c r="M57" s="222"/>
      <c r="N57" s="222"/>
      <c r="O57" s="222"/>
      <c r="P57" s="222"/>
      <c r="Q57" s="222"/>
      <c r="R57" s="222"/>
      <c r="S57" s="244"/>
    </row>
    <row r="58" spans="2:19" ht="28.8" x14ac:dyDescent="0.3">
      <c r="B58" s="98" t="s">
        <v>1</v>
      </c>
      <c r="C58" s="223" t="s">
        <v>2</v>
      </c>
      <c r="D58" s="223"/>
      <c r="E58" s="122" t="s">
        <v>3</v>
      </c>
      <c r="F58" s="122" t="s">
        <v>4</v>
      </c>
      <c r="G58" s="122" t="s">
        <v>5</v>
      </c>
      <c r="H58" s="122" t="s">
        <v>6</v>
      </c>
      <c r="I58" s="3" t="s">
        <v>50</v>
      </c>
      <c r="J58" s="3" t="s">
        <v>51</v>
      </c>
      <c r="K58" s="3" t="s">
        <v>52</v>
      </c>
      <c r="L58" s="3" t="s">
        <v>53</v>
      </c>
      <c r="M58" s="3" t="s">
        <v>10</v>
      </c>
      <c r="N58" s="182" t="s">
        <v>11</v>
      </c>
      <c r="O58" s="182" t="s">
        <v>12</v>
      </c>
      <c r="P58" s="4" t="s">
        <v>13</v>
      </c>
      <c r="Q58" s="4" t="s">
        <v>14</v>
      </c>
      <c r="R58" s="283" t="s">
        <v>36</v>
      </c>
      <c r="S58" s="284"/>
    </row>
    <row r="59" spans="2:19" x14ac:dyDescent="0.3">
      <c r="B59" s="248" t="s">
        <v>54</v>
      </c>
      <c r="C59" s="249" t="s">
        <v>55</v>
      </c>
      <c r="D59" s="139" t="s">
        <v>17</v>
      </c>
      <c r="E59" s="140">
        <f>CEILING((((8900+297+115)*1.13)-340)-150,50)</f>
        <v>10050</v>
      </c>
      <c r="F59" s="206">
        <v>340</v>
      </c>
      <c r="G59" s="206">
        <v>85</v>
      </c>
      <c r="H59" s="206">
        <v>18</v>
      </c>
      <c r="I59" s="206">
        <v>10</v>
      </c>
      <c r="J59" s="206">
        <v>75</v>
      </c>
      <c r="K59" s="206">
        <v>75</v>
      </c>
      <c r="L59" s="141">
        <f t="shared" ref="L59:L60" si="2">SUM(E59:K59)</f>
        <v>10653</v>
      </c>
      <c r="M59" s="207">
        <v>200</v>
      </c>
      <c r="N59" s="141">
        <f t="shared" ref="N59:N60" si="3">SUM(L59:M59)</f>
        <v>10853</v>
      </c>
      <c r="O59" s="142" t="s">
        <v>56</v>
      </c>
      <c r="P59" s="210" t="s">
        <v>57</v>
      </c>
      <c r="Q59" s="142" t="s">
        <v>46</v>
      </c>
      <c r="R59" s="285" t="s">
        <v>58</v>
      </c>
      <c r="S59" s="286"/>
    </row>
    <row r="60" spans="2:19" x14ac:dyDescent="0.3">
      <c r="B60" s="248"/>
      <c r="C60" s="249"/>
      <c r="D60" s="139" t="s">
        <v>22</v>
      </c>
      <c r="E60" s="140">
        <f>CEILING((((8900+297+115)*1.13)-340)-150,50)</f>
        <v>10050</v>
      </c>
      <c r="F60" s="206">
        <v>340</v>
      </c>
      <c r="G60" s="206">
        <v>85</v>
      </c>
      <c r="H60" s="206">
        <v>18</v>
      </c>
      <c r="I60" s="206">
        <v>10</v>
      </c>
      <c r="J60" s="206">
        <v>75</v>
      </c>
      <c r="K60" s="206">
        <v>75</v>
      </c>
      <c r="L60" s="141">
        <f t="shared" si="2"/>
        <v>10653</v>
      </c>
      <c r="M60" s="207">
        <v>200</v>
      </c>
      <c r="N60" s="141">
        <f t="shared" si="3"/>
        <v>10853</v>
      </c>
      <c r="O60" s="142" t="s">
        <v>56</v>
      </c>
      <c r="P60" s="210" t="s">
        <v>57</v>
      </c>
      <c r="Q60" s="142" t="s">
        <v>46</v>
      </c>
      <c r="R60" s="285"/>
      <c r="S60" s="286"/>
    </row>
    <row r="61" spans="2:19" ht="14.4" customHeight="1" x14ac:dyDescent="0.3">
      <c r="B61" s="248" t="s">
        <v>59</v>
      </c>
      <c r="C61" s="249" t="s">
        <v>55</v>
      </c>
      <c r="D61" s="139" t="s">
        <v>17</v>
      </c>
      <c r="E61" s="140">
        <f>CEILING((((9050+297+115)*1.13)-340)-150,50)</f>
        <v>10250</v>
      </c>
      <c r="F61" s="206">
        <v>340</v>
      </c>
      <c r="G61" s="206">
        <v>85</v>
      </c>
      <c r="H61" s="206">
        <v>18</v>
      </c>
      <c r="I61" s="206">
        <v>10</v>
      </c>
      <c r="J61" s="206">
        <v>75</v>
      </c>
      <c r="K61" s="206">
        <v>75</v>
      </c>
      <c r="L61" s="141">
        <f t="shared" ref="L61:L80" si="4">SUM(E61:K61)</f>
        <v>10853</v>
      </c>
      <c r="M61" s="207">
        <v>200</v>
      </c>
      <c r="N61" s="141">
        <f t="shared" ref="N61:N80" si="5">SUM(L61:M61)</f>
        <v>11053</v>
      </c>
      <c r="O61" s="142" t="s">
        <v>56</v>
      </c>
      <c r="P61" s="210" t="s">
        <v>57</v>
      </c>
      <c r="Q61" s="142" t="s">
        <v>46</v>
      </c>
      <c r="R61" s="285"/>
      <c r="S61" s="286"/>
    </row>
    <row r="62" spans="2:19" x14ac:dyDescent="0.3">
      <c r="B62" s="248"/>
      <c r="C62" s="249"/>
      <c r="D62" s="139" t="s">
        <v>22</v>
      </c>
      <c r="E62" s="140">
        <f>CEILING((((9120+297+115)*1.13)-340)-150,50)</f>
        <v>10300</v>
      </c>
      <c r="F62" s="206">
        <v>340</v>
      </c>
      <c r="G62" s="206">
        <v>85</v>
      </c>
      <c r="H62" s="206">
        <v>18</v>
      </c>
      <c r="I62" s="206">
        <v>10</v>
      </c>
      <c r="J62" s="206">
        <v>75</v>
      </c>
      <c r="K62" s="206">
        <v>75</v>
      </c>
      <c r="L62" s="141">
        <f t="shared" si="4"/>
        <v>10903</v>
      </c>
      <c r="M62" s="207">
        <v>200</v>
      </c>
      <c r="N62" s="141">
        <f t="shared" si="5"/>
        <v>11103</v>
      </c>
      <c r="O62" s="142" t="s">
        <v>56</v>
      </c>
      <c r="P62" s="210" t="s">
        <v>57</v>
      </c>
      <c r="Q62" s="142" t="s">
        <v>46</v>
      </c>
      <c r="R62" s="287"/>
      <c r="S62" s="288"/>
    </row>
    <row r="63" spans="2:19" ht="14.4" customHeight="1" x14ac:dyDescent="0.3">
      <c r="B63" s="276" t="s">
        <v>60</v>
      </c>
      <c r="C63" s="278" t="s">
        <v>29</v>
      </c>
      <c r="D63" s="118" t="s">
        <v>17</v>
      </c>
      <c r="E63" s="120">
        <f>CEILING(((8640+115+289)*1.12)-439,50)</f>
        <v>9700</v>
      </c>
      <c r="F63" s="96">
        <v>289</v>
      </c>
      <c r="G63" s="96">
        <v>84.38</v>
      </c>
      <c r="H63" s="96">
        <v>15</v>
      </c>
      <c r="I63" s="96">
        <v>40</v>
      </c>
      <c r="J63" s="96">
        <v>75</v>
      </c>
      <c r="K63" s="96">
        <v>75</v>
      </c>
      <c r="L63" s="97">
        <f t="shared" si="4"/>
        <v>10278.379999999999</v>
      </c>
      <c r="M63" s="181">
        <v>200</v>
      </c>
      <c r="N63" s="97">
        <f t="shared" si="5"/>
        <v>10478.379999999999</v>
      </c>
      <c r="O63" s="95" t="s">
        <v>56</v>
      </c>
      <c r="P63" s="210" t="s">
        <v>61</v>
      </c>
      <c r="Q63" s="95" t="s">
        <v>62</v>
      </c>
      <c r="R63" s="267" t="s">
        <v>63</v>
      </c>
      <c r="S63" s="268"/>
    </row>
    <row r="64" spans="2:19" x14ac:dyDescent="0.3">
      <c r="B64" s="277"/>
      <c r="C64" s="279"/>
      <c r="D64" s="118" t="s">
        <v>22</v>
      </c>
      <c r="E64" s="120">
        <f>CEILING(((8880+115+289)*1.12)-439,50)</f>
        <v>10000</v>
      </c>
      <c r="F64" s="96">
        <v>289</v>
      </c>
      <c r="G64" s="96">
        <v>84.38</v>
      </c>
      <c r="H64" s="96">
        <v>15</v>
      </c>
      <c r="I64" s="96">
        <v>40</v>
      </c>
      <c r="J64" s="96">
        <v>75</v>
      </c>
      <c r="K64" s="96">
        <v>75</v>
      </c>
      <c r="L64" s="97">
        <f t="shared" si="4"/>
        <v>10578.38</v>
      </c>
      <c r="M64" s="181">
        <v>200</v>
      </c>
      <c r="N64" s="97">
        <f t="shared" si="5"/>
        <v>10778.38</v>
      </c>
      <c r="O64" s="95" t="s">
        <v>56</v>
      </c>
      <c r="P64" s="210" t="s">
        <v>61</v>
      </c>
      <c r="Q64" s="95" t="s">
        <v>62</v>
      </c>
      <c r="R64" s="269"/>
      <c r="S64" s="270"/>
    </row>
    <row r="65" spans="2:19" ht="24" customHeight="1" x14ac:dyDescent="0.3">
      <c r="B65" s="248" t="s">
        <v>64</v>
      </c>
      <c r="C65" s="249" t="s">
        <v>55</v>
      </c>
      <c r="D65" s="139" t="s">
        <v>17</v>
      </c>
      <c r="E65" s="140">
        <f>CEILING((((9000+297+115)*1.13)-340)-150,50)</f>
        <v>10150</v>
      </c>
      <c r="F65" s="206">
        <v>340</v>
      </c>
      <c r="G65" s="206">
        <v>85</v>
      </c>
      <c r="H65" s="206">
        <v>18</v>
      </c>
      <c r="I65" s="206">
        <v>10</v>
      </c>
      <c r="J65" s="206">
        <v>75</v>
      </c>
      <c r="K65" s="206">
        <v>75</v>
      </c>
      <c r="L65" s="141">
        <f t="shared" si="4"/>
        <v>10753</v>
      </c>
      <c r="M65" s="207">
        <v>200</v>
      </c>
      <c r="N65" s="141">
        <f t="shared" si="5"/>
        <v>10953</v>
      </c>
      <c r="O65" s="142" t="s">
        <v>56</v>
      </c>
      <c r="P65" s="210" t="s">
        <v>57</v>
      </c>
      <c r="Q65" s="142" t="s">
        <v>46</v>
      </c>
      <c r="R65" s="250" t="s">
        <v>65</v>
      </c>
      <c r="S65" s="251"/>
    </row>
    <row r="66" spans="2:19" x14ac:dyDescent="0.3">
      <c r="B66" s="248"/>
      <c r="C66" s="249"/>
      <c r="D66" s="139" t="s">
        <v>22</v>
      </c>
      <c r="E66" s="140">
        <f>CEILING((((9000+297+115)*1.13)-340)-150,50)</f>
        <v>10150</v>
      </c>
      <c r="F66" s="206">
        <v>340</v>
      </c>
      <c r="G66" s="206">
        <v>85</v>
      </c>
      <c r="H66" s="206">
        <v>18</v>
      </c>
      <c r="I66" s="206">
        <v>10</v>
      </c>
      <c r="J66" s="206">
        <v>75</v>
      </c>
      <c r="K66" s="206">
        <v>75</v>
      </c>
      <c r="L66" s="141">
        <f t="shared" si="4"/>
        <v>10753</v>
      </c>
      <c r="M66" s="207">
        <v>200</v>
      </c>
      <c r="N66" s="141">
        <f t="shared" si="5"/>
        <v>10953</v>
      </c>
      <c r="O66" s="142" t="s">
        <v>56</v>
      </c>
      <c r="P66" s="210" t="s">
        <v>57</v>
      </c>
      <c r="Q66" s="142" t="s">
        <v>46</v>
      </c>
      <c r="R66" s="252"/>
      <c r="S66" s="253"/>
    </row>
    <row r="67" spans="2:19" ht="14.4" customHeight="1" x14ac:dyDescent="0.3">
      <c r="B67" s="276" t="s">
        <v>66</v>
      </c>
      <c r="C67" s="278" t="s">
        <v>29</v>
      </c>
      <c r="D67" s="118" t="s">
        <v>17</v>
      </c>
      <c r="E67" s="120">
        <f>CEILING(((8690+115+289)*1.12)-439,50)</f>
        <v>9750</v>
      </c>
      <c r="F67" s="193">
        <v>289</v>
      </c>
      <c r="G67" s="193">
        <v>84.38</v>
      </c>
      <c r="H67" s="193">
        <v>15</v>
      </c>
      <c r="I67" s="193">
        <v>40</v>
      </c>
      <c r="J67" s="193">
        <v>75</v>
      </c>
      <c r="K67" s="193">
        <v>75</v>
      </c>
      <c r="L67" s="97">
        <f t="shared" si="4"/>
        <v>10328.379999999999</v>
      </c>
      <c r="M67" s="181">
        <v>200</v>
      </c>
      <c r="N67" s="97">
        <f t="shared" si="5"/>
        <v>10528.38</v>
      </c>
      <c r="O67" s="95" t="s">
        <v>56</v>
      </c>
      <c r="P67" s="210" t="s">
        <v>61</v>
      </c>
      <c r="Q67" s="95" t="s">
        <v>62</v>
      </c>
      <c r="R67" s="267" t="s">
        <v>63</v>
      </c>
      <c r="S67" s="268"/>
    </row>
    <row r="68" spans="2:19" x14ac:dyDescent="0.3">
      <c r="B68" s="277"/>
      <c r="C68" s="279"/>
      <c r="D68" s="118" t="s">
        <v>22</v>
      </c>
      <c r="E68" s="120">
        <f>CEILING(((8980+115+289)*1.12)-439,50)</f>
        <v>10100</v>
      </c>
      <c r="F68" s="193">
        <v>289</v>
      </c>
      <c r="G68" s="193">
        <v>84.38</v>
      </c>
      <c r="H68" s="193">
        <v>15</v>
      </c>
      <c r="I68" s="193">
        <v>40</v>
      </c>
      <c r="J68" s="193">
        <v>75</v>
      </c>
      <c r="K68" s="193">
        <v>75</v>
      </c>
      <c r="L68" s="97">
        <f t="shared" si="4"/>
        <v>10678.38</v>
      </c>
      <c r="M68" s="181">
        <v>200</v>
      </c>
      <c r="N68" s="97">
        <f t="shared" si="5"/>
        <v>10878.38</v>
      </c>
      <c r="O68" s="95" t="s">
        <v>56</v>
      </c>
      <c r="P68" s="210" t="s">
        <v>61</v>
      </c>
      <c r="Q68" s="95" t="s">
        <v>62</v>
      </c>
      <c r="R68" s="269"/>
      <c r="S68" s="270"/>
    </row>
    <row r="69" spans="2:19" x14ac:dyDescent="0.3">
      <c r="B69" s="280" t="s">
        <v>67</v>
      </c>
      <c r="C69" s="249" t="s">
        <v>55</v>
      </c>
      <c r="D69" s="139" t="s">
        <v>17</v>
      </c>
      <c r="E69" s="140">
        <f>CEILING((((9030+297+115)*1.13)-340)-150,50)</f>
        <v>10200</v>
      </c>
      <c r="F69" s="206">
        <v>340</v>
      </c>
      <c r="G69" s="206">
        <v>85</v>
      </c>
      <c r="H69" s="206">
        <v>18</v>
      </c>
      <c r="I69" s="206">
        <v>10</v>
      </c>
      <c r="J69" s="206">
        <v>75</v>
      </c>
      <c r="K69" s="206">
        <v>75</v>
      </c>
      <c r="L69" s="141">
        <f t="shared" si="4"/>
        <v>10803</v>
      </c>
      <c r="M69" s="207">
        <v>200</v>
      </c>
      <c r="N69" s="141">
        <f t="shared" si="5"/>
        <v>11003</v>
      </c>
      <c r="O69" s="142" t="s">
        <v>56</v>
      </c>
      <c r="P69" s="210" t="s">
        <v>57</v>
      </c>
      <c r="Q69" s="142" t="s">
        <v>46</v>
      </c>
      <c r="R69" s="250" t="s">
        <v>65</v>
      </c>
      <c r="S69" s="251"/>
    </row>
    <row r="70" spans="2:19" x14ac:dyDescent="0.3">
      <c r="B70" s="281"/>
      <c r="C70" s="249"/>
      <c r="D70" s="139" t="s">
        <v>22</v>
      </c>
      <c r="E70" s="140">
        <f>CEILING((((9155+297+115)*1.13)-340)-150,50)</f>
        <v>10350</v>
      </c>
      <c r="F70" s="206">
        <v>340</v>
      </c>
      <c r="G70" s="206">
        <v>85</v>
      </c>
      <c r="H70" s="206">
        <v>18</v>
      </c>
      <c r="I70" s="206">
        <v>10</v>
      </c>
      <c r="J70" s="206">
        <v>75</v>
      </c>
      <c r="K70" s="206">
        <v>75</v>
      </c>
      <c r="L70" s="141">
        <f t="shared" si="4"/>
        <v>10953</v>
      </c>
      <c r="M70" s="207">
        <v>200</v>
      </c>
      <c r="N70" s="141">
        <f t="shared" si="5"/>
        <v>11153</v>
      </c>
      <c r="O70" s="142" t="s">
        <v>56</v>
      </c>
      <c r="P70" s="210" t="s">
        <v>57</v>
      </c>
      <c r="Q70" s="142" t="s">
        <v>46</v>
      </c>
      <c r="R70" s="252"/>
      <c r="S70" s="253"/>
    </row>
    <row r="71" spans="2:19" ht="14.4" customHeight="1" x14ac:dyDescent="0.3">
      <c r="B71" s="248" t="s">
        <v>68</v>
      </c>
      <c r="C71" s="249" t="s">
        <v>55</v>
      </c>
      <c r="D71" s="139" t="s">
        <v>17</v>
      </c>
      <c r="E71" s="140">
        <f>CEILING((((9100+297+115)*1.13)-340)-150,50)</f>
        <v>10300</v>
      </c>
      <c r="F71" s="206">
        <v>340</v>
      </c>
      <c r="G71" s="206">
        <v>85</v>
      </c>
      <c r="H71" s="206">
        <v>18</v>
      </c>
      <c r="I71" s="206">
        <v>10</v>
      </c>
      <c r="J71" s="206">
        <v>75</v>
      </c>
      <c r="K71" s="206">
        <v>75</v>
      </c>
      <c r="L71" s="141">
        <f t="shared" si="4"/>
        <v>10903</v>
      </c>
      <c r="M71" s="207">
        <v>200</v>
      </c>
      <c r="N71" s="141">
        <f t="shared" si="5"/>
        <v>11103</v>
      </c>
      <c r="O71" s="142" t="s">
        <v>56</v>
      </c>
      <c r="P71" s="210" t="s">
        <v>57</v>
      </c>
      <c r="Q71" s="142" t="s">
        <v>46</v>
      </c>
      <c r="R71" s="252"/>
      <c r="S71" s="253"/>
    </row>
    <row r="72" spans="2:19" x14ac:dyDescent="0.3">
      <c r="B72" s="248"/>
      <c r="C72" s="249"/>
      <c r="D72" s="139" t="s">
        <v>22</v>
      </c>
      <c r="E72" s="140">
        <f>CEILING((((9280+297+115)*1.13)-340)-150,50)</f>
        <v>10500</v>
      </c>
      <c r="F72" s="206">
        <v>340</v>
      </c>
      <c r="G72" s="206">
        <v>85</v>
      </c>
      <c r="H72" s="206">
        <v>18</v>
      </c>
      <c r="I72" s="206">
        <v>10</v>
      </c>
      <c r="J72" s="206">
        <v>75</v>
      </c>
      <c r="K72" s="206">
        <v>75</v>
      </c>
      <c r="L72" s="141">
        <f t="shared" si="4"/>
        <v>11103</v>
      </c>
      <c r="M72" s="207">
        <v>200</v>
      </c>
      <c r="N72" s="141">
        <f t="shared" si="5"/>
        <v>11303</v>
      </c>
      <c r="O72" s="142" t="s">
        <v>56</v>
      </c>
      <c r="P72" s="210" t="s">
        <v>57</v>
      </c>
      <c r="Q72" s="142" t="s">
        <v>46</v>
      </c>
      <c r="R72" s="274"/>
      <c r="S72" s="275"/>
    </row>
    <row r="73" spans="2:19" x14ac:dyDescent="0.3">
      <c r="B73" s="271" t="s">
        <v>69</v>
      </c>
      <c r="C73" s="272" t="s">
        <v>29</v>
      </c>
      <c r="D73" s="184" t="s">
        <v>17</v>
      </c>
      <c r="E73" s="140">
        <f>CEILING(((9100+115+340)*1.12)-490,50)</f>
        <v>10250</v>
      </c>
      <c r="F73" s="185">
        <v>340</v>
      </c>
      <c r="G73" s="185">
        <v>97.87</v>
      </c>
      <c r="H73" s="185">
        <v>15</v>
      </c>
      <c r="I73" s="185">
        <v>40</v>
      </c>
      <c r="J73" s="185">
        <v>75</v>
      </c>
      <c r="K73" s="185">
        <v>75</v>
      </c>
      <c r="L73" s="97">
        <f t="shared" si="4"/>
        <v>10892.87</v>
      </c>
      <c r="M73" s="181">
        <v>200</v>
      </c>
      <c r="N73" s="97">
        <f t="shared" si="5"/>
        <v>11092.87</v>
      </c>
      <c r="O73" s="95" t="s">
        <v>56</v>
      </c>
      <c r="P73" s="210" t="s">
        <v>61</v>
      </c>
      <c r="Q73" s="186" t="s">
        <v>70</v>
      </c>
      <c r="R73" s="258" t="s">
        <v>71</v>
      </c>
      <c r="S73" s="259"/>
    </row>
    <row r="74" spans="2:19" x14ac:dyDescent="0.3">
      <c r="B74" s="271"/>
      <c r="C74" s="273"/>
      <c r="D74" s="184" t="s">
        <v>22</v>
      </c>
      <c r="E74" s="140">
        <f>CEILING(((9100+115+340)*1.12)-490,50)</f>
        <v>10250</v>
      </c>
      <c r="F74" s="185">
        <v>340</v>
      </c>
      <c r="G74" s="185">
        <v>97.87</v>
      </c>
      <c r="H74" s="185">
        <v>15</v>
      </c>
      <c r="I74" s="185">
        <v>40</v>
      </c>
      <c r="J74" s="185">
        <v>75</v>
      </c>
      <c r="K74" s="185">
        <v>75</v>
      </c>
      <c r="L74" s="97">
        <f t="shared" si="4"/>
        <v>10892.87</v>
      </c>
      <c r="M74" s="181">
        <v>200</v>
      </c>
      <c r="N74" s="97">
        <f t="shared" si="5"/>
        <v>11092.87</v>
      </c>
      <c r="O74" s="95" t="s">
        <v>56</v>
      </c>
      <c r="P74" s="210" t="s">
        <v>61</v>
      </c>
      <c r="Q74" s="186" t="s">
        <v>70</v>
      </c>
      <c r="R74" s="260"/>
      <c r="S74" s="261"/>
    </row>
    <row r="75" spans="2:19" ht="14.4" customHeight="1" x14ac:dyDescent="0.3">
      <c r="B75" s="248" t="s">
        <v>72</v>
      </c>
      <c r="C75" s="249" t="s">
        <v>55</v>
      </c>
      <c r="D75" s="139" t="s">
        <v>17</v>
      </c>
      <c r="E75" s="140">
        <f>CEILING(((9131+115+340)*1.12)-490,50)</f>
        <v>10250</v>
      </c>
      <c r="F75" s="206">
        <v>340</v>
      </c>
      <c r="G75" s="206">
        <v>85</v>
      </c>
      <c r="H75" s="206">
        <v>18</v>
      </c>
      <c r="I75" s="206">
        <v>10</v>
      </c>
      <c r="J75" s="206">
        <v>75</v>
      </c>
      <c r="K75" s="206">
        <v>75</v>
      </c>
      <c r="L75" s="141">
        <f t="shared" si="4"/>
        <v>10853</v>
      </c>
      <c r="M75" s="207">
        <v>200</v>
      </c>
      <c r="N75" s="141">
        <f t="shared" si="5"/>
        <v>11053</v>
      </c>
      <c r="O75" s="142" t="s">
        <v>56</v>
      </c>
      <c r="P75" s="210" t="s">
        <v>57</v>
      </c>
      <c r="Q75" s="142" t="s">
        <v>46</v>
      </c>
      <c r="R75" s="250" t="s">
        <v>65</v>
      </c>
      <c r="S75" s="251"/>
    </row>
    <row r="76" spans="2:19" x14ac:dyDescent="0.3">
      <c r="B76" s="248"/>
      <c r="C76" s="249"/>
      <c r="D76" s="139" t="s">
        <v>22</v>
      </c>
      <c r="E76" s="140">
        <f>CEILING(((9362+115+340)*1.12)-490,50)</f>
        <v>10550</v>
      </c>
      <c r="F76" s="206">
        <v>340</v>
      </c>
      <c r="G76" s="206">
        <v>85</v>
      </c>
      <c r="H76" s="206">
        <v>18</v>
      </c>
      <c r="I76" s="206">
        <v>10</v>
      </c>
      <c r="J76" s="206">
        <v>75</v>
      </c>
      <c r="K76" s="206">
        <v>75</v>
      </c>
      <c r="L76" s="141">
        <f t="shared" si="4"/>
        <v>11153</v>
      </c>
      <c r="M76" s="207">
        <v>200</v>
      </c>
      <c r="N76" s="141">
        <f t="shared" si="5"/>
        <v>11353</v>
      </c>
      <c r="O76" s="142" t="s">
        <v>56</v>
      </c>
      <c r="P76" s="210" t="s">
        <v>57</v>
      </c>
      <c r="Q76" s="142" t="s">
        <v>46</v>
      </c>
      <c r="R76" s="252"/>
      <c r="S76" s="253"/>
    </row>
    <row r="77" spans="2:19" ht="14.4" customHeight="1" x14ac:dyDescent="0.3">
      <c r="B77" s="248" t="s">
        <v>73</v>
      </c>
      <c r="C77" s="249" t="s">
        <v>55</v>
      </c>
      <c r="D77" s="139" t="s">
        <v>17</v>
      </c>
      <c r="E77" s="140">
        <f>CEILING(((8960+115+340)*1.12)-490,50)</f>
        <v>10100</v>
      </c>
      <c r="F77" s="206">
        <v>340</v>
      </c>
      <c r="G77" s="206">
        <v>85</v>
      </c>
      <c r="H77" s="206">
        <v>18</v>
      </c>
      <c r="I77" s="206">
        <v>10</v>
      </c>
      <c r="J77" s="206">
        <v>75</v>
      </c>
      <c r="K77" s="206">
        <v>75</v>
      </c>
      <c r="L77" s="141">
        <f t="shared" si="4"/>
        <v>10703</v>
      </c>
      <c r="M77" s="207">
        <v>200</v>
      </c>
      <c r="N77" s="141">
        <f t="shared" si="5"/>
        <v>10903</v>
      </c>
      <c r="O77" s="142" t="s">
        <v>56</v>
      </c>
      <c r="P77" s="210" t="s">
        <v>57</v>
      </c>
      <c r="Q77" s="142" t="s">
        <v>46</v>
      </c>
      <c r="R77" s="252"/>
      <c r="S77" s="253"/>
    </row>
    <row r="78" spans="2:19" x14ac:dyDescent="0.3">
      <c r="B78" s="248"/>
      <c r="C78" s="249"/>
      <c r="D78" s="139" t="s">
        <v>22</v>
      </c>
      <c r="E78" s="140">
        <f>CEILING(((9020+115+340)*1.12)-490,50)</f>
        <v>10150</v>
      </c>
      <c r="F78" s="206">
        <v>340</v>
      </c>
      <c r="G78" s="206">
        <v>85</v>
      </c>
      <c r="H78" s="206">
        <v>18</v>
      </c>
      <c r="I78" s="206">
        <v>10</v>
      </c>
      <c r="J78" s="206">
        <v>75</v>
      </c>
      <c r="K78" s="206">
        <v>75</v>
      </c>
      <c r="L78" s="141">
        <f t="shared" si="4"/>
        <v>10753</v>
      </c>
      <c r="M78" s="207">
        <v>200</v>
      </c>
      <c r="N78" s="141">
        <f t="shared" si="5"/>
        <v>10953</v>
      </c>
      <c r="O78" s="142" t="s">
        <v>56</v>
      </c>
      <c r="P78" s="210" t="s">
        <v>57</v>
      </c>
      <c r="Q78" s="142" t="s">
        <v>46</v>
      </c>
      <c r="R78" s="252"/>
      <c r="S78" s="253"/>
    </row>
    <row r="79" spans="2:19" ht="14.4" customHeight="1" x14ac:dyDescent="0.3">
      <c r="B79" s="248" t="s">
        <v>74</v>
      </c>
      <c r="C79" s="249" t="s">
        <v>55</v>
      </c>
      <c r="D79" s="139" t="s">
        <v>17</v>
      </c>
      <c r="E79" s="140">
        <f>CEILING(((9182+115+340)*1.12)-490,50)</f>
        <v>10350</v>
      </c>
      <c r="F79" s="206">
        <v>340</v>
      </c>
      <c r="G79" s="206">
        <v>85</v>
      </c>
      <c r="H79" s="206">
        <v>18</v>
      </c>
      <c r="I79" s="206">
        <v>10</v>
      </c>
      <c r="J79" s="206">
        <v>75</v>
      </c>
      <c r="K79" s="206">
        <v>75</v>
      </c>
      <c r="L79" s="141">
        <f t="shared" si="4"/>
        <v>10953</v>
      </c>
      <c r="M79" s="207">
        <v>200</v>
      </c>
      <c r="N79" s="141">
        <f t="shared" si="5"/>
        <v>11153</v>
      </c>
      <c r="O79" s="142" t="s">
        <v>56</v>
      </c>
      <c r="P79" s="210" t="s">
        <v>57</v>
      </c>
      <c r="Q79" s="142" t="s">
        <v>46</v>
      </c>
      <c r="R79" s="252"/>
      <c r="S79" s="253"/>
    </row>
    <row r="80" spans="2:19" ht="15" customHeight="1" thickBot="1" x14ac:dyDescent="0.35">
      <c r="B80" s="248"/>
      <c r="C80" s="249"/>
      <c r="D80" s="139" t="s">
        <v>22</v>
      </c>
      <c r="E80" s="140">
        <f>CEILING(((9404+115+340)*1.12)-490,50)</f>
        <v>10600</v>
      </c>
      <c r="F80" s="206">
        <v>340</v>
      </c>
      <c r="G80" s="206">
        <v>85</v>
      </c>
      <c r="H80" s="206">
        <v>18</v>
      </c>
      <c r="I80" s="206">
        <v>10</v>
      </c>
      <c r="J80" s="206">
        <v>75</v>
      </c>
      <c r="K80" s="206">
        <v>75</v>
      </c>
      <c r="L80" s="141">
        <f t="shared" si="4"/>
        <v>11203</v>
      </c>
      <c r="M80" s="207">
        <v>200</v>
      </c>
      <c r="N80" s="141">
        <f t="shared" si="5"/>
        <v>11403</v>
      </c>
      <c r="O80" s="142" t="s">
        <v>56</v>
      </c>
      <c r="P80" s="210" t="s">
        <v>57</v>
      </c>
      <c r="Q80" s="142" t="s">
        <v>46</v>
      </c>
      <c r="R80" s="274"/>
      <c r="S80" s="275"/>
    </row>
    <row r="81" spans="2:19" ht="28.8" x14ac:dyDescent="0.3">
      <c r="B81" s="221" t="s">
        <v>75</v>
      </c>
      <c r="C81" s="222"/>
      <c r="D81" s="222"/>
      <c r="E81" s="222"/>
      <c r="F81" s="222"/>
      <c r="G81" s="222"/>
      <c r="H81" s="222"/>
      <c r="I81" s="222"/>
      <c r="J81" s="222"/>
      <c r="K81" s="222"/>
      <c r="L81" s="222"/>
      <c r="M81" s="222"/>
      <c r="N81" s="222"/>
      <c r="O81" s="222"/>
      <c r="P81" s="222"/>
      <c r="Q81" s="222"/>
      <c r="R81" s="254"/>
      <c r="S81" s="262"/>
    </row>
    <row r="82" spans="2:19" ht="28.8" x14ac:dyDescent="0.3">
      <c r="B82" s="98" t="s">
        <v>1</v>
      </c>
      <c r="C82" s="245" t="s">
        <v>2</v>
      </c>
      <c r="D82" s="246"/>
      <c r="E82" s="122" t="s">
        <v>3</v>
      </c>
      <c r="F82" s="122" t="s">
        <v>4</v>
      </c>
      <c r="G82" s="122" t="s">
        <v>5</v>
      </c>
      <c r="H82" s="122" t="s">
        <v>6</v>
      </c>
      <c r="I82" s="3" t="s">
        <v>50</v>
      </c>
      <c r="J82" s="3" t="s">
        <v>51</v>
      </c>
      <c r="K82" s="3" t="s">
        <v>52</v>
      </c>
      <c r="L82" s="3" t="s">
        <v>53</v>
      </c>
      <c r="M82" s="3" t="s">
        <v>10</v>
      </c>
      <c r="N82" s="3" t="s">
        <v>11</v>
      </c>
      <c r="O82" s="3" t="s">
        <v>12</v>
      </c>
      <c r="P82" s="122" t="s">
        <v>13</v>
      </c>
      <c r="Q82" s="122" t="s">
        <v>14</v>
      </c>
      <c r="R82" s="245" t="s">
        <v>36</v>
      </c>
      <c r="S82" s="247"/>
    </row>
    <row r="83" spans="2:19" ht="14.4" customHeight="1" x14ac:dyDescent="0.3">
      <c r="B83" s="263" t="s">
        <v>76</v>
      </c>
      <c r="C83" s="265" t="s">
        <v>77</v>
      </c>
      <c r="D83" s="139" t="s">
        <v>17</v>
      </c>
      <c r="E83" s="140">
        <f>CEILING((((9100+297+115)*1.13)-340)-150,50)</f>
        <v>10300</v>
      </c>
      <c r="F83" s="206">
        <v>340</v>
      </c>
      <c r="G83" s="206">
        <v>85</v>
      </c>
      <c r="H83" s="206">
        <v>18</v>
      </c>
      <c r="I83" s="206">
        <v>10</v>
      </c>
      <c r="J83" s="96">
        <v>75</v>
      </c>
      <c r="K83" s="96">
        <v>75</v>
      </c>
      <c r="L83" s="175">
        <f>SUM(E83:K83)</f>
        <v>10903</v>
      </c>
      <c r="M83" s="194">
        <v>200</v>
      </c>
      <c r="N83" s="175">
        <f>SUM(L83:M83)</f>
        <v>11103</v>
      </c>
      <c r="O83" s="95" t="s">
        <v>56</v>
      </c>
      <c r="P83" s="210" t="s">
        <v>57</v>
      </c>
      <c r="Q83" s="142" t="s">
        <v>46</v>
      </c>
      <c r="R83" s="258" t="s">
        <v>58</v>
      </c>
      <c r="S83" s="259"/>
    </row>
    <row r="84" spans="2:19" ht="15" thickBot="1" x14ac:dyDescent="0.35">
      <c r="B84" s="264"/>
      <c r="C84" s="266"/>
      <c r="D84" s="139" t="s">
        <v>22</v>
      </c>
      <c r="E84" s="140">
        <f>CEILING((((9100+297+115)*1.13)-340)-150,50)</f>
        <v>10300</v>
      </c>
      <c r="F84" s="206">
        <v>340</v>
      </c>
      <c r="G84" s="206">
        <v>85</v>
      </c>
      <c r="H84" s="206">
        <v>18</v>
      </c>
      <c r="I84" s="206">
        <v>10</v>
      </c>
      <c r="J84" s="96">
        <v>75</v>
      </c>
      <c r="K84" s="96">
        <v>75</v>
      </c>
      <c r="L84" s="175">
        <f>SUM(E84:K84)</f>
        <v>10903</v>
      </c>
      <c r="M84" s="194">
        <v>200</v>
      </c>
      <c r="N84" s="175">
        <f>SUM(L84:M84)</f>
        <v>11103</v>
      </c>
      <c r="O84" s="95" t="s">
        <v>56</v>
      </c>
      <c r="P84" s="210" t="s">
        <v>57</v>
      </c>
      <c r="Q84" s="142" t="s">
        <v>46</v>
      </c>
      <c r="R84" s="260"/>
      <c r="S84" s="261"/>
    </row>
    <row r="85" spans="2:19" ht="28.8" x14ac:dyDescent="0.3">
      <c r="B85" s="221" t="s">
        <v>78</v>
      </c>
      <c r="C85" s="222"/>
      <c r="D85" s="222"/>
      <c r="E85" s="222"/>
      <c r="F85" s="222"/>
      <c r="G85" s="222"/>
      <c r="H85" s="222"/>
      <c r="I85" s="222"/>
      <c r="J85" s="222"/>
      <c r="K85" s="222"/>
      <c r="L85" s="222"/>
      <c r="M85" s="222"/>
      <c r="N85" s="222"/>
      <c r="O85" s="222"/>
      <c r="P85" s="222"/>
      <c r="Q85" s="222"/>
      <c r="R85" s="222"/>
      <c r="S85" s="244"/>
    </row>
    <row r="86" spans="2:19" ht="28.8" x14ac:dyDescent="0.3">
      <c r="B86" s="98" t="s">
        <v>1</v>
      </c>
      <c r="C86" s="245" t="s">
        <v>2</v>
      </c>
      <c r="D86" s="246"/>
      <c r="E86" s="122" t="s">
        <v>3</v>
      </c>
      <c r="F86" s="122" t="s">
        <v>4</v>
      </c>
      <c r="G86" s="122" t="s">
        <v>5</v>
      </c>
      <c r="H86" s="122" t="s">
        <v>6</v>
      </c>
      <c r="I86" s="3" t="s">
        <v>50</v>
      </c>
      <c r="J86" s="3" t="s">
        <v>51</v>
      </c>
      <c r="K86" s="3" t="s">
        <v>52</v>
      </c>
      <c r="L86" s="3" t="s">
        <v>53</v>
      </c>
      <c r="M86" s="3" t="s">
        <v>10</v>
      </c>
      <c r="N86" s="3" t="s">
        <v>11</v>
      </c>
      <c r="O86" s="3" t="s">
        <v>12</v>
      </c>
      <c r="P86" s="122" t="s">
        <v>13</v>
      </c>
      <c r="Q86" s="122" t="s">
        <v>14</v>
      </c>
      <c r="R86" s="245" t="s">
        <v>36</v>
      </c>
      <c r="S86" s="247"/>
    </row>
    <row r="87" spans="2:19" ht="14.4" customHeight="1" x14ac:dyDescent="0.3">
      <c r="B87" s="248" t="s">
        <v>79</v>
      </c>
      <c r="C87" s="249" t="s">
        <v>77</v>
      </c>
      <c r="D87" s="139" t="s">
        <v>17</v>
      </c>
      <c r="E87" s="140">
        <f>CEILING((((9108+297+115)*1.12)-340)-150,50)</f>
        <v>10200</v>
      </c>
      <c r="F87" s="206">
        <v>340</v>
      </c>
      <c r="G87" s="206">
        <v>85</v>
      </c>
      <c r="H87" s="206">
        <v>18</v>
      </c>
      <c r="I87" s="206">
        <v>10</v>
      </c>
      <c r="J87" s="206">
        <v>75</v>
      </c>
      <c r="K87" s="206">
        <v>75</v>
      </c>
      <c r="L87" s="141">
        <f>SUM(E87:K87)</f>
        <v>10803</v>
      </c>
      <c r="M87" s="207">
        <v>200</v>
      </c>
      <c r="N87" s="141">
        <f>SUM(L87:M87)</f>
        <v>11003</v>
      </c>
      <c r="O87" s="142" t="s">
        <v>80</v>
      </c>
      <c r="P87" s="210" t="s">
        <v>57</v>
      </c>
      <c r="Q87" s="142" t="s">
        <v>46</v>
      </c>
      <c r="R87" s="258" t="s">
        <v>58</v>
      </c>
      <c r="S87" s="259"/>
    </row>
    <row r="88" spans="2:19" x14ac:dyDescent="0.3">
      <c r="B88" s="248"/>
      <c r="C88" s="249"/>
      <c r="D88" s="139" t="s">
        <v>22</v>
      </c>
      <c r="E88" s="140">
        <f>CEILING((((9266+297+115)*1.12)-340)-150,50)</f>
        <v>10350</v>
      </c>
      <c r="F88" s="206">
        <v>340</v>
      </c>
      <c r="G88" s="206">
        <v>85</v>
      </c>
      <c r="H88" s="206">
        <v>18</v>
      </c>
      <c r="I88" s="206">
        <v>10</v>
      </c>
      <c r="J88" s="206">
        <v>75</v>
      </c>
      <c r="K88" s="206">
        <v>75</v>
      </c>
      <c r="L88" s="141">
        <f>SUM(E88:K88)</f>
        <v>10953</v>
      </c>
      <c r="M88" s="207">
        <v>200</v>
      </c>
      <c r="N88" s="141">
        <f>SUM(L88:M88)</f>
        <v>11153</v>
      </c>
      <c r="O88" s="142" t="s">
        <v>80</v>
      </c>
      <c r="P88" s="210" t="s">
        <v>57</v>
      </c>
      <c r="Q88" s="142" t="s">
        <v>46</v>
      </c>
      <c r="R88" s="260"/>
      <c r="S88" s="261"/>
    </row>
    <row r="89" spans="2:19" ht="28.8" x14ac:dyDescent="0.3">
      <c r="B89" s="255" t="s">
        <v>81</v>
      </c>
      <c r="C89" s="256"/>
      <c r="D89" s="256"/>
      <c r="E89" s="256"/>
      <c r="F89" s="256"/>
      <c r="G89" s="256"/>
      <c r="H89" s="256"/>
      <c r="I89" s="256"/>
      <c r="J89" s="256"/>
      <c r="K89" s="256"/>
      <c r="L89" s="256"/>
      <c r="M89" s="256"/>
      <c r="N89" s="256"/>
      <c r="O89" s="256"/>
      <c r="P89" s="256"/>
      <c r="Q89" s="256"/>
      <c r="R89" s="256"/>
      <c r="S89" s="257"/>
    </row>
    <row r="90" spans="2:19" ht="28.8" x14ac:dyDescent="0.3">
      <c r="B90" s="98" t="s">
        <v>1</v>
      </c>
      <c r="C90" s="245" t="s">
        <v>2</v>
      </c>
      <c r="D90" s="246"/>
      <c r="E90" s="122" t="s">
        <v>3</v>
      </c>
      <c r="F90" s="122" t="s">
        <v>4</v>
      </c>
      <c r="G90" s="122" t="s">
        <v>5</v>
      </c>
      <c r="H90" s="122" t="s">
        <v>6</v>
      </c>
      <c r="I90" s="3" t="s">
        <v>50</v>
      </c>
      <c r="J90" s="3" t="s">
        <v>51</v>
      </c>
      <c r="K90" s="3" t="s">
        <v>52</v>
      </c>
      <c r="L90" s="3" t="s">
        <v>53</v>
      </c>
      <c r="M90" s="3" t="s">
        <v>10</v>
      </c>
      <c r="N90" s="3" t="s">
        <v>11</v>
      </c>
      <c r="O90" s="3" t="s">
        <v>12</v>
      </c>
      <c r="P90" s="122" t="s">
        <v>13</v>
      </c>
      <c r="Q90" s="122" t="s">
        <v>14</v>
      </c>
      <c r="R90" s="245" t="s">
        <v>36</v>
      </c>
      <c r="S90" s="247"/>
    </row>
    <row r="91" spans="2:19" ht="14.4" customHeight="1" x14ac:dyDescent="0.3">
      <c r="B91" s="248" t="s">
        <v>82</v>
      </c>
      <c r="C91" s="249" t="s">
        <v>77</v>
      </c>
      <c r="D91" s="139" t="s">
        <v>17</v>
      </c>
      <c r="E91" s="140">
        <f>CEILING((((9100+297+115)*1.13)-340)-150,50)</f>
        <v>10300</v>
      </c>
      <c r="F91" s="206">
        <v>340</v>
      </c>
      <c r="G91" s="206">
        <v>85</v>
      </c>
      <c r="H91" s="206">
        <v>18</v>
      </c>
      <c r="I91" s="206">
        <v>10</v>
      </c>
      <c r="J91" s="206">
        <v>75</v>
      </c>
      <c r="K91" s="206">
        <v>75</v>
      </c>
      <c r="L91" s="141">
        <f>SUM(E91:K91)</f>
        <v>10903</v>
      </c>
      <c r="M91" s="207">
        <v>200</v>
      </c>
      <c r="N91" s="141">
        <f>SUM(L91:M91)</f>
        <v>11103</v>
      </c>
      <c r="O91" s="142" t="s">
        <v>80</v>
      </c>
      <c r="P91" s="210" t="s">
        <v>57</v>
      </c>
      <c r="Q91" s="142" t="s">
        <v>46</v>
      </c>
      <c r="R91" s="258" t="s">
        <v>58</v>
      </c>
      <c r="S91" s="259"/>
    </row>
    <row r="92" spans="2:19" ht="14.4" customHeight="1" x14ac:dyDescent="0.3">
      <c r="B92" s="248"/>
      <c r="C92" s="249"/>
      <c r="D92" s="139" t="s">
        <v>22</v>
      </c>
      <c r="E92" s="140">
        <f>CEILING((((9100+297+115)*1.13)-340)-150,50)</f>
        <v>10300</v>
      </c>
      <c r="F92" s="206">
        <v>340</v>
      </c>
      <c r="G92" s="206">
        <v>85</v>
      </c>
      <c r="H92" s="206">
        <v>18</v>
      </c>
      <c r="I92" s="206">
        <v>10</v>
      </c>
      <c r="J92" s="206">
        <v>75</v>
      </c>
      <c r="K92" s="206">
        <v>75</v>
      </c>
      <c r="L92" s="141">
        <f>SUM(E92:K92)</f>
        <v>10903</v>
      </c>
      <c r="M92" s="207">
        <v>200</v>
      </c>
      <c r="N92" s="141">
        <f>SUM(L92:M92)</f>
        <v>11103</v>
      </c>
      <c r="O92" s="142" t="s">
        <v>80</v>
      </c>
      <c r="P92" s="210" t="s">
        <v>57</v>
      </c>
      <c r="Q92" s="142" t="s">
        <v>46</v>
      </c>
      <c r="R92" s="260"/>
      <c r="S92" s="261"/>
    </row>
    <row r="93" spans="2:19" ht="28.8" x14ac:dyDescent="0.3">
      <c r="B93" s="255" t="s">
        <v>83</v>
      </c>
      <c r="C93" s="256"/>
      <c r="D93" s="256"/>
      <c r="E93" s="256"/>
      <c r="F93" s="256"/>
      <c r="G93" s="256"/>
      <c r="H93" s="256"/>
      <c r="I93" s="256"/>
      <c r="J93" s="256"/>
      <c r="K93" s="256"/>
      <c r="L93" s="256"/>
      <c r="M93" s="256"/>
      <c r="N93" s="256"/>
      <c r="O93" s="256"/>
      <c r="P93" s="256"/>
      <c r="Q93" s="256"/>
      <c r="R93" s="256"/>
      <c r="S93" s="257"/>
    </row>
    <row r="94" spans="2:19" ht="28.8" x14ac:dyDescent="0.3">
      <c r="B94" s="98" t="s">
        <v>1</v>
      </c>
      <c r="C94" s="245" t="s">
        <v>2</v>
      </c>
      <c r="D94" s="246"/>
      <c r="E94" s="122" t="s">
        <v>3</v>
      </c>
      <c r="F94" s="122" t="s">
        <v>4</v>
      </c>
      <c r="G94" s="122" t="s">
        <v>5</v>
      </c>
      <c r="H94" s="122" t="s">
        <v>6</v>
      </c>
      <c r="I94" s="3" t="s">
        <v>50</v>
      </c>
      <c r="J94" s="3" t="s">
        <v>51</v>
      </c>
      <c r="K94" s="3" t="s">
        <v>52</v>
      </c>
      <c r="L94" s="3" t="s">
        <v>53</v>
      </c>
      <c r="M94" s="3" t="s">
        <v>10</v>
      </c>
      <c r="N94" s="3" t="s">
        <v>11</v>
      </c>
      <c r="O94" s="3" t="s">
        <v>12</v>
      </c>
      <c r="P94" s="122" t="s">
        <v>13</v>
      </c>
      <c r="Q94" s="122" t="s">
        <v>14</v>
      </c>
      <c r="R94" s="245" t="s">
        <v>36</v>
      </c>
      <c r="S94" s="247"/>
    </row>
    <row r="95" spans="2:19" ht="14.4" customHeight="1" x14ac:dyDescent="0.3">
      <c r="B95" s="248" t="s">
        <v>84</v>
      </c>
      <c r="C95" s="249" t="s">
        <v>77</v>
      </c>
      <c r="D95" s="139" t="s">
        <v>17</v>
      </c>
      <c r="E95" s="140">
        <f>CEILING((((9220+297+115)*1.12)-340)-150,50)</f>
        <v>10300</v>
      </c>
      <c r="F95" s="206">
        <v>340</v>
      </c>
      <c r="G95" s="206">
        <v>85</v>
      </c>
      <c r="H95" s="206">
        <v>18</v>
      </c>
      <c r="I95" s="206">
        <v>10</v>
      </c>
      <c r="J95" s="206">
        <v>75</v>
      </c>
      <c r="K95" s="206">
        <v>75</v>
      </c>
      <c r="L95" s="141">
        <f>SUM(E95:K95)</f>
        <v>10903</v>
      </c>
      <c r="M95" s="207">
        <v>200</v>
      </c>
      <c r="N95" s="141">
        <f>SUM(L95:M95)</f>
        <v>11103</v>
      </c>
      <c r="O95" s="142" t="s">
        <v>80</v>
      </c>
      <c r="P95" s="210" t="s">
        <v>57</v>
      </c>
      <c r="Q95" s="142" t="s">
        <v>46</v>
      </c>
      <c r="R95" s="258" t="s">
        <v>58</v>
      </c>
      <c r="S95" s="259"/>
    </row>
    <row r="96" spans="2:19" ht="15" thickBot="1" x14ac:dyDescent="0.35">
      <c r="B96" s="248"/>
      <c r="C96" s="249"/>
      <c r="D96" s="139" t="s">
        <v>22</v>
      </c>
      <c r="E96" s="140">
        <f>CEILING((((9320+297+115)*1.12)-340)-150,50)</f>
        <v>10450</v>
      </c>
      <c r="F96" s="206">
        <v>340</v>
      </c>
      <c r="G96" s="206">
        <v>85</v>
      </c>
      <c r="H96" s="206">
        <v>18</v>
      </c>
      <c r="I96" s="206">
        <v>10</v>
      </c>
      <c r="J96" s="206">
        <v>75</v>
      </c>
      <c r="K96" s="206">
        <v>75</v>
      </c>
      <c r="L96" s="141">
        <f>SUM(E96:K96)</f>
        <v>11053</v>
      </c>
      <c r="M96" s="207">
        <v>200</v>
      </c>
      <c r="N96" s="141">
        <f>SUM(L96:M96)</f>
        <v>11253</v>
      </c>
      <c r="O96" s="142" t="s">
        <v>80</v>
      </c>
      <c r="P96" s="210" t="s">
        <v>57</v>
      </c>
      <c r="Q96" s="142" t="s">
        <v>46</v>
      </c>
      <c r="R96" s="260"/>
      <c r="S96" s="261"/>
    </row>
    <row r="97" spans="2:20" ht="28.8" x14ac:dyDescent="0.3">
      <c r="B97" s="221" t="s">
        <v>85</v>
      </c>
      <c r="C97" s="222"/>
      <c r="D97" s="222"/>
      <c r="E97" s="222"/>
      <c r="F97" s="222"/>
      <c r="G97" s="222"/>
      <c r="H97" s="222"/>
      <c r="I97" s="222"/>
      <c r="J97" s="222"/>
      <c r="K97" s="222"/>
      <c r="L97" s="222"/>
      <c r="M97" s="222"/>
      <c r="N97" s="222"/>
      <c r="O97" s="222"/>
      <c r="P97" s="222"/>
      <c r="Q97" s="222"/>
      <c r="R97" s="254"/>
      <c r="S97" s="254"/>
    </row>
    <row r="98" spans="2:20" ht="28.8" x14ac:dyDescent="0.3">
      <c r="B98" s="98" t="s">
        <v>1</v>
      </c>
      <c r="C98" s="245" t="s">
        <v>2</v>
      </c>
      <c r="D98" s="246"/>
      <c r="E98" s="122" t="s">
        <v>3</v>
      </c>
      <c r="F98" s="122" t="s">
        <v>4</v>
      </c>
      <c r="G98" s="122" t="s">
        <v>5</v>
      </c>
      <c r="H98" s="122" t="s">
        <v>6</v>
      </c>
      <c r="I98" s="3" t="s">
        <v>50</v>
      </c>
      <c r="J98" s="3" t="s">
        <v>51</v>
      </c>
      <c r="K98" s="3" t="s">
        <v>52</v>
      </c>
      <c r="L98" s="3" t="s">
        <v>53</v>
      </c>
      <c r="M98" s="3" t="s">
        <v>10</v>
      </c>
      <c r="N98" s="3" t="s">
        <v>11</v>
      </c>
      <c r="O98" s="3" t="s">
        <v>12</v>
      </c>
      <c r="P98" s="122" t="s">
        <v>13</v>
      </c>
      <c r="Q98" s="122" t="s">
        <v>14</v>
      </c>
      <c r="R98" s="245" t="s">
        <v>36</v>
      </c>
      <c r="S98" s="247"/>
    </row>
    <row r="99" spans="2:20" x14ac:dyDescent="0.3">
      <c r="B99" s="248" t="s">
        <v>86</v>
      </c>
      <c r="C99" s="249" t="s">
        <v>77</v>
      </c>
      <c r="D99" s="139" t="s">
        <v>17</v>
      </c>
      <c r="E99" s="140">
        <f>CEILING((((9100+297+115)*1.13)-340)-150,50)</f>
        <v>10300</v>
      </c>
      <c r="F99" s="206">
        <v>340</v>
      </c>
      <c r="G99" s="206">
        <v>85</v>
      </c>
      <c r="H99" s="206">
        <v>18</v>
      </c>
      <c r="I99" s="206">
        <v>10</v>
      </c>
      <c r="J99" s="206">
        <v>75</v>
      </c>
      <c r="K99" s="206">
        <v>75</v>
      </c>
      <c r="L99" s="141">
        <f>SUM(E99:K99)</f>
        <v>10903</v>
      </c>
      <c r="M99" s="207">
        <v>200</v>
      </c>
      <c r="N99" s="141">
        <f>SUM(L99:M99)</f>
        <v>11103</v>
      </c>
      <c r="O99" s="142" t="s">
        <v>80</v>
      </c>
      <c r="P99" s="210" t="s">
        <v>57</v>
      </c>
      <c r="Q99" s="142" t="s">
        <v>46</v>
      </c>
      <c r="R99" s="250" t="s">
        <v>87</v>
      </c>
      <c r="S99" s="251"/>
      <c r="T99"/>
    </row>
    <row r="100" spans="2:20" ht="15" thickBot="1" x14ac:dyDescent="0.35">
      <c r="B100" s="248"/>
      <c r="C100" s="249"/>
      <c r="D100" s="139" t="s">
        <v>22</v>
      </c>
      <c r="E100" s="140">
        <f>CEILING((((9100+297+115)*1.13)-340)-150,50)</f>
        <v>10300</v>
      </c>
      <c r="F100" s="206">
        <v>340</v>
      </c>
      <c r="G100" s="206">
        <v>85</v>
      </c>
      <c r="H100" s="206">
        <v>18</v>
      </c>
      <c r="I100" s="206">
        <v>10</v>
      </c>
      <c r="J100" s="206">
        <v>75</v>
      </c>
      <c r="K100" s="206">
        <v>75</v>
      </c>
      <c r="L100" s="141">
        <f>SUM(E100:K100)</f>
        <v>10903</v>
      </c>
      <c r="M100" s="207">
        <v>200</v>
      </c>
      <c r="N100" s="141">
        <f>SUM(L100:M100)</f>
        <v>11103</v>
      </c>
      <c r="O100" s="142" t="s">
        <v>80</v>
      </c>
      <c r="P100" s="210" t="s">
        <v>57</v>
      </c>
      <c r="Q100" s="142" t="s">
        <v>46</v>
      </c>
      <c r="R100" s="252"/>
      <c r="S100" s="253"/>
      <c r="T100"/>
    </row>
    <row r="101" spans="2:20" ht="28.8" x14ac:dyDescent="0.3">
      <c r="B101" s="221" t="s">
        <v>88</v>
      </c>
      <c r="C101" s="222"/>
      <c r="D101" s="222"/>
      <c r="E101" s="222"/>
      <c r="F101" s="222"/>
      <c r="G101" s="222"/>
      <c r="H101" s="222"/>
      <c r="I101" s="222"/>
      <c r="J101" s="222"/>
      <c r="K101" s="222"/>
      <c r="L101" s="222"/>
      <c r="M101" s="222"/>
      <c r="N101" s="222"/>
      <c r="O101" s="222"/>
      <c r="P101" s="222"/>
      <c r="Q101" s="222"/>
      <c r="R101" s="222"/>
      <c r="S101" s="244"/>
    </row>
    <row r="102" spans="2:20" ht="28.8" x14ac:dyDescent="0.3">
      <c r="B102" s="98" t="s">
        <v>1</v>
      </c>
      <c r="C102" s="245" t="s">
        <v>2</v>
      </c>
      <c r="D102" s="246"/>
      <c r="E102" s="122" t="s">
        <v>3</v>
      </c>
      <c r="F102" s="122" t="s">
        <v>4</v>
      </c>
      <c r="G102" s="122" t="s">
        <v>5</v>
      </c>
      <c r="H102" s="122" t="s">
        <v>6</v>
      </c>
      <c r="I102" s="3" t="s">
        <v>50</v>
      </c>
      <c r="J102" s="3" t="s">
        <v>51</v>
      </c>
      <c r="K102" s="3" t="s">
        <v>52</v>
      </c>
      <c r="L102" s="3" t="s">
        <v>53</v>
      </c>
      <c r="M102" s="3" t="s">
        <v>10</v>
      </c>
      <c r="N102" s="3" t="s">
        <v>11</v>
      </c>
      <c r="O102" s="3" t="s">
        <v>12</v>
      </c>
      <c r="P102" s="122" t="s">
        <v>13</v>
      </c>
      <c r="Q102" s="122" t="s">
        <v>14</v>
      </c>
      <c r="R102" s="245" t="s">
        <v>36</v>
      </c>
      <c r="S102" s="247"/>
    </row>
    <row r="103" spans="2:20" x14ac:dyDescent="0.3">
      <c r="B103" s="248" t="s">
        <v>89</v>
      </c>
      <c r="C103" s="249" t="s">
        <v>29</v>
      </c>
      <c r="D103" s="139" t="s">
        <v>17</v>
      </c>
      <c r="E103" s="140">
        <f>CEILING((((9250+297+115)*1.13)-340)-150,50)</f>
        <v>10450</v>
      </c>
      <c r="F103" s="206">
        <v>340</v>
      </c>
      <c r="G103" s="206">
        <v>85</v>
      </c>
      <c r="H103" s="206">
        <v>18</v>
      </c>
      <c r="I103" s="206">
        <v>10</v>
      </c>
      <c r="J103" s="206">
        <v>75</v>
      </c>
      <c r="K103" s="206">
        <v>75</v>
      </c>
      <c r="L103" s="141">
        <f>SUM(E103:K103)</f>
        <v>11053</v>
      </c>
      <c r="M103" s="207">
        <v>200</v>
      </c>
      <c r="N103" s="141">
        <f>SUM(L103:M103)</f>
        <v>11253</v>
      </c>
      <c r="O103" s="142" t="s">
        <v>80</v>
      </c>
      <c r="P103" s="210" t="s">
        <v>57</v>
      </c>
      <c r="Q103" s="142" t="s">
        <v>46</v>
      </c>
      <c r="R103" s="250" t="s">
        <v>87</v>
      </c>
      <c r="S103" s="251"/>
      <c r="T103"/>
    </row>
    <row r="104" spans="2:20" x14ac:dyDescent="0.3">
      <c r="B104" s="248"/>
      <c r="C104" s="249"/>
      <c r="D104" s="139" t="s">
        <v>22</v>
      </c>
      <c r="E104" s="140">
        <f>CEILING((((9350+297+115)*1.13)-340)-150,50)</f>
        <v>10550</v>
      </c>
      <c r="F104" s="206">
        <v>340</v>
      </c>
      <c r="G104" s="206">
        <v>85</v>
      </c>
      <c r="H104" s="206">
        <v>18</v>
      </c>
      <c r="I104" s="206">
        <v>10</v>
      </c>
      <c r="J104" s="206">
        <v>75</v>
      </c>
      <c r="K104" s="206">
        <v>75</v>
      </c>
      <c r="L104" s="141">
        <f>SUM(E104:K104)</f>
        <v>11153</v>
      </c>
      <c r="M104" s="207">
        <v>200</v>
      </c>
      <c r="N104" s="141">
        <f>SUM(L104:M104)</f>
        <v>11353</v>
      </c>
      <c r="O104" s="142" t="s">
        <v>80</v>
      </c>
      <c r="P104" s="210" t="s">
        <v>57</v>
      </c>
      <c r="Q104" s="142" t="s">
        <v>46</v>
      </c>
      <c r="R104" s="252"/>
      <c r="S104" s="253"/>
      <c r="T104"/>
    </row>
    <row r="105" spans="2:20" ht="15" thickBot="1" x14ac:dyDescent="0.35">
      <c r="B105" s="134"/>
      <c r="C105" s="42"/>
      <c r="D105" s="131"/>
      <c r="E105" s="132"/>
      <c r="F105" s="195"/>
      <c r="G105" s="195"/>
      <c r="H105" s="195"/>
      <c r="I105" s="195"/>
      <c r="J105" s="195"/>
      <c r="K105" s="195"/>
      <c r="L105" s="196"/>
      <c r="M105" s="195"/>
      <c r="N105" s="196"/>
      <c r="O105" s="61"/>
      <c r="P105" s="34"/>
      <c r="Q105" s="61"/>
      <c r="R105" s="133"/>
      <c r="S105" s="135"/>
    </row>
    <row r="106" spans="2:20" ht="15.6" x14ac:dyDescent="0.3">
      <c r="B106" s="232" t="s">
        <v>32</v>
      </c>
      <c r="C106" s="233"/>
      <c r="D106" s="233"/>
      <c r="E106" s="233"/>
      <c r="F106" s="233"/>
      <c r="G106" s="233"/>
      <c r="H106" s="233"/>
      <c r="I106" s="233"/>
      <c r="J106" s="233"/>
      <c r="K106" s="233"/>
      <c r="L106" s="233"/>
      <c r="M106" s="233"/>
      <c r="N106" s="233"/>
      <c r="O106" s="233"/>
      <c r="P106" s="233"/>
      <c r="Q106" s="233"/>
      <c r="R106" s="233"/>
      <c r="S106" s="234"/>
    </row>
    <row r="107" spans="2:20" x14ac:dyDescent="0.3">
      <c r="B107" s="235" t="s">
        <v>33</v>
      </c>
      <c r="C107" s="236"/>
      <c r="D107" s="236"/>
      <c r="E107" s="236"/>
      <c r="F107" s="236"/>
      <c r="G107" s="236"/>
      <c r="H107" s="236"/>
      <c r="I107" s="236"/>
      <c r="J107" s="236"/>
      <c r="K107" s="236"/>
      <c r="L107" s="236"/>
      <c r="M107" s="236"/>
      <c r="N107" s="236"/>
      <c r="O107" s="236"/>
      <c r="P107" s="236"/>
      <c r="Q107" s="236"/>
      <c r="R107" s="236"/>
      <c r="S107" s="237"/>
    </row>
    <row r="108" spans="2:20" x14ac:dyDescent="0.3">
      <c r="B108" s="235"/>
      <c r="C108" s="236"/>
      <c r="D108" s="236"/>
      <c r="E108" s="236"/>
      <c r="F108" s="236"/>
      <c r="G108" s="236"/>
      <c r="H108" s="236"/>
      <c r="I108" s="236"/>
      <c r="J108" s="236"/>
      <c r="K108" s="236"/>
      <c r="L108" s="236"/>
      <c r="M108" s="236"/>
      <c r="N108" s="236"/>
      <c r="O108" s="236"/>
      <c r="P108" s="236"/>
      <c r="Q108" s="236"/>
      <c r="R108" s="236"/>
      <c r="S108" s="237"/>
    </row>
    <row r="109" spans="2:20" x14ac:dyDescent="0.3">
      <c r="B109" s="235"/>
      <c r="C109" s="236"/>
      <c r="D109" s="236"/>
      <c r="E109" s="236"/>
      <c r="F109" s="236"/>
      <c r="G109" s="236"/>
      <c r="H109" s="236"/>
      <c r="I109" s="236"/>
      <c r="J109" s="236"/>
      <c r="K109" s="236"/>
      <c r="L109" s="236"/>
      <c r="M109" s="236"/>
      <c r="N109" s="236"/>
      <c r="O109" s="236"/>
      <c r="P109" s="236"/>
      <c r="Q109" s="236"/>
      <c r="R109" s="236"/>
      <c r="S109" s="237"/>
    </row>
    <row r="110" spans="2:20" ht="15" thickBot="1" x14ac:dyDescent="0.35">
      <c r="B110" s="238"/>
      <c r="C110" s="239"/>
      <c r="D110" s="239"/>
      <c r="E110" s="239"/>
      <c r="F110" s="239"/>
      <c r="G110" s="239"/>
      <c r="H110" s="239"/>
      <c r="I110" s="239"/>
      <c r="J110" s="239"/>
      <c r="K110" s="239"/>
      <c r="L110" s="239"/>
      <c r="M110" s="239"/>
      <c r="N110" s="239"/>
      <c r="O110" s="239"/>
      <c r="P110" s="239"/>
      <c r="Q110" s="239"/>
      <c r="R110" s="239"/>
      <c r="S110" s="240"/>
    </row>
    <row r="119" spans="2:17" ht="28.8" x14ac:dyDescent="0.3">
      <c r="B119" s="241" t="s">
        <v>90</v>
      </c>
      <c r="C119" s="241"/>
      <c r="D119" s="241"/>
      <c r="E119" s="241"/>
      <c r="F119" s="241"/>
      <c r="G119" s="241"/>
      <c r="H119" s="241"/>
      <c r="I119" s="241"/>
      <c r="J119" s="241"/>
      <c r="K119" s="241"/>
      <c r="L119" s="241"/>
      <c r="M119" s="241"/>
      <c r="N119" s="241"/>
      <c r="O119" s="241"/>
      <c r="P119" s="241"/>
      <c r="Q119" s="130"/>
    </row>
    <row r="120" spans="2:17" ht="28.8" x14ac:dyDescent="0.3">
      <c r="B120" s="122" t="s">
        <v>1</v>
      </c>
      <c r="C120" s="223" t="s">
        <v>2</v>
      </c>
      <c r="D120" s="223"/>
      <c r="E120" s="122" t="s">
        <v>3</v>
      </c>
      <c r="F120" s="122" t="s">
        <v>4</v>
      </c>
      <c r="G120" s="11" t="s">
        <v>91</v>
      </c>
      <c r="H120" s="128" t="s">
        <v>6</v>
      </c>
      <c r="I120" s="3" t="s">
        <v>9</v>
      </c>
      <c r="J120" s="3" t="s">
        <v>10</v>
      </c>
      <c r="K120" s="3" t="s">
        <v>11</v>
      </c>
      <c r="L120" s="122" t="s">
        <v>12</v>
      </c>
      <c r="M120" s="122" t="s">
        <v>13</v>
      </c>
      <c r="N120" s="122" t="s">
        <v>14</v>
      </c>
      <c r="O120" s="223" t="s">
        <v>36</v>
      </c>
      <c r="P120" s="223"/>
      <c r="Q120" s="223"/>
    </row>
    <row r="121" spans="2:17" ht="14.4" customHeight="1" x14ac:dyDescent="0.3">
      <c r="B121" s="225" t="s">
        <v>92</v>
      </c>
      <c r="C121" s="242" t="s">
        <v>16</v>
      </c>
      <c r="D121" s="20" t="s">
        <v>17</v>
      </c>
      <c r="E121" s="36">
        <v>1600</v>
      </c>
      <c r="F121" s="36">
        <v>335</v>
      </c>
      <c r="G121" s="206">
        <v>80</v>
      </c>
      <c r="H121" s="206">
        <v>18</v>
      </c>
      <c r="I121" s="39">
        <f>SUM(E121:H121)</f>
        <v>2033</v>
      </c>
      <c r="J121" s="24">
        <v>200</v>
      </c>
      <c r="K121" s="23">
        <f>I121+J121</f>
        <v>2233</v>
      </c>
      <c r="L121" s="40">
        <v>7</v>
      </c>
      <c r="M121" s="214" t="s">
        <v>93</v>
      </c>
      <c r="N121" s="20" t="s">
        <v>39</v>
      </c>
      <c r="O121" s="243" t="s">
        <v>44</v>
      </c>
      <c r="P121" s="243"/>
      <c r="Q121" s="243"/>
    </row>
    <row r="122" spans="2:17" x14ac:dyDescent="0.3">
      <c r="B122" s="225"/>
      <c r="C122" s="242"/>
      <c r="D122" s="20" t="s">
        <v>22</v>
      </c>
      <c r="E122" s="36">
        <v>1900</v>
      </c>
      <c r="F122" s="36">
        <v>335</v>
      </c>
      <c r="G122" s="206">
        <v>80</v>
      </c>
      <c r="H122" s="206">
        <v>18</v>
      </c>
      <c r="I122" s="39">
        <f>SUM(E122:H122)</f>
        <v>2333</v>
      </c>
      <c r="J122" s="24">
        <v>200</v>
      </c>
      <c r="K122" s="23">
        <f>I122+J122</f>
        <v>2533</v>
      </c>
      <c r="L122" s="40">
        <v>7</v>
      </c>
      <c r="M122" s="214" t="s">
        <v>93</v>
      </c>
      <c r="N122" s="20" t="s">
        <v>39</v>
      </c>
      <c r="O122" s="243"/>
      <c r="P122" s="243"/>
      <c r="Q122" s="243"/>
    </row>
    <row r="123" spans="2:17" x14ac:dyDescent="0.3">
      <c r="B123" s="42"/>
      <c r="C123" s="127"/>
      <c r="D123" s="28"/>
      <c r="E123" s="43"/>
      <c r="F123" s="43"/>
      <c r="G123" s="43"/>
      <c r="H123" s="127"/>
      <c r="I123" s="99"/>
      <c r="J123" s="100"/>
      <c r="K123" s="100"/>
      <c r="L123" s="100"/>
      <c r="M123" s="101"/>
      <c r="N123" s="102"/>
      <c r="O123" s="44"/>
      <c r="P123" s="34"/>
      <c r="Q123" s="127"/>
    </row>
    <row r="124" spans="2:17" ht="15.6" x14ac:dyDescent="0.3">
      <c r="B124" s="5" t="s">
        <v>32</v>
      </c>
      <c r="C124" s="6"/>
      <c r="D124" s="6"/>
      <c r="E124" s="6"/>
      <c r="F124" s="6"/>
      <c r="G124" s="6"/>
      <c r="H124" s="6"/>
      <c r="I124" s="6"/>
      <c r="J124" s="6"/>
      <c r="K124" s="6"/>
      <c r="L124" s="6"/>
      <c r="M124" s="6"/>
      <c r="N124" s="6"/>
      <c r="O124" s="6"/>
      <c r="P124" s="6"/>
      <c r="Q124" s="7"/>
    </row>
    <row r="125" spans="2:17" x14ac:dyDescent="0.3">
      <c r="B125" s="226" t="s">
        <v>33</v>
      </c>
      <c r="C125" s="227"/>
      <c r="D125" s="227"/>
      <c r="E125" s="227"/>
      <c r="F125" s="227"/>
      <c r="G125" s="227"/>
      <c r="H125" s="227"/>
      <c r="I125" s="227"/>
      <c r="J125" s="227"/>
      <c r="K125" s="227"/>
      <c r="L125" s="227"/>
      <c r="M125" s="227"/>
      <c r="N125" s="227"/>
      <c r="O125" s="227"/>
      <c r="P125" s="227"/>
      <c r="Q125" s="228"/>
    </row>
    <row r="126" spans="2:17" x14ac:dyDescent="0.3">
      <c r="B126" s="226"/>
      <c r="C126" s="227"/>
      <c r="D126" s="227"/>
      <c r="E126" s="227"/>
      <c r="F126" s="227"/>
      <c r="G126" s="227"/>
      <c r="H126" s="227"/>
      <c r="I126" s="227"/>
      <c r="J126" s="227"/>
      <c r="K126" s="227"/>
      <c r="L126" s="227"/>
      <c r="M126" s="227"/>
      <c r="N126" s="227"/>
      <c r="O126" s="227"/>
      <c r="P126" s="227"/>
      <c r="Q126" s="228"/>
    </row>
    <row r="127" spans="2:17" x14ac:dyDescent="0.3">
      <c r="B127" s="226"/>
      <c r="C127" s="227"/>
      <c r="D127" s="227"/>
      <c r="E127" s="227"/>
      <c r="F127" s="227"/>
      <c r="G127" s="227"/>
      <c r="H127" s="227"/>
      <c r="I127" s="227"/>
      <c r="J127" s="227"/>
      <c r="K127" s="227"/>
      <c r="L127" s="227"/>
      <c r="M127" s="227"/>
      <c r="N127" s="227"/>
      <c r="O127" s="227"/>
      <c r="P127" s="227"/>
      <c r="Q127" s="228"/>
    </row>
    <row r="128" spans="2:17" x14ac:dyDescent="0.3">
      <c r="B128" s="229"/>
      <c r="C128" s="230"/>
      <c r="D128" s="230"/>
      <c r="E128" s="230"/>
      <c r="F128" s="230"/>
      <c r="G128" s="230"/>
      <c r="H128" s="230"/>
      <c r="I128" s="230"/>
      <c r="J128" s="230"/>
      <c r="K128" s="230"/>
      <c r="L128" s="230"/>
      <c r="M128" s="230"/>
      <c r="N128" s="230"/>
      <c r="O128" s="230"/>
      <c r="P128" s="230"/>
      <c r="Q128" s="231"/>
    </row>
    <row r="129" spans="2:17" x14ac:dyDescent="0.3">
      <c r="B129" s="35"/>
      <c r="C129" s="35"/>
      <c r="D129" s="35"/>
      <c r="E129" s="35"/>
      <c r="F129" s="35"/>
      <c r="G129" s="35"/>
      <c r="H129" s="35"/>
      <c r="I129" s="35"/>
      <c r="J129" s="35"/>
      <c r="K129" s="35"/>
      <c r="L129" s="35"/>
      <c r="M129" s="35"/>
      <c r="N129" s="35"/>
      <c r="O129" s="35"/>
      <c r="P129" s="35"/>
      <c r="Q129" s="35"/>
    </row>
    <row r="134" spans="2:17" ht="15" thickBot="1" x14ac:dyDescent="0.35"/>
    <row r="135" spans="2:17" ht="28.8" x14ac:dyDescent="0.3">
      <c r="B135" s="221" t="s">
        <v>94</v>
      </c>
      <c r="C135" s="222"/>
      <c r="D135" s="222"/>
      <c r="E135" s="222"/>
      <c r="F135" s="222"/>
      <c r="G135" s="222"/>
      <c r="H135" s="222"/>
      <c r="I135" s="222"/>
      <c r="J135" s="222"/>
      <c r="K135" s="222"/>
      <c r="L135" s="222"/>
      <c r="M135" s="222"/>
      <c r="N135" s="222"/>
      <c r="O135" s="222"/>
      <c r="P135" s="222"/>
    </row>
    <row r="136" spans="2:17" ht="28.8" x14ac:dyDescent="0.3">
      <c r="B136" s="98" t="s">
        <v>1</v>
      </c>
      <c r="C136" s="223" t="s">
        <v>2</v>
      </c>
      <c r="D136" s="223"/>
      <c r="E136" s="122" t="s">
        <v>3</v>
      </c>
      <c r="F136" s="122" t="s">
        <v>4</v>
      </c>
      <c r="G136" s="122" t="s">
        <v>5</v>
      </c>
      <c r="H136" s="3" t="s">
        <v>95</v>
      </c>
      <c r="I136" s="3" t="s">
        <v>51</v>
      </c>
      <c r="J136" s="3" t="s">
        <v>96</v>
      </c>
      <c r="K136" s="3" t="s">
        <v>53</v>
      </c>
      <c r="L136" s="3" t="s">
        <v>10</v>
      </c>
      <c r="M136" s="3" t="s">
        <v>11</v>
      </c>
      <c r="N136" s="3" t="s">
        <v>12</v>
      </c>
      <c r="O136" s="122" t="s">
        <v>13</v>
      </c>
      <c r="P136" s="122" t="s">
        <v>14</v>
      </c>
    </row>
    <row r="137" spans="2:17" x14ac:dyDescent="0.3">
      <c r="B137" s="137" t="s">
        <v>97</v>
      </c>
      <c r="C137" s="126" t="s">
        <v>98</v>
      </c>
      <c r="D137" s="118" t="s">
        <v>17</v>
      </c>
      <c r="E137" s="120">
        <v>1500</v>
      </c>
      <c r="F137" s="206">
        <v>340</v>
      </c>
      <c r="G137" s="206">
        <v>85</v>
      </c>
      <c r="H137" s="206">
        <v>24</v>
      </c>
      <c r="I137" s="96">
        <v>75</v>
      </c>
      <c r="J137" s="96">
        <v>75</v>
      </c>
      <c r="K137" s="97">
        <f>SUM(E137:J137)</f>
        <v>2099</v>
      </c>
      <c r="L137" s="96">
        <v>200</v>
      </c>
      <c r="M137" s="97">
        <f>SUM(K137:L137)</f>
        <v>2299</v>
      </c>
      <c r="N137" s="95" t="s">
        <v>99</v>
      </c>
      <c r="O137" s="214" t="s">
        <v>93</v>
      </c>
      <c r="P137" s="95" t="s">
        <v>46</v>
      </c>
    </row>
    <row r="138" spans="2:17" x14ac:dyDescent="0.3">
      <c r="B138" s="224" t="s">
        <v>100</v>
      </c>
      <c r="C138" s="225" t="s">
        <v>29</v>
      </c>
      <c r="D138" s="118" t="s">
        <v>17</v>
      </c>
      <c r="E138" s="120">
        <f>CEILING(((1997+75+340)*1.15)-(340+150),50)</f>
        <v>2300</v>
      </c>
      <c r="F138" s="206">
        <v>340</v>
      </c>
      <c r="G138" s="206">
        <v>85</v>
      </c>
      <c r="H138" s="96">
        <v>24</v>
      </c>
      <c r="I138" s="96">
        <v>75</v>
      </c>
      <c r="J138" s="96">
        <v>75</v>
      </c>
      <c r="K138" s="97">
        <f>SUM(E138:J138)</f>
        <v>2899</v>
      </c>
      <c r="L138" s="96">
        <v>200</v>
      </c>
      <c r="M138" s="97">
        <f>SUM(K138:L138)</f>
        <v>3099</v>
      </c>
      <c r="N138" s="95" t="s">
        <v>99</v>
      </c>
      <c r="O138" s="214" t="s">
        <v>93</v>
      </c>
      <c r="P138" s="95" t="s">
        <v>46</v>
      </c>
    </row>
    <row r="139" spans="2:17" x14ac:dyDescent="0.3">
      <c r="B139" s="224"/>
      <c r="C139" s="225"/>
      <c r="D139" s="118" t="s">
        <v>22</v>
      </c>
      <c r="E139" s="120">
        <f>CEILING(((3165+75+340)*1.15)-(340+150),50)</f>
        <v>3650</v>
      </c>
      <c r="F139" s="206">
        <v>340</v>
      </c>
      <c r="G139" s="206">
        <v>85</v>
      </c>
      <c r="H139" s="96">
        <v>24</v>
      </c>
      <c r="I139" s="96">
        <v>75</v>
      </c>
      <c r="J139" s="96">
        <v>75</v>
      </c>
      <c r="K139" s="97">
        <f>SUM(E139:J139)</f>
        <v>4249</v>
      </c>
      <c r="L139" s="96">
        <v>200</v>
      </c>
      <c r="M139" s="97">
        <f>SUM(K139:L139)</f>
        <v>4449</v>
      </c>
      <c r="N139" s="95" t="s">
        <v>99</v>
      </c>
      <c r="O139" s="214" t="s">
        <v>93</v>
      </c>
      <c r="P139" s="95" t="s">
        <v>46</v>
      </c>
    </row>
    <row r="141" spans="2:17" ht="15" thickBot="1" x14ac:dyDescent="0.35"/>
    <row r="142" spans="2:17" ht="28.8" x14ac:dyDescent="0.3">
      <c r="B142" s="221" t="s">
        <v>101</v>
      </c>
      <c r="C142" s="222"/>
      <c r="D142" s="222"/>
      <c r="E142" s="222"/>
      <c r="F142" s="222"/>
      <c r="G142" s="222"/>
      <c r="H142" s="222"/>
      <c r="I142" s="222"/>
      <c r="J142" s="222"/>
      <c r="K142" s="222"/>
      <c r="L142" s="222"/>
      <c r="M142" s="222"/>
      <c r="N142" s="222"/>
      <c r="O142" s="222"/>
      <c r="P142" s="222"/>
    </row>
    <row r="143" spans="2:17" ht="28.8" x14ac:dyDescent="0.3">
      <c r="B143" s="98" t="s">
        <v>1</v>
      </c>
      <c r="C143" s="223" t="s">
        <v>2</v>
      </c>
      <c r="D143" s="223"/>
      <c r="E143" s="122" t="s">
        <v>3</v>
      </c>
      <c r="F143" s="122" t="s">
        <v>4</v>
      </c>
      <c r="G143" s="122" t="s">
        <v>5</v>
      </c>
      <c r="H143" s="122" t="s">
        <v>6</v>
      </c>
      <c r="I143" s="3" t="s">
        <v>51</v>
      </c>
      <c r="J143" s="3" t="s">
        <v>96</v>
      </c>
      <c r="K143" s="3" t="s">
        <v>53</v>
      </c>
      <c r="L143" s="3" t="s">
        <v>10</v>
      </c>
      <c r="M143" s="3" t="s">
        <v>11</v>
      </c>
      <c r="N143" s="3" t="s">
        <v>12</v>
      </c>
      <c r="O143" s="122" t="s">
        <v>13</v>
      </c>
      <c r="P143" s="122" t="s">
        <v>14</v>
      </c>
    </row>
    <row r="144" spans="2:17" x14ac:dyDescent="0.3">
      <c r="B144" s="225" t="s">
        <v>102</v>
      </c>
      <c r="C144" s="225" t="s">
        <v>16</v>
      </c>
      <c r="D144" s="118" t="s">
        <v>17</v>
      </c>
      <c r="E144" s="96">
        <v>1800</v>
      </c>
      <c r="F144" s="96">
        <v>370</v>
      </c>
      <c r="G144" s="96">
        <v>50</v>
      </c>
      <c r="H144" s="96">
        <v>0</v>
      </c>
      <c r="I144" s="96">
        <v>75</v>
      </c>
      <c r="J144" s="96">
        <v>75</v>
      </c>
      <c r="K144" s="97">
        <f>SUM(E144:J144)</f>
        <v>2370</v>
      </c>
      <c r="L144" s="96">
        <v>200</v>
      </c>
      <c r="M144" s="97">
        <f>SUM(K144:L144)</f>
        <v>2570</v>
      </c>
      <c r="N144" s="95" t="s">
        <v>103</v>
      </c>
      <c r="O144" s="214" t="s">
        <v>93</v>
      </c>
      <c r="P144" s="95" t="s">
        <v>39</v>
      </c>
    </row>
    <row r="145" spans="2:17" x14ac:dyDescent="0.3">
      <c r="B145" s="225"/>
      <c r="C145" s="225"/>
      <c r="D145" s="118" t="s">
        <v>22</v>
      </c>
      <c r="E145" s="96">
        <v>2200</v>
      </c>
      <c r="F145" s="96">
        <v>370</v>
      </c>
      <c r="G145" s="96">
        <v>50</v>
      </c>
      <c r="H145" s="96">
        <v>0</v>
      </c>
      <c r="I145" s="96">
        <v>75</v>
      </c>
      <c r="J145" s="96">
        <v>75</v>
      </c>
      <c r="K145" s="97">
        <f>SUM(E145:J145)</f>
        <v>2770</v>
      </c>
      <c r="L145" s="96">
        <v>200</v>
      </c>
      <c r="M145" s="97">
        <f>SUM(K145:L145)</f>
        <v>2970</v>
      </c>
      <c r="N145" s="95" t="s">
        <v>103</v>
      </c>
      <c r="O145" s="214" t="s">
        <v>93</v>
      </c>
      <c r="P145" s="95" t="s">
        <v>39</v>
      </c>
    </row>
    <row r="146" spans="2:17" x14ac:dyDescent="0.3">
      <c r="B146" s="225" t="s">
        <v>104</v>
      </c>
      <c r="C146" s="225" t="s">
        <v>29</v>
      </c>
      <c r="D146" s="118" t="s">
        <v>17</v>
      </c>
      <c r="E146" s="96">
        <v>1050</v>
      </c>
      <c r="F146" s="96">
        <v>289</v>
      </c>
      <c r="G146" s="96">
        <v>84.38</v>
      </c>
      <c r="H146" s="96">
        <v>55</v>
      </c>
      <c r="I146" s="96">
        <v>75</v>
      </c>
      <c r="J146" s="96">
        <v>75</v>
      </c>
      <c r="K146" s="97">
        <f>SUM(E146:J146)</f>
        <v>1628.38</v>
      </c>
      <c r="L146" s="96">
        <v>200</v>
      </c>
      <c r="M146" s="97">
        <f>SUM(K146:L146)</f>
        <v>1828.38</v>
      </c>
      <c r="N146" s="95" t="s">
        <v>103</v>
      </c>
      <c r="O146" s="214" t="s">
        <v>93</v>
      </c>
      <c r="P146" s="95" t="s">
        <v>62</v>
      </c>
    </row>
    <row r="147" spans="2:17" x14ac:dyDescent="0.3">
      <c r="B147" s="225"/>
      <c r="C147" s="225"/>
      <c r="D147" s="118" t="s">
        <v>22</v>
      </c>
      <c r="E147" s="96">
        <v>1500</v>
      </c>
      <c r="F147" s="96">
        <v>289</v>
      </c>
      <c r="G147" s="96">
        <v>84.38</v>
      </c>
      <c r="H147" s="96">
        <v>55</v>
      </c>
      <c r="I147" s="96">
        <v>75</v>
      </c>
      <c r="J147" s="96">
        <v>75</v>
      </c>
      <c r="K147" s="97">
        <f>SUM(E147:J147)</f>
        <v>2078.38</v>
      </c>
      <c r="L147" s="96">
        <v>200</v>
      </c>
      <c r="M147" s="97">
        <f>SUM(K147:L147)</f>
        <v>2278.38</v>
      </c>
      <c r="N147" s="95" t="s">
        <v>103</v>
      </c>
      <c r="O147" s="214" t="s">
        <v>93</v>
      </c>
      <c r="P147" s="95" t="s">
        <v>62</v>
      </c>
    </row>
    <row r="148" spans="2:17" x14ac:dyDescent="0.3">
      <c r="F148" s="19"/>
      <c r="G148" s="19"/>
      <c r="H148" s="19"/>
      <c r="I148" s="19"/>
    </row>
    <row r="149" spans="2:17" ht="15.6" x14ac:dyDescent="0.3">
      <c r="B149" s="5" t="s">
        <v>32</v>
      </c>
      <c r="C149" s="6"/>
      <c r="D149" s="6"/>
      <c r="E149" s="6"/>
      <c r="F149" s="6"/>
      <c r="G149" s="6"/>
      <c r="H149" s="6"/>
      <c r="I149" s="6"/>
      <c r="J149" s="6"/>
      <c r="K149" s="6"/>
      <c r="L149" s="6"/>
      <c r="M149" s="6"/>
      <c r="N149" s="6"/>
      <c r="O149" s="6"/>
      <c r="P149" s="6"/>
      <c r="Q149" s="7"/>
    </row>
    <row r="150" spans="2:17" x14ac:dyDescent="0.3">
      <c r="B150" s="226" t="s">
        <v>33</v>
      </c>
      <c r="C150" s="227"/>
      <c r="D150" s="227"/>
      <c r="E150" s="227"/>
      <c r="F150" s="227"/>
      <c r="G150" s="227"/>
      <c r="H150" s="227"/>
      <c r="I150" s="227"/>
      <c r="J150" s="227"/>
      <c r="K150" s="227"/>
      <c r="L150" s="227"/>
      <c r="M150" s="227"/>
      <c r="N150" s="227"/>
      <c r="O150" s="227"/>
      <c r="P150" s="227"/>
      <c r="Q150" s="228"/>
    </row>
    <row r="151" spans="2:17" x14ac:dyDescent="0.3">
      <c r="B151" s="226"/>
      <c r="C151" s="227"/>
      <c r="D151" s="227"/>
      <c r="E151" s="227"/>
      <c r="F151" s="227"/>
      <c r="G151" s="227"/>
      <c r="H151" s="227"/>
      <c r="I151" s="227"/>
      <c r="J151" s="227"/>
      <c r="K151" s="227"/>
      <c r="L151" s="227"/>
      <c r="M151" s="227"/>
      <c r="N151" s="227"/>
      <c r="O151" s="227"/>
      <c r="P151" s="227"/>
      <c r="Q151" s="228"/>
    </row>
    <row r="152" spans="2:17" x14ac:dyDescent="0.3">
      <c r="B152" s="226"/>
      <c r="C152" s="227"/>
      <c r="D152" s="227"/>
      <c r="E152" s="227"/>
      <c r="F152" s="227"/>
      <c r="G152" s="227"/>
      <c r="H152" s="227"/>
      <c r="I152" s="227"/>
      <c r="J152" s="227"/>
      <c r="K152" s="227"/>
      <c r="L152" s="227"/>
      <c r="M152" s="227"/>
      <c r="N152" s="227"/>
      <c r="O152" s="227"/>
      <c r="P152" s="227"/>
      <c r="Q152" s="228"/>
    </row>
    <row r="153" spans="2:17" x14ac:dyDescent="0.3">
      <c r="B153" s="229"/>
      <c r="C153" s="230"/>
      <c r="D153" s="230"/>
      <c r="E153" s="230"/>
      <c r="F153" s="230"/>
      <c r="G153" s="230"/>
      <c r="H153" s="230"/>
      <c r="I153" s="230"/>
      <c r="J153" s="230"/>
      <c r="K153" s="230"/>
      <c r="L153" s="230"/>
      <c r="M153" s="230"/>
      <c r="N153" s="230"/>
      <c r="O153" s="230"/>
      <c r="P153" s="230"/>
      <c r="Q153" s="231"/>
    </row>
    <row r="155" spans="2:17" x14ac:dyDescent="0.3">
      <c r="B155" s="35"/>
      <c r="C155" s="35"/>
      <c r="D155" s="35"/>
      <c r="E155" s="35"/>
      <c r="F155" s="35"/>
      <c r="G155" s="35"/>
      <c r="H155" s="35"/>
      <c r="I155" s="35"/>
      <c r="J155" s="35"/>
      <c r="K155" s="35"/>
      <c r="L155" s="35"/>
      <c r="M155" s="35"/>
      <c r="N155" s="35"/>
      <c r="O155" s="35"/>
      <c r="P155" s="35"/>
    </row>
    <row r="160" spans="2:17" ht="15" thickBot="1" x14ac:dyDescent="0.35"/>
    <row r="161" spans="2:17" ht="28.8" x14ac:dyDescent="0.3">
      <c r="B161" s="221" t="s">
        <v>105</v>
      </c>
      <c r="C161" s="222"/>
      <c r="D161" s="222"/>
      <c r="E161" s="222"/>
      <c r="F161" s="222"/>
      <c r="G161" s="222"/>
      <c r="H161" s="222"/>
      <c r="I161" s="222"/>
      <c r="J161" s="222"/>
      <c r="K161" s="222"/>
      <c r="L161" s="222"/>
      <c r="M161" s="222"/>
      <c r="N161" s="222"/>
      <c r="O161" s="222"/>
      <c r="P161" s="222"/>
    </row>
    <row r="162" spans="2:17" ht="28.8" x14ac:dyDescent="0.3">
      <c r="B162" s="98" t="s">
        <v>1</v>
      </c>
      <c r="C162" s="223" t="s">
        <v>2</v>
      </c>
      <c r="D162" s="223"/>
      <c r="E162" s="122" t="s">
        <v>3</v>
      </c>
      <c r="F162" s="122" t="s">
        <v>4</v>
      </c>
      <c r="G162" s="122" t="s">
        <v>5</v>
      </c>
      <c r="H162" s="122" t="s">
        <v>6</v>
      </c>
      <c r="I162" s="3" t="s">
        <v>51</v>
      </c>
      <c r="J162" s="3" t="s">
        <v>96</v>
      </c>
      <c r="K162" s="3" t="s">
        <v>53</v>
      </c>
      <c r="L162" s="3" t="s">
        <v>10</v>
      </c>
      <c r="M162" s="3" t="s">
        <v>11</v>
      </c>
      <c r="N162" s="3" t="s">
        <v>12</v>
      </c>
      <c r="O162" s="122" t="s">
        <v>13</v>
      </c>
      <c r="P162" s="122" t="s">
        <v>14</v>
      </c>
    </row>
    <row r="163" spans="2:17" x14ac:dyDescent="0.3">
      <c r="B163" s="224" t="s">
        <v>106</v>
      </c>
      <c r="C163" s="225" t="s">
        <v>107</v>
      </c>
      <c r="D163" s="118" t="s">
        <v>17</v>
      </c>
      <c r="E163" s="120">
        <v>1550</v>
      </c>
      <c r="F163" s="96">
        <v>340</v>
      </c>
      <c r="G163" s="96">
        <v>80</v>
      </c>
      <c r="H163" s="96">
        <v>18</v>
      </c>
      <c r="I163" s="96">
        <v>75</v>
      </c>
      <c r="J163" s="96">
        <v>75</v>
      </c>
      <c r="K163" s="97">
        <f>SUM(E163:J163)</f>
        <v>2138</v>
      </c>
      <c r="L163" s="96">
        <v>200</v>
      </c>
      <c r="M163" s="97">
        <f>SUM(K163:L163)</f>
        <v>2338</v>
      </c>
      <c r="N163" s="95" t="s">
        <v>99</v>
      </c>
      <c r="O163" s="214" t="s">
        <v>93</v>
      </c>
      <c r="P163" s="95" t="s">
        <v>108</v>
      </c>
    </row>
    <row r="164" spans="2:17" x14ac:dyDescent="0.3">
      <c r="B164" s="224"/>
      <c r="C164" s="225"/>
      <c r="D164" s="118" t="s">
        <v>22</v>
      </c>
      <c r="E164" s="120">
        <v>2700</v>
      </c>
      <c r="F164" s="96">
        <v>340</v>
      </c>
      <c r="G164" s="96">
        <v>80</v>
      </c>
      <c r="H164" s="96">
        <v>18</v>
      </c>
      <c r="I164" s="96">
        <v>75</v>
      </c>
      <c r="J164" s="96">
        <v>75</v>
      </c>
      <c r="K164" s="97">
        <f>SUM(E164:J164)</f>
        <v>3288</v>
      </c>
      <c r="L164" s="96">
        <v>200</v>
      </c>
      <c r="M164" s="97">
        <f>SUM(K164:L164)</f>
        <v>3488</v>
      </c>
      <c r="N164" s="95" t="s">
        <v>99</v>
      </c>
      <c r="O164" s="214" t="s">
        <v>93</v>
      </c>
      <c r="P164" s="95" t="s">
        <v>108</v>
      </c>
    </row>
    <row r="166" spans="2:17" ht="15.6" x14ac:dyDescent="0.3">
      <c r="B166" s="5" t="s">
        <v>32</v>
      </c>
      <c r="C166" s="6"/>
      <c r="D166" s="6"/>
      <c r="E166" s="6"/>
      <c r="F166" s="6"/>
      <c r="G166" s="6"/>
      <c r="H166" s="6"/>
      <c r="I166" s="6"/>
      <c r="J166" s="6"/>
      <c r="K166" s="6"/>
      <c r="L166" s="6"/>
      <c r="M166" s="6"/>
      <c r="N166" s="6"/>
      <c r="O166" s="6"/>
      <c r="P166" s="6"/>
      <c r="Q166" s="7"/>
    </row>
    <row r="167" spans="2:17" x14ac:dyDescent="0.3">
      <c r="B167" s="226" t="s">
        <v>33</v>
      </c>
      <c r="C167" s="227"/>
      <c r="D167" s="227"/>
      <c r="E167" s="227"/>
      <c r="F167" s="227"/>
      <c r="G167" s="227"/>
      <c r="H167" s="227"/>
      <c r="I167" s="227"/>
      <c r="J167" s="227"/>
      <c r="K167" s="227"/>
      <c r="L167" s="227"/>
      <c r="M167" s="227"/>
      <c r="N167" s="227"/>
      <c r="O167" s="227"/>
      <c r="P167" s="227"/>
      <c r="Q167" s="228"/>
    </row>
    <row r="168" spans="2:17" x14ac:dyDescent="0.3">
      <c r="B168" s="226"/>
      <c r="C168" s="227"/>
      <c r="D168" s="227"/>
      <c r="E168" s="227"/>
      <c r="F168" s="227"/>
      <c r="G168" s="227"/>
      <c r="H168" s="227"/>
      <c r="I168" s="227"/>
      <c r="J168" s="227"/>
      <c r="K168" s="227"/>
      <c r="L168" s="227"/>
      <c r="M168" s="227"/>
      <c r="N168" s="227"/>
      <c r="O168" s="227"/>
      <c r="P168" s="227"/>
      <c r="Q168" s="228"/>
    </row>
    <row r="169" spans="2:17" x14ac:dyDescent="0.3">
      <c r="B169" s="226"/>
      <c r="C169" s="227"/>
      <c r="D169" s="227"/>
      <c r="E169" s="227"/>
      <c r="F169" s="227"/>
      <c r="G169" s="227"/>
      <c r="H169" s="227"/>
      <c r="I169" s="227"/>
      <c r="J169" s="227"/>
      <c r="K169" s="227"/>
      <c r="L169" s="227"/>
      <c r="M169" s="227"/>
      <c r="N169" s="227"/>
      <c r="O169" s="227"/>
      <c r="P169" s="227"/>
      <c r="Q169" s="228"/>
    </row>
    <row r="170" spans="2:17" x14ac:dyDescent="0.3">
      <c r="B170" s="229"/>
      <c r="C170" s="230"/>
      <c r="D170" s="230"/>
      <c r="E170" s="230"/>
      <c r="F170" s="230"/>
      <c r="G170" s="230"/>
      <c r="H170" s="230"/>
      <c r="I170" s="230"/>
      <c r="J170" s="230"/>
      <c r="K170" s="230"/>
      <c r="L170" s="230"/>
      <c r="M170" s="230"/>
      <c r="N170" s="230"/>
      <c r="O170" s="230"/>
      <c r="P170" s="230"/>
      <c r="Q170" s="231"/>
    </row>
    <row r="171" spans="2:17" x14ac:dyDescent="0.3">
      <c r="B171" s="35"/>
      <c r="C171" s="35"/>
      <c r="D171" s="35"/>
      <c r="E171" s="35"/>
      <c r="F171" s="35"/>
      <c r="G171" s="35"/>
      <c r="H171" s="35"/>
      <c r="I171" s="35"/>
      <c r="J171" s="35"/>
      <c r="K171" s="35"/>
      <c r="L171" s="35"/>
      <c r="M171" s="35"/>
      <c r="N171" s="35"/>
      <c r="O171" s="35"/>
      <c r="P171" s="35"/>
      <c r="Q171" s="35"/>
    </row>
    <row r="172" spans="2:17" x14ac:dyDescent="0.3">
      <c r="B172" s="35"/>
      <c r="C172" s="35"/>
      <c r="D172" s="35"/>
      <c r="E172" s="35"/>
      <c r="F172" s="35"/>
      <c r="G172" s="35"/>
      <c r="H172" s="35"/>
      <c r="I172" s="35"/>
      <c r="J172" s="35"/>
      <c r="K172" s="35"/>
      <c r="L172" s="35"/>
      <c r="M172" s="35"/>
      <c r="N172" s="35"/>
      <c r="O172" s="35"/>
      <c r="P172" s="35"/>
      <c r="Q172" s="35"/>
    </row>
    <row r="174" spans="2:17" ht="28.8" x14ac:dyDescent="0.3">
      <c r="B174" s="289" t="s">
        <v>109</v>
      </c>
      <c r="C174" s="254"/>
      <c r="D174" s="254"/>
      <c r="E174" s="254"/>
      <c r="F174" s="254"/>
      <c r="G174" s="254"/>
      <c r="H174" s="254"/>
      <c r="I174" s="254"/>
      <c r="J174" s="254"/>
      <c r="K174" s="254"/>
      <c r="L174" s="254"/>
      <c r="M174" s="254"/>
      <c r="N174" s="254"/>
      <c r="O174" s="254"/>
    </row>
    <row r="175" spans="2:17" ht="72" x14ac:dyDescent="0.3">
      <c r="B175" s="98" t="s">
        <v>1</v>
      </c>
      <c r="C175" s="223" t="s">
        <v>2</v>
      </c>
      <c r="D175" s="223"/>
      <c r="E175" s="122" t="s">
        <v>3</v>
      </c>
      <c r="F175" s="3" t="s">
        <v>110</v>
      </c>
      <c r="G175" s="3" t="s">
        <v>111</v>
      </c>
      <c r="H175" s="3" t="s">
        <v>96</v>
      </c>
      <c r="I175" s="3" t="s">
        <v>112</v>
      </c>
      <c r="J175" s="3" t="s">
        <v>53</v>
      </c>
      <c r="K175" s="3" t="s">
        <v>10</v>
      </c>
      <c r="L175" s="3" t="s">
        <v>11</v>
      </c>
      <c r="M175" s="3" t="s">
        <v>12</v>
      </c>
      <c r="N175" s="122" t="s">
        <v>13</v>
      </c>
      <c r="O175" s="122" t="s">
        <v>14</v>
      </c>
    </row>
    <row r="176" spans="2:17" x14ac:dyDescent="0.3">
      <c r="B176" s="278" t="s">
        <v>113</v>
      </c>
      <c r="C176" s="225" t="s">
        <v>16</v>
      </c>
      <c r="D176" s="118" t="s">
        <v>17</v>
      </c>
      <c r="E176" s="144">
        <v>750</v>
      </c>
      <c r="F176" s="96">
        <v>65</v>
      </c>
      <c r="G176" s="96">
        <v>410</v>
      </c>
      <c r="H176" s="96">
        <v>60</v>
      </c>
      <c r="I176" s="189">
        <v>54.7</v>
      </c>
      <c r="J176" s="97">
        <f>SUM(E176:I176)</f>
        <v>1339.7</v>
      </c>
      <c r="K176" s="96">
        <v>200</v>
      </c>
      <c r="L176" s="97">
        <f>J176+K176</f>
        <v>1539.7</v>
      </c>
      <c r="M176" s="183" t="s">
        <v>114</v>
      </c>
      <c r="N176" s="214" t="s">
        <v>93</v>
      </c>
      <c r="O176" s="95" t="s">
        <v>21</v>
      </c>
    </row>
    <row r="177" spans="2:16" x14ac:dyDescent="0.3">
      <c r="B177" s="279"/>
      <c r="C177" s="225"/>
      <c r="D177" s="118" t="s">
        <v>22</v>
      </c>
      <c r="E177" s="144">
        <v>1200</v>
      </c>
      <c r="F177" s="96">
        <v>65</v>
      </c>
      <c r="G177" s="96">
        <v>410</v>
      </c>
      <c r="H177" s="96">
        <v>60</v>
      </c>
      <c r="I177" s="189">
        <v>54.7</v>
      </c>
      <c r="J177" s="97">
        <f>SUM(E177:I177)</f>
        <v>1789.7</v>
      </c>
      <c r="K177" s="96">
        <v>200</v>
      </c>
      <c r="L177" s="97">
        <f>J177+K177</f>
        <v>1989.7</v>
      </c>
      <c r="M177" s="183" t="s">
        <v>114</v>
      </c>
      <c r="N177" s="214" t="s">
        <v>93</v>
      </c>
      <c r="O177" s="95" t="s">
        <v>21</v>
      </c>
    </row>
    <row r="181" spans="2:16" x14ac:dyDescent="0.3">
      <c r="B181" s="35"/>
      <c r="C181" s="35"/>
      <c r="D181" s="35"/>
      <c r="E181" s="35"/>
      <c r="F181" s="35"/>
      <c r="G181" s="35"/>
      <c r="H181" s="35"/>
      <c r="I181" s="35"/>
      <c r="J181" s="35"/>
      <c r="K181" s="35"/>
      <c r="L181" s="35"/>
      <c r="M181" s="35"/>
      <c r="N181" s="35"/>
      <c r="O181" s="35"/>
      <c r="P181" s="35"/>
    </row>
    <row r="186" spans="2:16" ht="15" thickBot="1" x14ac:dyDescent="0.35"/>
    <row r="187" spans="2:16" ht="28.8" x14ac:dyDescent="0.3">
      <c r="B187" s="221" t="s">
        <v>115</v>
      </c>
      <c r="C187" s="222"/>
      <c r="D187" s="222"/>
      <c r="E187" s="222"/>
      <c r="F187" s="222"/>
      <c r="G187" s="222"/>
      <c r="H187" s="222"/>
      <c r="I187" s="222"/>
      <c r="J187" s="222"/>
      <c r="K187" s="222"/>
      <c r="L187" s="222"/>
      <c r="M187" s="222"/>
      <c r="N187" s="222"/>
      <c r="O187" s="222"/>
      <c r="P187" s="222"/>
    </row>
    <row r="188" spans="2:16" ht="28.8" x14ac:dyDescent="0.3">
      <c r="B188" s="98" t="s">
        <v>1</v>
      </c>
      <c r="C188" s="223" t="s">
        <v>2</v>
      </c>
      <c r="D188" s="223"/>
      <c r="E188" s="122" t="s">
        <v>3</v>
      </c>
      <c r="F188" s="122" t="s">
        <v>4</v>
      </c>
      <c r="G188" s="122" t="s">
        <v>5</v>
      </c>
      <c r="H188" s="122" t="s">
        <v>116</v>
      </c>
      <c r="I188" s="3" t="s">
        <v>51</v>
      </c>
      <c r="J188" s="3" t="s">
        <v>96</v>
      </c>
      <c r="K188" s="3" t="s">
        <v>53</v>
      </c>
      <c r="L188" s="3" t="s">
        <v>10</v>
      </c>
      <c r="M188" s="3" t="s">
        <v>11</v>
      </c>
      <c r="N188" s="3" t="s">
        <v>12</v>
      </c>
      <c r="O188" s="122" t="s">
        <v>13</v>
      </c>
      <c r="P188" s="122" t="s">
        <v>14</v>
      </c>
    </row>
    <row r="189" spans="2:16" x14ac:dyDescent="0.3">
      <c r="B189" s="224" t="s">
        <v>117</v>
      </c>
      <c r="C189" s="225" t="s">
        <v>98</v>
      </c>
      <c r="D189" s="118" t="s">
        <v>17</v>
      </c>
      <c r="E189" s="120">
        <v>1700</v>
      </c>
      <c r="F189" s="96">
        <v>340</v>
      </c>
      <c r="G189" s="96">
        <v>97.87</v>
      </c>
      <c r="H189" s="96">
        <v>55</v>
      </c>
      <c r="I189" s="96" t="s">
        <v>118</v>
      </c>
      <c r="J189" s="96" t="s">
        <v>118</v>
      </c>
      <c r="K189" s="97">
        <f>SUM(E189:J189)</f>
        <v>2192.87</v>
      </c>
      <c r="L189" s="96">
        <v>200</v>
      </c>
      <c r="M189" s="97">
        <f>SUM(K189:L189)</f>
        <v>2392.87</v>
      </c>
      <c r="N189" s="209" t="s">
        <v>119</v>
      </c>
      <c r="O189" s="214" t="s">
        <v>93</v>
      </c>
      <c r="P189" s="95" t="s">
        <v>70</v>
      </c>
    </row>
    <row r="190" spans="2:16" x14ac:dyDescent="0.3">
      <c r="B190" s="224"/>
      <c r="C190" s="225"/>
      <c r="D190" s="118" t="s">
        <v>22</v>
      </c>
      <c r="E190" s="120">
        <v>2050</v>
      </c>
      <c r="F190" s="96">
        <v>340</v>
      </c>
      <c r="G190" s="96">
        <v>97.87</v>
      </c>
      <c r="H190" s="96">
        <v>55</v>
      </c>
      <c r="I190" s="96" t="s">
        <v>118</v>
      </c>
      <c r="J190" s="96" t="s">
        <v>118</v>
      </c>
      <c r="K190" s="97">
        <f>SUM(E190:J190)</f>
        <v>2542.87</v>
      </c>
      <c r="L190" s="96">
        <v>200</v>
      </c>
      <c r="M190" s="97">
        <f>SUM(K190:L190)</f>
        <v>2742.87</v>
      </c>
      <c r="N190" s="209" t="s">
        <v>119</v>
      </c>
      <c r="O190" s="214" t="s">
        <v>93</v>
      </c>
      <c r="P190" s="95" t="s">
        <v>70</v>
      </c>
    </row>
    <row r="1048572" spans="3:3" x14ac:dyDescent="0.3">
      <c r="C1048572" s="126"/>
    </row>
  </sheetData>
  <mergeCells count="123">
    <mergeCell ref="B174:O174"/>
    <mergeCell ref="B187:P187"/>
    <mergeCell ref="C188:D188"/>
    <mergeCell ref="B189:B190"/>
    <mergeCell ref="C189:C190"/>
    <mergeCell ref="C175:D175"/>
    <mergeCell ref="B176:B177"/>
    <mergeCell ref="C176:C177"/>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C79:C80"/>
    <mergeCell ref="C20:C21"/>
    <mergeCell ref="B24:P27"/>
    <mergeCell ref="O41:P41"/>
    <mergeCell ref="B44:Q47"/>
    <mergeCell ref="B57:S57"/>
    <mergeCell ref="C58:D58"/>
    <mergeCell ref="R58:S58"/>
    <mergeCell ref="B61:B62"/>
    <mergeCell ref="C61:C62"/>
    <mergeCell ref="R75:S80"/>
    <mergeCell ref="B75:B76"/>
    <mergeCell ref="C75:C76"/>
    <mergeCell ref="B77:B78"/>
    <mergeCell ref="C77:C78"/>
    <mergeCell ref="B59:B60"/>
    <mergeCell ref="C59:C60"/>
    <mergeCell ref="R59:S62"/>
    <mergeCell ref="R73:S74"/>
    <mergeCell ref="B63:B64"/>
    <mergeCell ref="C63:C64"/>
    <mergeCell ref="B65:B66"/>
    <mergeCell ref="C65:C66"/>
    <mergeCell ref="R65:S66"/>
    <mergeCell ref="R63:S64"/>
    <mergeCell ref="R67:S68"/>
    <mergeCell ref="B71:B72"/>
    <mergeCell ref="C71:C72"/>
    <mergeCell ref="B73:B74"/>
    <mergeCell ref="C73:C74"/>
    <mergeCell ref="R69:S72"/>
    <mergeCell ref="B67:B68"/>
    <mergeCell ref="C67:C68"/>
    <mergeCell ref="B69:B70"/>
    <mergeCell ref="C69:C70"/>
    <mergeCell ref="B85:S85"/>
    <mergeCell ref="C86:D86"/>
    <mergeCell ref="R86:S86"/>
    <mergeCell ref="B87:B88"/>
    <mergeCell ref="C87:C88"/>
    <mergeCell ref="B79:B80"/>
    <mergeCell ref="R87:S88"/>
    <mergeCell ref="B81:S81"/>
    <mergeCell ref="C82:D82"/>
    <mergeCell ref="R82:S82"/>
    <mergeCell ref="B83:B84"/>
    <mergeCell ref="C83:C84"/>
    <mergeCell ref="R83:S84"/>
    <mergeCell ref="B93:S93"/>
    <mergeCell ref="C94:D94"/>
    <mergeCell ref="R94:S94"/>
    <mergeCell ref="B89:S89"/>
    <mergeCell ref="B95:B96"/>
    <mergeCell ref="C95:C96"/>
    <mergeCell ref="R95:S96"/>
    <mergeCell ref="C90:D90"/>
    <mergeCell ref="R90:S90"/>
    <mergeCell ref="B91:B92"/>
    <mergeCell ref="C91:C92"/>
    <mergeCell ref="R91:S92"/>
    <mergeCell ref="C121:C122"/>
    <mergeCell ref="O121:Q122"/>
    <mergeCell ref="B101:S101"/>
    <mergeCell ref="C102:D102"/>
    <mergeCell ref="R102:S102"/>
    <mergeCell ref="B103:B104"/>
    <mergeCell ref="C103:C104"/>
    <mergeCell ref="R103:S104"/>
    <mergeCell ref="B97:S97"/>
    <mergeCell ref="C98:D98"/>
    <mergeCell ref="R98:S98"/>
    <mergeCell ref="B99:B100"/>
    <mergeCell ref="C99:C100"/>
    <mergeCell ref="R99:S100"/>
    <mergeCell ref="O40:P40"/>
    <mergeCell ref="B161:P161"/>
    <mergeCell ref="C162:D162"/>
    <mergeCell ref="B163:B164"/>
    <mergeCell ref="C163:C164"/>
    <mergeCell ref="B167:Q170"/>
    <mergeCell ref="C143:D143"/>
    <mergeCell ref="B146:B147"/>
    <mergeCell ref="C146:C147"/>
    <mergeCell ref="B150:Q153"/>
    <mergeCell ref="B125:Q128"/>
    <mergeCell ref="B135:P135"/>
    <mergeCell ref="C136:D136"/>
    <mergeCell ref="B138:B139"/>
    <mergeCell ref="C138:C139"/>
    <mergeCell ref="B142:P142"/>
    <mergeCell ref="B144:B145"/>
    <mergeCell ref="C144:C145"/>
    <mergeCell ref="B106:S106"/>
    <mergeCell ref="B107:S110"/>
    <mergeCell ref="B119:P119"/>
    <mergeCell ref="C120:D120"/>
    <mergeCell ref="O120:Q120"/>
    <mergeCell ref="B121:B122"/>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B127"/>
  <sheetViews>
    <sheetView topLeftCell="A88" zoomScale="90" zoomScaleNormal="90" zoomScaleSheetLayoutView="100" workbookViewId="0">
      <selection activeCell="U26" sqref="U1:U1048576"/>
    </sheetView>
  </sheetViews>
  <sheetFormatPr defaultColWidth="8.5546875" defaultRowHeight="14.4" x14ac:dyDescent="0.3"/>
  <cols>
    <col min="1" max="1" width="8.88671875" style="19" customWidth="1"/>
    <col min="2" max="2" width="41.6640625" style="19" customWidth="1"/>
    <col min="3" max="3" width="11.6640625" style="28" bestFit="1" customWidth="1"/>
    <col min="4" max="4" width="7.109375" style="19" bestFit="1" customWidth="1"/>
    <col min="5" max="5" width="12.33203125" style="19" customWidth="1"/>
    <col min="6" max="6" width="13.5546875" style="19" customWidth="1"/>
    <col min="7" max="7" width="11.6640625" style="19" customWidth="1"/>
    <col min="8" max="8" width="14.44140625" style="19" bestFit="1" customWidth="1"/>
    <col min="9" max="9" width="14.44140625" style="19" customWidth="1"/>
    <col min="10" max="10" width="16" style="19" bestFit="1" customWidth="1"/>
    <col min="11" max="11" width="13.5546875" style="19" customWidth="1"/>
    <col min="12" max="12" width="16.109375" style="19" customWidth="1"/>
    <col min="13" max="13" width="11.33203125" style="19" customWidth="1"/>
    <col min="14" max="14" width="12.109375" style="19" customWidth="1"/>
    <col min="15" max="15" width="11.33203125" style="19" bestFit="1" customWidth="1"/>
    <col min="16" max="16" width="33.5546875" style="19" customWidth="1"/>
    <col min="17" max="17" width="10.44140625" style="19" customWidth="1"/>
    <col min="18" max="18" width="10.33203125" style="19" customWidth="1"/>
    <col min="19" max="19" width="14.44140625" style="19" customWidth="1"/>
    <col min="20" max="20" width="9.33203125" style="19" customWidth="1"/>
    <col min="21" max="16384" width="8.5546875" style="19"/>
  </cols>
  <sheetData>
    <row r="9" spans="2:17" ht="28.8" x14ac:dyDescent="0.3">
      <c r="B9" s="254" t="s">
        <v>120</v>
      </c>
      <c r="C9" s="254"/>
      <c r="D9" s="254"/>
      <c r="E9" s="254"/>
      <c r="F9" s="254"/>
      <c r="G9" s="254"/>
      <c r="H9" s="254"/>
      <c r="I9" s="254"/>
      <c r="J9" s="254"/>
      <c r="K9" s="254"/>
      <c r="L9" s="254"/>
      <c r="M9" s="254"/>
      <c r="N9" s="254"/>
      <c r="O9" s="254"/>
      <c r="P9" s="254"/>
      <c r="Q9" s="254"/>
    </row>
    <row r="10" spans="2:17" ht="28.8" x14ac:dyDescent="0.3">
      <c r="B10" s="1" t="s">
        <v>1</v>
      </c>
      <c r="C10" s="309" t="s">
        <v>2</v>
      </c>
      <c r="D10" s="309"/>
      <c r="E10" s="8" t="s">
        <v>3</v>
      </c>
      <c r="F10" s="9" t="s">
        <v>4</v>
      </c>
      <c r="G10" s="9" t="s">
        <v>5</v>
      </c>
      <c r="H10" s="9" t="s">
        <v>6</v>
      </c>
      <c r="I10" s="109" t="s">
        <v>7</v>
      </c>
      <c r="J10" s="109" t="s">
        <v>121</v>
      </c>
      <c r="K10" s="2" t="s">
        <v>9</v>
      </c>
      <c r="L10" s="2" t="s">
        <v>10</v>
      </c>
      <c r="M10" s="2" t="s">
        <v>11</v>
      </c>
      <c r="N10" s="8" t="s">
        <v>12</v>
      </c>
      <c r="O10" s="9" t="s">
        <v>13</v>
      </c>
      <c r="P10" s="10" t="s">
        <v>14</v>
      </c>
      <c r="Q10" s="17" t="s">
        <v>122</v>
      </c>
    </row>
    <row r="11" spans="2:17" x14ac:dyDescent="0.3">
      <c r="B11" s="242" t="s">
        <v>15</v>
      </c>
      <c r="C11" s="242" t="s">
        <v>113</v>
      </c>
      <c r="D11" s="53" t="s">
        <v>17</v>
      </c>
      <c r="E11" s="152">
        <f>(2025)+550</f>
        <v>2575</v>
      </c>
      <c r="F11" s="152">
        <v>175</v>
      </c>
      <c r="G11" s="152">
        <v>75</v>
      </c>
      <c r="H11" s="152">
        <v>14</v>
      </c>
      <c r="I11" s="152">
        <v>50</v>
      </c>
      <c r="J11" s="152">
        <v>250</v>
      </c>
      <c r="K11" s="200">
        <f t="shared" ref="K11:K18" si="0">SUM(D11:J11)</f>
        <v>3139</v>
      </c>
      <c r="L11" s="56">
        <v>200</v>
      </c>
      <c r="M11" s="55">
        <f t="shared" ref="M11:M18" si="1">K11+L11</f>
        <v>3339</v>
      </c>
      <c r="N11" s="57" t="s">
        <v>123</v>
      </c>
      <c r="O11" s="214" t="s">
        <v>20</v>
      </c>
      <c r="P11" s="49" t="s">
        <v>23</v>
      </c>
      <c r="Q11" s="49" t="s">
        <v>124</v>
      </c>
    </row>
    <row r="12" spans="2:17" x14ac:dyDescent="0.3">
      <c r="B12" s="242"/>
      <c r="C12" s="242"/>
      <c r="D12" s="53" t="s">
        <v>22</v>
      </c>
      <c r="E12" s="152">
        <f>(3450)+680</f>
        <v>4130</v>
      </c>
      <c r="F12" s="152">
        <v>225</v>
      </c>
      <c r="G12" s="152">
        <v>75</v>
      </c>
      <c r="H12" s="152">
        <v>14</v>
      </c>
      <c r="I12" s="152">
        <v>50</v>
      </c>
      <c r="J12" s="152">
        <v>500</v>
      </c>
      <c r="K12" s="200">
        <f t="shared" si="0"/>
        <v>4994</v>
      </c>
      <c r="L12" s="56">
        <v>200</v>
      </c>
      <c r="M12" s="55">
        <f t="shared" si="1"/>
        <v>5194</v>
      </c>
      <c r="N12" s="57" t="s">
        <v>123</v>
      </c>
      <c r="O12" s="214" t="s">
        <v>20</v>
      </c>
      <c r="P12" s="49" t="s">
        <v>23</v>
      </c>
      <c r="Q12" s="49" t="s">
        <v>124</v>
      </c>
    </row>
    <row r="13" spans="2:17" x14ac:dyDescent="0.3">
      <c r="B13" s="242" t="s">
        <v>24</v>
      </c>
      <c r="C13" s="242" t="s">
        <v>113</v>
      </c>
      <c r="D13" s="53" t="s">
        <v>17</v>
      </c>
      <c r="E13" s="152">
        <f>(2575)+560</f>
        <v>3135</v>
      </c>
      <c r="F13" s="152">
        <v>175</v>
      </c>
      <c r="G13" s="152">
        <v>75</v>
      </c>
      <c r="H13" s="152">
        <v>14</v>
      </c>
      <c r="I13" s="152">
        <v>50</v>
      </c>
      <c r="J13" s="152">
        <v>250</v>
      </c>
      <c r="K13" s="200">
        <f t="shared" si="0"/>
        <v>3699</v>
      </c>
      <c r="L13" s="56">
        <v>200</v>
      </c>
      <c r="M13" s="55">
        <f t="shared" si="1"/>
        <v>3899</v>
      </c>
      <c r="N13" s="57" t="s">
        <v>125</v>
      </c>
      <c r="O13" s="214" t="s">
        <v>20</v>
      </c>
      <c r="P13" s="49" t="s">
        <v>23</v>
      </c>
      <c r="Q13" s="49" t="s">
        <v>124</v>
      </c>
    </row>
    <row r="14" spans="2:17" x14ac:dyDescent="0.3">
      <c r="B14" s="242"/>
      <c r="C14" s="242"/>
      <c r="D14" s="53" t="s">
        <v>22</v>
      </c>
      <c r="E14" s="152">
        <f>(3875)+600</f>
        <v>4475</v>
      </c>
      <c r="F14" s="152">
        <v>225</v>
      </c>
      <c r="G14" s="152">
        <v>75</v>
      </c>
      <c r="H14" s="152">
        <v>14</v>
      </c>
      <c r="I14" s="152">
        <v>50</v>
      </c>
      <c r="J14" s="152">
        <v>500</v>
      </c>
      <c r="K14" s="200">
        <f t="shared" si="0"/>
        <v>5339</v>
      </c>
      <c r="L14" s="56">
        <v>200</v>
      </c>
      <c r="M14" s="55">
        <f t="shared" si="1"/>
        <v>5539</v>
      </c>
      <c r="N14" s="57" t="s">
        <v>125</v>
      </c>
      <c r="O14" s="214" t="s">
        <v>20</v>
      </c>
      <c r="P14" s="49" t="s">
        <v>23</v>
      </c>
      <c r="Q14" s="49" t="s">
        <v>124</v>
      </c>
    </row>
    <row r="15" spans="2:17" x14ac:dyDescent="0.3">
      <c r="B15" s="292" t="s">
        <v>26</v>
      </c>
      <c r="C15" s="242" t="s">
        <v>113</v>
      </c>
      <c r="D15" s="53" t="s">
        <v>17</v>
      </c>
      <c r="E15" s="152">
        <f>(3045)+550</f>
        <v>3595</v>
      </c>
      <c r="F15" s="152">
        <v>175</v>
      </c>
      <c r="G15" s="152">
        <v>75</v>
      </c>
      <c r="H15" s="152">
        <v>14</v>
      </c>
      <c r="I15" s="152">
        <v>50</v>
      </c>
      <c r="J15" s="152">
        <v>250</v>
      </c>
      <c r="K15" s="200">
        <f t="shared" si="0"/>
        <v>4159</v>
      </c>
      <c r="L15" s="56">
        <v>200</v>
      </c>
      <c r="M15" s="55">
        <f t="shared" si="1"/>
        <v>4359</v>
      </c>
      <c r="N15" s="57" t="s">
        <v>126</v>
      </c>
      <c r="O15" s="214" t="s">
        <v>20</v>
      </c>
      <c r="P15" s="49" t="s">
        <v>23</v>
      </c>
      <c r="Q15" s="49" t="s">
        <v>124</v>
      </c>
    </row>
    <row r="16" spans="2:17" x14ac:dyDescent="0.3">
      <c r="B16" s="292"/>
      <c r="C16" s="242"/>
      <c r="D16" s="53" t="s">
        <v>22</v>
      </c>
      <c r="E16" s="152">
        <f>(4450)+680</f>
        <v>5130</v>
      </c>
      <c r="F16" s="152">
        <v>225</v>
      </c>
      <c r="G16" s="152">
        <v>75</v>
      </c>
      <c r="H16" s="152">
        <v>14</v>
      </c>
      <c r="I16" s="152">
        <v>50</v>
      </c>
      <c r="J16" s="152">
        <v>500</v>
      </c>
      <c r="K16" s="200">
        <f t="shared" si="0"/>
        <v>5994</v>
      </c>
      <c r="L16" s="56">
        <v>200</v>
      </c>
      <c r="M16" s="55">
        <f t="shared" si="1"/>
        <v>6194</v>
      </c>
      <c r="N16" s="57" t="s">
        <v>126</v>
      </c>
      <c r="O16" s="214" t="s">
        <v>20</v>
      </c>
      <c r="P16" s="49" t="s">
        <v>23</v>
      </c>
      <c r="Q16" s="49" t="s">
        <v>124</v>
      </c>
    </row>
    <row r="17" spans="2:18" x14ac:dyDescent="0.3">
      <c r="B17" s="242" t="s">
        <v>127</v>
      </c>
      <c r="C17" s="242" t="s">
        <v>113</v>
      </c>
      <c r="D17" s="53" t="s">
        <v>17</v>
      </c>
      <c r="E17" s="152">
        <f>(3575)+550</f>
        <v>4125</v>
      </c>
      <c r="F17" s="152">
        <v>175</v>
      </c>
      <c r="G17" s="152">
        <v>75</v>
      </c>
      <c r="H17" s="152">
        <v>14</v>
      </c>
      <c r="I17" s="152">
        <v>50</v>
      </c>
      <c r="J17" s="152">
        <v>250</v>
      </c>
      <c r="K17" s="200">
        <f t="shared" si="0"/>
        <v>4689</v>
      </c>
      <c r="L17" s="56">
        <v>200</v>
      </c>
      <c r="M17" s="55">
        <f t="shared" si="1"/>
        <v>4889</v>
      </c>
      <c r="N17" s="57" t="s">
        <v>128</v>
      </c>
      <c r="O17" s="214" t="s">
        <v>20</v>
      </c>
      <c r="P17" s="49" t="s">
        <v>23</v>
      </c>
      <c r="Q17" s="49" t="s">
        <v>124</v>
      </c>
    </row>
    <row r="18" spans="2:18" x14ac:dyDescent="0.3">
      <c r="B18" s="242"/>
      <c r="C18" s="242"/>
      <c r="D18" s="53" t="s">
        <v>22</v>
      </c>
      <c r="E18" s="152">
        <f>(3775)+680</f>
        <v>4455</v>
      </c>
      <c r="F18" s="152">
        <v>225</v>
      </c>
      <c r="G18" s="152">
        <v>75</v>
      </c>
      <c r="H18" s="152">
        <v>14</v>
      </c>
      <c r="I18" s="152">
        <v>50</v>
      </c>
      <c r="J18" s="152">
        <v>500</v>
      </c>
      <c r="K18" s="200">
        <f t="shared" si="0"/>
        <v>5319</v>
      </c>
      <c r="L18" s="56">
        <v>200</v>
      </c>
      <c r="M18" s="55">
        <f t="shared" si="1"/>
        <v>5519</v>
      </c>
      <c r="N18" s="57" t="s">
        <v>128</v>
      </c>
      <c r="O18" s="214" t="s">
        <v>20</v>
      </c>
      <c r="P18" s="49" t="s">
        <v>23</v>
      </c>
      <c r="Q18" s="49" t="s">
        <v>124</v>
      </c>
    </row>
    <row r="19" spans="2:18" x14ac:dyDescent="0.3">
      <c r="B19" s="27"/>
      <c r="C19" s="27"/>
      <c r="E19" s="67"/>
      <c r="F19" s="63"/>
      <c r="G19" s="63"/>
      <c r="H19" s="63"/>
      <c r="I19" s="63"/>
      <c r="J19" s="64"/>
      <c r="K19" s="64"/>
      <c r="L19" s="64"/>
      <c r="M19" s="64"/>
      <c r="N19" s="62"/>
      <c r="O19" s="64"/>
      <c r="P19" s="65"/>
      <c r="Q19" s="34"/>
    </row>
    <row r="20" spans="2:18" ht="15.6" x14ac:dyDescent="0.3">
      <c r="B20" s="298" t="s">
        <v>32</v>
      </c>
      <c r="C20" s="299"/>
      <c r="D20" s="299"/>
      <c r="E20" s="299"/>
      <c r="F20" s="299"/>
      <c r="G20" s="299"/>
      <c r="H20" s="299"/>
      <c r="I20" s="299"/>
      <c r="J20" s="299"/>
      <c r="K20" s="299"/>
      <c r="L20" s="299"/>
      <c r="M20" s="299"/>
      <c r="N20" s="299"/>
      <c r="O20" s="299"/>
      <c r="P20" s="299"/>
      <c r="Q20" s="299"/>
      <c r="R20" s="300"/>
    </row>
    <row r="21" spans="2:18" ht="14.4" customHeight="1" x14ac:dyDescent="0.3">
      <c r="B21" s="301" t="s">
        <v>33</v>
      </c>
      <c r="C21" s="302"/>
      <c r="D21" s="302"/>
      <c r="E21" s="302"/>
      <c r="F21" s="302"/>
      <c r="G21" s="302"/>
      <c r="H21" s="302"/>
      <c r="I21" s="302"/>
      <c r="J21" s="302"/>
      <c r="K21" s="302"/>
      <c r="L21" s="302"/>
      <c r="M21" s="302"/>
      <c r="N21" s="302"/>
      <c r="O21" s="302"/>
      <c r="P21" s="302"/>
      <c r="Q21" s="302"/>
      <c r="R21" s="303"/>
    </row>
    <row r="22" spans="2:18" x14ac:dyDescent="0.3">
      <c r="B22" s="304"/>
      <c r="C22" s="236"/>
      <c r="D22" s="236"/>
      <c r="E22" s="236"/>
      <c r="F22" s="236"/>
      <c r="G22" s="236"/>
      <c r="H22" s="236"/>
      <c r="I22" s="236"/>
      <c r="J22" s="236"/>
      <c r="K22" s="236"/>
      <c r="L22" s="236"/>
      <c r="M22" s="236"/>
      <c r="N22" s="236"/>
      <c r="O22" s="236"/>
      <c r="P22" s="236"/>
      <c r="Q22" s="236"/>
      <c r="R22" s="305"/>
    </row>
    <row r="23" spans="2:18" x14ac:dyDescent="0.3">
      <c r="B23" s="304"/>
      <c r="C23" s="236"/>
      <c r="D23" s="236"/>
      <c r="E23" s="236"/>
      <c r="F23" s="236"/>
      <c r="G23" s="236"/>
      <c r="H23" s="236"/>
      <c r="I23" s="236"/>
      <c r="J23" s="236"/>
      <c r="K23" s="236"/>
      <c r="L23" s="236"/>
      <c r="M23" s="236"/>
      <c r="N23" s="236"/>
      <c r="O23" s="236"/>
      <c r="P23" s="236"/>
      <c r="Q23" s="236"/>
      <c r="R23" s="305"/>
    </row>
    <row r="24" spans="2:18" x14ac:dyDescent="0.3">
      <c r="B24" s="306"/>
      <c r="C24" s="307"/>
      <c r="D24" s="307"/>
      <c r="E24" s="307"/>
      <c r="F24" s="307"/>
      <c r="G24" s="307"/>
      <c r="H24" s="307"/>
      <c r="I24" s="307"/>
      <c r="J24" s="307"/>
      <c r="K24" s="307"/>
      <c r="L24" s="307"/>
      <c r="M24" s="307"/>
      <c r="N24" s="307"/>
      <c r="O24" s="307"/>
      <c r="P24" s="307"/>
      <c r="Q24" s="307"/>
      <c r="R24" s="308"/>
    </row>
    <row r="25" spans="2:18" x14ac:dyDescent="0.3">
      <c r="B25" s="27"/>
      <c r="C25" s="27"/>
      <c r="E25" s="67"/>
      <c r="F25" s="63"/>
      <c r="G25" s="63"/>
      <c r="H25" s="63"/>
      <c r="I25" s="63"/>
      <c r="J25" s="64"/>
      <c r="K25" s="64"/>
      <c r="L25" s="64"/>
      <c r="M25" s="64"/>
      <c r="N25" s="62"/>
      <c r="O25" s="64"/>
      <c r="P25" s="65"/>
      <c r="Q25" s="34"/>
    </row>
    <row r="26" spans="2:18" x14ac:dyDescent="0.3">
      <c r="B26" s="27"/>
      <c r="C26" s="27"/>
      <c r="E26" s="67"/>
      <c r="F26" s="63"/>
      <c r="G26" s="63"/>
      <c r="H26" s="63"/>
      <c r="I26" s="63"/>
      <c r="J26" s="64"/>
      <c r="K26" s="64"/>
      <c r="L26" s="64"/>
      <c r="M26" s="64"/>
      <c r="N26" s="62"/>
      <c r="O26" s="64"/>
      <c r="P26" s="65"/>
      <c r="Q26" s="34"/>
    </row>
    <row r="27" spans="2:18" x14ac:dyDescent="0.3">
      <c r="B27" s="27"/>
      <c r="C27" s="27"/>
      <c r="E27" s="67"/>
      <c r="F27" s="63"/>
      <c r="G27" s="63"/>
      <c r="H27" s="63"/>
      <c r="I27" s="63"/>
      <c r="J27" s="64"/>
      <c r="K27" s="64"/>
      <c r="L27" s="64"/>
      <c r="M27" s="64"/>
      <c r="N27" s="62"/>
      <c r="O27" s="64"/>
      <c r="P27" s="65"/>
      <c r="Q27" s="34"/>
    </row>
    <row r="28" spans="2:18" x14ac:dyDescent="0.3">
      <c r="B28" s="27"/>
      <c r="C28" s="27"/>
      <c r="E28" s="67"/>
      <c r="F28" s="63"/>
      <c r="G28" s="63"/>
      <c r="H28" s="63"/>
      <c r="I28" s="63"/>
      <c r="J28" s="64"/>
      <c r="K28" s="64"/>
      <c r="L28" s="64"/>
      <c r="M28" s="64"/>
      <c r="N28" s="62"/>
      <c r="O28" s="64"/>
      <c r="P28" s="65"/>
      <c r="Q28" s="34"/>
    </row>
    <row r="29" spans="2:18" x14ac:dyDescent="0.3">
      <c r="B29" s="27"/>
      <c r="C29" s="27"/>
      <c r="E29" s="67"/>
      <c r="F29" s="63"/>
      <c r="G29" s="63"/>
      <c r="H29" s="63"/>
      <c r="I29" s="63"/>
      <c r="J29" s="64"/>
      <c r="K29" s="64"/>
      <c r="L29" s="64"/>
      <c r="M29" s="64"/>
      <c r="N29" s="62"/>
      <c r="O29" s="64"/>
      <c r="P29" s="65"/>
      <c r="Q29" s="34"/>
    </row>
    <row r="30" spans="2:18" x14ac:dyDescent="0.3">
      <c r="B30" s="27"/>
      <c r="C30" s="27"/>
      <c r="E30" s="67"/>
      <c r="F30" s="63"/>
      <c r="G30" s="63"/>
      <c r="H30" s="63"/>
      <c r="I30" s="63"/>
      <c r="J30" s="64"/>
      <c r="K30" s="64"/>
      <c r="L30" s="64"/>
      <c r="M30" s="64"/>
      <c r="N30" s="62"/>
      <c r="O30" s="64"/>
      <c r="P30" s="65"/>
      <c r="Q30" s="34"/>
    </row>
    <row r="31" spans="2:18" x14ac:dyDescent="0.3">
      <c r="B31" s="27"/>
      <c r="C31" s="27"/>
      <c r="E31" s="67"/>
      <c r="F31" s="63"/>
      <c r="G31" s="63"/>
      <c r="H31" s="63"/>
      <c r="I31" s="63"/>
      <c r="J31" s="64"/>
      <c r="K31" s="64"/>
      <c r="L31" s="64"/>
      <c r="M31" s="64"/>
      <c r="N31" s="62"/>
      <c r="O31" s="64"/>
      <c r="P31" s="65"/>
      <c r="Q31" s="34"/>
    </row>
    <row r="32" spans="2:18" x14ac:dyDescent="0.3">
      <c r="B32" s="27"/>
      <c r="C32" s="27"/>
      <c r="E32" s="67"/>
      <c r="F32" s="63"/>
      <c r="G32" s="63"/>
      <c r="H32" s="63"/>
      <c r="I32" s="63"/>
      <c r="J32" s="64"/>
      <c r="K32" s="64"/>
      <c r="L32" s="64"/>
      <c r="M32" s="64"/>
      <c r="N32" s="62"/>
      <c r="O32" s="64"/>
      <c r="P32" s="65"/>
      <c r="Q32" s="34"/>
    </row>
    <row r="33" spans="2:19" x14ac:dyDescent="0.3">
      <c r="B33" s="27"/>
      <c r="C33" s="27"/>
      <c r="E33" s="67"/>
      <c r="F33" s="63"/>
      <c r="G33" s="63"/>
      <c r="H33" s="63"/>
      <c r="I33" s="63"/>
      <c r="J33" s="64"/>
      <c r="K33" s="64"/>
      <c r="L33" s="64"/>
      <c r="M33" s="64"/>
      <c r="N33" s="62"/>
      <c r="O33" s="64"/>
      <c r="P33" s="65"/>
      <c r="Q33" s="34"/>
    </row>
    <row r="34" spans="2:19" ht="28.8" x14ac:dyDescent="0.3">
      <c r="B34" s="294" t="s">
        <v>129</v>
      </c>
      <c r="C34" s="294"/>
      <c r="D34" s="294"/>
      <c r="E34" s="294"/>
      <c r="F34" s="294"/>
      <c r="G34" s="294"/>
      <c r="H34" s="294"/>
      <c r="I34" s="294"/>
      <c r="J34" s="294"/>
      <c r="K34" s="294"/>
      <c r="L34" s="294"/>
      <c r="M34" s="294"/>
      <c r="N34" s="294"/>
      <c r="O34" s="294"/>
      <c r="P34" s="294"/>
      <c r="Q34" s="294"/>
      <c r="R34" s="294"/>
    </row>
    <row r="35" spans="2:19" ht="28.8" x14ac:dyDescent="0.3">
      <c r="B35" s="1" t="s">
        <v>1</v>
      </c>
      <c r="C35" s="309" t="s">
        <v>2</v>
      </c>
      <c r="D35" s="309"/>
      <c r="E35" s="128" t="s">
        <v>130</v>
      </c>
      <c r="F35" s="128" t="s">
        <v>131</v>
      </c>
      <c r="G35" s="11" t="s">
        <v>91</v>
      </c>
      <c r="H35" s="128" t="s">
        <v>6</v>
      </c>
      <c r="I35" s="2" t="s">
        <v>9</v>
      </c>
      <c r="J35" s="2" t="s">
        <v>10</v>
      </c>
      <c r="K35" s="2" t="s">
        <v>11</v>
      </c>
      <c r="L35" s="8" t="s">
        <v>12</v>
      </c>
      <c r="M35" s="9" t="s">
        <v>13</v>
      </c>
      <c r="N35" s="9" t="s">
        <v>14</v>
      </c>
      <c r="O35" s="125" t="s">
        <v>122</v>
      </c>
      <c r="P35" s="223" t="s">
        <v>36</v>
      </c>
      <c r="Q35" s="223"/>
      <c r="R35" s="223"/>
    </row>
    <row r="36" spans="2:19" ht="14.4" customHeight="1" x14ac:dyDescent="0.3">
      <c r="B36" s="295" t="s">
        <v>132</v>
      </c>
      <c r="C36" s="242" t="s">
        <v>113</v>
      </c>
      <c r="D36" s="53" t="s">
        <v>17</v>
      </c>
      <c r="E36" s="152">
        <f>CEILING((((4700+75)*1.15)),50)</f>
        <v>5500</v>
      </c>
      <c r="F36" s="152">
        <v>300</v>
      </c>
      <c r="G36" s="152">
        <v>100</v>
      </c>
      <c r="H36" s="152">
        <v>18</v>
      </c>
      <c r="I36" s="200">
        <f t="shared" ref="I36:I40" si="2">SUM(E36:H36)</f>
        <v>5918</v>
      </c>
      <c r="J36" s="152">
        <v>200</v>
      </c>
      <c r="K36" s="200">
        <f t="shared" ref="K36:K40" si="3">I36+J36</f>
        <v>6118</v>
      </c>
      <c r="L36" s="40" t="s">
        <v>133</v>
      </c>
      <c r="M36" s="214" t="s">
        <v>20</v>
      </c>
      <c r="N36" s="20" t="s">
        <v>134</v>
      </c>
      <c r="O36" s="53" t="s">
        <v>124</v>
      </c>
      <c r="P36" s="267" t="s">
        <v>135</v>
      </c>
      <c r="Q36" s="320"/>
      <c r="R36" s="268"/>
    </row>
    <row r="37" spans="2:19" x14ac:dyDescent="0.3">
      <c r="B37" s="295"/>
      <c r="C37" s="242"/>
      <c r="D37" s="53" t="s">
        <v>22</v>
      </c>
      <c r="E37" s="152">
        <f>CEILING((((5400+75)*1.15)),50)</f>
        <v>6300</v>
      </c>
      <c r="F37" s="152">
        <v>300</v>
      </c>
      <c r="G37" s="152">
        <v>100</v>
      </c>
      <c r="H37" s="152">
        <v>18</v>
      </c>
      <c r="I37" s="200">
        <f t="shared" si="2"/>
        <v>6718</v>
      </c>
      <c r="J37" s="152">
        <v>200</v>
      </c>
      <c r="K37" s="200">
        <f t="shared" si="3"/>
        <v>6918</v>
      </c>
      <c r="L37" s="108" t="s">
        <v>133</v>
      </c>
      <c r="M37" s="214" t="s">
        <v>20</v>
      </c>
      <c r="N37" s="20" t="s">
        <v>134</v>
      </c>
      <c r="O37" s="53" t="s">
        <v>124</v>
      </c>
      <c r="P37" s="321"/>
      <c r="Q37" s="322"/>
      <c r="R37" s="323"/>
    </row>
    <row r="38" spans="2:19" x14ac:dyDescent="0.3">
      <c r="B38" s="192" t="s">
        <v>41</v>
      </c>
      <c r="C38" s="20" t="s">
        <v>113</v>
      </c>
      <c r="D38" s="53" t="s">
        <v>17</v>
      </c>
      <c r="E38" s="152">
        <v>5100</v>
      </c>
      <c r="F38" s="152" t="s">
        <v>136</v>
      </c>
      <c r="G38" s="152">
        <v>100</v>
      </c>
      <c r="H38" s="152">
        <v>18</v>
      </c>
      <c r="I38" s="200">
        <f t="shared" si="2"/>
        <v>5218</v>
      </c>
      <c r="J38" s="152">
        <v>200</v>
      </c>
      <c r="K38" s="200">
        <f t="shared" si="3"/>
        <v>5418</v>
      </c>
      <c r="L38" s="108">
        <v>35</v>
      </c>
      <c r="M38" s="214" t="s">
        <v>20</v>
      </c>
      <c r="N38" s="20" t="s">
        <v>43</v>
      </c>
      <c r="O38" s="53" t="s">
        <v>137</v>
      </c>
      <c r="P38" s="219" t="s">
        <v>138</v>
      </c>
      <c r="Q38" s="315"/>
      <c r="R38" s="220"/>
    </row>
    <row r="39" spans="2:19" x14ac:dyDescent="0.3">
      <c r="B39" s="192" t="s">
        <v>139</v>
      </c>
      <c r="C39" s="20" t="s">
        <v>113</v>
      </c>
      <c r="D39" s="53" t="s">
        <v>17</v>
      </c>
      <c r="E39" s="152">
        <v>4150</v>
      </c>
      <c r="F39" s="152" t="s">
        <v>136</v>
      </c>
      <c r="G39" s="152">
        <v>100</v>
      </c>
      <c r="H39" s="152">
        <v>18</v>
      </c>
      <c r="I39" s="200">
        <f t="shared" si="2"/>
        <v>4268</v>
      </c>
      <c r="J39" s="152">
        <v>200</v>
      </c>
      <c r="K39" s="200">
        <f t="shared" si="3"/>
        <v>4468</v>
      </c>
      <c r="L39" s="108">
        <v>35</v>
      </c>
      <c r="M39" s="214" t="s">
        <v>20</v>
      </c>
      <c r="N39" s="20" t="s">
        <v>134</v>
      </c>
      <c r="O39" s="53" t="s">
        <v>128</v>
      </c>
      <c r="P39" s="216"/>
      <c r="Q39" s="217"/>
      <c r="R39" s="218"/>
    </row>
    <row r="40" spans="2:19" x14ac:dyDescent="0.3">
      <c r="B40" s="192" t="s">
        <v>140</v>
      </c>
      <c r="C40" s="20" t="s">
        <v>113</v>
      </c>
      <c r="D40" s="53" t="s">
        <v>17</v>
      </c>
      <c r="E40" s="152">
        <v>4720</v>
      </c>
      <c r="F40" s="152" t="s">
        <v>136</v>
      </c>
      <c r="G40" s="152">
        <v>100</v>
      </c>
      <c r="H40" s="152">
        <v>18</v>
      </c>
      <c r="I40" s="200">
        <f t="shared" si="2"/>
        <v>4838</v>
      </c>
      <c r="J40" s="152">
        <v>200</v>
      </c>
      <c r="K40" s="200">
        <f t="shared" si="3"/>
        <v>5038</v>
      </c>
      <c r="L40" s="108">
        <v>35</v>
      </c>
      <c r="M40" s="214" t="s">
        <v>20</v>
      </c>
      <c r="N40" s="20" t="s">
        <v>46</v>
      </c>
      <c r="O40" s="53" t="s">
        <v>125</v>
      </c>
      <c r="P40" s="216"/>
      <c r="Q40" s="217"/>
      <c r="R40" s="218"/>
    </row>
    <row r="41" spans="2:19" x14ac:dyDescent="0.3">
      <c r="B41" s="42"/>
      <c r="E41" s="43"/>
      <c r="F41" s="43"/>
      <c r="G41" s="43"/>
      <c r="H41" s="43"/>
      <c r="I41" s="43"/>
      <c r="J41" s="64"/>
      <c r="K41" s="64"/>
      <c r="L41" s="64"/>
      <c r="M41" s="64"/>
      <c r="N41" s="62"/>
      <c r="O41" s="64"/>
      <c r="P41" s="127"/>
      <c r="Q41" s="113"/>
      <c r="R41" s="106"/>
      <c r="S41" s="114"/>
    </row>
    <row r="42" spans="2:19" ht="15.6" x14ac:dyDescent="0.3">
      <c r="B42" s="5" t="s">
        <v>32</v>
      </c>
      <c r="C42" s="6"/>
      <c r="D42" s="6"/>
      <c r="E42" s="6"/>
      <c r="F42" s="6"/>
      <c r="G42" s="6"/>
      <c r="H42" s="6"/>
      <c r="I42" s="6"/>
      <c r="J42" s="6"/>
      <c r="K42" s="6"/>
      <c r="L42" s="6"/>
      <c r="M42" s="6"/>
      <c r="N42" s="6"/>
      <c r="O42" s="6"/>
      <c r="P42" s="6"/>
      <c r="Q42" s="6"/>
      <c r="R42" s="6"/>
      <c r="S42" s="7"/>
    </row>
    <row r="43" spans="2:19" x14ac:dyDescent="0.3">
      <c r="B43" s="226" t="s">
        <v>33</v>
      </c>
      <c r="C43" s="226"/>
      <c r="D43" s="226"/>
      <c r="E43" s="226"/>
      <c r="F43" s="226"/>
      <c r="G43" s="226"/>
      <c r="H43" s="226"/>
      <c r="I43" s="226"/>
      <c r="J43" s="226"/>
      <c r="K43" s="226"/>
      <c r="L43" s="226"/>
      <c r="M43" s="226"/>
      <c r="N43" s="226"/>
      <c r="O43" s="226"/>
      <c r="P43" s="226"/>
      <c r="Q43" s="226"/>
      <c r="R43" s="226"/>
      <c r="S43" s="226"/>
    </row>
    <row r="44" spans="2:19" x14ac:dyDescent="0.3">
      <c r="B44" s="226"/>
      <c r="C44" s="226"/>
      <c r="D44" s="226"/>
      <c r="E44" s="226"/>
      <c r="F44" s="226"/>
      <c r="G44" s="226"/>
      <c r="H44" s="226"/>
      <c r="I44" s="226"/>
      <c r="J44" s="226"/>
      <c r="K44" s="226"/>
      <c r="L44" s="226"/>
      <c r="M44" s="226"/>
      <c r="N44" s="226"/>
      <c r="O44" s="226"/>
      <c r="P44" s="226"/>
      <c r="Q44" s="226"/>
      <c r="R44" s="226"/>
      <c r="S44" s="226"/>
    </row>
    <row r="45" spans="2:19" x14ac:dyDescent="0.3">
      <c r="B45" s="226"/>
      <c r="C45" s="226"/>
      <c r="D45" s="226"/>
      <c r="E45" s="226"/>
      <c r="F45" s="226"/>
      <c r="G45" s="226"/>
      <c r="H45" s="226"/>
      <c r="I45" s="226"/>
      <c r="J45" s="226"/>
      <c r="K45" s="226"/>
      <c r="L45" s="226"/>
      <c r="M45" s="226"/>
      <c r="N45" s="226"/>
      <c r="O45" s="226"/>
      <c r="P45" s="226"/>
      <c r="Q45" s="226"/>
      <c r="R45" s="226"/>
      <c r="S45" s="226"/>
    </row>
    <row r="46" spans="2:19" x14ac:dyDescent="0.3">
      <c r="B46" s="229"/>
      <c r="C46" s="229"/>
      <c r="D46" s="229"/>
      <c r="E46" s="229"/>
      <c r="F46" s="229"/>
      <c r="G46" s="229"/>
      <c r="H46" s="229"/>
      <c r="I46" s="229"/>
      <c r="J46" s="229"/>
      <c r="K46" s="229"/>
      <c r="L46" s="229"/>
      <c r="M46" s="229"/>
      <c r="N46" s="229"/>
      <c r="O46" s="229"/>
      <c r="P46" s="229"/>
      <c r="Q46" s="229"/>
      <c r="R46" s="229"/>
      <c r="S46" s="229"/>
    </row>
    <row r="47" spans="2:19" x14ac:dyDescent="0.3">
      <c r="B47" s="42"/>
      <c r="E47" s="43"/>
      <c r="F47" s="43"/>
      <c r="G47" s="43"/>
      <c r="H47" s="43"/>
      <c r="I47" s="43"/>
      <c r="J47" s="64"/>
      <c r="K47" s="64"/>
      <c r="L47" s="64"/>
      <c r="M47" s="64"/>
      <c r="N47" s="62"/>
      <c r="O47" s="64"/>
      <c r="P47" s="127"/>
      <c r="Q47" s="34"/>
      <c r="R47" s="127"/>
    </row>
    <row r="48" spans="2:19" x14ac:dyDescent="0.3">
      <c r="B48" s="42"/>
      <c r="E48" s="43"/>
      <c r="F48" s="43"/>
      <c r="G48" s="43"/>
      <c r="H48" s="43"/>
      <c r="I48" s="43"/>
      <c r="J48" s="64"/>
      <c r="K48" s="64"/>
      <c r="L48" s="64"/>
      <c r="M48" s="64"/>
      <c r="N48" s="62"/>
      <c r="O48" s="64"/>
      <c r="P48" s="127"/>
      <c r="Q48" s="34"/>
      <c r="R48" s="127"/>
    </row>
    <row r="49" spans="2:18" x14ac:dyDescent="0.3">
      <c r="B49" s="42"/>
      <c r="E49" s="43"/>
      <c r="F49" s="43"/>
      <c r="G49" s="43"/>
      <c r="H49" s="43"/>
      <c r="I49" s="43"/>
      <c r="J49" s="64"/>
      <c r="K49" s="64"/>
      <c r="L49" s="64"/>
      <c r="M49" s="64"/>
      <c r="N49" s="62"/>
      <c r="O49" s="64"/>
      <c r="P49" s="127"/>
      <c r="Q49" s="34"/>
      <c r="R49" s="127"/>
    </row>
    <row r="50" spans="2:18" x14ac:dyDescent="0.3">
      <c r="B50" s="42"/>
      <c r="E50" s="43"/>
      <c r="F50" s="43"/>
      <c r="G50" s="43"/>
      <c r="H50" s="43"/>
      <c r="I50" s="43"/>
      <c r="J50" s="64"/>
      <c r="K50" s="64"/>
      <c r="L50" s="64"/>
      <c r="M50" s="64"/>
      <c r="N50" s="62"/>
      <c r="O50" s="64"/>
      <c r="P50" s="127"/>
      <c r="Q50" s="34"/>
      <c r="R50" s="127"/>
    </row>
    <row r="51" spans="2:18" ht="14.4" customHeight="1" x14ac:dyDescent="0.3">
      <c r="B51" s="42"/>
      <c r="E51" s="43"/>
      <c r="F51" s="43"/>
      <c r="G51" s="43"/>
      <c r="H51" s="43"/>
      <c r="I51" s="43"/>
      <c r="J51" s="64"/>
      <c r="K51" s="64"/>
      <c r="L51" s="62" t="s">
        <v>141</v>
      </c>
      <c r="M51" s="62"/>
      <c r="N51" s="62"/>
      <c r="O51" s="64"/>
      <c r="P51" s="127"/>
      <c r="Q51" s="34"/>
      <c r="R51" s="127"/>
    </row>
    <row r="52" spans="2:18" x14ac:dyDescent="0.3">
      <c r="B52" s="42"/>
      <c r="E52" s="43"/>
      <c r="F52" s="43"/>
      <c r="G52" s="43"/>
      <c r="H52" s="43"/>
      <c r="I52" s="43"/>
      <c r="J52" s="64"/>
      <c r="K52" s="64"/>
      <c r="L52" s="62"/>
      <c r="M52" s="62"/>
      <c r="N52" s="62"/>
      <c r="O52" s="64"/>
      <c r="P52" s="127"/>
      <c r="Q52" s="34"/>
      <c r="R52" s="127"/>
    </row>
    <row r="53" spans="2:18" x14ac:dyDescent="0.3">
      <c r="B53" s="42"/>
      <c r="E53" s="43"/>
      <c r="F53" s="43"/>
      <c r="G53" s="43"/>
      <c r="H53" s="43"/>
      <c r="I53" s="43"/>
      <c r="J53" s="64"/>
      <c r="K53" s="64"/>
      <c r="L53" s="62"/>
      <c r="M53" s="62"/>
      <c r="N53" s="62"/>
      <c r="O53" s="64"/>
      <c r="P53" s="127"/>
      <c r="Q53" s="34"/>
      <c r="R53" s="127"/>
    </row>
    <row r="54" spans="2:18" x14ac:dyDescent="0.3">
      <c r="B54" s="42"/>
      <c r="E54" s="43"/>
      <c r="F54" s="43"/>
      <c r="G54" s="43"/>
      <c r="H54" s="43"/>
      <c r="I54" s="43"/>
      <c r="J54" s="64"/>
      <c r="K54" s="64"/>
      <c r="L54" s="62"/>
      <c r="M54" s="62"/>
      <c r="N54" s="62"/>
      <c r="O54" s="64"/>
      <c r="P54" s="127"/>
      <c r="Q54" s="34"/>
      <c r="R54" s="127"/>
    </row>
    <row r="55" spans="2:18" ht="15" thickBot="1" x14ac:dyDescent="0.35">
      <c r="B55" s="42"/>
      <c r="E55" s="43"/>
      <c r="F55" s="43"/>
      <c r="G55" s="43"/>
      <c r="H55" s="43"/>
      <c r="I55" s="43"/>
      <c r="J55" s="64"/>
      <c r="K55" s="64"/>
      <c r="L55" s="64"/>
      <c r="M55" s="64"/>
      <c r="N55" s="62"/>
      <c r="O55" s="64"/>
      <c r="P55" s="127"/>
      <c r="Q55" s="34"/>
      <c r="R55" s="127"/>
    </row>
    <row r="56" spans="2:18" ht="28.8" x14ac:dyDescent="0.3">
      <c r="B56" s="221" t="s">
        <v>142</v>
      </c>
      <c r="C56" s="221"/>
      <c r="D56" s="221"/>
      <c r="E56" s="221"/>
      <c r="F56" s="221"/>
      <c r="G56" s="221"/>
      <c r="H56" s="221"/>
      <c r="I56" s="221"/>
      <c r="J56" s="221"/>
      <c r="K56" s="221"/>
      <c r="L56" s="221"/>
      <c r="M56" s="221"/>
      <c r="N56" s="221"/>
      <c r="O56" s="221"/>
      <c r="P56" s="221"/>
      <c r="Q56" s="221"/>
    </row>
    <row r="57" spans="2:18" ht="28.8" x14ac:dyDescent="0.3">
      <c r="B57" s="98" t="s">
        <v>1</v>
      </c>
      <c r="C57" s="223" t="s">
        <v>2</v>
      </c>
      <c r="D57" s="223"/>
      <c r="E57" s="122" t="s">
        <v>3</v>
      </c>
      <c r="F57" s="122" t="s">
        <v>4</v>
      </c>
      <c r="G57" s="122" t="s">
        <v>116</v>
      </c>
      <c r="H57" s="122" t="s">
        <v>52</v>
      </c>
      <c r="I57" s="3" t="s">
        <v>143</v>
      </c>
      <c r="J57" s="3" t="s">
        <v>53</v>
      </c>
      <c r="K57" s="3" t="s">
        <v>10</v>
      </c>
      <c r="L57" s="3" t="s">
        <v>11</v>
      </c>
      <c r="M57" s="3" t="s">
        <v>12</v>
      </c>
      <c r="N57" s="122" t="s">
        <v>13</v>
      </c>
      <c r="O57" s="122" t="s">
        <v>14</v>
      </c>
      <c r="P57" s="122" t="s">
        <v>144</v>
      </c>
      <c r="Q57" s="123" t="s">
        <v>145</v>
      </c>
    </row>
    <row r="58" spans="2:18" ht="22.95" customHeight="1" x14ac:dyDescent="0.3">
      <c r="B58" s="310" t="s">
        <v>146</v>
      </c>
      <c r="C58" s="311" t="s">
        <v>113</v>
      </c>
      <c r="D58" s="143" t="s">
        <v>17</v>
      </c>
      <c r="E58" s="145">
        <f>CEILING((((10700+297+115)*1.12)- 85)-150,50)</f>
        <v>12250</v>
      </c>
      <c r="F58" s="145">
        <v>85</v>
      </c>
      <c r="G58" s="145">
        <v>215</v>
      </c>
      <c r="H58" s="145">
        <v>75</v>
      </c>
      <c r="I58" s="145">
        <v>150</v>
      </c>
      <c r="J58" s="204">
        <f t="shared" ref="J58:J65" si="4">SUM(E58:I58)</f>
        <v>12775</v>
      </c>
      <c r="K58" s="145">
        <v>200</v>
      </c>
      <c r="L58" s="204">
        <f t="shared" ref="L58:L65" si="5">SUM(J58:K58)</f>
        <v>12975</v>
      </c>
      <c r="M58" s="147" t="s">
        <v>99</v>
      </c>
      <c r="N58" s="210" t="s">
        <v>57</v>
      </c>
      <c r="O58" s="205" t="s">
        <v>46</v>
      </c>
      <c r="P58" s="313" t="s">
        <v>58</v>
      </c>
      <c r="Q58" s="143" t="s">
        <v>125</v>
      </c>
    </row>
    <row r="59" spans="2:18" x14ac:dyDescent="0.3">
      <c r="B59" s="310"/>
      <c r="C59" s="311"/>
      <c r="D59" s="143" t="s">
        <v>22</v>
      </c>
      <c r="E59" s="145">
        <f>CEILING((((10700+297+115)*1.12)- 85)-150,50)</f>
        <v>12250</v>
      </c>
      <c r="F59" s="145">
        <v>85</v>
      </c>
      <c r="G59" s="145">
        <v>215</v>
      </c>
      <c r="H59" s="145">
        <v>75</v>
      </c>
      <c r="I59" s="145">
        <v>150</v>
      </c>
      <c r="J59" s="204">
        <f t="shared" si="4"/>
        <v>12775</v>
      </c>
      <c r="K59" s="145">
        <v>200</v>
      </c>
      <c r="L59" s="204">
        <f t="shared" si="5"/>
        <v>12975</v>
      </c>
      <c r="M59" s="147" t="s">
        <v>99</v>
      </c>
      <c r="N59" s="210" t="s">
        <v>57</v>
      </c>
      <c r="O59" s="205" t="s">
        <v>46</v>
      </c>
      <c r="P59" s="314"/>
      <c r="Q59" s="143" t="s">
        <v>125</v>
      </c>
    </row>
    <row r="60" spans="2:18" x14ac:dyDescent="0.3">
      <c r="B60" s="310" t="s">
        <v>147</v>
      </c>
      <c r="C60" s="311" t="s">
        <v>113</v>
      </c>
      <c r="D60" s="143" t="s">
        <v>17</v>
      </c>
      <c r="E60" s="145">
        <f>CEILING((((10800+297+115)*1.12)- 85)-150,50)</f>
        <v>12350</v>
      </c>
      <c r="F60" s="145">
        <v>85</v>
      </c>
      <c r="G60" s="145">
        <v>215</v>
      </c>
      <c r="H60" s="145">
        <v>75</v>
      </c>
      <c r="I60" s="145">
        <v>150</v>
      </c>
      <c r="J60" s="204">
        <f t="shared" ref="J60:J63" si="6">SUM(E60:I60)</f>
        <v>12875</v>
      </c>
      <c r="K60" s="145">
        <v>200</v>
      </c>
      <c r="L60" s="204">
        <f t="shared" ref="L60:L63" si="7">SUM(J60:K60)</f>
        <v>13075</v>
      </c>
      <c r="M60" s="147" t="s">
        <v>99</v>
      </c>
      <c r="N60" s="210" t="s">
        <v>57</v>
      </c>
      <c r="O60" s="205" t="s">
        <v>46</v>
      </c>
      <c r="P60" s="314"/>
      <c r="Q60" s="143" t="s">
        <v>125</v>
      </c>
    </row>
    <row r="61" spans="2:18" ht="28.95" customHeight="1" x14ac:dyDescent="0.3">
      <c r="B61" s="310"/>
      <c r="C61" s="311"/>
      <c r="D61" s="143" t="s">
        <v>22</v>
      </c>
      <c r="E61" s="145">
        <f>CEILING((((10900+297+115)*1.12)- 85)-150,50)</f>
        <v>12450</v>
      </c>
      <c r="F61" s="145">
        <v>85</v>
      </c>
      <c r="G61" s="145">
        <v>215</v>
      </c>
      <c r="H61" s="145">
        <v>75</v>
      </c>
      <c r="I61" s="145">
        <v>150</v>
      </c>
      <c r="J61" s="204">
        <f t="shared" si="6"/>
        <v>12975</v>
      </c>
      <c r="K61" s="145">
        <v>200</v>
      </c>
      <c r="L61" s="204">
        <f t="shared" si="7"/>
        <v>13175</v>
      </c>
      <c r="M61" s="147" t="s">
        <v>99</v>
      </c>
      <c r="N61" s="210" t="s">
        <v>57</v>
      </c>
      <c r="O61" s="205" t="s">
        <v>46</v>
      </c>
      <c r="P61" s="316"/>
      <c r="Q61" s="143" t="s">
        <v>125</v>
      </c>
    </row>
    <row r="62" spans="2:18" ht="14.4" customHeight="1" x14ac:dyDescent="0.3">
      <c r="B62" s="310" t="s">
        <v>148</v>
      </c>
      <c r="C62" s="311" t="s">
        <v>113</v>
      </c>
      <c r="D62" s="143" t="s">
        <v>17</v>
      </c>
      <c r="E62" s="145">
        <f>CEILING((((10340+40+115)*1.12)- 150)-150,50)</f>
        <v>11500</v>
      </c>
      <c r="F62" s="145">
        <v>216.6</v>
      </c>
      <c r="G62" s="145">
        <v>335</v>
      </c>
      <c r="H62" s="145">
        <v>75</v>
      </c>
      <c r="I62" s="145">
        <v>150</v>
      </c>
      <c r="J62" s="204">
        <f>SUM(E62:I62)</f>
        <v>12276.6</v>
      </c>
      <c r="K62" s="145">
        <v>200</v>
      </c>
      <c r="L62" s="204">
        <f t="shared" si="7"/>
        <v>12476.6</v>
      </c>
      <c r="M62" s="147" t="s">
        <v>99</v>
      </c>
      <c r="N62" s="210" t="s">
        <v>61</v>
      </c>
      <c r="O62" s="205" t="s">
        <v>62</v>
      </c>
      <c r="P62" s="317" t="s">
        <v>63</v>
      </c>
      <c r="Q62" s="143" t="s">
        <v>149</v>
      </c>
    </row>
    <row r="63" spans="2:18" x14ac:dyDescent="0.3">
      <c r="B63" s="310"/>
      <c r="C63" s="311"/>
      <c r="D63" s="143" t="s">
        <v>22</v>
      </c>
      <c r="E63" s="145">
        <f>CEILING((((10580+80+115)*1.12)- 150)-150,50)</f>
        <v>11800</v>
      </c>
      <c r="F63" s="145">
        <v>216.6</v>
      </c>
      <c r="G63" s="145">
        <v>335</v>
      </c>
      <c r="H63" s="145">
        <v>75</v>
      </c>
      <c r="I63" s="145">
        <v>150</v>
      </c>
      <c r="J63" s="204">
        <f t="shared" si="6"/>
        <v>12576.6</v>
      </c>
      <c r="K63" s="145">
        <v>200</v>
      </c>
      <c r="L63" s="204">
        <f t="shared" si="7"/>
        <v>12776.6</v>
      </c>
      <c r="M63" s="147" t="s">
        <v>99</v>
      </c>
      <c r="N63" s="210" t="s">
        <v>61</v>
      </c>
      <c r="O63" s="205" t="s">
        <v>62</v>
      </c>
      <c r="P63" s="318"/>
      <c r="Q63" s="143" t="s">
        <v>149</v>
      </c>
    </row>
    <row r="64" spans="2:18" x14ac:dyDescent="0.3">
      <c r="B64" s="310" t="s">
        <v>150</v>
      </c>
      <c r="C64" s="311" t="s">
        <v>113</v>
      </c>
      <c r="D64" s="143" t="s">
        <v>17</v>
      </c>
      <c r="E64" s="145">
        <f>CEILING((((10390+40+115)*1.12)- 85)-150,50)</f>
        <v>11600</v>
      </c>
      <c r="F64" s="145">
        <v>216.6</v>
      </c>
      <c r="G64" s="145">
        <v>335</v>
      </c>
      <c r="H64" s="145">
        <v>75</v>
      </c>
      <c r="I64" s="145">
        <v>150</v>
      </c>
      <c r="J64" s="204">
        <f t="shared" si="4"/>
        <v>12376.6</v>
      </c>
      <c r="K64" s="145">
        <v>200</v>
      </c>
      <c r="L64" s="204">
        <f t="shared" si="5"/>
        <v>12576.6</v>
      </c>
      <c r="M64" s="147" t="s">
        <v>99</v>
      </c>
      <c r="N64" s="210" t="s">
        <v>61</v>
      </c>
      <c r="O64" s="205" t="s">
        <v>62</v>
      </c>
      <c r="P64" s="318"/>
      <c r="Q64" s="143" t="s">
        <v>149</v>
      </c>
    </row>
    <row r="65" spans="2:62 3072:12198 12789:15082" x14ac:dyDescent="0.3">
      <c r="B65" s="310"/>
      <c r="C65" s="311"/>
      <c r="D65" s="143" t="s">
        <v>22</v>
      </c>
      <c r="E65" s="145">
        <f>CEILING((((10680+80+115)*1.12)- 85)-150,50)</f>
        <v>11950</v>
      </c>
      <c r="F65" s="145">
        <v>216.6</v>
      </c>
      <c r="G65" s="145">
        <v>335</v>
      </c>
      <c r="H65" s="145">
        <v>75</v>
      </c>
      <c r="I65" s="145">
        <v>150</v>
      </c>
      <c r="J65" s="204">
        <f t="shared" si="4"/>
        <v>12726.6</v>
      </c>
      <c r="K65" s="145">
        <v>200</v>
      </c>
      <c r="L65" s="204">
        <f t="shared" si="5"/>
        <v>12926.6</v>
      </c>
      <c r="M65" s="147" t="s">
        <v>99</v>
      </c>
      <c r="N65" s="210" t="s">
        <v>61</v>
      </c>
      <c r="O65" s="205" t="s">
        <v>62</v>
      </c>
      <c r="P65" s="319"/>
      <c r="Q65" s="143" t="s">
        <v>149</v>
      </c>
    </row>
    <row r="66" spans="2:62 3072:12198 12789:15082" ht="28.8" x14ac:dyDescent="0.3">
      <c r="B66" s="255" t="s">
        <v>151</v>
      </c>
      <c r="C66" s="255"/>
      <c r="D66" s="289"/>
      <c r="E66" s="289"/>
      <c r="F66" s="255"/>
      <c r="G66" s="289"/>
      <c r="H66" s="289"/>
      <c r="I66" s="255"/>
      <c r="J66" s="289"/>
      <c r="K66" s="289"/>
      <c r="L66" s="289"/>
      <c r="M66" s="255"/>
      <c r="N66" s="289"/>
      <c r="O66" s="289"/>
      <c r="P66" s="289"/>
      <c r="Q66" s="289"/>
    </row>
    <row r="67" spans="2:62 3072:12198 12789:15082" ht="28.8" x14ac:dyDescent="0.3">
      <c r="B67" s="98" t="s">
        <v>1</v>
      </c>
      <c r="C67" s="223" t="s">
        <v>2</v>
      </c>
      <c r="D67" s="223"/>
      <c r="E67" s="8" t="s">
        <v>3</v>
      </c>
      <c r="F67" s="8" t="s">
        <v>4</v>
      </c>
      <c r="G67" s="8" t="s">
        <v>116</v>
      </c>
      <c r="H67" s="1" t="s">
        <v>52</v>
      </c>
      <c r="I67" s="93" t="s">
        <v>143</v>
      </c>
      <c r="J67" s="2" t="s">
        <v>9</v>
      </c>
      <c r="K67" s="2" t="s">
        <v>10</v>
      </c>
      <c r="L67" s="2" t="s">
        <v>11</v>
      </c>
      <c r="M67" s="8" t="s">
        <v>12</v>
      </c>
      <c r="N67" s="125" t="s">
        <v>13</v>
      </c>
      <c r="O67" s="125" t="s">
        <v>14</v>
      </c>
      <c r="P67" s="173" t="s">
        <v>144</v>
      </c>
      <c r="Q67" s="104" t="s">
        <v>145</v>
      </c>
    </row>
    <row r="68" spans="2:62 3072:12198 12789:15082" x14ac:dyDescent="0.3">
      <c r="B68" s="263" t="s">
        <v>152</v>
      </c>
      <c r="C68" s="208" t="s">
        <v>113</v>
      </c>
      <c r="D68" s="144" t="s">
        <v>17</v>
      </c>
      <c r="E68" s="145">
        <f>CEILING((((10900+297+50+85)*1.12)- 85)-150,50)</f>
        <v>12500</v>
      </c>
      <c r="F68" s="145">
        <v>85</v>
      </c>
      <c r="G68" s="145">
        <v>215</v>
      </c>
      <c r="H68" s="145">
        <v>75</v>
      </c>
      <c r="I68" s="145">
        <v>150</v>
      </c>
      <c r="J68" s="204">
        <f t="shared" ref="J68:J69" si="8">SUM(E68:I68)</f>
        <v>13025</v>
      </c>
      <c r="K68" s="145">
        <v>200</v>
      </c>
      <c r="L68" s="204">
        <f t="shared" ref="L68:L69" si="9">SUM(J68:K68)</f>
        <v>13225</v>
      </c>
      <c r="M68" s="147" t="s">
        <v>99</v>
      </c>
      <c r="N68" s="210" t="s">
        <v>57</v>
      </c>
      <c r="O68" s="205" t="s">
        <v>46</v>
      </c>
      <c r="P68" s="313" t="s">
        <v>58</v>
      </c>
      <c r="Q68" s="149" t="s">
        <v>125</v>
      </c>
      <c r="R68" s="172"/>
      <c r="S68" s="165"/>
      <c r="T68" s="166"/>
      <c r="U68" s="167"/>
      <c r="V68" s="166"/>
      <c r="W68" s="168"/>
      <c r="X68" s="166"/>
      <c r="Y68" s="168"/>
      <c r="Z68" s="169"/>
      <c r="AA68" s="170"/>
      <c r="AB68" s="164"/>
      <c r="AC68" s="171"/>
      <c r="AD68" s="174"/>
      <c r="AE68" s="155"/>
      <c r="AF68" s="163"/>
      <c r="AG68"/>
      <c r="AH68" s="156"/>
      <c r="AI68" s="157"/>
      <c r="AJ68" s="158"/>
      <c r="AK68" s="158"/>
      <c r="AL68" s="157"/>
      <c r="AM68" s="159"/>
      <c r="AN68" s="157"/>
      <c r="AO68" s="159"/>
      <c r="AP68" s="160"/>
      <c r="AQ68" s="161"/>
      <c r="AR68"/>
      <c r="AS68" s="162"/>
      <c r="AT68"/>
      <c r="AU68" s="155"/>
      <c r="AV68" s="163"/>
      <c r="AW68"/>
      <c r="AX68" s="156"/>
      <c r="AY68" s="157"/>
      <c r="AZ68" s="158"/>
      <c r="BA68" s="158"/>
      <c r="BB68" s="157"/>
      <c r="BC68" s="159"/>
      <c r="BD68" s="157"/>
      <c r="BE68" s="159"/>
      <c r="BF68" s="160"/>
      <c r="BG68" s="161"/>
      <c r="BH68"/>
      <c r="BI68" s="162"/>
      <c r="BJ68"/>
      <c r="DND68" s="148">
        <v>45845</v>
      </c>
      <c r="DNE68" s="143" t="s">
        <v>46</v>
      </c>
      <c r="DNF68" s="199"/>
      <c r="DNG68" s="149" t="s">
        <v>125</v>
      </c>
      <c r="DNH68" s="197"/>
      <c r="DNI68" s="198"/>
      <c r="DNJ68" s="143" t="s">
        <v>22</v>
      </c>
      <c r="DNK68" s="144">
        <v>8150</v>
      </c>
      <c r="DNL68" s="152">
        <v>85</v>
      </c>
      <c r="DNM68" s="153">
        <v>215</v>
      </c>
      <c r="DNN68" s="153">
        <v>75</v>
      </c>
      <c r="DNO68" s="152">
        <v>150</v>
      </c>
      <c r="DNP68" s="154">
        <f>SUM(DNK68:DNO68)</f>
        <v>8675</v>
      </c>
      <c r="DNQ68" s="152">
        <v>200</v>
      </c>
      <c r="DNR68" s="154">
        <f>SUM(DNP68:DNQ68)</f>
        <v>8875</v>
      </c>
      <c r="DNS68" s="147" t="s">
        <v>99</v>
      </c>
      <c r="DNT68" s="148">
        <v>45845</v>
      </c>
      <c r="DNU68" s="143" t="s">
        <v>46</v>
      </c>
      <c r="DNV68" s="199"/>
      <c r="DNW68" s="149" t="s">
        <v>125</v>
      </c>
      <c r="DNX68" s="197"/>
      <c r="DNY68" s="198"/>
      <c r="DNZ68" s="143" t="s">
        <v>22</v>
      </c>
      <c r="DOA68" s="144">
        <v>8150</v>
      </c>
      <c r="DOB68" s="152">
        <v>85</v>
      </c>
      <c r="DOC68" s="153">
        <v>215</v>
      </c>
      <c r="DOD68" s="153">
        <v>75</v>
      </c>
      <c r="DOE68" s="152">
        <v>150</v>
      </c>
      <c r="DOF68" s="154">
        <f>SUM(DOA68:DOE68)</f>
        <v>8675</v>
      </c>
      <c r="DOG68" s="152">
        <v>200</v>
      </c>
      <c r="DOH68" s="154">
        <f>SUM(DOF68:DOG68)</f>
        <v>8875</v>
      </c>
      <c r="DOI68" s="147" t="s">
        <v>99</v>
      </c>
      <c r="DOJ68" s="148">
        <v>45845</v>
      </c>
      <c r="DOK68" s="143" t="s">
        <v>46</v>
      </c>
      <c r="DOL68" s="199"/>
      <c r="DOM68" s="149" t="s">
        <v>125</v>
      </c>
      <c r="DON68" s="197"/>
      <c r="DOO68" s="198"/>
      <c r="DOP68" s="143" t="s">
        <v>22</v>
      </c>
      <c r="DOQ68" s="144">
        <v>8150</v>
      </c>
      <c r="DOR68" s="152">
        <v>85</v>
      </c>
      <c r="DOS68" s="153">
        <v>215</v>
      </c>
      <c r="DOT68" s="153">
        <v>75</v>
      </c>
      <c r="DOU68" s="152">
        <v>150</v>
      </c>
      <c r="DOV68" s="154">
        <f>SUM(DOQ68:DOU68)</f>
        <v>8675</v>
      </c>
      <c r="DOW68" s="152">
        <v>200</v>
      </c>
      <c r="DOX68" s="154">
        <f>SUM(DOV68:DOW68)</f>
        <v>8875</v>
      </c>
      <c r="DOY68" s="147" t="s">
        <v>99</v>
      </c>
      <c r="DOZ68" s="148">
        <v>45845</v>
      </c>
      <c r="DPA68" s="143" t="s">
        <v>46</v>
      </c>
      <c r="DPB68" s="199"/>
      <c r="DPC68" s="149" t="s">
        <v>125</v>
      </c>
      <c r="DPD68" s="197"/>
      <c r="DPE68" s="198"/>
      <c r="DPF68" s="143" t="s">
        <v>22</v>
      </c>
      <c r="DPG68" s="144">
        <v>8150</v>
      </c>
      <c r="DPH68" s="152">
        <v>85</v>
      </c>
      <c r="DPI68" s="153">
        <v>215</v>
      </c>
      <c r="DPJ68" s="153">
        <v>75</v>
      </c>
      <c r="DPK68" s="152">
        <v>150</v>
      </c>
      <c r="DPL68" s="154">
        <f>SUM(DPG68:DPK68)</f>
        <v>8675</v>
      </c>
      <c r="DPM68" s="152">
        <v>200</v>
      </c>
      <c r="DPN68" s="154">
        <f>SUM(DPL68:DPM68)</f>
        <v>8875</v>
      </c>
      <c r="DPO68" s="147" t="s">
        <v>99</v>
      </c>
      <c r="DPP68" s="148">
        <v>45845</v>
      </c>
      <c r="DPQ68" s="143" t="s">
        <v>46</v>
      </c>
      <c r="DPR68" s="199"/>
      <c r="DPS68" s="149" t="s">
        <v>125</v>
      </c>
      <c r="DPT68" s="197"/>
      <c r="DPU68" s="198"/>
      <c r="DPV68" s="143" t="s">
        <v>22</v>
      </c>
      <c r="DPW68" s="144">
        <v>8150</v>
      </c>
      <c r="DPX68" s="152">
        <v>85</v>
      </c>
      <c r="DPY68" s="153">
        <v>215</v>
      </c>
      <c r="DPZ68" s="153">
        <v>75</v>
      </c>
      <c r="DQA68" s="152">
        <v>150</v>
      </c>
      <c r="DQB68" s="154">
        <f>SUM(DPW68:DQA68)</f>
        <v>8675</v>
      </c>
      <c r="DQC68" s="152">
        <v>200</v>
      </c>
      <c r="DQD68" s="154">
        <f>SUM(DQB68:DQC68)</f>
        <v>8875</v>
      </c>
      <c r="DQE68" s="147" t="s">
        <v>99</v>
      </c>
      <c r="DQF68" s="148">
        <v>45845</v>
      </c>
      <c r="DQG68" s="143" t="s">
        <v>46</v>
      </c>
      <c r="DQH68" s="199"/>
      <c r="DQI68" s="149" t="s">
        <v>125</v>
      </c>
      <c r="DQJ68" s="197"/>
      <c r="DQK68" s="198"/>
      <c r="DQL68" s="143" t="s">
        <v>22</v>
      </c>
      <c r="DQM68" s="144">
        <v>8150</v>
      </c>
      <c r="DQN68" s="152">
        <v>85</v>
      </c>
      <c r="DQO68" s="153">
        <v>215</v>
      </c>
      <c r="DQP68" s="153">
        <v>75</v>
      </c>
      <c r="DQQ68" s="152">
        <v>150</v>
      </c>
      <c r="DQR68" s="154">
        <f>SUM(DQM68:DQQ68)</f>
        <v>8675</v>
      </c>
      <c r="DQS68" s="152">
        <v>200</v>
      </c>
      <c r="DQT68" s="154">
        <f>SUM(DQR68:DQS68)</f>
        <v>8875</v>
      </c>
      <c r="DQU68" s="147" t="s">
        <v>99</v>
      </c>
      <c r="DQV68" s="148">
        <v>45845</v>
      </c>
      <c r="DQW68" s="143" t="s">
        <v>46</v>
      </c>
      <c r="DQX68" s="199"/>
      <c r="DQY68" s="149" t="s">
        <v>125</v>
      </c>
      <c r="DQZ68" s="197"/>
      <c r="DRA68" s="198"/>
      <c r="DRB68" s="143" t="s">
        <v>22</v>
      </c>
      <c r="DRC68" s="144">
        <v>8150</v>
      </c>
      <c r="DRD68" s="152">
        <v>85</v>
      </c>
      <c r="DRE68" s="153">
        <v>215</v>
      </c>
      <c r="DRF68" s="153">
        <v>75</v>
      </c>
      <c r="DRG68" s="152">
        <v>150</v>
      </c>
      <c r="DRH68" s="154">
        <f>SUM(DRC68:DRG68)</f>
        <v>8675</v>
      </c>
      <c r="DRI68" s="152">
        <v>200</v>
      </c>
      <c r="DRJ68" s="154">
        <f>SUM(DRH68:DRI68)</f>
        <v>8875</v>
      </c>
      <c r="DRK68" s="147" t="s">
        <v>99</v>
      </c>
      <c r="DRL68" s="148">
        <v>45845</v>
      </c>
      <c r="DRM68" s="143" t="s">
        <v>46</v>
      </c>
      <c r="DRN68" s="199"/>
      <c r="DRO68" s="149" t="s">
        <v>125</v>
      </c>
      <c r="DRP68" s="197"/>
      <c r="DRQ68" s="198"/>
      <c r="DRR68" s="143" t="s">
        <v>22</v>
      </c>
      <c r="DRS68" s="144">
        <v>8150</v>
      </c>
      <c r="DRT68" s="152">
        <v>85</v>
      </c>
      <c r="DRU68" s="153">
        <v>215</v>
      </c>
      <c r="DRV68" s="153">
        <v>75</v>
      </c>
      <c r="DRW68" s="152">
        <v>150</v>
      </c>
      <c r="DRX68" s="154">
        <f>SUM(DRS68:DRW68)</f>
        <v>8675</v>
      </c>
      <c r="DRY68" s="152">
        <v>200</v>
      </c>
      <c r="DRZ68" s="154">
        <f>SUM(DRX68:DRY68)</f>
        <v>8875</v>
      </c>
      <c r="DSA68" s="147" t="s">
        <v>99</v>
      </c>
      <c r="DSB68" s="148">
        <v>45845</v>
      </c>
      <c r="DSC68" s="143" t="s">
        <v>46</v>
      </c>
      <c r="DSD68" s="199"/>
      <c r="DSE68" s="149" t="s">
        <v>125</v>
      </c>
      <c r="DSF68" s="197"/>
      <c r="DSG68" s="198"/>
      <c r="DSH68" s="143" t="s">
        <v>22</v>
      </c>
      <c r="DSI68" s="144">
        <v>8150</v>
      </c>
      <c r="DSJ68" s="152">
        <v>85</v>
      </c>
      <c r="DSK68" s="153">
        <v>215</v>
      </c>
      <c r="DSL68" s="153">
        <v>75</v>
      </c>
      <c r="DSM68" s="152">
        <v>150</v>
      </c>
      <c r="DSN68" s="154">
        <f>SUM(DSI68:DSM68)</f>
        <v>8675</v>
      </c>
      <c r="DSO68" s="152">
        <v>200</v>
      </c>
      <c r="DSP68" s="154">
        <f>SUM(DSN68:DSO68)</f>
        <v>8875</v>
      </c>
      <c r="DSQ68" s="147" t="s">
        <v>99</v>
      </c>
      <c r="DSR68" s="148">
        <v>45845</v>
      </c>
      <c r="DSS68" s="143" t="s">
        <v>46</v>
      </c>
      <c r="DST68" s="199"/>
      <c r="DSU68" s="149" t="s">
        <v>125</v>
      </c>
      <c r="DSV68" s="197"/>
      <c r="DSW68" s="198"/>
      <c r="DSX68" s="143" t="s">
        <v>22</v>
      </c>
      <c r="DSY68" s="144">
        <v>8150</v>
      </c>
      <c r="DSZ68" s="152">
        <v>85</v>
      </c>
      <c r="DTA68" s="153">
        <v>215</v>
      </c>
      <c r="DTB68" s="153">
        <v>75</v>
      </c>
      <c r="DTC68" s="152">
        <v>150</v>
      </c>
      <c r="DTD68" s="154">
        <f>SUM(DSY68:DTC68)</f>
        <v>8675</v>
      </c>
      <c r="DTE68" s="152">
        <v>200</v>
      </c>
      <c r="DTF68" s="154">
        <f>SUM(DTD68:DTE68)</f>
        <v>8875</v>
      </c>
      <c r="DTG68" s="147" t="s">
        <v>99</v>
      </c>
      <c r="DTH68" s="148">
        <v>45845</v>
      </c>
      <c r="DTI68" s="143" t="s">
        <v>46</v>
      </c>
      <c r="DTJ68" s="199"/>
      <c r="DTK68" s="149" t="s">
        <v>125</v>
      </c>
      <c r="DTL68" s="197"/>
      <c r="DTM68" s="198"/>
      <c r="DTN68" s="143" t="s">
        <v>22</v>
      </c>
      <c r="DTO68" s="144">
        <v>8150</v>
      </c>
      <c r="DTP68" s="152">
        <v>85</v>
      </c>
      <c r="DTQ68" s="153">
        <v>215</v>
      </c>
      <c r="DTR68" s="153">
        <v>75</v>
      </c>
      <c r="DTS68" s="152">
        <v>150</v>
      </c>
      <c r="DTT68" s="154">
        <f>SUM(DTO68:DTS68)</f>
        <v>8675</v>
      </c>
      <c r="DTU68" s="152">
        <v>200</v>
      </c>
      <c r="DTV68" s="154">
        <f>SUM(DTT68:DTU68)</f>
        <v>8875</v>
      </c>
      <c r="DTW68" s="147" t="s">
        <v>99</v>
      </c>
      <c r="DTX68" s="148">
        <v>45845</v>
      </c>
      <c r="DTY68" s="143" t="s">
        <v>46</v>
      </c>
      <c r="DTZ68" s="199"/>
      <c r="DUA68" s="149" t="s">
        <v>125</v>
      </c>
      <c r="DUB68" s="197"/>
      <c r="DUC68" s="198"/>
      <c r="DUD68" s="143" t="s">
        <v>22</v>
      </c>
      <c r="DUE68" s="144">
        <v>8150</v>
      </c>
      <c r="DUF68" s="152">
        <v>85</v>
      </c>
      <c r="DUG68" s="153">
        <v>215</v>
      </c>
      <c r="DUH68" s="153">
        <v>75</v>
      </c>
      <c r="DUI68" s="152">
        <v>150</v>
      </c>
      <c r="DUJ68" s="154">
        <f>SUM(DUE68:DUI68)</f>
        <v>8675</v>
      </c>
      <c r="DUK68" s="152">
        <v>200</v>
      </c>
      <c r="DUL68" s="154">
        <f>SUM(DUJ68:DUK68)</f>
        <v>8875</v>
      </c>
      <c r="DUM68" s="147" t="s">
        <v>99</v>
      </c>
      <c r="DUN68" s="148">
        <v>45845</v>
      </c>
      <c r="DUO68" s="143" t="s">
        <v>46</v>
      </c>
      <c r="DUP68" s="199"/>
      <c r="DUQ68" s="149" t="s">
        <v>125</v>
      </c>
      <c r="DUR68" s="197"/>
      <c r="DUS68" s="198"/>
      <c r="DUT68" s="143" t="s">
        <v>22</v>
      </c>
      <c r="DUU68" s="144">
        <v>8150</v>
      </c>
      <c r="DUV68" s="152">
        <v>85</v>
      </c>
      <c r="DUW68" s="153">
        <v>215</v>
      </c>
      <c r="DUX68" s="153">
        <v>75</v>
      </c>
      <c r="DUY68" s="152">
        <v>150</v>
      </c>
      <c r="DUZ68" s="154">
        <f>SUM(DUU68:DUY68)</f>
        <v>8675</v>
      </c>
      <c r="DVA68" s="152">
        <v>200</v>
      </c>
      <c r="DVB68" s="154">
        <f>SUM(DUZ68:DVA68)</f>
        <v>8875</v>
      </c>
      <c r="DVC68" s="147" t="s">
        <v>99</v>
      </c>
      <c r="DVD68" s="148">
        <v>45845</v>
      </c>
      <c r="DVE68" s="143" t="s">
        <v>46</v>
      </c>
      <c r="DVF68" s="199"/>
      <c r="DVG68" s="149" t="s">
        <v>125</v>
      </c>
      <c r="DVH68" s="197"/>
      <c r="DVI68" s="198"/>
      <c r="DVJ68" s="143" t="s">
        <v>22</v>
      </c>
      <c r="DVK68" s="144">
        <v>8150</v>
      </c>
      <c r="DVL68" s="152">
        <v>85</v>
      </c>
      <c r="DVM68" s="153">
        <v>215</v>
      </c>
      <c r="DVN68" s="153">
        <v>75</v>
      </c>
      <c r="DVO68" s="152">
        <v>150</v>
      </c>
      <c r="DVP68" s="154">
        <f>SUM(DVK68:DVO68)</f>
        <v>8675</v>
      </c>
      <c r="DVQ68" s="152">
        <v>200</v>
      </c>
      <c r="DVR68" s="154">
        <f>SUM(DVP68:DVQ68)</f>
        <v>8875</v>
      </c>
      <c r="DVS68" s="147" t="s">
        <v>99</v>
      </c>
      <c r="DVT68" s="148">
        <v>45845</v>
      </c>
      <c r="DVU68" s="143" t="s">
        <v>46</v>
      </c>
      <c r="DVV68" s="199"/>
      <c r="DVW68" s="149" t="s">
        <v>125</v>
      </c>
      <c r="DVX68" s="197"/>
      <c r="DVY68" s="198"/>
      <c r="DVZ68" s="143" t="s">
        <v>22</v>
      </c>
      <c r="DWA68" s="144">
        <v>8150</v>
      </c>
      <c r="DWB68" s="152">
        <v>85</v>
      </c>
      <c r="DWC68" s="153">
        <v>215</v>
      </c>
      <c r="DWD68" s="153">
        <v>75</v>
      </c>
      <c r="DWE68" s="152">
        <v>150</v>
      </c>
      <c r="DWF68" s="154">
        <f>SUM(DWA68:DWE68)</f>
        <v>8675</v>
      </c>
      <c r="DWG68" s="152">
        <v>200</v>
      </c>
      <c r="DWH68" s="154">
        <f>SUM(DWF68:DWG68)</f>
        <v>8875</v>
      </c>
      <c r="DWI68" s="147" t="s">
        <v>99</v>
      </c>
      <c r="DWJ68" s="148">
        <v>45845</v>
      </c>
      <c r="DWK68" s="143" t="s">
        <v>46</v>
      </c>
      <c r="DWL68" s="199"/>
      <c r="DWM68" s="149" t="s">
        <v>125</v>
      </c>
      <c r="DWN68" s="197"/>
      <c r="DWO68" s="198"/>
      <c r="DWP68" s="143" t="s">
        <v>22</v>
      </c>
      <c r="DWQ68" s="144">
        <v>8150</v>
      </c>
      <c r="DWR68" s="152">
        <v>85</v>
      </c>
      <c r="DWS68" s="153">
        <v>215</v>
      </c>
      <c r="DWT68" s="153">
        <v>75</v>
      </c>
      <c r="DWU68" s="152">
        <v>150</v>
      </c>
      <c r="DWV68" s="154">
        <f>SUM(DWQ68:DWU68)</f>
        <v>8675</v>
      </c>
      <c r="DWW68" s="152">
        <v>200</v>
      </c>
      <c r="DWX68" s="154">
        <f>SUM(DWV68:DWW68)</f>
        <v>8875</v>
      </c>
      <c r="DWY68" s="147" t="s">
        <v>99</v>
      </c>
      <c r="DWZ68" s="148">
        <v>45845</v>
      </c>
      <c r="DXA68" s="143" t="s">
        <v>46</v>
      </c>
      <c r="DXB68" s="199"/>
      <c r="DXC68" s="149" t="s">
        <v>125</v>
      </c>
      <c r="DXD68" s="197"/>
      <c r="DXE68" s="198"/>
      <c r="DXF68" s="143" t="s">
        <v>22</v>
      </c>
      <c r="DXG68" s="144">
        <v>8150</v>
      </c>
      <c r="DXH68" s="152">
        <v>85</v>
      </c>
      <c r="DXI68" s="153">
        <v>215</v>
      </c>
      <c r="DXJ68" s="153">
        <v>75</v>
      </c>
      <c r="DXK68" s="152">
        <v>150</v>
      </c>
      <c r="DXL68" s="154">
        <f>SUM(DXG68:DXK68)</f>
        <v>8675</v>
      </c>
      <c r="DXM68" s="152">
        <v>200</v>
      </c>
      <c r="DXN68" s="154">
        <f>SUM(DXL68:DXM68)</f>
        <v>8875</v>
      </c>
      <c r="DXO68" s="147" t="s">
        <v>99</v>
      </c>
      <c r="DXP68" s="148">
        <v>45845</v>
      </c>
      <c r="DXQ68" s="143" t="s">
        <v>46</v>
      </c>
      <c r="DXR68" s="199"/>
      <c r="DXS68" s="149" t="s">
        <v>125</v>
      </c>
      <c r="DXT68" s="197"/>
      <c r="DXU68" s="198"/>
      <c r="DXV68" s="143" t="s">
        <v>22</v>
      </c>
      <c r="DXW68" s="144">
        <v>8150</v>
      </c>
      <c r="DXX68" s="152">
        <v>85</v>
      </c>
      <c r="DXY68" s="153">
        <v>215</v>
      </c>
      <c r="DXZ68" s="153">
        <v>75</v>
      </c>
      <c r="DYA68" s="152">
        <v>150</v>
      </c>
      <c r="DYB68" s="154">
        <f>SUM(DXW68:DYA68)</f>
        <v>8675</v>
      </c>
      <c r="DYC68" s="152">
        <v>200</v>
      </c>
      <c r="DYD68" s="154">
        <f>SUM(DYB68:DYC68)</f>
        <v>8875</v>
      </c>
      <c r="DYE68" s="147" t="s">
        <v>99</v>
      </c>
      <c r="DYF68" s="148">
        <v>45845</v>
      </c>
      <c r="DYG68" s="143" t="s">
        <v>46</v>
      </c>
      <c r="DYH68" s="199"/>
      <c r="DYI68" s="149" t="s">
        <v>125</v>
      </c>
      <c r="DYJ68" s="197"/>
      <c r="DYK68" s="198"/>
      <c r="DYL68" s="143" t="s">
        <v>22</v>
      </c>
      <c r="DYM68" s="144">
        <v>8150</v>
      </c>
      <c r="DYN68" s="152">
        <v>85</v>
      </c>
      <c r="DYO68" s="153">
        <v>215</v>
      </c>
      <c r="DYP68" s="153">
        <v>75</v>
      </c>
      <c r="DYQ68" s="152">
        <v>150</v>
      </c>
      <c r="DYR68" s="154">
        <f>SUM(DYM68:DYQ68)</f>
        <v>8675</v>
      </c>
      <c r="DYS68" s="152">
        <v>200</v>
      </c>
      <c r="DYT68" s="154">
        <f>SUM(DYR68:DYS68)</f>
        <v>8875</v>
      </c>
      <c r="DYU68" s="147" t="s">
        <v>99</v>
      </c>
      <c r="DYV68" s="148">
        <v>45845</v>
      </c>
      <c r="DYW68" s="143" t="s">
        <v>46</v>
      </c>
      <c r="DYX68" s="199"/>
      <c r="DYY68" s="149" t="s">
        <v>125</v>
      </c>
      <c r="DYZ68" s="197"/>
      <c r="DZA68" s="198"/>
      <c r="DZB68" s="143" t="s">
        <v>22</v>
      </c>
      <c r="DZC68" s="144">
        <v>8150</v>
      </c>
      <c r="DZD68" s="152">
        <v>85</v>
      </c>
      <c r="DZE68" s="153">
        <v>215</v>
      </c>
      <c r="DZF68" s="153">
        <v>75</v>
      </c>
      <c r="DZG68" s="152">
        <v>150</v>
      </c>
      <c r="DZH68" s="154">
        <f>SUM(DZC68:DZG68)</f>
        <v>8675</v>
      </c>
      <c r="DZI68" s="152">
        <v>200</v>
      </c>
      <c r="DZJ68" s="154">
        <f>SUM(DZH68:DZI68)</f>
        <v>8875</v>
      </c>
      <c r="DZK68" s="147" t="s">
        <v>99</v>
      </c>
      <c r="DZL68" s="148">
        <v>45845</v>
      </c>
      <c r="DZM68" s="143" t="s">
        <v>46</v>
      </c>
      <c r="DZN68" s="199"/>
      <c r="DZO68" s="149" t="s">
        <v>125</v>
      </c>
      <c r="DZP68" s="197"/>
      <c r="DZQ68" s="198"/>
      <c r="DZR68" s="143" t="s">
        <v>22</v>
      </c>
      <c r="DZS68" s="144">
        <v>8150</v>
      </c>
      <c r="DZT68" s="152">
        <v>85</v>
      </c>
      <c r="DZU68" s="153">
        <v>215</v>
      </c>
      <c r="DZV68" s="153">
        <v>75</v>
      </c>
      <c r="DZW68" s="152">
        <v>150</v>
      </c>
      <c r="DZX68" s="154">
        <f>SUM(DZS68:DZW68)</f>
        <v>8675</v>
      </c>
      <c r="DZY68" s="152">
        <v>200</v>
      </c>
      <c r="DZZ68" s="154">
        <f>SUM(DZX68:DZY68)</f>
        <v>8875</v>
      </c>
      <c r="EAA68" s="147" t="s">
        <v>99</v>
      </c>
      <c r="EAB68" s="148">
        <v>45845</v>
      </c>
      <c r="EAC68" s="143" t="s">
        <v>46</v>
      </c>
      <c r="EAD68" s="199"/>
      <c r="EAE68" s="149" t="s">
        <v>125</v>
      </c>
      <c r="EAF68" s="197"/>
      <c r="EAG68" s="198"/>
      <c r="EAH68" s="143" t="s">
        <v>22</v>
      </c>
      <c r="EAI68" s="144">
        <v>8150</v>
      </c>
      <c r="EAJ68" s="152">
        <v>85</v>
      </c>
      <c r="EAK68" s="153">
        <v>215</v>
      </c>
      <c r="EAL68" s="153">
        <v>75</v>
      </c>
      <c r="EAM68" s="152">
        <v>150</v>
      </c>
      <c r="EAN68" s="154">
        <f>SUM(EAI68:EAM68)</f>
        <v>8675</v>
      </c>
      <c r="EAO68" s="152">
        <v>200</v>
      </c>
      <c r="EAP68" s="154">
        <f>SUM(EAN68:EAO68)</f>
        <v>8875</v>
      </c>
      <c r="EAQ68" s="147" t="s">
        <v>99</v>
      </c>
      <c r="EAR68" s="148">
        <v>45845</v>
      </c>
      <c r="EAS68" s="143" t="s">
        <v>46</v>
      </c>
      <c r="EAT68" s="199"/>
      <c r="EAU68" s="149" t="s">
        <v>125</v>
      </c>
      <c r="EAV68" s="197"/>
      <c r="EAW68" s="198"/>
      <c r="EAX68" s="143" t="s">
        <v>22</v>
      </c>
      <c r="EAY68" s="144">
        <v>8150</v>
      </c>
      <c r="EAZ68" s="152">
        <v>85</v>
      </c>
      <c r="EBA68" s="153">
        <v>215</v>
      </c>
      <c r="EBB68" s="153">
        <v>75</v>
      </c>
      <c r="EBC68" s="152">
        <v>150</v>
      </c>
      <c r="EBD68" s="154">
        <f>SUM(EAY68:EBC68)</f>
        <v>8675</v>
      </c>
      <c r="EBE68" s="152">
        <v>200</v>
      </c>
      <c r="EBF68" s="154">
        <f>SUM(EBD68:EBE68)</f>
        <v>8875</v>
      </c>
      <c r="EBG68" s="147" t="s">
        <v>99</v>
      </c>
      <c r="EBH68" s="148">
        <v>45845</v>
      </c>
      <c r="EBI68" s="143" t="s">
        <v>46</v>
      </c>
      <c r="EBJ68" s="199"/>
      <c r="EBK68" s="149" t="s">
        <v>125</v>
      </c>
      <c r="EBL68" s="197"/>
      <c r="EBM68" s="198"/>
      <c r="EBN68" s="143" t="s">
        <v>22</v>
      </c>
      <c r="EBO68" s="144">
        <v>8150</v>
      </c>
      <c r="EBP68" s="152">
        <v>85</v>
      </c>
      <c r="EBQ68" s="153">
        <v>215</v>
      </c>
      <c r="EBR68" s="153">
        <v>75</v>
      </c>
      <c r="EBS68" s="152">
        <v>150</v>
      </c>
      <c r="EBT68" s="154">
        <f>SUM(EBO68:EBS68)</f>
        <v>8675</v>
      </c>
      <c r="EBU68" s="152">
        <v>200</v>
      </c>
      <c r="EBV68" s="154">
        <f>SUM(EBT68:EBU68)</f>
        <v>8875</v>
      </c>
      <c r="EBW68" s="147" t="s">
        <v>99</v>
      </c>
      <c r="EBX68" s="148">
        <v>45845</v>
      </c>
      <c r="EBY68" s="143" t="s">
        <v>46</v>
      </c>
      <c r="EBZ68" s="199"/>
      <c r="ECA68" s="149" t="s">
        <v>125</v>
      </c>
      <c r="ECB68" s="197"/>
      <c r="ECC68" s="198"/>
      <c r="ECD68" s="143" t="s">
        <v>22</v>
      </c>
      <c r="ECE68" s="144">
        <v>8150</v>
      </c>
      <c r="ECF68" s="152">
        <v>85</v>
      </c>
      <c r="ECG68" s="153">
        <v>215</v>
      </c>
      <c r="ECH68" s="153">
        <v>75</v>
      </c>
      <c r="ECI68" s="152">
        <v>150</v>
      </c>
      <c r="ECJ68" s="154">
        <f>SUM(ECE68:ECI68)</f>
        <v>8675</v>
      </c>
      <c r="ECK68" s="152">
        <v>200</v>
      </c>
      <c r="ECL68" s="154">
        <f>SUM(ECJ68:ECK68)</f>
        <v>8875</v>
      </c>
      <c r="ECM68" s="147" t="s">
        <v>99</v>
      </c>
      <c r="ECN68" s="148">
        <v>45845</v>
      </c>
      <c r="ECO68" s="143" t="s">
        <v>46</v>
      </c>
      <c r="ECP68" s="199"/>
      <c r="ECQ68" s="149" t="s">
        <v>125</v>
      </c>
      <c r="ECR68" s="197"/>
      <c r="ECS68" s="198"/>
      <c r="ECT68" s="143" t="s">
        <v>22</v>
      </c>
      <c r="ECU68" s="144">
        <v>8150</v>
      </c>
      <c r="ECV68" s="152">
        <v>85</v>
      </c>
      <c r="ECW68" s="153">
        <v>215</v>
      </c>
      <c r="ECX68" s="153">
        <v>75</v>
      </c>
      <c r="ECY68" s="152">
        <v>150</v>
      </c>
      <c r="ECZ68" s="154">
        <f>SUM(ECU68:ECY68)</f>
        <v>8675</v>
      </c>
      <c r="EDA68" s="152">
        <v>200</v>
      </c>
      <c r="EDB68" s="154">
        <f>SUM(ECZ68:EDA68)</f>
        <v>8875</v>
      </c>
      <c r="EDC68" s="147" t="s">
        <v>99</v>
      </c>
      <c r="EDD68" s="148">
        <v>45845</v>
      </c>
      <c r="EDE68" s="143" t="s">
        <v>46</v>
      </c>
      <c r="EDF68" s="199"/>
      <c r="EDG68" s="149" t="s">
        <v>125</v>
      </c>
      <c r="EDH68" s="197"/>
      <c r="EDI68" s="198"/>
      <c r="EDJ68" s="143" t="s">
        <v>22</v>
      </c>
      <c r="EDK68" s="144">
        <v>8150</v>
      </c>
      <c r="EDL68" s="152">
        <v>85</v>
      </c>
      <c r="EDM68" s="153">
        <v>215</v>
      </c>
      <c r="EDN68" s="153">
        <v>75</v>
      </c>
      <c r="EDO68" s="152">
        <v>150</v>
      </c>
      <c r="EDP68" s="154">
        <f>SUM(EDK68:EDO68)</f>
        <v>8675</v>
      </c>
      <c r="EDQ68" s="152">
        <v>200</v>
      </c>
      <c r="EDR68" s="154">
        <f>SUM(EDP68:EDQ68)</f>
        <v>8875</v>
      </c>
      <c r="EDS68" s="147" t="s">
        <v>99</v>
      </c>
      <c r="EDT68" s="148">
        <v>45845</v>
      </c>
      <c r="EDU68" s="143" t="s">
        <v>46</v>
      </c>
      <c r="EDV68" s="199"/>
      <c r="EDW68" s="149" t="s">
        <v>125</v>
      </c>
      <c r="EDX68" s="197"/>
      <c r="EDY68" s="198"/>
      <c r="EDZ68" s="143" t="s">
        <v>22</v>
      </c>
      <c r="EEA68" s="144">
        <v>8150</v>
      </c>
      <c r="EEB68" s="152">
        <v>85</v>
      </c>
      <c r="EEC68" s="153">
        <v>215</v>
      </c>
      <c r="EED68" s="153">
        <v>75</v>
      </c>
      <c r="EEE68" s="152">
        <v>150</v>
      </c>
      <c r="EEF68" s="154">
        <f>SUM(EEA68:EEE68)</f>
        <v>8675</v>
      </c>
      <c r="EEG68" s="152">
        <v>200</v>
      </c>
      <c r="EEH68" s="154">
        <f>SUM(EEF68:EEG68)</f>
        <v>8875</v>
      </c>
      <c r="EEI68" s="147" t="s">
        <v>99</v>
      </c>
      <c r="EEJ68" s="148">
        <v>45845</v>
      </c>
      <c r="EEK68" s="143" t="s">
        <v>46</v>
      </c>
      <c r="EEL68" s="199"/>
      <c r="EEM68" s="149" t="s">
        <v>125</v>
      </c>
      <c r="EEN68" s="197"/>
      <c r="EEO68" s="198"/>
      <c r="EEP68" s="143" t="s">
        <v>22</v>
      </c>
      <c r="EEQ68" s="144">
        <v>8150</v>
      </c>
      <c r="EER68" s="152">
        <v>85</v>
      </c>
      <c r="EES68" s="153">
        <v>215</v>
      </c>
      <c r="EET68" s="153">
        <v>75</v>
      </c>
      <c r="EEU68" s="152">
        <v>150</v>
      </c>
      <c r="EEV68" s="154">
        <f>SUM(EEQ68:EEU68)</f>
        <v>8675</v>
      </c>
      <c r="EEW68" s="152">
        <v>200</v>
      </c>
      <c r="EEX68" s="154">
        <f>SUM(EEV68:EEW68)</f>
        <v>8875</v>
      </c>
      <c r="EEY68" s="147" t="s">
        <v>99</v>
      </c>
      <c r="EEZ68" s="148">
        <v>45845</v>
      </c>
      <c r="EFA68" s="143" t="s">
        <v>46</v>
      </c>
      <c r="EFB68" s="199"/>
      <c r="EFC68" s="149" t="s">
        <v>125</v>
      </c>
      <c r="EFD68" s="197"/>
      <c r="EFE68" s="198"/>
      <c r="EFF68" s="143" t="s">
        <v>22</v>
      </c>
      <c r="EFG68" s="144">
        <v>8150</v>
      </c>
      <c r="EFH68" s="152">
        <v>85</v>
      </c>
      <c r="EFI68" s="153">
        <v>215</v>
      </c>
      <c r="EFJ68" s="153">
        <v>75</v>
      </c>
      <c r="EFK68" s="152">
        <v>150</v>
      </c>
      <c r="EFL68" s="154">
        <f>SUM(EFG68:EFK68)</f>
        <v>8675</v>
      </c>
      <c r="EFM68" s="152">
        <v>200</v>
      </c>
      <c r="EFN68" s="154">
        <f>SUM(EFL68:EFM68)</f>
        <v>8875</v>
      </c>
      <c r="EFO68" s="147" t="s">
        <v>99</v>
      </c>
      <c r="EFP68" s="148">
        <v>45845</v>
      </c>
      <c r="EFQ68" s="143" t="s">
        <v>46</v>
      </c>
      <c r="EFR68" s="199"/>
      <c r="EFS68" s="149" t="s">
        <v>125</v>
      </c>
      <c r="EFT68" s="197"/>
      <c r="EFU68" s="198"/>
      <c r="EFV68" s="143" t="s">
        <v>22</v>
      </c>
      <c r="EFW68" s="144">
        <v>8150</v>
      </c>
      <c r="EFX68" s="152">
        <v>85</v>
      </c>
      <c r="EFY68" s="153">
        <v>215</v>
      </c>
      <c r="EFZ68" s="153">
        <v>75</v>
      </c>
      <c r="EGA68" s="152">
        <v>150</v>
      </c>
      <c r="EGB68" s="154">
        <f>SUM(EFW68:EGA68)</f>
        <v>8675</v>
      </c>
      <c r="EGC68" s="152">
        <v>200</v>
      </c>
      <c r="EGD68" s="154">
        <f>SUM(EGB68:EGC68)</f>
        <v>8875</v>
      </c>
      <c r="EGE68" s="147" t="s">
        <v>99</v>
      </c>
      <c r="EGF68" s="148">
        <v>45845</v>
      </c>
      <c r="EGG68" s="143" t="s">
        <v>46</v>
      </c>
      <c r="EGH68" s="199"/>
      <c r="EGI68" s="149" t="s">
        <v>125</v>
      </c>
      <c r="EGJ68" s="197"/>
      <c r="EGK68" s="198"/>
      <c r="EGL68" s="143" t="s">
        <v>22</v>
      </c>
      <c r="EGM68" s="144">
        <v>8150</v>
      </c>
      <c r="EGN68" s="152">
        <v>85</v>
      </c>
      <c r="EGO68" s="153">
        <v>215</v>
      </c>
      <c r="EGP68" s="153">
        <v>75</v>
      </c>
      <c r="EGQ68" s="152">
        <v>150</v>
      </c>
      <c r="EGR68" s="154">
        <f>SUM(EGM68:EGQ68)</f>
        <v>8675</v>
      </c>
      <c r="EGS68" s="152">
        <v>200</v>
      </c>
      <c r="EGT68" s="154">
        <f>SUM(EGR68:EGS68)</f>
        <v>8875</v>
      </c>
      <c r="EGU68" s="147" t="s">
        <v>99</v>
      </c>
      <c r="EGV68" s="148">
        <v>45845</v>
      </c>
      <c r="EGW68" s="143" t="s">
        <v>46</v>
      </c>
      <c r="EGX68" s="199"/>
      <c r="EGY68" s="149" t="s">
        <v>125</v>
      </c>
      <c r="EGZ68" s="197"/>
      <c r="EHA68" s="198"/>
      <c r="EHB68" s="143" t="s">
        <v>22</v>
      </c>
      <c r="EHC68" s="144">
        <v>8150</v>
      </c>
      <c r="EHD68" s="152">
        <v>85</v>
      </c>
      <c r="EHE68" s="153">
        <v>215</v>
      </c>
      <c r="EHF68" s="153">
        <v>75</v>
      </c>
      <c r="EHG68" s="152">
        <v>150</v>
      </c>
      <c r="EHH68" s="154">
        <f>SUM(EHC68:EHG68)</f>
        <v>8675</v>
      </c>
      <c r="EHI68" s="152">
        <v>200</v>
      </c>
      <c r="EHJ68" s="154">
        <f>SUM(EHH68:EHI68)</f>
        <v>8875</v>
      </c>
      <c r="EHK68" s="147" t="s">
        <v>99</v>
      </c>
      <c r="EHL68" s="148">
        <v>45845</v>
      </c>
      <c r="EHM68" s="143" t="s">
        <v>46</v>
      </c>
      <c r="EHN68" s="199"/>
      <c r="EHO68" s="149" t="s">
        <v>125</v>
      </c>
      <c r="EHP68" s="197"/>
      <c r="EHQ68" s="198"/>
      <c r="EHR68" s="143" t="s">
        <v>22</v>
      </c>
      <c r="EHS68" s="144">
        <v>8150</v>
      </c>
      <c r="EHT68" s="152">
        <v>85</v>
      </c>
      <c r="EHU68" s="153">
        <v>215</v>
      </c>
      <c r="EHV68" s="153">
        <v>75</v>
      </c>
      <c r="EHW68" s="152">
        <v>150</v>
      </c>
      <c r="EHX68" s="154">
        <f>SUM(EHS68:EHW68)</f>
        <v>8675</v>
      </c>
      <c r="EHY68" s="152">
        <v>200</v>
      </c>
      <c r="EHZ68" s="154">
        <f>SUM(EHX68:EHY68)</f>
        <v>8875</v>
      </c>
      <c r="EIA68" s="147" t="s">
        <v>99</v>
      </c>
      <c r="EIB68" s="148">
        <v>45845</v>
      </c>
      <c r="EIC68" s="143" t="s">
        <v>46</v>
      </c>
      <c r="EID68" s="199"/>
      <c r="EIE68" s="149" t="s">
        <v>125</v>
      </c>
      <c r="EIF68" s="197"/>
      <c r="EIG68" s="198"/>
      <c r="EIH68" s="143" t="s">
        <v>22</v>
      </c>
      <c r="EII68" s="144">
        <v>8150</v>
      </c>
      <c r="EIJ68" s="152">
        <v>85</v>
      </c>
      <c r="EIK68" s="153">
        <v>215</v>
      </c>
      <c r="EIL68" s="153">
        <v>75</v>
      </c>
      <c r="EIM68" s="152">
        <v>150</v>
      </c>
      <c r="EIN68" s="154">
        <f>SUM(EII68:EIM68)</f>
        <v>8675</v>
      </c>
      <c r="EIO68" s="152">
        <v>200</v>
      </c>
      <c r="EIP68" s="154">
        <f>SUM(EIN68:EIO68)</f>
        <v>8875</v>
      </c>
      <c r="EIQ68" s="147" t="s">
        <v>99</v>
      </c>
      <c r="EIR68" s="148">
        <v>45845</v>
      </c>
      <c r="EIS68" s="143" t="s">
        <v>46</v>
      </c>
      <c r="EIT68" s="199"/>
      <c r="EIU68" s="149" t="s">
        <v>125</v>
      </c>
      <c r="EIV68" s="197"/>
      <c r="EIW68" s="198"/>
      <c r="EIX68" s="143" t="s">
        <v>22</v>
      </c>
      <c r="EIY68" s="144">
        <v>8150</v>
      </c>
      <c r="EIZ68" s="152">
        <v>85</v>
      </c>
      <c r="EJA68" s="153">
        <v>215</v>
      </c>
      <c r="EJB68" s="153">
        <v>75</v>
      </c>
      <c r="EJC68" s="152">
        <v>150</v>
      </c>
      <c r="EJD68" s="154">
        <f>SUM(EIY68:EJC68)</f>
        <v>8675</v>
      </c>
      <c r="EJE68" s="152">
        <v>200</v>
      </c>
      <c r="EJF68" s="154">
        <f>SUM(EJD68:EJE68)</f>
        <v>8875</v>
      </c>
      <c r="EJG68" s="147" t="s">
        <v>99</v>
      </c>
      <c r="EJH68" s="148">
        <v>45845</v>
      </c>
      <c r="EJI68" s="143" t="s">
        <v>46</v>
      </c>
      <c r="EJJ68" s="199"/>
      <c r="EJK68" s="149" t="s">
        <v>125</v>
      </c>
      <c r="EJL68" s="197"/>
      <c r="EJM68" s="198"/>
      <c r="EJN68" s="143" t="s">
        <v>22</v>
      </c>
      <c r="EJO68" s="144">
        <v>8150</v>
      </c>
      <c r="EJP68" s="152">
        <v>85</v>
      </c>
      <c r="EJQ68" s="153">
        <v>215</v>
      </c>
      <c r="EJR68" s="153">
        <v>75</v>
      </c>
      <c r="EJS68" s="152">
        <v>150</v>
      </c>
      <c r="EJT68" s="154">
        <f>SUM(EJO68:EJS68)</f>
        <v>8675</v>
      </c>
      <c r="EJU68" s="152">
        <v>200</v>
      </c>
      <c r="EJV68" s="154">
        <f>SUM(EJT68:EJU68)</f>
        <v>8875</v>
      </c>
      <c r="EJW68" s="147" t="s">
        <v>99</v>
      </c>
      <c r="EJX68" s="148">
        <v>45845</v>
      </c>
      <c r="EJY68" s="143" t="s">
        <v>46</v>
      </c>
      <c r="EJZ68" s="199"/>
      <c r="EKA68" s="149" t="s">
        <v>125</v>
      </c>
      <c r="EKB68" s="197"/>
      <c r="EKC68" s="198"/>
      <c r="EKD68" s="143" t="s">
        <v>22</v>
      </c>
      <c r="EKE68" s="144">
        <v>8150</v>
      </c>
      <c r="EKF68" s="152">
        <v>85</v>
      </c>
      <c r="EKG68" s="153">
        <v>215</v>
      </c>
      <c r="EKH68" s="153">
        <v>75</v>
      </c>
      <c r="EKI68" s="152">
        <v>150</v>
      </c>
      <c r="EKJ68" s="154">
        <f>SUM(EKE68:EKI68)</f>
        <v>8675</v>
      </c>
      <c r="EKK68" s="152">
        <v>200</v>
      </c>
      <c r="EKL68" s="154">
        <f>SUM(EKJ68:EKK68)</f>
        <v>8875</v>
      </c>
      <c r="EKM68" s="147" t="s">
        <v>99</v>
      </c>
      <c r="EKN68" s="148">
        <v>45845</v>
      </c>
      <c r="EKO68" s="143" t="s">
        <v>46</v>
      </c>
      <c r="EKP68" s="199"/>
      <c r="EKQ68" s="149" t="s">
        <v>125</v>
      </c>
      <c r="EKR68" s="197"/>
      <c r="EKS68" s="198"/>
      <c r="EKT68" s="143" t="s">
        <v>22</v>
      </c>
      <c r="EKU68" s="144">
        <v>8150</v>
      </c>
      <c r="EKV68" s="152">
        <v>85</v>
      </c>
      <c r="EKW68" s="153">
        <v>215</v>
      </c>
      <c r="EKX68" s="153">
        <v>75</v>
      </c>
      <c r="EKY68" s="152">
        <v>150</v>
      </c>
      <c r="EKZ68" s="154">
        <f>SUM(EKU68:EKY68)</f>
        <v>8675</v>
      </c>
      <c r="ELA68" s="152">
        <v>200</v>
      </c>
      <c r="ELB68" s="154">
        <f>SUM(EKZ68:ELA68)</f>
        <v>8875</v>
      </c>
      <c r="ELC68" s="147" t="s">
        <v>99</v>
      </c>
      <c r="ELD68" s="148">
        <v>45845</v>
      </c>
      <c r="ELE68" s="143" t="s">
        <v>46</v>
      </c>
      <c r="ELF68" s="199"/>
      <c r="ELG68" s="149" t="s">
        <v>125</v>
      </c>
      <c r="ELH68" s="197"/>
      <c r="ELI68" s="198"/>
      <c r="ELJ68" s="143" t="s">
        <v>22</v>
      </c>
      <c r="ELK68" s="144">
        <v>8150</v>
      </c>
      <c r="ELL68" s="152">
        <v>85</v>
      </c>
      <c r="ELM68" s="153">
        <v>215</v>
      </c>
      <c r="ELN68" s="153">
        <v>75</v>
      </c>
      <c r="ELO68" s="152">
        <v>150</v>
      </c>
      <c r="ELP68" s="154">
        <f>SUM(ELK68:ELO68)</f>
        <v>8675</v>
      </c>
      <c r="ELQ68" s="152">
        <v>200</v>
      </c>
      <c r="ELR68" s="154">
        <f>SUM(ELP68:ELQ68)</f>
        <v>8875</v>
      </c>
      <c r="ELS68" s="147" t="s">
        <v>99</v>
      </c>
      <c r="ELT68" s="148">
        <v>45845</v>
      </c>
      <c r="ELU68" s="143" t="s">
        <v>46</v>
      </c>
      <c r="ELV68" s="199"/>
      <c r="ELW68" s="149" t="s">
        <v>125</v>
      </c>
      <c r="ELX68" s="197"/>
      <c r="ELY68" s="198"/>
      <c r="ELZ68" s="143" t="s">
        <v>22</v>
      </c>
      <c r="EMA68" s="144">
        <v>8150</v>
      </c>
      <c r="EMB68" s="152">
        <v>85</v>
      </c>
      <c r="EMC68" s="153">
        <v>215</v>
      </c>
      <c r="EMD68" s="153">
        <v>75</v>
      </c>
      <c r="EME68" s="152">
        <v>150</v>
      </c>
      <c r="EMF68" s="154">
        <f>SUM(EMA68:EME68)</f>
        <v>8675</v>
      </c>
      <c r="EMG68" s="152">
        <v>200</v>
      </c>
      <c r="EMH68" s="154">
        <f>SUM(EMF68:EMG68)</f>
        <v>8875</v>
      </c>
      <c r="EMI68" s="147" t="s">
        <v>99</v>
      </c>
      <c r="EMJ68" s="148">
        <v>45845</v>
      </c>
      <c r="EMK68" s="143" t="s">
        <v>46</v>
      </c>
      <c r="EML68" s="199"/>
      <c r="EMM68" s="149" t="s">
        <v>125</v>
      </c>
      <c r="EMN68" s="197"/>
      <c r="EMO68" s="198"/>
      <c r="EMP68" s="143" t="s">
        <v>22</v>
      </c>
      <c r="EMQ68" s="144">
        <v>8150</v>
      </c>
      <c r="EMR68" s="152">
        <v>85</v>
      </c>
      <c r="EMS68" s="153">
        <v>215</v>
      </c>
      <c r="EMT68" s="153">
        <v>75</v>
      </c>
      <c r="EMU68" s="152">
        <v>150</v>
      </c>
      <c r="EMV68" s="154">
        <f>SUM(EMQ68:EMU68)</f>
        <v>8675</v>
      </c>
      <c r="EMW68" s="152">
        <v>200</v>
      </c>
      <c r="EMX68" s="154">
        <f>SUM(EMV68:EMW68)</f>
        <v>8875</v>
      </c>
      <c r="EMY68" s="147" t="s">
        <v>99</v>
      </c>
      <c r="EMZ68" s="148">
        <v>45845</v>
      </c>
      <c r="ENA68" s="143" t="s">
        <v>46</v>
      </c>
      <c r="ENB68" s="199"/>
      <c r="ENC68" s="149" t="s">
        <v>125</v>
      </c>
      <c r="END68" s="197"/>
      <c r="ENE68" s="198"/>
      <c r="ENF68" s="143" t="s">
        <v>22</v>
      </c>
      <c r="ENG68" s="144">
        <v>8150</v>
      </c>
      <c r="ENH68" s="152">
        <v>85</v>
      </c>
      <c r="ENI68" s="153">
        <v>215</v>
      </c>
      <c r="ENJ68" s="153">
        <v>75</v>
      </c>
      <c r="ENK68" s="152">
        <v>150</v>
      </c>
      <c r="ENL68" s="154">
        <f>SUM(ENG68:ENK68)</f>
        <v>8675</v>
      </c>
      <c r="ENM68" s="152">
        <v>200</v>
      </c>
      <c r="ENN68" s="154">
        <f>SUM(ENL68:ENM68)</f>
        <v>8875</v>
      </c>
      <c r="ENO68" s="147" t="s">
        <v>99</v>
      </c>
      <c r="ENP68" s="148">
        <v>45845</v>
      </c>
      <c r="ENQ68" s="143" t="s">
        <v>46</v>
      </c>
      <c r="ENR68" s="199"/>
      <c r="ENS68" s="149" t="s">
        <v>125</v>
      </c>
      <c r="ENT68" s="197"/>
      <c r="ENU68" s="198"/>
      <c r="ENV68" s="143" t="s">
        <v>22</v>
      </c>
      <c r="ENW68" s="144">
        <v>8150</v>
      </c>
      <c r="ENX68" s="152">
        <v>85</v>
      </c>
      <c r="ENY68" s="153">
        <v>215</v>
      </c>
      <c r="ENZ68" s="153">
        <v>75</v>
      </c>
      <c r="EOA68" s="152">
        <v>150</v>
      </c>
      <c r="EOB68" s="154">
        <f>SUM(ENW68:EOA68)</f>
        <v>8675</v>
      </c>
      <c r="EOC68" s="152">
        <v>200</v>
      </c>
      <c r="EOD68" s="154">
        <f>SUM(EOB68:EOC68)</f>
        <v>8875</v>
      </c>
      <c r="EOE68" s="147" t="s">
        <v>99</v>
      </c>
      <c r="EOF68" s="148">
        <v>45845</v>
      </c>
      <c r="EOG68" s="143" t="s">
        <v>46</v>
      </c>
      <c r="EOH68" s="199"/>
      <c r="EOI68" s="149" t="s">
        <v>125</v>
      </c>
      <c r="EOJ68" s="197"/>
      <c r="EOK68" s="198"/>
      <c r="EOL68" s="143" t="s">
        <v>22</v>
      </c>
      <c r="EOM68" s="144">
        <v>8150</v>
      </c>
      <c r="EON68" s="152">
        <v>85</v>
      </c>
      <c r="EOO68" s="153">
        <v>215</v>
      </c>
      <c r="EOP68" s="153">
        <v>75</v>
      </c>
      <c r="EOQ68" s="152">
        <v>150</v>
      </c>
      <c r="EOR68" s="154">
        <f>SUM(EOM68:EOQ68)</f>
        <v>8675</v>
      </c>
      <c r="EOS68" s="152">
        <v>200</v>
      </c>
      <c r="EOT68" s="154">
        <f>SUM(EOR68:EOS68)</f>
        <v>8875</v>
      </c>
      <c r="EOU68" s="147" t="s">
        <v>99</v>
      </c>
      <c r="EOV68" s="148">
        <v>45845</v>
      </c>
      <c r="EOW68" s="143" t="s">
        <v>46</v>
      </c>
      <c r="EOX68" s="199"/>
      <c r="EOY68" s="149" t="s">
        <v>125</v>
      </c>
      <c r="EOZ68" s="197"/>
      <c r="EPA68" s="198"/>
      <c r="EPB68" s="143" t="s">
        <v>22</v>
      </c>
      <c r="EPC68" s="144">
        <v>8150</v>
      </c>
      <c r="EPD68" s="152">
        <v>85</v>
      </c>
      <c r="EPE68" s="153">
        <v>215</v>
      </c>
      <c r="EPF68" s="153">
        <v>75</v>
      </c>
      <c r="EPG68" s="152">
        <v>150</v>
      </c>
      <c r="EPH68" s="154">
        <f>SUM(EPC68:EPG68)</f>
        <v>8675</v>
      </c>
      <c r="EPI68" s="152">
        <v>200</v>
      </c>
      <c r="EPJ68" s="154">
        <f>SUM(EPH68:EPI68)</f>
        <v>8875</v>
      </c>
      <c r="EPK68" s="147" t="s">
        <v>99</v>
      </c>
      <c r="EPL68" s="148">
        <v>45845</v>
      </c>
      <c r="EPM68" s="143" t="s">
        <v>46</v>
      </c>
      <c r="EPN68" s="199"/>
      <c r="EPO68" s="149" t="s">
        <v>125</v>
      </c>
      <c r="EPP68" s="197"/>
      <c r="EPQ68" s="198"/>
      <c r="EPR68" s="143" t="s">
        <v>22</v>
      </c>
      <c r="EPS68" s="144">
        <v>8150</v>
      </c>
      <c r="EPT68" s="152">
        <v>85</v>
      </c>
      <c r="EPU68" s="153">
        <v>215</v>
      </c>
      <c r="EPV68" s="153">
        <v>75</v>
      </c>
      <c r="EPW68" s="152">
        <v>150</v>
      </c>
      <c r="EPX68" s="154">
        <f>SUM(EPS68:EPW68)</f>
        <v>8675</v>
      </c>
      <c r="EPY68" s="152">
        <v>200</v>
      </c>
      <c r="EPZ68" s="154">
        <f>SUM(EPX68:EPY68)</f>
        <v>8875</v>
      </c>
      <c r="EQA68" s="147" t="s">
        <v>99</v>
      </c>
      <c r="EQB68" s="148">
        <v>45845</v>
      </c>
      <c r="EQC68" s="143" t="s">
        <v>46</v>
      </c>
      <c r="EQD68" s="199"/>
      <c r="EQE68" s="149" t="s">
        <v>125</v>
      </c>
      <c r="EQF68" s="197"/>
      <c r="EQG68" s="198"/>
      <c r="EQH68" s="143" t="s">
        <v>22</v>
      </c>
      <c r="EQI68" s="144">
        <v>8150</v>
      </c>
      <c r="EQJ68" s="152">
        <v>85</v>
      </c>
      <c r="EQK68" s="153">
        <v>215</v>
      </c>
      <c r="EQL68" s="153">
        <v>75</v>
      </c>
      <c r="EQM68" s="152">
        <v>150</v>
      </c>
      <c r="EQN68" s="154">
        <f>SUM(EQI68:EQM68)</f>
        <v>8675</v>
      </c>
      <c r="EQO68" s="152">
        <v>200</v>
      </c>
      <c r="EQP68" s="154">
        <f>SUM(EQN68:EQO68)</f>
        <v>8875</v>
      </c>
      <c r="EQQ68" s="147" t="s">
        <v>99</v>
      </c>
      <c r="EQR68" s="148">
        <v>45845</v>
      </c>
      <c r="EQS68" s="143" t="s">
        <v>46</v>
      </c>
      <c r="EQT68" s="199"/>
      <c r="EQU68" s="149" t="s">
        <v>125</v>
      </c>
      <c r="EQV68" s="197"/>
      <c r="EQW68" s="198"/>
      <c r="EQX68" s="143" t="s">
        <v>22</v>
      </c>
      <c r="EQY68" s="144">
        <v>8150</v>
      </c>
      <c r="EQZ68" s="152">
        <v>85</v>
      </c>
      <c r="ERA68" s="153">
        <v>215</v>
      </c>
      <c r="ERB68" s="153">
        <v>75</v>
      </c>
      <c r="ERC68" s="152">
        <v>150</v>
      </c>
      <c r="ERD68" s="154">
        <f>SUM(EQY68:ERC68)</f>
        <v>8675</v>
      </c>
      <c r="ERE68" s="152">
        <v>200</v>
      </c>
      <c r="ERF68" s="154">
        <f>SUM(ERD68:ERE68)</f>
        <v>8875</v>
      </c>
      <c r="ERG68" s="147" t="s">
        <v>99</v>
      </c>
      <c r="ERH68" s="148">
        <v>45845</v>
      </c>
      <c r="ERI68" s="143" t="s">
        <v>46</v>
      </c>
      <c r="ERJ68" s="199"/>
      <c r="ERK68" s="149" t="s">
        <v>125</v>
      </c>
      <c r="ERL68" s="197"/>
      <c r="ERM68" s="198"/>
      <c r="ERN68" s="143" t="s">
        <v>22</v>
      </c>
      <c r="ERO68" s="144">
        <v>8150</v>
      </c>
      <c r="ERP68" s="152">
        <v>85</v>
      </c>
      <c r="ERQ68" s="153">
        <v>215</v>
      </c>
      <c r="ERR68" s="153">
        <v>75</v>
      </c>
      <c r="ERS68" s="152">
        <v>150</v>
      </c>
      <c r="ERT68" s="154">
        <f>SUM(ERO68:ERS68)</f>
        <v>8675</v>
      </c>
      <c r="ERU68" s="152">
        <v>200</v>
      </c>
      <c r="ERV68" s="154">
        <f>SUM(ERT68:ERU68)</f>
        <v>8875</v>
      </c>
      <c r="ERW68" s="147" t="s">
        <v>99</v>
      </c>
      <c r="ERX68" s="148">
        <v>45845</v>
      </c>
      <c r="ERY68" s="143" t="s">
        <v>46</v>
      </c>
      <c r="ERZ68" s="199"/>
      <c r="ESA68" s="149" t="s">
        <v>125</v>
      </c>
      <c r="ESB68" s="197"/>
      <c r="ESC68" s="198"/>
      <c r="ESD68" s="143" t="s">
        <v>22</v>
      </c>
      <c r="ESE68" s="144">
        <v>8150</v>
      </c>
      <c r="ESF68" s="152">
        <v>85</v>
      </c>
      <c r="ESG68" s="153">
        <v>215</v>
      </c>
      <c r="ESH68" s="153">
        <v>75</v>
      </c>
      <c r="ESI68" s="152">
        <v>150</v>
      </c>
      <c r="ESJ68" s="154">
        <f>SUM(ESE68:ESI68)</f>
        <v>8675</v>
      </c>
      <c r="ESK68" s="152">
        <v>200</v>
      </c>
      <c r="ESL68" s="154">
        <f>SUM(ESJ68:ESK68)</f>
        <v>8875</v>
      </c>
      <c r="ESM68" s="147" t="s">
        <v>99</v>
      </c>
      <c r="ESN68" s="148">
        <v>45845</v>
      </c>
      <c r="ESO68" s="143" t="s">
        <v>46</v>
      </c>
      <c r="ESP68" s="199"/>
      <c r="ESQ68" s="149" t="s">
        <v>125</v>
      </c>
      <c r="ESR68" s="197"/>
      <c r="ESS68" s="198"/>
      <c r="EST68" s="143" t="s">
        <v>22</v>
      </c>
      <c r="ESU68" s="144">
        <v>8150</v>
      </c>
      <c r="ESV68" s="152">
        <v>85</v>
      </c>
      <c r="ESW68" s="153">
        <v>215</v>
      </c>
      <c r="ESX68" s="153">
        <v>75</v>
      </c>
      <c r="ESY68" s="152">
        <v>150</v>
      </c>
      <c r="ESZ68" s="154">
        <f>SUM(ESU68:ESY68)</f>
        <v>8675</v>
      </c>
      <c r="ETA68" s="152">
        <v>200</v>
      </c>
      <c r="ETB68" s="154">
        <f>SUM(ESZ68:ETA68)</f>
        <v>8875</v>
      </c>
      <c r="ETC68" s="147" t="s">
        <v>99</v>
      </c>
      <c r="ETD68" s="148">
        <v>45845</v>
      </c>
      <c r="ETE68" s="143" t="s">
        <v>46</v>
      </c>
      <c r="ETF68" s="199"/>
      <c r="ETG68" s="149" t="s">
        <v>125</v>
      </c>
      <c r="ETH68" s="197"/>
      <c r="ETI68" s="198"/>
      <c r="ETJ68" s="143" t="s">
        <v>22</v>
      </c>
      <c r="ETK68" s="144">
        <v>8150</v>
      </c>
      <c r="ETL68" s="152">
        <v>85</v>
      </c>
      <c r="ETM68" s="153">
        <v>215</v>
      </c>
      <c r="ETN68" s="153">
        <v>75</v>
      </c>
      <c r="ETO68" s="152">
        <v>150</v>
      </c>
      <c r="ETP68" s="154">
        <f>SUM(ETK68:ETO68)</f>
        <v>8675</v>
      </c>
      <c r="ETQ68" s="152">
        <v>200</v>
      </c>
      <c r="ETR68" s="154">
        <f>SUM(ETP68:ETQ68)</f>
        <v>8875</v>
      </c>
      <c r="ETS68" s="147" t="s">
        <v>99</v>
      </c>
      <c r="ETT68" s="148">
        <v>45845</v>
      </c>
      <c r="ETU68" s="143" t="s">
        <v>46</v>
      </c>
      <c r="ETV68" s="199"/>
      <c r="ETW68" s="149" t="s">
        <v>125</v>
      </c>
      <c r="ETX68" s="197"/>
      <c r="ETY68" s="198"/>
      <c r="ETZ68" s="143" t="s">
        <v>22</v>
      </c>
      <c r="EUA68" s="144">
        <v>8150</v>
      </c>
      <c r="EUB68" s="152">
        <v>85</v>
      </c>
      <c r="EUC68" s="153">
        <v>215</v>
      </c>
      <c r="EUD68" s="153">
        <v>75</v>
      </c>
      <c r="EUE68" s="152">
        <v>150</v>
      </c>
      <c r="EUF68" s="154">
        <f>SUM(EUA68:EUE68)</f>
        <v>8675</v>
      </c>
      <c r="EUG68" s="152">
        <v>200</v>
      </c>
      <c r="EUH68" s="154">
        <f>SUM(EUF68:EUG68)</f>
        <v>8875</v>
      </c>
      <c r="EUI68" s="147" t="s">
        <v>99</v>
      </c>
      <c r="EUJ68" s="148">
        <v>45845</v>
      </c>
      <c r="EUK68" s="143" t="s">
        <v>46</v>
      </c>
      <c r="EUL68" s="199"/>
      <c r="EUM68" s="149" t="s">
        <v>125</v>
      </c>
      <c r="EUN68" s="197"/>
      <c r="EUO68" s="198"/>
      <c r="EUP68" s="143" t="s">
        <v>22</v>
      </c>
      <c r="EUQ68" s="144">
        <v>8150</v>
      </c>
      <c r="EUR68" s="152">
        <v>85</v>
      </c>
      <c r="EUS68" s="153">
        <v>215</v>
      </c>
      <c r="EUT68" s="153">
        <v>75</v>
      </c>
      <c r="EUU68" s="152">
        <v>150</v>
      </c>
      <c r="EUV68" s="154">
        <f>SUM(EUQ68:EUU68)</f>
        <v>8675</v>
      </c>
      <c r="EUW68" s="152">
        <v>200</v>
      </c>
      <c r="EUX68" s="154">
        <f>SUM(EUV68:EUW68)</f>
        <v>8875</v>
      </c>
      <c r="EUY68" s="147" t="s">
        <v>99</v>
      </c>
      <c r="EUZ68" s="148">
        <v>45845</v>
      </c>
      <c r="EVA68" s="143" t="s">
        <v>46</v>
      </c>
      <c r="EVB68" s="199"/>
      <c r="EVC68" s="149" t="s">
        <v>125</v>
      </c>
      <c r="EVD68" s="197"/>
      <c r="EVE68" s="198"/>
      <c r="EVF68" s="143" t="s">
        <v>22</v>
      </c>
      <c r="EVG68" s="144">
        <v>8150</v>
      </c>
      <c r="EVH68" s="152">
        <v>85</v>
      </c>
      <c r="EVI68" s="153">
        <v>215</v>
      </c>
      <c r="EVJ68" s="153">
        <v>75</v>
      </c>
      <c r="EVK68" s="152">
        <v>150</v>
      </c>
      <c r="EVL68" s="154">
        <f>SUM(EVG68:EVK68)</f>
        <v>8675</v>
      </c>
      <c r="EVM68" s="152">
        <v>200</v>
      </c>
      <c r="EVN68" s="154">
        <f>SUM(EVL68:EVM68)</f>
        <v>8875</v>
      </c>
      <c r="EVO68" s="147" t="s">
        <v>99</v>
      </c>
      <c r="EVP68" s="148">
        <v>45845</v>
      </c>
      <c r="EVQ68" s="143" t="s">
        <v>46</v>
      </c>
      <c r="EVR68" s="199"/>
      <c r="EVS68" s="149" t="s">
        <v>125</v>
      </c>
      <c r="EVT68" s="197"/>
      <c r="EVU68" s="198"/>
      <c r="EVV68" s="143" t="s">
        <v>22</v>
      </c>
      <c r="EVW68" s="144">
        <v>8150</v>
      </c>
      <c r="EVX68" s="152">
        <v>85</v>
      </c>
      <c r="EVY68" s="153">
        <v>215</v>
      </c>
      <c r="EVZ68" s="153">
        <v>75</v>
      </c>
      <c r="EWA68" s="152">
        <v>150</v>
      </c>
      <c r="EWB68" s="154">
        <f>SUM(EVW68:EWA68)</f>
        <v>8675</v>
      </c>
      <c r="EWC68" s="152">
        <v>200</v>
      </c>
      <c r="EWD68" s="154">
        <f>SUM(EWB68:EWC68)</f>
        <v>8875</v>
      </c>
      <c r="EWE68" s="147" t="s">
        <v>99</v>
      </c>
      <c r="EWF68" s="148">
        <v>45845</v>
      </c>
      <c r="EWG68" s="143" t="s">
        <v>46</v>
      </c>
      <c r="EWH68" s="199"/>
      <c r="EWI68" s="149" t="s">
        <v>125</v>
      </c>
      <c r="EWJ68" s="197"/>
      <c r="EWK68" s="198"/>
      <c r="EWL68" s="143" t="s">
        <v>22</v>
      </c>
      <c r="EWM68" s="144">
        <v>8150</v>
      </c>
      <c r="EWN68" s="152">
        <v>85</v>
      </c>
      <c r="EWO68" s="153">
        <v>215</v>
      </c>
      <c r="EWP68" s="153">
        <v>75</v>
      </c>
      <c r="EWQ68" s="152">
        <v>150</v>
      </c>
      <c r="EWR68" s="154">
        <f>SUM(EWM68:EWQ68)</f>
        <v>8675</v>
      </c>
      <c r="EWS68" s="152">
        <v>200</v>
      </c>
      <c r="EWT68" s="154">
        <f>SUM(EWR68:EWS68)</f>
        <v>8875</v>
      </c>
      <c r="EWU68" s="147" t="s">
        <v>99</v>
      </c>
      <c r="EWV68" s="148">
        <v>45845</v>
      </c>
      <c r="EWW68" s="143" t="s">
        <v>46</v>
      </c>
      <c r="EWX68" s="199"/>
      <c r="EWY68" s="149" t="s">
        <v>125</v>
      </c>
      <c r="EWZ68" s="197"/>
      <c r="EXA68" s="198"/>
      <c r="EXB68" s="143" t="s">
        <v>22</v>
      </c>
      <c r="EXC68" s="144">
        <v>8150</v>
      </c>
      <c r="EXD68" s="152">
        <v>85</v>
      </c>
      <c r="EXE68" s="153">
        <v>215</v>
      </c>
      <c r="EXF68" s="153">
        <v>75</v>
      </c>
      <c r="EXG68" s="152">
        <v>150</v>
      </c>
      <c r="EXH68" s="154">
        <f>SUM(EXC68:EXG68)</f>
        <v>8675</v>
      </c>
      <c r="EXI68" s="152">
        <v>200</v>
      </c>
      <c r="EXJ68" s="154">
        <f>SUM(EXH68:EXI68)</f>
        <v>8875</v>
      </c>
      <c r="EXK68" s="147" t="s">
        <v>99</v>
      </c>
      <c r="EXL68" s="148">
        <v>45845</v>
      </c>
      <c r="EXM68" s="143" t="s">
        <v>46</v>
      </c>
      <c r="EXN68" s="199"/>
      <c r="EXO68" s="149" t="s">
        <v>125</v>
      </c>
      <c r="EXP68" s="197"/>
      <c r="EXQ68" s="198"/>
      <c r="EXR68" s="143" t="s">
        <v>22</v>
      </c>
      <c r="EXS68" s="144">
        <v>8150</v>
      </c>
      <c r="EXT68" s="152">
        <v>85</v>
      </c>
      <c r="EXU68" s="153">
        <v>215</v>
      </c>
      <c r="EXV68" s="153">
        <v>75</v>
      </c>
      <c r="EXW68" s="152">
        <v>150</v>
      </c>
      <c r="EXX68" s="154">
        <f>SUM(EXS68:EXW68)</f>
        <v>8675</v>
      </c>
      <c r="EXY68" s="152">
        <v>200</v>
      </c>
      <c r="EXZ68" s="154">
        <f>SUM(EXX68:EXY68)</f>
        <v>8875</v>
      </c>
      <c r="EYA68" s="147" t="s">
        <v>99</v>
      </c>
      <c r="EYB68" s="148">
        <v>45845</v>
      </c>
      <c r="EYC68" s="143" t="s">
        <v>46</v>
      </c>
      <c r="EYD68" s="199"/>
      <c r="EYE68" s="149" t="s">
        <v>125</v>
      </c>
      <c r="EYF68" s="197"/>
      <c r="EYG68" s="198"/>
      <c r="EYH68" s="143" t="s">
        <v>22</v>
      </c>
      <c r="EYI68" s="144">
        <v>8150</v>
      </c>
      <c r="EYJ68" s="152">
        <v>85</v>
      </c>
      <c r="EYK68" s="153">
        <v>215</v>
      </c>
      <c r="EYL68" s="153">
        <v>75</v>
      </c>
      <c r="EYM68" s="152">
        <v>150</v>
      </c>
      <c r="EYN68" s="154">
        <f>SUM(EYI68:EYM68)</f>
        <v>8675</v>
      </c>
      <c r="EYO68" s="152">
        <v>200</v>
      </c>
      <c r="EYP68" s="154">
        <f>SUM(EYN68:EYO68)</f>
        <v>8875</v>
      </c>
      <c r="EYQ68" s="147" t="s">
        <v>99</v>
      </c>
      <c r="EYR68" s="148">
        <v>45845</v>
      </c>
      <c r="EYS68" s="143" t="s">
        <v>46</v>
      </c>
      <c r="EYT68" s="199"/>
      <c r="EYU68" s="149" t="s">
        <v>125</v>
      </c>
      <c r="EYV68" s="197"/>
      <c r="EYW68" s="198"/>
      <c r="EYX68" s="143" t="s">
        <v>22</v>
      </c>
      <c r="EYY68" s="144">
        <v>8150</v>
      </c>
      <c r="EYZ68" s="152">
        <v>85</v>
      </c>
      <c r="EZA68" s="153">
        <v>215</v>
      </c>
      <c r="EZB68" s="153">
        <v>75</v>
      </c>
      <c r="EZC68" s="152">
        <v>150</v>
      </c>
      <c r="EZD68" s="154">
        <f>SUM(EYY68:EZC68)</f>
        <v>8675</v>
      </c>
      <c r="EZE68" s="152">
        <v>200</v>
      </c>
      <c r="EZF68" s="154">
        <f>SUM(EZD68:EZE68)</f>
        <v>8875</v>
      </c>
      <c r="EZG68" s="147" t="s">
        <v>99</v>
      </c>
      <c r="EZH68" s="148">
        <v>45845</v>
      </c>
      <c r="EZI68" s="143" t="s">
        <v>46</v>
      </c>
      <c r="EZJ68" s="199"/>
      <c r="EZK68" s="149" t="s">
        <v>125</v>
      </c>
      <c r="EZL68" s="197"/>
      <c r="EZM68" s="198"/>
      <c r="EZN68" s="143" t="s">
        <v>22</v>
      </c>
      <c r="EZO68" s="144">
        <v>8150</v>
      </c>
      <c r="EZP68" s="152">
        <v>85</v>
      </c>
      <c r="EZQ68" s="153">
        <v>215</v>
      </c>
      <c r="EZR68" s="153">
        <v>75</v>
      </c>
      <c r="EZS68" s="152">
        <v>150</v>
      </c>
      <c r="EZT68" s="154">
        <f>SUM(EZO68:EZS68)</f>
        <v>8675</v>
      </c>
      <c r="EZU68" s="152">
        <v>200</v>
      </c>
      <c r="EZV68" s="154">
        <f>SUM(EZT68:EZU68)</f>
        <v>8875</v>
      </c>
      <c r="EZW68" s="147" t="s">
        <v>99</v>
      </c>
      <c r="EZX68" s="148">
        <v>45845</v>
      </c>
      <c r="EZY68" s="143" t="s">
        <v>46</v>
      </c>
      <c r="EZZ68" s="199"/>
      <c r="FAA68" s="149" t="s">
        <v>125</v>
      </c>
      <c r="FAB68" s="197"/>
      <c r="FAC68" s="198"/>
      <c r="FAD68" s="143" t="s">
        <v>22</v>
      </c>
      <c r="FAE68" s="144">
        <v>8150</v>
      </c>
      <c r="FAF68" s="152">
        <v>85</v>
      </c>
      <c r="FAG68" s="153">
        <v>215</v>
      </c>
      <c r="FAH68" s="153">
        <v>75</v>
      </c>
      <c r="FAI68" s="152">
        <v>150</v>
      </c>
      <c r="FAJ68" s="154">
        <f>SUM(FAE68:FAI68)</f>
        <v>8675</v>
      </c>
      <c r="FAK68" s="152">
        <v>200</v>
      </c>
      <c r="FAL68" s="154">
        <f>SUM(FAJ68:FAK68)</f>
        <v>8875</v>
      </c>
      <c r="FAM68" s="147" t="s">
        <v>99</v>
      </c>
      <c r="FAN68" s="148">
        <v>45845</v>
      </c>
      <c r="FAO68" s="143" t="s">
        <v>46</v>
      </c>
      <c r="FAP68" s="199"/>
      <c r="FAQ68" s="149" t="s">
        <v>125</v>
      </c>
      <c r="FAR68" s="197"/>
      <c r="FAS68" s="198"/>
      <c r="FAT68" s="143" t="s">
        <v>22</v>
      </c>
      <c r="FAU68" s="144">
        <v>8150</v>
      </c>
      <c r="FAV68" s="152">
        <v>85</v>
      </c>
      <c r="FAW68" s="153">
        <v>215</v>
      </c>
      <c r="FAX68" s="153">
        <v>75</v>
      </c>
      <c r="FAY68" s="152">
        <v>150</v>
      </c>
      <c r="FAZ68" s="154">
        <f>SUM(FAU68:FAY68)</f>
        <v>8675</v>
      </c>
      <c r="FBA68" s="152">
        <v>200</v>
      </c>
      <c r="FBB68" s="154">
        <f>SUM(FAZ68:FBA68)</f>
        <v>8875</v>
      </c>
      <c r="FBC68" s="147" t="s">
        <v>99</v>
      </c>
      <c r="FBD68" s="148">
        <v>45845</v>
      </c>
      <c r="FBE68" s="143" t="s">
        <v>46</v>
      </c>
      <c r="FBF68" s="199"/>
      <c r="FBG68" s="149" t="s">
        <v>125</v>
      </c>
      <c r="FBH68" s="197"/>
      <c r="FBI68" s="198"/>
      <c r="FBJ68" s="143" t="s">
        <v>22</v>
      </c>
      <c r="FBK68" s="144">
        <v>8150</v>
      </c>
      <c r="FBL68" s="152">
        <v>85</v>
      </c>
      <c r="FBM68" s="153">
        <v>215</v>
      </c>
      <c r="FBN68" s="153">
        <v>75</v>
      </c>
      <c r="FBO68" s="152">
        <v>150</v>
      </c>
      <c r="FBP68" s="154">
        <f>SUM(FBK68:FBO68)</f>
        <v>8675</v>
      </c>
      <c r="FBQ68" s="152">
        <v>200</v>
      </c>
      <c r="FBR68" s="154">
        <f>SUM(FBP68:FBQ68)</f>
        <v>8875</v>
      </c>
      <c r="FBS68" s="147" t="s">
        <v>99</v>
      </c>
      <c r="FBT68" s="148">
        <v>45845</v>
      </c>
      <c r="FBU68" s="143" t="s">
        <v>46</v>
      </c>
      <c r="FBV68" s="199"/>
      <c r="FBW68" s="149" t="s">
        <v>125</v>
      </c>
      <c r="FBX68" s="197"/>
      <c r="FBY68" s="198"/>
      <c r="FBZ68" s="143" t="s">
        <v>22</v>
      </c>
      <c r="FCA68" s="144">
        <v>8150</v>
      </c>
      <c r="FCB68" s="152">
        <v>85</v>
      </c>
      <c r="FCC68" s="153">
        <v>215</v>
      </c>
      <c r="FCD68" s="153">
        <v>75</v>
      </c>
      <c r="FCE68" s="152">
        <v>150</v>
      </c>
      <c r="FCF68" s="154">
        <f>SUM(FCA68:FCE68)</f>
        <v>8675</v>
      </c>
      <c r="FCG68" s="152">
        <v>200</v>
      </c>
      <c r="FCH68" s="154">
        <f>SUM(FCF68:FCG68)</f>
        <v>8875</v>
      </c>
      <c r="FCI68" s="147" t="s">
        <v>99</v>
      </c>
      <c r="FCJ68" s="148">
        <v>45845</v>
      </c>
      <c r="FCK68" s="143" t="s">
        <v>46</v>
      </c>
      <c r="FCL68" s="199"/>
      <c r="FCM68" s="149" t="s">
        <v>125</v>
      </c>
      <c r="FCN68" s="197"/>
      <c r="FCO68" s="198"/>
      <c r="FCP68" s="143" t="s">
        <v>22</v>
      </c>
      <c r="FCQ68" s="144">
        <v>8150</v>
      </c>
      <c r="FCR68" s="152">
        <v>85</v>
      </c>
      <c r="FCS68" s="153">
        <v>215</v>
      </c>
      <c r="FCT68" s="153">
        <v>75</v>
      </c>
      <c r="FCU68" s="152">
        <v>150</v>
      </c>
      <c r="FCV68" s="154">
        <f>SUM(FCQ68:FCU68)</f>
        <v>8675</v>
      </c>
      <c r="FCW68" s="152">
        <v>200</v>
      </c>
      <c r="FCX68" s="154">
        <f>SUM(FCV68:FCW68)</f>
        <v>8875</v>
      </c>
      <c r="FCY68" s="147" t="s">
        <v>99</v>
      </c>
      <c r="FCZ68" s="148">
        <v>45845</v>
      </c>
      <c r="FDA68" s="143" t="s">
        <v>46</v>
      </c>
      <c r="FDB68" s="199"/>
      <c r="FDC68" s="149" t="s">
        <v>125</v>
      </c>
      <c r="FDD68" s="197"/>
      <c r="FDE68" s="198"/>
      <c r="FDF68" s="143" t="s">
        <v>22</v>
      </c>
      <c r="FDG68" s="144">
        <v>8150</v>
      </c>
      <c r="FDH68" s="152">
        <v>85</v>
      </c>
      <c r="FDI68" s="153">
        <v>215</v>
      </c>
      <c r="FDJ68" s="153">
        <v>75</v>
      </c>
      <c r="FDK68" s="152">
        <v>150</v>
      </c>
      <c r="FDL68" s="154">
        <f>SUM(FDG68:FDK68)</f>
        <v>8675</v>
      </c>
      <c r="FDM68" s="152">
        <v>200</v>
      </c>
      <c r="FDN68" s="154">
        <f>SUM(FDL68:FDM68)</f>
        <v>8875</v>
      </c>
      <c r="FDO68" s="147" t="s">
        <v>99</v>
      </c>
      <c r="FDP68" s="148">
        <v>45845</v>
      </c>
      <c r="FDQ68" s="143" t="s">
        <v>46</v>
      </c>
      <c r="FDR68" s="199"/>
      <c r="FDS68" s="149" t="s">
        <v>125</v>
      </c>
      <c r="FDT68" s="197"/>
      <c r="FDU68" s="198"/>
      <c r="FDV68" s="143" t="s">
        <v>22</v>
      </c>
      <c r="FDW68" s="144">
        <v>8150</v>
      </c>
      <c r="FDX68" s="152">
        <v>85</v>
      </c>
      <c r="FDY68" s="153">
        <v>215</v>
      </c>
      <c r="FDZ68" s="153">
        <v>75</v>
      </c>
      <c r="FEA68" s="152">
        <v>150</v>
      </c>
      <c r="FEB68" s="154">
        <f>SUM(FDW68:FEA68)</f>
        <v>8675</v>
      </c>
      <c r="FEC68" s="152">
        <v>200</v>
      </c>
      <c r="FED68" s="154">
        <f>SUM(FEB68:FEC68)</f>
        <v>8875</v>
      </c>
      <c r="FEE68" s="147" t="s">
        <v>99</v>
      </c>
      <c r="FEF68" s="148">
        <v>45845</v>
      </c>
      <c r="FEG68" s="143" t="s">
        <v>46</v>
      </c>
      <c r="FEH68" s="199"/>
      <c r="FEI68" s="149" t="s">
        <v>125</v>
      </c>
      <c r="FEJ68" s="197"/>
      <c r="FEK68" s="198"/>
      <c r="FEL68" s="143" t="s">
        <v>22</v>
      </c>
      <c r="FEM68" s="144">
        <v>8150</v>
      </c>
      <c r="FEN68" s="152">
        <v>85</v>
      </c>
      <c r="FEO68" s="153">
        <v>215</v>
      </c>
      <c r="FEP68" s="153">
        <v>75</v>
      </c>
      <c r="FEQ68" s="152">
        <v>150</v>
      </c>
      <c r="FER68" s="154">
        <f>SUM(FEM68:FEQ68)</f>
        <v>8675</v>
      </c>
      <c r="FES68" s="152">
        <v>200</v>
      </c>
      <c r="FET68" s="154">
        <f>SUM(FER68:FES68)</f>
        <v>8875</v>
      </c>
      <c r="FEU68" s="147" t="s">
        <v>99</v>
      </c>
      <c r="FEV68" s="148">
        <v>45845</v>
      </c>
      <c r="FEW68" s="143" t="s">
        <v>46</v>
      </c>
      <c r="FEX68" s="199"/>
      <c r="FEY68" s="149" t="s">
        <v>125</v>
      </c>
      <c r="FEZ68" s="197"/>
      <c r="FFA68" s="198"/>
      <c r="FFB68" s="143" t="s">
        <v>22</v>
      </c>
      <c r="FFC68" s="144">
        <v>8150</v>
      </c>
      <c r="FFD68" s="152">
        <v>85</v>
      </c>
      <c r="FFE68" s="153">
        <v>215</v>
      </c>
      <c r="FFF68" s="153">
        <v>75</v>
      </c>
      <c r="FFG68" s="152">
        <v>150</v>
      </c>
      <c r="FFH68" s="154">
        <f>SUM(FFC68:FFG68)</f>
        <v>8675</v>
      </c>
      <c r="FFI68" s="152">
        <v>200</v>
      </c>
      <c r="FFJ68" s="154">
        <f>SUM(FFH68:FFI68)</f>
        <v>8875</v>
      </c>
      <c r="FFK68" s="147" t="s">
        <v>99</v>
      </c>
      <c r="FFL68" s="148">
        <v>45845</v>
      </c>
      <c r="FFM68" s="143" t="s">
        <v>46</v>
      </c>
      <c r="FFN68" s="199"/>
      <c r="FFO68" s="149" t="s">
        <v>125</v>
      </c>
      <c r="FFP68" s="197"/>
      <c r="FFQ68" s="198"/>
      <c r="FFR68" s="143" t="s">
        <v>22</v>
      </c>
      <c r="FFS68" s="144">
        <v>8150</v>
      </c>
      <c r="FFT68" s="152">
        <v>85</v>
      </c>
      <c r="FFU68" s="153">
        <v>215</v>
      </c>
      <c r="FFV68" s="153">
        <v>75</v>
      </c>
      <c r="FFW68" s="152">
        <v>150</v>
      </c>
      <c r="FFX68" s="154">
        <f>SUM(FFS68:FFW68)</f>
        <v>8675</v>
      </c>
      <c r="FFY68" s="152">
        <v>200</v>
      </c>
      <c r="FFZ68" s="154">
        <f>SUM(FFX68:FFY68)</f>
        <v>8875</v>
      </c>
      <c r="FGA68" s="147" t="s">
        <v>99</v>
      </c>
      <c r="FGB68" s="148">
        <v>45845</v>
      </c>
      <c r="FGC68" s="143" t="s">
        <v>46</v>
      </c>
      <c r="FGD68" s="199"/>
      <c r="FGE68" s="149" t="s">
        <v>125</v>
      </c>
      <c r="FGF68" s="197"/>
      <c r="FGG68" s="198"/>
      <c r="FGH68" s="143" t="s">
        <v>22</v>
      </c>
      <c r="FGI68" s="144">
        <v>8150</v>
      </c>
      <c r="FGJ68" s="152">
        <v>85</v>
      </c>
      <c r="FGK68" s="153">
        <v>215</v>
      </c>
      <c r="FGL68" s="153">
        <v>75</v>
      </c>
      <c r="FGM68" s="152">
        <v>150</v>
      </c>
      <c r="FGN68" s="154">
        <f>SUM(FGI68:FGM68)</f>
        <v>8675</v>
      </c>
      <c r="FGO68" s="152">
        <v>200</v>
      </c>
      <c r="FGP68" s="154">
        <f>SUM(FGN68:FGO68)</f>
        <v>8875</v>
      </c>
      <c r="FGQ68" s="147" t="s">
        <v>99</v>
      </c>
      <c r="FGR68" s="148">
        <v>45845</v>
      </c>
      <c r="FGS68" s="143" t="s">
        <v>46</v>
      </c>
      <c r="FGT68" s="199"/>
      <c r="FGU68" s="149" t="s">
        <v>125</v>
      </c>
      <c r="FGV68" s="197"/>
      <c r="FGW68" s="198"/>
      <c r="FGX68" s="143" t="s">
        <v>22</v>
      </c>
      <c r="FGY68" s="144">
        <v>8150</v>
      </c>
      <c r="FGZ68" s="152">
        <v>85</v>
      </c>
      <c r="FHA68" s="153">
        <v>215</v>
      </c>
      <c r="FHB68" s="153">
        <v>75</v>
      </c>
      <c r="FHC68" s="152">
        <v>150</v>
      </c>
      <c r="FHD68" s="154">
        <f>SUM(FGY68:FHC68)</f>
        <v>8675</v>
      </c>
      <c r="FHE68" s="152">
        <v>200</v>
      </c>
      <c r="FHF68" s="154">
        <f>SUM(FHD68:FHE68)</f>
        <v>8875</v>
      </c>
      <c r="FHG68" s="147" t="s">
        <v>99</v>
      </c>
      <c r="FHH68" s="148">
        <v>45845</v>
      </c>
      <c r="FHI68" s="143" t="s">
        <v>46</v>
      </c>
      <c r="FHJ68" s="199"/>
      <c r="FHK68" s="149" t="s">
        <v>125</v>
      </c>
      <c r="FHL68" s="197"/>
      <c r="FHM68" s="198"/>
      <c r="FHN68" s="143" t="s">
        <v>22</v>
      </c>
      <c r="FHO68" s="144">
        <v>8150</v>
      </c>
      <c r="FHP68" s="152">
        <v>85</v>
      </c>
      <c r="FHQ68" s="153">
        <v>215</v>
      </c>
      <c r="FHR68" s="153">
        <v>75</v>
      </c>
      <c r="FHS68" s="152">
        <v>150</v>
      </c>
      <c r="FHT68" s="154">
        <f>SUM(FHO68:FHS68)</f>
        <v>8675</v>
      </c>
      <c r="FHU68" s="152">
        <v>200</v>
      </c>
      <c r="FHV68" s="154">
        <f>SUM(FHT68:FHU68)</f>
        <v>8875</v>
      </c>
      <c r="FHW68" s="147" t="s">
        <v>99</v>
      </c>
      <c r="FHX68" s="148">
        <v>45845</v>
      </c>
      <c r="FHY68" s="143" t="s">
        <v>46</v>
      </c>
      <c r="FHZ68" s="199"/>
      <c r="FIA68" s="149" t="s">
        <v>125</v>
      </c>
      <c r="FIB68" s="197"/>
      <c r="FIC68" s="198"/>
      <c r="FID68" s="143" t="s">
        <v>22</v>
      </c>
      <c r="FIE68" s="144">
        <v>8150</v>
      </c>
      <c r="FIF68" s="152">
        <v>85</v>
      </c>
      <c r="FIG68" s="153">
        <v>215</v>
      </c>
      <c r="FIH68" s="153">
        <v>75</v>
      </c>
      <c r="FII68" s="152">
        <v>150</v>
      </c>
      <c r="FIJ68" s="154">
        <f>SUM(FIE68:FII68)</f>
        <v>8675</v>
      </c>
      <c r="FIK68" s="152">
        <v>200</v>
      </c>
      <c r="FIL68" s="154">
        <f>SUM(FIJ68:FIK68)</f>
        <v>8875</v>
      </c>
      <c r="FIM68" s="147" t="s">
        <v>99</v>
      </c>
      <c r="FIN68" s="148">
        <v>45845</v>
      </c>
      <c r="FIO68" s="143" t="s">
        <v>46</v>
      </c>
      <c r="FIP68" s="199"/>
      <c r="FIQ68" s="149" t="s">
        <v>125</v>
      </c>
      <c r="FIR68" s="197"/>
      <c r="FIS68" s="198"/>
      <c r="FIT68" s="143" t="s">
        <v>22</v>
      </c>
      <c r="FIU68" s="144">
        <v>8150</v>
      </c>
      <c r="FIV68" s="152">
        <v>85</v>
      </c>
      <c r="FIW68" s="153">
        <v>215</v>
      </c>
      <c r="FIX68" s="153">
        <v>75</v>
      </c>
      <c r="FIY68" s="152">
        <v>150</v>
      </c>
      <c r="FIZ68" s="154">
        <f>SUM(FIU68:FIY68)</f>
        <v>8675</v>
      </c>
      <c r="FJA68" s="152">
        <v>200</v>
      </c>
      <c r="FJB68" s="154">
        <f>SUM(FIZ68:FJA68)</f>
        <v>8875</v>
      </c>
      <c r="FJC68" s="147" t="s">
        <v>99</v>
      </c>
      <c r="FJD68" s="148">
        <v>45845</v>
      </c>
      <c r="FJE68" s="143" t="s">
        <v>46</v>
      </c>
      <c r="FJF68" s="199"/>
      <c r="FJG68" s="149" t="s">
        <v>125</v>
      </c>
      <c r="FJH68" s="197"/>
      <c r="FJI68" s="198"/>
      <c r="FJJ68" s="143" t="s">
        <v>22</v>
      </c>
      <c r="FJK68" s="144">
        <v>8150</v>
      </c>
      <c r="FJL68" s="152">
        <v>85</v>
      </c>
      <c r="FJM68" s="153">
        <v>215</v>
      </c>
      <c r="FJN68" s="153">
        <v>75</v>
      </c>
      <c r="FJO68" s="152">
        <v>150</v>
      </c>
      <c r="FJP68" s="154">
        <f>SUM(FJK68:FJO68)</f>
        <v>8675</v>
      </c>
      <c r="FJQ68" s="152">
        <v>200</v>
      </c>
      <c r="FJR68" s="154">
        <f>SUM(FJP68:FJQ68)</f>
        <v>8875</v>
      </c>
      <c r="FJS68" s="147" t="s">
        <v>99</v>
      </c>
      <c r="FJT68" s="148">
        <v>45845</v>
      </c>
      <c r="FJU68" s="143" t="s">
        <v>46</v>
      </c>
      <c r="FJV68" s="199"/>
      <c r="FJW68" s="149" t="s">
        <v>125</v>
      </c>
      <c r="FJX68" s="197"/>
      <c r="FJY68" s="198"/>
      <c r="FJZ68" s="143" t="s">
        <v>22</v>
      </c>
      <c r="FKA68" s="144">
        <v>8150</v>
      </c>
      <c r="FKB68" s="152">
        <v>85</v>
      </c>
      <c r="FKC68" s="153">
        <v>215</v>
      </c>
      <c r="FKD68" s="153">
        <v>75</v>
      </c>
      <c r="FKE68" s="152">
        <v>150</v>
      </c>
      <c r="FKF68" s="154">
        <f>SUM(FKA68:FKE68)</f>
        <v>8675</v>
      </c>
      <c r="FKG68" s="152">
        <v>200</v>
      </c>
      <c r="FKH68" s="154">
        <f>SUM(FKF68:FKG68)</f>
        <v>8875</v>
      </c>
      <c r="FKI68" s="147" t="s">
        <v>99</v>
      </c>
      <c r="FKJ68" s="148">
        <v>45845</v>
      </c>
      <c r="FKK68" s="143" t="s">
        <v>46</v>
      </c>
      <c r="FKL68" s="199"/>
      <c r="FKM68" s="149" t="s">
        <v>125</v>
      </c>
      <c r="FKN68" s="197"/>
      <c r="FKO68" s="198"/>
      <c r="FKP68" s="143" t="s">
        <v>22</v>
      </c>
      <c r="FKQ68" s="144">
        <v>8150</v>
      </c>
      <c r="FKR68" s="152">
        <v>85</v>
      </c>
      <c r="FKS68" s="153">
        <v>215</v>
      </c>
      <c r="FKT68" s="153">
        <v>75</v>
      </c>
      <c r="FKU68" s="152">
        <v>150</v>
      </c>
      <c r="FKV68" s="154">
        <f>SUM(FKQ68:FKU68)</f>
        <v>8675</v>
      </c>
      <c r="FKW68" s="152">
        <v>200</v>
      </c>
      <c r="FKX68" s="154">
        <f>SUM(FKV68:FKW68)</f>
        <v>8875</v>
      </c>
      <c r="FKY68" s="147" t="s">
        <v>99</v>
      </c>
      <c r="FKZ68" s="148">
        <v>45845</v>
      </c>
      <c r="FLA68" s="143" t="s">
        <v>46</v>
      </c>
      <c r="FLB68" s="199"/>
      <c r="FLC68" s="149" t="s">
        <v>125</v>
      </c>
      <c r="FLD68" s="197"/>
      <c r="FLE68" s="198"/>
      <c r="FLF68" s="143" t="s">
        <v>22</v>
      </c>
      <c r="FLG68" s="144">
        <v>8150</v>
      </c>
      <c r="FLH68" s="152">
        <v>85</v>
      </c>
      <c r="FLI68" s="153">
        <v>215</v>
      </c>
      <c r="FLJ68" s="153">
        <v>75</v>
      </c>
      <c r="FLK68" s="152">
        <v>150</v>
      </c>
      <c r="FLL68" s="154">
        <f>SUM(FLG68:FLK68)</f>
        <v>8675</v>
      </c>
      <c r="FLM68" s="152">
        <v>200</v>
      </c>
      <c r="FLN68" s="154">
        <f>SUM(FLL68:FLM68)</f>
        <v>8875</v>
      </c>
      <c r="FLO68" s="147" t="s">
        <v>99</v>
      </c>
      <c r="FLP68" s="148">
        <v>45845</v>
      </c>
      <c r="FLQ68" s="143" t="s">
        <v>46</v>
      </c>
      <c r="FLR68" s="199"/>
      <c r="FLS68" s="149" t="s">
        <v>125</v>
      </c>
      <c r="FLT68" s="197"/>
      <c r="FLU68" s="198"/>
      <c r="FLV68" s="143" t="s">
        <v>22</v>
      </c>
      <c r="FLW68" s="144">
        <v>8150</v>
      </c>
      <c r="FLX68" s="152">
        <v>85</v>
      </c>
      <c r="FLY68" s="153">
        <v>215</v>
      </c>
      <c r="FLZ68" s="153">
        <v>75</v>
      </c>
      <c r="FMA68" s="152">
        <v>150</v>
      </c>
      <c r="FMB68" s="154">
        <f>SUM(FLW68:FMA68)</f>
        <v>8675</v>
      </c>
      <c r="FMC68" s="152">
        <v>200</v>
      </c>
      <c r="FMD68" s="154">
        <f>SUM(FMB68:FMC68)</f>
        <v>8875</v>
      </c>
      <c r="FME68" s="147" t="s">
        <v>99</v>
      </c>
      <c r="FMF68" s="148">
        <v>45845</v>
      </c>
      <c r="FMG68" s="143" t="s">
        <v>46</v>
      </c>
      <c r="FMH68" s="199"/>
      <c r="FMI68" s="149" t="s">
        <v>125</v>
      </c>
      <c r="FMJ68" s="197"/>
      <c r="FMK68" s="198"/>
      <c r="FML68" s="143" t="s">
        <v>22</v>
      </c>
      <c r="FMM68" s="144">
        <v>8150</v>
      </c>
      <c r="FMN68" s="152">
        <v>85</v>
      </c>
      <c r="FMO68" s="153">
        <v>215</v>
      </c>
      <c r="FMP68" s="153">
        <v>75</v>
      </c>
      <c r="FMQ68" s="152">
        <v>150</v>
      </c>
      <c r="FMR68" s="154">
        <f>SUM(FMM68:FMQ68)</f>
        <v>8675</v>
      </c>
      <c r="FMS68" s="152">
        <v>200</v>
      </c>
      <c r="FMT68" s="154">
        <f>SUM(FMR68:FMS68)</f>
        <v>8875</v>
      </c>
      <c r="FMU68" s="147" t="s">
        <v>99</v>
      </c>
      <c r="FMV68" s="148">
        <v>45845</v>
      </c>
      <c r="FMW68" s="143" t="s">
        <v>46</v>
      </c>
      <c r="FMX68" s="199"/>
      <c r="FMY68" s="149" t="s">
        <v>125</v>
      </c>
      <c r="FMZ68" s="197"/>
      <c r="FNA68" s="198"/>
      <c r="FNB68" s="143" t="s">
        <v>22</v>
      </c>
      <c r="FNC68" s="144">
        <v>8150</v>
      </c>
      <c r="FND68" s="152">
        <v>85</v>
      </c>
      <c r="FNE68" s="153">
        <v>215</v>
      </c>
      <c r="FNF68" s="153">
        <v>75</v>
      </c>
      <c r="FNG68" s="152">
        <v>150</v>
      </c>
      <c r="FNH68" s="154">
        <f>SUM(FNC68:FNG68)</f>
        <v>8675</v>
      </c>
      <c r="FNI68" s="152">
        <v>200</v>
      </c>
      <c r="FNJ68" s="154">
        <f>SUM(FNH68:FNI68)</f>
        <v>8875</v>
      </c>
      <c r="FNK68" s="147" t="s">
        <v>99</v>
      </c>
      <c r="FNL68" s="148">
        <v>45845</v>
      </c>
      <c r="FNM68" s="143" t="s">
        <v>46</v>
      </c>
      <c r="FNN68" s="199"/>
      <c r="FNO68" s="149" t="s">
        <v>125</v>
      </c>
      <c r="FNP68" s="197"/>
      <c r="FNQ68" s="198"/>
      <c r="FNR68" s="143" t="s">
        <v>22</v>
      </c>
      <c r="FNS68" s="144">
        <v>8150</v>
      </c>
      <c r="FNT68" s="152">
        <v>85</v>
      </c>
      <c r="FNU68" s="153">
        <v>215</v>
      </c>
      <c r="FNV68" s="153">
        <v>75</v>
      </c>
      <c r="FNW68" s="152">
        <v>150</v>
      </c>
      <c r="FNX68" s="154">
        <f>SUM(FNS68:FNW68)</f>
        <v>8675</v>
      </c>
      <c r="FNY68" s="152">
        <v>200</v>
      </c>
      <c r="FNZ68" s="154">
        <f>SUM(FNX68:FNY68)</f>
        <v>8875</v>
      </c>
      <c r="FOA68" s="147" t="s">
        <v>99</v>
      </c>
      <c r="FOB68" s="148">
        <v>45845</v>
      </c>
      <c r="FOC68" s="143" t="s">
        <v>46</v>
      </c>
      <c r="FOD68" s="199"/>
      <c r="FOE68" s="149" t="s">
        <v>125</v>
      </c>
      <c r="FOF68" s="197"/>
      <c r="FOG68" s="198"/>
      <c r="FOH68" s="143" t="s">
        <v>22</v>
      </c>
      <c r="FOI68" s="144">
        <v>8150</v>
      </c>
      <c r="FOJ68" s="152">
        <v>85</v>
      </c>
      <c r="FOK68" s="153">
        <v>215</v>
      </c>
      <c r="FOL68" s="153">
        <v>75</v>
      </c>
      <c r="FOM68" s="152">
        <v>150</v>
      </c>
      <c r="FON68" s="154">
        <f>SUM(FOI68:FOM68)</f>
        <v>8675</v>
      </c>
      <c r="FOO68" s="152">
        <v>200</v>
      </c>
      <c r="FOP68" s="154">
        <f>SUM(FON68:FOO68)</f>
        <v>8875</v>
      </c>
      <c r="FOQ68" s="147" t="s">
        <v>99</v>
      </c>
      <c r="FOR68" s="148">
        <v>45845</v>
      </c>
      <c r="FOS68" s="143" t="s">
        <v>46</v>
      </c>
      <c r="FOT68" s="199"/>
      <c r="FOU68" s="149" t="s">
        <v>125</v>
      </c>
      <c r="FOV68" s="197"/>
      <c r="FOW68" s="198"/>
      <c r="FOX68" s="143" t="s">
        <v>22</v>
      </c>
      <c r="FOY68" s="144">
        <v>8150</v>
      </c>
      <c r="FOZ68" s="152">
        <v>85</v>
      </c>
      <c r="FPA68" s="153">
        <v>215</v>
      </c>
      <c r="FPB68" s="153">
        <v>75</v>
      </c>
      <c r="FPC68" s="152">
        <v>150</v>
      </c>
      <c r="FPD68" s="154">
        <f>SUM(FOY68:FPC68)</f>
        <v>8675</v>
      </c>
      <c r="FPE68" s="152">
        <v>200</v>
      </c>
      <c r="FPF68" s="154">
        <f>SUM(FPD68:FPE68)</f>
        <v>8875</v>
      </c>
      <c r="FPG68" s="147" t="s">
        <v>99</v>
      </c>
      <c r="FPH68" s="148">
        <v>45845</v>
      </c>
      <c r="FPI68" s="143" t="s">
        <v>46</v>
      </c>
      <c r="FPJ68" s="199"/>
      <c r="FPK68" s="149" t="s">
        <v>125</v>
      </c>
      <c r="FPL68" s="197"/>
      <c r="FPM68" s="198"/>
      <c r="FPN68" s="143" t="s">
        <v>22</v>
      </c>
      <c r="FPO68" s="144">
        <v>8150</v>
      </c>
      <c r="FPP68" s="152">
        <v>85</v>
      </c>
      <c r="FPQ68" s="153">
        <v>215</v>
      </c>
      <c r="FPR68" s="153">
        <v>75</v>
      </c>
      <c r="FPS68" s="152">
        <v>150</v>
      </c>
      <c r="FPT68" s="154">
        <f>SUM(FPO68:FPS68)</f>
        <v>8675</v>
      </c>
      <c r="FPU68" s="152">
        <v>200</v>
      </c>
      <c r="FPV68" s="154">
        <f>SUM(FPT68:FPU68)</f>
        <v>8875</v>
      </c>
      <c r="FPW68" s="147" t="s">
        <v>99</v>
      </c>
      <c r="FPX68" s="148">
        <v>45845</v>
      </c>
      <c r="FPY68" s="143" t="s">
        <v>46</v>
      </c>
      <c r="FPZ68" s="199"/>
      <c r="FQA68" s="149" t="s">
        <v>125</v>
      </c>
      <c r="FQB68" s="197"/>
      <c r="FQC68" s="198"/>
      <c r="FQD68" s="143" t="s">
        <v>22</v>
      </c>
      <c r="FQE68" s="144">
        <v>8150</v>
      </c>
      <c r="FQF68" s="152">
        <v>85</v>
      </c>
      <c r="FQG68" s="153">
        <v>215</v>
      </c>
      <c r="FQH68" s="153">
        <v>75</v>
      </c>
      <c r="FQI68" s="152">
        <v>150</v>
      </c>
      <c r="FQJ68" s="154">
        <f>SUM(FQE68:FQI68)</f>
        <v>8675</v>
      </c>
      <c r="FQK68" s="152">
        <v>200</v>
      </c>
      <c r="FQL68" s="154">
        <f>SUM(FQJ68:FQK68)</f>
        <v>8875</v>
      </c>
      <c r="FQM68" s="147" t="s">
        <v>99</v>
      </c>
      <c r="FQN68" s="148">
        <v>45845</v>
      </c>
      <c r="FQO68" s="143" t="s">
        <v>46</v>
      </c>
      <c r="FQP68" s="199"/>
      <c r="FQQ68" s="149" t="s">
        <v>125</v>
      </c>
      <c r="FQR68" s="197"/>
      <c r="FQS68" s="198"/>
      <c r="FQT68" s="143" t="s">
        <v>22</v>
      </c>
      <c r="FQU68" s="144">
        <v>8150</v>
      </c>
      <c r="FQV68" s="152">
        <v>85</v>
      </c>
      <c r="FQW68" s="153">
        <v>215</v>
      </c>
      <c r="FQX68" s="153">
        <v>75</v>
      </c>
      <c r="FQY68" s="152">
        <v>150</v>
      </c>
      <c r="FQZ68" s="154">
        <f>SUM(FQU68:FQY68)</f>
        <v>8675</v>
      </c>
      <c r="FRA68" s="152">
        <v>200</v>
      </c>
      <c r="FRB68" s="154">
        <f>SUM(FQZ68:FRA68)</f>
        <v>8875</v>
      </c>
      <c r="FRC68" s="147" t="s">
        <v>99</v>
      </c>
      <c r="FRD68" s="148">
        <v>45845</v>
      </c>
      <c r="FRE68" s="143" t="s">
        <v>46</v>
      </c>
      <c r="FRF68" s="199"/>
      <c r="FRG68" s="149" t="s">
        <v>125</v>
      </c>
      <c r="FRH68" s="197"/>
      <c r="FRI68" s="198"/>
      <c r="FRJ68" s="143" t="s">
        <v>22</v>
      </c>
      <c r="FRK68" s="144">
        <v>8150</v>
      </c>
      <c r="FRL68" s="152">
        <v>85</v>
      </c>
      <c r="FRM68" s="153">
        <v>215</v>
      </c>
      <c r="FRN68" s="153">
        <v>75</v>
      </c>
      <c r="FRO68" s="152">
        <v>150</v>
      </c>
      <c r="FRP68" s="154">
        <f>SUM(FRK68:FRO68)</f>
        <v>8675</v>
      </c>
      <c r="FRQ68" s="152">
        <v>200</v>
      </c>
      <c r="FRR68" s="154">
        <f>SUM(FRP68:FRQ68)</f>
        <v>8875</v>
      </c>
      <c r="FRS68" s="147" t="s">
        <v>99</v>
      </c>
      <c r="FRT68" s="148">
        <v>45845</v>
      </c>
      <c r="FRU68" s="143" t="s">
        <v>46</v>
      </c>
      <c r="FRV68" s="199"/>
      <c r="FRW68" s="149" t="s">
        <v>125</v>
      </c>
      <c r="FRX68" s="197"/>
      <c r="FRY68" s="198"/>
      <c r="FRZ68" s="143" t="s">
        <v>22</v>
      </c>
      <c r="FSA68" s="144">
        <v>8150</v>
      </c>
      <c r="FSB68" s="152">
        <v>85</v>
      </c>
      <c r="FSC68" s="153">
        <v>215</v>
      </c>
      <c r="FSD68" s="153">
        <v>75</v>
      </c>
      <c r="FSE68" s="152">
        <v>150</v>
      </c>
      <c r="FSF68" s="154">
        <f>SUM(FSA68:FSE68)</f>
        <v>8675</v>
      </c>
      <c r="FSG68" s="152">
        <v>200</v>
      </c>
      <c r="FSH68" s="154">
        <f>SUM(FSF68:FSG68)</f>
        <v>8875</v>
      </c>
      <c r="FSI68" s="147" t="s">
        <v>99</v>
      </c>
      <c r="FSJ68" s="148">
        <v>45845</v>
      </c>
      <c r="FSK68" s="143" t="s">
        <v>46</v>
      </c>
      <c r="FSL68" s="199"/>
      <c r="FSM68" s="149" t="s">
        <v>125</v>
      </c>
      <c r="FSN68" s="197"/>
      <c r="FSO68" s="198"/>
      <c r="FSP68" s="143" t="s">
        <v>22</v>
      </c>
      <c r="FSQ68" s="144">
        <v>8150</v>
      </c>
      <c r="FSR68" s="152">
        <v>85</v>
      </c>
      <c r="FSS68" s="153">
        <v>215</v>
      </c>
      <c r="FST68" s="153">
        <v>75</v>
      </c>
      <c r="FSU68" s="152">
        <v>150</v>
      </c>
      <c r="FSV68" s="154">
        <f>SUM(FSQ68:FSU68)</f>
        <v>8675</v>
      </c>
      <c r="FSW68" s="152">
        <v>200</v>
      </c>
      <c r="FSX68" s="154">
        <f>SUM(FSV68:FSW68)</f>
        <v>8875</v>
      </c>
      <c r="FSY68" s="147" t="s">
        <v>99</v>
      </c>
      <c r="FSZ68" s="148">
        <v>45845</v>
      </c>
      <c r="FTA68" s="143" t="s">
        <v>46</v>
      </c>
      <c r="FTB68" s="199"/>
      <c r="FTC68" s="149" t="s">
        <v>125</v>
      </c>
      <c r="FTD68" s="197"/>
      <c r="FTE68" s="198"/>
      <c r="FTF68" s="143" t="s">
        <v>22</v>
      </c>
      <c r="FTG68" s="144">
        <v>8150</v>
      </c>
      <c r="FTH68" s="152">
        <v>85</v>
      </c>
      <c r="FTI68" s="153">
        <v>215</v>
      </c>
      <c r="FTJ68" s="153">
        <v>75</v>
      </c>
      <c r="FTK68" s="152">
        <v>150</v>
      </c>
      <c r="FTL68" s="154">
        <f>SUM(FTG68:FTK68)</f>
        <v>8675</v>
      </c>
      <c r="FTM68" s="152">
        <v>200</v>
      </c>
      <c r="FTN68" s="154">
        <f>SUM(FTL68:FTM68)</f>
        <v>8875</v>
      </c>
      <c r="FTO68" s="147" t="s">
        <v>99</v>
      </c>
      <c r="FTP68" s="148">
        <v>45845</v>
      </c>
      <c r="FTQ68" s="143" t="s">
        <v>46</v>
      </c>
      <c r="FTR68" s="199"/>
      <c r="FTS68" s="149" t="s">
        <v>125</v>
      </c>
      <c r="FTT68" s="197"/>
      <c r="FTU68" s="198"/>
      <c r="FTV68" s="143" t="s">
        <v>22</v>
      </c>
      <c r="FTW68" s="144">
        <v>8150</v>
      </c>
      <c r="FTX68" s="152">
        <v>85</v>
      </c>
      <c r="FTY68" s="153">
        <v>215</v>
      </c>
      <c r="FTZ68" s="153">
        <v>75</v>
      </c>
      <c r="FUA68" s="152">
        <v>150</v>
      </c>
      <c r="FUB68" s="154">
        <f>SUM(FTW68:FUA68)</f>
        <v>8675</v>
      </c>
      <c r="FUC68" s="152">
        <v>200</v>
      </c>
      <c r="FUD68" s="154">
        <f>SUM(FUB68:FUC68)</f>
        <v>8875</v>
      </c>
      <c r="FUE68" s="147" t="s">
        <v>99</v>
      </c>
      <c r="FUF68" s="148">
        <v>45845</v>
      </c>
      <c r="FUG68" s="143" t="s">
        <v>46</v>
      </c>
      <c r="FUH68" s="199"/>
      <c r="FUI68" s="149" t="s">
        <v>125</v>
      </c>
      <c r="FUJ68" s="197"/>
      <c r="FUK68" s="198"/>
      <c r="FUL68" s="143" t="s">
        <v>22</v>
      </c>
      <c r="FUM68" s="144">
        <v>8150</v>
      </c>
      <c r="FUN68" s="152">
        <v>85</v>
      </c>
      <c r="FUO68" s="153">
        <v>215</v>
      </c>
      <c r="FUP68" s="153">
        <v>75</v>
      </c>
      <c r="FUQ68" s="152">
        <v>150</v>
      </c>
      <c r="FUR68" s="154">
        <f>SUM(FUM68:FUQ68)</f>
        <v>8675</v>
      </c>
      <c r="FUS68" s="152">
        <v>200</v>
      </c>
      <c r="FUT68" s="154">
        <f>SUM(FUR68:FUS68)</f>
        <v>8875</v>
      </c>
      <c r="FUU68" s="147" t="s">
        <v>99</v>
      </c>
      <c r="FUV68" s="148">
        <v>45845</v>
      </c>
      <c r="FUW68" s="143" t="s">
        <v>46</v>
      </c>
      <c r="FUX68" s="199"/>
      <c r="FUY68" s="149" t="s">
        <v>125</v>
      </c>
      <c r="FUZ68" s="197"/>
      <c r="FVA68" s="198"/>
      <c r="FVB68" s="143" t="s">
        <v>22</v>
      </c>
      <c r="FVC68" s="144">
        <v>8150</v>
      </c>
      <c r="FVD68" s="152">
        <v>85</v>
      </c>
      <c r="FVE68" s="153">
        <v>215</v>
      </c>
      <c r="FVF68" s="153">
        <v>75</v>
      </c>
      <c r="FVG68" s="152">
        <v>150</v>
      </c>
      <c r="FVH68" s="154">
        <f>SUM(FVC68:FVG68)</f>
        <v>8675</v>
      </c>
      <c r="FVI68" s="152">
        <v>200</v>
      </c>
      <c r="FVJ68" s="154">
        <f>SUM(FVH68:FVI68)</f>
        <v>8875</v>
      </c>
      <c r="FVK68" s="147" t="s">
        <v>99</v>
      </c>
      <c r="FVL68" s="148">
        <v>45845</v>
      </c>
      <c r="FVM68" s="143" t="s">
        <v>46</v>
      </c>
      <c r="FVN68" s="199"/>
      <c r="FVO68" s="149" t="s">
        <v>125</v>
      </c>
      <c r="FVP68" s="197"/>
      <c r="FVQ68" s="198"/>
      <c r="FVR68" s="143" t="s">
        <v>22</v>
      </c>
      <c r="FVS68" s="144">
        <v>8150</v>
      </c>
      <c r="FVT68" s="152">
        <v>85</v>
      </c>
      <c r="FVU68" s="153">
        <v>215</v>
      </c>
      <c r="FVV68" s="153">
        <v>75</v>
      </c>
      <c r="FVW68" s="152">
        <v>150</v>
      </c>
      <c r="FVX68" s="154">
        <f>SUM(FVS68:FVW68)</f>
        <v>8675</v>
      </c>
      <c r="FVY68" s="152">
        <v>200</v>
      </c>
      <c r="FVZ68" s="154">
        <f>SUM(FVX68:FVY68)</f>
        <v>8875</v>
      </c>
      <c r="FWA68" s="147" t="s">
        <v>99</v>
      </c>
      <c r="FWB68" s="148">
        <v>45845</v>
      </c>
      <c r="FWC68" s="143" t="s">
        <v>46</v>
      </c>
      <c r="FWD68" s="199"/>
      <c r="FWE68" s="149" t="s">
        <v>125</v>
      </c>
      <c r="FWF68" s="197"/>
      <c r="FWG68" s="198"/>
      <c r="FWH68" s="143" t="s">
        <v>22</v>
      </c>
      <c r="FWI68" s="144">
        <v>8150</v>
      </c>
      <c r="FWJ68" s="152">
        <v>85</v>
      </c>
      <c r="FWK68" s="153">
        <v>215</v>
      </c>
      <c r="FWL68" s="153">
        <v>75</v>
      </c>
      <c r="FWM68" s="152">
        <v>150</v>
      </c>
      <c r="FWN68" s="154">
        <f>SUM(FWI68:FWM68)</f>
        <v>8675</v>
      </c>
      <c r="FWO68" s="152">
        <v>200</v>
      </c>
      <c r="FWP68" s="154">
        <f>SUM(FWN68:FWO68)</f>
        <v>8875</v>
      </c>
      <c r="FWQ68" s="147" t="s">
        <v>99</v>
      </c>
      <c r="FWR68" s="148">
        <v>45845</v>
      </c>
      <c r="FWS68" s="143" t="s">
        <v>46</v>
      </c>
      <c r="FWT68" s="199"/>
      <c r="FWU68" s="149" t="s">
        <v>125</v>
      </c>
      <c r="FWV68" s="197"/>
      <c r="FWW68" s="198"/>
      <c r="FWX68" s="143" t="s">
        <v>22</v>
      </c>
      <c r="FWY68" s="144">
        <v>8150</v>
      </c>
      <c r="FWZ68" s="152">
        <v>85</v>
      </c>
      <c r="FXA68" s="153">
        <v>215</v>
      </c>
      <c r="FXB68" s="153">
        <v>75</v>
      </c>
      <c r="FXC68" s="152">
        <v>150</v>
      </c>
      <c r="FXD68" s="154">
        <f>SUM(FWY68:FXC68)</f>
        <v>8675</v>
      </c>
      <c r="FXE68" s="152">
        <v>200</v>
      </c>
      <c r="FXF68" s="154">
        <f>SUM(FXD68:FXE68)</f>
        <v>8875</v>
      </c>
      <c r="FXG68" s="147" t="s">
        <v>99</v>
      </c>
      <c r="FXH68" s="148">
        <v>45845</v>
      </c>
      <c r="FXI68" s="143" t="s">
        <v>46</v>
      </c>
      <c r="FXJ68" s="199"/>
      <c r="FXK68" s="149" t="s">
        <v>125</v>
      </c>
      <c r="FXL68" s="197"/>
      <c r="FXM68" s="198"/>
      <c r="FXN68" s="143" t="s">
        <v>22</v>
      </c>
      <c r="FXO68" s="144">
        <v>8150</v>
      </c>
      <c r="FXP68" s="152">
        <v>85</v>
      </c>
      <c r="FXQ68" s="153">
        <v>215</v>
      </c>
      <c r="FXR68" s="153">
        <v>75</v>
      </c>
      <c r="FXS68" s="152">
        <v>150</v>
      </c>
      <c r="FXT68" s="154">
        <f>SUM(FXO68:FXS68)</f>
        <v>8675</v>
      </c>
      <c r="FXU68" s="152">
        <v>200</v>
      </c>
      <c r="FXV68" s="154">
        <f>SUM(FXT68:FXU68)</f>
        <v>8875</v>
      </c>
      <c r="FXW68" s="147" t="s">
        <v>99</v>
      </c>
      <c r="FXX68" s="148">
        <v>45845</v>
      </c>
      <c r="FXY68" s="143" t="s">
        <v>46</v>
      </c>
      <c r="FXZ68" s="199"/>
      <c r="FYA68" s="149" t="s">
        <v>125</v>
      </c>
      <c r="FYB68" s="197"/>
      <c r="FYC68" s="198"/>
      <c r="FYD68" s="143" t="s">
        <v>22</v>
      </c>
      <c r="FYE68" s="144">
        <v>8150</v>
      </c>
      <c r="FYF68" s="152">
        <v>85</v>
      </c>
      <c r="FYG68" s="153">
        <v>215</v>
      </c>
      <c r="FYH68" s="153">
        <v>75</v>
      </c>
      <c r="FYI68" s="152">
        <v>150</v>
      </c>
      <c r="FYJ68" s="154">
        <f>SUM(FYE68:FYI68)</f>
        <v>8675</v>
      </c>
      <c r="FYK68" s="152">
        <v>200</v>
      </c>
      <c r="FYL68" s="154">
        <f>SUM(FYJ68:FYK68)</f>
        <v>8875</v>
      </c>
      <c r="FYM68" s="147" t="s">
        <v>99</v>
      </c>
      <c r="FYN68" s="148">
        <v>45845</v>
      </c>
      <c r="FYO68" s="143" t="s">
        <v>46</v>
      </c>
      <c r="FYP68" s="199"/>
      <c r="FYQ68" s="149" t="s">
        <v>125</v>
      </c>
      <c r="FYR68" s="197"/>
      <c r="FYS68" s="198"/>
      <c r="FYT68" s="143" t="s">
        <v>22</v>
      </c>
      <c r="FYU68" s="144">
        <v>8150</v>
      </c>
      <c r="FYV68" s="152">
        <v>85</v>
      </c>
      <c r="FYW68" s="153">
        <v>215</v>
      </c>
      <c r="FYX68" s="153">
        <v>75</v>
      </c>
      <c r="FYY68" s="152">
        <v>150</v>
      </c>
      <c r="FYZ68" s="154">
        <f>SUM(FYU68:FYY68)</f>
        <v>8675</v>
      </c>
      <c r="FZA68" s="152">
        <v>200</v>
      </c>
      <c r="FZB68" s="154">
        <f>SUM(FYZ68:FZA68)</f>
        <v>8875</v>
      </c>
      <c r="FZC68" s="147" t="s">
        <v>99</v>
      </c>
      <c r="FZD68" s="148">
        <v>45845</v>
      </c>
      <c r="FZE68" s="143" t="s">
        <v>46</v>
      </c>
      <c r="FZF68" s="199"/>
      <c r="FZG68" s="149" t="s">
        <v>125</v>
      </c>
      <c r="FZH68" s="197"/>
      <c r="FZI68" s="198"/>
      <c r="FZJ68" s="143" t="s">
        <v>22</v>
      </c>
      <c r="FZK68" s="144">
        <v>8150</v>
      </c>
      <c r="FZL68" s="152">
        <v>85</v>
      </c>
      <c r="FZM68" s="153">
        <v>215</v>
      </c>
      <c r="FZN68" s="153">
        <v>75</v>
      </c>
      <c r="FZO68" s="152">
        <v>150</v>
      </c>
      <c r="FZP68" s="154">
        <f>SUM(FZK68:FZO68)</f>
        <v>8675</v>
      </c>
      <c r="FZQ68" s="152">
        <v>200</v>
      </c>
      <c r="FZR68" s="154">
        <f>SUM(FZP68:FZQ68)</f>
        <v>8875</v>
      </c>
      <c r="FZS68" s="147" t="s">
        <v>99</v>
      </c>
      <c r="FZT68" s="148">
        <v>45845</v>
      </c>
      <c r="FZU68" s="143" t="s">
        <v>46</v>
      </c>
      <c r="FZV68" s="199"/>
      <c r="FZW68" s="149" t="s">
        <v>125</v>
      </c>
      <c r="FZX68" s="197"/>
      <c r="FZY68" s="198"/>
      <c r="FZZ68" s="143" t="s">
        <v>22</v>
      </c>
      <c r="GAA68" s="144">
        <v>8150</v>
      </c>
      <c r="GAB68" s="152">
        <v>85</v>
      </c>
      <c r="GAC68" s="153">
        <v>215</v>
      </c>
      <c r="GAD68" s="153">
        <v>75</v>
      </c>
      <c r="GAE68" s="152">
        <v>150</v>
      </c>
      <c r="GAF68" s="154">
        <f>SUM(GAA68:GAE68)</f>
        <v>8675</v>
      </c>
      <c r="GAG68" s="152">
        <v>200</v>
      </c>
      <c r="GAH68" s="154">
        <f>SUM(GAF68:GAG68)</f>
        <v>8875</v>
      </c>
      <c r="GAI68" s="147" t="s">
        <v>99</v>
      </c>
      <c r="GAJ68" s="148">
        <v>45845</v>
      </c>
      <c r="GAK68" s="143" t="s">
        <v>46</v>
      </c>
      <c r="GAL68" s="199"/>
      <c r="GAM68" s="149" t="s">
        <v>125</v>
      </c>
      <c r="GAN68" s="197"/>
      <c r="GAO68" s="198"/>
      <c r="GAP68" s="143" t="s">
        <v>22</v>
      </c>
      <c r="GAQ68" s="144">
        <v>8150</v>
      </c>
      <c r="GAR68" s="152">
        <v>85</v>
      </c>
      <c r="GAS68" s="153">
        <v>215</v>
      </c>
      <c r="GAT68" s="153">
        <v>75</v>
      </c>
      <c r="GAU68" s="152">
        <v>150</v>
      </c>
      <c r="GAV68" s="154">
        <f>SUM(GAQ68:GAU68)</f>
        <v>8675</v>
      </c>
      <c r="GAW68" s="152">
        <v>200</v>
      </c>
      <c r="GAX68" s="154">
        <f>SUM(GAV68:GAW68)</f>
        <v>8875</v>
      </c>
      <c r="GAY68" s="147" t="s">
        <v>99</v>
      </c>
      <c r="GAZ68" s="148">
        <v>45845</v>
      </c>
      <c r="GBA68" s="143" t="s">
        <v>46</v>
      </c>
      <c r="GBB68" s="199"/>
      <c r="GBC68" s="149" t="s">
        <v>125</v>
      </c>
      <c r="GBD68" s="197"/>
      <c r="GBE68" s="198"/>
      <c r="GBF68" s="143" t="s">
        <v>22</v>
      </c>
      <c r="GBG68" s="144">
        <v>8150</v>
      </c>
      <c r="GBH68" s="152">
        <v>85</v>
      </c>
      <c r="GBI68" s="153">
        <v>215</v>
      </c>
      <c r="GBJ68" s="153">
        <v>75</v>
      </c>
      <c r="GBK68" s="152">
        <v>150</v>
      </c>
      <c r="GBL68" s="154">
        <f>SUM(GBG68:GBK68)</f>
        <v>8675</v>
      </c>
      <c r="GBM68" s="152">
        <v>200</v>
      </c>
      <c r="GBN68" s="154">
        <f>SUM(GBL68:GBM68)</f>
        <v>8875</v>
      </c>
      <c r="GBO68" s="147" t="s">
        <v>99</v>
      </c>
      <c r="GBP68" s="148">
        <v>45845</v>
      </c>
      <c r="GBQ68" s="143" t="s">
        <v>46</v>
      </c>
      <c r="GBR68" s="199"/>
      <c r="GBS68" s="149" t="s">
        <v>125</v>
      </c>
      <c r="GBT68" s="197"/>
      <c r="GBU68" s="198"/>
      <c r="GBV68" s="143" t="s">
        <v>22</v>
      </c>
      <c r="GBW68" s="144">
        <v>8150</v>
      </c>
      <c r="GBX68" s="152">
        <v>85</v>
      </c>
      <c r="GBY68" s="153">
        <v>215</v>
      </c>
      <c r="GBZ68" s="153">
        <v>75</v>
      </c>
      <c r="GCA68" s="152">
        <v>150</v>
      </c>
      <c r="GCB68" s="154">
        <f>SUM(GBW68:GCA68)</f>
        <v>8675</v>
      </c>
      <c r="GCC68" s="152">
        <v>200</v>
      </c>
      <c r="GCD68" s="154">
        <f>SUM(GCB68:GCC68)</f>
        <v>8875</v>
      </c>
      <c r="GCE68" s="147" t="s">
        <v>99</v>
      </c>
      <c r="GCF68" s="148">
        <v>45845</v>
      </c>
      <c r="GCG68" s="143" t="s">
        <v>46</v>
      </c>
      <c r="GCH68" s="199"/>
      <c r="GCI68" s="149" t="s">
        <v>125</v>
      </c>
      <c r="GCJ68" s="197"/>
      <c r="GCK68" s="198"/>
      <c r="GCL68" s="143" t="s">
        <v>22</v>
      </c>
      <c r="GCM68" s="144">
        <v>8150</v>
      </c>
      <c r="GCN68" s="152">
        <v>85</v>
      </c>
      <c r="GCO68" s="153">
        <v>215</v>
      </c>
      <c r="GCP68" s="153">
        <v>75</v>
      </c>
      <c r="GCQ68" s="152">
        <v>150</v>
      </c>
      <c r="GCR68" s="154">
        <f>SUM(GCM68:GCQ68)</f>
        <v>8675</v>
      </c>
      <c r="GCS68" s="152">
        <v>200</v>
      </c>
      <c r="GCT68" s="154">
        <f>SUM(GCR68:GCS68)</f>
        <v>8875</v>
      </c>
      <c r="GCU68" s="147" t="s">
        <v>99</v>
      </c>
      <c r="GCV68" s="148">
        <v>45845</v>
      </c>
      <c r="GCW68" s="143" t="s">
        <v>46</v>
      </c>
      <c r="GCX68" s="199"/>
      <c r="GCY68" s="149" t="s">
        <v>125</v>
      </c>
      <c r="GCZ68" s="197"/>
      <c r="GDA68" s="198"/>
      <c r="GDB68" s="143" t="s">
        <v>22</v>
      </c>
      <c r="GDC68" s="144">
        <v>8150</v>
      </c>
      <c r="GDD68" s="152">
        <v>85</v>
      </c>
      <c r="GDE68" s="153">
        <v>215</v>
      </c>
      <c r="GDF68" s="153">
        <v>75</v>
      </c>
      <c r="GDG68" s="152">
        <v>150</v>
      </c>
      <c r="GDH68" s="154">
        <f>SUM(GDC68:GDG68)</f>
        <v>8675</v>
      </c>
      <c r="GDI68" s="152">
        <v>200</v>
      </c>
      <c r="GDJ68" s="154">
        <f>SUM(GDH68:GDI68)</f>
        <v>8875</v>
      </c>
      <c r="GDK68" s="147" t="s">
        <v>99</v>
      </c>
      <c r="GDL68" s="148">
        <v>45845</v>
      </c>
      <c r="GDM68" s="143" t="s">
        <v>46</v>
      </c>
      <c r="GDN68" s="199"/>
      <c r="GDO68" s="149" t="s">
        <v>125</v>
      </c>
      <c r="GDP68" s="197"/>
      <c r="GDQ68" s="198"/>
      <c r="GDR68" s="143" t="s">
        <v>22</v>
      </c>
      <c r="GDS68" s="144">
        <v>8150</v>
      </c>
      <c r="GDT68" s="152">
        <v>85</v>
      </c>
      <c r="GDU68" s="153">
        <v>215</v>
      </c>
      <c r="GDV68" s="153">
        <v>75</v>
      </c>
      <c r="GDW68" s="152">
        <v>150</v>
      </c>
      <c r="GDX68" s="154">
        <f>SUM(GDS68:GDW68)</f>
        <v>8675</v>
      </c>
      <c r="GDY68" s="152">
        <v>200</v>
      </c>
      <c r="GDZ68" s="154">
        <f>SUM(GDX68:GDY68)</f>
        <v>8875</v>
      </c>
      <c r="GEA68" s="147" t="s">
        <v>99</v>
      </c>
      <c r="GEB68" s="148">
        <v>45845</v>
      </c>
      <c r="GEC68" s="143" t="s">
        <v>46</v>
      </c>
      <c r="GED68" s="199"/>
      <c r="GEE68" s="149" t="s">
        <v>125</v>
      </c>
      <c r="GEF68" s="197"/>
      <c r="GEG68" s="198"/>
      <c r="GEH68" s="143" t="s">
        <v>22</v>
      </c>
      <c r="GEI68" s="144">
        <v>8150</v>
      </c>
      <c r="GEJ68" s="152">
        <v>85</v>
      </c>
      <c r="GEK68" s="153">
        <v>215</v>
      </c>
      <c r="GEL68" s="153">
        <v>75</v>
      </c>
      <c r="GEM68" s="152">
        <v>150</v>
      </c>
      <c r="GEN68" s="154">
        <f>SUM(GEI68:GEM68)</f>
        <v>8675</v>
      </c>
      <c r="GEO68" s="152">
        <v>200</v>
      </c>
      <c r="GEP68" s="154">
        <f>SUM(GEN68:GEO68)</f>
        <v>8875</v>
      </c>
      <c r="GEQ68" s="147" t="s">
        <v>99</v>
      </c>
      <c r="GER68" s="148">
        <v>45845</v>
      </c>
      <c r="GES68" s="143" t="s">
        <v>46</v>
      </c>
      <c r="GET68" s="199"/>
      <c r="GEU68" s="149" t="s">
        <v>125</v>
      </c>
      <c r="GEV68" s="197"/>
      <c r="GEW68" s="198"/>
      <c r="GEX68" s="143" t="s">
        <v>22</v>
      </c>
      <c r="GEY68" s="144">
        <v>8150</v>
      </c>
      <c r="GEZ68" s="152">
        <v>85</v>
      </c>
      <c r="GFA68" s="153">
        <v>215</v>
      </c>
      <c r="GFB68" s="153">
        <v>75</v>
      </c>
      <c r="GFC68" s="152">
        <v>150</v>
      </c>
      <c r="GFD68" s="154">
        <f>SUM(GEY68:GFC68)</f>
        <v>8675</v>
      </c>
      <c r="GFE68" s="152">
        <v>200</v>
      </c>
      <c r="GFF68" s="154">
        <f>SUM(GFD68:GFE68)</f>
        <v>8875</v>
      </c>
      <c r="GFG68" s="147" t="s">
        <v>99</v>
      </c>
      <c r="GFH68" s="148">
        <v>45845</v>
      </c>
      <c r="GFI68" s="143" t="s">
        <v>46</v>
      </c>
      <c r="GFJ68" s="199"/>
      <c r="GFK68" s="149" t="s">
        <v>125</v>
      </c>
      <c r="GFL68" s="197"/>
      <c r="GFM68" s="198"/>
      <c r="GFN68" s="143" t="s">
        <v>22</v>
      </c>
      <c r="GFO68" s="144">
        <v>8150</v>
      </c>
      <c r="GFP68" s="152">
        <v>85</v>
      </c>
      <c r="GFQ68" s="153">
        <v>215</v>
      </c>
      <c r="GFR68" s="153">
        <v>75</v>
      </c>
      <c r="GFS68" s="152">
        <v>150</v>
      </c>
      <c r="GFT68" s="154">
        <f>SUM(GFO68:GFS68)</f>
        <v>8675</v>
      </c>
      <c r="GFU68" s="152">
        <v>200</v>
      </c>
      <c r="GFV68" s="154">
        <f>SUM(GFT68:GFU68)</f>
        <v>8875</v>
      </c>
      <c r="GFW68" s="147" t="s">
        <v>99</v>
      </c>
      <c r="GFX68" s="148">
        <v>45845</v>
      </c>
      <c r="GFY68" s="143" t="s">
        <v>46</v>
      </c>
      <c r="GFZ68" s="199"/>
      <c r="GGA68" s="149" t="s">
        <v>125</v>
      </c>
      <c r="GGB68" s="197"/>
      <c r="GGC68" s="198"/>
      <c r="GGD68" s="143" t="s">
        <v>22</v>
      </c>
      <c r="GGE68" s="144">
        <v>8150</v>
      </c>
      <c r="GGF68" s="152">
        <v>85</v>
      </c>
      <c r="GGG68" s="153">
        <v>215</v>
      </c>
      <c r="GGH68" s="153">
        <v>75</v>
      </c>
      <c r="GGI68" s="152">
        <v>150</v>
      </c>
      <c r="GGJ68" s="154">
        <f>SUM(GGE68:GGI68)</f>
        <v>8675</v>
      </c>
      <c r="GGK68" s="152">
        <v>200</v>
      </c>
      <c r="GGL68" s="154">
        <f>SUM(GGJ68:GGK68)</f>
        <v>8875</v>
      </c>
      <c r="GGM68" s="147" t="s">
        <v>99</v>
      </c>
      <c r="GGN68" s="148">
        <v>45845</v>
      </c>
      <c r="GGO68" s="143" t="s">
        <v>46</v>
      </c>
      <c r="GGP68" s="199"/>
      <c r="GGQ68" s="149" t="s">
        <v>125</v>
      </c>
      <c r="GGR68" s="197"/>
      <c r="GGS68" s="198"/>
      <c r="GGT68" s="143" t="s">
        <v>22</v>
      </c>
      <c r="GGU68" s="144">
        <v>8150</v>
      </c>
      <c r="GGV68" s="152">
        <v>85</v>
      </c>
      <c r="GGW68" s="153">
        <v>215</v>
      </c>
      <c r="GGX68" s="153">
        <v>75</v>
      </c>
      <c r="GGY68" s="152">
        <v>150</v>
      </c>
      <c r="GGZ68" s="154">
        <f>SUM(GGU68:GGY68)</f>
        <v>8675</v>
      </c>
      <c r="GHA68" s="152">
        <v>200</v>
      </c>
      <c r="GHB68" s="154">
        <f>SUM(GGZ68:GHA68)</f>
        <v>8875</v>
      </c>
      <c r="GHC68" s="147" t="s">
        <v>99</v>
      </c>
      <c r="GHD68" s="148">
        <v>45845</v>
      </c>
      <c r="GHE68" s="143" t="s">
        <v>46</v>
      </c>
      <c r="GHF68" s="199"/>
      <c r="GHG68" s="149" t="s">
        <v>125</v>
      </c>
      <c r="GHH68" s="197"/>
      <c r="GHI68" s="198"/>
      <c r="GHJ68" s="143" t="s">
        <v>22</v>
      </c>
      <c r="GHK68" s="144">
        <v>8150</v>
      </c>
      <c r="GHL68" s="152">
        <v>85</v>
      </c>
      <c r="GHM68" s="153">
        <v>215</v>
      </c>
      <c r="GHN68" s="153">
        <v>75</v>
      </c>
      <c r="GHO68" s="152">
        <v>150</v>
      </c>
      <c r="GHP68" s="154">
        <f>SUM(GHK68:GHO68)</f>
        <v>8675</v>
      </c>
      <c r="GHQ68" s="152">
        <v>200</v>
      </c>
      <c r="GHR68" s="154">
        <f>SUM(GHP68:GHQ68)</f>
        <v>8875</v>
      </c>
      <c r="GHS68" s="147" t="s">
        <v>99</v>
      </c>
      <c r="GHT68" s="148">
        <v>45845</v>
      </c>
      <c r="GHU68" s="143" t="s">
        <v>46</v>
      </c>
      <c r="GHV68" s="199"/>
      <c r="GHW68" s="149" t="s">
        <v>125</v>
      </c>
      <c r="GHX68" s="197"/>
      <c r="GHY68" s="198"/>
      <c r="GHZ68" s="143" t="s">
        <v>22</v>
      </c>
      <c r="GIA68" s="144">
        <v>8150</v>
      </c>
      <c r="GIB68" s="152">
        <v>85</v>
      </c>
      <c r="GIC68" s="153">
        <v>215</v>
      </c>
      <c r="GID68" s="153">
        <v>75</v>
      </c>
      <c r="GIE68" s="152">
        <v>150</v>
      </c>
      <c r="GIF68" s="154">
        <f>SUM(GIA68:GIE68)</f>
        <v>8675</v>
      </c>
      <c r="GIG68" s="152">
        <v>200</v>
      </c>
      <c r="GIH68" s="154">
        <f>SUM(GIF68:GIG68)</f>
        <v>8875</v>
      </c>
      <c r="GII68" s="147" t="s">
        <v>99</v>
      </c>
      <c r="GIJ68" s="148">
        <v>45845</v>
      </c>
      <c r="GIK68" s="143" t="s">
        <v>46</v>
      </c>
      <c r="GIL68" s="199"/>
      <c r="GIM68" s="149" t="s">
        <v>125</v>
      </c>
      <c r="GIN68" s="197"/>
      <c r="GIO68" s="198"/>
      <c r="GIP68" s="143" t="s">
        <v>22</v>
      </c>
      <c r="GIQ68" s="144">
        <v>8150</v>
      </c>
      <c r="GIR68" s="152">
        <v>85</v>
      </c>
      <c r="GIS68" s="153">
        <v>215</v>
      </c>
      <c r="GIT68" s="153">
        <v>75</v>
      </c>
      <c r="GIU68" s="152">
        <v>150</v>
      </c>
      <c r="GIV68" s="154">
        <f>SUM(GIQ68:GIU68)</f>
        <v>8675</v>
      </c>
      <c r="GIW68" s="152">
        <v>200</v>
      </c>
      <c r="GIX68" s="154">
        <f>SUM(GIV68:GIW68)</f>
        <v>8875</v>
      </c>
      <c r="GIY68" s="147" t="s">
        <v>99</v>
      </c>
      <c r="GIZ68" s="148">
        <v>45845</v>
      </c>
      <c r="GJA68" s="143" t="s">
        <v>46</v>
      </c>
      <c r="GJB68" s="199"/>
      <c r="GJC68" s="149" t="s">
        <v>125</v>
      </c>
      <c r="GJD68" s="197"/>
      <c r="GJE68" s="198"/>
      <c r="GJF68" s="143" t="s">
        <v>22</v>
      </c>
      <c r="GJG68" s="144">
        <v>8150</v>
      </c>
      <c r="GJH68" s="152">
        <v>85</v>
      </c>
      <c r="GJI68" s="153">
        <v>215</v>
      </c>
      <c r="GJJ68" s="153">
        <v>75</v>
      </c>
      <c r="GJK68" s="152">
        <v>150</v>
      </c>
      <c r="GJL68" s="154">
        <f>SUM(GJG68:GJK68)</f>
        <v>8675</v>
      </c>
      <c r="GJM68" s="152">
        <v>200</v>
      </c>
      <c r="GJN68" s="154">
        <f>SUM(GJL68:GJM68)</f>
        <v>8875</v>
      </c>
      <c r="GJO68" s="147" t="s">
        <v>99</v>
      </c>
      <c r="GJP68" s="148">
        <v>45845</v>
      </c>
      <c r="GJQ68" s="143" t="s">
        <v>46</v>
      </c>
      <c r="GJR68" s="199"/>
      <c r="GJS68" s="149" t="s">
        <v>125</v>
      </c>
      <c r="GJT68" s="197"/>
      <c r="GJU68" s="198"/>
      <c r="GJV68" s="143" t="s">
        <v>22</v>
      </c>
      <c r="GJW68" s="144">
        <v>8150</v>
      </c>
      <c r="GJX68" s="152">
        <v>85</v>
      </c>
      <c r="GJY68" s="153">
        <v>215</v>
      </c>
      <c r="GJZ68" s="153">
        <v>75</v>
      </c>
      <c r="GKA68" s="152">
        <v>150</v>
      </c>
      <c r="GKB68" s="154">
        <f>SUM(GJW68:GKA68)</f>
        <v>8675</v>
      </c>
      <c r="GKC68" s="152">
        <v>200</v>
      </c>
      <c r="GKD68" s="154">
        <f>SUM(GKB68:GKC68)</f>
        <v>8875</v>
      </c>
      <c r="GKE68" s="147" t="s">
        <v>99</v>
      </c>
      <c r="GKF68" s="148">
        <v>45845</v>
      </c>
      <c r="GKG68" s="143" t="s">
        <v>46</v>
      </c>
      <c r="GKH68" s="199"/>
      <c r="GKI68" s="149" t="s">
        <v>125</v>
      </c>
      <c r="GKJ68" s="197"/>
      <c r="GKK68" s="198"/>
      <c r="GKL68" s="143" t="s">
        <v>22</v>
      </c>
      <c r="GKM68" s="144">
        <v>8150</v>
      </c>
      <c r="GKN68" s="152">
        <v>85</v>
      </c>
      <c r="GKO68" s="153">
        <v>215</v>
      </c>
      <c r="GKP68" s="153">
        <v>75</v>
      </c>
      <c r="GKQ68" s="152">
        <v>150</v>
      </c>
      <c r="GKR68" s="154">
        <f>SUM(GKM68:GKQ68)</f>
        <v>8675</v>
      </c>
      <c r="GKS68" s="152">
        <v>200</v>
      </c>
      <c r="GKT68" s="154">
        <f>SUM(GKR68:GKS68)</f>
        <v>8875</v>
      </c>
      <c r="GKU68" s="147" t="s">
        <v>99</v>
      </c>
      <c r="GKV68" s="148">
        <v>45845</v>
      </c>
      <c r="GKW68" s="143" t="s">
        <v>46</v>
      </c>
      <c r="GKX68" s="199"/>
      <c r="GKY68" s="149" t="s">
        <v>125</v>
      </c>
      <c r="GKZ68" s="197"/>
      <c r="GLA68" s="198"/>
      <c r="GLB68" s="143" t="s">
        <v>22</v>
      </c>
      <c r="GLC68" s="144">
        <v>8150</v>
      </c>
      <c r="GLD68" s="152">
        <v>85</v>
      </c>
      <c r="GLE68" s="153">
        <v>215</v>
      </c>
      <c r="GLF68" s="153">
        <v>75</v>
      </c>
      <c r="GLG68" s="152">
        <v>150</v>
      </c>
      <c r="GLH68" s="154">
        <f>SUM(GLC68:GLG68)</f>
        <v>8675</v>
      </c>
      <c r="GLI68" s="152">
        <v>200</v>
      </c>
      <c r="GLJ68" s="154">
        <f>SUM(GLH68:GLI68)</f>
        <v>8875</v>
      </c>
      <c r="GLK68" s="147" t="s">
        <v>99</v>
      </c>
      <c r="GLL68" s="148">
        <v>45845</v>
      </c>
      <c r="GLM68" s="143" t="s">
        <v>46</v>
      </c>
      <c r="GLN68" s="199"/>
      <c r="GLO68" s="149" t="s">
        <v>125</v>
      </c>
      <c r="GLP68" s="197"/>
      <c r="GLQ68" s="198"/>
      <c r="GLR68" s="143" t="s">
        <v>22</v>
      </c>
      <c r="GLS68" s="144">
        <v>8150</v>
      </c>
      <c r="GLT68" s="152">
        <v>85</v>
      </c>
      <c r="GLU68" s="153">
        <v>215</v>
      </c>
      <c r="GLV68" s="153">
        <v>75</v>
      </c>
      <c r="GLW68" s="152">
        <v>150</v>
      </c>
      <c r="GLX68" s="154">
        <f>SUM(GLS68:GLW68)</f>
        <v>8675</v>
      </c>
      <c r="GLY68" s="152">
        <v>200</v>
      </c>
      <c r="GLZ68" s="154">
        <f>SUM(GLX68:GLY68)</f>
        <v>8875</v>
      </c>
      <c r="GMA68" s="147" t="s">
        <v>99</v>
      </c>
      <c r="GMB68" s="148">
        <v>45845</v>
      </c>
      <c r="GMC68" s="143" t="s">
        <v>46</v>
      </c>
      <c r="GMD68" s="199"/>
      <c r="GME68" s="149" t="s">
        <v>125</v>
      </c>
      <c r="GMF68" s="197"/>
      <c r="GMG68" s="198"/>
      <c r="GMH68" s="143" t="s">
        <v>22</v>
      </c>
      <c r="GMI68" s="144">
        <v>8150</v>
      </c>
      <c r="GMJ68" s="152">
        <v>85</v>
      </c>
      <c r="GMK68" s="153">
        <v>215</v>
      </c>
      <c r="GML68" s="153">
        <v>75</v>
      </c>
      <c r="GMM68" s="152">
        <v>150</v>
      </c>
      <c r="GMN68" s="154">
        <f>SUM(GMI68:GMM68)</f>
        <v>8675</v>
      </c>
      <c r="GMO68" s="152">
        <v>200</v>
      </c>
      <c r="GMP68" s="154">
        <f>SUM(GMN68:GMO68)</f>
        <v>8875</v>
      </c>
      <c r="GMQ68" s="147" t="s">
        <v>99</v>
      </c>
      <c r="GMR68" s="148">
        <v>45845</v>
      </c>
      <c r="GMS68" s="143" t="s">
        <v>46</v>
      </c>
      <c r="GMT68" s="199"/>
      <c r="GMU68" s="149" t="s">
        <v>125</v>
      </c>
      <c r="GMV68" s="197"/>
      <c r="GMW68" s="198"/>
      <c r="GMX68" s="143" t="s">
        <v>22</v>
      </c>
      <c r="GMY68" s="144">
        <v>8150</v>
      </c>
      <c r="GMZ68" s="152">
        <v>85</v>
      </c>
      <c r="GNA68" s="153">
        <v>215</v>
      </c>
      <c r="GNB68" s="153">
        <v>75</v>
      </c>
      <c r="GNC68" s="152">
        <v>150</v>
      </c>
      <c r="GND68" s="154">
        <f>SUM(GMY68:GNC68)</f>
        <v>8675</v>
      </c>
      <c r="GNE68" s="152">
        <v>200</v>
      </c>
      <c r="GNF68" s="154">
        <f>SUM(GND68:GNE68)</f>
        <v>8875</v>
      </c>
      <c r="GNG68" s="147" t="s">
        <v>99</v>
      </c>
      <c r="GNH68" s="148">
        <v>45845</v>
      </c>
      <c r="GNI68" s="143" t="s">
        <v>46</v>
      </c>
      <c r="GNJ68" s="199"/>
      <c r="GNK68" s="149" t="s">
        <v>125</v>
      </c>
      <c r="GNL68" s="197"/>
      <c r="GNM68" s="198"/>
      <c r="GNN68" s="143" t="s">
        <v>22</v>
      </c>
      <c r="GNO68" s="144">
        <v>8150</v>
      </c>
      <c r="GNP68" s="152">
        <v>85</v>
      </c>
      <c r="GNQ68" s="153">
        <v>215</v>
      </c>
      <c r="GNR68" s="153">
        <v>75</v>
      </c>
      <c r="GNS68" s="152">
        <v>150</v>
      </c>
      <c r="GNT68" s="154">
        <f>SUM(GNO68:GNS68)</f>
        <v>8675</v>
      </c>
      <c r="GNU68" s="152">
        <v>200</v>
      </c>
      <c r="GNV68" s="154">
        <f>SUM(GNT68:GNU68)</f>
        <v>8875</v>
      </c>
      <c r="GNW68" s="147" t="s">
        <v>99</v>
      </c>
      <c r="GNX68" s="148">
        <v>45845</v>
      </c>
      <c r="GNY68" s="143" t="s">
        <v>46</v>
      </c>
      <c r="GNZ68" s="199"/>
      <c r="GOA68" s="149" t="s">
        <v>125</v>
      </c>
      <c r="GOB68" s="197"/>
      <c r="GOC68" s="198"/>
      <c r="GOD68" s="143" t="s">
        <v>22</v>
      </c>
      <c r="GOE68" s="144">
        <v>8150</v>
      </c>
      <c r="GOF68" s="152">
        <v>85</v>
      </c>
      <c r="GOG68" s="153">
        <v>215</v>
      </c>
      <c r="GOH68" s="153">
        <v>75</v>
      </c>
      <c r="GOI68" s="152">
        <v>150</v>
      </c>
      <c r="GOJ68" s="154">
        <f>SUM(GOE68:GOI68)</f>
        <v>8675</v>
      </c>
      <c r="GOK68" s="152">
        <v>200</v>
      </c>
      <c r="GOL68" s="154">
        <f>SUM(GOJ68:GOK68)</f>
        <v>8875</v>
      </c>
      <c r="GOM68" s="147" t="s">
        <v>99</v>
      </c>
      <c r="GON68" s="148">
        <v>45845</v>
      </c>
      <c r="GOO68" s="143" t="s">
        <v>46</v>
      </c>
      <c r="GOP68" s="199"/>
      <c r="GOQ68" s="149" t="s">
        <v>125</v>
      </c>
      <c r="GOR68" s="197"/>
      <c r="GOS68" s="198"/>
      <c r="GOT68" s="143" t="s">
        <v>22</v>
      </c>
      <c r="GOU68" s="144">
        <v>8150</v>
      </c>
      <c r="GOV68" s="152">
        <v>85</v>
      </c>
      <c r="GOW68" s="153">
        <v>215</v>
      </c>
      <c r="GOX68" s="153">
        <v>75</v>
      </c>
      <c r="GOY68" s="152">
        <v>150</v>
      </c>
      <c r="GOZ68" s="154">
        <f>SUM(GOU68:GOY68)</f>
        <v>8675</v>
      </c>
      <c r="GPA68" s="152">
        <v>200</v>
      </c>
      <c r="GPB68" s="154">
        <f>SUM(GOZ68:GPA68)</f>
        <v>8875</v>
      </c>
      <c r="GPC68" s="147" t="s">
        <v>99</v>
      </c>
      <c r="GPD68" s="148">
        <v>45845</v>
      </c>
      <c r="GPE68" s="143" t="s">
        <v>46</v>
      </c>
      <c r="GPF68" s="199"/>
      <c r="GPG68" s="149" t="s">
        <v>125</v>
      </c>
      <c r="GPH68" s="197"/>
      <c r="GPI68" s="198"/>
      <c r="GPJ68" s="143" t="s">
        <v>22</v>
      </c>
      <c r="GPK68" s="144">
        <v>8150</v>
      </c>
      <c r="GPL68" s="152">
        <v>85</v>
      </c>
      <c r="GPM68" s="153">
        <v>215</v>
      </c>
      <c r="GPN68" s="153">
        <v>75</v>
      </c>
      <c r="GPO68" s="152">
        <v>150</v>
      </c>
      <c r="GPP68" s="154">
        <f>SUM(GPK68:GPO68)</f>
        <v>8675</v>
      </c>
      <c r="GPQ68" s="152">
        <v>200</v>
      </c>
      <c r="GPR68" s="154">
        <f>SUM(GPP68:GPQ68)</f>
        <v>8875</v>
      </c>
      <c r="GPS68" s="147" t="s">
        <v>99</v>
      </c>
      <c r="GPT68" s="148">
        <v>45845</v>
      </c>
      <c r="GPU68" s="143" t="s">
        <v>46</v>
      </c>
      <c r="GPV68" s="199"/>
      <c r="GPW68" s="149" t="s">
        <v>125</v>
      </c>
      <c r="GPX68" s="197"/>
      <c r="GPY68" s="198"/>
      <c r="GPZ68" s="143" t="s">
        <v>22</v>
      </c>
      <c r="GQA68" s="144">
        <v>8150</v>
      </c>
      <c r="GQB68" s="152">
        <v>85</v>
      </c>
      <c r="GQC68" s="153">
        <v>215</v>
      </c>
      <c r="GQD68" s="153">
        <v>75</v>
      </c>
      <c r="GQE68" s="152">
        <v>150</v>
      </c>
      <c r="GQF68" s="154">
        <f>SUM(GQA68:GQE68)</f>
        <v>8675</v>
      </c>
      <c r="GQG68" s="152">
        <v>200</v>
      </c>
      <c r="GQH68" s="154">
        <f>SUM(GQF68:GQG68)</f>
        <v>8875</v>
      </c>
      <c r="GQI68" s="147" t="s">
        <v>99</v>
      </c>
      <c r="GQJ68" s="148">
        <v>45845</v>
      </c>
      <c r="GQK68" s="143" t="s">
        <v>46</v>
      </c>
      <c r="GQL68" s="199"/>
      <c r="GQM68" s="149" t="s">
        <v>125</v>
      </c>
      <c r="GQN68" s="197"/>
      <c r="GQO68" s="198"/>
      <c r="GQP68" s="143" t="s">
        <v>22</v>
      </c>
      <c r="GQQ68" s="144">
        <v>8150</v>
      </c>
      <c r="GQR68" s="152">
        <v>85</v>
      </c>
      <c r="GQS68" s="153">
        <v>215</v>
      </c>
      <c r="GQT68" s="153">
        <v>75</v>
      </c>
      <c r="GQU68" s="152">
        <v>150</v>
      </c>
      <c r="GQV68" s="154">
        <f>SUM(GQQ68:GQU68)</f>
        <v>8675</v>
      </c>
      <c r="GQW68" s="152">
        <v>200</v>
      </c>
      <c r="GQX68" s="154">
        <f>SUM(GQV68:GQW68)</f>
        <v>8875</v>
      </c>
      <c r="GQY68" s="147" t="s">
        <v>99</v>
      </c>
      <c r="GQZ68" s="148">
        <v>45845</v>
      </c>
      <c r="GRA68" s="143" t="s">
        <v>46</v>
      </c>
      <c r="GRB68" s="199"/>
      <c r="GRC68" s="149" t="s">
        <v>125</v>
      </c>
      <c r="GRD68" s="197"/>
      <c r="GRE68" s="198"/>
      <c r="GRF68" s="143" t="s">
        <v>22</v>
      </c>
      <c r="GRG68" s="144">
        <v>8150</v>
      </c>
      <c r="GRH68" s="152">
        <v>85</v>
      </c>
      <c r="GRI68" s="153">
        <v>215</v>
      </c>
      <c r="GRJ68" s="153">
        <v>75</v>
      </c>
      <c r="GRK68" s="152">
        <v>150</v>
      </c>
      <c r="GRL68" s="154">
        <f>SUM(GRG68:GRK68)</f>
        <v>8675</v>
      </c>
      <c r="GRM68" s="152">
        <v>200</v>
      </c>
      <c r="GRN68" s="154">
        <f>SUM(GRL68:GRM68)</f>
        <v>8875</v>
      </c>
      <c r="GRO68" s="147" t="s">
        <v>99</v>
      </c>
      <c r="GRP68" s="148">
        <v>45845</v>
      </c>
      <c r="GRQ68" s="143" t="s">
        <v>46</v>
      </c>
      <c r="GRR68" s="199"/>
      <c r="GRS68" s="149" t="s">
        <v>125</v>
      </c>
      <c r="GRT68" s="197"/>
      <c r="GRU68" s="198"/>
      <c r="GRV68" s="143" t="s">
        <v>22</v>
      </c>
      <c r="GRW68" s="144">
        <v>8150</v>
      </c>
      <c r="GRX68" s="152">
        <v>85</v>
      </c>
      <c r="GRY68" s="153">
        <v>215</v>
      </c>
      <c r="GRZ68" s="153">
        <v>75</v>
      </c>
      <c r="GSA68" s="152">
        <v>150</v>
      </c>
      <c r="GSB68" s="154">
        <f>SUM(GRW68:GSA68)</f>
        <v>8675</v>
      </c>
      <c r="GSC68" s="152">
        <v>200</v>
      </c>
      <c r="GSD68" s="154">
        <f>SUM(GSB68:GSC68)</f>
        <v>8875</v>
      </c>
      <c r="GSE68" s="147" t="s">
        <v>99</v>
      </c>
      <c r="GSF68" s="148">
        <v>45845</v>
      </c>
      <c r="GSG68" s="143" t="s">
        <v>46</v>
      </c>
      <c r="GSH68" s="199"/>
      <c r="GSI68" s="149" t="s">
        <v>125</v>
      </c>
      <c r="GSJ68" s="197"/>
      <c r="GSK68" s="198"/>
      <c r="GSL68" s="143" t="s">
        <v>22</v>
      </c>
      <c r="GSM68" s="144">
        <v>8150</v>
      </c>
      <c r="GSN68" s="152">
        <v>85</v>
      </c>
      <c r="GSO68" s="153">
        <v>215</v>
      </c>
      <c r="GSP68" s="153">
        <v>75</v>
      </c>
      <c r="GSQ68" s="152">
        <v>150</v>
      </c>
      <c r="GSR68" s="154">
        <f>SUM(GSM68:GSQ68)</f>
        <v>8675</v>
      </c>
      <c r="GSS68" s="152">
        <v>200</v>
      </c>
      <c r="GST68" s="154">
        <f>SUM(GSR68:GSS68)</f>
        <v>8875</v>
      </c>
      <c r="GSU68" s="147" t="s">
        <v>99</v>
      </c>
      <c r="GSV68" s="148">
        <v>45845</v>
      </c>
      <c r="GSW68" s="143" t="s">
        <v>46</v>
      </c>
      <c r="GSX68" s="199"/>
      <c r="GSY68" s="149" t="s">
        <v>125</v>
      </c>
      <c r="GSZ68" s="197"/>
      <c r="GTA68" s="198"/>
      <c r="GTB68" s="143" t="s">
        <v>22</v>
      </c>
      <c r="GTC68" s="144">
        <v>8150</v>
      </c>
      <c r="GTD68" s="152">
        <v>85</v>
      </c>
      <c r="GTE68" s="153">
        <v>215</v>
      </c>
      <c r="GTF68" s="153">
        <v>75</v>
      </c>
      <c r="GTG68" s="152">
        <v>150</v>
      </c>
      <c r="GTH68" s="154">
        <f>SUM(GTC68:GTG68)</f>
        <v>8675</v>
      </c>
      <c r="GTI68" s="152">
        <v>200</v>
      </c>
      <c r="GTJ68" s="154">
        <f>SUM(GTH68:GTI68)</f>
        <v>8875</v>
      </c>
      <c r="GTK68" s="147" t="s">
        <v>99</v>
      </c>
      <c r="GTL68" s="148">
        <v>45845</v>
      </c>
      <c r="GTM68" s="143" t="s">
        <v>46</v>
      </c>
      <c r="GTN68" s="199"/>
      <c r="GTO68" s="149" t="s">
        <v>125</v>
      </c>
      <c r="GTP68" s="197"/>
      <c r="GTQ68" s="198"/>
      <c r="GTR68" s="143" t="s">
        <v>22</v>
      </c>
      <c r="GTS68" s="144">
        <v>8150</v>
      </c>
      <c r="GTT68" s="152">
        <v>85</v>
      </c>
      <c r="GTU68" s="153">
        <v>215</v>
      </c>
      <c r="GTV68" s="153">
        <v>75</v>
      </c>
      <c r="GTW68" s="152">
        <v>150</v>
      </c>
      <c r="GTX68" s="154">
        <f>SUM(GTS68:GTW68)</f>
        <v>8675</v>
      </c>
      <c r="GTY68" s="152">
        <v>200</v>
      </c>
      <c r="GTZ68" s="154">
        <f>SUM(GTX68:GTY68)</f>
        <v>8875</v>
      </c>
      <c r="GUA68" s="147" t="s">
        <v>99</v>
      </c>
      <c r="GUB68" s="148">
        <v>45845</v>
      </c>
      <c r="GUC68" s="143" t="s">
        <v>46</v>
      </c>
      <c r="GUD68" s="199"/>
      <c r="GUE68" s="149" t="s">
        <v>125</v>
      </c>
      <c r="GUF68" s="197"/>
      <c r="GUG68" s="198"/>
      <c r="GUH68" s="143" t="s">
        <v>22</v>
      </c>
      <c r="GUI68" s="144">
        <v>8150</v>
      </c>
      <c r="GUJ68" s="152">
        <v>85</v>
      </c>
      <c r="GUK68" s="153">
        <v>215</v>
      </c>
      <c r="GUL68" s="153">
        <v>75</v>
      </c>
      <c r="GUM68" s="152">
        <v>150</v>
      </c>
      <c r="GUN68" s="154">
        <f>SUM(GUI68:GUM68)</f>
        <v>8675</v>
      </c>
      <c r="GUO68" s="152">
        <v>200</v>
      </c>
      <c r="GUP68" s="154">
        <f>SUM(GUN68:GUO68)</f>
        <v>8875</v>
      </c>
      <c r="GUQ68" s="147" t="s">
        <v>99</v>
      </c>
      <c r="GUR68" s="148">
        <v>45845</v>
      </c>
      <c r="GUS68" s="143" t="s">
        <v>46</v>
      </c>
      <c r="GUT68" s="199"/>
      <c r="GUU68" s="149" t="s">
        <v>125</v>
      </c>
      <c r="GUV68" s="197"/>
      <c r="GUW68" s="198"/>
      <c r="GUX68" s="143" t="s">
        <v>22</v>
      </c>
      <c r="GUY68" s="144">
        <v>8150</v>
      </c>
      <c r="GUZ68" s="152">
        <v>85</v>
      </c>
      <c r="GVA68" s="153">
        <v>215</v>
      </c>
      <c r="GVB68" s="153">
        <v>75</v>
      </c>
      <c r="GVC68" s="152">
        <v>150</v>
      </c>
      <c r="GVD68" s="154">
        <f>SUM(GUY68:GVC68)</f>
        <v>8675</v>
      </c>
      <c r="GVE68" s="152">
        <v>200</v>
      </c>
      <c r="GVF68" s="154">
        <f>SUM(GVD68:GVE68)</f>
        <v>8875</v>
      </c>
      <c r="GVG68" s="147" t="s">
        <v>99</v>
      </c>
      <c r="GVH68" s="148">
        <v>45845</v>
      </c>
      <c r="GVI68" s="143" t="s">
        <v>46</v>
      </c>
      <c r="GVJ68" s="199"/>
      <c r="GVK68" s="149" t="s">
        <v>125</v>
      </c>
      <c r="GVL68" s="197"/>
      <c r="GVM68" s="198"/>
      <c r="GVN68" s="143" t="s">
        <v>22</v>
      </c>
      <c r="GVO68" s="144">
        <v>8150</v>
      </c>
      <c r="GVP68" s="152">
        <v>85</v>
      </c>
      <c r="GVQ68" s="153">
        <v>215</v>
      </c>
      <c r="GVR68" s="153">
        <v>75</v>
      </c>
      <c r="GVS68" s="152">
        <v>150</v>
      </c>
      <c r="GVT68" s="154">
        <f>SUM(GVO68:GVS68)</f>
        <v>8675</v>
      </c>
      <c r="GVU68" s="152">
        <v>200</v>
      </c>
      <c r="GVV68" s="154">
        <f>SUM(GVT68:GVU68)</f>
        <v>8875</v>
      </c>
      <c r="GVW68" s="147" t="s">
        <v>99</v>
      </c>
      <c r="GVX68" s="148">
        <v>45845</v>
      </c>
      <c r="GVY68" s="143" t="s">
        <v>46</v>
      </c>
      <c r="GVZ68" s="199"/>
      <c r="GWA68" s="149" t="s">
        <v>125</v>
      </c>
      <c r="GWB68" s="197"/>
      <c r="GWC68" s="198"/>
      <c r="GWD68" s="143" t="s">
        <v>22</v>
      </c>
      <c r="GWE68" s="144">
        <v>8150</v>
      </c>
      <c r="GWF68" s="152">
        <v>85</v>
      </c>
      <c r="GWG68" s="153">
        <v>215</v>
      </c>
      <c r="GWH68" s="153">
        <v>75</v>
      </c>
      <c r="GWI68" s="152">
        <v>150</v>
      </c>
      <c r="GWJ68" s="154">
        <f>SUM(GWE68:GWI68)</f>
        <v>8675</v>
      </c>
      <c r="GWK68" s="152">
        <v>200</v>
      </c>
      <c r="GWL68" s="154">
        <f>SUM(GWJ68:GWK68)</f>
        <v>8875</v>
      </c>
      <c r="GWM68" s="147" t="s">
        <v>99</v>
      </c>
      <c r="GWN68" s="148">
        <v>45845</v>
      </c>
      <c r="GWO68" s="143" t="s">
        <v>46</v>
      </c>
      <c r="GWP68" s="199"/>
      <c r="GWQ68" s="149" t="s">
        <v>125</v>
      </c>
      <c r="GWR68" s="197"/>
      <c r="GWS68" s="198"/>
      <c r="GWT68" s="143" t="s">
        <v>22</v>
      </c>
      <c r="GWU68" s="144">
        <v>8150</v>
      </c>
      <c r="GWV68" s="152">
        <v>85</v>
      </c>
      <c r="GWW68" s="153">
        <v>215</v>
      </c>
      <c r="GWX68" s="153">
        <v>75</v>
      </c>
      <c r="GWY68" s="152">
        <v>150</v>
      </c>
      <c r="GWZ68" s="154">
        <f>SUM(GWU68:GWY68)</f>
        <v>8675</v>
      </c>
      <c r="GXA68" s="152">
        <v>200</v>
      </c>
      <c r="GXB68" s="154">
        <f>SUM(GWZ68:GXA68)</f>
        <v>8875</v>
      </c>
      <c r="GXC68" s="147" t="s">
        <v>99</v>
      </c>
      <c r="GXD68" s="148">
        <v>45845</v>
      </c>
      <c r="GXE68" s="143" t="s">
        <v>46</v>
      </c>
      <c r="GXF68" s="199"/>
      <c r="GXG68" s="149" t="s">
        <v>125</v>
      </c>
      <c r="GXH68" s="197"/>
      <c r="GXI68" s="198"/>
      <c r="GXJ68" s="143" t="s">
        <v>22</v>
      </c>
      <c r="GXK68" s="144">
        <v>8150</v>
      </c>
      <c r="GXL68" s="152">
        <v>85</v>
      </c>
      <c r="GXM68" s="153">
        <v>215</v>
      </c>
      <c r="GXN68" s="153">
        <v>75</v>
      </c>
      <c r="GXO68" s="152">
        <v>150</v>
      </c>
      <c r="GXP68" s="154">
        <f>SUM(GXK68:GXO68)</f>
        <v>8675</v>
      </c>
      <c r="GXQ68" s="152">
        <v>200</v>
      </c>
      <c r="GXR68" s="154">
        <f>SUM(GXP68:GXQ68)</f>
        <v>8875</v>
      </c>
      <c r="GXS68" s="147" t="s">
        <v>99</v>
      </c>
      <c r="GXT68" s="148">
        <v>45845</v>
      </c>
      <c r="GXU68" s="143" t="s">
        <v>46</v>
      </c>
      <c r="GXV68" s="199"/>
      <c r="GXW68" s="149" t="s">
        <v>125</v>
      </c>
      <c r="GXX68" s="197"/>
      <c r="GXY68" s="198"/>
      <c r="GXZ68" s="143" t="s">
        <v>22</v>
      </c>
      <c r="GYA68" s="144">
        <v>8150</v>
      </c>
      <c r="GYB68" s="152">
        <v>85</v>
      </c>
      <c r="GYC68" s="153">
        <v>215</v>
      </c>
      <c r="GYD68" s="153">
        <v>75</v>
      </c>
      <c r="GYE68" s="152">
        <v>150</v>
      </c>
      <c r="GYF68" s="154">
        <f>SUM(GYA68:GYE68)</f>
        <v>8675</v>
      </c>
      <c r="GYG68" s="152">
        <v>200</v>
      </c>
      <c r="GYH68" s="154">
        <f>SUM(GYF68:GYG68)</f>
        <v>8875</v>
      </c>
      <c r="GYI68" s="147" t="s">
        <v>99</v>
      </c>
      <c r="GYJ68" s="148">
        <v>45845</v>
      </c>
      <c r="GYK68" s="143" t="s">
        <v>46</v>
      </c>
      <c r="GYL68" s="199"/>
      <c r="GYM68" s="149" t="s">
        <v>125</v>
      </c>
      <c r="GYN68" s="197"/>
      <c r="GYO68" s="198"/>
      <c r="GYP68" s="143" t="s">
        <v>22</v>
      </c>
      <c r="GYQ68" s="144">
        <v>8150</v>
      </c>
      <c r="GYR68" s="152">
        <v>85</v>
      </c>
      <c r="GYS68" s="153">
        <v>215</v>
      </c>
      <c r="GYT68" s="153">
        <v>75</v>
      </c>
      <c r="GYU68" s="152">
        <v>150</v>
      </c>
      <c r="GYV68" s="154">
        <f>SUM(GYQ68:GYU68)</f>
        <v>8675</v>
      </c>
      <c r="GYW68" s="152">
        <v>200</v>
      </c>
      <c r="GYX68" s="154">
        <f>SUM(GYV68:GYW68)</f>
        <v>8875</v>
      </c>
      <c r="GYY68" s="147" t="s">
        <v>99</v>
      </c>
      <c r="GYZ68" s="148">
        <v>45845</v>
      </c>
      <c r="GZA68" s="143" t="s">
        <v>46</v>
      </c>
      <c r="GZB68" s="199"/>
      <c r="GZC68" s="149" t="s">
        <v>125</v>
      </c>
      <c r="GZD68" s="197"/>
      <c r="GZE68" s="198"/>
      <c r="GZF68" s="143" t="s">
        <v>22</v>
      </c>
      <c r="GZG68" s="144">
        <v>8150</v>
      </c>
      <c r="GZH68" s="152">
        <v>85</v>
      </c>
      <c r="GZI68" s="153">
        <v>215</v>
      </c>
      <c r="GZJ68" s="153">
        <v>75</v>
      </c>
      <c r="GZK68" s="152">
        <v>150</v>
      </c>
      <c r="GZL68" s="154">
        <f>SUM(GZG68:GZK68)</f>
        <v>8675</v>
      </c>
      <c r="GZM68" s="152">
        <v>200</v>
      </c>
      <c r="GZN68" s="154">
        <f>SUM(GZL68:GZM68)</f>
        <v>8875</v>
      </c>
      <c r="GZO68" s="147" t="s">
        <v>99</v>
      </c>
      <c r="GZP68" s="148">
        <v>45845</v>
      </c>
      <c r="GZQ68" s="143" t="s">
        <v>46</v>
      </c>
      <c r="GZR68" s="199"/>
      <c r="GZS68" s="149" t="s">
        <v>125</v>
      </c>
      <c r="GZT68" s="197"/>
      <c r="GZU68" s="198"/>
      <c r="GZV68" s="143" t="s">
        <v>22</v>
      </c>
      <c r="GZW68" s="144">
        <v>8150</v>
      </c>
      <c r="GZX68" s="152">
        <v>85</v>
      </c>
      <c r="GZY68" s="153">
        <v>215</v>
      </c>
      <c r="GZZ68" s="153">
        <v>75</v>
      </c>
      <c r="HAA68" s="152">
        <v>150</v>
      </c>
      <c r="HAB68" s="154">
        <f>SUM(GZW68:HAA68)</f>
        <v>8675</v>
      </c>
      <c r="HAC68" s="152">
        <v>200</v>
      </c>
      <c r="HAD68" s="154">
        <f>SUM(HAB68:HAC68)</f>
        <v>8875</v>
      </c>
      <c r="HAE68" s="147" t="s">
        <v>99</v>
      </c>
      <c r="HAF68" s="148">
        <v>45845</v>
      </c>
      <c r="HAG68" s="143" t="s">
        <v>46</v>
      </c>
      <c r="HAH68" s="199"/>
      <c r="HAI68" s="149" t="s">
        <v>125</v>
      </c>
      <c r="HAJ68" s="197"/>
      <c r="HAK68" s="198"/>
      <c r="HAL68" s="143" t="s">
        <v>22</v>
      </c>
      <c r="HAM68" s="144">
        <v>8150</v>
      </c>
      <c r="HAN68" s="152">
        <v>85</v>
      </c>
      <c r="HAO68" s="153">
        <v>215</v>
      </c>
      <c r="HAP68" s="153">
        <v>75</v>
      </c>
      <c r="HAQ68" s="152">
        <v>150</v>
      </c>
      <c r="HAR68" s="154">
        <f>SUM(HAM68:HAQ68)</f>
        <v>8675</v>
      </c>
      <c r="HAS68" s="152">
        <v>200</v>
      </c>
      <c r="HAT68" s="154">
        <f>SUM(HAR68:HAS68)</f>
        <v>8875</v>
      </c>
      <c r="HAU68" s="147" t="s">
        <v>99</v>
      </c>
      <c r="HAV68" s="148">
        <v>45845</v>
      </c>
      <c r="HAW68" s="143" t="s">
        <v>46</v>
      </c>
      <c r="HAX68" s="199"/>
      <c r="HAY68" s="149" t="s">
        <v>125</v>
      </c>
      <c r="HAZ68" s="197"/>
      <c r="HBA68" s="198"/>
      <c r="HBB68" s="143" t="s">
        <v>22</v>
      </c>
      <c r="HBC68" s="144">
        <v>8150</v>
      </c>
      <c r="HBD68" s="152">
        <v>85</v>
      </c>
      <c r="HBE68" s="153">
        <v>215</v>
      </c>
      <c r="HBF68" s="153">
        <v>75</v>
      </c>
      <c r="HBG68" s="152">
        <v>150</v>
      </c>
      <c r="HBH68" s="154">
        <f>SUM(HBC68:HBG68)</f>
        <v>8675</v>
      </c>
      <c r="HBI68" s="152">
        <v>200</v>
      </c>
      <c r="HBJ68" s="154">
        <f>SUM(HBH68:HBI68)</f>
        <v>8875</v>
      </c>
      <c r="HBK68" s="147" t="s">
        <v>99</v>
      </c>
      <c r="HBL68" s="148">
        <v>45845</v>
      </c>
      <c r="HBM68" s="143" t="s">
        <v>46</v>
      </c>
      <c r="HBN68" s="199"/>
      <c r="HBO68" s="149" t="s">
        <v>125</v>
      </c>
      <c r="HBP68" s="197"/>
      <c r="HBQ68" s="198"/>
      <c r="HBR68" s="143" t="s">
        <v>22</v>
      </c>
      <c r="HBS68" s="144">
        <v>8150</v>
      </c>
      <c r="HBT68" s="152">
        <v>85</v>
      </c>
      <c r="HBU68" s="153">
        <v>215</v>
      </c>
      <c r="HBV68" s="153">
        <v>75</v>
      </c>
      <c r="HBW68" s="152">
        <v>150</v>
      </c>
      <c r="HBX68" s="154">
        <f>SUM(HBS68:HBW68)</f>
        <v>8675</v>
      </c>
      <c r="HBY68" s="152">
        <v>200</v>
      </c>
      <c r="HBZ68" s="154">
        <f>SUM(HBX68:HBY68)</f>
        <v>8875</v>
      </c>
      <c r="HCA68" s="147" t="s">
        <v>99</v>
      </c>
      <c r="HCB68" s="148">
        <v>45845</v>
      </c>
      <c r="HCC68" s="143" t="s">
        <v>46</v>
      </c>
      <c r="HCD68" s="199"/>
      <c r="HCE68" s="149" t="s">
        <v>125</v>
      </c>
      <c r="HCF68" s="197"/>
      <c r="HCG68" s="198"/>
      <c r="HCH68" s="143" t="s">
        <v>22</v>
      </c>
      <c r="HCI68" s="144">
        <v>8150</v>
      </c>
      <c r="HCJ68" s="152">
        <v>85</v>
      </c>
      <c r="HCK68" s="153">
        <v>215</v>
      </c>
      <c r="HCL68" s="153">
        <v>75</v>
      </c>
      <c r="HCM68" s="152">
        <v>150</v>
      </c>
      <c r="HCN68" s="154">
        <f>SUM(HCI68:HCM68)</f>
        <v>8675</v>
      </c>
      <c r="HCO68" s="152">
        <v>200</v>
      </c>
      <c r="HCP68" s="154">
        <f>SUM(HCN68:HCO68)</f>
        <v>8875</v>
      </c>
      <c r="HCQ68" s="147" t="s">
        <v>99</v>
      </c>
      <c r="HCR68" s="148">
        <v>45845</v>
      </c>
      <c r="HCS68" s="143" t="s">
        <v>46</v>
      </c>
      <c r="HCT68" s="199"/>
      <c r="HCU68" s="149" t="s">
        <v>125</v>
      </c>
      <c r="HCV68" s="197"/>
      <c r="HCW68" s="198"/>
      <c r="HCX68" s="143" t="s">
        <v>22</v>
      </c>
      <c r="HCY68" s="144">
        <v>8150</v>
      </c>
      <c r="HCZ68" s="152">
        <v>85</v>
      </c>
      <c r="HDA68" s="153">
        <v>215</v>
      </c>
      <c r="HDB68" s="153">
        <v>75</v>
      </c>
      <c r="HDC68" s="152">
        <v>150</v>
      </c>
      <c r="HDD68" s="154">
        <f>SUM(HCY68:HDC68)</f>
        <v>8675</v>
      </c>
      <c r="HDE68" s="152">
        <v>200</v>
      </c>
      <c r="HDF68" s="154">
        <f>SUM(HDD68:HDE68)</f>
        <v>8875</v>
      </c>
      <c r="HDG68" s="147" t="s">
        <v>99</v>
      </c>
      <c r="HDH68" s="148">
        <v>45845</v>
      </c>
      <c r="HDI68" s="143" t="s">
        <v>46</v>
      </c>
      <c r="HDJ68" s="199"/>
      <c r="HDK68" s="149" t="s">
        <v>125</v>
      </c>
      <c r="HDL68" s="197"/>
      <c r="HDM68" s="198"/>
      <c r="HDN68" s="143" t="s">
        <v>22</v>
      </c>
      <c r="HDO68" s="144">
        <v>8150</v>
      </c>
      <c r="HDP68" s="152">
        <v>85</v>
      </c>
      <c r="HDQ68" s="153">
        <v>215</v>
      </c>
      <c r="HDR68" s="153">
        <v>75</v>
      </c>
      <c r="HDS68" s="152">
        <v>150</v>
      </c>
      <c r="HDT68" s="154">
        <f>SUM(HDO68:HDS68)</f>
        <v>8675</v>
      </c>
      <c r="HDU68" s="152">
        <v>200</v>
      </c>
      <c r="HDV68" s="154">
        <f>SUM(HDT68:HDU68)</f>
        <v>8875</v>
      </c>
      <c r="HDW68" s="147" t="s">
        <v>99</v>
      </c>
      <c r="HDX68" s="148">
        <v>45845</v>
      </c>
      <c r="HDY68" s="143" t="s">
        <v>46</v>
      </c>
      <c r="HDZ68" s="199"/>
      <c r="HEA68" s="149" t="s">
        <v>125</v>
      </c>
      <c r="HEB68" s="197"/>
      <c r="HEC68" s="198"/>
      <c r="HED68" s="143" t="s">
        <v>22</v>
      </c>
      <c r="HEE68" s="144">
        <v>8150</v>
      </c>
      <c r="HEF68" s="152">
        <v>85</v>
      </c>
      <c r="HEG68" s="153">
        <v>215</v>
      </c>
      <c r="HEH68" s="153">
        <v>75</v>
      </c>
      <c r="HEI68" s="152">
        <v>150</v>
      </c>
      <c r="HEJ68" s="154">
        <f>SUM(HEE68:HEI68)</f>
        <v>8675</v>
      </c>
      <c r="HEK68" s="152">
        <v>200</v>
      </c>
      <c r="HEL68" s="154">
        <f>SUM(HEJ68:HEK68)</f>
        <v>8875</v>
      </c>
      <c r="HEM68" s="147" t="s">
        <v>99</v>
      </c>
      <c r="HEN68" s="148">
        <v>45845</v>
      </c>
      <c r="HEO68" s="143" t="s">
        <v>46</v>
      </c>
      <c r="HEP68" s="199"/>
      <c r="HEQ68" s="149" t="s">
        <v>125</v>
      </c>
      <c r="HER68" s="197"/>
      <c r="HES68" s="198"/>
      <c r="HET68" s="143" t="s">
        <v>22</v>
      </c>
      <c r="HEU68" s="144">
        <v>8150</v>
      </c>
      <c r="HEV68" s="152">
        <v>85</v>
      </c>
      <c r="HEW68" s="153">
        <v>215</v>
      </c>
      <c r="HEX68" s="153">
        <v>75</v>
      </c>
      <c r="HEY68" s="152">
        <v>150</v>
      </c>
      <c r="HEZ68" s="154">
        <f>SUM(HEU68:HEY68)</f>
        <v>8675</v>
      </c>
      <c r="HFA68" s="152">
        <v>200</v>
      </c>
      <c r="HFB68" s="154">
        <f>SUM(HEZ68:HFA68)</f>
        <v>8875</v>
      </c>
      <c r="HFC68" s="147" t="s">
        <v>99</v>
      </c>
      <c r="HFD68" s="148">
        <v>45845</v>
      </c>
      <c r="HFE68" s="143" t="s">
        <v>46</v>
      </c>
      <c r="HFF68" s="199"/>
      <c r="HFG68" s="149" t="s">
        <v>125</v>
      </c>
      <c r="HFH68" s="197"/>
      <c r="HFI68" s="198"/>
      <c r="HFJ68" s="143" t="s">
        <v>22</v>
      </c>
      <c r="HFK68" s="144">
        <v>8150</v>
      </c>
      <c r="HFL68" s="152">
        <v>85</v>
      </c>
      <c r="HFM68" s="153">
        <v>215</v>
      </c>
      <c r="HFN68" s="153">
        <v>75</v>
      </c>
      <c r="HFO68" s="152">
        <v>150</v>
      </c>
      <c r="HFP68" s="154">
        <f>SUM(HFK68:HFO68)</f>
        <v>8675</v>
      </c>
      <c r="HFQ68" s="152">
        <v>200</v>
      </c>
      <c r="HFR68" s="154">
        <f>SUM(HFP68:HFQ68)</f>
        <v>8875</v>
      </c>
      <c r="HFS68" s="147" t="s">
        <v>99</v>
      </c>
      <c r="HFT68" s="148">
        <v>45845</v>
      </c>
      <c r="HFU68" s="143" t="s">
        <v>46</v>
      </c>
      <c r="HFV68" s="199"/>
      <c r="HFW68" s="149" t="s">
        <v>125</v>
      </c>
      <c r="HFX68" s="197"/>
      <c r="HFY68" s="198"/>
      <c r="HFZ68" s="143" t="s">
        <v>22</v>
      </c>
      <c r="HGA68" s="144">
        <v>8150</v>
      </c>
      <c r="HGB68" s="152">
        <v>85</v>
      </c>
      <c r="HGC68" s="153">
        <v>215</v>
      </c>
      <c r="HGD68" s="153">
        <v>75</v>
      </c>
      <c r="HGE68" s="152">
        <v>150</v>
      </c>
      <c r="HGF68" s="154">
        <f>SUM(HGA68:HGE68)</f>
        <v>8675</v>
      </c>
      <c r="HGG68" s="152">
        <v>200</v>
      </c>
      <c r="HGH68" s="154">
        <f>SUM(HGF68:HGG68)</f>
        <v>8875</v>
      </c>
      <c r="HGI68" s="147" t="s">
        <v>99</v>
      </c>
      <c r="HGJ68" s="148">
        <v>45845</v>
      </c>
      <c r="HGK68" s="143" t="s">
        <v>46</v>
      </c>
      <c r="HGL68" s="199"/>
      <c r="HGM68" s="149" t="s">
        <v>125</v>
      </c>
      <c r="HGN68" s="197"/>
      <c r="HGO68" s="198"/>
      <c r="HGP68" s="143" t="s">
        <v>22</v>
      </c>
      <c r="HGQ68" s="144">
        <v>8150</v>
      </c>
      <c r="HGR68" s="152">
        <v>85</v>
      </c>
      <c r="HGS68" s="153">
        <v>215</v>
      </c>
      <c r="HGT68" s="153">
        <v>75</v>
      </c>
      <c r="HGU68" s="152">
        <v>150</v>
      </c>
      <c r="HGV68" s="154">
        <f>SUM(HGQ68:HGU68)</f>
        <v>8675</v>
      </c>
      <c r="HGW68" s="152">
        <v>200</v>
      </c>
      <c r="HGX68" s="154">
        <f>SUM(HGV68:HGW68)</f>
        <v>8875</v>
      </c>
      <c r="HGY68" s="147" t="s">
        <v>99</v>
      </c>
      <c r="HGZ68" s="148">
        <v>45845</v>
      </c>
      <c r="HHA68" s="143" t="s">
        <v>46</v>
      </c>
      <c r="HHB68" s="199"/>
      <c r="HHC68" s="149" t="s">
        <v>125</v>
      </c>
      <c r="HHD68" s="197"/>
      <c r="HHE68" s="198"/>
      <c r="HHF68" s="143" t="s">
        <v>22</v>
      </c>
      <c r="HHG68" s="144">
        <v>8150</v>
      </c>
      <c r="HHH68" s="152">
        <v>85</v>
      </c>
      <c r="HHI68" s="153">
        <v>215</v>
      </c>
      <c r="HHJ68" s="153">
        <v>75</v>
      </c>
      <c r="HHK68" s="152">
        <v>150</v>
      </c>
      <c r="HHL68" s="154">
        <f>SUM(HHG68:HHK68)</f>
        <v>8675</v>
      </c>
      <c r="HHM68" s="152">
        <v>200</v>
      </c>
      <c r="HHN68" s="154">
        <f>SUM(HHL68:HHM68)</f>
        <v>8875</v>
      </c>
      <c r="HHO68" s="147" t="s">
        <v>99</v>
      </c>
      <c r="HHP68" s="148">
        <v>45845</v>
      </c>
      <c r="HHQ68" s="143" t="s">
        <v>46</v>
      </c>
      <c r="HHR68" s="199"/>
      <c r="HHS68" s="149" t="s">
        <v>125</v>
      </c>
      <c r="HHT68" s="197"/>
      <c r="HHU68" s="198"/>
      <c r="HHV68" s="143" t="s">
        <v>22</v>
      </c>
      <c r="HHW68" s="144">
        <v>8150</v>
      </c>
      <c r="HHX68" s="152">
        <v>85</v>
      </c>
      <c r="HHY68" s="153">
        <v>215</v>
      </c>
      <c r="HHZ68" s="153">
        <v>75</v>
      </c>
      <c r="HIA68" s="152">
        <v>150</v>
      </c>
      <c r="HIB68" s="154">
        <f>SUM(HHW68:HIA68)</f>
        <v>8675</v>
      </c>
      <c r="HIC68" s="152">
        <v>200</v>
      </c>
      <c r="HID68" s="154">
        <f>SUM(HIB68:HIC68)</f>
        <v>8875</v>
      </c>
      <c r="HIE68" s="147" t="s">
        <v>99</v>
      </c>
      <c r="HIF68" s="148">
        <v>45845</v>
      </c>
      <c r="HIG68" s="143" t="s">
        <v>46</v>
      </c>
      <c r="HIH68" s="199"/>
      <c r="HII68" s="149" t="s">
        <v>125</v>
      </c>
      <c r="HIJ68" s="197"/>
      <c r="HIK68" s="198"/>
      <c r="HIL68" s="143" t="s">
        <v>22</v>
      </c>
      <c r="HIM68" s="144">
        <v>8150</v>
      </c>
      <c r="HIN68" s="152">
        <v>85</v>
      </c>
      <c r="HIO68" s="153">
        <v>215</v>
      </c>
      <c r="HIP68" s="153">
        <v>75</v>
      </c>
      <c r="HIQ68" s="152">
        <v>150</v>
      </c>
      <c r="HIR68" s="154">
        <f>SUM(HIM68:HIQ68)</f>
        <v>8675</v>
      </c>
      <c r="HIS68" s="152">
        <v>200</v>
      </c>
      <c r="HIT68" s="154">
        <f>SUM(HIR68:HIS68)</f>
        <v>8875</v>
      </c>
      <c r="HIU68" s="147" t="s">
        <v>99</v>
      </c>
      <c r="HIV68" s="148">
        <v>45845</v>
      </c>
      <c r="HIW68" s="143" t="s">
        <v>46</v>
      </c>
      <c r="HIX68" s="199"/>
      <c r="HIY68" s="149" t="s">
        <v>125</v>
      </c>
      <c r="HIZ68" s="197"/>
      <c r="HJA68" s="198"/>
      <c r="HJB68" s="143" t="s">
        <v>22</v>
      </c>
      <c r="HJC68" s="144">
        <v>8150</v>
      </c>
      <c r="HJD68" s="152">
        <v>85</v>
      </c>
      <c r="HJE68" s="153">
        <v>215</v>
      </c>
      <c r="HJF68" s="153">
        <v>75</v>
      </c>
      <c r="HJG68" s="152">
        <v>150</v>
      </c>
      <c r="HJH68" s="154">
        <f>SUM(HJC68:HJG68)</f>
        <v>8675</v>
      </c>
      <c r="HJI68" s="152">
        <v>200</v>
      </c>
      <c r="HJJ68" s="154">
        <f>SUM(HJH68:HJI68)</f>
        <v>8875</v>
      </c>
      <c r="HJK68" s="147" t="s">
        <v>99</v>
      </c>
      <c r="HJL68" s="148">
        <v>45845</v>
      </c>
      <c r="HJM68" s="143" t="s">
        <v>46</v>
      </c>
      <c r="HJN68" s="199"/>
      <c r="HJO68" s="149" t="s">
        <v>125</v>
      </c>
      <c r="HJP68" s="197"/>
      <c r="HJQ68" s="198"/>
      <c r="HJR68" s="143" t="s">
        <v>22</v>
      </c>
      <c r="HJS68" s="144">
        <v>8150</v>
      </c>
      <c r="HJT68" s="152">
        <v>85</v>
      </c>
      <c r="HJU68" s="153">
        <v>215</v>
      </c>
      <c r="HJV68" s="153">
        <v>75</v>
      </c>
      <c r="HJW68" s="152">
        <v>150</v>
      </c>
      <c r="HJX68" s="154">
        <f>SUM(HJS68:HJW68)</f>
        <v>8675</v>
      </c>
      <c r="HJY68" s="152">
        <v>200</v>
      </c>
      <c r="HJZ68" s="154">
        <f>SUM(HJX68:HJY68)</f>
        <v>8875</v>
      </c>
      <c r="HKA68" s="147" t="s">
        <v>99</v>
      </c>
      <c r="HKB68" s="148">
        <v>45845</v>
      </c>
      <c r="HKC68" s="143" t="s">
        <v>46</v>
      </c>
      <c r="HKD68" s="199"/>
      <c r="HKE68" s="149" t="s">
        <v>125</v>
      </c>
      <c r="HKF68" s="197"/>
      <c r="HKG68" s="198"/>
      <c r="HKH68" s="143" t="s">
        <v>22</v>
      </c>
      <c r="HKI68" s="144">
        <v>8150</v>
      </c>
      <c r="HKJ68" s="152">
        <v>85</v>
      </c>
      <c r="HKK68" s="153">
        <v>215</v>
      </c>
      <c r="HKL68" s="153">
        <v>75</v>
      </c>
      <c r="HKM68" s="152">
        <v>150</v>
      </c>
      <c r="HKN68" s="154">
        <f>SUM(HKI68:HKM68)</f>
        <v>8675</v>
      </c>
      <c r="HKO68" s="152">
        <v>200</v>
      </c>
      <c r="HKP68" s="154">
        <f>SUM(HKN68:HKO68)</f>
        <v>8875</v>
      </c>
      <c r="HKQ68" s="147" t="s">
        <v>99</v>
      </c>
      <c r="HKR68" s="148">
        <v>45845</v>
      </c>
      <c r="HKS68" s="143" t="s">
        <v>46</v>
      </c>
      <c r="HKT68" s="199"/>
      <c r="HKU68" s="149" t="s">
        <v>125</v>
      </c>
      <c r="HKV68" s="197"/>
      <c r="HKW68" s="198"/>
      <c r="HKX68" s="143" t="s">
        <v>22</v>
      </c>
      <c r="HKY68" s="144">
        <v>8150</v>
      </c>
      <c r="HKZ68" s="152">
        <v>85</v>
      </c>
      <c r="HLA68" s="153">
        <v>215</v>
      </c>
      <c r="HLB68" s="153">
        <v>75</v>
      </c>
      <c r="HLC68" s="152">
        <v>150</v>
      </c>
      <c r="HLD68" s="154">
        <f>SUM(HKY68:HLC68)</f>
        <v>8675</v>
      </c>
      <c r="HLE68" s="152">
        <v>200</v>
      </c>
      <c r="HLF68" s="154">
        <f>SUM(HLD68:HLE68)</f>
        <v>8875</v>
      </c>
      <c r="HLG68" s="147" t="s">
        <v>99</v>
      </c>
      <c r="HLH68" s="148">
        <v>45845</v>
      </c>
      <c r="HLI68" s="143" t="s">
        <v>46</v>
      </c>
      <c r="HLJ68" s="199"/>
      <c r="HLK68" s="149" t="s">
        <v>125</v>
      </c>
      <c r="HLL68" s="197"/>
      <c r="HLM68" s="198"/>
      <c r="HLN68" s="143" t="s">
        <v>22</v>
      </c>
      <c r="HLO68" s="144">
        <v>8150</v>
      </c>
      <c r="HLP68" s="152">
        <v>85</v>
      </c>
      <c r="HLQ68" s="153">
        <v>215</v>
      </c>
      <c r="HLR68" s="153">
        <v>75</v>
      </c>
      <c r="HLS68" s="152">
        <v>150</v>
      </c>
      <c r="HLT68" s="154">
        <f>SUM(HLO68:HLS68)</f>
        <v>8675</v>
      </c>
      <c r="HLU68" s="152">
        <v>200</v>
      </c>
      <c r="HLV68" s="154">
        <f>SUM(HLT68:HLU68)</f>
        <v>8875</v>
      </c>
      <c r="HLW68" s="147" t="s">
        <v>99</v>
      </c>
      <c r="HLX68" s="148">
        <v>45845</v>
      </c>
      <c r="HLY68" s="143" t="s">
        <v>46</v>
      </c>
      <c r="HLZ68" s="199"/>
      <c r="HMA68" s="149" t="s">
        <v>125</v>
      </c>
      <c r="HMB68" s="197"/>
      <c r="HMC68" s="198"/>
      <c r="HMD68" s="143" t="s">
        <v>22</v>
      </c>
      <c r="HME68" s="144">
        <v>8150</v>
      </c>
      <c r="HMF68" s="152">
        <v>85</v>
      </c>
      <c r="HMG68" s="153">
        <v>215</v>
      </c>
      <c r="HMH68" s="153">
        <v>75</v>
      </c>
      <c r="HMI68" s="152">
        <v>150</v>
      </c>
      <c r="HMJ68" s="154">
        <f>SUM(HME68:HMI68)</f>
        <v>8675</v>
      </c>
      <c r="HMK68" s="152">
        <v>200</v>
      </c>
      <c r="HML68" s="154">
        <f>SUM(HMJ68:HMK68)</f>
        <v>8875</v>
      </c>
      <c r="HMM68" s="147" t="s">
        <v>99</v>
      </c>
      <c r="HMN68" s="148">
        <v>45845</v>
      </c>
      <c r="HMO68" s="143" t="s">
        <v>46</v>
      </c>
      <c r="HMP68" s="199"/>
      <c r="HMQ68" s="149" t="s">
        <v>125</v>
      </c>
      <c r="HMR68" s="197"/>
      <c r="HMS68" s="198"/>
      <c r="HMT68" s="143" t="s">
        <v>22</v>
      </c>
      <c r="HMU68" s="144">
        <v>8150</v>
      </c>
      <c r="HMV68" s="152">
        <v>85</v>
      </c>
      <c r="HMW68" s="153">
        <v>215</v>
      </c>
      <c r="HMX68" s="153">
        <v>75</v>
      </c>
      <c r="HMY68" s="152">
        <v>150</v>
      </c>
      <c r="HMZ68" s="154">
        <f>SUM(HMU68:HMY68)</f>
        <v>8675</v>
      </c>
      <c r="HNA68" s="152">
        <v>200</v>
      </c>
      <c r="HNB68" s="154">
        <f>SUM(HMZ68:HNA68)</f>
        <v>8875</v>
      </c>
      <c r="HNC68" s="147" t="s">
        <v>99</v>
      </c>
      <c r="HND68" s="148">
        <v>45845</v>
      </c>
      <c r="HNE68" s="143" t="s">
        <v>46</v>
      </c>
      <c r="HNF68" s="199"/>
      <c r="HNG68" s="149" t="s">
        <v>125</v>
      </c>
      <c r="HNH68" s="197"/>
      <c r="HNI68" s="198"/>
      <c r="HNJ68" s="143" t="s">
        <v>22</v>
      </c>
      <c r="HNK68" s="144">
        <v>8150</v>
      </c>
      <c r="HNL68" s="152">
        <v>85</v>
      </c>
      <c r="HNM68" s="153">
        <v>215</v>
      </c>
      <c r="HNN68" s="153">
        <v>75</v>
      </c>
      <c r="HNO68" s="152">
        <v>150</v>
      </c>
      <c r="HNP68" s="154">
        <f>SUM(HNK68:HNO68)</f>
        <v>8675</v>
      </c>
      <c r="HNQ68" s="152">
        <v>200</v>
      </c>
      <c r="HNR68" s="154">
        <f>SUM(HNP68:HNQ68)</f>
        <v>8875</v>
      </c>
      <c r="HNS68" s="147" t="s">
        <v>99</v>
      </c>
      <c r="HNT68" s="148">
        <v>45845</v>
      </c>
      <c r="HNU68" s="143" t="s">
        <v>46</v>
      </c>
      <c r="HNV68" s="199"/>
      <c r="HNW68" s="149" t="s">
        <v>125</v>
      </c>
      <c r="HNX68" s="197"/>
      <c r="HNY68" s="198"/>
      <c r="HNZ68" s="143" t="s">
        <v>22</v>
      </c>
      <c r="HOA68" s="144">
        <v>8150</v>
      </c>
      <c r="HOB68" s="152">
        <v>85</v>
      </c>
      <c r="HOC68" s="153">
        <v>215</v>
      </c>
      <c r="HOD68" s="153">
        <v>75</v>
      </c>
      <c r="HOE68" s="152">
        <v>150</v>
      </c>
      <c r="HOF68" s="154">
        <f>SUM(HOA68:HOE68)</f>
        <v>8675</v>
      </c>
      <c r="HOG68" s="152">
        <v>200</v>
      </c>
      <c r="HOH68" s="154">
        <f>SUM(HOF68:HOG68)</f>
        <v>8875</v>
      </c>
      <c r="HOI68" s="147" t="s">
        <v>99</v>
      </c>
      <c r="HOJ68" s="148">
        <v>45845</v>
      </c>
      <c r="HOK68" s="143" t="s">
        <v>46</v>
      </c>
      <c r="HOL68" s="199"/>
      <c r="HOM68" s="149" t="s">
        <v>125</v>
      </c>
      <c r="HON68" s="197"/>
      <c r="HOO68" s="198"/>
      <c r="HOP68" s="143" t="s">
        <v>22</v>
      </c>
      <c r="HOQ68" s="144">
        <v>8150</v>
      </c>
      <c r="HOR68" s="152">
        <v>85</v>
      </c>
      <c r="HOS68" s="153">
        <v>215</v>
      </c>
      <c r="HOT68" s="153">
        <v>75</v>
      </c>
      <c r="HOU68" s="152">
        <v>150</v>
      </c>
      <c r="HOV68" s="154">
        <f>SUM(HOQ68:HOU68)</f>
        <v>8675</v>
      </c>
      <c r="HOW68" s="152">
        <v>200</v>
      </c>
      <c r="HOX68" s="154">
        <f>SUM(HOV68:HOW68)</f>
        <v>8875</v>
      </c>
      <c r="HOY68" s="147" t="s">
        <v>99</v>
      </c>
      <c r="HOZ68" s="148">
        <v>45845</v>
      </c>
      <c r="HPA68" s="143" t="s">
        <v>46</v>
      </c>
      <c r="HPB68" s="199"/>
      <c r="HPC68" s="149" t="s">
        <v>125</v>
      </c>
      <c r="HPD68" s="197"/>
      <c r="HPE68" s="198"/>
      <c r="HPF68" s="143" t="s">
        <v>22</v>
      </c>
      <c r="HPG68" s="144">
        <v>8150</v>
      </c>
      <c r="HPH68" s="152">
        <v>85</v>
      </c>
      <c r="HPI68" s="153">
        <v>215</v>
      </c>
      <c r="HPJ68" s="153">
        <v>75</v>
      </c>
      <c r="HPK68" s="152">
        <v>150</v>
      </c>
      <c r="HPL68" s="154">
        <f>SUM(HPG68:HPK68)</f>
        <v>8675</v>
      </c>
      <c r="HPM68" s="152">
        <v>200</v>
      </c>
      <c r="HPN68" s="154">
        <f>SUM(HPL68:HPM68)</f>
        <v>8875</v>
      </c>
      <c r="HPO68" s="147" t="s">
        <v>99</v>
      </c>
      <c r="HPP68" s="148">
        <v>45845</v>
      </c>
      <c r="HPQ68" s="143" t="s">
        <v>46</v>
      </c>
      <c r="HPR68" s="199"/>
      <c r="HPS68" s="149" t="s">
        <v>125</v>
      </c>
      <c r="HPT68" s="197"/>
      <c r="HPU68" s="198"/>
      <c r="HPV68" s="143" t="s">
        <v>22</v>
      </c>
      <c r="HPW68" s="144">
        <v>8150</v>
      </c>
      <c r="HPX68" s="152">
        <v>85</v>
      </c>
      <c r="HPY68" s="153">
        <v>215</v>
      </c>
      <c r="HPZ68" s="153">
        <v>75</v>
      </c>
      <c r="HQA68" s="152">
        <v>150</v>
      </c>
      <c r="HQB68" s="154">
        <f>SUM(HPW68:HQA68)</f>
        <v>8675</v>
      </c>
      <c r="HQC68" s="152">
        <v>200</v>
      </c>
      <c r="HQD68" s="154">
        <f>SUM(HQB68:HQC68)</f>
        <v>8875</v>
      </c>
      <c r="HQE68" s="147" t="s">
        <v>99</v>
      </c>
      <c r="HQF68" s="148">
        <v>45845</v>
      </c>
      <c r="HQG68" s="143" t="s">
        <v>46</v>
      </c>
      <c r="HQH68" s="199"/>
      <c r="HQI68" s="149" t="s">
        <v>125</v>
      </c>
      <c r="HQJ68" s="197"/>
      <c r="HQK68" s="198"/>
      <c r="HQL68" s="143" t="s">
        <v>22</v>
      </c>
      <c r="HQM68" s="144">
        <v>8150</v>
      </c>
      <c r="HQN68" s="152">
        <v>85</v>
      </c>
      <c r="HQO68" s="153">
        <v>215</v>
      </c>
      <c r="HQP68" s="153">
        <v>75</v>
      </c>
      <c r="HQQ68" s="152">
        <v>150</v>
      </c>
      <c r="HQR68" s="154">
        <f>SUM(HQM68:HQQ68)</f>
        <v>8675</v>
      </c>
      <c r="HQS68" s="152">
        <v>200</v>
      </c>
      <c r="HQT68" s="154">
        <f>SUM(HQR68:HQS68)</f>
        <v>8875</v>
      </c>
      <c r="HQU68" s="147" t="s">
        <v>99</v>
      </c>
      <c r="HQV68" s="148">
        <v>45845</v>
      </c>
      <c r="HQW68" s="143" t="s">
        <v>46</v>
      </c>
      <c r="HQX68" s="199"/>
      <c r="HQY68" s="149" t="s">
        <v>125</v>
      </c>
      <c r="HQZ68" s="197"/>
      <c r="HRA68" s="198"/>
      <c r="HRB68" s="143" t="s">
        <v>22</v>
      </c>
      <c r="HRC68" s="144">
        <v>8150</v>
      </c>
      <c r="HRD68" s="152">
        <v>85</v>
      </c>
      <c r="HRE68" s="153">
        <v>215</v>
      </c>
      <c r="HRF68" s="153">
        <v>75</v>
      </c>
      <c r="HRG68" s="152">
        <v>150</v>
      </c>
      <c r="HRH68" s="154">
        <f>SUM(HRC68:HRG68)</f>
        <v>8675</v>
      </c>
      <c r="HRI68" s="152">
        <v>200</v>
      </c>
      <c r="HRJ68" s="154">
        <f>SUM(HRH68:HRI68)</f>
        <v>8875</v>
      </c>
      <c r="HRK68" s="147" t="s">
        <v>99</v>
      </c>
      <c r="HRL68" s="148">
        <v>45845</v>
      </c>
      <c r="HRM68" s="143" t="s">
        <v>46</v>
      </c>
      <c r="HRN68" s="199"/>
      <c r="HRO68" s="149" t="s">
        <v>125</v>
      </c>
      <c r="HRP68" s="197"/>
      <c r="HRQ68" s="198"/>
      <c r="HRR68" s="143" t="s">
        <v>22</v>
      </c>
      <c r="HRS68" s="144">
        <v>8150</v>
      </c>
      <c r="HRT68" s="152">
        <v>85</v>
      </c>
      <c r="HRU68" s="153">
        <v>215</v>
      </c>
      <c r="HRV68" s="153">
        <v>75</v>
      </c>
      <c r="HRW68" s="152">
        <v>150</v>
      </c>
      <c r="HRX68" s="154">
        <f>SUM(HRS68:HRW68)</f>
        <v>8675</v>
      </c>
      <c r="HRY68" s="152">
        <v>200</v>
      </c>
      <c r="HRZ68" s="154">
        <f>SUM(HRX68:HRY68)</f>
        <v>8875</v>
      </c>
      <c r="HSA68" s="147" t="s">
        <v>99</v>
      </c>
      <c r="HSB68" s="148">
        <v>45845</v>
      </c>
      <c r="HSC68" s="143" t="s">
        <v>46</v>
      </c>
      <c r="HSD68" s="199"/>
      <c r="HSE68" s="149" t="s">
        <v>125</v>
      </c>
      <c r="HSF68" s="197"/>
      <c r="HSG68" s="198"/>
      <c r="HSH68" s="143" t="s">
        <v>22</v>
      </c>
      <c r="HSI68" s="144">
        <v>8150</v>
      </c>
      <c r="HSJ68" s="152">
        <v>85</v>
      </c>
      <c r="HSK68" s="153">
        <v>215</v>
      </c>
      <c r="HSL68" s="153">
        <v>75</v>
      </c>
      <c r="HSM68" s="152">
        <v>150</v>
      </c>
      <c r="HSN68" s="154">
        <f>SUM(HSI68:HSM68)</f>
        <v>8675</v>
      </c>
      <c r="HSO68" s="152">
        <v>200</v>
      </c>
      <c r="HSP68" s="154">
        <f>SUM(HSN68:HSO68)</f>
        <v>8875</v>
      </c>
      <c r="HSQ68" s="147" t="s">
        <v>99</v>
      </c>
      <c r="HSR68" s="148">
        <v>45845</v>
      </c>
      <c r="HSS68" s="143" t="s">
        <v>46</v>
      </c>
      <c r="HST68" s="199"/>
      <c r="HSU68" s="149" t="s">
        <v>125</v>
      </c>
      <c r="HSV68" s="197"/>
      <c r="HSW68" s="198"/>
      <c r="HSX68" s="143" t="s">
        <v>22</v>
      </c>
      <c r="HSY68" s="144">
        <v>8150</v>
      </c>
      <c r="HSZ68" s="152">
        <v>85</v>
      </c>
      <c r="HTA68" s="153">
        <v>215</v>
      </c>
      <c r="HTB68" s="153">
        <v>75</v>
      </c>
      <c r="HTC68" s="152">
        <v>150</v>
      </c>
      <c r="HTD68" s="154">
        <f>SUM(HSY68:HTC68)</f>
        <v>8675</v>
      </c>
      <c r="HTE68" s="152">
        <v>200</v>
      </c>
      <c r="HTF68" s="154">
        <f>SUM(HTD68:HTE68)</f>
        <v>8875</v>
      </c>
      <c r="HTG68" s="147" t="s">
        <v>99</v>
      </c>
      <c r="HTH68" s="148">
        <v>45845</v>
      </c>
      <c r="HTI68" s="143" t="s">
        <v>46</v>
      </c>
      <c r="HTJ68" s="199"/>
      <c r="HTK68" s="149" t="s">
        <v>125</v>
      </c>
      <c r="HTL68" s="197"/>
      <c r="HTM68" s="198"/>
      <c r="HTN68" s="143" t="s">
        <v>22</v>
      </c>
      <c r="HTO68" s="144">
        <v>8150</v>
      </c>
      <c r="HTP68" s="152">
        <v>85</v>
      </c>
      <c r="HTQ68" s="153">
        <v>215</v>
      </c>
      <c r="HTR68" s="153">
        <v>75</v>
      </c>
      <c r="HTS68" s="152">
        <v>150</v>
      </c>
      <c r="HTT68" s="154">
        <f>SUM(HTO68:HTS68)</f>
        <v>8675</v>
      </c>
      <c r="HTU68" s="152">
        <v>200</v>
      </c>
      <c r="HTV68" s="154">
        <f>SUM(HTT68:HTU68)</f>
        <v>8875</v>
      </c>
      <c r="HTW68" s="147" t="s">
        <v>99</v>
      </c>
      <c r="HTX68" s="148">
        <v>45845</v>
      </c>
      <c r="HTY68" s="143" t="s">
        <v>46</v>
      </c>
      <c r="HTZ68" s="199"/>
      <c r="HUA68" s="149" t="s">
        <v>125</v>
      </c>
      <c r="HUB68" s="197"/>
      <c r="HUC68" s="198"/>
      <c r="HUD68" s="143" t="s">
        <v>22</v>
      </c>
      <c r="HUE68" s="144">
        <v>8150</v>
      </c>
      <c r="HUF68" s="152">
        <v>85</v>
      </c>
      <c r="HUG68" s="153">
        <v>215</v>
      </c>
      <c r="HUH68" s="153">
        <v>75</v>
      </c>
      <c r="HUI68" s="152">
        <v>150</v>
      </c>
      <c r="HUJ68" s="154">
        <f>SUM(HUE68:HUI68)</f>
        <v>8675</v>
      </c>
      <c r="HUK68" s="152">
        <v>200</v>
      </c>
      <c r="HUL68" s="154">
        <f>SUM(HUJ68:HUK68)</f>
        <v>8875</v>
      </c>
      <c r="HUM68" s="147" t="s">
        <v>99</v>
      </c>
      <c r="HUN68" s="148">
        <v>45845</v>
      </c>
      <c r="HUO68" s="143" t="s">
        <v>46</v>
      </c>
      <c r="HUP68" s="199"/>
      <c r="HUQ68" s="149" t="s">
        <v>125</v>
      </c>
      <c r="HUR68" s="197"/>
      <c r="HUS68" s="198"/>
      <c r="HUT68" s="143" t="s">
        <v>22</v>
      </c>
      <c r="HUU68" s="144">
        <v>8150</v>
      </c>
      <c r="HUV68" s="152">
        <v>85</v>
      </c>
      <c r="HUW68" s="153">
        <v>215</v>
      </c>
      <c r="HUX68" s="153">
        <v>75</v>
      </c>
      <c r="HUY68" s="152">
        <v>150</v>
      </c>
      <c r="HUZ68" s="154">
        <f>SUM(HUU68:HUY68)</f>
        <v>8675</v>
      </c>
      <c r="HVA68" s="152">
        <v>200</v>
      </c>
      <c r="HVB68" s="154">
        <f>SUM(HUZ68:HVA68)</f>
        <v>8875</v>
      </c>
      <c r="HVC68" s="147" t="s">
        <v>99</v>
      </c>
      <c r="HVD68" s="148">
        <v>45845</v>
      </c>
      <c r="HVE68" s="143" t="s">
        <v>46</v>
      </c>
      <c r="HVF68" s="199"/>
      <c r="HVG68" s="149" t="s">
        <v>125</v>
      </c>
      <c r="HVH68" s="197"/>
      <c r="HVI68" s="198"/>
      <c r="HVJ68" s="143" t="s">
        <v>22</v>
      </c>
      <c r="HVK68" s="144">
        <v>8150</v>
      </c>
      <c r="HVL68" s="152">
        <v>85</v>
      </c>
      <c r="HVM68" s="153">
        <v>215</v>
      </c>
      <c r="HVN68" s="153">
        <v>75</v>
      </c>
      <c r="HVO68" s="152">
        <v>150</v>
      </c>
      <c r="HVP68" s="154">
        <f>SUM(HVK68:HVO68)</f>
        <v>8675</v>
      </c>
      <c r="HVQ68" s="152">
        <v>200</v>
      </c>
      <c r="HVR68" s="154">
        <f>SUM(HVP68:HVQ68)</f>
        <v>8875</v>
      </c>
      <c r="HVS68" s="147" t="s">
        <v>99</v>
      </c>
      <c r="HVT68" s="148">
        <v>45845</v>
      </c>
      <c r="HVU68" s="143" t="s">
        <v>46</v>
      </c>
      <c r="HVV68" s="199"/>
      <c r="HVW68" s="149" t="s">
        <v>125</v>
      </c>
      <c r="HVX68" s="197"/>
      <c r="HVY68" s="198"/>
      <c r="HVZ68" s="143" t="s">
        <v>22</v>
      </c>
      <c r="HWA68" s="144">
        <v>8150</v>
      </c>
      <c r="HWB68" s="152">
        <v>85</v>
      </c>
      <c r="HWC68" s="153">
        <v>215</v>
      </c>
      <c r="HWD68" s="153">
        <v>75</v>
      </c>
      <c r="HWE68" s="152">
        <v>150</v>
      </c>
      <c r="HWF68" s="154">
        <f>SUM(HWA68:HWE68)</f>
        <v>8675</v>
      </c>
      <c r="HWG68" s="152">
        <v>200</v>
      </c>
      <c r="HWH68" s="154">
        <f>SUM(HWF68:HWG68)</f>
        <v>8875</v>
      </c>
      <c r="HWI68" s="147" t="s">
        <v>99</v>
      </c>
      <c r="HWJ68" s="148">
        <v>45845</v>
      </c>
      <c r="HWK68" s="143" t="s">
        <v>46</v>
      </c>
      <c r="HWL68" s="199"/>
      <c r="HWM68" s="149" t="s">
        <v>125</v>
      </c>
      <c r="HWN68" s="197"/>
      <c r="HWO68" s="198"/>
      <c r="HWP68" s="143" t="s">
        <v>22</v>
      </c>
      <c r="HWQ68" s="144">
        <v>8150</v>
      </c>
      <c r="HWR68" s="152">
        <v>85</v>
      </c>
      <c r="HWS68" s="153">
        <v>215</v>
      </c>
      <c r="HWT68" s="153">
        <v>75</v>
      </c>
      <c r="HWU68" s="152">
        <v>150</v>
      </c>
      <c r="HWV68" s="154">
        <f>SUM(HWQ68:HWU68)</f>
        <v>8675</v>
      </c>
      <c r="HWW68" s="152">
        <v>200</v>
      </c>
      <c r="HWX68" s="154">
        <f>SUM(HWV68:HWW68)</f>
        <v>8875</v>
      </c>
      <c r="HWY68" s="147" t="s">
        <v>99</v>
      </c>
      <c r="HWZ68" s="148">
        <v>45845</v>
      </c>
      <c r="HXA68" s="143" t="s">
        <v>46</v>
      </c>
      <c r="HXB68" s="199"/>
      <c r="HXC68" s="149" t="s">
        <v>125</v>
      </c>
      <c r="HXD68" s="197"/>
      <c r="HXE68" s="198"/>
      <c r="HXF68" s="143" t="s">
        <v>22</v>
      </c>
      <c r="HXG68" s="144">
        <v>8150</v>
      </c>
      <c r="HXH68" s="152">
        <v>85</v>
      </c>
      <c r="HXI68" s="153">
        <v>215</v>
      </c>
      <c r="HXJ68" s="153">
        <v>75</v>
      </c>
      <c r="HXK68" s="152">
        <v>150</v>
      </c>
      <c r="HXL68" s="154">
        <f>SUM(HXG68:HXK68)</f>
        <v>8675</v>
      </c>
      <c r="HXM68" s="152">
        <v>200</v>
      </c>
      <c r="HXN68" s="154">
        <f>SUM(HXL68:HXM68)</f>
        <v>8875</v>
      </c>
      <c r="HXO68" s="147" t="s">
        <v>99</v>
      </c>
      <c r="HXP68" s="148">
        <v>45845</v>
      </c>
      <c r="HXQ68" s="143" t="s">
        <v>46</v>
      </c>
      <c r="HXR68" s="199"/>
      <c r="HXS68" s="149" t="s">
        <v>125</v>
      </c>
      <c r="HXT68" s="197"/>
      <c r="HXU68" s="198"/>
      <c r="HXV68" s="143" t="s">
        <v>22</v>
      </c>
      <c r="HXW68" s="144">
        <v>8150</v>
      </c>
      <c r="HXX68" s="152">
        <v>85</v>
      </c>
      <c r="HXY68" s="153">
        <v>215</v>
      </c>
      <c r="HXZ68" s="153">
        <v>75</v>
      </c>
      <c r="HYA68" s="152">
        <v>150</v>
      </c>
      <c r="HYB68" s="154">
        <f>SUM(HXW68:HYA68)</f>
        <v>8675</v>
      </c>
      <c r="HYC68" s="152">
        <v>200</v>
      </c>
      <c r="HYD68" s="154">
        <f>SUM(HYB68:HYC68)</f>
        <v>8875</v>
      </c>
      <c r="HYE68" s="147" t="s">
        <v>99</v>
      </c>
      <c r="HYF68" s="148">
        <v>45845</v>
      </c>
      <c r="HYG68" s="143" t="s">
        <v>46</v>
      </c>
      <c r="HYH68" s="199"/>
      <c r="HYI68" s="149" t="s">
        <v>125</v>
      </c>
      <c r="HYJ68" s="197"/>
      <c r="HYK68" s="198"/>
      <c r="HYL68" s="143" t="s">
        <v>22</v>
      </c>
      <c r="HYM68" s="144">
        <v>8150</v>
      </c>
      <c r="HYN68" s="152">
        <v>85</v>
      </c>
      <c r="HYO68" s="153">
        <v>215</v>
      </c>
      <c r="HYP68" s="153">
        <v>75</v>
      </c>
      <c r="HYQ68" s="152">
        <v>150</v>
      </c>
      <c r="HYR68" s="154">
        <f>SUM(HYM68:HYQ68)</f>
        <v>8675</v>
      </c>
      <c r="HYS68" s="152">
        <v>200</v>
      </c>
      <c r="HYT68" s="154">
        <f>SUM(HYR68:HYS68)</f>
        <v>8875</v>
      </c>
      <c r="HYU68" s="147" t="s">
        <v>99</v>
      </c>
      <c r="HYV68" s="148">
        <v>45845</v>
      </c>
      <c r="HYW68" s="143" t="s">
        <v>46</v>
      </c>
      <c r="HYX68" s="199"/>
      <c r="HYY68" s="149" t="s">
        <v>125</v>
      </c>
      <c r="HYZ68" s="197"/>
      <c r="HZA68" s="198"/>
      <c r="HZB68" s="143" t="s">
        <v>22</v>
      </c>
      <c r="HZC68" s="144">
        <v>8150</v>
      </c>
      <c r="HZD68" s="152">
        <v>85</v>
      </c>
      <c r="HZE68" s="153">
        <v>215</v>
      </c>
      <c r="HZF68" s="153">
        <v>75</v>
      </c>
      <c r="HZG68" s="152">
        <v>150</v>
      </c>
      <c r="HZH68" s="154">
        <f>SUM(HZC68:HZG68)</f>
        <v>8675</v>
      </c>
      <c r="HZI68" s="152">
        <v>200</v>
      </c>
      <c r="HZJ68" s="154">
        <f>SUM(HZH68:HZI68)</f>
        <v>8875</v>
      </c>
      <c r="HZK68" s="147" t="s">
        <v>99</v>
      </c>
      <c r="HZL68" s="148">
        <v>45845</v>
      </c>
      <c r="HZM68" s="143" t="s">
        <v>46</v>
      </c>
      <c r="HZN68" s="199"/>
      <c r="HZO68" s="149" t="s">
        <v>125</v>
      </c>
      <c r="HZP68" s="197"/>
      <c r="HZQ68" s="198"/>
      <c r="HZR68" s="143" t="s">
        <v>22</v>
      </c>
      <c r="HZS68" s="144">
        <v>8150</v>
      </c>
      <c r="HZT68" s="152">
        <v>85</v>
      </c>
      <c r="HZU68" s="153">
        <v>215</v>
      </c>
      <c r="HZV68" s="153">
        <v>75</v>
      </c>
      <c r="HZW68" s="152">
        <v>150</v>
      </c>
      <c r="HZX68" s="154">
        <f>SUM(HZS68:HZW68)</f>
        <v>8675</v>
      </c>
      <c r="HZY68" s="152">
        <v>200</v>
      </c>
      <c r="HZZ68" s="154">
        <f>SUM(HZX68:HZY68)</f>
        <v>8875</v>
      </c>
      <c r="IAA68" s="147" t="s">
        <v>99</v>
      </c>
      <c r="IAB68" s="148">
        <v>45845</v>
      </c>
      <c r="IAC68" s="143" t="s">
        <v>46</v>
      </c>
      <c r="IAD68" s="199"/>
      <c r="IAE68" s="149" t="s">
        <v>125</v>
      </c>
      <c r="IAF68" s="197"/>
      <c r="IAG68" s="198"/>
      <c r="IAH68" s="143" t="s">
        <v>22</v>
      </c>
      <c r="IAI68" s="144">
        <v>8150</v>
      </c>
      <c r="IAJ68" s="152">
        <v>85</v>
      </c>
      <c r="IAK68" s="153">
        <v>215</v>
      </c>
      <c r="IAL68" s="153">
        <v>75</v>
      </c>
      <c r="IAM68" s="152">
        <v>150</v>
      </c>
      <c r="IAN68" s="154">
        <f>SUM(IAI68:IAM68)</f>
        <v>8675</v>
      </c>
      <c r="IAO68" s="152">
        <v>200</v>
      </c>
      <c r="IAP68" s="154">
        <f>SUM(IAN68:IAO68)</f>
        <v>8875</v>
      </c>
      <c r="IAQ68" s="147" t="s">
        <v>99</v>
      </c>
      <c r="IAR68" s="148">
        <v>45845</v>
      </c>
      <c r="IAS68" s="143" t="s">
        <v>46</v>
      </c>
      <c r="IAT68" s="199"/>
      <c r="IAU68" s="149" t="s">
        <v>125</v>
      </c>
      <c r="IAV68" s="197"/>
      <c r="IAW68" s="198"/>
      <c r="IAX68" s="143" t="s">
        <v>22</v>
      </c>
      <c r="IAY68" s="144">
        <v>8150</v>
      </c>
      <c r="IAZ68" s="152">
        <v>85</v>
      </c>
      <c r="IBA68" s="153">
        <v>215</v>
      </c>
      <c r="IBB68" s="153">
        <v>75</v>
      </c>
      <c r="IBC68" s="152">
        <v>150</v>
      </c>
      <c r="IBD68" s="154">
        <f>SUM(IAY68:IBC68)</f>
        <v>8675</v>
      </c>
      <c r="IBE68" s="152">
        <v>200</v>
      </c>
      <c r="IBF68" s="154">
        <f>SUM(IBD68:IBE68)</f>
        <v>8875</v>
      </c>
      <c r="IBG68" s="147" t="s">
        <v>99</v>
      </c>
      <c r="IBH68" s="148">
        <v>45845</v>
      </c>
      <c r="IBI68" s="143" t="s">
        <v>46</v>
      </c>
      <c r="IBJ68" s="199"/>
      <c r="IBK68" s="149" t="s">
        <v>125</v>
      </c>
      <c r="IBL68" s="197"/>
      <c r="IBM68" s="198"/>
      <c r="IBN68" s="143" t="s">
        <v>22</v>
      </c>
      <c r="IBO68" s="144">
        <v>8150</v>
      </c>
      <c r="IBP68" s="152">
        <v>85</v>
      </c>
      <c r="IBQ68" s="153">
        <v>215</v>
      </c>
      <c r="IBR68" s="153">
        <v>75</v>
      </c>
      <c r="IBS68" s="152">
        <v>150</v>
      </c>
      <c r="IBT68" s="154">
        <f>SUM(IBO68:IBS68)</f>
        <v>8675</v>
      </c>
      <c r="IBU68" s="152">
        <v>200</v>
      </c>
      <c r="IBV68" s="154">
        <f>SUM(IBT68:IBU68)</f>
        <v>8875</v>
      </c>
      <c r="IBW68" s="147" t="s">
        <v>99</v>
      </c>
      <c r="IBX68" s="148">
        <v>45845</v>
      </c>
      <c r="IBY68" s="143" t="s">
        <v>46</v>
      </c>
      <c r="IBZ68" s="199"/>
      <c r="ICA68" s="149" t="s">
        <v>125</v>
      </c>
      <c r="ICB68" s="197"/>
      <c r="ICC68" s="198"/>
      <c r="ICD68" s="143" t="s">
        <v>22</v>
      </c>
      <c r="ICE68" s="144">
        <v>8150</v>
      </c>
      <c r="ICF68" s="152">
        <v>85</v>
      </c>
      <c r="ICG68" s="153">
        <v>215</v>
      </c>
      <c r="ICH68" s="153">
        <v>75</v>
      </c>
      <c r="ICI68" s="152">
        <v>150</v>
      </c>
      <c r="ICJ68" s="154">
        <f>SUM(ICE68:ICI68)</f>
        <v>8675</v>
      </c>
      <c r="ICK68" s="152">
        <v>200</v>
      </c>
      <c r="ICL68" s="154">
        <f>SUM(ICJ68:ICK68)</f>
        <v>8875</v>
      </c>
      <c r="ICM68" s="147" t="s">
        <v>99</v>
      </c>
      <c r="ICN68" s="148">
        <v>45845</v>
      </c>
      <c r="ICO68" s="143" t="s">
        <v>46</v>
      </c>
      <c r="ICP68" s="199"/>
      <c r="ICQ68" s="149" t="s">
        <v>125</v>
      </c>
      <c r="ICR68" s="197"/>
      <c r="ICS68" s="198"/>
      <c r="ICT68" s="143" t="s">
        <v>22</v>
      </c>
      <c r="ICU68" s="144">
        <v>8150</v>
      </c>
      <c r="ICV68" s="152">
        <v>85</v>
      </c>
      <c r="ICW68" s="153">
        <v>215</v>
      </c>
      <c r="ICX68" s="153">
        <v>75</v>
      </c>
      <c r="ICY68" s="152">
        <v>150</v>
      </c>
      <c r="ICZ68" s="154">
        <f>SUM(ICU68:ICY68)</f>
        <v>8675</v>
      </c>
      <c r="IDA68" s="152">
        <v>200</v>
      </c>
      <c r="IDB68" s="154">
        <f>SUM(ICZ68:IDA68)</f>
        <v>8875</v>
      </c>
      <c r="IDC68" s="147" t="s">
        <v>99</v>
      </c>
      <c r="IDD68" s="148">
        <v>45845</v>
      </c>
      <c r="IDE68" s="143" t="s">
        <v>46</v>
      </c>
      <c r="IDF68" s="199"/>
      <c r="IDG68" s="149" t="s">
        <v>125</v>
      </c>
      <c r="IDH68" s="197"/>
      <c r="IDI68" s="198"/>
      <c r="IDJ68" s="143" t="s">
        <v>22</v>
      </c>
      <c r="IDK68" s="144">
        <v>8150</v>
      </c>
      <c r="IDL68" s="152">
        <v>85</v>
      </c>
      <c r="IDM68" s="153">
        <v>215</v>
      </c>
      <c r="IDN68" s="153">
        <v>75</v>
      </c>
      <c r="IDO68" s="152">
        <v>150</v>
      </c>
      <c r="IDP68" s="154">
        <f>SUM(IDK68:IDO68)</f>
        <v>8675</v>
      </c>
      <c r="IDQ68" s="152">
        <v>200</v>
      </c>
      <c r="IDR68" s="154">
        <f>SUM(IDP68:IDQ68)</f>
        <v>8875</v>
      </c>
      <c r="IDS68" s="147" t="s">
        <v>99</v>
      </c>
      <c r="IDT68" s="148">
        <v>45845</v>
      </c>
      <c r="IDU68" s="143" t="s">
        <v>46</v>
      </c>
      <c r="IDV68" s="199"/>
      <c r="IDW68" s="149" t="s">
        <v>125</v>
      </c>
      <c r="IDX68" s="197"/>
      <c r="IDY68" s="198"/>
      <c r="IDZ68" s="143" t="s">
        <v>22</v>
      </c>
      <c r="IEA68" s="144">
        <v>8150</v>
      </c>
      <c r="IEB68" s="152">
        <v>85</v>
      </c>
      <c r="IEC68" s="153">
        <v>215</v>
      </c>
      <c r="IED68" s="153">
        <v>75</v>
      </c>
      <c r="IEE68" s="152">
        <v>150</v>
      </c>
      <c r="IEF68" s="154">
        <f>SUM(IEA68:IEE68)</f>
        <v>8675</v>
      </c>
      <c r="IEG68" s="152">
        <v>200</v>
      </c>
      <c r="IEH68" s="154">
        <f>SUM(IEF68:IEG68)</f>
        <v>8875</v>
      </c>
      <c r="IEI68" s="147" t="s">
        <v>99</v>
      </c>
      <c r="IEJ68" s="148">
        <v>45845</v>
      </c>
      <c r="IEK68" s="143" t="s">
        <v>46</v>
      </c>
      <c r="IEL68" s="199"/>
      <c r="IEM68" s="149" t="s">
        <v>125</v>
      </c>
      <c r="IEN68" s="197"/>
      <c r="IEO68" s="198"/>
      <c r="IEP68" s="143" t="s">
        <v>22</v>
      </c>
      <c r="IEQ68" s="144">
        <v>8150</v>
      </c>
      <c r="IER68" s="152">
        <v>85</v>
      </c>
      <c r="IES68" s="153">
        <v>215</v>
      </c>
      <c r="IET68" s="153">
        <v>75</v>
      </c>
      <c r="IEU68" s="152">
        <v>150</v>
      </c>
      <c r="IEV68" s="154">
        <f>SUM(IEQ68:IEU68)</f>
        <v>8675</v>
      </c>
      <c r="IEW68" s="152">
        <v>200</v>
      </c>
      <c r="IEX68" s="154">
        <f>SUM(IEV68:IEW68)</f>
        <v>8875</v>
      </c>
      <c r="IEY68" s="147" t="s">
        <v>99</v>
      </c>
      <c r="IEZ68" s="148">
        <v>45845</v>
      </c>
      <c r="IFA68" s="143" t="s">
        <v>46</v>
      </c>
      <c r="IFB68" s="199"/>
      <c r="IFC68" s="149" t="s">
        <v>125</v>
      </c>
      <c r="IFD68" s="197"/>
      <c r="IFE68" s="198"/>
      <c r="IFF68" s="143" t="s">
        <v>22</v>
      </c>
      <c r="IFG68" s="144">
        <v>8150</v>
      </c>
      <c r="IFH68" s="152">
        <v>85</v>
      </c>
      <c r="IFI68" s="153">
        <v>215</v>
      </c>
      <c r="IFJ68" s="153">
        <v>75</v>
      </c>
      <c r="IFK68" s="152">
        <v>150</v>
      </c>
      <c r="IFL68" s="154">
        <f>SUM(IFG68:IFK68)</f>
        <v>8675</v>
      </c>
      <c r="IFM68" s="152">
        <v>200</v>
      </c>
      <c r="IFN68" s="154">
        <f>SUM(IFL68:IFM68)</f>
        <v>8875</v>
      </c>
      <c r="IFO68" s="147" t="s">
        <v>99</v>
      </c>
      <c r="IFP68" s="148">
        <v>45845</v>
      </c>
      <c r="IFQ68" s="143" t="s">
        <v>46</v>
      </c>
      <c r="IFR68" s="199"/>
      <c r="IFS68" s="149" t="s">
        <v>125</v>
      </c>
      <c r="IFT68" s="197"/>
      <c r="IFU68" s="198"/>
      <c r="IFV68" s="143" t="s">
        <v>22</v>
      </c>
      <c r="IFW68" s="144">
        <v>8150</v>
      </c>
      <c r="IFX68" s="152">
        <v>85</v>
      </c>
      <c r="IFY68" s="153">
        <v>215</v>
      </c>
      <c r="IFZ68" s="153">
        <v>75</v>
      </c>
      <c r="IGA68" s="152">
        <v>150</v>
      </c>
      <c r="IGB68" s="154">
        <f>SUM(IFW68:IGA68)</f>
        <v>8675</v>
      </c>
      <c r="IGC68" s="152">
        <v>200</v>
      </c>
      <c r="IGD68" s="154">
        <f>SUM(IGB68:IGC68)</f>
        <v>8875</v>
      </c>
      <c r="IGE68" s="147" t="s">
        <v>99</v>
      </c>
      <c r="IGF68" s="148">
        <v>45845</v>
      </c>
      <c r="IGG68" s="143" t="s">
        <v>46</v>
      </c>
      <c r="IGH68" s="199"/>
      <c r="IGI68" s="149" t="s">
        <v>125</v>
      </c>
      <c r="IGJ68" s="197"/>
      <c r="IGK68" s="198"/>
      <c r="IGL68" s="143" t="s">
        <v>22</v>
      </c>
      <c r="IGM68" s="144">
        <v>8150</v>
      </c>
      <c r="IGN68" s="152">
        <v>85</v>
      </c>
      <c r="IGO68" s="153">
        <v>215</v>
      </c>
      <c r="IGP68" s="153">
        <v>75</v>
      </c>
      <c r="IGQ68" s="152">
        <v>150</v>
      </c>
      <c r="IGR68" s="154">
        <f>SUM(IGM68:IGQ68)</f>
        <v>8675</v>
      </c>
      <c r="IGS68" s="152">
        <v>200</v>
      </c>
      <c r="IGT68" s="154">
        <f>SUM(IGR68:IGS68)</f>
        <v>8875</v>
      </c>
      <c r="IGU68" s="147" t="s">
        <v>99</v>
      </c>
      <c r="IGV68" s="148">
        <v>45845</v>
      </c>
      <c r="IGW68" s="143" t="s">
        <v>46</v>
      </c>
      <c r="IGX68" s="199"/>
      <c r="IGY68" s="149" t="s">
        <v>125</v>
      </c>
      <c r="IGZ68" s="197"/>
      <c r="IHA68" s="198"/>
      <c r="IHB68" s="143" t="s">
        <v>22</v>
      </c>
      <c r="IHC68" s="144">
        <v>8150</v>
      </c>
      <c r="IHD68" s="152">
        <v>85</v>
      </c>
      <c r="IHE68" s="153">
        <v>215</v>
      </c>
      <c r="IHF68" s="153">
        <v>75</v>
      </c>
      <c r="IHG68" s="152">
        <v>150</v>
      </c>
      <c r="IHH68" s="154">
        <f>SUM(IHC68:IHG68)</f>
        <v>8675</v>
      </c>
      <c r="IHI68" s="152">
        <v>200</v>
      </c>
      <c r="IHJ68" s="154">
        <f>SUM(IHH68:IHI68)</f>
        <v>8875</v>
      </c>
      <c r="IHK68" s="147" t="s">
        <v>99</v>
      </c>
      <c r="IHL68" s="148">
        <v>45845</v>
      </c>
      <c r="IHM68" s="143" t="s">
        <v>46</v>
      </c>
      <c r="IHN68" s="199"/>
      <c r="IHO68" s="149" t="s">
        <v>125</v>
      </c>
      <c r="IHP68" s="197"/>
      <c r="IHQ68" s="198"/>
      <c r="IHR68" s="143" t="s">
        <v>22</v>
      </c>
      <c r="IHS68" s="144">
        <v>8150</v>
      </c>
      <c r="IHT68" s="152">
        <v>85</v>
      </c>
      <c r="IHU68" s="153">
        <v>215</v>
      </c>
      <c r="IHV68" s="153">
        <v>75</v>
      </c>
      <c r="IHW68" s="152">
        <v>150</v>
      </c>
      <c r="IHX68" s="154">
        <f>SUM(IHS68:IHW68)</f>
        <v>8675</v>
      </c>
      <c r="IHY68" s="152">
        <v>200</v>
      </c>
      <c r="IHZ68" s="154">
        <f>SUM(IHX68:IHY68)</f>
        <v>8875</v>
      </c>
      <c r="IIA68" s="147" t="s">
        <v>99</v>
      </c>
      <c r="IIB68" s="148">
        <v>45845</v>
      </c>
      <c r="IIC68" s="143" t="s">
        <v>46</v>
      </c>
      <c r="IID68" s="199"/>
      <c r="IIE68" s="149" t="s">
        <v>125</v>
      </c>
      <c r="IIF68" s="197"/>
      <c r="IIG68" s="198"/>
      <c r="IIH68" s="143" t="s">
        <v>22</v>
      </c>
      <c r="III68" s="144">
        <v>8150</v>
      </c>
      <c r="IIJ68" s="152">
        <v>85</v>
      </c>
      <c r="IIK68" s="153">
        <v>215</v>
      </c>
      <c r="IIL68" s="153">
        <v>75</v>
      </c>
      <c r="IIM68" s="152">
        <v>150</v>
      </c>
      <c r="IIN68" s="154">
        <f>SUM(III68:IIM68)</f>
        <v>8675</v>
      </c>
      <c r="IIO68" s="152">
        <v>200</v>
      </c>
      <c r="IIP68" s="154">
        <f>SUM(IIN68:IIO68)</f>
        <v>8875</v>
      </c>
      <c r="IIQ68" s="147" t="s">
        <v>99</v>
      </c>
      <c r="IIR68" s="148">
        <v>45845</v>
      </c>
      <c r="IIS68" s="143" t="s">
        <v>46</v>
      </c>
      <c r="IIT68" s="199"/>
      <c r="IIU68" s="149" t="s">
        <v>125</v>
      </c>
      <c r="IIV68" s="197"/>
      <c r="IIW68" s="198"/>
      <c r="IIX68" s="143" t="s">
        <v>22</v>
      </c>
      <c r="IIY68" s="144">
        <v>8150</v>
      </c>
      <c r="IIZ68" s="152">
        <v>85</v>
      </c>
      <c r="IJA68" s="153">
        <v>215</v>
      </c>
      <c r="IJB68" s="153">
        <v>75</v>
      </c>
      <c r="IJC68" s="152">
        <v>150</v>
      </c>
      <c r="IJD68" s="154">
        <f>SUM(IIY68:IJC68)</f>
        <v>8675</v>
      </c>
      <c r="IJE68" s="152">
        <v>200</v>
      </c>
      <c r="IJF68" s="154">
        <f>SUM(IJD68:IJE68)</f>
        <v>8875</v>
      </c>
      <c r="IJG68" s="147" t="s">
        <v>99</v>
      </c>
      <c r="IJH68" s="148">
        <v>45845</v>
      </c>
      <c r="IJI68" s="143" t="s">
        <v>46</v>
      </c>
      <c r="IJJ68" s="199"/>
      <c r="IJK68" s="149" t="s">
        <v>125</v>
      </c>
      <c r="IJL68" s="197"/>
      <c r="IJM68" s="198"/>
      <c r="IJN68" s="143" t="s">
        <v>22</v>
      </c>
      <c r="IJO68" s="144">
        <v>8150</v>
      </c>
      <c r="IJP68" s="152">
        <v>85</v>
      </c>
      <c r="IJQ68" s="153">
        <v>215</v>
      </c>
      <c r="IJR68" s="153">
        <v>75</v>
      </c>
      <c r="IJS68" s="152">
        <v>150</v>
      </c>
      <c r="IJT68" s="154">
        <f>SUM(IJO68:IJS68)</f>
        <v>8675</v>
      </c>
      <c r="IJU68" s="152">
        <v>200</v>
      </c>
      <c r="IJV68" s="154">
        <f>SUM(IJT68:IJU68)</f>
        <v>8875</v>
      </c>
      <c r="IJW68" s="147" t="s">
        <v>99</v>
      </c>
      <c r="IJX68" s="148">
        <v>45845</v>
      </c>
      <c r="IJY68" s="143" t="s">
        <v>46</v>
      </c>
      <c r="IJZ68" s="199"/>
      <c r="IKA68" s="149" t="s">
        <v>125</v>
      </c>
      <c r="IKB68" s="197"/>
      <c r="IKC68" s="198"/>
      <c r="IKD68" s="143" t="s">
        <v>22</v>
      </c>
      <c r="IKE68" s="144">
        <v>8150</v>
      </c>
      <c r="IKF68" s="152">
        <v>85</v>
      </c>
      <c r="IKG68" s="153">
        <v>215</v>
      </c>
      <c r="IKH68" s="153">
        <v>75</v>
      </c>
      <c r="IKI68" s="152">
        <v>150</v>
      </c>
      <c r="IKJ68" s="154">
        <f>SUM(IKE68:IKI68)</f>
        <v>8675</v>
      </c>
      <c r="IKK68" s="152">
        <v>200</v>
      </c>
      <c r="IKL68" s="154">
        <f>SUM(IKJ68:IKK68)</f>
        <v>8875</v>
      </c>
      <c r="IKM68" s="147" t="s">
        <v>99</v>
      </c>
      <c r="IKN68" s="148">
        <v>45845</v>
      </c>
      <c r="IKO68" s="143" t="s">
        <v>46</v>
      </c>
      <c r="IKP68" s="199"/>
      <c r="IKQ68" s="149" t="s">
        <v>125</v>
      </c>
      <c r="IKR68" s="197"/>
      <c r="IKS68" s="198"/>
      <c r="IKT68" s="143" t="s">
        <v>22</v>
      </c>
      <c r="IKU68" s="144">
        <v>8150</v>
      </c>
      <c r="IKV68" s="152">
        <v>85</v>
      </c>
      <c r="IKW68" s="153">
        <v>215</v>
      </c>
      <c r="IKX68" s="153">
        <v>75</v>
      </c>
      <c r="IKY68" s="152">
        <v>150</v>
      </c>
      <c r="IKZ68" s="154">
        <f>SUM(IKU68:IKY68)</f>
        <v>8675</v>
      </c>
      <c r="ILA68" s="152">
        <v>200</v>
      </c>
      <c r="ILB68" s="154">
        <f>SUM(IKZ68:ILA68)</f>
        <v>8875</v>
      </c>
      <c r="ILC68" s="147" t="s">
        <v>99</v>
      </c>
      <c r="ILD68" s="148">
        <v>45845</v>
      </c>
      <c r="ILE68" s="143" t="s">
        <v>46</v>
      </c>
      <c r="ILF68" s="199"/>
      <c r="ILG68" s="149" t="s">
        <v>125</v>
      </c>
      <c r="ILH68" s="197"/>
      <c r="ILI68" s="198"/>
      <c r="ILJ68" s="143" t="s">
        <v>22</v>
      </c>
      <c r="ILK68" s="144">
        <v>8150</v>
      </c>
      <c r="ILL68" s="152">
        <v>85</v>
      </c>
      <c r="ILM68" s="153">
        <v>215</v>
      </c>
      <c r="ILN68" s="153">
        <v>75</v>
      </c>
      <c r="ILO68" s="152">
        <v>150</v>
      </c>
      <c r="ILP68" s="154">
        <f>SUM(ILK68:ILO68)</f>
        <v>8675</v>
      </c>
      <c r="ILQ68" s="152">
        <v>200</v>
      </c>
      <c r="ILR68" s="154">
        <f>SUM(ILP68:ILQ68)</f>
        <v>8875</v>
      </c>
      <c r="ILS68" s="147" t="s">
        <v>99</v>
      </c>
      <c r="ILT68" s="148">
        <v>45845</v>
      </c>
      <c r="ILU68" s="143" t="s">
        <v>46</v>
      </c>
      <c r="ILV68" s="199"/>
      <c r="ILW68" s="149" t="s">
        <v>125</v>
      </c>
      <c r="ILX68" s="197"/>
      <c r="ILY68" s="198"/>
      <c r="ILZ68" s="143" t="s">
        <v>22</v>
      </c>
      <c r="IMA68" s="144">
        <v>8150</v>
      </c>
      <c r="IMB68" s="152">
        <v>85</v>
      </c>
      <c r="IMC68" s="153">
        <v>215</v>
      </c>
      <c r="IMD68" s="153">
        <v>75</v>
      </c>
      <c r="IME68" s="152">
        <v>150</v>
      </c>
      <c r="IMF68" s="154">
        <f>SUM(IMA68:IME68)</f>
        <v>8675</v>
      </c>
      <c r="IMG68" s="152">
        <v>200</v>
      </c>
      <c r="IMH68" s="154">
        <f>SUM(IMF68:IMG68)</f>
        <v>8875</v>
      </c>
      <c r="IMI68" s="147" t="s">
        <v>99</v>
      </c>
      <c r="IMJ68" s="148">
        <v>45845</v>
      </c>
      <c r="IMK68" s="143" t="s">
        <v>46</v>
      </c>
      <c r="IML68" s="199"/>
      <c r="IMM68" s="149" t="s">
        <v>125</v>
      </c>
      <c r="IMN68" s="197"/>
      <c r="IMO68" s="198"/>
      <c r="IMP68" s="143" t="s">
        <v>22</v>
      </c>
      <c r="IMQ68" s="144">
        <v>8150</v>
      </c>
      <c r="IMR68" s="152">
        <v>85</v>
      </c>
      <c r="IMS68" s="153">
        <v>215</v>
      </c>
      <c r="IMT68" s="153">
        <v>75</v>
      </c>
      <c r="IMU68" s="152">
        <v>150</v>
      </c>
      <c r="IMV68" s="154">
        <f>SUM(IMQ68:IMU68)</f>
        <v>8675</v>
      </c>
      <c r="IMW68" s="152">
        <v>200</v>
      </c>
      <c r="IMX68" s="154">
        <f>SUM(IMV68:IMW68)</f>
        <v>8875</v>
      </c>
      <c r="IMY68" s="147" t="s">
        <v>99</v>
      </c>
      <c r="IMZ68" s="148">
        <v>45845</v>
      </c>
      <c r="INA68" s="143" t="s">
        <v>46</v>
      </c>
      <c r="INB68" s="199"/>
      <c r="INC68" s="149" t="s">
        <v>125</v>
      </c>
      <c r="IND68" s="197"/>
      <c r="INE68" s="198"/>
      <c r="INF68" s="143" t="s">
        <v>22</v>
      </c>
      <c r="ING68" s="144">
        <v>8150</v>
      </c>
      <c r="INH68" s="152">
        <v>85</v>
      </c>
      <c r="INI68" s="153">
        <v>215</v>
      </c>
      <c r="INJ68" s="153">
        <v>75</v>
      </c>
      <c r="INK68" s="152">
        <v>150</v>
      </c>
      <c r="INL68" s="154">
        <f>SUM(ING68:INK68)</f>
        <v>8675</v>
      </c>
      <c r="INM68" s="152">
        <v>200</v>
      </c>
      <c r="INN68" s="154">
        <f>SUM(INL68:INM68)</f>
        <v>8875</v>
      </c>
      <c r="INO68" s="147" t="s">
        <v>99</v>
      </c>
      <c r="INP68" s="148">
        <v>45845</v>
      </c>
      <c r="INQ68" s="143" t="s">
        <v>46</v>
      </c>
      <c r="INR68" s="199"/>
      <c r="INS68" s="149" t="s">
        <v>125</v>
      </c>
      <c r="INT68" s="197"/>
      <c r="INU68" s="198"/>
      <c r="INV68" s="143" t="s">
        <v>22</v>
      </c>
      <c r="INW68" s="144">
        <v>8150</v>
      </c>
      <c r="INX68" s="152">
        <v>85</v>
      </c>
      <c r="INY68" s="153">
        <v>215</v>
      </c>
      <c r="INZ68" s="153">
        <v>75</v>
      </c>
      <c r="IOA68" s="152">
        <v>150</v>
      </c>
      <c r="IOB68" s="154">
        <f>SUM(INW68:IOA68)</f>
        <v>8675</v>
      </c>
      <c r="IOC68" s="152">
        <v>200</v>
      </c>
      <c r="IOD68" s="154">
        <f>SUM(IOB68:IOC68)</f>
        <v>8875</v>
      </c>
      <c r="IOE68" s="147" t="s">
        <v>99</v>
      </c>
      <c r="IOF68" s="148">
        <v>45845</v>
      </c>
      <c r="IOG68" s="143" t="s">
        <v>46</v>
      </c>
      <c r="IOH68" s="199"/>
      <c r="IOI68" s="149" t="s">
        <v>125</v>
      </c>
      <c r="IOJ68" s="197"/>
      <c r="IOK68" s="198"/>
      <c r="IOL68" s="143" t="s">
        <v>22</v>
      </c>
      <c r="IOM68" s="144">
        <v>8150</v>
      </c>
      <c r="ION68" s="152">
        <v>85</v>
      </c>
      <c r="IOO68" s="153">
        <v>215</v>
      </c>
      <c r="IOP68" s="153">
        <v>75</v>
      </c>
      <c r="IOQ68" s="152">
        <v>150</v>
      </c>
      <c r="IOR68" s="154">
        <f>SUM(IOM68:IOQ68)</f>
        <v>8675</v>
      </c>
      <c r="IOS68" s="152">
        <v>200</v>
      </c>
      <c r="IOT68" s="154">
        <f>SUM(IOR68:IOS68)</f>
        <v>8875</v>
      </c>
      <c r="IOU68" s="147" t="s">
        <v>99</v>
      </c>
      <c r="IOV68" s="148">
        <v>45845</v>
      </c>
      <c r="IOW68" s="143" t="s">
        <v>46</v>
      </c>
      <c r="IOX68" s="199"/>
      <c r="IOY68" s="149" t="s">
        <v>125</v>
      </c>
      <c r="IOZ68" s="197"/>
      <c r="IPA68" s="198"/>
      <c r="IPB68" s="143" t="s">
        <v>22</v>
      </c>
      <c r="IPC68" s="144">
        <v>8150</v>
      </c>
      <c r="IPD68" s="152">
        <v>85</v>
      </c>
      <c r="IPE68" s="153">
        <v>215</v>
      </c>
      <c r="IPF68" s="153">
        <v>75</v>
      </c>
      <c r="IPG68" s="152">
        <v>150</v>
      </c>
      <c r="IPH68" s="154">
        <f>SUM(IPC68:IPG68)</f>
        <v>8675</v>
      </c>
      <c r="IPI68" s="152">
        <v>200</v>
      </c>
      <c r="IPJ68" s="154">
        <f>SUM(IPH68:IPI68)</f>
        <v>8875</v>
      </c>
      <c r="IPK68" s="147" t="s">
        <v>99</v>
      </c>
      <c r="IPL68" s="148">
        <v>45845</v>
      </c>
      <c r="IPM68" s="143" t="s">
        <v>46</v>
      </c>
      <c r="IPN68" s="199"/>
      <c r="IPO68" s="149" t="s">
        <v>125</v>
      </c>
      <c r="IPP68" s="197"/>
      <c r="IPQ68" s="198"/>
      <c r="IPR68" s="143" t="s">
        <v>22</v>
      </c>
      <c r="IPS68" s="144">
        <v>8150</v>
      </c>
      <c r="IPT68" s="152">
        <v>85</v>
      </c>
      <c r="IPU68" s="153">
        <v>215</v>
      </c>
      <c r="IPV68" s="153">
        <v>75</v>
      </c>
      <c r="IPW68" s="152">
        <v>150</v>
      </c>
      <c r="IPX68" s="154">
        <f>SUM(IPS68:IPW68)</f>
        <v>8675</v>
      </c>
      <c r="IPY68" s="152">
        <v>200</v>
      </c>
      <c r="IPZ68" s="154">
        <f>SUM(IPX68:IPY68)</f>
        <v>8875</v>
      </c>
      <c r="IQA68" s="147" t="s">
        <v>99</v>
      </c>
      <c r="IQB68" s="148">
        <v>45845</v>
      </c>
      <c r="IQC68" s="143" t="s">
        <v>46</v>
      </c>
      <c r="IQD68" s="199"/>
      <c r="IQE68" s="149" t="s">
        <v>125</v>
      </c>
      <c r="IQF68" s="197"/>
      <c r="IQG68" s="198"/>
      <c r="IQH68" s="143" t="s">
        <v>22</v>
      </c>
      <c r="IQI68" s="144">
        <v>8150</v>
      </c>
      <c r="IQJ68" s="152">
        <v>85</v>
      </c>
      <c r="IQK68" s="153">
        <v>215</v>
      </c>
      <c r="IQL68" s="153">
        <v>75</v>
      </c>
      <c r="IQM68" s="152">
        <v>150</v>
      </c>
      <c r="IQN68" s="154">
        <f>SUM(IQI68:IQM68)</f>
        <v>8675</v>
      </c>
      <c r="IQO68" s="152">
        <v>200</v>
      </c>
      <c r="IQP68" s="154">
        <f>SUM(IQN68:IQO68)</f>
        <v>8875</v>
      </c>
      <c r="IQQ68" s="147" t="s">
        <v>99</v>
      </c>
      <c r="IQR68" s="148">
        <v>45845</v>
      </c>
      <c r="IQS68" s="143" t="s">
        <v>46</v>
      </c>
      <c r="IQT68" s="199"/>
      <c r="IQU68" s="149" t="s">
        <v>125</v>
      </c>
      <c r="IQV68" s="197"/>
      <c r="IQW68" s="198"/>
      <c r="IQX68" s="143" t="s">
        <v>22</v>
      </c>
      <c r="IQY68" s="144">
        <v>8150</v>
      </c>
      <c r="IQZ68" s="152">
        <v>85</v>
      </c>
      <c r="IRA68" s="153">
        <v>215</v>
      </c>
      <c r="IRB68" s="153">
        <v>75</v>
      </c>
      <c r="IRC68" s="152">
        <v>150</v>
      </c>
      <c r="IRD68" s="154">
        <f>SUM(IQY68:IRC68)</f>
        <v>8675</v>
      </c>
      <c r="IRE68" s="152">
        <v>200</v>
      </c>
      <c r="IRF68" s="154">
        <f>SUM(IRD68:IRE68)</f>
        <v>8875</v>
      </c>
      <c r="IRG68" s="147" t="s">
        <v>99</v>
      </c>
      <c r="IRH68" s="148">
        <v>45845</v>
      </c>
      <c r="IRI68" s="143" t="s">
        <v>46</v>
      </c>
      <c r="IRJ68" s="199"/>
      <c r="IRK68" s="149" t="s">
        <v>125</v>
      </c>
      <c r="IRL68" s="197"/>
      <c r="IRM68" s="198"/>
      <c r="IRN68" s="143" t="s">
        <v>22</v>
      </c>
      <c r="IRO68" s="144">
        <v>8150</v>
      </c>
      <c r="IRP68" s="152">
        <v>85</v>
      </c>
      <c r="IRQ68" s="153">
        <v>215</v>
      </c>
      <c r="IRR68" s="153">
        <v>75</v>
      </c>
      <c r="IRS68" s="152">
        <v>150</v>
      </c>
      <c r="IRT68" s="154">
        <f>SUM(IRO68:IRS68)</f>
        <v>8675</v>
      </c>
      <c r="IRU68" s="152">
        <v>200</v>
      </c>
      <c r="IRV68" s="154">
        <f>SUM(IRT68:IRU68)</f>
        <v>8875</v>
      </c>
      <c r="IRW68" s="147" t="s">
        <v>99</v>
      </c>
      <c r="IRX68" s="148">
        <v>45845</v>
      </c>
      <c r="IRY68" s="143" t="s">
        <v>46</v>
      </c>
      <c r="IRZ68" s="199"/>
      <c r="ISA68" s="149" t="s">
        <v>125</v>
      </c>
      <c r="ISB68" s="197"/>
      <c r="ISC68" s="198"/>
      <c r="ISD68" s="143" t="s">
        <v>22</v>
      </c>
      <c r="ISE68" s="144">
        <v>8150</v>
      </c>
      <c r="ISF68" s="152">
        <v>85</v>
      </c>
      <c r="ISG68" s="153">
        <v>215</v>
      </c>
      <c r="ISH68" s="153">
        <v>75</v>
      </c>
      <c r="ISI68" s="152">
        <v>150</v>
      </c>
      <c r="ISJ68" s="154">
        <f>SUM(ISE68:ISI68)</f>
        <v>8675</v>
      </c>
      <c r="ISK68" s="152">
        <v>200</v>
      </c>
      <c r="ISL68" s="154">
        <f>SUM(ISJ68:ISK68)</f>
        <v>8875</v>
      </c>
      <c r="ISM68" s="147" t="s">
        <v>99</v>
      </c>
      <c r="ISN68" s="148">
        <v>45845</v>
      </c>
      <c r="ISO68" s="143" t="s">
        <v>46</v>
      </c>
      <c r="ISP68" s="199"/>
      <c r="ISQ68" s="149" t="s">
        <v>125</v>
      </c>
      <c r="ISR68" s="197"/>
      <c r="ISS68" s="198"/>
      <c r="IST68" s="143" t="s">
        <v>22</v>
      </c>
      <c r="ISU68" s="144">
        <v>8150</v>
      </c>
      <c r="ISV68" s="152">
        <v>85</v>
      </c>
      <c r="ISW68" s="153">
        <v>215</v>
      </c>
      <c r="ISX68" s="153">
        <v>75</v>
      </c>
      <c r="ISY68" s="152">
        <v>150</v>
      </c>
      <c r="ISZ68" s="154">
        <f>SUM(ISU68:ISY68)</f>
        <v>8675</v>
      </c>
      <c r="ITA68" s="152">
        <v>200</v>
      </c>
      <c r="ITB68" s="154">
        <f>SUM(ISZ68:ITA68)</f>
        <v>8875</v>
      </c>
      <c r="ITC68" s="147" t="s">
        <v>99</v>
      </c>
      <c r="ITD68" s="148">
        <v>45845</v>
      </c>
      <c r="ITE68" s="143" t="s">
        <v>46</v>
      </c>
      <c r="ITF68" s="199"/>
      <c r="ITG68" s="149" t="s">
        <v>125</v>
      </c>
      <c r="ITH68" s="197"/>
      <c r="ITI68" s="198"/>
      <c r="ITJ68" s="143" t="s">
        <v>22</v>
      </c>
      <c r="ITK68" s="144">
        <v>8150</v>
      </c>
      <c r="ITL68" s="152">
        <v>85</v>
      </c>
      <c r="ITM68" s="153">
        <v>215</v>
      </c>
      <c r="ITN68" s="153">
        <v>75</v>
      </c>
      <c r="ITO68" s="152">
        <v>150</v>
      </c>
      <c r="ITP68" s="154">
        <f>SUM(ITK68:ITO68)</f>
        <v>8675</v>
      </c>
      <c r="ITQ68" s="152">
        <v>200</v>
      </c>
      <c r="ITR68" s="154">
        <f>SUM(ITP68:ITQ68)</f>
        <v>8875</v>
      </c>
      <c r="ITS68" s="147" t="s">
        <v>99</v>
      </c>
      <c r="ITT68" s="148">
        <v>45845</v>
      </c>
      <c r="ITU68" s="143" t="s">
        <v>46</v>
      </c>
      <c r="ITV68" s="199"/>
      <c r="ITW68" s="149" t="s">
        <v>125</v>
      </c>
      <c r="ITX68" s="197"/>
      <c r="ITY68" s="198"/>
      <c r="ITZ68" s="143" t="s">
        <v>22</v>
      </c>
      <c r="IUA68" s="144">
        <v>8150</v>
      </c>
      <c r="IUB68" s="152">
        <v>85</v>
      </c>
      <c r="IUC68" s="153">
        <v>215</v>
      </c>
      <c r="IUD68" s="153">
        <v>75</v>
      </c>
      <c r="IUE68" s="152">
        <v>150</v>
      </c>
      <c r="IUF68" s="154">
        <f>SUM(IUA68:IUE68)</f>
        <v>8675</v>
      </c>
      <c r="IUG68" s="152">
        <v>200</v>
      </c>
      <c r="IUH68" s="154">
        <f>SUM(IUF68:IUG68)</f>
        <v>8875</v>
      </c>
      <c r="IUI68" s="147" t="s">
        <v>99</v>
      </c>
      <c r="IUJ68" s="148">
        <v>45845</v>
      </c>
      <c r="IUK68" s="143" t="s">
        <v>46</v>
      </c>
      <c r="IUL68" s="199"/>
      <c r="IUM68" s="149" t="s">
        <v>125</v>
      </c>
      <c r="IUN68" s="197"/>
      <c r="IUO68" s="198"/>
      <c r="IUP68" s="143" t="s">
        <v>22</v>
      </c>
      <c r="IUQ68" s="144">
        <v>8150</v>
      </c>
      <c r="IUR68" s="152">
        <v>85</v>
      </c>
      <c r="IUS68" s="153">
        <v>215</v>
      </c>
      <c r="IUT68" s="153">
        <v>75</v>
      </c>
      <c r="IUU68" s="152">
        <v>150</v>
      </c>
      <c r="IUV68" s="154">
        <f>SUM(IUQ68:IUU68)</f>
        <v>8675</v>
      </c>
      <c r="IUW68" s="152">
        <v>200</v>
      </c>
      <c r="IUX68" s="154">
        <f>SUM(IUV68:IUW68)</f>
        <v>8875</v>
      </c>
      <c r="IUY68" s="147" t="s">
        <v>99</v>
      </c>
      <c r="IUZ68" s="148">
        <v>45845</v>
      </c>
      <c r="IVA68" s="143" t="s">
        <v>46</v>
      </c>
      <c r="IVB68" s="199"/>
      <c r="IVC68" s="149" t="s">
        <v>125</v>
      </c>
      <c r="IVD68" s="197"/>
      <c r="IVE68" s="198"/>
      <c r="IVF68" s="143" t="s">
        <v>22</v>
      </c>
      <c r="IVG68" s="144">
        <v>8150</v>
      </c>
      <c r="IVH68" s="152">
        <v>85</v>
      </c>
      <c r="IVI68" s="153">
        <v>215</v>
      </c>
      <c r="IVJ68" s="153">
        <v>75</v>
      </c>
      <c r="IVK68" s="152">
        <v>150</v>
      </c>
      <c r="IVL68" s="154">
        <f>SUM(IVG68:IVK68)</f>
        <v>8675</v>
      </c>
      <c r="IVM68" s="152">
        <v>200</v>
      </c>
      <c r="IVN68" s="154">
        <f>SUM(IVL68:IVM68)</f>
        <v>8875</v>
      </c>
      <c r="IVO68" s="147" t="s">
        <v>99</v>
      </c>
      <c r="IVP68" s="148">
        <v>45845</v>
      </c>
      <c r="IVQ68" s="143" t="s">
        <v>46</v>
      </c>
      <c r="IVR68" s="199"/>
      <c r="IVS68" s="149" t="s">
        <v>125</v>
      </c>
      <c r="IVT68" s="197"/>
      <c r="IVU68" s="198"/>
      <c r="IVV68" s="143" t="s">
        <v>22</v>
      </c>
      <c r="IVW68" s="144">
        <v>8150</v>
      </c>
      <c r="IVX68" s="152">
        <v>85</v>
      </c>
      <c r="IVY68" s="153">
        <v>215</v>
      </c>
      <c r="IVZ68" s="153">
        <v>75</v>
      </c>
      <c r="IWA68" s="152">
        <v>150</v>
      </c>
      <c r="IWB68" s="154">
        <f>SUM(IVW68:IWA68)</f>
        <v>8675</v>
      </c>
      <c r="IWC68" s="152">
        <v>200</v>
      </c>
      <c r="IWD68" s="154">
        <f>SUM(IWB68:IWC68)</f>
        <v>8875</v>
      </c>
      <c r="IWE68" s="147" t="s">
        <v>99</v>
      </c>
      <c r="IWF68" s="148">
        <v>45845</v>
      </c>
      <c r="IWG68" s="143" t="s">
        <v>46</v>
      </c>
      <c r="IWH68" s="199"/>
      <c r="IWI68" s="149" t="s">
        <v>125</v>
      </c>
      <c r="IWJ68" s="197"/>
      <c r="IWK68" s="198"/>
      <c r="IWL68" s="143" t="s">
        <v>22</v>
      </c>
      <c r="IWM68" s="144">
        <v>8150</v>
      </c>
      <c r="IWN68" s="152">
        <v>85</v>
      </c>
      <c r="IWO68" s="153">
        <v>215</v>
      </c>
      <c r="IWP68" s="153">
        <v>75</v>
      </c>
      <c r="IWQ68" s="152">
        <v>150</v>
      </c>
      <c r="IWR68" s="154">
        <f>SUM(IWM68:IWQ68)</f>
        <v>8675</v>
      </c>
      <c r="IWS68" s="152">
        <v>200</v>
      </c>
      <c r="IWT68" s="154">
        <f>SUM(IWR68:IWS68)</f>
        <v>8875</v>
      </c>
      <c r="IWU68" s="147" t="s">
        <v>99</v>
      </c>
      <c r="IWV68" s="148">
        <v>45845</v>
      </c>
      <c r="IWW68" s="143" t="s">
        <v>46</v>
      </c>
      <c r="IWX68" s="199"/>
      <c r="IWY68" s="149" t="s">
        <v>125</v>
      </c>
      <c r="IWZ68" s="197"/>
      <c r="IXA68" s="198"/>
      <c r="IXB68" s="143" t="s">
        <v>22</v>
      </c>
      <c r="IXC68" s="144">
        <v>8150</v>
      </c>
      <c r="IXD68" s="152">
        <v>85</v>
      </c>
      <c r="IXE68" s="153">
        <v>215</v>
      </c>
      <c r="IXF68" s="153">
        <v>75</v>
      </c>
      <c r="IXG68" s="152">
        <v>150</v>
      </c>
      <c r="IXH68" s="154">
        <f>SUM(IXC68:IXG68)</f>
        <v>8675</v>
      </c>
      <c r="IXI68" s="152">
        <v>200</v>
      </c>
      <c r="IXJ68" s="154">
        <f>SUM(IXH68:IXI68)</f>
        <v>8875</v>
      </c>
      <c r="IXK68" s="147" t="s">
        <v>99</v>
      </c>
      <c r="IXL68" s="148">
        <v>45845</v>
      </c>
      <c r="IXM68" s="143" t="s">
        <v>46</v>
      </c>
      <c r="IXN68" s="199"/>
      <c r="IXO68" s="149" t="s">
        <v>125</v>
      </c>
      <c r="IXP68" s="197"/>
      <c r="IXQ68" s="198"/>
      <c r="IXR68" s="143" t="s">
        <v>22</v>
      </c>
      <c r="IXS68" s="144">
        <v>8150</v>
      </c>
      <c r="IXT68" s="152">
        <v>85</v>
      </c>
      <c r="IXU68" s="153">
        <v>215</v>
      </c>
      <c r="IXV68" s="153">
        <v>75</v>
      </c>
      <c r="IXW68" s="152">
        <v>150</v>
      </c>
      <c r="IXX68" s="154">
        <f>SUM(IXS68:IXW68)</f>
        <v>8675</v>
      </c>
      <c r="IXY68" s="152">
        <v>200</v>
      </c>
      <c r="IXZ68" s="154">
        <f>SUM(IXX68:IXY68)</f>
        <v>8875</v>
      </c>
      <c r="IYA68" s="147" t="s">
        <v>99</v>
      </c>
      <c r="IYB68" s="148">
        <v>45845</v>
      </c>
      <c r="IYC68" s="143" t="s">
        <v>46</v>
      </c>
      <c r="IYD68" s="199"/>
      <c r="IYE68" s="149" t="s">
        <v>125</v>
      </c>
      <c r="IYF68" s="197"/>
      <c r="IYG68" s="198"/>
      <c r="IYH68" s="143" t="s">
        <v>22</v>
      </c>
      <c r="IYI68" s="144">
        <v>8150</v>
      </c>
      <c r="IYJ68" s="152">
        <v>85</v>
      </c>
      <c r="IYK68" s="153">
        <v>215</v>
      </c>
      <c r="IYL68" s="153">
        <v>75</v>
      </c>
      <c r="IYM68" s="152">
        <v>150</v>
      </c>
      <c r="IYN68" s="154">
        <f>SUM(IYI68:IYM68)</f>
        <v>8675</v>
      </c>
      <c r="IYO68" s="152">
        <v>200</v>
      </c>
      <c r="IYP68" s="154">
        <f>SUM(IYN68:IYO68)</f>
        <v>8875</v>
      </c>
      <c r="IYQ68" s="147" t="s">
        <v>99</v>
      </c>
      <c r="IYR68" s="148">
        <v>45845</v>
      </c>
      <c r="IYS68" s="143" t="s">
        <v>46</v>
      </c>
      <c r="IYT68" s="199"/>
      <c r="IYU68" s="149" t="s">
        <v>125</v>
      </c>
      <c r="IYV68" s="197"/>
      <c r="IYW68" s="198"/>
      <c r="IYX68" s="143" t="s">
        <v>22</v>
      </c>
      <c r="IYY68" s="144">
        <v>8150</v>
      </c>
      <c r="IYZ68" s="152">
        <v>85</v>
      </c>
      <c r="IZA68" s="153">
        <v>215</v>
      </c>
      <c r="IZB68" s="153">
        <v>75</v>
      </c>
      <c r="IZC68" s="152">
        <v>150</v>
      </c>
      <c r="IZD68" s="154">
        <f>SUM(IYY68:IZC68)</f>
        <v>8675</v>
      </c>
      <c r="IZE68" s="152">
        <v>200</v>
      </c>
      <c r="IZF68" s="154">
        <f>SUM(IZD68:IZE68)</f>
        <v>8875</v>
      </c>
      <c r="IZG68" s="147" t="s">
        <v>99</v>
      </c>
      <c r="IZH68" s="148">
        <v>45845</v>
      </c>
      <c r="IZI68" s="143" t="s">
        <v>46</v>
      </c>
      <c r="IZJ68" s="199"/>
      <c r="IZK68" s="149" t="s">
        <v>125</v>
      </c>
      <c r="IZL68" s="197"/>
      <c r="IZM68" s="198"/>
      <c r="IZN68" s="143" t="s">
        <v>22</v>
      </c>
      <c r="IZO68" s="144">
        <v>8150</v>
      </c>
      <c r="IZP68" s="152">
        <v>85</v>
      </c>
      <c r="IZQ68" s="153">
        <v>215</v>
      </c>
      <c r="IZR68" s="153">
        <v>75</v>
      </c>
      <c r="IZS68" s="152">
        <v>150</v>
      </c>
      <c r="IZT68" s="154">
        <f>SUM(IZO68:IZS68)</f>
        <v>8675</v>
      </c>
      <c r="IZU68" s="152">
        <v>200</v>
      </c>
      <c r="IZV68" s="154">
        <f>SUM(IZT68:IZU68)</f>
        <v>8875</v>
      </c>
      <c r="IZW68" s="147" t="s">
        <v>99</v>
      </c>
      <c r="IZX68" s="148">
        <v>45845</v>
      </c>
      <c r="IZY68" s="143" t="s">
        <v>46</v>
      </c>
      <c r="IZZ68" s="199"/>
      <c r="JAA68" s="149" t="s">
        <v>125</v>
      </c>
      <c r="JAB68" s="197"/>
      <c r="JAC68" s="198"/>
      <c r="JAD68" s="143" t="s">
        <v>22</v>
      </c>
      <c r="JAE68" s="144">
        <v>8150</v>
      </c>
      <c r="JAF68" s="152">
        <v>85</v>
      </c>
      <c r="JAG68" s="153">
        <v>215</v>
      </c>
      <c r="JAH68" s="153">
        <v>75</v>
      </c>
      <c r="JAI68" s="152">
        <v>150</v>
      </c>
      <c r="JAJ68" s="154">
        <f>SUM(JAE68:JAI68)</f>
        <v>8675</v>
      </c>
      <c r="JAK68" s="152">
        <v>200</v>
      </c>
      <c r="JAL68" s="154">
        <f>SUM(JAJ68:JAK68)</f>
        <v>8875</v>
      </c>
      <c r="JAM68" s="147" t="s">
        <v>99</v>
      </c>
      <c r="JAN68" s="148">
        <v>45845</v>
      </c>
      <c r="JAO68" s="143" t="s">
        <v>46</v>
      </c>
      <c r="JAP68" s="199"/>
      <c r="JAQ68" s="149" t="s">
        <v>125</v>
      </c>
      <c r="JAR68" s="197"/>
      <c r="JAS68" s="198"/>
      <c r="JAT68" s="143" t="s">
        <v>22</v>
      </c>
      <c r="JAU68" s="144">
        <v>8150</v>
      </c>
      <c r="JAV68" s="152">
        <v>85</v>
      </c>
      <c r="JAW68" s="153">
        <v>215</v>
      </c>
      <c r="JAX68" s="153">
        <v>75</v>
      </c>
      <c r="JAY68" s="152">
        <v>150</v>
      </c>
      <c r="JAZ68" s="154">
        <f>SUM(JAU68:JAY68)</f>
        <v>8675</v>
      </c>
      <c r="JBA68" s="152">
        <v>200</v>
      </c>
      <c r="JBB68" s="154">
        <f>SUM(JAZ68:JBA68)</f>
        <v>8875</v>
      </c>
      <c r="JBC68" s="147" t="s">
        <v>99</v>
      </c>
      <c r="JBD68" s="148">
        <v>45845</v>
      </c>
      <c r="JBE68" s="143" t="s">
        <v>46</v>
      </c>
      <c r="JBF68" s="199"/>
      <c r="JBG68" s="149" t="s">
        <v>125</v>
      </c>
      <c r="JBH68" s="197"/>
      <c r="JBI68" s="198"/>
      <c r="JBJ68" s="143" t="s">
        <v>22</v>
      </c>
      <c r="JBK68" s="144">
        <v>8150</v>
      </c>
      <c r="JBL68" s="152">
        <v>85</v>
      </c>
      <c r="JBM68" s="153">
        <v>215</v>
      </c>
      <c r="JBN68" s="153">
        <v>75</v>
      </c>
      <c r="JBO68" s="152">
        <v>150</v>
      </c>
      <c r="JBP68" s="154">
        <f>SUM(JBK68:JBO68)</f>
        <v>8675</v>
      </c>
      <c r="JBQ68" s="152">
        <v>200</v>
      </c>
      <c r="JBR68" s="154">
        <f>SUM(JBP68:JBQ68)</f>
        <v>8875</v>
      </c>
      <c r="JBS68" s="147" t="s">
        <v>99</v>
      </c>
      <c r="JBT68" s="148">
        <v>45845</v>
      </c>
      <c r="JBU68" s="143" t="s">
        <v>46</v>
      </c>
      <c r="JBV68" s="199"/>
      <c r="JBW68" s="149" t="s">
        <v>125</v>
      </c>
      <c r="JBX68" s="197"/>
      <c r="JBY68" s="198"/>
      <c r="JBZ68" s="143" t="s">
        <v>22</v>
      </c>
      <c r="JCA68" s="144">
        <v>8150</v>
      </c>
      <c r="JCB68" s="152">
        <v>85</v>
      </c>
      <c r="JCC68" s="153">
        <v>215</v>
      </c>
      <c r="JCD68" s="153">
        <v>75</v>
      </c>
      <c r="JCE68" s="152">
        <v>150</v>
      </c>
      <c r="JCF68" s="154">
        <f>SUM(JCA68:JCE68)</f>
        <v>8675</v>
      </c>
      <c r="JCG68" s="152">
        <v>200</v>
      </c>
      <c r="JCH68" s="154">
        <f>SUM(JCF68:JCG68)</f>
        <v>8875</v>
      </c>
      <c r="JCI68" s="147" t="s">
        <v>99</v>
      </c>
      <c r="JCJ68" s="148">
        <v>45845</v>
      </c>
      <c r="JCK68" s="143" t="s">
        <v>46</v>
      </c>
      <c r="JCL68" s="199"/>
      <c r="JCM68" s="149" t="s">
        <v>125</v>
      </c>
      <c r="JCN68" s="197"/>
      <c r="JCO68" s="198"/>
      <c r="JCP68" s="143" t="s">
        <v>22</v>
      </c>
      <c r="JCQ68" s="144">
        <v>8150</v>
      </c>
      <c r="JCR68" s="152">
        <v>85</v>
      </c>
      <c r="JCS68" s="153">
        <v>215</v>
      </c>
      <c r="JCT68" s="153">
        <v>75</v>
      </c>
      <c r="JCU68" s="152">
        <v>150</v>
      </c>
      <c r="JCV68" s="154">
        <f>SUM(JCQ68:JCU68)</f>
        <v>8675</v>
      </c>
      <c r="JCW68" s="152">
        <v>200</v>
      </c>
      <c r="JCX68" s="154">
        <f>SUM(JCV68:JCW68)</f>
        <v>8875</v>
      </c>
      <c r="JCY68" s="147" t="s">
        <v>99</v>
      </c>
      <c r="JCZ68" s="148">
        <v>45845</v>
      </c>
      <c r="JDA68" s="143" t="s">
        <v>46</v>
      </c>
      <c r="JDB68" s="199"/>
      <c r="JDC68" s="149" t="s">
        <v>125</v>
      </c>
      <c r="JDD68" s="197"/>
      <c r="JDE68" s="198"/>
      <c r="JDF68" s="143" t="s">
        <v>22</v>
      </c>
      <c r="JDG68" s="144">
        <v>8150</v>
      </c>
      <c r="JDH68" s="152">
        <v>85</v>
      </c>
      <c r="JDI68" s="153">
        <v>215</v>
      </c>
      <c r="JDJ68" s="153">
        <v>75</v>
      </c>
      <c r="JDK68" s="152">
        <v>150</v>
      </c>
      <c r="JDL68" s="154">
        <f>SUM(JDG68:JDK68)</f>
        <v>8675</v>
      </c>
      <c r="JDM68" s="152">
        <v>200</v>
      </c>
      <c r="JDN68" s="154">
        <f>SUM(JDL68:JDM68)</f>
        <v>8875</v>
      </c>
      <c r="JDO68" s="147" t="s">
        <v>99</v>
      </c>
      <c r="JDP68" s="148">
        <v>45845</v>
      </c>
      <c r="JDQ68" s="143" t="s">
        <v>46</v>
      </c>
      <c r="JDR68" s="199"/>
      <c r="JDS68" s="149" t="s">
        <v>125</v>
      </c>
      <c r="JDT68" s="197"/>
      <c r="JDU68" s="198"/>
      <c r="JDV68" s="143" t="s">
        <v>22</v>
      </c>
      <c r="JDW68" s="144">
        <v>8150</v>
      </c>
      <c r="JDX68" s="152">
        <v>85</v>
      </c>
      <c r="JDY68" s="153">
        <v>215</v>
      </c>
      <c r="JDZ68" s="153">
        <v>75</v>
      </c>
      <c r="JEA68" s="152">
        <v>150</v>
      </c>
      <c r="JEB68" s="154">
        <f>SUM(JDW68:JEA68)</f>
        <v>8675</v>
      </c>
      <c r="JEC68" s="152">
        <v>200</v>
      </c>
      <c r="JED68" s="154">
        <f>SUM(JEB68:JEC68)</f>
        <v>8875</v>
      </c>
      <c r="JEE68" s="147" t="s">
        <v>99</v>
      </c>
      <c r="JEF68" s="148">
        <v>45845</v>
      </c>
      <c r="JEG68" s="143" t="s">
        <v>46</v>
      </c>
      <c r="JEH68" s="199"/>
      <c r="JEI68" s="149" t="s">
        <v>125</v>
      </c>
      <c r="JEJ68" s="197"/>
      <c r="JEK68" s="198"/>
      <c r="JEL68" s="143" t="s">
        <v>22</v>
      </c>
      <c r="JEM68" s="144">
        <v>8150</v>
      </c>
      <c r="JEN68" s="152">
        <v>85</v>
      </c>
      <c r="JEO68" s="153">
        <v>215</v>
      </c>
      <c r="JEP68" s="153">
        <v>75</v>
      </c>
      <c r="JEQ68" s="152">
        <v>150</v>
      </c>
      <c r="JER68" s="154">
        <f>SUM(JEM68:JEQ68)</f>
        <v>8675</v>
      </c>
      <c r="JES68" s="152">
        <v>200</v>
      </c>
      <c r="JET68" s="154">
        <f>SUM(JER68:JES68)</f>
        <v>8875</v>
      </c>
      <c r="JEU68" s="147" t="s">
        <v>99</v>
      </c>
      <c r="JEV68" s="148">
        <v>45845</v>
      </c>
      <c r="JEW68" s="143" t="s">
        <v>46</v>
      </c>
      <c r="JEX68" s="199"/>
      <c r="JEY68" s="149" t="s">
        <v>125</v>
      </c>
      <c r="JEZ68" s="197"/>
      <c r="JFA68" s="198"/>
      <c r="JFB68" s="143" t="s">
        <v>22</v>
      </c>
      <c r="JFC68" s="144">
        <v>8150</v>
      </c>
      <c r="JFD68" s="152">
        <v>85</v>
      </c>
      <c r="JFE68" s="153">
        <v>215</v>
      </c>
      <c r="JFF68" s="153">
        <v>75</v>
      </c>
      <c r="JFG68" s="152">
        <v>150</v>
      </c>
      <c r="JFH68" s="154">
        <f>SUM(JFC68:JFG68)</f>
        <v>8675</v>
      </c>
      <c r="JFI68" s="152">
        <v>200</v>
      </c>
      <c r="JFJ68" s="154">
        <f>SUM(JFH68:JFI68)</f>
        <v>8875</v>
      </c>
      <c r="JFK68" s="147" t="s">
        <v>99</v>
      </c>
      <c r="JFL68" s="148">
        <v>45845</v>
      </c>
      <c r="JFM68" s="143" t="s">
        <v>46</v>
      </c>
      <c r="JFN68" s="199"/>
      <c r="JFO68" s="149" t="s">
        <v>125</v>
      </c>
      <c r="JFP68" s="197"/>
      <c r="JFQ68" s="198"/>
      <c r="JFR68" s="143" t="s">
        <v>22</v>
      </c>
      <c r="JFS68" s="144">
        <v>8150</v>
      </c>
      <c r="JFT68" s="152">
        <v>85</v>
      </c>
      <c r="JFU68" s="153">
        <v>215</v>
      </c>
      <c r="JFV68" s="153">
        <v>75</v>
      </c>
      <c r="JFW68" s="152">
        <v>150</v>
      </c>
      <c r="JFX68" s="154">
        <f>SUM(JFS68:JFW68)</f>
        <v>8675</v>
      </c>
      <c r="JFY68" s="152">
        <v>200</v>
      </c>
      <c r="JFZ68" s="154">
        <f>SUM(JFX68:JFY68)</f>
        <v>8875</v>
      </c>
      <c r="JGA68" s="147" t="s">
        <v>99</v>
      </c>
      <c r="JGB68" s="148">
        <v>45845</v>
      </c>
      <c r="JGC68" s="143" t="s">
        <v>46</v>
      </c>
      <c r="JGD68" s="199"/>
      <c r="JGE68" s="149" t="s">
        <v>125</v>
      </c>
      <c r="JGF68" s="197"/>
      <c r="JGG68" s="198"/>
      <c r="JGH68" s="143" t="s">
        <v>22</v>
      </c>
      <c r="JGI68" s="144">
        <v>8150</v>
      </c>
      <c r="JGJ68" s="152">
        <v>85</v>
      </c>
      <c r="JGK68" s="153">
        <v>215</v>
      </c>
      <c r="JGL68" s="153">
        <v>75</v>
      </c>
      <c r="JGM68" s="152">
        <v>150</v>
      </c>
      <c r="JGN68" s="154">
        <f>SUM(JGI68:JGM68)</f>
        <v>8675</v>
      </c>
      <c r="JGO68" s="152">
        <v>200</v>
      </c>
      <c r="JGP68" s="154">
        <f>SUM(JGN68:JGO68)</f>
        <v>8875</v>
      </c>
      <c r="JGQ68" s="147" t="s">
        <v>99</v>
      </c>
      <c r="JGR68" s="148">
        <v>45845</v>
      </c>
      <c r="JGS68" s="143" t="s">
        <v>46</v>
      </c>
      <c r="JGT68" s="199"/>
      <c r="JGU68" s="149" t="s">
        <v>125</v>
      </c>
      <c r="JGV68" s="197"/>
      <c r="JGW68" s="198"/>
      <c r="JGX68" s="143" t="s">
        <v>22</v>
      </c>
      <c r="JGY68" s="144">
        <v>8150</v>
      </c>
      <c r="JGZ68" s="152">
        <v>85</v>
      </c>
      <c r="JHA68" s="153">
        <v>215</v>
      </c>
      <c r="JHB68" s="153">
        <v>75</v>
      </c>
      <c r="JHC68" s="152">
        <v>150</v>
      </c>
      <c r="JHD68" s="154">
        <f>SUM(JGY68:JHC68)</f>
        <v>8675</v>
      </c>
      <c r="JHE68" s="152">
        <v>200</v>
      </c>
      <c r="JHF68" s="154">
        <f>SUM(JHD68:JHE68)</f>
        <v>8875</v>
      </c>
      <c r="JHG68" s="147" t="s">
        <v>99</v>
      </c>
      <c r="JHH68" s="148">
        <v>45845</v>
      </c>
      <c r="JHI68" s="143" t="s">
        <v>46</v>
      </c>
      <c r="JHJ68" s="199"/>
      <c r="JHK68" s="149" t="s">
        <v>125</v>
      </c>
      <c r="JHL68" s="197"/>
      <c r="JHM68" s="198"/>
      <c r="JHN68" s="143" t="s">
        <v>22</v>
      </c>
      <c r="JHO68" s="144">
        <v>8150</v>
      </c>
      <c r="JHP68" s="152">
        <v>85</v>
      </c>
      <c r="JHQ68" s="153">
        <v>215</v>
      </c>
      <c r="JHR68" s="153">
        <v>75</v>
      </c>
      <c r="JHS68" s="152">
        <v>150</v>
      </c>
      <c r="JHT68" s="154">
        <f>SUM(JHO68:JHS68)</f>
        <v>8675</v>
      </c>
      <c r="JHU68" s="152">
        <v>200</v>
      </c>
      <c r="JHV68" s="154">
        <f>SUM(JHT68:JHU68)</f>
        <v>8875</v>
      </c>
      <c r="JHW68" s="147" t="s">
        <v>99</v>
      </c>
      <c r="JHX68" s="148">
        <v>45845</v>
      </c>
      <c r="JHY68" s="143" t="s">
        <v>46</v>
      </c>
      <c r="JHZ68" s="199"/>
      <c r="JIA68" s="149" t="s">
        <v>125</v>
      </c>
      <c r="JIB68" s="197"/>
      <c r="JIC68" s="198"/>
      <c r="JID68" s="143" t="s">
        <v>22</v>
      </c>
      <c r="JIE68" s="144">
        <v>8150</v>
      </c>
      <c r="JIF68" s="152">
        <v>85</v>
      </c>
      <c r="JIG68" s="153">
        <v>215</v>
      </c>
      <c r="JIH68" s="153">
        <v>75</v>
      </c>
      <c r="JII68" s="152">
        <v>150</v>
      </c>
      <c r="JIJ68" s="154">
        <f>SUM(JIE68:JII68)</f>
        <v>8675</v>
      </c>
      <c r="JIK68" s="152">
        <v>200</v>
      </c>
      <c r="JIL68" s="154">
        <f>SUM(JIJ68:JIK68)</f>
        <v>8875</v>
      </c>
      <c r="JIM68" s="147" t="s">
        <v>99</v>
      </c>
      <c r="JIN68" s="148">
        <v>45845</v>
      </c>
      <c r="JIO68" s="143" t="s">
        <v>46</v>
      </c>
      <c r="JIP68" s="199"/>
      <c r="JIQ68" s="149" t="s">
        <v>125</v>
      </c>
      <c r="JIR68" s="197"/>
      <c r="JIS68" s="198"/>
      <c r="JIT68" s="143" t="s">
        <v>22</v>
      </c>
      <c r="JIU68" s="144">
        <v>8150</v>
      </c>
      <c r="JIV68" s="152">
        <v>85</v>
      </c>
      <c r="JIW68" s="153">
        <v>215</v>
      </c>
      <c r="JIX68" s="153">
        <v>75</v>
      </c>
      <c r="JIY68" s="152">
        <v>150</v>
      </c>
      <c r="JIZ68" s="154">
        <f>SUM(JIU68:JIY68)</f>
        <v>8675</v>
      </c>
      <c r="JJA68" s="152">
        <v>200</v>
      </c>
      <c r="JJB68" s="154">
        <f>SUM(JIZ68:JJA68)</f>
        <v>8875</v>
      </c>
      <c r="JJC68" s="147" t="s">
        <v>99</v>
      </c>
      <c r="JJD68" s="148">
        <v>45845</v>
      </c>
      <c r="JJE68" s="143" t="s">
        <v>46</v>
      </c>
      <c r="JJF68" s="199"/>
      <c r="JJG68" s="149" t="s">
        <v>125</v>
      </c>
      <c r="JJH68" s="197"/>
      <c r="JJI68" s="198"/>
      <c r="JJJ68" s="143" t="s">
        <v>22</v>
      </c>
      <c r="JJK68" s="144">
        <v>8150</v>
      </c>
      <c r="JJL68" s="152">
        <v>85</v>
      </c>
      <c r="JJM68" s="153">
        <v>215</v>
      </c>
      <c r="JJN68" s="153">
        <v>75</v>
      </c>
      <c r="JJO68" s="152">
        <v>150</v>
      </c>
      <c r="JJP68" s="154">
        <f>SUM(JJK68:JJO68)</f>
        <v>8675</v>
      </c>
      <c r="JJQ68" s="152">
        <v>200</v>
      </c>
      <c r="JJR68" s="154">
        <f>SUM(JJP68:JJQ68)</f>
        <v>8875</v>
      </c>
      <c r="JJS68" s="147" t="s">
        <v>99</v>
      </c>
      <c r="JJT68" s="148">
        <v>45845</v>
      </c>
      <c r="JJU68" s="143" t="s">
        <v>46</v>
      </c>
      <c r="JJV68" s="199"/>
      <c r="JJW68" s="149" t="s">
        <v>125</v>
      </c>
      <c r="JJX68" s="197"/>
      <c r="JJY68" s="198"/>
      <c r="JJZ68" s="143" t="s">
        <v>22</v>
      </c>
      <c r="JKA68" s="144">
        <v>8150</v>
      </c>
      <c r="JKB68" s="152">
        <v>85</v>
      </c>
      <c r="JKC68" s="153">
        <v>215</v>
      </c>
      <c r="JKD68" s="153">
        <v>75</v>
      </c>
      <c r="JKE68" s="152">
        <v>150</v>
      </c>
      <c r="JKF68" s="154">
        <f>SUM(JKA68:JKE68)</f>
        <v>8675</v>
      </c>
      <c r="JKG68" s="152">
        <v>200</v>
      </c>
      <c r="JKH68" s="154">
        <f>SUM(JKF68:JKG68)</f>
        <v>8875</v>
      </c>
      <c r="JKI68" s="147" t="s">
        <v>99</v>
      </c>
      <c r="JKJ68" s="148">
        <v>45845</v>
      </c>
      <c r="JKK68" s="143" t="s">
        <v>46</v>
      </c>
      <c r="JKL68" s="199"/>
      <c r="JKM68" s="149" t="s">
        <v>125</v>
      </c>
      <c r="JKN68" s="197"/>
      <c r="JKO68" s="198"/>
      <c r="JKP68" s="143" t="s">
        <v>22</v>
      </c>
      <c r="JKQ68" s="144">
        <v>8150</v>
      </c>
      <c r="JKR68" s="152">
        <v>85</v>
      </c>
      <c r="JKS68" s="153">
        <v>215</v>
      </c>
      <c r="JKT68" s="153">
        <v>75</v>
      </c>
      <c r="JKU68" s="152">
        <v>150</v>
      </c>
      <c r="JKV68" s="154">
        <f>SUM(JKQ68:JKU68)</f>
        <v>8675</v>
      </c>
      <c r="JKW68" s="152">
        <v>200</v>
      </c>
      <c r="JKX68" s="154">
        <f>SUM(JKV68:JKW68)</f>
        <v>8875</v>
      </c>
      <c r="JKY68" s="147" t="s">
        <v>99</v>
      </c>
      <c r="JKZ68" s="148">
        <v>45845</v>
      </c>
      <c r="JLA68" s="143" t="s">
        <v>46</v>
      </c>
      <c r="JLB68" s="199"/>
      <c r="JLC68" s="149" t="s">
        <v>125</v>
      </c>
      <c r="JLD68" s="197"/>
      <c r="JLE68" s="198"/>
      <c r="JLF68" s="143" t="s">
        <v>22</v>
      </c>
      <c r="JLG68" s="144">
        <v>8150</v>
      </c>
      <c r="JLH68" s="152">
        <v>85</v>
      </c>
      <c r="JLI68" s="153">
        <v>215</v>
      </c>
      <c r="JLJ68" s="153">
        <v>75</v>
      </c>
      <c r="JLK68" s="152">
        <v>150</v>
      </c>
      <c r="JLL68" s="154">
        <f>SUM(JLG68:JLK68)</f>
        <v>8675</v>
      </c>
      <c r="JLM68" s="152">
        <v>200</v>
      </c>
      <c r="JLN68" s="154">
        <f>SUM(JLL68:JLM68)</f>
        <v>8875</v>
      </c>
      <c r="JLO68" s="147" t="s">
        <v>99</v>
      </c>
      <c r="JLP68" s="148">
        <v>45845</v>
      </c>
      <c r="JLQ68" s="143" t="s">
        <v>46</v>
      </c>
      <c r="JLR68" s="199"/>
      <c r="JLS68" s="149" t="s">
        <v>125</v>
      </c>
      <c r="JLT68" s="197"/>
      <c r="JLU68" s="198"/>
      <c r="JLV68" s="143" t="s">
        <v>22</v>
      </c>
      <c r="JLW68" s="144">
        <v>8150</v>
      </c>
      <c r="JLX68" s="152">
        <v>85</v>
      </c>
      <c r="JLY68" s="153">
        <v>215</v>
      </c>
      <c r="JLZ68" s="153">
        <v>75</v>
      </c>
      <c r="JMA68" s="152">
        <v>150</v>
      </c>
      <c r="JMB68" s="154">
        <f>SUM(JLW68:JMA68)</f>
        <v>8675</v>
      </c>
      <c r="JMC68" s="152">
        <v>200</v>
      </c>
      <c r="JMD68" s="154">
        <f>SUM(JMB68:JMC68)</f>
        <v>8875</v>
      </c>
      <c r="JME68" s="147" t="s">
        <v>99</v>
      </c>
      <c r="JMF68" s="148">
        <v>45845</v>
      </c>
      <c r="JMG68" s="143" t="s">
        <v>46</v>
      </c>
      <c r="JMH68" s="199"/>
      <c r="JMI68" s="149" t="s">
        <v>125</v>
      </c>
      <c r="JMJ68" s="197"/>
      <c r="JMK68" s="198"/>
      <c r="JML68" s="143" t="s">
        <v>22</v>
      </c>
      <c r="JMM68" s="144">
        <v>8150</v>
      </c>
      <c r="JMN68" s="152">
        <v>85</v>
      </c>
      <c r="JMO68" s="153">
        <v>215</v>
      </c>
      <c r="JMP68" s="153">
        <v>75</v>
      </c>
      <c r="JMQ68" s="152">
        <v>150</v>
      </c>
      <c r="JMR68" s="154">
        <f>SUM(JMM68:JMQ68)</f>
        <v>8675</v>
      </c>
      <c r="JMS68" s="152">
        <v>200</v>
      </c>
      <c r="JMT68" s="154">
        <f>SUM(JMR68:JMS68)</f>
        <v>8875</v>
      </c>
      <c r="JMU68" s="147" t="s">
        <v>99</v>
      </c>
      <c r="JMV68" s="148">
        <v>45845</v>
      </c>
      <c r="JMW68" s="143" t="s">
        <v>46</v>
      </c>
      <c r="JMX68" s="199"/>
      <c r="JMY68" s="149" t="s">
        <v>125</v>
      </c>
      <c r="JMZ68" s="197"/>
      <c r="JNA68" s="198"/>
      <c r="JNB68" s="143" t="s">
        <v>22</v>
      </c>
      <c r="JNC68" s="144">
        <v>8150</v>
      </c>
      <c r="JND68" s="152">
        <v>85</v>
      </c>
      <c r="JNE68" s="153">
        <v>215</v>
      </c>
      <c r="JNF68" s="153">
        <v>75</v>
      </c>
      <c r="JNG68" s="152">
        <v>150</v>
      </c>
      <c r="JNH68" s="154">
        <f>SUM(JNC68:JNG68)</f>
        <v>8675</v>
      </c>
      <c r="JNI68" s="152">
        <v>200</v>
      </c>
      <c r="JNJ68" s="154">
        <f>SUM(JNH68:JNI68)</f>
        <v>8875</v>
      </c>
      <c r="JNK68" s="147" t="s">
        <v>99</v>
      </c>
      <c r="JNL68" s="148">
        <v>45845</v>
      </c>
      <c r="JNM68" s="143" t="s">
        <v>46</v>
      </c>
      <c r="JNN68" s="199"/>
      <c r="JNO68" s="149" t="s">
        <v>125</v>
      </c>
      <c r="JNP68" s="197"/>
      <c r="JNQ68" s="198"/>
      <c r="JNR68" s="143" t="s">
        <v>22</v>
      </c>
      <c r="JNS68" s="144">
        <v>8150</v>
      </c>
      <c r="JNT68" s="152">
        <v>85</v>
      </c>
      <c r="JNU68" s="153">
        <v>215</v>
      </c>
      <c r="JNV68" s="153">
        <v>75</v>
      </c>
      <c r="JNW68" s="152">
        <v>150</v>
      </c>
      <c r="JNX68" s="154">
        <f>SUM(JNS68:JNW68)</f>
        <v>8675</v>
      </c>
      <c r="JNY68" s="152">
        <v>200</v>
      </c>
      <c r="JNZ68" s="154">
        <f>SUM(JNX68:JNY68)</f>
        <v>8875</v>
      </c>
      <c r="JOA68" s="147" t="s">
        <v>99</v>
      </c>
      <c r="JOB68" s="148">
        <v>45845</v>
      </c>
      <c r="JOC68" s="143" t="s">
        <v>46</v>
      </c>
      <c r="JOD68" s="199"/>
      <c r="JOE68" s="149" t="s">
        <v>125</v>
      </c>
      <c r="JOF68" s="197"/>
      <c r="JOG68" s="198"/>
      <c r="JOH68" s="143" t="s">
        <v>22</v>
      </c>
      <c r="JOI68" s="144">
        <v>8150</v>
      </c>
      <c r="JOJ68" s="152">
        <v>85</v>
      </c>
      <c r="JOK68" s="153">
        <v>215</v>
      </c>
      <c r="JOL68" s="153">
        <v>75</v>
      </c>
      <c r="JOM68" s="152">
        <v>150</v>
      </c>
      <c r="JON68" s="154">
        <f>SUM(JOI68:JOM68)</f>
        <v>8675</v>
      </c>
      <c r="JOO68" s="152">
        <v>200</v>
      </c>
      <c r="JOP68" s="154">
        <f>SUM(JON68:JOO68)</f>
        <v>8875</v>
      </c>
      <c r="JOQ68" s="147" t="s">
        <v>99</v>
      </c>
      <c r="JOR68" s="148">
        <v>45845</v>
      </c>
      <c r="JOS68" s="143" t="s">
        <v>46</v>
      </c>
      <c r="JOT68" s="199"/>
      <c r="JOU68" s="149" t="s">
        <v>125</v>
      </c>
      <c r="JOV68" s="197"/>
      <c r="JOW68" s="198"/>
      <c r="JOX68" s="143" t="s">
        <v>22</v>
      </c>
      <c r="JOY68" s="144">
        <v>8150</v>
      </c>
      <c r="JOZ68" s="152">
        <v>85</v>
      </c>
      <c r="JPA68" s="153">
        <v>215</v>
      </c>
      <c r="JPB68" s="153">
        <v>75</v>
      </c>
      <c r="JPC68" s="152">
        <v>150</v>
      </c>
      <c r="JPD68" s="154">
        <f>SUM(JOY68:JPC68)</f>
        <v>8675</v>
      </c>
      <c r="JPE68" s="152">
        <v>200</v>
      </c>
      <c r="JPF68" s="154">
        <f>SUM(JPD68:JPE68)</f>
        <v>8875</v>
      </c>
      <c r="JPG68" s="147" t="s">
        <v>99</v>
      </c>
      <c r="JPH68" s="148">
        <v>45845</v>
      </c>
      <c r="JPI68" s="143" t="s">
        <v>46</v>
      </c>
      <c r="JPJ68" s="199"/>
      <c r="JPK68" s="149" t="s">
        <v>125</v>
      </c>
      <c r="JPL68" s="197"/>
      <c r="JPM68" s="198"/>
      <c r="JPN68" s="143" t="s">
        <v>22</v>
      </c>
      <c r="JPO68" s="144">
        <v>8150</v>
      </c>
      <c r="JPP68" s="152">
        <v>85</v>
      </c>
      <c r="JPQ68" s="153">
        <v>215</v>
      </c>
      <c r="JPR68" s="153">
        <v>75</v>
      </c>
      <c r="JPS68" s="152">
        <v>150</v>
      </c>
      <c r="JPT68" s="154">
        <f>SUM(JPO68:JPS68)</f>
        <v>8675</v>
      </c>
      <c r="JPU68" s="152">
        <v>200</v>
      </c>
      <c r="JPV68" s="154">
        <f>SUM(JPT68:JPU68)</f>
        <v>8875</v>
      </c>
      <c r="JPW68" s="147" t="s">
        <v>99</v>
      </c>
      <c r="JPX68" s="148">
        <v>45845</v>
      </c>
      <c r="JPY68" s="143" t="s">
        <v>46</v>
      </c>
      <c r="JPZ68" s="199"/>
      <c r="JQA68" s="149" t="s">
        <v>125</v>
      </c>
      <c r="JQB68" s="197"/>
      <c r="JQC68" s="198"/>
      <c r="JQD68" s="143" t="s">
        <v>22</v>
      </c>
      <c r="JQE68" s="144">
        <v>8150</v>
      </c>
      <c r="JQF68" s="152">
        <v>85</v>
      </c>
      <c r="JQG68" s="153">
        <v>215</v>
      </c>
      <c r="JQH68" s="153">
        <v>75</v>
      </c>
      <c r="JQI68" s="152">
        <v>150</v>
      </c>
      <c r="JQJ68" s="154">
        <f>SUM(JQE68:JQI68)</f>
        <v>8675</v>
      </c>
      <c r="JQK68" s="152">
        <v>200</v>
      </c>
      <c r="JQL68" s="154">
        <f>SUM(JQJ68:JQK68)</f>
        <v>8875</v>
      </c>
      <c r="JQM68" s="147" t="s">
        <v>99</v>
      </c>
      <c r="JQN68" s="148">
        <v>45845</v>
      </c>
      <c r="JQO68" s="143" t="s">
        <v>46</v>
      </c>
      <c r="JQP68" s="199"/>
      <c r="JQQ68" s="149" t="s">
        <v>125</v>
      </c>
      <c r="JQR68" s="197"/>
      <c r="JQS68" s="198"/>
      <c r="JQT68" s="143" t="s">
        <v>22</v>
      </c>
      <c r="JQU68" s="144">
        <v>8150</v>
      </c>
      <c r="JQV68" s="152">
        <v>85</v>
      </c>
      <c r="JQW68" s="153">
        <v>215</v>
      </c>
      <c r="JQX68" s="153">
        <v>75</v>
      </c>
      <c r="JQY68" s="152">
        <v>150</v>
      </c>
      <c r="JQZ68" s="154">
        <f>SUM(JQU68:JQY68)</f>
        <v>8675</v>
      </c>
      <c r="JRA68" s="152">
        <v>200</v>
      </c>
      <c r="JRB68" s="154">
        <f>SUM(JQZ68:JRA68)</f>
        <v>8875</v>
      </c>
      <c r="JRC68" s="147" t="s">
        <v>99</v>
      </c>
      <c r="JRD68" s="148">
        <v>45845</v>
      </c>
      <c r="JRE68" s="143" t="s">
        <v>46</v>
      </c>
      <c r="JRF68" s="199"/>
      <c r="JRG68" s="149" t="s">
        <v>125</v>
      </c>
      <c r="JRH68" s="197"/>
      <c r="JRI68" s="198"/>
      <c r="JRJ68" s="143" t="s">
        <v>22</v>
      </c>
      <c r="JRK68" s="144">
        <v>8150</v>
      </c>
      <c r="JRL68" s="152">
        <v>85</v>
      </c>
      <c r="JRM68" s="153">
        <v>215</v>
      </c>
      <c r="JRN68" s="153">
        <v>75</v>
      </c>
      <c r="JRO68" s="152">
        <v>150</v>
      </c>
      <c r="JRP68" s="154">
        <f>SUM(JRK68:JRO68)</f>
        <v>8675</v>
      </c>
      <c r="JRQ68" s="152">
        <v>200</v>
      </c>
      <c r="JRR68" s="154">
        <f>SUM(JRP68:JRQ68)</f>
        <v>8875</v>
      </c>
      <c r="JRS68" s="147" t="s">
        <v>99</v>
      </c>
      <c r="JRT68" s="148">
        <v>45845</v>
      </c>
      <c r="JRU68" s="143" t="s">
        <v>46</v>
      </c>
      <c r="JRV68" s="199"/>
      <c r="JRW68" s="149" t="s">
        <v>125</v>
      </c>
      <c r="JRX68" s="197"/>
      <c r="JRY68" s="198"/>
      <c r="JRZ68" s="143" t="s">
        <v>22</v>
      </c>
      <c r="JSA68" s="144">
        <v>8150</v>
      </c>
      <c r="JSB68" s="152">
        <v>85</v>
      </c>
      <c r="JSC68" s="153">
        <v>215</v>
      </c>
      <c r="JSD68" s="153">
        <v>75</v>
      </c>
      <c r="JSE68" s="152">
        <v>150</v>
      </c>
      <c r="JSF68" s="154">
        <f>SUM(JSA68:JSE68)</f>
        <v>8675</v>
      </c>
      <c r="JSG68" s="152">
        <v>200</v>
      </c>
      <c r="JSH68" s="154">
        <f>SUM(JSF68:JSG68)</f>
        <v>8875</v>
      </c>
      <c r="JSI68" s="147" t="s">
        <v>99</v>
      </c>
      <c r="JSJ68" s="148">
        <v>45845</v>
      </c>
      <c r="JSK68" s="143" t="s">
        <v>46</v>
      </c>
      <c r="JSL68" s="199"/>
      <c r="JSM68" s="149" t="s">
        <v>125</v>
      </c>
      <c r="JSN68" s="197"/>
      <c r="JSO68" s="198"/>
      <c r="JSP68" s="143" t="s">
        <v>22</v>
      </c>
      <c r="JSQ68" s="144">
        <v>8150</v>
      </c>
      <c r="JSR68" s="152">
        <v>85</v>
      </c>
      <c r="JSS68" s="153">
        <v>215</v>
      </c>
      <c r="JST68" s="153">
        <v>75</v>
      </c>
      <c r="JSU68" s="152">
        <v>150</v>
      </c>
      <c r="JSV68" s="154">
        <f>SUM(JSQ68:JSU68)</f>
        <v>8675</v>
      </c>
      <c r="JSW68" s="152">
        <v>200</v>
      </c>
      <c r="JSX68" s="154">
        <f>SUM(JSV68:JSW68)</f>
        <v>8875</v>
      </c>
      <c r="JSY68" s="147" t="s">
        <v>99</v>
      </c>
      <c r="JSZ68" s="148">
        <v>45845</v>
      </c>
      <c r="JTA68" s="143" t="s">
        <v>46</v>
      </c>
      <c r="JTB68" s="199"/>
      <c r="JTC68" s="149" t="s">
        <v>125</v>
      </c>
      <c r="JTD68" s="197"/>
      <c r="JTE68" s="198"/>
      <c r="JTF68" s="143" t="s">
        <v>22</v>
      </c>
      <c r="JTG68" s="144">
        <v>8150</v>
      </c>
      <c r="JTH68" s="152">
        <v>85</v>
      </c>
      <c r="JTI68" s="153">
        <v>215</v>
      </c>
      <c r="JTJ68" s="153">
        <v>75</v>
      </c>
      <c r="JTK68" s="152">
        <v>150</v>
      </c>
      <c r="JTL68" s="154">
        <f>SUM(JTG68:JTK68)</f>
        <v>8675</v>
      </c>
      <c r="JTM68" s="152">
        <v>200</v>
      </c>
      <c r="JTN68" s="154">
        <f>SUM(JTL68:JTM68)</f>
        <v>8875</v>
      </c>
      <c r="JTO68" s="147" t="s">
        <v>99</v>
      </c>
      <c r="JTP68" s="148">
        <v>45845</v>
      </c>
      <c r="JTQ68" s="143" t="s">
        <v>46</v>
      </c>
      <c r="JTR68" s="199"/>
      <c r="JTS68" s="149" t="s">
        <v>125</v>
      </c>
      <c r="JTT68" s="197"/>
      <c r="JTU68" s="198"/>
      <c r="JTV68" s="143" t="s">
        <v>22</v>
      </c>
      <c r="JTW68" s="144">
        <v>8150</v>
      </c>
      <c r="JTX68" s="152">
        <v>85</v>
      </c>
      <c r="JTY68" s="153">
        <v>215</v>
      </c>
      <c r="JTZ68" s="153">
        <v>75</v>
      </c>
      <c r="JUA68" s="152">
        <v>150</v>
      </c>
      <c r="JUB68" s="154">
        <f>SUM(JTW68:JUA68)</f>
        <v>8675</v>
      </c>
      <c r="JUC68" s="152">
        <v>200</v>
      </c>
      <c r="JUD68" s="154">
        <f>SUM(JUB68:JUC68)</f>
        <v>8875</v>
      </c>
      <c r="JUE68" s="147" t="s">
        <v>99</v>
      </c>
      <c r="JUF68" s="148">
        <v>45845</v>
      </c>
      <c r="JUG68" s="143" t="s">
        <v>46</v>
      </c>
      <c r="JUH68" s="199"/>
      <c r="JUI68" s="149" t="s">
        <v>125</v>
      </c>
      <c r="JUJ68" s="197"/>
      <c r="JUK68" s="198"/>
      <c r="JUL68" s="143" t="s">
        <v>22</v>
      </c>
      <c r="JUM68" s="144">
        <v>8150</v>
      </c>
      <c r="JUN68" s="152">
        <v>85</v>
      </c>
      <c r="JUO68" s="153">
        <v>215</v>
      </c>
      <c r="JUP68" s="153">
        <v>75</v>
      </c>
      <c r="JUQ68" s="152">
        <v>150</v>
      </c>
      <c r="JUR68" s="154">
        <f>SUM(JUM68:JUQ68)</f>
        <v>8675</v>
      </c>
      <c r="JUS68" s="152">
        <v>200</v>
      </c>
      <c r="JUT68" s="154">
        <f>SUM(JUR68:JUS68)</f>
        <v>8875</v>
      </c>
      <c r="JUU68" s="147" t="s">
        <v>99</v>
      </c>
      <c r="JUV68" s="148">
        <v>45845</v>
      </c>
      <c r="JUW68" s="143" t="s">
        <v>46</v>
      </c>
      <c r="JUX68" s="199"/>
      <c r="JUY68" s="149" t="s">
        <v>125</v>
      </c>
      <c r="JUZ68" s="197"/>
      <c r="JVA68" s="198"/>
      <c r="JVB68" s="143" t="s">
        <v>22</v>
      </c>
      <c r="JVC68" s="144">
        <v>8150</v>
      </c>
      <c r="JVD68" s="152">
        <v>85</v>
      </c>
      <c r="JVE68" s="153">
        <v>215</v>
      </c>
      <c r="JVF68" s="153">
        <v>75</v>
      </c>
      <c r="JVG68" s="152">
        <v>150</v>
      </c>
      <c r="JVH68" s="154">
        <f>SUM(JVC68:JVG68)</f>
        <v>8675</v>
      </c>
      <c r="JVI68" s="152">
        <v>200</v>
      </c>
      <c r="JVJ68" s="154">
        <f>SUM(JVH68:JVI68)</f>
        <v>8875</v>
      </c>
      <c r="JVK68" s="147" t="s">
        <v>99</v>
      </c>
      <c r="JVL68" s="148">
        <v>45845</v>
      </c>
      <c r="JVM68" s="143" t="s">
        <v>46</v>
      </c>
      <c r="JVN68" s="199"/>
      <c r="JVO68" s="149" t="s">
        <v>125</v>
      </c>
      <c r="JVP68" s="197"/>
      <c r="JVQ68" s="198"/>
      <c r="JVR68" s="143" t="s">
        <v>22</v>
      </c>
      <c r="JVS68" s="144">
        <v>8150</v>
      </c>
      <c r="JVT68" s="152">
        <v>85</v>
      </c>
      <c r="JVU68" s="153">
        <v>215</v>
      </c>
      <c r="JVV68" s="153">
        <v>75</v>
      </c>
      <c r="JVW68" s="152">
        <v>150</v>
      </c>
      <c r="JVX68" s="154">
        <f>SUM(JVS68:JVW68)</f>
        <v>8675</v>
      </c>
      <c r="JVY68" s="152">
        <v>200</v>
      </c>
      <c r="JVZ68" s="154">
        <f>SUM(JVX68:JVY68)</f>
        <v>8875</v>
      </c>
      <c r="JWA68" s="147" t="s">
        <v>99</v>
      </c>
      <c r="JWB68" s="148">
        <v>45845</v>
      </c>
      <c r="JWC68" s="143" t="s">
        <v>46</v>
      </c>
      <c r="JWD68" s="199"/>
      <c r="JWE68" s="149" t="s">
        <v>125</v>
      </c>
      <c r="JWF68" s="197"/>
      <c r="JWG68" s="198"/>
      <c r="JWH68" s="143" t="s">
        <v>22</v>
      </c>
      <c r="JWI68" s="144">
        <v>8150</v>
      </c>
      <c r="JWJ68" s="152">
        <v>85</v>
      </c>
      <c r="JWK68" s="153">
        <v>215</v>
      </c>
      <c r="JWL68" s="153">
        <v>75</v>
      </c>
      <c r="JWM68" s="152">
        <v>150</v>
      </c>
      <c r="JWN68" s="154">
        <f>SUM(JWI68:JWM68)</f>
        <v>8675</v>
      </c>
      <c r="JWO68" s="152">
        <v>200</v>
      </c>
      <c r="JWP68" s="154">
        <f>SUM(JWN68:JWO68)</f>
        <v>8875</v>
      </c>
      <c r="JWQ68" s="147" t="s">
        <v>99</v>
      </c>
      <c r="JWR68" s="148">
        <v>45845</v>
      </c>
      <c r="JWS68" s="143" t="s">
        <v>46</v>
      </c>
      <c r="JWT68" s="199"/>
      <c r="JWU68" s="149" t="s">
        <v>125</v>
      </c>
      <c r="JWV68" s="197"/>
      <c r="JWW68" s="198"/>
      <c r="JWX68" s="143" t="s">
        <v>22</v>
      </c>
      <c r="JWY68" s="144">
        <v>8150</v>
      </c>
      <c r="JWZ68" s="152">
        <v>85</v>
      </c>
      <c r="JXA68" s="153">
        <v>215</v>
      </c>
      <c r="JXB68" s="153">
        <v>75</v>
      </c>
      <c r="JXC68" s="152">
        <v>150</v>
      </c>
      <c r="JXD68" s="154">
        <f>SUM(JWY68:JXC68)</f>
        <v>8675</v>
      </c>
      <c r="JXE68" s="152">
        <v>200</v>
      </c>
      <c r="JXF68" s="154">
        <f>SUM(JXD68:JXE68)</f>
        <v>8875</v>
      </c>
      <c r="JXG68" s="147" t="s">
        <v>99</v>
      </c>
      <c r="JXH68" s="148">
        <v>45845</v>
      </c>
      <c r="JXI68" s="143" t="s">
        <v>46</v>
      </c>
      <c r="JXJ68" s="199"/>
      <c r="JXK68" s="149" t="s">
        <v>125</v>
      </c>
      <c r="JXL68" s="197"/>
      <c r="JXM68" s="198"/>
      <c r="JXN68" s="143" t="s">
        <v>22</v>
      </c>
      <c r="JXO68" s="144">
        <v>8150</v>
      </c>
      <c r="JXP68" s="152">
        <v>85</v>
      </c>
      <c r="JXQ68" s="153">
        <v>215</v>
      </c>
      <c r="JXR68" s="153">
        <v>75</v>
      </c>
      <c r="JXS68" s="152">
        <v>150</v>
      </c>
      <c r="JXT68" s="154">
        <f>SUM(JXO68:JXS68)</f>
        <v>8675</v>
      </c>
      <c r="JXU68" s="152">
        <v>200</v>
      </c>
      <c r="JXV68" s="154">
        <f>SUM(JXT68:JXU68)</f>
        <v>8875</v>
      </c>
      <c r="JXW68" s="147" t="s">
        <v>99</v>
      </c>
      <c r="JXX68" s="148">
        <v>45845</v>
      </c>
      <c r="JXY68" s="143" t="s">
        <v>46</v>
      </c>
      <c r="JXZ68" s="199"/>
      <c r="JYA68" s="149" t="s">
        <v>125</v>
      </c>
      <c r="JYB68" s="197"/>
      <c r="JYC68" s="198"/>
      <c r="JYD68" s="143" t="s">
        <v>22</v>
      </c>
      <c r="JYE68" s="144">
        <v>8150</v>
      </c>
      <c r="JYF68" s="152">
        <v>85</v>
      </c>
      <c r="JYG68" s="153">
        <v>215</v>
      </c>
      <c r="JYH68" s="153">
        <v>75</v>
      </c>
      <c r="JYI68" s="152">
        <v>150</v>
      </c>
      <c r="JYJ68" s="154">
        <f>SUM(JYE68:JYI68)</f>
        <v>8675</v>
      </c>
      <c r="JYK68" s="152">
        <v>200</v>
      </c>
      <c r="JYL68" s="154">
        <f>SUM(JYJ68:JYK68)</f>
        <v>8875</v>
      </c>
      <c r="JYM68" s="147" t="s">
        <v>99</v>
      </c>
      <c r="JYN68" s="148">
        <v>45845</v>
      </c>
      <c r="JYO68" s="143" t="s">
        <v>46</v>
      </c>
      <c r="JYP68" s="199"/>
      <c r="JYQ68" s="149" t="s">
        <v>125</v>
      </c>
      <c r="JYR68" s="197"/>
      <c r="JYS68" s="198"/>
      <c r="JYT68" s="143" t="s">
        <v>22</v>
      </c>
      <c r="JYU68" s="144">
        <v>8150</v>
      </c>
      <c r="JYV68" s="152">
        <v>85</v>
      </c>
      <c r="JYW68" s="153">
        <v>215</v>
      </c>
      <c r="JYX68" s="153">
        <v>75</v>
      </c>
      <c r="JYY68" s="152">
        <v>150</v>
      </c>
      <c r="JYZ68" s="154">
        <f>SUM(JYU68:JYY68)</f>
        <v>8675</v>
      </c>
      <c r="JZA68" s="152">
        <v>200</v>
      </c>
      <c r="JZB68" s="154">
        <f>SUM(JYZ68:JZA68)</f>
        <v>8875</v>
      </c>
      <c r="JZC68" s="147" t="s">
        <v>99</v>
      </c>
      <c r="JZD68" s="148">
        <v>45845</v>
      </c>
      <c r="JZE68" s="143" t="s">
        <v>46</v>
      </c>
      <c r="JZF68" s="199"/>
      <c r="JZG68" s="149" t="s">
        <v>125</v>
      </c>
      <c r="JZH68" s="197"/>
      <c r="JZI68" s="198"/>
      <c r="JZJ68" s="143" t="s">
        <v>22</v>
      </c>
      <c r="JZK68" s="144">
        <v>8150</v>
      </c>
      <c r="JZL68" s="152">
        <v>85</v>
      </c>
      <c r="JZM68" s="153">
        <v>215</v>
      </c>
      <c r="JZN68" s="153">
        <v>75</v>
      </c>
      <c r="JZO68" s="152">
        <v>150</v>
      </c>
      <c r="JZP68" s="154">
        <f>SUM(JZK68:JZO68)</f>
        <v>8675</v>
      </c>
      <c r="JZQ68" s="152">
        <v>200</v>
      </c>
      <c r="JZR68" s="154">
        <f>SUM(JZP68:JZQ68)</f>
        <v>8875</v>
      </c>
      <c r="JZS68" s="147" t="s">
        <v>99</v>
      </c>
      <c r="JZT68" s="148">
        <v>45845</v>
      </c>
      <c r="JZU68" s="143" t="s">
        <v>46</v>
      </c>
      <c r="JZV68" s="199"/>
      <c r="JZW68" s="149" t="s">
        <v>125</v>
      </c>
      <c r="JZX68" s="197"/>
      <c r="JZY68" s="198"/>
      <c r="JZZ68" s="143" t="s">
        <v>22</v>
      </c>
      <c r="KAA68" s="144">
        <v>8150</v>
      </c>
      <c r="KAB68" s="152">
        <v>85</v>
      </c>
      <c r="KAC68" s="153">
        <v>215</v>
      </c>
      <c r="KAD68" s="153">
        <v>75</v>
      </c>
      <c r="KAE68" s="152">
        <v>150</v>
      </c>
      <c r="KAF68" s="154">
        <f>SUM(KAA68:KAE68)</f>
        <v>8675</v>
      </c>
      <c r="KAG68" s="152">
        <v>200</v>
      </c>
      <c r="KAH68" s="154">
        <f>SUM(KAF68:KAG68)</f>
        <v>8875</v>
      </c>
      <c r="KAI68" s="147" t="s">
        <v>99</v>
      </c>
      <c r="KAJ68" s="148">
        <v>45845</v>
      </c>
      <c r="KAK68" s="143" t="s">
        <v>46</v>
      </c>
      <c r="KAL68" s="199"/>
      <c r="KAM68" s="149" t="s">
        <v>125</v>
      </c>
      <c r="KAN68" s="197"/>
      <c r="KAO68" s="198"/>
      <c r="KAP68" s="143" t="s">
        <v>22</v>
      </c>
      <c r="KAQ68" s="144">
        <v>8150</v>
      </c>
      <c r="KAR68" s="152">
        <v>85</v>
      </c>
      <c r="KAS68" s="153">
        <v>215</v>
      </c>
      <c r="KAT68" s="153">
        <v>75</v>
      </c>
      <c r="KAU68" s="152">
        <v>150</v>
      </c>
      <c r="KAV68" s="154">
        <f>SUM(KAQ68:KAU68)</f>
        <v>8675</v>
      </c>
      <c r="KAW68" s="152">
        <v>200</v>
      </c>
      <c r="KAX68" s="154">
        <f>SUM(KAV68:KAW68)</f>
        <v>8875</v>
      </c>
      <c r="KAY68" s="147" t="s">
        <v>99</v>
      </c>
      <c r="KAZ68" s="148">
        <v>45845</v>
      </c>
      <c r="KBA68" s="143" t="s">
        <v>46</v>
      </c>
      <c r="KBB68" s="199"/>
      <c r="KBC68" s="149" t="s">
        <v>125</v>
      </c>
      <c r="KBD68" s="197"/>
      <c r="KBE68" s="198"/>
      <c r="KBF68" s="143" t="s">
        <v>22</v>
      </c>
      <c r="KBG68" s="144">
        <v>8150</v>
      </c>
      <c r="KBH68" s="152">
        <v>85</v>
      </c>
      <c r="KBI68" s="153">
        <v>215</v>
      </c>
      <c r="KBJ68" s="153">
        <v>75</v>
      </c>
      <c r="KBK68" s="152">
        <v>150</v>
      </c>
      <c r="KBL68" s="154">
        <f>SUM(KBG68:KBK68)</f>
        <v>8675</v>
      </c>
      <c r="KBM68" s="152">
        <v>200</v>
      </c>
      <c r="KBN68" s="154">
        <f>SUM(KBL68:KBM68)</f>
        <v>8875</v>
      </c>
      <c r="KBO68" s="147" t="s">
        <v>99</v>
      </c>
      <c r="KBP68" s="148">
        <v>45845</v>
      </c>
      <c r="KBQ68" s="143" t="s">
        <v>46</v>
      </c>
      <c r="KBR68" s="199"/>
      <c r="KBS68" s="149" t="s">
        <v>125</v>
      </c>
      <c r="KBT68" s="197"/>
      <c r="KBU68" s="198"/>
      <c r="KBV68" s="143" t="s">
        <v>22</v>
      </c>
      <c r="KBW68" s="144">
        <v>8150</v>
      </c>
      <c r="KBX68" s="152">
        <v>85</v>
      </c>
      <c r="KBY68" s="153">
        <v>215</v>
      </c>
      <c r="KBZ68" s="153">
        <v>75</v>
      </c>
      <c r="KCA68" s="152">
        <v>150</v>
      </c>
      <c r="KCB68" s="154">
        <f>SUM(KBW68:KCA68)</f>
        <v>8675</v>
      </c>
      <c r="KCC68" s="152">
        <v>200</v>
      </c>
      <c r="KCD68" s="154">
        <f>SUM(KCB68:KCC68)</f>
        <v>8875</v>
      </c>
      <c r="KCE68" s="147" t="s">
        <v>99</v>
      </c>
      <c r="KCF68" s="148">
        <v>45845</v>
      </c>
      <c r="KCG68" s="143" t="s">
        <v>46</v>
      </c>
      <c r="KCH68" s="199"/>
      <c r="KCI68" s="149" t="s">
        <v>125</v>
      </c>
      <c r="KCJ68" s="197"/>
      <c r="KCK68" s="198"/>
      <c r="KCL68" s="143" t="s">
        <v>22</v>
      </c>
      <c r="KCM68" s="144">
        <v>8150</v>
      </c>
      <c r="KCN68" s="152">
        <v>85</v>
      </c>
      <c r="KCO68" s="153">
        <v>215</v>
      </c>
      <c r="KCP68" s="153">
        <v>75</v>
      </c>
      <c r="KCQ68" s="152">
        <v>150</v>
      </c>
      <c r="KCR68" s="154">
        <f>SUM(KCM68:KCQ68)</f>
        <v>8675</v>
      </c>
      <c r="KCS68" s="152">
        <v>200</v>
      </c>
      <c r="KCT68" s="154">
        <f>SUM(KCR68:KCS68)</f>
        <v>8875</v>
      </c>
      <c r="KCU68" s="147" t="s">
        <v>99</v>
      </c>
      <c r="KCV68" s="148">
        <v>45845</v>
      </c>
      <c r="KCW68" s="143" t="s">
        <v>46</v>
      </c>
      <c r="KCX68" s="199"/>
      <c r="KCY68" s="149" t="s">
        <v>125</v>
      </c>
      <c r="KCZ68" s="197"/>
      <c r="KDA68" s="198"/>
      <c r="KDB68" s="143" t="s">
        <v>22</v>
      </c>
      <c r="KDC68" s="144">
        <v>8150</v>
      </c>
      <c r="KDD68" s="152">
        <v>85</v>
      </c>
      <c r="KDE68" s="153">
        <v>215</v>
      </c>
      <c r="KDF68" s="153">
        <v>75</v>
      </c>
      <c r="KDG68" s="152">
        <v>150</v>
      </c>
      <c r="KDH68" s="154">
        <f>SUM(KDC68:KDG68)</f>
        <v>8675</v>
      </c>
      <c r="KDI68" s="152">
        <v>200</v>
      </c>
      <c r="KDJ68" s="154">
        <f>SUM(KDH68:KDI68)</f>
        <v>8875</v>
      </c>
      <c r="KDK68" s="147" t="s">
        <v>99</v>
      </c>
      <c r="KDL68" s="148">
        <v>45845</v>
      </c>
      <c r="KDM68" s="143" t="s">
        <v>46</v>
      </c>
      <c r="KDN68" s="199"/>
      <c r="KDO68" s="149" t="s">
        <v>125</v>
      </c>
      <c r="KDP68" s="197"/>
      <c r="KDQ68" s="198"/>
      <c r="KDR68" s="143" t="s">
        <v>22</v>
      </c>
      <c r="KDS68" s="144">
        <v>8150</v>
      </c>
      <c r="KDT68" s="152">
        <v>85</v>
      </c>
      <c r="KDU68" s="153">
        <v>215</v>
      </c>
      <c r="KDV68" s="153">
        <v>75</v>
      </c>
      <c r="KDW68" s="152">
        <v>150</v>
      </c>
      <c r="KDX68" s="154">
        <f>SUM(KDS68:KDW68)</f>
        <v>8675</v>
      </c>
      <c r="KDY68" s="152">
        <v>200</v>
      </c>
      <c r="KDZ68" s="154">
        <f>SUM(KDX68:KDY68)</f>
        <v>8875</v>
      </c>
      <c r="KEA68" s="147" t="s">
        <v>99</v>
      </c>
      <c r="KEB68" s="148">
        <v>45845</v>
      </c>
      <c r="KEC68" s="143" t="s">
        <v>46</v>
      </c>
      <c r="KED68" s="199"/>
      <c r="KEE68" s="149" t="s">
        <v>125</v>
      </c>
      <c r="KEF68" s="197"/>
      <c r="KEG68" s="198"/>
      <c r="KEH68" s="143" t="s">
        <v>22</v>
      </c>
      <c r="KEI68" s="144">
        <v>8150</v>
      </c>
      <c r="KEJ68" s="152">
        <v>85</v>
      </c>
      <c r="KEK68" s="153">
        <v>215</v>
      </c>
      <c r="KEL68" s="153">
        <v>75</v>
      </c>
      <c r="KEM68" s="152">
        <v>150</v>
      </c>
      <c r="KEN68" s="154">
        <f>SUM(KEI68:KEM68)</f>
        <v>8675</v>
      </c>
      <c r="KEO68" s="152">
        <v>200</v>
      </c>
      <c r="KEP68" s="154">
        <f>SUM(KEN68:KEO68)</f>
        <v>8875</v>
      </c>
      <c r="KEQ68" s="147" t="s">
        <v>99</v>
      </c>
      <c r="KER68" s="148">
        <v>45845</v>
      </c>
      <c r="KES68" s="143" t="s">
        <v>46</v>
      </c>
      <c r="KET68" s="199"/>
      <c r="KEU68" s="149" t="s">
        <v>125</v>
      </c>
      <c r="KEV68" s="197"/>
      <c r="KEW68" s="198"/>
      <c r="KEX68" s="143" t="s">
        <v>22</v>
      </c>
      <c r="KEY68" s="144">
        <v>8150</v>
      </c>
      <c r="KEZ68" s="152">
        <v>85</v>
      </c>
      <c r="KFA68" s="153">
        <v>215</v>
      </c>
      <c r="KFB68" s="153">
        <v>75</v>
      </c>
      <c r="KFC68" s="152">
        <v>150</v>
      </c>
      <c r="KFD68" s="154">
        <f>SUM(KEY68:KFC68)</f>
        <v>8675</v>
      </c>
      <c r="KFE68" s="152">
        <v>200</v>
      </c>
      <c r="KFF68" s="154">
        <f>SUM(KFD68:KFE68)</f>
        <v>8875</v>
      </c>
      <c r="KFG68" s="147" t="s">
        <v>99</v>
      </c>
      <c r="KFH68" s="148">
        <v>45845</v>
      </c>
      <c r="KFI68" s="143" t="s">
        <v>46</v>
      </c>
      <c r="KFJ68" s="199"/>
      <c r="KFK68" s="149" t="s">
        <v>125</v>
      </c>
      <c r="KFL68" s="197"/>
      <c r="KFM68" s="198"/>
      <c r="KFN68" s="143" t="s">
        <v>22</v>
      </c>
      <c r="KFO68" s="144">
        <v>8150</v>
      </c>
      <c r="KFP68" s="152">
        <v>85</v>
      </c>
      <c r="KFQ68" s="153">
        <v>215</v>
      </c>
      <c r="KFR68" s="153">
        <v>75</v>
      </c>
      <c r="KFS68" s="152">
        <v>150</v>
      </c>
      <c r="KFT68" s="154">
        <f>SUM(KFO68:KFS68)</f>
        <v>8675</v>
      </c>
      <c r="KFU68" s="152">
        <v>200</v>
      </c>
      <c r="KFV68" s="154">
        <f>SUM(KFT68:KFU68)</f>
        <v>8875</v>
      </c>
      <c r="KFW68" s="147" t="s">
        <v>99</v>
      </c>
      <c r="KFX68" s="148">
        <v>45845</v>
      </c>
      <c r="KFY68" s="143" t="s">
        <v>46</v>
      </c>
      <c r="KFZ68" s="199"/>
      <c r="KGA68" s="149" t="s">
        <v>125</v>
      </c>
      <c r="KGB68" s="197"/>
      <c r="KGC68" s="198"/>
      <c r="KGD68" s="143" t="s">
        <v>22</v>
      </c>
      <c r="KGE68" s="144">
        <v>8150</v>
      </c>
      <c r="KGF68" s="152">
        <v>85</v>
      </c>
      <c r="KGG68" s="153">
        <v>215</v>
      </c>
      <c r="KGH68" s="153">
        <v>75</v>
      </c>
      <c r="KGI68" s="152">
        <v>150</v>
      </c>
      <c r="KGJ68" s="154">
        <f>SUM(KGE68:KGI68)</f>
        <v>8675</v>
      </c>
      <c r="KGK68" s="152">
        <v>200</v>
      </c>
      <c r="KGL68" s="154">
        <f>SUM(KGJ68:KGK68)</f>
        <v>8875</v>
      </c>
      <c r="KGM68" s="147" t="s">
        <v>99</v>
      </c>
      <c r="KGN68" s="148">
        <v>45845</v>
      </c>
      <c r="KGO68" s="143" t="s">
        <v>46</v>
      </c>
      <c r="KGP68" s="199"/>
      <c r="KGQ68" s="149" t="s">
        <v>125</v>
      </c>
      <c r="KGR68" s="197"/>
      <c r="KGS68" s="198"/>
      <c r="KGT68" s="143" t="s">
        <v>22</v>
      </c>
      <c r="KGU68" s="144">
        <v>8150</v>
      </c>
      <c r="KGV68" s="152">
        <v>85</v>
      </c>
      <c r="KGW68" s="153">
        <v>215</v>
      </c>
      <c r="KGX68" s="153">
        <v>75</v>
      </c>
      <c r="KGY68" s="152">
        <v>150</v>
      </c>
      <c r="KGZ68" s="154">
        <f>SUM(KGU68:KGY68)</f>
        <v>8675</v>
      </c>
      <c r="KHA68" s="152">
        <v>200</v>
      </c>
      <c r="KHB68" s="154">
        <f>SUM(KGZ68:KHA68)</f>
        <v>8875</v>
      </c>
      <c r="KHC68" s="147" t="s">
        <v>99</v>
      </c>
      <c r="KHD68" s="148">
        <v>45845</v>
      </c>
      <c r="KHE68" s="143" t="s">
        <v>46</v>
      </c>
      <c r="KHF68" s="199"/>
      <c r="KHG68" s="149" t="s">
        <v>125</v>
      </c>
      <c r="KHH68" s="197"/>
      <c r="KHI68" s="198"/>
      <c r="KHJ68" s="143" t="s">
        <v>22</v>
      </c>
      <c r="KHK68" s="144">
        <v>8150</v>
      </c>
      <c r="KHL68" s="152">
        <v>85</v>
      </c>
      <c r="KHM68" s="153">
        <v>215</v>
      </c>
      <c r="KHN68" s="153">
        <v>75</v>
      </c>
      <c r="KHO68" s="152">
        <v>150</v>
      </c>
      <c r="KHP68" s="154">
        <f>SUM(KHK68:KHO68)</f>
        <v>8675</v>
      </c>
      <c r="KHQ68" s="152">
        <v>200</v>
      </c>
      <c r="KHR68" s="154">
        <f>SUM(KHP68:KHQ68)</f>
        <v>8875</v>
      </c>
      <c r="KHS68" s="147" t="s">
        <v>99</v>
      </c>
      <c r="KHT68" s="148">
        <v>45845</v>
      </c>
      <c r="KHU68" s="143" t="s">
        <v>46</v>
      </c>
      <c r="KHV68" s="199"/>
      <c r="KHW68" s="149" t="s">
        <v>125</v>
      </c>
      <c r="KHX68" s="197"/>
      <c r="KHY68" s="198"/>
      <c r="KHZ68" s="143" t="s">
        <v>22</v>
      </c>
      <c r="KIA68" s="144">
        <v>8150</v>
      </c>
      <c r="KIB68" s="152">
        <v>85</v>
      </c>
      <c r="KIC68" s="153">
        <v>215</v>
      </c>
      <c r="KID68" s="153">
        <v>75</v>
      </c>
      <c r="KIE68" s="152">
        <v>150</v>
      </c>
      <c r="KIF68" s="154">
        <f>SUM(KIA68:KIE68)</f>
        <v>8675</v>
      </c>
      <c r="KIG68" s="152">
        <v>200</v>
      </c>
      <c r="KIH68" s="154">
        <f>SUM(KIF68:KIG68)</f>
        <v>8875</v>
      </c>
      <c r="KII68" s="147" t="s">
        <v>99</v>
      </c>
      <c r="KIJ68" s="148">
        <v>45845</v>
      </c>
      <c r="KIK68" s="143" t="s">
        <v>46</v>
      </c>
      <c r="KIL68" s="199"/>
      <c r="KIM68" s="149" t="s">
        <v>125</v>
      </c>
      <c r="KIN68" s="197"/>
      <c r="KIO68" s="198"/>
      <c r="KIP68" s="143" t="s">
        <v>22</v>
      </c>
      <c r="KIQ68" s="144">
        <v>8150</v>
      </c>
      <c r="KIR68" s="152">
        <v>85</v>
      </c>
      <c r="KIS68" s="153">
        <v>215</v>
      </c>
      <c r="KIT68" s="153">
        <v>75</v>
      </c>
      <c r="KIU68" s="152">
        <v>150</v>
      </c>
      <c r="KIV68" s="154">
        <f>SUM(KIQ68:KIU68)</f>
        <v>8675</v>
      </c>
      <c r="KIW68" s="152">
        <v>200</v>
      </c>
      <c r="KIX68" s="154">
        <f>SUM(KIV68:KIW68)</f>
        <v>8875</v>
      </c>
      <c r="KIY68" s="147" t="s">
        <v>99</v>
      </c>
      <c r="KIZ68" s="148">
        <v>45845</v>
      </c>
      <c r="KJA68" s="143" t="s">
        <v>46</v>
      </c>
      <c r="KJB68" s="199"/>
      <c r="KJC68" s="149" t="s">
        <v>125</v>
      </c>
      <c r="KJD68" s="197"/>
      <c r="KJE68" s="198"/>
      <c r="KJF68" s="143" t="s">
        <v>22</v>
      </c>
      <c r="KJG68" s="144">
        <v>8150</v>
      </c>
      <c r="KJH68" s="152">
        <v>85</v>
      </c>
      <c r="KJI68" s="153">
        <v>215</v>
      </c>
      <c r="KJJ68" s="153">
        <v>75</v>
      </c>
      <c r="KJK68" s="152">
        <v>150</v>
      </c>
      <c r="KJL68" s="154">
        <f>SUM(KJG68:KJK68)</f>
        <v>8675</v>
      </c>
      <c r="KJM68" s="152">
        <v>200</v>
      </c>
      <c r="KJN68" s="154">
        <f>SUM(KJL68:KJM68)</f>
        <v>8875</v>
      </c>
      <c r="KJO68" s="147" t="s">
        <v>99</v>
      </c>
      <c r="KJP68" s="148">
        <v>45845</v>
      </c>
      <c r="KJQ68" s="143" t="s">
        <v>46</v>
      </c>
      <c r="KJR68" s="199"/>
      <c r="KJS68" s="149" t="s">
        <v>125</v>
      </c>
      <c r="KJT68" s="197"/>
      <c r="KJU68" s="198"/>
      <c r="KJV68" s="143" t="s">
        <v>22</v>
      </c>
      <c r="KJW68" s="144">
        <v>8150</v>
      </c>
      <c r="KJX68" s="152">
        <v>85</v>
      </c>
      <c r="KJY68" s="153">
        <v>215</v>
      </c>
      <c r="KJZ68" s="153">
        <v>75</v>
      </c>
      <c r="KKA68" s="152">
        <v>150</v>
      </c>
      <c r="KKB68" s="154">
        <f>SUM(KJW68:KKA68)</f>
        <v>8675</v>
      </c>
      <c r="KKC68" s="152">
        <v>200</v>
      </c>
      <c r="KKD68" s="154">
        <f>SUM(KKB68:KKC68)</f>
        <v>8875</v>
      </c>
      <c r="KKE68" s="147" t="s">
        <v>99</v>
      </c>
      <c r="KKF68" s="148">
        <v>45845</v>
      </c>
      <c r="KKG68" s="143" t="s">
        <v>46</v>
      </c>
      <c r="KKH68" s="199"/>
      <c r="KKI68" s="149" t="s">
        <v>125</v>
      </c>
      <c r="KKJ68" s="197"/>
      <c r="KKK68" s="198"/>
      <c r="KKL68" s="143" t="s">
        <v>22</v>
      </c>
      <c r="KKM68" s="144">
        <v>8150</v>
      </c>
      <c r="KKN68" s="152">
        <v>85</v>
      </c>
      <c r="KKO68" s="153">
        <v>215</v>
      </c>
      <c r="KKP68" s="153">
        <v>75</v>
      </c>
      <c r="KKQ68" s="152">
        <v>150</v>
      </c>
      <c r="KKR68" s="154">
        <f>SUM(KKM68:KKQ68)</f>
        <v>8675</v>
      </c>
      <c r="KKS68" s="152">
        <v>200</v>
      </c>
      <c r="KKT68" s="154">
        <f>SUM(KKR68:KKS68)</f>
        <v>8875</v>
      </c>
      <c r="KKU68" s="147" t="s">
        <v>99</v>
      </c>
      <c r="KKV68" s="148">
        <v>45845</v>
      </c>
      <c r="KKW68" s="143" t="s">
        <v>46</v>
      </c>
      <c r="KKX68" s="199"/>
      <c r="KKY68" s="149" t="s">
        <v>125</v>
      </c>
      <c r="KKZ68" s="197"/>
      <c r="KLA68" s="198"/>
      <c r="KLB68" s="143" t="s">
        <v>22</v>
      </c>
      <c r="KLC68" s="144">
        <v>8150</v>
      </c>
      <c r="KLD68" s="152">
        <v>85</v>
      </c>
      <c r="KLE68" s="153">
        <v>215</v>
      </c>
      <c r="KLF68" s="153">
        <v>75</v>
      </c>
      <c r="KLG68" s="152">
        <v>150</v>
      </c>
      <c r="KLH68" s="154">
        <f>SUM(KLC68:KLG68)</f>
        <v>8675</v>
      </c>
      <c r="KLI68" s="152">
        <v>200</v>
      </c>
      <c r="KLJ68" s="154">
        <f>SUM(KLH68:KLI68)</f>
        <v>8875</v>
      </c>
      <c r="KLK68" s="147" t="s">
        <v>99</v>
      </c>
      <c r="KLL68" s="148">
        <v>45845</v>
      </c>
      <c r="KLM68" s="143" t="s">
        <v>46</v>
      </c>
      <c r="KLN68" s="199"/>
      <c r="KLO68" s="149" t="s">
        <v>125</v>
      </c>
      <c r="KLP68" s="197"/>
      <c r="KLQ68" s="198"/>
      <c r="KLR68" s="143" t="s">
        <v>22</v>
      </c>
      <c r="KLS68" s="144">
        <v>8150</v>
      </c>
      <c r="KLT68" s="152">
        <v>85</v>
      </c>
      <c r="KLU68" s="153">
        <v>215</v>
      </c>
      <c r="KLV68" s="153">
        <v>75</v>
      </c>
      <c r="KLW68" s="152">
        <v>150</v>
      </c>
      <c r="KLX68" s="154">
        <f>SUM(KLS68:KLW68)</f>
        <v>8675</v>
      </c>
      <c r="KLY68" s="152">
        <v>200</v>
      </c>
      <c r="KLZ68" s="154">
        <f>SUM(KLX68:KLY68)</f>
        <v>8875</v>
      </c>
      <c r="KMA68" s="147" t="s">
        <v>99</v>
      </c>
      <c r="KMB68" s="148">
        <v>45845</v>
      </c>
      <c r="KMC68" s="143" t="s">
        <v>46</v>
      </c>
      <c r="KMD68" s="199"/>
      <c r="KME68" s="149" t="s">
        <v>125</v>
      </c>
      <c r="KMF68" s="197"/>
      <c r="KMG68" s="198"/>
      <c r="KMH68" s="143" t="s">
        <v>22</v>
      </c>
      <c r="KMI68" s="144">
        <v>8150</v>
      </c>
      <c r="KMJ68" s="152">
        <v>85</v>
      </c>
      <c r="KMK68" s="153">
        <v>215</v>
      </c>
      <c r="KML68" s="153">
        <v>75</v>
      </c>
      <c r="KMM68" s="152">
        <v>150</v>
      </c>
      <c r="KMN68" s="154">
        <f>SUM(KMI68:KMM68)</f>
        <v>8675</v>
      </c>
      <c r="KMO68" s="152">
        <v>200</v>
      </c>
      <c r="KMP68" s="154">
        <f>SUM(KMN68:KMO68)</f>
        <v>8875</v>
      </c>
      <c r="KMQ68" s="147" t="s">
        <v>99</v>
      </c>
      <c r="KMR68" s="148">
        <v>45845</v>
      </c>
      <c r="KMS68" s="143" t="s">
        <v>46</v>
      </c>
      <c r="KMT68" s="199"/>
      <c r="KMU68" s="149" t="s">
        <v>125</v>
      </c>
      <c r="KMV68" s="197"/>
      <c r="KMW68" s="198"/>
      <c r="KMX68" s="143" t="s">
        <v>22</v>
      </c>
      <c r="KMY68" s="144">
        <v>8150</v>
      </c>
      <c r="KMZ68" s="152">
        <v>85</v>
      </c>
      <c r="KNA68" s="153">
        <v>215</v>
      </c>
      <c r="KNB68" s="153">
        <v>75</v>
      </c>
      <c r="KNC68" s="152">
        <v>150</v>
      </c>
      <c r="KND68" s="154">
        <f>SUM(KMY68:KNC68)</f>
        <v>8675</v>
      </c>
      <c r="KNE68" s="152">
        <v>200</v>
      </c>
      <c r="KNF68" s="154">
        <f>SUM(KND68:KNE68)</f>
        <v>8875</v>
      </c>
      <c r="KNG68" s="147" t="s">
        <v>99</v>
      </c>
      <c r="KNH68" s="148">
        <v>45845</v>
      </c>
      <c r="KNI68" s="143" t="s">
        <v>46</v>
      </c>
      <c r="KNJ68" s="199"/>
      <c r="KNK68" s="149" t="s">
        <v>125</v>
      </c>
      <c r="KNL68" s="197"/>
      <c r="KNM68" s="198"/>
      <c r="KNN68" s="143" t="s">
        <v>22</v>
      </c>
      <c r="KNO68" s="144">
        <v>8150</v>
      </c>
      <c r="KNP68" s="152">
        <v>85</v>
      </c>
      <c r="KNQ68" s="153">
        <v>215</v>
      </c>
      <c r="KNR68" s="153">
        <v>75</v>
      </c>
      <c r="KNS68" s="152">
        <v>150</v>
      </c>
      <c r="KNT68" s="154">
        <f>SUM(KNO68:KNS68)</f>
        <v>8675</v>
      </c>
      <c r="KNU68" s="152">
        <v>200</v>
      </c>
      <c r="KNV68" s="154">
        <f>SUM(KNT68:KNU68)</f>
        <v>8875</v>
      </c>
      <c r="KNW68" s="147" t="s">
        <v>99</v>
      </c>
      <c r="KNX68" s="148">
        <v>45845</v>
      </c>
      <c r="KNY68" s="143" t="s">
        <v>46</v>
      </c>
      <c r="KNZ68" s="199"/>
      <c r="KOA68" s="149" t="s">
        <v>125</v>
      </c>
      <c r="KOB68" s="197"/>
      <c r="KOC68" s="198"/>
      <c r="KOD68" s="143" t="s">
        <v>22</v>
      </c>
      <c r="KOE68" s="144">
        <v>8150</v>
      </c>
      <c r="KOF68" s="152">
        <v>85</v>
      </c>
      <c r="KOG68" s="153">
        <v>215</v>
      </c>
      <c r="KOH68" s="153">
        <v>75</v>
      </c>
      <c r="KOI68" s="152">
        <v>150</v>
      </c>
      <c r="KOJ68" s="154">
        <f>SUM(KOE68:KOI68)</f>
        <v>8675</v>
      </c>
      <c r="KOK68" s="152">
        <v>200</v>
      </c>
      <c r="KOL68" s="154">
        <f>SUM(KOJ68:KOK68)</f>
        <v>8875</v>
      </c>
      <c r="KOM68" s="147" t="s">
        <v>99</v>
      </c>
      <c r="KON68" s="148">
        <v>45845</v>
      </c>
      <c r="KOO68" s="143" t="s">
        <v>46</v>
      </c>
      <c r="KOP68" s="199"/>
      <c r="KOQ68" s="149" t="s">
        <v>125</v>
      </c>
      <c r="KOR68" s="197"/>
      <c r="KOS68" s="198"/>
      <c r="KOT68" s="143" t="s">
        <v>22</v>
      </c>
      <c r="KOU68" s="144">
        <v>8150</v>
      </c>
      <c r="KOV68" s="152">
        <v>85</v>
      </c>
      <c r="KOW68" s="153">
        <v>215</v>
      </c>
      <c r="KOX68" s="153">
        <v>75</v>
      </c>
      <c r="KOY68" s="152">
        <v>150</v>
      </c>
      <c r="KOZ68" s="154">
        <f>SUM(KOU68:KOY68)</f>
        <v>8675</v>
      </c>
      <c r="KPA68" s="152">
        <v>200</v>
      </c>
      <c r="KPB68" s="154">
        <f>SUM(KOZ68:KPA68)</f>
        <v>8875</v>
      </c>
      <c r="KPC68" s="147" t="s">
        <v>99</v>
      </c>
      <c r="KPD68" s="148">
        <v>45845</v>
      </c>
      <c r="KPE68" s="143" t="s">
        <v>46</v>
      </c>
      <c r="KPF68" s="199"/>
      <c r="KPG68" s="149" t="s">
        <v>125</v>
      </c>
      <c r="KPH68" s="197"/>
      <c r="KPI68" s="198"/>
      <c r="KPJ68" s="143" t="s">
        <v>22</v>
      </c>
      <c r="KPK68" s="144">
        <v>8150</v>
      </c>
      <c r="KPL68" s="152">
        <v>85</v>
      </c>
      <c r="KPM68" s="153">
        <v>215</v>
      </c>
      <c r="KPN68" s="153">
        <v>75</v>
      </c>
      <c r="KPO68" s="152">
        <v>150</v>
      </c>
      <c r="KPP68" s="154">
        <f>SUM(KPK68:KPO68)</f>
        <v>8675</v>
      </c>
      <c r="KPQ68" s="152">
        <v>200</v>
      </c>
      <c r="KPR68" s="154">
        <f>SUM(KPP68:KPQ68)</f>
        <v>8875</v>
      </c>
      <c r="KPS68" s="147" t="s">
        <v>99</v>
      </c>
      <c r="KPT68" s="148">
        <v>45845</v>
      </c>
      <c r="KPU68" s="143" t="s">
        <v>46</v>
      </c>
      <c r="KPV68" s="199"/>
      <c r="KPW68" s="149" t="s">
        <v>125</v>
      </c>
      <c r="KPX68" s="197"/>
      <c r="KPY68" s="198"/>
      <c r="KPZ68" s="143" t="s">
        <v>22</v>
      </c>
      <c r="KQA68" s="144">
        <v>8150</v>
      </c>
      <c r="KQB68" s="152">
        <v>85</v>
      </c>
      <c r="KQC68" s="153">
        <v>215</v>
      </c>
      <c r="KQD68" s="153">
        <v>75</v>
      </c>
      <c r="KQE68" s="152">
        <v>150</v>
      </c>
      <c r="KQF68" s="154">
        <f>SUM(KQA68:KQE68)</f>
        <v>8675</v>
      </c>
      <c r="KQG68" s="152">
        <v>200</v>
      </c>
      <c r="KQH68" s="154">
        <f>SUM(KQF68:KQG68)</f>
        <v>8875</v>
      </c>
      <c r="KQI68" s="147" t="s">
        <v>99</v>
      </c>
      <c r="KQJ68" s="148">
        <v>45845</v>
      </c>
      <c r="KQK68" s="143" t="s">
        <v>46</v>
      </c>
      <c r="KQL68" s="199"/>
      <c r="KQM68" s="149" t="s">
        <v>125</v>
      </c>
      <c r="KQN68" s="197"/>
      <c r="KQO68" s="198"/>
      <c r="KQP68" s="143" t="s">
        <v>22</v>
      </c>
      <c r="KQQ68" s="144">
        <v>8150</v>
      </c>
      <c r="KQR68" s="152">
        <v>85</v>
      </c>
      <c r="KQS68" s="153">
        <v>215</v>
      </c>
      <c r="KQT68" s="153">
        <v>75</v>
      </c>
      <c r="KQU68" s="152">
        <v>150</v>
      </c>
      <c r="KQV68" s="154">
        <f>SUM(KQQ68:KQU68)</f>
        <v>8675</v>
      </c>
      <c r="KQW68" s="152">
        <v>200</v>
      </c>
      <c r="KQX68" s="154">
        <f>SUM(KQV68:KQW68)</f>
        <v>8875</v>
      </c>
      <c r="KQY68" s="147" t="s">
        <v>99</v>
      </c>
      <c r="KQZ68" s="148">
        <v>45845</v>
      </c>
      <c r="KRA68" s="143" t="s">
        <v>46</v>
      </c>
      <c r="KRB68" s="199"/>
      <c r="KRC68" s="149" t="s">
        <v>125</v>
      </c>
      <c r="KRD68" s="197"/>
      <c r="KRE68" s="198"/>
      <c r="KRF68" s="143" t="s">
        <v>22</v>
      </c>
      <c r="KRG68" s="144">
        <v>8150</v>
      </c>
      <c r="KRH68" s="152">
        <v>85</v>
      </c>
      <c r="KRI68" s="153">
        <v>215</v>
      </c>
      <c r="KRJ68" s="153">
        <v>75</v>
      </c>
      <c r="KRK68" s="152">
        <v>150</v>
      </c>
      <c r="KRL68" s="154">
        <f>SUM(KRG68:KRK68)</f>
        <v>8675</v>
      </c>
      <c r="KRM68" s="152">
        <v>200</v>
      </c>
      <c r="KRN68" s="154">
        <f>SUM(KRL68:KRM68)</f>
        <v>8875</v>
      </c>
      <c r="KRO68" s="147" t="s">
        <v>99</v>
      </c>
      <c r="KRP68" s="148">
        <v>45845</v>
      </c>
      <c r="KRQ68" s="143" t="s">
        <v>46</v>
      </c>
      <c r="KRR68" s="199"/>
      <c r="KRS68" s="149" t="s">
        <v>125</v>
      </c>
      <c r="KRT68" s="197"/>
      <c r="KRU68" s="198"/>
      <c r="KRV68" s="143" t="s">
        <v>22</v>
      </c>
      <c r="KRW68" s="144">
        <v>8150</v>
      </c>
      <c r="KRX68" s="152">
        <v>85</v>
      </c>
      <c r="KRY68" s="153">
        <v>215</v>
      </c>
      <c r="KRZ68" s="153">
        <v>75</v>
      </c>
      <c r="KSA68" s="152">
        <v>150</v>
      </c>
      <c r="KSB68" s="154">
        <f>SUM(KRW68:KSA68)</f>
        <v>8675</v>
      </c>
      <c r="KSC68" s="152">
        <v>200</v>
      </c>
      <c r="KSD68" s="154">
        <f>SUM(KSB68:KSC68)</f>
        <v>8875</v>
      </c>
      <c r="KSE68" s="147" t="s">
        <v>99</v>
      </c>
      <c r="KSF68" s="148">
        <v>45845</v>
      </c>
      <c r="KSG68" s="143" t="s">
        <v>46</v>
      </c>
      <c r="KSH68" s="199"/>
      <c r="KSI68" s="149" t="s">
        <v>125</v>
      </c>
      <c r="KSJ68" s="197"/>
      <c r="KSK68" s="198"/>
      <c r="KSL68" s="143" t="s">
        <v>22</v>
      </c>
      <c r="KSM68" s="144">
        <v>8150</v>
      </c>
      <c r="KSN68" s="152">
        <v>85</v>
      </c>
      <c r="KSO68" s="153">
        <v>215</v>
      </c>
      <c r="KSP68" s="153">
        <v>75</v>
      </c>
      <c r="KSQ68" s="152">
        <v>150</v>
      </c>
      <c r="KSR68" s="154">
        <f>SUM(KSM68:KSQ68)</f>
        <v>8675</v>
      </c>
      <c r="KSS68" s="152">
        <v>200</v>
      </c>
      <c r="KST68" s="154">
        <f>SUM(KSR68:KSS68)</f>
        <v>8875</v>
      </c>
      <c r="KSU68" s="147" t="s">
        <v>99</v>
      </c>
      <c r="KSV68" s="148">
        <v>45845</v>
      </c>
      <c r="KSW68" s="143" t="s">
        <v>46</v>
      </c>
      <c r="KSX68" s="199"/>
      <c r="KSY68" s="149" t="s">
        <v>125</v>
      </c>
      <c r="KSZ68" s="197"/>
      <c r="KTA68" s="198"/>
      <c r="KTB68" s="143" t="s">
        <v>22</v>
      </c>
      <c r="KTC68" s="144">
        <v>8150</v>
      </c>
      <c r="KTD68" s="152">
        <v>85</v>
      </c>
      <c r="KTE68" s="153">
        <v>215</v>
      </c>
      <c r="KTF68" s="153">
        <v>75</v>
      </c>
      <c r="KTG68" s="152">
        <v>150</v>
      </c>
      <c r="KTH68" s="154">
        <f>SUM(KTC68:KTG68)</f>
        <v>8675</v>
      </c>
      <c r="KTI68" s="152">
        <v>200</v>
      </c>
      <c r="KTJ68" s="154">
        <f>SUM(KTH68:KTI68)</f>
        <v>8875</v>
      </c>
      <c r="KTK68" s="147" t="s">
        <v>99</v>
      </c>
      <c r="KTL68" s="148">
        <v>45845</v>
      </c>
      <c r="KTM68" s="143" t="s">
        <v>46</v>
      </c>
      <c r="KTN68" s="199"/>
      <c r="KTO68" s="149" t="s">
        <v>125</v>
      </c>
      <c r="KTP68" s="197"/>
      <c r="KTQ68" s="198"/>
      <c r="KTR68" s="143" t="s">
        <v>22</v>
      </c>
      <c r="KTS68" s="144">
        <v>8150</v>
      </c>
      <c r="KTT68" s="152">
        <v>85</v>
      </c>
      <c r="KTU68" s="153">
        <v>215</v>
      </c>
      <c r="KTV68" s="153">
        <v>75</v>
      </c>
      <c r="KTW68" s="152">
        <v>150</v>
      </c>
      <c r="KTX68" s="154">
        <f>SUM(KTS68:KTW68)</f>
        <v>8675</v>
      </c>
      <c r="KTY68" s="152">
        <v>200</v>
      </c>
      <c r="KTZ68" s="154">
        <f>SUM(KTX68:KTY68)</f>
        <v>8875</v>
      </c>
      <c r="KUA68" s="147" t="s">
        <v>99</v>
      </c>
      <c r="KUB68" s="148">
        <v>45845</v>
      </c>
      <c r="KUC68" s="143" t="s">
        <v>46</v>
      </c>
      <c r="KUD68" s="199"/>
      <c r="KUE68" s="149" t="s">
        <v>125</v>
      </c>
      <c r="KUF68" s="197"/>
      <c r="KUG68" s="198"/>
      <c r="KUH68" s="143" t="s">
        <v>22</v>
      </c>
      <c r="KUI68" s="144">
        <v>8150</v>
      </c>
      <c r="KUJ68" s="152">
        <v>85</v>
      </c>
      <c r="KUK68" s="153">
        <v>215</v>
      </c>
      <c r="KUL68" s="153">
        <v>75</v>
      </c>
      <c r="KUM68" s="152">
        <v>150</v>
      </c>
      <c r="KUN68" s="154">
        <f>SUM(KUI68:KUM68)</f>
        <v>8675</v>
      </c>
      <c r="KUO68" s="152">
        <v>200</v>
      </c>
      <c r="KUP68" s="154">
        <f>SUM(KUN68:KUO68)</f>
        <v>8875</v>
      </c>
      <c r="KUQ68" s="147" t="s">
        <v>99</v>
      </c>
      <c r="KUR68" s="148">
        <v>45845</v>
      </c>
      <c r="KUS68" s="143" t="s">
        <v>46</v>
      </c>
      <c r="KUT68" s="199"/>
      <c r="KUU68" s="149" t="s">
        <v>125</v>
      </c>
      <c r="KUV68" s="197"/>
      <c r="KUW68" s="198"/>
      <c r="KUX68" s="143" t="s">
        <v>22</v>
      </c>
      <c r="KUY68" s="144">
        <v>8150</v>
      </c>
      <c r="KUZ68" s="152">
        <v>85</v>
      </c>
      <c r="KVA68" s="153">
        <v>215</v>
      </c>
      <c r="KVB68" s="153">
        <v>75</v>
      </c>
      <c r="KVC68" s="152">
        <v>150</v>
      </c>
      <c r="KVD68" s="154">
        <f>SUM(KUY68:KVC68)</f>
        <v>8675</v>
      </c>
      <c r="KVE68" s="152">
        <v>200</v>
      </c>
      <c r="KVF68" s="154">
        <f>SUM(KVD68:KVE68)</f>
        <v>8875</v>
      </c>
      <c r="KVG68" s="147" t="s">
        <v>99</v>
      </c>
      <c r="KVH68" s="148">
        <v>45845</v>
      </c>
      <c r="KVI68" s="143" t="s">
        <v>46</v>
      </c>
      <c r="KVJ68" s="199"/>
      <c r="KVK68" s="149" t="s">
        <v>125</v>
      </c>
      <c r="KVL68" s="197"/>
      <c r="KVM68" s="198"/>
      <c r="KVN68" s="143" t="s">
        <v>22</v>
      </c>
      <c r="KVO68" s="144">
        <v>8150</v>
      </c>
      <c r="KVP68" s="152">
        <v>85</v>
      </c>
      <c r="KVQ68" s="153">
        <v>215</v>
      </c>
      <c r="KVR68" s="153">
        <v>75</v>
      </c>
      <c r="KVS68" s="152">
        <v>150</v>
      </c>
      <c r="KVT68" s="154">
        <f>SUM(KVO68:KVS68)</f>
        <v>8675</v>
      </c>
      <c r="KVU68" s="152">
        <v>200</v>
      </c>
      <c r="KVV68" s="154">
        <f>SUM(KVT68:KVU68)</f>
        <v>8875</v>
      </c>
      <c r="KVW68" s="147" t="s">
        <v>99</v>
      </c>
      <c r="KVX68" s="148">
        <v>45845</v>
      </c>
      <c r="KVY68" s="143" t="s">
        <v>46</v>
      </c>
      <c r="KVZ68" s="199"/>
      <c r="KWA68" s="149" t="s">
        <v>125</v>
      </c>
      <c r="KWB68" s="197"/>
      <c r="KWC68" s="198"/>
      <c r="KWD68" s="143" t="s">
        <v>22</v>
      </c>
      <c r="KWE68" s="144">
        <v>8150</v>
      </c>
      <c r="KWF68" s="152">
        <v>85</v>
      </c>
      <c r="KWG68" s="153">
        <v>215</v>
      </c>
      <c r="KWH68" s="153">
        <v>75</v>
      </c>
      <c r="KWI68" s="152">
        <v>150</v>
      </c>
      <c r="KWJ68" s="154">
        <f>SUM(KWE68:KWI68)</f>
        <v>8675</v>
      </c>
      <c r="KWK68" s="152">
        <v>200</v>
      </c>
      <c r="KWL68" s="154">
        <f>SUM(KWJ68:KWK68)</f>
        <v>8875</v>
      </c>
      <c r="KWM68" s="147" t="s">
        <v>99</v>
      </c>
      <c r="KWN68" s="148">
        <v>45845</v>
      </c>
      <c r="KWO68" s="143" t="s">
        <v>46</v>
      </c>
      <c r="KWP68" s="199"/>
      <c r="KWQ68" s="149" t="s">
        <v>125</v>
      </c>
      <c r="KWR68" s="197"/>
      <c r="KWS68" s="198"/>
      <c r="KWT68" s="143" t="s">
        <v>22</v>
      </c>
      <c r="KWU68" s="144">
        <v>8150</v>
      </c>
      <c r="KWV68" s="152">
        <v>85</v>
      </c>
      <c r="KWW68" s="153">
        <v>215</v>
      </c>
      <c r="KWX68" s="153">
        <v>75</v>
      </c>
      <c r="KWY68" s="152">
        <v>150</v>
      </c>
      <c r="KWZ68" s="154">
        <f>SUM(KWU68:KWY68)</f>
        <v>8675</v>
      </c>
      <c r="KXA68" s="152">
        <v>200</v>
      </c>
      <c r="KXB68" s="154">
        <f>SUM(KWZ68:KXA68)</f>
        <v>8875</v>
      </c>
      <c r="KXC68" s="147" t="s">
        <v>99</v>
      </c>
      <c r="KXD68" s="148">
        <v>45845</v>
      </c>
      <c r="KXE68" s="143" t="s">
        <v>46</v>
      </c>
      <c r="KXF68" s="199"/>
      <c r="KXG68" s="149" t="s">
        <v>125</v>
      </c>
      <c r="KXH68" s="197"/>
      <c r="KXI68" s="198"/>
      <c r="KXJ68" s="143" t="s">
        <v>22</v>
      </c>
      <c r="KXK68" s="144">
        <v>8150</v>
      </c>
      <c r="KXL68" s="152">
        <v>85</v>
      </c>
      <c r="KXM68" s="153">
        <v>215</v>
      </c>
      <c r="KXN68" s="153">
        <v>75</v>
      </c>
      <c r="KXO68" s="152">
        <v>150</v>
      </c>
      <c r="KXP68" s="154">
        <f>SUM(KXK68:KXO68)</f>
        <v>8675</v>
      </c>
      <c r="KXQ68" s="152">
        <v>200</v>
      </c>
      <c r="KXR68" s="154">
        <f>SUM(KXP68:KXQ68)</f>
        <v>8875</v>
      </c>
      <c r="KXS68" s="147" t="s">
        <v>99</v>
      </c>
      <c r="KXT68" s="148">
        <v>45845</v>
      </c>
      <c r="KXU68" s="143" t="s">
        <v>46</v>
      </c>
      <c r="KXV68" s="199"/>
      <c r="KXW68" s="149" t="s">
        <v>125</v>
      </c>
      <c r="KXX68" s="197"/>
      <c r="KXY68" s="198"/>
      <c r="KXZ68" s="143" t="s">
        <v>22</v>
      </c>
      <c r="KYA68" s="144">
        <v>8150</v>
      </c>
      <c r="KYB68" s="152">
        <v>85</v>
      </c>
      <c r="KYC68" s="153">
        <v>215</v>
      </c>
      <c r="KYD68" s="153">
        <v>75</v>
      </c>
      <c r="KYE68" s="152">
        <v>150</v>
      </c>
      <c r="KYF68" s="154">
        <f>SUM(KYA68:KYE68)</f>
        <v>8675</v>
      </c>
      <c r="KYG68" s="152">
        <v>200</v>
      </c>
      <c r="KYH68" s="154">
        <f>SUM(KYF68:KYG68)</f>
        <v>8875</v>
      </c>
      <c r="KYI68" s="147" t="s">
        <v>99</v>
      </c>
      <c r="KYJ68" s="148">
        <v>45845</v>
      </c>
      <c r="KYK68" s="143" t="s">
        <v>46</v>
      </c>
      <c r="KYL68" s="199"/>
      <c r="KYM68" s="149" t="s">
        <v>125</v>
      </c>
      <c r="KYN68" s="197"/>
      <c r="KYO68" s="198"/>
      <c r="KYP68" s="143" t="s">
        <v>22</v>
      </c>
      <c r="KYQ68" s="144">
        <v>8150</v>
      </c>
      <c r="KYR68" s="152">
        <v>85</v>
      </c>
      <c r="KYS68" s="153">
        <v>215</v>
      </c>
      <c r="KYT68" s="153">
        <v>75</v>
      </c>
      <c r="KYU68" s="152">
        <v>150</v>
      </c>
      <c r="KYV68" s="154">
        <f>SUM(KYQ68:KYU68)</f>
        <v>8675</v>
      </c>
      <c r="KYW68" s="152">
        <v>200</v>
      </c>
      <c r="KYX68" s="154">
        <f>SUM(KYV68:KYW68)</f>
        <v>8875</v>
      </c>
      <c r="KYY68" s="147" t="s">
        <v>99</v>
      </c>
      <c r="KYZ68" s="148">
        <v>45845</v>
      </c>
      <c r="KZA68" s="143" t="s">
        <v>46</v>
      </c>
      <c r="KZB68" s="199"/>
      <c r="KZC68" s="149" t="s">
        <v>125</v>
      </c>
      <c r="KZD68" s="197"/>
      <c r="KZE68" s="198"/>
      <c r="KZF68" s="143" t="s">
        <v>22</v>
      </c>
      <c r="KZG68" s="144">
        <v>8150</v>
      </c>
      <c r="KZH68" s="152">
        <v>85</v>
      </c>
      <c r="KZI68" s="153">
        <v>215</v>
      </c>
      <c r="KZJ68" s="153">
        <v>75</v>
      </c>
      <c r="KZK68" s="152">
        <v>150</v>
      </c>
      <c r="KZL68" s="154">
        <f>SUM(KZG68:KZK68)</f>
        <v>8675</v>
      </c>
      <c r="KZM68" s="152">
        <v>200</v>
      </c>
      <c r="KZN68" s="154">
        <f>SUM(KZL68:KZM68)</f>
        <v>8875</v>
      </c>
      <c r="KZO68" s="147" t="s">
        <v>99</v>
      </c>
      <c r="KZP68" s="148">
        <v>45845</v>
      </c>
      <c r="KZQ68" s="143" t="s">
        <v>46</v>
      </c>
      <c r="KZR68" s="199"/>
      <c r="KZS68" s="149" t="s">
        <v>125</v>
      </c>
      <c r="KZT68" s="197"/>
      <c r="KZU68" s="198"/>
      <c r="KZV68" s="143" t="s">
        <v>22</v>
      </c>
      <c r="KZW68" s="144">
        <v>8150</v>
      </c>
      <c r="KZX68" s="152">
        <v>85</v>
      </c>
      <c r="KZY68" s="153">
        <v>215</v>
      </c>
      <c r="KZZ68" s="153">
        <v>75</v>
      </c>
      <c r="LAA68" s="152">
        <v>150</v>
      </c>
      <c r="LAB68" s="154">
        <f>SUM(KZW68:LAA68)</f>
        <v>8675</v>
      </c>
      <c r="LAC68" s="152">
        <v>200</v>
      </c>
      <c r="LAD68" s="154">
        <f>SUM(LAB68:LAC68)</f>
        <v>8875</v>
      </c>
      <c r="LAE68" s="147" t="s">
        <v>99</v>
      </c>
      <c r="LAF68" s="148">
        <v>45845</v>
      </c>
      <c r="LAG68" s="143" t="s">
        <v>46</v>
      </c>
      <c r="LAH68" s="199"/>
      <c r="LAI68" s="149" t="s">
        <v>125</v>
      </c>
      <c r="LAJ68" s="197"/>
      <c r="LAK68" s="198"/>
      <c r="LAL68" s="143" t="s">
        <v>22</v>
      </c>
      <c r="LAM68" s="144">
        <v>8150</v>
      </c>
      <c r="LAN68" s="152">
        <v>85</v>
      </c>
      <c r="LAO68" s="153">
        <v>215</v>
      </c>
      <c r="LAP68" s="153">
        <v>75</v>
      </c>
      <c r="LAQ68" s="152">
        <v>150</v>
      </c>
      <c r="LAR68" s="154">
        <f>SUM(LAM68:LAQ68)</f>
        <v>8675</v>
      </c>
      <c r="LAS68" s="152">
        <v>200</v>
      </c>
      <c r="LAT68" s="154">
        <f>SUM(LAR68:LAS68)</f>
        <v>8875</v>
      </c>
      <c r="LAU68" s="147" t="s">
        <v>99</v>
      </c>
      <c r="LAV68" s="148">
        <v>45845</v>
      </c>
      <c r="LAW68" s="143" t="s">
        <v>46</v>
      </c>
      <c r="LAX68" s="199"/>
      <c r="LAY68" s="149" t="s">
        <v>125</v>
      </c>
      <c r="LAZ68" s="197"/>
      <c r="LBA68" s="198"/>
      <c r="LBB68" s="143" t="s">
        <v>22</v>
      </c>
      <c r="LBC68" s="144">
        <v>8150</v>
      </c>
      <c r="LBD68" s="152">
        <v>85</v>
      </c>
      <c r="LBE68" s="153">
        <v>215</v>
      </c>
      <c r="LBF68" s="153">
        <v>75</v>
      </c>
      <c r="LBG68" s="152">
        <v>150</v>
      </c>
      <c r="LBH68" s="154">
        <f>SUM(LBC68:LBG68)</f>
        <v>8675</v>
      </c>
      <c r="LBI68" s="152">
        <v>200</v>
      </c>
      <c r="LBJ68" s="154">
        <f>SUM(LBH68:LBI68)</f>
        <v>8875</v>
      </c>
      <c r="LBK68" s="147" t="s">
        <v>99</v>
      </c>
      <c r="LBL68" s="148">
        <v>45845</v>
      </c>
      <c r="LBM68" s="143" t="s">
        <v>46</v>
      </c>
      <c r="LBN68" s="199"/>
      <c r="LBO68" s="149" t="s">
        <v>125</v>
      </c>
      <c r="LBP68" s="197"/>
      <c r="LBQ68" s="198"/>
      <c r="LBR68" s="143" t="s">
        <v>22</v>
      </c>
      <c r="LBS68" s="144">
        <v>8150</v>
      </c>
      <c r="LBT68" s="152">
        <v>85</v>
      </c>
      <c r="LBU68" s="153">
        <v>215</v>
      </c>
      <c r="LBV68" s="153">
        <v>75</v>
      </c>
      <c r="LBW68" s="152">
        <v>150</v>
      </c>
      <c r="LBX68" s="154">
        <f>SUM(LBS68:LBW68)</f>
        <v>8675</v>
      </c>
      <c r="LBY68" s="152">
        <v>200</v>
      </c>
      <c r="LBZ68" s="154">
        <f>SUM(LBX68:LBY68)</f>
        <v>8875</v>
      </c>
      <c r="LCA68" s="147" t="s">
        <v>99</v>
      </c>
      <c r="LCB68" s="148">
        <v>45845</v>
      </c>
      <c r="LCC68" s="143" t="s">
        <v>46</v>
      </c>
      <c r="LCD68" s="199"/>
      <c r="LCE68" s="149" t="s">
        <v>125</v>
      </c>
      <c r="LCF68" s="197"/>
      <c r="LCG68" s="198"/>
      <c r="LCH68" s="143" t="s">
        <v>22</v>
      </c>
      <c r="LCI68" s="144">
        <v>8150</v>
      </c>
      <c r="LCJ68" s="152">
        <v>85</v>
      </c>
      <c r="LCK68" s="153">
        <v>215</v>
      </c>
      <c r="LCL68" s="153">
        <v>75</v>
      </c>
      <c r="LCM68" s="152">
        <v>150</v>
      </c>
      <c r="LCN68" s="154">
        <f>SUM(LCI68:LCM68)</f>
        <v>8675</v>
      </c>
      <c r="LCO68" s="152">
        <v>200</v>
      </c>
      <c r="LCP68" s="154">
        <f>SUM(LCN68:LCO68)</f>
        <v>8875</v>
      </c>
      <c r="LCQ68" s="147" t="s">
        <v>99</v>
      </c>
      <c r="LCR68" s="148">
        <v>45845</v>
      </c>
      <c r="LCS68" s="143" t="s">
        <v>46</v>
      </c>
      <c r="LCT68" s="199"/>
      <c r="LCU68" s="149" t="s">
        <v>125</v>
      </c>
      <c r="LCV68" s="197"/>
      <c r="LCW68" s="198"/>
      <c r="LCX68" s="143" t="s">
        <v>22</v>
      </c>
      <c r="LCY68" s="144">
        <v>8150</v>
      </c>
      <c r="LCZ68" s="152">
        <v>85</v>
      </c>
      <c r="LDA68" s="153">
        <v>215</v>
      </c>
      <c r="LDB68" s="153">
        <v>75</v>
      </c>
      <c r="LDC68" s="152">
        <v>150</v>
      </c>
      <c r="LDD68" s="154">
        <f>SUM(LCY68:LDC68)</f>
        <v>8675</v>
      </c>
      <c r="LDE68" s="152">
        <v>200</v>
      </c>
      <c r="LDF68" s="154">
        <f>SUM(LDD68:LDE68)</f>
        <v>8875</v>
      </c>
      <c r="LDG68" s="147" t="s">
        <v>99</v>
      </c>
      <c r="LDH68" s="148">
        <v>45845</v>
      </c>
      <c r="LDI68" s="143" t="s">
        <v>46</v>
      </c>
      <c r="LDJ68" s="199"/>
      <c r="LDK68" s="149" t="s">
        <v>125</v>
      </c>
      <c r="LDL68" s="197"/>
      <c r="LDM68" s="198"/>
      <c r="LDN68" s="143" t="s">
        <v>22</v>
      </c>
      <c r="LDO68" s="144">
        <v>8150</v>
      </c>
      <c r="LDP68" s="152">
        <v>85</v>
      </c>
      <c r="LDQ68" s="153">
        <v>215</v>
      </c>
      <c r="LDR68" s="153">
        <v>75</v>
      </c>
      <c r="LDS68" s="152">
        <v>150</v>
      </c>
      <c r="LDT68" s="154">
        <f>SUM(LDO68:LDS68)</f>
        <v>8675</v>
      </c>
      <c r="LDU68" s="152">
        <v>200</v>
      </c>
      <c r="LDV68" s="154">
        <f>SUM(LDT68:LDU68)</f>
        <v>8875</v>
      </c>
      <c r="LDW68" s="147" t="s">
        <v>99</v>
      </c>
      <c r="LDX68" s="148">
        <v>45845</v>
      </c>
      <c r="LDY68" s="143" t="s">
        <v>46</v>
      </c>
      <c r="LDZ68" s="199"/>
      <c r="LEA68" s="149" t="s">
        <v>125</v>
      </c>
      <c r="LEB68" s="197"/>
      <c r="LEC68" s="198"/>
      <c r="LED68" s="143" t="s">
        <v>22</v>
      </c>
      <c r="LEE68" s="144">
        <v>8150</v>
      </c>
      <c r="LEF68" s="152">
        <v>85</v>
      </c>
      <c r="LEG68" s="153">
        <v>215</v>
      </c>
      <c r="LEH68" s="153">
        <v>75</v>
      </c>
      <c r="LEI68" s="152">
        <v>150</v>
      </c>
      <c r="LEJ68" s="154">
        <f>SUM(LEE68:LEI68)</f>
        <v>8675</v>
      </c>
      <c r="LEK68" s="152">
        <v>200</v>
      </c>
      <c r="LEL68" s="154">
        <f>SUM(LEJ68:LEK68)</f>
        <v>8875</v>
      </c>
      <c r="LEM68" s="147" t="s">
        <v>99</v>
      </c>
      <c r="LEN68" s="148">
        <v>45845</v>
      </c>
      <c r="LEO68" s="143" t="s">
        <v>46</v>
      </c>
      <c r="LEP68" s="199"/>
      <c r="LEQ68" s="149" t="s">
        <v>125</v>
      </c>
      <c r="LER68" s="197"/>
      <c r="LES68" s="198"/>
      <c r="LET68" s="143" t="s">
        <v>22</v>
      </c>
      <c r="LEU68" s="144">
        <v>8150</v>
      </c>
      <c r="LEV68" s="152">
        <v>85</v>
      </c>
      <c r="LEW68" s="153">
        <v>215</v>
      </c>
      <c r="LEX68" s="153">
        <v>75</v>
      </c>
      <c r="LEY68" s="152">
        <v>150</v>
      </c>
      <c r="LEZ68" s="154">
        <f>SUM(LEU68:LEY68)</f>
        <v>8675</v>
      </c>
      <c r="LFA68" s="152">
        <v>200</v>
      </c>
      <c r="LFB68" s="154">
        <f>SUM(LEZ68:LFA68)</f>
        <v>8875</v>
      </c>
      <c r="LFC68" s="147" t="s">
        <v>99</v>
      </c>
      <c r="LFD68" s="148">
        <v>45845</v>
      </c>
      <c r="LFE68" s="143" t="s">
        <v>46</v>
      </c>
      <c r="LFF68" s="199"/>
      <c r="LFG68" s="149" t="s">
        <v>125</v>
      </c>
      <c r="LFH68" s="197"/>
      <c r="LFI68" s="198"/>
      <c r="LFJ68" s="143" t="s">
        <v>22</v>
      </c>
      <c r="LFK68" s="144">
        <v>8150</v>
      </c>
      <c r="LFL68" s="152">
        <v>85</v>
      </c>
      <c r="LFM68" s="153">
        <v>215</v>
      </c>
      <c r="LFN68" s="153">
        <v>75</v>
      </c>
      <c r="LFO68" s="152">
        <v>150</v>
      </c>
      <c r="LFP68" s="154">
        <f>SUM(LFK68:LFO68)</f>
        <v>8675</v>
      </c>
      <c r="LFQ68" s="152">
        <v>200</v>
      </c>
      <c r="LFR68" s="154">
        <f>SUM(LFP68:LFQ68)</f>
        <v>8875</v>
      </c>
      <c r="LFS68" s="147" t="s">
        <v>99</v>
      </c>
      <c r="LFT68" s="148">
        <v>45845</v>
      </c>
      <c r="LFU68" s="143" t="s">
        <v>46</v>
      </c>
      <c r="LFV68" s="199"/>
      <c r="LFW68" s="149" t="s">
        <v>125</v>
      </c>
      <c r="LFX68" s="197"/>
      <c r="LFY68" s="198"/>
      <c r="LFZ68" s="143" t="s">
        <v>22</v>
      </c>
      <c r="LGA68" s="144">
        <v>8150</v>
      </c>
      <c r="LGB68" s="152">
        <v>85</v>
      </c>
      <c r="LGC68" s="153">
        <v>215</v>
      </c>
      <c r="LGD68" s="153">
        <v>75</v>
      </c>
      <c r="LGE68" s="152">
        <v>150</v>
      </c>
      <c r="LGF68" s="154">
        <f>SUM(LGA68:LGE68)</f>
        <v>8675</v>
      </c>
      <c r="LGG68" s="152">
        <v>200</v>
      </c>
      <c r="LGH68" s="154">
        <f>SUM(LGF68:LGG68)</f>
        <v>8875</v>
      </c>
      <c r="LGI68" s="147" t="s">
        <v>99</v>
      </c>
      <c r="LGJ68" s="148">
        <v>45845</v>
      </c>
      <c r="LGK68" s="143" t="s">
        <v>46</v>
      </c>
      <c r="LGL68" s="199"/>
      <c r="LGM68" s="149" t="s">
        <v>125</v>
      </c>
      <c r="LGN68" s="197"/>
      <c r="LGO68" s="198"/>
      <c r="LGP68" s="143" t="s">
        <v>22</v>
      </c>
      <c r="LGQ68" s="144">
        <v>8150</v>
      </c>
      <c r="LGR68" s="152">
        <v>85</v>
      </c>
      <c r="LGS68" s="153">
        <v>215</v>
      </c>
      <c r="LGT68" s="153">
        <v>75</v>
      </c>
      <c r="LGU68" s="152">
        <v>150</v>
      </c>
      <c r="LGV68" s="154">
        <f>SUM(LGQ68:LGU68)</f>
        <v>8675</v>
      </c>
      <c r="LGW68" s="152">
        <v>200</v>
      </c>
      <c r="LGX68" s="154">
        <f>SUM(LGV68:LGW68)</f>
        <v>8875</v>
      </c>
      <c r="LGY68" s="147" t="s">
        <v>99</v>
      </c>
      <c r="LGZ68" s="148">
        <v>45845</v>
      </c>
      <c r="LHA68" s="143" t="s">
        <v>46</v>
      </c>
      <c r="LHB68" s="199"/>
      <c r="LHC68" s="149" t="s">
        <v>125</v>
      </c>
      <c r="LHD68" s="197"/>
      <c r="LHE68" s="198"/>
      <c r="LHF68" s="143" t="s">
        <v>22</v>
      </c>
      <c r="LHG68" s="144">
        <v>8150</v>
      </c>
      <c r="LHH68" s="152">
        <v>85</v>
      </c>
      <c r="LHI68" s="153">
        <v>215</v>
      </c>
      <c r="LHJ68" s="153">
        <v>75</v>
      </c>
      <c r="LHK68" s="152">
        <v>150</v>
      </c>
      <c r="LHL68" s="154">
        <f>SUM(LHG68:LHK68)</f>
        <v>8675</v>
      </c>
      <c r="LHM68" s="152">
        <v>200</v>
      </c>
      <c r="LHN68" s="154">
        <f>SUM(LHL68:LHM68)</f>
        <v>8875</v>
      </c>
      <c r="LHO68" s="147" t="s">
        <v>99</v>
      </c>
      <c r="LHP68" s="148">
        <v>45845</v>
      </c>
      <c r="LHQ68" s="143" t="s">
        <v>46</v>
      </c>
      <c r="LHR68" s="199"/>
      <c r="LHS68" s="149" t="s">
        <v>125</v>
      </c>
      <c r="LHT68" s="197"/>
      <c r="LHU68" s="198"/>
      <c r="LHV68" s="143" t="s">
        <v>22</v>
      </c>
      <c r="LHW68" s="144">
        <v>8150</v>
      </c>
      <c r="LHX68" s="152">
        <v>85</v>
      </c>
      <c r="LHY68" s="153">
        <v>215</v>
      </c>
      <c r="LHZ68" s="153">
        <v>75</v>
      </c>
      <c r="LIA68" s="152">
        <v>150</v>
      </c>
      <c r="LIB68" s="154">
        <f>SUM(LHW68:LIA68)</f>
        <v>8675</v>
      </c>
      <c r="LIC68" s="152">
        <v>200</v>
      </c>
      <c r="LID68" s="154">
        <f>SUM(LIB68:LIC68)</f>
        <v>8875</v>
      </c>
      <c r="LIE68" s="147" t="s">
        <v>99</v>
      </c>
      <c r="LIF68" s="148">
        <v>45845</v>
      </c>
      <c r="LIG68" s="143" t="s">
        <v>46</v>
      </c>
      <c r="LIH68" s="199"/>
      <c r="LII68" s="149" t="s">
        <v>125</v>
      </c>
      <c r="LIJ68" s="197"/>
      <c r="LIK68" s="198"/>
      <c r="LIL68" s="143" t="s">
        <v>22</v>
      </c>
      <c r="LIM68" s="144">
        <v>8150</v>
      </c>
      <c r="LIN68" s="152">
        <v>85</v>
      </c>
      <c r="LIO68" s="153">
        <v>215</v>
      </c>
      <c r="LIP68" s="153">
        <v>75</v>
      </c>
      <c r="LIQ68" s="152">
        <v>150</v>
      </c>
      <c r="LIR68" s="154">
        <f>SUM(LIM68:LIQ68)</f>
        <v>8675</v>
      </c>
      <c r="LIS68" s="152">
        <v>200</v>
      </c>
      <c r="LIT68" s="154">
        <f>SUM(LIR68:LIS68)</f>
        <v>8875</v>
      </c>
      <c r="LIU68" s="147" t="s">
        <v>99</v>
      </c>
      <c r="LIV68" s="148">
        <v>45845</v>
      </c>
      <c r="LIW68" s="143" t="s">
        <v>46</v>
      </c>
      <c r="LIX68" s="199"/>
      <c r="LIY68" s="149" t="s">
        <v>125</v>
      </c>
      <c r="LIZ68" s="197"/>
      <c r="LJA68" s="198"/>
      <c r="LJB68" s="143" t="s">
        <v>22</v>
      </c>
      <c r="LJC68" s="144">
        <v>8150</v>
      </c>
      <c r="LJD68" s="152">
        <v>85</v>
      </c>
      <c r="LJE68" s="153">
        <v>215</v>
      </c>
      <c r="LJF68" s="153">
        <v>75</v>
      </c>
      <c r="LJG68" s="152">
        <v>150</v>
      </c>
      <c r="LJH68" s="154">
        <f>SUM(LJC68:LJG68)</f>
        <v>8675</v>
      </c>
      <c r="LJI68" s="152">
        <v>200</v>
      </c>
      <c r="LJJ68" s="154">
        <f>SUM(LJH68:LJI68)</f>
        <v>8875</v>
      </c>
      <c r="LJK68" s="147" t="s">
        <v>99</v>
      </c>
      <c r="LJL68" s="148">
        <v>45845</v>
      </c>
      <c r="LJM68" s="143" t="s">
        <v>46</v>
      </c>
      <c r="LJN68" s="199"/>
      <c r="LJO68" s="149" t="s">
        <v>125</v>
      </c>
      <c r="LJP68" s="197"/>
      <c r="LJQ68" s="198"/>
      <c r="LJR68" s="143" t="s">
        <v>22</v>
      </c>
      <c r="LJS68" s="144">
        <v>8150</v>
      </c>
      <c r="LJT68" s="152">
        <v>85</v>
      </c>
      <c r="LJU68" s="153">
        <v>215</v>
      </c>
      <c r="LJV68" s="153">
        <v>75</v>
      </c>
      <c r="LJW68" s="152">
        <v>150</v>
      </c>
      <c r="LJX68" s="154">
        <f>SUM(LJS68:LJW68)</f>
        <v>8675</v>
      </c>
      <c r="LJY68" s="152">
        <v>200</v>
      </c>
      <c r="LJZ68" s="154">
        <f>SUM(LJX68:LJY68)</f>
        <v>8875</v>
      </c>
      <c r="LKA68" s="147" t="s">
        <v>99</v>
      </c>
      <c r="LKB68" s="148">
        <v>45845</v>
      </c>
      <c r="LKC68" s="143" t="s">
        <v>46</v>
      </c>
      <c r="LKD68" s="199"/>
      <c r="LKE68" s="149" t="s">
        <v>125</v>
      </c>
      <c r="LKF68" s="197"/>
      <c r="LKG68" s="198"/>
      <c r="LKH68" s="143" t="s">
        <v>22</v>
      </c>
      <c r="LKI68" s="144">
        <v>8150</v>
      </c>
      <c r="LKJ68" s="152">
        <v>85</v>
      </c>
      <c r="LKK68" s="153">
        <v>215</v>
      </c>
      <c r="LKL68" s="153">
        <v>75</v>
      </c>
      <c r="LKM68" s="152">
        <v>150</v>
      </c>
      <c r="LKN68" s="154">
        <f>SUM(LKI68:LKM68)</f>
        <v>8675</v>
      </c>
      <c r="LKO68" s="152">
        <v>200</v>
      </c>
      <c r="LKP68" s="154">
        <f>SUM(LKN68:LKO68)</f>
        <v>8875</v>
      </c>
      <c r="LKQ68" s="147" t="s">
        <v>99</v>
      </c>
      <c r="LKR68" s="148">
        <v>45845</v>
      </c>
      <c r="LKS68" s="143" t="s">
        <v>46</v>
      </c>
      <c r="LKT68" s="199"/>
      <c r="LKU68" s="149" t="s">
        <v>125</v>
      </c>
      <c r="LKV68" s="197"/>
      <c r="LKW68" s="198"/>
      <c r="LKX68" s="143" t="s">
        <v>22</v>
      </c>
      <c r="LKY68" s="144">
        <v>8150</v>
      </c>
      <c r="LKZ68" s="152">
        <v>85</v>
      </c>
      <c r="LLA68" s="153">
        <v>215</v>
      </c>
      <c r="LLB68" s="153">
        <v>75</v>
      </c>
      <c r="LLC68" s="152">
        <v>150</v>
      </c>
      <c r="LLD68" s="154">
        <f>SUM(LKY68:LLC68)</f>
        <v>8675</v>
      </c>
      <c r="LLE68" s="152">
        <v>200</v>
      </c>
      <c r="LLF68" s="154">
        <f>SUM(LLD68:LLE68)</f>
        <v>8875</v>
      </c>
      <c r="LLG68" s="147" t="s">
        <v>99</v>
      </c>
      <c r="LLH68" s="148">
        <v>45845</v>
      </c>
      <c r="LLI68" s="143" t="s">
        <v>46</v>
      </c>
      <c r="LLJ68" s="199"/>
      <c r="LLK68" s="149" t="s">
        <v>125</v>
      </c>
      <c r="LLL68" s="197"/>
      <c r="LLM68" s="198"/>
      <c r="LLN68" s="143" t="s">
        <v>22</v>
      </c>
      <c r="LLO68" s="144">
        <v>8150</v>
      </c>
      <c r="LLP68" s="152">
        <v>85</v>
      </c>
      <c r="LLQ68" s="153">
        <v>215</v>
      </c>
      <c r="LLR68" s="153">
        <v>75</v>
      </c>
      <c r="LLS68" s="152">
        <v>150</v>
      </c>
      <c r="LLT68" s="154">
        <f>SUM(LLO68:LLS68)</f>
        <v>8675</v>
      </c>
      <c r="LLU68" s="152">
        <v>200</v>
      </c>
      <c r="LLV68" s="154">
        <f>SUM(LLT68:LLU68)</f>
        <v>8875</v>
      </c>
      <c r="LLW68" s="147" t="s">
        <v>99</v>
      </c>
      <c r="LLX68" s="148">
        <v>45845</v>
      </c>
      <c r="LLY68" s="143" t="s">
        <v>46</v>
      </c>
      <c r="LLZ68" s="199"/>
      <c r="LMA68" s="149" t="s">
        <v>125</v>
      </c>
      <c r="LMB68" s="197"/>
      <c r="LMC68" s="198"/>
      <c r="LMD68" s="143" t="s">
        <v>22</v>
      </c>
      <c r="LME68" s="144">
        <v>8150</v>
      </c>
      <c r="LMF68" s="152">
        <v>85</v>
      </c>
      <c r="LMG68" s="153">
        <v>215</v>
      </c>
      <c r="LMH68" s="153">
        <v>75</v>
      </c>
      <c r="LMI68" s="152">
        <v>150</v>
      </c>
      <c r="LMJ68" s="154">
        <f>SUM(LME68:LMI68)</f>
        <v>8675</v>
      </c>
      <c r="LMK68" s="152">
        <v>200</v>
      </c>
      <c r="LML68" s="154">
        <f>SUM(LMJ68:LMK68)</f>
        <v>8875</v>
      </c>
      <c r="LMM68" s="147" t="s">
        <v>99</v>
      </c>
      <c r="LMN68" s="148">
        <v>45845</v>
      </c>
      <c r="LMO68" s="143" t="s">
        <v>46</v>
      </c>
      <c r="LMP68" s="199"/>
      <c r="LMQ68" s="149" t="s">
        <v>125</v>
      </c>
      <c r="LMR68" s="197"/>
      <c r="LMS68" s="198"/>
      <c r="LMT68" s="143" t="s">
        <v>22</v>
      </c>
      <c r="LMU68" s="144">
        <v>8150</v>
      </c>
      <c r="LMV68" s="152">
        <v>85</v>
      </c>
      <c r="LMW68" s="153">
        <v>215</v>
      </c>
      <c r="LMX68" s="153">
        <v>75</v>
      </c>
      <c r="LMY68" s="152">
        <v>150</v>
      </c>
      <c r="LMZ68" s="154">
        <f>SUM(LMU68:LMY68)</f>
        <v>8675</v>
      </c>
      <c r="LNA68" s="152">
        <v>200</v>
      </c>
      <c r="LNB68" s="154">
        <f>SUM(LMZ68:LNA68)</f>
        <v>8875</v>
      </c>
      <c r="LNC68" s="147" t="s">
        <v>99</v>
      </c>
      <c r="LND68" s="148">
        <v>45845</v>
      </c>
      <c r="LNE68" s="143" t="s">
        <v>46</v>
      </c>
      <c r="LNF68" s="199"/>
      <c r="LNG68" s="149" t="s">
        <v>125</v>
      </c>
      <c r="LNH68" s="197"/>
      <c r="LNI68" s="198"/>
      <c r="LNJ68" s="143" t="s">
        <v>22</v>
      </c>
      <c r="LNK68" s="144">
        <v>8150</v>
      </c>
      <c r="LNL68" s="152">
        <v>85</v>
      </c>
      <c r="LNM68" s="153">
        <v>215</v>
      </c>
      <c r="LNN68" s="153">
        <v>75</v>
      </c>
      <c r="LNO68" s="152">
        <v>150</v>
      </c>
      <c r="LNP68" s="154">
        <f>SUM(LNK68:LNO68)</f>
        <v>8675</v>
      </c>
      <c r="LNQ68" s="152">
        <v>200</v>
      </c>
      <c r="LNR68" s="154">
        <f>SUM(LNP68:LNQ68)</f>
        <v>8875</v>
      </c>
      <c r="LNS68" s="147" t="s">
        <v>99</v>
      </c>
      <c r="LNT68" s="148">
        <v>45845</v>
      </c>
      <c r="LNU68" s="143" t="s">
        <v>46</v>
      </c>
      <c r="LNV68" s="199"/>
      <c r="LNW68" s="149" t="s">
        <v>125</v>
      </c>
      <c r="LNX68" s="197"/>
      <c r="LNY68" s="198"/>
      <c r="LNZ68" s="143" t="s">
        <v>22</v>
      </c>
      <c r="LOA68" s="144">
        <v>8150</v>
      </c>
      <c r="LOB68" s="152">
        <v>85</v>
      </c>
      <c r="LOC68" s="153">
        <v>215</v>
      </c>
      <c r="LOD68" s="153">
        <v>75</v>
      </c>
      <c r="LOE68" s="152">
        <v>150</v>
      </c>
      <c r="LOF68" s="154">
        <f>SUM(LOA68:LOE68)</f>
        <v>8675</v>
      </c>
      <c r="LOG68" s="152">
        <v>200</v>
      </c>
      <c r="LOH68" s="154">
        <f>SUM(LOF68:LOG68)</f>
        <v>8875</v>
      </c>
      <c r="LOI68" s="147" t="s">
        <v>99</v>
      </c>
      <c r="LOJ68" s="148">
        <v>45845</v>
      </c>
      <c r="LOK68" s="143" t="s">
        <v>46</v>
      </c>
      <c r="LOL68" s="199"/>
      <c r="LOM68" s="149" t="s">
        <v>125</v>
      </c>
      <c r="LON68" s="197"/>
      <c r="LOO68" s="198"/>
      <c r="LOP68" s="143" t="s">
        <v>22</v>
      </c>
      <c r="LOQ68" s="144">
        <v>8150</v>
      </c>
      <c r="LOR68" s="152">
        <v>85</v>
      </c>
      <c r="LOS68" s="153">
        <v>215</v>
      </c>
      <c r="LOT68" s="153">
        <v>75</v>
      </c>
      <c r="LOU68" s="152">
        <v>150</v>
      </c>
      <c r="LOV68" s="154">
        <f>SUM(LOQ68:LOU68)</f>
        <v>8675</v>
      </c>
      <c r="LOW68" s="152">
        <v>200</v>
      </c>
      <c r="LOX68" s="154">
        <f>SUM(LOV68:LOW68)</f>
        <v>8875</v>
      </c>
      <c r="LOY68" s="147" t="s">
        <v>99</v>
      </c>
      <c r="LOZ68" s="148">
        <v>45845</v>
      </c>
      <c r="LPA68" s="143" t="s">
        <v>46</v>
      </c>
      <c r="LPB68" s="199"/>
      <c r="LPC68" s="149" t="s">
        <v>125</v>
      </c>
      <c r="LPD68" s="197"/>
      <c r="LPE68" s="198"/>
      <c r="LPF68" s="143" t="s">
        <v>22</v>
      </c>
      <c r="LPG68" s="144">
        <v>8150</v>
      </c>
      <c r="LPH68" s="152">
        <v>85</v>
      </c>
      <c r="LPI68" s="153">
        <v>215</v>
      </c>
      <c r="LPJ68" s="153">
        <v>75</v>
      </c>
      <c r="LPK68" s="152">
        <v>150</v>
      </c>
      <c r="LPL68" s="154">
        <f>SUM(LPG68:LPK68)</f>
        <v>8675</v>
      </c>
      <c r="LPM68" s="152">
        <v>200</v>
      </c>
      <c r="LPN68" s="154">
        <f>SUM(LPL68:LPM68)</f>
        <v>8875</v>
      </c>
      <c r="LPO68" s="147" t="s">
        <v>99</v>
      </c>
      <c r="LPP68" s="148">
        <v>45845</v>
      </c>
      <c r="LPQ68" s="143" t="s">
        <v>46</v>
      </c>
      <c r="LPR68" s="199"/>
      <c r="LPS68" s="149" t="s">
        <v>125</v>
      </c>
      <c r="LPT68" s="197"/>
      <c r="LPU68" s="198"/>
      <c r="LPV68" s="143" t="s">
        <v>22</v>
      </c>
      <c r="LPW68" s="144">
        <v>8150</v>
      </c>
      <c r="LPX68" s="152">
        <v>85</v>
      </c>
      <c r="LPY68" s="153">
        <v>215</v>
      </c>
      <c r="LPZ68" s="153">
        <v>75</v>
      </c>
      <c r="LQA68" s="152">
        <v>150</v>
      </c>
      <c r="LQB68" s="154">
        <f>SUM(LPW68:LQA68)</f>
        <v>8675</v>
      </c>
      <c r="LQC68" s="152">
        <v>200</v>
      </c>
      <c r="LQD68" s="154">
        <f>SUM(LQB68:LQC68)</f>
        <v>8875</v>
      </c>
      <c r="LQE68" s="147" t="s">
        <v>99</v>
      </c>
      <c r="LQF68" s="148">
        <v>45845</v>
      </c>
      <c r="LQG68" s="143" t="s">
        <v>46</v>
      </c>
      <c r="LQH68" s="199"/>
      <c r="LQI68" s="149" t="s">
        <v>125</v>
      </c>
      <c r="LQJ68" s="197"/>
      <c r="LQK68" s="198"/>
      <c r="LQL68" s="143" t="s">
        <v>22</v>
      </c>
      <c r="LQM68" s="144">
        <v>8150</v>
      </c>
      <c r="LQN68" s="152">
        <v>85</v>
      </c>
      <c r="LQO68" s="153">
        <v>215</v>
      </c>
      <c r="LQP68" s="153">
        <v>75</v>
      </c>
      <c r="LQQ68" s="152">
        <v>150</v>
      </c>
      <c r="LQR68" s="154">
        <f>SUM(LQM68:LQQ68)</f>
        <v>8675</v>
      </c>
      <c r="LQS68" s="152">
        <v>200</v>
      </c>
      <c r="LQT68" s="154">
        <f>SUM(LQR68:LQS68)</f>
        <v>8875</v>
      </c>
      <c r="LQU68" s="147" t="s">
        <v>99</v>
      </c>
      <c r="LQV68" s="148">
        <v>45845</v>
      </c>
      <c r="LQW68" s="143" t="s">
        <v>46</v>
      </c>
      <c r="LQX68" s="199"/>
      <c r="LQY68" s="149" t="s">
        <v>125</v>
      </c>
      <c r="LQZ68" s="197"/>
      <c r="LRA68" s="198"/>
      <c r="LRB68" s="143" t="s">
        <v>22</v>
      </c>
      <c r="LRC68" s="144">
        <v>8150</v>
      </c>
      <c r="LRD68" s="152">
        <v>85</v>
      </c>
      <c r="LRE68" s="153">
        <v>215</v>
      </c>
      <c r="LRF68" s="153">
        <v>75</v>
      </c>
      <c r="LRG68" s="152">
        <v>150</v>
      </c>
      <c r="LRH68" s="154">
        <f>SUM(LRC68:LRG68)</f>
        <v>8675</v>
      </c>
      <c r="LRI68" s="152">
        <v>200</v>
      </c>
      <c r="LRJ68" s="154">
        <f>SUM(LRH68:LRI68)</f>
        <v>8875</v>
      </c>
      <c r="LRK68" s="147" t="s">
        <v>99</v>
      </c>
      <c r="LRL68" s="148">
        <v>45845</v>
      </c>
      <c r="LRM68" s="143" t="s">
        <v>46</v>
      </c>
      <c r="LRN68" s="199"/>
      <c r="LRO68" s="149" t="s">
        <v>125</v>
      </c>
      <c r="LRP68" s="197"/>
      <c r="LRQ68" s="198"/>
      <c r="LRR68" s="143" t="s">
        <v>22</v>
      </c>
      <c r="LRS68" s="144">
        <v>8150</v>
      </c>
      <c r="LRT68" s="152">
        <v>85</v>
      </c>
      <c r="LRU68" s="153">
        <v>215</v>
      </c>
      <c r="LRV68" s="153">
        <v>75</v>
      </c>
      <c r="LRW68" s="152">
        <v>150</v>
      </c>
      <c r="LRX68" s="154">
        <f>SUM(LRS68:LRW68)</f>
        <v>8675</v>
      </c>
      <c r="LRY68" s="152">
        <v>200</v>
      </c>
      <c r="LRZ68" s="154">
        <f>SUM(LRX68:LRY68)</f>
        <v>8875</v>
      </c>
      <c r="LSA68" s="147" t="s">
        <v>99</v>
      </c>
      <c r="LSB68" s="148">
        <v>45845</v>
      </c>
      <c r="LSC68" s="143" t="s">
        <v>46</v>
      </c>
      <c r="LSD68" s="199"/>
      <c r="LSE68" s="149" t="s">
        <v>125</v>
      </c>
      <c r="LSF68" s="197"/>
      <c r="LSG68" s="198"/>
      <c r="LSH68" s="143" t="s">
        <v>22</v>
      </c>
      <c r="LSI68" s="144">
        <v>8150</v>
      </c>
      <c r="LSJ68" s="152">
        <v>85</v>
      </c>
      <c r="LSK68" s="153">
        <v>215</v>
      </c>
      <c r="LSL68" s="153">
        <v>75</v>
      </c>
      <c r="LSM68" s="152">
        <v>150</v>
      </c>
      <c r="LSN68" s="154">
        <f>SUM(LSI68:LSM68)</f>
        <v>8675</v>
      </c>
      <c r="LSO68" s="152">
        <v>200</v>
      </c>
      <c r="LSP68" s="154">
        <f>SUM(LSN68:LSO68)</f>
        <v>8875</v>
      </c>
      <c r="LSQ68" s="147" t="s">
        <v>99</v>
      </c>
      <c r="LSR68" s="148">
        <v>45845</v>
      </c>
      <c r="LSS68" s="143" t="s">
        <v>46</v>
      </c>
      <c r="LST68" s="199"/>
      <c r="LSU68" s="149" t="s">
        <v>125</v>
      </c>
      <c r="LSV68" s="197"/>
      <c r="LSW68" s="198"/>
      <c r="LSX68" s="143" t="s">
        <v>22</v>
      </c>
      <c r="LSY68" s="144">
        <v>8150</v>
      </c>
      <c r="LSZ68" s="152">
        <v>85</v>
      </c>
      <c r="LTA68" s="153">
        <v>215</v>
      </c>
      <c r="LTB68" s="153">
        <v>75</v>
      </c>
      <c r="LTC68" s="152">
        <v>150</v>
      </c>
      <c r="LTD68" s="154">
        <f>SUM(LSY68:LTC68)</f>
        <v>8675</v>
      </c>
      <c r="LTE68" s="152">
        <v>200</v>
      </c>
      <c r="LTF68" s="154">
        <f>SUM(LTD68:LTE68)</f>
        <v>8875</v>
      </c>
      <c r="LTG68" s="147" t="s">
        <v>99</v>
      </c>
      <c r="LTH68" s="148">
        <v>45845</v>
      </c>
      <c r="LTI68" s="143" t="s">
        <v>46</v>
      </c>
      <c r="LTJ68" s="199"/>
      <c r="LTK68" s="149" t="s">
        <v>125</v>
      </c>
      <c r="LTL68" s="197"/>
      <c r="LTM68" s="198"/>
      <c r="LTN68" s="143" t="s">
        <v>22</v>
      </c>
      <c r="LTO68" s="144">
        <v>8150</v>
      </c>
      <c r="LTP68" s="152">
        <v>85</v>
      </c>
      <c r="LTQ68" s="153">
        <v>215</v>
      </c>
      <c r="LTR68" s="153">
        <v>75</v>
      </c>
      <c r="LTS68" s="152">
        <v>150</v>
      </c>
      <c r="LTT68" s="154">
        <f>SUM(LTO68:LTS68)</f>
        <v>8675</v>
      </c>
      <c r="LTU68" s="152">
        <v>200</v>
      </c>
      <c r="LTV68" s="154">
        <f>SUM(LTT68:LTU68)</f>
        <v>8875</v>
      </c>
      <c r="LTW68" s="147" t="s">
        <v>99</v>
      </c>
      <c r="LTX68" s="148">
        <v>45845</v>
      </c>
      <c r="LTY68" s="143" t="s">
        <v>46</v>
      </c>
      <c r="LTZ68" s="199"/>
      <c r="LUA68" s="149" t="s">
        <v>125</v>
      </c>
      <c r="LUB68" s="197"/>
      <c r="LUC68" s="198"/>
      <c r="LUD68" s="143" t="s">
        <v>22</v>
      </c>
      <c r="LUE68" s="144">
        <v>8150</v>
      </c>
      <c r="LUF68" s="152">
        <v>85</v>
      </c>
      <c r="LUG68" s="153">
        <v>215</v>
      </c>
      <c r="LUH68" s="153">
        <v>75</v>
      </c>
      <c r="LUI68" s="152">
        <v>150</v>
      </c>
      <c r="LUJ68" s="154">
        <f>SUM(LUE68:LUI68)</f>
        <v>8675</v>
      </c>
      <c r="LUK68" s="152">
        <v>200</v>
      </c>
      <c r="LUL68" s="154">
        <f>SUM(LUJ68:LUK68)</f>
        <v>8875</v>
      </c>
      <c r="LUM68" s="147" t="s">
        <v>99</v>
      </c>
      <c r="LUN68" s="148">
        <v>45845</v>
      </c>
      <c r="LUO68" s="143" t="s">
        <v>46</v>
      </c>
      <c r="LUP68" s="199"/>
      <c r="LUQ68" s="149" t="s">
        <v>125</v>
      </c>
      <c r="LUR68" s="197"/>
      <c r="LUS68" s="198"/>
      <c r="LUT68" s="143" t="s">
        <v>22</v>
      </c>
      <c r="LUU68" s="144">
        <v>8150</v>
      </c>
      <c r="LUV68" s="152">
        <v>85</v>
      </c>
      <c r="LUW68" s="153">
        <v>215</v>
      </c>
      <c r="LUX68" s="153">
        <v>75</v>
      </c>
      <c r="LUY68" s="152">
        <v>150</v>
      </c>
      <c r="LUZ68" s="154">
        <f>SUM(LUU68:LUY68)</f>
        <v>8675</v>
      </c>
      <c r="LVA68" s="152">
        <v>200</v>
      </c>
      <c r="LVB68" s="154">
        <f>SUM(LUZ68:LVA68)</f>
        <v>8875</v>
      </c>
      <c r="LVC68" s="147" t="s">
        <v>99</v>
      </c>
      <c r="LVD68" s="148">
        <v>45845</v>
      </c>
      <c r="LVE68" s="143" t="s">
        <v>46</v>
      </c>
      <c r="LVF68" s="199"/>
      <c r="LVG68" s="149" t="s">
        <v>125</v>
      </c>
      <c r="LVH68" s="197"/>
      <c r="LVI68" s="198"/>
      <c r="LVJ68" s="143" t="s">
        <v>22</v>
      </c>
      <c r="LVK68" s="144">
        <v>8150</v>
      </c>
      <c r="LVL68" s="152">
        <v>85</v>
      </c>
      <c r="LVM68" s="153">
        <v>215</v>
      </c>
      <c r="LVN68" s="153">
        <v>75</v>
      </c>
      <c r="LVO68" s="152">
        <v>150</v>
      </c>
      <c r="LVP68" s="154">
        <f>SUM(LVK68:LVO68)</f>
        <v>8675</v>
      </c>
      <c r="LVQ68" s="152">
        <v>200</v>
      </c>
      <c r="LVR68" s="154">
        <f>SUM(LVP68:LVQ68)</f>
        <v>8875</v>
      </c>
      <c r="LVS68" s="147" t="s">
        <v>99</v>
      </c>
      <c r="LVT68" s="148">
        <v>45845</v>
      </c>
      <c r="LVU68" s="143" t="s">
        <v>46</v>
      </c>
      <c r="LVV68" s="199"/>
      <c r="LVW68" s="149" t="s">
        <v>125</v>
      </c>
      <c r="LVX68" s="197"/>
      <c r="LVY68" s="198"/>
      <c r="LVZ68" s="143" t="s">
        <v>22</v>
      </c>
      <c r="LWA68" s="144">
        <v>8150</v>
      </c>
      <c r="LWB68" s="152">
        <v>85</v>
      </c>
      <c r="LWC68" s="153">
        <v>215</v>
      </c>
      <c r="LWD68" s="153">
        <v>75</v>
      </c>
      <c r="LWE68" s="152">
        <v>150</v>
      </c>
      <c r="LWF68" s="154">
        <f>SUM(LWA68:LWE68)</f>
        <v>8675</v>
      </c>
      <c r="LWG68" s="152">
        <v>200</v>
      </c>
      <c r="LWH68" s="154">
        <f>SUM(LWF68:LWG68)</f>
        <v>8875</v>
      </c>
      <c r="LWI68" s="147" t="s">
        <v>99</v>
      </c>
      <c r="LWJ68" s="148">
        <v>45845</v>
      </c>
      <c r="LWK68" s="143" t="s">
        <v>46</v>
      </c>
      <c r="LWL68" s="199"/>
      <c r="LWM68" s="149" t="s">
        <v>125</v>
      </c>
      <c r="LWN68" s="197"/>
      <c r="LWO68" s="198"/>
      <c r="LWP68" s="143" t="s">
        <v>22</v>
      </c>
      <c r="LWQ68" s="144">
        <v>8150</v>
      </c>
      <c r="LWR68" s="152">
        <v>85</v>
      </c>
      <c r="LWS68" s="153">
        <v>215</v>
      </c>
      <c r="LWT68" s="153">
        <v>75</v>
      </c>
      <c r="LWU68" s="152">
        <v>150</v>
      </c>
      <c r="LWV68" s="154">
        <f>SUM(LWQ68:LWU68)</f>
        <v>8675</v>
      </c>
      <c r="LWW68" s="152">
        <v>200</v>
      </c>
      <c r="LWX68" s="154">
        <f>SUM(LWV68:LWW68)</f>
        <v>8875</v>
      </c>
      <c r="LWY68" s="147" t="s">
        <v>99</v>
      </c>
      <c r="LWZ68" s="148">
        <v>45845</v>
      </c>
      <c r="LXA68" s="143" t="s">
        <v>46</v>
      </c>
      <c r="LXB68" s="199"/>
      <c r="LXC68" s="149" t="s">
        <v>125</v>
      </c>
      <c r="LXD68" s="197"/>
      <c r="LXE68" s="198"/>
      <c r="LXF68" s="143" t="s">
        <v>22</v>
      </c>
      <c r="LXG68" s="144">
        <v>8150</v>
      </c>
      <c r="LXH68" s="152">
        <v>85</v>
      </c>
      <c r="LXI68" s="153">
        <v>215</v>
      </c>
      <c r="LXJ68" s="153">
        <v>75</v>
      </c>
      <c r="LXK68" s="152">
        <v>150</v>
      </c>
      <c r="LXL68" s="154">
        <f>SUM(LXG68:LXK68)</f>
        <v>8675</v>
      </c>
      <c r="LXM68" s="152">
        <v>200</v>
      </c>
      <c r="LXN68" s="154">
        <f>SUM(LXL68:LXM68)</f>
        <v>8875</v>
      </c>
      <c r="LXO68" s="147" t="s">
        <v>99</v>
      </c>
      <c r="LXP68" s="148">
        <v>45845</v>
      </c>
      <c r="LXQ68" s="143" t="s">
        <v>46</v>
      </c>
      <c r="LXR68" s="199"/>
      <c r="LXS68" s="149" t="s">
        <v>125</v>
      </c>
      <c r="LXT68" s="197"/>
      <c r="LXU68" s="198"/>
      <c r="LXV68" s="143" t="s">
        <v>22</v>
      </c>
      <c r="LXW68" s="144">
        <v>8150</v>
      </c>
      <c r="LXX68" s="152">
        <v>85</v>
      </c>
      <c r="LXY68" s="153">
        <v>215</v>
      </c>
      <c r="LXZ68" s="153">
        <v>75</v>
      </c>
      <c r="LYA68" s="152">
        <v>150</v>
      </c>
      <c r="LYB68" s="154">
        <f>SUM(LXW68:LYA68)</f>
        <v>8675</v>
      </c>
      <c r="LYC68" s="152">
        <v>200</v>
      </c>
      <c r="LYD68" s="154">
        <f>SUM(LYB68:LYC68)</f>
        <v>8875</v>
      </c>
      <c r="LYE68" s="147" t="s">
        <v>99</v>
      </c>
      <c r="LYF68" s="148">
        <v>45845</v>
      </c>
      <c r="LYG68" s="143" t="s">
        <v>46</v>
      </c>
      <c r="LYH68" s="199"/>
      <c r="LYI68" s="149" t="s">
        <v>125</v>
      </c>
      <c r="LYJ68" s="197"/>
      <c r="LYK68" s="198"/>
      <c r="LYL68" s="143" t="s">
        <v>22</v>
      </c>
      <c r="LYM68" s="144">
        <v>8150</v>
      </c>
      <c r="LYN68" s="152">
        <v>85</v>
      </c>
      <c r="LYO68" s="153">
        <v>215</v>
      </c>
      <c r="LYP68" s="153">
        <v>75</v>
      </c>
      <c r="LYQ68" s="152">
        <v>150</v>
      </c>
      <c r="LYR68" s="154">
        <f>SUM(LYM68:LYQ68)</f>
        <v>8675</v>
      </c>
      <c r="LYS68" s="152">
        <v>200</v>
      </c>
      <c r="LYT68" s="154">
        <f>SUM(LYR68:LYS68)</f>
        <v>8875</v>
      </c>
      <c r="LYU68" s="147" t="s">
        <v>99</v>
      </c>
      <c r="LYV68" s="148">
        <v>45845</v>
      </c>
      <c r="LYW68" s="143" t="s">
        <v>46</v>
      </c>
      <c r="LYX68" s="199"/>
      <c r="LYY68" s="149" t="s">
        <v>125</v>
      </c>
      <c r="LYZ68" s="197"/>
      <c r="LZA68" s="198"/>
      <c r="LZB68" s="143" t="s">
        <v>22</v>
      </c>
      <c r="LZC68" s="144">
        <v>8150</v>
      </c>
      <c r="LZD68" s="152">
        <v>85</v>
      </c>
      <c r="LZE68" s="153">
        <v>215</v>
      </c>
      <c r="LZF68" s="153">
        <v>75</v>
      </c>
      <c r="LZG68" s="152">
        <v>150</v>
      </c>
      <c r="LZH68" s="154">
        <f>SUM(LZC68:LZG68)</f>
        <v>8675</v>
      </c>
      <c r="LZI68" s="152">
        <v>200</v>
      </c>
      <c r="LZJ68" s="154">
        <f>SUM(LZH68:LZI68)</f>
        <v>8875</v>
      </c>
      <c r="LZK68" s="147" t="s">
        <v>99</v>
      </c>
      <c r="LZL68" s="148">
        <v>45845</v>
      </c>
      <c r="LZM68" s="143" t="s">
        <v>46</v>
      </c>
      <c r="LZN68" s="199"/>
      <c r="LZO68" s="149" t="s">
        <v>125</v>
      </c>
      <c r="LZP68" s="197"/>
      <c r="LZQ68" s="198"/>
      <c r="LZR68" s="143" t="s">
        <v>22</v>
      </c>
      <c r="LZS68" s="144">
        <v>8150</v>
      </c>
      <c r="LZT68" s="152">
        <v>85</v>
      </c>
      <c r="LZU68" s="153">
        <v>215</v>
      </c>
      <c r="LZV68" s="153">
        <v>75</v>
      </c>
      <c r="LZW68" s="152">
        <v>150</v>
      </c>
      <c r="LZX68" s="154">
        <f>SUM(LZS68:LZW68)</f>
        <v>8675</v>
      </c>
      <c r="LZY68" s="152">
        <v>200</v>
      </c>
      <c r="LZZ68" s="154">
        <f>SUM(LZX68:LZY68)</f>
        <v>8875</v>
      </c>
      <c r="MAA68" s="147" t="s">
        <v>99</v>
      </c>
      <c r="MAB68" s="148">
        <v>45845</v>
      </c>
      <c r="MAC68" s="143" t="s">
        <v>46</v>
      </c>
      <c r="MAD68" s="199"/>
      <c r="MAE68" s="149" t="s">
        <v>125</v>
      </c>
      <c r="MAF68" s="197"/>
      <c r="MAG68" s="198"/>
      <c r="MAH68" s="143" t="s">
        <v>22</v>
      </c>
      <c r="MAI68" s="144">
        <v>8150</v>
      </c>
      <c r="MAJ68" s="152">
        <v>85</v>
      </c>
      <c r="MAK68" s="153">
        <v>215</v>
      </c>
      <c r="MAL68" s="153">
        <v>75</v>
      </c>
      <c r="MAM68" s="152">
        <v>150</v>
      </c>
      <c r="MAN68" s="154">
        <f>SUM(MAI68:MAM68)</f>
        <v>8675</v>
      </c>
      <c r="MAO68" s="152">
        <v>200</v>
      </c>
      <c r="MAP68" s="154">
        <f>SUM(MAN68:MAO68)</f>
        <v>8875</v>
      </c>
      <c r="MAQ68" s="147" t="s">
        <v>99</v>
      </c>
      <c r="MAR68" s="148">
        <v>45845</v>
      </c>
      <c r="MAS68" s="143" t="s">
        <v>46</v>
      </c>
      <c r="MAT68" s="199"/>
      <c r="MAU68" s="149" t="s">
        <v>125</v>
      </c>
      <c r="MAV68" s="197"/>
      <c r="MAW68" s="198"/>
      <c r="MAX68" s="143" t="s">
        <v>22</v>
      </c>
      <c r="MAY68" s="144">
        <v>8150</v>
      </c>
      <c r="MAZ68" s="152">
        <v>85</v>
      </c>
      <c r="MBA68" s="153">
        <v>215</v>
      </c>
      <c r="MBB68" s="153">
        <v>75</v>
      </c>
      <c r="MBC68" s="152">
        <v>150</v>
      </c>
      <c r="MBD68" s="154">
        <f>SUM(MAY68:MBC68)</f>
        <v>8675</v>
      </c>
      <c r="MBE68" s="152">
        <v>200</v>
      </c>
      <c r="MBF68" s="154">
        <f>SUM(MBD68:MBE68)</f>
        <v>8875</v>
      </c>
      <c r="MBG68" s="147" t="s">
        <v>99</v>
      </c>
      <c r="MBH68" s="148">
        <v>45845</v>
      </c>
      <c r="MBI68" s="143" t="s">
        <v>46</v>
      </c>
      <c r="MBJ68" s="199"/>
      <c r="MBK68" s="149" t="s">
        <v>125</v>
      </c>
      <c r="MBL68" s="197"/>
      <c r="MBM68" s="198"/>
      <c r="MBN68" s="143" t="s">
        <v>22</v>
      </c>
      <c r="MBO68" s="144">
        <v>8150</v>
      </c>
      <c r="MBP68" s="152">
        <v>85</v>
      </c>
      <c r="MBQ68" s="153">
        <v>215</v>
      </c>
      <c r="MBR68" s="153">
        <v>75</v>
      </c>
      <c r="MBS68" s="152">
        <v>150</v>
      </c>
      <c r="MBT68" s="154">
        <f>SUM(MBO68:MBS68)</f>
        <v>8675</v>
      </c>
      <c r="MBU68" s="152">
        <v>200</v>
      </c>
      <c r="MBV68" s="154">
        <f>SUM(MBT68:MBU68)</f>
        <v>8875</v>
      </c>
      <c r="MBW68" s="147" t="s">
        <v>99</v>
      </c>
      <c r="MBX68" s="148">
        <v>45845</v>
      </c>
      <c r="MBY68" s="143" t="s">
        <v>46</v>
      </c>
      <c r="MBZ68" s="199"/>
      <c r="MCA68" s="149" t="s">
        <v>125</v>
      </c>
      <c r="MCB68" s="197"/>
      <c r="MCC68" s="198"/>
      <c r="MCD68" s="143" t="s">
        <v>22</v>
      </c>
      <c r="MCE68" s="144">
        <v>8150</v>
      </c>
      <c r="MCF68" s="152">
        <v>85</v>
      </c>
      <c r="MCG68" s="153">
        <v>215</v>
      </c>
      <c r="MCH68" s="153">
        <v>75</v>
      </c>
      <c r="MCI68" s="152">
        <v>150</v>
      </c>
      <c r="MCJ68" s="154">
        <f>SUM(MCE68:MCI68)</f>
        <v>8675</v>
      </c>
      <c r="MCK68" s="152">
        <v>200</v>
      </c>
      <c r="MCL68" s="154">
        <f>SUM(MCJ68:MCK68)</f>
        <v>8875</v>
      </c>
      <c r="MCM68" s="147" t="s">
        <v>99</v>
      </c>
      <c r="MCN68" s="148">
        <v>45845</v>
      </c>
      <c r="MCO68" s="143" t="s">
        <v>46</v>
      </c>
      <c r="MCP68" s="199"/>
      <c r="MCQ68" s="149" t="s">
        <v>125</v>
      </c>
      <c r="MCR68" s="197"/>
      <c r="MCS68" s="198"/>
      <c r="MCT68" s="143" t="s">
        <v>22</v>
      </c>
      <c r="MCU68" s="144">
        <v>8150</v>
      </c>
      <c r="MCV68" s="152">
        <v>85</v>
      </c>
      <c r="MCW68" s="153">
        <v>215</v>
      </c>
      <c r="MCX68" s="153">
        <v>75</v>
      </c>
      <c r="MCY68" s="152">
        <v>150</v>
      </c>
      <c r="MCZ68" s="154">
        <f>SUM(MCU68:MCY68)</f>
        <v>8675</v>
      </c>
      <c r="MDA68" s="152">
        <v>200</v>
      </c>
      <c r="MDB68" s="154">
        <f>SUM(MCZ68:MDA68)</f>
        <v>8875</v>
      </c>
      <c r="MDC68" s="147" t="s">
        <v>99</v>
      </c>
      <c r="MDD68" s="148">
        <v>45845</v>
      </c>
      <c r="MDE68" s="143" t="s">
        <v>46</v>
      </c>
      <c r="MDF68" s="199"/>
      <c r="MDG68" s="149" t="s">
        <v>125</v>
      </c>
      <c r="MDH68" s="197"/>
      <c r="MDI68" s="198"/>
      <c r="MDJ68" s="143" t="s">
        <v>22</v>
      </c>
      <c r="MDK68" s="144">
        <v>8150</v>
      </c>
      <c r="MDL68" s="152">
        <v>85</v>
      </c>
      <c r="MDM68" s="153">
        <v>215</v>
      </c>
      <c r="MDN68" s="153">
        <v>75</v>
      </c>
      <c r="MDO68" s="152">
        <v>150</v>
      </c>
      <c r="MDP68" s="154">
        <f>SUM(MDK68:MDO68)</f>
        <v>8675</v>
      </c>
      <c r="MDQ68" s="152">
        <v>200</v>
      </c>
      <c r="MDR68" s="154">
        <f>SUM(MDP68:MDQ68)</f>
        <v>8875</v>
      </c>
      <c r="MDS68" s="147" t="s">
        <v>99</v>
      </c>
      <c r="MDT68" s="148">
        <v>45845</v>
      </c>
      <c r="MDU68" s="143" t="s">
        <v>46</v>
      </c>
      <c r="MDV68" s="199"/>
      <c r="MDW68" s="149" t="s">
        <v>125</v>
      </c>
      <c r="MDX68" s="197"/>
      <c r="MDY68" s="198"/>
      <c r="MDZ68" s="143" t="s">
        <v>22</v>
      </c>
      <c r="MEA68" s="144">
        <v>8150</v>
      </c>
      <c r="MEB68" s="152">
        <v>85</v>
      </c>
      <c r="MEC68" s="153">
        <v>215</v>
      </c>
      <c r="MED68" s="153">
        <v>75</v>
      </c>
      <c r="MEE68" s="152">
        <v>150</v>
      </c>
      <c r="MEF68" s="154">
        <f>SUM(MEA68:MEE68)</f>
        <v>8675</v>
      </c>
      <c r="MEG68" s="152">
        <v>200</v>
      </c>
      <c r="MEH68" s="154">
        <f>SUM(MEF68:MEG68)</f>
        <v>8875</v>
      </c>
      <c r="MEI68" s="147" t="s">
        <v>99</v>
      </c>
      <c r="MEJ68" s="148">
        <v>45845</v>
      </c>
      <c r="MEK68" s="143" t="s">
        <v>46</v>
      </c>
      <c r="MEL68" s="199"/>
      <c r="MEM68" s="149" t="s">
        <v>125</v>
      </c>
      <c r="MEN68" s="197"/>
      <c r="MEO68" s="198"/>
      <c r="MEP68" s="143" t="s">
        <v>22</v>
      </c>
      <c r="MEQ68" s="144">
        <v>8150</v>
      </c>
      <c r="MER68" s="152">
        <v>85</v>
      </c>
      <c r="MES68" s="153">
        <v>215</v>
      </c>
      <c r="MET68" s="153">
        <v>75</v>
      </c>
      <c r="MEU68" s="152">
        <v>150</v>
      </c>
      <c r="MEV68" s="154">
        <f>SUM(MEQ68:MEU68)</f>
        <v>8675</v>
      </c>
      <c r="MEW68" s="152">
        <v>200</v>
      </c>
      <c r="MEX68" s="154">
        <f>SUM(MEV68:MEW68)</f>
        <v>8875</v>
      </c>
      <c r="MEY68" s="147" t="s">
        <v>99</v>
      </c>
      <c r="MEZ68" s="148">
        <v>45845</v>
      </c>
      <c r="MFA68" s="143" t="s">
        <v>46</v>
      </c>
      <c r="MFB68" s="199"/>
      <c r="MFC68" s="149" t="s">
        <v>125</v>
      </c>
      <c r="MFD68" s="197"/>
      <c r="MFE68" s="198"/>
      <c r="MFF68" s="143" t="s">
        <v>22</v>
      </c>
      <c r="MFG68" s="144">
        <v>8150</v>
      </c>
      <c r="MFH68" s="152">
        <v>85</v>
      </c>
      <c r="MFI68" s="153">
        <v>215</v>
      </c>
      <c r="MFJ68" s="153">
        <v>75</v>
      </c>
      <c r="MFK68" s="152">
        <v>150</v>
      </c>
      <c r="MFL68" s="154">
        <f>SUM(MFG68:MFK68)</f>
        <v>8675</v>
      </c>
      <c r="MFM68" s="152">
        <v>200</v>
      </c>
      <c r="MFN68" s="154">
        <f>SUM(MFL68:MFM68)</f>
        <v>8875</v>
      </c>
      <c r="MFO68" s="147" t="s">
        <v>99</v>
      </c>
      <c r="MFP68" s="148">
        <v>45845</v>
      </c>
      <c r="MFQ68" s="143" t="s">
        <v>46</v>
      </c>
      <c r="MFR68" s="199"/>
      <c r="MFS68" s="149" t="s">
        <v>125</v>
      </c>
      <c r="MFT68" s="197"/>
      <c r="MFU68" s="198"/>
      <c r="MFV68" s="143" t="s">
        <v>22</v>
      </c>
      <c r="MFW68" s="144">
        <v>8150</v>
      </c>
      <c r="MFX68" s="152">
        <v>85</v>
      </c>
      <c r="MFY68" s="153">
        <v>215</v>
      </c>
      <c r="MFZ68" s="153">
        <v>75</v>
      </c>
      <c r="MGA68" s="152">
        <v>150</v>
      </c>
      <c r="MGB68" s="154">
        <f>SUM(MFW68:MGA68)</f>
        <v>8675</v>
      </c>
      <c r="MGC68" s="152">
        <v>200</v>
      </c>
      <c r="MGD68" s="154">
        <f>SUM(MGB68:MGC68)</f>
        <v>8875</v>
      </c>
      <c r="MGE68" s="147" t="s">
        <v>99</v>
      </c>
      <c r="MGF68" s="148">
        <v>45845</v>
      </c>
      <c r="MGG68" s="143" t="s">
        <v>46</v>
      </c>
      <c r="MGH68" s="199"/>
      <c r="MGI68" s="149" t="s">
        <v>125</v>
      </c>
      <c r="MGJ68" s="197"/>
      <c r="MGK68" s="198"/>
      <c r="MGL68" s="143" t="s">
        <v>22</v>
      </c>
      <c r="MGM68" s="144">
        <v>8150</v>
      </c>
      <c r="MGN68" s="152">
        <v>85</v>
      </c>
      <c r="MGO68" s="153">
        <v>215</v>
      </c>
      <c r="MGP68" s="153">
        <v>75</v>
      </c>
      <c r="MGQ68" s="152">
        <v>150</v>
      </c>
      <c r="MGR68" s="154">
        <f>SUM(MGM68:MGQ68)</f>
        <v>8675</v>
      </c>
      <c r="MGS68" s="152">
        <v>200</v>
      </c>
      <c r="MGT68" s="154">
        <f>SUM(MGR68:MGS68)</f>
        <v>8875</v>
      </c>
      <c r="MGU68" s="147" t="s">
        <v>99</v>
      </c>
      <c r="MGV68" s="148">
        <v>45845</v>
      </c>
      <c r="MGW68" s="143" t="s">
        <v>46</v>
      </c>
      <c r="MGX68" s="199"/>
      <c r="MGY68" s="149" t="s">
        <v>125</v>
      </c>
      <c r="MGZ68" s="197"/>
      <c r="MHA68" s="198"/>
      <c r="MHB68" s="143" t="s">
        <v>22</v>
      </c>
      <c r="MHC68" s="144">
        <v>8150</v>
      </c>
      <c r="MHD68" s="152">
        <v>85</v>
      </c>
      <c r="MHE68" s="153">
        <v>215</v>
      </c>
      <c r="MHF68" s="153">
        <v>75</v>
      </c>
      <c r="MHG68" s="152">
        <v>150</v>
      </c>
      <c r="MHH68" s="154">
        <f>SUM(MHC68:MHG68)</f>
        <v>8675</v>
      </c>
      <c r="MHI68" s="152">
        <v>200</v>
      </c>
      <c r="MHJ68" s="154">
        <f>SUM(MHH68:MHI68)</f>
        <v>8875</v>
      </c>
      <c r="MHK68" s="147" t="s">
        <v>99</v>
      </c>
      <c r="MHL68" s="148">
        <v>45845</v>
      </c>
      <c r="MHM68" s="143" t="s">
        <v>46</v>
      </c>
      <c r="MHN68" s="199"/>
      <c r="MHO68" s="149" t="s">
        <v>125</v>
      </c>
      <c r="MHP68" s="197"/>
      <c r="MHQ68" s="198"/>
      <c r="MHR68" s="143" t="s">
        <v>22</v>
      </c>
      <c r="MHS68" s="144">
        <v>8150</v>
      </c>
      <c r="MHT68" s="152">
        <v>85</v>
      </c>
      <c r="MHU68" s="153">
        <v>215</v>
      </c>
      <c r="MHV68" s="153">
        <v>75</v>
      </c>
      <c r="MHW68" s="152">
        <v>150</v>
      </c>
      <c r="MHX68" s="154">
        <f>SUM(MHS68:MHW68)</f>
        <v>8675</v>
      </c>
      <c r="MHY68" s="152">
        <v>200</v>
      </c>
      <c r="MHZ68" s="154">
        <f>SUM(MHX68:MHY68)</f>
        <v>8875</v>
      </c>
      <c r="MIA68" s="147" t="s">
        <v>99</v>
      </c>
      <c r="MIB68" s="148">
        <v>45845</v>
      </c>
      <c r="MIC68" s="143" t="s">
        <v>46</v>
      </c>
      <c r="MID68" s="199"/>
      <c r="MIE68" s="149" t="s">
        <v>125</v>
      </c>
      <c r="MIF68" s="197"/>
      <c r="MIG68" s="198"/>
      <c r="MIH68" s="143" t="s">
        <v>22</v>
      </c>
      <c r="MII68" s="144">
        <v>8150</v>
      </c>
      <c r="MIJ68" s="152">
        <v>85</v>
      </c>
      <c r="MIK68" s="153">
        <v>215</v>
      </c>
      <c r="MIL68" s="153">
        <v>75</v>
      </c>
      <c r="MIM68" s="152">
        <v>150</v>
      </c>
      <c r="MIN68" s="154">
        <f>SUM(MII68:MIM68)</f>
        <v>8675</v>
      </c>
      <c r="MIO68" s="152">
        <v>200</v>
      </c>
      <c r="MIP68" s="154">
        <f>SUM(MIN68:MIO68)</f>
        <v>8875</v>
      </c>
      <c r="MIQ68" s="147" t="s">
        <v>99</v>
      </c>
      <c r="MIR68" s="148">
        <v>45845</v>
      </c>
      <c r="MIS68" s="143" t="s">
        <v>46</v>
      </c>
      <c r="MIT68" s="199"/>
      <c r="MIU68" s="149" t="s">
        <v>125</v>
      </c>
      <c r="MIV68" s="197"/>
      <c r="MIW68" s="198"/>
      <c r="MIX68" s="143" t="s">
        <v>22</v>
      </c>
      <c r="MIY68" s="144">
        <v>8150</v>
      </c>
      <c r="MIZ68" s="152">
        <v>85</v>
      </c>
      <c r="MJA68" s="153">
        <v>215</v>
      </c>
      <c r="MJB68" s="153">
        <v>75</v>
      </c>
      <c r="MJC68" s="152">
        <v>150</v>
      </c>
      <c r="MJD68" s="154">
        <f>SUM(MIY68:MJC68)</f>
        <v>8675</v>
      </c>
      <c r="MJE68" s="152">
        <v>200</v>
      </c>
      <c r="MJF68" s="154">
        <f>SUM(MJD68:MJE68)</f>
        <v>8875</v>
      </c>
      <c r="MJG68" s="147" t="s">
        <v>99</v>
      </c>
      <c r="MJH68" s="148">
        <v>45845</v>
      </c>
      <c r="MJI68" s="143" t="s">
        <v>46</v>
      </c>
      <c r="MJJ68" s="199"/>
      <c r="MJK68" s="149" t="s">
        <v>125</v>
      </c>
      <c r="MJL68" s="197"/>
      <c r="MJM68" s="198"/>
      <c r="MJN68" s="143" t="s">
        <v>22</v>
      </c>
      <c r="MJO68" s="144">
        <v>8150</v>
      </c>
      <c r="MJP68" s="152">
        <v>85</v>
      </c>
      <c r="MJQ68" s="153">
        <v>215</v>
      </c>
      <c r="MJR68" s="153">
        <v>75</v>
      </c>
      <c r="MJS68" s="152">
        <v>150</v>
      </c>
      <c r="MJT68" s="154">
        <f>SUM(MJO68:MJS68)</f>
        <v>8675</v>
      </c>
      <c r="MJU68" s="152">
        <v>200</v>
      </c>
      <c r="MJV68" s="154">
        <f>SUM(MJT68:MJU68)</f>
        <v>8875</v>
      </c>
      <c r="MJW68" s="147" t="s">
        <v>99</v>
      </c>
      <c r="MJX68" s="148">
        <v>45845</v>
      </c>
      <c r="MJY68" s="143" t="s">
        <v>46</v>
      </c>
      <c r="MJZ68" s="199"/>
      <c r="MKA68" s="149" t="s">
        <v>125</v>
      </c>
      <c r="MKB68" s="197"/>
      <c r="MKC68" s="198"/>
      <c r="MKD68" s="143" t="s">
        <v>22</v>
      </c>
      <c r="MKE68" s="144">
        <v>8150</v>
      </c>
      <c r="MKF68" s="152">
        <v>85</v>
      </c>
      <c r="MKG68" s="153">
        <v>215</v>
      </c>
      <c r="MKH68" s="153">
        <v>75</v>
      </c>
      <c r="MKI68" s="152">
        <v>150</v>
      </c>
      <c r="MKJ68" s="154">
        <f>SUM(MKE68:MKI68)</f>
        <v>8675</v>
      </c>
      <c r="MKK68" s="152">
        <v>200</v>
      </c>
      <c r="MKL68" s="154">
        <f>SUM(MKJ68:MKK68)</f>
        <v>8875</v>
      </c>
      <c r="MKM68" s="147" t="s">
        <v>99</v>
      </c>
      <c r="MKN68" s="148">
        <v>45845</v>
      </c>
      <c r="MKO68" s="143" t="s">
        <v>46</v>
      </c>
      <c r="MKP68" s="199"/>
      <c r="MKQ68" s="149" t="s">
        <v>125</v>
      </c>
      <c r="MKR68" s="197"/>
      <c r="MKS68" s="198"/>
      <c r="MKT68" s="143" t="s">
        <v>22</v>
      </c>
      <c r="MKU68" s="144">
        <v>8150</v>
      </c>
      <c r="MKV68" s="152">
        <v>85</v>
      </c>
      <c r="MKW68" s="153">
        <v>215</v>
      </c>
      <c r="MKX68" s="153">
        <v>75</v>
      </c>
      <c r="MKY68" s="152">
        <v>150</v>
      </c>
      <c r="MKZ68" s="154">
        <f>SUM(MKU68:MKY68)</f>
        <v>8675</v>
      </c>
      <c r="MLA68" s="152">
        <v>200</v>
      </c>
      <c r="MLB68" s="154">
        <f>SUM(MKZ68:MLA68)</f>
        <v>8875</v>
      </c>
      <c r="MLC68" s="147" t="s">
        <v>99</v>
      </c>
      <c r="MLD68" s="148">
        <v>45845</v>
      </c>
      <c r="MLE68" s="143" t="s">
        <v>46</v>
      </c>
      <c r="MLF68" s="199"/>
      <c r="MLG68" s="149" t="s">
        <v>125</v>
      </c>
      <c r="MLH68" s="197"/>
      <c r="MLI68" s="198"/>
      <c r="MLJ68" s="143" t="s">
        <v>22</v>
      </c>
      <c r="MLK68" s="144">
        <v>8150</v>
      </c>
      <c r="MLL68" s="152">
        <v>85</v>
      </c>
      <c r="MLM68" s="153">
        <v>215</v>
      </c>
      <c r="MLN68" s="153">
        <v>75</v>
      </c>
      <c r="MLO68" s="152">
        <v>150</v>
      </c>
      <c r="MLP68" s="154">
        <f>SUM(MLK68:MLO68)</f>
        <v>8675</v>
      </c>
      <c r="MLQ68" s="152">
        <v>200</v>
      </c>
      <c r="MLR68" s="154">
        <f>SUM(MLP68:MLQ68)</f>
        <v>8875</v>
      </c>
      <c r="MLS68" s="147" t="s">
        <v>99</v>
      </c>
      <c r="MLT68" s="148">
        <v>45845</v>
      </c>
      <c r="MLU68" s="143" t="s">
        <v>46</v>
      </c>
      <c r="MLV68" s="199"/>
      <c r="MLW68" s="149" t="s">
        <v>125</v>
      </c>
      <c r="MLX68" s="197"/>
      <c r="MLY68" s="198"/>
      <c r="MLZ68" s="143" t="s">
        <v>22</v>
      </c>
      <c r="MMA68" s="144">
        <v>8150</v>
      </c>
      <c r="MMB68" s="152">
        <v>85</v>
      </c>
      <c r="MMC68" s="153">
        <v>215</v>
      </c>
      <c r="MMD68" s="153">
        <v>75</v>
      </c>
      <c r="MME68" s="152">
        <v>150</v>
      </c>
      <c r="MMF68" s="154">
        <f>SUM(MMA68:MME68)</f>
        <v>8675</v>
      </c>
      <c r="MMG68" s="152">
        <v>200</v>
      </c>
      <c r="MMH68" s="154">
        <f>SUM(MMF68:MMG68)</f>
        <v>8875</v>
      </c>
      <c r="MMI68" s="147" t="s">
        <v>99</v>
      </c>
      <c r="MMJ68" s="148">
        <v>45845</v>
      </c>
      <c r="MMK68" s="143" t="s">
        <v>46</v>
      </c>
      <c r="MML68" s="199"/>
      <c r="MMM68" s="149" t="s">
        <v>125</v>
      </c>
      <c r="MMN68" s="197"/>
      <c r="MMO68" s="198"/>
      <c r="MMP68" s="143" t="s">
        <v>22</v>
      </c>
      <c r="MMQ68" s="144">
        <v>8150</v>
      </c>
      <c r="MMR68" s="152">
        <v>85</v>
      </c>
      <c r="MMS68" s="153">
        <v>215</v>
      </c>
      <c r="MMT68" s="153">
        <v>75</v>
      </c>
      <c r="MMU68" s="152">
        <v>150</v>
      </c>
      <c r="MMV68" s="154">
        <f>SUM(MMQ68:MMU68)</f>
        <v>8675</v>
      </c>
      <c r="MMW68" s="152">
        <v>200</v>
      </c>
      <c r="MMX68" s="154">
        <f>SUM(MMV68:MMW68)</f>
        <v>8875</v>
      </c>
      <c r="MMY68" s="147" t="s">
        <v>99</v>
      </c>
      <c r="MMZ68" s="148">
        <v>45845</v>
      </c>
      <c r="MNA68" s="143" t="s">
        <v>46</v>
      </c>
      <c r="MNB68" s="199"/>
      <c r="MNC68" s="149" t="s">
        <v>125</v>
      </c>
      <c r="MND68" s="197"/>
      <c r="MNE68" s="198"/>
      <c r="MNF68" s="143" t="s">
        <v>22</v>
      </c>
      <c r="MNG68" s="144">
        <v>8150</v>
      </c>
      <c r="MNH68" s="152">
        <v>85</v>
      </c>
      <c r="MNI68" s="153">
        <v>215</v>
      </c>
      <c r="MNJ68" s="153">
        <v>75</v>
      </c>
      <c r="MNK68" s="152">
        <v>150</v>
      </c>
      <c r="MNL68" s="154">
        <f>SUM(MNG68:MNK68)</f>
        <v>8675</v>
      </c>
      <c r="MNM68" s="152">
        <v>200</v>
      </c>
      <c r="MNN68" s="154">
        <f>SUM(MNL68:MNM68)</f>
        <v>8875</v>
      </c>
      <c r="MNO68" s="147" t="s">
        <v>99</v>
      </c>
      <c r="MNP68" s="148">
        <v>45845</v>
      </c>
      <c r="MNQ68" s="143" t="s">
        <v>46</v>
      </c>
      <c r="MNR68" s="199"/>
      <c r="MNS68" s="149" t="s">
        <v>125</v>
      </c>
      <c r="MNT68" s="197"/>
      <c r="MNU68" s="198"/>
      <c r="MNV68" s="143" t="s">
        <v>22</v>
      </c>
      <c r="MNW68" s="144">
        <v>8150</v>
      </c>
      <c r="MNX68" s="152">
        <v>85</v>
      </c>
      <c r="MNY68" s="153">
        <v>215</v>
      </c>
      <c r="MNZ68" s="153">
        <v>75</v>
      </c>
      <c r="MOA68" s="152">
        <v>150</v>
      </c>
      <c r="MOB68" s="154">
        <f>SUM(MNW68:MOA68)</f>
        <v>8675</v>
      </c>
      <c r="MOC68" s="152">
        <v>200</v>
      </c>
      <c r="MOD68" s="154">
        <f>SUM(MOB68:MOC68)</f>
        <v>8875</v>
      </c>
      <c r="MOE68" s="147" t="s">
        <v>99</v>
      </c>
      <c r="MOF68" s="148">
        <v>45845</v>
      </c>
      <c r="MOG68" s="143" t="s">
        <v>46</v>
      </c>
      <c r="MOH68" s="199"/>
      <c r="MOI68" s="149" t="s">
        <v>125</v>
      </c>
      <c r="MOJ68" s="197"/>
      <c r="MOK68" s="198"/>
      <c r="MOL68" s="143" t="s">
        <v>22</v>
      </c>
      <c r="MOM68" s="144">
        <v>8150</v>
      </c>
      <c r="MON68" s="152">
        <v>85</v>
      </c>
      <c r="MOO68" s="153">
        <v>215</v>
      </c>
      <c r="MOP68" s="153">
        <v>75</v>
      </c>
      <c r="MOQ68" s="152">
        <v>150</v>
      </c>
      <c r="MOR68" s="154">
        <f>SUM(MOM68:MOQ68)</f>
        <v>8675</v>
      </c>
      <c r="MOS68" s="152">
        <v>200</v>
      </c>
      <c r="MOT68" s="154">
        <f>SUM(MOR68:MOS68)</f>
        <v>8875</v>
      </c>
      <c r="MOU68" s="147" t="s">
        <v>99</v>
      </c>
      <c r="MOV68" s="148">
        <v>45845</v>
      </c>
      <c r="MOW68" s="143" t="s">
        <v>46</v>
      </c>
      <c r="MOX68" s="199"/>
      <c r="MOY68" s="149" t="s">
        <v>125</v>
      </c>
      <c r="MOZ68" s="197"/>
      <c r="MPA68" s="198"/>
      <c r="MPB68" s="143" t="s">
        <v>22</v>
      </c>
      <c r="MPC68" s="144">
        <v>8150</v>
      </c>
      <c r="MPD68" s="152">
        <v>85</v>
      </c>
      <c r="MPE68" s="153">
        <v>215</v>
      </c>
      <c r="MPF68" s="153">
        <v>75</v>
      </c>
      <c r="MPG68" s="152">
        <v>150</v>
      </c>
      <c r="MPH68" s="154">
        <f>SUM(MPC68:MPG68)</f>
        <v>8675</v>
      </c>
      <c r="MPI68" s="152">
        <v>200</v>
      </c>
      <c r="MPJ68" s="154">
        <f>SUM(MPH68:MPI68)</f>
        <v>8875</v>
      </c>
      <c r="MPK68" s="147" t="s">
        <v>99</v>
      </c>
      <c r="MPL68" s="148">
        <v>45845</v>
      </c>
      <c r="MPM68" s="143" t="s">
        <v>46</v>
      </c>
      <c r="MPN68" s="199"/>
      <c r="MPO68" s="149" t="s">
        <v>125</v>
      </c>
      <c r="MPP68" s="197"/>
      <c r="MPQ68" s="198"/>
      <c r="MPR68" s="143" t="s">
        <v>22</v>
      </c>
      <c r="MPS68" s="144">
        <v>8150</v>
      </c>
      <c r="MPT68" s="152">
        <v>85</v>
      </c>
      <c r="MPU68" s="153">
        <v>215</v>
      </c>
      <c r="MPV68" s="153">
        <v>75</v>
      </c>
      <c r="MPW68" s="152">
        <v>150</v>
      </c>
      <c r="MPX68" s="154">
        <f>SUM(MPS68:MPW68)</f>
        <v>8675</v>
      </c>
      <c r="MPY68" s="152">
        <v>200</v>
      </c>
      <c r="MPZ68" s="154">
        <f>SUM(MPX68:MPY68)</f>
        <v>8875</v>
      </c>
      <c r="MQA68" s="147" t="s">
        <v>99</v>
      </c>
      <c r="MQB68" s="148">
        <v>45845</v>
      </c>
      <c r="MQC68" s="143" t="s">
        <v>46</v>
      </c>
      <c r="MQD68" s="199"/>
      <c r="MQE68" s="149" t="s">
        <v>125</v>
      </c>
      <c r="MQF68" s="197"/>
      <c r="MQG68" s="198"/>
      <c r="MQH68" s="143" t="s">
        <v>22</v>
      </c>
      <c r="MQI68" s="144">
        <v>8150</v>
      </c>
      <c r="MQJ68" s="152">
        <v>85</v>
      </c>
      <c r="MQK68" s="153">
        <v>215</v>
      </c>
      <c r="MQL68" s="153">
        <v>75</v>
      </c>
      <c r="MQM68" s="152">
        <v>150</v>
      </c>
      <c r="MQN68" s="154">
        <f>SUM(MQI68:MQM68)</f>
        <v>8675</v>
      </c>
      <c r="MQO68" s="152">
        <v>200</v>
      </c>
      <c r="MQP68" s="154">
        <f>SUM(MQN68:MQO68)</f>
        <v>8875</v>
      </c>
      <c r="MQQ68" s="147" t="s">
        <v>99</v>
      </c>
      <c r="MQR68" s="148">
        <v>45845</v>
      </c>
      <c r="MQS68" s="143" t="s">
        <v>46</v>
      </c>
      <c r="MQT68" s="199"/>
      <c r="MQU68" s="149" t="s">
        <v>125</v>
      </c>
      <c r="MQV68" s="197"/>
      <c r="MQW68" s="198"/>
      <c r="MQX68" s="143" t="s">
        <v>22</v>
      </c>
      <c r="MQY68" s="144">
        <v>8150</v>
      </c>
      <c r="MQZ68" s="152">
        <v>85</v>
      </c>
      <c r="MRA68" s="153">
        <v>215</v>
      </c>
      <c r="MRB68" s="153">
        <v>75</v>
      </c>
      <c r="MRC68" s="152">
        <v>150</v>
      </c>
      <c r="MRD68" s="154">
        <f>SUM(MQY68:MRC68)</f>
        <v>8675</v>
      </c>
      <c r="MRE68" s="152">
        <v>200</v>
      </c>
      <c r="MRF68" s="154">
        <f>SUM(MRD68:MRE68)</f>
        <v>8875</v>
      </c>
      <c r="MRG68" s="147" t="s">
        <v>99</v>
      </c>
      <c r="MRH68" s="148">
        <v>45845</v>
      </c>
      <c r="MRI68" s="143" t="s">
        <v>46</v>
      </c>
      <c r="MRJ68" s="199"/>
      <c r="MRK68" s="149" t="s">
        <v>125</v>
      </c>
      <c r="MRL68" s="197"/>
      <c r="MRM68" s="198"/>
      <c r="MRN68" s="143" t="s">
        <v>22</v>
      </c>
      <c r="MRO68" s="144">
        <v>8150</v>
      </c>
      <c r="MRP68" s="152">
        <v>85</v>
      </c>
      <c r="MRQ68" s="153">
        <v>215</v>
      </c>
      <c r="MRR68" s="153">
        <v>75</v>
      </c>
      <c r="MRS68" s="152">
        <v>150</v>
      </c>
      <c r="MRT68" s="154">
        <f>SUM(MRO68:MRS68)</f>
        <v>8675</v>
      </c>
      <c r="MRU68" s="152">
        <v>200</v>
      </c>
      <c r="MRV68" s="154">
        <f>SUM(MRT68:MRU68)</f>
        <v>8875</v>
      </c>
      <c r="MRW68" s="147" t="s">
        <v>99</v>
      </c>
      <c r="MRX68" s="148">
        <v>45845</v>
      </c>
      <c r="MRY68" s="143" t="s">
        <v>46</v>
      </c>
      <c r="MRZ68" s="199"/>
      <c r="MSA68" s="149" t="s">
        <v>125</v>
      </c>
      <c r="MSB68" s="197"/>
      <c r="MSC68" s="198"/>
      <c r="MSD68" s="143" t="s">
        <v>22</v>
      </c>
      <c r="MSE68" s="144">
        <v>8150</v>
      </c>
      <c r="MSF68" s="152">
        <v>85</v>
      </c>
      <c r="MSG68" s="153">
        <v>215</v>
      </c>
      <c r="MSH68" s="153">
        <v>75</v>
      </c>
      <c r="MSI68" s="152">
        <v>150</v>
      </c>
      <c r="MSJ68" s="154">
        <f>SUM(MSE68:MSI68)</f>
        <v>8675</v>
      </c>
      <c r="MSK68" s="152">
        <v>200</v>
      </c>
      <c r="MSL68" s="154">
        <f>SUM(MSJ68:MSK68)</f>
        <v>8875</v>
      </c>
      <c r="MSM68" s="147" t="s">
        <v>99</v>
      </c>
      <c r="MSN68" s="148">
        <v>45845</v>
      </c>
      <c r="MSO68" s="143" t="s">
        <v>46</v>
      </c>
      <c r="MSP68" s="199"/>
      <c r="MSQ68" s="149" t="s">
        <v>125</v>
      </c>
      <c r="MSR68" s="197"/>
      <c r="MSS68" s="198"/>
      <c r="MST68" s="143" t="s">
        <v>22</v>
      </c>
      <c r="MSU68" s="144">
        <v>8150</v>
      </c>
      <c r="MSV68" s="152">
        <v>85</v>
      </c>
      <c r="MSW68" s="153">
        <v>215</v>
      </c>
      <c r="MSX68" s="153">
        <v>75</v>
      </c>
      <c r="MSY68" s="152">
        <v>150</v>
      </c>
      <c r="MSZ68" s="154">
        <f>SUM(MSU68:MSY68)</f>
        <v>8675</v>
      </c>
      <c r="MTA68" s="152">
        <v>200</v>
      </c>
      <c r="MTB68" s="154">
        <f>SUM(MSZ68:MTA68)</f>
        <v>8875</v>
      </c>
      <c r="MTC68" s="147" t="s">
        <v>99</v>
      </c>
      <c r="MTD68" s="148">
        <v>45845</v>
      </c>
      <c r="MTE68" s="143" t="s">
        <v>46</v>
      </c>
      <c r="MTF68" s="199"/>
      <c r="MTG68" s="149" t="s">
        <v>125</v>
      </c>
      <c r="MTH68" s="197"/>
      <c r="MTI68" s="198"/>
      <c r="MTJ68" s="143" t="s">
        <v>22</v>
      </c>
      <c r="MTK68" s="144">
        <v>8150</v>
      </c>
      <c r="MTL68" s="152">
        <v>85</v>
      </c>
      <c r="MTM68" s="153">
        <v>215</v>
      </c>
      <c r="MTN68" s="153">
        <v>75</v>
      </c>
      <c r="MTO68" s="152">
        <v>150</v>
      </c>
      <c r="MTP68" s="154">
        <f>SUM(MTK68:MTO68)</f>
        <v>8675</v>
      </c>
      <c r="MTQ68" s="152">
        <v>200</v>
      </c>
      <c r="MTR68" s="154">
        <f>SUM(MTP68:MTQ68)</f>
        <v>8875</v>
      </c>
      <c r="MTS68" s="147" t="s">
        <v>99</v>
      </c>
      <c r="MTT68" s="148">
        <v>45845</v>
      </c>
      <c r="MTU68" s="143" t="s">
        <v>46</v>
      </c>
      <c r="MTV68" s="199"/>
      <c r="MTW68" s="149" t="s">
        <v>125</v>
      </c>
      <c r="MTX68" s="197"/>
      <c r="MTY68" s="198"/>
      <c r="MTZ68" s="143" t="s">
        <v>22</v>
      </c>
      <c r="MUA68" s="144">
        <v>8150</v>
      </c>
      <c r="MUB68" s="152">
        <v>85</v>
      </c>
      <c r="MUC68" s="153">
        <v>215</v>
      </c>
      <c r="MUD68" s="153">
        <v>75</v>
      </c>
      <c r="MUE68" s="152">
        <v>150</v>
      </c>
      <c r="MUF68" s="154">
        <f>SUM(MUA68:MUE68)</f>
        <v>8675</v>
      </c>
      <c r="MUG68" s="152">
        <v>200</v>
      </c>
      <c r="MUH68" s="154">
        <f>SUM(MUF68:MUG68)</f>
        <v>8875</v>
      </c>
      <c r="MUI68" s="147" t="s">
        <v>99</v>
      </c>
      <c r="MUJ68" s="148">
        <v>45845</v>
      </c>
      <c r="MUK68" s="143" t="s">
        <v>46</v>
      </c>
      <c r="MUL68" s="199"/>
      <c r="MUM68" s="149" t="s">
        <v>125</v>
      </c>
      <c r="MUN68" s="197"/>
      <c r="MUO68" s="198"/>
      <c r="MUP68" s="143" t="s">
        <v>22</v>
      </c>
      <c r="MUQ68" s="144">
        <v>8150</v>
      </c>
      <c r="MUR68" s="152">
        <v>85</v>
      </c>
      <c r="MUS68" s="153">
        <v>215</v>
      </c>
      <c r="MUT68" s="153">
        <v>75</v>
      </c>
      <c r="MUU68" s="152">
        <v>150</v>
      </c>
      <c r="MUV68" s="154">
        <f>SUM(MUQ68:MUU68)</f>
        <v>8675</v>
      </c>
      <c r="MUW68" s="152">
        <v>200</v>
      </c>
      <c r="MUX68" s="154">
        <f>SUM(MUV68:MUW68)</f>
        <v>8875</v>
      </c>
      <c r="MUY68" s="147" t="s">
        <v>99</v>
      </c>
      <c r="MUZ68" s="148">
        <v>45845</v>
      </c>
      <c r="MVA68" s="143" t="s">
        <v>46</v>
      </c>
      <c r="MVB68" s="199"/>
      <c r="MVC68" s="149" t="s">
        <v>125</v>
      </c>
      <c r="MVD68" s="197"/>
      <c r="MVE68" s="198"/>
      <c r="MVF68" s="143" t="s">
        <v>22</v>
      </c>
      <c r="MVG68" s="144">
        <v>8150</v>
      </c>
      <c r="MVH68" s="152">
        <v>85</v>
      </c>
      <c r="MVI68" s="153">
        <v>215</v>
      </c>
      <c r="MVJ68" s="153">
        <v>75</v>
      </c>
      <c r="MVK68" s="152">
        <v>150</v>
      </c>
      <c r="MVL68" s="154">
        <f>SUM(MVG68:MVK68)</f>
        <v>8675</v>
      </c>
      <c r="MVM68" s="152">
        <v>200</v>
      </c>
      <c r="MVN68" s="154">
        <f>SUM(MVL68:MVM68)</f>
        <v>8875</v>
      </c>
      <c r="MVO68" s="147" t="s">
        <v>99</v>
      </c>
      <c r="MVP68" s="148">
        <v>45845</v>
      </c>
      <c r="MVQ68" s="143" t="s">
        <v>46</v>
      </c>
      <c r="MVR68" s="199"/>
      <c r="MVS68" s="149" t="s">
        <v>125</v>
      </c>
      <c r="MVT68" s="197"/>
      <c r="MVU68" s="198"/>
      <c r="MVV68" s="143" t="s">
        <v>22</v>
      </c>
      <c r="MVW68" s="144">
        <v>8150</v>
      </c>
      <c r="MVX68" s="152">
        <v>85</v>
      </c>
      <c r="MVY68" s="153">
        <v>215</v>
      </c>
      <c r="MVZ68" s="153">
        <v>75</v>
      </c>
      <c r="MWA68" s="152">
        <v>150</v>
      </c>
      <c r="MWB68" s="154">
        <f>SUM(MVW68:MWA68)</f>
        <v>8675</v>
      </c>
      <c r="MWC68" s="152">
        <v>200</v>
      </c>
      <c r="MWD68" s="154">
        <f>SUM(MWB68:MWC68)</f>
        <v>8875</v>
      </c>
      <c r="MWE68" s="147" t="s">
        <v>99</v>
      </c>
      <c r="MWF68" s="148">
        <v>45845</v>
      </c>
      <c r="MWG68" s="143" t="s">
        <v>46</v>
      </c>
      <c r="MWH68" s="199"/>
      <c r="MWI68" s="149" t="s">
        <v>125</v>
      </c>
      <c r="MWJ68" s="197"/>
      <c r="MWK68" s="198"/>
      <c r="MWL68" s="143" t="s">
        <v>22</v>
      </c>
      <c r="MWM68" s="144">
        <v>8150</v>
      </c>
      <c r="MWN68" s="152">
        <v>85</v>
      </c>
      <c r="MWO68" s="153">
        <v>215</v>
      </c>
      <c r="MWP68" s="153">
        <v>75</v>
      </c>
      <c r="MWQ68" s="152">
        <v>150</v>
      </c>
      <c r="MWR68" s="154">
        <f>SUM(MWM68:MWQ68)</f>
        <v>8675</v>
      </c>
      <c r="MWS68" s="152">
        <v>200</v>
      </c>
      <c r="MWT68" s="154">
        <f>SUM(MWR68:MWS68)</f>
        <v>8875</v>
      </c>
      <c r="MWU68" s="147" t="s">
        <v>99</v>
      </c>
      <c r="MWV68" s="148">
        <v>45845</v>
      </c>
      <c r="MWW68" s="143" t="s">
        <v>46</v>
      </c>
      <c r="MWX68" s="199"/>
      <c r="MWY68" s="149" t="s">
        <v>125</v>
      </c>
      <c r="MWZ68" s="197"/>
      <c r="MXA68" s="198"/>
      <c r="MXB68" s="143" t="s">
        <v>22</v>
      </c>
      <c r="MXC68" s="144">
        <v>8150</v>
      </c>
      <c r="MXD68" s="152">
        <v>85</v>
      </c>
      <c r="MXE68" s="153">
        <v>215</v>
      </c>
      <c r="MXF68" s="153">
        <v>75</v>
      </c>
      <c r="MXG68" s="152">
        <v>150</v>
      </c>
      <c r="MXH68" s="154">
        <f>SUM(MXC68:MXG68)</f>
        <v>8675</v>
      </c>
      <c r="MXI68" s="152">
        <v>200</v>
      </c>
      <c r="MXJ68" s="154">
        <f>SUM(MXH68:MXI68)</f>
        <v>8875</v>
      </c>
      <c r="MXK68" s="147" t="s">
        <v>99</v>
      </c>
      <c r="MXL68" s="148">
        <v>45845</v>
      </c>
      <c r="MXM68" s="143" t="s">
        <v>46</v>
      </c>
      <c r="MXN68" s="199"/>
      <c r="MXO68" s="149" t="s">
        <v>125</v>
      </c>
      <c r="MXP68" s="197"/>
      <c r="MXQ68" s="198"/>
      <c r="MXR68" s="143" t="s">
        <v>22</v>
      </c>
      <c r="MXS68" s="144">
        <v>8150</v>
      </c>
      <c r="MXT68" s="152">
        <v>85</v>
      </c>
      <c r="MXU68" s="153">
        <v>215</v>
      </c>
      <c r="MXV68" s="153">
        <v>75</v>
      </c>
      <c r="MXW68" s="152">
        <v>150</v>
      </c>
      <c r="MXX68" s="154">
        <f>SUM(MXS68:MXW68)</f>
        <v>8675</v>
      </c>
      <c r="MXY68" s="152">
        <v>200</v>
      </c>
      <c r="MXZ68" s="154">
        <f>SUM(MXX68:MXY68)</f>
        <v>8875</v>
      </c>
      <c r="MYA68" s="147" t="s">
        <v>99</v>
      </c>
      <c r="MYB68" s="148">
        <v>45845</v>
      </c>
      <c r="MYC68" s="143" t="s">
        <v>46</v>
      </c>
      <c r="MYD68" s="199"/>
      <c r="MYE68" s="149" t="s">
        <v>125</v>
      </c>
      <c r="MYF68" s="197"/>
      <c r="MYG68" s="198"/>
      <c r="MYH68" s="143" t="s">
        <v>22</v>
      </c>
      <c r="MYI68" s="144">
        <v>8150</v>
      </c>
      <c r="MYJ68" s="152">
        <v>85</v>
      </c>
      <c r="MYK68" s="153">
        <v>215</v>
      </c>
      <c r="MYL68" s="153">
        <v>75</v>
      </c>
      <c r="MYM68" s="152">
        <v>150</v>
      </c>
      <c r="MYN68" s="154">
        <f>SUM(MYI68:MYM68)</f>
        <v>8675</v>
      </c>
      <c r="MYO68" s="152">
        <v>200</v>
      </c>
      <c r="MYP68" s="154">
        <f>SUM(MYN68:MYO68)</f>
        <v>8875</v>
      </c>
      <c r="MYQ68" s="147" t="s">
        <v>99</v>
      </c>
      <c r="MYR68" s="148">
        <v>45845</v>
      </c>
      <c r="MYS68" s="143" t="s">
        <v>46</v>
      </c>
      <c r="MYT68" s="199"/>
      <c r="MYU68" s="149" t="s">
        <v>125</v>
      </c>
      <c r="MYV68" s="197"/>
      <c r="MYW68" s="198"/>
      <c r="MYX68" s="143" t="s">
        <v>22</v>
      </c>
      <c r="MYY68" s="144">
        <v>8150</v>
      </c>
      <c r="MYZ68" s="152">
        <v>85</v>
      </c>
      <c r="MZA68" s="153">
        <v>215</v>
      </c>
      <c r="MZB68" s="153">
        <v>75</v>
      </c>
      <c r="MZC68" s="152">
        <v>150</v>
      </c>
      <c r="MZD68" s="154">
        <f>SUM(MYY68:MZC68)</f>
        <v>8675</v>
      </c>
      <c r="MZE68" s="152">
        <v>200</v>
      </c>
      <c r="MZF68" s="154">
        <f>SUM(MZD68:MZE68)</f>
        <v>8875</v>
      </c>
      <c r="MZG68" s="147" t="s">
        <v>99</v>
      </c>
      <c r="MZH68" s="148">
        <v>45845</v>
      </c>
      <c r="MZI68" s="143" t="s">
        <v>46</v>
      </c>
      <c r="MZJ68" s="199"/>
      <c r="MZK68" s="149" t="s">
        <v>125</v>
      </c>
      <c r="MZL68" s="197"/>
      <c r="MZM68" s="198"/>
      <c r="MZN68" s="143" t="s">
        <v>22</v>
      </c>
      <c r="MZO68" s="144">
        <v>8150</v>
      </c>
      <c r="MZP68" s="152">
        <v>85</v>
      </c>
      <c r="MZQ68" s="153">
        <v>215</v>
      </c>
      <c r="MZR68" s="153">
        <v>75</v>
      </c>
      <c r="MZS68" s="152">
        <v>150</v>
      </c>
      <c r="MZT68" s="154">
        <f>SUM(MZO68:MZS68)</f>
        <v>8675</v>
      </c>
      <c r="MZU68" s="152">
        <v>200</v>
      </c>
      <c r="MZV68" s="154">
        <f>SUM(MZT68:MZU68)</f>
        <v>8875</v>
      </c>
      <c r="MZW68" s="147" t="s">
        <v>99</v>
      </c>
      <c r="MZX68" s="148">
        <v>45845</v>
      </c>
      <c r="MZY68" s="143" t="s">
        <v>46</v>
      </c>
      <c r="MZZ68" s="199"/>
      <c r="NAA68" s="149" t="s">
        <v>125</v>
      </c>
      <c r="NAB68" s="197"/>
      <c r="NAC68" s="198"/>
      <c r="NAD68" s="143" t="s">
        <v>22</v>
      </c>
      <c r="NAE68" s="144">
        <v>8150</v>
      </c>
      <c r="NAF68" s="152">
        <v>85</v>
      </c>
      <c r="NAG68" s="153">
        <v>215</v>
      </c>
      <c r="NAH68" s="153">
        <v>75</v>
      </c>
      <c r="NAI68" s="152">
        <v>150</v>
      </c>
      <c r="NAJ68" s="154">
        <f>SUM(NAE68:NAI68)</f>
        <v>8675</v>
      </c>
      <c r="NAK68" s="152">
        <v>200</v>
      </c>
      <c r="NAL68" s="154">
        <f>SUM(NAJ68:NAK68)</f>
        <v>8875</v>
      </c>
      <c r="NAM68" s="147" t="s">
        <v>99</v>
      </c>
      <c r="NAN68" s="148">
        <v>45845</v>
      </c>
      <c r="NAO68" s="143" t="s">
        <v>46</v>
      </c>
      <c r="NAP68" s="199"/>
      <c r="NAQ68" s="149" t="s">
        <v>125</v>
      </c>
      <c r="NAR68" s="197"/>
      <c r="NAS68" s="198"/>
      <c r="NAT68" s="143" t="s">
        <v>22</v>
      </c>
      <c r="NAU68" s="144">
        <v>8150</v>
      </c>
      <c r="NAV68" s="152">
        <v>85</v>
      </c>
      <c r="NAW68" s="153">
        <v>215</v>
      </c>
      <c r="NAX68" s="153">
        <v>75</v>
      </c>
      <c r="NAY68" s="152">
        <v>150</v>
      </c>
      <c r="NAZ68" s="154">
        <f>SUM(NAU68:NAY68)</f>
        <v>8675</v>
      </c>
      <c r="NBA68" s="152">
        <v>200</v>
      </c>
      <c r="NBB68" s="154">
        <f>SUM(NAZ68:NBA68)</f>
        <v>8875</v>
      </c>
      <c r="NBC68" s="147" t="s">
        <v>99</v>
      </c>
      <c r="NBD68" s="148">
        <v>45845</v>
      </c>
      <c r="NBE68" s="143" t="s">
        <v>46</v>
      </c>
      <c r="NBF68" s="199"/>
      <c r="NBG68" s="149" t="s">
        <v>125</v>
      </c>
      <c r="NBH68" s="197"/>
      <c r="NBI68" s="198"/>
      <c r="NBJ68" s="143" t="s">
        <v>22</v>
      </c>
      <c r="NBK68" s="144">
        <v>8150</v>
      </c>
      <c r="NBL68" s="152">
        <v>85</v>
      </c>
      <c r="NBM68" s="153">
        <v>215</v>
      </c>
      <c r="NBN68" s="153">
        <v>75</v>
      </c>
      <c r="NBO68" s="152">
        <v>150</v>
      </c>
      <c r="NBP68" s="154">
        <f>SUM(NBK68:NBO68)</f>
        <v>8675</v>
      </c>
      <c r="NBQ68" s="152">
        <v>200</v>
      </c>
      <c r="NBR68" s="154">
        <f>SUM(NBP68:NBQ68)</f>
        <v>8875</v>
      </c>
      <c r="NBS68" s="147" t="s">
        <v>99</v>
      </c>
      <c r="NBT68" s="148">
        <v>45845</v>
      </c>
      <c r="NBU68" s="143" t="s">
        <v>46</v>
      </c>
      <c r="NBV68" s="199"/>
      <c r="NBW68" s="149" t="s">
        <v>125</v>
      </c>
      <c r="NBX68" s="197"/>
      <c r="NBY68" s="198"/>
      <c r="NBZ68" s="143" t="s">
        <v>22</v>
      </c>
      <c r="NCA68" s="144">
        <v>8150</v>
      </c>
      <c r="NCB68" s="152">
        <v>85</v>
      </c>
      <c r="NCC68" s="153">
        <v>215</v>
      </c>
      <c r="NCD68" s="153">
        <v>75</v>
      </c>
      <c r="NCE68" s="152">
        <v>150</v>
      </c>
      <c r="NCF68" s="154">
        <f>SUM(NCA68:NCE68)</f>
        <v>8675</v>
      </c>
      <c r="NCG68" s="152">
        <v>200</v>
      </c>
      <c r="NCH68" s="154">
        <f>SUM(NCF68:NCG68)</f>
        <v>8875</v>
      </c>
      <c r="NCI68" s="147" t="s">
        <v>99</v>
      </c>
      <c r="NCJ68" s="148">
        <v>45845</v>
      </c>
      <c r="NCK68" s="143" t="s">
        <v>46</v>
      </c>
      <c r="NCL68" s="199"/>
      <c r="NCM68" s="149" t="s">
        <v>125</v>
      </c>
      <c r="NCN68" s="197"/>
      <c r="NCO68" s="198"/>
      <c r="NCP68" s="143" t="s">
        <v>22</v>
      </c>
      <c r="NCQ68" s="144">
        <v>8150</v>
      </c>
      <c r="NCR68" s="152">
        <v>85</v>
      </c>
      <c r="NCS68" s="153">
        <v>215</v>
      </c>
      <c r="NCT68" s="153">
        <v>75</v>
      </c>
      <c r="NCU68" s="152">
        <v>150</v>
      </c>
      <c r="NCV68" s="154">
        <f>SUM(NCQ68:NCU68)</f>
        <v>8675</v>
      </c>
      <c r="NCW68" s="152">
        <v>200</v>
      </c>
      <c r="NCX68" s="154">
        <f>SUM(NCV68:NCW68)</f>
        <v>8875</v>
      </c>
      <c r="NCY68" s="147" t="s">
        <v>99</v>
      </c>
      <c r="NCZ68" s="148">
        <v>45845</v>
      </c>
      <c r="NDA68" s="143" t="s">
        <v>46</v>
      </c>
      <c r="NDB68" s="199"/>
      <c r="NDC68" s="149" t="s">
        <v>125</v>
      </c>
      <c r="NDD68" s="197"/>
      <c r="NDE68" s="198"/>
      <c r="NDF68" s="143" t="s">
        <v>22</v>
      </c>
      <c r="NDG68" s="144">
        <v>8150</v>
      </c>
      <c r="NDH68" s="152">
        <v>85</v>
      </c>
      <c r="NDI68" s="153">
        <v>215</v>
      </c>
      <c r="NDJ68" s="153">
        <v>75</v>
      </c>
      <c r="NDK68" s="152">
        <v>150</v>
      </c>
      <c r="NDL68" s="154">
        <f>SUM(NDG68:NDK68)</f>
        <v>8675</v>
      </c>
      <c r="NDM68" s="152">
        <v>200</v>
      </c>
      <c r="NDN68" s="154">
        <f>SUM(NDL68:NDM68)</f>
        <v>8875</v>
      </c>
      <c r="NDO68" s="147" t="s">
        <v>99</v>
      </c>
      <c r="NDP68" s="148">
        <v>45845</v>
      </c>
      <c r="NDQ68" s="143" t="s">
        <v>46</v>
      </c>
      <c r="NDR68" s="199"/>
      <c r="NDS68" s="149" t="s">
        <v>125</v>
      </c>
      <c r="NDT68" s="197"/>
      <c r="NDU68" s="198"/>
      <c r="NDV68" s="143" t="s">
        <v>22</v>
      </c>
      <c r="NDW68" s="144">
        <v>8150</v>
      </c>
      <c r="NDX68" s="152">
        <v>85</v>
      </c>
      <c r="NDY68" s="153">
        <v>215</v>
      </c>
      <c r="NDZ68" s="153">
        <v>75</v>
      </c>
      <c r="NEA68" s="152">
        <v>150</v>
      </c>
      <c r="NEB68" s="154">
        <f>SUM(NDW68:NEA68)</f>
        <v>8675</v>
      </c>
      <c r="NEC68" s="152">
        <v>200</v>
      </c>
      <c r="NED68" s="154">
        <f>SUM(NEB68:NEC68)</f>
        <v>8875</v>
      </c>
      <c r="NEE68" s="147" t="s">
        <v>99</v>
      </c>
      <c r="NEF68" s="148">
        <v>45845</v>
      </c>
      <c r="NEG68" s="143" t="s">
        <v>46</v>
      </c>
      <c r="NEH68" s="199"/>
      <c r="NEI68" s="149" t="s">
        <v>125</v>
      </c>
      <c r="NEJ68" s="197"/>
      <c r="NEK68" s="198"/>
      <c r="NEL68" s="143" t="s">
        <v>22</v>
      </c>
      <c r="NEM68" s="144">
        <v>8150</v>
      </c>
      <c r="NEN68" s="152">
        <v>85</v>
      </c>
      <c r="NEO68" s="153">
        <v>215</v>
      </c>
      <c r="NEP68" s="153">
        <v>75</v>
      </c>
      <c r="NEQ68" s="152">
        <v>150</v>
      </c>
      <c r="NER68" s="154">
        <f>SUM(NEM68:NEQ68)</f>
        <v>8675</v>
      </c>
      <c r="NES68" s="152">
        <v>200</v>
      </c>
      <c r="NET68" s="154">
        <f>SUM(NER68:NES68)</f>
        <v>8875</v>
      </c>
      <c r="NEU68" s="147" t="s">
        <v>99</v>
      </c>
      <c r="NEV68" s="148">
        <v>45845</v>
      </c>
      <c r="NEW68" s="143" t="s">
        <v>46</v>
      </c>
      <c r="NEX68" s="199"/>
      <c r="NEY68" s="149" t="s">
        <v>125</v>
      </c>
      <c r="NEZ68" s="197"/>
      <c r="NFA68" s="198"/>
      <c r="NFB68" s="143" t="s">
        <v>22</v>
      </c>
      <c r="NFC68" s="144">
        <v>8150</v>
      </c>
      <c r="NFD68" s="152">
        <v>85</v>
      </c>
      <c r="NFE68" s="153">
        <v>215</v>
      </c>
      <c r="NFF68" s="153">
        <v>75</v>
      </c>
      <c r="NFG68" s="152">
        <v>150</v>
      </c>
      <c r="NFH68" s="154">
        <f>SUM(NFC68:NFG68)</f>
        <v>8675</v>
      </c>
      <c r="NFI68" s="152">
        <v>200</v>
      </c>
      <c r="NFJ68" s="154">
        <f>SUM(NFH68:NFI68)</f>
        <v>8875</v>
      </c>
      <c r="NFK68" s="147" t="s">
        <v>99</v>
      </c>
      <c r="NFL68" s="148">
        <v>45845</v>
      </c>
      <c r="NFM68" s="143" t="s">
        <v>46</v>
      </c>
      <c r="NFN68" s="199"/>
      <c r="NFO68" s="149" t="s">
        <v>125</v>
      </c>
      <c r="NFP68" s="197"/>
      <c r="NFQ68" s="198"/>
      <c r="NFR68" s="143" t="s">
        <v>22</v>
      </c>
      <c r="NFS68" s="144">
        <v>8150</v>
      </c>
      <c r="NFT68" s="152">
        <v>85</v>
      </c>
      <c r="NFU68" s="153">
        <v>215</v>
      </c>
      <c r="NFV68" s="153">
        <v>75</v>
      </c>
      <c r="NFW68" s="152">
        <v>150</v>
      </c>
      <c r="NFX68" s="154">
        <f>SUM(NFS68:NFW68)</f>
        <v>8675</v>
      </c>
      <c r="NFY68" s="152">
        <v>200</v>
      </c>
      <c r="NFZ68" s="154">
        <f>SUM(NFX68:NFY68)</f>
        <v>8875</v>
      </c>
      <c r="NGA68" s="147" t="s">
        <v>99</v>
      </c>
      <c r="NGB68" s="148">
        <v>45845</v>
      </c>
      <c r="NGC68" s="143" t="s">
        <v>46</v>
      </c>
      <c r="NGD68" s="199"/>
      <c r="NGE68" s="149" t="s">
        <v>125</v>
      </c>
      <c r="NGF68" s="197"/>
      <c r="NGG68" s="198"/>
      <c r="NGH68" s="143" t="s">
        <v>22</v>
      </c>
      <c r="NGI68" s="144">
        <v>8150</v>
      </c>
      <c r="NGJ68" s="152">
        <v>85</v>
      </c>
      <c r="NGK68" s="153">
        <v>215</v>
      </c>
      <c r="NGL68" s="153">
        <v>75</v>
      </c>
      <c r="NGM68" s="152">
        <v>150</v>
      </c>
      <c r="NGN68" s="154">
        <f>SUM(NGI68:NGM68)</f>
        <v>8675</v>
      </c>
      <c r="NGO68" s="152">
        <v>200</v>
      </c>
      <c r="NGP68" s="154">
        <f>SUM(NGN68:NGO68)</f>
        <v>8875</v>
      </c>
      <c r="NGQ68" s="147" t="s">
        <v>99</v>
      </c>
      <c r="NGR68" s="148">
        <v>45845</v>
      </c>
      <c r="NGS68" s="143" t="s">
        <v>46</v>
      </c>
      <c r="NGT68" s="199"/>
      <c r="NGU68" s="149" t="s">
        <v>125</v>
      </c>
      <c r="NGV68" s="197"/>
      <c r="NGW68" s="198"/>
      <c r="NGX68" s="143" t="s">
        <v>22</v>
      </c>
      <c r="NGY68" s="144">
        <v>8150</v>
      </c>
      <c r="NGZ68" s="152">
        <v>85</v>
      </c>
      <c r="NHA68" s="153">
        <v>215</v>
      </c>
      <c r="NHB68" s="153">
        <v>75</v>
      </c>
      <c r="NHC68" s="152">
        <v>150</v>
      </c>
      <c r="NHD68" s="154">
        <f>SUM(NGY68:NHC68)</f>
        <v>8675</v>
      </c>
      <c r="NHE68" s="152">
        <v>200</v>
      </c>
      <c r="NHF68" s="154">
        <f>SUM(NHD68:NHE68)</f>
        <v>8875</v>
      </c>
      <c r="NHG68" s="147" t="s">
        <v>99</v>
      </c>
      <c r="NHH68" s="148">
        <v>45845</v>
      </c>
      <c r="NHI68" s="143" t="s">
        <v>46</v>
      </c>
      <c r="NHJ68" s="199"/>
      <c r="NHK68" s="149" t="s">
        <v>125</v>
      </c>
      <c r="NHL68" s="197"/>
      <c r="NHM68" s="198"/>
      <c r="NHN68" s="143" t="s">
        <v>22</v>
      </c>
      <c r="NHO68" s="144">
        <v>8150</v>
      </c>
      <c r="NHP68" s="152">
        <v>85</v>
      </c>
      <c r="NHQ68" s="153">
        <v>215</v>
      </c>
      <c r="NHR68" s="153">
        <v>75</v>
      </c>
      <c r="NHS68" s="152">
        <v>150</v>
      </c>
      <c r="NHT68" s="154">
        <f>SUM(NHO68:NHS68)</f>
        <v>8675</v>
      </c>
      <c r="NHU68" s="152">
        <v>200</v>
      </c>
      <c r="NHV68" s="154">
        <f>SUM(NHT68:NHU68)</f>
        <v>8875</v>
      </c>
      <c r="NHW68" s="147" t="s">
        <v>99</v>
      </c>
      <c r="NHX68" s="148">
        <v>45845</v>
      </c>
      <c r="NHY68" s="143" t="s">
        <v>46</v>
      </c>
      <c r="NHZ68" s="199"/>
      <c r="NIA68" s="149" t="s">
        <v>125</v>
      </c>
      <c r="NIB68" s="197"/>
      <c r="NIC68" s="198"/>
      <c r="NID68" s="143" t="s">
        <v>22</v>
      </c>
      <c r="NIE68" s="144">
        <v>8150</v>
      </c>
      <c r="NIF68" s="152">
        <v>85</v>
      </c>
      <c r="NIG68" s="153">
        <v>215</v>
      </c>
      <c r="NIH68" s="153">
        <v>75</v>
      </c>
      <c r="NII68" s="152">
        <v>150</v>
      </c>
      <c r="NIJ68" s="154">
        <f>SUM(NIE68:NII68)</f>
        <v>8675</v>
      </c>
      <c r="NIK68" s="152">
        <v>200</v>
      </c>
      <c r="NIL68" s="154">
        <f>SUM(NIJ68:NIK68)</f>
        <v>8875</v>
      </c>
      <c r="NIM68" s="147" t="s">
        <v>99</v>
      </c>
      <c r="NIN68" s="148">
        <v>45845</v>
      </c>
      <c r="NIO68" s="143" t="s">
        <v>46</v>
      </c>
      <c r="NIP68" s="199"/>
      <c r="NIQ68" s="149" t="s">
        <v>125</v>
      </c>
      <c r="NIR68" s="197"/>
      <c r="NIS68" s="198"/>
      <c r="NIT68" s="143" t="s">
        <v>22</v>
      </c>
      <c r="NIU68" s="144">
        <v>8150</v>
      </c>
      <c r="NIV68" s="152">
        <v>85</v>
      </c>
      <c r="NIW68" s="153">
        <v>215</v>
      </c>
      <c r="NIX68" s="153">
        <v>75</v>
      </c>
      <c r="NIY68" s="152">
        <v>150</v>
      </c>
      <c r="NIZ68" s="154">
        <f>SUM(NIU68:NIY68)</f>
        <v>8675</v>
      </c>
      <c r="NJA68" s="152">
        <v>200</v>
      </c>
      <c r="NJB68" s="154">
        <f>SUM(NIZ68:NJA68)</f>
        <v>8875</v>
      </c>
      <c r="NJC68" s="147" t="s">
        <v>99</v>
      </c>
      <c r="NJD68" s="148">
        <v>45845</v>
      </c>
      <c r="NJE68" s="143" t="s">
        <v>46</v>
      </c>
      <c r="NJF68" s="199"/>
      <c r="NJG68" s="149" t="s">
        <v>125</v>
      </c>
      <c r="NJH68" s="197"/>
      <c r="NJI68" s="198"/>
      <c r="NJJ68" s="143" t="s">
        <v>22</v>
      </c>
      <c r="NJK68" s="144">
        <v>8150</v>
      </c>
      <c r="NJL68" s="152">
        <v>85</v>
      </c>
      <c r="NJM68" s="153">
        <v>215</v>
      </c>
      <c r="NJN68" s="153">
        <v>75</v>
      </c>
      <c r="NJO68" s="152">
        <v>150</v>
      </c>
      <c r="NJP68" s="154">
        <f>SUM(NJK68:NJO68)</f>
        <v>8675</v>
      </c>
      <c r="NJQ68" s="152">
        <v>200</v>
      </c>
      <c r="NJR68" s="154">
        <f>SUM(NJP68:NJQ68)</f>
        <v>8875</v>
      </c>
      <c r="NJS68" s="147" t="s">
        <v>99</v>
      </c>
      <c r="NJT68" s="148">
        <v>45845</v>
      </c>
      <c r="NJU68" s="143" t="s">
        <v>46</v>
      </c>
      <c r="NJV68" s="199"/>
      <c r="NJW68" s="149" t="s">
        <v>125</v>
      </c>
      <c r="NJX68" s="197"/>
      <c r="NJY68" s="198"/>
      <c r="NJZ68" s="143" t="s">
        <v>22</v>
      </c>
      <c r="NKA68" s="144">
        <v>8150</v>
      </c>
      <c r="NKB68" s="152">
        <v>85</v>
      </c>
      <c r="NKC68" s="153">
        <v>215</v>
      </c>
      <c r="NKD68" s="153">
        <v>75</v>
      </c>
      <c r="NKE68" s="152">
        <v>150</v>
      </c>
      <c r="NKF68" s="154">
        <f>SUM(NKA68:NKE68)</f>
        <v>8675</v>
      </c>
      <c r="NKG68" s="152">
        <v>200</v>
      </c>
      <c r="NKH68" s="154">
        <f>SUM(NKF68:NKG68)</f>
        <v>8875</v>
      </c>
      <c r="NKI68" s="147" t="s">
        <v>99</v>
      </c>
      <c r="NKJ68" s="148">
        <v>45845</v>
      </c>
      <c r="NKK68" s="143" t="s">
        <v>46</v>
      </c>
      <c r="NKL68" s="199"/>
      <c r="NKM68" s="149" t="s">
        <v>125</v>
      </c>
      <c r="NKN68" s="197"/>
      <c r="NKO68" s="198"/>
      <c r="NKP68" s="143" t="s">
        <v>22</v>
      </c>
      <c r="NKQ68" s="144">
        <v>8150</v>
      </c>
      <c r="NKR68" s="152">
        <v>85</v>
      </c>
      <c r="NKS68" s="153">
        <v>215</v>
      </c>
      <c r="NKT68" s="153">
        <v>75</v>
      </c>
      <c r="NKU68" s="152">
        <v>150</v>
      </c>
      <c r="NKV68" s="154">
        <f>SUM(NKQ68:NKU68)</f>
        <v>8675</v>
      </c>
      <c r="NKW68" s="152">
        <v>200</v>
      </c>
      <c r="NKX68" s="154">
        <f>SUM(NKV68:NKW68)</f>
        <v>8875</v>
      </c>
      <c r="NKY68" s="147" t="s">
        <v>99</v>
      </c>
      <c r="NKZ68" s="148">
        <v>45845</v>
      </c>
      <c r="NLA68" s="143" t="s">
        <v>46</v>
      </c>
      <c r="NLB68" s="199"/>
      <c r="NLC68" s="149" t="s">
        <v>125</v>
      </c>
      <c r="NLD68" s="197"/>
      <c r="NLE68" s="198"/>
      <c r="NLF68" s="143" t="s">
        <v>22</v>
      </c>
      <c r="NLG68" s="144">
        <v>8150</v>
      </c>
      <c r="NLH68" s="152">
        <v>85</v>
      </c>
      <c r="NLI68" s="153">
        <v>215</v>
      </c>
      <c r="NLJ68" s="153">
        <v>75</v>
      </c>
      <c r="NLK68" s="152">
        <v>150</v>
      </c>
      <c r="NLL68" s="154">
        <f>SUM(NLG68:NLK68)</f>
        <v>8675</v>
      </c>
      <c r="NLM68" s="152">
        <v>200</v>
      </c>
      <c r="NLN68" s="154">
        <f>SUM(NLL68:NLM68)</f>
        <v>8875</v>
      </c>
      <c r="NLO68" s="147" t="s">
        <v>99</v>
      </c>
      <c r="NLP68" s="148">
        <v>45845</v>
      </c>
      <c r="NLQ68" s="143" t="s">
        <v>46</v>
      </c>
      <c r="NLR68" s="199"/>
      <c r="NLS68" s="149" t="s">
        <v>125</v>
      </c>
      <c r="NLT68" s="197"/>
      <c r="NLU68" s="198"/>
      <c r="NLV68" s="143" t="s">
        <v>22</v>
      </c>
      <c r="NLW68" s="144">
        <v>8150</v>
      </c>
      <c r="NLX68" s="152">
        <v>85</v>
      </c>
      <c r="NLY68" s="153">
        <v>215</v>
      </c>
      <c r="NLZ68" s="153">
        <v>75</v>
      </c>
      <c r="NMA68" s="152">
        <v>150</v>
      </c>
      <c r="NMB68" s="154">
        <f>SUM(NLW68:NMA68)</f>
        <v>8675</v>
      </c>
      <c r="NMC68" s="152">
        <v>200</v>
      </c>
      <c r="NMD68" s="154">
        <f>SUM(NMB68:NMC68)</f>
        <v>8875</v>
      </c>
      <c r="NME68" s="147" t="s">
        <v>99</v>
      </c>
      <c r="NMF68" s="148">
        <v>45845</v>
      </c>
      <c r="NMG68" s="143" t="s">
        <v>46</v>
      </c>
      <c r="NMH68" s="199"/>
      <c r="NMI68" s="149" t="s">
        <v>125</v>
      </c>
      <c r="NMJ68" s="197"/>
      <c r="NMK68" s="198"/>
      <c r="NML68" s="143" t="s">
        <v>22</v>
      </c>
      <c r="NMM68" s="144">
        <v>8150</v>
      </c>
      <c r="NMN68" s="152">
        <v>85</v>
      </c>
      <c r="NMO68" s="153">
        <v>215</v>
      </c>
      <c r="NMP68" s="153">
        <v>75</v>
      </c>
      <c r="NMQ68" s="152">
        <v>150</v>
      </c>
      <c r="NMR68" s="154">
        <f>SUM(NMM68:NMQ68)</f>
        <v>8675</v>
      </c>
      <c r="NMS68" s="152">
        <v>200</v>
      </c>
      <c r="NMT68" s="154">
        <f>SUM(NMR68:NMS68)</f>
        <v>8875</v>
      </c>
      <c r="NMU68" s="147" t="s">
        <v>99</v>
      </c>
      <c r="NMV68" s="148">
        <v>45845</v>
      </c>
      <c r="NMW68" s="143" t="s">
        <v>46</v>
      </c>
      <c r="NMX68" s="199"/>
      <c r="NMY68" s="149" t="s">
        <v>125</v>
      </c>
      <c r="NMZ68" s="197"/>
      <c r="NNA68" s="198"/>
      <c r="NNB68" s="143" t="s">
        <v>22</v>
      </c>
      <c r="NNC68" s="144">
        <v>8150</v>
      </c>
      <c r="NND68" s="152">
        <v>85</v>
      </c>
      <c r="NNE68" s="153">
        <v>215</v>
      </c>
      <c r="NNF68" s="153">
        <v>75</v>
      </c>
      <c r="NNG68" s="152">
        <v>150</v>
      </c>
      <c r="NNH68" s="154">
        <f>SUM(NNC68:NNG68)</f>
        <v>8675</v>
      </c>
      <c r="NNI68" s="152">
        <v>200</v>
      </c>
      <c r="NNJ68" s="154">
        <f>SUM(NNH68:NNI68)</f>
        <v>8875</v>
      </c>
      <c r="NNK68" s="147" t="s">
        <v>99</v>
      </c>
      <c r="NNL68" s="148">
        <v>45845</v>
      </c>
      <c r="NNM68" s="143" t="s">
        <v>46</v>
      </c>
      <c r="NNN68" s="199"/>
      <c r="NNO68" s="149" t="s">
        <v>125</v>
      </c>
      <c r="NNP68" s="197"/>
      <c r="NNQ68" s="198"/>
      <c r="NNR68" s="143" t="s">
        <v>22</v>
      </c>
      <c r="NNS68" s="144">
        <v>8150</v>
      </c>
      <c r="NNT68" s="152">
        <v>85</v>
      </c>
      <c r="NNU68" s="153">
        <v>215</v>
      </c>
      <c r="NNV68" s="153">
        <v>75</v>
      </c>
      <c r="NNW68" s="152">
        <v>150</v>
      </c>
      <c r="NNX68" s="154">
        <f>SUM(NNS68:NNW68)</f>
        <v>8675</v>
      </c>
      <c r="NNY68" s="152">
        <v>200</v>
      </c>
      <c r="NNZ68" s="154">
        <f>SUM(NNX68:NNY68)</f>
        <v>8875</v>
      </c>
      <c r="NOA68" s="147" t="s">
        <v>99</v>
      </c>
      <c r="NOB68" s="148">
        <v>45845</v>
      </c>
      <c r="NOC68" s="143" t="s">
        <v>46</v>
      </c>
      <c r="NOD68" s="199"/>
      <c r="NOE68" s="149" t="s">
        <v>125</v>
      </c>
      <c r="NOF68" s="197"/>
      <c r="NOG68" s="198"/>
      <c r="NOH68" s="143" t="s">
        <v>22</v>
      </c>
      <c r="NOI68" s="144">
        <v>8150</v>
      </c>
      <c r="NOJ68" s="152">
        <v>85</v>
      </c>
      <c r="NOK68" s="153">
        <v>215</v>
      </c>
      <c r="NOL68" s="153">
        <v>75</v>
      </c>
      <c r="NOM68" s="152">
        <v>150</v>
      </c>
      <c r="NON68" s="154">
        <f>SUM(NOI68:NOM68)</f>
        <v>8675</v>
      </c>
      <c r="NOO68" s="152">
        <v>200</v>
      </c>
      <c r="NOP68" s="154">
        <f>SUM(NON68:NOO68)</f>
        <v>8875</v>
      </c>
      <c r="NOQ68" s="147" t="s">
        <v>99</v>
      </c>
      <c r="NOR68" s="148">
        <v>45845</v>
      </c>
      <c r="NOS68" s="143" t="s">
        <v>46</v>
      </c>
      <c r="NOT68" s="199"/>
      <c r="NOU68" s="149" t="s">
        <v>125</v>
      </c>
      <c r="NOV68" s="197"/>
      <c r="NOW68" s="198"/>
      <c r="NOX68" s="143" t="s">
        <v>22</v>
      </c>
      <c r="NOY68" s="144">
        <v>8150</v>
      </c>
      <c r="NOZ68" s="152">
        <v>85</v>
      </c>
      <c r="NPA68" s="153">
        <v>215</v>
      </c>
      <c r="NPB68" s="153">
        <v>75</v>
      </c>
      <c r="NPC68" s="152">
        <v>150</v>
      </c>
      <c r="NPD68" s="154">
        <f>SUM(NOY68:NPC68)</f>
        <v>8675</v>
      </c>
      <c r="NPE68" s="152">
        <v>200</v>
      </c>
      <c r="NPF68" s="154">
        <f>SUM(NPD68:NPE68)</f>
        <v>8875</v>
      </c>
      <c r="NPG68" s="147" t="s">
        <v>99</v>
      </c>
      <c r="NPH68" s="148">
        <v>45845</v>
      </c>
      <c r="NPI68" s="143" t="s">
        <v>46</v>
      </c>
      <c r="NPJ68" s="199"/>
      <c r="NPK68" s="149" t="s">
        <v>125</v>
      </c>
      <c r="NPL68" s="197"/>
      <c r="NPM68" s="198"/>
      <c r="NPN68" s="143" t="s">
        <v>22</v>
      </c>
      <c r="NPO68" s="144">
        <v>8150</v>
      </c>
      <c r="NPP68" s="152">
        <v>85</v>
      </c>
      <c r="NPQ68" s="153">
        <v>215</v>
      </c>
      <c r="NPR68" s="153">
        <v>75</v>
      </c>
      <c r="NPS68" s="152">
        <v>150</v>
      </c>
      <c r="NPT68" s="154">
        <f>SUM(NPO68:NPS68)</f>
        <v>8675</v>
      </c>
      <c r="NPU68" s="152">
        <v>200</v>
      </c>
      <c r="NPV68" s="154">
        <f>SUM(NPT68:NPU68)</f>
        <v>8875</v>
      </c>
      <c r="NPW68" s="147" t="s">
        <v>99</v>
      </c>
      <c r="NPX68" s="148">
        <v>45845</v>
      </c>
      <c r="NPY68" s="143" t="s">
        <v>46</v>
      </c>
      <c r="NPZ68" s="199"/>
      <c r="NQA68" s="149" t="s">
        <v>125</v>
      </c>
      <c r="NQB68" s="197"/>
      <c r="NQC68" s="198"/>
      <c r="NQD68" s="143" t="s">
        <v>22</v>
      </c>
      <c r="NQE68" s="144">
        <v>8150</v>
      </c>
      <c r="NQF68" s="152">
        <v>85</v>
      </c>
      <c r="NQG68" s="153">
        <v>215</v>
      </c>
      <c r="NQH68" s="153">
        <v>75</v>
      </c>
      <c r="NQI68" s="152">
        <v>150</v>
      </c>
      <c r="NQJ68" s="154">
        <f>SUM(NQE68:NQI68)</f>
        <v>8675</v>
      </c>
      <c r="NQK68" s="152">
        <v>200</v>
      </c>
      <c r="NQL68" s="154">
        <f>SUM(NQJ68:NQK68)</f>
        <v>8875</v>
      </c>
      <c r="NQM68" s="147" t="s">
        <v>99</v>
      </c>
      <c r="NQN68" s="148">
        <v>45845</v>
      </c>
      <c r="NQO68" s="143" t="s">
        <v>46</v>
      </c>
      <c r="NQP68" s="199"/>
      <c r="NQQ68" s="149" t="s">
        <v>125</v>
      </c>
      <c r="NQR68" s="197"/>
      <c r="NQS68" s="198"/>
      <c r="NQT68" s="143" t="s">
        <v>22</v>
      </c>
      <c r="NQU68" s="144">
        <v>8150</v>
      </c>
      <c r="NQV68" s="152">
        <v>85</v>
      </c>
      <c r="NQW68" s="153">
        <v>215</v>
      </c>
      <c r="NQX68" s="153">
        <v>75</v>
      </c>
      <c r="NQY68" s="152">
        <v>150</v>
      </c>
      <c r="NQZ68" s="154">
        <f>SUM(NQU68:NQY68)</f>
        <v>8675</v>
      </c>
      <c r="NRA68" s="152">
        <v>200</v>
      </c>
      <c r="NRB68" s="154">
        <f>SUM(NQZ68:NRA68)</f>
        <v>8875</v>
      </c>
      <c r="NRC68" s="147" t="s">
        <v>99</v>
      </c>
      <c r="NRD68" s="148">
        <v>45845</v>
      </c>
      <c r="NRE68" s="143" t="s">
        <v>46</v>
      </c>
      <c r="NRF68" s="199"/>
      <c r="NRG68" s="149" t="s">
        <v>125</v>
      </c>
      <c r="NRH68" s="197"/>
      <c r="NRI68" s="198"/>
      <c r="NRJ68" s="143" t="s">
        <v>22</v>
      </c>
      <c r="NRK68" s="144">
        <v>8150</v>
      </c>
      <c r="NRL68" s="152">
        <v>85</v>
      </c>
      <c r="NRM68" s="153">
        <v>215</v>
      </c>
      <c r="NRN68" s="153">
        <v>75</v>
      </c>
      <c r="NRO68" s="152">
        <v>150</v>
      </c>
      <c r="NRP68" s="154">
        <f>SUM(NRK68:NRO68)</f>
        <v>8675</v>
      </c>
      <c r="NRQ68" s="152">
        <v>200</v>
      </c>
      <c r="NRR68" s="154">
        <f>SUM(NRP68:NRQ68)</f>
        <v>8875</v>
      </c>
      <c r="NRS68" s="147" t="s">
        <v>99</v>
      </c>
      <c r="NRT68" s="148">
        <v>45845</v>
      </c>
      <c r="NRU68" s="143" t="s">
        <v>46</v>
      </c>
      <c r="NRV68" s="199"/>
      <c r="NRW68" s="149" t="s">
        <v>125</v>
      </c>
      <c r="NRX68" s="197"/>
      <c r="NRY68" s="198"/>
      <c r="NRZ68" s="143" t="s">
        <v>22</v>
      </c>
      <c r="NSA68" s="144">
        <v>8150</v>
      </c>
      <c r="NSB68" s="152">
        <v>85</v>
      </c>
      <c r="NSC68" s="153">
        <v>215</v>
      </c>
      <c r="NSD68" s="153">
        <v>75</v>
      </c>
      <c r="NSE68" s="152">
        <v>150</v>
      </c>
      <c r="NSF68" s="154">
        <f>SUM(NSA68:NSE68)</f>
        <v>8675</v>
      </c>
      <c r="NSG68" s="152">
        <v>200</v>
      </c>
      <c r="NSH68" s="154">
        <f>SUM(NSF68:NSG68)</f>
        <v>8875</v>
      </c>
      <c r="NSI68" s="147" t="s">
        <v>99</v>
      </c>
      <c r="NSJ68" s="148">
        <v>45845</v>
      </c>
      <c r="NSK68" s="143" t="s">
        <v>46</v>
      </c>
      <c r="NSL68" s="199"/>
      <c r="NSM68" s="149" t="s">
        <v>125</v>
      </c>
      <c r="NSN68" s="197"/>
      <c r="NSO68" s="198"/>
      <c r="NSP68" s="143" t="s">
        <v>22</v>
      </c>
      <c r="NSQ68" s="144">
        <v>8150</v>
      </c>
      <c r="NSR68" s="152">
        <v>85</v>
      </c>
      <c r="NSS68" s="153">
        <v>215</v>
      </c>
      <c r="NST68" s="153">
        <v>75</v>
      </c>
      <c r="NSU68" s="152">
        <v>150</v>
      </c>
      <c r="NSV68" s="154">
        <f>SUM(NSQ68:NSU68)</f>
        <v>8675</v>
      </c>
      <c r="NSW68" s="152">
        <v>200</v>
      </c>
      <c r="NSX68" s="154">
        <f>SUM(NSV68:NSW68)</f>
        <v>8875</v>
      </c>
      <c r="NSY68" s="147" t="s">
        <v>99</v>
      </c>
      <c r="NSZ68" s="148">
        <v>45845</v>
      </c>
      <c r="NTA68" s="143" t="s">
        <v>46</v>
      </c>
      <c r="NTB68" s="199"/>
      <c r="NTC68" s="149" t="s">
        <v>125</v>
      </c>
      <c r="NTD68" s="197"/>
      <c r="NTE68" s="198"/>
      <c r="NTF68" s="143" t="s">
        <v>22</v>
      </c>
      <c r="NTG68" s="144">
        <v>8150</v>
      </c>
      <c r="NTH68" s="152">
        <v>85</v>
      </c>
      <c r="NTI68" s="153">
        <v>215</v>
      </c>
      <c r="NTJ68" s="153">
        <v>75</v>
      </c>
      <c r="NTK68" s="152">
        <v>150</v>
      </c>
      <c r="NTL68" s="154">
        <f>SUM(NTG68:NTK68)</f>
        <v>8675</v>
      </c>
      <c r="NTM68" s="152">
        <v>200</v>
      </c>
      <c r="NTN68" s="154">
        <f>SUM(NTL68:NTM68)</f>
        <v>8875</v>
      </c>
      <c r="NTO68" s="147" t="s">
        <v>99</v>
      </c>
      <c r="NTP68" s="148">
        <v>45845</v>
      </c>
      <c r="NTQ68" s="143" t="s">
        <v>46</v>
      </c>
      <c r="NTR68" s="199"/>
      <c r="NTS68" s="149" t="s">
        <v>125</v>
      </c>
      <c r="NTT68" s="197"/>
      <c r="NTU68" s="198"/>
      <c r="NTV68" s="143" t="s">
        <v>22</v>
      </c>
      <c r="NTW68" s="144">
        <v>8150</v>
      </c>
      <c r="NTX68" s="152">
        <v>85</v>
      </c>
      <c r="NTY68" s="153">
        <v>215</v>
      </c>
      <c r="NTZ68" s="153">
        <v>75</v>
      </c>
      <c r="NUA68" s="152">
        <v>150</v>
      </c>
      <c r="NUB68" s="154">
        <f>SUM(NTW68:NUA68)</f>
        <v>8675</v>
      </c>
      <c r="NUC68" s="152">
        <v>200</v>
      </c>
      <c r="NUD68" s="154">
        <f>SUM(NUB68:NUC68)</f>
        <v>8875</v>
      </c>
      <c r="NUE68" s="147" t="s">
        <v>99</v>
      </c>
      <c r="NUF68" s="148">
        <v>45845</v>
      </c>
      <c r="NUG68" s="143" t="s">
        <v>46</v>
      </c>
      <c r="NUH68" s="199"/>
      <c r="NUI68" s="149" t="s">
        <v>125</v>
      </c>
      <c r="NUJ68" s="197"/>
      <c r="NUK68" s="198"/>
      <c r="NUL68" s="143" t="s">
        <v>22</v>
      </c>
      <c r="NUM68" s="144">
        <v>8150</v>
      </c>
      <c r="NUN68" s="152">
        <v>85</v>
      </c>
      <c r="NUO68" s="153">
        <v>215</v>
      </c>
      <c r="NUP68" s="153">
        <v>75</v>
      </c>
      <c r="NUQ68" s="152">
        <v>150</v>
      </c>
      <c r="NUR68" s="154">
        <f>SUM(NUM68:NUQ68)</f>
        <v>8675</v>
      </c>
      <c r="NUS68" s="152">
        <v>200</v>
      </c>
      <c r="NUT68" s="154">
        <f>SUM(NUR68:NUS68)</f>
        <v>8875</v>
      </c>
      <c r="NUU68" s="147" t="s">
        <v>99</v>
      </c>
      <c r="NUV68" s="148">
        <v>45845</v>
      </c>
      <c r="NUW68" s="143" t="s">
        <v>46</v>
      </c>
      <c r="NUX68" s="199"/>
      <c r="NUY68" s="149" t="s">
        <v>125</v>
      </c>
      <c r="NUZ68" s="197"/>
      <c r="NVA68" s="198"/>
      <c r="NVB68" s="143" t="s">
        <v>22</v>
      </c>
      <c r="NVC68" s="144">
        <v>8150</v>
      </c>
      <c r="NVD68" s="152">
        <v>85</v>
      </c>
      <c r="NVE68" s="153">
        <v>215</v>
      </c>
      <c r="NVF68" s="153">
        <v>75</v>
      </c>
      <c r="NVG68" s="152">
        <v>150</v>
      </c>
      <c r="NVH68" s="154">
        <f>SUM(NVC68:NVG68)</f>
        <v>8675</v>
      </c>
      <c r="NVI68" s="152">
        <v>200</v>
      </c>
      <c r="NVJ68" s="154">
        <f>SUM(NVH68:NVI68)</f>
        <v>8875</v>
      </c>
      <c r="NVK68" s="147" t="s">
        <v>99</v>
      </c>
      <c r="NVL68" s="148">
        <v>45845</v>
      </c>
      <c r="NVM68" s="143" t="s">
        <v>46</v>
      </c>
      <c r="NVN68" s="199"/>
      <c r="NVO68" s="149" t="s">
        <v>125</v>
      </c>
      <c r="NVP68" s="197"/>
      <c r="NVQ68" s="198"/>
      <c r="NVR68" s="143" t="s">
        <v>22</v>
      </c>
      <c r="NVS68" s="144">
        <v>8150</v>
      </c>
      <c r="NVT68" s="152">
        <v>85</v>
      </c>
      <c r="NVU68" s="153">
        <v>215</v>
      </c>
      <c r="NVV68" s="153">
        <v>75</v>
      </c>
      <c r="NVW68" s="152">
        <v>150</v>
      </c>
      <c r="NVX68" s="154">
        <f>SUM(NVS68:NVW68)</f>
        <v>8675</v>
      </c>
      <c r="NVY68" s="152">
        <v>200</v>
      </c>
      <c r="NVZ68" s="154">
        <f>SUM(NVX68:NVY68)</f>
        <v>8875</v>
      </c>
      <c r="NWA68" s="147" t="s">
        <v>99</v>
      </c>
      <c r="NWB68" s="148">
        <v>45845</v>
      </c>
      <c r="NWC68" s="143" t="s">
        <v>46</v>
      </c>
      <c r="NWD68" s="199"/>
      <c r="NWE68" s="149" t="s">
        <v>125</v>
      </c>
      <c r="NWF68" s="197"/>
      <c r="NWG68" s="198"/>
      <c r="NWH68" s="143" t="s">
        <v>22</v>
      </c>
      <c r="NWI68" s="144">
        <v>8150</v>
      </c>
      <c r="NWJ68" s="152">
        <v>85</v>
      </c>
      <c r="NWK68" s="153">
        <v>215</v>
      </c>
      <c r="NWL68" s="153">
        <v>75</v>
      </c>
      <c r="NWM68" s="152">
        <v>150</v>
      </c>
      <c r="NWN68" s="154">
        <f>SUM(NWI68:NWM68)</f>
        <v>8675</v>
      </c>
      <c r="NWO68" s="152">
        <v>200</v>
      </c>
      <c r="NWP68" s="154">
        <f>SUM(NWN68:NWO68)</f>
        <v>8875</v>
      </c>
      <c r="NWQ68" s="147" t="s">
        <v>99</v>
      </c>
      <c r="NWR68" s="148">
        <v>45845</v>
      </c>
      <c r="NWS68" s="143" t="s">
        <v>46</v>
      </c>
      <c r="NWT68" s="199"/>
      <c r="NWU68" s="149" t="s">
        <v>125</v>
      </c>
      <c r="NWV68" s="197"/>
      <c r="NWW68" s="198"/>
      <c r="NWX68" s="143" t="s">
        <v>22</v>
      </c>
      <c r="NWY68" s="144">
        <v>8150</v>
      </c>
      <c r="NWZ68" s="152">
        <v>85</v>
      </c>
      <c r="NXA68" s="153">
        <v>215</v>
      </c>
      <c r="NXB68" s="153">
        <v>75</v>
      </c>
      <c r="NXC68" s="152">
        <v>150</v>
      </c>
      <c r="NXD68" s="154">
        <f>SUM(NWY68:NXC68)</f>
        <v>8675</v>
      </c>
      <c r="NXE68" s="152">
        <v>200</v>
      </c>
      <c r="NXF68" s="154">
        <f>SUM(NXD68:NXE68)</f>
        <v>8875</v>
      </c>
      <c r="NXG68" s="147" t="s">
        <v>99</v>
      </c>
      <c r="NXH68" s="148">
        <v>45845</v>
      </c>
      <c r="NXI68" s="143" t="s">
        <v>46</v>
      </c>
      <c r="NXJ68" s="199"/>
      <c r="NXK68" s="149" t="s">
        <v>125</v>
      </c>
      <c r="NXL68" s="197"/>
      <c r="NXM68" s="198"/>
      <c r="NXN68" s="143" t="s">
        <v>22</v>
      </c>
      <c r="NXO68" s="144">
        <v>8150</v>
      </c>
      <c r="NXP68" s="152">
        <v>85</v>
      </c>
      <c r="NXQ68" s="153">
        <v>215</v>
      </c>
      <c r="NXR68" s="153">
        <v>75</v>
      </c>
      <c r="NXS68" s="152">
        <v>150</v>
      </c>
      <c r="NXT68" s="154">
        <f>SUM(NXO68:NXS68)</f>
        <v>8675</v>
      </c>
      <c r="NXU68" s="152">
        <v>200</v>
      </c>
      <c r="NXV68" s="154">
        <f>SUM(NXT68:NXU68)</f>
        <v>8875</v>
      </c>
      <c r="NXW68" s="147" t="s">
        <v>99</v>
      </c>
      <c r="NXX68" s="148">
        <v>45845</v>
      </c>
      <c r="NXY68" s="143" t="s">
        <v>46</v>
      </c>
      <c r="NXZ68" s="199"/>
      <c r="NYA68" s="149" t="s">
        <v>125</v>
      </c>
      <c r="NYB68" s="197"/>
      <c r="NYC68" s="198"/>
      <c r="NYD68" s="143" t="s">
        <v>22</v>
      </c>
      <c r="NYE68" s="144">
        <v>8150</v>
      </c>
      <c r="NYF68" s="152">
        <v>85</v>
      </c>
      <c r="NYG68" s="153">
        <v>215</v>
      </c>
      <c r="NYH68" s="153">
        <v>75</v>
      </c>
      <c r="NYI68" s="152">
        <v>150</v>
      </c>
      <c r="NYJ68" s="154">
        <f>SUM(NYE68:NYI68)</f>
        <v>8675</v>
      </c>
      <c r="NYK68" s="152">
        <v>200</v>
      </c>
      <c r="NYL68" s="154">
        <f>SUM(NYJ68:NYK68)</f>
        <v>8875</v>
      </c>
      <c r="NYM68" s="147" t="s">
        <v>99</v>
      </c>
      <c r="NYN68" s="148">
        <v>45845</v>
      </c>
      <c r="NYO68" s="143" t="s">
        <v>46</v>
      </c>
      <c r="NYP68" s="199"/>
      <c r="NYQ68" s="149" t="s">
        <v>125</v>
      </c>
      <c r="NYR68" s="197"/>
      <c r="NYS68" s="198"/>
      <c r="NYT68" s="143" t="s">
        <v>22</v>
      </c>
      <c r="NYU68" s="144">
        <v>8150</v>
      </c>
      <c r="NYV68" s="152">
        <v>85</v>
      </c>
      <c r="NYW68" s="153">
        <v>215</v>
      </c>
      <c r="NYX68" s="153">
        <v>75</v>
      </c>
      <c r="NYY68" s="152">
        <v>150</v>
      </c>
      <c r="NYZ68" s="154">
        <f>SUM(NYU68:NYY68)</f>
        <v>8675</v>
      </c>
      <c r="NZA68" s="152">
        <v>200</v>
      </c>
      <c r="NZB68" s="154">
        <f>SUM(NYZ68:NZA68)</f>
        <v>8875</v>
      </c>
      <c r="NZC68" s="147" t="s">
        <v>99</v>
      </c>
      <c r="NZD68" s="148">
        <v>45845</v>
      </c>
      <c r="NZE68" s="143" t="s">
        <v>46</v>
      </c>
      <c r="NZF68" s="199"/>
      <c r="NZG68" s="149" t="s">
        <v>125</v>
      </c>
      <c r="NZH68" s="197"/>
      <c r="NZI68" s="198"/>
      <c r="NZJ68" s="143" t="s">
        <v>22</v>
      </c>
      <c r="NZK68" s="144">
        <v>8150</v>
      </c>
      <c r="NZL68" s="152">
        <v>85</v>
      </c>
      <c r="NZM68" s="153">
        <v>215</v>
      </c>
      <c r="NZN68" s="153">
        <v>75</v>
      </c>
      <c r="NZO68" s="152">
        <v>150</v>
      </c>
      <c r="NZP68" s="154">
        <f>SUM(NZK68:NZO68)</f>
        <v>8675</v>
      </c>
      <c r="NZQ68" s="152">
        <v>200</v>
      </c>
      <c r="NZR68" s="154">
        <f>SUM(NZP68:NZQ68)</f>
        <v>8875</v>
      </c>
      <c r="NZS68" s="147" t="s">
        <v>99</v>
      </c>
      <c r="NZT68" s="148">
        <v>45845</v>
      </c>
      <c r="NZU68" s="143" t="s">
        <v>46</v>
      </c>
      <c r="NZV68" s="199"/>
      <c r="NZW68" s="149" t="s">
        <v>125</v>
      </c>
      <c r="NZX68" s="197"/>
      <c r="NZY68" s="198"/>
      <c r="NZZ68" s="143" t="s">
        <v>22</v>
      </c>
      <c r="OAA68" s="144">
        <v>8150</v>
      </c>
      <c r="OAB68" s="152">
        <v>85</v>
      </c>
      <c r="OAC68" s="153">
        <v>215</v>
      </c>
      <c r="OAD68" s="153">
        <v>75</v>
      </c>
      <c r="OAE68" s="152">
        <v>150</v>
      </c>
      <c r="OAF68" s="154">
        <f>SUM(OAA68:OAE68)</f>
        <v>8675</v>
      </c>
      <c r="OAG68" s="152">
        <v>200</v>
      </c>
      <c r="OAH68" s="154">
        <f>SUM(OAF68:OAG68)</f>
        <v>8875</v>
      </c>
      <c r="OAI68" s="147" t="s">
        <v>99</v>
      </c>
      <c r="OAJ68" s="148">
        <v>45845</v>
      </c>
      <c r="OAK68" s="143" t="s">
        <v>46</v>
      </c>
      <c r="OAL68" s="199"/>
      <c r="OAM68" s="149" t="s">
        <v>125</v>
      </c>
      <c r="OAN68" s="197"/>
      <c r="OAO68" s="198"/>
      <c r="OAP68" s="143" t="s">
        <v>22</v>
      </c>
      <c r="OAQ68" s="144">
        <v>8150</v>
      </c>
      <c r="OAR68" s="152">
        <v>85</v>
      </c>
      <c r="OAS68" s="153">
        <v>215</v>
      </c>
      <c r="OAT68" s="153">
        <v>75</v>
      </c>
      <c r="OAU68" s="152">
        <v>150</v>
      </c>
      <c r="OAV68" s="154">
        <f>SUM(OAQ68:OAU68)</f>
        <v>8675</v>
      </c>
      <c r="OAW68" s="152">
        <v>200</v>
      </c>
      <c r="OAX68" s="154">
        <f>SUM(OAV68:OAW68)</f>
        <v>8875</v>
      </c>
      <c r="OAY68" s="147" t="s">
        <v>99</v>
      </c>
      <c r="OAZ68" s="148">
        <v>45845</v>
      </c>
      <c r="OBA68" s="143" t="s">
        <v>46</v>
      </c>
      <c r="OBB68" s="199"/>
      <c r="OBC68" s="149" t="s">
        <v>125</v>
      </c>
      <c r="OBD68" s="197"/>
      <c r="OBE68" s="198"/>
      <c r="OBF68" s="143" t="s">
        <v>22</v>
      </c>
      <c r="OBG68" s="144">
        <v>8150</v>
      </c>
      <c r="OBH68" s="152">
        <v>85</v>
      </c>
      <c r="OBI68" s="153">
        <v>215</v>
      </c>
      <c r="OBJ68" s="153">
        <v>75</v>
      </c>
      <c r="OBK68" s="152">
        <v>150</v>
      </c>
      <c r="OBL68" s="154">
        <f>SUM(OBG68:OBK68)</f>
        <v>8675</v>
      </c>
      <c r="OBM68" s="152">
        <v>200</v>
      </c>
      <c r="OBN68" s="154">
        <f>SUM(OBL68:OBM68)</f>
        <v>8875</v>
      </c>
      <c r="OBO68" s="147" t="s">
        <v>99</v>
      </c>
      <c r="OBP68" s="148">
        <v>45845</v>
      </c>
      <c r="OBQ68" s="143" t="s">
        <v>46</v>
      </c>
      <c r="OBR68" s="199"/>
      <c r="OBS68" s="149" t="s">
        <v>125</v>
      </c>
      <c r="OBT68" s="197"/>
      <c r="OBU68" s="198"/>
      <c r="OBV68" s="143" t="s">
        <v>22</v>
      </c>
      <c r="OBW68" s="144">
        <v>8150</v>
      </c>
      <c r="OBX68" s="152">
        <v>85</v>
      </c>
      <c r="OBY68" s="153">
        <v>215</v>
      </c>
      <c r="OBZ68" s="153">
        <v>75</v>
      </c>
      <c r="OCA68" s="152">
        <v>150</v>
      </c>
      <c r="OCB68" s="154">
        <f>SUM(OBW68:OCA68)</f>
        <v>8675</v>
      </c>
      <c r="OCC68" s="152">
        <v>200</v>
      </c>
      <c r="OCD68" s="154">
        <f>SUM(OCB68:OCC68)</f>
        <v>8875</v>
      </c>
      <c r="OCE68" s="147" t="s">
        <v>99</v>
      </c>
      <c r="OCF68" s="148">
        <v>45845</v>
      </c>
      <c r="OCG68" s="143" t="s">
        <v>46</v>
      </c>
      <c r="OCH68" s="199"/>
      <c r="OCI68" s="149" t="s">
        <v>125</v>
      </c>
      <c r="OCJ68" s="197"/>
      <c r="OCK68" s="198"/>
      <c r="OCL68" s="143" t="s">
        <v>22</v>
      </c>
      <c r="OCM68" s="144">
        <v>8150</v>
      </c>
      <c r="OCN68" s="152">
        <v>85</v>
      </c>
      <c r="OCO68" s="153">
        <v>215</v>
      </c>
      <c r="OCP68" s="153">
        <v>75</v>
      </c>
      <c r="OCQ68" s="152">
        <v>150</v>
      </c>
      <c r="OCR68" s="154">
        <f>SUM(OCM68:OCQ68)</f>
        <v>8675</v>
      </c>
      <c r="OCS68" s="152">
        <v>200</v>
      </c>
      <c r="OCT68" s="154">
        <f>SUM(OCR68:OCS68)</f>
        <v>8875</v>
      </c>
      <c r="OCU68" s="147" t="s">
        <v>99</v>
      </c>
      <c r="OCV68" s="148">
        <v>45845</v>
      </c>
      <c r="OCW68" s="143" t="s">
        <v>46</v>
      </c>
      <c r="OCX68" s="199"/>
      <c r="OCY68" s="149" t="s">
        <v>125</v>
      </c>
      <c r="OCZ68" s="197"/>
      <c r="ODA68" s="198"/>
      <c r="ODB68" s="143" t="s">
        <v>22</v>
      </c>
      <c r="ODC68" s="144">
        <v>8150</v>
      </c>
      <c r="ODD68" s="152">
        <v>85</v>
      </c>
      <c r="ODE68" s="153">
        <v>215</v>
      </c>
      <c r="ODF68" s="153">
        <v>75</v>
      </c>
      <c r="ODG68" s="152">
        <v>150</v>
      </c>
      <c r="ODH68" s="154">
        <f>SUM(ODC68:ODG68)</f>
        <v>8675</v>
      </c>
      <c r="ODI68" s="152">
        <v>200</v>
      </c>
      <c r="ODJ68" s="154">
        <f>SUM(ODH68:ODI68)</f>
        <v>8875</v>
      </c>
      <c r="ODK68" s="147" t="s">
        <v>99</v>
      </c>
      <c r="ODL68" s="148">
        <v>45845</v>
      </c>
      <c r="ODM68" s="143" t="s">
        <v>46</v>
      </c>
      <c r="ODN68" s="199"/>
      <c r="ODO68" s="149" t="s">
        <v>125</v>
      </c>
      <c r="ODP68" s="197"/>
      <c r="ODQ68" s="198"/>
      <c r="ODR68" s="143" t="s">
        <v>22</v>
      </c>
      <c r="ODS68" s="144">
        <v>8150</v>
      </c>
      <c r="ODT68" s="152">
        <v>85</v>
      </c>
      <c r="ODU68" s="153">
        <v>215</v>
      </c>
      <c r="ODV68" s="153">
        <v>75</v>
      </c>
      <c r="ODW68" s="152">
        <v>150</v>
      </c>
      <c r="ODX68" s="154">
        <f>SUM(ODS68:ODW68)</f>
        <v>8675</v>
      </c>
      <c r="ODY68" s="152">
        <v>200</v>
      </c>
      <c r="ODZ68" s="154">
        <f>SUM(ODX68:ODY68)</f>
        <v>8875</v>
      </c>
      <c r="OEA68" s="147" t="s">
        <v>99</v>
      </c>
      <c r="OEB68" s="148">
        <v>45845</v>
      </c>
      <c r="OEC68" s="143" t="s">
        <v>46</v>
      </c>
      <c r="OED68" s="199"/>
      <c r="OEE68" s="149" t="s">
        <v>125</v>
      </c>
      <c r="OEF68" s="197"/>
      <c r="OEG68" s="198"/>
      <c r="OEH68" s="143" t="s">
        <v>22</v>
      </c>
      <c r="OEI68" s="144">
        <v>8150</v>
      </c>
      <c r="OEJ68" s="152">
        <v>85</v>
      </c>
      <c r="OEK68" s="153">
        <v>215</v>
      </c>
      <c r="OEL68" s="153">
        <v>75</v>
      </c>
      <c r="OEM68" s="152">
        <v>150</v>
      </c>
      <c r="OEN68" s="154">
        <f>SUM(OEI68:OEM68)</f>
        <v>8675</v>
      </c>
      <c r="OEO68" s="152">
        <v>200</v>
      </c>
      <c r="OEP68" s="154">
        <f>SUM(OEN68:OEO68)</f>
        <v>8875</v>
      </c>
      <c r="OEQ68" s="147" t="s">
        <v>99</v>
      </c>
      <c r="OER68" s="148">
        <v>45845</v>
      </c>
      <c r="OES68" s="143" t="s">
        <v>46</v>
      </c>
      <c r="OET68" s="199"/>
      <c r="OEU68" s="149" t="s">
        <v>125</v>
      </c>
      <c r="OEV68" s="197"/>
      <c r="OEW68" s="198"/>
      <c r="OEX68" s="143" t="s">
        <v>22</v>
      </c>
      <c r="OEY68" s="144">
        <v>8150</v>
      </c>
      <c r="OEZ68" s="152">
        <v>85</v>
      </c>
      <c r="OFA68" s="153">
        <v>215</v>
      </c>
      <c r="OFB68" s="153">
        <v>75</v>
      </c>
      <c r="OFC68" s="152">
        <v>150</v>
      </c>
      <c r="OFD68" s="154">
        <f>SUM(OEY68:OFC68)</f>
        <v>8675</v>
      </c>
      <c r="OFE68" s="152">
        <v>200</v>
      </c>
      <c r="OFF68" s="154">
        <f>SUM(OFD68:OFE68)</f>
        <v>8875</v>
      </c>
      <c r="OFG68" s="147" t="s">
        <v>99</v>
      </c>
      <c r="OFH68" s="148">
        <v>45845</v>
      </c>
      <c r="OFI68" s="143" t="s">
        <v>46</v>
      </c>
      <c r="OFJ68" s="199"/>
      <c r="OFK68" s="149" t="s">
        <v>125</v>
      </c>
      <c r="OFL68" s="197"/>
      <c r="OFM68" s="198"/>
      <c r="OFN68" s="143" t="s">
        <v>22</v>
      </c>
      <c r="OFO68" s="144">
        <v>8150</v>
      </c>
      <c r="OFP68" s="152">
        <v>85</v>
      </c>
      <c r="OFQ68" s="153">
        <v>215</v>
      </c>
      <c r="OFR68" s="153">
        <v>75</v>
      </c>
      <c r="OFS68" s="152">
        <v>150</v>
      </c>
      <c r="OFT68" s="154">
        <f>SUM(OFO68:OFS68)</f>
        <v>8675</v>
      </c>
      <c r="OFU68" s="152">
        <v>200</v>
      </c>
      <c r="OFV68" s="154">
        <f>SUM(OFT68:OFU68)</f>
        <v>8875</v>
      </c>
      <c r="OFW68" s="147" t="s">
        <v>99</v>
      </c>
      <c r="OFX68" s="148">
        <v>45845</v>
      </c>
      <c r="OFY68" s="143" t="s">
        <v>46</v>
      </c>
      <c r="OFZ68" s="199"/>
      <c r="OGA68" s="149" t="s">
        <v>125</v>
      </c>
      <c r="OGB68" s="197"/>
      <c r="OGC68" s="198"/>
      <c r="OGD68" s="143" t="s">
        <v>22</v>
      </c>
      <c r="OGE68" s="144">
        <v>8150</v>
      </c>
      <c r="OGF68" s="152">
        <v>85</v>
      </c>
      <c r="OGG68" s="153">
        <v>215</v>
      </c>
      <c r="OGH68" s="153">
        <v>75</v>
      </c>
      <c r="OGI68" s="152">
        <v>150</v>
      </c>
      <c r="OGJ68" s="154">
        <f>SUM(OGE68:OGI68)</f>
        <v>8675</v>
      </c>
      <c r="OGK68" s="152">
        <v>200</v>
      </c>
      <c r="OGL68" s="154">
        <f>SUM(OGJ68:OGK68)</f>
        <v>8875</v>
      </c>
      <c r="OGM68" s="147" t="s">
        <v>99</v>
      </c>
      <c r="OGN68" s="148">
        <v>45845</v>
      </c>
      <c r="OGO68" s="143" t="s">
        <v>46</v>
      </c>
      <c r="OGP68" s="199"/>
      <c r="OGQ68" s="149" t="s">
        <v>125</v>
      </c>
      <c r="OGR68" s="197"/>
      <c r="OGS68" s="198"/>
      <c r="OGT68" s="143" t="s">
        <v>22</v>
      </c>
      <c r="OGU68" s="144">
        <v>8150</v>
      </c>
      <c r="OGV68" s="152">
        <v>85</v>
      </c>
      <c r="OGW68" s="153">
        <v>215</v>
      </c>
      <c r="OGX68" s="153">
        <v>75</v>
      </c>
      <c r="OGY68" s="152">
        <v>150</v>
      </c>
      <c r="OGZ68" s="154">
        <f>SUM(OGU68:OGY68)</f>
        <v>8675</v>
      </c>
      <c r="OHA68" s="152">
        <v>200</v>
      </c>
      <c r="OHB68" s="154">
        <f>SUM(OGZ68:OHA68)</f>
        <v>8875</v>
      </c>
      <c r="OHC68" s="147" t="s">
        <v>99</v>
      </c>
      <c r="OHD68" s="148">
        <v>45845</v>
      </c>
      <c r="OHE68" s="143" t="s">
        <v>46</v>
      </c>
      <c r="OHF68" s="199"/>
      <c r="OHG68" s="149" t="s">
        <v>125</v>
      </c>
      <c r="OHH68" s="197"/>
      <c r="OHI68" s="198"/>
      <c r="OHJ68" s="143" t="s">
        <v>22</v>
      </c>
      <c r="OHK68" s="144">
        <v>8150</v>
      </c>
      <c r="OHL68" s="152">
        <v>85</v>
      </c>
      <c r="OHM68" s="153">
        <v>215</v>
      </c>
      <c r="OHN68" s="153">
        <v>75</v>
      </c>
      <c r="OHO68" s="152">
        <v>150</v>
      </c>
      <c r="OHP68" s="154">
        <f>SUM(OHK68:OHO68)</f>
        <v>8675</v>
      </c>
      <c r="OHQ68" s="152">
        <v>200</v>
      </c>
      <c r="OHR68" s="154">
        <f>SUM(OHP68:OHQ68)</f>
        <v>8875</v>
      </c>
      <c r="OHS68" s="147" t="s">
        <v>99</v>
      </c>
      <c r="OHT68" s="148">
        <v>45845</v>
      </c>
      <c r="OHU68" s="143" t="s">
        <v>46</v>
      </c>
      <c r="OHV68" s="199"/>
      <c r="OHW68" s="149" t="s">
        <v>125</v>
      </c>
      <c r="OHX68" s="197"/>
      <c r="OHY68" s="198"/>
      <c r="OHZ68" s="143" t="s">
        <v>22</v>
      </c>
      <c r="OIA68" s="144">
        <v>8150</v>
      </c>
      <c r="OIB68" s="152">
        <v>85</v>
      </c>
      <c r="OIC68" s="153">
        <v>215</v>
      </c>
      <c r="OID68" s="153">
        <v>75</v>
      </c>
      <c r="OIE68" s="152">
        <v>150</v>
      </c>
      <c r="OIF68" s="154">
        <f>SUM(OIA68:OIE68)</f>
        <v>8675</v>
      </c>
      <c r="OIG68" s="152">
        <v>200</v>
      </c>
      <c r="OIH68" s="154">
        <f>SUM(OIF68:OIG68)</f>
        <v>8875</v>
      </c>
      <c r="OII68" s="147" t="s">
        <v>99</v>
      </c>
      <c r="OIJ68" s="148">
        <v>45845</v>
      </c>
      <c r="OIK68" s="143" t="s">
        <v>46</v>
      </c>
      <c r="OIL68" s="199"/>
      <c r="OIM68" s="149" t="s">
        <v>125</v>
      </c>
      <c r="OIN68" s="197"/>
      <c r="OIO68" s="198"/>
      <c r="OIP68" s="143" t="s">
        <v>22</v>
      </c>
      <c r="OIQ68" s="144">
        <v>8150</v>
      </c>
      <c r="OIR68" s="152">
        <v>85</v>
      </c>
      <c r="OIS68" s="153">
        <v>215</v>
      </c>
      <c r="OIT68" s="153">
        <v>75</v>
      </c>
      <c r="OIU68" s="152">
        <v>150</v>
      </c>
      <c r="OIV68" s="154">
        <f>SUM(OIQ68:OIU68)</f>
        <v>8675</v>
      </c>
      <c r="OIW68" s="152">
        <v>200</v>
      </c>
      <c r="OIX68" s="154">
        <f>SUM(OIV68:OIW68)</f>
        <v>8875</v>
      </c>
      <c r="OIY68" s="147" t="s">
        <v>99</v>
      </c>
      <c r="OIZ68" s="148">
        <v>45845</v>
      </c>
      <c r="OJA68" s="143" t="s">
        <v>46</v>
      </c>
      <c r="OJB68" s="199"/>
      <c r="OJC68" s="149" t="s">
        <v>125</v>
      </c>
      <c r="OJD68" s="197"/>
      <c r="OJE68" s="198"/>
      <c r="OJF68" s="143" t="s">
        <v>22</v>
      </c>
      <c r="OJG68" s="144">
        <v>8150</v>
      </c>
      <c r="OJH68" s="152">
        <v>85</v>
      </c>
      <c r="OJI68" s="153">
        <v>215</v>
      </c>
      <c r="OJJ68" s="153">
        <v>75</v>
      </c>
      <c r="OJK68" s="152">
        <v>150</v>
      </c>
      <c r="OJL68" s="154">
        <f>SUM(OJG68:OJK68)</f>
        <v>8675</v>
      </c>
      <c r="OJM68" s="152">
        <v>200</v>
      </c>
      <c r="OJN68" s="154">
        <f>SUM(OJL68:OJM68)</f>
        <v>8875</v>
      </c>
      <c r="OJO68" s="147" t="s">
        <v>99</v>
      </c>
      <c r="OJP68" s="148">
        <v>45845</v>
      </c>
      <c r="OJQ68" s="143" t="s">
        <v>46</v>
      </c>
      <c r="OJR68" s="199"/>
      <c r="OJS68" s="149" t="s">
        <v>125</v>
      </c>
      <c r="OJT68" s="197"/>
      <c r="OJU68" s="198"/>
      <c r="OJV68" s="143" t="s">
        <v>22</v>
      </c>
      <c r="OJW68" s="144">
        <v>8150</v>
      </c>
      <c r="OJX68" s="152">
        <v>85</v>
      </c>
      <c r="OJY68" s="153">
        <v>215</v>
      </c>
      <c r="OJZ68" s="153">
        <v>75</v>
      </c>
      <c r="OKA68" s="152">
        <v>150</v>
      </c>
      <c r="OKB68" s="154">
        <f>SUM(OJW68:OKA68)</f>
        <v>8675</v>
      </c>
      <c r="OKC68" s="152">
        <v>200</v>
      </c>
      <c r="OKD68" s="154">
        <f>SUM(OKB68:OKC68)</f>
        <v>8875</v>
      </c>
      <c r="OKE68" s="147" t="s">
        <v>99</v>
      </c>
      <c r="OKF68" s="148">
        <v>45845</v>
      </c>
      <c r="OKG68" s="143" t="s">
        <v>46</v>
      </c>
      <c r="OKH68" s="199"/>
      <c r="OKI68" s="149" t="s">
        <v>125</v>
      </c>
      <c r="OKJ68" s="197"/>
      <c r="OKK68" s="198"/>
      <c r="OKL68" s="143" t="s">
        <v>22</v>
      </c>
      <c r="OKM68" s="144">
        <v>8150</v>
      </c>
      <c r="OKN68" s="152">
        <v>85</v>
      </c>
      <c r="OKO68" s="153">
        <v>215</v>
      </c>
      <c r="OKP68" s="153">
        <v>75</v>
      </c>
      <c r="OKQ68" s="152">
        <v>150</v>
      </c>
      <c r="OKR68" s="154">
        <f>SUM(OKM68:OKQ68)</f>
        <v>8675</v>
      </c>
      <c r="OKS68" s="152">
        <v>200</v>
      </c>
      <c r="OKT68" s="154">
        <f>SUM(OKR68:OKS68)</f>
        <v>8875</v>
      </c>
      <c r="OKU68" s="147" t="s">
        <v>99</v>
      </c>
      <c r="OKV68" s="148">
        <v>45845</v>
      </c>
      <c r="OKW68" s="143" t="s">
        <v>46</v>
      </c>
      <c r="OKX68" s="199"/>
      <c r="OKY68" s="149" t="s">
        <v>125</v>
      </c>
      <c r="OKZ68" s="197"/>
      <c r="OLA68" s="198"/>
      <c r="OLB68" s="143" t="s">
        <v>22</v>
      </c>
      <c r="OLC68" s="144">
        <v>8150</v>
      </c>
      <c r="OLD68" s="152">
        <v>85</v>
      </c>
      <c r="OLE68" s="153">
        <v>215</v>
      </c>
      <c r="OLF68" s="153">
        <v>75</v>
      </c>
      <c r="OLG68" s="152">
        <v>150</v>
      </c>
      <c r="OLH68" s="154">
        <f>SUM(OLC68:OLG68)</f>
        <v>8675</v>
      </c>
      <c r="OLI68" s="152">
        <v>200</v>
      </c>
      <c r="OLJ68" s="154">
        <f>SUM(OLH68:OLI68)</f>
        <v>8875</v>
      </c>
      <c r="OLK68" s="147" t="s">
        <v>99</v>
      </c>
      <c r="OLL68" s="148">
        <v>45845</v>
      </c>
      <c r="OLM68" s="143" t="s">
        <v>46</v>
      </c>
      <c r="OLN68" s="199"/>
      <c r="OLO68" s="149" t="s">
        <v>125</v>
      </c>
      <c r="OLP68" s="197"/>
      <c r="OLQ68" s="198"/>
      <c r="OLR68" s="143" t="s">
        <v>22</v>
      </c>
      <c r="OLS68" s="144">
        <v>8150</v>
      </c>
      <c r="OLT68" s="152">
        <v>85</v>
      </c>
      <c r="OLU68" s="153">
        <v>215</v>
      </c>
      <c r="OLV68" s="153">
        <v>75</v>
      </c>
      <c r="OLW68" s="152">
        <v>150</v>
      </c>
      <c r="OLX68" s="154">
        <f>SUM(OLS68:OLW68)</f>
        <v>8675</v>
      </c>
      <c r="OLY68" s="152">
        <v>200</v>
      </c>
      <c r="OLZ68" s="154">
        <f>SUM(OLX68:OLY68)</f>
        <v>8875</v>
      </c>
      <c r="OMA68" s="147" t="s">
        <v>99</v>
      </c>
      <c r="OMB68" s="148">
        <v>45845</v>
      </c>
      <c r="OMC68" s="143" t="s">
        <v>46</v>
      </c>
      <c r="OMD68" s="199"/>
      <c r="OME68" s="149" t="s">
        <v>125</v>
      </c>
      <c r="OMF68" s="197"/>
      <c r="OMG68" s="198"/>
      <c r="OMH68" s="143" t="s">
        <v>22</v>
      </c>
      <c r="OMI68" s="144">
        <v>8150</v>
      </c>
      <c r="OMJ68" s="152">
        <v>85</v>
      </c>
      <c r="OMK68" s="153">
        <v>215</v>
      </c>
      <c r="OML68" s="153">
        <v>75</v>
      </c>
      <c r="OMM68" s="152">
        <v>150</v>
      </c>
      <c r="OMN68" s="154">
        <f>SUM(OMI68:OMM68)</f>
        <v>8675</v>
      </c>
      <c r="OMO68" s="152">
        <v>200</v>
      </c>
      <c r="OMP68" s="154">
        <f>SUM(OMN68:OMO68)</f>
        <v>8875</v>
      </c>
      <c r="OMQ68" s="147" t="s">
        <v>99</v>
      </c>
      <c r="OMR68" s="148">
        <v>45845</v>
      </c>
      <c r="OMS68" s="143" t="s">
        <v>46</v>
      </c>
      <c r="OMT68" s="199"/>
      <c r="OMU68" s="149" t="s">
        <v>125</v>
      </c>
      <c r="OMV68" s="197"/>
      <c r="OMW68" s="198"/>
      <c r="OMX68" s="143" t="s">
        <v>22</v>
      </c>
      <c r="OMY68" s="144">
        <v>8150</v>
      </c>
      <c r="OMZ68" s="152">
        <v>85</v>
      </c>
      <c r="ONA68" s="153">
        <v>215</v>
      </c>
      <c r="ONB68" s="153">
        <v>75</v>
      </c>
      <c r="ONC68" s="152">
        <v>150</v>
      </c>
      <c r="OND68" s="154">
        <f>SUM(OMY68:ONC68)</f>
        <v>8675</v>
      </c>
      <c r="ONE68" s="152">
        <v>200</v>
      </c>
      <c r="ONF68" s="154">
        <f>SUM(OND68:ONE68)</f>
        <v>8875</v>
      </c>
      <c r="ONG68" s="147" t="s">
        <v>99</v>
      </c>
      <c r="ONH68" s="148">
        <v>45845</v>
      </c>
      <c r="ONI68" s="143" t="s">
        <v>46</v>
      </c>
      <c r="ONJ68" s="199"/>
      <c r="ONK68" s="149" t="s">
        <v>125</v>
      </c>
      <c r="ONL68" s="197"/>
      <c r="ONM68" s="198"/>
      <c r="ONN68" s="143" t="s">
        <v>22</v>
      </c>
      <c r="ONO68" s="144">
        <v>8150</v>
      </c>
      <c r="ONP68" s="152">
        <v>85</v>
      </c>
      <c r="ONQ68" s="153">
        <v>215</v>
      </c>
      <c r="ONR68" s="153">
        <v>75</v>
      </c>
      <c r="ONS68" s="152">
        <v>150</v>
      </c>
      <c r="ONT68" s="154">
        <f>SUM(ONO68:ONS68)</f>
        <v>8675</v>
      </c>
      <c r="ONU68" s="152">
        <v>200</v>
      </c>
      <c r="ONV68" s="154">
        <f>SUM(ONT68:ONU68)</f>
        <v>8875</v>
      </c>
      <c r="ONW68" s="147" t="s">
        <v>99</v>
      </c>
      <c r="ONX68" s="148">
        <v>45845</v>
      </c>
      <c r="ONY68" s="143" t="s">
        <v>46</v>
      </c>
      <c r="ONZ68" s="199"/>
      <c r="OOA68" s="149" t="s">
        <v>125</v>
      </c>
      <c r="OOB68" s="197"/>
      <c r="OOC68" s="198"/>
      <c r="OOD68" s="143" t="s">
        <v>22</v>
      </c>
      <c r="OOE68" s="144">
        <v>8150</v>
      </c>
      <c r="OOF68" s="152">
        <v>85</v>
      </c>
      <c r="OOG68" s="153">
        <v>215</v>
      </c>
      <c r="OOH68" s="153">
        <v>75</v>
      </c>
      <c r="OOI68" s="152">
        <v>150</v>
      </c>
      <c r="OOJ68" s="154">
        <f>SUM(OOE68:OOI68)</f>
        <v>8675</v>
      </c>
      <c r="OOK68" s="152">
        <v>200</v>
      </c>
      <c r="OOL68" s="154">
        <f>SUM(OOJ68:OOK68)</f>
        <v>8875</v>
      </c>
      <c r="OOM68" s="147" t="s">
        <v>99</v>
      </c>
      <c r="OON68" s="148">
        <v>45845</v>
      </c>
      <c r="OOO68" s="143" t="s">
        <v>46</v>
      </c>
      <c r="OOP68" s="199"/>
      <c r="OOQ68" s="149" t="s">
        <v>125</v>
      </c>
      <c r="OOR68" s="197"/>
      <c r="OOS68" s="198"/>
      <c r="OOT68" s="143" t="s">
        <v>22</v>
      </c>
      <c r="OOU68" s="144">
        <v>8150</v>
      </c>
      <c r="OOV68" s="152">
        <v>85</v>
      </c>
      <c r="OOW68" s="153">
        <v>215</v>
      </c>
      <c r="OOX68" s="153">
        <v>75</v>
      </c>
      <c r="OOY68" s="152">
        <v>150</v>
      </c>
      <c r="OOZ68" s="154">
        <f>SUM(OOU68:OOY68)</f>
        <v>8675</v>
      </c>
      <c r="OPA68" s="152">
        <v>200</v>
      </c>
      <c r="OPB68" s="154">
        <f>SUM(OOZ68:OPA68)</f>
        <v>8875</v>
      </c>
      <c r="OPC68" s="147" t="s">
        <v>99</v>
      </c>
      <c r="OPD68" s="148">
        <v>45845</v>
      </c>
      <c r="OPE68" s="143" t="s">
        <v>46</v>
      </c>
      <c r="OPF68" s="199"/>
      <c r="OPG68" s="149" t="s">
        <v>125</v>
      </c>
      <c r="OPH68" s="197"/>
      <c r="OPI68" s="198"/>
      <c r="OPJ68" s="143" t="s">
        <v>22</v>
      </c>
      <c r="OPK68" s="144">
        <v>8150</v>
      </c>
      <c r="OPL68" s="152">
        <v>85</v>
      </c>
      <c r="OPM68" s="153">
        <v>215</v>
      </c>
      <c r="OPN68" s="153">
        <v>75</v>
      </c>
      <c r="OPO68" s="152">
        <v>150</v>
      </c>
      <c r="OPP68" s="154">
        <f>SUM(OPK68:OPO68)</f>
        <v>8675</v>
      </c>
      <c r="OPQ68" s="152">
        <v>200</v>
      </c>
      <c r="OPR68" s="154">
        <f>SUM(OPP68:OPQ68)</f>
        <v>8875</v>
      </c>
      <c r="OPS68" s="147" t="s">
        <v>99</v>
      </c>
      <c r="OPT68" s="148">
        <v>45845</v>
      </c>
      <c r="OPU68" s="143" t="s">
        <v>46</v>
      </c>
      <c r="OPV68" s="199"/>
      <c r="OPW68" s="149" t="s">
        <v>125</v>
      </c>
      <c r="OPX68" s="197"/>
      <c r="OPY68" s="198"/>
      <c r="OPZ68" s="143" t="s">
        <v>22</v>
      </c>
      <c r="OQA68" s="144">
        <v>8150</v>
      </c>
      <c r="OQB68" s="152">
        <v>85</v>
      </c>
      <c r="OQC68" s="153">
        <v>215</v>
      </c>
      <c r="OQD68" s="153">
        <v>75</v>
      </c>
      <c r="OQE68" s="152">
        <v>150</v>
      </c>
      <c r="OQF68" s="154">
        <f>SUM(OQA68:OQE68)</f>
        <v>8675</v>
      </c>
      <c r="OQG68" s="152">
        <v>200</v>
      </c>
      <c r="OQH68" s="154">
        <f>SUM(OQF68:OQG68)</f>
        <v>8875</v>
      </c>
      <c r="OQI68" s="147" t="s">
        <v>99</v>
      </c>
      <c r="OQJ68" s="148">
        <v>45845</v>
      </c>
      <c r="OQK68" s="143" t="s">
        <v>46</v>
      </c>
      <c r="OQL68" s="199"/>
      <c r="OQM68" s="149" t="s">
        <v>125</v>
      </c>
      <c r="OQN68" s="197"/>
      <c r="OQO68" s="198"/>
      <c r="OQP68" s="143" t="s">
        <v>22</v>
      </c>
      <c r="OQQ68" s="144">
        <v>8150</v>
      </c>
      <c r="OQR68" s="152">
        <v>85</v>
      </c>
      <c r="OQS68" s="153">
        <v>215</v>
      </c>
      <c r="OQT68" s="153">
        <v>75</v>
      </c>
      <c r="OQU68" s="152">
        <v>150</v>
      </c>
      <c r="OQV68" s="154">
        <f>SUM(OQQ68:OQU68)</f>
        <v>8675</v>
      </c>
      <c r="OQW68" s="152">
        <v>200</v>
      </c>
      <c r="OQX68" s="154">
        <f>SUM(OQV68:OQW68)</f>
        <v>8875</v>
      </c>
      <c r="OQY68" s="147" t="s">
        <v>99</v>
      </c>
      <c r="OQZ68" s="148">
        <v>45845</v>
      </c>
      <c r="ORA68" s="143" t="s">
        <v>46</v>
      </c>
      <c r="ORB68" s="199"/>
      <c r="ORC68" s="149" t="s">
        <v>125</v>
      </c>
      <c r="ORD68" s="197"/>
      <c r="ORE68" s="198"/>
      <c r="ORF68" s="143" t="s">
        <v>22</v>
      </c>
      <c r="ORG68" s="144">
        <v>8150</v>
      </c>
      <c r="ORH68" s="152">
        <v>85</v>
      </c>
      <c r="ORI68" s="153">
        <v>215</v>
      </c>
      <c r="ORJ68" s="153">
        <v>75</v>
      </c>
      <c r="ORK68" s="152">
        <v>150</v>
      </c>
      <c r="ORL68" s="154">
        <f>SUM(ORG68:ORK68)</f>
        <v>8675</v>
      </c>
      <c r="ORM68" s="152">
        <v>200</v>
      </c>
      <c r="ORN68" s="154">
        <f>SUM(ORL68:ORM68)</f>
        <v>8875</v>
      </c>
      <c r="ORO68" s="147" t="s">
        <v>99</v>
      </c>
      <c r="ORP68" s="148">
        <v>45845</v>
      </c>
      <c r="ORQ68" s="143" t="s">
        <v>46</v>
      </c>
      <c r="ORR68" s="199"/>
      <c r="ORS68" s="149" t="s">
        <v>125</v>
      </c>
      <c r="ORT68" s="197"/>
      <c r="ORU68" s="198"/>
      <c r="ORV68" s="143" t="s">
        <v>22</v>
      </c>
      <c r="ORW68" s="144">
        <v>8150</v>
      </c>
      <c r="ORX68" s="152">
        <v>85</v>
      </c>
      <c r="ORY68" s="153">
        <v>215</v>
      </c>
      <c r="ORZ68" s="153">
        <v>75</v>
      </c>
      <c r="OSA68" s="152">
        <v>150</v>
      </c>
      <c r="OSB68" s="154">
        <f>SUM(ORW68:OSA68)</f>
        <v>8675</v>
      </c>
      <c r="OSC68" s="152">
        <v>200</v>
      </c>
      <c r="OSD68" s="154">
        <f>SUM(OSB68:OSC68)</f>
        <v>8875</v>
      </c>
      <c r="OSE68" s="147" t="s">
        <v>99</v>
      </c>
      <c r="OSF68" s="148">
        <v>45845</v>
      </c>
      <c r="OSG68" s="143" t="s">
        <v>46</v>
      </c>
      <c r="OSH68" s="199"/>
      <c r="OSI68" s="149" t="s">
        <v>125</v>
      </c>
      <c r="OSJ68" s="197"/>
      <c r="OSK68" s="198"/>
      <c r="OSL68" s="143" t="s">
        <v>22</v>
      </c>
      <c r="OSM68" s="144">
        <v>8150</v>
      </c>
      <c r="OSN68" s="152">
        <v>85</v>
      </c>
      <c r="OSO68" s="153">
        <v>215</v>
      </c>
      <c r="OSP68" s="153">
        <v>75</v>
      </c>
      <c r="OSQ68" s="152">
        <v>150</v>
      </c>
      <c r="OSR68" s="154">
        <f>SUM(OSM68:OSQ68)</f>
        <v>8675</v>
      </c>
      <c r="OSS68" s="152">
        <v>200</v>
      </c>
      <c r="OST68" s="154">
        <f>SUM(OSR68:OSS68)</f>
        <v>8875</v>
      </c>
      <c r="OSU68" s="147" t="s">
        <v>99</v>
      </c>
      <c r="OSV68" s="148">
        <v>45845</v>
      </c>
      <c r="OSW68" s="143" t="s">
        <v>46</v>
      </c>
      <c r="OSX68" s="199"/>
      <c r="OSY68" s="149" t="s">
        <v>125</v>
      </c>
      <c r="OSZ68" s="197"/>
      <c r="OTA68" s="198"/>
      <c r="OTB68" s="143" t="s">
        <v>22</v>
      </c>
      <c r="OTC68" s="144">
        <v>8150</v>
      </c>
      <c r="OTD68" s="152">
        <v>85</v>
      </c>
      <c r="OTE68" s="153">
        <v>215</v>
      </c>
      <c r="OTF68" s="153">
        <v>75</v>
      </c>
      <c r="OTG68" s="152">
        <v>150</v>
      </c>
      <c r="OTH68" s="154">
        <f>SUM(OTC68:OTG68)</f>
        <v>8675</v>
      </c>
      <c r="OTI68" s="152">
        <v>200</v>
      </c>
      <c r="OTJ68" s="154">
        <f>SUM(OTH68:OTI68)</f>
        <v>8875</v>
      </c>
      <c r="OTK68" s="147" t="s">
        <v>99</v>
      </c>
      <c r="OTL68" s="148">
        <v>45845</v>
      </c>
      <c r="OTM68" s="143" t="s">
        <v>46</v>
      </c>
      <c r="OTN68" s="199"/>
      <c r="OTO68" s="149" t="s">
        <v>125</v>
      </c>
      <c r="OTP68" s="197"/>
      <c r="OTQ68" s="198"/>
      <c r="OTR68" s="143" t="s">
        <v>22</v>
      </c>
      <c r="OTS68" s="144">
        <v>8150</v>
      </c>
      <c r="OTT68" s="152">
        <v>85</v>
      </c>
      <c r="OTU68" s="153">
        <v>215</v>
      </c>
      <c r="OTV68" s="153">
        <v>75</v>
      </c>
      <c r="OTW68" s="152">
        <v>150</v>
      </c>
      <c r="OTX68" s="154">
        <f>SUM(OTS68:OTW68)</f>
        <v>8675</v>
      </c>
      <c r="OTY68" s="152">
        <v>200</v>
      </c>
      <c r="OTZ68" s="154">
        <f>SUM(OTX68:OTY68)</f>
        <v>8875</v>
      </c>
      <c r="OUA68" s="147" t="s">
        <v>99</v>
      </c>
      <c r="OUB68" s="148">
        <v>45845</v>
      </c>
      <c r="OUC68" s="143" t="s">
        <v>46</v>
      </c>
      <c r="OUD68" s="199"/>
      <c r="OUE68" s="149" t="s">
        <v>125</v>
      </c>
      <c r="OUF68" s="197"/>
      <c r="OUG68" s="198"/>
      <c r="OUH68" s="143" t="s">
        <v>22</v>
      </c>
      <c r="OUI68" s="144">
        <v>8150</v>
      </c>
      <c r="OUJ68" s="152">
        <v>85</v>
      </c>
      <c r="OUK68" s="153">
        <v>215</v>
      </c>
      <c r="OUL68" s="153">
        <v>75</v>
      </c>
      <c r="OUM68" s="152">
        <v>150</v>
      </c>
      <c r="OUN68" s="154">
        <f>SUM(OUI68:OUM68)</f>
        <v>8675</v>
      </c>
      <c r="OUO68" s="152">
        <v>200</v>
      </c>
      <c r="OUP68" s="154">
        <f>SUM(OUN68:OUO68)</f>
        <v>8875</v>
      </c>
      <c r="OUQ68" s="147" t="s">
        <v>99</v>
      </c>
      <c r="OUR68" s="148">
        <v>45845</v>
      </c>
      <c r="OUS68" s="143" t="s">
        <v>46</v>
      </c>
      <c r="OUT68" s="199"/>
      <c r="OUU68" s="149" t="s">
        <v>125</v>
      </c>
      <c r="OUV68" s="197"/>
      <c r="OUW68" s="198"/>
      <c r="OUX68" s="143" t="s">
        <v>22</v>
      </c>
      <c r="OUY68" s="144">
        <v>8150</v>
      </c>
      <c r="OUZ68" s="152">
        <v>85</v>
      </c>
      <c r="OVA68" s="153">
        <v>215</v>
      </c>
      <c r="OVB68" s="153">
        <v>75</v>
      </c>
      <c r="OVC68" s="152">
        <v>150</v>
      </c>
      <c r="OVD68" s="154">
        <f>SUM(OUY68:OVC68)</f>
        <v>8675</v>
      </c>
      <c r="OVE68" s="152">
        <v>200</v>
      </c>
      <c r="OVF68" s="154">
        <f>SUM(OVD68:OVE68)</f>
        <v>8875</v>
      </c>
      <c r="OVG68" s="147" t="s">
        <v>99</v>
      </c>
      <c r="OVH68" s="148">
        <v>45845</v>
      </c>
      <c r="OVI68" s="143" t="s">
        <v>46</v>
      </c>
      <c r="OVJ68" s="199"/>
      <c r="OVK68" s="149" t="s">
        <v>125</v>
      </c>
      <c r="OVL68" s="197"/>
      <c r="OVM68" s="198"/>
      <c r="OVN68" s="143" t="s">
        <v>22</v>
      </c>
      <c r="OVO68" s="144">
        <v>8150</v>
      </c>
      <c r="OVP68" s="152">
        <v>85</v>
      </c>
      <c r="OVQ68" s="153">
        <v>215</v>
      </c>
      <c r="OVR68" s="153">
        <v>75</v>
      </c>
      <c r="OVS68" s="152">
        <v>150</v>
      </c>
      <c r="OVT68" s="154">
        <f>SUM(OVO68:OVS68)</f>
        <v>8675</v>
      </c>
      <c r="OVU68" s="152">
        <v>200</v>
      </c>
      <c r="OVV68" s="154">
        <f>SUM(OVT68:OVU68)</f>
        <v>8875</v>
      </c>
      <c r="OVW68" s="147" t="s">
        <v>99</v>
      </c>
      <c r="OVX68" s="148">
        <v>45845</v>
      </c>
      <c r="OVY68" s="143" t="s">
        <v>46</v>
      </c>
      <c r="OVZ68" s="199"/>
      <c r="OWA68" s="149" t="s">
        <v>125</v>
      </c>
      <c r="OWB68" s="197"/>
      <c r="OWC68" s="198"/>
      <c r="OWD68" s="143" t="s">
        <v>22</v>
      </c>
      <c r="OWE68" s="144">
        <v>8150</v>
      </c>
      <c r="OWF68" s="152">
        <v>85</v>
      </c>
      <c r="OWG68" s="153">
        <v>215</v>
      </c>
      <c r="OWH68" s="153">
        <v>75</v>
      </c>
      <c r="OWI68" s="152">
        <v>150</v>
      </c>
      <c r="OWJ68" s="154">
        <f>SUM(OWE68:OWI68)</f>
        <v>8675</v>
      </c>
      <c r="OWK68" s="152">
        <v>200</v>
      </c>
      <c r="OWL68" s="154">
        <f>SUM(OWJ68:OWK68)</f>
        <v>8875</v>
      </c>
      <c r="OWM68" s="147" t="s">
        <v>99</v>
      </c>
      <c r="OWN68" s="148">
        <v>45845</v>
      </c>
      <c r="OWO68" s="143" t="s">
        <v>46</v>
      </c>
      <c r="OWP68" s="199"/>
      <c r="OWQ68" s="149" t="s">
        <v>125</v>
      </c>
      <c r="OWR68" s="197"/>
      <c r="OWS68" s="198"/>
      <c r="OWT68" s="143" t="s">
        <v>22</v>
      </c>
      <c r="OWU68" s="144">
        <v>8150</v>
      </c>
      <c r="OWV68" s="152">
        <v>85</v>
      </c>
      <c r="OWW68" s="153">
        <v>215</v>
      </c>
      <c r="OWX68" s="153">
        <v>75</v>
      </c>
      <c r="OWY68" s="152">
        <v>150</v>
      </c>
      <c r="OWZ68" s="154">
        <f>SUM(OWU68:OWY68)</f>
        <v>8675</v>
      </c>
      <c r="OXA68" s="152">
        <v>200</v>
      </c>
      <c r="OXB68" s="154">
        <f>SUM(OWZ68:OXA68)</f>
        <v>8875</v>
      </c>
      <c r="OXC68" s="147" t="s">
        <v>99</v>
      </c>
      <c r="OXD68" s="148">
        <v>45845</v>
      </c>
      <c r="OXE68" s="143" t="s">
        <v>46</v>
      </c>
      <c r="OXF68" s="199"/>
      <c r="OXG68" s="149" t="s">
        <v>125</v>
      </c>
      <c r="OXH68" s="197"/>
      <c r="OXI68" s="198"/>
      <c r="OXJ68" s="143" t="s">
        <v>22</v>
      </c>
      <c r="OXK68" s="144">
        <v>8150</v>
      </c>
      <c r="OXL68" s="152">
        <v>85</v>
      </c>
      <c r="OXM68" s="153">
        <v>215</v>
      </c>
      <c r="OXN68" s="153">
        <v>75</v>
      </c>
      <c r="OXO68" s="152">
        <v>150</v>
      </c>
      <c r="OXP68" s="154">
        <f>SUM(OXK68:OXO68)</f>
        <v>8675</v>
      </c>
      <c r="OXQ68" s="152">
        <v>200</v>
      </c>
      <c r="OXR68" s="154">
        <f>SUM(OXP68:OXQ68)</f>
        <v>8875</v>
      </c>
      <c r="OXS68" s="147" t="s">
        <v>99</v>
      </c>
      <c r="OXT68" s="148">
        <v>45845</v>
      </c>
      <c r="OXU68" s="143" t="s">
        <v>46</v>
      </c>
      <c r="OXV68" s="199"/>
      <c r="OXW68" s="149" t="s">
        <v>125</v>
      </c>
      <c r="OXX68" s="197"/>
      <c r="OXY68" s="198"/>
      <c r="OXZ68" s="143" t="s">
        <v>22</v>
      </c>
      <c r="OYA68" s="144">
        <v>8150</v>
      </c>
      <c r="OYB68" s="152">
        <v>85</v>
      </c>
      <c r="OYC68" s="153">
        <v>215</v>
      </c>
      <c r="OYD68" s="153">
        <v>75</v>
      </c>
      <c r="OYE68" s="152">
        <v>150</v>
      </c>
      <c r="OYF68" s="154">
        <f>SUM(OYA68:OYE68)</f>
        <v>8675</v>
      </c>
      <c r="OYG68" s="152">
        <v>200</v>
      </c>
      <c r="OYH68" s="154">
        <f>SUM(OYF68:OYG68)</f>
        <v>8875</v>
      </c>
      <c r="OYI68" s="147" t="s">
        <v>99</v>
      </c>
      <c r="OYJ68" s="148">
        <v>45845</v>
      </c>
      <c r="OYK68" s="143" t="s">
        <v>46</v>
      </c>
      <c r="OYL68" s="199"/>
      <c r="OYM68" s="149" t="s">
        <v>125</v>
      </c>
      <c r="OYN68" s="197"/>
      <c r="OYO68" s="198"/>
      <c r="OYP68" s="143" t="s">
        <v>22</v>
      </c>
      <c r="OYQ68" s="144">
        <v>8150</v>
      </c>
      <c r="OYR68" s="152">
        <v>85</v>
      </c>
      <c r="OYS68" s="153">
        <v>215</v>
      </c>
      <c r="OYT68" s="153">
        <v>75</v>
      </c>
      <c r="OYU68" s="152">
        <v>150</v>
      </c>
      <c r="OYV68" s="154">
        <f>SUM(OYQ68:OYU68)</f>
        <v>8675</v>
      </c>
      <c r="OYW68" s="152">
        <v>200</v>
      </c>
      <c r="OYX68" s="154">
        <f>SUM(OYV68:OYW68)</f>
        <v>8875</v>
      </c>
      <c r="OYY68" s="147" t="s">
        <v>99</v>
      </c>
      <c r="OYZ68" s="148">
        <v>45845</v>
      </c>
      <c r="OZA68" s="143" t="s">
        <v>46</v>
      </c>
      <c r="OZB68" s="199"/>
      <c r="OZC68" s="149" t="s">
        <v>125</v>
      </c>
      <c r="OZD68" s="197"/>
      <c r="OZE68" s="198"/>
      <c r="OZF68" s="143" t="s">
        <v>22</v>
      </c>
      <c r="OZG68" s="144">
        <v>8150</v>
      </c>
      <c r="OZH68" s="152">
        <v>85</v>
      </c>
      <c r="OZI68" s="153">
        <v>215</v>
      </c>
      <c r="OZJ68" s="153">
        <v>75</v>
      </c>
      <c r="OZK68" s="152">
        <v>150</v>
      </c>
      <c r="OZL68" s="154">
        <f>SUM(OZG68:OZK68)</f>
        <v>8675</v>
      </c>
      <c r="OZM68" s="152">
        <v>200</v>
      </c>
      <c r="OZN68" s="154">
        <f>SUM(OZL68:OZM68)</f>
        <v>8875</v>
      </c>
      <c r="OZO68" s="147" t="s">
        <v>99</v>
      </c>
      <c r="OZP68" s="148">
        <v>45845</v>
      </c>
      <c r="OZQ68" s="143" t="s">
        <v>46</v>
      </c>
      <c r="OZR68" s="199"/>
      <c r="OZS68" s="149" t="s">
        <v>125</v>
      </c>
      <c r="OZT68" s="197"/>
      <c r="OZU68" s="198"/>
      <c r="OZV68" s="143" t="s">
        <v>22</v>
      </c>
      <c r="OZW68" s="144">
        <v>8150</v>
      </c>
      <c r="OZX68" s="152">
        <v>85</v>
      </c>
      <c r="OZY68" s="153">
        <v>215</v>
      </c>
      <c r="OZZ68" s="153">
        <v>75</v>
      </c>
      <c r="PAA68" s="152">
        <v>150</v>
      </c>
      <c r="PAB68" s="154">
        <f>SUM(OZW68:PAA68)</f>
        <v>8675</v>
      </c>
      <c r="PAC68" s="152">
        <v>200</v>
      </c>
      <c r="PAD68" s="154">
        <f>SUM(PAB68:PAC68)</f>
        <v>8875</v>
      </c>
      <c r="PAE68" s="147" t="s">
        <v>99</v>
      </c>
      <c r="PAF68" s="148">
        <v>45845</v>
      </c>
      <c r="PAG68" s="143" t="s">
        <v>46</v>
      </c>
      <c r="PAH68" s="199"/>
      <c r="PAI68" s="149" t="s">
        <v>125</v>
      </c>
      <c r="PAJ68" s="197"/>
      <c r="PAK68" s="198"/>
      <c r="PAL68" s="143" t="s">
        <v>22</v>
      </c>
      <c r="PAM68" s="144">
        <v>8150</v>
      </c>
      <c r="PAN68" s="152">
        <v>85</v>
      </c>
      <c r="PAO68" s="153">
        <v>215</v>
      </c>
      <c r="PAP68" s="153">
        <v>75</v>
      </c>
      <c r="PAQ68" s="152">
        <v>150</v>
      </c>
      <c r="PAR68" s="154">
        <f>SUM(PAM68:PAQ68)</f>
        <v>8675</v>
      </c>
      <c r="PAS68" s="152">
        <v>200</v>
      </c>
      <c r="PAT68" s="154">
        <f>SUM(PAR68:PAS68)</f>
        <v>8875</v>
      </c>
      <c r="PAU68" s="147" t="s">
        <v>99</v>
      </c>
      <c r="PAV68" s="148">
        <v>45845</v>
      </c>
      <c r="PAW68" s="143" t="s">
        <v>46</v>
      </c>
      <c r="PAX68" s="199"/>
      <c r="PAY68" s="149" t="s">
        <v>125</v>
      </c>
      <c r="PAZ68" s="197"/>
      <c r="PBA68" s="198"/>
      <c r="PBB68" s="143" t="s">
        <v>22</v>
      </c>
      <c r="PBC68" s="144">
        <v>8150</v>
      </c>
      <c r="PBD68" s="152">
        <v>85</v>
      </c>
      <c r="PBE68" s="153">
        <v>215</v>
      </c>
      <c r="PBF68" s="153">
        <v>75</v>
      </c>
      <c r="PBG68" s="152">
        <v>150</v>
      </c>
      <c r="PBH68" s="154">
        <f>SUM(PBC68:PBG68)</f>
        <v>8675</v>
      </c>
      <c r="PBI68" s="152">
        <v>200</v>
      </c>
      <c r="PBJ68" s="154">
        <f>SUM(PBH68:PBI68)</f>
        <v>8875</v>
      </c>
      <c r="PBK68" s="147" t="s">
        <v>99</v>
      </c>
      <c r="PBL68" s="148">
        <v>45845</v>
      </c>
      <c r="PBM68" s="143" t="s">
        <v>46</v>
      </c>
      <c r="PBN68" s="199"/>
      <c r="PBO68" s="149" t="s">
        <v>125</v>
      </c>
      <c r="PBP68" s="197"/>
      <c r="PBQ68" s="198"/>
      <c r="PBR68" s="143" t="s">
        <v>22</v>
      </c>
      <c r="PBS68" s="144">
        <v>8150</v>
      </c>
      <c r="PBT68" s="152">
        <v>85</v>
      </c>
      <c r="PBU68" s="153">
        <v>215</v>
      </c>
      <c r="PBV68" s="153">
        <v>75</v>
      </c>
      <c r="PBW68" s="152">
        <v>150</v>
      </c>
      <c r="PBX68" s="154">
        <f>SUM(PBS68:PBW68)</f>
        <v>8675</v>
      </c>
      <c r="PBY68" s="152">
        <v>200</v>
      </c>
      <c r="PBZ68" s="154">
        <f>SUM(PBX68:PBY68)</f>
        <v>8875</v>
      </c>
      <c r="PCA68" s="147" t="s">
        <v>99</v>
      </c>
      <c r="PCB68" s="148">
        <v>45845</v>
      </c>
      <c r="PCC68" s="143" t="s">
        <v>46</v>
      </c>
      <c r="PCD68" s="199"/>
      <c r="PCE68" s="149" t="s">
        <v>125</v>
      </c>
      <c r="PCF68" s="197"/>
      <c r="PCG68" s="198"/>
      <c r="PCH68" s="143" t="s">
        <v>22</v>
      </c>
      <c r="PCI68" s="144">
        <v>8150</v>
      </c>
      <c r="PCJ68" s="152">
        <v>85</v>
      </c>
      <c r="PCK68" s="153">
        <v>215</v>
      </c>
      <c r="PCL68" s="153">
        <v>75</v>
      </c>
      <c r="PCM68" s="152">
        <v>150</v>
      </c>
      <c r="PCN68" s="154">
        <f>SUM(PCI68:PCM68)</f>
        <v>8675</v>
      </c>
      <c r="PCO68" s="152">
        <v>200</v>
      </c>
      <c r="PCP68" s="154">
        <f>SUM(PCN68:PCO68)</f>
        <v>8875</v>
      </c>
      <c r="PCQ68" s="147" t="s">
        <v>99</v>
      </c>
      <c r="PCR68" s="148">
        <v>45845</v>
      </c>
      <c r="PCS68" s="143" t="s">
        <v>46</v>
      </c>
      <c r="PCT68" s="199"/>
      <c r="PCU68" s="149" t="s">
        <v>125</v>
      </c>
      <c r="PCV68" s="197"/>
      <c r="PCW68" s="198"/>
      <c r="PCX68" s="143" t="s">
        <v>22</v>
      </c>
      <c r="PCY68" s="144">
        <v>8150</v>
      </c>
      <c r="PCZ68" s="152">
        <v>85</v>
      </c>
      <c r="PDA68" s="153">
        <v>215</v>
      </c>
      <c r="PDB68" s="153">
        <v>75</v>
      </c>
      <c r="PDC68" s="152">
        <v>150</v>
      </c>
      <c r="PDD68" s="154">
        <f>SUM(PCY68:PDC68)</f>
        <v>8675</v>
      </c>
      <c r="PDE68" s="152">
        <v>200</v>
      </c>
      <c r="PDF68" s="154">
        <f>SUM(PDD68:PDE68)</f>
        <v>8875</v>
      </c>
      <c r="PDG68" s="147" t="s">
        <v>99</v>
      </c>
      <c r="PDH68" s="148">
        <v>45845</v>
      </c>
      <c r="PDI68" s="143" t="s">
        <v>46</v>
      </c>
      <c r="PDJ68" s="199"/>
      <c r="PDK68" s="149" t="s">
        <v>125</v>
      </c>
      <c r="PDL68" s="197"/>
      <c r="PDM68" s="198"/>
      <c r="PDN68" s="143" t="s">
        <v>22</v>
      </c>
      <c r="PDO68" s="144">
        <v>8150</v>
      </c>
      <c r="PDP68" s="152">
        <v>85</v>
      </c>
      <c r="PDQ68" s="153">
        <v>215</v>
      </c>
      <c r="PDR68" s="153">
        <v>75</v>
      </c>
      <c r="PDS68" s="152">
        <v>150</v>
      </c>
      <c r="PDT68" s="154">
        <f>SUM(PDO68:PDS68)</f>
        <v>8675</v>
      </c>
      <c r="PDU68" s="152">
        <v>200</v>
      </c>
      <c r="PDV68" s="154">
        <f>SUM(PDT68:PDU68)</f>
        <v>8875</v>
      </c>
      <c r="PDW68" s="147" t="s">
        <v>99</v>
      </c>
      <c r="PDX68" s="148">
        <v>45845</v>
      </c>
      <c r="PDY68" s="143" t="s">
        <v>46</v>
      </c>
      <c r="PDZ68" s="199"/>
      <c r="PEA68" s="149" t="s">
        <v>125</v>
      </c>
      <c r="PEB68" s="197"/>
      <c r="PEC68" s="198"/>
      <c r="PED68" s="143" t="s">
        <v>22</v>
      </c>
      <c r="PEE68" s="144">
        <v>8150</v>
      </c>
      <c r="PEF68" s="152">
        <v>85</v>
      </c>
      <c r="PEG68" s="153">
        <v>215</v>
      </c>
      <c r="PEH68" s="153">
        <v>75</v>
      </c>
      <c r="PEI68" s="152">
        <v>150</v>
      </c>
      <c r="PEJ68" s="154">
        <f>SUM(PEE68:PEI68)</f>
        <v>8675</v>
      </c>
      <c r="PEK68" s="152">
        <v>200</v>
      </c>
      <c r="PEL68" s="154">
        <f>SUM(PEJ68:PEK68)</f>
        <v>8875</v>
      </c>
      <c r="PEM68" s="147" t="s">
        <v>99</v>
      </c>
      <c r="PEN68" s="148">
        <v>45845</v>
      </c>
      <c r="PEO68" s="143" t="s">
        <v>46</v>
      </c>
      <c r="PEP68" s="199"/>
      <c r="PEQ68" s="149" t="s">
        <v>125</v>
      </c>
      <c r="PER68" s="197"/>
      <c r="PES68" s="198"/>
      <c r="PET68" s="143" t="s">
        <v>22</v>
      </c>
      <c r="PEU68" s="144">
        <v>8150</v>
      </c>
      <c r="PEV68" s="152">
        <v>85</v>
      </c>
      <c r="PEW68" s="153">
        <v>215</v>
      </c>
      <c r="PEX68" s="153">
        <v>75</v>
      </c>
      <c r="PEY68" s="152">
        <v>150</v>
      </c>
      <c r="PEZ68" s="154">
        <f>SUM(PEU68:PEY68)</f>
        <v>8675</v>
      </c>
      <c r="PFA68" s="152">
        <v>200</v>
      </c>
      <c r="PFB68" s="154">
        <f>SUM(PEZ68:PFA68)</f>
        <v>8875</v>
      </c>
      <c r="PFC68" s="147" t="s">
        <v>99</v>
      </c>
      <c r="PFD68" s="148">
        <v>45845</v>
      </c>
      <c r="PFE68" s="143" t="s">
        <v>46</v>
      </c>
      <c r="PFF68" s="199"/>
      <c r="PFG68" s="149" t="s">
        <v>125</v>
      </c>
      <c r="PFH68" s="197"/>
      <c r="PFI68" s="198"/>
      <c r="PFJ68" s="143" t="s">
        <v>22</v>
      </c>
      <c r="PFK68" s="144">
        <v>8150</v>
      </c>
      <c r="PFL68" s="152">
        <v>85</v>
      </c>
      <c r="PFM68" s="153">
        <v>215</v>
      </c>
      <c r="PFN68" s="153">
        <v>75</v>
      </c>
      <c r="PFO68" s="152">
        <v>150</v>
      </c>
      <c r="PFP68" s="154">
        <f>SUM(PFK68:PFO68)</f>
        <v>8675</v>
      </c>
      <c r="PFQ68" s="152">
        <v>200</v>
      </c>
      <c r="PFR68" s="154">
        <f>SUM(PFP68:PFQ68)</f>
        <v>8875</v>
      </c>
      <c r="PFS68" s="147" t="s">
        <v>99</v>
      </c>
      <c r="PFT68" s="148">
        <v>45845</v>
      </c>
      <c r="PFU68" s="143" t="s">
        <v>46</v>
      </c>
      <c r="PFV68" s="199"/>
      <c r="PFW68" s="149" t="s">
        <v>125</v>
      </c>
      <c r="PFX68" s="197"/>
      <c r="PFY68" s="198"/>
      <c r="PFZ68" s="143" t="s">
        <v>22</v>
      </c>
      <c r="PGA68" s="144">
        <v>8150</v>
      </c>
      <c r="PGB68" s="152">
        <v>85</v>
      </c>
      <c r="PGC68" s="153">
        <v>215</v>
      </c>
      <c r="PGD68" s="153">
        <v>75</v>
      </c>
      <c r="PGE68" s="152">
        <v>150</v>
      </c>
      <c r="PGF68" s="154">
        <f>SUM(PGA68:PGE68)</f>
        <v>8675</v>
      </c>
      <c r="PGG68" s="152">
        <v>200</v>
      </c>
      <c r="PGH68" s="154">
        <f>SUM(PGF68:PGG68)</f>
        <v>8875</v>
      </c>
      <c r="PGI68" s="147" t="s">
        <v>99</v>
      </c>
      <c r="PGJ68" s="148">
        <v>45845</v>
      </c>
      <c r="PGK68" s="143" t="s">
        <v>46</v>
      </c>
      <c r="PGL68" s="199"/>
      <c r="PGM68" s="149" t="s">
        <v>125</v>
      </c>
      <c r="PGN68" s="197"/>
      <c r="PGO68" s="198"/>
      <c r="PGP68" s="143" t="s">
        <v>22</v>
      </c>
      <c r="PGQ68" s="144">
        <v>8150</v>
      </c>
      <c r="PGR68" s="152">
        <v>85</v>
      </c>
      <c r="PGS68" s="153">
        <v>215</v>
      </c>
      <c r="PGT68" s="153">
        <v>75</v>
      </c>
      <c r="PGU68" s="152">
        <v>150</v>
      </c>
      <c r="PGV68" s="154">
        <f>SUM(PGQ68:PGU68)</f>
        <v>8675</v>
      </c>
      <c r="PGW68" s="152">
        <v>200</v>
      </c>
      <c r="PGX68" s="154">
        <f>SUM(PGV68:PGW68)</f>
        <v>8875</v>
      </c>
      <c r="PGY68" s="147" t="s">
        <v>99</v>
      </c>
      <c r="PGZ68" s="148">
        <v>45845</v>
      </c>
      <c r="PHA68" s="143" t="s">
        <v>46</v>
      </c>
      <c r="PHB68" s="199"/>
      <c r="PHC68" s="149" t="s">
        <v>125</v>
      </c>
      <c r="PHD68" s="197"/>
      <c r="PHE68" s="198"/>
      <c r="PHF68" s="143" t="s">
        <v>22</v>
      </c>
      <c r="PHG68" s="144">
        <v>8150</v>
      </c>
      <c r="PHH68" s="152">
        <v>85</v>
      </c>
      <c r="PHI68" s="153">
        <v>215</v>
      </c>
      <c r="PHJ68" s="153">
        <v>75</v>
      </c>
      <c r="PHK68" s="152">
        <v>150</v>
      </c>
      <c r="PHL68" s="154">
        <f>SUM(PHG68:PHK68)</f>
        <v>8675</v>
      </c>
      <c r="PHM68" s="152">
        <v>200</v>
      </c>
      <c r="PHN68" s="154">
        <f>SUM(PHL68:PHM68)</f>
        <v>8875</v>
      </c>
      <c r="PHO68" s="147" t="s">
        <v>99</v>
      </c>
      <c r="PHP68" s="148">
        <v>45845</v>
      </c>
      <c r="PHQ68" s="143" t="s">
        <v>46</v>
      </c>
      <c r="PHR68" s="199"/>
      <c r="PHS68" s="149" t="s">
        <v>125</v>
      </c>
      <c r="PHT68" s="197"/>
      <c r="PHU68" s="198"/>
      <c r="PHV68" s="143" t="s">
        <v>22</v>
      </c>
      <c r="PHW68" s="144">
        <v>8150</v>
      </c>
      <c r="PHX68" s="152">
        <v>85</v>
      </c>
      <c r="PHY68" s="153">
        <v>215</v>
      </c>
      <c r="PHZ68" s="153">
        <v>75</v>
      </c>
      <c r="PIA68" s="152">
        <v>150</v>
      </c>
      <c r="PIB68" s="154">
        <f>SUM(PHW68:PIA68)</f>
        <v>8675</v>
      </c>
      <c r="PIC68" s="152">
        <v>200</v>
      </c>
      <c r="PID68" s="154">
        <f>SUM(PIB68:PIC68)</f>
        <v>8875</v>
      </c>
      <c r="PIE68" s="147" t="s">
        <v>99</v>
      </c>
      <c r="PIF68" s="148">
        <v>45845</v>
      </c>
      <c r="PIG68" s="143" t="s">
        <v>46</v>
      </c>
      <c r="PIH68" s="199"/>
      <c r="PII68" s="149" t="s">
        <v>125</v>
      </c>
      <c r="PIJ68" s="197"/>
      <c r="PIK68" s="198"/>
      <c r="PIL68" s="143" t="s">
        <v>22</v>
      </c>
      <c r="PIM68" s="144">
        <v>8150</v>
      </c>
      <c r="PIN68" s="152">
        <v>85</v>
      </c>
      <c r="PIO68" s="153">
        <v>215</v>
      </c>
      <c r="PIP68" s="153">
        <v>75</v>
      </c>
      <c r="PIQ68" s="152">
        <v>150</v>
      </c>
      <c r="PIR68" s="154">
        <f>SUM(PIM68:PIQ68)</f>
        <v>8675</v>
      </c>
      <c r="PIS68" s="152">
        <v>200</v>
      </c>
      <c r="PIT68" s="154">
        <f>SUM(PIR68:PIS68)</f>
        <v>8875</v>
      </c>
      <c r="PIU68" s="147" t="s">
        <v>99</v>
      </c>
      <c r="PIV68" s="148">
        <v>45845</v>
      </c>
      <c r="PIW68" s="143" t="s">
        <v>46</v>
      </c>
      <c r="PIX68" s="199"/>
      <c r="PIY68" s="149" t="s">
        <v>125</v>
      </c>
      <c r="PIZ68" s="197"/>
      <c r="PJA68" s="198"/>
      <c r="PJB68" s="143" t="s">
        <v>22</v>
      </c>
      <c r="PJC68" s="144">
        <v>8150</v>
      </c>
      <c r="PJD68" s="152">
        <v>85</v>
      </c>
      <c r="PJE68" s="153">
        <v>215</v>
      </c>
      <c r="PJF68" s="153">
        <v>75</v>
      </c>
      <c r="PJG68" s="152">
        <v>150</v>
      </c>
      <c r="PJH68" s="154">
        <f>SUM(PJC68:PJG68)</f>
        <v>8675</v>
      </c>
      <c r="PJI68" s="152">
        <v>200</v>
      </c>
      <c r="PJJ68" s="154">
        <f>SUM(PJH68:PJI68)</f>
        <v>8875</v>
      </c>
      <c r="PJK68" s="147" t="s">
        <v>99</v>
      </c>
      <c r="PJL68" s="148">
        <v>45845</v>
      </c>
      <c r="PJM68" s="143" t="s">
        <v>46</v>
      </c>
      <c r="PJN68" s="199"/>
      <c r="PJO68" s="149" t="s">
        <v>125</v>
      </c>
      <c r="PJP68" s="197"/>
      <c r="PJQ68" s="198"/>
      <c r="PJR68" s="143" t="s">
        <v>22</v>
      </c>
      <c r="PJS68" s="144">
        <v>8150</v>
      </c>
      <c r="PJT68" s="152">
        <v>85</v>
      </c>
      <c r="PJU68" s="153">
        <v>215</v>
      </c>
      <c r="PJV68" s="153">
        <v>75</v>
      </c>
      <c r="PJW68" s="152">
        <v>150</v>
      </c>
      <c r="PJX68" s="154">
        <f>SUM(PJS68:PJW68)</f>
        <v>8675</v>
      </c>
      <c r="PJY68" s="152">
        <v>200</v>
      </c>
      <c r="PJZ68" s="154">
        <f>SUM(PJX68:PJY68)</f>
        <v>8875</v>
      </c>
      <c r="PKA68" s="147" t="s">
        <v>99</v>
      </c>
      <c r="PKB68" s="148">
        <v>45845</v>
      </c>
      <c r="PKC68" s="143" t="s">
        <v>46</v>
      </c>
      <c r="PKD68" s="199"/>
      <c r="PKE68" s="149" t="s">
        <v>125</v>
      </c>
      <c r="PKF68" s="197"/>
      <c r="PKG68" s="198"/>
      <c r="PKH68" s="143" t="s">
        <v>22</v>
      </c>
      <c r="PKI68" s="144">
        <v>8150</v>
      </c>
      <c r="PKJ68" s="152">
        <v>85</v>
      </c>
      <c r="PKK68" s="153">
        <v>215</v>
      </c>
      <c r="PKL68" s="153">
        <v>75</v>
      </c>
      <c r="PKM68" s="152">
        <v>150</v>
      </c>
      <c r="PKN68" s="154">
        <f>SUM(PKI68:PKM68)</f>
        <v>8675</v>
      </c>
      <c r="PKO68" s="152">
        <v>200</v>
      </c>
      <c r="PKP68" s="154">
        <f>SUM(PKN68:PKO68)</f>
        <v>8875</v>
      </c>
      <c r="PKQ68" s="147" t="s">
        <v>99</v>
      </c>
      <c r="PKR68" s="148">
        <v>45845</v>
      </c>
      <c r="PKS68" s="143" t="s">
        <v>46</v>
      </c>
      <c r="PKT68" s="199"/>
      <c r="PKU68" s="149" t="s">
        <v>125</v>
      </c>
      <c r="PKV68" s="197"/>
      <c r="PKW68" s="198"/>
      <c r="PKX68" s="143" t="s">
        <v>22</v>
      </c>
      <c r="PKY68" s="144">
        <v>8150</v>
      </c>
      <c r="PKZ68" s="152">
        <v>85</v>
      </c>
      <c r="PLA68" s="153">
        <v>215</v>
      </c>
      <c r="PLB68" s="153">
        <v>75</v>
      </c>
      <c r="PLC68" s="152">
        <v>150</v>
      </c>
      <c r="PLD68" s="154">
        <f>SUM(PKY68:PLC68)</f>
        <v>8675</v>
      </c>
      <c r="PLE68" s="152">
        <v>200</v>
      </c>
      <c r="PLF68" s="154">
        <f>SUM(PLD68:PLE68)</f>
        <v>8875</v>
      </c>
      <c r="PLG68" s="147" t="s">
        <v>99</v>
      </c>
      <c r="PLH68" s="148">
        <v>45845</v>
      </c>
      <c r="PLI68" s="143" t="s">
        <v>46</v>
      </c>
      <c r="PLJ68" s="199"/>
      <c r="PLK68" s="149" t="s">
        <v>125</v>
      </c>
      <c r="PLL68" s="197"/>
      <c r="PLM68" s="198"/>
      <c r="PLN68" s="143" t="s">
        <v>22</v>
      </c>
      <c r="PLO68" s="144">
        <v>8150</v>
      </c>
      <c r="PLP68" s="152">
        <v>85</v>
      </c>
      <c r="PLQ68" s="153">
        <v>215</v>
      </c>
      <c r="PLR68" s="153">
        <v>75</v>
      </c>
      <c r="PLS68" s="152">
        <v>150</v>
      </c>
      <c r="PLT68" s="154">
        <f>SUM(PLO68:PLS68)</f>
        <v>8675</v>
      </c>
      <c r="PLU68" s="152">
        <v>200</v>
      </c>
      <c r="PLV68" s="154">
        <f>SUM(PLT68:PLU68)</f>
        <v>8875</v>
      </c>
      <c r="PLW68" s="147" t="s">
        <v>99</v>
      </c>
      <c r="PLX68" s="148">
        <v>45845</v>
      </c>
      <c r="PLY68" s="143" t="s">
        <v>46</v>
      </c>
      <c r="PLZ68" s="199"/>
      <c r="PMA68" s="149" t="s">
        <v>125</v>
      </c>
      <c r="PMB68" s="197"/>
      <c r="PMC68" s="198"/>
      <c r="PMD68" s="143" t="s">
        <v>22</v>
      </c>
      <c r="PME68" s="144">
        <v>8150</v>
      </c>
      <c r="PMF68" s="152">
        <v>85</v>
      </c>
      <c r="PMG68" s="153">
        <v>215</v>
      </c>
      <c r="PMH68" s="153">
        <v>75</v>
      </c>
      <c r="PMI68" s="152">
        <v>150</v>
      </c>
      <c r="PMJ68" s="154">
        <f>SUM(PME68:PMI68)</f>
        <v>8675</v>
      </c>
      <c r="PMK68" s="152">
        <v>200</v>
      </c>
      <c r="PML68" s="154">
        <f>SUM(PMJ68:PMK68)</f>
        <v>8875</v>
      </c>
      <c r="PMM68" s="147" t="s">
        <v>99</v>
      </c>
      <c r="PMN68" s="148">
        <v>45845</v>
      </c>
      <c r="PMO68" s="143" t="s">
        <v>46</v>
      </c>
      <c r="PMP68" s="199"/>
      <c r="PMQ68" s="149" t="s">
        <v>125</v>
      </c>
      <c r="PMR68" s="197"/>
      <c r="PMS68" s="198"/>
      <c r="PMT68" s="143" t="s">
        <v>22</v>
      </c>
      <c r="PMU68" s="144">
        <v>8150</v>
      </c>
      <c r="PMV68" s="152">
        <v>85</v>
      </c>
      <c r="PMW68" s="153">
        <v>215</v>
      </c>
      <c r="PMX68" s="153">
        <v>75</v>
      </c>
      <c r="PMY68" s="152">
        <v>150</v>
      </c>
      <c r="PMZ68" s="154">
        <f>SUM(PMU68:PMY68)</f>
        <v>8675</v>
      </c>
      <c r="PNA68" s="152">
        <v>200</v>
      </c>
      <c r="PNB68" s="154">
        <f>SUM(PMZ68:PNA68)</f>
        <v>8875</v>
      </c>
      <c r="PNC68" s="147" t="s">
        <v>99</v>
      </c>
      <c r="PND68" s="148">
        <v>45845</v>
      </c>
      <c r="PNE68" s="143" t="s">
        <v>46</v>
      </c>
      <c r="PNF68" s="199"/>
      <c r="PNG68" s="149" t="s">
        <v>125</v>
      </c>
      <c r="PNH68" s="197"/>
      <c r="PNI68" s="198"/>
      <c r="PNJ68" s="143" t="s">
        <v>22</v>
      </c>
      <c r="PNK68" s="144">
        <v>8150</v>
      </c>
      <c r="PNL68" s="152">
        <v>85</v>
      </c>
      <c r="PNM68" s="153">
        <v>215</v>
      </c>
      <c r="PNN68" s="153">
        <v>75</v>
      </c>
      <c r="PNO68" s="152">
        <v>150</v>
      </c>
      <c r="PNP68" s="154">
        <f>SUM(PNK68:PNO68)</f>
        <v>8675</v>
      </c>
      <c r="PNQ68" s="152">
        <v>200</v>
      </c>
      <c r="PNR68" s="154">
        <f>SUM(PNP68:PNQ68)</f>
        <v>8875</v>
      </c>
      <c r="PNS68" s="147" t="s">
        <v>99</v>
      </c>
      <c r="PNT68" s="148">
        <v>45845</v>
      </c>
      <c r="PNU68" s="143" t="s">
        <v>46</v>
      </c>
      <c r="PNV68" s="199"/>
      <c r="PNW68" s="149" t="s">
        <v>125</v>
      </c>
      <c r="PNX68" s="197"/>
      <c r="PNY68" s="198"/>
      <c r="PNZ68" s="143" t="s">
        <v>22</v>
      </c>
      <c r="POA68" s="144">
        <v>8150</v>
      </c>
      <c r="POB68" s="152">
        <v>85</v>
      </c>
      <c r="POC68" s="153">
        <v>215</v>
      </c>
      <c r="POD68" s="153">
        <v>75</v>
      </c>
      <c r="POE68" s="152">
        <v>150</v>
      </c>
      <c r="POF68" s="154">
        <f>SUM(POA68:POE68)</f>
        <v>8675</v>
      </c>
      <c r="POG68" s="152">
        <v>200</v>
      </c>
      <c r="POH68" s="154">
        <f>SUM(POF68:POG68)</f>
        <v>8875</v>
      </c>
      <c r="POI68" s="147" t="s">
        <v>99</v>
      </c>
      <c r="POJ68" s="148">
        <v>45845</v>
      </c>
      <c r="POK68" s="143" t="s">
        <v>46</v>
      </c>
      <c r="POL68" s="199"/>
      <c r="POM68" s="149" t="s">
        <v>125</v>
      </c>
      <c r="PON68" s="197"/>
      <c r="POO68" s="198"/>
      <c r="POP68" s="143" t="s">
        <v>22</v>
      </c>
      <c r="POQ68" s="144">
        <v>8150</v>
      </c>
      <c r="POR68" s="152">
        <v>85</v>
      </c>
      <c r="POS68" s="153">
        <v>215</v>
      </c>
      <c r="POT68" s="153">
        <v>75</v>
      </c>
      <c r="POU68" s="152">
        <v>150</v>
      </c>
      <c r="POV68" s="154">
        <f>SUM(POQ68:POU68)</f>
        <v>8675</v>
      </c>
      <c r="POW68" s="152">
        <v>200</v>
      </c>
      <c r="POX68" s="154">
        <f>SUM(POV68:POW68)</f>
        <v>8875</v>
      </c>
      <c r="POY68" s="147" t="s">
        <v>99</v>
      </c>
      <c r="POZ68" s="148">
        <v>45845</v>
      </c>
      <c r="PPA68" s="143" t="s">
        <v>46</v>
      </c>
      <c r="PPB68" s="199"/>
      <c r="PPC68" s="149" t="s">
        <v>125</v>
      </c>
      <c r="PPD68" s="197"/>
      <c r="PPE68" s="198"/>
      <c r="PPF68" s="143" t="s">
        <v>22</v>
      </c>
      <c r="PPG68" s="144">
        <v>8150</v>
      </c>
      <c r="PPH68" s="152">
        <v>85</v>
      </c>
      <c r="PPI68" s="153">
        <v>215</v>
      </c>
      <c r="PPJ68" s="153">
        <v>75</v>
      </c>
      <c r="PPK68" s="152">
        <v>150</v>
      </c>
      <c r="PPL68" s="154">
        <f>SUM(PPG68:PPK68)</f>
        <v>8675</v>
      </c>
      <c r="PPM68" s="152">
        <v>200</v>
      </c>
      <c r="PPN68" s="154">
        <f>SUM(PPL68:PPM68)</f>
        <v>8875</v>
      </c>
      <c r="PPO68" s="147" t="s">
        <v>99</v>
      </c>
      <c r="PPP68" s="148">
        <v>45845</v>
      </c>
      <c r="PPQ68" s="143" t="s">
        <v>46</v>
      </c>
      <c r="PPR68" s="199"/>
      <c r="PPS68" s="149" t="s">
        <v>125</v>
      </c>
      <c r="PPT68" s="197"/>
      <c r="PPU68" s="198"/>
      <c r="PPV68" s="143" t="s">
        <v>22</v>
      </c>
      <c r="PPW68" s="144">
        <v>8150</v>
      </c>
      <c r="PPX68" s="152">
        <v>85</v>
      </c>
      <c r="PPY68" s="153">
        <v>215</v>
      </c>
      <c r="PPZ68" s="153">
        <v>75</v>
      </c>
      <c r="PQA68" s="152">
        <v>150</v>
      </c>
      <c r="PQB68" s="154">
        <f>SUM(PPW68:PQA68)</f>
        <v>8675</v>
      </c>
      <c r="PQC68" s="152">
        <v>200</v>
      </c>
      <c r="PQD68" s="154">
        <f>SUM(PQB68:PQC68)</f>
        <v>8875</v>
      </c>
      <c r="PQE68" s="147" t="s">
        <v>99</v>
      </c>
      <c r="PQF68" s="148">
        <v>45845</v>
      </c>
      <c r="PQG68" s="143" t="s">
        <v>46</v>
      </c>
      <c r="PQH68" s="199"/>
      <c r="PQI68" s="149" t="s">
        <v>125</v>
      </c>
      <c r="PQJ68" s="197"/>
      <c r="PQK68" s="198"/>
      <c r="PQL68" s="143" t="s">
        <v>22</v>
      </c>
      <c r="PQM68" s="144">
        <v>8150</v>
      </c>
      <c r="PQN68" s="152">
        <v>85</v>
      </c>
      <c r="PQO68" s="153">
        <v>215</v>
      </c>
      <c r="PQP68" s="153">
        <v>75</v>
      </c>
      <c r="PQQ68" s="152">
        <v>150</v>
      </c>
      <c r="PQR68" s="154">
        <f>SUM(PQM68:PQQ68)</f>
        <v>8675</v>
      </c>
      <c r="PQS68" s="152">
        <v>200</v>
      </c>
      <c r="PQT68" s="154">
        <f>SUM(PQR68:PQS68)</f>
        <v>8875</v>
      </c>
      <c r="PQU68" s="147" t="s">
        <v>99</v>
      </c>
      <c r="PQV68" s="148">
        <v>45845</v>
      </c>
      <c r="PQW68" s="143" t="s">
        <v>46</v>
      </c>
      <c r="PQX68" s="199"/>
      <c r="PQY68" s="149" t="s">
        <v>125</v>
      </c>
      <c r="PQZ68" s="197"/>
      <c r="PRA68" s="198"/>
      <c r="PRB68" s="143" t="s">
        <v>22</v>
      </c>
      <c r="PRC68" s="144">
        <v>8150</v>
      </c>
      <c r="PRD68" s="152">
        <v>85</v>
      </c>
      <c r="PRE68" s="153">
        <v>215</v>
      </c>
      <c r="PRF68" s="153">
        <v>75</v>
      </c>
      <c r="PRG68" s="152">
        <v>150</v>
      </c>
      <c r="PRH68" s="154">
        <f>SUM(PRC68:PRG68)</f>
        <v>8675</v>
      </c>
      <c r="PRI68" s="152">
        <v>200</v>
      </c>
      <c r="PRJ68" s="154">
        <f>SUM(PRH68:PRI68)</f>
        <v>8875</v>
      </c>
      <c r="PRK68" s="147" t="s">
        <v>99</v>
      </c>
      <c r="PRL68" s="148">
        <v>45845</v>
      </c>
      <c r="PRM68" s="143" t="s">
        <v>46</v>
      </c>
      <c r="PRN68" s="199"/>
      <c r="PRO68" s="149" t="s">
        <v>125</v>
      </c>
      <c r="PRP68" s="197"/>
      <c r="PRQ68" s="198"/>
      <c r="PRR68" s="143" t="s">
        <v>22</v>
      </c>
      <c r="PRS68" s="144">
        <v>8150</v>
      </c>
      <c r="PRT68" s="152">
        <v>85</v>
      </c>
      <c r="PRU68" s="153">
        <v>215</v>
      </c>
      <c r="PRV68" s="153">
        <v>75</v>
      </c>
      <c r="PRW68" s="152">
        <v>150</v>
      </c>
      <c r="PRX68" s="154">
        <f>SUM(PRS68:PRW68)</f>
        <v>8675</v>
      </c>
      <c r="PRY68" s="152">
        <v>200</v>
      </c>
      <c r="PRZ68" s="154">
        <f>SUM(PRX68:PRY68)</f>
        <v>8875</v>
      </c>
      <c r="PSA68" s="147" t="s">
        <v>99</v>
      </c>
      <c r="PSB68" s="148">
        <v>45845</v>
      </c>
      <c r="PSC68" s="143" t="s">
        <v>46</v>
      </c>
      <c r="PSD68" s="199"/>
      <c r="PSE68" s="149" t="s">
        <v>125</v>
      </c>
      <c r="PSF68" s="197"/>
      <c r="PSG68" s="198"/>
      <c r="PSH68" s="143" t="s">
        <v>22</v>
      </c>
      <c r="PSI68" s="144">
        <v>8150</v>
      </c>
      <c r="PSJ68" s="152">
        <v>85</v>
      </c>
      <c r="PSK68" s="153">
        <v>215</v>
      </c>
      <c r="PSL68" s="153">
        <v>75</v>
      </c>
      <c r="PSM68" s="152">
        <v>150</v>
      </c>
      <c r="PSN68" s="154">
        <f>SUM(PSI68:PSM68)</f>
        <v>8675</v>
      </c>
      <c r="PSO68" s="152">
        <v>200</v>
      </c>
      <c r="PSP68" s="154">
        <f>SUM(PSN68:PSO68)</f>
        <v>8875</v>
      </c>
      <c r="PSQ68" s="147" t="s">
        <v>99</v>
      </c>
      <c r="PSR68" s="148">
        <v>45845</v>
      </c>
      <c r="PSS68" s="143" t="s">
        <v>46</v>
      </c>
      <c r="PST68" s="199"/>
      <c r="PSU68" s="149" t="s">
        <v>125</v>
      </c>
      <c r="PSV68" s="197"/>
      <c r="PSW68" s="198"/>
      <c r="PSX68" s="143" t="s">
        <v>22</v>
      </c>
      <c r="PSY68" s="144">
        <v>8150</v>
      </c>
      <c r="PSZ68" s="152">
        <v>85</v>
      </c>
      <c r="PTA68" s="153">
        <v>215</v>
      </c>
      <c r="PTB68" s="153">
        <v>75</v>
      </c>
      <c r="PTC68" s="152">
        <v>150</v>
      </c>
      <c r="PTD68" s="154">
        <f>SUM(PSY68:PTC68)</f>
        <v>8675</v>
      </c>
      <c r="PTE68" s="152">
        <v>200</v>
      </c>
      <c r="PTF68" s="154">
        <f>SUM(PTD68:PTE68)</f>
        <v>8875</v>
      </c>
      <c r="PTG68" s="147" t="s">
        <v>99</v>
      </c>
      <c r="PTH68" s="148">
        <v>45845</v>
      </c>
      <c r="PTI68" s="143" t="s">
        <v>46</v>
      </c>
      <c r="PTJ68" s="199"/>
      <c r="PTK68" s="149" t="s">
        <v>125</v>
      </c>
      <c r="PTL68" s="197"/>
      <c r="PTM68" s="198"/>
      <c r="PTN68" s="143" t="s">
        <v>22</v>
      </c>
      <c r="PTO68" s="144">
        <v>8150</v>
      </c>
      <c r="PTP68" s="152">
        <v>85</v>
      </c>
      <c r="PTQ68" s="153">
        <v>215</v>
      </c>
      <c r="PTR68" s="153">
        <v>75</v>
      </c>
      <c r="PTS68" s="152">
        <v>150</v>
      </c>
      <c r="PTT68" s="154">
        <f>SUM(PTO68:PTS68)</f>
        <v>8675</v>
      </c>
      <c r="PTU68" s="152">
        <v>200</v>
      </c>
      <c r="PTV68" s="154">
        <f>SUM(PTT68:PTU68)</f>
        <v>8875</v>
      </c>
      <c r="PTW68" s="147" t="s">
        <v>99</v>
      </c>
      <c r="PTX68" s="148">
        <v>45845</v>
      </c>
      <c r="PTY68" s="143" t="s">
        <v>46</v>
      </c>
      <c r="PTZ68" s="199"/>
      <c r="PUA68" s="149" t="s">
        <v>125</v>
      </c>
      <c r="PUB68" s="197"/>
      <c r="PUC68" s="198"/>
      <c r="PUD68" s="143" t="s">
        <v>22</v>
      </c>
      <c r="PUE68" s="144">
        <v>8150</v>
      </c>
      <c r="PUF68" s="152">
        <v>85</v>
      </c>
      <c r="PUG68" s="153">
        <v>215</v>
      </c>
      <c r="PUH68" s="153">
        <v>75</v>
      </c>
      <c r="PUI68" s="152">
        <v>150</v>
      </c>
      <c r="PUJ68" s="154">
        <f>SUM(PUE68:PUI68)</f>
        <v>8675</v>
      </c>
      <c r="PUK68" s="152">
        <v>200</v>
      </c>
      <c r="PUL68" s="154">
        <f>SUM(PUJ68:PUK68)</f>
        <v>8875</v>
      </c>
      <c r="PUM68" s="147" t="s">
        <v>99</v>
      </c>
      <c r="PUN68" s="148">
        <v>45845</v>
      </c>
      <c r="PUO68" s="143" t="s">
        <v>46</v>
      </c>
      <c r="PUP68" s="199"/>
      <c r="PUQ68" s="149" t="s">
        <v>125</v>
      </c>
      <c r="PUR68" s="197"/>
      <c r="PUS68" s="198"/>
      <c r="PUT68" s="143" t="s">
        <v>22</v>
      </c>
      <c r="PUU68" s="144">
        <v>8150</v>
      </c>
      <c r="PUV68" s="152">
        <v>85</v>
      </c>
      <c r="PUW68" s="153">
        <v>215</v>
      </c>
      <c r="PUX68" s="153">
        <v>75</v>
      </c>
      <c r="PUY68" s="152">
        <v>150</v>
      </c>
      <c r="PUZ68" s="154">
        <f>SUM(PUU68:PUY68)</f>
        <v>8675</v>
      </c>
      <c r="PVA68" s="152">
        <v>200</v>
      </c>
      <c r="PVB68" s="154">
        <f>SUM(PUZ68:PVA68)</f>
        <v>8875</v>
      </c>
      <c r="PVC68" s="147" t="s">
        <v>99</v>
      </c>
      <c r="PVD68" s="148">
        <v>45845</v>
      </c>
      <c r="PVE68" s="143" t="s">
        <v>46</v>
      </c>
      <c r="PVF68" s="199"/>
      <c r="PVG68" s="149" t="s">
        <v>125</v>
      </c>
      <c r="PVH68" s="197"/>
      <c r="PVI68" s="198"/>
      <c r="PVJ68" s="143" t="s">
        <v>22</v>
      </c>
      <c r="PVK68" s="144">
        <v>8150</v>
      </c>
      <c r="PVL68" s="152">
        <v>85</v>
      </c>
      <c r="PVM68" s="153">
        <v>215</v>
      </c>
      <c r="PVN68" s="153">
        <v>75</v>
      </c>
      <c r="PVO68" s="152">
        <v>150</v>
      </c>
      <c r="PVP68" s="154">
        <f>SUM(PVK68:PVO68)</f>
        <v>8675</v>
      </c>
      <c r="PVQ68" s="152">
        <v>200</v>
      </c>
      <c r="PVR68" s="154">
        <f>SUM(PVP68:PVQ68)</f>
        <v>8875</v>
      </c>
      <c r="PVS68" s="147" t="s">
        <v>99</v>
      </c>
      <c r="PVT68" s="148">
        <v>45845</v>
      </c>
      <c r="PVU68" s="143" t="s">
        <v>46</v>
      </c>
      <c r="PVV68" s="199"/>
      <c r="PVW68" s="149" t="s">
        <v>125</v>
      </c>
      <c r="PVX68" s="197"/>
      <c r="PVY68" s="198"/>
      <c r="PVZ68" s="143" t="s">
        <v>22</v>
      </c>
      <c r="PWA68" s="144">
        <v>8150</v>
      </c>
      <c r="PWB68" s="152">
        <v>85</v>
      </c>
      <c r="PWC68" s="153">
        <v>215</v>
      </c>
      <c r="PWD68" s="153">
        <v>75</v>
      </c>
      <c r="PWE68" s="152">
        <v>150</v>
      </c>
      <c r="PWF68" s="154">
        <f>SUM(PWA68:PWE68)</f>
        <v>8675</v>
      </c>
      <c r="PWG68" s="152">
        <v>200</v>
      </c>
      <c r="PWH68" s="154">
        <f>SUM(PWF68:PWG68)</f>
        <v>8875</v>
      </c>
      <c r="PWI68" s="147" t="s">
        <v>99</v>
      </c>
      <c r="PWJ68" s="148">
        <v>45845</v>
      </c>
      <c r="PWK68" s="143" t="s">
        <v>46</v>
      </c>
      <c r="PWL68" s="199"/>
      <c r="PWM68" s="149" t="s">
        <v>125</v>
      </c>
      <c r="PWN68" s="197"/>
      <c r="PWO68" s="198"/>
      <c r="PWP68" s="143" t="s">
        <v>22</v>
      </c>
      <c r="PWQ68" s="144">
        <v>8150</v>
      </c>
      <c r="PWR68" s="152">
        <v>85</v>
      </c>
      <c r="PWS68" s="153">
        <v>215</v>
      </c>
      <c r="PWT68" s="153">
        <v>75</v>
      </c>
      <c r="PWU68" s="152">
        <v>150</v>
      </c>
      <c r="PWV68" s="154">
        <f>SUM(PWQ68:PWU68)</f>
        <v>8675</v>
      </c>
      <c r="PWW68" s="152">
        <v>200</v>
      </c>
      <c r="PWX68" s="154">
        <f>SUM(PWV68:PWW68)</f>
        <v>8875</v>
      </c>
      <c r="PWY68" s="147" t="s">
        <v>99</v>
      </c>
      <c r="PWZ68" s="148">
        <v>45845</v>
      </c>
      <c r="PXA68" s="143" t="s">
        <v>46</v>
      </c>
      <c r="PXB68" s="199"/>
      <c r="PXC68" s="149" t="s">
        <v>125</v>
      </c>
      <c r="PXD68" s="197"/>
      <c r="PXE68" s="198"/>
      <c r="PXF68" s="143" t="s">
        <v>22</v>
      </c>
      <c r="PXG68" s="144">
        <v>8150</v>
      </c>
      <c r="PXH68" s="152">
        <v>85</v>
      </c>
      <c r="PXI68" s="153">
        <v>215</v>
      </c>
      <c r="PXJ68" s="153">
        <v>75</v>
      </c>
      <c r="PXK68" s="152">
        <v>150</v>
      </c>
      <c r="PXL68" s="154">
        <f>SUM(PXG68:PXK68)</f>
        <v>8675</v>
      </c>
      <c r="PXM68" s="152">
        <v>200</v>
      </c>
      <c r="PXN68" s="154">
        <f>SUM(PXL68:PXM68)</f>
        <v>8875</v>
      </c>
      <c r="PXO68" s="147" t="s">
        <v>99</v>
      </c>
      <c r="PXP68" s="148">
        <v>45845</v>
      </c>
      <c r="PXQ68" s="143" t="s">
        <v>46</v>
      </c>
      <c r="PXR68" s="199"/>
      <c r="PXS68" s="149" t="s">
        <v>125</v>
      </c>
      <c r="PXT68" s="197"/>
      <c r="PXU68" s="198"/>
      <c r="PXV68" s="143" t="s">
        <v>22</v>
      </c>
      <c r="PXW68" s="144">
        <v>8150</v>
      </c>
      <c r="PXX68" s="152">
        <v>85</v>
      </c>
      <c r="PXY68" s="153">
        <v>215</v>
      </c>
      <c r="PXZ68" s="153">
        <v>75</v>
      </c>
      <c r="PYA68" s="152">
        <v>150</v>
      </c>
      <c r="PYB68" s="154">
        <f>SUM(PXW68:PYA68)</f>
        <v>8675</v>
      </c>
      <c r="PYC68" s="152">
        <v>200</v>
      </c>
      <c r="PYD68" s="154">
        <f>SUM(PYB68:PYC68)</f>
        <v>8875</v>
      </c>
      <c r="PYE68" s="147" t="s">
        <v>99</v>
      </c>
      <c r="PYF68" s="148">
        <v>45845</v>
      </c>
      <c r="PYG68" s="143" t="s">
        <v>46</v>
      </c>
      <c r="PYH68" s="199"/>
      <c r="PYI68" s="149" t="s">
        <v>125</v>
      </c>
      <c r="PYJ68" s="197"/>
      <c r="PYK68" s="198"/>
      <c r="PYL68" s="143" t="s">
        <v>22</v>
      </c>
      <c r="PYM68" s="144">
        <v>8150</v>
      </c>
      <c r="PYN68" s="152">
        <v>85</v>
      </c>
      <c r="PYO68" s="153">
        <v>215</v>
      </c>
      <c r="PYP68" s="153">
        <v>75</v>
      </c>
      <c r="PYQ68" s="152">
        <v>150</v>
      </c>
      <c r="PYR68" s="154">
        <f>SUM(PYM68:PYQ68)</f>
        <v>8675</v>
      </c>
      <c r="PYS68" s="152">
        <v>200</v>
      </c>
      <c r="PYT68" s="154">
        <f>SUM(PYR68:PYS68)</f>
        <v>8875</v>
      </c>
      <c r="PYU68" s="147" t="s">
        <v>99</v>
      </c>
      <c r="PYV68" s="148">
        <v>45845</v>
      </c>
      <c r="PYW68" s="143" t="s">
        <v>46</v>
      </c>
      <c r="PYX68" s="199"/>
      <c r="PYY68" s="149" t="s">
        <v>125</v>
      </c>
      <c r="PYZ68" s="197"/>
      <c r="PZA68" s="198"/>
      <c r="PZB68" s="143" t="s">
        <v>22</v>
      </c>
      <c r="PZC68" s="144">
        <v>8150</v>
      </c>
      <c r="PZD68" s="152">
        <v>85</v>
      </c>
      <c r="PZE68" s="153">
        <v>215</v>
      </c>
      <c r="PZF68" s="153">
        <v>75</v>
      </c>
      <c r="PZG68" s="152">
        <v>150</v>
      </c>
      <c r="PZH68" s="154">
        <f>SUM(PZC68:PZG68)</f>
        <v>8675</v>
      </c>
      <c r="PZI68" s="152">
        <v>200</v>
      </c>
      <c r="PZJ68" s="154">
        <f>SUM(PZH68:PZI68)</f>
        <v>8875</v>
      </c>
      <c r="PZK68" s="147" t="s">
        <v>99</v>
      </c>
      <c r="PZL68" s="148">
        <v>45845</v>
      </c>
      <c r="PZM68" s="143" t="s">
        <v>46</v>
      </c>
      <c r="PZN68" s="199"/>
      <c r="PZO68" s="149" t="s">
        <v>125</v>
      </c>
      <c r="PZP68" s="197"/>
      <c r="PZQ68" s="198"/>
      <c r="PZR68" s="143" t="s">
        <v>22</v>
      </c>
      <c r="PZS68" s="144">
        <v>8150</v>
      </c>
      <c r="PZT68" s="152">
        <v>85</v>
      </c>
      <c r="PZU68" s="153">
        <v>215</v>
      </c>
      <c r="PZV68" s="153">
        <v>75</v>
      </c>
      <c r="PZW68" s="152">
        <v>150</v>
      </c>
      <c r="PZX68" s="154">
        <f>SUM(PZS68:PZW68)</f>
        <v>8675</v>
      </c>
      <c r="PZY68" s="152">
        <v>200</v>
      </c>
      <c r="PZZ68" s="154">
        <f>SUM(PZX68:PZY68)</f>
        <v>8875</v>
      </c>
      <c r="QAA68" s="147" t="s">
        <v>99</v>
      </c>
      <c r="QAB68" s="148">
        <v>45845</v>
      </c>
      <c r="QAC68" s="143" t="s">
        <v>46</v>
      </c>
      <c r="QAD68" s="199"/>
      <c r="QAE68" s="149" t="s">
        <v>125</v>
      </c>
      <c r="QAF68" s="197"/>
      <c r="QAG68" s="198"/>
      <c r="QAH68" s="143" t="s">
        <v>22</v>
      </c>
      <c r="QAI68" s="144">
        <v>8150</v>
      </c>
      <c r="QAJ68" s="152">
        <v>85</v>
      </c>
      <c r="QAK68" s="153">
        <v>215</v>
      </c>
      <c r="QAL68" s="153">
        <v>75</v>
      </c>
      <c r="QAM68" s="152">
        <v>150</v>
      </c>
      <c r="QAN68" s="154">
        <f>SUM(QAI68:QAM68)</f>
        <v>8675</v>
      </c>
      <c r="QAO68" s="152">
        <v>200</v>
      </c>
      <c r="QAP68" s="154">
        <f>SUM(QAN68:QAO68)</f>
        <v>8875</v>
      </c>
      <c r="QAQ68" s="147" t="s">
        <v>99</v>
      </c>
      <c r="QAR68" s="148">
        <v>45845</v>
      </c>
      <c r="QAS68" s="143" t="s">
        <v>46</v>
      </c>
      <c r="QAT68" s="199"/>
      <c r="QAU68" s="149" t="s">
        <v>125</v>
      </c>
      <c r="QAV68" s="197"/>
      <c r="QAW68" s="198"/>
      <c r="QAX68" s="143" t="s">
        <v>22</v>
      </c>
      <c r="QAY68" s="144">
        <v>8150</v>
      </c>
      <c r="QAZ68" s="152">
        <v>85</v>
      </c>
      <c r="QBA68" s="153">
        <v>215</v>
      </c>
      <c r="QBB68" s="153">
        <v>75</v>
      </c>
      <c r="QBC68" s="152">
        <v>150</v>
      </c>
      <c r="QBD68" s="154">
        <f>SUM(QAY68:QBC68)</f>
        <v>8675</v>
      </c>
      <c r="QBE68" s="152">
        <v>200</v>
      </c>
      <c r="QBF68" s="154">
        <f>SUM(QBD68:QBE68)</f>
        <v>8875</v>
      </c>
      <c r="QBG68" s="147" t="s">
        <v>99</v>
      </c>
      <c r="QBH68" s="148">
        <v>45845</v>
      </c>
      <c r="QBI68" s="143" t="s">
        <v>46</v>
      </c>
      <c r="QBJ68" s="199"/>
      <c r="QBK68" s="149" t="s">
        <v>125</v>
      </c>
      <c r="QBL68" s="197"/>
      <c r="QBM68" s="198"/>
      <c r="QBN68" s="143" t="s">
        <v>22</v>
      </c>
      <c r="QBO68" s="144">
        <v>8150</v>
      </c>
      <c r="QBP68" s="152">
        <v>85</v>
      </c>
      <c r="QBQ68" s="153">
        <v>215</v>
      </c>
      <c r="QBR68" s="153">
        <v>75</v>
      </c>
      <c r="QBS68" s="152">
        <v>150</v>
      </c>
      <c r="QBT68" s="154">
        <f>SUM(QBO68:QBS68)</f>
        <v>8675</v>
      </c>
      <c r="QBU68" s="152">
        <v>200</v>
      </c>
      <c r="QBV68" s="154">
        <f>SUM(QBT68:QBU68)</f>
        <v>8875</v>
      </c>
      <c r="QBW68" s="147" t="s">
        <v>99</v>
      </c>
      <c r="QBX68" s="148">
        <v>45845</v>
      </c>
      <c r="QBY68" s="143" t="s">
        <v>46</v>
      </c>
      <c r="QBZ68" s="199"/>
      <c r="QCA68" s="149" t="s">
        <v>125</v>
      </c>
      <c r="QCB68" s="197"/>
      <c r="QCC68" s="198"/>
      <c r="QCD68" s="143" t="s">
        <v>22</v>
      </c>
      <c r="QCE68" s="144">
        <v>8150</v>
      </c>
      <c r="QCF68" s="152">
        <v>85</v>
      </c>
      <c r="QCG68" s="153">
        <v>215</v>
      </c>
      <c r="QCH68" s="153">
        <v>75</v>
      </c>
      <c r="QCI68" s="152">
        <v>150</v>
      </c>
      <c r="QCJ68" s="154">
        <f>SUM(QCE68:QCI68)</f>
        <v>8675</v>
      </c>
      <c r="QCK68" s="152">
        <v>200</v>
      </c>
      <c r="QCL68" s="154">
        <f>SUM(QCJ68:QCK68)</f>
        <v>8875</v>
      </c>
      <c r="QCM68" s="147" t="s">
        <v>99</v>
      </c>
      <c r="QCN68" s="148">
        <v>45845</v>
      </c>
      <c r="QCO68" s="143" t="s">
        <v>46</v>
      </c>
      <c r="QCP68" s="199"/>
      <c r="QCQ68" s="149" t="s">
        <v>125</v>
      </c>
      <c r="QCR68" s="197"/>
      <c r="QCS68" s="198"/>
      <c r="QCT68" s="143" t="s">
        <v>22</v>
      </c>
      <c r="QCU68" s="144">
        <v>8150</v>
      </c>
      <c r="QCV68" s="152">
        <v>85</v>
      </c>
      <c r="QCW68" s="153">
        <v>215</v>
      </c>
      <c r="QCX68" s="153">
        <v>75</v>
      </c>
      <c r="QCY68" s="152">
        <v>150</v>
      </c>
      <c r="QCZ68" s="154">
        <f>SUM(QCU68:QCY68)</f>
        <v>8675</v>
      </c>
      <c r="QDA68" s="152">
        <v>200</v>
      </c>
      <c r="QDB68" s="154">
        <f>SUM(QCZ68:QDA68)</f>
        <v>8875</v>
      </c>
      <c r="QDC68" s="147" t="s">
        <v>99</v>
      </c>
      <c r="QDD68" s="148">
        <v>45845</v>
      </c>
      <c r="QDE68" s="143" t="s">
        <v>46</v>
      </c>
      <c r="QDF68" s="199"/>
      <c r="QDG68" s="149" t="s">
        <v>125</v>
      </c>
      <c r="QDH68" s="197"/>
      <c r="QDI68" s="198"/>
      <c r="QDJ68" s="143" t="s">
        <v>22</v>
      </c>
      <c r="QDK68" s="144">
        <v>8150</v>
      </c>
      <c r="QDL68" s="152">
        <v>85</v>
      </c>
      <c r="QDM68" s="153">
        <v>215</v>
      </c>
      <c r="QDN68" s="153">
        <v>75</v>
      </c>
      <c r="QDO68" s="152">
        <v>150</v>
      </c>
      <c r="QDP68" s="154">
        <f>SUM(QDK68:QDO68)</f>
        <v>8675</v>
      </c>
      <c r="QDQ68" s="152">
        <v>200</v>
      </c>
      <c r="QDR68" s="154">
        <f>SUM(QDP68:QDQ68)</f>
        <v>8875</v>
      </c>
      <c r="QDS68" s="147" t="s">
        <v>99</v>
      </c>
      <c r="QDT68" s="148">
        <v>45845</v>
      </c>
      <c r="QDU68" s="143" t="s">
        <v>46</v>
      </c>
      <c r="QDV68" s="199"/>
      <c r="QDW68" s="149" t="s">
        <v>125</v>
      </c>
      <c r="QDX68" s="197"/>
      <c r="QDY68" s="198"/>
      <c r="QDZ68" s="143" t="s">
        <v>22</v>
      </c>
      <c r="QEA68" s="144">
        <v>8150</v>
      </c>
      <c r="QEB68" s="152">
        <v>85</v>
      </c>
      <c r="QEC68" s="153">
        <v>215</v>
      </c>
      <c r="QED68" s="153">
        <v>75</v>
      </c>
      <c r="QEE68" s="152">
        <v>150</v>
      </c>
      <c r="QEF68" s="154">
        <f>SUM(QEA68:QEE68)</f>
        <v>8675</v>
      </c>
      <c r="QEG68" s="152">
        <v>200</v>
      </c>
      <c r="QEH68" s="154">
        <f>SUM(QEF68:QEG68)</f>
        <v>8875</v>
      </c>
      <c r="QEI68" s="147" t="s">
        <v>99</v>
      </c>
      <c r="QEJ68" s="148">
        <v>45845</v>
      </c>
      <c r="QEK68" s="143" t="s">
        <v>46</v>
      </c>
      <c r="QEL68" s="199"/>
      <c r="QEM68" s="149" t="s">
        <v>125</v>
      </c>
      <c r="QEN68" s="197"/>
      <c r="QEO68" s="198"/>
      <c r="QEP68" s="143" t="s">
        <v>22</v>
      </c>
      <c r="QEQ68" s="144">
        <v>8150</v>
      </c>
      <c r="QER68" s="152">
        <v>85</v>
      </c>
      <c r="QES68" s="153">
        <v>215</v>
      </c>
      <c r="QET68" s="153">
        <v>75</v>
      </c>
      <c r="QEU68" s="152">
        <v>150</v>
      </c>
      <c r="QEV68" s="154">
        <f>SUM(QEQ68:QEU68)</f>
        <v>8675</v>
      </c>
      <c r="QEW68" s="152">
        <v>200</v>
      </c>
      <c r="QEX68" s="154">
        <f>SUM(QEV68:QEW68)</f>
        <v>8875</v>
      </c>
      <c r="QEY68" s="147" t="s">
        <v>99</v>
      </c>
      <c r="QEZ68" s="148">
        <v>45845</v>
      </c>
      <c r="QFA68" s="143" t="s">
        <v>46</v>
      </c>
      <c r="QFB68" s="199"/>
      <c r="QFC68" s="149" t="s">
        <v>125</v>
      </c>
      <c r="QFD68" s="197"/>
      <c r="QFE68" s="198"/>
      <c r="QFF68" s="143" t="s">
        <v>22</v>
      </c>
      <c r="QFG68" s="144">
        <v>8150</v>
      </c>
      <c r="QFH68" s="152">
        <v>85</v>
      </c>
      <c r="QFI68" s="153">
        <v>215</v>
      </c>
      <c r="QFJ68" s="153">
        <v>75</v>
      </c>
      <c r="QFK68" s="152">
        <v>150</v>
      </c>
      <c r="QFL68" s="154">
        <f>SUM(QFG68:QFK68)</f>
        <v>8675</v>
      </c>
      <c r="QFM68" s="152">
        <v>200</v>
      </c>
      <c r="QFN68" s="154">
        <f>SUM(QFL68:QFM68)</f>
        <v>8875</v>
      </c>
      <c r="QFO68" s="147" t="s">
        <v>99</v>
      </c>
      <c r="QFP68" s="148">
        <v>45845</v>
      </c>
      <c r="QFQ68" s="143" t="s">
        <v>46</v>
      </c>
      <c r="QFR68" s="199"/>
      <c r="QFS68" s="149" t="s">
        <v>125</v>
      </c>
      <c r="QFT68" s="197"/>
      <c r="QFU68" s="198"/>
      <c r="QFV68" s="143" t="s">
        <v>22</v>
      </c>
      <c r="QFW68" s="144">
        <v>8150</v>
      </c>
      <c r="QFX68" s="152">
        <v>85</v>
      </c>
      <c r="QFY68" s="153">
        <v>215</v>
      </c>
      <c r="QFZ68" s="153">
        <v>75</v>
      </c>
      <c r="QGA68" s="152">
        <v>150</v>
      </c>
      <c r="QGB68" s="154">
        <f>SUM(QFW68:QGA68)</f>
        <v>8675</v>
      </c>
      <c r="QGC68" s="152">
        <v>200</v>
      </c>
      <c r="QGD68" s="154">
        <f>SUM(QGB68:QGC68)</f>
        <v>8875</v>
      </c>
      <c r="QGE68" s="147" t="s">
        <v>99</v>
      </c>
      <c r="QGF68" s="148">
        <v>45845</v>
      </c>
      <c r="QGG68" s="143" t="s">
        <v>46</v>
      </c>
      <c r="QGH68" s="199"/>
      <c r="QGI68" s="149" t="s">
        <v>125</v>
      </c>
      <c r="QGJ68" s="197"/>
      <c r="QGK68" s="198"/>
      <c r="QGL68" s="143" t="s">
        <v>22</v>
      </c>
      <c r="QGM68" s="144">
        <v>8150</v>
      </c>
      <c r="QGN68" s="152">
        <v>85</v>
      </c>
      <c r="QGO68" s="153">
        <v>215</v>
      </c>
      <c r="QGP68" s="153">
        <v>75</v>
      </c>
      <c r="QGQ68" s="152">
        <v>150</v>
      </c>
      <c r="QGR68" s="154">
        <f>SUM(QGM68:QGQ68)</f>
        <v>8675</v>
      </c>
      <c r="QGS68" s="152">
        <v>200</v>
      </c>
      <c r="QGT68" s="154">
        <f>SUM(QGR68:QGS68)</f>
        <v>8875</v>
      </c>
      <c r="QGU68" s="147" t="s">
        <v>99</v>
      </c>
      <c r="QGV68" s="148">
        <v>45845</v>
      </c>
      <c r="QGW68" s="143" t="s">
        <v>46</v>
      </c>
      <c r="QGX68" s="199"/>
      <c r="QGY68" s="149" t="s">
        <v>125</v>
      </c>
      <c r="QGZ68" s="197"/>
      <c r="QHA68" s="198"/>
      <c r="QHB68" s="143" t="s">
        <v>22</v>
      </c>
      <c r="QHC68" s="144">
        <v>8150</v>
      </c>
      <c r="QHD68" s="152">
        <v>85</v>
      </c>
      <c r="QHE68" s="153">
        <v>215</v>
      </c>
      <c r="QHF68" s="153">
        <v>75</v>
      </c>
      <c r="QHG68" s="152">
        <v>150</v>
      </c>
      <c r="QHH68" s="154">
        <f>SUM(QHC68:QHG68)</f>
        <v>8675</v>
      </c>
      <c r="QHI68" s="152">
        <v>200</v>
      </c>
      <c r="QHJ68" s="154">
        <f>SUM(QHH68:QHI68)</f>
        <v>8875</v>
      </c>
      <c r="QHK68" s="147" t="s">
        <v>99</v>
      </c>
      <c r="QHL68" s="148">
        <v>45845</v>
      </c>
      <c r="QHM68" s="143" t="s">
        <v>46</v>
      </c>
      <c r="QHN68" s="199"/>
      <c r="QHO68" s="149" t="s">
        <v>125</v>
      </c>
      <c r="QHP68" s="197"/>
      <c r="QHQ68" s="198"/>
      <c r="QHR68" s="143" t="s">
        <v>22</v>
      </c>
      <c r="QHS68" s="144">
        <v>8150</v>
      </c>
      <c r="QHT68" s="152">
        <v>85</v>
      </c>
      <c r="QHU68" s="153">
        <v>215</v>
      </c>
      <c r="QHV68" s="153">
        <v>75</v>
      </c>
      <c r="QHW68" s="152">
        <v>150</v>
      </c>
      <c r="QHX68" s="154">
        <f>SUM(QHS68:QHW68)</f>
        <v>8675</v>
      </c>
      <c r="QHY68" s="152">
        <v>200</v>
      </c>
      <c r="QHZ68" s="154">
        <f>SUM(QHX68:QHY68)</f>
        <v>8875</v>
      </c>
      <c r="QIA68" s="147" t="s">
        <v>99</v>
      </c>
      <c r="QIB68" s="148">
        <v>45845</v>
      </c>
      <c r="QIC68" s="143" t="s">
        <v>46</v>
      </c>
      <c r="QID68" s="199"/>
      <c r="QIE68" s="149" t="s">
        <v>125</v>
      </c>
      <c r="QIF68" s="197"/>
      <c r="QIG68" s="198"/>
      <c r="QIH68" s="143" t="s">
        <v>22</v>
      </c>
      <c r="QII68" s="144">
        <v>8150</v>
      </c>
      <c r="QIJ68" s="152">
        <v>85</v>
      </c>
      <c r="QIK68" s="153">
        <v>215</v>
      </c>
      <c r="QIL68" s="153">
        <v>75</v>
      </c>
      <c r="QIM68" s="152">
        <v>150</v>
      </c>
      <c r="QIN68" s="154">
        <f>SUM(QII68:QIM68)</f>
        <v>8675</v>
      </c>
      <c r="QIO68" s="152">
        <v>200</v>
      </c>
      <c r="QIP68" s="154">
        <f>SUM(QIN68:QIO68)</f>
        <v>8875</v>
      </c>
      <c r="QIQ68" s="147" t="s">
        <v>99</v>
      </c>
      <c r="QIR68" s="148">
        <v>45845</v>
      </c>
      <c r="QIS68" s="143" t="s">
        <v>46</v>
      </c>
      <c r="QIT68" s="199"/>
      <c r="QIU68" s="149" t="s">
        <v>125</v>
      </c>
      <c r="QIV68" s="197"/>
      <c r="QIW68" s="198"/>
      <c r="QIX68" s="143" t="s">
        <v>22</v>
      </c>
      <c r="QIY68" s="144">
        <v>8150</v>
      </c>
      <c r="QIZ68" s="152">
        <v>85</v>
      </c>
      <c r="QJA68" s="153">
        <v>215</v>
      </c>
      <c r="QJB68" s="153">
        <v>75</v>
      </c>
      <c r="QJC68" s="152">
        <v>150</v>
      </c>
      <c r="QJD68" s="154">
        <f>SUM(QIY68:QJC68)</f>
        <v>8675</v>
      </c>
      <c r="QJE68" s="152">
        <v>200</v>
      </c>
      <c r="QJF68" s="154">
        <f>SUM(QJD68:QJE68)</f>
        <v>8875</v>
      </c>
      <c r="QJG68" s="147" t="s">
        <v>99</v>
      </c>
      <c r="QJH68" s="148">
        <v>45845</v>
      </c>
      <c r="QJI68" s="143" t="s">
        <v>46</v>
      </c>
      <c r="QJJ68" s="199"/>
      <c r="QJK68" s="149" t="s">
        <v>125</v>
      </c>
      <c r="QJL68" s="197"/>
      <c r="QJM68" s="198"/>
      <c r="QJN68" s="143" t="s">
        <v>22</v>
      </c>
      <c r="QJO68" s="144">
        <v>8150</v>
      </c>
      <c r="QJP68" s="152">
        <v>85</v>
      </c>
      <c r="QJQ68" s="153">
        <v>215</v>
      </c>
      <c r="QJR68" s="153">
        <v>75</v>
      </c>
      <c r="QJS68" s="152">
        <v>150</v>
      </c>
      <c r="QJT68" s="154">
        <f>SUM(QJO68:QJS68)</f>
        <v>8675</v>
      </c>
      <c r="QJU68" s="152">
        <v>200</v>
      </c>
      <c r="QJV68" s="154">
        <f>SUM(QJT68:QJU68)</f>
        <v>8875</v>
      </c>
      <c r="QJW68" s="147" t="s">
        <v>99</v>
      </c>
      <c r="QJX68" s="148">
        <v>45845</v>
      </c>
      <c r="QJY68" s="143" t="s">
        <v>46</v>
      </c>
      <c r="QJZ68" s="199"/>
      <c r="QKA68" s="149" t="s">
        <v>125</v>
      </c>
      <c r="QKB68" s="197"/>
      <c r="QKC68" s="198"/>
      <c r="QKD68" s="143" t="s">
        <v>22</v>
      </c>
      <c r="QKE68" s="144">
        <v>8150</v>
      </c>
      <c r="QKF68" s="152">
        <v>85</v>
      </c>
      <c r="QKG68" s="153">
        <v>215</v>
      </c>
      <c r="QKH68" s="153">
        <v>75</v>
      </c>
      <c r="QKI68" s="152">
        <v>150</v>
      </c>
      <c r="QKJ68" s="154">
        <f>SUM(QKE68:QKI68)</f>
        <v>8675</v>
      </c>
      <c r="QKK68" s="152">
        <v>200</v>
      </c>
      <c r="QKL68" s="154">
        <f>SUM(QKJ68:QKK68)</f>
        <v>8875</v>
      </c>
      <c r="QKM68" s="147" t="s">
        <v>99</v>
      </c>
      <c r="QKN68" s="148">
        <v>45845</v>
      </c>
      <c r="QKO68" s="143" t="s">
        <v>46</v>
      </c>
      <c r="QKP68" s="199"/>
      <c r="QKQ68" s="149" t="s">
        <v>125</v>
      </c>
      <c r="QKR68" s="197"/>
      <c r="QKS68" s="198"/>
      <c r="QKT68" s="143" t="s">
        <v>22</v>
      </c>
      <c r="QKU68" s="144">
        <v>8150</v>
      </c>
      <c r="QKV68" s="152">
        <v>85</v>
      </c>
      <c r="QKW68" s="153">
        <v>215</v>
      </c>
      <c r="QKX68" s="153">
        <v>75</v>
      </c>
      <c r="QKY68" s="152">
        <v>150</v>
      </c>
      <c r="QKZ68" s="154">
        <f>SUM(QKU68:QKY68)</f>
        <v>8675</v>
      </c>
      <c r="QLA68" s="152">
        <v>200</v>
      </c>
      <c r="QLB68" s="154">
        <f>SUM(QKZ68:QLA68)</f>
        <v>8875</v>
      </c>
      <c r="QLC68" s="147" t="s">
        <v>99</v>
      </c>
      <c r="QLD68" s="148">
        <v>45845</v>
      </c>
      <c r="QLE68" s="143" t="s">
        <v>46</v>
      </c>
      <c r="QLF68" s="199"/>
      <c r="QLG68" s="149" t="s">
        <v>125</v>
      </c>
      <c r="QLH68" s="197"/>
      <c r="QLI68" s="198"/>
      <c r="QLJ68" s="143" t="s">
        <v>22</v>
      </c>
      <c r="QLK68" s="144">
        <v>8150</v>
      </c>
      <c r="QLL68" s="152">
        <v>85</v>
      </c>
      <c r="QLM68" s="153">
        <v>215</v>
      </c>
      <c r="QLN68" s="153">
        <v>75</v>
      </c>
      <c r="QLO68" s="152">
        <v>150</v>
      </c>
      <c r="QLP68" s="154">
        <f>SUM(QLK68:QLO68)</f>
        <v>8675</v>
      </c>
      <c r="QLQ68" s="152">
        <v>200</v>
      </c>
      <c r="QLR68" s="154">
        <f>SUM(QLP68:QLQ68)</f>
        <v>8875</v>
      </c>
      <c r="QLS68" s="147" t="s">
        <v>99</v>
      </c>
      <c r="QLT68" s="148">
        <v>45845</v>
      </c>
      <c r="QLU68" s="143" t="s">
        <v>46</v>
      </c>
      <c r="QLV68" s="199"/>
      <c r="QLW68" s="149" t="s">
        <v>125</v>
      </c>
      <c r="QLX68" s="197"/>
      <c r="QLY68" s="198"/>
      <c r="QLZ68" s="143" t="s">
        <v>22</v>
      </c>
      <c r="QMA68" s="144">
        <v>8150</v>
      </c>
      <c r="QMB68" s="152">
        <v>85</v>
      </c>
      <c r="QMC68" s="153">
        <v>215</v>
      </c>
      <c r="QMD68" s="153">
        <v>75</v>
      </c>
      <c r="QME68" s="152">
        <v>150</v>
      </c>
      <c r="QMF68" s="154">
        <f>SUM(QMA68:QME68)</f>
        <v>8675</v>
      </c>
      <c r="QMG68" s="152">
        <v>200</v>
      </c>
      <c r="QMH68" s="154">
        <f>SUM(QMF68:QMG68)</f>
        <v>8875</v>
      </c>
      <c r="QMI68" s="147" t="s">
        <v>99</v>
      </c>
      <c r="QMJ68" s="148">
        <v>45845</v>
      </c>
      <c r="QMK68" s="143" t="s">
        <v>46</v>
      </c>
      <c r="QML68" s="199"/>
      <c r="QMM68" s="149" t="s">
        <v>125</v>
      </c>
      <c r="QMN68" s="197"/>
      <c r="QMO68" s="198"/>
      <c r="QMP68" s="143" t="s">
        <v>22</v>
      </c>
      <c r="QMQ68" s="144">
        <v>8150</v>
      </c>
      <c r="QMR68" s="152">
        <v>85</v>
      </c>
      <c r="QMS68" s="153">
        <v>215</v>
      </c>
      <c r="QMT68" s="153">
        <v>75</v>
      </c>
      <c r="QMU68" s="152">
        <v>150</v>
      </c>
      <c r="QMV68" s="154">
        <f>SUM(QMQ68:QMU68)</f>
        <v>8675</v>
      </c>
      <c r="QMW68" s="152">
        <v>200</v>
      </c>
      <c r="QMX68" s="154">
        <f>SUM(QMV68:QMW68)</f>
        <v>8875</v>
      </c>
      <c r="QMY68" s="147" t="s">
        <v>99</v>
      </c>
      <c r="QMZ68" s="148">
        <v>45845</v>
      </c>
      <c r="QNA68" s="143" t="s">
        <v>46</v>
      </c>
      <c r="QNB68" s="199"/>
      <c r="QNC68" s="149" t="s">
        <v>125</v>
      </c>
      <c r="QND68" s="197"/>
      <c r="QNE68" s="198"/>
      <c r="QNF68" s="143" t="s">
        <v>22</v>
      </c>
      <c r="QNG68" s="144">
        <v>8150</v>
      </c>
      <c r="QNH68" s="152">
        <v>85</v>
      </c>
      <c r="QNI68" s="153">
        <v>215</v>
      </c>
      <c r="QNJ68" s="153">
        <v>75</v>
      </c>
      <c r="QNK68" s="152">
        <v>150</v>
      </c>
      <c r="QNL68" s="154">
        <f>SUM(QNG68:QNK68)</f>
        <v>8675</v>
      </c>
      <c r="QNM68" s="152">
        <v>200</v>
      </c>
      <c r="QNN68" s="154">
        <f>SUM(QNL68:QNM68)</f>
        <v>8875</v>
      </c>
      <c r="QNO68" s="147" t="s">
        <v>99</v>
      </c>
      <c r="QNP68" s="148">
        <v>45845</v>
      </c>
      <c r="QNQ68" s="143" t="s">
        <v>46</v>
      </c>
      <c r="QNR68" s="199"/>
      <c r="QNS68" s="149" t="s">
        <v>125</v>
      </c>
      <c r="QNT68" s="197"/>
      <c r="QNU68" s="198"/>
      <c r="QNV68" s="143" t="s">
        <v>22</v>
      </c>
      <c r="QNW68" s="144">
        <v>8150</v>
      </c>
      <c r="QNX68" s="152">
        <v>85</v>
      </c>
      <c r="QNY68" s="153">
        <v>215</v>
      </c>
      <c r="QNZ68" s="153">
        <v>75</v>
      </c>
      <c r="QOA68" s="152">
        <v>150</v>
      </c>
      <c r="QOB68" s="154">
        <f>SUM(QNW68:QOA68)</f>
        <v>8675</v>
      </c>
      <c r="QOC68" s="152">
        <v>200</v>
      </c>
      <c r="QOD68" s="154">
        <f>SUM(QOB68:QOC68)</f>
        <v>8875</v>
      </c>
      <c r="QOE68" s="147" t="s">
        <v>99</v>
      </c>
      <c r="QOF68" s="148">
        <v>45845</v>
      </c>
      <c r="QOG68" s="143" t="s">
        <v>46</v>
      </c>
      <c r="QOH68" s="199"/>
      <c r="QOI68" s="149" t="s">
        <v>125</v>
      </c>
      <c r="QOJ68" s="197"/>
      <c r="QOK68" s="198"/>
      <c r="QOL68" s="143" t="s">
        <v>22</v>
      </c>
      <c r="QOM68" s="144">
        <v>8150</v>
      </c>
      <c r="QON68" s="152">
        <v>85</v>
      </c>
      <c r="QOO68" s="153">
        <v>215</v>
      </c>
      <c r="QOP68" s="153">
        <v>75</v>
      </c>
      <c r="QOQ68" s="152">
        <v>150</v>
      </c>
      <c r="QOR68" s="154">
        <f>SUM(QOM68:QOQ68)</f>
        <v>8675</v>
      </c>
      <c r="QOS68" s="152">
        <v>200</v>
      </c>
      <c r="QOT68" s="154">
        <f>SUM(QOR68:QOS68)</f>
        <v>8875</v>
      </c>
      <c r="QOU68" s="147" t="s">
        <v>99</v>
      </c>
      <c r="QOV68" s="148">
        <v>45845</v>
      </c>
      <c r="QOW68" s="143" t="s">
        <v>46</v>
      </c>
      <c r="QOX68" s="199"/>
      <c r="QOY68" s="149" t="s">
        <v>125</v>
      </c>
      <c r="QOZ68" s="197"/>
      <c r="QPA68" s="198"/>
      <c r="QPB68" s="143" t="s">
        <v>22</v>
      </c>
      <c r="QPC68" s="144">
        <v>8150</v>
      </c>
      <c r="QPD68" s="152">
        <v>85</v>
      </c>
      <c r="QPE68" s="153">
        <v>215</v>
      </c>
      <c r="QPF68" s="153">
        <v>75</v>
      </c>
      <c r="QPG68" s="152">
        <v>150</v>
      </c>
      <c r="QPH68" s="154">
        <f>SUM(QPC68:QPG68)</f>
        <v>8675</v>
      </c>
      <c r="QPI68" s="152">
        <v>200</v>
      </c>
      <c r="QPJ68" s="154">
        <f>SUM(QPH68:QPI68)</f>
        <v>8875</v>
      </c>
      <c r="QPK68" s="147" t="s">
        <v>99</v>
      </c>
      <c r="QPL68" s="148">
        <v>45845</v>
      </c>
      <c r="QPM68" s="143" t="s">
        <v>46</v>
      </c>
      <c r="QPN68" s="199"/>
      <c r="QPO68" s="149" t="s">
        <v>125</v>
      </c>
      <c r="QPP68" s="197"/>
      <c r="QPQ68" s="198"/>
      <c r="QPR68" s="143" t="s">
        <v>22</v>
      </c>
      <c r="QPS68" s="144">
        <v>8150</v>
      </c>
      <c r="QPT68" s="152">
        <v>85</v>
      </c>
      <c r="QPU68" s="153">
        <v>215</v>
      </c>
      <c r="QPV68" s="153">
        <v>75</v>
      </c>
      <c r="QPW68" s="152">
        <v>150</v>
      </c>
      <c r="QPX68" s="154">
        <f>SUM(QPS68:QPW68)</f>
        <v>8675</v>
      </c>
      <c r="QPY68" s="152">
        <v>200</v>
      </c>
      <c r="QPZ68" s="154">
        <f>SUM(QPX68:QPY68)</f>
        <v>8875</v>
      </c>
      <c r="QQA68" s="147" t="s">
        <v>99</v>
      </c>
      <c r="QQB68" s="148">
        <v>45845</v>
      </c>
      <c r="QQC68" s="143" t="s">
        <v>46</v>
      </c>
      <c r="QQD68" s="199"/>
      <c r="QQE68" s="149" t="s">
        <v>125</v>
      </c>
      <c r="QQF68" s="197"/>
      <c r="QQG68" s="198"/>
      <c r="QQH68" s="143" t="s">
        <v>22</v>
      </c>
      <c r="QQI68" s="144">
        <v>8150</v>
      </c>
      <c r="QQJ68" s="152">
        <v>85</v>
      </c>
      <c r="QQK68" s="153">
        <v>215</v>
      </c>
      <c r="QQL68" s="153">
        <v>75</v>
      </c>
      <c r="QQM68" s="152">
        <v>150</v>
      </c>
      <c r="QQN68" s="154">
        <f>SUM(QQI68:QQM68)</f>
        <v>8675</v>
      </c>
      <c r="QQO68" s="152">
        <v>200</v>
      </c>
      <c r="QQP68" s="154">
        <f>SUM(QQN68:QQO68)</f>
        <v>8875</v>
      </c>
      <c r="QQQ68" s="147" t="s">
        <v>99</v>
      </c>
      <c r="QQR68" s="148">
        <v>45845</v>
      </c>
      <c r="QQS68" s="143" t="s">
        <v>46</v>
      </c>
      <c r="QQT68" s="199"/>
      <c r="QQU68" s="149" t="s">
        <v>125</v>
      </c>
      <c r="QQV68" s="197"/>
      <c r="QQW68" s="198"/>
      <c r="QQX68" s="143" t="s">
        <v>22</v>
      </c>
      <c r="QQY68" s="144">
        <v>8150</v>
      </c>
      <c r="QQZ68" s="152">
        <v>85</v>
      </c>
      <c r="QRA68" s="153">
        <v>215</v>
      </c>
      <c r="QRB68" s="153">
        <v>75</v>
      </c>
      <c r="QRC68" s="152">
        <v>150</v>
      </c>
      <c r="QRD68" s="154">
        <f>SUM(QQY68:QRC68)</f>
        <v>8675</v>
      </c>
      <c r="QRE68" s="152">
        <v>200</v>
      </c>
      <c r="QRF68" s="154">
        <f>SUM(QRD68:QRE68)</f>
        <v>8875</v>
      </c>
      <c r="QRG68" s="147" t="s">
        <v>99</v>
      </c>
      <c r="QRH68" s="148">
        <v>45845</v>
      </c>
      <c r="QRI68" s="143" t="s">
        <v>46</v>
      </c>
      <c r="QRJ68" s="199"/>
      <c r="QRK68" s="149" t="s">
        <v>125</v>
      </c>
      <c r="QRL68" s="197"/>
      <c r="QRM68" s="198"/>
      <c r="QRN68" s="143" t="s">
        <v>22</v>
      </c>
      <c r="QRO68" s="144">
        <v>8150</v>
      </c>
      <c r="QRP68" s="152">
        <v>85</v>
      </c>
      <c r="QRQ68" s="153">
        <v>215</v>
      </c>
      <c r="QRR68" s="153">
        <v>75</v>
      </c>
      <c r="QRS68" s="152">
        <v>150</v>
      </c>
      <c r="QRT68" s="154">
        <f>SUM(QRO68:QRS68)</f>
        <v>8675</v>
      </c>
      <c r="QRU68" s="152">
        <v>200</v>
      </c>
      <c r="QRV68" s="154">
        <f>SUM(QRT68:QRU68)</f>
        <v>8875</v>
      </c>
      <c r="QRW68" s="147" t="s">
        <v>99</v>
      </c>
      <c r="QRX68" s="148">
        <v>45845</v>
      </c>
      <c r="QRY68" s="143" t="s">
        <v>46</v>
      </c>
      <c r="QRZ68" s="199"/>
      <c r="QSA68" s="149" t="s">
        <v>125</v>
      </c>
      <c r="QSB68" s="197"/>
      <c r="QSC68" s="198"/>
      <c r="QSD68" s="143" t="s">
        <v>22</v>
      </c>
      <c r="QSE68" s="144">
        <v>8150</v>
      </c>
      <c r="QSF68" s="152">
        <v>85</v>
      </c>
      <c r="QSG68" s="153">
        <v>215</v>
      </c>
      <c r="QSH68" s="153">
        <v>75</v>
      </c>
      <c r="QSI68" s="152">
        <v>150</v>
      </c>
      <c r="QSJ68" s="154">
        <f>SUM(QSE68:QSI68)</f>
        <v>8675</v>
      </c>
      <c r="QSK68" s="152">
        <v>200</v>
      </c>
      <c r="QSL68" s="154">
        <f>SUM(QSJ68:QSK68)</f>
        <v>8875</v>
      </c>
      <c r="QSM68" s="147" t="s">
        <v>99</v>
      </c>
      <c r="QSN68" s="148">
        <v>45845</v>
      </c>
      <c r="QSO68" s="143" t="s">
        <v>46</v>
      </c>
      <c r="QSP68" s="199"/>
      <c r="QSQ68" s="149" t="s">
        <v>125</v>
      </c>
      <c r="QSR68" s="197"/>
      <c r="QSS68" s="198"/>
      <c r="QST68" s="143" t="s">
        <v>22</v>
      </c>
      <c r="QSU68" s="144">
        <v>8150</v>
      </c>
      <c r="QSV68" s="152">
        <v>85</v>
      </c>
      <c r="QSW68" s="153">
        <v>215</v>
      </c>
      <c r="QSX68" s="153">
        <v>75</v>
      </c>
      <c r="QSY68" s="152">
        <v>150</v>
      </c>
      <c r="QSZ68" s="154">
        <f>SUM(QSU68:QSY68)</f>
        <v>8675</v>
      </c>
      <c r="QTA68" s="152">
        <v>200</v>
      </c>
      <c r="QTB68" s="154">
        <f>SUM(QSZ68:QTA68)</f>
        <v>8875</v>
      </c>
      <c r="QTC68" s="147" t="s">
        <v>99</v>
      </c>
      <c r="QTD68" s="148">
        <v>45845</v>
      </c>
      <c r="QTE68" s="143" t="s">
        <v>46</v>
      </c>
      <c r="QTF68" s="199"/>
      <c r="QTG68" s="149" t="s">
        <v>125</v>
      </c>
      <c r="QTH68" s="197"/>
      <c r="QTI68" s="198"/>
      <c r="QTJ68" s="143" t="s">
        <v>22</v>
      </c>
      <c r="QTK68" s="144">
        <v>8150</v>
      </c>
      <c r="QTL68" s="152">
        <v>85</v>
      </c>
      <c r="QTM68" s="153">
        <v>215</v>
      </c>
      <c r="QTN68" s="153">
        <v>75</v>
      </c>
      <c r="QTO68" s="152">
        <v>150</v>
      </c>
      <c r="QTP68" s="154">
        <f>SUM(QTK68:QTO68)</f>
        <v>8675</v>
      </c>
      <c r="QTQ68" s="152">
        <v>200</v>
      </c>
      <c r="QTR68" s="154">
        <f>SUM(QTP68:QTQ68)</f>
        <v>8875</v>
      </c>
      <c r="QTS68" s="147" t="s">
        <v>99</v>
      </c>
      <c r="QTT68" s="148">
        <v>45845</v>
      </c>
      <c r="QTU68" s="143" t="s">
        <v>46</v>
      </c>
      <c r="QTV68" s="199"/>
      <c r="QTW68" s="149" t="s">
        <v>125</v>
      </c>
      <c r="QTX68" s="197"/>
      <c r="QTY68" s="198"/>
      <c r="QTZ68" s="143" t="s">
        <v>22</v>
      </c>
      <c r="QUA68" s="144">
        <v>8150</v>
      </c>
      <c r="QUB68" s="152">
        <v>85</v>
      </c>
      <c r="QUC68" s="153">
        <v>215</v>
      </c>
      <c r="QUD68" s="153">
        <v>75</v>
      </c>
      <c r="QUE68" s="152">
        <v>150</v>
      </c>
      <c r="QUF68" s="154">
        <f>SUM(QUA68:QUE68)</f>
        <v>8675</v>
      </c>
      <c r="QUG68" s="152">
        <v>200</v>
      </c>
      <c r="QUH68" s="154">
        <f>SUM(QUF68:QUG68)</f>
        <v>8875</v>
      </c>
      <c r="QUI68" s="147" t="s">
        <v>99</v>
      </c>
      <c r="QUJ68" s="148">
        <v>45845</v>
      </c>
      <c r="QUK68" s="143" t="s">
        <v>46</v>
      </c>
      <c r="QUL68" s="199"/>
      <c r="QUM68" s="149" t="s">
        <v>125</v>
      </c>
      <c r="QUN68" s="197"/>
      <c r="QUO68" s="198"/>
      <c r="QUP68" s="143" t="s">
        <v>22</v>
      </c>
      <c r="QUQ68" s="144">
        <v>8150</v>
      </c>
      <c r="QUR68" s="152">
        <v>85</v>
      </c>
      <c r="QUS68" s="153">
        <v>215</v>
      </c>
      <c r="QUT68" s="153">
        <v>75</v>
      </c>
      <c r="QUU68" s="152">
        <v>150</v>
      </c>
      <c r="QUV68" s="154">
        <f>SUM(QUQ68:QUU68)</f>
        <v>8675</v>
      </c>
      <c r="QUW68" s="152">
        <v>200</v>
      </c>
      <c r="QUX68" s="154">
        <f>SUM(QUV68:QUW68)</f>
        <v>8875</v>
      </c>
      <c r="QUY68" s="147" t="s">
        <v>99</v>
      </c>
      <c r="QUZ68" s="148">
        <v>45845</v>
      </c>
      <c r="QVA68" s="143" t="s">
        <v>46</v>
      </c>
      <c r="QVB68" s="199"/>
      <c r="QVC68" s="149" t="s">
        <v>125</v>
      </c>
      <c r="QVD68" s="197"/>
      <c r="QVE68" s="198"/>
      <c r="QVF68" s="143" t="s">
        <v>22</v>
      </c>
      <c r="QVG68" s="144">
        <v>8150</v>
      </c>
      <c r="QVH68" s="152">
        <v>85</v>
      </c>
      <c r="QVI68" s="153">
        <v>215</v>
      </c>
      <c r="QVJ68" s="153">
        <v>75</v>
      </c>
      <c r="QVK68" s="152">
        <v>150</v>
      </c>
      <c r="QVL68" s="154">
        <f>SUM(QVG68:QVK68)</f>
        <v>8675</v>
      </c>
      <c r="QVM68" s="152">
        <v>200</v>
      </c>
      <c r="QVN68" s="154">
        <f>SUM(QVL68:QVM68)</f>
        <v>8875</v>
      </c>
      <c r="QVO68" s="147" t="s">
        <v>99</v>
      </c>
      <c r="QVP68" s="148">
        <v>45845</v>
      </c>
      <c r="QVQ68" s="143" t="s">
        <v>46</v>
      </c>
      <c r="QVR68" s="199"/>
      <c r="QVS68" s="149" t="s">
        <v>125</v>
      </c>
      <c r="QVT68" s="197"/>
      <c r="QVU68" s="198"/>
      <c r="QVV68" s="143" t="s">
        <v>22</v>
      </c>
      <c r="QVW68" s="144">
        <v>8150</v>
      </c>
      <c r="QVX68" s="152">
        <v>85</v>
      </c>
      <c r="QVY68" s="153">
        <v>215</v>
      </c>
      <c r="QVZ68" s="153">
        <v>75</v>
      </c>
      <c r="QWA68" s="152">
        <v>150</v>
      </c>
      <c r="QWB68" s="154">
        <f>SUM(QVW68:QWA68)</f>
        <v>8675</v>
      </c>
      <c r="QWC68" s="152">
        <v>200</v>
      </c>
      <c r="QWD68" s="154">
        <f>SUM(QWB68:QWC68)</f>
        <v>8875</v>
      </c>
      <c r="QWE68" s="147" t="s">
        <v>99</v>
      </c>
      <c r="QWF68" s="148">
        <v>45845</v>
      </c>
      <c r="QWG68" s="143" t="s">
        <v>46</v>
      </c>
      <c r="QWH68" s="199"/>
      <c r="QWI68" s="149" t="s">
        <v>125</v>
      </c>
      <c r="QWJ68" s="197"/>
      <c r="QWK68" s="198"/>
      <c r="QWL68" s="143" t="s">
        <v>22</v>
      </c>
      <c r="QWM68" s="144">
        <v>8150</v>
      </c>
      <c r="QWN68" s="152">
        <v>85</v>
      </c>
      <c r="QWO68" s="153">
        <v>215</v>
      </c>
      <c r="QWP68" s="153">
        <v>75</v>
      </c>
      <c r="QWQ68" s="152">
        <v>150</v>
      </c>
      <c r="QWR68" s="154">
        <f>SUM(QWM68:QWQ68)</f>
        <v>8675</v>
      </c>
      <c r="QWS68" s="152">
        <v>200</v>
      </c>
      <c r="QWT68" s="154">
        <f>SUM(QWR68:QWS68)</f>
        <v>8875</v>
      </c>
      <c r="QWU68" s="147" t="s">
        <v>99</v>
      </c>
      <c r="QWV68" s="148">
        <v>45845</v>
      </c>
      <c r="QWW68" s="143" t="s">
        <v>46</v>
      </c>
      <c r="QWX68" s="199"/>
      <c r="QWY68" s="149" t="s">
        <v>125</v>
      </c>
      <c r="QWZ68" s="197"/>
      <c r="QXA68" s="198"/>
      <c r="QXB68" s="143" t="s">
        <v>22</v>
      </c>
      <c r="QXC68" s="144">
        <v>8150</v>
      </c>
      <c r="QXD68" s="152">
        <v>85</v>
      </c>
      <c r="QXE68" s="153">
        <v>215</v>
      </c>
      <c r="QXF68" s="153">
        <v>75</v>
      </c>
      <c r="QXG68" s="152">
        <v>150</v>
      </c>
      <c r="QXH68" s="154">
        <f>SUM(QXC68:QXG68)</f>
        <v>8675</v>
      </c>
      <c r="QXI68" s="152">
        <v>200</v>
      </c>
      <c r="QXJ68" s="154">
        <f>SUM(QXH68:QXI68)</f>
        <v>8875</v>
      </c>
      <c r="QXK68" s="147" t="s">
        <v>99</v>
      </c>
      <c r="QXL68" s="148">
        <v>45845</v>
      </c>
      <c r="QXM68" s="143" t="s">
        <v>46</v>
      </c>
      <c r="QXN68" s="199"/>
      <c r="QXO68" s="149" t="s">
        <v>125</v>
      </c>
      <c r="QXP68" s="197"/>
      <c r="QXQ68" s="198"/>
      <c r="QXR68" s="143" t="s">
        <v>22</v>
      </c>
      <c r="QXS68" s="144">
        <v>8150</v>
      </c>
      <c r="QXT68" s="152">
        <v>85</v>
      </c>
      <c r="QXU68" s="153">
        <v>215</v>
      </c>
      <c r="QXV68" s="153">
        <v>75</v>
      </c>
      <c r="QXW68" s="152">
        <v>150</v>
      </c>
      <c r="QXX68" s="154">
        <f>SUM(QXS68:QXW68)</f>
        <v>8675</v>
      </c>
      <c r="QXY68" s="152">
        <v>200</v>
      </c>
      <c r="QXZ68" s="154">
        <f>SUM(QXX68:QXY68)</f>
        <v>8875</v>
      </c>
      <c r="QYA68" s="147" t="s">
        <v>99</v>
      </c>
      <c r="QYB68" s="148">
        <v>45845</v>
      </c>
      <c r="QYC68" s="143" t="s">
        <v>46</v>
      </c>
      <c r="QYD68" s="199"/>
      <c r="QYE68" s="149" t="s">
        <v>125</v>
      </c>
      <c r="QYF68" s="197"/>
      <c r="QYG68" s="198"/>
      <c r="QYH68" s="143" t="s">
        <v>22</v>
      </c>
      <c r="QYI68" s="144">
        <v>8150</v>
      </c>
      <c r="QYJ68" s="152">
        <v>85</v>
      </c>
      <c r="QYK68" s="153">
        <v>215</v>
      </c>
      <c r="QYL68" s="153">
        <v>75</v>
      </c>
      <c r="QYM68" s="152">
        <v>150</v>
      </c>
      <c r="QYN68" s="154">
        <f>SUM(QYI68:QYM68)</f>
        <v>8675</v>
      </c>
      <c r="QYO68" s="152">
        <v>200</v>
      </c>
      <c r="QYP68" s="154">
        <f>SUM(QYN68:QYO68)</f>
        <v>8875</v>
      </c>
      <c r="QYQ68" s="147" t="s">
        <v>99</v>
      </c>
      <c r="QYR68" s="148">
        <v>45845</v>
      </c>
      <c r="QYS68" s="143" t="s">
        <v>46</v>
      </c>
      <c r="QYT68" s="199"/>
      <c r="QYU68" s="149" t="s">
        <v>125</v>
      </c>
      <c r="QYV68" s="197"/>
      <c r="QYW68" s="198"/>
      <c r="QYX68" s="143" t="s">
        <v>22</v>
      </c>
      <c r="QYY68" s="144">
        <v>8150</v>
      </c>
      <c r="QYZ68" s="152">
        <v>85</v>
      </c>
      <c r="QZA68" s="153">
        <v>215</v>
      </c>
      <c r="QZB68" s="153">
        <v>75</v>
      </c>
      <c r="QZC68" s="152">
        <v>150</v>
      </c>
      <c r="QZD68" s="154">
        <f>SUM(QYY68:QZC68)</f>
        <v>8675</v>
      </c>
      <c r="QZE68" s="152">
        <v>200</v>
      </c>
      <c r="QZF68" s="154">
        <f>SUM(QZD68:QZE68)</f>
        <v>8875</v>
      </c>
      <c r="QZG68" s="147" t="s">
        <v>99</v>
      </c>
      <c r="QZH68" s="148">
        <v>45845</v>
      </c>
      <c r="QZI68" s="143" t="s">
        <v>46</v>
      </c>
      <c r="QZJ68" s="199"/>
      <c r="QZK68" s="149" t="s">
        <v>125</v>
      </c>
      <c r="QZL68" s="197"/>
      <c r="QZM68" s="198"/>
      <c r="QZN68" s="143" t="s">
        <v>22</v>
      </c>
      <c r="QZO68" s="144">
        <v>8150</v>
      </c>
      <c r="QZP68" s="152">
        <v>85</v>
      </c>
      <c r="QZQ68" s="153">
        <v>215</v>
      </c>
      <c r="QZR68" s="153">
        <v>75</v>
      </c>
      <c r="QZS68" s="152">
        <v>150</v>
      </c>
      <c r="QZT68" s="154">
        <f>SUM(QZO68:QZS68)</f>
        <v>8675</v>
      </c>
      <c r="QZU68" s="152">
        <v>200</v>
      </c>
      <c r="QZV68" s="154">
        <f>SUM(QZT68:QZU68)</f>
        <v>8875</v>
      </c>
      <c r="QZW68" s="147" t="s">
        <v>99</v>
      </c>
      <c r="QZX68" s="148">
        <v>45845</v>
      </c>
      <c r="QZY68" s="143" t="s">
        <v>46</v>
      </c>
      <c r="QZZ68" s="199"/>
      <c r="RAA68" s="149" t="s">
        <v>125</v>
      </c>
      <c r="RAB68" s="197"/>
      <c r="RAC68" s="198"/>
      <c r="RAD68" s="143" t="s">
        <v>22</v>
      </c>
      <c r="RWW68" s="198"/>
      <c r="RWX68" s="143" t="s">
        <v>22</v>
      </c>
      <c r="RWY68" s="144">
        <v>8150</v>
      </c>
      <c r="RWZ68" s="152">
        <v>85</v>
      </c>
      <c r="RXA68" s="153">
        <v>215</v>
      </c>
      <c r="RXB68" s="153">
        <v>75</v>
      </c>
      <c r="RXC68" s="152">
        <v>150</v>
      </c>
      <c r="RXD68" s="154">
        <f>SUM(RWY68:RXC68)</f>
        <v>8675</v>
      </c>
      <c r="RXE68" s="152">
        <v>200</v>
      </c>
      <c r="RXF68" s="154">
        <f>SUM(RXD68:RXE68)</f>
        <v>8875</v>
      </c>
      <c r="RXG68" s="147" t="s">
        <v>99</v>
      </c>
      <c r="RXH68" s="148">
        <v>45845</v>
      </c>
      <c r="RXI68" s="143" t="s">
        <v>46</v>
      </c>
      <c r="RXJ68" s="199"/>
      <c r="RXK68" s="149" t="s">
        <v>125</v>
      </c>
      <c r="RXL68" s="197"/>
      <c r="RXM68" s="198"/>
      <c r="RXN68" s="143" t="s">
        <v>22</v>
      </c>
      <c r="RXO68" s="144">
        <v>8150</v>
      </c>
      <c r="RXP68" s="152">
        <v>85</v>
      </c>
      <c r="RXQ68" s="153">
        <v>215</v>
      </c>
      <c r="RXR68" s="153">
        <v>75</v>
      </c>
      <c r="RXS68" s="152">
        <v>150</v>
      </c>
      <c r="RXT68" s="154">
        <f>SUM(RXO68:RXS68)</f>
        <v>8675</v>
      </c>
      <c r="RXU68" s="152">
        <v>200</v>
      </c>
      <c r="RXV68" s="154">
        <f>SUM(RXT68:RXU68)</f>
        <v>8875</v>
      </c>
      <c r="RXW68" s="147" t="s">
        <v>99</v>
      </c>
      <c r="RXX68" s="148">
        <v>45845</v>
      </c>
      <c r="RXY68" s="143" t="s">
        <v>46</v>
      </c>
      <c r="RXZ68" s="199"/>
      <c r="RYA68" s="149" t="s">
        <v>125</v>
      </c>
      <c r="RYB68" s="197"/>
      <c r="RYC68" s="198"/>
      <c r="RYD68" s="143" t="s">
        <v>22</v>
      </c>
      <c r="RYE68" s="144">
        <v>8150</v>
      </c>
      <c r="RYF68" s="152">
        <v>85</v>
      </c>
      <c r="RYG68" s="153">
        <v>215</v>
      </c>
      <c r="RYH68" s="153">
        <v>75</v>
      </c>
      <c r="RYI68" s="152">
        <v>150</v>
      </c>
      <c r="RYJ68" s="154">
        <f>SUM(RYE68:RYI68)</f>
        <v>8675</v>
      </c>
      <c r="RYK68" s="152">
        <v>200</v>
      </c>
      <c r="RYL68" s="154">
        <f>SUM(RYJ68:RYK68)</f>
        <v>8875</v>
      </c>
      <c r="RYM68" s="147" t="s">
        <v>99</v>
      </c>
      <c r="RYN68" s="148">
        <v>45845</v>
      </c>
      <c r="RYO68" s="143" t="s">
        <v>46</v>
      </c>
      <c r="RYP68" s="199"/>
      <c r="RYQ68" s="149" t="s">
        <v>125</v>
      </c>
      <c r="RYR68" s="197"/>
      <c r="RYS68" s="198"/>
      <c r="RYT68" s="143" t="s">
        <v>22</v>
      </c>
      <c r="RYU68" s="144">
        <v>8150</v>
      </c>
      <c r="RYV68" s="152">
        <v>85</v>
      </c>
      <c r="RYW68" s="153">
        <v>215</v>
      </c>
      <c r="RYX68" s="153">
        <v>75</v>
      </c>
      <c r="RYY68" s="152">
        <v>150</v>
      </c>
      <c r="RYZ68" s="154">
        <f>SUM(RYU68:RYY68)</f>
        <v>8675</v>
      </c>
      <c r="RZA68" s="152">
        <v>200</v>
      </c>
      <c r="RZB68" s="154">
        <f>SUM(RYZ68:RZA68)</f>
        <v>8875</v>
      </c>
      <c r="RZC68" s="147" t="s">
        <v>99</v>
      </c>
      <c r="RZD68" s="148">
        <v>45845</v>
      </c>
      <c r="RZE68" s="143" t="s">
        <v>46</v>
      </c>
      <c r="RZF68" s="199"/>
      <c r="RZG68" s="149" t="s">
        <v>125</v>
      </c>
      <c r="RZH68" s="197"/>
      <c r="RZI68" s="198"/>
      <c r="RZJ68" s="143" t="s">
        <v>22</v>
      </c>
      <c r="RZK68" s="144">
        <v>8150</v>
      </c>
      <c r="RZL68" s="152">
        <v>85</v>
      </c>
      <c r="RZM68" s="153">
        <v>215</v>
      </c>
      <c r="RZN68" s="153">
        <v>75</v>
      </c>
      <c r="RZO68" s="152">
        <v>150</v>
      </c>
      <c r="RZP68" s="154">
        <f>SUM(RZK68:RZO68)</f>
        <v>8675</v>
      </c>
      <c r="RZQ68" s="152">
        <v>200</v>
      </c>
      <c r="RZR68" s="154">
        <f>SUM(RZP68:RZQ68)</f>
        <v>8875</v>
      </c>
      <c r="RZS68" s="147" t="s">
        <v>99</v>
      </c>
      <c r="RZT68" s="148">
        <v>45845</v>
      </c>
      <c r="RZU68" s="143" t="s">
        <v>46</v>
      </c>
      <c r="RZV68" s="199"/>
      <c r="RZW68" s="149" t="s">
        <v>125</v>
      </c>
      <c r="RZX68" s="197"/>
      <c r="RZY68" s="198"/>
      <c r="RZZ68" s="143" t="s">
        <v>22</v>
      </c>
      <c r="SAA68" s="144">
        <v>8150</v>
      </c>
      <c r="SAB68" s="152">
        <v>85</v>
      </c>
      <c r="SAC68" s="153">
        <v>215</v>
      </c>
      <c r="SAD68" s="153">
        <v>75</v>
      </c>
      <c r="SAE68" s="152">
        <v>150</v>
      </c>
      <c r="SAF68" s="154">
        <f>SUM(SAA68:SAE68)</f>
        <v>8675</v>
      </c>
      <c r="SAG68" s="152">
        <v>200</v>
      </c>
      <c r="SAH68" s="154">
        <f>SUM(SAF68:SAG68)</f>
        <v>8875</v>
      </c>
      <c r="SAI68" s="147" t="s">
        <v>99</v>
      </c>
      <c r="SAJ68" s="148">
        <v>45845</v>
      </c>
      <c r="SAK68" s="143" t="s">
        <v>46</v>
      </c>
      <c r="SAL68" s="199"/>
      <c r="SAM68" s="149" t="s">
        <v>125</v>
      </c>
      <c r="SAN68" s="197"/>
      <c r="SAO68" s="198"/>
      <c r="SAP68" s="143" t="s">
        <v>22</v>
      </c>
      <c r="SAQ68" s="144">
        <v>8150</v>
      </c>
      <c r="SAR68" s="152">
        <v>85</v>
      </c>
      <c r="SAS68" s="153">
        <v>215</v>
      </c>
      <c r="SAT68" s="153">
        <v>75</v>
      </c>
      <c r="SAU68" s="152">
        <v>150</v>
      </c>
      <c r="SAV68" s="154">
        <f>SUM(SAQ68:SAU68)</f>
        <v>8675</v>
      </c>
      <c r="SAW68" s="152">
        <v>200</v>
      </c>
      <c r="SAX68" s="154">
        <f>SUM(SAV68:SAW68)</f>
        <v>8875</v>
      </c>
      <c r="SAY68" s="147" t="s">
        <v>99</v>
      </c>
      <c r="SAZ68" s="148">
        <v>45845</v>
      </c>
      <c r="SBA68" s="143" t="s">
        <v>46</v>
      </c>
      <c r="SBB68" s="199"/>
      <c r="SBC68" s="149" t="s">
        <v>125</v>
      </c>
      <c r="SBD68" s="197"/>
      <c r="SBE68" s="198"/>
      <c r="SBF68" s="143" t="s">
        <v>22</v>
      </c>
      <c r="SBG68" s="144">
        <v>8150</v>
      </c>
      <c r="SBH68" s="152">
        <v>85</v>
      </c>
      <c r="SBI68" s="153">
        <v>215</v>
      </c>
      <c r="SBJ68" s="153">
        <v>75</v>
      </c>
      <c r="SBK68" s="152">
        <v>150</v>
      </c>
      <c r="SBL68" s="154">
        <f>SUM(SBG68:SBK68)</f>
        <v>8675</v>
      </c>
      <c r="SBM68" s="152">
        <v>200</v>
      </c>
      <c r="SBN68" s="154">
        <f>SUM(SBL68:SBM68)</f>
        <v>8875</v>
      </c>
      <c r="SBO68" s="147" t="s">
        <v>99</v>
      </c>
      <c r="SBP68" s="148">
        <v>45845</v>
      </c>
      <c r="SBQ68" s="143" t="s">
        <v>46</v>
      </c>
      <c r="SBR68" s="199"/>
      <c r="SBS68" s="149" t="s">
        <v>125</v>
      </c>
      <c r="SBT68" s="197"/>
      <c r="SBU68" s="198"/>
      <c r="SBV68" s="143" t="s">
        <v>22</v>
      </c>
      <c r="SBW68" s="144">
        <v>8150</v>
      </c>
      <c r="SBX68" s="152">
        <v>85</v>
      </c>
      <c r="SBY68" s="153">
        <v>215</v>
      </c>
      <c r="SBZ68" s="153">
        <v>75</v>
      </c>
      <c r="SCA68" s="152">
        <v>150</v>
      </c>
      <c r="SCB68" s="154">
        <f>SUM(SBW68:SCA68)</f>
        <v>8675</v>
      </c>
      <c r="SCC68" s="152">
        <v>200</v>
      </c>
      <c r="SCD68" s="154">
        <f>SUM(SCB68:SCC68)</f>
        <v>8875</v>
      </c>
      <c r="SCE68" s="147" t="s">
        <v>99</v>
      </c>
      <c r="SCF68" s="148">
        <v>45845</v>
      </c>
      <c r="SCG68" s="143" t="s">
        <v>46</v>
      </c>
      <c r="SCH68" s="199"/>
      <c r="SCI68" s="149" t="s">
        <v>125</v>
      </c>
      <c r="SCJ68" s="197"/>
      <c r="SCK68" s="198"/>
      <c r="SCL68" s="143" t="s">
        <v>22</v>
      </c>
      <c r="SCM68" s="144">
        <v>8150</v>
      </c>
      <c r="SCN68" s="152">
        <v>85</v>
      </c>
      <c r="SCO68" s="153">
        <v>215</v>
      </c>
      <c r="SCP68" s="153">
        <v>75</v>
      </c>
      <c r="SCQ68" s="152">
        <v>150</v>
      </c>
      <c r="SCR68" s="154">
        <f>SUM(SCM68:SCQ68)</f>
        <v>8675</v>
      </c>
      <c r="SCS68" s="152">
        <v>200</v>
      </c>
      <c r="SCT68" s="154">
        <f>SUM(SCR68:SCS68)</f>
        <v>8875</v>
      </c>
      <c r="SCU68" s="147" t="s">
        <v>99</v>
      </c>
      <c r="SCV68" s="148">
        <v>45845</v>
      </c>
      <c r="SCW68" s="143" t="s">
        <v>46</v>
      </c>
      <c r="SCX68" s="199"/>
      <c r="SCY68" s="149" t="s">
        <v>125</v>
      </c>
      <c r="SCZ68" s="197"/>
      <c r="SDA68" s="198"/>
      <c r="SDB68" s="143" t="s">
        <v>22</v>
      </c>
      <c r="SDC68" s="144">
        <v>8150</v>
      </c>
      <c r="SDD68" s="152">
        <v>85</v>
      </c>
      <c r="SDE68" s="153">
        <v>215</v>
      </c>
      <c r="SDF68" s="153">
        <v>75</v>
      </c>
      <c r="SDG68" s="152">
        <v>150</v>
      </c>
      <c r="SDH68" s="154">
        <f>SUM(SDC68:SDG68)</f>
        <v>8675</v>
      </c>
      <c r="SDI68" s="152">
        <v>200</v>
      </c>
      <c r="SDJ68" s="154">
        <f>SUM(SDH68:SDI68)</f>
        <v>8875</v>
      </c>
      <c r="SDK68" s="147" t="s">
        <v>99</v>
      </c>
      <c r="SDL68" s="148">
        <v>45845</v>
      </c>
      <c r="SDM68" s="143" t="s">
        <v>46</v>
      </c>
      <c r="SDN68" s="199"/>
      <c r="SDO68" s="149" t="s">
        <v>125</v>
      </c>
      <c r="SDP68" s="197"/>
      <c r="SDQ68" s="198"/>
      <c r="SDR68" s="143" t="s">
        <v>22</v>
      </c>
      <c r="SDS68" s="144">
        <v>8150</v>
      </c>
      <c r="SDT68" s="152">
        <v>85</v>
      </c>
      <c r="SDU68" s="153">
        <v>215</v>
      </c>
      <c r="SDV68" s="153">
        <v>75</v>
      </c>
      <c r="SDW68" s="152">
        <v>150</v>
      </c>
      <c r="SDX68" s="154">
        <f>SUM(SDS68:SDW68)</f>
        <v>8675</v>
      </c>
      <c r="SDY68" s="152">
        <v>200</v>
      </c>
      <c r="SDZ68" s="154">
        <f>SUM(SDX68:SDY68)</f>
        <v>8875</v>
      </c>
      <c r="SEA68" s="147" t="s">
        <v>99</v>
      </c>
      <c r="SEB68" s="148">
        <v>45845</v>
      </c>
      <c r="SEC68" s="143" t="s">
        <v>46</v>
      </c>
      <c r="SED68" s="199"/>
      <c r="SEE68" s="149" t="s">
        <v>125</v>
      </c>
      <c r="SEF68" s="197"/>
      <c r="SEG68" s="198"/>
      <c r="SEH68" s="143" t="s">
        <v>22</v>
      </c>
      <c r="SEI68" s="144">
        <v>8150</v>
      </c>
      <c r="SEJ68" s="152">
        <v>85</v>
      </c>
      <c r="SEK68" s="153">
        <v>215</v>
      </c>
      <c r="SEL68" s="153">
        <v>75</v>
      </c>
      <c r="SEM68" s="152">
        <v>150</v>
      </c>
      <c r="SEN68" s="154">
        <f>SUM(SEI68:SEM68)</f>
        <v>8675</v>
      </c>
      <c r="SEO68" s="152">
        <v>200</v>
      </c>
      <c r="SEP68" s="154">
        <f>SUM(SEN68:SEO68)</f>
        <v>8875</v>
      </c>
      <c r="SEQ68" s="147" t="s">
        <v>99</v>
      </c>
      <c r="SER68" s="148">
        <v>45845</v>
      </c>
      <c r="SES68" s="143" t="s">
        <v>46</v>
      </c>
      <c r="SET68" s="199"/>
      <c r="SEU68" s="149" t="s">
        <v>125</v>
      </c>
      <c r="SEV68" s="197"/>
      <c r="SEW68" s="198"/>
      <c r="SEX68" s="143" t="s">
        <v>22</v>
      </c>
      <c r="SEY68" s="144">
        <v>8150</v>
      </c>
      <c r="SEZ68" s="152">
        <v>85</v>
      </c>
      <c r="SFA68" s="153">
        <v>215</v>
      </c>
      <c r="SFB68" s="153">
        <v>75</v>
      </c>
      <c r="SFC68" s="152">
        <v>150</v>
      </c>
      <c r="SFD68" s="154">
        <f>SUM(SEY68:SFC68)</f>
        <v>8675</v>
      </c>
      <c r="SFE68" s="152">
        <v>200</v>
      </c>
      <c r="SFF68" s="154">
        <f>SUM(SFD68:SFE68)</f>
        <v>8875</v>
      </c>
      <c r="SFG68" s="147" t="s">
        <v>99</v>
      </c>
      <c r="SFH68" s="148">
        <v>45845</v>
      </c>
      <c r="SFI68" s="143" t="s">
        <v>46</v>
      </c>
      <c r="SFJ68" s="199"/>
      <c r="SFK68" s="149" t="s">
        <v>125</v>
      </c>
      <c r="SFL68" s="197"/>
      <c r="SFM68" s="198"/>
      <c r="SFN68" s="143" t="s">
        <v>22</v>
      </c>
      <c r="SFO68" s="144">
        <v>8150</v>
      </c>
      <c r="SFP68" s="152">
        <v>85</v>
      </c>
      <c r="SFQ68" s="153">
        <v>215</v>
      </c>
      <c r="SFR68" s="153">
        <v>75</v>
      </c>
      <c r="SFS68" s="152">
        <v>150</v>
      </c>
      <c r="SFT68" s="154">
        <f>SUM(SFO68:SFS68)</f>
        <v>8675</v>
      </c>
      <c r="SFU68" s="152">
        <v>200</v>
      </c>
      <c r="SFV68" s="154">
        <f>SUM(SFT68:SFU68)</f>
        <v>8875</v>
      </c>
      <c r="SFW68" s="147" t="s">
        <v>99</v>
      </c>
      <c r="SFX68" s="148">
        <v>45845</v>
      </c>
      <c r="SFY68" s="143" t="s">
        <v>46</v>
      </c>
      <c r="SFZ68" s="199"/>
      <c r="SGA68" s="149" t="s">
        <v>125</v>
      </c>
      <c r="SGB68" s="197"/>
      <c r="SGC68" s="198"/>
      <c r="SGD68" s="143" t="s">
        <v>22</v>
      </c>
      <c r="SGE68" s="144">
        <v>8150</v>
      </c>
      <c r="SGF68" s="152">
        <v>85</v>
      </c>
      <c r="SGG68" s="153">
        <v>215</v>
      </c>
      <c r="SGH68" s="153">
        <v>75</v>
      </c>
      <c r="SGI68" s="152">
        <v>150</v>
      </c>
      <c r="SGJ68" s="154">
        <f>SUM(SGE68:SGI68)</f>
        <v>8675</v>
      </c>
      <c r="SGK68" s="152">
        <v>200</v>
      </c>
      <c r="SGL68" s="154">
        <f>SUM(SGJ68:SGK68)</f>
        <v>8875</v>
      </c>
      <c r="SGM68" s="147" t="s">
        <v>99</v>
      </c>
      <c r="SGN68" s="148">
        <v>45845</v>
      </c>
      <c r="SGO68" s="143" t="s">
        <v>46</v>
      </c>
      <c r="SGP68" s="199"/>
      <c r="SGQ68" s="149" t="s">
        <v>125</v>
      </c>
      <c r="SGR68" s="197"/>
      <c r="SGS68" s="198"/>
      <c r="SGT68" s="143" t="s">
        <v>22</v>
      </c>
      <c r="SGU68" s="144">
        <v>8150</v>
      </c>
      <c r="SGV68" s="152">
        <v>85</v>
      </c>
      <c r="SGW68" s="153">
        <v>215</v>
      </c>
      <c r="SGX68" s="153">
        <v>75</v>
      </c>
      <c r="SGY68" s="152">
        <v>150</v>
      </c>
      <c r="SGZ68" s="154">
        <f>SUM(SGU68:SGY68)</f>
        <v>8675</v>
      </c>
      <c r="SHA68" s="152">
        <v>200</v>
      </c>
      <c r="SHB68" s="154">
        <f>SUM(SGZ68:SHA68)</f>
        <v>8875</v>
      </c>
      <c r="SHC68" s="147" t="s">
        <v>99</v>
      </c>
      <c r="SHD68" s="148">
        <v>45845</v>
      </c>
      <c r="SHE68" s="143" t="s">
        <v>46</v>
      </c>
      <c r="SHF68" s="199"/>
      <c r="SHG68" s="149" t="s">
        <v>125</v>
      </c>
      <c r="SHH68" s="197"/>
      <c r="SHI68" s="198"/>
      <c r="SHJ68" s="143" t="s">
        <v>22</v>
      </c>
      <c r="SHK68" s="144">
        <v>8150</v>
      </c>
      <c r="SHL68" s="152">
        <v>85</v>
      </c>
      <c r="SHM68" s="153">
        <v>215</v>
      </c>
      <c r="SHN68" s="153">
        <v>75</v>
      </c>
      <c r="SHO68" s="152">
        <v>150</v>
      </c>
      <c r="SHP68" s="154">
        <f>SUM(SHK68:SHO68)</f>
        <v>8675</v>
      </c>
      <c r="SHQ68" s="152">
        <v>200</v>
      </c>
      <c r="SHR68" s="154">
        <f>SUM(SHP68:SHQ68)</f>
        <v>8875</v>
      </c>
      <c r="SHS68" s="147" t="s">
        <v>99</v>
      </c>
      <c r="SHT68" s="148">
        <v>45845</v>
      </c>
      <c r="SHU68" s="143" t="s">
        <v>46</v>
      </c>
      <c r="SHV68" s="199"/>
      <c r="SHW68" s="149" t="s">
        <v>125</v>
      </c>
      <c r="SHX68" s="197"/>
      <c r="SHY68" s="198"/>
      <c r="SHZ68" s="143" t="s">
        <v>22</v>
      </c>
      <c r="SIA68" s="144">
        <v>8150</v>
      </c>
      <c r="SIB68" s="152">
        <v>85</v>
      </c>
      <c r="SIC68" s="153">
        <v>215</v>
      </c>
      <c r="SID68" s="153">
        <v>75</v>
      </c>
      <c r="SIE68" s="152">
        <v>150</v>
      </c>
      <c r="SIF68" s="154">
        <f>SUM(SIA68:SIE68)</f>
        <v>8675</v>
      </c>
      <c r="SIG68" s="152">
        <v>200</v>
      </c>
      <c r="SIH68" s="154">
        <f>SUM(SIF68:SIG68)</f>
        <v>8875</v>
      </c>
      <c r="SII68" s="147" t="s">
        <v>99</v>
      </c>
      <c r="SIJ68" s="148">
        <v>45845</v>
      </c>
      <c r="SIK68" s="143" t="s">
        <v>46</v>
      </c>
      <c r="SIL68" s="199"/>
      <c r="SIM68" s="149" t="s">
        <v>125</v>
      </c>
      <c r="SIN68" s="197"/>
      <c r="SIO68" s="198"/>
      <c r="SIP68" s="143" t="s">
        <v>22</v>
      </c>
      <c r="SIQ68" s="144">
        <v>8150</v>
      </c>
      <c r="SIR68" s="152">
        <v>85</v>
      </c>
      <c r="SIS68" s="153">
        <v>215</v>
      </c>
      <c r="SIT68" s="153">
        <v>75</v>
      </c>
      <c r="SIU68" s="152">
        <v>150</v>
      </c>
      <c r="SIV68" s="154">
        <f>SUM(SIQ68:SIU68)</f>
        <v>8675</v>
      </c>
      <c r="SIW68" s="152">
        <v>200</v>
      </c>
      <c r="SIX68" s="154">
        <f>SUM(SIV68:SIW68)</f>
        <v>8875</v>
      </c>
      <c r="SIY68" s="147" t="s">
        <v>99</v>
      </c>
      <c r="SIZ68" s="148">
        <v>45845</v>
      </c>
      <c r="SJA68" s="143" t="s">
        <v>46</v>
      </c>
      <c r="SJB68" s="199"/>
      <c r="SJC68" s="149" t="s">
        <v>125</v>
      </c>
      <c r="SJD68" s="197"/>
      <c r="SJE68" s="198"/>
      <c r="SJF68" s="143" t="s">
        <v>22</v>
      </c>
      <c r="SJG68" s="144">
        <v>8150</v>
      </c>
      <c r="SJH68" s="152">
        <v>85</v>
      </c>
      <c r="SJI68" s="153">
        <v>215</v>
      </c>
      <c r="SJJ68" s="153">
        <v>75</v>
      </c>
      <c r="SJK68" s="152">
        <v>150</v>
      </c>
      <c r="SJL68" s="154">
        <f>SUM(SJG68:SJK68)</f>
        <v>8675</v>
      </c>
      <c r="SJM68" s="152">
        <v>200</v>
      </c>
      <c r="SJN68" s="154">
        <f>SUM(SJL68:SJM68)</f>
        <v>8875</v>
      </c>
      <c r="SJO68" s="147" t="s">
        <v>99</v>
      </c>
      <c r="SJP68" s="148">
        <v>45845</v>
      </c>
      <c r="SJQ68" s="143" t="s">
        <v>46</v>
      </c>
      <c r="SJR68" s="199"/>
      <c r="SJS68" s="149" t="s">
        <v>125</v>
      </c>
      <c r="SJT68" s="197"/>
      <c r="SJU68" s="198"/>
      <c r="SJV68" s="143" t="s">
        <v>22</v>
      </c>
      <c r="SJW68" s="144">
        <v>8150</v>
      </c>
      <c r="SJX68" s="152">
        <v>85</v>
      </c>
      <c r="SJY68" s="153">
        <v>215</v>
      </c>
      <c r="SJZ68" s="153">
        <v>75</v>
      </c>
      <c r="SKA68" s="152">
        <v>150</v>
      </c>
      <c r="SKB68" s="154">
        <f>SUM(SJW68:SKA68)</f>
        <v>8675</v>
      </c>
      <c r="SKC68" s="152">
        <v>200</v>
      </c>
      <c r="SKD68" s="154">
        <f>SUM(SKB68:SKC68)</f>
        <v>8875</v>
      </c>
      <c r="SKE68" s="147" t="s">
        <v>99</v>
      </c>
      <c r="SKF68" s="148">
        <v>45845</v>
      </c>
      <c r="SKG68" s="143" t="s">
        <v>46</v>
      </c>
      <c r="SKH68" s="199"/>
      <c r="SKI68" s="149" t="s">
        <v>125</v>
      </c>
      <c r="SKJ68" s="197"/>
      <c r="SKK68" s="198"/>
      <c r="SKL68" s="143" t="s">
        <v>22</v>
      </c>
      <c r="SKM68" s="144">
        <v>8150</v>
      </c>
      <c r="SKN68" s="152">
        <v>85</v>
      </c>
      <c r="SKO68" s="153">
        <v>215</v>
      </c>
      <c r="SKP68" s="153">
        <v>75</v>
      </c>
      <c r="SKQ68" s="152">
        <v>150</v>
      </c>
      <c r="SKR68" s="154">
        <f>SUM(SKM68:SKQ68)</f>
        <v>8675</v>
      </c>
      <c r="SKS68" s="152">
        <v>200</v>
      </c>
      <c r="SKT68" s="154">
        <f>SUM(SKR68:SKS68)</f>
        <v>8875</v>
      </c>
      <c r="SKU68" s="147" t="s">
        <v>99</v>
      </c>
      <c r="SKV68" s="148">
        <v>45845</v>
      </c>
      <c r="SKW68" s="143" t="s">
        <v>46</v>
      </c>
      <c r="SKX68" s="199"/>
      <c r="SKY68" s="149" t="s">
        <v>125</v>
      </c>
      <c r="SKZ68" s="197"/>
      <c r="SLA68" s="198"/>
      <c r="SLB68" s="143" t="s">
        <v>22</v>
      </c>
      <c r="SLC68" s="144">
        <v>8150</v>
      </c>
      <c r="SLD68" s="152">
        <v>85</v>
      </c>
      <c r="SLE68" s="153">
        <v>215</v>
      </c>
      <c r="SLF68" s="153">
        <v>75</v>
      </c>
      <c r="SLG68" s="152">
        <v>150</v>
      </c>
      <c r="SLH68" s="154">
        <f>SUM(SLC68:SLG68)</f>
        <v>8675</v>
      </c>
      <c r="SLI68" s="152">
        <v>200</v>
      </c>
      <c r="SLJ68" s="154">
        <f>SUM(SLH68:SLI68)</f>
        <v>8875</v>
      </c>
      <c r="SLK68" s="147" t="s">
        <v>99</v>
      </c>
      <c r="SLL68" s="148">
        <v>45845</v>
      </c>
      <c r="SLM68" s="143" t="s">
        <v>46</v>
      </c>
      <c r="SLN68" s="199"/>
      <c r="SLO68" s="149" t="s">
        <v>125</v>
      </c>
      <c r="SLP68" s="197"/>
      <c r="SLQ68" s="198"/>
      <c r="SLR68" s="143" t="s">
        <v>22</v>
      </c>
      <c r="SLS68" s="144">
        <v>8150</v>
      </c>
      <c r="SLT68" s="152">
        <v>85</v>
      </c>
      <c r="SLU68" s="153">
        <v>215</v>
      </c>
      <c r="SLV68" s="153">
        <v>75</v>
      </c>
      <c r="SLW68" s="152">
        <v>150</v>
      </c>
      <c r="SLX68" s="154">
        <f>SUM(SLS68:SLW68)</f>
        <v>8675</v>
      </c>
      <c r="SLY68" s="152">
        <v>200</v>
      </c>
      <c r="SLZ68" s="154">
        <f>SUM(SLX68:SLY68)</f>
        <v>8875</v>
      </c>
      <c r="SMA68" s="147" t="s">
        <v>99</v>
      </c>
      <c r="SMB68" s="148">
        <v>45845</v>
      </c>
      <c r="SMC68" s="143" t="s">
        <v>46</v>
      </c>
      <c r="SMD68" s="199"/>
      <c r="SME68" s="149" t="s">
        <v>125</v>
      </c>
      <c r="SMF68" s="197"/>
      <c r="SMG68" s="198"/>
      <c r="SMH68" s="143" t="s">
        <v>22</v>
      </c>
      <c r="SMI68" s="144">
        <v>8150</v>
      </c>
      <c r="SMJ68" s="152">
        <v>85</v>
      </c>
      <c r="SMK68" s="153">
        <v>215</v>
      </c>
      <c r="SML68" s="153">
        <v>75</v>
      </c>
      <c r="SMM68" s="152">
        <v>150</v>
      </c>
      <c r="SMN68" s="154">
        <f>SUM(SMI68:SMM68)</f>
        <v>8675</v>
      </c>
      <c r="SMO68" s="152">
        <v>200</v>
      </c>
      <c r="SMP68" s="154">
        <f>SUM(SMN68:SMO68)</f>
        <v>8875</v>
      </c>
      <c r="SMQ68" s="147" t="s">
        <v>99</v>
      </c>
      <c r="SMR68" s="148">
        <v>45845</v>
      </c>
      <c r="SMS68" s="143" t="s">
        <v>46</v>
      </c>
      <c r="SMT68" s="199"/>
      <c r="SMU68" s="149" t="s">
        <v>125</v>
      </c>
      <c r="SMV68" s="197"/>
      <c r="SMW68" s="198"/>
      <c r="SMX68" s="143" t="s">
        <v>22</v>
      </c>
      <c r="SMY68" s="144">
        <v>8150</v>
      </c>
      <c r="SMZ68" s="152">
        <v>85</v>
      </c>
      <c r="SNA68" s="153">
        <v>215</v>
      </c>
      <c r="SNB68" s="153">
        <v>75</v>
      </c>
      <c r="SNC68" s="152">
        <v>150</v>
      </c>
      <c r="SND68" s="154">
        <f>SUM(SMY68:SNC68)</f>
        <v>8675</v>
      </c>
      <c r="SNE68" s="152">
        <v>200</v>
      </c>
      <c r="SNF68" s="154">
        <f>SUM(SND68:SNE68)</f>
        <v>8875</v>
      </c>
      <c r="SNG68" s="147" t="s">
        <v>99</v>
      </c>
      <c r="SNH68" s="148">
        <v>45845</v>
      </c>
      <c r="SNI68" s="143" t="s">
        <v>46</v>
      </c>
      <c r="SNJ68" s="199"/>
      <c r="SNK68" s="149" t="s">
        <v>125</v>
      </c>
      <c r="SNL68" s="197"/>
      <c r="SNM68" s="198"/>
      <c r="SNN68" s="143" t="s">
        <v>22</v>
      </c>
      <c r="SNO68" s="144">
        <v>8150</v>
      </c>
      <c r="SNP68" s="152">
        <v>85</v>
      </c>
      <c r="SNQ68" s="153">
        <v>215</v>
      </c>
      <c r="SNR68" s="153">
        <v>75</v>
      </c>
      <c r="SNS68" s="152">
        <v>150</v>
      </c>
      <c r="SNT68" s="154">
        <f>SUM(SNO68:SNS68)</f>
        <v>8675</v>
      </c>
      <c r="SNU68" s="152">
        <v>200</v>
      </c>
      <c r="SNV68" s="154">
        <f>SUM(SNT68:SNU68)</f>
        <v>8875</v>
      </c>
      <c r="SNW68" s="147" t="s">
        <v>99</v>
      </c>
      <c r="SNX68" s="148">
        <v>45845</v>
      </c>
      <c r="SNY68" s="143" t="s">
        <v>46</v>
      </c>
      <c r="SNZ68" s="199"/>
      <c r="SOA68" s="149" t="s">
        <v>125</v>
      </c>
      <c r="SOB68" s="197"/>
      <c r="SOC68" s="198"/>
      <c r="SOD68" s="143" t="s">
        <v>22</v>
      </c>
      <c r="SOE68" s="144">
        <v>8150</v>
      </c>
      <c r="SOF68" s="152">
        <v>85</v>
      </c>
      <c r="SOG68" s="153">
        <v>215</v>
      </c>
      <c r="SOH68" s="153">
        <v>75</v>
      </c>
      <c r="SOI68" s="152">
        <v>150</v>
      </c>
      <c r="SOJ68" s="154">
        <f>SUM(SOE68:SOI68)</f>
        <v>8675</v>
      </c>
      <c r="SOK68" s="152">
        <v>200</v>
      </c>
      <c r="SOL68" s="154">
        <f>SUM(SOJ68:SOK68)</f>
        <v>8875</v>
      </c>
      <c r="SOM68" s="147" t="s">
        <v>99</v>
      </c>
      <c r="SON68" s="148">
        <v>45845</v>
      </c>
      <c r="SOO68" s="143" t="s">
        <v>46</v>
      </c>
      <c r="SOP68" s="199"/>
      <c r="SOQ68" s="149" t="s">
        <v>125</v>
      </c>
      <c r="SOR68" s="197"/>
      <c r="SOS68" s="198"/>
      <c r="SOT68" s="143" t="s">
        <v>22</v>
      </c>
      <c r="SOU68" s="144">
        <v>8150</v>
      </c>
      <c r="SOV68" s="152">
        <v>85</v>
      </c>
      <c r="SOW68" s="153">
        <v>215</v>
      </c>
      <c r="SOX68" s="153">
        <v>75</v>
      </c>
      <c r="SOY68" s="152">
        <v>150</v>
      </c>
      <c r="SOZ68" s="154">
        <f>SUM(SOU68:SOY68)</f>
        <v>8675</v>
      </c>
      <c r="SPA68" s="152">
        <v>200</v>
      </c>
      <c r="SPB68" s="154">
        <f>SUM(SOZ68:SPA68)</f>
        <v>8875</v>
      </c>
      <c r="SPC68" s="147" t="s">
        <v>99</v>
      </c>
      <c r="SPD68" s="148">
        <v>45845</v>
      </c>
      <c r="SPE68" s="143" t="s">
        <v>46</v>
      </c>
      <c r="SPF68" s="199"/>
      <c r="SPG68" s="149" t="s">
        <v>125</v>
      </c>
      <c r="SPH68" s="197"/>
      <c r="SPI68" s="198"/>
      <c r="SPJ68" s="143" t="s">
        <v>22</v>
      </c>
      <c r="SPK68" s="144">
        <v>8150</v>
      </c>
      <c r="SPL68" s="152">
        <v>85</v>
      </c>
      <c r="SPM68" s="153">
        <v>215</v>
      </c>
      <c r="SPN68" s="153">
        <v>75</v>
      </c>
      <c r="SPO68" s="152">
        <v>150</v>
      </c>
      <c r="SPP68" s="154">
        <f>SUM(SPK68:SPO68)</f>
        <v>8675</v>
      </c>
      <c r="SPQ68" s="152">
        <v>200</v>
      </c>
      <c r="SPR68" s="154">
        <f>SUM(SPP68:SPQ68)</f>
        <v>8875</v>
      </c>
      <c r="SPS68" s="147" t="s">
        <v>99</v>
      </c>
      <c r="SPT68" s="148">
        <v>45845</v>
      </c>
      <c r="SPU68" s="143" t="s">
        <v>46</v>
      </c>
      <c r="SPV68" s="199"/>
      <c r="SPW68" s="149" t="s">
        <v>125</v>
      </c>
      <c r="SPX68" s="197"/>
      <c r="SPY68" s="198"/>
      <c r="SPZ68" s="143" t="s">
        <v>22</v>
      </c>
      <c r="SQA68" s="144">
        <v>8150</v>
      </c>
      <c r="SQB68" s="152">
        <v>85</v>
      </c>
      <c r="SQC68" s="153">
        <v>215</v>
      </c>
      <c r="SQD68" s="153">
        <v>75</v>
      </c>
      <c r="SQE68" s="152">
        <v>150</v>
      </c>
      <c r="SQF68" s="154">
        <f>SUM(SQA68:SQE68)</f>
        <v>8675</v>
      </c>
      <c r="SQG68" s="152">
        <v>200</v>
      </c>
      <c r="SQH68" s="154">
        <f>SUM(SQF68:SQG68)</f>
        <v>8875</v>
      </c>
      <c r="SQI68" s="147" t="s">
        <v>99</v>
      </c>
      <c r="SQJ68" s="148">
        <v>45845</v>
      </c>
      <c r="SQK68" s="143" t="s">
        <v>46</v>
      </c>
      <c r="SQL68" s="199"/>
      <c r="SQM68" s="149" t="s">
        <v>125</v>
      </c>
      <c r="SQN68" s="197"/>
      <c r="SQO68" s="198"/>
      <c r="SQP68" s="143" t="s">
        <v>22</v>
      </c>
      <c r="SQQ68" s="144">
        <v>8150</v>
      </c>
      <c r="SQR68" s="152">
        <v>85</v>
      </c>
      <c r="SQS68" s="153">
        <v>215</v>
      </c>
      <c r="SQT68" s="153">
        <v>75</v>
      </c>
      <c r="SQU68" s="152">
        <v>150</v>
      </c>
      <c r="SQV68" s="154">
        <f>SUM(SQQ68:SQU68)</f>
        <v>8675</v>
      </c>
      <c r="SQW68" s="152">
        <v>200</v>
      </c>
      <c r="SQX68" s="154">
        <f>SUM(SQV68:SQW68)</f>
        <v>8875</v>
      </c>
      <c r="SQY68" s="147" t="s">
        <v>99</v>
      </c>
      <c r="SQZ68" s="148">
        <v>45845</v>
      </c>
      <c r="SRA68" s="143" t="s">
        <v>46</v>
      </c>
      <c r="SRB68" s="199"/>
      <c r="SRC68" s="149" t="s">
        <v>125</v>
      </c>
      <c r="SRD68" s="197"/>
      <c r="SRE68" s="198"/>
      <c r="SRF68" s="143" t="s">
        <v>22</v>
      </c>
      <c r="SRG68" s="144">
        <v>8150</v>
      </c>
      <c r="SRH68" s="152">
        <v>85</v>
      </c>
      <c r="SRI68" s="153">
        <v>215</v>
      </c>
      <c r="SRJ68" s="153">
        <v>75</v>
      </c>
      <c r="SRK68" s="152">
        <v>150</v>
      </c>
      <c r="SRL68" s="154">
        <f>SUM(SRG68:SRK68)</f>
        <v>8675</v>
      </c>
      <c r="SRM68" s="152">
        <v>200</v>
      </c>
      <c r="SRN68" s="154">
        <f>SUM(SRL68:SRM68)</f>
        <v>8875</v>
      </c>
      <c r="SRO68" s="147" t="s">
        <v>99</v>
      </c>
      <c r="SRP68" s="148">
        <v>45845</v>
      </c>
      <c r="SRQ68" s="143" t="s">
        <v>46</v>
      </c>
      <c r="SRR68" s="199"/>
      <c r="SRS68" s="149" t="s">
        <v>125</v>
      </c>
      <c r="SRT68" s="197"/>
      <c r="SRU68" s="198"/>
      <c r="SRV68" s="143" t="s">
        <v>22</v>
      </c>
      <c r="SRW68" s="144">
        <v>8150</v>
      </c>
      <c r="SRX68" s="152">
        <v>85</v>
      </c>
      <c r="SRY68" s="153">
        <v>215</v>
      </c>
      <c r="SRZ68" s="153">
        <v>75</v>
      </c>
      <c r="SSA68" s="152">
        <v>150</v>
      </c>
      <c r="SSB68" s="154">
        <f>SUM(SRW68:SSA68)</f>
        <v>8675</v>
      </c>
      <c r="SSC68" s="152">
        <v>200</v>
      </c>
      <c r="SSD68" s="154">
        <f>SUM(SSB68:SSC68)</f>
        <v>8875</v>
      </c>
      <c r="SSE68" s="147" t="s">
        <v>99</v>
      </c>
      <c r="SSF68" s="148">
        <v>45845</v>
      </c>
      <c r="SSG68" s="143" t="s">
        <v>46</v>
      </c>
      <c r="SSH68" s="199"/>
      <c r="SSI68" s="149" t="s">
        <v>125</v>
      </c>
      <c r="SSJ68" s="197"/>
      <c r="SSK68" s="198"/>
      <c r="SSL68" s="143" t="s">
        <v>22</v>
      </c>
      <c r="SSM68" s="144">
        <v>8150</v>
      </c>
      <c r="SSN68" s="152">
        <v>85</v>
      </c>
      <c r="SSO68" s="153">
        <v>215</v>
      </c>
      <c r="SSP68" s="153">
        <v>75</v>
      </c>
      <c r="SSQ68" s="152">
        <v>150</v>
      </c>
      <c r="SSR68" s="154">
        <f>SUM(SSM68:SSQ68)</f>
        <v>8675</v>
      </c>
      <c r="SSS68" s="152">
        <v>200</v>
      </c>
      <c r="SST68" s="154">
        <f>SUM(SSR68:SSS68)</f>
        <v>8875</v>
      </c>
      <c r="SSU68" s="147" t="s">
        <v>99</v>
      </c>
      <c r="SSV68" s="148">
        <v>45845</v>
      </c>
      <c r="SSW68" s="143" t="s">
        <v>46</v>
      </c>
      <c r="SSX68" s="199"/>
      <c r="SSY68" s="149" t="s">
        <v>125</v>
      </c>
      <c r="SSZ68" s="197"/>
      <c r="STA68" s="198"/>
      <c r="STB68" s="143" t="s">
        <v>22</v>
      </c>
      <c r="STC68" s="144">
        <v>8150</v>
      </c>
      <c r="STD68" s="152">
        <v>85</v>
      </c>
      <c r="STE68" s="153">
        <v>215</v>
      </c>
      <c r="STF68" s="153">
        <v>75</v>
      </c>
      <c r="STG68" s="152">
        <v>150</v>
      </c>
      <c r="STH68" s="154">
        <f>SUM(STC68:STG68)</f>
        <v>8675</v>
      </c>
      <c r="STI68" s="152">
        <v>200</v>
      </c>
      <c r="STJ68" s="154">
        <f>SUM(STH68:STI68)</f>
        <v>8875</v>
      </c>
      <c r="STK68" s="147" t="s">
        <v>99</v>
      </c>
      <c r="STL68" s="148">
        <v>45845</v>
      </c>
      <c r="STM68" s="143" t="s">
        <v>46</v>
      </c>
      <c r="STN68" s="199"/>
      <c r="STO68" s="149" t="s">
        <v>125</v>
      </c>
      <c r="STP68" s="197"/>
      <c r="STQ68" s="198"/>
      <c r="STR68" s="143" t="s">
        <v>22</v>
      </c>
      <c r="STS68" s="144">
        <v>8150</v>
      </c>
      <c r="STT68" s="152">
        <v>85</v>
      </c>
      <c r="STU68" s="153">
        <v>215</v>
      </c>
      <c r="STV68" s="153">
        <v>75</v>
      </c>
      <c r="STW68" s="152">
        <v>150</v>
      </c>
      <c r="STX68" s="154">
        <f>SUM(STS68:STW68)</f>
        <v>8675</v>
      </c>
      <c r="STY68" s="152">
        <v>200</v>
      </c>
      <c r="STZ68" s="154">
        <f>SUM(STX68:STY68)</f>
        <v>8875</v>
      </c>
      <c r="SUA68" s="147" t="s">
        <v>99</v>
      </c>
      <c r="SUB68" s="148">
        <v>45845</v>
      </c>
      <c r="SUC68" s="143" t="s">
        <v>46</v>
      </c>
      <c r="SUD68" s="199"/>
      <c r="SUE68" s="149" t="s">
        <v>125</v>
      </c>
      <c r="SUF68" s="197"/>
      <c r="SUG68" s="198"/>
      <c r="SUH68" s="143" t="s">
        <v>22</v>
      </c>
      <c r="SUI68" s="144">
        <v>8150</v>
      </c>
      <c r="SUJ68" s="152">
        <v>85</v>
      </c>
      <c r="SUK68" s="153">
        <v>215</v>
      </c>
      <c r="SUL68" s="153">
        <v>75</v>
      </c>
      <c r="SUM68" s="152">
        <v>150</v>
      </c>
      <c r="SUN68" s="154">
        <f>SUM(SUI68:SUM68)</f>
        <v>8675</v>
      </c>
      <c r="SUO68" s="152">
        <v>200</v>
      </c>
      <c r="SUP68" s="154">
        <f>SUM(SUN68:SUO68)</f>
        <v>8875</v>
      </c>
      <c r="SUQ68" s="147" t="s">
        <v>99</v>
      </c>
      <c r="SUR68" s="148">
        <v>45845</v>
      </c>
      <c r="SUS68" s="143" t="s">
        <v>46</v>
      </c>
      <c r="SUT68" s="199"/>
      <c r="SUU68" s="149" t="s">
        <v>125</v>
      </c>
      <c r="SUV68" s="197"/>
      <c r="SUW68" s="198"/>
      <c r="SUX68" s="143" t="s">
        <v>22</v>
      </c>
      <c r="SUY68" s="144">
        <v>8150</v>
      </c>
      <c r="SUZ68" s="152">
        <v>85</v>
      </c>
      <c r="SVA68" s="153">
        <v>215</v>
      </c>
      <c r="SVB68" s="153">
        <v>75</v>
      </c>
      <c r="SVC68" s="152">
        <v>150</v>
      </c>
      <c r="SVD68" s="154">
        <f>SUM(SUY68:SVC68)</f>
        <v>8675</v>
      </c>
      <c r="SVE68" s="152">
        <v>200</v>
      </c>
      <c r="SVF68" s="154">
        <f>SUM(SVD68:SVE68)</f>
        <v>8875</v>
      </c>
      <c r="SVG68" s="147" t="s">
        <v>99</v>
      </c>
      <c r="SVH68" s="148">
        <v>45845</v>
      </c>
      <c r="SVI68" s="143" t="s">
        <v>46</v>
      </c>
      <c r="SVJ68" s="199"/>
      <c r="SVK68" s="149" t="s">
        <v>125</v>
      </c>
      <c r="SVL68" s="197"/>
      <c r="SVM68" s="198"/>
      <c r="SVN68" s="143" t="s">
        <v>22</v>
      </c>
      <c r="SVO68" s="144">
        <v>8150</v>
      </c>
      <c r="SVP68" s="152">
        <v>85</v>
      </c>
      <c r="SVQ68" s="153">
        <v>215</v>
      </c>
      <c r="SVR68" s="153">
        <v>75</v>
      </c>
      <c r="SVS68" s="152">
        <v>150</v>
      </c>
      <c r="SVT68" s="154">
        <f>SUM(SVO68:SVS68)</f>
        <v>8675</v>
      </c>
      <c r="SVU68" s="152">
        <v>200</v>
      </c>
      <c r="SVV68" s="154">
        <f>SUM(SVT68:SVU68)</f>
        <v>8875</v>
      </c>
      <c r="SVW68" s="147" t="s">
        <v>99</v>
      </c>
      <c r="SVX68" s="148">
        <v>45845</v>
      </c>
      <c r="SVY68" s="143" t="s">
        <v>46</v>
      </c>
      <c r="SVZ68" s="199"/>
      <c r="SWA68" s="149" t="s">
        <v>125</v>
      </c>
      <c r="SWB68" s="197"/>
      <c r="SWC68" s="198"/>
      <c r="SWD68" s="143" t="s">
        <v>22</v>
      </c>
      <c r="SWE68" s="144">
        <v>8150</v>
      </c>
      <c r="SWF68" s="152">
        <v>85</v>
      </c>
      <c r="SWG68" s="153">
        <v>215</v>
      </c>
      <c r="SWH68" s="153">
        <v>75</v>
      </c>
      <c r="SWI68" s="152">
        <v>150</v>
      </c>
      <c r="SWJ68" s="154">
        <f>SUM(SWE68:SWI68)</f>
        <v>8675</v>
      </c>
      <c r="SWK68" s="152">
        <v>200</v>
      </c>
      <c r="SWL68" s="154">
        <f>SUM(SWJ68:SWK68)</f>
        <v>8875</v>
      </c>
      <c r="SWM68" s="147" t="s">
        <v>99</v>
      </c>
      <c r="SWN68" s="148">
        <v>45845</v>
      </c>
      <c r="SWO68" s="143" t="s">
        <v>46</v>
      </c>
      <c r="SWP68" s="199"/>
      <c r="SWQ68" s="149" t="s">
        <v>125</v>
      </c>
      <c r="SWR68" s="197"/>
      <c r="SWS68" s="198"/>
      <c r="SWT68" s="143" t="s">
        <v>22</v>
      </c>
      <c r="SWU68" s="144">
        <v>8150</v>
      </c>
      <c r="SWV68" s="152">
        <v>85</v>
      </c>
      <c r="SWW68" s="153">
        <v>215</v>
      </c>
      <c r="SWX68" s="153">
        <v>75</v>
      </c>
      <c r="SWY68" s="152">
        <v>150</v>
      </c>
      <c r="SWZ68" s="154">
        <f>SUM(SWU68:SWY68)</f>
        <v>8675</v>
      </c>
      <c r="SXA68" s="152">
        <v>200</v>
      </c>
      <c r="SXB68" s="154">
        <f>SUM(SWZ68:SXA68)</f>
        <v>8875</v>
      </c>
      <c r="SXC68" s="147" t="s">
        <v>99</v>
      </c>
      <c r="SXD68" s="148">
        <v>45845</v>
      </c>
      <c r="SXE68" s="143" t="s">
        <v>46</v>
      </c>
      <c r="SXF68" s="199"/>
      <c r="SXG68" s="149" t="s">
        <v>125</v>
      </c>
      <c r="SXH68" s="197"/>
      <c r="SXI68" s="198"/>
      <c r="SXJ68" s="143" t="s">
        <v>22</v>
      </c>
      <c r="SXK68" s="144">
        <v>8150</v>
      </c>
      <c r="SXL68" s="152">
        <v>85</v>
      </c>
      <c r="SXM68" s="153">
        <v>215</v>
      </c>
      <c r="SXN68" s="153">
        <v>75</v>
      </c>
      <c r="SXO68" s="152">
        <v>150</v>
      </c>
      <c r="SXP68" s="154">
        <f>SUM(SXK68:SXO68)</f>
        <v>8675</v>
      </c>
      <c r="SXQ68" s="152">
        <v>200</v>
      </c>
      <c r="SXR68" s="154">
        <f>SUM(SXP68:SXQ68)</f>
        <v>8875</v>
      </c>
      <c r="SXS68" s="147" t="s">
        <v>99</v>
      </c>
      <c r="SXT68" s="148">
        <v>45845</v>
      </c>
      <c r="SXU68" s="143" t="s">
        <v>46</v>
      </c>
      <c r="SXV68" s="199"/>
      <c r="SXW68" s="149" t="s">
        <v>125</v>
      </c>
      <c r="SXX68" s="197"/>
      <c r="SXY68" s="198"/>
      <c r="SXZ68" s="143" t="s">
        <v>22</v>
      </c>
      <c r="SYA68" s="144">
        <v>8150</v>
      </c>
      <c r="SYB68" s="152">
        <v>85</v>
      </c>
      <c r="SYC68" s="153">
        <v>215</v>
      </c>
      <c r="SYD68" s="153">
        <v>75</v>
      </c>
      <c r="SYE68" s="152">
        <v>150</v>
      </c>
      <c r="SYF68" s="154">
        <f>SUM(SYA68:SYE68)</f>
        <v>8675</v>
      </c>
      <c r="SYG68" s="152">
        <v>200</v>
      </c>
      <c r="SYH68" s="154">
        <f>SUM(SYF68:SYG68)</f>
        <v>8875</v>
      </c>
      <c r="SYI68" s="147" t="s">
        <v>99</v>
      </c>
      <c r="SYJ68" s="148">
        <v>45845</v>
      </c>
      <c r="SYK68" s="143" t="s">
        <v>46</v>
      </c>
      <c r="SYL68" s="199"/>
      <c r="SYM68" s="149" t="s">
        <v>125</v>
      </c>
      <c r="SYN68" s="197"/>
      <c r="SYO68" s="198"/>
      <c r="SYP68" s="143" t="s">
        <v>22</v>
      </c>
      <c r="SYQ68" s="144">
        <v>8150</v>
      </c>
      <c r="SYR68" s="152">
        <v>85</v>
      </c>
      <c r="SYS68" s="153">
        <v>215</v>
      </c>
      <c r="SYT68" s="153">
        <v>75</v>
      </c>
      <c r="SYU68" s="152">
        <v>150</v>
      </c>
      <c r="SYV68" s="154">
        <f>SUM(SYQ68:SYU68)</f>
        <v>8675</v>
      </c>
      <c r="SYW68" s="152">
        <v>200</v>
      </c>
      <c r="SYX68" s="154">
        <f>SUM(SYV68:SYW68)</f>
        <v>8875</v>
      </c>
      <c r="SYY68" s="147" t="s">
        <v>99</v>
      </c>
      <c r="SYZ68" s="148">
        <v>45845</v>
      </c>
      <c r="SZA68" s="143" t="s">
        <v>46</v>
      </c>
      <c r="SZB68" s="199"/>
      <c r="SZC68" s="149" t="s">
        <v>125</v>
      </c>
      <c r="SZD68" s="197"/>
      <c r="SZE68" s="198"/>
      <c r="SZF68" s="143" t="s">
        <v>22</v>
      </c>
      <c r="SZG68" s="144">
        <v>8150</v>
      </c>
      <c r="SZH68" s="152">
        <v>85</v>
      </c>
      <c r="SZI68" s="153">
        <v>215</v>
      </c>
      <c r="SZJ68" s="153">
        <v>75</v>
      </c>
      <c r="SZK68" s="152">
        <v>150</v>
      </c>
      <c r="SZL68" s="154">
        <f>SUM(SZG68:SZK68)</f>
        <v>8675</v>
      </c>
      <c r="SZM68" s="152">
        <v>200</v>
      </c>
      <c r="SZN68" s="154">
        <f>SUM(SZL68:SZM68)</f>
        <v>8875</v>
      </c>
      <c r="SZO68" s="147" t="s">
        <v>99</v>
      </c>
      <c r="SZP68" s="148">
        <v>45845</v>
      </c>
      <c r="SZQ68" s="143" t="s">
        <v>46</v>
      </c>
      <c r="SZR68" s="199"/>
      <c r="SZS68" s="149" t="s">
        <v>125</v>
      </c>
      <c r="SZT68" s="197"/>
      <c r="SZU68" s="198"/>
      <c r="SZV68" s="143" t="s">
        <v>22</v>
      </c>
      <c r="SZW68" s="144">
        <v>8150</v>
      </c>
      <c r="SZX68" s="152">
        <v>85</v>
      </c>
      <c r="SZY68" s="153">
        <v>215</v>
      </c>
      <c r="SZZ68" s="153">
        <v>75</v>
      </c>
      <c r="TAA68" s="152">
        <v>150</v>
      </c>
      <c r="TAB68" s="154">
        <f>SUM(SZW68:TAA68)</f>
        <v>8675</v>
      </c>
      <c r="TAC68" s="152">
        <v>200</v>
      </c>
      <c r="TAD68" s="154">
        <f>SUM(TAB68:TAC68)</f>
        <v>8875</v>
      </c>
      <c r="TAE68" s="147" t="s">
        <v>99</v>
      </c>
      <c r="TAF68" s="148">
        <v>45845</v>
      </c>
      <c r="TAG68" s="143" t="s">
        <v>46</v>
      </c>
      <c r="TAH68" s="199"/>
      <c r="TAI68" s="149" t="s">
        <v>125</v>
      </c>
      <c r="TAJ68" s="197"/>
      <c r="TAK68" s="198"/>
      <c r="TAL68" s="143" t="s">
        <v>22</v>
      </c>
      <c r="TAM68" s="144">
        <v>8150</v>
      </c>
      <c r="TAN68" s="152">
        <v>85</v>
      </c>
      <c r="TAO68" s="153">
        <v>215</v>
      </c>
      <c r="TAP68" s="153">
        <v>75</v>
      </c>
      <c r="TAQ68" s="152">
        <v>150</v>
      </c>
      <c r="TAR68" s="154">
        <f>SUM(TAM68:TAQ68)</f>
        <v>8675</v>
      </c>
      <c r="TAS68" s="152">
        <v>200</v>
      </c>
      <c r="TAT68" s="154">
        <f>SUM(TAR68:TAS68)</f>
        <v>8875</v>
      </c>
      <c r="TAU68" s="147" t="s">
        <v>99</v>
      </c>
      <c r="TAV68" s="148">
        <v>45845</v>
      </c>
      <c r="TAW68" s="143" t="s">
        <v>46</v>
      </c>
      <c r="TAX68" s="199"/>
      <c r="TAY68" s="149" t="s">
        <v>125</v>
      </c>
      <c r="TAZ68" s="197"/>
      <c r="TBA68" s="198"/>
      <c r="TBB68" s="143" t="s">
        <v>22</v>
      </c>
      <c r="TBC68" s="144">
        <v>8150</v>
      </c>
      <c r="TBD68" s="152">
        <v>85</v>
      </c>
      <c r="TBE68" s="153">
        <v>215</v>
      </c>
      <c r="TBF68" s="153">
        <v>75</v>
      </c>
      <c r="TBG68" s="152">
        <v>150</v>
      </c>
      <c r="TBH68" s="154">
        <f>SUM(TBC68:TBG68)</f>
        <v>8675</v>
      </c>
      <c r="TBI68" s="152">
        <v>200</v>
      </c>
      <c r="TBJ68" s="154">
        <f>SUM(TBH68:TBI68)</f>
        <v>8875</v>
      </c>
      <c r="TBK68" s="147" t="s">
        <v>99</v>
      </c>
      <c r="TBL68" s="148">
        <v>45845</v>
      </c>
      <c r="TBM68" s="143" t="s">
        <v>46</v>
      </c>
      <c r="TBN68" s="199"/>
      <c r="TBO68" s="149" t="s">
        <v>125</v>
      </c>
      <c r="TBP68" s="197"/>
      <c r="TBQ68" s="198"/>
      <c r="TBR68" s="143" t="s">
        <v>22</v>
      </c>
      <c r="TBS68" s="144">
        <v>8150</v>
      </c>
      <c r="TBT68" s="152">
        <v>85</v>
      </c>
      <c r="TBU68" s="153">
        <v>215</v>
      </c>
      <c r="TBV68" s="153">
        <v>75</v>
      </c>
      <c r="TBW68" s="152">
        <v>150</v>
      </c>
      <c r="TBX68" s="154">
        <f>SUM(TBS68:TBW68)</f>
        <v>8675</v>
      </c>
      <c r="TBY68" s="152">
        <v>200</v>
      </c>
      <c r="TBZ68" s="154">
        <f>SUM(TBX68:TBY68)</f>
        <v>8875</v>
      </c>
      <c r="TCA68" s="147" t="s">
        <v>99</v>
      </c>
      <c r="TCB68" s="148">
        <v>45845</v>
      </c>
      <c r="TCC68" s="143" t="s">
        <v>46</v>
      </c>
      <c r="TCD68" s="199"/>
      <c r="TCE68" s="149" t="s">
        <v>125</v>
      </c>
      <c r="TCF68" s="197"/>
      <c r="TCG68" s="198"/>
      <c r="TCH68" s="143" t="s">
        <v>22</v>
      </c>
      <c r="TCI68" s="144">
        <v>8150</v>
      </c>
      <c r="TCJ68" s="152">
        <v>85</v>
      </c>
      <c r="TCK68" s="153">
        <v>215</v>
      </c>
      <c r="TCL68" s="153">
        <v>75</v>
      </c>
      <c r="TCM68" s="152">
        <v>150</v>
      </c>
      <c r="TCN68" s="154">
        <f>SUM(TCI68:TCM68)</f>
        <v>8675</v>
      </c>
      <c r="TCO68" s="152">
        <v>200</v>
      </c>
      <c r="TCP68" s="154">
        <f>SUM(TCN68:TCO68)</f>
        <v>8875</v>
      </c>
      <c r="TCQ68" s="147" t="s">
        <v>99</v>
      </c>
      <c r="TCR68" s="148">
        <v>45845</v>
      </c>
      <c r="TCS68" s="143" t="s">
        <v>46</v>
      </c>
      <c r="TCT68" s="199"/>
      <c r="TCU68" s="149" t="s">
        <v>125</v>
      </c>
      <c r="TCV68" s="197"/>
      <c r="TCW68" s="198"/>
      <c r="TCX68" s="143" t="s">
        <v>22</v>
      </c>
      <c r="TCY68" s="144">
        <v>8150</v>
      </c>
      <c r="TCZ68" s="152">
        <v>85</v>
      </c>
      <c r="TDA68" s="153">
        <v>215</v>
      </c>
      <c r="TDB68" s="153">
        <v>75</v>
      </c>
      <c r="TDC68" s="152">
        <v>150</v>
      </c>
      <c r="TDD68" s="154">
        <f>SUM(TCY68:TDC68)</f>
        <v>8675</v>
      </c>
      <c r="TDE68" s="152">
        <v>200</v>
      </c>
      <c r="TDF68" s="154">
        <f>SUM(TDD68:TDE68)</f>
        <v>8875</v>
      </c>
      <c r="TDG68" s="147" t="s">
        <v>99</v>
      </c>
      <c r="TDH68" s="148">
        <v>45845</v>
      </c>
      <c r="TDI68" s="143" t="s">
        <v>46</v>
      </c>
      <c r="TDJ68" s="199"/>
      <c r="TDK68" s="149" t="s">
        <v>125</v>
      </c>
      <c r="TDL68" s="197"/>
      <c r="TDM68" s="198"/>
      <c r="TDN68" s="143" t="s">
        <v>22</v>
      </c>
      <c r="TDO68" s="144">
        <v>8150</v>
      </c>
      <c r="TDP68" s="152">
        <v>85</v>
      </c>
      <c r="TDQ68" s="153">
        <v>215</v>
      </c>
      <c r="TDR68" s="153">
        <v>75</v>
      </c>
      <c r="TDS68" s="152">
        <v>150</v>
      </c>
      <c r="TDT68" s="154">
        <f>SUM(TDO68:TDS68)</f>
        <v>8675</v>
      </c>
      <c r="TDU68" s="152">
        <v>200</v>
      </c>
      <c r="TDV68" s="154">
        <f>SUM(TDT68:TDU68)</f>
        <v>8875</v>
      </c>
      <c r="TDW68" s="147" t="s">
        <v>99</v>
      </c>
      <c r="TDX68" s="148">
        <v>45845</v>
      </c>
      <c r="TDY68" s="143" t="s">
        <v>46</v>
      </c>
      <c r="TDZ68" s="199"/>
      <c r="TEA68" s="149" t="s">
        <v>125</v>
      </c>
      <c r="TEB68" s="197"/>
      <c r="TEC68" s="198"/>
      <c r="TED68" s="143" t="s">
        <v>22</v>
      </c>
      <c r="TEE68" s="144">
        <v>8150</v>
      </c>
      <c r="TEF68" s="152">
        <v>85</v>
      </c>
      <c r="TEG68" s="153">
        <v>215</v>
      </c>
      <c r="TEH68" s="153">
        <v>75</v>
      </c>
      <c r="TEI68" s="152">
        <v>150</v>
      </c>
      <c r="TEJ68" s="154">
        <f>SUM(TEE68:TEI68)</f>
        <v>8675</v>
      </c>
      <c r="TEK68" s="152">
        <v>200</v>
      </c>
      <c r="TEL68" s="154">
        <f>SUM(TEJ68:TEK68)</f>
        <v>8875</v>
      </c>
      <c r="TEM68" s="147" t="s">
        <v>99</v>
      </c>
      <c r="TEN68" s="148">
        <v>45845</v>
      </c>
      <c r="TEO68" s="143" t="s">
        <v>46</v>
      </c>
      <c r="TEP68" s="199"/>
      <c r="TEQ68" s="149" t="s">
        <v>125</v>
      </c>
      <c r="TER68" s="197"/>
      <c r="TES68" s="198"/>
      <c r="TET68" s="143" t="s">
        <v>22</v>
      </c>
      <c r="TEU68" s="144">
        <v>8150</v>
      </c>
      <c r="TEV68" s="152">
        <v>85</v>
      </c>
      <c r="TEW68" s="153">
        <v>215</v>
      </c>
      <c r="TEX68" s="153">
        <v>75</v>
      </c>
      <c r="TEY68" s="152">
        <v>150</v>
      </c>
      <c r="TEZ68" s="154">
        <f>SUM(TEU68:TEY68)</f>
        <v>8675</v>
      </c>
      <c r="TFA68" s="152">
        <v>200</v>
      </c>
      <c r="TFB68" s="154">
        <f>SUM(TEZ68:TFA68)</f>
        <v>8875</v>
      </c>
      <c r="TFC68" s="147" t="s">
        <v>99</v>
      </c>
      <c r="TFD68" s="148">
        <v>45845</v>
      </c>
      <c r="TFE68" s="143" t="s">
        <v>46</v>
      </c>
      <c r="TFF68" s="199"/>
      <c r="TFG68" s="149" t="s">
        <v>125</v>
      </c>
      <c r="TFH68" s="197"/>
      <c r="TFI68" s="198"/>
      <c r="TFJ68" s="143" t="s">
        <v>22</v>
      </c>
      <c r="TFK68" s="144">
        <v>8150</v>
      </c>
      <c r="TFL68" s="152">
        <v>85</v>
      </c>
      <c r="TFM68" s="153">
        <v>215</v>
      </c>
      <c r="TFN68" s="153">
        <v>75</v>
      </c>
      <c r="TFO68" s="152">
        <v>150</v>
      </c>
      <c r="TFP68" s="154">
        <f>SUM(TFK68:TFO68)</f>
        <v>8675</v>
      </c>
      <c r="TFQ68" s="152">
        <v>200</v>
      </c>
      <c r="TFR68" s="154">
        <f>SUM(TFP68:TFQ68)</f>
        <v>8875</v>
      </c>
      <c r="TFS68" s="147" t="s">
        <v>99</v>
      </c>
      <c r="TFT68" s="148">
        <v>45845</v>
      </c>
      <c r="TFU68" s="143" t="s">
        <v>46</v>
      </c>
      <c r="TFV68" s="199"/>
      <c r="TFW68" s="149" t="s">
        <v>125</v>
      </c>
      <c r="TFX68" s="197"/>
      <c r="TFY68" s="198"/>
      <c r="TFZ68" s="143" t="s">
        <v>22</v>
      </c>
      <c r="TGA68" s="144">
        <v>8150</v>
      </c>
      <c r="TGB68" s="152">
        <v>85</v>
      </c>
      <c r="TGC68" s="153">
        <v>215</v>
      </c>
      <c r="TGD68" s="153">
        <v>75</v>
      </c>
      <c r="TGE68" s="152">
        <v>150</v>
      </c>
      <c r="TGF68" s="154">
        <f>SUM(TGA68:TGE68)</f>
        <v>8675</v>
      </c>
      <c r="TGG68" s="152">
        <v>200</v>
      </c>
      <c r="TGH68" s="154">
        <f>SUM(TGF68:TGG68)</f>
        <v>8875</v>
      </c>
      <c r="TGI68" s="147" t="s">
        <v>99</v>
      </c>
      <c r="TGJ68" s="148">
        <v>45845</v>
      </c>
      <c r="TGK68" s="143" t="s">
        <v>46</v>
      </c>
      <c r="TGL68" s="199"/>
      <c r="TGM68" s="149" t="s">
        <v>125</v>
      </c>
      <c r="TGN68" s="197"/>
      <c r="TGO68" s="198"/>
      <c r="TGP68" s="143" t="s">
        <v>22</v>
      </c>
      <c r="TGQ68" s="144">
        <v>8150</v>
      </c>
      <c r="TGR68" s="152">
        <v>85</v>
      </c>
      <c r="TGS68" s="153">
        <v>215</v>
      </c>
      <c r="TGT68" s="153">
        <v>75</v>
      </c>
      <c r="TGU68" s="152">
        <v>150</v>
      </c>
      <c r="TGV68" s="154">
        <f>SUM(TGQ68:TGU68)</f>
        <v>8675</v>
      </c>
      <c r="TGW68" s="152">
        <v>200</v>
      </c>
      <c r="TGX68" s="154">
        <f>SUM(TGV68:TGW68)</f>
        <v>8875</v>
      </c>
      <c r="TGY68" s="147" t="s">
        <v>99</v>
      </c>
      <c r="TGZ68" s="148">
        <v>45845</v>
      </c>
      <c r="THA68" s="143" t="s">
        <v>46</v>
      </c>
      <c r="THB68" s="199"/>
      <c r="THC68" s="149" t="s">
        <v>125</v>
      </c>
      <c r="THD68" s="197"/>
      <c r="THE68" s="198"/>
      <c r="THF68" s="143" t="s">
        <v>22</v>
      </c>
      <c r="THG68" s="144">
        <v>8150</v>
      </c>
      <c r="THH68" s="152">
        <v>85</v>
      </c>
      <c r="THI68" s="153">
        <v>215</v>
      </c>
      <c r="THJ68" s="153">
        <v>75</v>
      </c>
      <c r="THK68" s="152">
        <v>150</v>
      </c>
      <c r="THL68" s="154">
        <f>SUM(THG68:THK68)</f>
        <v>8675</v>
      </c>
      <c r="THM68" s="152">
        <v>200</v>
      </c>
      <c r="THN68" s="154">
        <f>SUM(THL68:THM68)</f>
        <v>8875</v>
      </c>
      <c r="THO68" s="147" t="s">
        <v>99</v>
      </c>
      <c r="THP68" s="148">
        <v>45845</v>
      </c>
      <c r="THQ68" s="143" t="s">
        <v>46</v>
      </c>
      <c r="THR68" s="199"/>
      <c r="THS68" s="149" t="s">
        <v>125</v>
      </c>
      <c r="THT68" s="197"/>
      <c r="THU68" s="198"/>
      <c r="THV68" s="143" t="s">
        <v>22</v>
      </c>
      <c r="THW68" s="144">
        <v>8150</v>
      </c>
      <c r="THX68" s="152">
        <v>85</v>
      </c>
      <c r="THY68" s="153">
        <v>215</v>
      </c>
      <c r="THZ68" s="153">
        <v>75</v>
      </c>
      <c r="TIA68" s="152">
        <v>150</v>
      </c>
      <c r="TIB68" s="154">
        <f>SUM(THW68:TIA68)</f>
        <v>8675</v>
      </c>
      <c r="TIC68" s="152">
        <v>200</v>
      </c>
      <c r="TID68" s="154">
        <f>SUM(TIB68:TIC68)</f>
        <v>8875</v>
      </c>
      <c r="TIE68" s="147" t="s">
        <v>99</v>
      </c>
      <c r="TIF68" s="148">
        <v>45845</v>
      </c>
      <c r="TIG68" s="143" t="s">
        <v>46</v>
      </c>
      <c r="TIH68" s="199"/>
      <c r="TII68" s="149" t="s">
        <v>125</v>
      </c>
      <c r="TIJ68" s="197"/>
      <c r="TIK68" s="198"/>
      <c r="TIL68" s="143" t="s">
        <v>22</v>
      </c>
      <c r="TIM68" s="144">
        <v>8150</v>
      </c>
      <c r="TIN68" s="152">
        <v>85</v>
      </c>
      <c r="TIO68" s="153">
        <v>215</v>
      </c>
      <c r="TIP68" s="153">
        <v>75</v>
      </c>
      <c r="TIQ68" s="152">
        <v>150</v>
      </c>
      <c r="TIR68" s="154">
        <f>SUM(TIM68:TIQ68)</f>
        <v>8675</v>
      </c>
      <c r="TIS68" s="152">
        <v>200</v>
      </c>
      <c r="TIT68" s="154">
        <f>SUM(TIR68:TIS68)</f>
        <v>8875</v>
      </c>
      <c r="TIU68" s="147" t="s">
        <v>99</v>
      </c>
      <c r="TIV68" s="148">
        <v>45845</v>
      </c>
      <c r="TIW68" s="143" t="s">
        <v>46</v>
      </c>
      <c r="TIX68" s="199"/>
      <c r="TIY68" s="149" t="s">
        <v>125</v>
      </c>
      <c r="TIZ68" s="197"/>
      <c r="TJA68" s="198"/>
      <c r="TJB68" s="143" t="s">
        <v>22</v>
      </c>
      <c r="TJC68" s="144">
        <v>8150</v>
      </c>
      <c r="TJD68" s="152">
        <v>85</v>
      </c>
      <c r="TJE68" s="153">
        <v>215</v>
      </c>
      <c r="TJF68" s="153">
        <v>75</v>
      </c>
      <c r="TJG68" s="152">
        <v>150</v>
      </c>
      <c r="TJH68" s="154">
        <f>SUM(TJC68:TJG68)</f>
        <v>8675</v>
      </c>
      <c r="TJI68" s="152">
        <v>200</v>
      </c>
      <c r="TJJ68" s="154">
        <f>SUM(TJH68:TJI68)</f>
        <v>8875</v>
      </c>
      <c r="TJK68" s="147" t="s">
        <v>99</v>
      </c>
      <c r="TJL68" s="148">
        <v>45845</v>
      </c>
      <c r="TJM68" s="143" t="s">
        <v>46</v>
      </c>
      <c r="TJN68" s="199"/>
      <c r="TJO68" s="149" t="s">
        <v>125</v>
      </c>
      <c r="TJP68" s="197"/>
      <c r="TJQ68" s="198"/>
      <c r="TJR68" s="143" t="s">
        <v>22</v>
      </c>
      <c r="TJS68" s="144">
        <v>8150</v>
      </c>
      <c r="TJT68" s="152">
        <v>85</v>
      </c>
      <c r="TJU68" s="153">
        <v>215</v>
      </c>
      <c r="TJV68" s="153">
        <v>75</v>
      </c>
      <c r="TJW68" s="152">
        <v>150</v>
      </c>
      <c r="TJX68" s="154">
        <f>SUM(TJS68:TJW68)</f>
        <v>8675</v>
      </c>
      <c r="TJY68" s="152">
        <v>200</v>
      </c>
      <c r="TJZ68" s="154">
        <f>SUM(TJX68:TJY68)</f>
        <v>8875</v>
      </c>
      <c r="TKA68" s="147" t="s">
        <v>99</v>
      </c>
      <c r="TKB68" s="148">
        <v>45845</v>
      </c>
      <c r="TKC68" s="143" t="s">
        <v>46</v>
      </c>
      <c r="TKD68" s="199"/>
      <c r="TKE68" s="149" t="s">
        <v>125</v>
      </c>
      <c r="TKF68" s="197"/>
      <c r="TKG68" s="198"/>
      <c r="TKH68" s="143" t="s">
        <v>22</v>
      </c>
      <c r="TKI68" s="144">
        <v>8150</v>
      </c>
      <c r="TKJ68" s="152">
        <v>85</v>
      </c>
      <c r="TKK68" s="153">
        <v>215</v>
      </c>
      <c r="TKL68" s="153">
        <v>75</v>
      </c>
      <c r="TKM68" s="152">
        <v>150</v>
      </c>
      <c r="TKN68" s="154">
        <f>SUM(TKI68:TKM68)</f>
        <v>8675</v>
      </c>
      <c r="TKO68" s="152">
        <v>200</v>
      </c>
      <c r="TKP68" s="154">
        <f>SUM(TKN68:TKO68)</f>
        <v>8875</v>
      </c>
      <c r="TKQ68" s="147" t="s">
        <v>99</v>
      </c>
      <c r="TKR68" s="148">
        <v>45845</v>
      </c>
      <c r="TKS68" s="143" t="s">
        <v>46</v>
      </c>
      <c r="TKT68" s="199"/>
      <c r="TKU68" s="149" t="s">
        <v>125</v>
      </c>
      <c r="TKV68" s="197"/>
      <c r="TKW68" s="198"/>
      <c r="TKX68" s="143" t="s">
        <v>22</v>
      </c>
      <c r="TKY68" s="144">
        <v>8150</v>
      </c>
      <c r="TKZ68" s="152">
        <v>85</v>
      </c>
      <c r="TLA68" s="153">
        <v>215</v>
      </c>
      <c r="TLB68" s="153">
        <v>75</v>
      </c>
      <c r="TLC68" s="152">
        <v>150</v>
      </c>
      <c r="TLD68" s="154">
        <f>SUM(TKY68:TLC68)</f>
        <v>8675</v>
      </c>
      <c r="TLE68" s="152">
        <v>200</v>
      </c>
      <c r="TLF68" s="154">
        <f>SUM(TLD68:TLE68)</f>
        <v>8875</v>
      </c>
      <c r="TLG68" s="147" t="s">
        <v>99</v>
      </c>
      <c r="TLH68" s="148">
        <v>45845</v>
      </c>
      <c r="TLI68" s="143" t="s">
        <v>46</v>
      </c>
      <c r="TLJ68" s="199"/>
      <c r="TLK68" s="149" t="s">
        <v>125</v>
      </c>
      <c r="TLL68" s="197"/>
      <c r="TLM68" s="198"/>
      <c r="TLN68" s="143" t="s">
        <v>22</v>
      </c>
      <c r="TLO68" s="144">
        <v>8150</v>
      </c>
      <c r="TLP68" s="152">
        <v>85</v>
      </c>
      <c r="TLQ68" s="153">
        <v>215</v>
      </c>
      <c r="TLR68" s="153">
        <v>75</v>
      </c>
      <c r="TLS68" s="152">
        <v>150</v>
      </c>
      <c r="TLT68" s="154">
        <f>SUM(TLO68:TLS68)</f>
        <v>8675</v>
      </c>
      <c r="TLU68" s="152">
        <v>200</v>
      </c>
      <c r="TLV68" s="154">
        <f>SUM(TLT68:TLU68)</f>
        <v>8875</v>
      </c>
      <c r="TLW68" s="147" t="s">
        <v>99</v>
      </c>
      <c r="TLX68" s="148">
        <v>45845</v>
      </c>
      <c r="TLY68" s="143" t="s">
        <v>46</v>
      </c>
      <c r="TLZ68" s="199"/>
      <c r="TMA68" s="149" t="s">
        <v>125</v>
      </c>
      <c r="TMB68" s="197"/>
      <c r="TMC68" s="198"/>
      <c r="TMD68" s="143" t="s">
        <v>22</v>
      </c>
      <c r="TME68" s="144">
        <v>8150</v>
      </c>
      <c r="TMF68" s="152">
        <v>85</v>
      </c>
      <c r="TMG68" s="153">
        <v>215</v>
      </c>
      <c r="TMH68" s="153">
        <v>75</v>
      </c>
      <c r="TMI68" s="152">
        <v>150</v>
      </c>
      <c r="TMJ68" s="154">
        <f>SUM(TME68:TMI68)</f>
        <v>8675</v>
      </c>
      <c r="TMK68" s="152">
        <v>200</v>
      </c>
      <c r="TML68" s="154">
        <f>SUM(TMJ68:TMK68)</f>
        <v>8875</v>
      </c>
      <c r="TMM68" s="147" t="s">
        <v>99</v>
      </c>
      <c r="TMN68" s="148">
        <v>45845</v>
      </c>
      <c r="TMO68" s="143" t="s">
        <v>46</v>
      </c>
      <c r="TMP68" s="199"/>
      <c r="TMQ68" s="149" t="s">
        <v>125</v>
      </c>
      <c r="TMR68" s="197"/>
      <c r="TMS68" s="198"/>
      <c r="TMT68" s="143" t="s">
        <v>22</v>
      </c>
      <c r="TMU68" s="144">
        <v>8150</v>
      </c>
      <c r="TMV68" s="152">
        <v>85</v>
      </c>
      <c r="TMW68" s="153">
        <v>215</v>
      </c>
      <c r="TMX68" s="153">
        <v>75</v>
      </c>
      <c r="TMY68" s="152">
        <v>150</v>
      </c>
      <c r="TMZ68" s="154">
        <f>SUM(TMU68:TMY68)</f>
        <v>8675</v>
      </c>
      <c r="TNA68" s="152">
        <v>200</v>
      </c>
      <c r="TNB68" s="154">
        <f>SUM(TMZ68:TNA68)</f>
        <v>8875</v>
      </c>
      <c r="TNC68" s="147" t="s">
        <v>99</v>
      </c>
      <c r="TND68" s="148">
        <v>45845</v>
      </c>
      <c r="TNE68" s="143" t="s">
        <v>46</v>
      </c>
      <c r="TNF68" s="199"/>
      <c r="TNG68" s="149" t="s">
        <v>125</v>
      </c>
      <c r="TNH68" s="197"/>
      <c r="TNI68" s="198"/>
      <c r="TNJ68" s="143" t="s">
        <v>22</v>
      </c>
      <c r="TNK68" s="144">
        <v>8150</v>
      </c>
      <c r="TNL68" s="152">
        <v>85</v>
      </c>
      <c r="TNM68" s="153">
        <v>215</v>
      </c>
      <c r="TNN68" s="153">
        <v>75</v>
      </c>
      <c r="TNO68" s="152">
        <v>150</v>
      </c>
      <c r="TNP68" s="154">
        <f>SUM(TNK68:TNO68)</f>
        <v>8675</v>
      </c>
      <c r="TNQ68" s="152">
        <v>200</v>
      </c>
      <c r="TNR68" s="154">
        <f>SUM(TNP68:TNQ68)</f>
        <v>8875</v>
      </c>
      <c r="TNS68" s="147" t="s">
        <v>99</v>
      </c>
      <c r="TNT68" s="148">
        <v>45845</v>
      </c>
      <c r="TNU68" s="143" t="s">
        <v>46</v>
      </c>
      <c r="TNV68" s="199"/>
      <c r="TNW68" s="149" t="s">
        <v>125</v>
      </c>
      <c r="TNX68" s="197"/>
      <c r="TNY68" s="198"/>
      <c r="TNZ68" s="143" t="s">
        <v>22</v>
      </c>
      <c r="TOA68" s="144">
        <v>8150</v>
      </c>
      <c r="TOB68" s="152">
        <v>85</v>
      </c>
      <c r="TOC68" s="153">
        <v>215</v>
      </c>
      <c r="TOD68" s="153">
        <v>75</v>
      </c>
      <c r="TOE68" s="152">
        <v>150</v>
      </c>
      <c r="TOF68" s="154">
        <f>SUM(TOA68:TOE68)</f>
        <v>8675</v>
      </c>
      <c r="TOG68" s="152">
        <v>200</v>
      </c>
      <c r="TOH68" s="154">
        <f>SUM(TOF68:TOG68)</f>
        <v>8875</v>
      </c>
      <c r="TOI68" s="147" t="s">
        <v>99</v>
      </c>
      <c r="TOJ68" s="148">
        <v>45845</v>
      </c>
      <c r="TOK68" s="143" t="s">
        <v>46</v>
      </c>
      <c r="TOL68" s="199"/>
      <c r="TOM68" s="149" t="s">
        <v>125</v>
      </c>
      <c r="TON68" s="197"/>
      <c r="TOO68" s="198"/>
      <c r="TOP68" s="143" t="s">
        <v>22</v>
      </c>
      <c r="TOQ68" s="144">
        <v>8150</v>
      </c>
      <c r="TOR68" s="152">
        <v>85</v>
      </c>
      <c r="TOS68" s="153">
        <v>215</v>
      </c>
      <c r="TOT68" s="153">
        <v>75</v>
      </c>
      <c r="TOU68" s="152">
        <v>150</v>
      </c>
      <c r="TOV68" s="154">
        <f>SUM(TOQ68:TOU68)</f>
        <v>8675</v>
      </c>
      <c r="TOW68" s="152">
        <v>200</v>
      </c>
      <c r="TOX68" s="154">
        <f>SUM(TOV68:TOW68)</f>
        <v>8875</v>
      </c>
      <c r="TOY68" s="147" t="s">
        <v>99</v>
      </c>
      <c r="TOZ68" s="148">
        <v>45845</v>
      </c>
      <c r="TPA68" s="143" t="s">
        <v>46</v>
      </c>
      <c r="TPB68" s="199"/>
      <c r="TPC68" s="149" t="s">
        <v>125</v>
      </c>
      <c r="TPD68" s="197"/>
      <c r="TPE68" s="198"/>
      <c r="TPF68" s="143" t="s">
        <v>22</v>
      </c>
      <c r="TPG68" s="144">
        <v>8150</v>
      </c>
      <c r="TPH68" s="152">
        <v>85</v>
      </c>
      <c r="TPI68" s="153">
        <v>215</v>
      </c>
      <c r="TPJ68" s="153">
        <v>75</v>
      </c>
      <c r="TPK68" s="152">
        <v>150</v>
      </c>
      <c r="TPL68" s="154">
        <f>SUM(TPG68:TPK68)</f>
        <v>8675</v>
      </c>
      <c r="TPM68" s="152">
        <v>200</v>
      </c>
      <c r="TPN68" s="154">
        <f>SUM(TPL68:TPM68)</f>
        <v>8875</v>
      </c>
      <c r="TPO68" s="147" t="s">
        <v>99</v>
      </c>
      <c r="TPP68" s="148">
        <v>45845</v>
      </c>
      <c r="TPQ68" s="143" t="s">
        <v>46</v>
      </c>
      <c r="TPR68" s="199"/>
      <c r="TPS68" s="149" t="s">
        <v>125</v>
      </c>
      <c r="TPT68" s="197"/>
      <c r="TPU68" s="198"/>
      <c r="TPV68" s="143" t="s">
        <v>22</v>
      </c>
      <c r="TPW68" s="144">
        <v>8150</v>
      </c>
      <c r="TPX68" s="152">
        <v>85</v>
      </c>
      <c r="TPY68" s="153">
        <v>215</v>
      </c>
      <c r="TPZ68" s="153">
        <v>75</v>
      </c>
      <c r="TQA68" s="152">
        <v>150</v>
      </c>
      <c r="TQB68" s="154">
        <f>SUM(TPW68:TQA68)</f>
        <v>8675</v>
      </c>
      <c r="TQC68" s="152">
        <v>200</v>
      </c>
      <c r="TQD68" s="154">
        <f>SUM(TQB68:TQC68)</f>
        <v>8875</v>
      </c>
      <c r="TQE68" s="147" t="s">
        <v>99</v>
      </c>
      <c r="TQF68" s="148">
        <v>45845</v>
      </c>
      <c r="TQG68" s="143" t="s">
        <v>46</v>
      </c>
      <c r="TQH68" s="199"/>
      <c r="TQI68" s="149" t="s">
        <v>125</v>
      </c>
      <c r="TQJ68" s="197"/>
      <c r="TQK68" s="198"/>
      <c r="TQL68" s="143" t="s">
        <v>22</v>
      </c>
      <c r="TQM68" s="144">
        <v>8150</v>
      </c>
      <c r="TQN68" s="152">
        <v>85</v>
      </c>
      <c r="TQO68" s="153">
        <v>215</v>
      </c>
      <c r="TQP68" s="153">
        <v>75</v>
      </c>
      <c r="TQQ68" s="152">
        <v>150</v>
      </c>
      <c r="TQR68" s="154">
        <f>SUM(TQM68:TQQ68)</f>
        <v>8675</v>
      </c>
      <c r="TQS68" s="152">
        <v>200</v>
      </c>
      <c r="TQT68" s="154">
        <f>SUM(TQR68:TQS68)</f>
        <v>8875</v>
      </c>
      <c r="TQU68" s="147" t="s">
        <v>99</v>
      </c>
      <c r="TQV68" s="148">
        <v>45845</v>
      </c>
      <c r="TQW68" s="143" t="s">
        <v>46</v>
      </c>
      <c r="TQX68" s="199"/>
      <c r="TQY68" s="149" t="s">
        <v>125</v>
      </c>
      <c r="TQZ68" s="197"/>
      <c r="TRA68" s="198"/>
      <c r="TRB68" s="143" t="s">
        <v>22</v>
      </c>
      <c r="TRC68" s="144">
        <v>8150</v>
      </c>
      <c r="TRD68" s="152">
        <v>85</v>
      </c>
      <c r="TRE68" s="153">
        <v>215</v>
      </c>
      <c r="TRF68" s="153">
        <v>75</v>
      </c>
      <c r="TRG68" s="152">
        <v>150</v>
      </c>
      <c r="TRH68" s="154">
        <f>SUM(TRC68:TRG68)</f>
        <v>8675</v>
      </c>
      <c r="TRI68" s="152">
        <v>200</v>
      </c>
      <c r="TRJ68" s="154">
        <f>SUM(TRH68:TRI68)</f>
        <v>8875</v>
      </c>
      <c r="TRK68" s="147" t="s">
        <v>99</v>
      </c>
      <c r="TRL68" s="148">
        <v>45845</v>
      </c>
      <c r="TRM68" s="143" t="s">
        <v>46</v>
      </c>
      <c r="TRN68" s="199"/>
      <c r="TRO68" s="149" t="s">
        <v>125</v>
      </c>
      <c r="TRP68" s="197"/>
      <c r="TRQ68" s="198"/>
      <c r="TRR68" s="143" t="s">
        <v>22</v>
      </c>
      <c r="TRS68" s="144">
        <v>8150</v>
      </c>
      <c r="TRT68" s="152">
        <v>85</v>
      </c>
      <c r="TRU68" s="153">
        <v>215</v>
      </c>
      <c r="TRV68" s="153">
        <v>75</v>
      </c>
      <c r="TRW68" s="152">
        <v>150</v>
      </c>
      <c r="TRX68" s="154">
        <f>SUM(TRS68:TRW68)</f>
        <v>8675</v>
      </c>
      <c r="TRY68" s="152">
        <v>200</v>
      </c>
      <c r="TRZ68" s="154">
        <f>SUM(TRX68:TRY68)</f>
        <v>8875</v>
      </c>
      <c r="TSA68" s="147" t="s">
        <v>99</v>
      </c>
      <c r="TSB68" s="148">
        <v>45845</v>
      </c>
      <c r="TSC68" s="143" t="s">
        <v>46</v>
      </c>
      <c r="TSD68" s="199"/>
      <c r="TSE68" s="149" t="s">
        <v>125</v>
      </c>
      <c r="TSF68" s="197"/>
      <c r="TSG68" s="198"/>
      <c r="TSH68" s="143" t="s">
        <v>22</v>
      </c>
      <c r="TSI68" s="144">
        <v>8150</v>
      </c>
      <c r="TSJ68" s="152">
        <v>85</v>
      </c>
      <c r="TSK68" s="153">
        <v>215</v>
      </c>
      <c r="TSL68" s="153">
        <v>75</v>
      </c>
      <c r="TSM68" s="152">
        <v>150</v>
      </c>
      <c r="TSN68" s="154">
        <f>SUM(TSI68:TSM68)</f>
        <v>8675</v>
      </c>
      <c r="TSO68" s="152">
        <v>200</v>
      </c>
      <c r="TSP68" s="154">
        <f>SUM(TSN68:TSO68)</f>
        <v>8875</v>
      </c>
      <c r="TSQ68" s="147" t="s">
        <v>99</v>
      </c>
      <c r="TSR68" s="148">
        <v>45845</v>
      </c>
      <c r="TSS68" s="143" t="s">
        <v>46</v>
      </c>
      <c r="TST68" s="199"/>
      <c r="TSU68" s="149" t="s">
        <v>125</v>
      </c>
      <c r="TSV68" s="197"/>
      <c r="TSW68" s="198"/>
      <c r="TSX68" s="143" t="s">
        <v>22</v>
      </c>
      <c r="TSY68" s="144">
        <v>8150</v>
      </c>
      <c r="TSZ68" s="152">
        <v>85</v>
      </c>
      <c r="TTA68" s="153">
        <v>215</v>
      </c>
      <c r="TTB68" s="153">
        <v>75</v>
      </c>
      <c r="TTC68" s="152">
        <v>150</v>
      </c>
      <c r="TTD68" s="154">
        <f>SUM(TSY68:TTC68)</f>
        <v>8675</v>
      </c>
      <c r="TTE68" s="152">
        <v>200</v>
      </c>
      <c r="TTF68" s="154">
        <f>SUM(TTD68:TTE68)</f>
        <v>8875</v>
      </c>
      <c r="TTG68" s="147" t="s">
        <v>99</v>
      </c>
      <c r="TTH68" s="148">
        <v>45845</v>
      </c>
      <c r="TTI68" s="143" t="s">
        <v>46</v>
      </c>
      <c r="TTJ68" s="199"/>
      <c r="TTK68" s="149" t="s">
        <v>125</v>
      </c>
      <c r="TTL68" s="197"/>
      <c r="TTM68" s="198"/>
      <c r="TTN68" s="143" t="s">
        <v>22</v>
      </c>
      <c r="TTO68" s="144">
        <v>8150</v>
      </c>
      <c r="TTP68" s="152">
        <v>85</v>
      </c>
      <c r="TTQ68" s="153">
        <v>215</v>
      </c>
      <c r="TTR68" s="153">
        <v>75</v>
      </c>
      <c r="TTS68" s="152">
        <v>150</v>
      </c>
      <c r="TTT68" s="154">
        <f>SUM(TTO68:TTS68)</f>
        <v>8675</v>
      </c>
      <c r="TTU68" s="152">
        <v>200</v>
      </c>
      <c r="TTV68" s="154">
        <f>SUM(TTT68:TTU68)</f>
        <v>8875</v>
      </c>
      <c r="TTW68" s="147" t="s">
        <v>99</v>
      </c>
      <c r="TTX68" s="148">
        <v>45845</v>
      </c>
      <c r="TTY68" s="143" t="s">
        <v>46</v>
      </c>
      <c r="TTZ68" s="199"/>
      <c r="TUA68" s="149" t="s">
        <v>125</v>
      </c>
      <c r="TUB68" s="197"/>
      <c r="TUC68" s="198"/>
      <c r="TUD68" s="143" t="s">
        <v>22</v>
      </c>
      <c r="TUE68" s="144">
        <v>8150</v>
      </c>
      <c r="TUF68" s="152">
        <v>85</v>
      </c>
      <c r="TUG68" s="153">
        <v>215</v>
      </c>
      <c r="TUH68" s="153">
        <v>75</v>
      </c>
      <c r="TUI68" s="152">
        <v>150</v>
      </c>
      <c r="TUJ68" s="154">
        <f>SUM(TUE68:TUI68)</f>
        <v>8675</v>
      </c>
      <c r="TUK68" s="152">
        <v>200</v>
      </c>
      <c r="TUL68" s="154">
        <f>SUM(TUJ68:TUK68)</f>
        <v>8875</v>
      </c>
      <c r="TUM68" s="147" t="s">
        <v>99</v>
      </c>
      <c r="TUN68" s="148">
        <v>45845</v>
      </c>
      <c r="TUO68" s="143" t="s">
        <v>46</v>
      </c>
      <c r="TUP68" s="199"/>
      <c r="TUQ68" s="149" t="s">
        <v>125</v>
      </c>
      <c r="TUR68" s="197"/>
      <c r="TUS68" s="198"/>
      <c r="TUT68" s="143" t="s">
        <v>22</v>
      </c>
      <c r="TUU68" s="144">
        <v>8150</v>
      </c>
      <c r="TUV68" s="152">
        <v>85</v>
      </c>
      <c r="TUW68" s="153">
        <v>215</v>
      </c>
      <c r="TUX68" s="153">
        <v>75</v>
      </c>
      <c r="TUY68" s="152">
        <v>150</v>
      </c>
      <c r="TUZ68" s="154">
        <f>SUM(TUU68:TUY68)</f>
        <v>8675</v>
      </c>
      <c r="TVA68" s="152">
        <v>200</v>
      </c>
      <c r="TVB68" s="154">
        <f>SUM(TUZ68:TVA68)</f>
        <v>8875</v>
      </c>
      <c r="TVC68" s="147" t="s">
        <v>99</v>
      </c>
      <c r="TVD68" s="148">
        <v>45845</v>
      </c>
      <c r="TVE68" s="143" t="s">
        <v>46</v>
      </c>
      <c r="TVF68" s="199"/>
      <c r="TVG68" s="149" t="s">
        <v>125</v>
      </c>
      <c r="TVH68" s="197"/>
      <c r="TVI68" s="198"/>
      <c r="TVJ68" s="143" t="s">
        <v>22</v>
      </c>
      <c r="TVK68" s="144">
        <v>8150</v>
      </c>
      <c r="TVL68" s="152">
        <v>85</v>
      </c>
      <c r="TVM68" s="153">
        <v>215</v>
      </c>
      <c r="TVN68" s="153">
        <v>75</v>
      </c>
      <c r="TVO68" s="152">
        <v>150</v>
      </c>
      <c r="TVP68" s="154">
        <f>SUM(TVK68:TVO68)</f>
        <v>8675</v>
      </c>
      <c r="TVQ68" s="152">
        <v>200</v>
      </c>
      <c r="TVR68" s="154">
        <f>SUM(TVP68:TVQ68)</f>
        <v>8875</v>
      </c>
      <c r="TVS68" s="147" t="s">
        <v>99</v>
      </c>
      <c r="TVT68" s="148">
        <v>45845</v>
      </c>
      <c r="TVU68" s="143" t="s">
        <v>46</v>
      </c>
      <c r="TVV68" s="199"/>
      <c r="TVW68" s="149" t="s">
        <v>125</v>
      </c>
      <c r="TVX68" s="197"/>
      <c r="TVY68" s="198"/>
      <c r="TVZ68" s="143" t="s">
        <v>22</v>
      </c>
      <c r="TWA68" s="144">
        <v>8150</v>
      </c>
      <c r="TWB68" s="152">
        <v>85</v>
      </c>
      <c r="TWC68" s="153">
        <v>215</v>
      </c>
      <c r="TWD68" s="153">
        <v>75</v>
      </c>
      <c r="TWE68" s="152">
        <v>150</v>
      </c>
      <c r="TWF68" s="154">
        <f>SUM(TWA68:TWE68)</f>
        <v>8675</v>
      </c>
      <c r="TWG68" s="152">
        <v>200</v>
      </c>
      <c r="TWH68" s="154">
        <f>SUM(TWF68:TWG68)</f>
        <v>8875</v>
      </c>
      <c r="TWI68" s="147" t="s">
        <v>99</v>
      </c>
      <c r="TWJ68" s="148">
        <v>45845</v>
      </c>
      <c r="TWK68" s="143" t="s">
        <v>46</v>
      </c>
      <c r="TWL68" s="199"/>
      <c r="TWM68" s="149" t="s">
        <v>125</v>
      </c>
      <c r="TWN68" s="197"/>
      <c r="TWO68" s="198"/>
      <c r="TWP68" s="143" t="s">
        <v>22</v>
      </c>
      <c r="TWQ68" s="144">
        <v>8150</v>
      </c>
      <c r="TWR68" s="152">
        <v>85</v>
      </c>
      <c r="TWS68" s="153">
        <v>215</v>
      </c>
      <c r="TWT68" s="153">
        <v>75</v>
      </c>
      <c r="TWU68" s="152">
        <v>150</v>
      </c>
      <c r="TWV68" s="154">
        <f>SUM(TWQ68:TWU68)</f>
        <v>8675</v>
      </c>
      <c r="TWW68" s="152">
        <v>200</v>
      </c>
      <c r="TWX68" s="154">
        <f>SUM(TWV68:TWW68)</f>
        <v>8875</v>
      </c>
      <c r="TWY68" s="147" t="s">
        <v>99</v>
      </c>
      <c r="TWZ68" s="148">
        <v>45845</v>
      </c>
      <c r="TXA68" s="143" t="s">
        <v>46</v>
      </c>
      <c r="TXB68" s="199"/>
      <c r="TXC68" s="149" t="s">
        <v>125</v>
      </c>
      <c r="TXD68" s="197"/>
      <c r="TXE68" s="198"/>
      <c r="TXF68" s="143" t="s">
        <v>22</v>
      </c>
      <c r="TXG68" s="144">
        <v>8150</v>
      </c>
      <c r="TXH68" s="152">
        <v>85</v>
      </c>
      <c r="TXI68" s="153">
        <v>215</v>
      </c>
      <c r="TXJ68" s="153">
        <v>75</v>
      </c>
      <c r="TXK68" s="152">
        <v>150</v>
      </c>
      <c r="TXL68" s="154">
        <f>SUM(TXG68:TXK68)</f>
        <v>8675</v>
      </c>
      <c r="TXM68" s="152">
        <v>200</v>
      </c>
      <c r="TXN68" s="154">
        <f>SUM(TXL68:TXM68)</f>
        <v>8875</v>
      </c>
      <c r="TXO68" s="147" t="s">
        <v>99</v>
      </c>
      <c r="TXP68" s="148">
        <v>45845</v>
      </c>
      <c r="TXQ68" s="143" t="s">
        <v>46</v>
      </c>
      <c r="TXR68" s="199"/>
      <c r="TXS68" s="149" t="s">
        <v>125</v>
      </c>
      <c r="TXT68" s="197"/>
      <c r="TXU68" s="198"/>
      <c r="TXV68" s="143" t="s">
        <v>22</v>
      </c>
      <c r="TXW68" s="144">
        <v>8150</v>
      </c>
      <c r="TXX68" s="152">
        <v>85</v>
      </c>
      <c r="TXY68" s="153">
        <v>215</v>
      </c>
      <c r="TXZ68" s="153">
        <v>75</v>
      </c>
      <c r="TYA68" s="152">
        <v>150</v>
      </c>
      <c r="TYB68" s="154">
        <f>SUM(TXW68:TYA68)</f>
        <v>8675</v>
      </c>
      <c r="TYC68" s="152">
        <v>200</v>
      </c>
      <c r="TYD68" s="154">
        <f>SUM(TYB68:TYC68)</f>
        <v>8875</v>
      </c>
      <c r="TYE68" s="147" t="s">
        <v>99</v>
      </c>
      <c r="TYF68" s="148">
        <v>45845</v>
      </c>
      <c r="TYG68" s="143" t="s">
        <v>46</v>
      </c>
      <c r="TYH68" s="199"/>
      <c r="TYI68" s="149" t="s">
        <v>125</v>
      </c>
      <c r="TYJ68" s="197"/>
      <c r="TYK68" s="198"/>
      <c r="TYL68" s="143" t="s">
        <v>22</v>
      </c>
      <c r="TYM68" s="144">
        <v>8150</v>
      </c>
      <c r="TYN68" s="152">
        <v>85</v>
      </c>
      <c r="TYO68" s="153">
        <v>215</v>
      </c>
      <c r="TYP68" s="153">
        <v>75</v>
      </c>
      <c r="TYQ68" s="152">
        <v>150</v>
      </c>
      <c r="TYR68" s="154">
        <f>SUM(TYM68:TYQ68)</f>
        <v>8675</v>
      </c>
      <c r="TYS68" s="152">
        <v>200</v>
      </c>
      <c r="TYT68" s="154">
        <f>SUM(TYR68:TYS68)</f>
        <v>8875</v>
      </c>
      <c r="TYU68" s="147" t="s">
        <v>99</v>
      </c>
      <c r="TYV68" s="148">
        <v>45845</v>
      </c>
      <c r="TYW68" s="143" t="s">
        <v>46</v>
      </c>
      <c r="TYX68" s="199"/>
      <c r="TYY68" s="149" t="s">
        <v>125</v>
      </c>
      <c r="TYZ68" s="197"/>
      <c r="TZA68" s="198"/>
      <c r="TZB68" s="143" t="s">
        <v>22</v>
      </c>
      <c r="TZC68" s="144">
        <v>8150</v>
      </c>
      <c r="TZD68" s="152">
        <v>85</v>
      </c>
      <c r="TZE68" s="153">
        <v>215</v>
      </c>
      <c r="TZF68" s="153">
        <v>75</v>
      </c>
      <c r="TZG68" s="152">
        <v>150</v>
      </c>
      <c r="TZH68" s="154">
        <f>SUM(TZC68:TZG68)</f>
        <v>8675</v>
      </c>
      <c r="TZI68" s="152">
        <v>200</v>
      </c>
      <c r="TZJ68" s="154">
        <f>SUM(TZH68:TZI68)</f>
        <v>8875</v>
      </c>
      <c r="TZK68" s="147" t="s">
        <v>99</v>
      </c>
      <c r="TZL68" s="148">
        <v>45845</v>
      </c>
      <c r="TZM68" s="143" t="s">
        <v>46</v>
      </c>
      <c r="TZN68" s="199"/>
      <c r="TZO68" s="149" t="s">
        <v>125</v>
      </c>
      <c r="TZP68" s="197"/>
      <c r="TZQ68" s="198"/>
      <c r="TZR68" s="143" t="s">
        <v>22</v>
      </c>
      <c r="TZS68" s="144">
        <v>8150</v>
      </c>
      <c r="TZT68" s="152">
        <v>85</v>
      </c>
      <c r="TZU68" s="153">
        <v>215</v>
      </c>
      <c r="TZV68" s="153">
        <v>75</v>
      </c>
      <c r="TZW68" s="152">
        <v>150</v>
      </c>
      <c r="TZX68" s="154">
        <f>SUM(TZS68:TZW68)</f>
        <v>8675</v>
      </c>
      <c r="TZY68" s="152">
        <v>200</v>
      </c>
      <c r="TZZ68" s="154">
        <f>SUM(TZX68:TZY68)</f>
        <v>8875</v>
      </c>
      <c r="UAA68" s="147" t="s">
        <v>99</v>
      </c>
      <c r="UAB68" s="148">
        <v>45845</v>
      </c>
      <c r="UAC68" s="143" t="s">
        <v>46</v>
      </c>
      <c r="UAD68" s="199"/>
      <c r="UAE68" s="149" t="s">
        <v>125</v>
      </c>
      <c r="UAF68" s="197"/>
      <c r="UAG68" s="198"/>
      <c r="UAH68" s="143" t="s">
        <v>22</v>
      </c>
      <c r="UAI68" s="144">
        <v>8150</v>
      </c>
      <c r="UAJ68" s="152">
        <v>85</v>
      </c>
      <c r="UAK68" s="153">
        <v>215</v>
      </c>
      <c r="UAL68" s="153">
        <v>75</v>
      </c>
      <c r="UAM68" s="152">
        <v>150</v>
      </c>
      <c r="UAN68" s="154">
        <f>SUM(UAI68:UAM68)</f>
        <v>8675</v>
      </c>
      <c r="UAO68" s="152">
        <v>200</v>
      </c>
      <c r="UAP68" s="154">
        <f>SUM(UAN68:UAO68)</f>
        <v>8875</v>
      </c>
      <c r="UAQ68" s="147" t="s">
        <v>99</v>
      </c>
      <c r="UAR68" s="148">
        <v>45845</v>
      </c>
      <c r="UAS68" s="143" t="s">
        <v>46</v>
      </c>
      <c r="UAT68" s="199"/>
      <c r="UAU68" s="149" t="s">
        <v>125</v>
      </c>
      <c r="UAV68" s="197"/>
      <c r="UAW68" s="198"/>
      <c r="UAX68" s="143" t="s">
        <v>22</v>
      </c>
      <c r="UAY68" s="144">
        <v>8150</v>
      </c>
      <c r="UAZ68" s="152">
        <v>85</v>
      </c>
      <c r="UBA68" s="153">
        <v>215</v>
      </c>
      <c r="UBB68" s="153">
        <v>75</v>
      </c>
      <c r="UBC68" s="152">
        <v>150</v>
      </c>
      <c r="UBD68" s="154">
        <f>SUM(UAY68:UBC68)</f>
        <v>8675</v>
      </c>
      <c r="UBE68" s="152">
        <v>200</v>
      </c>
      <c r="UBF68" s="154">
        <f>SUM(UBD68:UBE68)</f>
        <v>8875</v>
      </c>
      <c r="UBG68" s="147" t="s">
        <v>99</v>
      </c>
      <c r="UBH68" s="148">
        <v>45845</v>
      </c>
      <c r="UBI68" s="143" t="s">
        <v>46</v>
      </c>
      <c r="UBJ68" s="199"/>
      <c r="UBK68" s="149" t="s">
        <v>125</v>
      </c>
      <c r="UBL68" s="197"/>
      <c r="UBM68" s="198"/>
      <c r="UBN68" s="143" t="s">
        <v>22</v>
      </c>
      <c r="UBO68" s="144">
        <v>8150</v>
      </c>
      <c r="UBP68" s="152">
        <v>85</v>
      </c>
      <c r="UBQ68" s="153">
        <v>215</v>
      </c>
      <c r="UBR68" s="153">
        <v>75</v>
      </c>
      <c r="UBS68" s="152">
        <v>150</v>
      </c>
      <c r="UBT68" s="154">
        <f>SUM(UBO68:UBS68)</f>
        <v>8675</v>
      </c>
      <c r="UBU68" s="152">
        <v>200</v>
      </c>
      <c r="UBV68" s="154">
        <f>SUM(UBT68:UBU68)</f>
        <v>8875</v>
      </c>
      <c r="UBW68" s="147" t="s">
        <v>99</v>
      </c>
      <c r="UBX68" s="148">
        <v>45845</v>
      </c>
      <c r="UBY68" s="143" t="s">
        <v>46</v>
      </c>
      <c r="UBZ68" s="199"/>
      <c r="UCA68" s="149" t="s">
        <v>125</v>
      </c>
      <c r="UCB68" s="197"/>
      <c r="UCC68" s="198"/>
      <c r="UCD68" s="143" t="s">
        <v>22</v>
      </c>
      <c r="UCE68" s="144">
        <v>8150</v>
      </c>
      <c r="UCF68" s="152">
        <v>85</v>
      </c>
      <c r="UCG68" s="153">
        <v>215</v>
      </c>
      <c r="UCH68" s="153">
        <v>75</v>
      </c>
      <c r="UCI68" s="152">
        <v>150</v>
      </c>
      <c r="UCJ68" s="154">
        <f>SUM(UCE68:UCI68)</f>
        <v>8675</v>
      </c>
      <c r="UCK68" s="152">
        <v>200</v>
      </c>
      <c r="UCL68" s="154">
        <f>SUM(UCJ68:UCK68)</f>
        <v>8875</v>
      </c>
      <c r="UCM68" s="147" t="s">
        <v>99</v>
      </c>
      <c r="UCN68" s="148">
        <v>45845</v>
      </c>
      <c r="UCO68" s="143" t="s">
        <v>46</v>
      </c>
      <c r="UCP68" s="199"/>
      <c r="UCQ68" s="149" t="s">
        <v>125</v>
      </c>
      <c r="UCR68" s="197"/>
      <c r="UCS68" s="198"/>
      <c r="UCT68" s="143" t="s">
        <v>22</v>
      </c>
      <c r="UCU68" s="144">
        <v>8150</v>
      </c>
      <c r="UCV68" s="152">
        <v>85</v>
      </c>
      <c r="UCW68" s="153">
        <v>215</v>
      </c>
      <c r="UCX68" s="153">
        <v>75</v>
      </c>
      <c r="UCY68" s="152">
        <v>150</v>
      </c>
      <c r="UCZ68" s="154">
        <f>SUM(UCU68:UCY68)</f>
        <v>8675</v>
      </c>
      <c r="UDA68" s="152">
        <v>200</v>
      </c>
      <c r="UDB68" s="154">
        <f>SUM(UCZ68:UDA68)</f>
        <v>8875</v>
      </c>
      <c r="UDC68" s="147" t="s">
        <v>99</v>
      </c>
      <c r="UDD68" s="148">
        <v>45845</v>
      </c>
      <c r="UDE68" s="143" t="s">
        <v>46</v>
      </c>
      <c r="UDF68" s="199"/>
      <c r="UDG68" s="149" t="s">
        <v>125</v>
      </c>
      <c r="UDH68" s="197"/>
      <c r="UDI68" s="198"/>
      <c r="UDJ68" s="143" t="s">
        <v>22</v>
      </c>
      <c r="UDK68" s="144">
        <v>8150</v>
      </c>
      <c r="UDL68" s="152">
        <v>85</v>
      </c>
      <c r="UDM68" s="153">
        <v>215</v>
      </c>
      <c r="UDN68" s="153">
        <v>75</v>
      </c>
      <c r="UDO68" s="152">
        <v>150</v>
      </c>
      <c r="UDP68" s="154">
        <f>SUM(UDK68:UDO68)</f>
        <v>8675</v>
      </c>
      <c r="UDQ68" s="152">
        <v>200</v>
      </c>
      <c r="UDR68" s="154">
        <f>SUM(UDP68:UDQ68)</f>
        <v>8875</v>
      </c>
      <c r="UDS68" s="147" t="s">
        <v>99</v>
      </c>
      <c r="UDT68" s="148">
        <v>45845</v>
      </c>
      <c r="UDU68" s="143" t="s">
        <v>46</v>
      </c>
      <c r="UDV68" s="199"/>
      <c r="UDW68" s="149" t="s">
        <v>125</v>
      </c>
      <c r="UDX68" s="197"/>
      <c r="UDY68" s="198"/>
      <c r="UDZ68" s="143" t="s">
        <v>22</v>
      </c>
      <c r="UEA68" s="144">
        <v>8150</v>
      </c>
      <c r="UEB68" s="152">
        <v>85</v>
      </c>
      <c r="UEC68" s="153">
        <v>215</v>
      </c>
      <c r="UED68" s="153">
        <v>75</v>
      </c>
      <c r="UEE68" s="152">
        <v>150</v>
      </c>
      <c r="UEF68" s="154">
        <f>SUM(UEA68:UEE68)</f>
        <v>8675</v>
      </c>
      <c r="UEG68" s="152">
        <v>200</v>
      </c>
      <c r="UEH68" s="154">
        <f>SUM(UEF68:UEG68)</f>
        <v>8875</v>
      </c>
      <c r="UEI68" s="147" t="s">
        <v>99</v>
      </c>
      <c r="UEJ68" s="148">
        <v>45845</v>
      </c>
      <c r="UEK68" s="143" t="s">
        <v>46</v>
      </c>
      <c r="UEL68" s="199"/>
      <c r="UEM68" s="149" t="s">
        <v>125</v>
      </c>
      <c r="UEN68" s="197"/>
      <c r="UEO68" s="198"/>
      <c r="UEP68" s="143" t="s">
        <v>22</v>
      </c>
      <c r="UEQ68" s="144">
        <v>8150</v>
      </c>
      <c r="UER68" s="152">
        <v>85</v>
      </c>
      <c r="UES68" s="153">
        <v>215</v>
      </c>
      <c r="UET68" s="153">
        <v>75</v>
      </c>
      <c r="UEU68" s="152">
        <v>150</v>
      </c>
      <c r="UEV68" s="154">
        <f>SUM(UEQ68:UEU68)</f>
        <v>8675</v>
      </c>
      <c r="UEW68" s="152">
        <v>200</v>
      </c>
      <c r="UEX68" s="154">
        <f>SUM(UEV68:UEW68)</f>
        <v>8875</v>
      </c>
      <c r="UEY68" s="147" t="s">
        <v>99</v>
      </c>
      <c r="UEZ68" s="148">
        <v>45845</v>
      </c>
      <c r="UFA68" s="143" t="s">
        <v>46</v>
      </c>
      <c r="UFB68" s="199"/>
      <c r="UFC68" s="149" t="s">
        <v>125</v>
      </c>
      <c r="UFD68" s="197"/>
      <c r="UFE68" s="198"/>
      <c r="UFF68" s="143" t="s">
        <v>22</v>
      </c>
      <c r="UFG68" s="144">
        <v>8150</v>
      </c>
      <c r="UFH68" s="152">
        <v>85</v>
      </c>
      <c r="UFI68" s="153">
        <v>215</v>
      </c>
      <c r="UFJ68" s="153">
        <v>75</v>
      </c>
      <c r="UFK68" s="152">
        <v>150</v>
      </c>
      <c r="UFL68" s="154">
        <f>SUM(UFG68:UFK68)</f>
        <v>8675</v>
      </c>
      <c r="UFM68" s="152">
        <v>200</v>
      </c>
      <c r="UFN68" s="154">
        <f>SUM(UFL68:UFM68)</f>
        <v>8875</v>
      </c>
      <c r="UFO68" s="147" t="s">
        <v>99</v>
      </c>
      <c r="UFP68" s="148">
        <v>45845</v>
      </c>
      <c r="UFQ68" s="143" t="s">
        <v>46</v>
      </c>
      <c r="UFR68" s="199"/>
      <c r="UFS68" s="149" t="s">
        <v>125</v>
      </c>
      <c r="UFT68" s="197"/>
      <c r="UFU68" s="198"/>
      <c r="UFV68" s="143" t="s">
        <v>22</v>
      </c>
      <c r="UFW68" s="144">
        <v>8150</v>
      </c>
      <c r="UFX68" s="152">
        <v>85</v>
      </c>
      <c r="UFY68" s="153">
        <v>215</v>
      </c>
      <c r="UFZ68" s="153">
        <v>75</v>
      </c>
      <c r="UGA68" s="152">
        <v>150</v>
      </c>
      <c r="UGB68" s="154">
        <f>SUM(UFW68:UGA68)</f>
        <v>8675</v>
      </c>
      <c r="UGC68" s="152">
        <v>200</v>
      </c>
      <c r="UGD68" s="154">
        <f>SUM(UGB68:UGC68)</f>
        <v>8875</v>
      </c>
      <c r="UGE68" s="147" t="s">
        <v>99</v>
      </c>
      <c r="UGF68" s="148">
        <v>45845</v>
      </c>
      <c r="UGG68" s="143" t="s">
        <v>46</v>
      </c>
      <c r="UGH68" s="199"/>
      <c r="UGI68" s="149" t="s">
        <v>125</v>
      </c>
      <c r="UGJ68" s="197"/>
      <c r="UGK68" s="198"/>
      <c r="UGL68" s="143" t="s">
        <v>22</v>
      </c>
      <c r="UGM68" s="144">
        <v>8150</v>
      </c>
      <c r="UGN68" s="152">
        <v>85</v>
      </c>
      <c r="UGO68" s="153">
        <v>215</v>
      </c>
      <c r="UGP68" s="153">
        <v>75</v>
      </c>
      <c r="UGQ68" s="152">
        <v>150</v>
      </c>
      <c r="UGR68" s="154">
        <f>SUM(UGM68:UGQ68)</f>
        <v>8675</v>
      </c>
      <c r="UGS68" s="152">
        <v>200</v>
      </c>
      <c r="UGT68" s="154">
        <f>SUM(UGR68:UGS68)</f>
        <v>8875</v>
      </c>
      <c r="UGU68" s="147" t="s">
        <v>99</v>
      </c>
      <c r="UGV68" s="148">
        <v>45845</v>
      </c>
      <c r="UGW68" s="143" t="s">
        <v>46</v>
      </c>
      <c r="UGX68" s="199"/>
      <c r="UGY68" s="149" t="s">
        <v>125</v>
      </c>
      <c r="UGZ68" s="197"/>
      <c r="UHA68" s="198"/>
      <c r="UHB68" s="143" t="s">
        <v>22</v>
      </c>
      <c r="UHC68" s="144">
        <v>8150</v>
      </c>
      <c r="UHD68" s="152">
        <v>85</v>
      </c>
      <c r="UHE68" s="153">
        <v>215</v>
      </c>
      <c r="UHF68" s="153">
        <v>75</v>
      </c>
      <c r="UHG68" s="152">
        <v>150</v>
      </c>
      <c r="UHH68" s="154">
        <f>SUM(UHC68:UHG68)</f>
        <v>8675</v>
      </c>
      <c r="UHI68" s="152">
        <v>200</v>
      </c>
      <c r="UHJ68" s="154">
        <f>SUM(UHH68:UHI68)</f>
        <v>8875</v>
      </c>
      <c r="UHK68" s="147" t="s">
        <v>99</v>
      </c>
      <c r="UHL68" s="148">
        <v>45845</v>
      </c>
      <c r="UHM68" s="143" t="s">
        <v>46</v>
      </c>
      <c r="UHN68" s="199"/>
      <c r="UHO68" s="149" t="s">
        <v>125</v>
      </c>
      <c r="UHP68" s="197"/>
      <c r="UHQ68" s="198"/>
      <c r="UHR68" s="143" t="s">
        <v>22</v>
      </c>
      <c r="UHS68" s="144">
        <v>8150</v>
      </c>
      <c r="UHT68" s="152">
        <v>85</v>
      </c>
      <c r="UHU68" s="153">
        <v>215</v>
      </c>
      <c r="UHV68" s="153">
        <v>75</v>
      </c>
      <c r="UHW68" s="152">
        <v>150</v>
      </c>
      <c r="UHX68" s="154">
        <f>SUM(UHS68:UHW68)</f>
        <v>8675</v>
      </c>
      <c r="UHY68" s="152">
        <v>200</v>
      </c>
      <c r="UHZ68" s="154">
        <f>SUM(UHX68:UHY68)</f>
        <v>8875</v>
      </c>
      <c r="UIA68" s="147" t="s">
        <v>99</v>
      </c>
      <c r="UIB68" s="148">
        <v>45845</v>
      </c>
      <c r="UIC68" s="143" t="s">
        <v>46</v>
      </c>
      <c r="UID68" s="199"/>
      <c r="UIE68" s="149" t="s">
        <v>125</v>
      </c>
      <c r="UIF68" s="197"/>
      <c r="UIG68" s="198"/>
      <c r="UIH68" s="143" t="s">
        <v>22</v>
      </c>
      <c r="UII68" s="144">
        <v>8150</v>
      </c>
      <c r="UIJ68" s="152">
        <v>85</v>
      </c>
      <c r="UIK68" s="153">
        <v>215</v>
      </c>
      <c r="UIL68" s="153">
        <v>75</v>
      </c>
      <c r="UIM68" s="152">
        <v>150</v>
      </c>
      <c r="UIN68" s="154">
        <f>SUM(UII68:UIM68)</f>
        <v>8675</v>
      </c>
      <c r="UIO68" s="152">
        <v>200</v>
      </c>
      <c r="UIP68" s="154">
        <f>SUM(UIN68:UIO68)</f>
        <v>8875</v>
      </c>
      <c r="UIQ68" s="147" t="s">
        <v>99</v>
      </c>
      <c r="UIR68" s="148">
        <v>45845</v>
      </c>
      <c r="UIS68" s="143" t="s">
        <v>46</v>
      </c>
      <c r="UIT68" s="199"/>
      <c r="UIU68" s="149" t="s">
        <v>125</v>
      </c>
      <c r="UIV68" s="197"/>
      <c r="UIW68" s="198"/>
      <c r="UIX68" s="143" t="s">
        <v>22</v>
      </c>
      <c r="UIY68" s="144">
        <v>8150</v>
      </c>
      <c r="UIZ68" s="152">
        <v>85</v>
      </c>
      <c r="UJA68" s="153">
        <v>215</v>
      </c>
      <c r="UJB68" s="153">
        <v>75</v>
      </c>
      <c r="UJC68" s="152">
        <v>150</v>
      </c>
      <c r="UJD68" s="154">
        <f>SUM(UIY68:UJC68)</f>
        <v>8675</v>
      </c>
      <c r="UJE68" s="152">
        <v>200</v>
      </c>
      <c r="UJF68" s="154">
        <f>SUM(UJD68:UJE68)</f>
        <v>8875</v>
      </c>
      <c r="UJG68" s="147" t="s">
        <v>99</v>
      </c>
      <c r="UJH68" s="148">
        <v>45845</v>
      </c>
      <c r="UJI68" s="143" t="s">
        <v>46</v>
      </c>
      <c r="UJJ68" s="199"/>
      <c r="UJK68" s="149" t="s">
        <v>125</v>
      </c>
      <c r="UJL68" s="197"/>
      <c r="UJM68" s="198"/>
      <c r="UJN68" s="143" t="s">
        <v>22</v>
      </c>
      <c r="UJO68" s="144">
        <v>8150</v>
      </c>
      <c r="UJP68" s="152">
        <v>85</v>
      </c>
      <c r="UJQ68" s="153">
        <v>215</v>
      </c>
      <c r="UJR68" s="153">
        <v>75</v>
      </c>
      <c r="UJS68" s="152">
        <v>150</v>
      </c>
      <c r="UJT68" s="154">
        <f>SUM(UJO68:UJS68)</f>
        <v>8675</v>
      </c>
      <c r="UJU68" s="152">
        <v>200</v>
      </c>
      <c r="UJV68" s="154">
        <f>SUM(UJT68:UJU68)</f>
        <v>8875</v>
      </c>
      <c r="UJW68" s="147" t="s">
        <v>99</v>
      </c>
      <c r="UJX68" s="148">
        <v>45845</v>
      </c>
      <c r="UJY68" s="143" t="s">
        <v>46</v>
      </c>
      <c r="UJZ68" s="199"/>
      <c r="UKA68" s="149" t="s">
        <v>125</v>
      </c>
      <c r="UKB68" s="197"/>
      <c r="UKC68" s="198"/>
      <c r="UKD68" s="143" t="s">
        <v>22</v>
      </c>
      <c r="UKE68" s="144">
        <v>8150</v>
      </c>
      <c r="UKF68" s="152">
        <v>85</v>
      </c>
      <c r="UKG68" s="153">
        <v>215</v>
      </c>
      <c r="UKH68" s="153">
        <v>75</v>
      </c>
      <c r="UKI68" s="152">
        <v>150</v>
      </c>
      <c r="UKJ68" s="154">
        <f>SUM(UKE68:UKI68)</f>
        <v>8675</v>
      </c>
      <c r="UKK68" s="152">
        <v>200</v>
      </c>
      <c r="UKL68" s="154">
        <f>SUM(UKJ68:UKK68)</f>
        <v>8875</v>
      </c>
      <c r="UKM68" s="147" t="s">
        <v>99</v>
      </c>
      <c r="UKN68" s="148">
        <v>45845</v>
      </c>
      <c r="UKO68" s="143" t="s">
        <v>46</v>
      </c>
      <c r="UKP68" s="199"/>
      <c r="UKQ68" s="149" t="s">
        <v>125</v>
      </c>
      <c r="UKR68" s="197"/>
      <c r="UKS68" s="198"/>
      <c r="UKT68" s="143" t="s">
        <v>22</v>
      </c>
      <c r="UKU68" s="144">
        <v>8150</v>
      </c>
      <c r="UKV68" s="152">
        <v>85</v>
      </c>
      <c r="UKW68" s="153">
        <v>215</v>
      </c>
      <c r="UKX68" s="153">
        <v>75</v>
      </c>
      <c r="UKY68" s="152">
        <v>150</v>
      </c>
      <c r="UKZ68" s="154">
        <f>SUM(UKU68:UKY68)</f>
        <v>8675</v>
      </c>
      <c r="ULA68" s="152">
        <v>200</v>
      </c>
      <c r="ULB68" s="154">
        <f>SUM(UKZ68:ULA68)</f>
        <v>8875</v>
      </c>
      <c r="ULC68" s="147" t="s">
        <v>99</v>
      </c>
      <c r="ULD68" s="148">
        <v>45845</v>
      </c>
      <c r="ULE68" s="143" t="s">
        <v>46</v>
      </c>
      <c r="ULF68" s="199"/>
      <c r="ULG68" s="149" t="s">
        <v>125</v>
      </c>
      <c r="ULH68" s="197"/>
      <c r="ULI68" s="198"/>
      <c r="ULJ68" s="143" t="s">
        <v>22</v>
      </c>
      <c r="ULK68" s="144">
        <v>8150</v>
      </c>
      <c r="ULL68" s="152">
        <v>85</v>
      </c>
      <c r="ULM68" s="153">
        <v>215</v>
      </c>
      <c r="ULN68" s="153">
        <v>75</v>
      </c>
      <c r="ULO68" s="152">
        <v>150</v>
      </c>
      <c r="ULP68" s="154">
        <f>SUM(ULK68:ULO68)</f>
        <v>8675</v>
      </c>
      <c r="ULQ68" s="152">
        <v>200</v>
      </c>
      <c r="ULR68" s="154">
        <f>SUM(ULP68:ULQ68)</f>
        <v>8875</v>
      </c>
      <c r="ULS68" s="147" t="s">
        <v>99</v>
      </c>
      <c r="ULT68" s="148">
        <v>45845</v>
      </c>
      <c r="ULU68" s="143" t="s">
        <v>46</v>
      </c>
      <c r="ULV68" s="199"/>
      <c r="ULW68" s="149" t="s">
        <v>125</v>
      </c>
      <c r="ULX68" s="197"/>
      <c r="ULY68" s="198"/>
      <c r="ULZ68" s="143" t="s">
        <v>22</v>
      </c>
      <c r="UMA68" s="144">
        <v>8150</v>
      </c>
      <c r="UMB68" s="152">
        <v>85</v>
      </c>
      <c r="UMC68" s="153">
        <v>215</v>
      </c>
      <c r="UMD68" s="153">
        <v>75</v>
      </c>
      <c r="UME68" s="152">
        <v>150</v>
      </c>
      <c r="UMF68" s="154">
        <f>SUM(UMA68:UME68)</f>
        <v>8675</v>
      </c>
      <c r="UMG68" s="152">
        <v>200</v>
      </c>
      <c r="UMH68" s="154">
        <f>SUM(UMF68:UMG68)</f>
        <v>8875</v>
      </c>
      <c r="UMI68" s="147" t="s">
        <v>99</v>
      </c>
      <c r="UMJ68" s="148">
        <v>45845</v>
      </c>
      <c r="UMK68" s="143" t="s">
        <v>46</v>
      </c>
      <c r="UML68" s="199"/>
      <c r="UMM68" s="149" t="s">
        <v>125</v>
      </c>
      <c r="UMN68" s="197"/>
      <c r="UMO68" s="198"/>
      <c r="UMP68" s="143" t="s">
        <v>22</v>
      </c>
      <c r="UMQ68" s="144">
        <v>8150</v>
      </c>
      <c r="UMR68" s="152">
        <v>85</v>
      </c>
      <c r="UMS68" s="153">
        <v>215</v>
      </c>
      <c r="UMT68" s="153">
        <v>75</v>
      </c>
      <c r="UMU68" s="152">
        <v>150</v>
      </c>
      <c r="UMV68" s="154">
        <f>SUM(UMQ68:UMU68)</f>
        <v>8675</v>
      </c>
      <c r="UMW68" s="152">
        <v>200</v>
      </c>
      <c r="UMX68" s="154">
        <f>SUM(UMV68:UMW68)</f>
        <v>8875</v>
      </c>
      <c r="UMY68" s="147" t="s">
        <v>99</v>
      </c>
      <c r="UMZ68" s="148">
        <v>45845</v>
      </c>
      <c r="UNA68" s="143" t="s">
        <v>46</v>
      </c>
      <c r="UNB68" s="199"/>
      <c r="UNC68" s="149" t="s">
        <v>125</v>
      </c>
      <c r="UND68" s="197"/>
      <c r="UNE68" s="198"/>
      <c r="UNF68" s="143" t="s">
        <v>22</v>
      </c>
      <c r="UNG68" s="144">
        <v>8150</v>
      </c>
      <c r="UNH68" s="152">
        <v>85</v>
      </c>
      <c r="UNI68" s="153">
        <v>215</v>
      </c>
      <c r="UNJ68" s="153">
        <v>75</v>
      </c>
      <c r="UNK68" s="152">
        <v>150</v>
      </c>
      <c r="UNL68" s="154">
        <f>SUM(UNG68:UNK68)</f>
        <v>8675</v>
      </c>
      <c r="UNM68" s="152">
        <v>200</v>
      </c>
      <c r="UNN68" s="154">
        <f>SUM(UNL68:UNM68)</f>
        <v>8875</v>
      </c>
      <c r="UNO68" s="147" t="s">
        <v>99</v>
      </c>
      <c r="UNP68" s="148">
        <v>45845</v>
      </c>
      <c r="UNQ68" s="143" t="s">
        <v>46</v>
      </c>
      <c r="UNR68" s="199"/>
      <c r="UNS68" s="149" t="s">
        <v>125</v>
      </c>
      <c r="UNT68" s="197"/>
      <c r="UNU68" s="198"/>
      <c r="UNV68" s="143" t="s">
        <v>22</v>
      </c>
      <c r="UNW68" s="144">
        <v>8150</v>
      </c>
      <c r="UNX68" s="152">
        <v>85</v>
      </c>
      <c r="UNY68" s="153">
        <v>215</v>
      </c>
      <c r="UNZ68" s="153">
        <v>75</v>
      </c>
      <c r="UOA68" s="152">
        <v>150</v>
      </c>
      <c r="UOB68" s="154">
        <f>SUM(UNW68:UOA68)</f>
        <v>8675</v>
      </c>
      <c r="UOC68" s="152">
        <v>200</v>
      </c>
      <c r="UOD68" s="154">
        <f>SUM(UOB68:UOC68)</f>
        <v>8875</v>
      </c>
      <c r="UOE68" s="147" t="s">
        <v>99</v>
      </c>
      <c r="UOF68" s="148">
        <v>45845</v>
      </c>
      <c r="UOG68" s="143" t="s">
        <v>46</v>
      </c>
      <c r="UOH68" s="199"/>
      <c r="UOI68" s="149" t="s">
        <v>125</v>
      </c>
      <c r="UOJ68" s="197"/>
      <c r="UOK68" s="198"/>
      <c r="UOL68" s="143" t="s">
        <v>22</v>
      </c>
      <c r="UOM68" s="144">
        <v>8150</v>
      </c>
      <c r="UON68" s="152">
        <v>85</v>
      </c>
      <c r="UOO68" s="153">
        <v>215</v>
      </c>
      <c r="UOP68" s="153">
        <v>75</v>
      </c>
      <c r="UOQ68" s="152">
        <v>150</v>
      </c>
      <c r="UOR68" s="154">
        <f>SUM(UOM68:UOQ68)</f>
        <v>8675</v>
      </c>
      <c r="UOS68" s="152">
        <v>200</v>
      </c>
      <c r="UOT68" s="154">
        <f>SUM(UOR68:UOS68)</f>
        <v>8875</v>
      </c>
      <c r="UOU68" s="147" t="s">
        <v>99</v>
      </c>
      <c r="UOV68" s="148">
        <v>45845</v>
      </c>
      <c r="UOW68" s="143" t="s">
        <v>46</v>
      </c>
      <c r="UOX68" s="199"/>
      <c r="UOY68" s="149" t="s">
        <v>125</v>
      </c>
      <c r="UOZ68" s="197"/>
      <c r="UPA68" s="198"/>
      <c r="UPB68" s="143" t="s">
        <v>22</v>
      </c>
      <c r="UPC68" s="144">
        <v>8150</v>
      </c>
      <c r="UPD68" s="152">
        <v>85</v>
      </c>
      <c r="UPE68" s="153">
        <v>215</v>
      </c>
      <c r="UPF68" s="153">
        <v>75</v>
      </c>
      <c r="UPG68" s="152">
        <v>150</v>
      </c>
      <c r="UPH68" s="154">
        <f>SUM(UPC68:UPG68)</f>
        <v>8675</v>
      </c>
      <c r="UPI68" s="152">
        <v>200</v>
      </c>
      <c r="UPJ68" s="154">
        <f>SUM(UPH68:UPI68)</f>
        <v>8875</v>
      </c>
      <c r="UPK68" s="147" t="s">
        <v>99</v>
      </c>
      <c r="UPL68" s="148">
        <v>45845</v>
      </c>
      <c r="UPM68" s="143" t="s">
        <v>46</v>
      </c>
      <c r="UPN68" s="199"/>
      <c r="UPO68" s="149" t="s">
        <v>125</v>
      </c>
      <c r="UPP68" s="197"/>
      <c r="UPQ68" s="198"/>
      <c r="UPR68" s="143" t="s">
        <v>22</v>
      </c>
      <c r="UPS68" s="144">
        <v>8150</v>
      </c>
      <c r="UPT68" s="152">
        <v>85</v>
      </c>
      <c r="UPU68" s="153">
        <v>215</v>
      </c>
      <c r="UPV68" s="153">
        <v>75</v>
      </c>
      <c r="UPW68" s="152">
        <v>150</v>
      </c>
      <c r="UPX68" s="154">
        <f>SUM(UPS68:UPW68)</f>
        <v>8675</v>
      </c>
      <c r="UPY68" s="152">
        <v>200</v>
      </c>
      <c r="UPZ68" s="154">
        <f>SUM(UPX68:UPY68)</f>
        <v>8875</v>
      </c>
      <c r="UQA68" s="147" t="s">
        <v>99</v>
      </c>
      <c r="UQB68" s="148">
        <v>45845</v>
      </c>
      <c r="UQC68" s="143" t="s">
        <v>46</v>
      </c>
      <c r="UQD68" s="199"/>
      <c r="UQE68" s="149" t="s">
        <v>125</v>
      </c>
      <c r="UQF68" s="197"/>
      <c r="UQG68" s="198"/>
      <c r="UQH68" s="143" t="s">
        <v>22</v>
      </c>
      <c r="UQI68" s="144">
        <v>8150</v>
      </c>
      <c r="UQJ68" s="152">
        <v>85</v>
      </c>
      <c r="UQK68" s="153">
        <v>215</v>
      </c>
      <c r="UQL68" s="153">
        <v>75</v>
      </c>
      <c r="UQM68" s="152">
        <v>150</v>
      </c>
      <c r="UQN68" s="154">
        <f>SUM(UQI68:UQM68)</f>
        <v>8675</v>
      </c>
      <c r="UQO68" s="152">
        <v>200</v>
      </c>
      <c r="UQP68" s="154">
        <f>SUM(UQN68:UQO68)</f>
        <v>8875</v>
      </c>
      <c r="UQQ68" s="147" t="s">
        <v>99</v>
      </c>
      <c r="UQR68" s="148">
        <v>45845</v>
      </c>
      <c r="UQS68" s="143" t="s">
        <v>46</v>
      </c>
      <c r="UQT68" s="199"/>
      <c r="UQU68" s="149" t="s">
        <v>125</v>
      </c>
      <c r="UQV68" s="197"/>
      <c r="UQW68" s="198"/>
      <c r="UQX68" s="143" t="s">
        <v>22</v>
      </c>
      <c r="UQY68" s="144">
        <v>8150</v>
      </c>
      <c r="UQZ68" s="152">
        <v>85</v>
      </c>
      <c r="URA68" s="153">
        <v>215</v>
      </c>
      <c r="URB68" s="153">
        <v>75</v>
      </c>
      <c r="URC68" s="152">
        <v>150</v>
      </c>
      <c r="URD68" s="154">
        <f>SUM(UQY68:URC68)</f>
        <v>8675</v>
      </c>
      <c r="URE68" s="152">
        <v>200</v>
      </c>
      <c r="URF68" s="154">
        <f>SUM(URD68:URE68)</f>
        <v>8875</v>
      </c>
      <c r="URG68" s="147" t="s">
        <v>99</v>
      </c>
      <c r="URH68" s="148">
        <v>45845</v>
      </c>
      <c r="URI68" s="143" t="s">
        <v>46</v>
      </c>
      <c r="URJ68" s="199"/>
      <c r="URK68" s="149" t="s">
        <v>125</v>
      </c>
      <c r="URL68" s="197"/>
      <c r="URM68" s="198"/>
      <c r="URN68" s="143" t="s">
        <v>22</v>
      </c>
      <c r="URO68" s="144">
        <v>8150</v>
      </c>
      <c r="URP68" s="152">
        <v>85</v>
      </c>
      <c r="URQ68" s="153">
        <v>215</v>
      </c>
      <c r="URR68" s="153">
        <v>75</v>
      </c>
      <c r="URS68" s="152">
        <v>150</v>
      </c>
      <c r="URT68" s="154">
        <f>SUM(URO68:URS68)</f>
        <v>8675</v>
      </c>
      <c r="URU68" s="152">
        <v>200</v>
      </c>
      <c r="URV68" s="154">
        <f>SUM(URT68:URU68)</f>
        <v>8875</v>
      </c>
      <c r="URW68" s="147" t="s">
        <v>99</v>
      </c>
      <c r="URX68" s="148">
        <v>45845</v>
      </c>
      <c r="URY68" s="143" t="s">
        <v>46</v>
      </c>
      <c r="URZ68" s="199"/>
      <c r="USA68" s="149" t="s">
        <v>125</v>
      </c>
      <c r="USB68" s="197"/>
      <c r="USC68" s="198"/>
      <c r="USD68" s="143" t="s">
        <v>22</v>
      </c>
      <c r="USE68" s="144">
        <v>8150</v>
      </c>
      <c r="USF68" s="152">
        <v>85</v>
      </c>
      <c r="USG68" s="153">
        <v>215</v>
      </c>
      <c r="USH68" s="153">
        <v>75</v>
      </c>
      <c r="USI68" s="152">
        <v>150</v>
      </c>
      <c r="USJ68" s="154">
        <f>SUM(USE68:USI68)</f>
        <v>8675</v>
      </c>
      <c r="USK68" s="152">
        <v>200</v>
      </c>
      <c r="USL68" s="154">
        <f>SUM(USJ68:USK68)</f>
        <v>8875</v>
      </c>
      <c r="USM68" s="147" t="s">
        <v>99</v>
      </c>
      <c r="USN68" s="148">
        <v>45845</v>
      </c>
      <c r="USO68" s="143" t="s">
        <v>46</v>
      </c>
      <c r="USP68" s="199"/>
      <c r="USQ68" s="149" t="s">
        <v>125</v>
      </c>
      <c r="USR68" s="197"/>
      <c r="USS68" s="198"/>
      <c r="UST68" s="143" t="s">
        <v>22</v>
      </c>
      <c r="USU68" s="144">
        <v>8150</v>
      </c>
      <c r="USV68" s="152">
        <v>85</v>
      </c>
      <c r="USW68" s="153">
        <v>215</v>
      </c>
      <c r="USX68" s="153">
        <v>75</v>
      </c>
      <c r="USY68" s="152">
        <v>150</v>
      </c>
      <c r="USZ68" s="154">
        <f>SUM(USU68:USY68)</f>
        <v>8675</v>
      </c>
      <c r="UTA68" s="152">
        <v>200</v>
      </c>
      <c r="UTB68" s="154">
        <f>SUM(USZ68:UTA68)</f>
        <v>8875</v>
      </c>
      <c r="UTC68" s="147" t="s">
        <v>99</v>
      </c>
      <c r="UTD68" s="148">
        <v>45845</v>
      </c>
      <c r="UTE68" s="143" t="s">
        <v>46</v>
      </c>
      <c r="UTF68" s="199"/>
      <c r="UTG68" s="149" t="s">
        <v>125</v>
      </c>
      <c r="UTH68" s="197"/>
      <c r="UTI68" s="198"/>
      <c r="UTJ68" s="143" t="s">
        <v>22</v>
      </c>
      <c r="UTK68" s="144">
        <v>8150</v>
      </c>
      <c r="UTL68" s="152">
        <v>85</v>
      </c>
      <c r="UTM68" s="153">
        <v>215</v>
      </c>
      <c r="UTN68" s="153">
        <v>75</v>
      </c>
      <c r="UTO68" s="152">
        <v>150</v>
      </c>
      <c r="UTP68" s="154">
        <f>SUM(UTK68:UTO68)</f>
        <v>8675</v>
      </c>
      <c r="UTQ68" s="152">
        <v>200</v>
      </c>
      <c r="UTR68" s="154">
        <f>SUM(UTP68:UTQ68)</f>
        <v>8875</v>
      </c>
      <c r="UTS68" s="147" t="s">
        <v>99</v>
      </c>
      <c r="UTT68" s="148">
        <v>45845</v>
      </c>
      <c r="UTU68" s="143" t="s">
        <v>46</v>
      </c>
      <c r="UTV68" s="199"/>
      <c r="UTW68" s="149" t="s">
        <v>125</v>
      </c>
      <c r="UTX68" s="197"/>
      <c r="UTY68" s="198"/>
      <c r="UTZ68" s="143" t="s">
        <v>22</v>
      </c>
      <c r="UUA68" s="144">
        <v>8150</v>
      </c>
      <c r="UUB68" s="152">
        <v>85</v>
      </c>
      <c r="UUC68" s="153">
        <v>215</v>
      </c>
      <c r="UUD68" s="153">
        <v>75</v>
      </c>
      <c r="UUE68" s="152">
        <v>150</v>
      </c>
      <c r="UUF68" s="154">
        <f>SUM(UUA68:UUE68)</f>
        <v>8675</v>
      </c>
      <c r="UUG68" s="152">
        <v>200</v>
      </c>
      <c r="UUH68" s="154">
        <f>SUM(UUF68:UUG68)</f>
        <v>8875</v>
      </c>
      <c r="UUI68" s="147" t="s">
        <v>99</v>
      </c>
      <c r="UUJ68" s="148">
        <v>45845</v>
      </c>
      <c r="UUK68" s="143" t="s">
        <v>46</v>
      </c>
      <c r="UUL68" s="199"/>
      <c r="UUM68" s="149" t="s">
        <v>125</v>
      </c>
      <c r="UUN68" s="197"/>
      <c r="UUO68" s="198"/>
      <c r="UUP68" s="143" t="s">
        <v>22</v>
      </c>
      <c r="UUQ68" s="144">
        <v>8150</v>
      </c>
      <c r="UUR68" s="152">
        <v>85</v>
      </c>
      <c r="UUS68" s="153">
        <v>215</v>
      </c>
      <c r="UUT68" s="153">
        <v>75</v>
      </c>
      <c r="UUU68" s="152">
        <v>150</v>
      </c>
      <c r="UUV68" s="154">
        <f>SUM(UUQ68:UUU68)</f>
        <v>8675</v>
      </c>
      <c r="UUW68" s="152">
        <v>200</v>
      </c>
      <c r="UUX68" s="154">
        <f>SUM(UUV68:UUW68)</f>
        <v>8875</v>
      </c>
      <c r="UUY68" s="147" t="s">
        <v>99</v>
      </c>
      <c r="UUZ68" s="148">
        <v>45845</v>
      </c>
      <c r="UVA68" s="143" t="s">
        <v>46</v>
      </c>
      <c r="UVB68" s="199"/>
      <c r="UVC68" s="149" t="s">
        <v>125</v>
      </c>
      <c r="UVD68" s="197"/>
      <c r="UVE68" s="198"/>
      <c r="UVF68" s="143" t="s">
        <v>22</v>
      </c>
      <c r="UVG68" s="144">
        <v>8150</v>
      </c>
      <c r="UVH68" s="152">
        <v>85</v>
      </c>
      <c r="UVI68" s="153">
        <v>215</v>
      </c>
      <c r="UVJ68" s="153">
        <v>75</v>
      </c>
      <c r="UVK68" s="152">
        <v>150</v>
      </c>
      <c r="UVL68" s="154">
        <f>SUM(UVG68:UVK68)</f>
        <v>8675</v>
      </c>
      <c r="UVM68" s="152">
        <v>200</v>
      </c>
      <c r="UVN68" s="154">
        <f>SUM(UVL68:UVM68)</f>
        <v>8875</v>
      </c>
      <c r="UVO68" s="147" t="s">
        <v>99</v>
      </c>
      <c r="UVP68" s="148">
        <v>45845</v>
      </c>
      <c r="UVQ68" s="143" t="s">
        <v>46</v>
      </c>
      <c r="UVR68" s="199"/>
      <c r="UVS68" s="149" t="s">
        <v>125</v>
      </c>
      <c r="UVT68" s="197"/>
      <c r="UVU68" s="198"/>
      <c r="UVV68" s="143" t="s">
        <v>22</v>
      </c>
      <c r="UVW68" s="144">
        <v>8150</v>
      </c>
      <c r="UVX68" s="152">
        <v>85</v>
      </c>
      <c r="UVY68" s="153">
        <v>215</v>
      </c>
      <c r="UVZ68" s="153">
        <v>75</v>
      </c>
      <c r="UWA68" s="152">
        <v>150</v>
      </c>
      <c r="UWB68" s="154">
        <f>SUM(UVW68:UWA68)</f>
        <v>8675</v>
      </c>
      <c r="UWC68" s="152">
        <v>200</v>
      </c>
      <c r="UWD68" s="154">
        <f>SUM(UWB68:UWC68)</f>
        <v>8875</v>
      </c>
      <c r="UWE68" s="147" t="s">
        <v>99</v>
      </c>
      <c r="UWF68" s="148">
        <v>45845</v>
      </c>
      <c r="UWG68" s="143" t="s">
        <v>46</v>
      </c>
      <c r="UWH68" s="199"/>
      <c r="UWI68" s="149" t="s">
        <v>125</v>
      </c>
      <c r="UWJ68" s="197"/>
      <c r="UWK68" s="198"/>
      <c r="UWL68" s="143" t="s">
        <v>22</v>
      </c>
      <c r="UWM68" s="144">
        <v>8150</v>
      </c>
      <c r="UWN68" s="152">
        <v>85</v>
      </c>
      <c r="UWO68" s="153">
        <v>215</v>
      </c>
      <c r="UWP68" s="153">
        <v>75</v>
      </c>
      <c r="UWQ68" s="152">
        <v>150</v>
      </c>
      <c r="UWR68" s="154">
        <f>SUM(UWM68:UWQ68)</f>
        <v>8675</v>
      </c>
      <c r="UWS68" s="152">
        <v>200</v>
      </c>
      <c r="UWT68" s="154">
        <f>SUM(UWR68:UWS68)</f>
        <v>8875</v>
      </c>
      <c r="UWU68" s="147" t="s">
        <v>99</v>
      </c>
      <c r="UWV68" s="148">
        <v>45845</v>
      </c>
      <c r="UWW68" s="143" t="s">
        <v>46</v>
      </c>
      <c r="UWX68" s="199"/>
      <c r="UWY68" s="149" t="s">
        <v>125</v>
      </c>
      <c r="UWZ68" s="197"/>
      <c r="UXA68" s="198"/>
      <c r="UXB68" s="143" t="s">
        <v>22</v>
      </c>
      <c r="UXC68" s="144">
        <v>8150</v>
      </c>
      <c r="UXD68" s="152">
        <v>85</v>
      </c>
      <c r="UXE68" s="153">
        <v>215</v>
      </c>
      <c r="UXF68" s="153">
        <v>75</v>
      </c>
      <c r="UXG68" s="152">
        <v>150</v>
      </c>
      <c r="UXH68" s="154">
        <f>SUM(UXC68:UXG68)</f>
        <v>8675</v>
      </c>
      <c r="UXI68" s="152">
        <v>200</v>
      </c>
      <c r="UXJ68" s="154">
        <f>SUM(UXH68:UXI68)</f>
        <v>8875</v>
      </c>
      <c r="UXK68" s="147" t="s">
        <v>99</v>
      </c>
      <c r="UXL68" s="148">
        <v>45845</v>
      </c>
      <c r="UXM68" s="143" t="s">
        <v>46</v>
      </c>
      <c r="UXN68" s="199"/>
      <c r="UXO68" s="149" t="s">
        <v>125</v>
      </c>
      <c r="UXP68" s="197"/>
      <c r="UXQ68" s="198"/>
      <c r="UXR68" s="143" t="s">
        <v>22</v>
      </c>
      <c r="UXS68" s="144">
        <v>8150</v>
      </c>
      <c r="UXT68" s="152">
        <v>85</v>
      </c>
      <c r="UXU68" s="153">
        <v>215</v>
      </c>
      <c r="UXV68" s="153">
        <v>75</v>
      </c>
      <c r="UXW68" s="152">
        <v>150</v>
      </c>
      <c r="UXX68" s="154">
        <f>SUM(UXS68:UXW68)</f>
        <v>8675</v>
      </c>
      <c r="UXY68" s="152">
        <v>200</v>
      </c>
      <c r="UXZ68" s="154">
        <f>SUM(UXX68:UXY68)</f>
        <v>8875</v>
      </c>
      <c r="UYA68" s="147" t="s">
        <v>99</v>
      </c>
      <c r="UYB68" s="148">
        <v>45845</v>
      </c>
      <c r="UYC68" s="143" t="s">
        <v>46</v>
      </c>
      <c r="UYD68" s="199"/>
      <c r="UYE68" s="149" t="s">
        <v>125</v>
      </c>
      <c r="UYF68" s="197"/>
      <c r="UYG68" s="198"/>
      <c r="UYH68" s="143" t="s">
        <v>22</v>
      </c>
      <c r="UYI68" s="144">
        <v>8150</v>
      </c>
      <c r="UYJ68" s="152">
        <v>85</v>
      </c>
      <c r="UYK68" s="153">
        <v>215</v>
      </c>
      <c r="UYL68" s="153">
        <v>75</v>
      </c>
      <c r="UYM68" s="152">
        <v>150</v>
      </c>
      <c r="UYN68" s="154">
        <f>SUM(UYI68:UYM68)</f>
        <v>8675</v>
      </c>
      <c r="UYO68" s="152">
        <v>200</v>
      </c>
      <c r="UYP68" s="154">
        <f>SUM(UYN68:UYO68)</f>
        <v>8875</v>
      </c>
      <c r="UYQ68" s="147" t="s">
        <v>99</v>
      </c>
      <c r="UYR68" s="148">
        <v>45845</v>
      </c>
      <c r="UYS68" s="143" t="s">
        <v>46</v>
      </c>
      <c r="UYT68" s="199"/>
      <c r="UYU68" s="149" t="s">
        <v>125</v>
      </c>
      <c r="UYV68" s="197"/>
      <c r="UYW68" s="198"/>
      <c r="UYX68" s="143" t="s">
        <v>22</v>
      </c>
      <c r="UYY68" s="144">
        <v>8150</v>
      </c>
      <c r="UYZ68" s="152">
        <v>85</v>
      </c>
      <c r="UZA68" s="153">
        <v>215</v>
      </c>
      <c r="UZB68" s="153">
        <v>75</v>
      </c>
      <c r="UZC68" s="152">
        <v>150</v>
      </c>
      <c r="UZD68" s="154">
        <f>SUM(UYY68:UZC68)</f>
        <v>8675</v>
      </c>
      <c r="UZE68" s="152">
        <v>200</v>
      </c>
      <c r="UZF68" s="154">
        <f>SUM(UZD68:UZE68)</f>
        <v>8875</v>
      </c>
      <c r="UZG68" s="147" t="s">
        <v>99</v>
      </c>
      <c r="UZH68" s="148">
        <v>45845</v>
      </c>
      <c r="UZI68" s="143" t="s">
        <v>46</v>
      </c>
      <c r="UZJ68" s="199"/>
      <c r="UZK68" s="149" t="s">
        <v>125</v>
      </c>
      <c r="UZL68" s="197"/>
      <c r="UZM68" s="198"/>
      <c r="UZN68" s="143" t="s">
        <v>22</v>
      </c>
      <c r="UZO68" s="144">
        <v>8150</v>
      </c>
      <c r="UZP68" s="152">
        <v>85</v>
      </c>
      <c r="UZQ68" s="153">
        <v>215</v>
      </c>
      <c r="UZR68" s="153">
        <v>75</v>
      </c>
      <c r="UZS68" s="152">
        <v>150</v>
      </c>
      <c r="UZT68" s="154">
        <f>SUM(UZO68:UZS68)</f>
        <v>8675</v>
      </c>
      <c r="UZU68" s="152">
        <v>200</v>
      </c>
      <c r="UZV68" s="154">
        <f>SUM(UZT68:UZU68)</f>
        <v>8875</v>
      </c>
      <c r="UZW68" s="147" t="s">
        <v>99</v>
      </c>
      <c r="UZX68" s="148">
        <v>45845</v>
      </c>
      <c r="UZY68" s="143" t="s">
        <v>46</v>
      </c>
      <c r="UZZ68" s="199"/>
      <c r="VAA68" s="149" t="s">
        <v>125</v>
      </c>
      <c r="VAB68" s="197"/>
      <c r="VAC68" s="198"/>
      <c r="VAD68" s="143" t="s">
        <v>22</v>
      </c>
      <c r="VAE68" s="144">
        <v>8150</v>
      </c>
      <c r="VAF68" s="152">
        <v>85</v>
      </c>
      <c r="VAG68" s="153">
        <v>215</v>
      </c>
      <c r="VAH68" s="153">
        <v>75</v>
      </c>
      <c r="VAI68" s="152">
        <v>150</v>
      </c>
      <c r="VAJ68" s="154">
        <f>SUM(VAE68:VAI68)</f>
        <v>8675</v>
      </c>
      <c r="VAK68" s="152">
        <v>200</v>
      </c>
      <c r="VAL68" s="154">
        <f>SUM(VAJ68:VAK68)</f>
        <v>8875</v>
      </c>
      <c r="VAM68" s="147" t="s">
        <v>99</v>
      </c>
      <c r="VAN68" s="148">
        <v>45845</v>
      </c>
      <c r="VAO68" s="143" t="s">
        <v>46</v>
      </c>
      <c r="VAP68" s="199"/>
      <c r="VAQ68" s="149" t="s">
        <v>125</v>
      </c>
      <c r="VAR68" s="197"/>
      <c r="VAS68" s="198"/>
      <c r="VAT68" s="143" t="s">
        <v>22</v>
      </c>
      <c r="VAU68" s="144">
        <v>8150</v>
      </c>
      <c r="VAV68" s="152">
        <v>85</v>
      </c>
      <c r="VAW68" s="153">
        <v>215</v>
      </c>
      <c r="VAX68" s="153">
        <v>75</v>
      </c>
      <c r="VAY68" s="152">
        <v>150</v>
      </c>
      <c r="VAZ68" s="154">
        <f>SUM(VAU68:VAY68)</f>
        <v>8675</v>
      </c>
      <c r="VBA68" s="152">
        <v>200</v>
      </c>
      <c r="VBB68" s="154">
        <f>SUM(VAZ68:VBA68)</f>
        <v>8875</v>
      </c>
      <c r="VBC68" s="147" t="s">
        <v>99</v>
      </c>
      <c r="VBD68" s="148">
        <v>45845</v>
      </c>
      <c r="VBE68" s="143" t="s">
        <v>46</v>
      </c>
      <c r="VBF68" s="199"/>
      <c r="VBG68" s="149" t="s">
        <v>125</v>
      </c>
      <c r="VBH68" s="197"/>
      <c r="VBI68" s="198"/>
      <c r="VBJ68" s="143" t="s">
        <v>22</v>
      </c>
      <c r="VBK68" s="144">
        <v>8150</v>
      </c>
      <c r="VBL68" s="152">
        <v>85</v>
      </c>
      <c r="VBM68" s="153">
        <v>215</v>
      </c>
      <c r="VBN68" s="153">
        <v>75</v>
      </c>
      <c r="VBO68" s="152">
        <v>150</v>
      </c>
      <c r="VBP68" s="154">
        <f>SUM(VBK68:VBO68)</f>
        <v>8675</v>
      </c>
      <c r="VBQ68" s="152">
        <v>200</v>
      </c>
      <c r="VBR68" s="154">
        <f>SUM(VBP68:VBQ68)</f>
        <v>8875</v>
      </c>
      <c r="VBS68" s="147" t="s">
        <v>99</v>
      </c>
      <c r="VBT68" s="148">
        <v>45845</v>
      </c>
      <c r="VBU68" s="143" t="s">
        <v>46</v>
      </c>
      <c r="VBV68" s="199"/>
      <c r="VBW68" s="149" t="s">
        <v>125</v>
      </c>
      <c r="VBX68" s="197"/>
      <c r="VBY68" s="198"/>
      <c r="VBZ68" s="143" t="s">
        <v>22</v>
      </c>
      <c r="VCA68" s="144">
        <v>8150</v>
      </c>
      <c r="VCB68" s="152">
        <v>85</v>
      </c>
      <c r="VCC68" s="153">
        <v>215</v>
      </c>
      <c r="VCD68" s="153">
        <v>75</v>
      </c>
      <c r="VCE68" s="152">
        <v>150</v>
      </c>
      <c r="VCF68" s="154">
        <f>SUM(VCA68:VCE68)</f>
        <v>8675</v>
      </c>
      <c r="VCG68" s="152">
        <v>200</v>
      </c>
      <c r="VCH68" s="154">
        <f>SUM(VCF68:VCG68)</f>
        <v>8875</v>
      </c>
      <c r="VCI68" s="147" t="s">
        <v>99</v>
      </c>
      <c r="VCJ68" s="148">
        <v>45845</v>
      </c>
      <c r="VCK68" s="143" t="s">
        <v>46</v>
      </c>
      <c r="VCL68" s="199"/>
      <c r="VCM68" s="149" t="s">
        <v>125</v>
      </c>
      <c r="VCN68" s="197"/>
      <c r="VCO68" s="198"/>
      <c r="VCP68" s="143" t="s">
        <v>22</v>
      </c>
      <c r="VCQ68" s="144">
        <v>8150</v>
      </c>
      <c r="VCR68" s="152">
        <v>85</v>
      </c>
      <c r="VCS68" s="153">
        <v>215</v>
      </c>
      <c r="VCT68" s="153">
        <v>75</v>
      </c>
      <c r="VCU68" s="152">
        <v>150</v>
      </c>
      <c r="VCV68" s="154">
        <f>SUM(VCQ68:VCU68)</f>
        <v>8675</v>
      </c>
      <c r="VCW68" s="152">
        <v>200</v>
      </c>
      <c r="VCX68" s="154">
        <f>SUM(VCV68:VCW68)</f>
        <v>8875</v>
      </c>
      <c r="VCY68" s="147" t="s">
        <v>99</v>
      </c>
      <c r="VCZ68" s="148">
        <v>45845</v>
      </c>
      <c r="VDA68" s="143" t="s">
        <v>46</v>
      </c>
      <c r="VDB68" s="199"/>
      <c r="VDC68" s="149" t="s">
        <v>125</v>
      </c>
      <c r="VDD68" s="197"/>
      <c r="VDE68" s="198"/>
      <c r="VDF68" s="143" t="s">
        <v>22</v>
      </c>
      <c r="VDG68" s="144">
        <v>8150</v>
      </c>
      <c r="VDH68" s="152">
        <v>85</v>
      </c>
      <c r="VDI68" s="153">
        <v>215</v>
      </c>
      <c r="VDJ68" s="153">
        <v>75</v>
      </c>
      <c r="VDK68" s="152">
        <v>150</v>
      </c>
      <c r="VDL68" s="154">
        <f>SUM(VDG68:VDK68)</f>
        <v>8675</v>
      </c>
      <c r="VDM68" s="152">
        <v>200</v>
      </c>
      <c r="VDN68" s="154">
        <f>SUM(VDL68:VDM68)</f>
        <v>8875</v>
      </c>
      <c r="VDO68" s="147" t="s">
        <v>99</v>
      </c>
      <c r="VDP68" s="148">
        <v>45845</v>
      </c>
      <c r="VDQ68" s="143" t="s">
        <v>46</v>
      </c>
      <c r="VDR68" s="199"/>
      <c r="VDS68" s="149" t="s">
        <v>125</v>
      </c>
      <c r="VDT68" s="197"/>
      <c r="VDU68" s="198"/>
      <c r="VDV68" s="143" t="s">
        <v>22</v>
      </c>
      <c r="VDW68" s="144">
        <v>8150</v>
      </c>
      <c r="VDX68" s="152">
        <v>85</v>
      </c>
      <c r="VDY68" s="153">
        <v>215</v>
      </c>
      <c r="VDZ68" s="153">
        <v>75</v>
      </c>
      <c r="VEA68" s="152">
        <v>150</v>
      </c>
      <c r="VEB68" s="154">
        <f>SUM(VDW68:VEA68)</f>
        <v>8675</v>
      </c>
      <c r="VEC68" s="152">
        <v>200</v>
      </c>
      <c r="VED68" s="154">
        <f>SUM(VEB68:VEC68)</f>
        <v>8875</v>
      </c>
      <c r="VEE68" s="147" t="s">
        <v>99</v>
      </c>
      <c r="VEF68" s="148">
        <v>45845</v>
      </c>
      <c r="VEG68" s="143" t="s">
        <v>46</v>
      </c>
      <c r="VEH68" s="199"/>
      <c r="VEI68" s="149" t="s">
        <v>125</v>
      </c>
      <c r="VEJ68" s="197"/>
      <c r="VEK68" s="198"/>
      <c r="VEL68" s="143" t="s">
        <v>22</v>
      </c>
      <c r="VEM68" s="144">
        <v>8150</v>
      </c>
      <c r="VEN68" s="152">
        <v>85</v>
      </c>
      <c r="VEO68" s="153">
        <v>215</v>
      </c>
      <c r="VEP68" s="153">
        <v>75</v>
      </c>
      <c r="VEQ68" s="152">
        <v>150</v>
      </c>
      <c r="VER68" s="154">
        <f>SUM(VEM68:VEQ68)</f>
        <v>8675</v>
      </c>
      <c r="VES68" s="152">
        <v>200</v>
      </c>
      <c r="VET68" s="154">
        <f>SUM(VER68:VES68)</f>
        <v>8875</v>
      </c>
      <c r="VEU68" s="147" t="s">
        <v>99</v>
      </c>
      <c r="VEV68" s="148">
        <v>45845</v>
      </c>
      <c r="VEW68" s="143" t="s">
        <v>46</v>
      </c>
      <c r="VEX68" s="199"/>
      <c r="VEY68" s="149" t="s">
        <v>125</v>
      </c>
      <c r="VEZ68" s="197"/>
      <c r="VFA68" s="198"/>
      <c r="VFB68" s="143" t="s">
        <v>22</v>
      </c>
      <c r="VFC68" s="144">
        <v>8150</v>
      </c>
      <c r="VFD68" s="152">
        <v>85</v>
      </c>
      <c r="VFE68" s="153">
        <v>215</v>
      </c>
      <c r="VFF68" s="153">
        <v>75</v>
      </c>
      <c r="VFG68" s="152">
        <v>150</v>
      </c>
      <c r="VFH68" s="154">
        <f>SUM(VFC68:VFG68)</f>
        <v>8675</v>
      </c>
      <c r="VFI68" s="152">
        <v>200</v>
      </c>
      <c r="VFJ68" s="154">
        <f>SUM(VFH68:VFI68)</f>
        <v>8875</v>
      </c>
      <c r="VFK68" s="147" t="s">
        <v>99</v>
      </c>
      <c r="VFL68" s="148">
        <v>45845</v>
      </c>
      <c r="VFM68" s="143" t="s">
        <v>46</v>
      </c>
      <c r="VFN68" s="199"/>
      <c r="VFO68" s="149" t="s">
        <v>125</v>
      </c>
      <c r="VFP68" s="197"/>
      <c r="VFQ68" s="198"/>
      <c r="VFR68" s="143" t="s">
        <v>22</v>
      </c>
      <c r="VFS68" s="144">
        <v>8150</v>
      </c>
      <c r="VFT68" s="152">
        <v>85</v>
      </c>
      <c r="VFU68" s="153">
        <v>215</v>
      </c>
      <c r="VFV68" s="153">
        <v>75</v>
      </c>
      <c r="VFW68" s="152">
        <v>150</v>
      </c>
      <c r="VFX68" s="154">
        <f>SUM(VFS68:VFW68)</f>
        <v>8675</v>
      </c>
      <c r="VFY68" s="152">
        <v>200</v>
      </c>
      <c r="VFZ68" s="154">
        <f>SUM(VFX68:VFY68)</f>
        <v>8875</v>
      </c>
      <c r="VGA68" s="147" t="s">
        <v>99</v>
      </c>
      <c r="VGB68" s="148">
        <v>45845</v>
      </c>
      <c r="VGC68" s="143" t="s">
        <v>46</v>
      </c>
      <c r="VGD68" s="199"/>
      <c r="VGE68" s="149" t="s">
        <v>125</v>
      </c>
      <c r="VGF68" s="197"/>
      <c r="VGG68" s="198"/>
      <c r="VGH68" s="143" t="s">
        <v>22</v>
      </c>
      <c r="VGI68" s="144">
        <v>8150</v>
      </c>
      <c r="VGJ68" s="152">
        <v>85</v>
      </c>
      <c r="VGK68" s="153">
        <v>215</v>
      </c>
      <c r="VGL68" s="153">
        <v>75</v>
      </c>
      <c r="VGM68" s="152">
        <v>150</v>
      </c>
      <c r="VGN68" s="154">
        <f>SUM(VGI68:VGM68)</f>
        <v>8675</v>
      </c>
      <c r="VGO68" s="152">
        <v>200</v>
      </c>
      <c r="VGP68" s="154">
        <f>SUM(VGN68:VGO68)</f>
        <v>8875</v>
      </c>
      <c r="VGQ68" s="147" t="s">
        <v>99</v>
      </c>
      <c r="VGR68" s="148">
        <v>45845</v>
      </c>
      <c r="VGS68" s="143" t="s">
        <v>46</v>
      </c>
      <c r="VGT68" s="199"/>
      <c r="VGU68" s="149" t="s">
        <v>125</v>
      </c>
      <c r="VGV68" s="197"/>
      <c r="VGW68" s="198"/>
      <c r="VGX68" s="143" t="s">
        <v>22</v>
      </c>
      <c r="VGY68" s="144">
        <v>8150</v>
      </c>
      <c r="VGZ68" s="152">
        <v>85</v>
      </c>
      <c r="VHA68" s="153">
        <v>215</v>
      </c>
      <c r="VHB68" s="153">
        <v>75</v>
      </c>
    </row>
    <row r="69" spans="2:62 3072:12198 12789:15082" ht="15" thickBot="1" x14ac:dyDescent="0.35">
      <c r="B69" s="312"/>
      <c r="C69" s="208" t="s">
        <v>113</v>
      </c>
      <c r="D69" s="144" t="s">
        <v>22</v>
      </c>
      <c r="E69" s="145">
        <f>CEILING((((10900+297+50+85)*1.12)- 85)-150,50)</f>
        <v>12500</v>
      </c>
      <c r="F69" s="145">
        <v>85</v>
      </c>
      <c r="G69" s="145">
        <v>215</v>
      </c>
      <c r="H69" s="145">
        <v>75</v>
      </c>
      <c r="I69" s="145">
        <v>150</v>
      </c>
      <c r="J69" s="204">
        <f t="shared" si="8"/>
        <v>13025</v>
      </c>
      <c r="K69" s="145">
        <v>200</v>
      </c>
      <c r="L69" s="204">
        <f t="shared" si="9"/>
        <v>13225</v>
      </c>
      <c r="M69" s="147" t="s">
        <v>99</v>
      </c>
      <c r="N69" s="210" t="s">
        <v>57</v>
      </c>
      <c r="O69" s="205" t="s">
        <v>46</v>
      </c>
      <c r="P69" s="314"/>
      <c r="Q69" s="149" t="s">
        <v>125</v>
      </c>
      <c r="R69" s="172"/>
      <c r="S69" s="165"/>
      <c r="T69" s="166"/>
      <c r="U69" s="167"/>
      <c r="V69" s="166"/>
      <c r="W69" s="168"/>
      <c r="X69" s="166"/>
      <c r="Y69" s="168"/>
      <c r="Z69" s="169"/>
      <c r="AA69" s="170"/>
      <c r="AB69" s="164"/>
      <c r="AC69" s="171"/>
      <c r="AD69" s="174"/>
      <c r="AE69" s="155"/>
      <c r="AF69" s="163"/>
      <c r="AG69"/>
      <c r="AH69" s="156"/>
      <c r="AI69" s="157"/>
      <c r="AJ69" s="158"/>
      <c r="AK69" s="158"/>
      <c r="AL69" s="157"/>
      <c r="AM69" s="159"/>
      <c r="AN69" s="157"/>
      <c r="AO69" s="159"/>
      <c r="AP69" s="160"/>
      <c r="AQ69" s="161"/>
      <c r="AR69"/>
      <c r="AS69" s="162"/>
      <c r="AT69"/>
      <c r="AU69" s="155"/>
      <c r="AV69" s="163"/>
      <c r="AW69"/>
      <c r="AX69" s="156"/>
      <c r="AY69" s="157"/>
      <c r="AZ69" s="158"/>
      <c r="BA69" s="158"/>
      <c r="BB69" s="157"/>
      <c r="BC69" s="159"/>
      <c r="BD69" s="157"/>
      <c r="BE69" s="159"/>
      <c r="BF69" s="160"/>
      <c r="BG69" s="161"/>
      <c r="BH69"/>
      <c r="BI69" s="162"/>
      <c r="BJ69"/>
      <c r="DND69" s="161"/>
      <c r="DNE69"/>
      <c r="DNF69" s="162"/>
      <c r="DNG69"/>
      <c r="DNH69" s="155"/>
      <c r="DNI69" s="163"/>
      <c r="DNJ69"/>
      <c r="DNK69" s="156"/>
      <c r="DNL69" s="157"/>
      <c r="DNM69" s="158"/>
      <c r="DNN69" s="158"/>
      <c r="DNO69" s="157"/>
      <c r="DNP69" s="159"/>
      <c r="DNQ69" s="157"/>
      <c r="DNR69" s="159"/>
      <c r="DNS69" s="160"/>
      <c r="DNT69" s="161"/>
      <c r="DNU69"/>
      <c r="DNV69" s="162"/>
      <c r="DNW69"/>
      <c r="DNX69" s="155"/>
      <c r="DNY69" s="163"/>
      <c r="DNZ69"/>
      <c r="DOA69" s="156"/>
      <c r="DOB69" s="157"/>
      <c r="DOC69" s="158"/>
      <c r="DOD69" s="158"/>
      <c r="DOE69" s="157"/>
      <c r="DOF69" s="159"/>
      <c r="DOG69" s="157"/>
      <c r="DOH69" s="159"/>
      <c r="DOI69" s="160"/>
      <c r="DOJ69" s="161"/>
      <c r="DOK69"/>
      <c r="DOL69" s="162"/>
      <c r="DOM69"/>
      <c r="DON69" s="155"/>
      <c r="DOO69" s="163"/>
      <c r="DOP69"/>
      <c r="DOQ69" s="156"/>
      <c r="DOR69" s="157"/>
      <c r="DOS69" s="158"/>
      <c r="DOT69" s="158"/>
      <c r="DOU69" s="157"/>
      <c r="DOV69" s="159"/>
      <c r="DOW69" s="157"/>
      <c r="DOX69" s="159"/>
      <c r="DOY69" s="160"/>
      <c r="DOZ69" s="161"/>
      <c r="DPA69"/>
      <c r="DPB69" s="162"/>
      <c r="DPC69"/>
      <c r="DPD69" s="155"/>
      <c r="DPE69" s="163"/>
      <c r="DPF69"/>
      <c r="DPG69" s="156"/>
      <c r="DPH69" s="157"/>
      <c r="DPI69" s="158"/>
      <c r="DPJ69" s="158"/>
      <c r="DPK69" s="157"/>
      <c r="DPL69" s="159"/>
      <c r="DPM69" s="157"/>
      <c r="DPN69" s="159"/>
      <c r="DPO69" s="160"/>
      <c r="DPP69" s="161"/>
      <c r="DPQ69"/>
      <c r="DPR69" s="162"/>
      <c r="DPS69"/>
      <c r="DPT69" s="155"/>
      <c r="DPU69" s="163"/>
      <c r="DPV69"/>
      <c r="DPW69" s="156"/>
      <c r="DPX69" s="157"/>
      <c r="DPY69" s="158"/>
      <c r="DPZ69" s="158"/>
      <c r="DQA69" s="157"/>
      <c r="DQB69" s="159"/>
      <c r="DQC69" s="157"/>
      <c r="DQD69" s="159"/>
      <c r="DQE69" s="160"/>
      <c r="DQF69" s="161"/>
      <c r="DQG69"/>
      <c r="DQH69" s="162"/>
      <c r="DQI69"/>
      <c r="DQJ69" s="155"/>
      <c r="DQK69" s="163"/>
      <c r="DQL69"/>
      <c r="DQM69" s="156"/>
      <c r="DQN69" s="157"/>
      <c r="DQO69" s="158"/>
      <c r="DQP69" s="158"/>
      <c r="DQQ69" s="157"/>
      <c r="DQR69" s="159"/>
      <c r="DQS69" s="157"/>
      <c r="DQT69" s="159"/>
      <c r="DQU69" s="160"/>
      <c r="DQV69" s="161"/>
      <c r="DQW69"/>
      <c r="DQX69" s="162"/>
      <c r="DQY69"/>
      <c r="DQZ69" s="155"/>
      <c r="DRA69" s="163"/>
      <c r="DRB69"/>
      <c r="DRC69" s="156"/>
      <c r="DRD69" s="157"/>
      <c r="DRE69" s="158"/>
      <c r="DRF69" s="158"/>
      <c r="DRG69" s="157"/>
      <c r="DRH69" s="159"/>
      <c r="DRI69" s="157"/>
      <c r="DRJ69" s="159"/>
      <c r="DRK69" s="160"/>
      <c r="DRL69" s="161"/>
      <c r="DRM69"/>
      <c r="DRN69" s="162"/>
      <c r="DRO69"/>
      <c r="DRP69" s="155"/>
      <c r="DRQ69" s="163"/>
      <c r="DRR69"/>
      <c r="DRS69" s="156"/>
      <c r="DRT69" s="157"/>
      <c r="DRU69" s="158"/>
      <c r="DRV69" s="158"/>
      <c r="DRW69" s="157"/>
      <c r="DRX69" s="159"/>
      <c r="DRY69" s="157"/>
      <c r="DRZ69" s="159"/>
      <c r="DSA69" s="160"/>
      <c r="DSB69" s="161"/>
      <c r="DSC69"/>
      <c r="DSD69" s="162"/>
      <c r="DSE69"/>
      <c r="DSF69" s="155"/>
      <c r="DSG69" s="163"/>
      <c r="DSH69"/>
      <c r="DSI69" s="156"/>
      <c r="DSJ69" s="157"/>
      <c r="DSK69" s="158"/>
      <c r="DSL69" s="158"/>
      <c r="DSM69" s="157"/>
      <c r="DSN69" s="159"/>
      <c r="DSO69" s="157"/>
      <c r="DSP69" s="159"/>
      <c r="DSQ69" s="160"/>
      <c r="DSR69" s="161"/>
      <c r="DSS69"/>
      <c r="DST69" s="162"/>
      <c r="DSU69"/>
      <c r="DSV69" s="155"/>
      <c r="DSW69" s="163"/>
      <c r="DSX69"/>
      <c r="DSY69" s="156"/>
      <c r="DSZ69" s="157"/>
      <c r="DTA69" s="158"/>
      <c r="DTB69" s="158"/>
      <c r="DTC69" s="157"/>
      <c r="DTD69" s="159"/>
      <c r="DTE69" s="157"/>
      <c r="DTF69" s="159"/>
      <c r="DTG69" s="160"/>
      <c r="DTH69" s="161"/>
      <c r="DTI69"/>
      <c r="DTJ69" s="162"/>
      <c r="DTK69"/>
      <c r="DTL69" s="155"/>
      <c r="DTM69" s="163"/>
      <c r="DTN69"/>
      <c r="DTO69" s="156"/>
      <c r="DTP69" s="157"/>
      <c r="DTQ69" s="158"/>
      <c r="DTR69" s="158"/>
      <c r="DTS69" s="157"/>
      <c r="DTT69" s="159"/>
      <c r="DTU69" s="157"/>
      <c r="DTV69" s="159"/>
      <c r="DTW69" s="160"/>
      <c r="DTX69" s="161"/>
      <c r="DTY69"/>
      <c r="DTZ69" s="162"/>
      <c r="DUA69"/>
      <c r="DUB69" s="155"/>
      <c r="DUC69" s="163"/>
      <c r="DUD69"/>
      <c r="DUE69" s="156"/>
      <c r="DUF69" s="157"/>
      <c r="DUG69" s="158"/>
      <c r="DUH69" s="158"/>
      <c r="DUI69" s="157"/>
      <c r="DUJ69" s="159"/>
      <c r="DUK69" s="157"/>
      <c r="DUL69" s="159"/>
      <c r="DUM69" s="160"/>
      <c r="DUN69" s="161"/>
      <c r="DUO69"/>
      <c r="DUP69" s="162"/>
      <c r="DUQ69"/>
      <c r="DUR69" s="155"/>
      <c r="DUS69" s="163"/>
      <c r="DUT69"/>
      <c r="DUU69" s="156"/>
      <c r="DUV69" s="157"/>
      <c r="DUW69" s="158"/>
      <c r="DUX69" s="158"/>
      <c r="DUY69" s="157"/>
      <c r="DUZ69" s="159"/>
      <c r="DVA69" s="157"/>
      <c r="DVB69" s="159"/>
      <c r="DVC69" s="160"/>
      <c r="DVD69" s="161"/>
      <c r="DVE69"/>
      <c r="DVF69" s="162"/>
      <c r="DVG69"/>
      <c r="DVH69" s="155"/>
      <c r="DVI69" s="163"/>
      <c r="DVJ69"/>
      <c r="DVK69" s="156"/>
      <c r="DVL69" s="157"/>
      <c r="DVM69" s="158"/>
      <c r="DVN69" s="158"/>
      <c r="DVO69" s="157"/>
      <c r="DVP69" s="159"/>
      <c r="DVQ69" s="157"/>
      <c r="DVR69" s="159"/>
      <c r="DVS69" s="160"/>
      <c r="DVT69" s="161"/>
      <c r="DVU69"/>
      <c r="DVV69" s="162"/>
      <c r="DVW69"/>
      <c r="DVX69" s="155"/>
      <c r="DVY69" s="163"/>
      <c r="DVZ69"/>
      <c r="DWA69" s="156"/>
      <c r="DWB69" s="157"/>
      <c r="DWC69" s="158"/>
      <c r="DWD69" s="158"/>
      <c r="DWE69" s="157"/>
      <c r="DWF69" s="159"/>
      <c r="DWG69" s="157"/>
      <c r="DWH69" s="159"/>
      <c r="DWI69" s="160"/>
      <c r="DWJ69" s="161"/>
      <c r="DWK69"/>
      <c r="DWL69" s="162"/>
      <c r="DWM69"/>
      <c r="DWN69" s="155"/>
      <c r="DWO69" s="163"/>
      <c r="DWP69"/>
      <c r="DWQ69" s="156"/>
      <c r="DWR69" s="157"/>
      <c r="DWS69" s="158"/>
      <c r="DWT69" s="158"/>
      <c r="DWU69" s="157"/>
      <c r="DWV69" s="159"/>
      <c r="DWW69" s="157"/>
      <c r="DWX69" s="159"/>
      <c r="DWY69" s="160"/>
      <c r="DWZ69" s="161"/>
      <c r="DXA69"/>
      <c r="DXB69" s="162"/>
      <c r="DXC69"/>
      <c r="DXD69" s="155"/>
      <c r="DXE69" s="163"/>
      <c r="DXF69"/>
      <c r="DXG69" s="156"/>
      <c r="DXH69" s="157"/>
      <c r="DXI69" s="158"/>
      <c r="DXJ69" s="158"/>
      <c r="DXK69" s="157"/>
      <c r="DXL69" s="159"/>
      <c r="DXM69" s="157"/>
      <c r="DXN69" s="159"/>
      <c r="DXO69" s="160"/>
      <c r="DXP69" s="161"/>
      <c r="DXQ69"/>
      <c r="DXR69" s="162"/>
      <c r="DXS69"/>
      <c r="DXT69" s="155"/>
      <c r="DXU69" s="163"/>
      <c r="DXV69"/>
      <c r="DXW69" s="156"/>
      <c r="DXX69" s="157"/>
      <c r="DXY69" s="158"/>
      <c r="DXZ69" s="158"/>
      <c r="DYA69" s="157"/>
      <c r="DYB69" s="159"/>
      <c r="DYC69" s="157"/>
      <c r="DYD69" s="159"/>
      <c r="DYE69" s="160"/>
      <c r="DYF69" s="161"/>
      <c r="DYG69"/>
      <c r="DYH69" s="162"/>
      <c r="DYI69"/>
      <c r="DYJ69" s="155"/>
      <c r="DYK69" s="163"/>
      <c r="DYL69"/>
      <c r="DYM69" s="156"/>
      <c r="DYN69" s="157"/>
      <c r="DYO69" s="158"/>
      <c r="DYP69" s="158"/>
      <c r="DYQ69" s="157"/>
      <c r="DYR69" s="159"/>
      <c r="DYS69" s="157"/>
      <c r="DYT69" s="159"/>
      <c r="DYU69" s="160"/>
      <c r="DYV69" s="161"/>
      <c r="DYW69"/>
      <c r="DYX69" s="162"/>
      <c r="DYY69"/>
      <c r="DYZ69" s="155"/>
      <c r="DZA69" s="163"/>
      <c r="DZB69"/>
      <c r="DZC69" s="156"/>
      <c r="DZD69" s="157"/>
      <c r="DZE69" s="158"/>
      <c r="DZF69" s="158"/>
      <c r="DZG69" s="157"/>
      <c r="DZH69" s="159"/>
      <c r="DZI69" s="157"/>
      <c r="DZJ69" s="159"/>
      <c r="DZK69" s="160"/>
      <c r="DZL69" s="161"/>
      <c r="DZM69"/>
      <c r="DZN69" s="162"/>
      <c r="DZO69"/>
      <c r="DZP69" s="155"/>
      <c r="DZQ69" s="163"/>
      <c r="DZR69"/>
      <c r="DZS69" s="156"/>
      <c r="DZT69" s="157"/>
      <c r="DZU69" s="158"/>
      <c r="DZV69" s="158"/>
      <c r="DZW69" s="157"/>
      <c r="DZX69" s="159"/>
      <c r="DZY69" s="157"/>
      <c r="DZZ69" s="159"/>
      <c r="EAA69" s="160"/>
      <c r="EAB69" s="161"/>
      <c r="EAC69"/>
      <c r="EAD69" s="162"/>
      <c r="EAE69"/>
      <c r="EAF69" s="155"/>
      <c r="EAG69" s="163"/>
      <c r="EAH69"/>
      <c r="EAI69" s="156"/>
      <c r="EAJ69" s="157"/>
      <c r="EAK69" s="158"/>
      <c r="EAL69" s="158"/>
      <c r="EAM69" s="157"/>
      <c r="EAN69" s="159"/>
      <c r="EAO69" s="157"/>
      <c r="EAP69" s="159"/>
      <c r="EAQ69" s="160"/>
      <c r="EAR69" s="161"/>
      <c r="EAS69"/>
      <c r="EAT69" s="162"/>
      <c r="EAU69"/>
      <c r="EAV69" s="155"/>
      <c r="EAW69" s="163"/>
      <c r="EAX69"/>
      <c r="EAY69" s="156"/>
      <c r="EAZ69" s="157"/>
      <c r="EBA69" s="158"/>
      <c r="EBB69" s="158"/>
      <c r="EBC69" s="157"/>
      <c r="EBD69" s="159"/>
      <c r="EBE69" s="157"/>
      <c r="EBF69" s="159"/>
      <c r="EBG69" s="160"/>
      <c r="EBH69" s="161"/>
      <c r="EBI69"/>
      <c r="EBJ69" s="162"/>
      <c r="EBK69"/>
      <c r="EBL69" s="155"/>
      <c r="EBM69" s="163"/>
      <c r="EBN69"/>
      <c r="EBO69" s="156"/>
      <c r="EBP69" s="157"/>
      <c r="EBQ69" s="158"/>
      <c r="EBR69" s="158"/>
      <c r="EBS69" s="157"/>
      <c r="EBT69" s="159"/>
      <c r="EBU69" s="157"/>
      <c r="EBV69" s="159"/>
      <c r="EBW69" s="160"/>
      <c r="EBX69" s="161"/>
      <c r="EBY69"/>
      <c r="EBZ69" s="162"/>
      <c r="ECA69"/>
      <c r="ECB69" s="155"/>
      <c r="ECC69" s="163"/>
      <c r="ECD69"/>
      <c r="ECE69" s="156"/>
      <c r="ECF69" s="157"/>
      <c r="ECG69" s="158"/>
      <c r="ECH69" s="158"/>
      <c r="ECI69" s="157"/>
      <c r="ECJ69" s="159"/>
      <c r="ECK69" s="157"/>
      <c r="ECL69" s="159"/>
      <c r="ECM69" s="160"/>
      <c r="ECN69" s="161"/>
      <c r="ECO69"/>
      <c r="ECP69" s="162"/>
      <c r="ECQ69"/>
      <c r="ECR69" s="155"/>
      <c r="ECS69" s="163"/>
      <c r="ECT69"/>
      <c r="ECU69" s="156"/>
      <c r="ECV69" s="157"/>
      <c r="ECW69" s="158"/>
      <c r="ECX69" s="158"/>
      <c r="ECY69" s="157"/>
      <c r="ECZ69" s="159"/>
      <c r="EDA69" s="157"/>
      <c r="EDB69" s="159"/>
      <c r="EDC69" s="160"/>
      <c r="EDD69" s="161"/>
      <c r="EDE69"/>
      <c r="EDF69" s="162"/>
      <c r="EDG69"/>
      <c r="EDH69" s="155"/>
      <c r="EDI69" s="163"/>
      <c r="EDJ69"/>
      <c r="EDK69" s="156"/>
      <c r="EDL69" s="157"/>
      <c r="EDM69" s="158"/>
      <c r="EDN69" s="158"/>
      <c r="EDO69" s="157"/>
      <c r="EDP69" s="159"/>
      <c r="EDQ69" s="157"/>
      <c r="EDR69" s="159"/>
      <c r="EDS69" s="160"/>
      <c r="EDT69" s="161"/>
      <c r="EDU69"/>
      <c r="EDV69" s="162"/>
      <c r="EDW69"/>
      <c r="EDX69" s="155"/>
      <c r="EDY69" s="163"/>
      <c r="EDZ69"/>
      <c r="EEA69" s="156"/>
      <c r="EEB69" s="157"/>
      <c r="EEC69" s="158"/>
      <c r="EED69" s="158"/>
      <c r="EEE69" s="157"/>
      <c r="EEF69" s="159"/>
      <c r="EEG69" s="157"/>
      <c r="EEH69" s="159"/>
      <c r="EEI69" s="160"/>
      <c r="EEJ69" s="161"/>
      <c r="EEK69"/>
      <c r="EEL69" s="162"/>
      <c r="EEM69"/>
      <c r="EEN69" s="155"/>
      <c r="EEO69" s="163"/>
      <c r="EEP69"/>
      <c r="EEQ69" s="156"/>
      <c r="EER69" s="157"/>
      <c r="EES69" s="158"/>
      <c r="EET69" s="158"/>
      <c r="EEU69" s="157"/>
      <c r="EEV69" s="159"/>
      <c r="EEW69" s="157"/>
      <c r="EEX69" s="159"/>
      <c r="EEY69" s="160"/>
      <c r="EEZ69" s="161"/>
      <c r="EFA69"/>
      <c r="EFB69" s="162"/>
      <c r="EFC69"/>
      <c r="EFD69" s="155"/>
      <c r="EFE69" s="163"/>
      <c r="EFF69"/>
      <c r="EFG69" s="156"/>
      <c r="EFH69" s="157"/>
      <c r="EFI69" s="158"/>
      <c r="EFJ69" s="158"/>
      <c r="EFK69" s="157"/>
      <c r="EFL69" s="159"/>
      <c r="EFM69" s="157"/>
      <c r="EFN69" s="159"/>
      <c r="EFO69" s="160"/>
      <c r="EFP69" s="161"/>
      <c r="EFQ69"/>
      <c r="EFR69" s="162"/>
      <c r="EFS69"/>
      <c r="EFT69" s="155"/>
      <c r="EFU69" s="163"/>
      <c r="EFV69"/>
      <c r="EFW69" s="156"/>
      <c r="EFX69" s="157"/>
      <c r="EFY69" s="158"/>
      <c r="EFZ69" s="158"/>
      <c r="EGA69" s="157"/>
      <c r="EGB69" s="159"/>
      <c r="EGC69" s="157"/>
      <c r="EGD69" s="159"/>
      <c r="EGE69" s="160"/>
      <c r="EGF69" s="161"/>
      <c r="EGG69"/>
      <c r="EGH69" s="162"/>
      <c r="EGI69"/>
      <c r="EGJ69" s="155"/>
      <c r="EGK69" s="163"/>
      <c r="EGL69"/>
      <c r="EGM69" s="156"/>
      <c r="EGN69" s="157"/>
      <c r="EGO69" s="158"/>
      <c r="EGP69" s="158"/>
      <c r="EGQ69" s="157"/>
      <c r="EGR69" s="159"/>
      <c r="EGS69" s="157"/>
      <c r="EGT69" s="159"/>
      <c r="EGU69" s="160"/>
      <c r="EGV69" s="161"/>
      <c r="EGW69"/>
      <c r="EGX69" s="162"/>
      <c r="EGY69"/>
      <c r="EGZ69" s="155"/>
      <c r="EHA69" s="163"/>
      <c r="EHB69"/>
      <c r="EHC69" s="156"/>
      <c r="EHD69" s="157"/>
      <c r="EHE69" s="158"/>
      <c r="EHF69" s="158"/>
      <c r="EHG69" s="157"/>
      <c r="EHH69" s="159"/>
      <c r="EHI69" s="157"/>
      <c r="EHJ69" s="159"/>
      <c r="EHK69" s="160"/>
      <c r="EHL69" s="161"/>
      <c r="EHM69"/>
      <c r="EHN69" s="162"/>
      <c r="EHO69"/>
      <c r="EHP69" s="155"/>
      <c r="EHQ69" s="163"/>
      <c r="EHR69"/>
      <c r="EHS69" s="156"/>
      <c r="EHT69" s="157"/>
      <c r="EHU69" s="158"/>
      <c r="EHV69" s="158"/>
      <c r="EHW69" s="157"/>
      <c r="EHX69" s="159"/>
      <c r="EHY69" s="157"/>
      <c r="EHZ69" s="159"/>
      <c r="EIA69" s="160"/>
      <c r="EIB69" s="161"/>
      <c r="EIC69"/>
      <c r="EID69" s="162"/>
      <c r="EIE69"/>
      <c r="EIF69" s="155"/>
      <c r="EIG69" s="163"/>
      <c r="EIH69"/>
      <c r="EII69" s="156"/>
      <c r="EIJ69" s="157"/>
      <c r="EIK69" s="158"/>
      <c r="EIL69" s="158"/>
      <c r="EIM69" s="157"/>
      <c r="EIN69" s="159"/>
      <c r="EIO69" s="157"/>
      <c r="EIP69" s="159"/>
      <c r="EIQ69" s="160"/>
      <c r="EIR69" s="161"/>
      <c r="EIS69"/>
      <c r="EIT69" s="162"/>
      <c r="EIU69"/>
      <c r="EIV69" s="155"/>
      <c r="EIW69" s="163"/>
      <c r="EIX69"/>
      <c r="EIY69" s="156"/>
      <c r="EIZ69" s="157"/>
      <c r="EJA69" s="158"/>
      <c r="EJB69" s="158"/>
      <c r="EJC69" s="157"/>
      <c r="EJD69" s="159"/>
      <c r="EJE69" s="157"/>
      <c r="EJF69" s="159"/>
      <c r="EJG69" s="160"/>
      <c r="EJH69" s="161"/>
      <c r="EJI69"/>
      <c r="EJJ69" s="162"/>
      <c r="EJK69"/>
      <c r="EJL69" s="155"/>
      <c r="EJM69" s="163"/>
      <c r="EJN69"/>
      <c r="EJO69" s="156"/>
      <c r="EJP69" s="157"/>
      <c r="EJQ69" s="158"/>
      <c r="EJR69" s="158"/>
      <c r="EJS69" s="157"/>
      <c r="EJT69" s="159"/>
      <c r="EJU69" s="157"/>
      <c r="EJV69" s="159"/>
      <c r="EJW69" s="160"/>
      <c r="EJX69" s="161"/>
      <c r="EJY69"/>
      <c r="EJZ69" s="162"/>
      <c r="EKA69"/>
      <c r="EKB69" s="155"/>
      <c r="EKC69" s="163"/>
      <c r="EKD69"/>
      <c r="EKE69" s="156"/>
      <c r="EKF69" s="157"/>
      <c r="EKG69" s="158"/>
      <c r="EKH69" s="158"/>
      <c r="EKI69" s="157"/>
      <c r="EKJ69" s="159"/>
      <c r="EKK69" s="157"/>
      <c r="EKL69" s="159"/>
      <c r="EKM69" s="160"/>
      <c r="EKN69" s="161"/>
      <c r="EKO69"/>
      <c r="EKP69" s="162"/>
      <c r="EKQ69"/>
      <c r="EKR69" s="155"/>
      <c r="EKS69" s="163"/>
      <c r="EKT69"/>
      <c r="EKU69" s="156"/>
      <c r="EKV69" s="157"/>
      <c r="EKW69" s="158"/>
      <c r="EKX69" s="158"/>
      <c r="EKY69" s="157"/>
      <c r="EKZ69" s="159"/>
      <c r="ELA69" s="157"/>
      <c r="ELB69" s="159"/>
      <c r="ELC69" s="160"/>
      <c r="ELD69" s="161"/>
      <c r="ELE69"/>
      <c r="ELF69" s="162"/>
      <c r="ELG69"/>
      <c r="ELH69" s="155"/>
      <c r="ELI69" s="163"/>
      <c r="ELJ69"/>
      <c r="ELK69" s="156"/>
      <c r="ELL69" s="157"/>
      <c r="ELM69" s="158"/>
      <c r="ELN69" s="158"/>
      <c r="ELO69" s="157"/>
      <c r="ELP69" s="159"/>
      <c r="ELQ69" s="157"/>
      <c r="ELR69" s="159"/>
      <c r="ELS69" s="160"/>
      <c r="ELT69" s="161"/>
      <c r="ELU69"/>
      <c r="ELV69" s="162"/>
      <c r="ELW69"/>
      <c r="ELX69" s="155"/>
      <c r="ELY69" s="163"/>
      <c r="ELZ69"/>
      <c r="EMA69" s="156"/>
      <c r="EMB69" s="157"/>
      <c r="EMC69" s="158"/>
      <c r="EMD69" s="158"/>
      <c r="EME69" s="157"/>
      <c r="EMF69" s="159"/>
      <c r="EMG69" s="157"/>
      <c r="EMH69" s="159"/>
      <c r="EMI69" s="160"/>
      <c r="EMJ69" s="161"/>
      <c r="EMK69"/>
      <c r="EML69" s="162"/>
      <c r="EMM69"/>
      <c r="EMN69" s="155"/>
      <c r="EMO69" s="163"/>
      <c r="EMP69"/>
      <c r="EMQ69" s="156"/>
      <c r="EMR69" s="157"/>
      <c r="EMS69" s="158"/>
      <c r="EMT69" s="158"/>
      <c r="EMU69" s="157"/>
      <c r="EMV69" s="159"/>
      <c r="EMW69" s="157"/>
      <c r="EMX69" s="159"/>
      <c r="EMY69" s="160"/>
      <c r="EMZ69" s="161"/>
      <c r="ENA69"/>
      <c r="ENB69" s="162"/>
      <c r="ENC69"/>
      <c r="END69" s="155"/>
      <c r="ENE69" s="163"/>
      <c r="ENF69"/>
      <c r="ENG69" s="156"/>
      <c r="ENH69" s="157"/>
      <c r="ENI69" s="158"/>
      <c r="ENJ69" s="158"/>
      <c r="ENK69" s="157"/>
      <c r="ENL69" s="159"/>
      <c r="ENM69" s="157"/>
      <c r="ENN69" s="159"/>
      <c r="ENO69" s="160"/>
      <c r="ENP69" s="161"/>
      <c r="ENQ69"/>
      <c r="ENR69" s="162"/>
      <c r="ENS69"/>
      <c r="ENT69" s="155"/>
      <c r="ENU69" s="163"/>
      <c r="ENV69"/>
      <c r="ENW69" s="156"/>
      <c r="ENX69" s="157"/>
      <c r="ENY69" s="158"/>
      <c r="ENZ69" s="158"/>
      <c r="EOA69" s="157"/>
      <c r="EOB69" s="159"/>
      <c r="EOC69" s="157"/>
      <c r="EOD69" s="159"/>
      <c r="EOE69" s="160"/>
      <c r="EOF69" s="161"/>
      <c r="EOG69"/>
      <c r="EOH69" s="162"/>
      <c r="EOI69"/>
      <c r="EOJ69" s="155"/>
      <c r="EOK69" s="163"/>
      <c r="EOL69"/>
      <c r="EOM69" s="156"/>
      <c r="EON69" s="157"/>
      <c r="EOO69" s="158"/>
      <c r="EOP69" s="158"/>
      <c r="EOQ69" s="157"/>
      <c r="EOR69" s="159"/>
      <c r="EOS69" s="157"/>
      <c r="EOT69" s="159"/>
      <c r="EOU69" s="160"/>
      <c r="EOV69" s="161"/>
      <c r="EOW69"/>
      <c r="EOX69" s="162"/>
      <c r="EOY69"/>
      <c r="EOZ69" s="155"/>
      <c r="EPA69" s="163"/>
      <c r="EPB69"/>
      <c r="EPC69" s="156"/>
      <c r="EPD69" s="157"/>
      <c r="EPE69" s="158"/>
      <c r="EPF69" s="158"/>
      <c r="EPG69" s="157"/>
      <c r="EPH69" s="159"/>
      <c r="EPI69" s="157"/>
      <c r="EPJ69" s="159"/>
      <c r="EPK69" s="160"/>
      <c r="EPL69" s="161"/>
      <c r="EPM69"/>
      <c r="EPN69" s="162"/>
      <c r="EPO69"/>
      <c r="EPP69" s="155"/>
      <c r="EPQ69" s="163"/>
      <c r="EPR69"/>
      <c r="EPS69" s="156"/>
      <c r="EPT69" s="157"/>
      <c r="EPU69" s="158"/>
      <c r="EPV69" s="158"/>
      <c r="EPW69" s="157"/>
      <c r="EPX69" s="159"/>
      <c r="EPY69" s="157"/>
      <c r="EPZ69" s="159"/>
      <c r="EQA69" s="160"/>
      <c r="EQB69" s="161"/>
      <c r="EQC69"/>
      <c r="EQD69" s="162"/>
      <c r="EQE69"/>
      <c r="EQF69" s="155"/>
      <c r="EQG69" s="163"/>
      <c r="EQH69"/>
      <c r="EQI69" s="156"/>
      <c r="EQJ69" s="157"/>
      <c r="EQK69" s="158"/>
      <c r="EQL69" s="158"/>
      <c r="EQM69" s="157"/>
      <c r="EQN69" s="159"/>
      <c r="EQO69" s="157"/>
      <c r="EQP69" s="159"/>
      <c r="EQQ69" s="160"/>
      <c r="EQR69" s="161"/>
      <c r="EQS69"/>
      <c r="EQT69" s="162"/>
      <c r="EQU69"/>
      <c r="EQV69" s="155"/>
      <c r="EQW69" s="163"/>
      <c r="EQX69"/>
      <c r="EQY69" s="156"/>
      <c r="EQZ69" s="157"/>
      <c r="ERA69" s="158"/>
      <c r="ERB69" s="158"/>
      <c r="ERC69" s="157"/>
      <c r="ERD69" s="159"/>
      <c r="ERE69" s="157"/>
      <c r="ERF69" s="159"/>
      <c r="ERG69" s="160"/>
      <c r="ERH69" s="161"/>
      <c r="ERI69"/>
      <c r="ERJ69" s="162"/>
      <c r="ERK69"/>
      <c r="ERL69" s="155"/>
      <c r="ERM69" s="163"/>
      <c r="ERN69"/>
      <c r="ERO69" s="156"/>
      <c r="ERP69" s="157"/>
      <c r="ERQ69" s="158"/>
      <c r="ERR69" s="158"/>
      <c r="ERS69" s="157"/>
      <c r="ERT69" s="159"/>
      <c r="ERU69" s="157"/>
      <c r="ERV69" s="159"/>
      <c r="ERW69" s="160"/>
      <c r="ERX69" s="161"/>
      <c r="ERY69"/>
      <c r="ERZ69" s="162"/>
      <c r="ESA69"/>
      <c r="ESB69" s="155"/>
      <c r="ESC69" s="163"/>
      <c r="ESD69"/>
      <c r="ESE69" s="156"/>
      <c r="ESF69" s="157"/>
      <c r="ESG69" s="158"/>
      <c r="ESH69" s="158"/>
      <c r="ESI69" s="157"/>
      <c r="ESJ69" s="159"/>
      <c r="ESK69" s="157"/>
      <c r="ESL69" s="159"/>
      <c r="ESM69" s="160"/>
      <c r="ESN69" s="161"/>
      <c r="ESO69"/>
      <c r="ESP69" s="162"/>
      <c r="ESQ69"/>
      <c r="ESR69" s="155"/>
      <c r="ESS69" s="163"/>
      <c r="EST69"/>
      <c r="ESU69" s="156"/>
      <c r="ESV69" s="157"/>
      <c r="ESW69" s="158"/>
      <c r="ESX69" s="158"/>
      <c r="ESY69" s="157"/>
      <c r="ESZ69" s="159"/>
      <c r="ETA69" s="157"/>
      <c r="ETB69" s="159"/>
      <c r="ETC69" s="160"/>
      <c r="ETD69" s="161"/>
      <c r="ETE69"/>
      <c r="ETF69" s="162"/>
      <c r="ETG69"/>
      <c r="ETH69" s="155"/>
      <c r="ETI69" s="163"/>
      <c r="ETJ69"/>
      <c r="ETK69" s="156"/>
      <c r="ETL69" s="157"/>
      <c r="ETM69" s="158"/>
      <c r="ETN69" s="158"/>
      <c r="ETO69" s="157"/>
      <c r="ETP69" s="159"/>
      <c r="ETQ69" s="157"/>
      <c r="ETR69" s="159"/>
      <c r="ETS69" s="160"/>
      <c r="ETT69" s="161"/>
      <c r="ETU69"/>
      <c r="ETV69" s="162"/>
      <c r="ETW69"/>
      <c r="ETX69" s="155"/>
      <c r="ETY69" s="163"/>
      <c r="ETZ69"/>
      <c r="EUA69" s="156"/>
      <c r="EUB69" s="157"/>
      <c r="EUC69" s="158"/>
      <c r="EUD69" s="158"/>
      <c r="EUE69" s="157"/>
      <c r="EUF69" s="159"/>
      <c r="EUG69" s="157"/>
      <c r="EUH69" s="159"/>
      <c r="EUI69" s="160"/>
      <c r="EUJ69" s="161"/>
      <c r="EUK69"/>
      <c r="EUL69" s="162"/>
      <c r="EUM69"/>
      <c r="EUN69" s="155"/>
      <c r="EUO69" s="163"/>
      <c r="EUP69"/>
      <c r="EUQ69" s="156"/>
      <c r="EUR69" s="157"/>
      <c r="EUS69" s="158"/>
      <c r="EUT69" s="158"/>
      <c r="EUU69" s="157"/>
      <c r="EUV69" s="159"/>
      <c r="EUW69" s="157"/>
      <c r="EUX69" s="159"/>
      <c r="EUY69" s="160"/>
      <c r="EUZ69" s="161"/>
      <c r="EVA69"/>
      <c r="EVB69" s="162"/>
      <c r="EVC69"/>
      <c r="EVD69" s="155"/>
      <c r="EVE69" s="163"/>
      <c r="EVF69"/>
      <c r="EVG69" s="156"/>
      <c r="EVH69" s="157"/>
      <c r="EVI69" s="158"/>
      <c r="EVJ69" s="158"/>
      <c r="EVK69" s="157"/>
      <c r="EVL69" s="159"/>
      <c r="EVM69" s="157"/>
      <c r="EVN69" s="159"/>
      <c r="EVO69" s="160"/>
      <c r="EVP69" s="161"/>
      <c r="EVQ69"/>
      <c r="EVR69" s="162"/>
      <c r="EVS69"/>
      <c r="EVT69" s="155"/>
      <c r="EVU69" s="163"/>
      <c r="EVV69"/>
      <c r="EVW69" s="156"/>
      <c r="EVX69" s="157"/>
      <c r="EVY69" s="158"/>
      <c r="EVZ69" s="158"/>
      <c r="EWA69" s="157"/>
      <c r="EWB69" s="159"/>
      <c r="EWC69" s="157"/>
      <c r="EWD69" s="159"/>
      <c r="EWE69" s="160"/>
      <c r="EWF69" s="161"/>
      <c r="EWG69"/>
      <c r="EWH69" s="162"/>
      <c r="EWI69"/>
      <c r="EWJ69" s="155"/>
      <c r="EWK69" s="163"/>
      <c r="EWL69"/>
      <c r="EWM69" s="156"/>
      <c r="EWN69" s="157"/>
      <c r="EWO69" s="158"/>
      <c r="EWP69" s="158"/>
      <c r="EWQ69" s="157"/>
      <c r="EWR69" s="159"/>
      <c r="EWS69" s="157"/>
      <c r="EWT69" s="159"/>
      <c r="EWU69" s="160"/>
      <c r="EWV69" s="161"/>
      <c r="EWW69"/>
      <c r="EWX69" s="162"/>
      <c r="EWY69"/>
      <c r="EWZ69" s="155"/>
      <c r="EXA69" s="163"/>
      <c r="EXB69"/>
      <c r="EXC69" s="156"/>
      <c r="EXD69" s="157"/>
      <c r="EXE69" s="158"/>
      <c r="EXF69" s="158"/>
      <c r="EXG69" s="157"/>
      <c r="EXH69" s="159"/>
      <c r="EXI69" s="157"/>
      <c r="EXJ69" s="159"/>
      <c r="EXK69" s="160"/>
      <c r="EXL69" s="161"/>
      <c r="EXM69"/>
      <c r="EXN69" s="162"/>
      <c r="EXO69"/>
      <c r="EXP69" s="155"/>
      <c r="EXQ69" s="163"/>
      <c r="EXR69"/>
      <c r="EXS69" s="156"/>
      <c r="EXT69" s="157"/>
      <c r="EXU69" s="158"/>
      <c r="EXV69" s="158"/>
      <c r="EXW69" s="157"/>
      <c r="EXX69" s="159"/>
      <c r="EXY69" s="157"/>
      <c r="EXZ69" s="159"/>
      <c r="EYA69" s="160"/>
      <c r="EYB69" s="161"/>
      <c r="EYC69"/>
      <c r="EYD69" s="162"/>
      <c r="EYE69"/>
      <c r="EYF69" s="155"/>
      <c r="EYG69" s="163"/>
      <c r="EYH69"/>
      <c r="EYI69" s="156"/>
      <c r="EYJ69" s="157"/>
      <c r="EYK69" s="158"/>
      <c r="EYL69" s="158"/>
      <c r="EYM69" s="157"/>
      <c r="EYN69" s="159"/>
      <c r="EYO69" s="157"/>
      <c r="EYP69" s="159"/>
      <c r="EYQ69" s="160"/>
      <c r="EYR69" s="161"/>
      <c r="EYS69"/>
      <c r="EYT69" s="162"/>
      <c r="EYU69"/>
      <c r="EYV69" s="155"/>
      <c r="EYW69" s="163"/>
      <c r="EYX69"/>
      <c r="EYY69" s="156"/>
      <c r="EYZ69" s="157"/>
      <c r="EZA69" s="158"/>
      <c r="EZB69" s="158"/>
      <c r="EZC69" s="157"/>
      <c r="EZD69" s="159"/>
      <c r="EZE69" s="157"/>
      <c r="EZF69" s="159"/>
      <c r="EZG69" s="160"/>
      <c r="EZH69" s="161"/>
      <c r="EZI69"/>
      <c r="EZJ69" s="162"/>
      <c r="EZK69"/>
      <c r="EZL69" s="155"/>
      <c r="EZM69" s="163"/>
      <c r="EZN69"/>
      <c r="EZO69" s="156"/>
      <c r="EZP69" s="157"/>
      <c r="EZQ69" s="158"/>
      <c r="EZR69" s="158"/>
      <c r="EZS69" s="157"/>
      <c r="EZT69" s="159"/>
      <c r="EZU69" s="157"/>
      <c r="EZV69" s="159"/>
      <c r="EZW69" s="160"/>
      <c r="EZX69" s="161"/>
      <c r="EZY69"/>
      <c r="EZZ69" s="162"/>
      <c r="FAA69"/>
      <c r="FAB69" s="155"/>
      <c r="FAC69" s="163"/>
      <c r="FAD69"/>
      <c r="FAE69" s="156"/>
      <c r="FAF69" s="157"/>
      <c r="FAG69" s="158"/>
      <c r="FAH69" s="158"/>
      <c r="FAI69" s="157"/>
      <c r="FAJ69" s="159"/>
      <c r="FAK69" s="157"/>
      <c r="FAL69" s="159"/>
      <c r="FAM69" s="160"/>
      <c r="FAN69" s="161"/>
      <c r="FAO69"/>
      <c r="FAP69" s="162"/>
      <c r="FAQ69"/>
      <c r="FAR69" s="155"/>
      <c r="FAS69" s="163"/>
      <c r="FAT69"/>
      <c r="FAU69" s="156"/>
      <c r="FAV69" s="157"/>
      <c r="FAW69" s="158"/>
      <c r="FAX69" s="158"/>
      <c r="FAY69" s="157"/>
      <c r="FAZ69" s="159"/>
      <c r="FBA69" s="157"/>
      <c r="FBB69" s="159"/>
      <c r="FBC69" s="160"/>
      <c r="FBD69" s="161"/>
      <c r="FBE69"/>
      <c r="FBF69" s="162"/>
      <c r="FBG69"/>
      <c r="FBH69" s="155"/>
      <c r="FBI69" s="163"/>
      <c r="FBJ69"/>
      <c r="FBK69" s="156"/>
      <c r="FBL69" s="157"/>
      <c r="FBM69" s="158"/>
      <c r="FBN69" s="158"/>
      <c r="FBO69" s="157"/>
      <c r="FBP69" s="159"/>
      <c r="FBQ69" s="157"/>
      <c r="FBR69" s="159"/>
      <c r="FBS69" s="160"/>
      <c r="FBT69" s="161"/>
      <c r="FBU69"/>
      <c r="FBV69" s="162"/>
      <c r="FBW69"/>
      <c r="FBX69" s="155"/>
      <c r="FBY69" s="163"/>
      <c r="FBZ69"/>
      <c r="FCA69" s="156"/>
      <c r="FCB69" s="157"/>
      <c r="FCC69" s="158"/>
      <c r="FCD69" s="158"/>
      <c r="FCE69" s="157"/>
      <c r="FCF69" s="159"/>
      <c r="FCG69" s="157"/>
      <c r="FCH69" s="159"/>
      <c r="FCI69" s="160"/>
      <c r="FCJ69" s="161"/>
      <c r="FCK69"/>
      <c r="FCL69" s="162"/>
      <c r="FCM69"/>
      <c r="FCN69" s="155"/>
      <c r="FCO69" s="163"/>
      <c r="FCP69"/>
      <c r="FCQ69" s="156"/>
      <c r="FCR69" s="157"/>
      <c r="FCS69" s="158"/>
      <c r="FCT69" s="158"/>
      <c r="FCU69" s="157"/>
      <c r="FCV69" s="159"/>
      <c r="FCW69" s="157"/>
      <c r="FCX69" s="159"/>
      <c r="FCY69" s="160"/>
      <c r="FCZ69" s="161"/>
      <c r="FDA69"/>
      <c r="FDB69" s="162"/>
      <c r="FDC69"/>
      <c r="FDD69" s="155"/>
      <c r="FDE69" s="163"/>
      <c r="FDF69"/>
      <c r="FDG69" s="156"/>
      <c r="FDH69" s="157"/>
      <c r="FDI69" s="158"/>
      <c r="FDJ69" s="158"/>
      <c r="FDK69" s="157"/>
      <c r="FDL69" s="159"/>
      <c r="FDM69" s="157"/>
      <c r="FDN69" s="159"/>
      <c r="FDO69" s="160"/>
      <c r="FDP69" s="161"/>
      <c r="FDQ69"/>
      <c r="FDR69" s="162"/>
      <c r="FDS69"/>
      <c r="FDT69" s="155"/>
      <c r="FDU69" s="163"/>
      <c r="FDV69"/>
      <c r="FDW69" s="156"/>
      <c r="FDX69" s="157"/>
      <c r="FDY69" s="158"/>
      <c r="FDZ69" s="158"/>
      <c r="FEA69" s="157"/>
      <c r="FEB69" s="159"/>
      <c r="FEC69" s="157"/>
      <c r="FED69" s="159"/>
      <c r="FEE69" s="160"/>
      <c r="FEF69" s="161"/>
      <c r="FEG69"/>
      <c r="FEH69" s="162"/>
      <c r="FEI69"/>
      <c r="FEJ69" s="155"/>
      <c r="FEK69" s="163"/>
      <c r="FEL69"/>
      <c r="FEM69" s="156"/>
      <c r="FEN69" s="157"/>
      <c r="FEO69" s="158"/>
      <c r="FEP69" s="158"/>
      <c r="FEQ69" s="157"/>
      <c r="FER69" s="159"/>
      <c r="FES69" s="157"/>
      <c r="FET69" s="159"/>
      <c r="FEU69" s="160"/>
      <c r="FEV69" s="161"/>
      <c r="FEW69"/>
      <c r="FEX69" s="162"/>
      <c r="FEY69"/>
      <c r="FEZ69" s="155"/>
      <c r="FFA69" s="163"/>
      <c r="FFB69"/>
      <c r="FFC69" s="156"/>
      <c r="FFD69" s="157"/>
      <c r="FFE69" s="158"/>
      <c r="FFF69" s="158"/>
      <c r="FFG69" s="157"/>
      <c r="FFH69" s="159"/>
      <c r="FFI69" s="157"/>
      <c r="FFJ69" s="159"/>
      <c r="FFK69" s="160"/>
      <c r="FFL69" s="161"/>
      <c r="FFM69"/>
      <c r="FFN69" s="162"/>
      <c r="FFO69"/>
      <c r="FFP69" s="155"/>
      <c r="FFQ69" s="163"/>
      <c r="FFR69"/>
      <c r="FFS69" s="156"/>
      <c r="FFT69" s="157"/>
      <c r="FFU69" s="158"/>
      <c r="FFV69" s="158"/>
      <c r="FFW69" s="157"/>
      <c r="FFX69" s="159"/>
      <c r="FFY69" s="157"/>
      <c r="FFZ69" s="159"/>
      <c r="FGA69" s="160"/>
      <c r="FGB69" s="161"/>
      <c r="FGC69"/>
      <c r="FGD69" s="162"/>
      <c r="FGE69"/>
      <c r="FGF69" s="155"/>
      <c r="FGG69" s="163"/>
      <c r="FGH69"/>
      <c r="FGI69" s="156"/>
      <c r="FGJ69" s="157"/>
      <c r="FGK69" s="158"/>
      <c r="FGL69" s="158"/>
      <c r="FGM69" s="157"/>
      <c r="FGN69" s="159"/>
      <c r="FGO69" s="157"/>
      <c r="FGP69" s="159"/>
      <c r="FGQ69" s="160"/>
      <c r="FGR69" s="161"/>
      <c r="FGS69"/>
      <c r="FGT69" s="162"/>
      <c r="FGU69"/>
      <c r="FGV69" s="155"/>
      <c r="FGW69" s="163"/>
      <c r="FGX69"/>
      <c r="FGY69" s="156"/>
      <c r="FGZ69" s="157"/>
      <c r="FHA69" s="158"/>
      <c r="FHB69" s="158"/>
      <c r="FHC69" s="157"/>
      <c r="FHD69" s="159"/>
      <c r="FHE69" s="157"/>
      <c r="FHF69" s="159"/>
      <c r="FHG69" s="160"/>
      <c r="FHH69" s="161"/>
      <c r="FHI69"/>
      <c r="FHJ69" s="162"/>
      <c r="FHK69"/>
      <c r="FHL69" s="155"/>
      <c r="FHM69" s="163"/>
      <c r="FHN69"/>
      <c r="FHO69" s="156"/>
      <c r="FHP69" s="157"/>
      <c r="FHQ69" s="158"/>
      <c r="FHR69" s="158"/>
      <c r="FHS69" s="157"/>
      <c r="FHT69" s="159"/>
      <c r="FHU69" s="157"/>
      <c r="FHV69" s="159"/>
      <c r="FHW69" s="160"/>
      <c r="FHX69" s="161"/>
      <c r="FHY69"/>
      <c r="FHZ69" s="162"/>
      <c r="FIA69"/>
      <c r="FIB69" s="155"/>
      <c r="FIC69" s="163"/>
      <c r="FID69"/>
      <c r="FIE69" s="156"/>
      <c r="FIF69" s="157"/>
      <c r="FIG69" s="158"/>
      <c r="FIH69" s="158"/>
      <c r="FII69" s="157"/>
      <c r="FIJ69" s="159"/>
      <c r="FIK69" s="157"/>
      <c r="FIL69" s="159"/>
      <c r="FIM69" s="160"/>
      <c r="FIN69" s="161"/>
      <c r="FIO69"/>
      <c r="FIP69" s="162"/>
      <c r="FIQ69"/>
      <c r="FIR69" s="155"/>
      <c r="FIS69" s="163"/>
      <c r="FIT69"/>
      <c r="FIU69" s="156"/>
      <c r="FIV69" s="157"/>
      <c r="FIW69" s="158"/>
      <c r="FIX69" s="158"/>
      <c r="FIY69" s="157"/>
      <c r="FIZ69" s="159"/>
      <c r="FJA69" s="157"/>
      <c r="FJB69" s="159"/>
      <c r="FJC69" s="160"/>
      <c r="FJD69" s="161"/>
      <c r="FJE69"/>
      <c r="FJF69" s="162"/>
      <c r="FJG69"/>
      <c r="FJH69" s="155"/>
      <c r="FJI69" s="163"/>
      <c r="FJJ69"/>
      <c r="FJK69" s="156"/>
      <c r="FJL69" s="157"/>
      <c r="FJM69" s="158"/>
      <c r="FJN69" s="158"/>
      <c r="FJO69" s="157"/>
      <c r="FJP69" s="159"/>
      <c r="FJQ69" s="157"/>
      <c r="FJR69" s="159"/>
      <c r="FJS69" s="160"/>
      <c r="FJT69" s="161"/>
      <c r="FJU69"/>
      <c r="FJV69" s="162"/>
      <c r="FJW69"/>
      <c r="FJX69" s="155"/>
      <c r="FJY69" s="163"/>
      <c r="FJZ69"/>
      <c r="FKA69" s="156"/>
      <c r="FKB69" s="157"/>
      <c r="FKC69" s="158"/>
      <c r="FKD69" s="158"/>
      <c r="FKE69" s="157"/>
      <c r="FKF69" s="159"/>
      <c r="FKG69" s="157"/>
      <c r="FKH69" s="159"/>
      <c r="FKI69" s="160"/>
      <c r="FKJ69" s="161"/>
      <c r="FKK69"/>
      <c r="FKL69" s="162"/>
      <c r="FKM69"/>
      <c r="FKN69" s="155"/>
      <c r="FKO69" s="163"/>
      <c r="FKP69"/>
      <c r="FKQ69" s="156"/>
      <c r="FKR69" s="157"/>
      <c r="FKS69" s="158"/>
      <c r="FKT69" s="158"/>
      <c r="FKU69" s="157"/>
      <c r="FKV69" s="159"/>
      <c r="FKW69" s="157"/>
      <c r="FKX69" s="159"/>
      <c r="FKY69" s="160"/>
      <c r="FKZ69" s="161"/>
      <c r="FLA69"/>
      <c r="FLB69" s="162"/>
      <c r="FLC69"/>
      <c r="FLD69" s="155"/>
      <c r="FLE69" s="163"/>
      <c r="FLF69"/>
      <c r="FLG69" s="156"/>
      <c r="FLH69" s="157"/>
      <c r="FLI69" s="158"/>
      <c r="FLJ69" s="158"/>
      <c r="FLK69" s="157"/>
      <c r="FLL69" s="159"/>
      <c r="FLM69" s="157"/>
      <c r="FLN69" s="159"/>
      <c r="FLO69" s="160"/>
      <c r="FLP69" s="161"/>
      <c r="FLQ69"/>
      <c r="FLR69" s="162"/>
      <c r="FLS69"/>
      <c r="FLT69" s="155"/>
      <c r="FLU69" s="163"/>
      <c r="FLV69"/>
      <c r="FLW69" s="156"/>
      <c r="FLX69" s="157"/>
      <c r="FLY69" s="158"/>
      <c r="FLZ69" s="158"/>
      <c r="FMA69" s="157"/>
      <c r="FMB69" s="159"/>
      <c r="FMC69" s="157"/>
      <c r="FMD69" s="159"/>
      <c r="FME69" s="160"/>
      <c r="FMF69" s="161"/>
      <c r="FMG69"/>
      <c r="FMH69" s="162"/>
      <c r="FMI69"/>
      <c r="FMJ69" s="155"/>
      <c r="FMK69" s="163"/>
      <c r="FML69"/>
      <c r="FMM69" s="156"/>
      <c r="FMN69" s="157"/>
      <c r="FMO69" s="158"/>
      <c r="FMP69" s="158"/>
      <c r="FMQ69" s="157"/>
      <c r="FMR69" s="159"/>
      <c r="FMS69" s="157"/>
      <c r="FMT69" s="159"/>
      <c r="FMU69" s="160"/>
      <c r="FMV69" s="161"/>
      <c r="FMW69"/>
      <c r="FMX69" s="162"/>
      <c r="FMY69"/>
      <c r="FMZ69" s="155"/>
      <c r="FNA69" s="163"/>
      <c r="FNB69"/>
      <c r="FNC69" s="156"/>
      <c r="FND69" s="157"/>
      <c r="FNE69" s="158"/>
      <c r="FNF69" s="158"/>
      <c r="FNG69" s="157"/>
      <c r="FNH69" s="159"/>
      <c r="FNI69" s="157"/>
      <c r="FNJ69" s="159"/>
      <c r="FNK69" s="160"/>
      <c r="FNL69" s="161"/>
      <c r="FNM69"/>
      <c r="FNN69" s="162"/>
      <c r="FNO69"/>
      <c r="FNP69" s="155"/>
      <c r="FNQ69" s="163"/>
      <c r="FNR69"/>
      <c r="FNS69" s="156"/>
      <c r="FNT69" s="157"/>
      <c r="FNU69" s="158"/>
      <c r="FNV69" s="158"/>
      <c r="FNW69" s="157"/>
      <c r="FNX69" s="159"/>
      <c r="FNY69" s="157"/>
      <c r="FNZ69" s="159"/>
      <c r="FOA69" s="160"/>
      <c r="FOB69" s="161"/>
      <c r="FOC69"/>
      <c r="FOD69" s="162"/>
      <c r="FOE69"/>
      <c r="FOF69" s="155"/>
      <c r="FOG69" s="163"/>
      <c r="FOH69"/>
      <c r="FOI69" s="156"/>
      <c r="FOJ69" s="157"/>
      <c r="FOK69" s="158"/>
      <c r="FOL69" s="158"/>
      <c r="FOM69" s="157"/>
      <c r="FON69" s="159"/>
      <c r="FOO69" s="157"/>
      <c r="FOP69" s="159"/>
      <c r="FOQ69" s="160"/>
      <c r="FOR69" s="161"/>
      <c r="FOS69"/>
      <c r="FOT69" s="162"/>
      <c r="FOU69"/>
      <c r="FOV69" s="155"/>
      <c r="FOW69" s="163"/>
      <c r="FOX69"/>
      <c r="FOY69" s="156"/>
      <c r="FOZ69" s="157"/>
      <c r="FPA69" s="158"/>
      <c r="FPB69" s="158"/>
      <c r="FPC69" s="157"/>
      <c r="FPD69" s="159"/>
      <c r="FPE69" s="157"/>
      <c r="FPF69" s="159"/>
      <c r="FPG69" s="160"/>
      <c r="FPH69" s="161"/>
      <c r="FPI69"/>
      <c r="FPJ69" s="162"/>
      <c r="FPK69"/>
      <c r="FPL69" s="155"/>
      <c r="FPM69" s="163"/>
      <c r="FPN69"/>
      <c r="FPO69" s="156"/>
      <c r="FPP69" s="157"/>
      <c r="FPQ69" s="158"/>
      <c r="FPR69" s="158"/>
      <c r="FPS69" s="157"/>
      <c r="FPT69" s="159"/>
      <c r="FPU69" s="157"/>
      <c r="FPV69" s="159"/>
      <c r="FPW69" s="160"/>
      <c r="FPX69" s="161"/>
      <c r="FPY69"/>
      <c r="FPZ69" s="162"/>
      <c r="FQA69"/>
      <c r="FQB69" s="155"/>
      <c r="FQC69" s="163"/>
      <c r="FQD69"/>
      <c r="FQE69" s="156"/>
      <c r="FQF69" s="157"/>
      <c r="FQG69" s="158"/>
      <c r="FQH69" s="158"/>
      <c r="FQI69" s="157"/>
      <c r="FQJ69" s="159"/>
      <c r="FQK69" s="157"/>
      <c r="FQL69" s="159"/>
      <c r="FQM69" s="160"/>
      <c r="FQN69" s="161"/>
      <c r="FQO69"/>
      <c r="FQP69" s="162"/>
      <c r="FQQ69"/>
      <c r="FQR69" s="155"/>
      <c r="FQS69" s="163"/>
      <c r="FQT69"/>
      <c r="FQU69" s="156"/>
      <c r="FQV69" s="157"/>
      <c r="FQW69" s="158"/>
      <c r="FQX69" s="158"/>
      <c r="FQY69" s="157"/>
      <c r="FQZ69" s="159"/>
      <c r="FRA69" s="157"/>
      <c r="FRB69" s="159"/>
      <c r="FRC69" s="160"/>
      <c r="FRD69" s="161"/>
      <c r="FRE69"/>
      <c r="FRF69" s="162"/>
      <c r="FRG69"/>
      <c r="FRH69" s="155"/>
      <c r="FRI69" s="163"/>
      <c r="FRJ69"/>
      <c r="FRK69" s="156"/>
      <c r="FRL69" s="157"/>
      <c r="FRM69" s="158"/>
      <c r="FRN69" s="158"/>
      <c r="FRO69" s="157"/>
      <c r="FRP69" s="159"/>
      <c r="FRQ69" s="157"/>
      <c r="FRR69" s="159"/>
      <c r="FRS69" s="160"/>
      <c r="FRT69" s="161"/>
      <c r="FRU69"/>
      <c r="FRV69" s="162"/>
      <c r="FRW69"/>
      <c r="FRX69" s="155"/>
      <c r="FRY69" s="163"/>
      <c r="FRZ69"/>
      <c r="FSA69" s="156"/>
      <c r="FSB69" s="157"/>
      <c r="FSC69" s="158"/>
      <c r="FSD69" s="158"/>
      <c r="FSE69" s="157"/>
      <c r="FSF69" s="159"/>
      <c r="FSG69" s="157"/>
      <c r="FSH69" s="159"/>
      <c r="FSI69" s="160"/>
      <c r="FSJ69" s="161"/>
      <c r="FSK69"/>
      <c r="FSL69" s="162"/>
      <c r="FSM69"/>
      <c r="FSN69" s="155"/>
      <c r="FSO69" s="163"/>
      <c r="FSP69"/>
      <c r="FSQ69" s="156"/>
      <c r="FSR69" s="157"/>
      <c r="FSS69" s="158"/>
      <c r="FST69" s="158"/>
      <c r="FSU69" s="157"/>
      <c r="FSV69" s="159"/>
      <c r="FSW69" s="157"/>
      <c r="FSX69" s="159"/>
      <c r="FSY69" s="160"/>
      <c r="FSZ69" s="161"/>
      <c r="FTA69"/>
      <c r="FTB69" s="162"/>
      <c r="FTC69"/>
      <c r="FTD69" s="155"/>
      <c r="FTE69" s="163"/>
      <c r="FTF69"/>
      <c r="FTG69" s="156"/>
      <c r="FTH69" s="157"/>
      <c r="FTI69" s="158"/>
      <c r="FTJ69" s="158"/>
      <c r="FTK69" s="157"/>
      <c r="FTL69" s="159"/>
      <c r="FTM69" s="157"/>
      <c r="FTN69" s="159"/>
      <c r="FTO69" s="160"/>
      <c r="FTP69" s="161"/>
      <c r="FTQ69"/>
      <c r="FTR69" s="162"/>
      <c r="FTS69"/>
      <c r="FTT69" s="155"/>
      <c r="FTU69" s="163"/>
      <c r="FTV69"/>
      <c r="FTW69" s="156"/>
      <c r="FTX69" s="157"/>
      <c r="FTY69" s="158"/>
      <c r="FTZ69" s="158"/>
      <c r="FUA69" s="157"/>
      <c r="FUB69" s="159"/>
      <c r="FUC69" s="157"/>
      <c r="FUD69" s="159"/>
      <c r="FUE69" s="160"/>
      <c r="FUF69" s="161"/>
      <c r="FUG69"/>
      <c r="FUH69" s="162"/>
      <c r="FUI69"/>
      <c r="FUJ69" s="155"/>
      <c r="FUK69" s="163"/>
      <c r="FUL69"/>
      <c r="FUM69" s="156"/>
      <c r="FUN69" s="157"/>
      <c r="FUO69" s="158"/>
      <c r="FUP69" s="158"/>
      <c r="FUQ69" s="157"/>
      <c r="FUR69" s="159"/>
      <c r="FUS69" s="157"/>
      <c r="FUT69" s="159"/>
      <c r="FUU69" s="160"/>
      <c r="FUV69" s="161"/>
      <c r="FUW69"/>
      <c r="FUX69" s="162"/>
      <c r="FUY69"/>
      <c r="FUZ69" s="155"/>
      <c r="FVA69" s="163"/>
      <c r="FVB69"/>
      <c r="FVC69" s="156"/>
      <c r="FVD69" s="157"/>
      <c r="FVE69" s="158"/>
      <c r="FVF69" s="158"/>
      <c r="FVG69" s="157"/>
      <c r="FVH69" s="159"/>
      <c r="FVI69" s="157"/>
      <c r="FVJ69" s="159"/>
      <c r="FVK69" s="160"/>
      <c r="FVL69" s="161"/>
      <c r="FVM69"/>
      <c r="FVN69" s="162"/>
      <c r="FVO69"/>
      <c r="FVP69" s="155"/>
      <c r="FVQ69" s="163"/>
      <c r="FVR69"/>
      <c r="FVS69" s="156"/>
      <c r="FVT69" s="157"/>
      <c r="FVU69" s="158"/>
      <c r="FVV69" s="158"/>
      <c r="FVW69" s="157"/>
      <c r="FVX69" s="159"/>
      <c r="FVY69" s="157"/>
      <c r="FVZ69" s="159"/>
      <c r="FWA69" s="160"/>
      <c r="FWB69" s="161"/>
      <c r="FWC69"/>
      <c r="FWD69" s="162"/>
      <c r="FWE69"/>
      <c r="FWF69" s="155"/>
      <c r="FWG69" s="163"/>
      <c r="FWH69"/>
      <c r="FWI69" s="156"/>
      <c r="FWJ69" s="157"/>
      <c r="FWK69" s="158"/>
      <c r="FWL69" s="158"/>
      <c r="FWM69" s="157"/>
      <c r="FWN69" s="159"/>
      <c r="FWO69" s="157"/>
      <c r="FWP69" s="159"/>
      <c r="FWQ69" s="160"/>
      <c r="FWR69" s="161"/>
      <c r="FWS69"/>
      <c r="FWT69" s="162"/>
      <c r="FWU69"/>
      <c r="FWV69" s="155"/>
      <c r="FWW69" s="163"/>
      <c r="FWX69"/>
      <c r="FWY69" s="156"/>
      <c r="FWZ69" s="157"/>
      <c r="FXA69" s="158"/>
      <c r="FXB69" s="158"/>
      <c r="FXC69" s="157"/>
      <c r="FXD69" s="159"/>
      <c r="FXE69" s="157"/>
      <c r="FXF69" s="159"/>
      <c r="FXG69" s="160"/>
      <c r="FXH69" s="161"/>
      <c r="FXI69"/>
      <c r="FXJ69" s="162"/>
      <c r="FXK69"/>
      <c r="FXL69" s="155"/>
      <c r="FXM69" s="163"/>
      <c r="FXN69"/>
      <c r="FXO69" s="156"/>
      <c r="FXP69" s="157"/>
      <c r="FXQ69" s="158"/>
      <c r="FXR69" s="158"/>
      <c r="FXS69" s="157"/>
      <c r="FXT69" s="159"/>
      <c r="FXU69" s="157"/>
      <c r="FXV69" s="159"/>
      <c r="FXW69" s="160"/>
      <c r="FXX69" s="161"/>
      <c r="FXY69"/>
      <c r="FXZ69" s="162"/>
      <c r="FYA69"/>
      <c r="FYB69" s="155"/>
      <c r="FYC69" s="163"/>
      <c r="FYD69"/>
      <c r="FYE69" s="156"/>
      <c r="FYF69" s="157"/>
      <c r="FYG69" s="158"/>
      <c r="FYH69" s="158"/>
      <c r="FYI69" s="157"/>
      <c r="FYJ69" s="159"/>
      <c r="FYK69" s="157"/>
      <c r="FYL69" s="159"/>
      <c r="FYM69" s="160"/>
      <c r="FYN69" s="161"/>
      <c r="FYO69"/>
      <c r="FYP69" s="162"/>
      <c r="FYQ69"/>
      <c r="FYR69" s="155"/>
      <c r="FYS69" s="163"/>
      <c r="FYT69"/>
      <c r="FYU69" s="156"/>
      <c r="FYV69" s="157"/>
      <c r="FYW69" s="158"/>
      <c r="FYX69" s="158"/>
      <c r="FYY69" s="157"/>
      <c r="FYZ69" s="159"/>
      <c r="FZA69" s="157"/>
      <c r="FZB69" s="159"/>
      <c r="FZC69" s="160"/>
      <c r="FZD69" s="161"/>
      <c r="FZE69"/>
      <c r="FZF69" s="162"/>
      <c r="FZG69"/>
      <c r="FZH69" s="155"/>
      <c r="FZI69" s="163"/>
      <c r="FZJ69"/>
      <c r="FZK69" s="156"/>
      <c r="FZL69" s="157"/>
      <c r="FZM69" s="158"/>
      <c r="FZN69" s="158"/>
      <c r="FZO69" s="157"/>
      <c r="FZP69" s="159"/>
      <c r="FZQ69" s="157"/>
      <c r="FZR69" s="159"/>
      <c r="FZS69" s="160"/>
      <c r="FZT69" s="161"/>
      <c r="FZU69"/>
      <c r="FZV69" s="162"/>
      <c r="FZW69"/>
      <c r="FZX69" s="155"/>
      <c r="FZY69" s="163"/>
      <c r="FZZ69"/>
      <c r="GAA69" s="156"/>
      <c r="GAB69" s="157"/>
      <c r="GAC69" s="158"/>
      <c r="GAD69" s="158"/>
      <c r="GAE69" s="157"/>
      <c r="GAF69" s="159"/>
      <c r="GAG69" s="157"/>
      <c r="GAH69" s="159"/>
      <c r="GAI69" s="160"/>
      <c r="GAJ69" s="161"/>
      <c r="GAK69"/>
      <c r="GAL69" s="162"/>
      <c r="GAM69"/>
      <c r="GAN69" s="155"/>
      <c r="GAO69" s="163"/>
      <c r="GAP69"/>
      <c r="GAQ69" s="156"/>
      <c r="GAR69" s="157"/>
      <c r="GAS69" s="158"/>
      <c r="GAT69" s="158"/>
      <c r="GAU69" s="157"/>
      <c r="GAV69" s="159"/>
      <c r="GAW69" s="157"/>
      <c r="GAX69" s="159"/>
      <c r="GAY69" s="160"/>
      <c r="GAZ69" s="161"/>
      <c r="GBA69"/>
      <c r="GBB69" s="162"/>
      <c r="GBC69"/>
      <c r="GBD69" s="155"/>
      <c r="GBE69" s="163"/>
      <c r="GBF69"/>
      <c r="GBG69" s="156"/>
      <c r="GBH69" s="157"/>
      <c r="GBI69" s="158"/>
      <c r="GBJ69" s="158"/>
      <c r="GBK69" s="157"/>
      <c r="GBL69" s="159"/>
      <c r="GBM69" s="157"/>
      <c r="GBN69" s="159"/>
      <c r="GBO69" s="160"/>
      <c r="GBP69" s="161"/>
      <c r="GBQ69"/>
      <c r="GBR69" s="162"/>
      <c r="GBS69"/>
      <c r="GBT69" s="155"/>
      <c r="GBU69" s="163"/>
      <c r="GBV69"/>
      <c r="GBW69" s="156"/>
      <c r="GBX69" s="157"/>
      <c r="GBY69" s="158"/>
      <c r="GBZ69" s="158"/>
      <c r="GCA69" s="157"/>
      <c r="GCB69" s="159"/>
      <c r="GCC69" s="157"/>
      <c r="GCD69" s="159"/>
      <c r="GCE69" s="160"/>
      <c r="GCF69" s="161"/>
      <c r="GCG69"/>
      <c r="GCH69" s="162"/>
      <c r="GCI69"/>
      <c r="GCJ69" s="155"/>
      <c r="GCK69" s="163"/>
      <c r="GCL69"/>
      <c r="GCM69" s="156"/>
      <c r="GCN69" s="157"/>
      <c r="GCO69" s="158"/>
      <c r="GCP69" s="158"/>
      <c r="GCQ69" s="157"/>
      <c r="GCR69" s="159"/>
      <c r="GCS69" s="157"/>
      <c r="GCT69" s="159"/>
      <c r="GCU69" s="160"/>
      <c r="GCV69" s="161"/>
      <c r="GCW69"/>
      <c r="GCX69" s="162"/>
      <c r="GCY69"/>
      <c r="GCZ69" s="155"/>
      <c r="GDA69" s="163"/>
      <c r="GDB69"/>
      <c r="GDC69" s="156"/>
      <c r="GDD69" s="157"/>
      <c r="GDE69" s="158"/>
      <c r="GDF69" s="158"/>
      <c r="GDG69" s="157"/>
      <c r="GDH69" s="159"/>
      <c r="GDI69" s="157"/>
      <c r="GDJ69" s="159"/>
      <c r="GDK69" s="160"/>
      <c r="GDL69" s="161"/>
      <c r="GDM69"/>
      <c r="GDN69" s="162"/>
      <c r="GDO69"/>
      <c r="GDP69" s="155"/>
      <c r="GDQ69" s="163"/>
      <c r="GDR69"/>
      <c r="GDS69" s="156"/>
      <c r="GDT69" s="157"/>
      <c r="GDU69" s="158"/>
      <c r="GDV69" s="158"/>
      <c r="GDW69" s="157"/>
      <c r="GDX69" s="159"/>
      <c r="GDY69" s="157"/>
      <c r="GDZ69" s="159"/>
      <c r="GEA69" s="160"/>
      <c r="GEB69" s="161"/>
      <c r="GEC69"/>
      <c r="GED69" s="162"/>
      <c r="GEE69"/>
      <c r="GEF69" s="155"/>
      <c r="GEG69" s="163"/>
      <c r="GEH69"/>
      <c r="GEI69" s="156"/>
      <c r="GEJ69" s="157"/>
      <c r="GEK69" s="158"/>
      <c r="GEL69" s="158"/>
      <c r="GEM69" s="157"/>
      <c r="GEN69" s="159"/>
      <c r="GEO69" s="157"/>
      <c r="GEP69" s="159"/>
      <c r="GEQ69" s="160"/>
      <c r="GER69" s="161"/>
      <c r="GES69"/>
      <c r="GET69" s="162"/>
      <c r="GEU69"/>
      <c r="GEV69" s="155"/>
      <c r="GEW69" s="163"/>
      <c r="GEX69"/>
      <c r="GEY69" s="156"/>
      <c r="GEZ69" s="157"/>
      <c r="GFA69" s="158"/>
      <c r="GFB69" s="158"/>
      <c r="GFC69" s="157"/>
      <c r="GFD69" s="159"/>
      <c r="GFE69" s="157"/>
      <c r="GFF69" s="159"/>
      <c r="GFG69" s="160"/>
      <c r="GFH69" s="161"/>
      <c r="GFI69"/>
      <c r="GFJ69" s="162"/>
      <c r="GFK69"/>
      <c r="GFL69" s="155"/>
      <c r="GFM69" s="163"/>
      <c r="GFN69"/>
      <c r="GFO69" s="156"/>
      <c r="GFP69" s="157"/>
      <c r="GFQ69" s="158"/>
      <c r="GFR69" s="158"/>
      <c r="GFS69" s="157"/>
      <c r="GFT69" s="159"/>
      <c r="GFU69" s="157"/>
      <c r="GFV69" s="159"/>
      <c r="GFW69" s="160"/>
      <c r="GFX69" s="161"/>
      <c r="GFY69"/>
      <c r="GFZ69" s="162"/>
      <c r="GGA69"/>
      <c r="GGB69" s="155"/>
      <c r="GGC69" s="163"/>
      <c r="GGD69"/>
      <c r="GGE69" s="156"/>
      <c r="GGF69" s="157"/>
      <c r="GGG69" s="158"/>
      <c r="GGH69" s="158"/>
      <c r="GGI69" s="157"/>
      <c r="GGJ69" s="159"/>
      <c r="GGK69" s="157"/>
      <c r="GGL69" s="159"/>
      <c r="GGM69" s="160"/>
      <c r="GGN69" s="161"/>
      <c r="GGO69"/>
      <c r="GGP69" s="162"/>
      <c r="GGQ69"/>
      <c r="GGR69" s="155"/>
      <c r="GGS69" s="163"/>
      <c r="GGT69"/>
      <c r="GGU69" s="156"/>
      <c r="GGV69" s="157"/>
      <c r="GGW69" s="158"/>
      <c r="GGX69" s="158"/>
      <c r="GGY69" s="157"/>
      <c r="GGZ69" s="159"/>
      <c r="GHA69" s="157"/>
      <c r="GHB69" s="159"/>
      <c r="GHC69" s="160"/>
      <c r="GHD69" s="161"/>
      <c r="GHE69"/>
      <c r="GHF69" s="162"/>
      <c r="GHG69"/>
      <c r="GHH69" s="155"/>
      <c r="GHI69" s="163"/>
      <c r="GHJ69"/>
      <c r="GHK69" s="156"/>
      <c r="GHL69" s="157"/>
      <c r="GHM69" s="158"/>
      <c r="GHN69" s="158"/>
      <c r="GHO69" s="157"/>
      <c r="GHP69" s="159"/>
      <c r="GHQ69" s="157"/>
      <c r="GHR69" s="159"/>
      <c r="GHS69" s="160"/>
      <c r="GHT69" s="161"/>
      <c r="GHU69"/>
      <c r="GHV69" s="162"/>
      <c r="GHW69"/>
      <c r="GHX69" s="155"/>
      <c r="GHY69" s="163"/>
      <c r="GHZ69"/>
      <c r="GIA69" s="156"/>
      <c r="GIB69" s="157"/>
      <c r="GIC69" s="158"/>
      <c r="GID69" s="158"/>
      <c r="GIE69" s="157"/>
      <c r="GIF69" s="159"/>
      <c r="GIG69" s="157"/>
      <c r="GIH69" s="159"/>
      <c r="GII69" s="160"/>
      <c r="GIJ69" s="161"/>
      <c r="GIK69"/>
      <c r="GIL69" s="162"/>
      <c r="GIM69"/>
      <c r="GIN69" s="155"/>
      <c r="GIO69" s="163"/>
      <c r="GIP69"/>
      <c r="GIQ69" s="156"/>
      <c r="GIR69" s="157"/>
      <c r="GIS69" s="158"/>
      <c r="GIT69" s="158"/>
      <c r="GIU69" s="157"/>
      <c r="GIV69" s="159"/>
      <c r="GIW69" s="157"/>
      <c r="GIX69" s="159"/>
      <c r="GIY69" s="160"/>
      <c r="GIZ69" s="161"/>
      <c r="GJA69"/>
      <c r="GJB69" s="162"/>
      <c r="GJC69"/>
      <c r="GJD69" s="155"/>
      <c r="GJE69" s="163"/>
      <c r="GJF69"/>
      <c r="GJG69" s="156"/>
      <c r="GJH69" s="157"/>
      <c r="GJI69" s="158"/>
      <c r="GJJ69" s="158"/>
      <c r="GJK69" s="157"/>
      <c r="GJL69" s="159"/>
      <c r="GJM69" s="157"/>
      <c r="GJN69" s="159"/>
      <c r="GJO69" s="160"/>
      <c r="GJP69" s="161"/>
      <c r="GJQ69"/>
      <c r="GJR69" s="162"/>
      <c r="GJS69"/>
      <c r="GJT69" s="155"/>
      <c r="GJU69" s="163"/>
      <c r="GJV69"/>
      <c r="GJW69" s="156"/>
      <c r="GJX69" s="157"/>
      <c r="GJY69" s="158"/>
      <c r="GJZ69" s="158"/>
      <c r="GKA69" s="157"/>
      <c r="GKB69" s="159"/>
      <c r="GKC69" s="157"/>
      <c r="GKD69" s="159"/>
      <c r="GKE69" s="160"/>
      <c r="GKF69" s="161"/>
      <c r="GKG69"/>
      <c r="GKH69" s="162"/>
      <c r="GKI69"/>
      <c r="GKJ69" s="155"/>
      <c r="GKK69" s="163"/>
      <c r="GKL69"/>
      <c r="GKM69" s="156"/>
      <c r="GKN69" s="157"/>
      <c r="GKO69" s="158"/>
      <c r="GKP69" s="158"/>
      <c r="GKQ69" s="157"/>
      <c r="GKR69" s="159"/>
      <c r="GKS69" s="157"/>
      <c r="GKT69" s="159"/>
      <c r="GKU69" s="160"/>
      <c r="GKV69" s="161"/>
      <c r="GKW69"/>
      <c r="GKX69" s="162"/>
      <c r="GKY69"/>
      <c r="GKZ69" s="155"/>
      <c r="GLA69" s="163"/>
      <c r="GLB69"/>
      <c r="GLC69" s="156"/>
      <c r="GLD69" s="157"/>
      <c r="GLE69" s="158"/>
      <c r="GLF69" s="158"/>
      <c r="GLG69" s="157"/>
      <c r="GLH69" s="159"/>
      <c r="GLI69" s="157"/>
      <c r="GLJ69" s="159"/>
      <c r="GLK69" s="160"/>
      <c r="GLL69" s="161"/>
      <c r="GLM69"/>
      <c r="GLN69" s="162"/>
      <c r="GLO69"/>
      <c r="GLP69" s="155"/>
      <c r="GLQ69" s="163"/>
      <c r="GLR69"/>
      <c r="GLS69" s="156"/>
      <c r="GLT69" s="157"/>
      <c r="GLU69" s="158"/>
      <c r="GLV69" s="158"/>
      <c r="GLW69" s="157"/>
      <c r="GLX69" s="159"/>
      <c r="GLY69" s="157"/>
      <c r="GLZ69" s="159"/>
      <c r="GMA69" s="160"/>
      <c r="GMB69" s="161"/>
      <c r="GMC69"/>
      <c r="GMD69" s="162"/>
      <c r="GME69"/>
      <c r="GMF69" s="155"/>
      <c r="GMG69" s="163"/>
      <c r="GMH69"/>
      <c r="GMI69" s="156"/>
      <c r="GMJ69" s="157"/>
      <c r="GMK69" s="158"/>
      <c r="GML69" s="158"/>
      <c r="GMM69" s="157"/>
      <c r="GMN69" s="159"/>
      <c r="GMO69" s="157"/>
      <c r="GMP69" s="159"/>
      <c r="GMQ69" s="160"/>
      <c r="GMR69" s="161"/>
      <c r="GMS69"/>
      <c r="GMT69" s="162"/>
      <c r="GMU69"/>
      <c r="GMV69" s="155"/>
      <c r="GMW69" s="163"/>
      <c r="GMX69"/>
      <c r="GMY69" s="156"/>
      <c r="GMZ69" s="157"/>
      <c r="GNA69" s="158"/>
      <c r="GNB69" s="158"/>
      <c r="GNC69" s="157"/>
      <c r="GND69" s="159"/>
      <c r="GNE69" s="157"/>
      <c r="GNF69" s="159"/>
      <c r="GNG69" s="160"/>
      <c r="GNH69" s="161"/>
      <c r="GNI69"/>
      <c r="GNJ69" s="162"/>
      <c r="GNK69"/>
      <c r="GNL69" s="155"/>
      <c r="GNM69" s="163"/>
      <c r="GNN69"/>
      <c r="GNO69" s="156"/>
      <c r="GNP69" s="157"/>
      <c r="GNQ69" s="158"/>
      <c r="GNR69" s="158"/>
      <c r="GNS69" s="157"/>
      <c r="GNT69" s="159"/>
      <c r="GNU69" s="157"/>
      <c r="GNV69" s="159"/>
      <c r="GNW69" s="160"/>
      <c r="GNX69" s="161"/>
      <c r="GNY69"/>
      <c r="GNZ69" s="162"/>
      <c r="GOA69"/>
      <c r="GOB69" s="155"/>
      <c r="GOC69" s="163"/>
      <c r="GOD69"/>
      <c r="GOE69" s="156"/>
      <c r="GOF69" s="157"/>
      <c r="GOG69" s="158"/>
      <c r="GOH69" s="158"/>
      <c r="GOI69" s="157"/>
      <c r="GOJ69" s="159"/>
      <c r="GOK69" s="157"/>
      <c r="GOL69" s="159"/>
      <c r="GOM69" s="160"/>
      <c r="GON69" s="161"/>
      <c r="GOO69"/>
      <c r="GOP69" s="162"/>
      <c r="GOQ69"/>
      <c r="GOR69" s="155"/>
      <c r="GOS69" s="163"/>
      <c r="GOT69"/>
      <c r="GOU69" s="156"/>
      <c r="GOV69" s="157"/>
      <c r="GOW69" s="158"/>
      <c r="GOX69" s="158"/>
      <c r="GOY69" s="157"/>
      <c r="GOZ69" s="159"/>
      <c r="GPA69" s="157"/>
      <c r="GPB69" s="159"/>
      <c r="GPC69" s="160"/>
      <c r="GPD69" s="161"/>
      <c r="GPE69"/>
      <c r="GPF69" s="162"/>
      <c r="GPG69"/>
      <c r="GPH69" s="155"/>
      <c r="GPI69" s="163"/>
      <c r="GPJ69"/>
      <c r="GPK69" s="156"/>
      <c r="GPL69" s="157"/>
      <c r="GPM69" s="158"/>
      <c r="GPN69" s="158"/>
      <c r="GPO69" s="157"/>
      <c r="GPP69" s="159"/>
      <c r="GPQ69" s="157"/>
      <c r="GPR69" s="159"/>
      <c r="GPS69" s="160"/>
      <c r="GPT69" s="161"/>
      <c r="GPU69"/>
      <c r="GPV69" s="162"/>
      <c r="GPW69"/>
      <c r="GPX69" s="155"/>
      <c r="GPY69" s="163"/>
      <c r="GPZ69"/>
      <c r="GQA69" s="156"/>
      <c r="GQB69" s="157"/>
      <c r="GQC69" s="158"/>
      <c r="GQD69" s="158"/>
      <c r="GQE69" s="157"/>
      <c r="GQF69" s="159"/>
      <c r="GQG69" s="157"/>
      <c r="GQH69" s="159"/>
      <c r="GQI69" s="160"/>
      <c r="GQJ69" s="161"/>
      <c r="GQK69"/>
      <c r="GQL69" s="162"/>
      <c r="GQM69"/>
      <c r="GQN69" s="155"/>
      <c r="GQO69" s="163"/>
      <c r="GQP69"/>
      <c r="GQQ69" s="156"/>
      <c r="GQR69" s="157"/>
      <c r="GQS69" s="158"/>
      <c r="GQT69" s="158"/>
      <c r="GQU69" s="157"/>
      <c r="GQV69" s="159"/>
      <c r="GQW69" s="157"/>
      <c r="GQX69" s="159"/>
      <c r="GQY69" s="160"/>
      <c r="GQZ69" s="161"/>
      <c r="GRA69"/>
      <c r="GRB69" s="162"/>
      <c r="GRC69"/>
      <c r="GRD69" s="155"/>
      <c r="GRE69" s="163"/>
      <c r="GRF69"/>
      <c r="GRG69" s="156"/>
      <c r="GRH69" s="157"/>
      <c r="GRI69" s="158"/>
      <c r="GRJ69" s="158"/>
      <c r="GRK69" s="157"/>
      <c r="GRL69" s="159"/>
      <c r="GRM69" s="157"/>
      <c r="GRN69" s="159"/>
      <c r="GRO69" s="160"/>
      <c r="GRP69" s="161"/>
      <c r="GRQ69"/>
      <c r="GRR69" s="162"/>
      <c r="GRS69"/>
      <c r="GRT69" s="155"/>
      <c r="GRU69" s="163"/>
      <c r="GRV69"/>
      <c r="GRW69" s="156"/>
      <c r="GRX69" s="157"/>
      <c r="GRY69" s="158"/>
      <c r="GRZ69" s="158"/>
      <c r="GSA69" s="157"/>
      <c r="GSB69" s="159"/>
      <c r="GSC69" s="157"/>
      <c r="GSD69" s="159"/>
      <c r="GSE69" s="160"/>
      <c r="GSF69" s="161"/>
      <c r="GSG69"/>
      <c r="GSH69" s="162"/>
      <c r="GSI69"/>
      <c r="GSJ69" s="155"/>
      <c r="GSK69" s="163"/>
      <c r="GSL69"/>
      <c r="GSM69" s="156"/>
      <c r="GSN69" s="157"/>
      <c r="GSO69" s="158"/>
      <c r="GSP69" s="158"/>
      <c r="GSQ69" s="157"/>
      <c r="GSR69" s="159"/>
      <c r="GSS69" s="157"/>
      <c r="GST69" s="159"/>
      <c r="GSU69" s="160"/>
      <c r="GSV69" s="161"/>
      <c r="GSW69"/>
      <c r="GSX69" s="162"/>
      <c r="GSY69"/>
      <c r="GSZ69" s="155"/>
      <c r="GTA69" s="163"/>
      <c r="GTB69"/>
      <c r="GTC69" s="156"/>
      <c r="GTD69" s="157"/>
      <c r="GTE69" s="158"/>
      <c r="GTF69" s="158"/>
      <c r="GTG69" s="157"/>
      <c r="GTH69" s="159"/>
      <c r="GTI69" s="157"/>
      <c r="GTJ69" s="159"/>
      <c r="GTK69" s="160"/>
      <c r="GTL69" s="161"/>
      <c r="GTM69"/>
      <c r="GTN69" s="162"/>
      <c r="GTO69"/>
      <c r="GTP69" s="155"/>
      <c r="GTQ69" s="163"/>
      <c r="GTR69"/>
      <c r="GTS69" s="156"/>
      <c r="GTT69" s="157"/>
      <c r="GTU69" s="158"/>
      <c r="GTV69" s="158"/>
      <c r="GTW69" s="157"/>
      <c r="GTX69" s="159"/>
      <c r="GTY69" s="157"/>
      <c r="GTZ69" s="159"/>
      <c r="GUA69" s="160"/>
      <c r="GUB69" s="161"/>
      <c r="GUC69"/>
      <c r="GUD69" s="162"/>
      <c r="GUE69"/>
      <c r="GUF69" s="155"/>
      <c r="GUG69" s="163"/>
      <c r="GUH69"/>
      <c r="GUI69" s="156"/>
      <c r="GUJ69" s="157"/>
      <c r="GUK69" s="158"/>
      <c r="GUL69" s="158"/>
      <c r="GUM69" s="157"/>
      <c r="GUN69" s="159"/>
      <c r="GUO69" s="157"/>
      <c r="GUP69" s="159"/>
      <c r="GUQ69" s="160"/>
      <c r="GUR69" s="161"/>
      <c r="GUS69"/>
      <c r="GUT69" s="162"/>
      <c r="GUU69"/>
      <c r="GUV69" s="155"/>
      <c r="GUW69" s="163"/>
      <c r="GUX69"/>
      <c r="GUY69" s="156"/>
      <c r="GUZ69" s="157"/>
      <c r="GVA69" s="158"/>
      <c r="GVB69" s="158"/>
      <c r="GVC69" s="157"/>
      <c r="GVD69" s="159"/>
      <c r="GVE69" s="157"/>
      <c r="GVF69" s="159"/>
      <c r="GVG69" s="160"/>
      <c r="GVH69" s="161"/>
      <c r="GVI69"/>
      <c r="GVJ69" s="162"/>
      <c r="GVK69"/>
      <c r="GVL69" s="155"/>
      <c r="GVM69" s="163"/>
      <c r="GVN69"/>
      <c r="GVO69" s="156"/>
      <c r="GVP69" s="157"/>
      <c r="GVQ69" s="158"/>
      <c r="GVR69" s="158"/>
      <c r="GVS69" s="157"/>
      <c r="GVT69" s="159"/>
      <c r="GVU69" s="157"/>
      <c r="GVV69" s="159"/>
      <c r="GVW69" s="160"/>
      <c r="GVX69" s="161"/>
      <c r="GVY69"/>
      <c r="GVZ69" s="162"/>
      <c r="GWA69"/>
      <c r="GWB69" s="155"/>
      <c r="GWC69" s="163"/>
      <c r="GWD69"/>
      <c r="GWE69" s="156"/>
      <c r="GWF69" s="157"/>
      <c r="GWG69" s="158"/>
      <c r="GWH69" s="158"/>
      <c r="GWI69" s="157"/>
      <c r="GWJ69" s="159"/>
      <c r="GWK69" s="157"/>
      <c r="GWL69" s="159"/>
      <c r="GWM69" s="160"/>
      <c r="GWN69" s="161"/>
      <c r="GWO69"/>
      <c r="GWP69" s="162"/>
      <c r="GWQ69"/>
      <c r="GWR69" s="155"/>
      <c r="GWS69" s="163"/>
      <c r="GWT69"/>
      <c r="GWU69" s="156"/>
      <c r="GWV69" s="157"/>
      <c r="GWW69" s="158"/>
      <c r="GWX69" s="158"/>
      <c r="GWY69" s="157"/>
      <c r="GWZ69" s="159"/>
      <c r="GXA69" s="157"/>
      <c r="GXB69" s="159"/>
      <c r="GXC69" s="160"/>
      <c r="GXD69" s="161"/>
      <c r="GXE69"/>
      <c r="GXF69" s="162"/>
      <c r="GXG69"/>
      <c r="GXH69" s="155"/>
      <c r="GXI69" s="163"/>
      <c r="GXJ69"/>
      <c r="GXK69" s="156"/>
      <c r="GXL69" s="157"/>
      <c r="GXM69" s="158"/>
      <c r="GXN69" s="158"/>
      <c r="GXO69" s="157"/>
      <c r="GXP69" s="159"/>
      <c r="GXQ69" s="157"/>
      <c r="GXR69" s="159"/>
      <c r="GXS69" s="160"/>
      <c r="GXT69" s="161"/>
      <c r="GXU69"/>
      <c r="GXV69" s="162"/>
      <c r="GXW69"/>
      <c r="GXX69" s="155"/>
      <c r="GXY69" s="163"/>
      <c r="GXZ69"/>
      <c r="GYA69" s="156"/>
      <c r="GYB69" s="157"/>
      <c r="GYC69" s="158"/>
      <c r="GYD69" s="158"/>
      <c r="GYE69" s="157"/>
      <c r="GYF69" s="159"/>
      <c r="GYG69" s="157"/>
      <c r="GYH69" s="159"/>
      <c r="GYI69" s="160"/>
      <c r="GYJ69" s="161"/>
      <c r="GYK69"/>
      <c r="GYL69" s="162"/>
      <c r="GYM69"/>
      <c r="GYN69" s="155"/>
      <c r="GYO69" s="163"/>
      <c r="GYP69"/>
      <c r="GYQ69" s="156"/>
      <c r="GYR69" s="157"/>
      <c r="GYS69" s="158"/>
      <c r="GYT69" s="158"/>
      <c r="GYU69" s="157"/>
      <c r="GYV69" s="159"/>
      <c r="GYW69" s="157"/>
      <c r="GYX69" s="159"/>
      <c r="GYY69" s="160"/>
      <c r="GYZ69" s="161"/>
      <c r="GZA69"/>
      <c r="GZB69" s="162"/>
      <c r="GZC69"/>
      <c r="GZD69" s="155"/>
      <c r="GZE69" s="163"/>
      <c r="GZF69"/>
      <c r="GZG69" s="156"/>
      <c r="GZH69" s="157"/>
      <c r="GZI69" s="158"/>
      <c r="GZJ69" s="158"/>
      <c r="GZK69" s="157"/>
      <c r="GZL69" s="159"/>
      <c r="GZM69" s="157"/>
      <c r="GZN69" s="159"/>
      <c r="GZO69" s="160"/>
      <c r="GZP69" s="161"/>
      <c r="GZQ69"/>
      <c r="GZR69" s="162"/>
      <c r="GZS69"/>
      <c r="GZT69" s="155"/>
      <c r="GZU69" s="163"/>
      <c r="GZV69"/>
      <c r="GZW69" s="156"/>
      <c r="GZX69" s="157"/>
      <c r="GZY69" s="158"/>
      <c r="GZZ69" s="158"/>
      <c r="HAA69" s="157"/>
      <c r="HAB69" s="159"/>
      <c r="HAC69" s="157"/>
      <c r="HAD69" s="159"/>
      <c r="HAE69" s="160"/>
      <c r="HAF69" s="161"/>
      <c r="HAG69"/>
      <c r="HAH69" s="162"/>
      <c r="HAI69"/>
      <c r="HAJ69" s="155"/>
      <c r="HAK69" s="163"/>
      <c r="HAL69"/>
      <c r="HAM69" s="156"/>
      <c r="HAN69" s="157"/>
      <c r="HAO69" s="158"/>
      <c r="HAP69" s="158"/>
      <c r="HAQ69" s="157"/>
      <c r="HAR69" s="159"/>
      <c r="HAS69" s="157"/>
      <c r="HAT69" s="159"/>
      <c r="HAU69" s="160"/>
      <c r="HAV69" s="161"/>
      <c r="HAW69"/>
      <c r="HAX69" s="162"/>
      <c r="HAY69"/>
      <c r="HAZ69" s="155"/>
      <c r="HBA69" s="163"/>
      <c r="HBB69"/>
      <c r="HBC69" s="156"/>
      <c r="HBD69" s="157"/>
      <c r="HBE69" s="158"/>
      <c r="HBF69" s="158"/>
      <c r="HBG69" s="157"/>
      <c r="HBH69" s="159"/>
      <c r="HBI69" s="157"/>
      <c r="HBJ69" s="159"/>
      <c r="HBK69" s="160"/>
      <c r="HBL69" s="161"/>
      <c r="HBM69"/>
      <c r="HBN69" s="162"/>
      <c r="HBO69"/>
      <c r="HBP69" s="155"/>
      <c r="HBQ69" s="163"/>
      <c r="HBR69"/>
      <c r="HBS69" s="156"/>
      <c r="HBT69" s="157"/>
      <c r="HBU69" s="158"/>
      <c r="HBV69" s="158"/>
      <c r="HBW69" s="157"/>
      <c r="HBX69" s="159"/>
      <c r="HBY69" s="157"/>
      <c r="HBZ69" s="159"/>
      <c r="HCA69" s="160"/>
      <c r="HCB69" s="161"/>
      <c r="HCC69"/>
      <c r="HCD69" s="162"/>
      <c r="HCE69"/>
      <c r="HCF69" s="155"/>
      <c r="HCG69" s="163"/>
      <c r="HCH69"/>
      <c r="HCI69" s="156"/>
      <c r="HCJ69" s="157"/>
      <c r="HCK69" s="158"/>
      <c r="HCL69" s="158"/>
      <c r="HCM69" s="157"/>
      <c r="HCN69" s="159"/>
      <c r="HCO69" s="157"/>
      <c r="HCP69" s="159"/>
      <c r="HCQ69" s="160"/>
      <c r="HCR69" s="161"/>
      <c r="HCS69"/>
      <c r="HCT69" s="162"/>
      <c r="HCU69"/>
      <c r="HCV69" s="155"/>
      <c r="HCW69" s="163"/>
      <c r="HCX69"/>
      <c r="HCY69" s="156"/>
      <c r="HCZ69" s="157"/>
      <c r="HDA69" s="158"/>
      <c r="HDB69" s="158"/>
      <c r="HDC69" s="157"/>
      <c r="HDD69" s="159"/>
      <c r="HDE69" s="157"/>
      <c r="HDF69" s="159"/>
      <c r="HDG69" s="160"/>
      <c r="HDH69" s="161"/>
      <c r="HDI69"/>
      <c r="HDJ69" s="162"/>
      <c r="HDK69"/>
      <c r="HDL69" s="155"/>
      <c r="HDM69" s="163"/>
      <c r="HDN69"/>
      <c r="HDO69" s="156"/>
      <c r="HDP69" s="157"/>
      <c r="HDQ69" s="158"/>
      <c r="HDR69" s="158"/>
      <c r="HDS69" s="157"/>
      <c r="HDT69" s="159"/>
      <c r="HDU69" s="157"/>
      <c r="HDV69" s="159"/>
      <c r="HDW69" s="160"/>
      <c r="HDX69" s="161"/>
      <c r="HDY69"/>
      <c r="HDZ69" s="162"/>
      <c r="HEA69"/>
      <c r="HEB69" s="155"/>
      <c r="HEC69" s="163"/>
      <c r="HED69"/>
      <c r="HEE69" s="156"/>
      <c r="HEF69" s="157"/>
      <c r="HEG69" s="158"/>
      <c r="HEH69" s="158"/>
      <c r="HEI69" s="157"/>
      <c r="HEJ69" s="159"/>
      <c r="HEK69" s="157"/>
      <c r="HEL69" s="159"/>
      <c r="HEM69" s="160"/>
      <c r="HEN69" s="161"/>
      <c r="HEO69"/>
      <c r="HEP69" s="162"/>
      <c r="HEQ69"/>
      <c r="HER69" s="155"/>
      <c r="HES69" s="163"/>
      <c r="HET69"/>
      <c r="HEU69" s="156"/>
      <c r="HEV69" s="157"/>
      <c r="HEW69" s="158"/>
      <c r="HEX69" s="158"/>
      <c r="HEY69" s="157"/>
      <c r="HEZ69" s="159"/>
      <c r="HFA69" s="157"/>
      <c r="HFB69" s="159"/>
      <c r="HFC69" s="160"/>
      <c r="HFD69" s="161"/>
      <c r="HFE69"/>
      <c r="HFF69" s="162"/>
      <c r="HFG69"/>
      <c r="HFH69" s="155"/>
      <c r="HFI69" s="163"/>
      <c r="HFJ69"/>
      <c r="HFK69" s="156"/>
      <c r="HFL69" s="157"/>
      <c r="HFM69" s="158"/>
      <c r="HFN69" s="158"/>
      <c r="HFO69" s="157"/>
      <c r="HFP69" s="159"/>
      <c r="HFQ69" s="157"/>
      <c r="HFR69" s="159"/>
      <c r="HFS69" s="160"/>
      <c r="HFT69" s="161"/>
      <c r="HFU69"/>
      <c r="HFV69" s="162"/>
      <c r="HFW69"/>
      <c r="HFX69" s="155"/>
      <c r="HFY69" s="163"/>
      <c r="HFZ69"/>
      <c r="HGA69" s="156"/>
      <c r="HGB69" s="157"/>
      <c r="HGC69" s="158"/>
      <c r="HGD69" s="158"/>
      <c r="HGE69" s="157"/>
      <c r="HGF69" s="159"/>
      <c r="HGG69" s="157"/>
      <c r="HGH69" s="159"/>
      <c r="HGI69" s="160"/>
      <c r="HGJ69" s="161"/>
      <c r="HGK69"/>
      <c r="HGL69" s="162"/>
      <c r="HGM69"/>
      <c r="HGN69" s="155"/>
      <c r="HGO69" s="163"/>
      <c r="HGP69"/>
      <c r="HGQ69" s="156"/>
      <c r="HGR69" s="157"/>
      <c r="HGS69" s="158"/>
      <c r="HGT69" s="158"/>
      <c r="HGU69" s="157"/>
      <c r="HGV69" s="159"/>
      <c r="HGW69" s="157"/>
      <c r="HGX69" s="159"/>
      <c r="HGY69" s="160"/>
      <c r="HGZ69" s="161"/>
      <c r="HHA69"/>
      <c r="HHB69" s="162"/>
      <c r="HHC69"/>
      <c r="HHD69" s="155"/>
      <c r="HHE69" s="163"/>
      <c r="HHF69"/>
      <c r="HHG69" s="156"/>
      <c r="HHH69" s="157"/>
      <c r="HHI69" s="158"/>
      <c r="HHJ69" s="158"/>
      <c r="HHK69" s="157"/>
      <c r="HHL69" s="159"/>
      <c r="HHM69" s="157"/>
      <c r="HHN69" s="159"/>
      <c r="HHO69" s="160"/>
      <c r="HHP69" s="161"/>
      <c r="HHQ69"/>
      <c r="HHR69" s="162"/>
      <c r="HHS69"/>
      <c r="HHT69" s="155"/>
      <c r="HHU69" s="163"/>
      <c r="HHV69"/>
      <c r="HHW69" s="156"/>
      <c r="HHX69" s="157"/>
      <c r="HHY69" s="158"/>
      <c r="HHZ69" s="158"/>
      <c r="HIA69" s="157"/>
      <c r="HIB69" s="159"/>
      <c r="HIC69" s="157"/>
      <c r="HID69" s="159"/>
      <c r="HIE69" s="160"/>
      <c r="HIF69" s="161"/>
      <c r="HIG69"/>
      <c r="HIH69" s="162"/>
      <c r="HII69"/>
      <c r="HIJ69" s="155"/>
      <c r="HIK69" s="163"/>
      <c r="HIL69"/>
      <c r="HIM69" s="156"/>
      <c r="HIN69" s="157"/>
      <c r="HIO69" s="158"/>
      <c r="HIP69" s="158"/>
      <c r="HIQ69" s="157"/>
      <c r="HIR69" s="159"/>
      <c r="HIS69" s="157"/>
      <c r="HIT69" s="159"/>
      <c r="HIU69" s="160"/>
      <c r="HIV69" s="161"/>
      <c r="HIW69"/>
      <c r="HIX69" s="162"/>
      <c r="HIY69"/>
      <c r="HIZ69" s="155"/>
      <c r="HJA69" s="163"/>
      <c r="HJB69"/>
      <c r="HJC69" s="156"/>
      <c r="HJD69" s="157"/>
      <c r="HJE69" s="158"/>
      <c r="HJF69" s="158"/>
      <c r="HJG69" s="157"/>
      <c r="HJH69" s="159"/>
      <c r="HJI69" s="157"/>
      <c r="HJJ69" s="159"/>
      <c r="HJK69" s="160"/>
      <c r="HJL69" s="161"/>
      <c r="HJM69"/>
      <c r="HJN69" s="162"/>
      <c r="HJO69"/>
      <c r="HJP69" s="155"/>
      <c r="HJQ69" s="163"/>
      <c r="HJR69"/>
      <c r="HJS69" s="156"/>
      <c r="HJT69" s="157"/>
      <c r="HJU69" s="158"/>
      <c r="HJV69" s="158"/>
      <c r="HJW69" s="157"/>
      <c r="HJX69" s="159"/>
      <c r="HJY69" s="157"/>
      <c r="HJZ69" s="159"/>
      <c r="HKA69" s="160"/>
      <c r="HKB69" s="161"/>
      <c r="HKC69"/>
      <c r="HKD69" s="162"/>
      <c r="HKE69"/>
      <c r="HKF69" s="155"/>
      <c r="HKG69" s="163"/>
      <c r="HKH69"/>
      <c r="HKI69" s="156"/>
      <c r="HKJ69" s="157"/>
      <c r="HKK69" s="158"/>
      <c r="HKL69" s="158"/>
      <c r="HKM69" s="157"/>
      <c r="HKN69" s="159"/>
      <c r="HKO69" s="157"/>
      <c r="HKP69" s="159"/>
      <c r="HKQ69" s="160"/>
      <c r="HKR69" s="161"/>
      <c r="HKS69"/>
      <c r="HKT69" s="162"/>
      <c r="HKU69"/>
      <c r="HKV69" s="155"/>
      <c r="HKW69" s="163"/>
      <c r="HKX69"/>
      <c r="HKY69" s="156"/>
      <c r="HKZ69" s="157"/>
      <c r="HLA69" s="158"/>
      <c r="HLB69" s="158"/>
      <c r="HLC69" s="157"/>
      <c r="HLD69" s="159"/>
      <c r="HLE69" s="157"/>
      <c r="HLF69" s="159"/>
      <c r="HLG69" s="160"/>
      <c r="HLH69" s="161"/>
      <c r="HLI69"/>
      <c r="HLJ69" s="162"/>
      <c r="HLK69"/>
      <c r="HLL69" s="155"/>
      <c r="HLM69" s="163"/>
      <c r="HLN69"/>
      <c r="HLO69" s="156"/>
      <c r="HLP69" s="157"/>
      <c r="HLQ69" s="158"/>
      <c r="HLR69" s="158"/>
      <c r="HLS69" s="157"/>
      <c r="HLT69" s="159"/>
      <c r="HLU69" s="157"/>
      <c r="HLV69" s="159"/>
      <c r="HLW69" s="160"/>
      <c r="HLX69" s="161"/>
      <c r="HLY69"/>
      <c r="HLZ69" s="162"/>
      <c r="HMA69"/>
      <c r="HMB69" s="155"/>
      <c r="HMC69" s="163"/>
      <c r="HMD69"/>
      <c r="HME69" s="156"/>
      <c r="HMF69" s="157"/>
      <c r="HMG69" s="158"/>
      <c r="HMH69" s="158"/>
      <c r="HMI69" s="157"/>
      <c r="HMJ69" s="159"/>
      <c r="HMK69" s="157"/>
      <c r="HML69" s="159"/>
      <c r="HMM69" s="160"/>
      <c r="HMN69" s="161"/>
      <c r="HMO69"/>
      <c r="HMP69" s="162"/>
      <c r="HMQ69"/>
      <c r="HMR69" s="155"/>
      <c r="HMS69" s="163"/>
      <c r="HMT69"/>
      <c r="HMU69" s="156"/>
      <c r="HMV69" s="157"/>
      <c r="HMW69" s="158"/>
      <c r="HMX69" s="158"/>
      <c r="HMY69" s="157"/>
      <c r="HMZ69" s="159"/>
      <c r="HNA69" s="157"/>
      <c r="HNB69" s="159"/>
      <c r="HNC69" s="160"/>
      <c r="HND69" s="161"/>
      <c r="HNE69"/>
      <c r="HNF69" s="162"/>
      <c r="HNG69"/>
      <c r="HNH69" s="155"/>
      <c r="HNI69" s="163"/>
      <c r="HNJ69"/>
      <c r="HNK69" s="156"/>
      <c r="HNL69" s="157"/>
      <c r="HNM69" s="158"/>
      <c r="HNN69" s="158"/>
      <c r="HNO69" s="157"/>
      <c r="HNP69" s="159"/>
      <c r="HNQ69" s="157"/>
      <c r="HNR69" s="159"/>
      <c r="HNS69" s="160"/>
      <c r="HNT69" s="161"/>
      <c r="HNU69"/>
      <c r="HNV69" s="162"/>
      <c r="HNW69"/>
      <c r="HNX69" s="155"/>
      <c r="HNY69" s="163"/>
      <c r="HNZ69"/>
      <c r="HOA69" s="156"/>
      <c r="HOB69" s="157"/>
      <c r="HOC69" s="158"/>
      <c r="HOD69" s="158"/>
      <c r="HOE69" s="157"/>
      <c r="HOF69" s="159"/>
      <c r="HOG69" s="157"/>
      <c r="HOH69" s="159"/>
      <c r="HOI69" s="160"/>
      <c r="HOJ69" s="161"/>
      <c r="HOK69"/>
      <c r="HOL69" s="162"/>
      <c r="HOM69"/>
      <c r="HON69" s="155"/>
      <c r="HOO69" s="163"/>
      <c r="HOP69"/>
      <c r="HOQ69" s="156"/>
      <c r="HOR69" s="157"/>
      <c r="HOS69" s="158"/>
      <c r="HOT69" s="158"/>
      <c r="HOU69" s="157"/>
      <c r="HOV69" s="159"/>
      <c r="HOW69" s="157"/>
      <c r="HOX69" s="159"/>
      <c r="HOY69" s="160"/>
      <c r="HOZ69" s="161"/>
      <c r="HPA69"/>
      <c r="HPB69" s="162"/>
      <c r="HPC69"/>
      <c r="HPD69" s="155"/>
      <c r="HPE69" s="163"/>
      <c r="HPF69"/>
      <c r="HPG69" s="156"/>
      <c r="HPH69" s="157"/>
      <c r="HPI69" s="158"/>
      <c r="HPJ69" s="158"/>
      <c r="HPK69" s="157"/>
      <c r="HPL69" s="159"/>
      <c r="HPM69" s="157"/>
      <c r="HPN69" s="159"/>
      <c r="HPO69" s="160"/>
      <c r="HPP69" s="161"/>
      <c r="HPQ69"/>
      <c r="HPR69" s="162"/>
      <c r="HPS69"/>
      <c r="HPT69" s="155"/>
      <c r="HPU69" s="163"/>
      <c r="HPV69"/>
      <c r="HPW69" s="156"/>
      <c r="HPX69" s="157"/>
      <c r="HPY69" s="158"/>
      <c r="HPZ69" s="158"/>
      <c r="HQA69" s="157"/>
      <c r="HQB69" s="159"/>
      <c r="HQC69" s="157"/>
      <c r="HQD69" s="159"/>
      <c r="HQE69" s="160"/>
      <c r="HQF69" s="161"/>
      <c r="HQG69"/>
      <c r="HQH69" s="162"/>
      <c r="HQI69"/>
      <c r="HQJ69" s="155"/>
      <c r="HQK69" s="163"/>
      <c r="HQL69"/>
      <c r="HQM69" s="156"/>
      <c r="HQN69" s="157"/>
      <c r="HQO69" s="158"/>
      <c r="HQP69" s="158"/>
      <c r="HQQ69" s="157"/>
      <c r="HQR69" s="159"/>
      <c r="HQS69" s="157"/>
      <c r="HQT69" s="159"/>
      <c r="HQU69" s="160"/>
      <c r="HQV69" s="161"/>
      <c r="HQW69"/>
      <c r="HQX69" s="162"/>
      <c r="HQY69"/>
      <c r="HQZ69" s="155"/>
      <c r="HRA69" s="163"/>
      <c r="HRB69"/>
      <c r="HRC69" s="156"/>
      <c r="HRD69" s="157"/>
      <c r="HRE69" s="158"/>
      <c r="HRF69" s="158"/>
      <c r="HRG69" s="157"/>
      <c r="HRH69" s="159"/>
      <c r="HRI69" s="157"/>
      <c r="HRJ69" s="159"/>
      <c r="HRK69" s="160"/>
      <c r="HRL69" s="161"/>
      <c r="HRM69"/>
      <c r="HRN69" s="162"/>
      <c r="HRO69"/>
      <c r="HRP69" s="155"/>
      <c r="HRQ69" s="163"/>
      <c r="HRR69"/>
      <c r="HRS69" s="156"/>
      <c r="HRT69" s="157"/>
      <c r="HRU69" s="158"/>
      <c r="HRV69" s="158"/>
      <c r="HRW69" s="157"/>
      <c r="HRX69" s="159"/>
      <c r="HRY69" s="157"/>
      <c r="HRZ69" s="159"/>
      <c r="HSA69" s="160"/>
      <c r="HSB69" s="161"/>
      <c r="HSC69"/>
      <c r="HSD69" s="162"/>
      <c r="HSE69"/>
      <c r="HSF69" s="155"/>
      <c r="HSG69" s="163"/>
      <c r="HSH69"/>
      <c r="HSI69" s="156"/>
      <c r="HSJ69" s="157"/>
      <c r="HSK69" s="158"/>
      <c r="HSL69" s="158"/>
      <c r="HSM69" s="157"/>
      <c r="HSN69" s="159"/>
      <c r="HSO69" s="157"/>
      <c r="HSP69" s="159"/>
      <c r="HSQ69" s="160"/>
      <c r="HSR69" s="161"/>
      <c r="HSS69"/>
      <c r="HST69" s="162"/>
      <c r="HSU69"/>
      <c r="HSV69" s="155"/>
      <c r="HSW69" s="163"/>
      <c r="HSX69"/>
      <c r="HSY69" s="156"/>
      <c r="HSZ69" s="157"/>
      <c r="HTA69" s="158"/>
      <c r="HTB69" s="158"/>
      <c r="HTC69" s="157"/>
      <c r="HTD69" s="159"/>
      <c r="HTE69" s="157"/>
      <c r="HTF69" s="159"/>
      <c r="HTG69" s="160"/>
      <c r="HTH69" s="161"/>
      <c r="HTI69"/>
      <c r="HTJ69" s="162"/>
      <c r="HTK69"/>
      <c r="HTL69" s="155"/>
      <c r="HTM69" s="163"/>
      <c r="HTN69"/>
      <c r="HTO69" s="156"/>
      <c r="HTP69" s="157"/>
      <c r="HTQ69" s="158"/>
      <c r="HTR69" s="158"/>
      <c r="HTS69" s="157"/>
      <c r="HTT69" s="159"/>
      <c r="HTU69" s="157"/>
      <c r="HTV69" s="159"/>
      <c r="HTW69" s="160"/>
      <c r="HTX69" s="161"/>
      <c r="HTY69"/>
      <c r="HTZ69" s="162"/>
      <c r="HUA69"/>
      <c r="HUB69" s="155"/>
      <c r="HUC69" s="163"/>
      <c r="HUD69"/>
      <c r="HUE69" s="156"/>
      <c r="HUF69" s="157"/>
      <c r="HUG69" s="158"/>
      <c r="HUH69" s="158"/>
      <c r="HUI69" s="157"/>
      <c r="HUJ69" s="159"/>
      <c r="HUK69" s="157"/>
      <c r="HUL69" s="159"/>
      <c r="HUM69" s="160"/>
      <c r="HUN69" s="161"/>
      <c r="HUO69"/>
      <c r="HUP69" s="162"/>
      <c r="HUQ69"/>
      <c r="HUR69" s="155"/>
      <c r="HUS69" s="163"/>
      <c r="HUT69"/>
      <c r="HUU69" s="156"/>
      <c r="HUV69" s="157"/>
      <c r="HUW69" s="158"/>
      <c r="HUX69" s="158"/>
      <c r="HUY69" s="157"/>
      <c r="HUZ69" s="159"/>
      <c r="HVA69" s="157"/>
      <c r="HVB69" s="159"/>
      <c r="HVC69" s="160"/>
      <c r="HVD69" s="161"/>
      <c r="HVE69"/>
      <c r="HVF69" s="162"/>
      <c r="HVG69"/>
      <c r="HVH69" s="155"/>
      <c r="HVI69" s="163"/>
      <c r="HVJ69"/>
      <c r="HVK69" s="156"/>
      <c r="HVL69" s="157"/>
      <c r="HVM69" s="158"/>
      <c r="HVN69" s="158"/>
      <c r="HVO69" s="157"/>
      <c r="HVP69" s="159"/>
      <c r="HVQ69" s="157"/>
      <c r="HVR69" s="159"/>
      <c r="HVS69" s="160"/>
      <c r="HVT69" s="161"/>
      <c r="HVU69"/>
      <c r="HVV69" s="162"/>
      <c r="HVW69"/>
      <c r="HVX69" s="155"/>
      <c r="HVY69" s="163"/>
      <c r="HVZ69"/>
      <c r="HWA69" s="156"/>
      <c r="HWB69" s="157"/>
      <c r="HWC69" s="158"/>
      <c r="HWD69" s="158"/>
      <c r="HWE69" s="157"/>
      <c r="HWF69" s="159"/>
      <c r="HWG69" s="157"/>
      <c r="HWH69" s="159"/>
      <c r="HWI69" s="160"/>
      <c r="HWJ69" s="161"/>
      <c r="HWK69"/>
      <c r="HWL69" s="162"/>
      <c r="HWM69"/>
      <c r="HWN69" s="155"/>
      <c r="HWO69" s="163"/>
      <c r="HWP69"/>
      <c r="HWQ69" s="156"/>
      <c r="HWR69" s="157"/>
      <c r="HWS69" s="158"/>
      <c r="HWT69" s="158"/>
      <c r="HWU69" s="157"/>
      <c r="HWV69" s="159"/>
      <c r="HWW69" s="157"/>
      <c r="HWX69" s="159"/>
      <c r="HWY69" s="160"/>
      <c r="HWZ69" s="161"/>
      <c r="HXA69"/>
      <c r="HXB69" s="162"/>
      <c r="HXC69"/>
      <c r="HXD69" s="155"/>
      <c r="HXE69" s="163"/>
      <c r="HXF69"/>
      <c r="HXG69" s="156"/>
      <c r="HXH69" s="157"/>
      <c r="HXI69" s="158"/>
      <c r="HXJ69" s="158"/>
      <c r="HXK69" s="157"/>
      <c r="HXL69" s="159"/>
      <c r="HXM69" s="157"/>
      <c r="HXN69" s="159"/>
      <c r="HXO69" s="160"/>
      <c r="HXP69" s="161"/>
      <c r="HXQ69"/>
      <c r="HXR69" s="162"/>
      <c r="HXS69"/>
      <c r="HXT69" s="155"/>
      <c r="HXU69" s="163"/>
      <c r="HXV69"/>
      <c r="HXW69" s="156"/>
      <c r="HXX69" s="157"/>
      <c r="HXY69" s="158"/>
      <c r="HXZ69" s="158"/>
      <c r="HYA69" s="157"/>
      <c r="HYB69" s="159"/>
      <c r="HYC69" s="157"/>
      <c r="HYD69" s="159"/>
      <c r="HYE69" s="160"/>
      <c r="HYF69" s="161"/>
      <c r="HYG69"/>
      <c r="HYH69" s="162"/>
      <c r="HYI69"/>
      <c r="HYJ69" s="155"/>
      <c r="HYK69" s="163"/>
      <c r="HYL69"/>
      <c r="HYM69" s="156"/>
      <c r="HYN69" s="157"/>
      <c r="HYO69" s="158"/>
      <c r="HYP69" s="158"/>
      <c r="HYQ69" s="157"/>
      <c r="HYR69" s="159"/>
      <c r="HYS69" s="157"/>
      <c r="HYT69" s="159"/>
      <c r="HYU69" s="160"/>
      <c r="HYV69" s="161"/>
      <c r="HYW69"/>
      <c r="HYX69" s="162"/>
      <c r="HYY69"/>
      <c r="HYZ69" s="155"/>
      <c r="HZA69" s="163"/>
      <c r="HZB69"/>
      <c r="HZC69" s="156"/>
      <c r="HZD69" s="157"/>
      <c r="HZE69" s="158"/>
      <c r="HZF69" s="158"/>
      <c r="HZG69" s="157"/>
      <c r="HZH69" s="159"/>
      <c r="HZI69" s="157"/>
      <c r="HZJ69" s="159"/>
      <c r="HZK69" s="160"/>
      <c r="HZL69" s="161"/>
      <c r="HZM69"/>
      <c r="HZN69" s="162"/>
      <c r="HZO69"/>
      <c r="HZP69" s="155"/>
      <c r="HZQ69" s="163"/>
      <c r="HZR69"/>
      <c r="HZS69" s="156"/>
      <c r="HZT69" s="157"/>
      <c r="HZU69" s="158"/>
      <c r="HZV69" s="158"/>
      <c r="HZW69" s="157"/>
      <c r="HZX69" s="159"/>
      <c r="HZY69" s="157"/>
      <c r="HZZ69" s="159"/>
      <c r="IAA69" s="160"/>
      <c r="IAB69" s="161"/>
      <c r="IAC69"/>
      <c r="IAD69" s="162"/>
      <c r="IAE69"/>
      <c r="IAF69" s="155"/>
      <c r="IAG69" s="163"/>
      <c r="IAH69"/>
      <c r="IAI69" s="156"/>
      <c r="IAJ69" s="157"/>
      <c r="IAK69" s="158"/>
      <c r="IAL69" s="158"/>
      <c r="IAM69" s="157"/>
      <c r="IAN69" s="159"/>
      <c r="IAO69" s="157"/>
      <c r="IAP69" s="159"/>
      <c r="IAQ69" s="160"/>
      <c r="IAR69" s="161"/>
      <c r="IAS69"/>
      <c r="IAT69" s="162"/>
      <c r="IAU69"/>
      <c r="IAV69" s="155"/>
      <c r="IAW69" s="163"/>
      <c r="IAX69"/>
      <c r="IAY69" s="156"/>
      <c r="IAZ69" s="157"/>
      <c r="IBA69" s="158"/>
      <c r="IBB69" s="158"/>
      <c r="IBC69" s="157"/>
      <c r="IBD69" s="159"/>
      <c r="IBE69" s="157"/>
      <c r="IBF69" s="159"/>
      <c r="IBG69" s="160"/>
      <c r="IBH69" s="161"/>
      <c r="IBI69"/>
      <c r="IBJ69" s="162"/>
      <c r="IBK69"/>
      <c r="IBL69" s="155"/>
      <c r="IBM69" s="163"/>
      <c r="IBN69"/>
      <c r="IBO69" s="156"/>
      <c r="IBP69" s="157"/>
      <c r="IBQ69" s="158"/>
      <c r="IBR69" s="158"/>
      <c r="IBS69" s="157"/>
      <c r="IBT69" s="159"/>
      <c r="IBU69" s="157"/>
      <c r="IBV69" s="159"/>
      <c r="IBW69" s="160"/>
      <c r="IBX69" s="161"/>
      <c r="IBY69"/>
      <c r="IBZ69" s="162"/>
      <c r="ICA69"/>
      <c r="ICB69" s="155"/>
      <c r="ICC69" s="163"/>
      <c r="ICD69"/>
      <c r="ICE69" s="156"/>
      <c r="ICF69" s="157"/>
      <c r="ICG69" s="158"/>
      <c r="ICH69" s="158"/>
      <c r="ICI69" s="157"/>
      <c r="ICJ69" s="159"/>
      <c r="ICK69" s="157"/>
      <c r="ICL69" s="159"/>
      <c r="ICM69" s="160"/>
      <c r="ICN69" s="161"/>
      <c r="ICO69"/>
      <c r="ICP69" s="162"/>
      <c r="ICQ69"/>
      <c r="ICR69" s="155"/>
      <c r="ICS69" s="163"/>
      <c r="ICT69"/>
      <c r="ICU69" s="156"/>
      <c r="ICV69" s="157"/>
      <c r="ICW69" s="158"/>
      <c r="ICX69" s="158"/>
      <c r="ICY69" s="157"/>
      <c r="ICZ69" s="159"/>
      <c r="IDA69" s="157"/>
      <c r="IDB69" s="159"/>
      <c r="IDC69" s="160"/>
      <c r="IDD69" s="161"/>
      <c r="IDE69"/>
      <c r="IDF69" s="162"/>
      <c r="IDG69"/>
      <c r="IDH69" s="155"/>
      <c r="IDI69" s="163"/>
      <c r="IDJ69"/>
      <c r="IDK69" s="156"/>
      <c r="IDL69" s="157"/>
      <c r="IDM69" s="158"/>
      <c r="IDN69" s="158"/>
      <c r="IDO69" s="157"/>
      <c r="IDP69" s="159"/>
      <c r="IDQ69" s="157"/>
      <c r="IDR69" s="159"/>
      <c r="IDS69" s="160"/>
      <c r="IDT69" s="161"/>
      <c r="IDU69"/>
      <c r="IDV69" s="162"/>
      <c r="IDW69"/>
      <c r="IDX69" s="155"/>
      <c r="IDY69" s="163"/>
      <c r="IDZ69"/>
      <c r="IEA69" s="156"/>
      <c r="IEB69" s="157"/>
      <c r="IEC69" s="158"/>
      <c r="IED69" s="158"/>
      <c r="IEE69" s="157"/>
      <c r="IEF69" s="159"/>
      <c r="IEG69" s="157"/>
      <c r="IEH69" s="159"/>
      <c r="IEI69" s="160"/>
      <c r="IEJ69" s="161"/>
      <c r="IEK69"/>
      <c r="IEL69" s="162"/>
      <c r="IEM69"/>
      <c r="IEN69" s="155"/>
      <c r="IEO69" s="163"/>
      <c r="IEP69"/>
      <c r="IEQ69" s="156"/>
      <c r="IER69" s="157"/>
      <c r="IES69" s="158"/>
      <c r="IET69" s="158"/>
      <c r="IEU69" s="157"/>
      <c r="IEV69" s="159"/>
      <c r="IEW69" s="157"/>
      <c r="IEX69" s="159"/>
      <c r="IEY69" s="160"/>
      <c r="IEZ69" s="161"/>
      <c r="IFA69"/>
      <c r="IFB69" s="162"/>
      <c r="IFC69"/>
      <c r="IFD69" s="155"/>
      <c r="IFE69" s="163"/>
      <c r="IFF69"/>
      <c r="IFG69" s="156"/>
      <c r="IFH69" s="157"/>
      <c r="IFI69" s="158"/>
      <c r="IFJ69" s="158"/>
      <c r="IFK69" s="157"/>
      <c r="IFL69" s="159"/>
      <c r="IFM69" s="157"/>
      <c r="IFN69" s="159"/>
      <c r="IFO69" s="160"/>
      <c r="IFP69" s="161"/>
      <c r="IFQ69"/>
      <c r="IFR69" s="162"/>
      <c r="IFS69"/>
      <c r="IFT69" s="155"/>
      <c r="IFU69" s="163"/>
      <c r="IFV69"/>
      <c r="IFW69" s="156"/>
      <c r="IFX69" s="157"/>
      <c r="IFY69" s="158"/>
      <c r="IFZ69" s="158"/>
      <c r="IGA69" s="157"/>
      <c r="IGB69" s="159"/>
      <c r="IGC69" s="157"/>
      <c r="IGD69" s="159"/>
      <c r="IGE69" s="160"/>
      <c r="IGF69" s="161"/>
      <c r="IGG69"/>
      <c r="IGH69" s="162"/>
      <c r="IGI69"/>
      <c r="IGJ69" s="155"/>
      <c r="IGK69" s="163"/>
      <c r="IGL69"/>
      <c r="IGM69" s="156"/>
      <c r="IGN69" s="157"/>
      <c r="IGO69" s="158"/>
      <c r="IGP69" s="158"/>
      <c r="IGQ69" s="157"/>
      <c r="IGR69" s="159"/>
      <c r="IGS69" s="157"/>
      <c r="IGT69" s="159"/>
      <c r="IGU69" s="160"/>
      <c r="IGV69" s="161"/>
      <c r="IGW69"/>
      <c r="IGX69" s="162"/>
      <c r="IGY69"/>
      <c r="IGZ69" s="155"/>
      <c r="IHA69" s="163"/>
      <c r="IHB69"/>
      <c r="IHC69" s="156"/>
      <c r="IHD69" s="157"/>
      <c r="IHE69" s="158"/>
      <c r="IHF69" s="158"/>
      <c r="IHG69" s="157"/>
      <c r="IHH69" s="159"/>
      <c r="IHI69" s="157"/>
      <c r="IHJ69" s="159"/>
      <c r="IHK69" s="160"/>
      <c r="IHL69" s="161"/>
      <c r="IHM69"/>
      <c r="IHN69" s="162"/>
      <c r="IHO69"/>
      <c r="IHP69" s="155"/>
      <c r="IHQ69" s="163"/>
      <c r="IHR69"/>
      <c r="IHS69" s="156"/>
      <c r="IHT69" s="157"/>
      <c r="IHU69" s="158"/>
      <c r="IHV69" s="158"/>
      <c r="IHW69" s="157"/>
      <c r="IHX69" s="159"/>
      <c r="IHY69" s="157"/>
      <c r="IHZ69" s="159"/>
      <c r="IIA69" s="160"/>
      <c r="IIB69" s="161"/>
      <c r="IIC69"/>
      <c r="IID69" s="162"/>
      <c r="IIE69"/>
      <c r="IIF69" s="155"/>
      <c r="IIG69" s="163"/>
      <c r="IIH69"/>
      <c r="III69" s="156"/>
      <c r="IIJ69" s="157"/>
      <c r="IIK69" s="158"/>
      <c r="IIL69" s="158"/>
      <c r="IIM69" s="157"/>
      <c r="IIN69" s="159"/>
      <c r="IIO69" s="157"/>
      <c r="IIP69" s="159"/>
      <c r="IIQ69" s="160"/>
      <c r="IIR69" s="161"/>
      <c r="IIS69"/>
      <c r="IIT69" s="162"/>
      <c r="IIU69"/>
      <c r="IIV69" s="155"/>
      <c r="IIW69" s="163"/>
      <c r="IIX69"/>
      <c r="IIY69" s="156"/>
      <c r="IIZ69" s="157"/>
      <c r="IJA69" s="158"/>
      <c r="IJB69" s="158"/>
      <c r="IJC69" s="157"/>
      <c r="IJD69" s="159"/>
      <c r="IJE69" s="157"/>
      <c r="IJF69" s="159"/>
      <c r="IJG69" s="160"/>
      <c r="IJH69" s="161"/>
      <c r="IJI69"/>
      <c r="IJJ69" s="162"/>
      <c r="IJK69"/>
      <c r="IJL69" s="155"/>
      <c r="IJM69" s="163"/>
      <c r="IJN69"/>
      <c r="IJO69" s="156"/>
      <c r="IJP69" s="157"/>
      <c r="IJQ69" s="158"/>
      <c r="IJR69" s="158"/>
      <c r="IJS69" s="157"/>
      <c r="IJT69" s="159"/>
      <c r="IJU69" s="157"/>
      <c r="IJV69" s="159"/>
      <c r="IJW69" s="160"/>
      <c r="IJX69" s="161"/>
      <c r="IJY69"/>
      <c r="IJZ69" s="162"/>
      <c r="IKA69"/>
      <c r="IKB69" s="155"/>
      <c r="IKC69" s="163"/>
      <c r="IKD69"/>
      <c r="IKE69" s="156"/>
      <c r="IKF69" s="157"/>
      <c r="IKG69" s="158"/>
      <c r="IKH69" s="158"/>
      <c r="IKI69" s="157"/>
      <c r="IKJ69" s="159"/>
      <c r="IKK69" s="157"/>
      <c r="IKL69" s="159"/>
      <c r="IKM69" s="160"/>
      <c r="IKN69" s="161"/>
      <c r="IKO69"/>
      <c r="IKP69" s="162"/>
      <c r="IKQ69"/>
      <c r="IKR69" s="155"/>
      <c r="IKS69" s="163"/>
      <c r="IKT69"/>
      <c r="IKU69" s="156"/>
      <c r="IKV69" s="157"/>
      <c r="IKW69" s="158"/>
      <c r="IKX69" s="158"/>
      <c r="IKY69" s="157"/>
      <c r="IKZ69" s="159"/>
      <c r="ILA69" s="157"/>
      <c r="ILB69" s="159"/>
      <c r="ILC69" s="160"/>
      <c r="ILD69" s="161"/>
      <c r="ILE69"/>
      <c r="ILF69" s="162"/>
      <c r="ILG69"/>
      <c r="ILH69" s="155"/>
      <c r="ILI69" s="163"/>
      <c r="ILJ69"/>
      <c r="ILK69" s="156"/>
      <c r="ILL69" s="157"/>
      <c r="ILM69" s="158"/>
      <c r="ILN69" s="158"/>
      <c r="ILO69" s="157"/>
      <c r="ILP69" s="159"/>
      <c r="ILQ69" s="157"/>
      <c r="ILR69" s="159"/>
      <c r="ILS69" s="160"/>
      <c r="ILT69" s="161"/>
      <c r="ILU69"/>
      <c r="ILV69" s="162"/>
      <c r="ILW69"/>
      <c r="ILX69" s="155"/>
      <c r="ILY69" s="163"/>
      <c r="ILZ69"/>
      <c r="IMA69" s="156"/>
      <c r="IMB69" s="157"/>
      <c r="IMC69" s="158"/>
      <c r="IMD69" s="158"/>
      <c r="IME69" s="157"/>
      <c r="IMF69" s="159"/>
      <c r="IMG69" s="157"/>
      <c r="IMH69" s="159"/>
      <c r="IMI69" s="160"/>
      <c r="IMJ69" s="161"/>
      <c r="IMK69"/>
      <c r="IML69" s="162"/>
      <c r="IMM69"/>
      <c r="IMN69" s="155"/>
      <c r="IMO69" s="163"/>
      <c r="IMP69"/>
      <c r="IMQ69" s="156"/>
      <c r="IMR69" s="157"/>
      <c r="IMS69" s="158"/>
      <c r="IMT69" s="158"/>
      <c r="IMU69" s="157"/>
      <c r="IMV69" s="159"/>
      <c r="IMW69" s="157"/>
      <c r="IMX69" s="159"/>
      <c r="IMY69" s="160"/>
      <c r="IMZ69" s="161"/>
      <c r="INA69"/>
      <c r="INB69" s="162"/>
      <c r="INC69"/>
      <c r="IND69" s="155"/>
      <c r="INE69" s="163"/>
      <c r="INF69"/>
      <c r="ING69" s="156"/>
      <c r="INH69" s="157"/>
      <c r="INI69" s="158"/>
      <c r="INJ69" s="158"/>
      <c r="INK69" s="157"/>
      <c r="INL69" s="159"/>
      <c r="INM69" s="157"/>
      <c r="INN69" s="159"/>
      <c r="INO69" s="160"/>
      <c r="INP69" s="161"/>
      <c r="INQ69"/>
      <c r="INR69" s="162"/>
      <c r="INS69"/>
      <c r="INT69" s="155"/>
      <c r="INU69" s="163"/>
      <c r="INV69"/>
      <c r="INW69" s="156"/>
      <c r="INX69" s="157"/>
      <c r="INY69" s="158"/>
      <c r="INZ69" s="158"/>
      <c r="IOA69" s="157"/>
      <c r="IOB69" s="159"/>
      <c r="IOC69" s="157"/>
      <c r="IOD69" s="159"/>
      <c r="IOE69" s="160"/>
      <c r="IOF69" s="161"/>
      <c r="IOG69"/>
      <c r="IOH69" s="162"/>
      <c r="IOI69"/>
      <c r="IOJ69" s="155"/>
      <c r="IOK69" s="163"/>
      <c r="IOL69"/>
      <c r="IOM69" s="156"/>
      <c r="ION69" s="157"/>
      <c r="IOO69" s="158"/>
      <c r="IOP69" s="158"/>
      <c r="IOQ69" s="157"/>
      <c r="IOR69" s="159"/>
      <c r="IOS69" s="157"/>
      <c r="IOT69" s="159"/>
      <c r="IOU69" s="160"/>
      <c r="IOV69" s="161"/>
      <c r="IOW69"/>
      <c r="IOX69" s="162"/>
      <c r="IOY69"/>
      <c r="IOZ69" s="155"/>
      <c r="IPA69" s="163"/>
      <c r="IPB69"/>
      <c r="IPC69" s="156"/>
      <c r="IPD69" s="157"/>
      <c r="IPE69" s="158"/>
      <c r="IPF69" s="158"/>
      <c r="IPG69" s="157"/>
      <c r="IPH69" s="159"/>
      <c r="IPI69" s="157"/>
      <c r="IPJ69" s="159"/>
      <c r="IPK69" s="160"/>
      <c r="IPL69" s="161"/>
      <c r="IPM69"/>
      <c r="IPN69" s="162"/>
      <c r="IPO69"/>
      <c r="IPP69" s="155"/>
      <c r="IPQ69" s="163"/>
      <c r="IPR69"/>
      <c r="IPS69" s="156"/>
      <c r="IPT69" s="157"/>
      <c r="IPU69" s="158"/>
      <c r="IPV69" s="158"/>
      <c r="IPW69" s="157"/>
      <c r="IPX69" s="159"/>
      <c r="IPY69" s="157"/>
      <c r="IPZ69" s="159"/>
      <c r="IQA69" s="160"/>
      <c r="IQB69" s="161"/>
      <c r="IQC69"/>
      <c r="IQD69" s="162"/>
      <c r="IQE69"/>
      <c r="IQF69" s="155"/>
      <c r="IQG69" s="163"/>
      <c r="IQH69"/>
      <c r="IQI69" s="156"/>
      <c r="IQJ69" s="157"/>
      <c r="IQK69" s="158"/>
      <c r="IQL69" s="158"/>
      <c r="IQM69" s="157"/>
      <c r="IQN69" s="159"/>
      <c r="IQO69" s="157"/>
      <c r="IQP69" s="159"/>
      <c r="IQQ69" s="160"/>
      <c r="IQR69" s="161"/>
      <c r="IQS69"/>
      <c r="IQT69" s="162"/>
      <c r="IQU69"/>
      <c r="IQV69" s="155"/>
      <c r="IQW69" s="163"/>
      <c r="IQX69"/>
      <c r="IQY69" s="156"/>
      <c r="IQZ69" s="157"/>
      <c r="IRA69" s="158"/>
      <c r="IRB69" s="158"/>
      <c r="IRC69" s="157"/>
      <c r="IRD69" s="159"/>
      <c r="IRE69" s="157"/>
      <c r="IRF69" s="159"/>
      <c r="IRG69" s="160"/>
      <c r="IRH69" s="161"/>
      <c r="IRI69"/>
      <c r="IRJ69" s="162"/>
      <c r="IRK69"/>
      <c r="IRL69" s="155"/>
      <c r="IRM69" s="163"/>
      <c r="IRN69"/>
      <c r="IRO69" s="156"/>
      <c r="IRP69" s="157"/>
      <c r="IRQ69" s="158"/>
      <c r="IRR69" s="158"/>
      <c r="IRS69" s="157"/>
      <c r="IRT69" s="159"/>
      <c r="IRU69" s="157"/>
      <c r="IRV69" s="159"/>
      <c r="IRW69" s="160"/>
      <c r="IRX69" s="161"/>
      <c r="IRY69"/>
      <c r="IRZ69" s="162"/>
      <c r="ISA69"/>
      <c r="ISB69" s="155"/>
      <c r="ISC69" s="163"/>
      <c r="ISD69"/>
      <c r="ISE69" s="156"/>
      <c r="ISF69" s="157"/>
      <c r="ISG69" s="158"/>
      <c r="ISH69" s="158"/>
      <c r="ISI69" s="157"/>
      <c r="ISJ69" s="159"/>
      <c r="ISK69" s="157"/>
      <c r="ISL69" s="159"/>
      <c r="ISM69" s="160"/>
      <c r="ISN69" s="161"/>
      <c r="ISO69"/>
      <c r="ISP69" s="162"/>
      <c r="ISQ69"/>
      <c r="ISR69" s="155"/>
      <c r="ISS69" s="163"/>
      <c r="IST69"/>
      <c r="ISU69" s="156"/>
      <c r="ISV69" s="157"/>
      <c r="ISW69" s="158"/>
      <c r="ISX69" s="158"/>
      <c r="ISY69" s="157"/>
      <c r="ISZ69" s="159"/>
      <c r="ITA69" s="157"/>
      <c r="ITB69" s="159"/>
      <c r="ITC69" s="160"/>
      <c r="ITD69" s="161"/>
      <c r="ITE69"/>
      <c r="ITF69" s="162"/>
      <c r="ITG69"/>
      <c r="ITH69" s="155"/>
      <c r="ITI69" s="163"/>
      <c r="ITJ69"/>
      <c r="ITK69" s="156"/>
      <c r="ITL69" s="157"/>
      <c r="ITM69" s="158"/>
      <c r="ITN69" s="158"/>
      <c r="ITO69" s="157"/>
      <c r="ITP69" s="159"/>
      <c r="ITQ69" s="157"/>
      <c r="ITR69" s="159"/>
      <c r="ITS69" s="160"/>
      <c r="ITT69" s="161"/>
      <c r="ITU69"/>
      <c r="ITV69" s="162"/>
      <c r="ITW69"/>
      <c r="ITX69" s="155"/>
      <c r="ITY69" s="163"/>
      <c r="ITZ69"/>
      <c r="IUA69" s="156"/>
      <c r="IUB69" s="157"/>
      <c r="IUC69" s="158"/>
      <c r="IUD69" s="158"/>
      <c r="IUE69" s="157"/>
      <c r="IUF69" s="159"/>
      <c r="IUG69" s="157"/>
      <c r="IUH69" s="159"/>
      <c r="IUI69" s="160"/>
      <c r="IUJ69" s="161"/>
      <c r="IUK69"/>
      <c r="IUL69" s="162"/>
      <c r="IUM69"/>
      <c r="IUN69" s="155"/>
      <c r="IUO69" s="163"/>
      <c r="IUP69"/>
      <c r="IUQ69" s="156"/>
      <c r="IUR69" s="157"/>
      <c r="IUS69" s="158"/>
      <c r="IUT69" s="158"/>
      <c r="IUU69" s="157"/>
      <c r="IUV69" s="159"/>
      <c r="IUW69" s="157"/>
      <c r="IUX69" s="159"/>
      <c r="IUY69" s="160"/>
      <c r="IUZ69" s="161"/>
      <c r="IVA69"/>
      <c r="IVB69" s="162"/>
      <c r="IVC69"/>
      <c r="IVD69" s="155"/>
      <c r="IVE69" s="163"/>
      <c r="IVF69"/>
      <c r="IVG69" s="156"/>
      <c r="IVH69" s="157"/>
      <c r="IVI69" s="158"/>
      <c r="IVJ69" s="158"/>
      <c r="IVK69" s="157"/>
      <c r="IVL69" s="159"/>
      <c r="IVM69" s="157"/>
      <c r="IVN69" s="159"/>
      <c r="IVO69" s="160"/>
      <c r="IVP69" s="161"/>
      <c r="IVQ69"/>
      <c r="IVR69" s="162"/>
      <c r="IVS69"/>
      <c r="IVT69" s="155"/>
      <c r="IVU69" s="163"/>
      <c r="IVV69"/>
      <c r="IVW69" s="156"/>
      <c r="IVX69" s="157"/>
      <c r="IVY69" s="158"/>
      <c r="IVZ69" s="158"/>
      <c r="IWA69" s="157"/>
      <c r="IWB69" s="159"/>
      <c r="IWC69" s="157"/>
      <c r="IWD69" s="159"/>
      <c r="IWE69" s="160"/>
      <c r="IWF69" s="161"/>
      <c r="IWG69"/>
      <c r="IWH69" s="162"/>
      <c r="IWI69"/>
      <c r="IWJ69" s="155"/>
      <c r="IWK69" s="163"/>
      <c r="IWL69"/>
      <c r="IWM69" s="156"/>
      <c r="IWN69" s="157"/>
      <c r="IWO69" s="158"/>
      <c r="IWP69" s="158"/>
      <c r="IWQ69" s="157"/>
      <c r="IWR69" s="159"/>
      <c r="IWS69" s="157"/>
      <c r="IWT69" s="159"/>
      <c r="IWU69" s="160"/>
      <c r="IWV69" s="161"/>
      <c r="IWW69"/>
      <c r="IWX69" s="162"/>
      <c r="IWY69"/>
      <c r="IWZ69" s="155"/>
      <c r="IXA69" s="163"/>
      <c r="IXB69"/>
      <c r="IXC69" s="156"/>
      <c r="IXD69" s="157"/>
      <c r="IXE69" s="158"/>
      <c r="IXF69" s="158"/>
      <c r="IXG69" s="157"/>
      <c r="IXH69" s="159"/>
      <c r="IXI69" s="157"/>
      <c r="IXJ69" s="159"/>
      <c r="IXK69" s="160"/>
      <c r="IXL69" s="161"/>
      <c r="IXM69"/>
      <c r="IXN69" s="162"/>
      <c r="IXO69"/>
      <c r="IXP69" s="155"/>
      <c r="IXQ69" s="163"/>
      <c r="IXR69"/>
      <c r="IXS69" s="156"/>
      <c r="IXT69" s="157"/>
      <c r="IXU69" s="158"/>
      <c r="IXV69" s="158"/>
      <c r="IXW69" s="157"/>
      <c r="IXX69" s="159"/>
      <c r="IXY69" s="157"/>
      <c r="IXZ69" s="159"/>
      <c r="IYA69" s="160"/>
      <c r="IYB69" s="161"/>
      <c r="IYC69"/>
      <c r="IYD69" s="162"/>
      <c r="IYE69"/>
      <c r="IYF69" s="155"/>
      <c r="IYG69" s="163"/>
      <c r="IYH69"/>
      <c r="IYI69" s="156"/>
      <c r="IYJ69" s="157"/>
      <c r="IYK69" s="158"/>
      <c r="IYL69" s="158"/>
      <c r="IYM69" s="157"/>
      <c r="IYN69" s="159"/>
      <c r="IYO69" s="157"/>
      <c r="IYP69" s="159"/>
      <c r="IYQ69" s="160"/>
      <c r="IYR69" s="161"/>
      <c r="IYS69"/>
      <c r="IYT69" s="162"/>
      <c r="IYU69"/>
      <c r="IYV69" s="155"/>
      <c r="IYW69" s="163"/>
      <c r="IYX69"/>
      <c r="IYY69" s="156"/>
      <c r="IYZ69" s="157"/>
      <c r="IZA69" s="158"/>
      <c r="IZB69" s="158"/>
      <c r="IZC69" s="157"/>
      <c r="IZD69" s="159"/>
      <c r="IZE69" s="157"/>
      <c r="IZF69" s="159"/>
      <c r="IZG69" s="160"/>
      <c r="IZH69" s="161"/>
      <c r="IZI69"/>
      <c r="IZJ69" s="162"/>
      <c r="IZK69"/>
      <c r="IZL69" s="155"/>
      <c r="IZM69" s="163"/>
      <c r="IZN69"/>
      <c r="IZO69" s="156"/>
      <c r="IZP69" s="157"/>
      <c r="IZQ69" s="158"/>
      <c r="IZR69" s="158"/>
      <c r="IZS69" s="157"/>
      <c r="IZT69" s="159"/>
      <c r="IZU69" s="157"/>
      <c r="IZV69" s="159"/>
      <c r="IZW69" s="160"/>
      <c r="IZX69" s="161"/>
      <c r="IZY69"/>
      <c r="IZZ69" s="162"/>
      <c r="JAA69"/>
      <c r="JAB69" s="155"/>
      <c r="JAC69" s="163"/>
      <c r="JAD69"/>
      <c r="JAE69" s="156"/>
      <c r="JAF69" s="157"/>
      <c r="JAG69" s="158"/>
      <c r="JAH69" s="158"/>
      <c r="JAI69" s="157"/>
      <c r="JAJ69" s="159"/>
      <c r="JAK69" s="157"/>
      <c r="JAL69" s="159"/>
      <c r="JAM69" s="160"/>
      <c r="JAN69" s="161"/>
      <c r="JAO69"/>
      <c r="JAP69" s="162"/>
      <c r="JAQ69"/>
      <c r="JAR69" s="155"/>
      <c r="JAS69" s="163"/>
      <c r="JAT69"/>
      <c r="JAU69" s="156"/>
      <c r="JAV69" s="157"/>
      <c r="JAW69" s="158"/>
      <c r="JAX69" s="158"/>
      <c r="JAY69" s="157"/>
      <c r="JAZ69" s="159"/>
      <c r="JBA69" s="157"/>
      <c r="JBB69" s="159"/>
      <c r="JBC69" s="160"/>
      <c r="JBD69" s="161"/>
      <c r="JBE69"/>
      <c r="JBF69" s="162"/>
      <c r="JBG69"/>
      <c r="JBH69" s="155"/>
      <c r="JBI69" s="163"/>
      <c r="JBJ69"/>
      <c r="JBK69" s="156"/>
      <c r="JBL69" s="157"/>
      <c r="JBM69" s="158"/>
      <c r="JBN69" s="158"/>
      <c r="JBO69" s="157"/>
      <c r="JBP69" s="159"/>
      <c r="JBQ69" s="157"/>
      <c r="JBR69" s="159"/>
      <c r="JBS69" s="160"/>
      <c r="JBT69" s="161"/>
      <c r="JBU69"/>
      <c r="JBV69" s="162"/>
      <c r="JBW69"/>
      <c r="JBX69" s="155"/>
      <c r="JBY69" s="163"/>
      <c r="JBZ69"/>
      <c r="JCA69" s="156"/>
      <c r="JCB69" s="157"/>
      <c r="JCC69" s="158"/>
      <c r="JCD69" s="158"/>
      <c r="JCE69" s="157"/>
      <c r="JCF69" s="159"/>
      <c r="JCG69" s="157"/>
      <c r="JCH69" s="159"/>
      <c r="JCI69" s="160"/>
      <c r="JCJ69" s="161"/>
      <c r="JCK69"/>
      <c r="JCL69" s="162"/>
      <c r="JCM69"/>
      <c r="JCN69" s="155"/>
      <c r="JCO69" s="163"/>
      <c r="JCP69"/>
      <c r="JCQ69" s="156"/>
      <c r="JCR69" s="157"/>
      <c r="JCS69" s="158"/>
      <c r="JCT69" s="158"/>
      <c r="JCU69" s="157"/>
      <c r="JCV69" s="159"/>
      <c r="JCW69" s="157"/>
      <c r="JCX69" s="159"/>
      <c r="JCY69" s="160"/>
      <c r="JCZ69" s="161"/>
      <c r="JDA69"/>
      <c r="JDB69" s="162"/>
      <c r="JDC69"/>
      <c r="JDD69" s="155"/>
      <c r="JDE69" s="163"/>
      <c r="JDF69"/>
      <c r="JDG69" s="156"/>
      <c r="JDH69" s="157"/>
      <c r="JDI69" s="158"/>
      <c r="JDJ69" s="158"/>
      <c r="JDK69" s="157"/>
      <c r="JDL69" s="159"/>
      <c r="JDM69" s="157"/>
      <c r="JDN69" s="159"/>
      <c r="JDO69" s="160"/>
      <c r="JDP69" s="161"/>
      <c r="JDQ69"/>
      <c r="JDR69" s="162"/>
      <c r="JDS69"/>
      <c r="JDT69" s="155"/>
      <c r="JDU69" s="163"/>
      <c r="JDV69"/>
      <c r="JDW69" s="156"/>
      <c r="JDX69" s="157"/>
      <c r="JDY69" s="158"/>
      <c r="JDZ69" s="158"/>
      <c r="JEA69" s="157"/>
      <c r="JEB69" s="159"/>
      <c r="JEC69" s="157"/>
      <c r="JED69" s="159"/>
      <c r="JEE69" s="160"/>
      <c r="JEF69" s="161"/>
      <c r="JEG69"/>
      <c r="JEH69" s="162"/>
      <c r="JEI69"/>
      <c r="JEJ69" s="155"/>
      <c r="JEK69" s="163"/>
      <c r="JEL69"/>
      <c r="JEM69" s="156"/>
      <c r="JEN69" s="157"/>
      <c r="JEO69" s="158"/>
      <c r="JEP69" s="158"/>
      <c r="JEQ69" s="157"/>
      <c r="JER69" s="159"/>
      <c r="JES69" s="157"/>
      <c r="JET69" s="159"/>
      <c r="JEU69" s="160"/>
      <c r="JEV69" s="161"/>
      <c r="JEW69"/>
      <c r="JEX69" s="162"/>
      <c r="JEY69"/>
      <c r="JEZ69" s="155"/>
      <c r="JFA69" s="163"/>
      <c r="JFB69"/>
      <c r="JFC69" s="156"/>
      <c r="JFD69" s="157"/>
      <c r="JFE69" s="158"/>
      <c r="JFF69" s="158"/>
      <c r="JFG69" s="157"/>
      <c r="JFH69" s="159"/>
      <c r="JFI69" s="157"/>
      <c r="JFJ69" s="159"/>
      <c r="JFK69" s="160"/>
      <c r="JFL69" s="161"/>
      <c r="JFM69"/>
      <c r="JFN69" s="162"/>
      <c r="JFO69"/>
      <c r="JFP69" s="155"/>
      <c r="JFQ69" s="163"/>
      <c r="JFR69"/>
      <c r="JFS69" s="156"/>
      <c r="JFT69" s="157"/>
      <c r="JFU69" s="158"/>
      <c r="JFV69" s="158"/>
      <c r="JFW69" s="157"/>
      <c r="JFX69" s="159"/>
      <c r="JFY69" s="157"/>
      <c r="JFZ69" s="159"/>
      <c r="JGA69" s="160"/>
      <c r="JGB69" s="161"/>
      <c r="JGC69"/>
      <c r="JGD69" s="162"/>
      <c r="JGE69"/>
      <c r="JGF69" s="155"/>
      <c r="JGG69" s="163"/>
      <c r="JGH69"/>
      <c r="JGI69" s="156"/>
      <c r="JGJ69" s="157"/>
      <c r="JGK69" s="158"/>
      <c r="JGL69" s="158"/>
      <c r="JGM69" s="157"/>
      <c r="JGN69" s="159"/>
      <c r="JGO69" s="157"/>
      <c r="JGP69" s="159"/>
      <c r="JGQ69" s="160"/>
      <c r="JGR69" s="161"/>
      <c r="JGS69"/>
      <c r="JGT69" s="162"/>
      <c r="JGU69"/>
      <c r="JGV69" s="155"/>
      <c r="JGW69" s="163"/>
      <c r="JGX69"/>
      <c r="JGY69" s="156"/>
      <c r="JGZ69" s="157"/>
      <c r="JHA69" s="158"/>
      <c r="JHB69" s="158"/>
      <c r="JHC69" s="157"/>
      <c r="JHD69" s="159"/>
      <c r="JHE69" s="157"/>
      <c r="JHF69" s="159"/>
      <c r="JHG69" s="160"/>
      <c r="JHH69" s="161"/>
      <c r="JHI69"/>
      <c r="JHJ69" s="162"/>
      <c r="JHK69"/>
      <c r="JHL69" s="155"/>
      <c r="JHM69" s="163"/>
      <c r="JHN69"/>
      <c r="JHO69" s="156"/>
      <c r="JHP69" s="157"/>
      <c r="JHQ69" s="158"/>
      <c r="JHR69" s="158"/>
      <c r="JHS69" s="157"/>
      <c r="JHT69" s="159"/>
      <c r="JHU69" s="157"/>
      <c r="JHV69" s="159"/>
      <c r="JHW69" s="160"/>
      <c r="JHX69" s="161"/>
      <c r="JHY69"/>
      <c r="JHZ69" s="162"/>
      <c r="JIA69"/>
      <c r="JIB69" s="155"/>
      <c r="JIC69" s="163"/>
      <c r="JID69"/>
      <c r="JIE69" s="156"/>
      <c r="JIF69" s="157"/>
      <c r="JIG69" s="158"/>
      <c r="JIH69" s="158"/>
      <c r="JII69" s="157"/>
      <c r="JIJ69" s="159"/>
      <c r="JIK69" s="157"/>
      <c r="JIL69" s="159"/>
      <c r="JIM69" s="160"/>
      <c r="JIN69" s="161"/>
      <c r="JIO69"/>
      <c r="JIP69" s="162"/>
      <c r="JIQ69"/>
      <c r="JIR69" s="155"/>
      <c r="JIS69" s="163"/>
      <c r="JIT69"/>
      <c r="JIU69" s="156"/>
      <c r="JIV69" s="157"/>
      <c r="JIW69" s="158"/>
      <c r="JIX69" s="158"/>
      <c r="JIY69" s="157"/>
      <c r="JIZ69" s="159"/>
      <c r="JJA69" s="157"/>
      <c r="JJB69" s="159"/>
      <c r="JJC69" s="160"/>
      <c r="JJD69" s="161"/>
      <c r="JJE69"/>
      <c r="JJF69" s="162"/>
      <c r="JJG69"/>
      <c r="JJH69" s="155"/>
      <c r="JJI69" s="163"/>
      <c r="JJJ69"/>
      <c r="JJK69" s="156"/>
      <c r="JJL69" s="157"/>
      <c r="JJM69" s="158"/>
      <c r="JJN69" s="158"/>
      <c r="JJO69" s="157"/>
      <c r="JJP69" s="159"/>
      <c r="JJQ69" s="157"/>
      <c r="JJR69" s="159"/>
      <c r="JJS69" s="160"/>
      <c r="JJT69" s="161"/>
      <c r="JJU69"/>
      <c r="JJV69" s="162"/>
      <c r="JJW69"/>
      <c r="JJX69" s="155"/>
      <c r="JJY69" s="163"/>
      <c r="JJZ69"/>
      <c r="JKA69" s="156"/>
      <c r="JKB69" s="157"/>
      <c r="JKC69" s="158"/>
      <c r="JKD69" s="158"/>
      <c r="JKE69" s="157"/>
      <c r="JKF69" s="159"/>
      <c r="JKG69" s="157"/>
      <c r="JKH69" s="159"/>
      <c r="JKI69" s="160"/>
      <c r="JKJ69" s="161"/>
      <c r="JKK69"/>
      <c r="JKL69" s="162"/>
      <c r="JKM69"/>
      <c r="JKN69" s="155"/>
      <c r="JKO69" s="163"/>
      <c r="JKP69"/>
      <c r="JKQ69" s="156"/>
      <c r="JKR69" s="157"/>
      <c r="JKS69" s="158"/>
      <c r="JKT69" s="158"/>
      <c r="JKU69" s="157"/>
      <c r="JKV69" s="159"/>
      <c r="JKW69" s="157"/>
      <c r="JKX69" s="159"/>
      <c r="JKY69" s="160"/>
      <c r="JKZ69" s="161"/>
      <c r="JLA69"/>
      <c r="JLB69" s="162"/>
      <c r="JLC69"/>
      <c r="JLD69" s="155"/>
      <c r="JLE69" s="163"/>
      <c r="JLF69"/>
      <c r="JLG69" s="156"/>
      <c r="JLH69" s="157"/>
      <c r="JLI69" s="158"/>
      <c r="JLJ69" s="158"/>
      <c r="JLK69" s="157"/>
      <c r="JLL69" s="159"/>
      <c r="JLM69" s="157"/>
      <c r="JLN69" s="159"/>
      <c r="JLO69" s="160"/>
      <c r="JLP69" s="161"/>
      <c r="JLQ69"/>
      <c r="JLR69" s="162"/>
      <c r="JLS69"/>
      <c r="JLT69" s="155"/>
      <c r="JLU69" s="163"/>
      <c r="JLV69"/>
      <c r="JLW69" s="156"/>
      <c r="JLX69" s="157"/>
      <c r="JLY69" s="158"/>
      <c r="JLZ69" s="158"/>
      <c r="JMA69" s="157"/>
      <c r="JMB69" s="159"/>
      <c r="JMC69" s="157"/>
      <c r="JMD69" s="159"/>
      <c r="JME69" s="160"/>
      <c r="JMF69" s="161"/>
      <c r="JMG69"/>
      <c r="JMH69" s="162"/>
      <c r="JMI69"/>
      <c r="JMJ69" s="155"/>
      <c r="JMK69" s="163"/>
      <c r="JML69"/>
      <c r="JMM69" s="156"/>
      <c r="JMN69" s="157"/>
      <c r="JMO69" s="158"/>
      <c r="JMP69" s="158"/>
      <c r="JMQ69" s="157"/>
      <c r="JMR69" s="159"/>
      <c r="JMS69" s="157"/>
      <c r="JMT69" s="159"/>
      <c r="JMU69" s="160"/>
      <c r="JMV69" s="161"/>
      <c r="JMW69"/>
      <c r="JMX69" s="162"/>
      <c r="JMY69"/>
      <c r="JMZ69" s="155"/>
      <c r="JNA69" s="163"/>
      <c r="JNB69"/>
      <c r="JNC69" s="156"/>
      <c r="JND69" s="157"/>
      <c r="JNE69" s="158"/>
      <c r="JNF69" s="158"/>
      <c r="JNG69" s="157"/>
      <c r="JNH69" s="159"/>
      <c r="JNI69" s="157"/>
      <c r="JNJ69" s="159"/>
      <c r="JNK69" s="160"/>
      <c r="JNL69" s="161"/>
      <c r="JNM69"/>
      <c r="JNN69" s="162"/>
      <c r="JNO69"/>
      <c r="JNP69" s="155"/>
      <c r="JNQ69" s="163"/>
      <c r="JNR69"/>
      <c r="JNS69" s="156"/>
      <c r="JNT69" s="157"/>
      <c r="JNU69" s="158"/>
      <c r="JNV69" s="158"/>
      <c r="JNW69" s="157"/>
      <c r="JNX69" s="159"/>
      <c r="JNY69" s="157"/>
      <c r="JNZ69" s="159"/>
      <c r="JOA69" s="160"/>
      <c r="JOB69" s="161"/>
      <c r="JOC69"/>
      <c r="JOD69" s="162"/>
      <c r="JOE69"/>
      <c r="JOF69" s="155"/>
      <c r="JOG69" s="163"/>
      <c r="JOH69"/>
      <c r="JOI69" s="156"/>
      <c r="JOJ69" s="157"/>
      <c r="JOK69" s="158"/>
      <c r="JOL69" s="158"/>
      <c r="JOM69" s="157"/>
      <c r="JON69" s="159"/>
      <c r="JOO69" s="157"/>
      <c r="JOP69" s="159"/>
      <c r="JOQ69" s="160"/>
      <c r="JOR69" s="161"/>
      <c r="JOS69"/>
      <c r="JOT69" s="162"/>
      <c r="JOU69"/>
      <c r="JOV69" s="155"/>
      <c r="JOW69" s="163"/>
      <c r="JOX69"/>
      <c r="JOY69" s="156"/>
      <c r="JOZ69" s="157"/>
      <c r="JPA69" s="158"/>
      <c r="JPB69" s="158"/>
      <c r="JPC69" s="157"/>
      <c r="JPD69" s="159"/>
      <c r="JPE69" s="157"/>
      <c r="JPF69" s="159"/>
      <c r="JPG69" s="160"/>
      <c r="JPH69" s="161"/>
      <c r="JPI69"/>
      <c r="JPJ69" s="162"/>
      <c r="JPK69"/>
      <c r="JPL69" s="155"/>
      <c r="JPM69" s="163"/>
      <c r="JPN69"/>
      <c r="JPO69" s="156"/>
      <c r="JPP69" s="157"/>
      <c r="JPQ69" s="158"/>
      <c r="JPR69" s="158"/>
      <c r="JPS69" s="157"/>
      <c r="JPT69" s="159"/>
      <c r="JPU69" s="157"/>
      <c r="JPV69" s="159"/>
      <c r="JPW69" s="160"/>
      <c r="JPX69" s="161"/>
      <c r="JPY69"/>
      <c r="JPZ69" s="162"/>
      <c r="JQA69"/>
      <c r="JQB69" s="155"/>
      <c r="JQC69" s="163"/>
      <c r="JQD69"/>
      <c r="JQE69" s="156"/>
      <c r="JQF69" s="157"/>
      <c r="JQG69" s="158"/>
      <c r="JQH69" s="158"/>
      <c r="JQI69" s="157"/>
      <c r="JQJ69" s="159"/>
      <c r="JQK69" s="157"/>
      <c r="JQL69" s="159"/>
      <c r="JQM69" s="160"/>
      <c r="JQN69" s="161"/>
      <c r="JQO69"/>
      <c r="JQP69" s="162"/>
      <c r="JQQ69"/>
      <c r="JQR69" s="155"/>
      <c r="JQS69" s="163"/>
      <c r="JQT69"/>
      <c r="JQU69" s="156"/>
      <c r="JQV69" s="157"/>
      <c r="JQW69" s="158"/>
      <c r="JQX69" s="158"/>
      <c r="JQY69" s="157"/>
      <c r="JQZ69" s="159"/>
      <c r="JRA69" s="157"/>
      <c r="JRB69" s="159"/>
      <c r="JRC69" s="160"/>
      <c r="JRD69" s="161"/>
      <c r="JRE69"/>
      <c r="JRF69" s="162"/>
      <c r="JRG69"/>
      <c r="JRH69" s="155"/>
      <c r="JRI69" s="163"/>
      <c r="JRJ69"/>
      <c r="JRK69" s="156"/>
      <c r="JRL69" s="157"/>
      <c r="JRM69" s="158"/>
      <c r="JRN69" s="158"/>
      <c r="JRO69" s="157"/>
      <c r="JRP69" s="159"/>
      <c r="JRQ69" s="157"/>
      <c r="JRR69" s="159"/>
      <c r="JRS69" s="160"/>
      <c r="JRT69" s="161"/>
      <c r="JRU69"/>
      <c r="JRV69" s="162"/>
      <c r="JRW69"/>
      <c r="JRX69" s="155"/>
      <c r="JRY69" s="163"/>
      <c r="JRZ69"/>
      <c r="JSA69" s="156"/>
      <c r="JSB69" s="157"/>
      <c r="JSC69" s="158"/>
      <c r="JSD69" s="158"/>
      <c r="JSE69" s="157"/>
      <c r="JSF69" s="159"/>
      <c r="JSG69" s="157"/>
      <c r="JSH69" s="159"/>
      <c r="JSI69" s="160"/>
      <c r="JSJ69" s="161"/>
      <c r="JSK69"/>
      <c r="JSL69" s="162"/>
      <c r="JSM69"/>
      <c r="JSN69" s="155"/>
      <c r="JSO69" s="163"/>
      <c r="JSP69"/>
      <c r="JSQ69" s="156"/>
      <c r="JSR69" s="157"/>
      <c r="JSS69" s="158"/>
      <c r="JST69" s="158"/>
      <c r="JSU69" s="157"/>
      <c r="JSV69" s="159"/>
      <c r="JSW69" s="157"/>
      <c r="JSX69" s="159"/>
      <c r="JSY69" s="160"/>
      <c r="JSZ69" s="161"/>
      <c r="JTA69"/>
      <c r="JTB69" s="162"/>
      <c r="JTC69"/>
      <c r="JTD69" s="155"/>
      <c r="JTE69" s="163"/>
      <c r="JTF69"/>
      <c r="JTG69" s="156"/>
      <c r="JTH69" s="157"/>
      <c r="JTI69" s="158"/>
      <c r="JTJ69" s="158"/>
      <c r="JTK69" s="157"/>
      <c r="JTL69" s="159"/>
      <c r="JTM69" s="157"/>
      <c r="JTN69" s="159"/>
      <c r="JTO69" s="160"/>
      <c r="JTP69" s="161"/>
      <c r="JTQ69"/>
      <c r="JTR69" s="162"/>
      <c r="JTS69"/>
      <c r="JTT69" s="155"/>
      <c r="JTU69" s="163"/>
      <c r="JTV69"/>
      <c r="JTW69" s="156"/>
      <c r="JTX69" s="157"/>
      <c r="JTY69" s="158"/>
      <c r="JTZ69" s="158"/>
      <c r="JUA69" s="157"/>
      <c r="JUB69" s="159"/>
      <c r="JUC69" s="157"/>
      <c r="JUD69" s="159"/>
      <c r="JUE69" s="160"/>
      <c r="JUF69" s="161"/>
      <c r="JUG69"/>
      <c r="JUH69" s="162"/>
      <c r="JUI69"/>
      <c r="JUJ69" s="155"/>
      <c r="JUK69" s="163"/>
      <c r="JUL69"/>
      <c r="JUM69" s="156"/>
      <c r="JUN69" s="157"/>
      <c r="JUO69" s="158"/>
      <c r="JUP69" s="158"/>
      <c r="JUQ69" s="157"/>
      <c r="JUR69" s="159"/>
      <c r="JUS69" s="157"/>
      <c r="JUT69" s="159"/>
      <c r="JUU69" s="160"/>
      <c r="JUV69" s="161"/>
      <c r="JUW69"/>
      <c r="JUX69" s="162"/>
      <c r="JUY69"/>
      <c r="JUZ69" s="155"/>
      <c r="JVA69" s="163"/>
      <c r="JVB69"/>
      <c r="JVC69" s="156"/>
      <c r="JVD69" s="157"/>
      <c r="JVE69" s="158"/>
      <c r="JVF69" s="158"/>
      <c r="JVG69" s="157"/>
      <c r="JVH69" s="159"/>
      <c r="JVI69" s="157"/>
      <c r="JVJ69" s="159"/>
      <c r="JVK69" s="160"/>
      <c r="JVL69" s="161"/>
      <c r="JVM69"/>
      <c r="JVN69" s="162"/>
      <c r="JVO69"/>
      <c r="JVP69" s="155"/>
      <c r="JVQ69" s="163"/>
      <c r="JVR69"/>
      <c r="JVS69" s="156"/>
      <c r="JVT69" s="157"/>
      <c r="JVU69" s="158"/>
      <c r="JVV69" s="158"/>
      <c r="JVW69" s="157"/>
      <c r="JVX69" s="159"/>
      <c r="JVY69" s="157"/>
      <c r="JVZ69" s="159"/>
      <c r="JWA69" s="160"/>
      <c r="JWB69" s="161"/>
      <c r="JWC69"/>
      <c r="JWD69" s="162"/>
      <c r="JWE69"/>
      <c r="JWF69" s="155"/>
      <c r="JWG69" s="163"/>
      <c r="JWH69"/>
      <c r="JWI69" s="156"/>
      <c r="JWJ69" s="157"/>
      <c r="JWK69" s="158"/>
      <c r="JWL69" s="158"/>
      <c r="JWM69" s="157"/>
      <c r="JWN69" s="159"/>
      <c r="JWO69" s="157"/>
      <c r="JWP69" s="159"/>
      <c r="JWQ69" s="160"/>
      <c r="JWR69" s="161"/>
      <c r="JWS69"/>
      <c r="JWT69" s="162"/>
      <c r="JWU69"/>
      <c r="JWV69" s="155"/>
      <c r="JWW69" s="163"/>
      <c r="JWX69"/>
      <c r="JWY69" s="156"/>
      <c r="JWZ69" s="157"/>
      <c r="JXA69" s="158"/>
      <c r="JXB69" s="158"/>
      <c r="JXC69" s="157"/>
      <c r="JXD69" s="159"/>
      <c r="JXE69" s="157"/>
      <c r="JXF69" s="159"/>
      <c r="JXG69" s="160"/>
      <c r="JXH69" s="161"/>
      <c r="JXI69"/>
      <c r="JXJ69" s="162"/>
      <c r="JXK69"/>
      <c r="JXL69" s="155"/>
      <c r="JXM69" s="163"/>
      <c r="JXN69"/>
      <c r="JXO69" s="156"/>
      <c r="JXP69" s="157"/>
      <c r="JXQ69" s="158"/>
      <c r="JXR69" s="158"/>
      <c r="JXS69" s="157"/>
      <c r="JXT69" s="159"/>
      <c r="JXU69" s="157"/>
      <c r="JXV69" s="159"/>
      <c r="JXW69" s="160"/>
      <c r="JXX69" s="161"/>
      <c r="JXY69"/>
      <c r="JXZ69" s="162"/>
      <c r="JYA69"/>
      <c r="JYB69" s="155"/>
      <c r="JYC69" s="163"/>
      <c r="JYD69"/>
      <c r="JYE69" s="156"/>
      <c r="JYF69" s="157"/>
      <c r="JYG69" s="158"/>
      <c r="JYH69" s="158"/>
      <c r="JYI69" s="157"/>
      <c r="JYJ69" s="159"/>
      <c r="JYK69" s="157"/>
      <c r="JYL69" s="159"/>
      <c r="JYM69" s="160"/>
      <c r="JYN69" s="161"/>
      <c r="JYO69"/>
      <c r="JYP69" s="162"/>
      <c r="JYQ69"/>
      <c r="JYR69" s="155"/>
      <c r="JYS69" s="163"/>
      <c r="JYT69"/>
      <c r="JYU69" s="156"/>
      <c r="JYV69" s="157"/>
      <c r="JYW69" s="158"/>
      <c r="JYX69" s="158"/>
      <c r="JYY69" s="157"/>
      <c r="JYZ69" s="159"/>
      <c r="JZA69" s="157"/>
      <c r="JZB69" s="159"/>
      <c r="JZC69" s="160"/>
      <c r="JZD69" s="161"/>
      <c r="JZE69"/>
      <c r="JZF69" s="162"/>
      <c r="JZG69"/>
      <c r="JZH69" s="155"/>
      <c r="JZI69" s="163"/>
      <c r="JZJ69"/>
      <c r="JZK69" s="156"/>
      <c r="JZL69" s="157"/>
      <c r="JZM69" s="158"/>
      <c r="JZN69" s="158"/>
      <c r="JZO69" s="157"/>
      <c r="JZP69" s="159"/>
      <c r="JZQ69" s="157"/>
      <c r="JZR69" s="159"/>
      <c r="JZS69" s="160"/>
      <c r="JZT69" s="161"/>
      <c r="JZU69"/>
      <c r="JZV69" s="162"/>
      <c r="JZW69"/>
      <c r="JZX69" s="155"/>
      <c r="JZY69" s="163"/>
      <c r="JZZ69"/>
      <c r="KAA69" s="156"/>
      <c r="KAB69" s="157"/>
      <c r="KAC69" s="158"/>
      <c r="KAD69" s="158"/>
      <c r="KAE69" s="157"/>
      <c r="KAF69" s="159"/>
      <c r="KAG69" s="157"/>
      <c r="KAH69" s="159"/>
      <c r="KAI69" s="160"/>
      <c r="KAJ69" s="161"/>
      <c r="KAK69"/>
      <c r="KAL69" s="162"/>
      <c r="KAM69"/>
      <c r="KAN69" s="155"/>
      <c r="KAO69" s="163"/>
      <c r="KAP69"/>
      <c r="KAQ69" s="156"/>
      <c r="KAR69" s="157"/>
      <c r="KAS69" s="158"/>
      <c r="KAT69" s="158"/>
      <c r="KAU69" s="157"/>
      <c r="KAV69" s="159"/>
      <c r="KAW69" s="157"/>
      <c r="KAX69" s="159"/>
      <c r="KAY69" s="160"/>
      <c r="KAZ69" s="161"/>
      <c r="KBA69"/>
      <c r="KBB69" s="162"/>
      <c r="KBC69"/>
      <c r="KBD69" s="155"/>
      <c r="KBE69" s="163"/>
      <c r="KBF69"/>
      <c r="KBG69" s="156"/>
      <c r="KBH69" s="157"/>
      <c r="KBI69" s="158"/>
      <c r="KBJ69" s="158"/>
      <c r="KBK69" s="157"/>
      <c r="KBL69" s="159"/>
      <c r="KBM69" s="157"/>
      <c r="KBN69" s="159"/>
      <c r="KBO69" s="160"/>
      <c r="KBP69" s="161"/>
      <c r="KBQ69"/>
      <c r="KBR69" s="162"/>
      <c r="KBS69"/>
      <c r="KBT69" s="155"/>
      <c r="KBU69" s="163"/>
      <c r="KBV69"/>
      <c r="KBW69" s="156"/>
      <c r="KBX69" s="157"/>
      <c r="KBY69" s="158"/>
      <c r="KBZ69" s="158"/>
      <c r="KCA69" s="157"/>
      <c r="KCB69" s="159"/>
      <c r="KCC69" s="157"/>
      <c r="KCD69" s="159"/>
      <c r="KCE69" s="160"/>
      <c r="KCF69" s="161"/>
      <c r="KCG69"/>
      <c r="KCH69" s="162"/>
      <c r="KCI69"/>
      <c r="KCJ69" s="155"/>
      <c r="KCK69" s="163"/>
      <c r="KCL69"/>
      <c r="KCM69" s="156"/>
      <c r="KCN69" s="157"/>
      <c r="KCO69" s="158"/>
      <c r="KCP69" s="158"/>
      <c r="KCQ69" s="157"/>
      <c r="KCR69" s="159"/>
      <c r="KCS69" s="157"/>
      <c r="KCT69" s="159"/>
      <c r="KCU69" s="160"/>
      <c r="KCV69" s="161"/>
      <c r="KCW69"/>
      <c r="KCX69" s="162"/>
      <c r="KCY69"/>
      <c r="KCZ69" s="155"/>
      <c r="KDA69" s="163"/>
      <c r="KDB69"/>
      <c r="KDC69" s="156"/>
      <c r="KDD69" s="157"/>
      <c r="KDE69" s="158"/>
      <c r="KDF69" s="158"/>
      <c r="KDG69" s="157"/>
      <c r="KDH69" s="159"/>
      <c r="KDI69" s="157"/>
      <c r="KDJ69" s="159"/>
      <c r="KDK69" s="160"/>
      <c r="KDL69" s="161"/>
      <c r="KDM69"/>
      <c r="KDN69" s="162"/>
      <c r="KDO69"/>
      <c r="KDP69" s="155"/>
      <c r="KDQ69" s="163"/>
      <c r="KDR69"/>
      <c r="KDS69" s="156"/>
      <c r="KDT69" s="157"/>
      <c r="KDU69" s="158"/>
      <c r="KDV69" s="158"/>
      <c r="KDW69" s="157"/>
      <c r="KDX69" s="159"/>
      <c r="KDY69" s="157"/>
      <c r="KDZ69" s="159"/>
      <c r="KEA69" s="160"/>
      <c r="KEB69" s="161"/>
      <c r="KEC69"/>
      <c r="KED69" s="162"/>
      <c r="KEE69"/>
      <c r="KEF69" s="155"/>
      <c r="KEG69" s="163"/>
      <c r="KEH69"/>
      <c r="KEI69" s="156"/>
      <c r="KEJ69" s="157"/>
      <c r="KEK69" s="158"/>
      <c r="KEL69" s="158"/>
      <c r="KEM69" s="157"/>
      <c r="KEN69" s="159"/>
      <c r="KEO69" s="157"/>
      <c r="KEP69" s="159"/>
      <c r="KEQ69" s="160"/>
      <c r="KER69" s="161"/>
      <c r="KES69"/>
      <c r="KET69" s="162"/>
      <c r="KEU69"/>
      <c r="KEV69" s="155"/>
      <c r="KEW69" s="163"/>
      <c r="KEX69"/>
      <c r="KEY69" s="156"/>
      <c r="KEZ69" s="157"/>
      <c r="KFA69" s="158"/>
      <c r="KFB69" s="158"/>
      <c r="KFC69" s="157"/>
      <c r="KFD69" s="159"/>
      <c r="KFE69" s="157"/>
      <c r="KFF69" s="159"/>
      <c r="KFG69" s="160"/>
      <c r="KFH69" s="161"/>
      <c r="KFI69"/>
      <c r="KFJ69" s="162"/>
      <c r="KFK69"/>
      <c r="KFL69" s="155"/>
      <c r="KFM69" s="163"/>
      <c r="KFN69"/>
      <c r="KFO69" s="156"/>
      <c r="KFP69" s="157"/>
      <c r="KFQ69" s="158"/>
      <c r="KFR69" s="158"/>
      <c r="KFS69" s="157"/>
      <c r="KFT69" s="159"/>
      <c r="KFU69" s="157"/>
      <c r="KFV69" s="159"/>
      <c r="KFW69" s="160"/>
      <c r="KFX69" s="161"/>
      <c r="KFY69"/>
      <c r="KFZ69" s="162"/>
      <c r="KGA69"/>
      <c r="KGB69" s="155"/>
      <c r="KGC69" s="163"/>
      <c r="KGD69"/>
      <c r="KGE69" s="156"/>
      <c r="KGF69" s="157"/>
      <c r="KGG69" s="158"/>
      <c r="KGH69" s="158"/>
      <c r="KGI69" s="157"/>
      <c r="KGJ69" s="159"/>
      <c r="KGK69" s="157"/>
      <c r="KGL69" s="159"/>
      <c r="KGM69" s="160"/>
      <c r="KGN69" s="161"/>
      <c r="KGO69"/>
      <c r="KGP69" s="162"/>
      <c r="KGQ69"/>
      <c r="KGR69" s="155"/>
      <c r="KGS69" s="163"/>
      <c r="KGT69"/>
      <c r="KGU69" s="156"/>
      <c r="KGV69" s="157"/>
      <c r="KGW69" s="158"/>
      <c r="KGX69" s="158"/>
      <c r="KGY69" s="157"/>
      <c r="KGZ69" s="159"/>
      <c r="KHA69" s="157"/>
      <c r="KHB69" s="159"/>
      <c r="KHC69" s="160"/>
      <c r="KHD69" s="161"/>
      <c r="KHE69"/>
      <c r="KHF69" s="162"/>
      <c r="KHG69"/>
      <c r="KHH69" s="155"/>
      <c r="KHI69" s="163"/>
      <c r="KHJ69"/>
      <c r="KHK69" s="156"/>
      <c r="KHL69" s="157"/>
      <c r="KHM69" s="158"/>
      <c r="KHN69" s="158"/>
      <c r="KHO69" s="157"/>
      <c r="KHP69" s="159"/>
      <c r="KHQ69" s="157"/>
      <c r="KHR69" s="159"/>
      <c r="KHS69" s="160"/>
      <c r="KHT69" s="161"/>
      <c r="KHU69"/>
      <c r="KHV69" s="162"/>
      <c r="KHW69"/>
      <c r="KHX69" s="155"/>
      <c r="KHY69" s="163"/>
      <c r="KHZ69"/>
      <c r="KIA69" s="156"/>
      <c r="KIB69" s="157"/>
      <c r="KIC69" s="158"/>
      <c r="KID69" s="158"/>
      <c r="KIE69" s="157"/>
      <c r="KIF69" s="159"/>
      <c r="KIG69" s="157"/>
      <c r="KIH69" s="159"/>
      <c r="KII69" s="160"/>
      <c r="KIJ69" s="161"/>
      <c r="KIK69"/>
      <c r="KIL69" s="162"/>
      <c r="KIM69"/>
      <c r="KIN69" s="155"/>
      <c r="KIO69" s="163"/>
      <c r="KIP69"/>
      <c r="KIQ69" s="156"/>
      <c r="KIR69" s="157"/>
      <c r="KIS69" s="158"/>
      <c r="KIT69" s="158"/>
      <c r="KIU69" s="157"/>
      <c r="KIV69" s="159"/>
      <c r="KIW69" s="157"/>
      <c r="KIX69" s="159"/>
      <c r="KIY69" s="160"/>
      <c r="KIZ69" s="161"/>
      <c r="KJA69"/>
      <c r="KJB69" s="162"/>
      <c r="KJC69"/>
      <c r="KJD69" s="155"/>
      <c r="KJE69" s="163"/>
      <c r="KJF69"/>
      <c r="KJG69" s="156"/>
      <c r="KJH69" s="157"/>
      <c r="KJI69" s="158"/>
      <c r="KJJ69" s="158"/>
      <c r="KJK69" s="157"/>
      <c r="KJL69" s="159"/>
      <c r="KJM69" s="157"/>
      <c r="KJN69" s="159"/>
      <c r="KJO69" s="160"/>
      <c r="KJP69" s="161"/>
      <c r="KJQ69"/>
      <c r="KJR69" s="162"/>
      <c r="KJS69"/>
      <c r="KJT69" s="155"/>
      <c r="KJU69" s="163"/>
      <c r="KJV69"/>
      <c r="KJW69" s="156"/>
      <c r="KJX69" s="157"/>
      <c r="KJY69" s="158"/>
      <c r="KJZ69" s="158"/>
      <c r="KKA69" s="157"/>
      <c r="KKB69" s="159"/>
      <c r="KKC69" s="157"/>
      <c r="KKD69" s="159"/>
      <c r="KKE69" s="160"/>
      <c r="KKF69" s="161"/>
      <c r="KKG69"/>
      <c r="KKH69" s="162"/>
      <c r="KKI69"/>
      <c r="KKJ69" s="155"/>
      <c r="KKK69" s="163"/>
      <c r="KKL69"/>
      <c r="KKM69" s="156"/>
      <c r="KKN69" s="157"/>
      <c r="KKO69" s="158"/>
      <c r="KKP69" s="158"/>
      <c r="KKQ69" s="157"/>
      <c r="KKR69" s="159"/>
      <c r="KKS69" s="157"/>
      <c r="KKT69" s="159"/>
      <c r="KKU69" s="160"/>
      <c r="KKV69" s="161"/>
      <c r="KKW69"/>
      <c r="KKX69" s="162"/>
      <c r="KKY69"/>
      <c r="KKZ69" s="155"/>
      <c r="KLA69" s="163"/>
      <c r="KLB69"/>
      <c r="KLC69" s="156"/>
      <c r="KLD69" s="157"/>
      <c r="KLE69" s="158"/>
      <c r="KLF69" s="158"/>
      <c r="KLG69" s="157"/>
      <c r="KLH69" s="159"/>
      <c r="KLI69" s="157"/>
      <c r="KLJ69" s="159"/>
      <c r="KLK69" s="160"/>
      <c r="KLL69" s="161"/>
      <c r="KLM69"/>
      <c r="KLN69" s="162"/>
      <c r="KLO69"/>
      <c r="KLP69" s="155"/>
      <c r="KLQ69" s="163"/>
      <c r="KLR69"/>
      <c r="KLS69" s="156"/>
      <c r="KLT69" s="157"/>
      <c r="KLU69" s="158"/>
      <c r="KLV69" s="158"/>
      <c r="KLW69" s="157"/>
      <c r="KLX69" s="159"/>
      <c r="KLY69" s="157"/>
      <c r="KLZ69" s="159"/>
      <c r="KMA69" s="160"/>
      <c r="KMB69" s="161"/>
      <c r="KMC69"/>
      <c r="KMD69" s="162"/>
      <c r="KME69"/>
      <c r="KMF69" s="155"/>
      <c r="KMG69" s="163"/>
      <c r="KMH69"/>
      <c r="KMI69" s="156"/>
      <c r="KMJ69" s="157"/>
      <c r="KMK69" s="158"/>
      <c r="KML69" s="158"/>
      <c r="KMM69" s="157"/>
      <c r="KMN69" s="159"/>
      <c r="KMO69" s="157"/>
      <c r="KMP69" s="159"/>
      <c r="KMQ69" s="160"/>
      <c r="KMR69" s="161"/>
      <c r="KMS69"/>
      <c r="KMT69" s="162"/>
      <c r="KMU69"/>
      <c r="KMV69" s="155"/>
      <c r="KMW69" s="163"/>
      <c r="KMX69"/>
      <c r="KMY69" s="156"/>
      <c r="KMZ69" s="157"/>
      <c r="KNA69" s="158"/>
      <c r="KNB69" s="158"/>
      <c r="KNC69" s="157"/>
      <c r="KND69" s="159"/>
      <c r="KNE69" s="157"/>
      <c r="KNF69" s="159"/>
      <c r="KNG69" s="160"/>
      <c r="KNH69" s="161"/>
      <c r="KNI69"/>
      <c r="KNJ69" s="162"/>
      <c r="KNK69"/>
      <c r="KNL69" s="155"/>
      <c r="KNM69" s="163"/>
      <c r="KNN69"/>
      <c r="KNO69" s="156"/>
      <c r="KNP69" s="157"/>
      <c r="KNQ69" s="158"/>
      <c r="KNR69" s="158"/>
      <c r="KNS69" s="157"/>
      <c r="KNT69" s="159"/>
      <c r="KNU69" s="157"/>
      <c r="KNV69" s="159"/>
      <c r="KNW69" s="160"/>
      <c r="KNX69" s="161"/>
      <c r="KNY69"/>
      <c r="KNZ69" s="162"/>
      <c r="KOA69"/>
      <c r="KOB69" s="155"/>
      <c r="KOC69" s="163"/>
      <c r="KOD69"/>
      <c r="KOE69" s="156"/>
      <c r="KOF69" s="157"/>
      <c r="KOG69" s="158"/>
      <c r="KOH69" s="158"/>
      <c r="KOI69" s="157"/>
      <c r="KOJ69" s="159"/>
      <c r="KOK69" s="157"/>
      <c r="KOL69" s="159"/>
      <c r="KOM69" s="160"/>
      <c r="KON69" s="161"/>
      <c r="KOO69"/>
      <c r="KOP69" s="162"/>
      <c r="KOQ69"/>
      <c r="KOR69" s="155"/>
      <c r="KOS69" s="163"/>
      <c r="KOT69"/>
      <c r="KOU69" s="156"/>
      <c r="KOV69" s="157"/>
      <c r="KOW69" s="158"/>
      <c r="KOX69" s="158"/>
      <c r="KOY69" s="157"/>
      <c r="KOZ69" s="159"/>
      <c r="KPA69" s="157"/>
      <c r="KPB69" s="159"/>
      <c r="KPC69" s="160"/>
      <c r="KPD69" s="161"/>
      <c r="KPE69"/>
      <c r="KPF69" s="162"/>
      <c r="KPG69"/>
      <c r="KPH69" s="155"/>
      <c r="KPI69" s="163"/>
      <c r="KPJ69"/>
      <c r="KPK69" s="156"/>
      <c r="KPL69" s="157"/>
      <c r="KPM69" s="158"/>
      <c r="KPN69" s="158"/>
      <c r="KPO69" s="157"/>
      <c r="KPP69" s="159"/>
      <c r="KPQ69" s="157"/>
      <c r="KPR69" s="159"/>
      <c r="KPS69" s="160"/>
      <c r="KPT69" s="161"/>
      <c r="KPU69"/>
      <c r="KPV69" s="162"/>
      <c r="KPW69"/>
      <c r="KPX69" s="155"/>
      <c r="KPY69" s="163"/>
      <c r="KPZ69"/>
      <c r="KQA69" s="156"/>
      <c r="KQB69" s="157"/>
      <c r="KQC69" s="158"/>
      <c r="KQD69" s="158"/>
      <c r="KQE69" s="157"/>
      <c r="KQF69" s="159"/>
      <c r="KQG69" s="157"/>
      <c r="KQH69" s="159"/>
      <c r="KQI69" s="160"/>
      <c r="KQJ69" s="161"/>
      <c r="KQK69"/>
      <c r="KQL69" s="162"/>
      <c r="KQM69"/>
      <c r="KQN69" s="155"/>
      <c r="KQO69" s="163"/>
      <c r="KQP69"/>
      <c r="KQQ69" s="156"/>
      <c r="KQR69" s="157"/>
      <c r="KQS69" s="158"/>
      <c r="KQT69" s="158"/>
      <c r="KQU69" s="157"/>
      <c r="KQV69" s="159"/>
      <c r="KQW69" s="157"/>
      <c r="KQX69" s="159"/>
      <c r="KQY69" s="160"/>
      <c r="KQZ69" s="161"/>
      <c r="KRA69"/>
      <c r="KRB69" s="162"/>
      <c r="KRC69"/>
      <c r="KRD69" s="155"/>
      <c r="KRE69" s="163"/>
      <c r="KRF69"/>
      <c r="KRG69" s="156"/>
      <c r="KRH69" s="157"/>
      <c r="KRI69" s="158"/>
      <c r="KRJ69" s="158"/>
      <c r="KRK69" s="157"/>
      <c r="KRL69" s="159"/>
      <c r="KRM69" s="157"/>
      <c r="KRN69" s="159"/>
      <c r="KRO69" s="160"/>
      <c r="KRP69" s="161"/>
      <c r="KRQ69"/>
      <c r="KRR69" s="162"/>
      <c r="KRS69"/>
      <c r="KRT69" s="155"/>
      <c r="KRU69" s="163"/>
      <c r="KRV69"/>
      <c r="KRW69" s="156"/>
      <c r="KRX69" s="157"/>
      <c r="KRY69" s="158"/>
      <c r="KRZ69" s="158"/>
      <c r="KSA69" s="157"/>
      <c r="KSB69" s="159"/>
      <c r="KSC69" s="157"/>
      <c r="KSD69" s="159"/>
      <c r="KSE69" s="160"/>
      <c r="KSF69" s="161"/>
      <c r="KSG69"/>
      <c r="KSH69" s="162"/>
      <c r="KSI69"/>
      <c r="KSJ69" s="155"/>
      <c r="KSK69" s="163"/>
      <c r="KSL69"/>
      <c r="KSM69" s="156"/>
      <c r="KSN69" s="157"/>
      <c r="KSO69" s="158"/>
      <c r="KSP69" s="158"/>
      <c r="KSQ69" s="157"/>
      <c r="KSR69" s="159"/>
      <c r="KSS69" s="157"/>
      <c r="KST69" s="159"/>
      <c r="KSU69" s="160"/>
      <c r="KSV69" s="161"/>
      <c r="KSW69"/>
      <c r="KSX69" s="162"/>
      <c r="KSY69"/>
      <c r="KSZ69" s="155"/>
      <c r="KTA69" s="163"/>
      <c r="KTB69"/>
      <c r="KTC69" s="156"/>
      <c r="KTD69" s="157"/>
      <c r="KTE69" s="158"/>
      <c r="KTF69" s="158"/>
      <c r="KTG69" s="157"/>
      <c r="KTH69" s="159"/>
      <c r="KTI69" s="157"/>
      <c r="KTJ69" s="159"/>
      <c r="KTK69" s="160"/>
      <c r="KTL69" s="161"/>
      <c r="KTM69"/>
      <c r="KTN69" s="162"/>
      <c r="KTO69"/>
      <c r="KTP69" s="155"/>
      <c r="KTQ69" s="163"/>
      <c r="KTR69"/>
      <c r="KTS69" s="156"/>
      <c r="KTT69" s="157"/>
      <c r="KTU69" s="158"/>
      <c r="KTV69" s="158"/>
      <c r="KTW69" s="157"/>
      <c r="KTX69" s="159"/>
      <c r="KTY69" s="157"/>
      <c r="KTZ69" s="159"/>
      <c r="KUA69" s="160"/>
      <c r="KUB69" s="161"/>
      <c r="KUC69"/>
      <c r="KUD69" s="162"/>
      <c r="KUE69"/>
      <c r="KUF69" s="155"/>
      <c r="KUG69" s="163"/>
      <c r="KUH69"/>
      <c r="KUI69" s="156"/>
      <c r="KUJ69" s="157"/>
      <c r="KUK69" s="158"/>
      <c r="KUL69" s="158"/>
      <c r="KUM69" s="157"/>
      <c r="KUN69" s="159"/>
      <c r="KUO69" s="157"/>
      <c r="KUP69" s="159"/>
      <c r="KUQ69" s="160"/>
      <c r="KUR69" s="161"/>
      <c r="KUS69"/>
      <c r="KUT69" s="162"/>
      <c r="KUU69"/>
      <c r="KUV69" s="155"/>
      <c r="KUW69" s="163"/>
      <c r="KUX69"/>
      <c r="KUY69" s="156"/>
      <c r="KUZ69" s="157"/>
      <c r="KVA69" s="158"/>
      <c r="KVB69" s="158"/>
      <c r="KVC69" s="157"/>
      <c r="KVD69" s="159"/>
      <c r="KVE69" s="157"/>
      <c r="KVF69" s="159"/>
      <c r="KVG69" s="160"/>
      <c r="KVH69" s="161"/>
      <c r="KVI69"/>
      <c r="KVJ69" s="162"/>
      <c r="KVK69"/>
      <c r="KVL69" s="155"/>
      <c r="KVM69" s="163"/>
      <c r="KVN69"/>
      <c r="KVO69" s="156"/>
      <c r="KVP69" s="157"/>
      <c r="KVQ69" s="158"/>
      <c r="KVR69" s="158"/>
      <c r="KVS69" s="157"/>
      <c r="KVT69" s="159"/>
      <c r="KVU69" s="157"/>
      <c r="KVV69" s="159"/>
      <c r="KVW69" s="160"/>
      <c r="KVX69" s="161"/>
      <c r="KVY69"/>
      <c r="KVZ69" s="162"/>
      <c r="KWA69"/>
      <c r="KWB69" s="155"/>
      <c r="KWC69" s="163"/>
      <c r="KWD69"/>
      <c r="KWE69" s="156"/>
      <c r="KWF69" s="157"/>
      <c r="KWG69" s="158"/>
      <c r="KWH69" s="158"/>
      <c r="KWI69" s="157"/>
      <c r="KWJ69" s="159"/>
      <c r="KWK69" s="157"/>
      <c r="KWL69" s="159"/>
      <c r="KWM69" s="160"/>
      <c r="KWN69" s="161"/>
      <c r="KWO69"/>
      <c r="KWP69" s="162"/>
      <c r="KWQ69"/>
      <c r="KWR69" s="155"/>
      <c r="KWS69" s="163"/>
      <c r="KWT69"/>
      <c r="KWU69" s="156"/>
      <c r="KWV69" s="157"/>
      <c r="KWW69" s="158"/>
      <c r="KWX69" s="158"/>
      <c r="KWY69" s="157"/>
      <c r="KWZ69" s="159"/>
      <c r="KXA69" s="157"/>
      <c r="KXB69" s="159"/>
      <c r="KXC69" s="160"/>
      <c r="KXD69" s="161"/>
      <c r="KXE69"/>
      <c r="KXF69" s="162"/>
      <c r="KXG69"/>
      <c r="KXH69" s="155"/>
      <c r="KXI69" s="163"/>
      <c r="KXJ69"/>
      <c r="KXK69" s="156"/>
      <c r="KXL69" s="157"/>
      <c r="KXM69" s="158"/>
      <c r="KXN69" s="158"/>
      <c r="KXO69" s="157"/>
      <c r="KXP69" s="159"/>
      <c r="KXQ69" s="157"/>
      <c r="KXR69" s="159"/>
      <c r="KXS69" s="160"/>
      <c r="KXT69" s="161"/>
      <c r="KXU69"/>
      <c r="KXV69" s="162"/>
      <c r="KXW69"/>
      <c r="KXX69" s="155"/>
      <c r="KXY69" s="163"/>
      <c r="KXZ69"/>
      <c r="KYA69" s="156"/>
      <c r="KYB69" s="157"/>
      <c r="KYC69" s="158"/>
      <c r="KYD69" s="158"/>
      <c r="KYE69" s="157"/>
      <c r="KYF69" s="159"/>
      <c r="KYG69" s="157"/>
      <c r="KYH69" s="159"/>
      <c r="KYI69" s="160"/>
      <c r="KYJ69" s="161"/>
      <c r="KYK69"/>
      <c r="KYL69" s="162"/>
      <c r="KYM69"/>
      <c r="KYN69" s="155"/>
      <c r="KYO69" s="163"/>
      <c r="KYP69"/>
      <c r="KYQ69" s="156"/>
      <c r="KYR69" s="157"/>
      <c r="KYS69" s="158"/>
      <c r="KYT69" s="158"/>
      <c r="KYU69" s="157"/>
      <c r="KYV69" s="159"/>
      <c r="KYW69" s="157"/>
      <c r="KYX69" s="159"/>
      <c r="KYY69" s="160"/>
      <c r="KYZ69" s="161"/>
      <c r="KZA69"/>
      <c r="KZB69" s="162"/>
      <c r="KZC69"/>
      <c r="KZD69" s="155"/>
      <c r="KZE69" s="163"/>
      <c r="KZF69"/>
      <c r="KZG69" s="156"/>
      <c r="KZH69" s="157"/>
      <c r="KZI69" s="158"/>
      <c r="KZJ69" s="158"/>
      <c r="KZK69" s="157"/>
      <c r="KZL69" s="159"/>
      <c r="KZM69" s="157"/>
      <c r="KZN69" s="159"/>
      <c r="KZO69" s="160"/>
      <c r="KZP69" s="161"/>
      <c r="KZQ69"/>
      <c r="KZR69" s="162"/>
      <c r="KZS69"/>
      <c r="KZT69" s="155"/>
      <c r="KZU69" s="163"/>
      <c r="KZV69"/>
      <c r="KZW69" s="156"/>
      <c r="KZX69" s="157"/>
      <c r="KZY69" s="158"/>
      <c r="KZZ69" s="158"/>
      <c r="LAA69" s="157"/>
      <c r="LAB69" s="159"/>
      <c r="LAC69" s="157"/>
      <c r="LAD69" s="159"/>
      <c r="LAE69" s="160"/>
      <c r="LAF69" s="161"/>
      <c r="LAG69"/>
      <c r="LAH69" s="162"/>
      <c r="LAI69"/>
      <c r="LAJ69" s="155"/>
      <c r="LAK69" s="163"/>
      <c r="LAL69"/>
      <c r="LAM69" s="156"/>
      <c r="LAN69" s="157"/>
      <c r="LAO69" s="158"/>
      <c r="LAP69" s="158"/>
      <c r="LAQ69" s="157"/>
      <c r="LAR69" s="159"/>
      <c r="LAS69" s="157"/>
      <c r="LAT69" s="159"/>
      <c r="LAU69" s="160"/>
      <c r="LAV69" s="161"/>
      <c r="LAW69"/>
      <c r="LAX69" s="162"/>
      <c r="LAY69"/>
      <c r="LAZ69" s="155"/>
      <c r="LBA69" s="163"/>
      <c r="LBB69"/>
      <c r="LBC69" s="156"/>
      <c r="LBD69" s="157"/>
      <c r="LBE69" s="158"/>
      <c r="LBF69" s="158"/>
      <c r="LBG69" s="157"/>
      <c r="LBH69" s="159"/>
      <c r="LBI69" s="157"/>
      <c r="LBJ69" s="159"/>
      <c r="LBK69" s="160"/>
      <c r="LBL69" s="161"/>
      <c r="LBM69"/>
      <c r="LBN69" s="162"/>
      <c r="LBO69"/>
      <c r="LBP69" s="155"/>
      <c r="LBQ69" s="163"/>
      <c r="LBR69"/>
      <c r="LBS69" s="156"/>
      <c r="LBT69" s="157"/>
      <c r="LBU69" s="158"/>
      <c r="LBV69" s="158"/>
      <c r="LBW69" s="157"/>
      <c r="LBX69" s="159"/>
      <c r="LBY69" s="157"/>
      <c r="LBZ69" s="159"/>
      <c r="LCA69" s="160"/>
      <c r="LCB69" s="161"/>
      <c r="LCC69"/>
      <c r="LCD69" s="162"/>
      <c r="LCE69"/>
      <c r="LCF69" s="155"/>
      <c r="LCG69" s="163"/>
      <c r="LCH69"/>
      <c r="LCI69" s="156"/>
      <c r="LCJ69" s="157"/>
      <c r="LCK69" s="158"/>
      <c r="LCL69" s="158"/>
      <c r="LCM69" s="157"/>
      <c r="LCN69" s="159"/>
      <c r="LCO69" s="157"/>
      <c r="LCP69" s="159"/>
      <c r="LCQ69" s="160"/>
      <c r="LCR69" s="161"/>
      <c r="LCS69"/>
      <c r="LCT69" s="162"/>
      <c r="LCU69"/>
      <c r="LCV69" s="155"/>
      <c r="LCW69" s="163"/>
      <c r="LCX69"/>
      <c r="LCY69" s="156"/>
      <c r="LCZ69" s="157"/>
      <c r="LDA69" s="158"/>
      <c r="LDB69" s="158"/>
      <c r="LDC69" s="157"/>
      <c r="LDD69" s="159"/>
      <c r="LDE69" s="157"/>
      <c r="LDF69" s="159"/>
      <c r="LDG69" s="160"/>
      <c r="LDH69" s="161"/>
      <c r="LDI69"/>
      <c r="LDJ69" s="162"/>
      <c r="LDK69"/>
      <c r="LDL69" s="155"/>
      <c r="LDM69" s="163"/>
      <c r="LDN69"/>
      <c r="LDO69" s="156"/>
      <c r="LDP69" s="157"/>
      <c r="LDQ69" s="158"/>
      <c r="LDR69" s="158"/>
      <c r="LDS69" s="157"/>
      <c r="LDT69" s="159"/>
      <c r="LDU69" s="157"/>
      <c r="LDV69" s="159"/>
      <c r="LDW69" s="160"/>
      <c r="LDX69" s="161"/>
      <c r="LDY69"/>
      <c r="LDZ69" s="162"/>
      <c r="LEA69"/>
      <c r="LEB69" s="155"/>
      <c r="LEC69" s="163"/>
      <c r="LED69"/>
      <c r="LEE69" s="156"/>
      <c r="LEF69" s="157"/>
      <c r="LEG69" s="158"/>
      <c r="LEH69" s="158"/>
      <c r="LEI69" s="157"/>
      <c r="LEJ69" s="159"/>
      <c r="LEK69" s="157"/>
      <c r="LEL69" s="159"/>
      <c r="LEM69" s="160"/>
      <c r="LEN69" s="161"/>
      <c r="LEO69"/>
      <c r="LEP69" s="162"/>
      <c r="LEQ69"/>
      <c r="LER69" s="155"/>
      <c r="LES69" s="163"/>
      <c r="LET69"/>
      <c r="LEU69" s="156"/>
      <c r="LEV69" s="157"/>
      <c r="LEW69" s="158"/>
      <c r="LEX69" s="158"/>
      <c r="LEY69" s="157"/>
      <c r="LEZ69" s="159"/>
      <c r="LFA69" s="157"/>
      <c r="LFB69" s="159"/>
      <c r="LFC69" s="160"/>
      <c r="LFD69" s="161"/>
      <c r="LFE69"/>
      <c r="LFF69" s="162"/>
      <c r="LFG69"/>
      <c r="LFH69" s="155"/>
      <c r="LFI69" s="163"/>
      <c r="LFJ69"/>
      <c r="LFK69" s="156"/>
      <c r="LFL69" s="157"/>
      <c r="LFM69" s="158"/>
      <c r="LFN69" s="158"/>
      <c r="LFO69" s="157"/>
      <c r="LFP69" s="159"/>
      <c r="LFQ69" s="157"/>
      <c r="LFR69" s="159"/>
      <c r="LFS69" s="160"/>
      <c r="LFT69" s="161"/>
      <c r="LFU69"/>
      <c r="LFV69" s="162"/>
      <c r="LFW69"/>
      <c r="LFX69" s="155"/>
      <c r="LFY69" s="163"/>
      <c r="LFZ69"/>
      <c r="LGA69" s="156"/>
      <c r="LGB69" s="157"/>
      <c r="LGC69" s="158"/>
      <c r="LGD69" s="158"/>
      <c r="LGE69" s="157"/>
      <c r="LGF69" s="159"/>
      <c r="LGG69" s="157"/>
      <c r="LGH69" s="159"/>
      <c r="LGI69" s="160"/>
      <c r="LGJ69" s="161"/>
      <c r="LGK69"/>
      <c r="LGL69" s="162"/>
      <c r="LGM69"/>
      <c r="LGN69" s="155"/>
      <c r="LGO69" s="163"/>
      <c r="LGP69"/>
      <c r="LGQ69" s="156"/>
      <c r="LGR69" s="157"/>
      <c r="LGS69" s="158"/>
      <c r="LGT69" s="158"/>
      <c r="LGU69" s="157"/>
      <c r="LGV69" s="159"/>
      <c r="LGW69" s="157"/>
      <c r="LGX69" s="159"/>
      <c r="LGY69" s="160"/>
      <c r="LGZ69" s="161"/>
      <c r="LHA69"/>
      <c r="LHB69" s="162"/>
      <c r="LHC69"/>
      <c r="LHD69" s="155"/>
      <c r="LHE69" s="163"/>
      <c r="LHF69"/>
      <c r="LHG69" s="156"/>
      <c r="LHH69" s="157"/>
      <c r="LHI69" s="158"/>
      <c r="LHJ69" s="158"/>
      <c r="LHK69" s="157"/>
      <c r="LHL69" s="159"/>
      <c r="LHM69" s="157"/>
      <c r="LHN69" s="159"/>
      <c r="LHO69" s="160"/>
      <c r="LHP69" s="161"/>
      <c r="LHQ69"/>
      <c r="LHR69" s="162"/>
      <c r="LHS69"/>
      <c r="LHT69" s="155"/>
      <c r="LHU69" s="163"/>
      <c r="LHV69"/>
      <c r="LHW69" s="156"/>
      <c r="LHX69" s="157"/>
      <c r="LHY69" s="158"/>
      <c r="LHZ69" s="158"/>
      <c r="LIA69" s="157"/>
      <c r="LIB69" s="159"/>
      <c r="LIC69" s="157"/>
      <c r="LID69" s="159"/>
      <c r="LIE69" s="160"/>
      <c r="LIF69" s="161"/>
      <c r="LIG69"/>
      <c r="LIH69" s="162"/>
      <c r="LII69"/>
      <c r="LIJ69" s="155"/>
      <c r="LIK69" s="163"/>
      <c r="LIL69"/>
      <c r="LIM69" s="156"/>
      <c r="LIN69" s="157"/>
      <c r="LIO69" s="158"/>
      <c r="LIP69" s="158"/>
      <c r="LIQ69" s="157"/>
      <c r="LIR69" s="159"/>
      <c r="LIS69" s="157"/>
      <c r="LIT69" s="159"/>
      <c r="LIU69" s="160"/>
      <c r="LIV69" s="161"/>
      <c r="LIW69"/>
      <c r="LIX69" s="162"/>
      <c r="LIY69"/>
      <c r="LIZ69" s="155"/>
      <c r="LJA69" s="163"/>
      <c r="LJB69"/>
      <c r="LJC69" s="156"/>
      <c r="LJD69" s="157"/>
      <c r="LJE69" s="158"/>
      <c r="LJF69" s="158"/>
      <c r="LJG69" s="157"/>
      <c r="LJH69" s="159"/>
      <c r="LJI69" s="157"/>
      <c r="LJJ69" s="159"/>
      <c r="LJK69" s="160"/>
      <c r="LJL69" s="161"/>
      <c r="LJM69"/>
      <c r="LJN69" s="162"/>
      <c r="LJO69"/>
      <c r="LJP69" s="155"/>
      <c r="LJQ69" s="163"/>
      <c r="LJR69"/>
      <c r="LJS69" s="156"/>
      <c r="LJT69" s="157"/>
      <c r="LJU69" s="158"/>
      <c r="LJV69" s="158"/>
      <c r="LJW69" s="157"/>
      <c r="LJX69" s="159"/>
      <c r="LJY69" s="157"/>
      <c r="LJZ69" s="159"/>
      <c r="LKA69" s="160"/>
      <c r="LKB69" s="161"/>
      <c r="LKC69"/>
      <c r="LKD69" s="162"/>
      <c r="LKE69"/>
      <c r="LKF69" s="155"/>
      <c r="LKG69" s="163"/>
      <c r="LKH69"/>
      <c r="LKI69" s="156"/>
      <c r="LKJ69" s="157"/>
      <c r="LKK69" s="158"/>
      <c r="LKL69" s="158"/>
      <c r="LKM69" s="157"/>
      <c r="LKN69" s="159"/>
      <c r="LKO69" s="157"/>
      <c r="LKP69" s="159"/>
      <c r="LKQ69" s="160"/>
      <c r="LKR69" s="161"/>
      <c r="LKS69"/>
      <c r="LKT69" s="162"/>
      <c r="LKU69"/>
      <c r="LKV69" s="155"/>
      <c r="LKW69" s="163"/>
      <c r="LKX69"/>
      <c r="LKY69" s="156"/>
      <c r="LKZ69" s="157"/>
      <c r="LLA69" s="158"/>
      <c r="LLB69" s="158"/>
      <c r="LLC69" s="157"/>
      <c r="LLD69" s="159"/>
      <c r="LLE69" s="157"/>
      <c r="LLF69" s="159"/>
      <c r="LLG69" s="160"/>
      <c r="LLH69" s="161"/>
      <c r="LLI69"/>
      <c r="LLJ69" s="162"/>
      <c r="LLK69"/>
      <c r="LLL69" s="155"/>
      <c r="LLM69" s="163"/>
      <c r="LLN69"/>
      <c r="LLO69" s="156"/>
      <c r="LLP69" s="157"/>
      <c r="LLQ69" s="158"/>
      <c r="LLR69" s="158"/>
      <c r="LLS69" s="157"/>
      <c r="LLT69" s="159"/>
      <c r="LLU69" s="157"/>
      <c r="LLV69" s="159"/>
      <c r="LLW69" s="160"/>
      <c r="LLX69" s="161"/>
      <c r="LLY69"/>
      <c r="LLZ69" s="162"/>
      <c r="LMA69"/>
      <c r="LMB69" s="155"/>
      <c r="LMC69" s="163"/>
      <c r="LMD69"/>
      <c r="LME69" s="156"/>
      <c r="LMF69" s="157"/>
      <c r="LMG69" s="158"/>
      <c r="LMH69" s="158"/>
      <c r="LMI69" s="157"/>
      <c r="LMJ69" s="159"/>
      <c r="LMK69" s="157"/>
      <c r="LML69" s="159"/>
      <c r="LMM69" s="160"/>
      <c r="LMN69" s="161"/>
      <c r="LMO69"/>
      <c r="LMP69" s="162"/>
      <c r="LMQ69"/>
      <c r="LMR69" s="155"/>
      <c r="LMS69" s="163"/>
      <c r="LMT69"/>
      <c r="LMU69" s="156"/>
      <c r="LMV69" s="157"/>
      <c r="LMW69" s="158"/>
      <c r="LMX69" s="158"/>
      <c r="LMY69" s="157"/>
      <c r="LMZ69" s="159"/>
      <c r="LNA69" s="157"/>
      <c r="LNB69" s="159"/>
      <c r="LNC69" s="160"/>
      <c r="LND69" s="161"/>
      <c r="LNE69"/>
      <c r="LNF69" s="162"/>
      <c r="LNG69"/>
      <c r="LNH69" s="155"/>
      <c r="LNI69" s="163"/>
      <c r="LNJ69"/>
      <c r="LNK69" s="156"/>
      <c r="LNL69" s="157"/>
      <c r="LNM69" s="158"/>
      <c r="LNN69" s="158"/>
      <c r="LNO69" s="157"/>
      <c r="LNP69" s="159"/>
      <c r="LNQ69" s="157"/>
      <c r="LNR69" s="159"/>
      <c r="LNS69" s="160"/>
      <c r="LNT69" s="161"/>
      <c r="LNU69"/>
      <c r="LNV69" s="162"/>
      <c r="LNW69"/>
      <c r="LNX69" s="155"/>
      <c r="LNY69" s="163"/>
      <c r="LNZ69"/>
      <c r="LOA69" s="156"/>
      <c r="LOB69" s="157"/>
      <c r="LOC69" s="158"/>
      <c r="LOD69" s="158"/>
      <c r="LOE69" s="157"/>
      <c r="LOF69" s="159"/>
      <c r="LOG69" s="157"/>
      <c r="LOH69" s="159"/>
      <c r="LOI69" s="160"/>
      <c r="LOJ69" s="161"/>
      <c r="LOK69"/>
      <c r="LOL69" s="162"/>
      <c r="LOM69"/>
      <c r="LON69" s="155"/>
      <c r="LOO69" s="163"/>
      <c r="LOP69"/>
      <c r="LOQ69" s="156"/>
      <c r="LOR69" s="157"/>
      <c r="LOS69" s="158"/>
      <c r="LOT69" s="158"/>
      <c r="LOU69" s="157"/>
      <c r="LOV69" s="159"/>
      <c r="LOW69" s="157"/>
      <c r="LOX69" s="159"/>
      <c r="LOY69" s="160"/>
      <c r="LOZ69" s="161"/>
      <c r="LPA69"/>
      <c r="LPB69" s="162"/>
      <c r="LPC69"/>
      <c r="LPD69" s="155"/>
      <c r="LPE69" s="163"/>
      <c r="LPF69"/>
      <c r="LPG69" s="156"/>
      <c r="LPH69" s="157"/>
      <c r="LPI69" s="158"/>
      <c r="LPJ69" s="158"/>
      <c r="LPK69" s="157"/>
      <c r="LPL69" s="159"/>
      <c r="LPM69" s="157"/>
      <c r="LPN69" s="159"/>
      <c r="LPO69" s="160"/>
      <c r="LPP69" s="161"/>
      <c r="LPQ69"/>
      <c r="LPR69" s="162"/>
      <c r="LPS69"/>
      <c r="LPT69" s="155"/>
      <c r="LPU69" s="163"/>
      <c r="LPV69"/>
      <c r="LPW69" s="156"/>
      <c r="LPX69" s="157"/>
      <c r="LPY69" s="158"/>
      <c r="LPZ69" s="158"/>
      <c r="LQA69" s="157"/>
      <c r="LQB69" s="159"/>
      <c r="LQC69" s="157"/>
      <c r="LQD69" s="159"/>
      <c r="LQE69" s="160"/>
      <c r="LQF69" s="161"/>
      <c r="LQG69"/>
      <c r="LQH69" s="162"/>
      <c r="LQI69"/>
      <c r="LQJ69" s="155"/>
      <c r="LQK69" s="163"/>
      <c r="LQL69"/>
      <c r="LQM69" s="156"/>
      <c r="LQN69" s="157"/>
      <c r="LQO69" s="158"/>
      <c r="LQP69" s="158"/>
      <c r="LQQ69" s="157"/>
      <c r="LQR69" s="159"/>
      <c r="LQS69" s="157"/>
      <c r="LQT69" s="159"/>
      <c r="LQU69" s="160"/>
      <c r="LQV69" s="161"/>
      <c r="LQW69"/>
      <c r="LQX69" s="162"/>
      <c r="LQY69"/>
      <c r="LQZ69" s="155"/>
      <c r="LRA69" s="163"/>
      <c r="LRB69"/>
      <c r="LRC69" s="156"/>
      <c r="LRD69" s="157"/>
      <c r="LRE69" s="158"/>
      <c r="LRF69" s="158"/>
      <c r="LRG69" s="157"/>
      <c r="LRH69" s="159"/>
      <c r="LRI69" s="157"/>
      <c r="LRJ69" s="159"/>
      <c r="LRK69" s="160"/>
      <c r="LRL69" s="161"/>
      <c r="LRM69"/>
      <c r="LRN69" s="162"/>
      <c r="LRO69"/>
      <c r="LRP69" s="155"/>
      <c r="LRQ69" s="163"/>
      <c r="LRR69"/>
      <c r="LRS69" s="156"/>
      <c r="LRT69" s="157"/>
      <c r="LRU69" s="158"/>
      <c r="LRV69" s="158"/>
      <c r="LRW69" s="157"/>
      <c r="LRX69" s="159"/>
      <c r="LRY69" s="157"/>
      <c r="LRZ69" s="159"/>
      <c r="LSA69" s="160"/>
      <c r="LSB69" s="161"/>
      <c r="LSC69"/>
      <c r="LSD69" s="162"/>
      <c r="LSE69"/>
      <c r="LSF69" s="155"/>
      <c r="LSG69" s="163"/>
      <c r="LSH69"/>
      <c r="LSI69" s="156"/>
      <c r="LSJ69" s="157"/>
      <c r="LSK69" s="158"/>
      <c r="LSL69" s="158"/>
      <c r="LSM69" s="157"/>
      <c r="LSN69" s="159"/>
      <c r="LSO69" s="157"/>
      <c r="LSP69" s="159"/>
      <c r="LSQ69" s="160"/>
      <c r="LSR69" s="161"/>
      <c r="LSS69"/>
      <c r="LST69" s="162"/>
      <c r="LSU69"/>
      <c r="LSV69" s="155"/>
      <c r="LSW69" s="163"/>
      <c r="LSX69"/>
      <c r="LSY69" s="156"/>
      <c r="LSZ69" s="157"/>
      <c r="LTA69" s="158"/>
      <c r="LTB69" s="158"/>
      <c r="LTC69" s="157"/>
      <c r="LTD69" s="159"/>
      <c r="LTE69" s="157"/>
      <c r="LTF69" s="159"/>
      <c r="LTG69" s="160"/>
      <c r="LTH69" s="161"/>
      <c r="LTI69"/>
      <c r="LTJ69" s="162"/>
      <c r="LTK69"/>
      <c r="LTL69" s="155"/>
      <c r="LTM69" s="163"/>
      <c r="LTN69"/>
      <c r="LTO69" s="156"/>
      <c r="LTP69" s="157"/>
      <c r="LTQ69" s="158"/>
      <c r="LTR69" s="158"/>
      <c r="LTS69" s="157"/>
      <c r="LTT69" s="159"/>
      <c r="LTU69" s="157"/>
      <c r="LTV69" s="159"/>
      <c r="LTW69" s="160"/>
      <c r="LTX69" s="161"/>
      <c r="LTY69"/>
      <c r="LTZ69" s="162"/>
      <c r="LUA69"/>
      <c r="LUB69" s="155"/>
      <c r="LUC69" s="163"/>
      <c r="LUD69"/>
      <c r="LUE69" s="156"/>
      <c r="LUF69" s="157"/>
      <c r="LUG69" s="158"/>
      <c r="LUH69" s="158"/>
      <c r="LUI69" s="157"/>
      <c r="LUJ69" s="159"/>
      <c r="LUK69" s="157"/>
      <c r="LUL69" s="159"/>
      <c r="LUM69" s="160"/>
      <c r="LUN69" s="161"/>
      <c r="LUO69"/>
      <c r="LUP69" s="162"/>
      <c r="LUQ69"/>
      <c r="LUR69" s="155"/>
      <c r="LUS69" s="163"/>
      <c r="LUT69"/>
      <c r="LUU69" s="156"/>
      <c r="LUV69" s="157"/>
      <c r="LUW69" s="158"/>
      <c r="LUX69" s="158"/>
      <c r="LUY69" s="157"/>
      <c r="LUZ69" s="159"/>
      <c r="LVA69" s="157"/>
      <c r="LVB69" s="159"/>
      <c r="LVC69" s="160"/>
      <c r="LVD69" s="161"/>
      <c r="LVE69"/>
      <c r="LVF69" s="162"/>
      <c r="LVG69"/>
      <c r="LVH69" s="155"/>
      <c r="LVI69" s="163"/>
      <c r="LVJ69"/>
      <c r="LVK69" s="156"/>
      <c r="LVL69" s="157"/>
      <c r="LVM69" s="158"/>
      <c r="LVN69" s="158"/>
      <c r="LVO69" s="157"/>
      <c r="LVP69" s="159"/>
      <c r="LVQ69" s="157"/>
      <c r="LVR69" s="159"/>
      <c r="LVS69" s="160"/>
      <c r="LVT69" s="161"/>
      <c r="LVU69"/>
      <c r="LVV69" s="162"/>
      <c r="LVW69"/>
      <c r="LVX69" s="155"/>
      <c r="LVY69" s="163"/>
      <c r="LVZ69"/>
      <c r="LWA69" s="156"/>
      <c r="LWB69" s="157"/>
      <c r="LWC69" s="158"/>
      <c r="LWD69" s="158"/>
      <c r="LWE69" s="157"/>
      <c r="LWF69" s="159"/>
      <c r="LWG69" s="157"/>
      <c r="LWH69" s="159"/>
      <c r="LWI69" s="160"/>
      <c r="LWJ69" s="161"/>
      <c r="LWK69"/>
      <c r="LWL69" s="162"/>
      <c r="LWM69"/>
      <c r="LWN69" s="155"/>
      <c r="LWO69" s="163"/>
      <c r="LWP69"/>
      <c r="LWQ69" s="156"/>
      <c r="LWR69" s="157"/>
      <c r="LWS69" s="158"/>
      <c r="LWT69" s="158"/>
      <c r="LWU69" s="157"/>
      <c r="LWV69" s="159"/>
      <c r="LWW69" s="157"/>
      <c r="LWX69" s="159"/>
      <c r="LWY69" s="160"/>
      <c r="LWZ69" s="161"/>
      <c r="LXA69"/>
      <c r="LXB69" s="162"/>
      <c r="LXC69"/>
      <c r="LXD69" s="155"/>
      <c r="LXE69" s="163"/>
      <c r="LXF69"/>
      <c r="LXG69" s="156"/>
      <c r="LXH69" s="157"/>
      <c r="LXI69" s="158"/>
      <c r="LXJ69" s="158"/>
      <c r="LXK69" s="157"/>
      <c r="LXL69" s="159"/>
      <c r="LXM69" s="157"/>
      <c r="LXN69" s="159"/>
      <c r="LXO69" s="160"/>
      <c r="LXP69" s="161"/>
      <c r="LXQ69"/>
      <c r="LXR69" s="162"/>
      <c r="LXS69"/>
      <c r="LXT69" s="155"/>
      <c r="LXU69" s="163"/>
      <c r="LXV69"/>
      <c r="LXW69" s="156"/>
      <c r="LXX69" s="157"/>
      <c r="LXY69" s="158"/>
      <c r="LXZ69" s="158"/>
      <c r="LYA69" s="157"/>
      <c r="LYB69" s="159"/>
      <c r="LYC69" s="157"/>
      <c r="LYD69" s="159"/>
      <c r="LYE69" s="160"/>
      <c r="LYF69" s="161"/>
      <c r="LYG69"/>
      <c r="LYH69" s="162"/>
      <c r="LYI69"/>
      <c r="LYJ69" s="155"/>
      <c r="LYK69" s="163"/>
      <c r="LYL69"/>
      <c r="LYM69" s="156"/>
      <c r="LYN69" s="157"/>
      <c r="LYO69" s="158"/>
      <c r="LYP69" s="158"/>
      <c r="LYQ69" s="157"/>
      <c r="LYR69" s="159"/>
      <c r="LYS69" s="157"/>
      <c r="LYT69" s="159"/>
      <c r="LYU69" s="160"/>
      <c r="LYV69" s="161"/>
      <c r="LYW69"/>
      <c r="LYX69" s="162"/>
      <c r="LYY69"/>
      <c r="LYZ69" s="155"/>
      <c r="LZA69" s="163"/>
      <c r="LZB69"/>
      <c r="LZC69" s="156"/>
      <c r="LZD69" s="157"/>
      <c r="LZE69" s="158"/>
      <c r="LZF69" s="158"/>
      <c r="LZG69" s="157"/>
      <c r="LZH69" s="159"/>
      <c r="LZI69" s="157"/>
      <c r="LZJ69" s="159"/>
      <c r="LZK69" s="160"/>
      <c r="LZL69" s="161"/>
      <c r="LZM69"/>
      <c r="LZN69" s="162"/>
      <c r="LZO69"/>
      <c r="LZP69" s="155"/>
      <c r="LZQ69" s="163"/>
      <c r="LZR69"/>
      <c r="LZS69" s="156"/>
      <c r="LZT69" s="157"/>
      <c r="LZU69" s="158"/>
      <c r="LZV69" s="158"/>
      <c r="LZW69" s="157"/>
      <c r="LZX69" s="159"/>
      <c r="LZY69" s="157"/>
      <c r="LZZ69" s="159"/>
      <c r="MAA69" s="160"/>
      <c r="MAB69" s="161"/>
      <c r="MAC69"/>
      <c r="MAD69" s="162"/>
      <c r="MAE69"/>
      <c r="MAF69" s="155"/>
      <c r="MAG69" s="163"/>
      <c r="MAH69"/>
      <c r="MAI69" s="156"/>
      <c r="MAJ69" s="157"/>
      <c r="MAK69" s="158"/>
      <c r="MAL69" s="158"/>
      <c r="MAM69" s="157"/>
      <c r="MAN69" s="159"/>
      <c r="MAO69" s="157"/>
      <c r="MAP69" s="159"/>
      <c r="MAQ69" s="160"/>
      <c r="MAR69" s="161"/>
      <c r="MAS69"/>
      <c r="MAT69" s="162"/>
      <c r="MAU69"/>
      <c r="MAV69" s="155"/>
      <c r="MAW69" s="163"/>
      <c r="MAX69"/>
      <c r="MAY69" s="156"/>
      <c r="MAZ69" s="157"/>
      <c r="MBA69" s="158"/>
      <c r="MBB69" s="158"/>
      <c r="MBC69" s="157"/>
      <c r="MBD69" s="159"/>
      <c r="MBE69" s="157"/>
      <c r="MBF69" s="159"/>
      <c r="MBG69" s="160"/>
      <c r="MBH69" s="161"/>
      <c r="MBI69"/>
      <c r="MBJ69" s="162"/>
      <c r="MBK69"/>
      <c r="MBL69" s="155"/>
      <c r="MBM69" s="163"/>
      <c r="MBN69"/>
      <c r="MBO69" s="156"/>
      <c r="MBP69" s="157"/>
      <c r="MBQ69" s="158"/>
      <c r="MBR69" s="158"/>
      <c r="MBS69" s="157"/>
      <c r="MBT69" s="159"/>
      <c r="MBU69" s="157"/>
      <c r="MBV69" s="159"/>
      <c r="MBW69" s="160"/>
      <c r="MBX69" s="161"/>
      <c r="MBY69"/>
      <c r="MBZ69" s="162"/>
      <c r="MCA69"/>
      <c r="MCB69" s="155"/>
      <c r="MCC69" s="163"/>
      <c r="MCD69"/>
      <c r="MCE69" s="156"/>
      <c r="MCF69" s="157"/>
      <c r="MCG69" s="158"/>
      <c r="MCH69" s="158"/>
      <c r="MCI69" s="157"/>
      <c r="MCJ69" s="159"/>
      <c r="MCK69" s="157"/>
      <c r="MCL69" s="159"/>
      <c r="MCM69" s="160"/>
      <c r="MCN69" s="161"/>
      <c r="MCO69"/>
      <c r="MCP69" s="162"/>
      <c r="MCQ69"/>
      <c r="MCR69" s="155"/>
      <c r="MCS69" s="163"/>
      <c r="MCT69"/>
      <c r="MCU69" s="156"/>
      <c r="MCV69" s="157"/>
      <c r="MCW69" s="158"/>
      <c r="MCX69" s="158"/>
      <c r="MCY69" s="157"/>
      <c r="MCZ69" s="159"/>
      <c r="MDA69" s="157"/>
      <c r="MDB69" s="159"/>
      <c r="MDC69" s="160"/>
      <c r="MDD69" s="161"/>
      <c r="MDE69"/>
      <c r="MDF69" s="162"/>
      <c r="MDG69"/>
      <c r="MDH69" s="155"/>
      <c r="MDI69" s="163"/>
      <c r="MDJ69"/>
      <c r="MDK69" s="156"/>
      <c r="MDL69" s="157"/>
      <c r="MDM69" s="158"/>
      <c r="MDN69" s="158"/>
      <c r="MDO69" s="157"/>
      <c r="MDP69" s="159"/>
      <c r="MDQ69" s="157"/>
      <c r="MDR69" s="159"/>
      <c r="MDS69" s="160"/>
      <c r="MDT69" s="161"/>
      <c r="MDU69"/>
      <c r="MDV69" s="162"/>
      <c r="MDW69"/>
      <c r="MDX69" s="155"/>
      <c r="MDY69" s="163"/>
      <c r="MDZ69"/>
      <c r="MEA69" s="156"/>
      <c r="MEB69" s="157"/>
      <c r="MEC69" s="158"/>
      <c r="MED69" s="158"/>
      <c r="MEE69" s="157"/>
      <c r="MEF69" s="159"/>
      <c r="MEG69" s="157"/>
      <c r="MEH69" s="159"/>
      <c r="MEI69" s="160"/>
      <c r="MEJ69" s="161"/>
      <c r="MEK69"/>
      <c r="MEL69" s="162"/>
      <c r="MEM69"/>
      <c r="MEN69" s="155"/>
      <c r="MEO69" s="163"/>
      <c r="MEP69"/>
      <c r="MEQ69" s="156"/>
      <c r="MER69" s="157"/>
      <c r="MES69" s="158"/>
      <c r="MET69" s="158"/>
      <c r="MEU69" s="157"/>
      <c r="MEV69" s="159"/>
      <c r="MEW69" s="157"/>
      <c r="MEX69" s="159"/>
      <c r="MEY69" s="160"/>
      <c r="MEZ69" s="161"/>
      <c r="MFA69"/>
      <c r="MFB69" s="162"/>
      <c r="MFC69"/>
      <c r="MFD69" s="155"/>
      <c r="MFE69" s="163"/>
      <c r="MFF69"/>
      <c r="MFG69" s="156"/>
      <c r="MFH69" s="157"/>
      <c r="MFI69" s="158"/>
      <c r="MFJ69" s="158"/>
      <c r="MFK69" s="157"/>
      <c r="MFL69" s="159"/>
      <c r="MFM69" s="157"/>
      <c r="MFN69" s="159"/>
      <c r="MFO69" s="160"/>
      <c r="MFP69" s="161"/>
      <c r="MFQ69"/>
      <c r="MFR69" s="162"/>
      <c r="MFS69"/>
      <c r="MFT69" s="155"/>
      <c r="MFU69" s="163"/>
      <c r="MFV69"/>
      <c r="MFW69" s="156"/>
      <c r="MFX69" s="157"/>
      <c r="MFY69" s="158"/>
      <c r="MFZ69" s="158"/>
      <c r="MGA69" s="157"/>
      <c r="MGB69" s="159"/>
      <c r="MGC69" s="157"/>
      <c r="MGD69" s="159"/>
      <c r="MGE69" s="160"/>
      <c r="MGF69" s="161"/>
      <c r="MGG69"/>
      <c r="MGH69" s="162"/>
      <c r="MGI69"/>
      <c r="MGJ69" s="155"/>
      <c r="MGK69" s="163"/>
      <c r="MGL69"/>
      <c r="MGM69" s="156"/>
      <c r="MGN69" s="157"/>
      <c r="MGO69" s="158"/>
      <c r="MGP69" s="158"/>
      <c r="MGQ69" s="157"/>
      <c r="MGR69" s="159"/>
      <c r="MGS69" s="157"/>
      <c r="MGT69" s="159"/>
      <c r="MGU69" s="160"/>
      <c r="MGV69" s="161"/>
      <c r="MGW69"/>
      <c r="MGX69" s="162"/>
      <c r="MGY69"/>
      <c r="MGZ69" s="155"/>
      <c r="MHA69" s="163"/>
      <c r="MHB69"/>
      <c r="MHC69" s="156"/>
      <c r="MHD69" s="157"/>
      <c r="MHE69" s="158"/>
      <c r="MHF69" s="158"/>
      <c r="MHG69" s="157"/>
      <c r="MHH69" s="159"/>
      <c r="MHI69" s="157"/>
      <c r="MHJ69" s="159"/>
      <c r="MHK69" s="160"/>
      <c r="MHL69" s="161"/>
      <c r="MHM69"/>
      <c r="MHN69" s="162"/>
      <c r="MHO69"/>
      <c r="MHP69" s="155"/>
      <c r="MHQ69" s="163"/>
      <c r="MHR69"/>
      <c r="MHS69" s="156"/>
      <c r="MHT69" s="157"/>
      <c r="MHU69" s="158"/>
      <c r="MHV69" s="158"/>
      <c r="MHW69" s="157"/>
      <c r="MHX69" s="159"/>
      <c r="MHY69" s="157"/>
      <c r="MHZ69" s="159"/>
      <c r="MIA69" s="160"/>
      <c r="MIB69" s="161"/>
      <c r="MIC69"/>
      <c r="MID69" s="162"/>
      <c r="MIE69"/>
      <c r="MIF69" s="155"/>
      <c r="MIG69" s="163"/>
      <c r="MIH69"/>
      <c r="MII69" s="156"/>
      <c r="MIJ69" s="157"/>
      <c r="MIK69" s="158"/>
      <c r="MIL69" s="158"/>
      <c r="MIM69" s="157"/>
      <c r="MIN69" s="159"/>
      <c r="MIO69" s="157"/>
      <c r="MIP69" s="159"/>
      <c r="MIQ69" s="160"/>
      <c r="MIR69" s="161"/>
      <c r="MIS69"/>
      <c r="MIT69" s="162"/>
      <c r="MIU69"/>
      <c r="MIV69" s="155"/>
      <c r="MIW69" s="163"/>
      <c r="MIX69"/>
      <c r="MIY69" s="156"/>
      <c r="MIZ69" s="157"/>
      <c r="MJA69" s="158"/>
      <c r="MJB69" s="158"/>
      <c r="MJC69" s="157"/>
      <c r="MJD69" s="159"/>
      <c r="MJE69" s="157"/>
      <c r="MJF69" s="159"/>
      <c r="MJG69" s="160"/>
      <c r="MJH69" s="161"/>
      <c r="MJI69"/>
      <c r="MJJ69" s="162"/>
      <c r="MJK69"/>
      <c r="MJL69" s="155"/>
      <c r="MJM69" s="163"/>
      <c r="MJN69"/>
      <c r="MJO69" s="156"/>
      <c r="MJP69" s="157"/>
      <c r="MJQ69" s="158"/>
      <c r="MJR69" s="158"/>
      <c r="MJS69" s="157"/>
      <c r="MJT69" s="159"/>
      <c r="MJU69" s="157"/>
      <c r="MJV69" s="159"/>
      <c r="MJW69" s="160"/>
      <c r="MJX69" s="161"/>
      <c r="MJY69"/>
      <c r="MJZ69" s="162"/>
      <c r="MKA69"/>
      <c r="MKB69" s="155"/>
      <c r="MKC69" s="163"/>
      <c r="MKD69"/>
      <c r="MKE69" s="156"/>
      <c r="MKF69" s="157"/>
      <c r="MKG69" s="158"/>
      <c r="MKH69" s="158"/>
      <c r="MKI69" s="157"/>
      <c r="MKJ69" s="159"/>
      <c r="MKK69" s="157"/>
      <c r="MKL69" s="159"/>
      <c r="MKM69" s="160"/>
      <c r="MKN69" s="161"/>
      <c r="MKO69"/>
      <c r="MKP69" s="162"/>
      <c r="MKQ69"/>
      <c r="MKR69" s="155"/>
      <c r="MKS69" s="163"/>
      <c r="MKT69"/>
      <c r="MKU69" s="156"/>
      <c r="MKV69" s="157"/>
      <c r="MKW69" s="158"/>
      <c r="MKX69" s="158"/>
      <c r="MKY69" s="157"/>
      <c r="MKZ69" s="159"/>
      <c r="MLA69" s="157"/>
      <c r="MLB69" s="159"/>
      <c r="MLC69" s="160"/>
      <c r="MLD69" s="161"/>
      <c r="MLE69"/>
      <c r="MLF69" s="162"/>
      <c r="MLG69"/>
      <c r="MLH69" s="155"/>
      <c r="MLI69" s="163"/>
      <c r="MLJ69"/>
      <c r="MLK69" s="156"/>
      <c r="MLL69" s="157"/>
      <c r="MLM69" s="158"/>
      <c r="MLN69" s="158"/>
      <c r="MLO69" s="157"/>
      <c r="MLP69" s="159"/>
      <c r="MLQ69" s="157"/>
      <c r="MLR69" s="159"/>
      <c r="MLS69" s="160"/>
      <c r="MLT69" s="161"/>
      <c r="MLU69"/>
      <c r="MLV69" s="162"/>
      <c r="MLW69"/>
      <c r="MLX69" s="155"/>
      <c r="MLY69" s="163"/>
      <c r="MLZ69"/>
      <c r="MMA69" s="156"/>
      <c r="MMB69" s="157"/>
      <c r="MMC69" s="158"/>
      <c r="MMD69" s="158"/>
      <c r="MME69" s="157"/>
      <c r="MMF69" s="159"/>
      <c r="MMG69" s="157"/>
      <c r="MMH69" s="159"/>
      <c r="MMI69" s="160"/>
      <c r="MMJ69" s="161"/>
      <c r="MMK69"/>
      <c r="MML69" s="162"/>
      <c r="MMM69"/>
      <c r="MMN69" s="155"/>
      <c r="MMO69" s="163"/>
      <c r="MMP69"/>
      <c r="MMQ69" s="156"/>
      <c r="MMR69" s="157"/>
      <c r="MMS69" s="158"/>
      <c r="MMT69" s="158"/>
      <c r="MMU69" s="157"/>
      <c r="MMV69" s="159"/>
      <c r="MMW69" s="157"/>
      <c r="MMX69" s="159"/>
      <c r="MMY69" s="160"/>
      <c r="MMZ69" s="161"/>
      <c r="MNA69"/>
      <c r="MNB69" s="162"/>
      <c r="MNC69"/>
      <c r="MND69" s="155"/>
      <c r="MNE69" s="163"/>
      <c r="MNF69"/>
      <c r="MNG69" s="156"/>
      <c r="MNH69" s="157"/>
      <c r="MNI69" s="158"/>
      <c r="MNJ69" s="158"/>
      <c r="MNK69" s="157"/>
      <c r="MNL69" s="159"/>
      <c r="MNM69" s="157"/>
      <c r="MNN69" s="159"/>
      <c r="MNO69" s="160"/>
      <c r="MNP69" s="161"/>
      <c r="MNQ69"/>
      <c r="MNR69" s="162"/>
      <c r="MNS69"/>
      <c r="MNT69" s="155"/>
      <c r="MNU69" s="163"/>
      <c r="MNV69"/>
      <c r="MNW69" s="156"/>
      <c r="MNX69" s="157"/>
      <c r="MNY69" s="158"/>
      <c r="MNZ69" s="158"/>
      <c r="MOA69" s="157"/>
      <c r="MOB69" s="159"/>
      <c r="MOC69" s="157"/>
      <c r="MOD69" s="159"/>
      <c r="MOE69" s="160"/>
      <c r="MOF69" s="161"/>
      <c r="MOG69"/>
      <c r="MOH69" s="162"/>
      <c r="MOI69"/>
      <c r="MOJ69" s="155"/>
      <c r="MOK69" s="163"/>
      <c r="MOL69"/>
      <c r="MOM69" s="156"/>
      <c r="MON69" s="157"/>
      <c r="MOO69" s="158"/>
      <c r="MOP69" s="158"/>
      <c r="MOQ69" s="157"/>
      <c r="MOR69" s="159"/>
      <c r="MOS69" s="157"/>
      <c r="MOT69" s="159"/>
      <c r="MOU69" s="160"/>
      <c r="MOV69" s="161"/>
      <c r="MOW69"/>
      <c r="MOX69" s="162"/>
      <c r="MOY69"/>
      <c r="MOZ69" s="155"/>
      <c r="MPA69" s="163"/>
      <c r="MPB69"/>
      <c r="MPC69" s="156"/>
      <c r="MPD69" s="157"/>
      <c r="MPE69" s="158"/>
      <c r="MPF69" s="158"/>
      <c r="MPG69" s="157"/>
      <c r="MPH69" s="159"/>
      <c r="MPI69" s="157"/>
      <c r="MPJ69" s="159"/>
      <c r="MPK69" s="160"/>
      <c r="MPL69" s="161"/>
      <c r="MPM69"/>
      <c r="MPN69" s="162"/>
      <c r="MPO69"/>
      <c r="MPP69" s="155"/>
      <c r="MPQ69" s="163"/>
      <c r="MPR69"/>
      <c r="MPS69" s="156"/>
      <c r="MPT69" s="157"/>
      <c r="MPU69" s="158"/>
      <c r="MPV69" s="158"/>
      <c r="MPW69" s="157"/>
      <c r="MPX69" s="159"/>
      <c r="MPY69" s="157"/>
      <c r="MPZ69" s="159"/>
      <c r="MQA69" s="160"/>
      <c r="MQB69" s="161"/>
      <c r="MQC69"/>
      <c r="MQD69" s="162"/>
      <c r="MQE69"/>
      <c r="MQF69" s="155"/>
      <c r="MQG69" s="163"/>
      <c r="MQH69"/>
      <c r="MQI69" s="156"/>
      <c r="MQJ69" s="157"/>
      <c r="MQK69" s="158"/>
      <c r="MQL69" s="158"/>
      <c r="MQM69" s="157"/>
      <c r="MQN69" s="159"/>
      <c r="MQO69" s="157"/>
      <c r="MQP69" s="159"/>
      <c r="MQQ69" s="160"/>
      <c r="MQR69" s="161"/>
      <c r="MQS69"/>
      <c r="MQT69" s="162"/>
      <c r="MQU69"/>
      <c r="MQV69" s="155"/>
      <c r="MQW69" s="163"/>
      <c r="MQX69"/>
      <c r="MQY69" s="156"/>
      <c r="MQZ69" s="157"/>
      <c r="MRA69" s="158"/>
      <c r="MRB69" s="158"/>
      <c r="MRC69" s="157"/>
      <c r="MRD69" s="159"/>
      <c r="MRE69" s="157"/>
      <c r="MRF69" s="159"/>
      <c r="MRG69" s="160"/>
      <c r="MRH69" s="161"/>
      <c r="MRI69"/>
      <c r="MRJ69" s="162"/>
      <c r="MRK69"/>
      <c r="MRL69" s="155"/>
      <c r="MRM69" s="163"/>
      <c r="MRN69"/>
      <c r="MRO69" s="156"/>
      <c r="MRP69" s="157"/>
      <c r="MRQ69" s="158"/>
      <c r="MRR69" s="158"/>
      <c r="MRS69" s="157"/>
      <c r="MRT69" s="159"/>
      <c r="MRU69" s="157"/>
      <c r="MRV69" s="159"/>
      <c r="MRW69" s="160"/>
      <c r="MRX69" s="161"/>
      <c r="MRY69"/>
      <c r="MRZ69" s="162"/>
      <c r="MSA69"/>
      <c r="MSB69" s="155"/>
      <c r="MSC69" s="163"/>
      <c r="MSD69"/>
      <c r="MSE69" s="156"/>
      <c r="MSF69" s="157"/>
      <c r="MSG69" s="158"/>
      <c r="MSH69" s="158"/>
      <c r="MSI69" s="157"/>
      <c r="MSJ69" s="159"/>
      <c r="MSK69" s="157"/>
      <c r="MSL69" s="159"/>
      <c r="MSM69" s="160"/>
      <c r="MSN69" s="161"/>
      <c r="MSO69"/>
      <c r="MSP69" s="162"/>
      <c r="MSQ69"/>
      <c r="MSR69" s="155"/>
      <c r="MSS69" s="163"/>
      <c r="MST69"/>
      <c r="MSU69" s="156"/>
      <c r="MSV69" s="157"/>
      <c r="MSW69" s="158"/>
      <c r="MSX69" s="158"/>
      <c r="MSY69" s="157"/>
      <c r="MSZ69" s="159"/>
      <c r="MTA69" s="157"/>
      <c r="MTB69" s="159"/>
      <c r="MTC69" s="160"/>
      <c r="MTD69" s="161"/>
      <c r="MTE69"/>
      <c r="MTF69" s="162"/>
      <c r="MTG69"/>
      <c r="MTH69" s="155"/>
      <c r="MTI69" s="163"/>
      <c r="MTJ69"/>
      <c r="MTK69" s="156"/>
      <c r="MTL69" s="157"/>
      <c r="MTM69" s="158"/>
      <c r="MTN69" s="158"/>
      <c r="MTO69" s="157"/>
      <c r="MTP69" s="159"/>
      <c r="MTQ69" s="157"/>
      <c r="MTR69" s="159"/>
      <c r="MTS69" s="160"/>
      <c r="MTT69" s="161"/>
      <c r="MTU69"/>
      <c r="MTV69" s="162"/>
      <c r="MTW69"/>
      <c r="MTX69" s="155"/>
      <c r="MTY69" s="163"/>
      <c r="MTZ69"/>
      <c r="MUA69" s="156"/>
      <c r="MUB69" s="157"/>
      <c r="MUC69" s="158"/>
      <c r="MUD69" s="158"/>
      <c r="MUE69" s="157"/>
      <c r="MUF69" s="159"/>
      <c r="MUG69" s="157"/>
      <c r="MUH69" s="159"/>
      <c r="MUI69" s="160"/>
      <c r="MUJ69" s="161"/>
      <c r="MUK69"/>
      <c r="MUL69" s="162"/>
      <c r="MUM69"/>
      <c r="MUN69" s="155"/>
      <c r="MUO69" s="163"/>
      <c r="MUP69"/>
      <c r="MUQ69" s="156"/>
      <c r="MUR69" s="157"/>
      <c r="MUS69" s="158"/>
      <c r="MUT69" s="158"/>
      <c r="MUU69" s="157"/>
      <c r="MUV69" s="159"/>
      <c r="MUW69" s="157"/>
      <c r="MUX69" s="159"/>
      <c r="MUY69" s="160"/>
      <c r="MUZ69" s="161"/>
      <c r="MVA69"/>
      <c r="MVB69" s="162"/>
      <c r="MVC69"/>
      <c r="MVD69" s="155"/>
      <c r="MVE69" s="163"/>
      <c r="MVF69"/>
      <c r="MVG69" s="156"/>
      <c r="MVH69" s="157"/>
      <c r="MVI69" s="158"/>
      <c r="MVJ69" s="158"/>
      <c r="MVK69" s="157"/>
      <c r="MVL69" s="159"/>
      <c r="MVM69" s="157"/>
      <c r="MVN69" s="159"/>
      <c r="MVO69" s="160"/>
      <c r="MVP69" s="161"/>
      <c r="MVQ69"/>
      <c r="MVR69" s="162"/>
      <c r="MVS69"/>
      <c r="MVT69" s="155"/>
      <c r="MVU69" s="163"/>
      <c r="MVV69"/>
      <c r="MVW69" s="156"/>
      <c r="MVX69" s="157"/>
      <c r="MVY69" s="158"/>
      <c r="MVZ69" s="158"/>
      <c r="MWA69" s="157"/>
      <c r="MWB69" s="159"/>
      <c r="MWC69" s="157"/>
      <c r="MWD69" s="159"/>
      <c r="MWE69" s="160"/>
      <c r="MWF69" s="161"/>
      <c r="MWG69"/>
      <c r="MWH69" s="162"/>
      <c r="MWI69"/>
      <c r="MWJ69" s="155"/>
      <c r="MWK69" s="163"/>
      <c r="MWL69"/>
      <c r="MWM69" s="156"/>
      <c r="MWN69" s="157"/>
      <c r="MWO69" s="158"/>
      <c r="MWP69" s="158"/>
      <c r="MWQ69" s="157"/>
      <c r="MWR69" s="159"/>
      <c r="MWS69" s="157"/>
      <c r="MWT69" s="159"/>
      <c r="MWU69" s="160"/>
      <c r="MWV69" s="161"/>
      <c r="MWW69"/>
      <c r="MWX69" s="162"/>
      <c r="MWY69"/>
      <c r="MWZ69" s="155"/>
      <c r="MXA69" s="163"/>
      <c r="MXB69"/>
      <c r="MXC69" s="156"/>
      <c r="MXD69" s="157"/>
      <c r="MXE69" s="158"/>
      <c r="MXF69" s="158"/>
      <c r="MXG69" s="157"/>
      <c r="MXH69" s="159"/>
      <c r="MXI69" s="157"/>
      <c r="MXJ69" s="159"/>
      <c r="MXK69" s="160"/>
      <c r="MXL69" s="161"/>
      <c r="MXM69"/>
      <c r="MXN69" s="162"/>
      <c r="MXO69"/>
      <c r="MXP69" s="155"/>
      <c r="MXQ69" s="163"/>
      <c r="MXR69"/>
      <c r="MXS69" s="156"/>
      <c r="MXT69" s="157"/>
      <c r="MXU69" s="158"/>
      <c r="MXV69" s="158"/>
      <c r="MXW69" s="157"/>
      <c r="MXX69" s="159"/>
      <c r="MXY69" s="157"/>
      <c r="MXZ69" s="159"/>
      <c r="MYA69" s="160"/>
      <c r="MYB69" s="161"/>
      <c r="MYC69"/>
      <c r="MYD69" s="162"/>
      <c r="MYE69"/>
      <c r="MYF69" s="155"/>
      <c r="MYG69" s="163"/>
      <c r="MYH69"/>
      <c r="MYI69" s="156"/>
      <c r="MYJ69" s="157"/>
      <c r="MYK69" s="158"/>
      <c r="MYL69" s="158"/>
      <c r="MYM69" s="157"/>
      <c r="MYN69" s="159"/>
      <c r="MYO69" s="157"/>
      <c r="MYP69" s="159"/>
      <c r="MYQ69" s="160"/>
      <c r="MYR69" s="161"/>
      <c r="MYS69"/>
      <c r="MYT69" s="162"/>
      <c r="MYU69"/>
      <c r="MYV69" s="155"/>
      <c r="MYW69" s="163"/>
      <c r="MYX69"/>
      <c r="MYY69" s="156"/>
      <c r="MYZ69" s="157"/>
      <c r="MZA69" s="158"/>
      <c r="MZB69" s="158"/>
      <c r="MZC69" s="157"/>
      <c r="MZD69" s="159"/>
      <c r="MZE69" s="157"/>
      <c r="MZF69" s="159"/>
      <c r="MZG69" s="160"/>
      <c r="MZH69" s="161"/>
      <c r="MZI69"/>
      <c r="MZJ69" s="162"/>
      <c r="MZK69"/>
      <c r="MZL69" s="155"/>
      <c r="MZM69" s="163"/>
      <c r="MZN69"/>
      <c r="MZO69" s="156"/>
      <c r="MZP69" s="157"/>
      <c r="MZQ69" s="158"/>
      <c r="MZR69" s="158"/>
      <c r="MZS69" s="157"/>
      <c r="MZT69" s="159"/>
      <c r="MZU69" s="157"/>
      <c r="MZV69" s="159"/>
      <c r="MZW69" s="160"/>
      <c r="MZX69" s="161"/>
      <c r="MZY69"/>
      <c r="MZZ69" s="162"/>
      <c r="NAA69"/>
      <c r="NAB69" s="155"/>
      <c r="NAC69" s="163"/>
      <c r="NAD69"/>
      <c r="NAE69" s="156"/>
      <c r="NAF69" s="157"/>
      <c r="NAG69" s="158"/>
      <c r="NAH69" s="158"/>
      <c r="NAI69" s="157"/>
      <c r="NAJ69" s="159"/>
      <c r="NAK69" s="157"/>
      <c r="NAL69" s="159"/>
      <c r="NAM69" s="160"/>
      <c r="NAN69" s="161"/>
      <c r="NAO69"/>
      <c r="NAP69" s="162"/>
      <c r="NAQ69"/>
      <c r="NAR69" s="155"/>
      <c r="NAS69" s="163"/>
      <c r="NAT69"/>
      <c r="NAU69" s="156"/>
      <c r="NAV69" s="157"/>
      <c r="NAW69" s="158"/>
      <c r="NAX69" s="158"/>
      <c r="NAY69" s="157"/>
      <c r="NAZ69" s="159"/>
      <c r="NBA69" s="157"/>
      <c r="NBB69" s="159"/>
      <c r="NBC69" s="160"/>
      <c r="NBD69" s="161"/>
      <c r="NBE69"/>
      <c r="NBF69" s="162"/>
      <c r="NBG69"/>
      <c r="NBH69" s="155"/>
      <c r="NBI69" s="163"/>
      <c r="NBJ69"/>
      <c r="NBK69" s="156"/>
      <c r="NBL69" s="157"/>
      <c r="NBM69" s="158"/>
      <c r="NBN69" s="158"/>
      <c r="NBO69" s="157"/>
      <c r="NBP69" s="159"/>
      <c r="NBQ69" s="157"/>
      <c r="NBR69" s="159"/>
      <c r="NBS69" s="160"/>
      <c r="NBT69" s="161"/>
      <c r="NBU69"/>
      <c r="NBV69" s="162"/>
      <c r="NBW69"/>
      <c r="NBX69" s="155"/>
      <c r="NBY69" s="163"/>
      <c r="NBZ69"/>
      <c r="NCA69" s="156"/>
      <c r="NCB69" s="157"/>
      <c r="NCC69" s="158"/>
      <c r="NCD69" s="158"/>
      <c r="NCE69" s="157"/>
      <c r="NCF69" s="159"/>
      <c r="NCG69" s="157"/>
      <c r="NCH69" s="159"/>
      <c r="NCI69" s="160"/>
      <c r="NCJ69" s="161"/>
      <c r="NCK69"/>
      <c r="NCL69" s="162"/>
      <c r="NCM69"/>
      <c r="NCN69" s="155"/>
      <c r="NCO69" s="163"/>
      <c r="NCP69"/>
      <c r="NCQ69" s="156"/>
      <c r="NCR69" s="157"/>
      <c r="NCS69" s="158"/>
      <c r="NCT69" s="158"/>
      <c r="NCU69" s="157"/>
      <c r="NCV69" s="159"/>
      <c r="NCW69" s="157"/>
      <c r="NCX69" s="159"/>
      <c r="NCY69" s="160"/>
      <c r="NCZ69" s="161"/>
      <c r="NDA69"/>
      <c r="NDB69" s="162"/>
      <c r="NDC69"/>
      <c r="NDD69" s="155"/>
      <c r="NDE69" s="163"/>
      <c r="NDF69"/>
      <c r="NDG69" s="156"/>
      <c r="NDH69" s="157"/>
      <c r="NDI69" s="158"/>
      <c r="NDJ69" s="158"/>
      <c r="NDK69" s="157"/>
      <c r="NDL69" s="159"/>
      <c r="NDM69" s="157"/>
      <c r="NDN69" s="159"/>
      <c r="NDO69" s="160"/>
      <c r="NDP69" s="161"/>
      <c r="NDQ69"/>
      <c r="NDR69" s="162"/>
      <c r="NDS69"/>
      <c r="NDT69" s="155"/>
      <c r="NDU69" s="163"/>
      <c r="NDV69"/>
      <c r="NDW69" s="156"/>
      <c r="NDX69" s="157"/>
      <c r="NDY69" s="158"/>
      <c r="NDZ69" s="158"/>
      <c r="NEA69" s="157"/>
      <c r="NEB69" s="159"/>
      <c r="NEC69" s="157"/>
      <c r="NED69" s="159"/>
      <c r="NEE69" s="160"/>
      <c r="NEF69" s="161"/>
      <c r="NEG69"/>
      <c r="NEH69" s="162"/>
      <c r="NEI69"/>
      <c r="NEJ69" s="155"/>
      <c r="NEK69" s="163"/>
      <c r="NEL69"/>
      <c r="NEM69" s="156"/>
      <c r="NEN69" s="157"/>
      <c r="NEO69" s="158"/>
      <c r="NEP69" s="158"/>
      <c r="NEQ69" s="157"/>
      <c r="NER69" s="159"/>
      <c r="NES69" s="157"/>
      <c r="NET69" s="159"/>
      <c r="NEU69" s="160"/>
      <c r="NEV69" s="161"/>
      <c r="NEW69"/>
      <c r="NEX69" s="162"/>
      <c r="NEY69"/>
      <c r="NEZ69" s="155"/>
      <c r="NFA69" s="163"/>
      <c r="NFB69"/>
      <c r="NFC69" s="156"/>
      <c r="NFD69" s="157"/>
      <c r="NFE69" s="158"/>
      <c r="NFF69" s="158"/>
      <c r="NFG69" s="157"/>
      <c r="NFH69" s="159"/>
      <c r="NFI69" s="157"/>
      <c r="NFJ69" s="159"/>
      <c r="NFK69" s="160"/>
      <c r="NFL69" s="161"/>
      <c r="NFM69"/>
      <c r="NFN69" s="162"/>
      <c r="NFO69"/>
      <c r="NFP69" s="155"/>
      <c r="NFQ69" s="163"/>
      <c r="NFR69"/>
      <c r="NFS69" s="156"/>
      <c r="NFT69" s="157"/>
      <c r="NFU69" s="158"/>
      <c r="NFV69" s="158"/>
      <c r="NFW69" s="157"/>
      <c r="NFX69" s="159"/>
      <c r="NFY69" s="157"/>
      <c r="NFZ69" s="159"/>
      <c r="NGA69" s="160"/>
      <c r="NGB69" s="161"/>
      <c r="NGC69"/>
      <c r="NGD69" s="162"/>
      <c r="NGE69"/>
      <c r="NGF69" s="155"/>
      <c r="NGG69" s="163"/>
      <c r="NGH69"/>
      <c r="NGI69" s="156"/>
      <c r="NGJ69" s="157"/>
      <c r="NGK69" s="158"/>
      <c r="NGL69" s="158"/>
      <c r="NGM69" s="157"/>
      <c r="NGN69" s="159"/>
      <c r="NGO69" s="157"/>
      <c r="NGP69" s="159"/>
      <c r="NGQ69" s="160"/>
      <c r="NGR69" s="161"/>
      <c r="NGS69"/>
      <c r="NGT69" s="162"/>
      <c r="NGU69"/>
      <c r="NGV69" s="155"/>
      <c r="NGW69" s="163"/>
      <c r="NGX69"/>
      <c r="NGY69" s="156"/>
      <c r="NGZ69" s="157"/>
      <c r="NHA69" s="158"/>
      <c r="NHB69" s="158"/>
      <c r="NHC69" s="157"/>
      <c r="NHD69" s="159"/>
      <c r="NHE69" s="157"/>
      <c r="NHF69" s="159"/>
      <c r="NHG69" s="160"/>
      <c r="NHH69" s="161"/>
      <c r="NHI69"/>
      <c r="NHJ69" s="162"/>
      <c r="NHK69"/>
      <c r="NHL69" s="155"/>
      <c r="NHM69" s="163"/>
      <c r="NHN69"/>
      <c r="NHO69" s="156"/>
      <c r="NHP69" s="157"/>
      <c r="NHQ69" s="158"/>
      <c r="NHR69" s="158"/>
      <c r="NHS69" s="157"/>
      <c r="NHT69" s="159"/>
      <c r="NHU69" s="157"/>
      <c r="NHV69" s="159"/>
      <c r="NHW69" s="160"/>
      <c r="NHX69" s="161"/>
      <c r="NHY69"/>
      <c r="NHZ69" s="162"/>
      <c r="NIA69"/>
      <c r="NIB69" s="155"/>
      <c r="NIC69" s="163"/>
      <c r="NID69"/>
      <c r="NIE69" s="156"/>
      <c r="NIF69" s="157"/>
      <c r="NIG69" s="158"/>
      <c r="NIH69" s="158"/>
      <c r="NII69" s="157"/>
      <c r="NIJ69" s="159"/>
      <c r="NIK69" s="157"/>
      <c r="NIL69" s="159"/>
      <c r="NIM69" s="160"/>
      <c r="NIN69" s="161"/>
      <c r="NIO69"/>
      <c r="NIP69" s="162"/>
      <c r="NIQ69"/>
      <c r="NIR69" s="155"/>
      <c r="NIS69" s="163"/>
      <c r="NIT69"/>
      <c r="NIU69" s="156"/>
      <c r="NIV69" s="157"/>
      <c r="NIW69" s="158"/>
      <c r="NIX69" s="158"/>
      <c r="NIY69" s="157"/>
      <c r="NIZ69" s="159"/>
      <c r="NJA69" s="157"/>
      <c r="NJB69" s="159"/>
      <c r="NJC69" s="160"/>
      <c r="NJD69" s="161"/>
      <c r="NJE69"/>
      <c r="NJF69" s="162"/>
      <c r="NJG69"/>
      <c r="NJH69" s="155"/>
      <c r="NJI69" s="163"/>
      <c r="NJJ69"/>
      <c r="NJK69" s="156"/>
      <c r="NJL69" s="157"/>
      <c r="NJM69" s="158"/>
      <c r="NJN69" s="158"/>
      <c r="NJO69" s="157"/>
      <c r="NJP69" s="159"/>
      <c r="NJQ69" s="157"/>
      <c r="NJR69" s="159"/>
      <c r="NJS69" s="160"/>
      <c r="NJT69" s="161"/>
      <c r="NJU69"/>
      <c r="NJV69" s="162"/>
      <c r="NJW69"/>
      <c r="NJX69" s="155"/>
      <c r="NJY69" s="163"/>
      <c r="NJZ69"/>
      <c r="NKA69" s="156"/>
      <c r="NKB69" s="157"/>
      <c r="NKC69" s="158"/>
      <c r="NKD69" s="158"/>
      <c r="NKE69" s="157"/>
      <c r="NKF69" s="159"/>
      <c r="NKG69" s="157"/>
      <c r="NKH69" s="159"/>
      <c r="NKI69" s="160"/>
      <c r="NKJ69" s="161"/>
      <c r="NKK69"/>
      <c r="NKL69" s="162"/>
      <c r="NKM69"/>
      <c r="NKN69" s="155"/>
      <c r="NKO69" s="163"/>
      <c r="NKP69"/>
      <c r="NKQ69" s="156"/>
      <c r="NKR69" s="157"/>
      <c r="NKS69" s="158"/>
      <c r="NKT69" s="158"/>
      <c r="NKU69" s="157"/>
      <c r="NKV69" s="159"/>
      <c r="NKW69" s="157"/>
      <c r="NKX69" s="159"/>
      <c r="NKY69" s="160"/>
      <c r="NKZ69" s="161"/>
      <c r="NLA69"/>
      <c r="NLB69" s="162"/>
      <c r="NLC69"/>
      <c r="NLD69" s="155"/>
      <c r="NLE69" s="163"/>
      <c r="NLF69"/>
      <c r="NLG69" s="156"/>
      <c r="NLH69" s="157"/>
      <c r="NLI69" s="158"/>
      <c r="NLJ69" s="158"/>
      <c r="NLK69" s="157"/>
      <c r="NLL69" s="159"/>
      <c r="NLM69" s="157"/>
      <c r="NLN69" s="159"/>
      <c r="NLO69" s="160"/>
      <c r="NLP69" s="161"/>
      <c r="NLQ69"/>
      <c r="NLR69" s="162"/>
      <c r="NLS69"/>
      <c r="NLT69" s="155"/>
      <c r="NLU69" s="163"/>
      <c r="NLV69"/>
      <c r="NLW69" s="156"/>
      <c r="NLX69" s="157"/>
      <c r="NLY69" s="158"/>
      <c r="NLZ69" s="158"/>
      <c r="NMA69" s="157"/>
      <c r="NMB69" s="159"/>
      <c r="NMC69" s="157"/>
      <c r="NMD69" s="159"/>
      <c r="NME69" s="160"/>
      <c r="NMF69" s="161"/>
      <c r="NMG69"/>
      <c r="NMH69" s="162"/>
      <c r="NMI69"/>
      <c r="NMJ69" s="155"/>
      <c r="NMK69" s="163"/>
      <c r="NML69"/>
      <c r="NMM69" s="156"/>
      <c r="NMN69" s="157"/>
      <c r="NMO69" s="158"/>
      <c r="NMP69" s="158"/>
      <c r="NMQ69" s="157"/>
      <c r="NMR69" s="159"/>
      <c r="NMS69" s="157"/>
      <c r="NMT69" s="159"/>
      <c r="NMU69" s="160"/>
      <c r="NMV69" s="161"/>
      <c r="NMW69"/>
      <c r="NMX69" s="162"/>
      <c r="NMY69"/>
      <c r="NMZ69" s="155"/>
      <c r="NNA69" s="163"/>
      <c r="NNB69"/>
      <c r="NNC69" s="156"/>
      <c r="NND69" s="157"/>
      <c r="NNE69" s="158"/>
      <c r="NNF69" s="158"/>
      <c r="NNG69" s="157"/>
      <c r="NNH69" s="159"/>
      <c r="NNI69" s="157"/>
      <c r="NNJ69" s="159"/>
      <c r="NNK69" s="160"/>
      <c r="NNL69" s="161"/>
      <c r="NNM69"/>
      <c r="NNN69" s="162"/>
      <c r="NNO69"/>
      <c r="NNP69" s="155"/>
      <c r="NNQ69" s="163"/>
      <c r="NNR69"/>
      <c r="NNS69" s="156"/>
      <c r="NNT69" s="157"/>
      <c r="NNU69" s="158"/>
      <c r="NNV69" s="158"/>
      <c r="NNW69" s="157"/>
      <c r="NNX69" s="159"/>
      <c r="NNY69" s="157"/>
      <c r="NNZ69" s="159"/>
      <c r="NOA69" s="160"/>
      <c r="NOB69" s="161"/>
      <c r="NOC69"/>
      <c r="NOD69" s="162"/>
      <c r="NOE69"/>
      <c r="NOF69" s="155"/>
      <c r="NOG69" s="163"/>
      <c r="NOH69"/>
      <c r="NOI69" s="156"/>
      <c r="NOJ69" s="157"/>
      <c r="NOK69" s="158"/>
      <c r="NOL69" s="158"/>
      <c r="NOM69" s="157"/>
      <c r="NON69" s="159"/>
      <c r="NOO69" s="157"/>
      <c r="NOP69" s="159"/>
      <c r="NOQ69" s="160"/>
      <c r="NOR69" s="161"/>
      <c r="NOS69"/>
      <c r="NOT69" s="162"/>
      <c r="NOU69"/>
      <c r="NOV69" s="155"/>
      <c r="NOW69" s="163"/>
      <c r="NOX69"/>
      <c r="NOY69" s="156"/>
      <c r="NOZ69" s="157"/>
      <c r="NPA69" s="158"/>
      <c r="NPB69" s="158"/>
      <c r="NPC69" s="157"/>
      <c r="NPD69" s="159"/>
      <c r="NPE69" s="157"/>
      <c r="NPF69" s="159"/>
      <c r="NPG69" s="160"/>
      <c r="NPH69" s="161"/>
      <c r="NPI69"/>
      <c r="NPJ69" s="162"/>
      <c r="NPK69"/>
      <c r="NPL69" s="155"/>
      <c r="NPM69" s="163"/>
      <c r="NPN69"/>
      <c r="NPO69" s="156"/>
      <c r="NPP69" s="157"/>
      <c r="NPQ69" s="158"/>
      <c r="NPR69" s="158"/>
      <c r="NPS69" s="157"/>
      <c r="NPT69" s="159"/>
      <c r="NPU69" s="157"/>
      <c r="NPV69" s="159"/>
      <c r="NPW69" s="160"/>
      <c r="NPX69" s="161"/>
      <c r="NPY69"/>
      <c r="NPZ69" s="162"/>
      <c r="NQA69"/>
      <c r="NQB69" s="155"/>
      <c r="NQC69" s="163"/>
      <c r="NQD69"/>
      <c r="NQE69" s="156"/>
      <c r="NQF69" s="157"/>
      <c r="NQG69" s="158"/>
      <c r="NQH69" s="158"/>
      <c r="NQI69" s="157"/>
      <c r="NQJ69" s="159"/>
      <c r="NQK69" s="157"/>
      <c r="NQL69" s="159"/>
      <c r="NQM69" s="160"/>
      <c r="NQN69" s="161"/>
      <c r="NQO69"/>
      <c r="NQP69" s="162"/>
      <c r="NQQ69"/>
      <c r="NQR69" s="155"/>
      <c r="NQS69" s="163"/>
      <c r="NQT69"/>
      <c r="NQU69" s="156"/>
      <c r="NQV69" s="157"/>
      <c r="NQW69" s="158"/>
      <c r="NQX69" s="158"/>
      <c r="NQY69" s="157"/>
      <c r="NQZ69" s="159"/>
      <c r="NRA69" s="157"/>
      <c r="NRB69" s="159"/>
      <c r="NRC69" s="160"/>
      <c r="NRD69" s="161"/>
      <c r="NRE69"/>
      <c r="NRF69" s="162"/>
      <c r="NRG69"/>
      <c r="NRH69" s="155"/>
      <c r="NRI69" s="163"/>
      <c r="NRJ69"/>
      <c r="NRK69" s="156"/>
      <c r="NRL69" s="157"/>
      <c r="NRM69" s="158"/>
      <c r="NRN69" s="158"/>
      <c r="NRO69" s="157"/>
      <c r="NRP69" s="159"/>
      <c r="NRQ69" s="157"/>
      <c r="NRR69" s="159"/>
      <c r="NRS69" s="160"/>
      <c r="NRT69" s="161"/>
      <c r="NRU69"/>
      <c r="NRV69" s="162"/>
      <c r="NRW69"/>
      <c r="NRX69" s="155"/>
      <c r="NRY69" s="163"/>
      <c r="NRZ69"/>
      <c r="NSA69" s="156"/>
      <c r="NSB69" s="157"/>
      <c r="NSC69" s="158"/>
      <c r="NSD69" s="158"/>
      <c r="NSE69" s="157"/>
      <c r="NSF69" s="159"/>
      <c r="NSG69" s="157"/>
      <c r="NSH69" s="159"/>
      <c r="NSI69" s="160"/>
      <c r="NSJ69" s="161"/>
      <c r="NSK69"/>
      <c r="NSL69" s="162"/>
      <c r="NSM69"/>
      <c r="NSN69" s="155"/>
      <c r="NSO69" s="163"/>
      <c r="NSP69"/>
      <c r="NSQ69" s="156"/>
      <c r="NSR69" s="157"/>
      <c r="NSS69" s="158"/>
      <c r="NST69" s="158"/>
      <c r="NSU69" s="157"/>
      <c r="NSV69" s="159"/>
      <c r="NSW69" s="157"/>
      <c r="NSX69" s="159"/>
      <c r="NSY69" s="160"/>
      <c r="NSZ69" s="161"/>
      <c r="NTA69"/>
      <c r="NTB69" s="162"/>
      <c r="NTC69"/>
      <c r="NTD69" s="155"/>
      <c r="NTE69" s="163"/>
      <c r="NTF69"/>
      <c r="NTG69" s="156"/>
      <c r="NTH69" s="157"/>
      <c r="NTI69" s="158"/>
      <c r="NTJ69" s="158"/>
      <c r="NTK69" s="157"/>
      <c r="NTL69" s="159"/>
      <c r="NTM69" s="157"/>
      <c r="NTN69" s="159"/>
      <c r="NTO69" s="160"/>
      <c r="NTP69" s="161"/>
      <c r="NTQ69"/>
      <c r="NTR69" s="162"/>
      <c r="NTS69"/>
      <c r="NTT69" s="155"/>
      <c r="NTU69" s="163"/>
      <c r="NTV69"/>
      <c r="NTW69" s="156"/>
      <c r="NTX69" s="157"/>
      <c r="NTY69" s="158"/>
      <c r="NTZ69" s="158"/>
      <c r="NUA69" s="157"/>
      <c r="NUB69" s="159"/>
      <c r="NUC69" s="157"/>
      <c r="NUD69" s="159"/>
      <c r="NUE69" s="160"/>
      <c r="NUF69" s="161"/>
      <c r="NUG69"/>
      <c r="NUH69" s="162"/>
      <c r="NUI69"/>
      <c r="NUJ69" s="155"/>
      <c r="NUK69" s="163"/>
      <c r="NUL69"/>
      <c r="NUM69" s="156"/>
      <c r="NUN69" s="157"/>
      <c r="NUO69" s="158"/>
      <c r="NUP69" s="158"/>
      <c r="NUQ69" s="157"/>
      <c r="NUR69" s="159"/>
      <c r="NUS69" s="157"/>
      <c r="NUT69" s="159"/>
      <c r="NUU69" s="160"/>
      <c r="NUV69" s="161"/>
      <c r="NUW69"/>
      <c r="NUX69" s="162"/>
      <c r="NUY69"/>
      <c r="NUZ69" s="155"/>
      <c r="NVA69" s="163"/>
      <c r="NVB69"/>
      <c r="NVC69" s="156"/>
      <c r="NVD69" s="157"/>
      <c r="NVE69" s="158"/>
      <c r="NVF69" s="158"/>
      <c r="NVG69" s="157"/>
      <c r="NVH69" s="159"/>
      <c r="NVI69" s="157"/>
      <c r="NVJ69" s="159"/>
      <c r="NVK69" s="160"/>
      <c r="NVL69" s="161"/>
      <c r="NVM69"/>
      <c r="NVN69" s="162"/>
      <c r="NVO69"/>
      <c r="NVP69" s="155"/>
      <c r="NVQ69" s="163"/>
      <c r="NVR69"/>
      <c r="NVS69" s="156"/>
      <c r="NVT69" s="157"/>
      <c r="NVU69" s="158"/>
      <c r="NVV69" s="158"/>
      <c r="NVW69" s="157"/>
      <c r="NVX69" s="159"/>
      <c r="NVY69" s="157"/>
      <c r="NVZ69" s="159"/>
      <c r="NWA69" s="160"/>
      <c r="NWB69" s="161"/>
      <c r="NWC69"/>
      <c r="NWD69" s="162"/>
      <c r="NWE69"/>
      <c r="NWF69" s="155"/>
      <c r="NWG69" s="163"/>
      <c r="NWH69"/>
      <c r="NWI69" s="156"/>
      <c r="NWJ69" s="157"/>
      <c r="NWK69" s="158"/>
      <c r="NWL69" s="158"/>
      <c r="NWM69" s="157"/>
      <c r="NWN69" s="159"/>
      <c r="NWO69" s="157"/>
      <c r="NWP69" s="159"/>
      <c r="NWQ69" s="160"/>
      <c r="NWR69" s="161"/>
      <c r="NWS69"/>
      <c r="NWT69" s="162"/>
      <c r="NWU69"/>
      <c r="NWV69" s="155"/>
      <c r="NWW69" s="163"/>
      <c r="NWX69"/>
      <c r="NWY69" s="156"/>
      <c r="NWZ69" s="157"/>
      <c r="NXA69" s="158"/>
      <c r="NXB69" s="158"/>
      <c r="NXC69" s="157"/>
      <c r="NXD69" s="159"/>
      <c r="NXE69" s="157"/>
      <c r="NXF69" s="159"/>
      <c r="NXG69" s="160"/>
      <c r="NXH69" s="161"/>
      <c r="NXI69"/>
      <c r="NXJ69" s="162"/>
      <c r="NXK69"/>
      <c r="NXL69" s="155"/>
      <c r="NXM69" s="163"/>
      <c r="NXN69"/>
      <c r="NXO69" s="156"/>
      <c r="NXP69" s="157"/>
      <c r="NXQ69" s="158"/>
      <c r="NXR69" s="158"/>
      <c r="NXS69" s="157"/>
      <c r="NXT69" s="159"/>
      <c r="NXU69" s="157"/>
      <c r="NXV69" s="159"/>
      <c r="NXW69" s="160"/>
      <c r="NXX69" s="161"/>
      <c r="NXY69"/>
      <c r="NXZ69" s="162"/>
      <c r="NYA69"/>
      <c r="NYB69" s="155"/>
      <c r="NYC69" s="163"/>
      <c r="NYD69"/>
      <c r="NYE69" s="156"/>
      <c r="NYF69" s="157"/>
      <c r="NYG69" s="158"/>
      <c r="NYH69" s="158"/>
      <c r="NYI69" s="157"/>
      <c r="NYJ69" s="159"/>
      <c r="NYK69" s="157"/>
      <c r="NYL69" s="159"/>
      <c r="NYM69" s="160"/>
      <c r="NYN69" s="161"/>
      <c r="NYO69"/>
      <c r="NYP69" s="162"/>
      <c r="NYQ69"/>
      <c r="NYR69" s="155"/>
      <c r="NYS69" s="163"/>
      <c r="NYT69"/>
      <c r="NYU69" s="156"/>
      <c r="NYV69" s="157"/>
      <c r="NYW69" s="158"/>
      <c r="NYX69" s="158"/>
      <c r="NYY69" s="157"/>
      <c r="NYZ69" s="159"/>
      <c r="NZA69" s="157"/>
      <c r="NZB69" s="159"/>
      <c r="NZC69" s="160"/>
      <c r="NZD69" s="161"/>
      <c r="NZE69"/>
      <c r="NZF69" s="162"/>
      <c r="NZG69"/>
      <c r="NZH69" s="155"/>
      <c r="NZI69" s="163"/>
      <c r="NZJ69"/>
      <c r="NZK69" s="156"/>
      <c r="NZL69" s="157"/>
      <c r="NZM69" s="158"/>
      <c r="NZN69" s="158"/>
      <c r="NZO69" s="157"/>
      <c r="NZP69" s="159"/>
      <c r="NZQ69" s="157"/>
      <c r="NZR69" s="159"/>
      <c r="NZS69" s="160"/>
      <c r="NZT69" s="161"/>
      <c r="NZU69"/>
      <c r="NZV69" s="162"/>
      <c r="NZW69"/>
      <c r="NZX69" s="155"/>
      <c r="NZY69" s="163"/>
      <c r="NZZ69"/>
      <c r="OAA69" s="156"/>
      <c r="OAB69" s="157"/>
      <c r="OAC69" s="158"/>
      <c r="OAD69" s="158"/>
      <c r="OAE69" s="157"/>
      <c r="OAF69" s="159"/>
      <c r="OAG69" s="157"/>
      <c r="OAH69" s="159"/>
      <c r="OAI69" s="160"/>
      <c r="OAJ69" s="161"/>
      <c r="OAK69"/>
      <c r="OAL69" s="162"/>
      <c r="OAM69"/>
      <c r="OAN69" s="155"/>
      <c r="OAO69" s="163"/>
      <c r="OAP69"/>
      <c r="OAQ69" s="156"/>
      <c r="OAR69" s="157"/>
      <c r="OAS69" s="158"/>
      <c r="OAT69" s="158"/>
      <c r="OAU69" s="157"/>
      <c r="OAV69" s="159"/>
      <c r="OAW69" s="157"/>
      <c r="OAX69" s="159"/>
      <c r="OAY69" s="160"/>
      <c r="OAZ69" s="161"/>
      <c r="OBA69"/>
      <c r="OBB69" s="162"/>
      <c r="OBC69"/>
      <c r="OBD69" s="155"/>
      <c r="OBE69" s="163"/>
      <c r="OBF69"/>
      <c r="OBG69" s="156"/>
      <c r="OBH69" s="157"/>
      <c r="OBI69" s="158"/>
      <c r="OBJ69" s="158"/>
      <c r="OBK69" s="157"/>
      <c r="OBL69" s="159"/>
      <c r="OBM69" s="157"/>
      <c r="OBN69" s="159"/>
      <c r="OBO69" s="160"/>
      <c r="OBP69" s="161"/>
      <c r="OBQ69"/>
      <c r="OBR69" s="162"/>
      <c r="OBS69"/>
      <c r="OBT69" s="155"/>
      <c r="OBU69" s="163"/>
      <c r="OBV69"/>
      <c r="OBW69" s="156"/>
      <c r="OBX69" s="157"/>
      <c r="OBY69" s="158"/>
      <c r="OBZ69" s="158"/>
      <c r="OCA69" s="157"/>
      <c r="OCB69" s="159"/>
      <c r="OCC69" s="157"/>
      <c r="OCD69" s="159"/>
      <c r="OCE69" s="160"/>
      <c r="OCF69" s="161"/>
      <c r="OCG69"/>
      <c r="OCH69" s="162"/>
      <c r="OCI69"/>
      <c r="OCJ69" s="155"/>
      <c r="OCK69" s="163"/>
      <c r="OCL69"/>
      <c r="OCM69" s="156"/>
      <c r="OCN69" s="157"/>
      <c r="OCO69" s="158"/>
      <c r="OCP69" s="158"/>
      <c r="OCQ69" s="157"/>
      <c r="OCR69" s="159"/>
      <c r="OCS69" s="157"/>
      <c r="OCT69" s="159"/>
      <c r="OCU69" s="160"/>
      <c r="OCV69" s="161"/>
      <c r="OCW69"/>
      <c r="OCX69" s="162"/>
      <c r="OCY69"/>
      <c r="OCZ69" s="155"/>
      <c r="ODA69" s="163"/>
      <c r="ODB69"/>
      <c r="ODC69" s="156"/>
      <c r="ODD69" s="157"/>
      <c r="ODE69" s="158"/>
      <c r="ODF69" s="158"/>
      <c r="ODG69" s="157"/>
      <c r="ODH69" s="159"/>
      <c r="ODI69" s="157"/>
      <c r="ODJ69" s="159"/>
      <c r="ODK69" s="160"/>
      <c r="ODL69" s="161"/>
      <c r="ODM69"/>
      <c r="ODN69" s="162"/>
      <c r="ODO69"/>
      <c r="ODP69" s="155"/>
      <c r="ODQ69" s="163"/>
      <c r="ODR69"/>
      <c r="ODS69" s="156"/>
      <c r="ODT69" s="157"/>
      <c r="ODU69" s="158"/>
      <c r="ODV69" s="158"/>
      <c r="ODW69" s="157"/>
      <c r="ODX69" s="159"/>
      <c r="ODY69" s="157"/>
      <c r="ODZ69" s="159"/>
      <c r="OEA69" s="160"/>
      <c r="OEB69" s="161"/>
      <c r="OEC69"/>
      <c r="OED69" s="162"/>
      <c r="OEE69"/>
      <c r="OEF69" s="155"/>
      <c r="OEG69" s="163"/>
      <c r="OEH69"/>
      <c r="OEI69" s="156"/>
      <c r="OEJ69" s="157"/>
      <c r="OEK69" s="158"/>
      <c r="OEL69" s="158"/>
      <c r="OEM69" s="157"/>
      <c r="OEN69" s="159"/>
      <c r="OEO69" s="157"/>
      <c r="OEP69" s="159"/>
      <c r="OEQ69" s="160"/>
      <c r="OER69" s="161"/>
      <c r="OES69"/>
      <c r="OET69" s="162"/>
      <c r="OEU69"/>
      <c r="OEV69" s="155"/>
      <c r="OEW69" s="163"/>
      <c r="OEX69"/>
      <c r="OEY69" s="156"/>
      <c r="OEZ69" s="157"/>
      <c r="OFA69" s="158"/>
      <c r="OFB69" s="158"/>
      <c r="OFC69" s="157"/>
      <c r="OFD69" s="159"/>
      <c r="OFE69" s="157"/>
      <c r="OFF69" s="159"/>
      <c r="OFG69" s="160"/>
      <c r="OFH69" s="161"/>
      <c r="OFI69"/>
      <c r="OFJ69" s="162"/>
      <c r="OFK69"/>
      <c r="OFL69" s="155"/>
      <c r="OFM69" s="163"/>
      <c r="OFN69"/>
      <c r="OFO69" s="156"/>
      <c r="OFP69" s="157"/>
      <c r="OFQ69" s="158"/>
      <c r="OFR69" s="158"/>
      <c r="OFS69" s="157"/>
      <c r="OFT69" s="159"/>
      <c r="OFU69" s="157"/>
      <c r="OFV69" s="159"/>
      <c r="OFW69" s="160"/>
      <c r="OFX69" s="161"/>
      <c r="OFY69"/>
      <c r="OFZ69" s="162"/>
      <c r="OGA69"/>
      <c r="OGB69" s="155"/>
      <c r="OGC69" s="163"/>
      <c r="OGD69"/>
      <c r="OGE69" s="156"/>
      <c r="OGF69" s="157"/>
      <c r="OGG69" s="158"/>
      <c r="OGH69" s="158"/>
      <c r="OGI69" s="157"/>
      <c r="OGJ69" s="159"/>
      <c r="OGK69" s="157"/>
      <c r="OGL69" s="159"/>
      <c r="OGM69" s="160"/>
      <c r="OGN69" s="161"/>
      <c r="OGO69"/>
      <c r="OGP69" s="162"/>
      <c r="OGQ69"/>
      <c r="OGR69" s="155"/>
      <c r="OGS69" s="163"/>
      <c r="OGT69"/>
      <c r="OGU69" s="156"/>
      <c r="OGV69" s="157"/>
      <c r="OGW69" s="158"/>
      <c r="OGX69" s="158"/>
      <c r="OGY69" s="157"/>
      <c r="OGZ69" s="159"/>
      <c r="OHA69" s="157"/>
      <c r="OHB69" s="159"/>
      <c r="OHC69" s="160"/>
      <c r="OHD69" s="161"/>
      <c r="OHE69"/>
      <c r="OHF69" s="162"/>
      <c r="OHG69"/>
      <c r="OHH69" s="155"/>
      <c r="OHI69" s="163"/>
      <c r="OHJ69"/>
      <c r="OHK69" s="156"/>
      <c r="OHL69" s="157"/>
      <c r="OHM69" s="158"/>
      <c r="OHN69" s="158"/>
      <c r="OHO69" s="157"/>
      <c r="OHP69" s="159"/>
      <c r="OHQ69" s="157"/>
      <c r="OHR69" s="159"/>
      <c r="OHS69" s="160"/>
      <c r="OHT69" s="161"/>
      <c r="OHU69"/>
      <c r="OHV69" s="162"/>
      <c r="OHW69"/>
      <c r="OHX69" s="155"/>
      <c r="OHY69" s="163"/>
      <c r="OHZ69"/>
      <c r="OIA69" s="156"/>
      <c r="OIB69" s="157"/>
      <c r="OIC69" s="158"/>
      <c r="OID69" s="158"/>
      <c r="OIE69" s="157"/>
      <c r="OIF69" s="159"/>
      <c r="OIG69" s="157"/>
      <c r="OIH69" s="159"/>
      <c r="OII69" s="160"/>
      <c r="OIJ69" s="161"/>
      <c r="OIK69"/>
      <c r="OIL69" s="162"/>
      <c r="OIM69"/>
      <c r="OIN69" s="155"/>
      <c r="OIO69" s="163"/>
      <c r="OIP69"/>
      <c r="OIQ69" s="156"/>
      <c r="OIR69" s="157"/>
      <c r="OIS69" s="158"/>
      <c r="OIT69" s="158"/>
      <c r="OIU69" s="157"/>
      <c r="OIV69" s="159"/>
      <c r="OIW69" s="157"/>
      <c r="OIX69" s="159"/>
      <c r="OIY69" s="160"/>
      <c r="OIZ69" s="161"/>
      <c r="OJA69"/>
      <c r="OJB69" s="162"/>
      <c r="OJC69"/>
      <c r="OJD69" s="155"/>
      <c r="OJE69" s="163"/>
      <c r="OJF69"/>
      <c r="OJG69" s="156"/>
      <c r="OJH69" s="157"/>
      <c r="OJI69" s="158"/>
      <c r="OJJ69" s="158"/>
      <c r="OJK69" s="157"/>
      <c r="OJL69" s="159"/>
      <c r="OJM69" s="157"/>
      <c r="OJN69" s="159"/>
      <c r="OJO69" s="160"/>
      <c r="OJP69" s="161"/>
      <c r="OJQ69"/>
      <c r="OJR69" s="162"/>
      <c r="OJS69"/>
      <c r="OJT69" s="155"/>
      <c r="OJU69" s="163"/>
      <c r="OJV69"/>
      <c r="OJW69" s="156"/>
      <c r="OJX69" s="157"/>
      <c r="OJY69" s="158"/>
      <c r="OJZ69" s="158"/>
      <c r="OKA69" s="157"/>
      <c r="OKB69" s="159"/>
      <c r="OKC69" s="157"/>
      <c r="OKD69" s="159"/>
      <c r="OKE69" s="160"/>
      <c r="OKF69" s="161"/>
      <c r="OKG69"/>
      <c r="OKH69" s="162"/>
      <c r="OKI69"/>
      <c r="OKJ69" s="155"/>
      <c r="OKK69" s="163"/>
      <c r="OKL69"/>
      <c r="OKM69" s="156"/>
      <c r="OKN69" s="157"/>
      <c r="OKO69" s="158"/>
      <c r="OKP69" s="158"/>
      <c r="OKQ69" s="157"/>
      <c r="OKR69" s="159"/>
      <c r="OKS69" s="157"/>
      <c r="OKT69" s="159"/>
      <c r="OKU69" s="160"/>
      <c r="OKV69" s="161"/>
      <c r="OKW69"/>
      <c r="OKX69" s="162"/>
      <c r="OKY69"/>
      <c r="OKZ69" s="155"/>
      <c r="OLA69" s="163"/>
      <c r="OLB69"/>
      <c r="OLC69" s="156"/>
      <c r="OLD69" s="157"/>
      <c r="OLE69" s="158"/>
      <c r="OLF69" s="158"/>
      <c r="OLG69" s="157"/>
      <c r="OLH69" s="159"/>
      <c r="OLI69" s="157"/>
      <c r="OLJ69" s="159"/>
      <c r="OLK69" s="160"/>
      <c r="OLL69" s="161"/>
      <c r="OLM69"/>
      <c r="OLN69" s="162"/>
      <c r="OLO69"/>
      <c r="OLP69" s="155"/>
      <c r="OLQ69" s="163"/>
      <c r="OLR69"/>
      <c r="OLS69" s="156"/>
      <c r="OLT69" s="157"/>
      <c r="OLU69" s="158"/>
      <c r="OLV69" s="158"/>
      <c r="OLW69" s="157"/>
      <c r="OLX69" s="159"/>
      <c r="OLY69" s="157"/>
      <c r="OLZ69" s="159"/>
      <c r="OMA69" s="160"/>
      <c r="OMB69" s="161"/>
      <c r="OMC69"/>
      <c r="OMD69" s="162"/>
      <c r="OME69"/>
      <c r="OMF69" s="155"/>
      <c r="OMG69" s="163"/>
      <c r="OMH69"/>
      <c r="OMI69" s="156"/>
      <c r="OMJ69" s="157"/>
      <c r="OMK69" s="158"/>
      <c r="OML69" s="158"/>
      <c r="OMM69" s="157"/>
      <c r="OMN69" s="159"/>
      <c r="OMO69" s="157"/>
      <c r="OMP69" s="159"/>
      <c r="OMQ69" s="160"/>
      <c r="OMR69" s="161"/>
      <c r="OMS69"/>
      <c r="OMT69" s="162"/>
      <c r="OMU69"/>
      <c r="OMV69" s="155"/>
      <c r="OMW69" s="163"/>
      <c r="OMX69"/>
      <c r="OMY69" s="156"/>
      <c r="OMZ69" s="157"/>
      <c r="ONA69" s="158"/>
      <c r="ONB69" s="158"/>
      <c r="ONC69" s="157"/>
      <c r="OND69" s="159"/>
      <c r="ONE69" s="157"/>
      <c r="ONF69" s="159"/>
      <c r="ONG69" s="160"/>
      <c r="ONH69" s="161"/>
      <c r="ONI69"/>
      <c r="ONJ69" s="162"/>
      <c r="ONK69"/>
      <c r="ONL69" s="155"/>
      <c r="ONM69" s="163"/>
      <c r="ONN69"/>
      <c r="ONO69" s="156"/>
      <c r="ONP69" s="157"/>
      <c r="ONQ69" s="158"/>
      <c r="ONR69" s="158"/>
      <c r="ONS69" s="157"/>
      <c r="ONT69" s="159"/>
      <c r="ONU69" s="157"/>
      <c r="ONV69" s="159"/>
      <c r="ONW69" s="160"/>
      <c r="ONX69" s="161"/>
      <c r="ONY69"/>
      <c r="ONZ69" s="162"/>
      <c r="OOA69"/>
      <c r="OOB69" s="155"/>
      <c r="OOC69" s="163"/>
      <c r="OOD69"/>
      <c r="OOE69" s="156"/>
      <c r="OOF69" s="157"/>
      <c r="OOG69" s="158"/>
      <c r="OOH69" s="158"/>
      <c r="OOI69" s="157"/>
      <c r="OOJ69" s="159"/>
      <c r="OOK69" s="157"/>
      <c r="OOL69" s="159"/>
      <c r="OOM69" s="160"/>
      <c r="OON69" s="161"/>
      <c r="OOO69"/>
      <c r="OOP69" s="162"/>
      <c r="OOQ69"/>
      <c r="OOR69" s="155"/>
      <c r="OOS69" s="163"/>
      <c r="OOT69"/>
      <c r="OOU69" s="156"/>
      <c r="OOV69" s="157"/>
      <c r="OOW69" s="158"/>
      <c r="OOX69" s="158"/>
      <c r="OOY69" s="157"/>
      <c r="OOZ69" s="159"/>
      <c r="OPA69" s="157"/>
      <c r="OPB69" s="159"/>
      <c r="OPC69" s="160"/>
      <c r="OPD69" s="161"/>
      <c r="OPE69"/>
      <c r="OPF69" s="162"/>
      <c r="OPG69"/>
      <c r="OPH69" s="155"/>
      <c r="OPI69" s="163"/>
      <c r="OPJ69"/>
      <c r="OPK69" s="156"/>
      <c r="OPL69" s="157"/>
      <c r="OPM69" s="158"/>
      <c r="OPN69" s="158"/>
      <c r="OPO69" s="157"/>
      <c r="OPP69" s="159"/>
      <c r="OPQ69" s="157"/>
      <c r="OPR69" s="159"/>
      <c r="OPS69" s="160"/>
      <c r="OPT69" s="161"/>
      <c r="OPU69"/>
      <c r="OPV69" s="162"/>
      <c r="OPW69"/>
      <c r="OPX69" s="155"/>
      <c r="OPY69" s="163"/>
      <c r="OPZ69"/>
      <c r="OQA69" s="156"/>
      <c r="OQB69" s="157"/>
      <c r="OQC69" s="158"/>
      <c r="OQD69" s="158"/>
      <c r="OQE69" s="157"/>
      <c r="OQF69" s="159"/>
      <c r="OQG69" s="157"/>
      <c r="OQH69" s="159"/>
      <c r="OQI69" s="160"/>
      <c r="OQJ69" s="161"/>
      <c r="OQK69"/>
      <c r="OQL69" s="162"/>
      <c r="OQM69"/>
      <c r="OQN69" s="155"/>
      <c r="OQO69" s="163"/>
      <c r="OQP69"/>
      <c r="OQQ69" s="156"/>
      <c r="OQR69" s="157"/>
      <c r="OQS69" s="158"/>
      <c r="OQT69" s="158"/>
      <c r="OQU69" s="157"/>
      <c r="OQV69" s="159"/>
      <c r="OQW69" s="157"/>
      <c r="OQX69" s="159"/>
      <c r="OQY69" s="160"/>
      <c r="OQZ69" s="161"/>
      <c r="ORA69"/>
      <c r="ORB69" s="162"/>
      <c r="ORC69"/>
      <c r="ORD69" s="155"/>
      <c r="ORE69" s="163"/>
      <c r="ORF69"/>
      <c r="ORG69" s="156"/>
      <c r="ORH69" s="157"/>
      <c r="ORI69" s="158"/>
      <c r="ORJ69" s="158"/>
      <c r="ORK69" s="157"/>
      <c r="ORL69" s="159"/>
      <c r="ORM69" s="157"/>
      <c r="ORN69" s="159"/>
      <c r="ORO69" s="160"/>
      <c r="ORP69" s="161"/>
      <c r="ORQ69"/>
      <c r="ORR69" s="162"/>
      <c r="ORS69"/>
      <c r="ORT69" s="155"/>
      <c r="ORU69" s="163"/>
      <c r="ORV69"/>
      <c r="ORW69" s="156"/>
      <c r="ORX69" s="157"/>
      <c r="ORY69" s="158"/>
      <c r="ORZ69" s="158"/>
      <c r="OSA69" s="157"/>
      <c r="OSB69" s="159"/>
      <c r="OSC69" s="157"/>
      <c r="OSD69" s="159"/>
      <c r="OSE69" s="160"/>
      <c r="OSF69" s="161"/>
      <c r="OSG69"/>
      <c r="OSH69" s="162"/>
      <c r="OSI69"/>
      <c r="OSJ69" s="155"/>
      <c r="OSK69" s="163"/>
      <c r="OSL69"/>
      <c r="OSM69" s="156"/>
      <c r="OSN69" s="157"/>
      <c r="OSO69" s="158"/>
      <c r="OSP69" s="158"/>
      <c r="OSQ69" s="157"/>
      <c r="OSR69" s="159"/>
      <c r="OSS69" s="157"/>
      <c r="OST69" s="159"/>
      <c r="OSU69" s="160"/>
      <c r="OSV69" s="161"/>
      <c r="OSW69"/>
      <c r="OSX69" s="162"/>
      <c r="OSY69"/>
      <c r="OSZ69" s="155"/>
      <c r="OTA69" s="163"/>
      <c r="OTB69"/>
      <c r="OTC69" s="156"/>
      <c r="OTD69" s="157"/>
      <c r="OTE69" s="158"/>
      <c r="OTF69" s="158"/>
      <c r="OTG69" s="157"/>
      <c r="OTH69" s="159"/>
      <c r="OTI69" s="157"/>
      <c r="OTJ69" s="159"/>
      <c r="OTK69" s="160"/>
      <c r="OTL69" s="161"/>
      <c r="OTM69"/>
      <c r="OTN69" s="162"/>
      <c r="OTO69"/>
      <c r="OTP69" s="155"/>
      <c r="OTQ69" s="163"/>
      <c r="OTR69"/>
      <c r="OTS69" s="156"/>
      <c r="OTT69" s="157"/>
      <c r="OTU69" s="158"/>
      <c r="OTV69" s="158"/>
      <c r="OTW69" s="157"/>
      <c r="OTX69" s="159"/>
      <c r="OTY69" s="157"/>
      <c r="OTZ69" s="159"/>
      <c r="OUA69" s="160"/>
      <c r="OUB69" s="161"/>
      <c r="OUC69"/>
      <c r="OUD69" s="162"/>
      <c r="OUE69"/>
      <c r="OUF69" s="155"/>
      <c r="OUG69" s="163"/>
      <c r="OUH69"/>
      <c r="OUI69" s="156"/>
      <c r="OUJ69" s="157"/>
      <c r="OUK69" s="158"/>
      <c r="OUL69" s="158"/>
      <c r="OUM69" s="157"/>
      <c r="OUN69" s="159"/>
      <c r="OUO69" s="157"/>
      <c r="OUP69" s="159"/>
      <c r="OUQ69" s="160"/>
      <c r="OUR69" s="161"/>
      <c r="OUS69"/>
      <c r="OUT69" s="162"/>
      <c r="OUU69"/>
      <c r="OUV69" s="155"/>
      <c r="OUW69" s="163"/>
      <c r="OUX69"/>
      <c r="OUY69" s="156"/>
      <c r="OUZ69" s="157"/>
      <c r="OVA69" s="158"/>
      <c r="OVB69" s="158"/>
      <c r="OVC69" s="157"/>
      <c r="OVD69" s="159"/>
      <c r="OVE69" s="157"/>
      <c r="OVF69" s="159"/>
      <c r="OVG69" s="160"/>
      <c r="OVH69" s="161"/>
      <c r="OVI69"/>
      <c r="OVJ69" s="162"/>
      <c r="OVK69"/>
      <c r="OVL69" s="155"/>
      <c r="OVM69" s="163"/>
      <c r="OVN69"/>
      <c r="OVO69" s="156"/>
      <c r="OVP69" s="157"/>
      <c r="OVQ69" s="158"/>
      <c r="OVR69" s="158"/>
      <c r="OVS69" s="157"/>
      <c r="OVT69" s="159"/>
      <c r="OVU69" s="157"/>
      <c r="OVV69" s="159"/>
      <c r="OVW69" s="160"/>
      <c r="OVX69" s="161"/>
      <c r="OVY69"/>
      <c r="OVZ69" s="162"/>
      <c r="OWA69"/>
      <c r="OWB69" s="155"/>
      <c r="OWC69" s="163"/>
      <c r="OWD69"/>
      <c r="OWE69" s="156"/>
      <c r="OWF69" s="157"/>
      <c r="OWG69" s="158"/>
      <c r="OWH69" s="158"/>
      <c r="OWI69" s="157"/>
      <c r="OWJ69" s="159"/>
      <c r="OWK69" s="157"/>
      <c r="OWL69" s="159"/>
      <c r="OWM69" s="160"/>
      <c r="OWN69" s="161"/>
      <c r="OWO69"/>
      <c r="OWP69" s="162"/>
      <c r="OWQ69"/>
      <c r="OWR69" s="155"/>
      <c r="OWS69" s="163"/>
      <c r="OWT69"/>
      <c r="OWU69" s="156"/>
      <c r="OWV69" s="157"/>
      <c r="OWW69" s="158"/>
      <c r="OWX69" s="158"/>
      <c r="OWY69" s="157"/>
      <c r="OWZ69" s="159"/>
      <c r="OXA69" s="157"/>
      <c r="OXB69" s="159"/>
      <c r="OXC69" s="160"/>
      <c r="OXD69" s="161"/>
      <c r="OXE69"/>
      <c r="OXF69" s="162"/>
      <c r="OXG69"/>
      <c r="OXH69" s="155"/>
      <c r="OXI69" s="163"/>
      <c r="OXJ69"/>
      <c r="OXK69" s="156"/>
      <c r="OXL69" s="157"/>
      <c r="OXM69" s="158"/>
      <c r="OXN69" s="158"/>
      <c r="OXO69" s="157"/>
      <c r="OXP69" s="159"/>
      <c r="OXQ69" s="157"/>
      <c r="OXR69" s="159"/>
      <c r="OXS69" s="160"/>
      <c r="OXT69" s="161"/>
      <c r="OXU69"/>
      <c r="OXV69" s="162"/>
      <c r="OXW69"/>
      <c r="OXX69" s="155"/>
      <c r="OXY69" s="163"/>
      <c r="OXZ69"/>
      <c r="OYA69" s="156"/>
      <c r="OYB69" s="157"/>
      <c r="OYC69" s="158"/>
      <c r="OYD69" s="158"/>
      <c r="OYE69" s="157"/>
      <c r="OYF69" s="159"/>
      <c r="OYG69" s="157"/>
      <c r="OYH69" s="159"/>
      <c r="OYI69" s="160"/>
      <c r="OYJ69" s="161"/>
      <c r="OYK69"/>
      <c r="OYL69" s="162"/>
      <c r="OYM69"/>
      <c r="OYN69" s="155"/>
      <c r="OYO69" s="163"/>
      <c r="OYP69"/>
      <c r="OYQ69" s="156"/>
      <c r="OYR69" s="157"/>
      <c r="OYS69" s="158"/>
      <c r="OYT69" s="158"/>
      <c r="OYU69" s="157"/>
      <c r="OYV69" s="159"/>
      <c r="OYW69" s="157"/>
      <c r="OYX69" s="159"/>
      <c r="OYY69" s="160"/>
      <c r="OYZ69" s="161"/>
      <c r="OZA69"/>
      <c r="OZB69" s="162"/>
      <c r="OZC69"/>
      <c r="OZD69" s="155"/>
      <c r="OZE69" s="163"/>
      <c r="OZF69"/>
      <c r="OZG69" s="156"/>
      <c r="OZH69" s="157"/>
      <c r="OZI69" s="158"/>
      <c r="OZJ69" s="158"/>
      <c r="OZK69" s="157"/>
      <c r="OZL69" s="159"/>
      <c r="OZM69" s="157"/>
      <c r="OZN69" s="159"/>
      <c r="OZO69" s="160"/>
      <c r="OZP69" s="161"/>
      <c r="OZQ69"/>
      <c r="OZR69" s="162"/>
      <c r="OZS69"/>
      <c r="OZT69" s="155"/>
      <c r="OZU69" s="163"/>
      <c r="OZV69"/>
      <c r="OZW69" s="156"/>
      <c r="OZX69" s="157"/>
      <c r="OZY69" s="158"/>
      <c r="OZZ69" s="158"/>
      <c r="PAA69" s="157"/>
      <c r="PAB69" s="159"/>
      <c r="PAC69" s="157"/>
      <c r="PAD69" s="159"/>
      <c r="PAE69" s="160"/>
      <c r="PAF69" s="161"/>
      <c r="PAG69"/>
      <c r="PAH69" s="162"/>
      <c r="PAI69"/>
      <c r="PAJ69" s="155"/>
      <c r="PAK69" s="163"/>
      <c r="PAL69"/>
      <c r="PAM69" s="156"/>
      <c r="PAN69" s="157"/>
      <c r="PAO69" s="158"/>
      <c r="PAP69" s="158"/>
      <c r="PAQ69" s="157"/>
      <c r="PAR69" s="159"/>
      <c r="PAS69" s="157"/>
      <c r="PAT69" s="159"/>
      <c r="PAU69" s="160"/>
      <c r="PAV69" s="161"/>
      <c r="PAW69"/>
      <c r="PAX69" s="162"/>
      <c r="PAY69"/>
      <c r="PAZ69" s="155"/>
      <c r="PBA69" s="163"/>
      <c r="PBB69"/>
      <c r="PBC69" s="156"/>
      <c r="PBD69" s="157"/>
      <c r="PBE69" s="158"/>
      <c r="PBF69" s="158"/>
      <c r="PBG69" s="157"/>
      <c r="PBH69" s="159"/>
      <c r="PBI69" s="157"/>
      <c r="PBJ69" s="159"/>
      <c r="PBK69" s="160"/>
      <c r="PBL69" s="161"/>
      <c r="PBM69"/>
      <c r="PBN69" s="162"/>
      <c r="PBO69"/>
      <c r="PBP69" s="155"/>
      <c r="PBQ69" s="163"/>
      <c r="PBR69"/>
      <c r="PBS69" s="156"/>
      <c r="PBT69" s="157"/>
      <c r="PBU69" s="158"/>
      <c r="PBV69" s="158"/>
      <c r="PBW69" s="157"/>
      <c r="PBX69" s="159"/>
      <c r="PBY69" s="157"/>
      <c r="PBZ69" s="159"/>
      <c r="PCA69" s="160"/>
      <c r="PCB69" s="161"/>
      <c r="PCC69"/>
      <c r="PCD69" s="162"/>
      <c r="PCE69"/>
      <c r="PCF69" s="155"/>
      <c r="PCG69" s="163"/>
      <c r="PCH69"/>
      <c r="PCI69" s="156"/>
      <c r="PCJ69" s="157"/>
      <c r="PCK69" s="158"/>
      <c r="PCL69" s="158"/>
      <c r="PCM69" s="157"/>
      <c r="PCN69" s="159"/>
      <c r="PCO69" s="157"/>
      <c r="PCP69" s="159"/>
      <c r="PCQ69" s="160"/>
      <c r="PCR69" s="161"/>
      <c r="PCS69"/>
      <c r="PCT69" s="162"/>
      <c r="PCU69"/>
      <c r="PCV69" s="155"/>
      <c r="PCW69" s="163"/>
      <c r="PCX69"/>
      <c r="PCY69" s="156"/>
      <c r="PCZ69" s="157"/>
      <c r="PDA69" s="158"/>
      <c r="PDB69" s="158"/>
      <c r="PDC69" s="157"/>
      <c r="PDD69" s="159"/>
      <c r="PDE69" s="157"/>
      <c r="PDF69" s="159"/>
      <c r="PDG69" s="160"/>
      <c r="PDH69" s="161"/>
      <c r="PDI69"/>
      <c r="PDJ69" s="162"/>
      <c r="PDK69"/>
      <c r="PDL69" s="155"/>
      <c r="PDM69" s="163"/>
      <c r="PDN69"/>
      <c r="PDO69" s="156"/>
      <c r="PDP69" s="157"/>
      <c r="PDQ69" s="158"/>
      <c r="PDR69" s="158"/>
      <c r="PDS69" s="157"/>
      <c r="PDT69" s="159"/>
      <c r="PDU69" s="157"/>
      <c r="PDV69" s="159"/>
      <c r="PDW69" s="160"/>
      <c r="PDX69" s="161"/>
      <c r="PDY69"/>
      <c r="PDZ69" s="162"/>
      <c r="PEA69"/>
      <c r="PEB69" s="155"/>
      <c r="PEC69" s="163"/>
      <c r="PED69"/>
      <c r="PEE69" s="156"/>
      <c r="PEF69" s="157"/>
      <c r="PEG69" s="158"/>
      <c r="PEH69" s="158"/>
      <c r="PEI69" s="157"/>
      <c r="PEJ69" s="159"/>
      <c r="PEK69" s="157"/>
      <c r="PEL69" s="159"/>
      <c r="PEM69" s="160"/>
      <c r="PEN69" s="161"/>
      <c r="PEO69"/>
      <c r="PEP69" s="162"/>
      <c r="PEQ69"/>
      <c r="PER69" s="155"/>
      <c r="PES69" s="163"/>
      <c r="PET69"/>
      <c r="PEU69" s="156"/>
      <c r="PEV69" s="157"/>
      <c r="PEW69" s="158"/>
      <c r="PEX69" s="158"/>
      <c r="PEY69" s="157"/>
      <c r="PEZ69" s="159"/>
      <c r="PFA69" s="157"/>
      <c r="PFB69" s="159"/>
      <c r="PFC69" s="160"/>
      <c r="PFD69" s="161"/>
      <c r="PFE69"/>
      <c r="PFF69" s="162"/>
      <c r="PFG69"/>
      <c r="PFH69" s="155"/>
      <c r="PFI69" s="163"/>
      <c r="PFJ69"/>
      <c r="PFK69" s="156"/>
      <c r="PFL69" s="157"/>
      <c r="PFM69" s="158"/>
      <c r="PFN69" s="158"/>
      <c r="PFO69" s="157"/>
      <c r="PFP69" s="159"/>
      <c r="PFQ69" s="157"/>
      <c r="PFR69" s="159"/>
      <c r="PFS69" s="160"/>
      <c r="PFT69" s="161"/>
      <c r="PFU69"/>
      <c r="PFV69" s="162"/>
      <c r="PFW69"/>
      <c r="PFX69" s="155"/>
      <c r="PFY69" s="163"/>
      <c r="PFZ69"/>
      <c r="PGA69" s="156"/>
      <c r="PGB69" s="157"/>
      <c r="PGC69" s="158"/>
      <c r="PGD69" s="158"/>
      <c r="PGE69" s="157"/>
      <c r="PGF69" s="159"/>
      <c r="PGG69" s="157"/>
      <c r="PGH69" s="159"/>
      <c r="PGI69" s="160"/>
      <c r="PGJ69" s="161"/>
      <c r="PGK69"/>
      <c r="PGL69" s="162"/>
      <c r="PGM69"/>
      <c r="PGN69" s="155"/>
      <c r="PGO69" s="163"/>
      <c r="PGP69"/>
      <c r="PGQ69" s="156"/>
      <c r="PGR69" s="157"/>
      <c r="PGS69" s="158"/>
      <c r="PGT69" s="158"/>
      <c r="PGU69" s="157"/>
      <c r="PGV69" s="159"/>
      <c r="PGW69" s="157"/>
      <c r="PGX69" s="159"/>
      <c r="PGY69" s="160"/>
      <c r="PGZ69" s="161"/>
      <c r="PHA69"/>
      <c r="PHB69" s="162"/>
      <c r="PHC69"/>
      <c r="PHD69" s="155"/>
      <c r="PHE69" s="163"/>
      <c r="PHF69"/>
      <c r="PHG69" s="156"/>
      <c r="PHH69" s="157"/>
      <c r="PHI69" s="158"/>
      <c r="PHJ69" s="158"/>
      <c r="PHK69" s="157"/>
      <c r="PHL69" s="159"/>
      <c r="PHM69" s="157"/>
      <c r="PHN69" s="159"/>
      <c r="PHO69" s="160"/>
      <c r="PHP69" s="161"/>
      <c r="PHQ69"/>
      <c r="PHR69" s="162"/>
      <c r="PHS69"/>
      <c r="PHT69" s="155"/>
      <c r="PHU69" s="163"/>
      <c r="PHV69"/>
      <c r="PHW69" s="156"/>
      <c r="PHX69" s="157"/>
      <c r="PHY69" s="158"/>
      <c r="PHZ69" s="158"/>
      <c r="PIA69" s="157"/>
      <c r="PIB69" s="159"/>
      <c r="PIC69" s="157"/>
      <c r="PID69" s="159"/>
      <c r="PIE69" s="160"/>
      <c r="PIF69" s="161"/>
      <c r="PIG69"/>
      <c r="PIH69" s="162"/>
      <c r="PII69"/>
      <c r="PIJ69" s="155"/>
      <c r="PIK69" s="163"/>
      <c r="PIL69"/>
      <c r="PIM69" s="156"/>
      <c r="PIN69" s="157"/>
      <c r="PIO69" s="158"/>
      <c r="PIP69" s="158"/>
      <c r="PIQ69" s="157"/>
      <c r="PIR69" s="159"/>
      <c r="PIS69" s="157"/>
      <c r="PIT69" s="159"/>
      <c r="PIU69" s="160"/>
      <c r="PIV69" s="161"/>
      <c r="PIW69"/>
      <c r="PIX69" s="162"/>
      <c r="PIY69"/>
      <c r="PIZ69" s="155"/>
      <c r="PJA69" s="163"/>
      <c r="PJB69"/>
      <c r="PJC69" s="156"/>
      <c r="PJD69" s="157"/>
      <c r="PJE69" s="158"/>
      <c r="PJF69" s="158"/>
      <c r="PJG69" s="157"/>
      <c r="PJH69" s="159"/>
      <c r="PJI69" s="157"/>
      <c r="PJJ69" s="159"/>
      <c r="PJK69" s="160"/>
      <c r="PJL69" s="161"/>
      <c r="PJM69"/>
      <c r="PJN69" s="162"/>
      <c r="PJO69"/>
      <c r="PJP69" s="155"/>
      <c r="PJQ69" s="163"/>
      <c r="PJR69"/>
      <c r="PJS69" s="156"/>
      <c r="PJT69" s="157"/>
      <c r="PJU69" s="158"/>
      <c r="PJV69" s="158"/>
      <c r="PJW69" s="157"/>
      <c r="PJX69" s="159"/>
      <c r="PJY69" s="157"/>
      <c r="PJZ69" s="159"/>
      <c r="PKA69" s="160"/>
      <c r="PKB69" s="161"/>
      <c r="PKC69"/>
      <c r="PKD69" s="162"/>
      <c r="PKE69"/>
      <c r="PKF69" s="155"/>
      <c r="PKG69" s="163"/>
      <c r="PKH69"/>
      <c r="PKI69" s="156"/>
      <c r="PKJ69" s="157"/>
      <c r="PKK69" s="158"/>
      <c r="PKL69" s="158"/>
      <c r="PKM69" s="157"/>
      <c r="PKN69" s="159"/>
      <c r="PKO69" s="157"/>
      <c r="PKP69" s="159"/>
      <c r="PKQ69" s="160"/>
      <c r="PKR69" s="161"/>
      <c r="PKS69"/>
      <c r="PKT69" s="162"/>
      <c r="PKU69"/>
      <c r="PKV69" s="155"/>
      <c r="PKW69" s="163"/>
      <c r="PKX69"/>
      <c r="PKY69" s="156"/>
      <c r="PKZ69" s="157"/>
      <c r="PLA69" s="158"/>
      <c r="PLB69" s="158"/>
      <c r="PLC69" s="157"/>
      <c r="PLD69" s="159"/>
      <c r="PLE69" s="157"/>
      <c r="PLF69" s="159"/>
      <c r="PLG69" s="160"/>
      <c r="PLH69" s="161"/>
      <c r="PLI69"/>
      <c r="PLJ69" s="162"/>
      <c r="PLK69"/>
      <c r="PLL69" s="155"/>
      <c r="PLM69" s="163"/>
      <c r="PLN69"/>
      <c r="PLO69" s="156"/>
      <c r="PLP69" s="157"/>
      <c r="PLQ69" s="158"/>
      <c r="PLR69" s="158"/>
      <c r="PLS69" s="157"/>
      <c r="PLT69" s="159"/>
      <c r="PLU69" s="157"/>
      <c r="PLV69" s="159"/>
      <c r="PLW69" s="160"/>
      <c r="PLX69" s="161"/>
      <c r="PLY69"/>
      <c r="PLZ69" s="162"/>
      <c r="PMA69"/>
      <c r="PMB69" s="155"/>
      <c r="PMC69" s="163"/>
      <c r="PMD69"/>
      <c r="PME69" s="156"/>
      <c r="PMF69" s="157"/>
      <c r="PMG69" s="158"/>
      <c r="PMH69" s="158"/>
      <c r="PMI69" s="157"/>
      <c r="PMJ69" s="159"/>
      <c r="PMK69" s="157"/>
      <c r="PML69" s="159"/>
      <c r="PMM69" s="160"/>
      <c r="PMN69" s="161"/>
      <c r="PMO69"/>
      <c r="PMP69" s="162"/>
      <c r="PMQ69"/>
      <c r="PMR69" s="155"/>
      <c r="PMS69" s="163"/>
      <c r="PMT69"/>
      <c r="PMU69" s="156"/>
      <c r="PMV69" s="157"/>
      <c r="PMW69" s="158"/>
      <c r="PMX69" s="158"/>
      <c r="PMY69" s="157"/>
      <c r="PMZ69" s="159"/>
      <c r="PNA69" s="157"/>
      <c r="PNB69" s="159"/>
      <c r="PNC69" s="160"/>
      <c r="PND69" s="161"/>
      <c r="PNE69"/>
      <c r="PNF69" s="162"/>
      <c r="PNG69"/>
      <c r="PNH69" s="155"/>
      <c r="PNI69" s="163"/>
      <c r="PNJ69"/>
      <c r="PNK69" s="156"/>
      <c r="PNL69" s="157"/>
      <c r="PNM69" s="158"/>
      <c r="PNN69" s="158"/>
      <c r="PNO69" s="157"/>
      <c r="PNP69" s="159"/>
      <c r="PNQ69" s="157"/>
      <c r="PNR69" s="159"/>
      <c r="PNS69" s="160"/>
      <c r="PNT69" s="161"/>
      <c r="PNU69"/>
      <c r="PNV69" s="162"/>
      <c r="PNW69"/>
      <c r="PNX69" s="155"/>
      <c r="PNY69" s="163"/>
      <c r="PNZ69"/>
      <c r="POA69" s="156"/>
      <c r="POB69" s="157"/>
      <c r="POC69" s="158"/>
      <c r="POD69" s="158"/>
      <c r="POE69" s="157"/>
      <c r="POF69" s="159"/>
      <c r="POG69" s="157"/>
      <c r="POH69" s="159"/>
      <c r="POI69" s="160"/>
      <c r="POJ69" s="161"/>
      <c r="POK69"/>
      <c r="POL69" s="162"/>
      <c r="POM69"/>
      <c r="PON69" s="155"/>
      <c r="POO69" s="163"/>
      <c r="POP69"/>
      <c r="POQ69" s="156"/>
      <c r="POR69" s="157"/>
      <c r="POS69" s="158"/>
      <c r="POT69" s="158"/>
      <c r="POU69" s="157"/>
      <c r="POV69" s="159"/>
      <c r="POW69" s="157"/>
      <c r="POX69" s="159"/>
      <c r="POY69" s="160"/>
      <c r="POZ69" s="161"/>
      <c r="PPA69"/>
      <c r="PPB69" s="162"/>
      <c r="PPC69"/>
      <c r="PPD69" s="155"/>
      <c r="PPE69" s="163"/>
      <c r="PPF69"/>
      <c r="PPG69" s="156"/>
      <c r="PPH69" s="157"/>
      <c r="PPI69" s="158"/>
      <c r="PPJ69" s="158"/>
      <c r="PPK69" s="157"/>
      <c r="PPL69" s="159"/>
      <c r="PPM69" s="157"/>
      <c r="PPN69" s="159"/>
      <c r="PPO69" s="160"/>
      <c r="PPP69" s="161"/>
      <c r="PPQ69"/>
      <c r="PPR69" s="162"/>
      <c r="PPS69"/>
      <c r="PPT69" s="155"/>
      <c r="PPU69" s="163"/>
      <c r="PPV69"/>
      <c r="PPW69" s="156"/>
      <c r="PPX69" s="157"/>
      <c r="PPY69" s="158"/>
      <c r="PPZ69" s="158"/>
      <c r="PQA69" s="157"/>
      <c r="PQB69" s="159"/>
      <c r="PQC69" s="157"/>
      <c r="PQD69" s="159"/>
      <c r="PQE69" s="160"/>
      <c r="PQF69" s="161"/>
      <c r="PQG69"/>
      <c r="PQH69" s="162"/>
      <c r="PQI69"/>
      <c r="PQJ69" s="155"/>
      <c r="PQK69" s="163"/>
      <c r="PQL69"/>
      <c r="PQM69" s="156"/>
      <c r="PQN69" s="157"/>
      <c r="PQO69" s="158"/>
      <c r="PQP69" s="158"/>
      <c r="PQQ69" s="157"/>
      <c r="PQR69" s="159"/>
      <c r="PQS69" s="157"/>
      <c r="PQT69" s="159"/>
      <c r="PQU69" s="160"/>
      <c r="PQV69" s="161"/>
      <c r="PQW69"/>
      <c r="PQX69" s="162"/>
      <c r="PQY69"/>
      <c r="PQZ69" s="155"/>
      <c r="PRA69" s="163"/>
      <c r="PRB69"/>
      <c r="PRC69" s="156"/>
      <c r="PRD69" s="157"/>
      <c r="PRE69" s="158"/>
      <c r="PRF69" s="158"/>
      <c r="PRG69" s="157"/>
      <c r="PRH69" s="159"/>
      <c r="PRI69" s="157"/>
      <c r="PRJ69" s="159"/>
      <c r="PRK69" s="160"/>
      <c r="PRL69" s="161"/>
      <c r="PRM69"/>
      <c r="PRN69" s="162"/>
      <c r="PRO69"/>
      <c r="PRP69" s="155"/>
      <c r="PRQ69" s="163"/>
      <c r="PRR69"/>
      <c r="PRS69" s="156"/>
      <c r="PRT69" s="157"/>
      <c r="PRU69" s="158"/>
      <c r="PRV69" s="158"/>
      <c r="PRW69" s="157"/>
      <c r="PRX69" s="159"/>
      <c r="PRY69" s="157"/>
      <c r="PRZ69" s="159"/>
      <c r="PSA69" s="160"/>
      <c r="PSB69" s="161"/>
      <c r="PSC69"/>
      <c r="PSD69" s="162"/>
      <c r="PSE69"/>
      <c r="PSF69" s="155"/>
      <c r="PSG69" s="163"/>
      <c r="PSH69"/>
      <c r="PSI69" s="156"/>
      <c r="PSJ69" s="157"/>
      <c r="PSK69" s="158"/>
      <c r="PSL69" s="158"/>
      <c r="PSM69" s="157"/>
      <c r="PSN69" s="159"/>
      <c r="PSO69" s="157"/>
      <c r="PSP69" s="159"/>
      <c r="PSQ69" s="160"/>
      <c r="PSR69" s="161"/>
      <c r="PSS69"/>
      <c r="PST69" s="162"/>
      <c r="PSU69"/>
      <c r="PSV69" s="155"/>
      <c r="PSW69" s="163"/>
      <c r="PSX69"/>
      <c r="PSY69" s="156"/>
      <c r="PSZ69" s="157"/>
      <c r="PTA69" s="158"/>
      <c r="PTB69" s="158"/>
      <c r="PTC69" s="157"/>
      <c r="PTD69" s="159"/>
      <c r="PTE69" s="157"/>
      <c r="PTF69" s="159"/>
      <c r="PTG69" s="160"/>
      <c r="PTH69" s="161"/>
      <c r="PTI69"/>
      <c r="PTJ69" s="162"/>
      <c r="PTK69"/>
      <c r="PTL69" s="155"/>
      <c r="PTM69" s="163"/>
      <c r="PTN69"/>
      <c r="PTO69" s="156"/>
      <c r="PTP69" s="157"/>
      <c r="PTQ69" s="158"/>
      <c r="PTR69" s="158"/>
      <c r="PTS69" s="157"/>
      <c r="PTT69" s="159"/>
      <c r="PTU69" s="157"/>
      <c r="PTV69" s="159"/>
      <c r="PTW69" s="160"/>
      <c r="PTX69" s="161"/>
      <c r="PTY69"/>
      <c r="PTZ69" s="162"/>
      <c r="PUA69"/>
      <c r="PUB69" s="155"/>
      <c r="PUC69" s="163"/>
      <c r="PUD69"/>
      <c r="PUE69" s="156"/>
      <c r="PUF69" s="157"/>
      <c r="PUG69" s="158"/>
      <c r="PUH69" s="158"/>
      <c r="PUI69" s="157"/>
      <c r="PUJ69" s="159"/>
      <c r="PUK69" s="157"/>
      <c r="PUL69" s="159"/>
      <c r="PUM69" s="160"/>
      <c r="PUN69" s="161"/>
      <c r="PUO69"/>
      <c r="PUP69" s="162"/>
      <c r="PUQ69"/>
      <c r="PUR69" s="155"/>
      <c r="PUS69" s="163"/>
      <c r="PUT69"/>
      <c r="PUU69" s="156"/>
      <c r="PUV69" s="157"/>
      <c r="PUW69" s="158"/>
      <c r="PUX69" s="158"/>
      <c r="PUY69" s="157"/>
      <c r="PUZ69" s="159"/>
      <c r="PVA69" s="157"/>
      <c r="PVB69" s="159"/>
      <c r="PVC69" s="160"/>
      <c r="PVD69" s="161"/>
      <c r="PVE69"/>
      <c r="PVF69" s="162"/>
      <c r="PVG69"/>
      <c r="PVH69" s="155"/>
      <c r="PVI69" s="163"/>
      <c r="PVJ69"/>
      <c r="PVK69" s="156"/>
      <c r="PVL69" s="157"/>
      <c r="PVM69" s="158"/>
      <c r="PVN69" s="158"/>
      <c r="PVO69" s="157"/>
      <c r="PVP69" s="159"/>
      <c r="PVQ69" s="157"/>
      <c r="PVR69" s="159"/>
      <c r="PVS69" s="160"/>
      <c r="PVT69" s="161"/>
      <c r="PVU69"/>
      <c r="PVV69" s="162"/>
      <c r="PVW69"/>
      <c r="PVX69" s="155"/>
      <c r="PVY69" s="163"/>
      <c r="PVZ69"/>
      <c r="PWA69" s="156"/>
      <c r="PWB69" s="157"/>
      <c r="PWC69" s="158"/>
      <c r="PWD69" s="158"/>
      <c r="PWE69" s="157"/>
      <c r="PWF69" s="159"/>
      <c r="PWG69" s="157"/>
      <c r="PWH69" s="159"/>
      <c r="PWI69" s="160"/>
      <c r="PWJ69" s="161"/>
      <c r="PWK69"/>
      <c r="PWL69" s="162"/>
      <c r="PWM69"/>
      <c r="PWN69" s="155"/>
      <c r="PWO69" s="163"/>
      <c r="PWP69"/>
      <c r="PWQ69" s="156"/>
      <c r="PWR69" s="157"/>
      <c r="PWS69" s="158"/>
      <c r="PWT69" s="158"/>
      <c r="PWU69" s="157"/>
      <c r="PWV69" s="159"/>
      <c r="PWW69" s="157"/>
      <c r="PWX69" s="159"/>
      <c r="PWY69" s="160"/>
      <c r="PWZ69" s="161"/>
      <c r="PXA69"/>
      <c r="PXB69" s="162"/>
      <c r="PXC69"/>
      <c r="PXD69" s="155"/>
      <c r="PXE69" s="163"/>
      <c r="PXF69"/>
      <c r="PXG69" s="156"/>
      <c r="PXH69" s="157"/>
      <c r="PXI69" s="158"/>
      <c r="PXJ69" s="158"/>
      <c r="PXK69" s="157"/>
      <c r="PXL69" s="159"/>
      <c r="PXM69" s="157"/>
      <c r="PXN69" s="159"/>
      <c r="PXO69" s="160"/>
      <c r="PXP69" s="161"/>
      <c r="PXQ69"/>
      <c r="PXR69" s="162"/>
      <c r="PXS69"/>
      <c r="PXT69" s="155"/>
      <c r="PXU69" s="163"/>
      <c r="PXV69"/>
      <c r="PXW69" s="156"/>
      <c r="PXX69" s="157"/>
      <c r="PXY69" s="158"/>
      <c r="PXZ69" s="158"/>
      <c r="PYA69" s="157"/>
      <c r="PYB69" s="159"/>
      <c r="PYC69" s="157"/>
      <c r="PYD69" s="159"/>
      <c r="PYE69" s="160"/>
      <c r="PYF69" s="161"/>
      <c r="PYG69"/>
      <c r="PYH69" s="162"/>
      <c r="PYI69"/>
      <c r="PYJ69" s="155"/>
      <c r="PYK69" s="163"/>
      <c r="PYL69"/>
      <c r="PYM69" s="156"/>
      <c r="PYN69" s="157"/>
      <c r="PYO69" s="158"/>
      <c r="PYP69" s="158"/>
      <c r="PYQ69" s="157"/>
      <c r="PYR69" s="159"/>
      <c r="PYS69" s="157"/>
      <c r="PYT69" s="159"/>
      <c r="PYU69" s="160"/>
      <c r="PYV69" s="161"/>
      <c r="PYW69"/>
      <c r="PYX69" s="162"/>
      <c r="PYY69"/>
      <c r="PYZ69" s="155"/>
      <c r="PZA69" s="163"/>
      <c r="PZB69"/>
      <c r="PZC69" s="156"/>
      <c r="PZD69" s="157"/>
      <c r="PZE69" s="158"/>
      <c r="PZF69" s="158"/>
      <c r="PZG69" s="157"/>
      <c r="PZH69" s="159"/>
      <c r="PZI69" s="157"/>
      <c r="PZJ69" s="159"/>
      <c r="PZK69" s="160"/>
      <c r="PZL69" s="161"/>
      <c r="PZM69"/>
      <c r="PZN69" s="162"/>
      <c r="PZO69"/>
      <c r="PZP69" s="155"/>
      <c r="PZQ69" s="163"/>
      <c r="PZR69"/>
      <c r="PZS69" s="156"/>
      <c r="PZT69" s="157"/>
      <c r="PZU69" s="158"/>
      <c r="PZV69" s="158"/>
      <c r="PZW69" s="157"/>
      <c r="PZX69" s="159"/>
      <c r="PZY69" s="157"/>
      <c r="PZZ69" s="159"/>
      <c r="QAA69" s="160"/>
      <c r="QAB69" s="161"/>
      <c r="QAC69"/>
      <c r="QAD69" s="162"/>
      <c r="QAE69"/>
      <c r="QAF69" s="155"/>
      <c r="QAG69" s="163"/>
      <c r="QAH69"/>
      <c r="QAI69" s="156"/>
      <c r="QAJ69" s="157"/>
      <c r="QAK69" s="158"/>
      <c r="QAL69" s="158"/>
      <c r="QAM69" s="157"/>
      <c r="QAN69" s="159"/>
      <c r="QAO69" s="157"/>
      <c r="QAP69" s="159"/>
      <c r="QAQ69" s="160"/>
      <c r="QAR69" s="161"/>
      <c r="QAS69"/>
      <c r="QAT69" s="162"/>
      <c r="QAU69"/>
      <c r="QAV69" s="155"/>
      <c r="QAW69" s="163"/>
      <c r="QAX69"/>
      <c r="QAY69" s="156"/>
      <c r="QAZ69" s="157"/>
      <c r="QBA69" s="158"/>
      <c r="QBB69" s="158"/>
      <c r="QBC69" s="157"/>
      <c r="QBD69" s="159"/>
      <c r="QBE69" s="157"/>
      <c r="QBF69" s="159"/>
      <c r="QBG69" s="160"/>
      <c r="QBH69" s="161"/>
      <c r="QBI69"/>
      <c r="QBJ69" s="162"/>
      <c r="QBK69"/>
      <c r="QBL69" s="155"/>
      <c r="QBM69" s="163"/>
      <c r="QBN69"/>
      <c r="QBO69" s="156"/>
      <c r="QBP69" s="157"/>
      <c r="QBQ69" s="158"/>
      <c r="QBR69" s="158"/>
      <c r="QBS69" s="157"/>
      <c r="QBT69" s="159"/>
      <c r="QBU69" s="157"/>
      <c r="QBV69" s="159"/>
      <c r="QBW69" s="160"/>
      <c r="QBX69" s="161"/>
      <c r="QBY69"/>
      <c r="QBZ69" s="162"/>
      <c r="QCA69"/>
      <c r="QCB69" s="155"/>
      <c r="QCC69" s="163"/>
      <c r="QCD69"/>
      <c r="QCE69" s="156"/>
      <c r="QCF69" s="157"/>
      <c r="QCG69" s="158"/>
      <c r="QCH69" s="158"/>
      <c r="QCI69" s="157"/>
      <c r="QCJ69" s="159"/>
      <c r="QCK69" s="157"/>
      <c r="QCL69" s="159"/>
      <c r="QCM69" s="160"/>
      <c r="QCN69" s="161"/>
      <c r="QCO69"/>
      <c r="QCP69" s="162"/>
      <c r="QCQ69"/>
      <c r="QCR69" s="155"/>
      <c r="QCS69" s="163"/>
      <c r="QCT69"/>
      <c r="QCU69" s="156"/>
      <c r="QCV69" s="157"/>
      <c r="QCW69" s="158"/>
      <c r="QCX69" s="158"/>
      <c r="QCY69" s="157"/>
      <c r="QCZ69" s="159"/>
      <c r="QDA69" s="157"/>
      <c r="QDB69" s="159"/>
      <c r="QDC69" s="160"/>
      <c r="QDD69" s="161"/>
      <c r="QDE69"/>
      <c r="QDF69" s="162"/>
      <c r="QDG69"/>
      <c r="QDH69" s="155"/>
      <c r="QDI69" s="163"/>
      <c r="QDJ69"/>
      <c r="QDK69" s="156"/>
      <c r="QDL69" s="157"/>
      <c r="QDM69" s="158"/>
      <c r="QDN69" s="158"/>
      <c r="QDO69" s="157"/>
      <c r="QDP69" s="159"/>
      <c r="QDQ69" s="157"/>
      <c r="QDR69" s="159"/>
      <c r="QDS69" s="160"/>
      <c r="QDT69" s="161"/>
      <c r="QDU69"/>
      <c r="QDV69" s="162"/>
      <c r="QDW69"/>
      <c r="QDX69" s="155"/>
      <c r="QDY69" s="163"/>
      <c r="QDZ69"/>
      <c r="QEA69" s="156"/>
      <c r="QEB69" s="157"/>
      <c r="QEC69" s="158"/>
      <c r="QED69" s="158"/>
      <c r="QEE69" s="157"/>
      <c r="QEF69" s="159"/>
      <c r="QEG69" s="157"/>
      <c r="QEH69" s="159"/>
      <c r="QEI69" s="160"/>
      <c r="QEJ69" s="161"/>
      <c r="QEK69"/>
      <c r="QEL69" s="162"/>
      <c r="QEM69"/>
      <c r="QEN69" s="155"/>
      <c r="QEO69" s="163"/>
      <c r="QEP69"/>
      <c r="QEQ69" s="156"/>
      <c r="QER69" s="157"/>
      <c r="QES69" s="158"/>
      <c r="QET69" s="158"/>
      <c r="QEU69" s="157"/>
      <c r="QEV69" s="159"/>
      <c r="QEW69" s="157"/>
      <c r="QEX69" s="159"/>
      <c r="QEY69" s="160"/>
      <c r="QEZ69" s="161"/>
      <c r="QFA69"/>
      <c r="QFB69" s="162"/>
      <c r="QFC69"/>
      <c r="QFD69" s="155"/>
      <c r="QFE69" s="163"/>
      <c r="QFF69"/>
      <c r="QFG69" s="156"/>
      <c r="QFH69" s="157"/>
      <c r="QFI69" s="158"/>
      <c r="QFJ69" s="158"/>
      <c r="QFK69" s="157"/>
      <c r="QFL69" s="159"/>
      <c r="QFM69" s="157"/>
      <c r="QFN69" s="159"/>
      <c r="QFO69" s="160"/>
      <c r="QFP69" s="161"/>
      <c r="QFQ69"/>
      <c r="QFR69" s="162"/>
      <c r="QFS69"/>
      <c r="QFT69" s="155"/>
      <c r="QFU69" s="163"/>
      <c r="QFV69"/>
      <c r="QFW69" s="156"/>
      <c r="QFX69" s="157"/>
      <c r="QFY69" s="158"/>
      <c r="QFZ69" s="158"/>
      <c r="QGA69" s="157"/>
      <c r="QGB69" s="159"/>
      <c r="QGC69" s="157"/>
      <c r="QGD69" s="159"/>
      <c r="QGE69" s="160"/>
      <c r="QGF69" s="161"/>
      <c r="QGG69"/>
      <c r="QGH69" s="162"/>
      <c r="QGI69"/>
      <c r="QGJ69" s="155"/>
      <c r="QGK69" s="163"/>
      <c r="QGL69"/>
      <c r="QGM69" s="156"/>
      <c r="QGN69" s="157"/>
      <c r="QGO69" s="158"/>
      <c r="QGP69" s="158"/>
      <c r="QGQ69" s="157"/>
      <c r="QGR69" s="159"/>
      <c r="QGS69" s="157"/>
      <c r="QGT69" s="159"/>
      <c r="QGU69" s="160"/>
      <c r="QGV69" s="161"/>
      <c r="QGW69"/>
      <c r="QGX69" s="162"/>
      <c r="QGY69"/>
      <c r="QGZ69" s="155"/>
      <c r="QHA69" s="163"/>
      <c r="QHB69"/>
      <c r="QHC69" s="156"/>
      <c r="QHD69" s="157"/>
      <c r="QHE69" s="158"/>
      <c r="QHF69" s="158"/>
      <c r="QHG69" s="157"/>
      <c r="QHH69" s="159"/>
      <c r="QHI69" s="157"/>
      <c r="QHJ69" s="159"/>
      <c r="QHK69" s="160"/>
      <c r="QHL69" s="161"/>
      <c r="QHM69"/>
      <c r="QHN69" s="162"/>
      <c r="QHO69"/>
      <c r="QHP69" s="155"/>
      <c r="QHQ69" s="163"/>
      <c r="QHR69"/>
      <c r="QHS69" s="156"/>
      <c r="QHT69" s="157"/>
      <c r="QHU69" s="158"/>
      <c r="QHV69" s="158"/>
      <c r="QHW69" s="157"/>
      <c r="QHX69" s="159"/>
      <c r="QHY69" s="157"/>
      <c r="QHZ69" s="159"/>
      <c r="QIA69" s="160"/>
      <c r="QIB69" s="161"/>
      <c r="QIC69"/>
      <c r="QID69" s="162"/>
      <c r="QIE69"/>
      <c r="QIF69" s="155"/>
      <c r="QIG69" s="163"/>
      <c r="QIH69"/>
      <c r="QII69" s="156"/>
      <c r="QIJ69" s="157"/>
      <c r="QIK69" s="158"/>
      <c r="QIL69" s="158"/>
      <c r="QIM69" s="157"/>
      <c r="QIN69" s="159"/>
      <c r="QIO69" s="157"/>
      <c r="QIP69" s="159"/>
      <c r="QIQ69" s="160"/>
      <c r="QIR69" s="161"/>
      <c r="QIS69"/>
      <c r="QIT69" s="162"/>
      <c r="QIU69"/>
      <c r="QIV69" s="155"/>
      <c r="QIW69" s="163"/>
      <c r="QIX69"/>
      <c r="QIY69" s="156"/>
      <c r="QIZ69" s="157"/>
      <c r="QJA69" s="158"/>
      <c r="QJB69" s="158"/>
      <c r="QJC69" s="157"/>
      <c r="QJD69" s="159"/>
      <c r="QJE69" s="157"/>
      <c r="QJF69" s="159"/>
      <c r="QJG69" s="160"/>
      <c r="QJH69" s="161"/>
      <c r="QJI69"/>
      <c r="QJJ69" s="162"/>
      <c r="QJK69"/>
      <c r="QJL69" s="155"/>
      <c r="QJM69" s="163"/>
      <c r="QJN69"/>
      <c r="QJO69" s="156"/>
      <c r="QJP69" s="157"/>
      <c r="QJQ69" s="158"/>
      <c r="QJR69" s="158"/>
      <c r="QJS69" s="157"/>
      <c r="QJT69" s="159"/>
      <c r="QJU69" s="157"/>
      <c r="QJV69" s="159"/>
      <c r="QJW69" s="160"/>
      <c r="QJX69" s="161"/>
      <c r="QJY69"/>
      <c r="QJZ69" s="162"/>
      <c r="QKA69"/>
      <c r="QKB69" s="155"/>
      <c r="QKC69" s="163"/>
      <c r="QKD69"/>
      <c r="QKE69" s="156"/>
      <c r="QKF69" s="157"/>
      <c r="QKG69" s="158"/>
      <c r="QKH69" s="158"/>
      <c r="QKI69" s="157"/>
      <c r="QKJ69" s="159"/>
      <c r="QKK69" s="157"/>
      <c r="QKL69" s="159"/>
      <c r="QKM69" s="160"/>
      <c r="QKN69" s="161"/>
      <c r="QKO69"/>
      <c r="QKP69" s="162"/>
      <c r="QKQ69"/>
      <c r="QKR69" s="155"/>
      <c r="QKS69" s="163"/>
      <c r="QKT69"/>
      <c r="QKU69" s="156"/>
      <c r="QKV69" s="157"/>
      <c r="QKW69" s="158"/>
      <c r="QKX69" s="158"/>
      <c r="QKY69" s="157"/>
      <c r="QKZ69" s="159"/>
      <c r="QLA69" s="157"/>
      <c r="QLB69" s="159"/>
      <c r="QLC69" s="160"/>
      <c r="QLD69" s="161"/>
      <c r="QLE69"/>
      <c r="QLF69" s="162"/>
      <c r="QLG69"/>
      <c r="QLH69" s="155"/>
      <c r="QLI69" s="163"/>
      <c r="QLJ69"/>
      <c r="QLK69" s="156"/>
      <c r="QLL69" s="157"/>
      <c r="QLM69" s="158"/>
      <c r="QLN69" s="158"/>
      <c r="QLO69" s="157"/>
      <c r="QLP69" s="159"/>
      <c r="QLQ69" s="157"/>
      <c r="QLR69" s="159"/>
      <c r="QLS69" s="160"/>
      <c r="QLT69" s="161"/>
      <c r="QLU69"/>
      <c r="QLV69" s="162"/>
      <c r="QLW69"/>
      <c r="QLX69" s="155"/>
      <c r="QLY69" s="163"/>
      <c r="QLZ69"/>
      <c r="QMA69" s="156"/>
      <c r="QMB69" s="157"/>
      <c r="QMC69" s="158"/>
      <c r="QMD69" s="158"/>
      <c r="QME69" s="157"/>
      <c r="QMF69" s="159"/>
      <c r="QMG69" s="157"/>
      <c r="QMH69" s="159"/>
      <c r="QMI69" s="160"/>
      <c r="QMJ69" s="161"/>
      <c r="QMK69"/>
      <c r="QML69" s="162"/>
      <c r="QMM69"/>
      <c r="QMN69" s="155"/>
      <c r="QMO69" s="163"/>
      <c r="QMP69"/>
      <c r="QMQ69" s="156"/>
      <c r="QMR69" s="157"/>
      <c r="QMS69" s="158"/>
      <c r="QMT69" s="158"/>
      <c r="QMU69" s="157"/>
      <c r="QMV69" s="159"/>
      <c r="QMW69" s="157"/>
      <c r="QMX69" s="159"/>
      <c r="QMY69" s="160"/>
      <c r="QMZ69" s="161"/>
      <c r="QNA69"/>
      <c r="QNB69" s="162"/>
      <c r="QNC69"/>
      <c r="QND69" s="155"/>
      <c r="QNE69" s="163"/>
      <c r="QNF69"/>
      <c r="QNG69" s="156"/>
      <c r="QNH69" s="157"/>
      <c r="QNI69" s="158"/>
      <c r="QNJ69" s="158"/>
      <c r="QNK69" s="157"/>
      <c r="QNL69" s="159"/>
      <c r="QNM69" s="157"/>
      <c r="QNN69" s="159"/>
      <c r="QNO69" s="160"/>
      <c r="QNP69" s="161"/>
      <c r="QNQ69"/>
      <c r="QNR69" s="162"/>
      <c r="QNS69"/>
      <c r="QNT69" s="155"/>
      <c r="QNU69" s="163"/>
      <c r="QNV69"/>
      <c r="QNW69" s="156"/>
      <c r="QNX69" s="157"/>
      <c r="QNY69" s="158"/>
      <c r="QNZ69" s="158"/>
      <c r="QOA69" s="157"/>
      <c r="QOB69" s="159"/>
      <c r="QOC69" s="157"/>
      <c r="QOD69" s="159"/>
      <c r="QOE69" s="160"/>
      <c r="QOF69" s="161"/>
      <c r="QOG69"/>
      <c r="QOH69" s="162"/>
      <c r="QOI69"/>
      <c r="QOJ69" s="155"/>
      <c r="QOK69" s="163"/>
      <c r="QOL69"/>
      <c r="QOM69" s="156"/>
      <c r="QON69" s="157"/>
      <c r="QOO69" s="158"/>
      <c r="QOP69" s="158"/>
      <c r="QOQ69" s="157"/>
      <c r="QOR69" s="159"/>
      <c r="QOS69" s="157"/>
      <c r="QOT69" s="159"/>
      <c r="QOU69" s="160"/>
      <c r="QOV69" s="161"/>
      <c r="QOW69"/>
      <c r="QOX69" s="162"/>
      <c r="QOY69"/>
      <c r="QOZ69" s="155"/>
      <c r="QPA69" s="163"/>
      <c r="QPB69"/>
      <c r="QPC69" s="156"/>
      <c r="QPD69" s="157"/>
      <c r="QPE69" s="158"/>
      <c r="QPF69" s="158"/>
      <c r="QPG69" s="157"/>
      <c r="QPH69" s="159"/>
      <c r="QPI69" s="157"/>
      <c r="QPJ69" s="159"/>
      <c r="QPK69" s="160"/>
      <c r="QPL69" s="161"/>
      <c r="QPM69"/>
      <c r="QPN69" s="162"/>
      <c r="QPO69"/>
      <c r="QPP69" s="155"/>
      <c r="QPQ69" s="163"/>
      <c r="QPR69"/>
      <c r="QPS69" s="156"/>
      <c r="QPT69" s="157"/>
      <c r="QPU69" s="158"/>
      <c r="QPV69" s="158"/>
      <c r="QPW69" s="157"/>
      <c r="QPX69" s="159"/>
      <c r="QPY69" s="157"/>
      <c r="QPZ69" s="159"/>
      <c r="QQA69" s="160"/>
      <c r="QQB69" s="161"/>
      <c r="QQC69"/>
      <c r="QQD69" s="162"/>
      <c r="QQE69"/>
      <c r="QQF69" s="155"/>
      <c r="QQG69" s="163"/>
      <c r="QQH69"/>
      <c r="QQI69" s="156"/>
      <c r="QQJ69" s="157"/>
      <c r="QQK69" s="158"/>
      <c r="QQL69" s="158"/>
      <c r="QQM69" s="157"/>
      <c r="QQN69" s="159"/>
      <c r="QQO69" s="157"/>
      <c r="QQP69" s="159"/>
      <c r="QQQ69" s="160"/>
      <c r="QQR69" s="161"/>
      <c r="QQS69"/>
      <c r="QQT69" s="162"/>
      <c r="QQU69"/>
      <c r="QQV69" s="155"/>
      <c r="QQW69" s="163"/>
      <c r="QQX69"/>
      <c r="QQY69" s="156"/>
      <c r="QQZ69" s="157"/>
      <c r="QRA69" s="158"/>
      <c r="QRB69" s="158"/>
      <c r="QRC69" s="157"/>
      <c r="QRD69" s="159"/>
      <c r="QRE69" s="157"/>
      <c r="QRF69" s="159"/>
      <c r="QRG69" s="160"/>
      <c r="QRH69" s="161"/>
      <c r="QRI69"/>
      <c r="QRJ69" s="162"/>
      <c r="QRK69"/>
      <c r="QRL69" s="155"/>
      <c r="QRM69" s="163"/>
      <c r="QRN69"/>
      <c r="QRO69" s="156"/>
      <c r="QRP69" s="157"/>
      <c r="QRQ69" s="158"/>
      <c r="QRR69" s="158"/>
      <c r="QRS69" s="157"/>
      <c r="QRT69" s="159"/>
      <c r="QRU69" s="157"/>
      <c r="QRV69" s="159"/>
      <c r="QRW69" s="160"/>
      <c r="QRX69" s="161"/>
      <c r="QRY69"/>
      <c r="QRZ69" s="162"/>
      <c r="QSA69"/>
      <c r="QSB69" s="155"/>
      <c r="QSC69" s="163"/>
      <c r="QSD69"/>
      <c r="QSE69" s="156"/>
      <c r="QSF69" s="157"/>
      <c r="QSG69" s="158"/>
      <c r="QSH69" s="158"/>
      <c r="QSI69" s="157"/>
      <c r="QSJ69" s="159"/>
      <c r="QSK69" s="157"/>
      <c r="QSL69" s="159"/>
      <c r="QSM69" s="160"/>
      <c r="QSN69" s="161"/>
      <c r="QSO69"/>
      <c r="QSP69" s="162"/>
      <c r="QSQ69"/>
      <c r="QSR69" s="155"/>
      <c r="QSS69" s="163"/>
      <c r="QST69"/>
      <c r="QSU69" s="156"/>
      <c r="QSV69" s="157"/>
      <c r="QSW69" s="158"/>
      <c r="QSX69" s="158"/>
      <c r="QSY69" s="157"/>
      <c r="QSZ69" s="159"/>
      <c r="QTA69" s="157"/>
      <c r="QTB69" s="159"/>
      <c r="QTC69" s="160"/>
      <c r="QTD69" s="161"/>
      <c r="QTE69"/>
      <c r="QTF69" s="162"/>
      <c r="QTG69"/>
      <c r="QTH69" s="155"/>
      <c r="QTI69" s="163"/>
      <c r="QTJ69"/>
      <c r="QTK69" s="156"/>
      <c r="QTL69" s="157"/>
      <c r="QTM69" s="158"/>
      <c r="QTN69" s="158"/>
      <c r="QTO69" s="157"/>
      <c r="QTP69" s="159"/>
      <c r="QTQ69" s="157"/>
      <c r="QTR69" s="159"/>
      <c r="QTS69" s="160"/>
      <c r="QTT69" s="161"/>
      <c r="QTU69"/>
      <c r="QTV69" s="162"/>
      <c r="QTW69"/>
      <c r="QTX69" s="155"/>
      <c r="QTY69" s="163"/>
      <c r="QTZ69"/>
      <c r="QUA69" s="156"/>
      <c r="QUB69" s="157"/>
      <c r="QUC69" s="158"/>
      <c r="QUD69" s="158"/>
      <c r="QUE69" s="157"/>
      <c r="QUF69" s="159"/>
      <c r="QUG69" s="157"/>
      <c r="QUH69" s="159"/>
      <c r="QUI69" s="160"/>
      <c r="QUJ69" s="161"/>
      <c r="QUK69"/>
      <c r="QUL69" s="162"/>
      <c r="QUM69"/>
      <c r="QUN69" s="155"/>
      <c r="QUO69" s="163"/>
      <c r="QUP69"/>
      <c r="QUQ69" s="156"/>
      <c r="QUR69" s="157"/>
      <c r="QUS69" s="158"/>
      <c r="QUT69" s="158"/>
      <c r="QUU69" s="157"/>
      <c r="QUV69" s="159"/>
      <c r="QUW69" s="157"/>
      <c r="QUX69" s="159"/>
      <c r="QUY69" s="160"/>
      <c r="QUZ69" s="161"/>
      <c r="QVA69"/>
      <c r="QVB69" s="162"/>
      <c r="QVC69"/>
      <c r="QVD69" s="155"/>
      <c r="QVE69" s="163"/>
      <c r="QVF69"/>
      <c r="QVG69" s="156"/>
      <c r="QVH69" s="157"/>
      <c r="QVI69" s="158"/>
      <c r="QVJ69" s="158"/>
      <c r="QVK69" s="157"/>
      <c r="QVL69" s="159"/>
      <c r="QVM69" s="157"/>
      <c r="QVN69" s="159"/>
      <c r="QVO69" s="160"/>
      <c r="QVP69" s="161"/>
      <c r="QVQ69"/>
      <c r="QVR69" s="162"/>
      <c r="QVS69"/>
      <c r="QVT69" s="155"/>
      <c r="QVU69" s="163"/>
      <c r="QVV69"/>
      <c r="QVW69" s="156"/>
      <c r="QVX69" s="157"/>
      <c r="QVY69" s="158"/>
      <c r="QVZ69" s="158"/>
      <c r="QWA69" s="157"/>
      <c r="QWB69" s="159"/>
      <c r="QWC69" s="157"/>
      <c r="QWD69" s="159"/>
      <c r="QWE69" s="160"/>
      <c r="QWF69" s="161"/>
      <c r="QWG69"/>
      <c r="QWH69" s="162"/>
      <c r="QWI69"/>
      <c r="QWJ69" s="155"/>
      <c r="QWK69" s="163"/>
      <c r="QWL69"/>
      <c r="QWM69" s="156"/>
      <c r="QWN69" s="157"/>
      <c r="QWO69" s="158"/>
      <c r="QWP69" s="158"/>
      <c r="QWQ69" s="157"/>
      <c r="QWR69" s="159"/>
      <c r="QWS69" s="157"/>
      <c r="QWT69" s="159"/>
      <c r="QWU69" s="160"/>
      <c r="QWV69" s="161"/>
      <c r="QWW69"/>
      <c r="QWX69" s="162"/>
      <c r="QWY69"/>
      <c r="QWZ69" s="155"/>
      <c r="QXA69" s="163"/>
      <c r="QXB69"/>
      <c r="QXC69" s="156"/>
      <c r="QXD69" s="157"/>
      <c r="QXE69" s="158"/>
      <c r="QXF69" s="158"/>
      <c r="QXG69" s="157"/>
      <c r="QXH69" s="159"/>
      <c r="QXI69" s="157"/>
      <c r="QXJ69" s="159"/>
      <c r="QXK69" s="160"/>
      <c r="QXL69" s="161"/>
      <c r="QXM69"/>
      <c r="QXN69" s="162"/>
      <c r="QXO69"/>
      <c r="QXP69" s="155"/>
      <c r="QXQ69" s="163"/>
      <c r="QXR69"/>
      <c r="QXS69" s="156"/>
      <c r="QXT69" s="157"/>
      <c r="QXU69" s="158"/>
      <c r="QXV69" s="158"/>
      <c r="QXW69" s="157"/>
      <c r="QXX69" s="159"/>
      <c r="QXY69" s="157"/>
      <c r="QXZ69" s="159"/>
      <c r="QYA69" s="160"/>
      <c r="QYB69" s="161"/>
      <c r="QYC69"/>
      <c r="QYD69" s="162"/>
      <c r="QYE69"/>
      <c r="QYF69" s="155"/>
      <c r="QYG69" s="163"/>
      <c r="QYH69"/>
      <c r="QYI69" s="156"/>
      <c r="QYJ69" s="157"/>
      <c r="QYK69" s="158"/>
      <c r="QYL69" s="158"/>
      <c r="QYM69" s="157"/>
      <c r="QYN69" s="159"/>
      <c r="QYO69" s="157"/>
      <c r="QYP69" s="159"/>
      <c r="QYQ69" s="160"/>
      <c r="QYR69" s="161"/>
      <c r="QYS69"/>
      <c r="QYT69" s="162"/>
      <c r="QYU69"/>
      <c r="QYV69" s="155"/>
      <c r="QYW69" s="163"/>
      <c r="QYX69"/>
      <c r="QYY69" s="156"/>
      <c r="QYZ69" s="157"/>
      <c r="QZA69" s="158"/>
      <c r="QZB69" s="158"/>
      <c r="QZC69" s="157"/>
      <c r="QZD69" s="159"/>
      <c r="QZE69" s="157"/>
      <c r="QZF69" s="159"/>
      <c r="QZG69" s="160"/>
      <c r="QZH69" s="161"/>
      <c r="QZI69"/>
      <c r="QZJ69" s="162"/>
      <c r="QZK69"/>
      <c r="QZL69" s="155"/>
      <c r="QZM69" s="163"/>
      <c r="QZN69"/>
      <c r="QZO69" s="156"/>
      <c r="QZP69" s="157"/>
      <c r="QZQ69" s="158"/>
      <c r="QZR69" s="158"/>
      <c r="QZS69" s="157"/>
      <c r="QZT69" s="159"/>
      <c r="QZU69" s="157"/>
      <c r="QZV69" s="159"/>
      <c r="QZW69" s="160"/>
      <c r="QZX69" s="161"/>
      <c r="QZY69"/>
      <c r="QZZ69" s="162"/>
      <c r="RAA69"/>
      <c r="RAB69" s="155"/>
      <c r="RAC69" s="163"/>
      <c r="RAD69"/>
      <c r="RWW69" s="163"/>
      <c r="RWX69"/>
      <c r="RWY69" s="156"/>
      <c r="RWZ69" s="157"/>
      <c r="RXA69" s="158"/>
      <c r="RXB69" s="158"/>
      <c r="RXC69" s="157"/>
      <c r="RXD69" s="159"/>
      <c r="RXE69" s="157"/>
      <c r="RXF69" s="159"/>
      <c r="RXG69" s="160"/>
      <c r="RXH69" s="161"/>
      <c r="RXI69"/>
      <c r="RXJ69" s="162"/>
      <c r="RXK69"/>
      <c r="RXL69" s="155"/>
      <c r="RXM69" s="163"/>
      <c r="RXN69"/>
      <c r="RXO69" s="156"/>
      <c r="RXP69" s="157"/>
      <c r="RXQ69" s="158"/>
      <c r="RXR69" s="158"/>
      <c r="RXS69" s="157"/>
      <c r="RXT69" s="159"/>
      <c r="RXU69" s="157"/>
      <c r="RXV69" s="159"/>
      <c r="RXW69" s="160"/>
      <c r="RXX69" s="161"/>
      <c r="RXY69"/>
      <c r="RXZ69" s="162"/>
      <c r="RYA69"/>
      <c r="RYB69" s="155"/>
      <c r="RYC69" s="163"/>
      <c r="RYD69"/>
      <c r="RYE69" s="156"/>
      <c r="RYF69" s="157"/>
      <c r="RYG69" s="158"/>
      <c r="RYH69" s="158"/>
      <c r="RYI69" s="157"/>
      <c r="RYJ69" s="159"/>
      <c r="RYK69" s="157"/>
      <c r="RYL69" s="159"/>
      <c r="RYM69" s="160"/>
      <c r="RYN69" s="161"/>
      <c r="RYO69"/>
      <c r="RYP69" s="162"/>
      <c r="RYQ69"/>
      <c r="RYR69" s="155"/>
      <c r="RYS69" s="163"/>
      <c r="RYT69"/>
      <c r="RYU69" s="156"/>
      <c r="RYV69" s="157"/>
      <c r="RYW69" s="158"/>
      <c r="RYX69" s="158"/>
      <c r="RYY69" s="157"/>
      <c r="RYZ69" s="159"/>
      <c r="RZA69" s="157"/>
      <c r="RZB69" s="159"/>
      <c r="RZC69" s="160"/>
      <c r="RZD69" s="161"/>
      <c r="RZE69"/>
      <c r="RZF69" s="162"/>
      <c r="RZG69"/>
      <c r="RZH69" s="155"/>
      <c r="RZI69" s="163"/>
      <c r="RZJ69"/>
      <c r="RZK69" s="156"/>
      <c r="RZL69" s="157"/>
      <c r="RZM69" s="158"/>
      <c r="RZN69" s="158"/>
      <c r="RZO69" s="157"/>
      <c r="RZP69" s="159"/>
      <c r="RZQ69" s="157"/>
      <c r="RZR69" s="159"/>
      <c r="RZS69" s="160"/>
      <c r="RZT69" s="161"/>
      <c r="RZU69"/>
      <c r="RZV69" s="162"/>
      <c r="RZW69"/>
      <c r="RZX69" s="155"/>
      <c r="RZY69" s="163"/>
      <c r="RZZ69"/>
      <c r="SAA69" s="156"/>
      <c r="SAB69" s="157"/>
      <c r="SAC69" s="158"/>
      <c r="SAD69" s="158"/>
      <c r="SAE69" s="157"/>
      <c r="SAF69" s="159"/>
      <c r="SAG69" s="157"/>
      <c r="SAH69" s="159"/>
      <c r="SAI69" s="160"/>
      <c r="SAJ69" s="161"/>
      <c r="SAK69"/>
      <c r="SAL69" s="162"/>
      <c r="SAM69"/>
      <c r="SAN69" s="155"/>
      <c r="SAO69" s="163"/>
      <c r="SAP69"/>
      <c r="SAQ69" s="156"/>
      <c r="SAR69" s="157"/>
      <c r="SAS69" s="158"/>
      <c r="SAT69" s="158"/>
      <c r="SAU69" s="157"/>
      <c r="SAV69" s="159"/>
      <c r="SAW69" s="157"/>
      <c r="SAX69" s="159"/>
      <c r="SAY69" s="160"/>
      <c r="SAZ69" s="161"/>
      <c r="SBA69"/>
      <c r="SBB69" s="162"/>
      <c r="SBC69"/>
      <c r="SBD69" s="155"/>
      <c r="SBE69" s="163"/>
      <c r="SBF69"/>
      <c r="SBG69" s="156"/>
      <c r="SBH69" s="157"/>
      <c r="SBI69" s="158"/>
      <c r="SBJ69" s="158"/>
      <c r="SBK69" s="157"/>
      <c r="SBL69" s="159"/>
      <c r="SBM69" s="157"/>
      <c r="SBN69" s="159"/>
      <c r="SBO69" s="160"/>
      <c r="SBP69" s="161"/>
      <c r="SBQ69"/>
      <c r="SBR69" s="162"/>
      <c r="SBS69"/>
      <c r="SBT69" s="155"/>
      <c r="SBU69" s="163"/>
      <c r="SBV69"/>
      <c r="SBW69" s="156"/>
      <c r="SBX69" s="157"/>
      <c r="SBY69" s="158"/>
      <c r="SBZ69" s="158"/>
      <c r="SCA69" s="157"/>
      <c r="SCB69" s="159"/>
      <c r="SCC69" s="157"/>
      <c r="SCD69" s="159"/>
      <c r="SCE69" s="160"/>
      <c r="SCF69" s="161"/>
      <c r="SCG69"/>
      <c r="SCH69" s="162"/>
      <c r="SCI69"/>
      <c r="SCJ69" s="155"/>
      <c r="SCK69" s="163"/>
      <c r="SCL69"/>
      <c r="SCM69" s="156"/>
      <c r="SCN69" s="157"/>
      <c r="SCO69" s="158"/>
      <c r="SCP69" s="158"/>
      <c r="SCQ69" s="157"/>
      <c r="SCR69" s="159"/>
      <c r="SCS69" s="157"/>
      <c r="SCT69" s="159"/>
      <c r="SCU69" s="160"/>
      <c r="SCV69" s="161"/>
      <c r="SCW69"/>
      <c r="SCX69" s="162"/>
      <c r="SCY69"/>
      <c r="SCZ69" s="155"/>
      <c r="SDA69" s="163"/>
      <c r="SDB69"/>
      <c r="SDC69" s="156"/>
      <c r="SDD69" s="157"/>
      <c r="SDE69" s="158"/>
      <c r="SDF69" s="158"/>
      <c r="SDG69" s="157"/>
      <c r="SDH69" s="159"/>
      <c r="SDI69" s="157"/>
      <c r="SDJ69" s="159"/>
      <c r="SDK69" s="160"/>
      <c r="SDL69" s="161"/>
      <c r="SDM69"/>
      <c r="SDN69" s="162"/>
      <c r="SDO69"/>
      <c r="SDP69" s="155"/>
      <c r="SDQ69" s="163"/>
      <c r="SDR69"/>
      <c r="SDS69" s="156"/>
      <c r="SDT69" s="157"/>
      <c r="SDU69" s="158"/>
      <c r="SDV69" s="158"/>
      <c r="SDW69" s="157"/>
      <c r="SDX69" s="159"/>
      <c r="SDY69" s="157"/>
      <c r="SDZ69" s="159"/>
      <c r="SEA69" s="160"/>
      <c r="SEB69" s="161"/>
      <c r="SEC69"/>
      <c r="SED69" s="162"/>
      <c r="SEE69"/>
      <c r="SEF69" s="155"/>
      <c r="SEG69" s="163"/>
      <c r="SEH69"/>
      <c r="SEI69" s="156"/>
      <c r="SEJ69" s="157"/>
      <c r="SEK69" s="158"/>
      <c r="SEL69" s="158"/>
      <c r="SEM69" s="157"/>
      <c r="SEN69" s="159"/>
      <c r="SEO69" s="157"/>
      <c r="SEP69" s="159"/>
      <c r="SEQ69" s="160"/>
      <c r="SER69" s="161"/>
      <c r="SES69"/>
      <c r="SET69" s="162"/>
      <c r="SEU69"/>
      <c r="SEV69" s="155"/>
      <c r="SEW69" s="163"/>
      <c r="SEX69"/>
      <c r="SEY69" s="156"/>
      <c r="SEZ69" s="157"/>
      <c r="SFA69" s="158"/>
      <c r="SFB69" s="158"/>
      <c r="SFC69" s="157"/>
      <c r="SFD69" s="159"/>
      <c r="SFE69" s="157"/>
      <c r="SFF69" s="159"/>
      <c r="SFG69" s="160"/>
      <c r="SFH69" s="161"/>
      <c r="SFI69"/>
      <c r="SFJ69" s="162"/>
      <c r="SFK69"/>
      <c r="SFL69" s="155"/>
      <c r="SFM69" s="163"/>
      <c r="SFN69"/>
      <c r="SFO69" s="156"/>
      <c r="SFP69" s="157"/>
      <c r="SFQ69" s="158"/>
      <c r="SFR69" s="158"/>
      <c r="SFS69" s="157"/>
      <c r="SFT69" s="159"/>
      <c r="SFU69" s="157"/>
      <c r="SFV69" s="159"/>
      <c r="SFW69" s="160"/>
      <c r="SFX69" s="161"/>
      <c r="SFY69"/>
      <c r="SFZ69" s="162"/>
      <c r="SGA69"/>
      <c r="SGB69" s="155"/>
      <c r="SGC69" s="163"/>
      <c r="SGD69"/>
      <c r="SGE69" s="156"/>
      <c r="SGF69" s="157"/>
      <c r="SGG69" s="158"/>
      <c r="SGH69" s="158"/>
      <c r="SGI69" s="157"/>
      <c r="SGJ69" s="159"/>
      <c r="SGK69" s="157"/>
      <c r="SGL69" s="159"/>
      <c r="SGM69" s="160"/>
      <c r="SGN69" s="161"/>
      <c r="SGO69"/>
      <c r="SGP69" s="162"/>
      <c r="SGQ69"/>
      <c r="SGR69" s="155"/>
      <c r="SGS69" s="163"/>
      <c r="SGT69"/>
      <c r="SGU69" s="156"/>
      <c r="SGV69" s="157"/>
      <c r="SGW69" s="158"/>
      <c r="SGX69" s="158"/>
      <c r="SGY69" s="157"/>
      <c r="SGZ69" s="159"/>
      <c r="SHA69" s="157"/>
      <c r="SHB69" s="159"/>
      <c r="SHC69" s="160"/>
      <c r="SHD69" s="161"/>
      <c r="SHE69"/>
      <c r="SHF69" s="162"/>
      <c r="SHG69"/>
      <c r="SHH69" s="155"/>
      <c r="SHI69" s="163"/>
      <c r="SHJ69"/>
      <c r="SHK69" s="156"/>
      <c r="SHL69" s="157"/>
      <c r="SHM69" s="158"/>
      <c r="SHN69" s="158"/>
      <c r="SHO69" s="157"/>
      <c r="SHP69" s="159"/>
      <c r="SHQ69" s="157"/>
      <c r="SHR69" s="159"/>
      <c r="SHS69" s="160"/>
      <c r="SHT69" s="161"/>
      <c r="SHU69"/>
      <c r="SHV69" s="162"/>
      <c r="SHW69"/>
      <c r="SHX69" s="155"/>
      <c r="SHY69" s="163"/>
      <c r="SHZ69"/>
      <c r="SIA69" s="156"/>
      <c r="SIB69" s="157"/>
      <c r="SIC69" s="158"/>
      <c r="SID69" s="158"/>
      <c r="SIE69" s="157"/>
      <c r="SIF69" s="159"/>
      <c r="SIG69" s="157"/>
      <c r="SIH69" s="159"/>
      <c r="SII69" s="160"/>
      <c r="SIJ69" s="161"/>
      <c r="SIK69"/>
      <c r="SIL69" s="162"/>
      <c r="SIM69"/>
      <c r="SIN69" s="155"/>
      <c r="SIO69" s="163"/>
      <c r="SIP69"/>
      <c r="SIQ69" s="156"/>
      <c r="SIR69" s="157"/>
      <c r="SIS69" s="158"/>
      <c r="SIT69" s="158"/>
      <c r="SIU69" s="157"/>
      <c r="SIV69" s="159"/>
      <c r="SIW69" s="157"/>
      <c r="SIX69" s="159"/>
      <c r="SIY69" s="160"/>
      <c r="SIZ69" s="161"/>
      <c r="SJA69"/>
      <c r="SJB69" s="162"/>
      <c r="SJC69"/>
      <c r="SJD69" s="155"/>
      <c r="SJE69" s="163"/>
      <c r="SJF69"/>
      <c r="SJG69" s="156"/>
      <c r="SJH69" s="157"/>
      <c r="SJI69" s="158"/>
      <c r="SJJ69" s="158"/>
      <c r="SJK69" s="157"/>
      <c r="SJL69" s="159"/>
      <c r="SJM69" s="157"/>
      <c r="SJN69" s="159"/>
      <c r="SJO69" s="160"/>
      <c r="SJP69" s="161"/>
      <c r="SJQ69"/>
      <c r="SJR69" s="162"/>
      <c r="SJS69"/>
      <c r="SJT69" s="155"/>
      <c r="SJU69" s="163"/>
      <c r="SJV69"/>
      <c r="SJW69" s="156"/>
      <c r="SJX69" s="157"/>
      <c r="SJY69" s="158"/>
      <c r="SJZ69" s="158"/>
      <c r="SKA69" s="157"/>
      <c r="SKB69" s="159"/>
      <c r="SKC69" s="157"/>
      <c r="SKD69" s="159"/>
      <c r="SKE69" s="160"/>
      <c r="SKF69" s="161"/>
      <c r="SKG69"/>
      <c r="SKH69" s="162"/>
      <c r="SKI69"/>
      <c r="SKJ69" s="155"/>
      <c r="SKK69" s="163"/>
      <c r="SKL69"/>
      <c r="SKM69" s="156"/>
      <c r="SKN69" s="157"/>
      <c r="SKO69" s="158"/>
      <c r="SKP69" s="158"/>
      <c r="SKQ69" s="157"/>
      <c r="SKR69" s="159"/>
      <c r="SKS69" s="157"/>
      <c r="SKT69" s="159"/>
      <c r="SKU69" s="160"/>
      <c r="SKV69" s="161"/>
      <c r="SKW69"/>
      <c r="SKX69" s="162"/>
      <c r="SKY69"/>
      <c r="SKZ69" s="155"/>
      <c r="SLA69" s="163"/>
      <c r="SLB69"/>
      <c r="SLC69" s="156"/>
      <c r="SLD69" s="157"/>
      <c r="SLE69" s="158"/>
      <c r="SLF69" s="158"/>
      <c r="SLG69" s="157"/>
      <c r="SLH69" s="159"/>
      <c r="SLI69" s="157"/>
      <c r="SLJ69" s="159"/>
      <c r="SLK69" s="160"/>
      <c r="SLL69" s="161"/>
      <c r="SLM69"/>
      <c r="SLN69" s="162"/>
      <c r="SLO69"/>
      <c r="SLP69" s="155"/>
      <c r="SLQ69" s="163"/>
      <c r="SLR69"/>
      <c r="SLS69" s="156"/>
      <c r="SLT69" s="157"/>
      <c r="SLU69" s="158"/>
      <c r="SLV69" s="158"/>
      <c r="SLW69" s="157"/>
      <c r="SLX69" s="159"/>
      <c r="SLY69" s="157"/>
      <c r="SLZ69" s="159"/>
      <c r="SMA69" s="160"/>
      <c r="SMB69" s="161"/>
      <c r="SMC69"/>
      <c r="SMD69" s="162"/>
      <c r="SME69"/>
      <c r="SMF69" s="155"/>
      <c r="SMG69" s="163"/>
      <c r="SMH69"/>
      <c r="SMI69" s="156"/>
      <c r="SMJ69" s="157"/>
      <c r="SMK69" s="158"/>
      <c r="SML69" s="158"/>
      <c r="SMM69" s="157"/>
      <c r="SMN69" s="159"/>
      <c r="SMO69" s="157"/>
      <c r="SMP69" s="159"/>
      <c r="SMQ69" s="160"/>
      <c r="SMR69" s="161"/>
      <c r="SMS69"/>
      <c r="SMT69" s="162"/>
      <c r="SMU69"/>
      <c r="SMV69" s="155"/>
      <c r="SMW69" s="163"/>
      <c r="SMX69"/>
      <c r="SMY69" s="156"/>
      <c r="SMZ69" s="157"/>
      <c r="SNA69" s="158"/>
      <c r="SNB69" s="158"/>
      <c r="SNC69" s="157"/>
      <c r="SND69" s="159"/>
      <c r="SNE69" s="157"/>
      <c r="SNF69" s="159"/>
      <c r="SNG69" s="160"/>
      <c r="SNH69" s="161"/>
      <c r="SNI69"/>
      <c r="SNJ69" s="162"/>
      <c r="SNK69"/>
      <c r="SNL69" s="155"/>
      <c r="SNM69" s="163"/>
      <c r="SNN69"/>
      <c r="SNO69" s="156"/>
      <c r="SNP69" s="157"/>
      <c r="SNQ69" s="158"/>
      <c r="SNR69" s="158"/>
      <c r="SNS69" s="157"/>
      <c r="SNT69" s="159"/>
      <c r="SNU69" s="157"/>
      <c r="SNV69" s="159"/>
      <c r="SNW69" s="160"/>
      <c r="SNX69" s="161"/>
      <c r="SNY69"/>
      <c r="SNZ69" s="162"/>
      <c r="SOA69"/>
      <c r="SOB69" s="155"/>
      <c r="SOC69" s="163"/>
      <c r="SOD69"/>
      <c r="SOE69" s="156"/>
      <c r="SOF69" s="157"/>
      <c r="SOG69" s="158"/>
      <c r="SOH69" s="158"/>
      <c r="SOI69" s="157"/>
      <c r="SOJ69" s="159"/>
      <c r="SOK69" s="157"/>
      <c r="SOL69" s="159"/>
      <c r="SOM69" s="160"/>
      <c r="SON69" s="161"/>
      <c r="SOO69"/>
      <c r="SOP69" s="162"/>
      <c r="SOQ69"/>
      <c r="SOR69" s="155"/>
      <c r="SOS69" s="163"/>
      <c r="SOT69"/>
      <c r="SOU69" s="156"/>
      <c r="SOV69" s="157"/>
      <c r="SOW69" s="158"/>
      <c r="SOX69" s="158"/>
      <c r="SOY69" s="157"/>
      <c r="SOZ69" s="159"/>
      <c r="SPA69" s="157"/>
      <c r="SPB69" s="159"/>
      <c r="SPC69" s="160"/>
      <c r="SPD69" s="161"/>
      <c r="SPE69"/>
      <c r="SPF69" s="162"/>
      <c r="SPG69"/>
      <c r="SPH69" s="155"/>
      <c r="SPI69" s="163"/>
      <c r="SPJ69"/>
      <c r="SPK69" s="156"/>
      <c r="SPL69" s="157"/>
      <c r="SPM69" s="158"/>
      <c r="SPN69" s="158"/>
      <c r="SPO69" s="157"/>
      <c r="SPP69" s="159"/>
      <c r="SPQ69" s="157"/>
      <c r="SPR69" s="159"/>
      <c r="SPS69" s="160"/>
      <c r="SPT69" s="161"/>
      <c r="SPU69"/>
      <c r="SPV69" s="162"/>
      <c r="SPW69"/>
      <c r="SPX69" s="155"/>
      <c r="SPY69" s="163"/>
      <c r="SPZ69"/>
      <c r="SQA69" s="156"/>
      <c r="SQB69" s="157"/>
      <c r="SQC69" s="158"/>
      <c r="SQD69" s="158"/>
      <c r="SQE69" s="157"/>
      <c r="SQF69" s="159"/>
      <c r="SQG69" s="157"/>
      <c r="SQH69" s="159"/>
      <c r="SQI69" s="160"/>
      <c r="SQJ69" s="161"/>
      <c r="SQK69"/>
      <c r="SQL69" s="162"/>
      <c r="SQM69"/>
      <c r="SQN69" s="155"/>
      <c r="SQO69" s="163"/>
      <c r="SQP69"/>
      <c r="SQQ69" s="156"/>
      <c r="SQR69" s="157"/>
      <c r="SQS69" s="158"/>
      <c r="SQT69" s="158"/>
      <c r="SQU69" s="157"/>
      <c r="SQV69" s="159"/>
      <c r="SQW69" s="157"/>
      <c r="SQX69" s="159"/>
      <c r="SQY69" s="160"/>
      <c r="SQZ69" s="161"/>
      <c r="SRA69"/>
      <c r="SRB69" s="162"/>
      <c r="SRC69"/>
      <c r="SRD69" s="155"/>
      <c r="SRE69" s="163"/>
      <c r="SRF69"/>
      <c r="SRG69" s="156"/>
      <c r="SRH69" s="157"/>
      <c r="SRI69" s="158"/>
      <c r="SRJ69" s="158"/>
      <c r="SRK69" s="157"/>
      <c r="SRL69" s="159"/>
      <c r="SRM69" s="157"/>
      <c r="SRN69" s="159"/>
      <c r="SRO69" s="160"/>
      <c r="SRP69" s="161"/>
      <c r="SRQ69"/>
      <c r="SRR69" s="162"/>
      <c r="SRS69"/>
      <c r="SRT69" s="155"/>
      <c r="SRU69" s="163"/>
      <c r="SRV69"/>
      <c r="SRW69" s="156"/>
      <c r="SRX69" s="157"/>
      <c r="SRY69" s="158"/>
      <c r="SRZ69" s="158"/>
      <c r="SSA69" s="157"/>
      <c r="SSB69" s="159"/>
      <c r="SSC69" s="157"/>
      <c r="SSD69" s="159"/>
      <c r="SSE69" s="160"/>
      <c r="SSF69" s="161"/>
      <c r="SSG69"/>
      <c r="SSH69" s="162"/>
      <c r="SSI69"/>
      <c r="SSJ69" s="155"/>
      <c r="SSK69" s="163"/>
      <c r="SSL69"/>
      <c r="SSM69" s="156"/>
      <c r="SSN69" s="157"/>
      <c r="SSO69" s="158"/>
      <c r="SSP69" s="158"/>
      <c r="SSQ69" s="157"/>
      <c r="SSR69" s="159"/>
      <c r="SSS69" s="157"/>
      <c r="SST69" s="159"/>
      <c r="SSU69" s="160"/>
      <c r="SSV69" s="161"/>
      <c r="SSW69"/>
      <c r="SSX69" s="162"/>
      <c r="SSY69"/>
      <c r="SSZ69" s="155"/>
      <c r="STA69" s="163"/>
      <c r="STB69"/>
      <c r="STC69" s="156"/>
      <c r="STD69" s="157"/>
      <c r="STE69" s="158"/>
      <c r="STF69" s="158"/>
      <c r="STG69" s="157"/>
      <c r="STH69" s="159"/>
      <c r="STI69" s="157"/>
      <c r="STJ69" s="159"/>
      <c r="STK69" s="160"/>
      <c r="STL69" s="161"/>
      <c r="STM69"/>
      <c r="STN69" s="162"/>
      <c r="STO69"/>
      <c r="STP69" s="155"/>
      <c r="STQ69" s="163"/>
      <c r="STR69"/>
      <c r="STS69" s="156"/>
      <c r="STT69" s="157"/>
      <c r="STU69" s="158"/>
      <c r="STV69" s="158"/>
      <c r="STW69" s="157"/>
      <c r="STX69" s="159"/>
      <c r="STY69" s="157"/>
      <c r="STZ69" s="159"/>
      <c r="SUA69" s="160"/>
      <c r="SUB69" s="161"/>
      <c r="SUC69"/>
      <c r="SUD69" s="162"/>
      <c r="SUE69"/>
      <c r="SUF69" s="155"/>
      <c r="SUG69" s="163"/>
      <c r="SUH69"/>
      <c r="SUI69" s="156"/>
      <c r="SUJ69" s="157"/>
      <c r="SUK69" s="158"/>
      <c r="SUL69" s="158"/>
      <c r="SUM69" s="157"/>
      <c r="SUN69" s="159"/>
      <c r="SUO69" s="157"/>
      <c r="SUP69" s="159"/>
      <c r="SUQ69" s="160"/>
      <c r="SUR69" s="161"/>
      <c r="SUS69"/>
      <c r="SUT69" s="162"/>
      <c r="SUU69"/>
      <c r="SUV69" s="155"/>
      <c r="SUW69" s="163"/>
      <c r="SUX69"/>
      <c r="SUY69" s="156"/>
      <c r="SUZ69" s="157"/>
      <c r="SVA69" s="158"/>
      <c r="SVB69" s="158"/>
      <c r="SVC69" s="157"/>
      <c r="SVD69" s="159"/>
      <c r="SVE69" s="157"/>
      <c r="SVF69" s="159"/>
      <c r="SVG69" s="160"/>
      <c r="SVH69" s="161"/>
      <c r="SVI69"/>
      <c r="SVJ69" s="162"/>
      <c r="SVK69"/>
      <c r="SVL69" s="155"/>
      <c r="SVM69" s="163"/>
      <c r="SVN69"/>
      <c r="SVO69" s="156"/>
      <c r="SVP69" s="157"/>
      <c r="SVQ69" s="158"/>
      <c r="SVR69" s="158"/>
      <c r="SVS69" s="157"/>
      <c r="SVT69" s="159"/>
      <c r="SVU69" s="157"/>
      <c r="SVV69" s="159"/>
      <c r="SVW69" s="160"/>
      <c r="SVX69" s="161"/>
      <c r="SVY69"/>
      <c r="SVZ69" s="162"/>
      <c r="SWA69"/>
      <c r="SWB69" s="155"/>
      <c r="SWC69" s="163"/>
      <c r="SWD69"/>
      <c r="SWE69" s="156"/>
      <c r="SWF69" s="157"/>
      <c r="SWG69" s="158"/>
      <c r="SWH69" s="158"/>
      <c r="SWI69" s="157"/>
      <c r="SWJ69" s="159"/>
      <c r="SWK69" s="157"/>
      <c r="SWL69" s="159"/>
      <c r="SWM69" s="160"/>
      <c r="SWN69" s="161"/>
      <c r="SWO69"/>
      <c r="SWP69" s="162"/>
      <c r="SWQ69"/>
      <c r="SWR69" s="155"/>
      <c r="SWS69" s="163"/>
      <c r="SWT69"/>
      <c r="SWU69" s="156"/>
      <c r="SWV69" s="157"/>
      <c r="SWW69" s="158"/>
      <c r="SWX69" s="158"/>
      <c r="SWY69" s="157"/>
      <c r="SWZ69" s="159"/>
      <c r="SXA69" s="157"/>
      <c r="SXB69" s="159"/>
      <c r="SXC69" s="160"/>
      <c r="SXD69" s="161"/>
      <c r="SXE69"/>
      <c r="SXF69" s="162"/>
      <c r="SXG69"/>
      <c r="SXH69" s="155"/>
      <c r="SXI69" s="163"/>
      <c r="SXJ69"/>
      <c r="SXK69" s="156"/>
      <c r="SXL69" s="157"/>
      <c r="SXM69" s="158"/>
      <c r="SXN69" s="158"/>
      <c r="SXO69" s="157"/>
      <c r="SXP69" s="159"/>
      <c r="SXQ69" s="157"/>
      <c r="SXR69" s="159"/>
      <c r="SXS69" s="160"/>
      <c r="SXT69" s="161"/>
      <c r="SXU69"/>
      <c r="SXV69" s="162"/>
      <c r="SXW69"/>
      <c r="SXX69" s="155"/>
      <c r="SXY69" s="163"/>
      <c r="SXZ69"/>
      <c r="SYA69" s="156"/>
      <c r="SYB69" s="157"/>
      <c r="SYC69" s="158"/>
      <c r="SYD69" s="158"/>
      <c r="SYE69" s="157"/>
      <c r="SYF69" s="159"/>
      <c r="SYG69" s="157"/>
      <c r="SYH69" s="159"/>
      <c r="SYI69" s="160"/>
      <c r="SYJ69" s="161"/>
      <c r="SYK69"/>
      <c r="SYL69" s="162"/>
      <c r="SYM69"/>
      <c r="SYN69" s="155"/>
      <c r="SYO69" s="163"/>
      <c r="SYP69"/>
      <c r="SYQ69" s="156"/>
      <c r="SYR69" s="157"/>
      <c r="SYS69" s="158"/>
      <c r="SYT69" s="158"/>
      <c r="SYU69" s="157"/>
      <c r="SYV69" s="159"/>
      <c r="SYW69" s="157"/>
      <c r="SYX69" s="159"/>
      <c r="SYY69" s="160"/>
      <c r="SYZ69" s="161"/>
      <c r="SZA69"/>
      <c r="SZB69" s="162"/>
      <c r="SZC69"/>
      <c r="SZD69" s="155"/>
      <c r="SZE69" s="163"/>
      <c r="SZF69"/>
      <c r="SZG69" s="156"/>
      <c r="SZH69" s="157"/>
      <c r="SZI69" s="158"/>
      <c r="SZJ69" s="158"/>
      <c r="SZK69" s="157"/>
      <c r="SZL69" s="159"/>
      <c r="SZM69" s="157"/>
      <c r="SZN69" s="159"/>
      <c r="SZO69" s="160"/>
      <c r="SZP69" s="161"/>
      <c r="SZQ69"/>
      <c r="SZR69" s="162"/>
      <c r="SZS69"/>
      <c r="SZT69" s="155"/>
      <c r="SZU69" s="163"/>
      <c r="SZV69"/>
      <c r="SZW69" s="156"/>
      <c r="SZX69" s="157"/>
      <c r="SZY69" s="158"/>
      <c r="SZZ69" s="158"/>
      <c r="TAA69" s="157"/>
      <c r="TAB69" s="159"/>
      <c r="TAC69" s="157"/>
      <c r="TAD69" s="159"/>
      <c r="TAE69" s="160"/>
      <c r="TAF69" s="161"/>
      <c r="TAG69"/>
      <c r="TAH69" s="162"/>
      <c r="TAI69"/>
      <c r="TAJ69" s="155"/>
      <c r="TAK69" s="163"/>
      <c r="TAL69"/>
      <c r="TAM69" s="156"/>
      <c r="TAN69" s="157"/>
      <c r="TAO69" s="158"/>
      <c r="TAP69" s="158"/>
      <c r="TAQ69" s="157"/>
      <c r="TAR69" s="159"/>
      <c r="TAS69" s="157"/>
      <c r="TAT69" s="159"/>
      <c r="TAU69" s="160"/>
      <c r="TAV69" s="161"/>
      <c r="TAW69"/>
      <c r="TAX69" s="162"/>
      <c r="TAY69"/>
      <c r="TAZ69" s="155"/>
      <c r="TBA69" s="163"/>
      <c r="TBB69"/>
      <c r="TBC69" s="156"/>
      <c r="TBD69" s="157"/>
      <c r="TBE69" s="158"/>
      <c r="TBF69" s="158"/>
      <c r="TBG69" s="157"/>
      <c r="TBH69" s="159"/>
      <c r="TBI69" s="157"/>
      <c r="TBJ69" s="159"/>
      <c r="TBK69" s="160"/>
      <c r="TBL69" s="161"/>
      <c r="TBM69"/>
      <c r="TBN69" s="162"/>
      <c r="TBO69"/>
      <c r="TBP69" s="155"/>
      <c r="TBQ69" s="163"/>
      <c r="TBR69"/>
      <c r="TBS69" s="156"/>
      <c r="TBT69" s="157"/>
      <c r="TBU69" s="158"/>
      <c r="TBV69" s="158"/>
      <c r="TBW69" s="157"/>
      <c r="TBX69" s="159"/>
      <c r="TBY69" s="157"/>
      <c r="TBZ69" s="159"/>
      <c r="TCA69" s="160"/>
      <c r="TCB69" s="161"/>
      <c r="TCC69"/>
      <c r="TCD69" s="162"/>
      <c r="TCE69"/>
      <c r="TCF69" s="155"/>
      <c r="TCG69" s="163"/>
      <c r="TCH69"/>
      <c r="TCI69" s="156"/>
      <c r="TCJ69" s="157"/>
      <c r="TCK69" s="158"/>
      <c r="TCL69" s="158"/>
      <c r="TCM69" s="157"/>
      <c r="TCN69" s="159"/>
      <c r="TCO69" s="157"/>
      <c r="TCP69" s="159"/>
      <c r="TCQ69" s="160"/>
      <c r="TCR69" s="161"/>
      <c r="TCS69"/>
      <c r="TCT69" s="162"/>
      <c r="TCU69"/>
      <c r="TCV69" s="155"/>
      <c r="TCW69" s="163"/>
      <c r="TCX69"/>
      <c r="TCY69" s="156"/>
      <c r="TCZ69" s="157"/>
      <c r="TDA69" s="158"/>
      <c r="TDB69" s="158"/>
      <c r="TDC69" s="157"/>
      <c r="TDD69" s="159"/>
      <c r="TDE69" s="157"/>
      <c r="TDF69" s="159"/>
      <c r="TDG69" s="160"/>
      <c r="TDH69" s="161"/>
      <c r="TDI69"/>
      <c r="TDJ69" s="162"/>
      <c r="TDK69"/>
      <c r="TDL69" s="155"/>
      <c r="TDM69" s="163"/>
      <c r="TDN69"/>
      <c r="TDO69" s="156"/>
      <c r="TDP69" s="157"/>
      <c r="TDQ69" s="158"/>
      <c r="TDR69" s="158"/>
      <c r="TDS69" s="157"/>
      <c r="TDT69" s="159"/>
      <c r="TDU69" s="157"/>
      <c r="TDV69" s="159"/>
      <c r="TDW69" s="160"/>
      <c r="TDX69" s="161"/>
      <c r="TDY69"/>
      <c r="TDZ69" s="162"/>
      <c r="TEA69"/>
      <c r="TEB69" s="155"/>
      <c r="TEC69" s="163"/>
      <c r="TED69"/>
      <c r="TEE69" s="156"/>
      <c r="TEF69" s="157"/>
      <c r="TEG69" s="158"/>
      <c r="TEH69" s="158"/>
      <c r="TEI69" s="157"/>
      <c r="TEJ69" s="159"/>
      <c r="TEK69" s="157"/>
      <c r="TEL69" s="159"/>
      <c r="TEM69" s="160"/>
      <c r="TEN69" s="161"/>
      <c r="TEO69"/>
      <c r="TEP69" s="162"/>
      <c r="TEQ69"/>
      <c r="TER69" s="155"/>
      <c r="TES69" s="163"/>
      <c r="TET69"/>
      <c r="TEU69" s="156"/>
      <c r="TEV69" s="157"/>
      <c r="TEW69" s="158"/>
      <c r="TEX69" s="158"/>
      <c r="TEY69" s="157"/>
      <c r="TEZ69" s="159"/>
      <c r="TFA69" s="157"/>
      <c r="TFB69" s="159"/>
      <c r="TFC69" s="160"/>
      <c r="TFD69" s="161"/>
      <c r="TFE69"/>
      <c r="TFF69" s="162"/>
      <c r="TFG69"/>
      <c r="TFH69" s="155"/>
      <c r="TFI69" s="163"/>
      <c r="TFJ69"/>
      <c r="TFK69" s="156"/>
      <c r="TFL69" s="157"/>
      <c r="TFM69" s="158"/>
      <c r="TFN69" s="158"/>
      <c r="TFO69" s="157"/>
      <c r="TFP69" s="159"/>
      <c r="TFQ69" s="157"/>
      <c r="TFR69" s="159"/>
      <c r="TFS69" s="160"/>
      <c r="TFT69" s="161"/>
      <c r="TFU69"/>
      <c r="TFV69" s="162"/>
      <c r="TFW69"/>
      <c r="TFX69" s="155"/>
      <c r="TFY69" s="163"/>
      <c r="TFZ69"/>
      <c r="TGA69" s="156"/>
      <c r="TGB69" s="157"/>
      <c r="TGC69" s="158"/>
      <c r="TGD69" s="158"/>
      <c r="TGE69" s="157"/>
      <c r="TGF69" s="159"/>
      <c r="TGG69" s="157"/>
      <c r="TGH69" s="159"/>
      <c r="TGI69" s="160"/>
      <c r="TGJ69" s="161"/>
      <c r="TGK69"/>
      <c r="TGL69" s="162"/>
      <c r="TGM69"/>
      <c r="TGN69" s="155"/>
      <c r="TGO69" s="163"/>
      <c r="TGP69"/>
      <c r="TGQ69" s="156"/>
      <c r="TGR69" s="157"/>
      <c r="TGS69" s="158"/>
      <c r="TGT69" s="158"/>
      <c r="TGU69" s="157"/>
      <c r="TGV69" s="159"/>
      <c r="TGW69" s="157"/>
      <c r="TGX69" s="159"/>
      <c r="TGY69" s="160"/>
      <c r="TGZ69" s="161"/>
      <c r="THA69"/>
      <c r="THB69" s="162"/>
      <c r="THC69"/>
      <c r="THD69" s="155"/>
      <c r="THE69" s="163"/>
      <c r="THF69"/>
      <c r="THG69" s="156"/>
      <c r="THH69" s="157"/>
      <c r="THI69" s="158"/>
      <c r="THJ69" s="158"/>
      <c r="THK69" s="157"/>
      <c r="THL69" s="159"/>
      <c r="THM69" s="157"/>
      <c r="THN69" s="159"/>
      <c r="THO69" s="160"/>
      <c r="THP69" s="161"/>
      <c r="THQ69"/>
      <c r="THR69" s="162"/>
      <c r="THS69"/>
      <c r="THT69" s="155"/>
      <c r="THU69" s="163"/>
      <c r="THV69"/>
      <c r="THW69" s="156"/>
      <c r="THX69" s="157"/>
      <c r="THY69" s="158"/>
      <c r="THZ69" s="158"/>
      <c r="TIA69" s="157"/>
      <c r="TIB69" s="159"/>
      <c r="TIC69" s="157"/>
      <c r="TID69" s="159"/>
      <c r="TIE69" s="160"/>
      <c r="TIF69" s="161"/>
      <c r="TIG69"/>
      <c r="TIH69" s="162"/>
      <c r="TII69"/>
      <c r="TIJ69" s="155"/>
      <c r="TIK69" s="163"/>
      <c r="TIL69"/>
      <c r="TIM69" s="156"/>
      <c r="TIN69" s="157"/>
      <c r="TIO69" s="158"/>
      <c r="TIP69" s="158"/>
      <c r="TIQ69" s="157"/>
      <c r="TIR69" s="159"/>
      <c r="TIS69" s="157"/>
      <c r="TIT69" s="159"/>
      <c r="TIU69" s="160"/>
      <c r="TIV69" s="161"/>
      <c r="TIW69"/>
      <c r="TIX69" s="162"/>
      <c r="TIY69"/>
      <c r="TIZ69" s="155"/>
      <c r="TJA69" s="163"/>
      <c r="TJB69"/>
      <c r="TJC69" s="156"/>
      <c r="TJD69" s="157"/>
      <c r="TJE69" s="158"/>
      <c r="TJF69" s="158"/>
      <c r="TJG69" s="157"/>
      <c r="TJH69" s="159"/>
      <c r="TJI69" s="157"/>
      <c r="TJJ69" s="159"/>
      <c r="TJK69" s="160"/>
      <c r="TJL69" s="161"/>
      <c r="TJM69"/>
      <c r="TJN69" s="162"/>
      <c r="TJO69"/>
      <c r="TJP69" s="155"/>
      <c r="TJQ69" s="163"/>
      <c r="TJR69"/>
      <c r="TJS69" s="156"/>
      <c r="TJT69" s="157"/>
      <c r="TJU69" s="158"/>
      <c r="TJV69" s="158"/>
      <c r="TJW69" s="157"/>
      <c r="TJX69" s="159"/>
      <c r="TJY69" s="157"/>
      <c r="TJZ69" s="159"/>
      <c r="TKA69" s="160"/>
      <c r="TKB69" s="161"/>
      <c r="TKC69"/>
      <c r="TKD69" s="162"/>
      <c r="TKE69"/>
      <c r="TKF69" s="155"/>
      <c r="TKG69" s="163"/>
      <c r="TKH69"/>
      <c r="TKI69" s="156"/>
      <c r="TKJ69" s="157"/>
      <c r="TKK69" s="158"/>
      <c r="TKL69" s="158"/>
      <c r="TKM69" s="157"/>
      <c r="TKN69" s="159"/>
      <c r="TKO69" s="157"/>
      <c r="TKP69" s="159"/>
      <c r="TKQ69" s="160"/>
      <c r="TKR69" s="161"/>
      <c r="TKS69"/>
      <c r="TKT69" s="162"/>
      <c r="TKU69"/>
      <c r="TKV69" s="155"/>
      <c r="TKW69" s="163"/>
      <c r="TKX69"/>
      <c r="TKY69" s="156"/>
      <c r="TKZ69" s="157"/>
      <c r="TLA69" s="158"/>
      <c r="TLB69" s="158"/>
      <c r="TLC69" s="157"/>
      <c r="TLD69" s="159"/>
      <c r="TLE69" s="157"/>
      <c r="TLF69" s="159"/>
      <c r="TLG69" s="160"/>
      <c r="TLH69" s="161"/>
      <c r="TLI69"/>
      <c r="TLJ69" s="162"/>
      <c r="TLK69"/>
      <c r="TLL69" s="155"/>
      <c r="TLM69" s="163"/>
      <c r="TLN69"/>
      <c r="TLO69" s="156"/>
      <c r="TLP69" s="157"/>
      <c r="TLQ69" s="158"/>
      <c r="TLR69" s="158"/>
      <c r="TLS69" s="157"/>
      <c r="TLT69" s="159"/>
      <c r="TLU69" s="157"/>
      <c r="TLV69" s="159"/>
      <c r="TLW69" s="160"/>
      <c r="TLX69" s="161"/>
      <c r="TLY69"/>
      <c r="TLZ69" s="162"/>
      <c r="TMA69"/>
      <c r="TMB69" s="155"/>
      <c r="TMC69" s="163"/>
      <c r="TMD69"/>
      <c r="TME69" s="156"/>
      <c r="TMF69" s="157"/>
      <c r="TMG69" s="158"/>
      <c r="TMH69" s="158"/>
      <c r="TMI69" s="157"/>
      <c r="TMJ69" s="159"/>
      <c r="TMK69" s="157"/>
      <c r="TML69" s="159"/>
      <c r="TMM69" s="160"/>
      <c r="TMN69" s="161"/>
      <c r="TMO69"/>
      <c r="TMP69" s="162"/>
      <c r="TMQ69"/>
      <c r="TMR69" s="155"/>
      <c r="TMS69" s="163"/>
      <c r="TMT69"/>
      <c r="TMU69" s="156"/>
      <c r="TMV69" s="157"/>
      <c r="TMW69" s="158"/>
      <c r="TMX69" s="158"/>
      <c r="TMY69" s="157"/>
      <c r="TMZ69" s="159"/>
      <c r="TNA69" s="157"/>
      <c r="TNB69" s="159"/>
      <c r="TNC69" s="160"/>
      <c r="TND69" s="161"/>
      <c r="TNE69"/>
      <c r="TNF69" s="162"/>
      <c r="TNG69"/>
      <c r="TNH69" s="155"/>
      <c r="TNI69" s="163"/>
      <c r="TNJ69"/>
      <c r="TNK69" s="156"/>
      <c r="TNL69" s="157"/>
      <c r="TNM69" s="158"/>
      <c r="TNN69" s="158"/>
      <c r="TNO69" s="157"/>
      <c r="TNP69" s="159"/>
      <c r="TNQ69" s="157"/>
      <c r="TNR69" s="159"/>
      <c r="TNS69" s="160"/>
      <c r="TNT69" s="161"/>
      <c r="TNU69"/>
      <c r="TNV69" s="162"/>
      <c r="TNW69"/>
      <c r="TNX69" s="155"/>
      <c r="TNY69" s="163"/>
      <c r="TNZ69"/>
      <c r="TOA69" s="156"/>
      <c r="TOB69" s="157"/>
      <c r="TOC69" s="158"/>
      <c r="TOD69" s="158"/>
      <c r="TOE69" s="157"/>
      <c r="TOF69" s="159"/>
      <c r="TOG69" s="157"/>
      <c r="TOH69" s="159"/>
      <c r="TOI69" s="160"/>
      <c r="TOJ69" s="161"/>
      <c r="TOK69"/>
      <c r="TOL69" s="162"/>
      <c r="TOM69"/>
      <c r="TON69" s="155"/>
      <c r="TOO69" s="163"/>
      <c r="TOP69"/>
      <c r="TOQ69" s="156"/>
      <c r="TOR69" s="157"/>
      <c r="TOS69" s="158"/>
      <c r="TOT69" s="158"/>
      <c r="TOU69" s="157"/>
      <c r="TOV69" s="159"/>
      <c r="TOW69" s="157"/>
      <c r="TOX69" s="159"/>
      <c r="TOY69" s="160"/>
      <c r="TOZ69" s="161"/>
      <c r="TPA69"/>
      <c r="TPB69" s="162"/>
      <c r="TPC69"/>
      <c r="TPD69" s="155"/>
      <c r="TPE69" s="163"/>
      <c r="TPF69"/>
      <c r="TPG69" s="156"/>
      <c r="TPH69" s="157"/>
      <c r="TPI69" s="158"/>
      <c r="TPJ69" s="158"/>
      <c r="TPK69" s="157"/>
      <c r="TPL69" s="159"/>
      <c r="TPM69" s="157"/>
      <c r="TPN69" s="159"/>
      <c r="TPO69" s="160"/>
      <c r="TPP69" s="161"/>
      <c r="TPQ69"/>
      <c r="TPR69" s="162"/>
      <c r="TPS69"/>
      <c r="TPT69" s="155"/>
      <c r="TPU69" s="163"/>
      <c r="TPV69"/>
      <c r="TPW69" s="156"/>
      <c r="TPX69" s="157"/>
      <c r="TPY69" s="158"/>
      <c r="TPZ69" s="158"/>
      <c r="TQA69" s="157"/>
      <c r="TQB69" s="159"/>
      <c r="TQC69" s="157"/>
      <c r="TQD69" s="159"/>
      <c r="TQE69" s="160"/>
      <c r="TQF69" s="161"/>
      <c r="TQG69"/>
      <c r="TQH69" s="162"/>
      <c r="TQI69"/>
      <c r="TQJ69" s="155"/>
      <c r="TQK69" s="163"/>
      <c r="TQL69"/>
      <c r="TQM69" s="156"/>
      <c r="TQN69" s="157"/>
      <c r="TQO69" s="158"/>
      <c r="TQP69" s="158"/>
      <c r="TQQ69" s="157"/>
      <c r="TQR69" s="159"/>
      <c r="TQS69" s="157"/>
      <c r="TQT69" s="159"/>
      <c r="TQU69" s="160"/>
      <c r="TQV69" s="161"/>
      <c r="TQW69"/>
      <c r="TQX69" s="162"/>
      <c r="TQY69"/>
      <c r="TQZ69" s="155"/>
      <c r="TRA69" s="163"/>
      <c r="TRB69"/>
      <c r="TRC69" s="156"/>
      <c r="TRD69" s="157"/>
      <c r="TRE69" s="158"/>
      <c r="TRF69" s="158"/>
      <c r="TRG69" s="157"/>
      <c r="TRH69" s="159"/>
      <c r="TRI69" s="157"/>
      <c r="TRJ69" s="159"/>
      <c r="TRK69" s="160"/>
      <c r="TRL69" s="161"/>
      <c r="TRM69"/>
      <c r="TRN69" s="162"/>
      <c r="TRO69"/>
      <c r="TRP69" s="155"/>
      <c r="TRQ69" s="163"/>
      <c r="TRR69"/>
      <c r="TRS69" s="156"/>
      <c r="TRT69" s="157"/>
      <c r="TRU69" s="158"/>
      <c r="TRV69" s="158"/>
      <c r="TRW69" s="157"/>
      <c r="TRX69" s="159"/>
      <c r="TRY69" s="157"/>
      <c r="TRZ69" s="159"/>
      <c r="TSA69" s="160"/>
      <c r="TSB69" s="161"/>
      <c r="TSC69"/>
      <c r="TSD69" s="162"/>
      <c r="TSE69"/>
      <c r="TSF69" s="155"/>
      <c r="TSG69" s="163"/>
      <c r="TSH69"/>
      <c r="TSI69" s="156"/>
      <c r="TSJ69" s="157"/>
      <c r="TSK69" s="158"/>
      <c r="TSL69" s="158"/>
      <c r="TSM69" s="157"/>
      <c r="TSN69" s="159"/>
      <c r="TSO69" s="157"/>
      <c r="TSP69" s="159"/>
      <c r="TSQ69" s="160"/>
      <c r="TSR69" s="161"/>
      <c r="TSS69"/>
      <c r="TST69" s="162"/>
      <c r="TSU69"/>
      <c r="TSV69" s="155"/>
      <c r="TSW69" s="163"/>
      <c r="TSX69"/>
      <c r="TSY69" s="156"/>
      <c r="TSZ69" s="157"/>
      <c r="TTA69" s="158"/>
      <c r="TTB69" s="158"/>
      <c r="TTC69" s="157"/>
      <c r="TTD69" s="159"/>
      <c r="TTE69" s="157"/>
      <c r="TTF69" s="159"/>
      <c r="TTG69" s="160"/>
      <c r="TTH69" s="161"/>
      <c r="TTI69"/>
      <c r="TTJ69" s="162"/>
      <c r="TTK69"/>
      <c r="TTL69" s="155"/>
      <c r="TTM69" s="163"/>
      <c r="TTN69"/>
      <c r="TTO69" s="156"/>
      <c r="TTP69" s="157"/>
      <c r="TTQ69" s="158"/>
      <c r="TTR69" s="158"/>
      <c r="TTS69" s="157"/>
      <c r="TTT69" s="159"/>
      <c r="TTU69" s="157"/>
      <c r="TTV69" s="159"/>
      <c r="TTW69" s="160"/>
      <c r="TTX69" s="161"/>
      <c r="TTY69"/>
      <c r="TTZ69" s="162"/>
      <c r="TUA69"/>
      <c r="TUB69" s="155"/>
      <c r="TUC69" s="163"/>
      <c r="TUD69"/>
      <c r="TUE69" s="156"/>
      <c r="TUF69" s="157"/>
      <c r="TUG69" s="158"/>
      <c r="TUH69" s="158"/>
      <c r="TUI69" s="157"/>
      <c r="TUJ69" s="159"/>
      <c r="TUK69" s="157"/>
      <c r="TUL69" s="159"/>
      <c r="TUM69" s="160"/>
      <c r="TUN69" s="161"/>
      <c r="TUO69"/>
      <c r="TUP69" s="162"/>
      <c r="TUQ69"/>
      <c r="TUR69" s="155"/>
      <c r="TUS69" s="163"/>
      <c r="TUT69"/>
      <c r="TUU69" s="156"/>
      <c r="TUV69" s="157"/>
      <c r="TUW69" s="158"/>
      <c r="TUX69" s="158"/>
      <c r="TUY69" s="157"/>
      <c r="TUZ69" s="159"/>
      <c r="TVA69" s="157"/>
      <c r="TVB69" s="159"/>
      <c r="TVC69" s="160"/>
      <c r="TVD69" s="161"/>
      <c r="TVE69"/>
      <c r="TVF69" s="162"/>
      <c r="TVG69"/>
      <c r="TVH69" s="155"/>
      <c r="TVI69" s="163"/>
      <c r="TVJ69"/>
      <c r="TVK69" s="156"/>
      <c r="TVL69" s="157"/>
      <c r="TVM69" s="158"/>
      <c r="TVN69" s="158"/>
      <c r="TVO69" s="157"/>
      <c r="TVP69" s="159"/>
      <c r="TVQ69" s="157"/>
      <c r="TVR69" s="159"/>
      <c r="TVS69" s="160"/>
      <c r="TVT69" s="161"/>
      <c r="TVU69"/>
      <c r="TVV69" s="162"/>
      <c r="TVW69"/>
      <c r="TVX69" s="155"/>
      <c r="TVY69" s="163"/>
      <c r="TVZ69"/>
      <c r="TWA69" s="156"/>
      <c r="TWB69" s="157"/>
      <c r="TWC69" s="158"/>
      <c r="TWD69" s="158"/>
      <c r="TWE69" s="157"/>
      <c r="TWF69" s="159"/>
      <c r="TWG69" s="157"/>
      <c r="TWH69" s="159"/>
      <c r="TWI69" s="160"/>
      <c r="TWJ69" s="161"/>
      <c r="TWK69"/>
      <c r="TWL69" s="162"/>
      <c r="TWM69"/>
      <c r="TWN69" s="155"/>
      <c r="TWO69" s="163"/>
      <c r="TWP69"/>
      <c r="TWQ69" s="156"/>
      <c r="TWR69" s="157"/>
      <c r="TWS69" s="158"/>
      <c r="TWT69" s="158"/>
      <c r="TWU69" s="157"/>
      <c r="TWV69" s="159"/>
      <c r="TWW69" s="157"/>
      <c r="TWX69" s="159"/>
      <c r="TWY69" s="160"/>
      <c r="TWZ69" s="161"/>
      <c r="TXA69"/>
      <c r="TXB69" s="162"/>
      <c r="TXC69"/>
      <c r="TXD69" s="155"/>
      <c r="TXE69" s="163"/>
      <c r="TXF69"/>
      <c r="TXG69" s="156"/>
      <c r="TXH69" s="157"/>
      <c r="TXI69" s="158"/>
      <c r="TXJ69" s="158"/>
      <c r="TXK69" s="157"/>
      <c r="TXL69" s="159"/>
      <c r="TXM69" s="157"/>
      <c r="TXN69" s="159"/>
      <c r="TXO69" s="160"/>
      <c r="TXP69" s="161"/>
      <c r="TXQ69"/>
      <c r="TXR69" s="162"/>
      <c r="TXS69"/>
      <c r="TXT69" s="155"/>
      <c r="TXU69" s="163"/>
      <c r="TXV69"/>
      <c r="TXW69" s="156"/>
      <c r="TXX69" s="157"/>
      <c r="TXY69" s="158"/>
      <c r="TXZ69" s="158"/>
      <c r="TYA69" s="157"/>
      <c r="TYB69" s="159"/>
      <c r="TYC69" s="157"/>
      <c r="TYD69" s="159"/>
      <c r="TYE69" s="160"/>
      <c r="TYF69" s="161"/>
      <c r="TYG69"/>
      <c r="TYH69" s="162"/>
      <c r="TYI69"/>
      <c r="TYJ69" s="155"/>
      <c r="TYK69" s="163"/>
      <c r="TYL69"/>
      <c r="TYM69" s="156"/>
      <c r="TYN69" s="157"/>
      <c r="TYO69" s="158"/>
      <c r="TYP69" s="158"/>
      <c r="TYQ69" s="157"/>
      <c r="TYR69" s="159"/>
      <c r="TYS69" s="157"/>
      <c r="TYT69" s="159"/>
      <c r="TYU69" s="160"/>
      <c r="TYV69" s="161"/>
      <c r="TYW69"/>
      <c r="TYX69" s="162"/>
      <c r="TYY69"/>
      <c r="TYZ69" s="155"/>
      <c r="TZA69" s="163"/>
      <c r="TZB69"/>
      <c r="TZC69" s="156"/>
      <c r="TZD69" s="157"/>
      <c r="TZE69" s="158"/>
      <c r="TZF69" s="158"/>
      <c r="TZG69" s="157"/>
      <c r="TZH69" s="159"/>
      <c r="TZI69" s="157"/>
      <c r="TZJ69" s="159"/>
      <c r="TZK69" s="160"/>
      <c r="TZL69" s="161"/>
      <c r="TZM69"/>
      <c r="TZN69" s="162"/>
      <c r="TZO69"/>
      <c r="TZP69" s="155"/>
      <c r="TZQ69" s="163"/>
      <c r="TZR69"/>
      <c r="TZS69" s="156"/>
      <c r="TZT69" s="157"/>
      <c r="TZU69" s="158"/>
      <c r="TZV69" s="158"/>
      <c r="TZW69" s="157"/>
      <c r="TZX69" s="159"/>
      <c r="TZY69" s="157"/>
      <c r="TZZ69" s="159"/>
      <c r="UAA69" s="160"/>
      <c r="UAB69" s="161"/>
      <c r="UAC69"/>
      <c r="UAD69" s="162"/>
      <c r="UAE69"/>
      <c r="UAF69" s="155"/>
      <c r="UAG69" s="163"/>
      <c r="UAH69"/>
      <c r="UAI69" s="156"/>
      <c r="UAJ69" s="157"/>
      <c r="UAK69" s="158"/>
      <c r="UAL69" s="158"/>
      <c r="UAM69" s="157"/>
      <c r="UAN69" s="159"/>
      <c r="UAO69" s="157"/>
      <c r="UAP69" s="159"/>
      <c r="UAQ69" s="160"/>
      <c r="UAR69" s="161"/>
      <c r="UAS69"/>
      <c r="UAT69" s="162"/>
      <c r="UAU69"/>
      <c r="UAV69" s="155"/>
      <c r="UAW69" s="163"/>
      <c r="UAX69"/>
      <c r="UAY69" s="156"/>
      <c r="UAZ69" s="157"/>
      <c r="UBA69" s="158"/>
      <c r="UBB69" s="158"/>
      <c r="UBC69" s="157"/>
      <c r="UBD69" s="159"/>
      <c r="UBE69" s="157"/>
      <c r="UBF69" s="159"/>
      <c r="UBG69" s="160"/>
      <c r="UBH69" s="161"/>
      <c r="UBI69"/>
      <c r="UBJ69" s="162"/>
      <c r="UBK69"/>
      <c r="UBL69" s="155"/>
      <c r="UBM69" s="163"/>
      <c r="UBN69"/>
      <c r="UBO69" s="156"/>
      <c r="UBP69" s="157"/>
      <c r="UBQ69" s="158"/>
      <c r="UBR69" s="158"/>
      <c r="UBS69" s="157"/>
      <c r="UBT69" s="159"/>
      <c r="UBU69" s="157"/>
      <c r="UBV69" s="159"/>
      <c r="UBW69" s="160"/>
      <c r="UBX69" s="161"/>
      <c r="UBY69"/>
      <c r="UBZ69" s="162"/>
      <c r="UCA69"/>
      <c r="UCB69" s="155"/>
      <c r="UCC69" s="163"/>
      <c r="UCD69"/>
      <c r="UCE69" s="156"/>
      <c r="UCF69" s="157"/>
      <c r="UCG69" s="158"/>
      <c r="UCH69" s="158"/>
      <c r="UCI69" s="157"/>
      <c r="UCJ69" s="159"/>
      <c r="UCK69" s="157"/>
      <c r="UCL69" s="159"/>
      <c r="UCM69" s="160"/>
      <c r="UCN69" s="161"/>
      <c r="UCO69"/>
      <c r="UCP69" s="162"/>
      <c r="UCQ69"/>
      <c r="UCR69" s="155"/>
      <c r="UCS69" s="163"/>
      <c r="UCT69"/>
      <c r="UCU69" s="156"/>
      <c r="UCV69" s="157"/>
      <c r="UCW69" s="158"/>
      <c r="UCX69" s="158"/>
      <c r="UCY69" s="157"/>
      <c r="UCZ69" s="159"/>
      <c r="UDA69" s="157"/>
      <c r="UDB69" s="159"/>
      <c r="UDC69" s="160"/>
      <c r="UDD69" s="161"/>
      <c r="UDE69"/>
      <c r="UDF69" s="162"/>
      <c r="UDG69"/>
      <c r="UDH69" s="155"/>
      <c r="UDI69" s="163"/>
      <c r="UDJ69"/>
      <c r="UDK69" s="156"/>
      <c r="UDL69" s="157"/>
      <c r="UDM69" s="158"/>
      <c r="UDN69" s="158"/>
      <c r="UDO69" s="157"/>
      <c r="UDP69" s="159"/>
      <c r="UDQ69" s="157"/>
      <c r="UDR69" s="159"/>
      <c r="UDS69" s="160"/>
      <c r="UDT69" s="161"/>
      <c r="UDU69"/>
      <c r="UDV69" s="162"/>
      <c r="UDW69"/>
      <c r="UDX69" s="155"/>
      <c r="UDY69" s="163"/>
      <c r="UDZ69"/>
      <c r="UEA69" s="156"/>
      <c r="UEB69" s="157"/>
      <c r="UEC69" s="158"/>
      <c r="UED69" s="158"/>
      <c r="UEE69" s="157"/>
      <c r="UEF69" s="159"/>
      <c r="UEG69" s="157"/>
      <c r="UEH69" s="159"/>
      <c r="UEI69" s="160"/>
      <c r="UEJ69" s="161"/>
      <c r="UEK69"/>
      <c r="UEL69" s="162"/>
      <c r="UEM69"/>
      <c r="UEN69" s="155"/>
      <c r="UEO69" s="163"/>
      <c r="UEP69"/>
      <c r="UEQ69" s="156"/>
      <c r="UER69" s="157"/>
      <c r="UES69" s="158"/>
      <c r="UET69" s="158"/>
      <c r="UEU69" s="157"/>
      <c r="UEV69" s="159"/>
      <c r="UEW69" s="157"/>
      <c r="UEX69" s="159"/>
      <c r="UEY69" s="160"/>
      <c r="UEZ69" s="161"/>
      <c r="UFA69"/>
      <c r="UFB69" s="162"/>
      <c r="UFC69"/>
      <c r="UFD69" s="155"/>
      <c r="UFE69" s="163"/>
      <c r="UFF69"/>
      <c r="UFG69" s="156"/>
      <c r="UFH69" s="157"/>
      <c r="UFI69" s="158"/>
      <c r="UFJ69" s="158"/>
      <c r="UFK69" s="157"/>
      <c r="UFL69" s="159"/>
      <c r="UFM69" s="157"/>
      <c r="UFN69" s="159"/>
      <c r="UFO69" s="160"/>
      <c r="UFP69" s="161"/>
      <c r="UFQ69"/>
      <c r="UFR69" s="162"/>
      <c r="UFS69"/>
      <c r="UFT69" s="155"/>
      <c r="UFU69" s="163"/>
      <c r="UFV69"/>
      <c r="UFW69" s="156"/>
      <c r="UFX69" s="157"/>
      <c r="UFY69" s="158"/>
      <c r="UFZ69" s="158"/>
      <c r="UGA69" s="157"/>
      <c r="UGB69" s="159"/>
      <c r="UGC69" s="157"/>
      <c r="UGD69" s="159"/>
      <c r="UGE69" s="160"/>
      <c r="UGF69" s="161"/>
      <c r="UGG69"/>
      <c r="UGH69" s="162"/>
      <c r="UGI69"/>
      <c r="UGJ69" s="155"/>
      <c r="UGK69" s="163"/>
      <c r="UGL69"/>
      <c r="UGM69" s="156"/>
      <c r="UGN69" s="157"/>
      <c r="UGO69" s="158"/>
      <c r="UGP69" s="158"/>
      <c r="UGQ69" s="157"/>
      <c r="UGR69" s="159"/>
      <c r="UGS69" s="157"/>
      <c r="UGT69" s="159"/>
      <c r="UGU69" s="160"/>
      <c r="UGV69" s="161"/>
      <c r="UGW69"/>
      <c r="UGX69" s="162"/>
      <c r="UGY69"/>
      <c r="UGZ69" s="155"/>
      <c r="UHA69" s="163"/>
      <c r="UHB69"/>
      <c r="UHC69" s="156"/>
      <c r="UHD69" s="157"/>
      <c r="UHE69" s="158"/>
      <c r="UHF69" s="158"/>
      <c r="UHG69" s="157"/>
      <c r="UHH69" s="159"/>
      <c r="UHI69" s="157"/>
      <c r="UHJ69" s="159"/>
      <c r="UHK69" s="160"/>
      <c r="UHL69" s="161"/>
      <c r="UHM69"/>
      <c r="UHN69" s="162"/>
      <c r="UHO69"/>
      <c r="UHP69" s="155"/>
      <c r="UHQ69" s="163"/>
      <c r="UHR69"/>
      <c r="UHS69" s="156"/>
      <c r="UHT69" s="157"/>
      <c r="UHU69" s="158"/>
      <c r="UHV69" s="158"/>
      <c r="UHW69" s="157"/>
      <c r="UHX69" s="159"/>
      <c r="UHY69" s="157"/>
      <c r="UHZ69" s="159"/>
      <c r="UIA69" s="160"/>
      <c r="UIB69" s="161"/>
      <c r="UIC69"/>
      <c r="UID69" s="162"/>
      <c r="UIE69"/>
      <c r="UIF69" s="155"/>
      <c r="UIG69" s="163"/>
      <c r="UIH69"/>
      <c r="UII69" s="156"/>
      <c r="UIJ69" s="157"/>
      <c r="UIK69" s="158"/>
      <c r="UIL69" s="158"/>
      <c r="UIM69" s="157"/>
      <c r="UIN69" s="159"/>
      <c r="UIO69" s="157"/>
      <c r="UIP69" s="159"/>
      <c r="UIQ69" s="160"/>
      <c r="UIR69" s="161"/>
      <c r="UIS69"/>
      <c r="UIT69" s="162"/>
      <c r="UIU69"/>
      <c r="UIV69" s="155"/>
      <c r="UIW69" s="163"/>
      <c r="UIX69"/>
      <c r="UIY69" s="156"/>
      <c r="UIZ69" s="157"/>
      <c r="UJA69" s="158"/>
      <c r="UJB69" s="158"/>
      <c r="UJC69" s="157"/>
      <c r="UJD69" s="159"/>
      <c r="UJE69" s="157"/>
      <c r="UJF69" s="159"/>
      <c r="UJG69" s="160"/>
      <c r="UJH69" s="161"/>
      <c r="UJI69"/>
      <c r="UJJ69" s="162"/>
      <c r="UJK69"/>
      <c r="UJL69" s="155"/>
      <c r="UJM69" s="163"/>
      <c r="UJN69"/>
      <c r="UJO69" s="156"/>
      <c r="UJP69" s="157"/>
      <c r="UJQ69" s="158"/>
      <c r="UJR69" s="158"/>
      <c r="UJS69" s="157"/>
      <c r="UJT69" s="159"/>
      <c r="UJU69" s="157"/>
      <c r="UJV69" s="159"/>
      <c r="UJW69" s="160"/>
      <c r="UJX69" s="161"/>
      <c r="UJY69"/>
      <c r="UJZ69" s="162"/>
      <c r="UKA69"/>
      <c r="UKB69" s="155"/>
      <c r="UKC69" s="163"/>
      <c r="UKD69"/>
      <c r="UKE69" s="156"/>
      <c r="UKF69" s="157"/>
      <c r="UKG69" s="158"/>
      <c r="UKH69" s="158"/>
      <c r="UKI69" s="157"/>
      <c r="UKJ69" s="159"/>
      <c r="UKK69" s="157"/>
      <c r="UKL69" s="159"/>
      <c r="UKM69" s="160"/>
      <c r="UKN69" s="161"/>
      <c r="UKO69"/>
      <c r="UKP69" s="162"/>
      <c r="UKQ69"/>
      <c r="UKR69" s="155"/>
      <c r="UKS69" s="163"/>
      <c r="UKT69"/>
      <c r="UKU69" s="156"/>
      <c r="UKV69" s="157"/>
      <c r="UKW69" s="158"/>
      <c r="UKX69" s="158"/>
      <c r="UKY69" s="157"/>
      <c r="UKZ69" s="159"/>
      <c r="ULA69" s="157"/>
      <c r="ULB69" s="159"/>
      <c r="ULC69" s="160"/>
      <c r="ULD69" s="161"/>
      <c r="ULE69"/>
      <c r="ULF69" s="162"/>
      <c r="ULG69"/>
      <c r="ULH69" s="155"/>
      <c r="ULI69" s="163"/>
      <c r="ULJ69"/>
      <c r="ULK69" s="156"/>
      <c r="ULL69" s="157"/>
      <c r="ULM69" s="158"/>
      <c r="ULN69" s="158"/>
      <c r="ULO69" s="157"/>
      <c r="ULP69" s="159"/>
      <c r="ULQ69" s="157"/>
      <c r="ULR69" s="159"/>
      <c r="ULS69" s="160"/>
      <c r="ULT69" s="161"/>
      <c r="ULU69"/>
      <c r="ULV69" s="162"/>
      <c r="ULW69"/>
      <c r="ULX69" s="155"/>
      <c r="ULY69" s="163"/>
      <c r="ULZ69"/>
      <c r="UMA69" s="156"/>
      <c r="UMB69" s="157"/>
      <c r="UMC69" s="158"/>
      <c r="UMD69" s="158"/>
      <c r="UME69" s="157"/>
      <c r="UMF69" s="159"/>
      <c r="UMG69" s="157"/>
      <c r="UMH69" s="159"/>
      <c r="UMI69" s="160"/>
      <c r="UMJ69" s="161"/>
      <c r="UMK69"/>
      <c r="UML69" s="162"/>
      <c r="UMM69"/>
      <c r="UMN69" s="155"/>
      <c r="UMO69" s="163"/>
      <c r="UMP69"/>
      <c r="UMQ69" s="156"/>
      <c r="UMR69" s="157"/>
      <c r="UMS69" s="158"/>
      <c r="UMT69" s="158"/>
      <c r="UMU69" s="157"/>
      <c r="UMV69" s="159"/>
      <c r="UMW69" s="157"/>
      <c r="UMX69" s="159"/>
      <c r="UMY69" s="160"/>
      <c r="UMZ69" s="161"/>
      <c r="UNA69"/>
      <c r="UNB69" s="162"/>
      <c r="UNC69"/>
      <c r="UND69" s="155"/>
      <c r="UNE69" s="163"/>
      <c r="UNF69"/>
      <c r="UNG69" s="156"/>
      <c r="UNH69" s="157"/>
      <c r="UNI69" s="158"/>
      <c r="UNJ69" s="158"/>
      <c r="UNK69" s="157"/>
      <c r="UNL69" s="159"/>
      <c r="UNM69" s="157"/>
      <c r="UNN69" s="159"/>
      <c r="UNO69" s="160"/>
      <c r="UNP69" s="161"/>
      <c r="UNQ69"/>
      <c r="UNR69" s="162"/>
      <c r="UNS69"/>
      <c r="UNT69" s="155"/>
      <c r="UNU69" s="163"/>
      <c r="UNV69"/>
      <c r="UNW69" s="156"/>
      <c r="UNX69" s="157"/>
      <c r="UNY69" s="158"/>
      <c r="UNZ69" s="158"/>
      <c r="UOA69" s="157"/>
      <c r="UOB69" s="159"/>
      <c r="UOC69" s="157"/>
      <c r="UOD69" s="159"/>
      <c r="UOE69" s="160"/>
      <c r="UOF69" s="161"/>
      <c r="UOG69"/>
      <c r="UOH69" s="162"/>
      <c r="UOI69"/>
      <c r="UOJ69" s="155"/>
      <c r="UOK69" s="163"/>
      <c r="UOL69"/>
      <c r="UOM69" s="156"/>
      <c r="UON69" s="157"/>
      <c r="UOO69" s="158"/>
      <c r="UOP69" s="158"/>
      <c r="UOQ69" s="157"/>
      <c r="UOR69" s="159"/>
      <c r="UOS69" s="157"/>
      <c r="UOT69" s="159"/>
      <c r="UOU69" s="160"/>
      <c r="UOV69" s="161"/>
      <c r="UOW69"/>
      <c r="UOX69" s="162"/>
      <c r="UOY69"/>
      <c r="UOZ69" s="155"/>
      <c r="UPA69" s="163"/>
      <c r="UPB69"/>
      <c r="UPC69" s="156"/>
      <c r="UPD69" s="157"/>
      <c r="UPE69" s="158"/>
      <c r="UPF69" s="158"/>
      <c r="UPG69" s="157"/>
      <c r="UPH69" s="159"/>
      <c r="UPI69" s="157"/>
      <c r="UPJ69" s="159"/>
      <c r="UPK69" s="160"/>
      <c r="UPL69" s="161"/>
      <c r="UPM69"/>
      <c r="UPN69" s="162"/>
      <c r="UPO69"/>
      <c r="UPP69" s="155"/>
      <c r="UPQ69" s="163"/>
      <c r="UPR69"/>
      <c r="UPS69" s="156"/>
      <c r="UPT69" s="157"/>
      <c r="UPU69" s="158"/>
      <c r="UPV69" s="158"/>
      <c r="UPW69" s="157"/>
      <c r="UPX69" s="159"/>
      <c r="UPY69" s="157"/>
      <c r="UPZ69" s="159"/>
      <c r="UQA69" s="160"/>
      <c r="UQB69" s="161"/>
      <c r="UQC69"/>
      <c r="UQD69" s="162"/>
      <c r="UQE69"/>
      <c r="UQF69" s="155"/>
      <c r="UQG69" s="163"/>
      <c r="UQH69"/>
      <c r="UQI69" s="156"/>
      <c r="UQJ69" s="157"/>
      <c r="UQK69" s="158"/>
      <c r="UQL69" s="158"/>
      <c r="UQM69" s="157"/>
      <c r="UQN69" s="159"/>
      <c r="UQO69" s="157"/>
      <c r="UQP69" s="159"/>
      <c r="UQQ69" s="160"/>
      <c r="UQR69" s="161"/>
      <c r="UQS69"/>
      <c r="UQT69" s="162"/>
      <c r="UQU69"/>
      <c r="UQV69" s="155"/>
      <c r="UQW69" s="163"/>
      <c r="UQX69"/>
      <c r="UQY69" s="156"/>
      <c r="UQZ69" s="157"/>
      <c r="URA69" s="158"/>
      <c r="URB69" s="158"/>
      <c r="URC69" s="157"/>
      <c r="URD69" s="159"/>
      <c r="URE69" s="157"/>
      <c r="URF69" s="159"/>
      <c r="URG69" s="160"/>
      <c r="URH69" s="161"/>
      <c r="URI69"/>
      <c r="URJ69" s="162"/>
      <c r="URK69"/>
      <c r="URL69" s="155"/>
      <c r="URM69" s="163"/>
      <c r="URN69"/>
      <c r="URO69" s="156"/>
      <c r="URP69" s="157"/>
      <c r="URQ69" s="158"/>
      <c r="URR69" s="158"/>
      <c r="URS69" s="157"/>
      <c r="URT69" s="159"/>
      <c r="URU69" s="157"/>
      <c r="URV69" s="159"/>
      <c r="URW69" s="160"/>
      <c r="URX69" s="161"/>
      <c r="URY69"/>
      <c r="URZ69" s="162"/>
      <c r="USA69"/>
      <c r="USB69" s="155"/>
      <c r="USC69" s="163"/>
      <c r="USD69"/>
      <c r="USE69" s="156"/>
      <c r="USF69" s="157"/>
      <c r="USG69" s="158"/>
      <c r="USH69" s="158"/>
      <c r="USI69" s="157"/>
      <c r="USJ69" s="159"/>
      <c r="USK69" s="157"/>
      <c r="USL69" s="159"/>
      <c r="USM69" s="160"/>
      <c r="USN69" s="161"/>
      <c r="USO69"/>
      <c r="USP69" s="162"/>
      <c r="USQ69"/>
      <c r="USR69" s="155"/>
      <c r="USS69" s="163"/>
      <c r="UST69"/>
      <c r="USU69" s="156"/>
      <c r="USV69" s="157"/>
      <c r="USW69" s="158"/>
      <c r="USX69" s="158"/>
      <c r="USY69" s="157"/>
      <c r="USZ69" s="159"/>
      <c r="UTA69" s="157"/>
      <c r="UTB69" s="159"/>
      <c r="UTC69" s="160"/>
      <c r="UTD69" s="161"/>
      <c r="UTE69"/>
      <c r="UTF69" s="162"/>
      <c r="UTG69"/>
      <c r="UTH69" s="155"/>
      <c r="UTI69" s="163"/>
      <c r="UTJ69"/>
      <c r="UTK69" s="156"/>
      <c r="UTL69" s="157"/>
      <c r="UTM69" s="158"/>
      <c r="UTN69" s="158"/>
      <c r="UTO69" s="157"/>
      <c r="UTP69" s="159"/>
      <c r="UTQ69" s="157"/>
      <c r="UTR69" s="159"/>
      <c r="UTS69" s="160"/>
      <c r="UTT69" s="161"/>
      <c r="UTU69"/>
      <c r="UTV69" s="162"/>
      <c r="UTW69"/>
      <c r="UTX69" s="155"/>
      <c r="UTY69" s="163"/>
      <c r="UTZ69"/>
      <c r="UUA69" s="156"/>
      <c r="UUB69" s="157"/>
      <c r="UUC69" s="158"/>
      <c r="UUD69" s="158"/>
      <c r="UUE69" s="157"/>
      <c r="UUF69" s="159"/>
      <c r="UUG69" s="157"/>
      <c r="UUH69" s="159"/>
      <c r="UUI69" s="160"/>
      <c r="UUJ69" s="161"/>
      <c r="UUK69"/>
      <c r="UUL69" s="162"/>
      <c r="UUM69"/>
      <c r="UUN69" s="155"/>
      <c r="UUO69" s="163"/>
      <c r="UUP69"/>
      <c r="UUQ69" s="156"/>
      <c r="UUR69" s="157"/>
      <c r="UUS69" s="158"/>
      <c r="UUT69" s="158"/>
      <c r="UUU69" s="157"/>
      <c r="UUV69" s="159"/>
      <c r="UUW69" s="157"/>
      <c r="UUX69" s="159"/>
      <c r="UUY69" s="160"/>
      <c r="UUZ69" s="161"/>
      <c r="UVA69"/>
      <c r="UVB69" s="162"/>
      <c r="UVC69"/>
      <c r="UVD69" s="155"/>
      <c r="UVE69" s="163"/>
      <c r="UVF69"/>
      <c r="UVG69" s="156"/>
      <c r="UVH69" s="157"/>
      <c r="UVI69" s="158"/>
      <c r="UVJ69" s="158"/>
      <c r="UVK69" s="157"/>
      <c r="UVL69" s="159"/>
      <c r="UVM69" s="157"/>
      <c r="UVN69" s="159"/>
      <c r="UVO69" s="160"/>
      <c r="UVP69" s="161"/>
      <c r="UVQ69"/>
      <c r="UVR69" s="162"/>
      <c r="UVS69"/>
      <c r="UVT69" s="155"/>
      <c r="UVU69" s="163"/>
      <c r="UVV69"/>
      <c r="UVW69" s="156"/>
      <c r="UVX69" s="157"/>
      <c r="UVY69" s="158"/>
      <c r="UVZ69" s="158"/>
      <c r="UWA69" s="157"/>
      <c r="UWB69" s="159"/>
      <c r="UWC69" s="157"/>
      <c r="UWD69" s="159"/>
      <c r="UWE69" s="160"/>
      <c r="UWF69" s="161"/>
      <c r="UWG69"/>
      <c r="UWH69" s="162"/>
      <c r="UWI69"/>
      <c r="UWJ69" s="155"/>
      <c r="UWK69" s="163"/>
      <c r="UWL69"/>
      <c r="UWM69" s="156"/>
      <c r="UWN69" s="157"/>
      <c r="UWO69" s="158"/>
      <c r="UWP69" s="158"/>
      <c r="UWQ69" s="157"/>
      <c r="UWR69" s="159"/>
      <c r="UWS69" s="157"/>
      <c r="UWT69" s="159"/>
      <c r="UWU69" s="160"/>
      <c r="UWV69" s="161"/>
      <c r="UWW69"/>
      <c r="UWX69" s="162"/>
      <c r="UWY69"/>
      <c r="UWZ69" s="155"/>
      <c r="UXA69" s="163"/>
      <c r="UXB69"/>
      <c r="UXC69" s="156"/>
      <c r="UXD69" s="157"/>
      <c r="UXE69" s="158"/>
      <c r="UXF69" s="158"/>
      <c r="UXG69" s="157"/>
      <c r="UXH69" s="159"/>
      <c r="UXI69" s="157"/>
      <c r="UXJ69" s="159"/>
      <c r="UXK69" s="160"/>
      <c r="UXL69" s="161"/>
      <c r="UXM69"/>
      <c r="UXN69" s="162"/>
      <c r="UXO69"/>
      <c r="UXP69" s="155"/>
      <c r="UXQ69" s="163"/>
      <c r="UXR69"/>
      <c r="UXS69" s="156"/>
      <c r="UXT69" s="157"/>
      <c r="UXU69" s="158"/>
      <c r="UXV69" s="158"/>
      <c r="UXW69" s="157"/>
      <c r="UXX69" s="159"/>
      <c r="UXY69" s="157"/>
      <c r="UXZ69" s="159"/>
      <c r="UYA69" s="160"/>
      <c r="UYB69" s="161"/>
      <c r="UYC69"/>
      <c r="UYD69" s="162"/>
      <c r="UYE69"/>
      <c r="UYF69" s="155"/>
      <c r="UYG69" s="163"/>
      <c r="UYH69"/>
      <c r="UYI69" s="156"/>
      <c r="UYJ69" s="157"/>
      <c r="UYK69" s="158"/>
      <c r="UYL69" s="158"/>
      <c r="UYM69" s="157"/>
      <c r="UYN69" s="159"/>
      <c r="UYO69" s="157"/>
      <c r="UYP69" s="159"/>
      <c r="UYQ69" s="160"/>
      <c r="UYR69" s="161"/>
      <c r="UYS69"/>
      <c r="UYT69" s="162"/>
      <c r="UYU69"/>
      <c r="UYV69" s="155"/>
      <c r="UYW69" s="163"/>
      <c r="UYX69"/>
      <c r="UYY69" s="156"/>
      <c r="UYZ69" s="157"/>
      <c r="UZA69" s="158"/>
      <c r="UZB69" s="158"/>
      <c r="UZC69" s="157"/>
      <c r="UZD69" s="159"/>
      <c r="UZE69" s="157"/>
      <c r="UZF69" s="159"/>
      <c r="UZG69" s="160"/>
      <c r="UZH69" s="161"/>
      <c r="UZI69"/>
      <c r="UZJ69" s="162"/>
      <c r="UZK69"/>
      <c r="UZL69" s="155"/>
      <c r="UZM69" s="163"/>
      <c r="UZN69"/>
      <c r="UZO69" s="156"/>
      <c r="UZP69" s="157"/>
      <c r="UZQ69" s="158"/>
      <c r="UZR69" s="158"/>
      <c r="UZS69" s="157"/>
      <c r="UZT69" s="159"/>
      <c r="UZU69" s="157"/>
      <c r="UZV69" s="159"/>
      <c r="UZW69" s="160"/>
      <c r="UZX69" s="161"/>
      <c r="UZY69"/>
      <c r="UZZ69" s="162"/>
      <c r="VAA69"/>
      <c r="VAB69" s="155"/>
      <c r="VAC69" s="163"/>
      <c r="VAD69"/>
      <c r="VAE69" s="156"/>
      <c r="VAF69" s="157"/>
      <c r="VAG69" s="158"/>
      <c r="VAH69" s="158"/>
      <c r="VAI69" s="157"/>
      <c r="VAJ69" s="159"/>
      <c r="VAK69" s="157"/>
      <c r="VAL69" s="159"/>
      <c r="VAM69" s="160"/>
      <c r="VAN69" s="161"/>
      <c r="VAO69"/>
      <c r="VAP69" s="162"/>
      <c r="VAQ69"/>
      <c r="VAR69" s="155"/>
      <c r="VAS69" s="163"/>
      <c r="VAT69"/>
      <c r="VAU69" s="156"/>
      <c r="VAV69" s="157"/>
      <c r="VAW69" s="158"/>
      <c r="VAX69" s="158"/>
      <c r="VAY69" s="157"/>
      <c r="VAZ69" s="159"/>
      <c r="VBA69" s="157"/>
      <c r="VBB69" s="159"/>
      <c r="VBC69" s="160"/>
      <c r="VBD69" s="161"/>
      <c r="VBE69"/>
      <c r="VBF69" s="162"/>
      <c r="VBG69"/>
      <c r="VBH69" s="155"/>
      <c r="VBI69" s="163"/>
      <c r="VBJ69"/>
      <c r="VBK69" s="156"/>
      <c r="VBL69" s="157"/>
      <c r="VBM69" s="158"/>
      <c r="VBN69" s="158"/>
      <c r="VBO69" s="157"/>
      <c r="VBP69" s="159"/>
      <c r="VBQ69" s="157"/>
      <c r="VBR69" s="159"/>
      <c r="VBS69" s="160"/>
      <c r="VBT69" s="161"/>
      <c r="VBU69"/>
      <c r="VBV69" s="162"/>
      <c r="VBW69"/>
      <c r="VBX69" s="155"/>
      <c r="VBY69" s="163"/>
      <c r="VBZ69"/>
      <c r="VCA69" s="156"/>
      <c r="VCB69" s="157"/>
      <c r="VCC69" s="158"/>
      <c r="VCD69" s="158"/>
      <c r="VCE69" s="157"/>
      <c r="VCF69" s="159"/>
      <c r="VCG69" s="157"/>
      <c r="VCH69" s="159"/>
      <c r="VCI69" s="160"/>
      <c r="VCJ69" s="161"/>
      <c r="VCK69"/>
      <c r="VCL69" s="162"/>
      <c r="VCM69"/>
      <c r="VCN69" s="155"/>
      <c r="VCO69" s="163"/>
      <c r="VCP69"/>
      <c r="VCQ69" s="156"/>
      <c r="VCR69" s="157"/>
      <c r="VCS69" s="158"/>
      <c r="VCT69" s="158"/>
      <c r="VCU69" s="157"/>
      <c r="VCV69" s="159"/>
      <c r="VCW69" s="157"/>
      <c r="VCX69" s="159"/>
      <c r="VCY69" s="160"/>
      <c r="VCZ69" s="161"/>
      <c r="VDA69"/>
      <c r="VDB69" s="162"/>
      <c r="VDC69"/>
      <c r="VDD69" s="155"/>
      <c r="VDE69" s="163"/>
      <c r="VDF69"/>
      <c r="VDG69" s="156"/>
      <c r="VDH69" s="157"/>
      <c r="VDI69" s="158"/>
      <c r="VDJ69" s="158"/>
      <c r="VDK69" s="157"/>
      <c r="VDL69" s="159"/>
      <c r="VDM69" s="157"/>
      <c r="VDN69" s="159"/>
      <c r="VDO69" s="160"/>
      <c r="VDP69" s="161"/>
      <c r="VDQ69"/>
      <c r="VDR69" s="162"/>
      <c r="VDS69"/>
      <c r="VDT69" s="155"/>
      <c r="VDU69" s="163"/>
      <c r="VDV69"/>
      <c r="VDW69" s="156"/>
      <c r="VDX69" s="157"/>
      <c r="VDY69" s="158"/>
      <c r="VDZ69" s="158"/>
      <c r="VEA69" s="157"/>
      <c r="VEB69" s="159"/>
      <c r="VEC69" s="157"/>
      <c r="VED69" s="159"/>
      <c r="VEE69" s="160"/>
      <c r="VEF69" s="161"/>
      <c r="VEG69"/>
      <c r="VEH69" s="162"/>
      <c r="VEI69"/>
      <c r="VEJ69" s="155"/>
      <c r="VEK69" s="163"/>
      <c r="VEL69"/>
      <c r="VEM69" s="156"/>
      <c r="VEN69" s="157"/>
      <c r="VEO69" s="158"/>
      <c r="VEP69" s="158"/>
      <c r="VEQ69" s="157"/>
      <c r="VER69" s="159"/>
      <c r="VES69" s="157"/>
      <c r="VET69" s="159"/>
      <c r="VEU69" s="160"/>
      <c r="VEV69" s="161"/>
      <c r="VEW69"/>
      <c r="VEX69" s="162"/>
      <c r="VEY69"/>
      <c r="VEZ69" s="155"/>
      <c r="VFA69" s="163"/>
      <c r="VFB69"/>
      <c r="VFC69" s="156"/>
      <c r="VFD69" s="157"/>
      <c r="VFE69" s="158"/>
      <c r="VFF69" s="158"/>
      <c r="VFG69" s="157"/>
      <c r="VFH69" s="159"/>
      <c r="VFI69" s="157"/>
      <c r="VFJ69" s="159"/>
      <c r="VFK69" s="160"/>
      <c r="VFL69" s="161"/>
      <c r="VFM69"/>
      <c r="VFN69" s="162"/>
      <c r="VFO69"/>
      <c r="VFP69" s="155"/>
      <c r="VFQ69" s="163"/>
      <c r="VFR69"/>
      <c r="VFS69" s="156"/>
      <c r="VFT69" s="157"/>
      <c r="VFU69" s="158"/>
      <c r="VFV69" s="158"/>
      <c r="VFW69" s="157"/>
      <c r="VFX69" s="159"/>
      <c r="VFY69" s="157"/>
      <c r="VFZ69" s="159"/>
      <c r="VGA69" s="160"/>
      <c r="VGB69" s="161"/>
      <c r="VGC69"/>
      <c r="VGD69" s="162"/>
      <c r="VGE69"/>
      <c r="VGF69" s="155"/>
      <c r="VGG69" s="163"/>
      <c r="VGH69"/>
      <c r="VGI69" s="156"/>
      <c r="VGJ69" s="157"/>
      <c r="VGK69" s="158"/>
      <c r="VGL69" s="158"/>
      <c r="VGM69" s="157"/>
      <c r="VGN69" s="159"/>
      <c r="VGO69" s="157"/>
      <c r="VGP69" s="159"/>
      <c r="VGQ69" s="160"/>
      <c r="VGR69" s="161"/>
      <c r="VGS69"/>
      <c r="VGT69" s="162"/>
      <c r="VGU69"/>
      <c r="VGV69" s="155"/>
      <c r="VGW69" s="163"/>
      <c r="VGX69"/>
      <c r="VGY69" s="156"/>
      <c r="VGZ69" s="157"/>
      <c r="VHA69" s="158"/>
      <c r="VHB69" s="158"/>
    </row>
    <row r="70" spans="2:62 3072:12198 12789:15082" ht="28.8" x14ac:dyDescent="0.3">
      <c r="B70" s="221" t="s">
        <v>153</v>
      </c>
      <c r="C70" s="221"/>
      <c r="D70" s="221"/>
      <c r="E70" s="221"/>
      <c r="F70" s="221"/>
      <c r="G70" s="221"/>
      <c r="H70" s="221"/>
      <c r="I70" s="221"/>
      <c r="J70" s="221"/>
      <c r="K70" s="221"/>
      <c r="L70" s="221"/>
      <c r="M70" s="221"/>
      <c r="N70" s="221"/>
      <c r="O70" s="221"/>
      <c r="P70" s="221"/>
      <c r="Q70" s="221"/>
    </row>
    <row r="71" spans="2:62 3072:12198 12789:15082" ht="28.8" x14ac:dyDescent="0.3">
      <c r="B71" s="98" t="s">
        <v>1</v>
      </c>
      <c r="C71" s="223" t="s">
        <v>2</v>
      </c>
      <c r="D71" s="223"/>
      <c r="E71" s="8" t="s">
        <v>3</v>
      </c>
      <c r="F71" s="8" t="s">
        <v>4</v>
      </c>
      <c r="G71" s="8" t="s">
        <v>116</v>
      </c>
      <c r="H71" s="1" t="s">
        <v>52</v>
      </c>
      <c r="I71" s="93" t="s">
        <v>143</v>
      </c>
      <c r="J71" s="2" t="s">
        <v>9</v>
      </c>
      <c r="K71" s="2" t="s">
        <v>10</v>
      </c>
      <c r="L71" s="2" t="s">
        <v>11</v>
      </c>
      <c r="M71" s="8" t="s">
        <v>12</v>
      </c>
      <c r="N71" s="125" t="s">
        <v>13</v>
      </c>
      <c r="O71" s="125" t="s">
        <v>14</v>
      </c>
      <c r="P71" s="125" t="s">
        <v>144</v>
      </c>
      <c r="Q71" s="104" t="s">
        <v>145</v>
      </c>
    </row>
    <row r="72" spans="2:62 3072:12198 12789:15082" x14ac:dyDescent="0.3">
      <c r="B72" s="263" t="s">
        <v>154</v>
      </c>
      <c r="C72" s="208" t="s">
        <v>113</v>
      </c>
      <c r="D72" s="144" t="s">
        <v>17</v>
      </c>
      <c r="E72" s="145">
        <f>CEILING((((10900+297+50+85)*1.12)- 85)-150,50)</f>
        <v>12500</v>
      </c>
      <c r="F72" s="145">
        <v>85</v>
      </c>
      <c r="G72" s="145">
        <v>215</v>
      </c>
      <c r="H72" s="145">
        <v>75</v>
      </c>
      <c r="I72" s="145">
        <v>150</v>
      </c>
      <c r="J72" s="204">
        <f>SUM(E72:I72)</f>
        <v>13025</v>
      </c>
      <c r="K72" s="145">
        <v>200</v>
      </c>
      <c r="L72" s="204">
        <f>SUM(J72:K72)</f>
        <v>13225</v>
      </c>
      <c r="M72" s="147" t="s">
        <v>99</v>
      </c>
      <c r="N72" s="210" t="s">
        <v>57</v>
      </c>
      <c r="O72" s="205" t="s">
        <v>46</v>
      </c>
      <c r="P72" s="313" t="s">
        <v>58</v>
      </c>
      <c r="Q72" s="149" t="s">
        <v>125</v>
      </c>
    </row>
    <row r="73" spans="2:62 3072:12198 12789:15082" ht="15" thickBot="1" x14ac:dyDescent="0.35">
      <c r="B73" s="312"/>
      <c r="C73" s="208" t="s">
        <v>113</v>
      </c>
      <c r="D73" s="144" t="s">
        <v>22</v>
      </c>
      <c r="E73" s="145">
        <f>CEILING((((10900+297+50+85)*1.12)- 85)-150,50)</f>
        <v>12500</v>
      </c>
      <c r="F73" s="145">
        <v>85</v>
      </c>
      <c r="G73" s="145">
        <v>215</v>
      </c>
      <c r="H73" s="145">
        <v>75</v>
      </c>
      <c r="I73" s="145">
        <v>150</v>
      </c>
      <c r="J73" s="204">
        <f>SUM(E73:I73)</f>
        <v>13025</v>
      </c>
      <c r="K73" s="145">
        <v>200</v>
      </c>
      <c r="L73" s="204">
        <f>SUM(J73:K73)</f>
        <v>13225</v>
      </c>
      <c r="M73" s="147" t="s">
        <v>99</v>
      </c>
      <c r="N73" s="210" t="s">
        <v>57</v>
      </c>
      <c r="O73" s="205" t="s">
        <v>46</v>
      </c>
      <c r="P73" s="314"/>
      <c r="Q73" s="149" t="s">
        <v>125</v>
      </c>
    </row>
    <row r="74" spans="2:62 3072:12198 12789:15082" x14ac:dyDescent="0.3">
      <c r="B74" s="27"/>
      <c r="C74" s="27"/>
      <c r="E74" s="62"/>
      <c r="F74" s="63"/>
      <c r="G74" s="63"/>
      <c r="H74" s="63"/>
      <c r="I74" s="63"/>
      <c r="J74" s="64"/>
      <c r="K74" s="64"/>
      <c r="L74" s="64"/>
      <c r="M74" s="64"/>
      <c r="N74" s="119"/>
      <c r="O74" s="64"/>
      <c r="P74" s="65"/>
      <c r="Q74" s="66"/>
    </row>
    <row r="76" spans="2:62 3072:12198 12789:15082" ht="15.6" x14ac:dyDescent="0.3">
      <c r="B76" s="5" t="s">
        <v>32</v>
      </c>
      <c r="C76" s="6"/>
      <c r="D76" s="6"/>
      <c r="E76" s="6"/>
      <c r="F76" s="6"/>
      <c r="G76" s="6"/>
      <c r="H76" s="6"/>
      <c r="I76" s="6"/>
      <c r="J76" s="6"/>
      <c r="K76" s="6"/>
      <c r="L76" s="6"/>
      <c r="M76" s="6"/>
      <c r="N76" s="6"/>
      <c r="O76" s="6"/>
      <c r="P76" s="6"/>
      <c r="Q76" s="6"/>
      <c r="R76" s="6"/>
      <c r="S76" s="6"/>
      <c r="T76" s="6"/>
    </row>
    <row r="77" spans="2:62 3072:12198 12789:15082" x14ac:dyDescent="0.3">
      <c r="B77" s="282" t="s">
        <v>33</v>
      </c>
      <c r="C77" s="282"/>
      <c r="D77" s="282"/>
      <c r="E77" s="282"/>
      <c r="F77" s="282"/>
      <c r="G77" s="282"/>
      <c r="H77" s="282"/>
      <c r="I77" s="282"/>
      <c r="J77" s="282"/>
      <c r="K77" s="282"/>
      <c r="L77" s="282"/>
      <c r="M77" s="282"/>
      <c r="N77" s="282"/>
      <c r="O77" s="282"/>
      <c r="P77" s="282"/>
      <c r="Q77" s="282"/>
      <c r="R77" s="282"/>
      <c r="S77" s="282"/>
      <c r="T77" s="282"/>
    </row>
    <row r="78" spans="2:62 3072:12198 12789:15082" x14ac:dyDescent="0.3">
      <c r="B78" s="282"/>
      <c r="C78" s="282"/>
      <c r="D78" s="282"/>
      <c r="E78" s="282"/>
      <c r="F78" s="282"/>
      <c r="G78" s="282"/>
      <c r="H78" s="282"/>
      <c r="I78" s="282"/>
      <c r="J78" s="282"/>
      <c r="K78" s="282"/>
      <c r="L78" s="282"/>
      <c r="M78" s="282"/>
      <c r="N78" s="282"/>
      <c r="O78" s="282"/>
      <c r="P78" s="282"/>
      <c r="Q78" s="282"/>
      <c r="R78" s="282"/>
      <c r="S78" s="282"/>
      <c r="T78" s="282"/>
    </row>
    <row r="79" spans="2:62 3072:12198 12789:15082" x14ac:dyDescent="0.3">
      <c r="B79" s="282"/>
      <c r="C79" s="282"/>
      <c r="D79" s="282"/>
      <c r="E79" s="282"/>
      <c r="F79" s="282"/>
      <c r="G79" s="282"/>
      <c r="H79" s="282"/>
      <c r="I79" s="282"/>
      <c r="J79" s="282"/>
      <c r="K79" s="282"/>
      <c r="L79" s="282"/>
      <c r="M79" s="282"/>
      <c r="N79" s="282"/>
      <c r="O79" s="282"/>
      <c r="P79" s="282"/>
      <c r="Q79" s="282"/>
      <c r="R79" s="282"/>
      <c r="S79" s="282"/>
      <c r="T79" s="282"/>
    </row>
    <row r="80" spans="2:62 3072:12198 12789:15082" x14ac:dyDescent="0.3">
      <c r="B80" s="282"/>
      <c r="C80" s="282"/>
      <c r="D80" s="282"/>
      <c r="E80" s="282"/>
      <c r="F80" s="282"/>
      <c r="G80" s="282"/>
      <c r="H80" s="282"/>
      <c r="I80" s="282"/>
      <c r="J80" s="282"/>
      <c r="K80" s="282"/>
      <c r="L80" s="282"/>
      <c r="M80" s="282"/>
      <c r="N80" s="282"/>
      <c r="O80" s="282"/>
      <c r="P80" s="282"/>
      <c r="Q80" s="282"/>
      <c r="R80" s="282"/>
      <c r="S80" s="282"/>
      <c r="T80" s="282"/>
    </row>
    <row r="89" spans="2:20" ht="28.8" x14ac:dyDescent="0.3">
      <c r="B89" s="254" t="s">
        <v>155</v>
      </c>
      <c r="C89" s="254"/>
      <c r="D89" s="254"/>
      <c r="E89" s="254"/>
      <c r="F89" s="254"/>
      <c r="G89" s="254"/>
      <c r="H89" s="254"/>
      <c r="I89" s="254"/>
      <c r="J89" s="254"/>
      <c r="K89" s="254"/>
      <c r="L89" s="254"/>
      <c r="M89" s="254"/>
      <c r="N89" s="254"/>
      <c r="O89" s="254"/>
      <c r="P89" s="254"/>
      <c r="Q89" s="254"/>
      <c r="R89" s="254"/>
      <c r="S89" s="254"/>
    </row>
    <row r="90" spans="2:20" ht="27" customHeight="1" x14ac:dyDescent="0.3">
      <c r="B90" s="1" t="s">
        <v>1</v>
      </c>
      <c r="C90" s="309" t="s">
        <v>2</v>
      </c>
      <c r="D90" s="309"/>
      <c r="E90" s="128" t="s">
        <v>130</v>
      </c>
      <c r="F90" s="12" t="s">
        <v>131</v>
      </c>
      <c r="G90" s="13" t="s">
        <v>91</v>
      </c>
      <c r="H90" s="12" t="s">
        <v>6</v>
      </c>
      <c r="I90" s="2" t="s">
        <v>156</v>
      </c>
      <c r="J90" s="2" t="s">
        <v>9</v>
      </c>
      <c r="K90" s="2" t="s">
        <v>10</v>
      </c>
      <c r="L90" s="2" t="s">
        <v>11</v>
      </c>
      <c r="M90" s="8" t="s">
        <v>12</v>
      </c>
      <c r="N90" s="10" t="s">
        <v>13</v>
      </c>
      <c r="O90" s="188" t="s">
        <v>14</v>
      </c>
      <c r="P90" s="17" t="s">
        <v>122</v>
      </c>
      <c r="Q90" s="223" t="s">
        <v>36</v>
      </c>
      <c r="R90" s="223"/>
      <c r="S90" s="223"/>
    </row>
    <row r="91" spans="2:20" ht="28.95" customHeight="1" x14ac:dyDescent="0.3">
      <c r="B91" s="278" t="s">
        <v>92</v>
      </c>
      <c r="C91" s="242" t="s">
        <v>113</v>
      </c>
      <c r="D91" s="53" t="s">
        <v>17</v>
      </c>
      <c r="E91" s="36">
        <v>1500</v>
      </c>
      <c r="F91" s="54">
        <v>175</v>
      </c>
      <c r="G91" s="36">
        <v>150</v>
      </c>
      <c r="H91" s="36">
        <v>14</v>
      </c>
      <c r="I91" s="56">
        <v>300</v>
      </c>
      <c r="J91" s="58">
        <f>SUM(E91:I91)</f>
        <v>2139</v>
      </c>
      <c r="K91" s="56">
        <v>200</v>
      </c>
      <c r="L91" s="58">
        <f>J91+K91</f>
        <v>2339</v>
      </c>
      <c r="M91" s="103" t="s">
        <v>157</v>
      </c>
      <c r="N91" s="214" t="s">
        <v>93</v>
      </c>
      <c r="O91" s="40" t="s">
        <v>43</v>
      </c>
      <c r="P91" s="53" t="s">
        <v>158</v>
      </c>
      <c r="Q91" s="243" t="s">
        <v>44</v>
      </c>
      <c r="R91" s="243"/>
      <c r="S91" s="243"/>
    </row>
    <row r="92" spans="2:20" x14ac:dyDescent="0.3">
      <c r="B92" s="225"/>
      <c r="C92" s="242"/>
      <c r="D92" s="53" t="s">
        <v>22</v>
      </c>
      <c r="E92" s="37">
        <v>1950</v>
      </c>
      <c r="F92" s="54">
        <v>225</v>
      </c>
      <c r="G92" s="36">
        <v>150</v>
      </c>
      <c r="H92" s="36">
        <v>14</v>
      </c>
      <c r="I92" s="56">
        <v>600</v>
      </c>
      <c r="J92" s="58">
        <f>SUM(E92:I92)</f>
        <v>2939</v>
      </c>
      <c r="K92" s="56">
        <v>200</v>
      </c>
      <c r="L92" s="58">
        <f>J92+K92</f>
        <v>3139</v>
      </c>
      <c r="M92" s="103" t="s">
        <v>157</v>
      </c>
      <c r="N92" s="214" t="s">
        <v>93</v>
      </c>
      <c r="O92" s="40" t="s">
        <v>43</v>
      </c>
      <c r="P92" s="53" t="s">
        <v>158</v>
      </c>
      <c r="Q92" s="243"/>
      <c r="R92" s="243"/>
      <c r="S92" s="243"/>
    </row>
    <row r="94" spans="2:20" ht="15.6" x14ac:dyDescent="0.3">
      <c r="B94" s="5" t="s">
        <v>32</v>
      </c>
      <c r="C94" s="6"/>
      <c r="D94" s="6"/>
      <c r="E94" s="6"/>
      <c r="F94" s="6"/>
      <c r="G94" s="6"/>
      <c r="H94" s="6"/>
      <c r="I94" s="6"/>
      <c r="J94" s="6"/>
      <c r="K94" s="6"/>
      <c r="L94" s="6"/>
      <c r="M94" s="6"/>
      <c r="N94" s="6"/>
      <c r="O94" s="6"/>
      <c r="P94" s="6"/>
      <c r="Q94" s="6"/>
      <c r="R94" s="6"/>
      <c r="S94" s="6"/>
      <c r="T94" s="6"/>
    </row>
    <row r="95" spans="2:20" x14ac:dyDescent="0.3">
      <c r="B95" s="282" t="s">
        <v>33</v>
      </c>
      <c r="C95" s="282"/>
      <c r="D95" s="282"/>
      <c r="E95" s="282"/>
      <c r="F95" s="282"/>
      <c r="G95" s="282"/>
      <c r="H95" s="282"/>
      <c r="I95" s="282"/>
      <c r="J95" s="282"/>
      <c r="K95" s="282"/>
      <c r="L95" s="282"/>
      <c r="M95" s="282"/>
      <c r="N95" s="282"/>
      <c r="O95" s="282"/>
      <c r="P95" s="282"/>
      <c r="Q95" s="282"/>
      <c r="R95" s="282"/>
      <c r="S95" s="282"/>
      <c r="T95" s="282"/>
    </row>
    <row r="96" spans="2:20" x14ac:dyDescent="0.3">
      <c r="B96" s="282"/>
      <c r="C96" s="282"/>
      <c r="D96" s="282"/>
      <c r="E96" s="282"/>
      <c r="F96" s="282"/>
      <c r="G96" s="282"/>
      <c r="H96" s="282"/>
      <c r="I96" s="282"/>
      <c r="J96" s="282"/>
      <c r="K96" s="282"/>
      <c r="L96" s="282"/>
      <c r="M96" s="282"/>
      <c r="N96" s="282"/>
      <c r="O96" s="282"/>
      <c r="P96" s="282"/>
      <c r="Q96" s="282"/>
      <c r="R96" s="282"/>
      <c r="S96" s="282"/>
      <c r="T96" s="282"/>
    </row>
    <row r="97" spans="2:20" x14ac:dyDescent="0.3">
      <c r="B97" s="282"/>
      <c r="C97" s="282"/>
      <c r="D97" s="282"/>
      <c r="E97" s="282"/>
      <c r="F97" s="282"/>
      <c r="G97" s="282"/>
      <c r="H97" s="282"/>
      <c r="I97" s="282"/>
      <c r="J97" s="282"/>
      <c r="K97" s="282"/>
      <c r="L97" s="282"/>
      <c r="M97" s="282"/>
      <c r="N97" s="282"/>
      <c r="O97" s="282"/>
      <c r="P97" s="282"/>
      <c r="Q97" s="282"/>
      <c r="R97" s="282"/>
      <c r="S97" s="282"/>
      <c r="T97" s="282"/>
    </row>
    <row r="98" spans="2:20" x14ac:dyDescent="0.3">
      <c r="B98" s="282"/>
      <c r="C98" s="282"/>
      <c r="D98" s="282"/>
      <c r="E98" s="282"/>
      <c r="F98" s="282"/>
      <c r="G98" s="282"/>
      <c r="H98" s="282"/>
      <c r="I98" s="282"/>
      <c r="J98" s="282"/>
      <c r="K98" s="282"/>
      <c r="L98" s="282"/>
      <c r="M98" s="282"/>
      <c r="N98" s="282"/>
      <c r="O98" s="282"/>
      <c r="P98" s="282"/>
      <c r="Q98" s="282"/>
      <c r="R98" s="282"/>
      <c r="S98" s="282"/>
      <c r="T98" s="282"/>
    </row>
    <row r="108" spans="2:20" ht="15" thickBot="1" x14ac:dyDescent="0.35"/>
    <row r="109" spans="2:20" ht="28.8" x14ac:dyDescent="0.3">
      <c r="B109" s="221" t="s">
        <v>159</v>
      </c>
      <c r="C109" s="221"/>
      <c r="D109" s="221"/>
      <c r="E109" s="221"/>
      <c r="F109" s="221"/>
      <c r="G109" s="221"/>
      <c r="H109" s="221"/>
      <c r="I109" s="221"/>
      <c r="J109" s="221"/>
      <c r="K109" s="221"/>
      <c r="L109" s="221"/>
      <c r="M109" s="221"/>
      <c r="N109" s="221"/>
      <c r="O109" s="221"/>
      <c r="P109" s="221"/>
      <c r="Q109" s="221"/>
    </row>
    <row r="110" spans="2:20" ht="28.8" x14ac:dyDescent="0.3">
      <c r="B110" s="98" t="s">
        <v>1</v>
      </c>
      <c r="C110" s="223" t="s">
        <v>2</v>
      </c>
      <c r="D110" s="223"/>
      <c r="E110" s="8" t="s">
        <v>3</v>
      </c>
      <c r="F110" s="8" t="s">
        <v>4</v>
      </c>
      <c r="G110" s="8" t="s">
        <v>116</v>
      </c>
      <c r="H110" s="1" t="s">
        <v>52</v>
      </c>
      <c r="I110" s="93" t="s">
        <v>143</v>
      </c>
      <c r="J110" s="2" t="s">
        <v>9</v>
      </c>
      <c r="K110" s="2" t="s">
        <v>10</v>
      </c>
      <c r="L110" s="2" t="s">
        <v>11</v>
      </c>
      <c r="M110" s="8" t="s">
        <v>12</v>
      </c>
      <c r="N110" s="125" t="s">
        <v>13</v>
      </c>
      <c r="O110" s="125" t="s">
        <v>14</v>
      </c>
      <c r="P110" s="125" t="s">
        <v>144</v>
      </c>
      <c r="Q110" s="104" t="s">
        <v>145</v>
      </c>
    </row>
    <row r="111" spans="2:20" x14ac:dyDescent="0.3">
      <c r="B111" s="297" t="s">
        <v>160</v>
      </c>
      <c r="C111" s="242" t="s">
        <v>113</v>
      </c>
      <c r="D111" s="53" t="s">
        <v>17</v>
      </c>
      <c r="E111" s="83">
        <v>3350</v>
      </c>
      <c r="F111" s="56">
        <v>85</v>
      </c>
      <c r="G111" s="54">
        <v>215</v>
      </c>
      <c r="H111" s="54">
        <v>75</v>
      </c>
      <c r="I111" s="56">
        <v>150</v>
      </c>
      <c r="J111" s="58">
        <f>SUM(E111:I111)</f>
        <v>3875</v>
      </c>
      <c r="K111" s="56">
        <v>200</v>
      </c>
      <c r="L111" s="58">
        <f>SUM(J111:K111)</f>
        <v>4075</v>
      </c>
      <c r="M111" s="59" t="s">
        <v>161</v>
      </c>
      <c r="N111" s="214" t="s">
        <v>93</v>
      </c>
      <c r="O111" s="53" t="s">
        <v>46</v>
      </c>
      <c r="P111" s="94" t="s">
        <v>162</v>
      </c>
      <c r="Q111" s="105" t="s">
        <v>163</v>
      </c>
    </row>
    <row r="112" spans="2:20" x14ac:dyDescent="0.3">
      <c r="B112" s="297"/>
      <c r="C112" s="242"/>
      <c r="D112" s="53" t="s">
        <v>22</v>
      </c>
      <c r="E112" s="83">
        <v>4400</v>
      </c>
      <c r="F112" s="56">
        <v>85</v>
      </c>
      <c r="G112" s="54">
        <v>215</v>
      </c>
      <c r="H112" s="54">
        <v>75</v>
      </c>
      <c r="I112" s="56">
        <v>150</v>
      </c>
      <c r="J112" s="58">
        <f>SUM(E112:I112)</f>
        <v>4925</v>
      </c>
      <c r="K112" s="56">
        <v>200</v>
      </c>
      <c r="L112" s="58">
        <f>SUM(J112:K112)</f>
        <v>5125</v>
      </c>
      <c r="M112" s="59" t="s">
        <v>161</v>
      </c>
      <c r="N112" s="214" t="s">
        <v>93</v>
      </c>
      <c r="O112" s="53" t="s">
        <v>46</v>
      </c>
      <c r="P112" s="94" t="s">
        <v>162</v>
      </c>
      <c r="Q112" s="105" t="s">
        <v>163</v>
      </c>
    </row>
    <row r="121" spans="2:17" ht="15" thickBot="1" x14ac:dyDescent="0.35"/>
    <row r="122" spans="2:17" ht="28.8" x14ac:dyDescent="0.3">
      <c r="B122" s="221" t="s">
        <v>164</v>
      </c>
      <c r="C122" s="221"/>
      <c r="D122" s="221"/>
      <c r="E122" s="221"/>
      <c r="F122" s="221"/>
      <c r="G122" s="221"/>
      <c r="H122" s="221"/>
      <c r="I122" s="221"/>
      <c r="J122" s="221"/>
      <c r="K122" s="221"/>
      <c r="L122" s="221"/>
      <c r="M122" s="221"/>
      <c r="N122" s="221"/>
      <c r="O122" s="221"/>
      <c r="P122" s="221"/>
      <c r="Q122" s="221"/>
    </row>
    <row r="123" spans="2:17" ht="28.8" x14ac:dyDescent="0.3">
      <c r="B123" s="98" t="s">
        <v>1</v>
      </c>
      <c r="C123" s="223" t="s">
        <v>2</v>
      </c>
      <c r="D123" s="223"/>
      <c r="E123" s="8" t="s">
        <v>3</v>
      </c>
      <c r="F123" s="8" t="s">
        <v>4</v>
      </c>
      <c r="G123" s="8" t="s">
        <v>116</v>
      </c>
      <c r="H123" s="1" t="s">
        <v>52</v>
      </c>
      <c r="I123" s="93" t="s">
        <v>143</v>
      </c>
      <c r="J123" s="2" t="s">
        <v>9</v>
      </c>
      <c r="K123" s="2" t="s">
        <v>10</v>
      </c>
      <c r="L123" s="2" t="s">
        <v>11</v>
      </c>
      <c r="M123" s="8" t="s">
        <v>12</v>
      </c>
      <c r="N123" s="125" t="s">
        <v>13</v>
      </c>
      <c r="O123" s="125" t="s">
        <v>14</v>
      </c>
      <c r="P123" s="125" t="s">
        <v>144</v>
      </c>
      <c r="Q123" s="104" t="s">
        <v>145</v>
      </c>
    </row>
    <row r="124" spans="2:17" x14ac:dyDescent="0.3">
      <c r="B124" s="297" t="s">
        <v>165</v>
      </c>
      <c r="C124" s="242" t="s">
        <v>113</v>
      </c>
      <c r="D124" s="53" t="s">
        <v>17</v>
      </c>
      <c r="E124" s="54">
        <v>2575</v>
      </c>
      <c r="F124" s="54">
        <v>370</v>
      </c>
      <c r="G124" s="54">
        <v>150</v>
      </c>
      <c r="H124" s="54">
        <v>75</v>
      </c>
      <c r="I124" s="54">
        <v>150</v>
      </c>
      <c r="J124" s="54">
        <f>SUM(E124:I124)</f>
        <v>3320</v>
      </c>
      <c r="K124" s="54">
        <v>200</v>
      </c>
      <c r="L124" s="54">
        <f>SUM(J124:K124)</f>
        <v>3520</v>
      </c>
      <c r="M124" s="201">
        <v>30</v>
      </c>
      <c r="N124" s="214" t="s">
        <v>93</v>
      </c>
      <c r="O124" s="201" t="s">
        <v>39</v>
      </c>
      <c r="P124" s="94" t="s">
        <v>162</v>
      </c>
      <c r="Q124" s="202" t="s">
        <v>31</v>
      </c>
    </row>
    <row r="125" spans="2:17" x14ac:dyDescent="0.3">
      <c r="B125" s="297" t="s">
        <v>165</v>
      </c>
      <c r="C125" s="242" t="s">
        <v>113</v>
      </c>
      <c r="D125" s="53" t="s">
        <v>22</v>
      </c>
      <c r="E125" s="54">
        <v>3000</v>
      </c>
      <c r="F125" s="54">
        <v>370</v>
      </c>
      <c r="G125" s="54">
        <v>150</v>
      </c>
      <c r="H125" s="54">
        <v>75</v>
      </c>
      <c r="I125" s="54">
        <v>150</v>
      </c>
      <c r="J125" s="54">
        <f>SUM(E125:I125)</f>
        <v>3745</v>
      </c>
      <c r="K125" s="54">
        <v>200</v>
      </c>
      <c r="L125" s="54">
        <f>SUM(J125:K125)</f>
        <v>3945</v>
      </c>
      <c r="M125" s="201">
        <v>30</v>
      </c>
      <c r="N125" s="214" t="s">
        <v>93</v>
      </c>
      <c r="O125" s="201" t="s">
        <v>39</v>
      </c>
      <c r="P125" s="94" t="s">
        <v>162</v>
      </c>
      <c r="Q125" s="202" t="s">
        <v>31</v>
      </c>
    </row>
    <row r="126" spans="2:17" x14ac:dyDescent="0.3">
      <c r="B126" s="297" t="s">
        <v>166</v>
      </c>
      <c r="C126" s="242" t="s">
        <v>113</v>
      </c>
      <c r="D126" s="53" t="s">
        <v>17</v>
      </c>
      <c r="E126" s="54">
        <f>CEILING((((1300+130+10+72+20+100)*1.15)-100)-150,50)</f>
        <v>1650</v>
      </c>
      <c r="F126" s="54">
        <v>100</v>
      </c>
      <c r="G126" s="54">
        <v>215</v>
      </c>
      <c r="H126" s="54">
        <v>75</v>
      </c>
      <c r="I126" s="54">
        <v>150</v>
      </c>
      <c r="J126" s="54">
        <f>SUM(E126:I126)</f>
        <v>2190</v>
      </c>
      <c r="K126" s="54">
        <v>200</v>
      </c>
      <c r="L126" s="54">
        <f>SUM(J126:K126)</f>
        <v>2390</v>
      </c>
      <c r="M126" s="59">
        <v>30</v>
      </c>
      <c r="N126" s="214" t="s">
        <v>93</v>
      </c>
      <c r="O126" s="59" t="s">
        <v>62</v>
      </c>
      <c r="P126" s="94" t="s">
        <v>162</v>
      </c>
      <c r="Q126" s="202" t="s">
        <v>163</v>
      </c>
    </row>
    <row r="127" spans="2:17" x14ac:dyDescent="0.3">
      <c r="B127" s="297"/>
      <c r="C127" s="242"/>
      <c r="D127" s="53" t="s">
        <v>22</v>
      </c>
      <c r="E127" s="54">
        <f>CEILING((((1400+260+10+72+20+150)*1.15)-150)-150,50)</f>
        <v>1900</v>
      </c>
      <c r="F127" s="54">
        <v>150</v>
      </c>
      <c r="G127" s="54">
        <v>215</v>
      </c>
      <c r="H127" s="54">
        <v>75</v>
      </c>
      <c r="I127" s="54">
        <v>150</v>
      </c>
      <c r="J127" s="54">
        <f>SUM(E127:I127)</f>
        <v>2490</v>
      </c>
      <c r="K127" s="54">
        <v>200</v>
      </c>
      <c r="L127" s="54">
        <f>SUM(J127:K127)</f>
        <v>2690</v>
      </c>
      <c r="M127" s="59">
        <v>30</v>
      </c>
      <c r="N127" s="214" t="s">
        <v>93</v>
      </c>
      <c r="O127" s="59" t="s">
        <v>62</v>
      </c>
      <c r="P127" s="94" t="s">
        <v>162</v>
      </c>
      <c r="Q127" s="105" t="s">
        <v>163</v>
      </c>
    </row>
  </sheetData>
  <mergeCells count="58">
    <mergeCell ref="P58:P61"/>
    <mergeCell ref="P62:P65"/>
    <mergeCell ref="B11:B12"/>
    <mergeCell ref="C11:C12"/>
    <mergeCell ref="B62:B63"/>
    <mergeCell ref="B15:B16"/>
    <mergeCell ref="C15:C16"/>
    <mergeCell ref="B17:B18"/>
    <mergeCell ref="C17:C18"/>
    <mergeCell ref="B36:B37"/>
    <mergeCell ref="C36:C37"/>
    <mergeCell ref="P36:R37"/>
    <mergeCell ref="B9:Q9"/>
    <mergeCell ref="C62:C63"/>
    <mergeCell ref="B13:B14"/>
    <mergeCell ref="C13:C14"/>
    <mergeCell ref="B58:B59"/>
    <mergeCell ref="C58:C59"/>
    <mergeCell ref="B43:S46"/>
    <mergeCell ref="B56:Q56"/>
    <mergeCell ref="C57:D57"/>
    <mergeCell ref="B34:R34"/>
    <mergeCell ref="C35:D35"/>
    <mergeCell ref="P35:R35"/>
    <mergeCell ref="P38:R38"/>
    <mergeCell ref="B60:B61"/>
    <mergeCell ref="C60:C61"/>
    <mergeCell ref="C10:D10"/>
    <mergeCell ref="Q90:S90"/>
    <mergeCell ref="B89:S89"/>
    <mergeCell ref="C90:D90"/>
    <mergeCell ref="C67:D67"/>
    <mergeCell ref="B64:B65"/>
    <mergeCell ref="C64:C65"/>
    <mergeCell ref="B66:Q66"/>
    <mergeCell ref="C71:D71"/>
    <mergeCell ref="B77:T80"/>
    <mergeCell ref="B68:B69"/>
    <mergeCell ref="B70:Q70"/>
    <mergeCell ref="B72:B73"/>
    <mergeCell ref="P68:P69"/>
    <mergeCell ref="P72:P73"/>
    <mergeCell ref="B126:B127"/>
    <mergeCell ref="C126:C127"/>
    <mergeCell ref="B124:B125"/>
    <mergeCell ref="C124:C125"/>
    <mergeCell ref="B20:R20"/>
    <mergeCell ref="B21:R24"/>
    <mergeCell ref="B111:B112"/>
    <mergeCell ref="C111:C112"/>
    <mergeCell ref="B91:B92"/>
    <mergeCell ref="C91:C92"/>
    <mergeCell ref="Q91:S92"/>
    <mergeCell ref="B95:T98"/>
    <mergeCell ref="B109:Q109"/>
    <mergeCell ref="C110:D110"/>
    <mergeCell ref="B122:Q122"/>
    <mergeCell ref="C123:D123"/>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10"/>
  <sheetViews>
    <sheetView topLeftCell="C1" zoomScale="80" zoomScaleNormal="80" zoomScaleSheetLayoutView="100" workbookViewId="0">
      <selection activeCell="S1" sqref="S1:S1048576"/>
    </sheetView>
  </sheetViews>
  <sheetFormatPr defaultColWidth="9.109375" defaultRowHeight="14.4" x14ac:dyDescent="0.3"/>
  <cols>
    <col min="1" max="1" width="9.109375" style="19"/>
    <col min="2" max="2" width="28.6640625" style="19" customWidth="1"/>
    <col min="3" max="3" width="15.88671875" style="19" customWidth="1"/>
    <col min="4" max="4" width="4.5546875" style="19" bestFit="1" customWidth="1"/>
    <col min="5" max="5" width="12.33203125" style="19" bestFit="1" customWidth="1"/>
    <col min="6" max="6" width="10.6640625" style="19" bestFit="1" customWidth="1"/>
    <col min="7" max="7" width="12.33203125" style="19" bestFit="1" customWidth="1"/>
    <col min="8" max="8" width="13.6640625" style="19" customWidth="1"/>
    <col min="9" max="9" width="14.109375" style="19" bestFit="1" customWidth="1"/>
    <col min="10" max="10" width="13" style="19" bestFit="1" customWidth="1"/>
    <col min="11" max="11" width="15.88671875" style="19" customWidth="1"/>
    <col min="12" max="13" width="13.5546875" style="19" customWidth="1"/>
    <col min="14" max="14" width="15.33203125" style="19" customWidth="1"/>
    <col min="15" max="15" width="12.6640625" style="19" customWidth="1"/>
    <col min="16" max="16" width="11.44140625" style="19" customWidth="1"/>
    <col min="17" max="17" width="25.6640625" style="19" customWidth="1"/>
    <col min="18" max="18" width="17" style="19" customWidth="1"/>
    <col min="19" max="16384" width="9.109375" style="19"/>
  </cols>
  <sheetData>
    <row r="8" spans="2:18" x14ac:dyDescent="0.3">
      <c r="B8" s="127"/>
      <c r="C8" s="127"/>
      <c r="D8" s="333"/>
      <c r="E8" s="333"/>
      <c r="F8" s="127"/>
      <c r="G8" s="127"/>
      <c r="H8" s="127"/>
      <c r="I8" s="127"/>
      <c r="J8" s="127"/>
      <c r="K8" s="127"/>
      <c r="L8" s="127"/>
      <c r="M8" s="127"/>
      <c r="N8" s="127"/>
      <c r="O8" s="127"/>
      <c r="P8" s="127"/>
      <c r="Q8" s="127"/>
      <c r="R8" s="127"/>
    </row>
    <row r="9" spans="2:18" ht="28.8" x14ac:dyDescent="0.55000000000000004">
      <c r="B9" s="336" t="s">
        <v>167</v>
      </c>
      <c r="C9" s="336"/>
      <c r="D9" s="336"/>
      <c r="E9" s="336"/>
      <c r="F9" s="336"/>
      <c r="G9" s="336"/>
      <c r="H9" s="336"/>
      <c r="I9" s="336"/>
      <c r="J9" s="336"/>
      <c r="K9" s="336"/>
      <c r="L9" s="336"/>
      <c r="M9" s="336"/>
      <c r="N9" s="336"/>
      <c r="O9" s="336"/>
      <c r="P9" s="336"/>
    </row>
    <row r="10" spans="2:18" ht="28.8" x14ac:dyDescent="0.3">
      <c r="B10" s="128" t="s">
        <v>1</v>
      </c>
      <c r="C10" s="334" t="s">
        <v>2</v>
      </c>
      <c r="D10" s="335"/>
      <c r="E10" s="12" t="s">
        <v>3</v>
      </c>
      <c r="F10" s="12" t="s">
        <v>4</v>
      </c>
      <c r="G10" s="13" t="s">
        <v>5</v>
      </c>
      <c r="H10" s="12" t="s">
        <v>168</v>
      </c>
      <c r="I10" s="13" t="s">
        <v>169</v>
      </c>
      <c r="J10" s="109" t="s">
        <v>121</v>
      </c>
      <c r="K10" s="13" t="s">
        <v>9</v>
      </c>
      <c r="L10" s="13" t="s">
        <v>10</v>
      </c>
      <c r="M10" s="13" t="s">
        <v>11</v>
      </c>
      <c r="N10" s="12" t="s">
        <v>12</v>
      </c>
      <c r="O10" s="12" t="s">
        <v>13</v>
      </c>
      <c r="P10" s="14" t="s">
        <v>14</v>
      </c>
      <c r="Q10" s="127"/>
    </row>
    <row r="11" spans="2:18" x14ac:dyDescent="0.3">
      <c r="B11" s="324" t="s">
        <v>170</v>
      </c>
      <c r="C11" s="324" t="s">
        <v>171</v>
      </c>
      <c r="D11" s="41" t="s">
        <v>17</v>
      </c>
      <c r="E11" s="38">
        <f>(2025)+500</f>
        <v>2525</v>
      </c>
      <c r="F11" s="38">
        <v>175</v>
      </c>
      <c r="G11" s="38">
        <v>85</v>
      </c>
      <c r="H11" s="38">
        <v>175</v>
      </c>
      <c r="I11" s="38">
        <v>75</v>
      </c>
      <c r="J11" s="152">
        <v>250</v>
      </c>
      <c r="K11" s="68">
        <f t="shared" ref="K11:K16" si="0">SUM(E11:J11)</f>
        <v>3285</v>
      </c>
      <c r="L11" s="38">
        <v>200</v>
      </c>
      <c r="M11" s="68">
        <f>K11+L11</f>
        <v>3485</v>
      </c>
      <c r="N11" s="41" t="s">
        <v>172</v>
      </c>
      <c r="O11" s="214" t="s">
        <v>20</v>
      </c>
      <c r="P11" s="45" t="s">
        <v>23</v>
      </c>
      <c r="Q11" s="127"/>
    </row>
    <row r="12" spans="2:18" x14ac:dyDescent="0.3">
      <c r="B12" s="325"/>
      <c r="C12" s="325"/>
      <c r="D12" s="41" t="s">
        <v>22</v>
      </c>
      <c r="E12" s="38">
        <f>(2850)+650</f>
        <v>3500</v>
      </c>
      <c r="F12" s="38">
        <v>235</v>
      </c>
      <c r="G12" s="38">
        <v>85</v>
      </c>
      <c r="H12" s="38">
        <v>175</v>
      </c>
      <c r="I12" s="38">
        <v>150</v>
      </c>
      <c r="J12" s="152">
        <v>500</v>
      </c>
      <c r="K12" s="68">
        <f t="shared" si="0"/>
        <v>4645</v>
      </c>
      <c r="L12" s="38">
        <v>200</v>
      </c>
      <c r="M12" s="68">
        <f t="shared" ref="M12:M16" si="1">K12+L12</f>
        <v>4845</v>
      </c>
      <c r="N12" s="41" t="s">
        <v>172</v>
      </c>
      <c r="O12" s="214" t="s">
        <v>20</v>
      </c>
      <c r="P12" s="69" t="s">
        <v>23</v>
      </c>
      <c r="Q12" s="127"/>
    </row>
    <row r="13" spans="2:18" x14ac:dyDescent="0.3">
      <c r="B13" s="324" t="s">
        <v>173</v>
      </c>
      <c r="C13" s="324" t="s">
        <v>171</v>
      </c>
      <c r="D13" s="41" t="s">
        <v>17</v>
      </c>
      <c r="E13" s="38">
        <f>(2725)+500</f>
        <v>3225</v>
      </c>
      <c r="F13" s="38">
        <v>175</v>
      </c>
      <c r="G13" s="38">
        <v>85</v>
      </c>
      <c r="H13" s="38">
        <v>175</v>
      </c>
      <c r="I13" s="38">
        <v>75</v>
      </c>
      <c r="J13" s="152">
        <v>250</v>
      </c>
      <c r="K13" s="68">
        <f t="shared" si="0"/>
        <v>3985</v>
      </c>
      <c r="L13" s="38">
        <v>200</v>
      </c>
      <c r="M13" s="68">
        <f t="shared" si="1"/>
        <v>4185</v>
      </c>
      <c r="N13" s="41" t="s">
        <v>174</v>
      </c>
      <c r="O13" s="214" t="s">
        <v>20</v>
      </c>
      <c r="P13" s="69" t="s">
        <v>23</v>
      </c>
      <c r="Q13" s="127"/>
    </row>
    <row r="14" spans="2:18" x14ac:dyDescent="0.3">
      <c r="B14" s="325"/>
      <c r="C14" s="325"/>
      <c r="D14" s="41" t="s">
        <v>22</v>
      </c>
      <c r="E14" s="38">
        <f>(4025)+600</f>
        <v>4625</v>
      </c>
      <c r="F14" s="38">
        <v>235</v>
      </c>
      <c r="G14" s="38">
        <v>85</v>
      </c>
      <c r="H14" s="38">
        <v>175</v>
      </c>
      <c r="I14" s="38">
        <v>150</v>
      </c>
      <c r="J14" s="152">
        <v>500</v>
      </c>
      <c r="K14" s="68">
        <f t="shared" si="0"/>
        <v>5770</v>
      </c>
      <c r="L14" s="38">
        <v>200</v>
      </c>
      <c r="M14" s="68">
        <f t="shared" si="1"/>
        <v>5970</v>
      </c>
      <c r="N14" s="41" t="s">
        <v>149</v>
      </c>
      <c r="O14" s="214" t="s">
        <v>20</v>
      </c>
      <c r="P14" s="69" t="s">
        <v>23</v>
      </c>
      <c r="Q14" s="127"/>
    </row>
    <row r="15" spans="2:18" x14ac:dyDescent="0.3">
      <c r="B15" s="324" t="s">
        <v>127</v>
      </c>
      <c r="C15" s="324" t="s">
        <v>171</v>
      </c>
      <c r="D15" s="41" t="s">
        <v>17</v>
      </c>
      <c r="E15" s="38">
        <f>(2725)+500</f>
        <v>3225</v>
      </c>
      <c r="F15" s="38">
        <v>175</v>
      </c>
      <c r="G15" s="38">
        <v>85</v>
      </c>
      <c r="H15" s="38">
        <v>175</v>
      </c>
      <c r="I15" s="38">
        <v>75</v>
      </c>
      <c r="J15" s="152">
        <v>250</v>
      </c>
      <c r="K15" s="68">
        <f t="shared" si="0"/>
        <v>3985</v>
      </c>
      <c r="L15" s="38">
        <v>200</v>
      </c>
      <c r="M15" s="68">
        <f t="shared" si="1"/>
        <v>4185</v>
      </c>
      <c r="N15" s="41" t="s">
        <v>149</v>
      </c>
      <c r="O15" s="214" t="s">
        <v>20</v>
      </c>
      <c r="P15" s="69" t="s">
        <v>23</v>
      </c>
      <c r="Q15" s="127"/>
    </row>
    <row r="16" spans="2:18" x14ac:dyDescent="0.3">
      <c r="B16" s="325"/>
      <c r="C16" s="325"/>
      <c r="D16" s="41" t="s">
        <v>22</v>
      </c>
      <c r="E16" s="38">
        <f>(4025)+600</f>
        <v>4625</v>
      </c>
      <c r="F16" s="38">
        <v>235</v>
      </c>
      <c r="G16" s="38">
        <v>85</v>
      </c>
      <c r="H16" s="38">
        <v>175</v>
      </c>
      <c r="I16" s="38">
        <v>150</v>
      </c>
      <c r="J16" s="152">
        <v>500</v>
      </c>
      <c r="K16" s="68">
        <f t="shared" si="0"/>
        <v>5770</v>
      </c>
      <c r="L16" s="38">
        <v>200</v>
      </c>
      <c r="M16" s="68">
        <f t="shared" si="1"/>
        <v>5970</v>
      </c>
      <c r="N16" s="41" t="s">
        <v>27</v>
      </c>
      <c r="O16" s="214" t="s">
        <v>20</v>
      </c>
      <c r="P16" s="69" t="s">
        <v>23</v>
      </c>
      <c r="Q16" s="127"/>
    </row>
    <row r="17" spans="2:17" x14ac:dyDescent="0.3">
      <c r="B17" s="27"/>
      <c r="C17" s="61"/>
      <c r="E17" s="67"/>
      <c r="F17" s="63"/>
      <c r="G17" s="63"/>
      <c r="H17" s="63"/>
      <c r="I17" s="64"/>
      <c r="J17" s="62"/>
      <c r="K17" s="64"/>
      <c r="L17" s="64"/>
      <c r="M17" s="65"/>
      <c r="N17" s="34"/>
    </row>
    <row r="18" spans="2:17" ht="15.6" x14ac:dyDescent="0.3">
      <c r="B18" s="329" t="s">
        <v>32</v>
      </c>
      <c r="C18" s="330"/>
      <c r="D18" s="330"/>
      <c r="E18" s="330"/>
      <c r="F18" s="330"/>
      <c r="G18" s="330"/>
      <c r="H18" s="330"/>
      <c r="I18" s="330"/>
      <c r="J18" s="330"/>
      <c r="K18" s="330"/>
      <c r="L18" s="330"/>
      <c r="M18" s="330"/>
      <c r="N18" s="330"/>
      <c r="O18" s="330"/>
      <c r="P18" s="331"/>
    </row>
    <row r="19" spans="2:17" ht="14.4" customHeight="1" x14ac:dyDescent="0.3">
      <c r="B19" s="301" t="s">
        <v>33</v>
      </c>
      <c r="C19" s="302"/>
      <c r="D19" s="302"/>
      <c r="E19" s="302"/>
      <c r="F19" s="302"/>
      <c r="G19" s="302"/>
      <c r="H19" s="302"/>
      <c r="I19" s="302"/>
      <c r="J19" s="302"/>
      <c r="K19" s="302"/>
      <c r="L19" s="302"/>
      <c r="M19" s="302"/>
      <c r="N19" s="302"/>
      <c r="O19" s="302"/>
      <c r="P19" s="303"/>
    </row>
    <row r="20" spans="2:17" x14ac:dyDescent="0.3">
      <c r="B20" s="304"/>
      <c r="C20" s="236"/>
      <c r="D20" s="236"/>
      <c r="E20" s="236"/>
      <c r="F20" s="236"/>
      <c r="G20" s="236"/>
      <c r="H20" s="236"/>
      <c r="I20" s="236"/>
      <c r="J20" s="236"/>
      <c r="K20" s="236"/>
      <c r="L20" s="236"/>
      <c r="M20" s="236"/>
      <c r="N20" s="236"/>
      <c r="O20" s="236"/>
      <c r="P20" s="305"/>
    </row>
    <row r="21" spans="2:17" x14ac:dyDescent="0.3">
      <c r="B21" s="304"/>
      <c r="C21" s="236"/>
      <c r="D21" s="236"/>
      <c r="E21" s="236"/>
      <c r="F21" s="236"/>
      <c r="G21" s="236"/>
      <c r="H21" s="236"/>
      <c r="I21" s="236"/>
      <c r="J21" s="236"/>
      <c r="K21" s="236"/>
      <c r="L21" s="236"/>
      <c r="M21" s="236"/>
      <c r="N21" s="236"/>
      <c r="O21" s="236"/>
      <c r="P21" s="305"/>
    </row>
    <row r="22" spans="2:17" x14ac:dyDescent="0.3">
      <c r="B22" s="306"/>
      <c r="C22" s="307"/>
      <c r="D22" s="307"/>
      <c r="E22" s="307"/>
      <c r="F22" s="307"/>
      <c r="G22" s="307"/>
      <c r="H22" s="307"/>
      <c r="I22" s="307"/>
      <c r="J22" s="307"/>
      <c r="K22" s="307"/>
      <c r="L22" s="307"/>
      <c r="M22" s="307"/>
      <c r="N22" s="307"/>
      <c r="O22" s="307"/>
      <c r="P22" s="308"/>
    </row>
    <row r="23" spans="2:17" x14ac:dyDescent="0.3">
      <c r="B23" s="27"/>
      <c r="C23" s="61"/>
      <c r="E23" s="67"/>
      <c r="F23" s="63"/>
      <c r="G23" s="63"/>
      <c r="H23" s="63"/>
      <c r="I23" s="64"/>
      <c r="J23" s="62"/>
      <c r="K23" s="64"/>
      <c r="L23" s="64"/>
      <c r="M23" s="65"/>
      <c r="N23" s="34"/>
    </row>
    <row r="24" spans="2:17" x14ac:dyDescent="0.3">
      <c r="B24" s="27"/>
      <c r="C24" s="61"/>
      <c r="D24" s="129"/>
      <c r="E24" s="67"/>
      <c r="F24" s="63"/>
      <c r="G24" s="63"/>
      <c r="H24" s="63"/>
      <c r="I24" s="64"/>
      <c r="J24" s="62"/>
      <c r="K24" s="64"/>
      <c r="L24" s="64"/>
      <c r="M24" s="65"/>
      <c r="N24" s="34"/>
    </row>
    <row r="25" spans="2:17" x14ac:dyDescent="0.3">
      <c r="B25" s="27"/>
      <c r="C25" s="61"/>
      <c r="E25" s="67"/>
      <c r="F25" s="63"/>
      <c r="G25" s="63"/>
      <c r="H25" s="63"/>
      <c r="I25" s="64"/>
      <c r="J25" s="62"/>
      <c r="K25" s="64"/>
      <c r="L25" s="64"/>
      <c r="M25" s="65"/>
      <c r="N25" s="34"/>
    </row>
    <row r="26" spans="2:17" x14ac:dyDescent="0.3">
      <c r="B26" s="27"/>
      <c r="C26" s="61"/>
      <c r="E26" s="67"/>
      <c r="F26" s="63"/>
      <c r="G26" s="63"/>
      <c r="H26" s="63"/>
      <c r="I26" s="64"/>
      <c r="J26" s="62"/>
      <c r="K26" s="64"/>
      <c r="L26" s="64"/>
      <c r="M26" s="65"/>
      <c r="N26" s="34"/>
    </row>
    <row r="27" spans="2:17" x14ac:dyDescent="0.3">
      <c r="B27" s="27"/>
      <c r="C27" s="61"/>
      <c r="E27" s="67"/>
      <c r="F27" s="63"/>
      <c r="G27" s="63"/>
      <c r="H27" s="63"/>
      <c r="I27" s="64"/>
      <c r="J27" s="62"/>
      <c r="K27" s="64"/>
      <c r="L27" s="64"/>
      <c r="M27" s="65"/>
      <c r="N27" s="34"/>
    </row>
    <row r="28" spans="2:17" x14ac:dyDescent="0.3">
      <c r="B28" s="27"/>
      <c r="C28" s="61"/>
      <c r="E28" s="67"/>
      <c r="F28" s="63"/>
      <c r="G28" s="63"/>
      <c r="H28" s="63"/>
      <c r="I28" s="64"/>
      <c r="J28" s="62"/>
      <c r="K28" s="64"/>
      <c r="L28" s="64"/>
      <c r="M28" s="65"/>
      <c r="N28" s="34"/>
    </row>
    <row r="29" spans="2:17" x14ac:dyDescent="0.3">
      <c r="B29" s="27"/>
      <c r="C29" s="61"/>
      <c r="E29" s="67"/>
      <c r="F29" s="63"/>
      <c r="G29" s="63"/>
      <c r="H29" s="63"/>
      <c r="I29" s="64"/>
      <c r="J29" s="62"/>
      <c r="K29" s="64"/>
      <c r="L29" s="64"/>
      <c r="M29" s="65"/>
      <c r="N29" s="34"/>
    </row>
    <row r="30" spans="2:17" x14ac:dyDescent="0.3">
      <c r="B30" s="27"/>
      <c r="C30" s="61"/>
      <c r="E30" s="67"/>
      <c r="F30" s="63"/>
      <c r="G30" s="63"/>
      <c r="H30" s="63"/>
      <c r="I30" s="64"/>
      <c r="J30" s="62"/>
      <c r="K30" s="64"/>
      <c r="L30" s="64"/>
      <c r="M30" s="65"/>
      <c r="N30" s="34"/>
    </row>
    <row r="31" spans="2:17" x14ac:dyDescent="0.3">
      <c r="B31" s="27"/>
      <c r="C31" s="61"/>
      <c r="E31" s="67"/>
      <c r="F31" s="63"/>
      <c r="G31" s="63"/>
      <c r="H31" s="63"/>
      <c r="I31" s="64"/>
      <c r="J31" s="62"/>
      <c r="K31" s="64"/>
      <c r="L31" s="64"/>
      <c r="M31" s="65"/>
      <c r="N31" s="34"/>
    </row>
    <row r="32" spans="2:17" ht="28.8" x14ac:dyDescent="0.55000000000000004">
      <c r="B32" s="326" t="s">
        <v>175</v>
      </c>
      <c r="C32" s="327"/>
      <c r="D32" s="327"/>
      <c r="E32" s="327"/>
      <c r="F32" s="327"/>
      <c r="G32" s="327"/>
      <c r="H32" s="327"/>
      <c r="I32" s="327"/>
      <c r="J32" s="327"/>
      <c r="K32" s="327"/>
      <c r="L32" s="327"/>
      <c r="M32" s="327"/>
      <c r="N32" s="327"/>
      <c r="O32" s="327"/>
      <c r="P32" s="327"/>
      <c r="Q32" s="328"/>
    </row>
    <row r="33" spans="2:17" ht="28.8" x14ac:dyDescent="0.3">
      <c r="B33" s="128" t="s">
        <v>1</v>
      </c>
      <c r="C33" s="332" t="s">
        <v>2</v>
      </c>
      <c r="D33" s="332"/>
      <c r="E33" s="128" t="s">
        <v>130</v>
      </c>
      <c r="F33" s="128" t="s">
        <v>131</v>
      </c>
      <c r="G33" s="11" t="s">
        <v>91</v>
      </c>
      <c r="H33" s="11" t="s">
        <v>176</v>
      </c>
      <c r="I33" s="11" t="s">
        <v>177</v>
      </c>
      <c r="J33" s="11" t="s">
        <v>9</v>
      </c>
      <c r="K33" s="11" t="s">
        <v>178</v>
      </c>
      <c r="L33" s="11" t="s">
        <v>11</v>
      </c>
      <c r="M33" s="128" t="s">
        <v>12</v>
      </c>
      <c r="N33" s="128" t="s">
        <v>13</v>
      </c>
      <c r="O33" s="128" t="s">
        <v>14</v>
      </c>
      <c r="P33" s="245" t="s">
        <v>36</v>
      </c>
      <c r="Q33" s="246"/>
    </row>
    <row r="34" spans="2:17" ht="14.4" customHeight="1" x14ac:dyDescent="0.3">
      <c r="B34" s="341" t="s">
        <v>179</v>
      </c>
      <c r="C34" s="342" t="s">
        <v>171</v>
      </c>
      <c r="D34" s="40" t="s">
        <v>17</v>
      </c>
      <c r="E34" s="36">
        <v>4600</v>
      </c>
      <c r="F34" s="38">
        <v>175</v>
      </c>
      <c r="G34" s="38">
        <v>85</v>
      </c>
      <c r="H34" s="36">
        <v>175</v>
      </c>
      <c r="I34" s="36">
        <v>75</v>
      </c>
      <c r="J34" s="107">
        <f>SUM(E34:I34)</f>
        <v>5110</v>
      </c>
      <c r="K34" s="36">
        <v>200</v>
      </c>
      <c r="L34" s="107">
        <f t="shared" ref="L34:L36" si="2">J34+K34</f>
        <v>5310</v>
      </c>
      <c r="M34" s="108">
        <v>35</v>
      </c>
      <c r="N34" s="214" t="s">
        <v>20</v>
      </c>
      <c r="O34" s="40" t="s">
        <v>43</v>
      </c>
      <c r="P34" s="267" t="s">
        <v>180</v>
      </c>
      <c r="Q34" s="268"/>
    </row>
    <row r="35" spans="2:17" x14ac:dyDescent="0.3">
      <c r="B35" s="341"/>
      <c r="C35" s="342"/>
      <c r="D35" s="40" t="s">
        <v>22</v>
      </c>
      <c r="E35" s="36">
        <v>4950</v>
      </c>
      <c r="F35" s="38">
        <v>235</v>
      </c>
      <c r="G35" s="38">
        <v>85</v>
      </c>
      <c r="H35" s="36">
        <v>175</v>
      </c>
      <c r="I35" s="36">
        <v>150</v>
      </c>
      <c r="J35" s="107">
        <f t="shared" ref="J35" si="3">SUM(E35:I35)</f>
        <v>5595</v>
      </c>
      <c r="K35" s="36">
        <v>200</v>
      </c>
      <c r="L35" s="107">
        <f t="shared" si="2"/>
        <v>5795</v>
      </c>
      <c r="M35" s="108">
        <v>35</v>
      </c>
      <c r="N35" s="214" t="s">
        <v>20</v>
      </c>
      <c r="O35" s="40" t="s">
        <v>43</v>
      </c>
      <c r="P35" s="321"/>
      <c r="Q35" s="323"/>
    </row>
    <row r="36" spans="2:17" x14ac:dyDescent="0.3">
      <c r="B36" s="121" t="s">
        <v>181</v>
      </c>
      <c r="C36" s="40" t="s">
        <v>171</v>
      </c>
      <c r="D36" s="40" t="s">
        <v>17</v>
      </c>
      <c r="E36" s="144">
        <v>4400</v>
      </c>
      <c r="F36" s="36" t="s">
        <v>182</v>
      </c>
      <c r="G36" s="36">
        <v>175</v>
      </c>
      <c r="H36" s="36">
        <v>175</v>
      </c>
      <c r="I36" s="36">
        <v>75</v>
      </c>
      <c r="J36" s="107">
        <f>SUM(E36:I36)</f>
        <v>4825</v>
      </c>
      <c r="K36" s="36">
        <v>200</v>
      </c>
      <c r="L36" s="107">
        <f t="shared" si="2"/>
        <v>5025</v>
      </c>
      <c r="M36" s="108">
        <v>35</v>
      </c>
      <c r="N36" s="214" t="s">
        <v>20</v>
      </c>
      <c r="O36" s="40" t="s">
        <v>43</v>
      </c>
      <c r="P36" s="269"/>
      <c r="Q36" s="270"/>
    </row>
    <row r="37" spans="2:17" x14ac:dyDescent="0.3">
      <c r="B37" s="73"/>
      <c r="C37" s="127"/>
      <c r="D37" s="127"/>
      <c r="E37" s="43"/>
      <c r="F37" s="43"/>
      <c r="G37" s="43"/>
      <c r="H37" s="43"/>
      <c r="I37" s="43"/>
      <c r="J37" s="71"/>
      <c r="K37" s="43"/>
      <c r="L37" s="43"/>
      <c r="M37" s="71"/>
      <c r="N37" s="44"/>
      <c r="O37" s="72"/>
      <c r="P37" s="127"/>
    </row>
    <row r="38" spans="2:17" x14ac:dyDescent="0.3">
      <c r="B38" s="42"/>
      <c r="E38" s="43"/>
      <c r="F38" s="43"/>
      <c r="G38" s="43"/>
      <c r="H38" s="43"/>
      <c r="I38" s="64"/>
      <c r="J38" s="62"/>
      <c r="K38" s="64"/>
      <c r="L38" s="64"/>
      <c r="M38" s="127"/>
      <c r="N38" s="34"/>
      <c r="O38" s="127"/>
    </row>
    <row r="39" spans="2:17" ht="15.6" x14ac:dyDescent="0.3">
      <c r="B39" s="5" t="s">
        <v>32</v>
      </c>
      <c r="C39" s="6"/>
      <c r="D39" s="6"/>
      <c r="E39" s="6"/>
      <c r="F39" s="6"/>
      <c r="G39" s="6"/>
      <c r="H39" s="6"/>
      <c r="I39" s="6"/>
      <c r="J39" s="6"/>
      <c r="K39" s="6"/>
      <c r="L39" s="6"/>
      <c r="M39" s="6"/>
      <c r="N39" s="6"/>
      <c r="O39" s="6"/>
      <c r="P39" s="7"/>
    </row>
    <row r="40" spans="2:17" x14ac:dyDescent="0.3">
      <c r="B40" s="226" t="s">
        <v>33</v>
      </c>
      <c r="C40" s="227"/>
      <c r="D40" s="227"/>
      <c r="E40" s="227"/>
      <c r="F40" s="227"/>
      <c r="G40" s="227"/>
      <c r="H40" s="227"/>
      <c r="I40" s="227"/>
      <c r="J40" s="227"/>
      <c r="K40" s="227"/>
      <c r="L40" s="227"/>
      <c r="M40" s="227"/>
      <c r="N40" s="227"/>
      <c r="O40" s="227"/>
      <c r="P40" s="228"/>
    </row>
    <row r="41" spans="2:17" x14ac:dyDescent="0.3">
      <c r="B41" s="226"/>
      <c r="C41" s="227"/>
      <c r="D41" s="227"/>
      <c r="E41" s="227"/>
      <c r="F41" s="227"/>
      <c r="G41" s="227"/>
      <c r="H41" s="227"/>
      <c r="I41" s="227"/>
      <c r="J41" s="227"/>
      <c r="K41" s="227"/>
      <c r="L41" s="227"/>
      <c r="M41" s="227"/>
      <c r="N41" s="227"/>
      <c r="O41" s="227"/>
      <c r="P41" s="228"/>
    </row>
    <row r="42" spans="2:17" x14ac:dyDescent="0.3">
      <c r="B42" s="226"/>
      <c r="C42" s="227"/>
      <c r="D42" s="227"/>
      <c r="E42" s="227"/>
      <c r="F42" s="227"/>
      <c r="G42" s="227"/>
      <c r="H42" s="227"/>
      <c r="I42" s="227"/>
      <c r="J42" s="227"/>
      <c r="K42" s="227"/>
      <c r="L42" s="227"/>
      <c r="M42" s="227"/>
      <c r="N42" s="227"/>
      <c r="O42" s="227"/>
      <c r="P42" s="228"/>
    </row>
    <row r="43" spans="2:17" x14ac:dyDescent="0.3">
      <c r="B43" s="229"/>
      <c r="C43" s="230"/>
      <c r="D43" s="230"/>
      <c r="E43" s="230"/>
      <c r="F43" s="230"/>
      <c r="G43" s="230"/>
      <c r="H43" s="230"/>
      <c r="I43" s="230"/>
      <c r="J43" s="230"/>
      <c r="K43" s="230"/>
      <c r="L43" s="230"/>
      <c r="M43" s="230"/>
      <c r="N43" s="230"/>
      <c r="O43" s="230"/>
      <c r="P43" s="231"/>
    </row>
    <row r="44" spans="2:17" x14ac:dyDescent="0.3">
      <c r="B44" s="42"/>
      <c r="E44" s="43"/>
      <c r="F44" s="43"/>
      <c r="G44" s="43"/>
      <c r="H44" s="43"/>
      <c r="I44" s="64"/>
      <c r="J44" s="62"/>
      <c r="K44" s="64"/>
      <c r="L44" s="64"/>
      <c r="M44" s="127"/>
      <c r="N44" s="34"/>
      <c r="O44" s="127"/>
    </row>
    <row r="45" spans="2:17" x14ac:dyDescent="0.3">
      <c r="B45" s="42"/>
      <c r="E45" s="43"/>
      <c r="F45" s="43"/>
      <c r="G45" s="43"/>
      <c r="H45" s="43"/>
      <c r="I45" s="64"/>
      <c r="J45" s="62"/>
      <c r="K45" s="64"/>
      <c r="L45" s="64"/>
      <c r="M45" s="127"/>
      <c r="N45" s="34"/>
      <c r="O45" s="127"/>
    </row>
    <row r="46" spans="2:17" x14ac:dyDescent="0.3">
      <c r="B46" s="42"/>
      <c r="E46" s="43"/>
      <c r="F46" s="43"/>
      <c r="G46" s="43"/>
      <c r="H46" s="43"/>
      <c r="I46" s="64"/>
      <c r="J46" s="62"/>
      <c r="K46" s="64"/>
      <c r="L46" s="64"/>
      <c r="M46" s="127"/>
      <c r="N46" s="34"/>
      <c r="O46" s="127"/>
    </row>
    <row r="47" spans="2:17" x14ac:dyDescent="0.3">
      <c r="B47" s="42"/>
      <c r="E47" s="43"/>
      <c r="F47" s="43"/>
      <c r="G47" s="43"/>
      <c r="H47" s="43"/>
      <c r="I47" s="64"/>
      <c r="J47" s="62"/>
      <c r="K47" s="64"/>
      <c r="L47" s="64"/>
      <c r="M47" s="127"/>
      <c r="N47" s="34"/>
      <c r="O47" s="127"/>
    </row>
    <row r="48" spans="2:17" x14ac:dyDescent="0.3">
      <c r="B48" s="42"/>
      <c r="E48" s="43"/>
      <c r="F48" s="43"/>
      <c r="G48" s="43"/>
      <c r="H48" s="43"/>
      <c r="I48" s="64"/>
      <c r="J48" s="62"/>
      <c r="K48" s="64"/>
      <c r="L48" s="64"/>
      <c r="M48" s="127"/>
      <c r="N48" s="34"/>
      <c r="O48" s="127"/>
    </row>
    <row r="49" spans="2:17" x14ac:dyDescent="0.3">
      <c r="B49" s="42"/>
      <c r="E49" s="43"/>
      <c r="F49" s="43"/>
      <c r="G49" s="43"/>
      <c r="H49" s="43"/>
      <c r="I49" s="64"/>
      <c r="J49" s="62"/>
      <c r="K49" s="64"/>
      <c r="L49" s="64"/>
      <c r="M49" s="127"/>
      <c r="N49" s="34"/>
      <c r="O49" s="127"/>
    </row>
    <row r="50" spans="2:17" x14ac:dyDescent="0.3">
      <c r="B50" s="42"/>
      <c r="E50" s="43"/>
      <c r="F50" s="43"/>
      <c r="G50" s="43"/>
      <c r="H50" s="43"/>
      <c r="I50" s="64"/>
      <c r="J50" s="62"/>
      <c r="K50" s="64"/>
      <c r="L50" s="64"/>
      <c r="M50" s="127"/>
      <c r="N50" s="34"/>
      <c r="O50" s="127"/>
    </row>
    <row r="51" spans="2:17" ht="15" thickBot="1" x14ac:dyDescent="0.35">
      <c r="B51" s="42"/>
      <c r="E51" s="43"/>
      <c r="F51" s="43"/>
      <c r="G51" s="43"/>
      <c r="H51" s="43"/>
      <c r="I51" s="64"/>
      <c r="J51" s="62"/>
      <c r="K51" s="64"/>
      <c r="L51" s="64"/>
      <c r="M51" s="127"/>
      <c r="N51" s="34"/>
      <c r="O51" s="127"/>
    </row>
    <row r="52" spans="2:17" ht="28.8" x14ac:dyDescent="0.55000000000000004">
      <c r="B52" s="338" t="s">
        <v>183</v>
      </c>
      <c r="C52" s="339"/>
      <c r="D52" s="339"/>
      <c r="E52" s="339"/>
      <c r="F52" s="339"/>
      <c r="G52" s="339"/>
      <c r="H52" s="339"/>
      <c r="I52" s="339"/>
      <c r="J52" s="339"/>
      <c r="K52" s="339"/>
      <c r="L52" s="339"/>
      <c r="M52" s="339"/>
      <c r="N52" s="339"/>
      <c r="O52" s="339"/>
      <c r="P52" s="339"/>
      <c r="Q52" s="340"/>
    </row>
    <row r="53" spans="2:17" ht="28.8" x14ac:dyDescent="0.3">
      <c r="B53" s="98" t="s">
        <v>1</v>
      </c>
      <c r="C53" s="223" t="s">
        <v>2</v>
      </c>
      <c r="D53" s="223"/>
      <c r="E53" s="122" t="s">
        <v>3</v>
      </c>
      <c r="F53" s="122" t="s">
        <v>4</v>
      </c>
      <c r="G53" s="122" t="s">
        <v>176</v>
      </c>
      <c r="H53" s="122" t="s">
        <v>116</v>
      </c>
      <c r="I53" s="3" t="s">
        <v>177</v>
      </c>
      <c r="J53" s="3" t="s">
        <v>51</v>
      </c>
      <c r="K53" s="3" t="s">
        <v>9</v>
      </c>
      <c r="L53" s="3" t="s">
        <v>10</v>
      </c>
      <c r="M53" s="3" t="s">
        <v>11</v>
      </c>
      <c r="N53" s="3" t="s">
        <v>12</v>
      </c>
      <c r="O53" s="122" t="s">
        <v>13</v>
      </c>
      <c r="P53" s="122" t="s">
        <v>14</v>
      </c>
      <c r="Q53" s="123" t="s">
        <v>144</v>
      </c>
    </row>
    <row r="54" spans="2:17" ht="40.950000000000003" customHeight="1" x14ac:dyDescent="0.3">
      <c r="B54" s="224" t="s">
        <v>184</v>
      </c>
      <c r="C54" s="337" t="s">
        <v>171</v>
      </c>
      <c r="D54" s="53" t="s">
        <v>17</v>
      </c>
      <c r="E54" s="83">
        <f>CEILING((((10340+40+115)*1.12))-150,50)</f>
        <v>11650</v>
      </c>
      <c r="F54" s="56">
        <v>160</v>
      </c>
      <c r="G54" s="54">
        <v>175</v>
      </c>
      <c r="H54" s="54">
        <v>215</v>
      </c>
      <c r="I54" s="54">
        <v>75</v>
      </c>
      <c r="J54" s="54">
        <v>50</v>
      </c>
      <c r="K54" s="58">
        <f t="shared" ref="K54:K55" si="4">SUM(E54:J54)</f>
        <v>12325</v>
      </c>
      <c r="L54" s="56">
        <v>200</v>
      </c>
      <c r="M54" s="146">
        <f>SUM(K54:L54)</f>
        <v>12525</v>
      </c>
      <c r="N54" s="59" t="s">
        <v>185</v>
      </c>
      <c r="O54" s="214" t="s">
        <v>61</v>
      </c>
      <c r="P54" s="53" t="s">
        <v>62</v>
      </c>
      <c r="Q54" s="111" t="s">
        <v>186</v>
      </c>
    </row>
    <row r="55" spans="2:17" ht="42" customHeight="1" thickBot="1" x14ac:dyDescent="0.35">
      <c r="B55" s="224"/>
      <c r="C55" s="337"/>
      <c r="D55" s="53" t="s">
        <v>22</v>
      </c>
      <c r="E55" s="83">
        <f>CEILING((((10580+115)*1.12))-150,50)</f>
        <v>11850</v>
      </c>
      <c r="F55" s="56">
        <v>160</v>
      </c>
      <c r="G55" s="54">
        <v>175</v>
      </c>
      <c r="H55" s="54">
        <v>215</v>
      </c>
      <c r="I55" s="54">
        <v>150</v>
      </c>
      <c r="J55" s="54">
        <v>50</v>
      </c>
      <c r="K55" s="58">
        <f t="shared" si="4"/>
        <v>12600</v>
      </c>
      <c r="L55" s="56">
        <v>200</v>
      </c>
      <c r="M55" s="146">
        <f>SUM(K55:L55)</f>
        <v>12800</v>
      </c>
      <c r="N55" s="59" t="s">
        <v>185</v>
      </c>
      <c r="O55" s="214" t="s">
        <v>61</v>
      </c>
      <c r="P55" s="53" t="s">
        <v>62</v>
      </c>
      <c r="Q55" s="111" t="s">
        <v>186</v>
      </c>
    </row>
    <row r="56" spans="2:17" ht="28.8" x14ac:dyDescent="0.55000000000000004">
      <c r="B56" s="338" t="s">
        <v>187</v>
      </c>
      <c r="C56" s="339"/>
      <c r="D56" s="339"/>
      <c r="E56" s="339"/>
      <c r="F56" s="339"/>
      <c r="G56" s="339"/>
      <c r="H56" s="339"/>
      <c r="I56" s="339"/>
      <c r="J56" s="339"/>
      <c r="K56" s="339"/>
      <c r="L56" s="339"/>
      <c r="M56" s="339"/>
      <c r="N56" s="339"/>
      <c r="O56" s="339"/>
      <c r="P56" s="339"/>
      <c r="Q56" s="340"/>
    </row>
    <row r="57" spans="2:17" ht="28.8" x14ac:dyDescent="0.3">
      <c r="B57" s="98" t="s">
        <v>1</v>
      </c>
      <c r="C57" s="223" t="s">
        <v>2</v>
      </c>
      <c r="D57" s="223"/>
      <c r="E57" s="122" t="s">
        <v>3</v>
      </c>
      <c r="F57" s="122" t="s">
        <v>4</v>
      </c>
      <c r="G57" s="122" t="s">
        <v>176</v>
      </c>
      <c r="H57" s="122" t="s">
        <v>116</v>
      </c>
      <c r="I57" s="3" t="s">
        <v>177</v>
      </c>
      <c r="J57" s="3" t="s">
        <v>51</v>
      </c>
      <c r="K57" s="3" t="s">
        <v>9</v>
      </c>
      <c r="L57" s="3" t="s">
        <v>10</v>
      </c>
      <c r="M57" s="3" t="s">
        <v>11</v>
      </c>
      <c r="N57" s="3" t="s">
        <v>12</v>
      </c>
      <c r="O57" s="122" t="s">
        <v>13</v>
      </c>
      <c r="P57" s="122" t="s">
        <v>14</v>
      </c>
      <c r="Q57" s="123" t="s">
        <v>144</v>
      </c>
    </row>
    <row r="58" spans="2:17" ht="28.95" customHeight="1" x14ac:dyDescent="0.3">
      <c r="B58" s="224" t="s">
        <v>76</v>
      </c>
      <c r="C58" s="337" t="s">
        <v>171</v>
      </c>
      <c r="D58" s="53" t="s">
        <v>17</v>
      </c>
      <c r="E58" s="83">
        <f>CEILING((((10840+40+115)*1.12))-150,50)</f>
        <v>12200</v>
      </c>
      <c r="F58" s="150">
        <v>130</v>
      </c>
      <c r="G58" s="151">
        <v>175</v>
      </c>
      <c r="H58" s="151">
        <v>275</v>
      </c>
      <c r="I58" s="151">
        <v>75</v>
      </c>
      <c r="J58" s="151">
        <v>50</v>
      </c>
      <c r="K58" s="146">
        <f t="shared" ref="K58:K59" si="5">SUM(E58:J58)</f>
        <v>12905</v>
      </c>
      <c r="L58" s="145">
        <v>200</v>
      </c>
      <c r="M58" s="146">
        <f>SUM(K58:L58)</f>
        <v>13105</v>
      </c>
      <c r="N58" s="147" t="s">
        <v>185</v>
      </c>
      <c r="O58" s="214" t="s">
        <v>61</v>
      </c>
      <c r="P58" s="53" t="s">
        <v>62</v>
      </c>
      <c r="Q58" s="346" t="s">
        <v>188</v>
      </c>
    </row>
    <row r="59" spans="2:17" x14ac:dyDescent="0.3">
      <c r="B59" s="224"/>
      <c r="C59" s="337"/>
      <c r="D59" s="53" t="s">
        <v>22</v>
      </c>
      <c r="E59" s="83">
        <f>CEILING((((11080+80+115)*1.12))-150,50)</f>
        <v>12500</v>
      </c>
      <c r="F59" s="150">
        <v>160</v>
      </c>
      <c r="G59" s="151">
        <v>175</v>
      </c>
      <c r="H59" s="151">
        <v>275</v>
      </c>
      <c r="I59" s="151">
        <v>150</v>
      </c>
      <c r="J59" s="151">
        <v>50</v>
      </c>
      <c r="K59" s="146">
        <f t="shared" si="5"/>
        <v>13310</v>
      </c>
      <c r="L59" s="145">
        <v>200</v>
      </c>
      <c r="M59" s="146">
        <f>SUM(K59:L59)</f>
        <v>13510</v>
      </c>
      <c r="N59" s="147" t="s">
        <v>185</v>
      </c>
      <c r="O59" s="214" t="s">
        <v>61</v>
      </c>
      <c r="P59" s="53" t="s">
        <v>62</v>
      </c>
      <c r="Q59" s="347"/>
    </row>
    <row r="60" spans="2:17" ht="28.8" x14ac:dyDescent="0.55000000000000004">
      <c r="B60" s="343" t="s">
        <v>189</v>
      </c>
      <c r="C60" s="327"/>
      <c r="D60" s="327"/>
      <c r="E60" s="327"/>
      <c r="F60" s="327"/>
      <c r="G60" s="327"/>
      <c r="H60" s="327"/>
      <c r="I60" s="327"/>
      <c r="J60" s="327"/>
      <c r="K60" s="327"/>
      <c r="L60" s="327"/>
      <c r="M60" s="327"/>
      <c r="N60" s="327"/>
      <c r="O60" s="327"/>
      <c r="P60" s="327"/>
      <c r="Q60" s="344"/>
    </row>
    <row r="61" spans="2:17" ht="28.8" x14ac:dyDescent="0.3">
      <c r="B61" s="110" t="s">
        <v>1</v>
      </c>
      <c r="C61" s="309" t="s">
        <v>2</v>
      </c>
      <c r="D61" s="309"/>
      <c r="E61" s="8" t="s">
        <v>3</v>
      </c>
      <c r="F61" s="1" t="s">
        <v>4</v>
      </c>
      <c r="G61" s="9" t="s">
        <v>176</v>
      </c>
      <c r="H61" s="9" t="s">
        <v>116</v>
      </c>
      <c r="I61" s="3" t="s">
        <v>177</v>
      </c>
      <c r="J61" s="2" t="s">
        <v>51</v>
      </c>
      <c r="K61" s="2" t="s">
        <v>9</v>
      </c>
      <c r="L61" s="2" t="s">
        <v>10</v>
      </c>
      <c r="M61" s="2" t="s">
        <v>11</v>
      </c>
      <c r="N61" s="8" t="s">
        <v>12</v>
      </c>
      <c r="O61" s="9" t="s">
        <v>13</v>
      </c>
      <c r="P61" s="125" t="s">
        <v>14</v>
      </c>
      <c r="Q61" s="104" t="s">
        <v>144</v>
      </c>
    </row>
    <row r="62" spans="2:17" ht="14.4" customHeight="1" x14ac:dyDescent="0.3">
      <c r="B62" s="345" t="s">
        <v>190</v>
      </c>
      <c r="C62" s="337" t="s">
        <v>171</v>
      </c>
      <c r="D62" s="53" t="s">
        <v>17</v>
      </c>
      <c r="E62" s="83">
        <f>CEILING((((10840+40+115)*1.12))-150,50)</f>
        <v>12200</v>
      </c>
      <c r="F62" s="150">
        <v>130</v>
      </c>
      <c r="G62" s="151">
        <v>175</v>
      </c>
      <c r="H62" s="151">
        <v>275</v>
      </c>
      <c r="I62" s="151">
        <v>75</v>
      </c>
      <c r="J62" s="151">
        <v>50</v>
      </c>
      <c r="K62" s="146">
        <f t="shared" ref="K62:K63" si="6">SUM(E62:J62)</f>
        <v>12905</v>
      </c>
      <c r="L62" s="145">
        <v>200</v>
      </c>
      <c r="M62" s="146">
        <f>SUM(K62:L62)</f>
        <v>13105</v>
      </c>
      <c r="N62" s="147" t="s">
        <v>185</v>
      </c>
      <c r="O62" s="214" t="s">
        <v>61</v>
      </c>
      <c r="P62" s="53" t="s">
        <v>62</v>
      </c>
      <c r="Q62" s="346" t="s">
        <v>188</v>
      </c>
    </row>
    <row r="63" spans="2:17" x14ac:dyDescent="0.3">
      <c r="B63" s="345"/>
      <c r="C63" s="337"/>
      <c r="D63" s="53" t="s">
        <v>22</v>
      </c>
      <c r="E63" s="83">
        <f>CEILING((((11080+80+115)*1.12))-150,50)</f>
        <v>12500</v>
      </c>
      <c r="F63" s="150">
        <v>160</v>
      </c>
      <c r="G63" s="151">
        <v>175</v>
      </c>
      <c r="H63" s="151">
        <v>275</v>
      </c>
      <c r="I63" s="151">
        <v>150</v>
      </c>
      <c r="J63" s="151">
        <v>50</v>
      </c>
      <c r="K63" s="146">
        <f t="shared" si="6"/>
        <v>13310</v>
      </c>
      <c r="L63" s="145">
        <v>200</v>
      </c>
      <c r="M63" s="146">
        <f>SUM(K63:L63)</f>
        <v>13510</v>
      </c>
      <c r="N63" s="147" t="s">
        <v>185</v>
      </c>
      <c r="O63" s="214" t="s">
        <v>61</v>
      </c>
      <c r="P63" s="53" t="s">
        <v>62</v>
      </c>
      <c r="Q63" s="347"/>
    </row>
    <row r="64" spans="2:17" ht="28.8" x14ac:dyDescent="0.55000000000000004">
      <c r="B64" s="343" t="s">
        <v>191</v>
      </c>
      <c r="C64" s="327"/>
      <c r="D64" s="327"/>
      <c r="E64" s="327"/>
      <c r="F64" s="327"/>
      <c r="G64" s="327"/>
      <c r="H64" s="327"/>
      <c r="I64" s="327"/>
      <c r="J64" s="327"/>
      <c r="K64" s="327"/>
      <c r="L64" s="327"/>
      <c r="M64" s="327"/>
      <c r="N64" s="327"/>
      <c r="O64" s="327"/>
      <c r="P64" s="327"/>
      <c r="Q64" s="344"/>
    </row>
    <row r="65" spans="2:18" ht="28.8" x14ac:dyDescent="0.3">
      <c r="B65" s="110" t="s">
        <v>1</v>
      </c>
      <c r="C65" s="309" t="s">
        <v>2</v>
      </c>
      <c r="D65" s="309"/>
      <c r="E65" s="8" t="s">
        <v>3</v>
      </c>
      <c r="F65" s="1" t="s">
        <v>4</v>
      </c>
      <c r="G65" s="9" t="s">
        <v>176</v>
      </c>
      <c r="H65" s="9" t="s">
        <v>116</v>
      </c>
      <c r="I65" s="3" t="s">
        <v>177</v>
      </c>
      <c r="J65" s="2" t="s">
        <v>51</v>
      </c>
      <c r="K65" s="2" t="s">
        <v>9</v>
      </c>
      <c r="L65" s="2" t="s">
        <v>10</v>
      </c>
      <c r="M65" s="2" t="s">
        <v>11</v>
      </c>
      <c r="N65" s="8" t="s">
        <v>12</v>
      </c>
      <c r="O65" s="9" t="s">
        <v>13</v>
      </c>
      <c r="P65" s="125" t="s">
        <v>14</v>
      </c>
      <c r="Q65" s="104" t="s">
        <v>144</v>
      </c>
    </row>
    <row r="66" spans="2:18" x14ac:dyDescent="0.3">
      <c r="B66" s="345" t="s">
        <v>192</v>
      </c>
      <c r="C66" s="337" t="s">
        <v>171</v>
      </c>
      <c r="D66" s="53" t="s">
        <v>17</v>
      </c>
      <c r="E66" s="83">
        <f>CEILING((((10840+40+115)*1.12))-150,50)</f>
        <v>12200</v>
      </c>
      <c r="F66" s="150">
        <v>130</v>
      </c>
      <c r="G66" s="151">
        <v>175</v>
      </c>
      <c r="H66" s="151">
        <v>275</v>
      </c>
      <c r="I66" s="151">
        <v>75</v>
      </c>
      <c r="J66" s="151">
        <v>50</v>
      </c>
      <c r="K66" s="146">
        <f t="shared" ref="K66:K67" si="7">SUM(E66:J66)</f>
        <v>12905</v>
      </c>
      <c r="L66" s="145">
        <v>200</v>
      </c>
      <c r="M66" s="146">
        <f>SUM(K66:L66)</f>
        <v>13105</v>
      </c>
      <c r="N66" s="147" t="s">
        <v>185</v>
      </c>
      <c r="O66" s="214" t="s">
        <v>61</v>
      </c>
      <c r="P66" s="53" t="s">
        <v>62</v>
      </c>
      <c r="Q66" s="348" t="s">
        <v>193</v>
      </c>
    </row>
    <row r="67" spans="2:18" x14ac:dyDescent="0.3">
      <c r="B67" s="345"/>
      <c r="C67" s="337"/>
      <c r="D67" s="53" t="s">
        <v>22</v>
      </c>
      <c r="E67" s="83">
        <f>CEILING((((11080+80+115)*1.12))-150,50)</f>
        <v>12500</v>
      </c>
      <c r="F67" s="150">
        <v>160</v>
      </c>
      <c r="G67" s="151">
        <v>175</v>
      </c>
      <c r="H67" s="151">
        <v>275</v>
      </c>
      <c r="I67" s="151">
        <v>150</v>
      </c>
      <c r="J67" s="151">
        <v>50</v>
      </c>
      <c r="K67" s="146">
        <f t="shared" si="7"/>
        <v>13310</v>
      </c>
      <c r="L67" s="145">
        <v>200</v>
      </c>
      <c r="M67" s="146">
        <f>SUM(K67:L67)</f>
        <v>13510</v>
      </c>
      <c r="N67" s="147" t="s">
        <v>185</v>
      </c>
      <c r="O67" s="214" t="s">
        <v>61</v>
      </c>
      <c r="P67" s="53" t="s">
        <v>62</v>
      </c>
      <c r="Q67" s="349"/>
    </row>
    <row r="68" spans="2:18" ht="28.8" x14ac:dyDescent="0.55000000000000004">
      <c r="B68" s="343" t="s">
        <v>194</v>
      </c>
      <c r="C68" s="327"/>
      <c r="D68" s="327"/>
      <c r="E68" s="327"/>
      <c r="F68" s="327"/>
      <c r="G68" s="327"/>
      <c r="H68" s="327"/>
      <c r="I68" s="327"/>
      <c r="J68" s="327"/>
      <c r="K68" s="327"/>
      <c r="L68" s="327"/>
      <c r="M68" s="327"/>
      <c r="N68" s="327"/>
      <c r="O68" s="327"/>
      <c r="P68" s="327"/>
      <c r="Q68" s="344"/>
    </row>
    <row r="69" spans="2:18" ht="28.8" x14ac:dyDescent="0.3">
      <c r="B69" s="110" t="s">
        <v>1</v>
      </c>
      <c r="C69" s="309" t="s">
        <v>2</v>
      </c>
      <c r="D69" s="309"/>
      <c r="E69" s="8" t="s">
        <v>3</v>
      </c>
      <c r="F69" s="1" t="s">
        <v>4</v>
      </c>
      <c r="G69" s="9" t="s">
        <v>176</v>
      </c>
      <c r="H69" s="9" t="s">
        <v>116</v>
      </c>
      <c r="I69" s="3" t="s">
        <v>177</v>
      </c>
      <c r="J69" s="2" t="s">
        <v>51</v>
      </c>
      <c r="K69" s="2" t="s">
        <v>9</v>
      </c>
      <c r="L69" s="2" t="s">
        <v>10</v>
      </c>
      <c r="M69" s="2" t="s">
        <v>11</v>
      </c>
      <c r="N69" s="8" t="s">
        <v>12</v>
      </c>
      <c r="O69" s="9" t="s">
        <v>13</v>
      </c>
      <c r="P69" s="125" t="s">
        <v>14</v>
      </c>
      <c r="Q69" s="104" t="s">
        <v>144</v>
      </c>
    </row>
    <row r="70" spans="2:18" ht="14.4" customHeight="1" x14ac:dyDescent="0.3">
      <c r="B70" s="224" t="s">
        <v>195</v>
      </c>
      <c r="C70" s="337" t="s">
        <v>171</v>
      </c>
      <c r="D70" s="53" t="s">
        <v>17</v>
      </c>
      <c r="E70" s="83">
        <f>CEILING((((10640+297+50+85)*1.12)- 85)-150,50)</f>
        <v>12200</v>
      </c>
      <c r="F70" s="150">
        <v>130</v>
      </c>
      <c r="G70" s="151">
        <v>175</v>
      </c>
      <c r="H70" s="151">
        <v>275</v>
      </c>
      <c r="I70" s="151">
        <v>75</v>
      </c>
      <c r="J70" s="151">
        <v>50</v>
      </c>
      <c r="K70" s="58">
        <f t="shared" ref="K70:K71" si="8">SUM(E70:J70)</f>
        <v>12905</v>
      </c>
      <c r="L70" s="56">
        <v>200</v>
      </c>
      <c r="M70" s="146">
        <f>SUM(K70:L70)</f>
        <v>13105</v>
      </c>
      <c r="N70" s="59" t="s">
        <v>185</v>
      </c>
      <c r="O70" s="214" t="s">
        <v>61</v>
      </c>
      <c r="P70" s="53" t="s">
        <v>46</v>
      </c>
      <c r="Q70" s="348" t="s">
        <v>193</v>
      </c>
    </row>
    <row r="71" spans="2:18" x14ac:dyDescent="0.3">
      <c r="B71" s="224"/>
      <c r="C71" s="337"/>
      <c r="D71" s="53" t="s">
        <v>22</v>
      </c>
      <c r="E71" s="83">
        <f>CEILING((((11180+297+50+160)*1.12)- 160)-150,50)</f>
        <v>12800</v>
      </c>
      <c r="F71" s="150">
        <v>160</v>
      </c>
      <c r="G71" s="151">
        <v>175</v>
      </c>
      <c r="H71" s="151">
        <v>275</v>
      </c>
      <c r="I71" s="151">
        <v>150</v>
      </c>
      <c r="J71" s="151">
        <v>50</v>
      </c>
      <c r="K71" s="58">
        <f t="shared" si="8"/>
        <v>13610</v>
      </c>
      <c r="L71" s="56">
        <v>200</v>
      </c>
      <c r="M71" s="146">
        <f>SUM(K71:L71)</f>
        <v>13810</v>
      </c>
      <c r="N71" s="59" t="s">
        <v>185</v>
      </c>
      <c r="O71" s="214" t="s">
        <v>61</v>
      </c>
      <c r="P71" s="53" t="s">
        <v>46</v>
      </c>
      <c r="Q71" s="350"/>
    </row>
    <row r="72" spans="2:18" ht="28.8" x14ac:dyDescent="0.55000000000000004">
      <c r="B72" s="343" t="s">
        <v>196</v>
      </c>
      <c r="C72" s="327"/>
      <c r="D72" s="327"/>
      <c r="E72" s="327"/>
      <c r="F72" s="327"/>
      <c r="G72" s="327"/>
      <c r="H72" s="327"/>
      <c r="I72" s="327"/>
      <c r="J72" s="327"/>
      <c r="K72" s="327"/>
      <c r="L72" s="327"/>
      <c r="M72" s="327"/>
      <c r="N72" s="336"/>
      <c r="O72" s="327"/>
      <c r="P72" s="327"/>
      <c r="Q72" s="344"/>
    </row>
    <row r="73" spans="2:18" ht="28.8" x14ac:dyDescent="0.3">
      <c r="B73" s="110" t="s">
        <v>1</v>
      </c>
      <c r="C73" s="309" t="s">
        <v>2</v>
      </c>
      <c r="D73" s="309"/>
      <c r="E73" s="8" t="s">
        <v>3</v>
      </c>
      <c r="F73" s="1" t="s">
        <v>4</v>
      </c>
      <c r="G73" s="9" t="s">
        <v>176</v>
      </c>
      <c r="H73" s="9" t="s">
        <v>116</v>
      </c>
      <c r="I73" s="3" t="s">
        <v>177</v>
      </c>
      <c r="J73" s="2" t="s">
        <v>51</v>
      </c>
      <c r="K73" s="2" t="s">
        <v>9</v>
      </c>
      <c r="L73" s="2" t="s">
        <v>10</v>
      </c>
      <c r="M73" s="2" t="s">
        <v>11</v>
      </c>
      <c r="N73" s="8" t="s">
        <v>12</v>
      </c>
      <c r="O73" s="9" t="s">
        <v>13</v>
      </c>
      <c r="P73" s="125" t="s">
        <v>14</v>
      </c>
      <c r="Q73" s="104" t="s">
        <v>144</v>
      </c>
    </row>
    <row r="74" spans="2:18" x14ac:dyDescent="0.3">
      <c r="B74" s="224" t="s">
        <v>197</v>
      </c>
      <c r="C74" s="337" t="s">
        <v>171</v>
      </c>
      <c r="D74" s="53" t="s">
        <v>17</v>
      </c>
      <c r="E74" s="83">
        <f>CEILING((((10840+40+115)*1.12))-150,50)</f>
        <v>12200</v>
      </c>
      <c r="F74" s="150">
        <v>130</v>
      </c>
      <c r="G74" s="151">
        <v>175</v>
      </c>
      <c r="H74" s="151">
        <v>275</v>
      </c>
      <c r="I74" s="151">
        <v>75</v>
      </c>
      <c r="J74" s="151">
        <v>50</v>
      </c>
      <c r="K74" s="146">
        <f t="shared" ref="K74:K75" si="9">SUM(E74:J74)</f>
        <v>12905</v>
      </c>
      <c r="L74" s="145">
        <v>200</v>
      </c>
      <c r="M74" s="146">
        <f>SUM(K74:L74)</f>
        <v>13105</v>
      </c>
      <c r="N74" s="147" t="s">
        <v>185</v>
      </c>
      <c r="O74" s="214" t="s">
        <v>61</v>
      </c>
      <c r="P74" s="53" t="s">
        <v>62</v>
      </c>
      <c r="Q74" s="348" t="s">
        <v>193</v>
      </c>
    </row>
    <row r="75" spans="2:18" ht="15" thickBot="1" x14ac:dyDescent="0.35">
      <c r="B75" s="353"/>
      <c r="C75" s="352"/>
      <c r="D75" s="91" t="s">
        <v>22</v>
      </c>
      <c r="E75" s="83">
        <f>CEILING((((11080+80+115)*1.12))-150,50)</f>
        <v>12500</v>
      </c>
      <c r="F75" s="176">
        <v>160</v>
      </c>
      <c r="G75" s="177">
        <v>175</v>
      </c>
      <c r="H75" s="177">
        <v>275</v>
      </c>
      <c r="I75" s="177">
        <v>150</v>
      </c>
      <c r="J75" s="177">
        <v>50</v>
      </c>
      <c r="K75" s="178">
        <f t="shared" si="9"/>
        <v>13310</v>
      </c>
      <c r="L75" s="179">
        <v>200</v>
      </c>
      <c r="M75" s="178">
        <f>SUM(K75:L75)</f>
        <v>13510</v>
      </c>
      <c r="N75" s="180" t="s">
        <v>185</v>
      </c>
      <c r="O75" s="214" t="s">
        <v>61</v>
      </c>
      <c r="P75" s="91" t="s">
        <v>62</v>
      </c>
      <c r="Q75" s="351"/>
    </row>
    <row r="76" spans="2:18" ht="15" thickBot="1" x14ac:dyDescent="0.35">
      <c r="B76" s="127"/>
      <c r="C76" s="127"/>
      <c r="D76" s="333" t="s">
        <v>198</v>
      </c>
      <c r="E76" s="333"/>
      <c r="F76" s="127"/>
      <c r="G76" s="127"/>
      <c r="H76" s="127"/>
      <c r="I76" s="127"/>
      <c r="J76" s="70"/>
      <c r="K76" s="127"/>
      <c r="L76" s="127"/>
      <c r="M76" s="70"/>
      <c r="N76" s="127"/>
      <c r="O76" s="127"/>
      <c r="P76" s="127"/>
      <c r="Q76" s="127"/>
      <c r="R76" s="127"/>
    </row>
    <row r="77" spans="2:18" ht="15.6" x14ac:dyDescent="0.3">
      <c r="B77" s="232" t="s">
        <v>32</v>
      </c>
      <c r="C77" s="233"/>
      <c r="D77" s="233"/>
      <c r="E77" s="233"/>
      <c r="F77" s="233"/>
      <c r="G77" s="233"/>
      <c r="H77" s="233"/>
      <c r="I77" s="233"/>
      <c r="J77" s="233"/>
      <c r="K77" s="233"/>
      <c r="L77" s="233"/>
      <c r="M77" s="233"/>
      <c r="N77" s="233"/>
      <c r="O77" s="233"/>
      <c r="P77" s="233"/>
      <c r="Q77" s="233"/>
      <c r="R77" s="234"/>
    </row>
    <row r="78" spans="2:18" x14ac:dyDescent="0.3">
      <c r="B78" s="235" t="s">
        <v>33</v>
      </c>
      <c r="C78" s="236"/>
      <c r="D78" s="236"/>
      <c r="E78" s="236"/>
      <c r="F78" s="236"/>
      <c r="G78" s="236"/>
      <c r="H78" s="236"/>
      <c r="I78" s="236"/>
      <c r="J78" s="236"/>
      <c r="K78" s="236"/>
      <c r="L78" s="236"/>
      <c r="M78" s="236"/>
      <c r="N78" s="236"/>
      <c r="O78" s="236"/>
      <c r="P78" s="236"/>
      <c r="Q78" s="236"/>
      <c r="R78" s="237"/>
    </row>
    <row r="79" spans="2:18" x14ac:dyDescent="0.3">
      <c r="B79" s="235"/>
      <c r="C79" s="236"/>
      <c r="D79" s="236"/>
      <c r="E79" s="236"/>
      <c r="F79" s="236"/>
      <c r="G79" s="236"/>
      <c r="H79" s="236"/>
      <c r="I79" s="236"/>
      <c r="J79" s="236"/>
      <c r="K79" s="236"/>
      <c r="L79" s="236"/>
      <c r="M79" s="236"/>
      <c r="N79" s="236"/>
      <c r="O79" s="236"/>
      <c r="P79" s="236"/>
      <c r="Q79" s="236"/>
      <c r="R79" s="237"/>
    </row>
    <row r="80" spans="2:18" x14ac:dyDescent="0.3">
      <c r="B80" s="235"/>
      <c r="C80" s="236"/>
      <c r="D80" s="236"/>
      <c r="E80" s="236"/>
      <c r="F80" s="236"/>
      <c r="G80" s="236"/>
      <c r="H80" s="236"/>
      <c r="I80" s="236"/>
      <c r="J80" s="236"/>
      <c r="K80" s="236"/>
      <c r="L80" s="236"/>
      <c r="M80" s="236"/>
      <c r="N80" s="236"/>
      <c r="O80" s="236"/>
      <c r="P80" s="236"/>
      <c r="Q80" s="236"/>
      <c r="R80" s="237"/>
    </row>
    <row r="81" spans="2:18" ht="15" thickBot="1" x14ac:dyDescent="0.35">
      <c r="B81" s="238"/>
      <c r="C81" s="239"/>
      <c r="D81" s="239"/>
      <c r="E81" s="239"/>
      <c r="F81" s="239"/>
      <c r="G81" s="239"/>
      <c r="H81" s="239"/>
      <c r="I81" s="239"/>
      <c r="J81" s="239"/>
      <c r="K81" s="239"/>
      <c r="L81" s="239"/>
      <c r="M81" s="239"/>
      <c r="N81" s="239"/>
      <c r="O81" s="239"/>
      <c r="P81" s="239"/>
      <c r="Q81" s="239"/>
      <c r="R81" s="240"/>
    </row>
    <row r="89" spans="2:18" ht="28.8" x14ac:dyDescent="0.3">
      <c r="B89" s="241" t="s">
        <v>199</v>
      </c>
      <c r="C89" s="241"/>
      <c r="D89" s="241"/>
      <c r="E89" s="241"/>
      <c r="F89" s="241"/>
      <c r="G89" s="241"/>
      <c r="H89" s="241"/>
      <c r="I89" s="241"/>
      <c r="J89" s="241"/>
      <c r="K89" s="241"/>
      <c r="L89" s="241"/>
      <c r="M89" s="241"/>
      <c r="N89" s="241"/>
      <c r="O89" s="241"/>
      <c r="P89" s="241"/>
      <c r="Q89" s="241"/>
      <c r="R89" s="241"/>
    </row>
    <row r="90" spans="2:18" ht="28.8" x14ac:dyDescent="0.3">
      <c r="B90" s="1" t="s">
        <v>1</v>
      </c>
      <c r="C90" s="309" t="s">
        <v>2</v>
      </c>
      <c r="D90" s="309"/>
      <c r="E90" s="128" t="s">
        <v>130</v>
      </c>
      <c r="F90" s="1" t="s">
        <v>4</v>
      </c>
      <c r="G90" s="9" t="s">
        <v>176</v>
      </c>
      <c r="H90" s="9" t="s">
        <v>116</v>
      </c>
      <c r="I90" s="2" t="s">
        <v>200</v>
      </c>
      <c r="J90" s="2" t="s">
        <v>9</v>
      </c>
      <c r="K90" s="2" t="s">
        <v>10</v>
      </c>
      <c r="L90" s="2" t="s">
        <v>11</v>
      </c>
      <c r="M90" s="8" t="s">
        <v>12</v>
      </c>
      <c r="N90" s="9" t="s">
        <v>13</v>
      </c>
      <c r="O90" s="9" t="s">
        <v>14</v>
      </c>
      <c r="P90" s="125" t="s">
        <v>122</v>
      </c>
      <c r="Q90" s="223" t="s">
        <v>36</v>
      </c>
      <c r="R90" s="223"/>
    </row>
    <row r="91" spans="2:18" x14ac:dyDescent="0.3">
      <c r="B91" s="225" t="s">
        <v>92</v>
      </c>
      <c r="C91" s="242" t="s">
        <v>171</v>
      </c>
      <c r="D91" s="53" t="s">
        <v>17</v>
      </c>
      <c r="E91" s="36">
        <v>1400</v>
      </c>
      <c r="F91" s="38">
        <v>175</v>
      </c>
      <c r="G91" s="54">
        <v>150</v>
      </c>
      <c r="H91" s="54">
        <v>175</v>
      </c>
      <c r="I91" s="54">
        <v>75</v>
      </c>
      <c r="J91" s="58">
        <f>SUM(E91:I91)</f>
        <v>1975</v>
      </c>
      <c r="K91" s="56">
        <v>200</v>
      </c>
      <c r="L91" s="58">
        <f>J91+K91</f>
        <v>2175</v>
      </c>
      <c r="M91" s="103" t="s">
        <v>157</v>
      </c>
      <c r="N91" s="214" t="s">
        <v>93</v>
      </c>
      <c r="O91" s="40" t="s">
        <v>43</v>
      </c>
      <c r="P91" s="53" t="s">
        <v>158</v>
      </c>
      <c r="Q91" s="243" t="s">
        <v>44</v>
      </c>
      <c r="R91" s="243"/>
    </row>
    <row r="92" spans="2:18" x14ac:dyDescent="0.3">
      <c r="B92" s="225"/>
      <c r="C92" s="242"/>
      <c r="D92" s="53" t="s">
        <v>22</v>
      </c>
      <c r="E92" s="36">
        <v>1800</v>
      </c>
      <c r="F92" s="38">
        <v>235</v>
      </c>
      <c r="G92" s="54">
        <v>150</v>
      </c>
      <c r="H92" s="54">
        <v>175</v>
      </c>
      <c r="I92" s="54">
        <v>75</v>
      </c>
      <c r="J92" s="58">
        <f>SUM(E92:I92)</f>
        <v>2435</v>
      </c>
      <c r="K92" s="56">
        <v>200</v>
      </c>
      <c r="L92" s="58">
        <f>J92+K92</f>
        <v>2635</v>
      </c>
      <c r="M92" s="103" t="s">
        <v>157</v>
      </c>
      <c r="N92" s="214" t="s">
        <v>93</v>
      </c>
      <c r="O92" s="40" t="s">
        <v>43</v>
      </c>
      <c r="P92" s="53" t="s">
        <v>158</v>
      </c>
      <c r="Q92" s="243"/>
      <c r="R92" s="243"/>
    </row>
    <row r="94" spans="2:18" ht="15.6" x14ac:dyDescent="0.3">
      <c r="B94" s="5" t="s">
        <v>32</v>
      </c>
      <c r="C94" s="6"/>
      <c r="D94" s="6"/>
      <c r="E94" s="6"/>
      <c r="F94" s="6"/>
      <c r="G94" s="6"/>
      <c r="H94" s="6"/>
      <c r="I94" s="6"/>
      <c r="J94" s="6"/>
      <c r="K94" s="6"/>
      <c r="L94" s="6"/>
      <c r="M94" s="6"/>
      <c r="N94" s="6"/>
      <c r="O94" s="6"/>
      <c r="P94" s="6"/>
      <c r="Q94" s="6"/>
      <c r="R94" s="6"/>
    </row>
    <row r="95" spans="2:18" x14ac:dyDescent="0.3">
      <c r="B95" s="282" t="s">
        <v>33</v>
      </c>
      <c r="C95" s="282"/>
      <c r="D95" s="282"/>
      <c r="E95" s="282"/>
      <c r="F95" s="282"/>
      <c r="G95" s="282"/>
      <c r="H95" s="282"/>
      <c r="I95" s="282"/>
      <c r="J95" s="282"/>
      <c r="K95" s="282"/>
      <c r="L95" s="282"/>
      <c r="M95" s="282"/>
      <c r="N95" s="282"/>
      <c r="O95" s="282"/>
      <c r="P95" s="282"/>
      <c r="Q95" s="282"/>
      <c r="R95" s="282"/>
    </row>
    <row r="96" spans="2:18" x14ac:dyDescent="0.3">
      <c r="B96" s="282"/>
      <c r="C96" s="282"/>
      <c r="D96" s="282"/>
      <c r="E96" s="282"/>
      <c r="F96" s="282"/>
      <c r="G96" s="282"/>
      <c r="H96" s="282"/>
      <c r="I96" s="282"/>
      <c r="J96" s="282"/>
      <c r="K96" s="282"/>
      <c r="L96" s="282"/>
      <c r="M96" s="282"/>
      <c r="N96" s="282"/>
      <c r="O96" s="282"/>
      <c r="P96" s="282"/>
      <c r="Q96" s="282"/>
      <c r="R96" s="282"/>
    </row>
    <row r="97" spans="2:18" x14ac:dyDescent="0.3">
      <c r="B97" s="282"/>
      <c r="C97" s="282"/>
      <c r="D97" s="282"/>
      <c r="E97" s="282"/>
      <c r="F97" s="282"/>
      <c r="G97" s="282"/>
      <c r="H97" s="282"/>
      <c r="I97" s="282"/>
      <c r="J97" s="282"/>
      <c r="K97" s="282"/>
      <c r="L97" s="282"/>
      <c r="M97" s="282"/>
      <c r="N97" s="282"/>
      <c r="O97" s="282"/>
      <c r="P97" s="282"/>
      <c r="Q97" s="282"/>
      <c r="R97" s="282"/>
    </row>
    <row r="98" spans="2:18" x14ac:dyDescent="0.3">
      <c r="B98" s="282"/>
      <c r="C98" s="282"/>
      <c r="D98" s="282"/>
      <c r="E98" s="282"/>
      <c r="F98" s="282"/>
      <c r="G98" s="282"/>
      <c r="H98" s="282"/>
      <c r="I98" s="282"/>
      <c r="J98" s="282"/>
      <c r="K98" s="282"/>
      <c r="L98" s="282"/>
      <c r="M98" s="282"/>
      <c r="N98" s="282"/>
      <c r="O98" s="282"/>
      <c r="P98" s="282"/>
      <c r="Q98" s="282"/>
      <c r="R98" s="282"/>
    </row>
    <row r="99" spans="2:18" x14ac:dyDescent="0.3">
      <c r="B99" s="124"/>
      <c r="C99" s="124"/>
      <c r="D99" s="124"/>
      <c r="E99" s="124"/>
      <c r="F99" s="124"/>
      <c r="G99" s="124"/>
      <c r="H99" s="124"/>
      <c r="I99" s="124"/>
      <c r="J99" s="124"/>
      <c r="K99" s="124"/>
      <c r="L99" s="124"/>
      <c r="M99" s="124"/>
      <c r="N99" s="124"/>
      <c r="O99" s="124"/>
      <c r="P99" s="124"/>
      <c r="Q99" s="124"/>
      <c r="R99" s="124"/>
    </row>
    <row r="100" spans="2:18" x14ac:dyDescent="0.3">
      <c r="C100" s="28"/>
    </row>
    <row r="101" spans="2:18" x14ac:dyDescent="0.3">
      <c r="C101" s="28"/>
    </row>
    <row r="102" spans="2:18" x14ac:dyDescent="0.3">
      <c r="C102" s="28"/>
    </row>
    <row r="103" spans="2:18" x14ac:dyDescent="0.3">
      <c r="C103" s="28"/>
    </row>
    <row r="104" spans="2:18" x14ac:dyDescent="0.3">
      <c r="C104" s="28"/>
    </row>
    <row r="105" spans="2:18" ht="28.8" x14ac:dyDescent="0.3">
      <c r="B105" s="289" t="s">
        <v>201</v>
      </c>
      <c r="C105" s="254"/>
      <c r="D105" s="254"/>
      <c r="E105" s="254"/>
      <c r="F105" s="254"/>
      <c r="G105" s="254"/>
      <c r="H105" s="254"/>
      <c r="I105" s="254"/>
      <c r="J105" s="254"/>
      <c r="K105" s="254"/>
      <c r="L105" s="254"/>
      <c r="M105" s="254"/>
      <c r="N105" s="254"/>
      <c r="O105" s="254"/>
      <c r="P105" s="254"/>
      <c r="Q105" s="254"/>
      <c r="R105" s="254"/>
    </row>
    <row r="106" spans="2:18" ht="28.8" x14ac:dyDescent="0.3">
      <c r="B106" s="98" t="s">
        <v>1</v>
      </c>
      <c r="C106" s="223" t="s">
        <v>2</v>
      </c>
      <c r="D106" s="223"/>
      <c r="E106" s="8" t="s">
        <v>3</v>
      </c>
      <c r="F106" s="122" t="s">
        <v>4</v>
      </c>
      <c r="G106" s="122" t="s">
        <v>176</v>
      </c>
      <c r="H106" s="122" t="s">
        <v>116</v>
      </c>
      <c r="I106" s="3" t="s">
        <v>177</v>
      </c>
      <c r="J106" s="3" t="s">
        <v>51</v>
      </c>
      <c r="K106" s="2" t="s">
        <v>9</v>
      </c>
      <c r="L106" s="2" t="s">
        <v>10</v>
      </c>
      <c r="M106" s="2" t="s">
        <v>11</v>
      </c>
      <c r="N106" s="8" t="s">
        <v>12</v>
      </c>
      <c r="O106" s="125" t="s">
        <v>13</v>
      </c>
      <c r="P106" s="125" t="s">
        <v>14</v>
      </c>
      <c r="Q106" s="125" t="s">
        <v>144</v>
      </c>
      <c r="R106" s="104" t="s">
        <v>145</v>
      </c>
    </row>
    <row r="107" spans="2:18" x14ac:dyDescent="0.3">
      <c r="B107" s="297" t="s">
        <v>102</v>
      </c>
      <c r="C107" s="242" t="s">
        <v>171</v>
      </c>
      <c r="D107" s="53" t="s">
        <v>17</v>
      </c>
      <c r="E107" s="54">
        <v>1900</v>
      </c>
      <c r="F107" s="54">
        <v>300</v>
      </c>
      <c r="G107" s="54">
        <v>175</v>
      </c>
      <c r="H107" s="54">
        <v>150</v>
      </c>
      <c r="I107" s="54">
        <v>75</v>
      </c>
      <c r="J107" s="54">
        <v>50</v>
      </c>
      <c r="K107" s="203">
        <f>SUM(E107:J107)</f>
        <v>2650</v>
      </c>
      <c r="L107" s="54">
        <v>200</v>
      </c>
      <c r="M107" s="203">
        <f>SUM(K107:L107)</f>
        <v>2850</v>
      </c>
      <c r="N107" s="59">
        <v>30</v>
      </c>
      <c r="O107" s="214" t="s">
        <v>93</v>
      </c>
      <c r="P107" s="53" t="s">
        <v>62</v>
      </c>
      <c r="Q107" s="94" t="s">
        <v>162</v>
      </c>
      <c r="R107" s="105" t="s">
        <v>163</v>
      </c>
    </row>
    <row r="108" spans="2:18" x14ac:dyDescent="0.3">
      <c r="B108" s="297"/>
      <c r="C108" s="242"/>
      <c r="D108" s="53" t="s">
        <v>22</v>
      </c>
      <c r="E108" s="54">
        <v>2100</v>
      </c>
      <c r="F108" s="54">
        <v>300</v>
      </c>
      <c r="G108" s="54">
        <v>175</v>
      </c>
      <c r="H108" s="54">
        <v>150</v>
      </c>
      <c r="I108" s="54">
        <v>150</v>
      </c>
      <c r="J108" s="54">
        <v>50</v>
      </c>
      <c r="K108" s="203">
        <f>SUM(E108:J108)</f>
        <v>2925</v>
      </c>
      <c r="L108" s="54">
        <v>200</v>
      </c>
      <c r="M108" s="203">
        <f>SUM(K108:L108)</f>
        <v>3125</v>
      </c>
      <c r="N108" s="59">
        <v>30</v>
      </c>
      <c r="O108" s="214" t="s">
        <v>93</v>
      </c>
      <c r="P108" s="53" t="s">
        <v>62</v>
      </c>
      <c r="Q108" s="94" t="s">
        <v>162</v>
      </c>
      <c r="R108" s="105" t="s">
        <v>163</v>
      </c>
    </row>
    <row r="109" spans="2:18" x14ac:dyDescent="0.3">
      <c r="B109" s="297" t="s">
        <v>166</v>
      </c>
      <c r="C109" s="242" t="s">
        <v>171</v>
      </c>
      <c r="D109" s="53" t="s">
        <v>17</v>
      </c>
      <c r="E109" s="54">
        <f>CEILING((((1300+130+10+72+20+100)*1.15)-100)-150,50)</f>
        <v>1650</v>
      </c>
      <c r="F109" s="54">
        <v>160</v>
      </c>
      <c r="G109" s="54">
        <v>175</v>
      </c>
      <c r="H109" s="54">
        <v>215</v>
      </c>
      <c r="I109" s="54">
        <v>75</v>
      </c>
      <c r="J109" s="54">
        <v>50</v>
      </c>
      <c r="K109" s="203">
        <f>SUM(E109:J109)</f>
        <v>2325</v>
      </c>
      <c r="L109" s="54">
        <v>200</v>
      </c>
      <c r="M109" s="203">
        <f>SUM(K109:L109)</f>
        <v>2525</v>
      </c>
      <c r="N109" s="59">
        <v>30</v>
      </c>
      <c r="O109" s="214" t="s">
        <v>93</v>
      </c>
      <c r="P109" s="53" t="s">
        <v>62</v>
      </c>
      <c r="Q109" s="94" t="s">
        <v>162</v>
      </c>
      <c r="R109" s="105" t="s">
        <v>163</v>
      </c>
    </row>
    <row r="110" spans="2:18" x14ac:dyDescent="0.3">
      <c r="B110" s="297"/>
      <c r="C110" s="242"/>
      <c r="D110" s="53" t="s">
        <v>22</v>
      </c>
      <c r="E110" s="54">
        <f>CEILING((((1400+260+10+72+20+150)*1.15)-150)-150,50)</f>
        <v>1900</v>
      </c>
      <c r="F110" s="54">
        <v>160</v>
      </c>
      <c r="G110" s="54">
        <v>175</v>
      </c>
      <c r="H110" s="54">
        <v>215</v>
      </c>
      <c r="I110" s="54">
        <v>150</v>
      </c>
      <c r="J110" s="54">
        <v>50</v>
      </c>
      <c r="K110" s="203">
        <f>SUM(E110:J110)</f>
        <v>2650</v>
      </c>
      <c r="L110" s="54">
        <v>200</v>
      </c>
      <c r="M110" s="203">
        <f>SUM(K110:L110)</f>
        <v>2850</v>
      </c>
      <c r="N110" s="59">
        <v>30</v>
      </c>
      <c r="O110" s="214" t="s">
        <v>93</v>
      </c>
      <c r="P110" s="53" t="s">
        <v>62</v>
      </c>
      <c r="Q110" s="94" t="s">
        <v>162</v>
      </c>
      <c r="R110" s="105" t="s">
        <v>163</v>
      </c>
    </row>
  </sheetData>
  <mergeCells count="63">
    <mergeCell ref="C106:D106"/>
    <mergeCell ref="B109:B110"/>
    <mergeCell ref="C109:C110"/>
    <mergeCell ref="C74:C75"/>
    <mergeCell ref="B89:R89"/>
    <mergeCell ref="D76:E76"/>
    <mergeCell ref="B77:R77"/>
    <mergeCell ref="B78:R81"/>
    <mergeCell ref="B74:B75"/>
    <mergeCell ref="C90:D90"/>
    <mergeCell ref="B107:B108"/>
    <mergeCell ref="C107:C108"/>
    <mergeCell ref="B105:R105"/>
    <mergeCell ref="B64:Q64"/>
    <mergeCell ref="C65:D65"/>
    <mergeCell ref="Q58:Q59"/>
    <mergeCell ref="B95:R98"/>
    <mergeCell ref="Q90:R90"/>
    <mergeCell ref="B91:B92"/>
    <mergeCell ref="C91:C92"/>
    <mergeCell ref="Q91:R92"/>
    <mergeCell ref="Q74:Q75"/>
    <mergeCell ref="B72:Q72"/>
    <mergeCell ref="C73:D73"/>
    <mergeCell ref="C57:D57"/>
    <mergeCell ref="B68:Q68"/>
    <mergeCell ref="C69:D69"/>
    <mergeCell ref="B70:B71"/>
    <mergeCell ref="C70:C71"/>
    <mergeCell ref="C58:C59"/>
    <mergeCell ref="B60:Q60"/>
    <mergeCell ref="C61:D61"/>
    <mergeCell ref="B62:B63"/>
    <mergeCell ref="C62:C63"/>
    <mergeCell ref="Q62:Q63"/>
    <mergeCell ref="B66:B67"/>
    <mergeCell ref="C66:C67"/>
    <mergeCell ref="B58:B59"/>
    <mergeCell ref="Q66:Q67"/>
    <mergeCell ref="Q70:Q71"/>
    <mergeCell ref="B54:B55"/>
    <mergeCell ref="C54:C55"/>
    <mergeCell ref="B56:Q56"/>
    <mergeCell ref="B34:B35"/>
    <mergeCell ref="C34:C35"/>
    <mergeCell ref="B40:P43"/>
    <mergeCell ref="B52:Q52"/>
    <mergeCell ref="C53:D53"/>
    <mergeCell ref="P34:Q36"/>
    <mergeCell ref="D8:E8"/>
    <mergeCell ref="C10:D10"/>
    <mergeCell ref="B11:B12"/>
    <mergeCell ref="C11:C12"/>
    <mergeCell ref="B13:B14"/>
    <mergeCell ref="C13:C14"/>
    <mergeCell ref="B9:P9"/>
    <mergeCell ref="B15:B16"/>
    <mergeCell ref="C15:C16"/>
    <mergeCell ref="P33:Q33"/>
    <mergeCell ref="B32:Q32"/>
    <mergeCell ref="B18:P18"/>
    <mergeCell ref="B19:P22"/>
    <mergeCell ref="C33:D33"/>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7:S42"/>
  <sheetViews>
    <sheetView tabSelected="1" topLeftCell="E1" zoomScale="90" zoomScaleNormal="90" zoomScaleSheetLayoutView="100" workbookViewId="0">
      <selection activeCell="N11" sqref="N11"/>
    </sheetView>
  </sheetViews>
  <sheetFormatPr defaultColWidth="9.109375" defaultRowHeight="14.4" x14ac:dyDescent="0.3"/>
  <cols>
    <col min="1" max="1" width="9.109375" style="19"/>
    <col min="2" max="2" width="11.88671875" style="19" bestFit="1" customWidth="1"/>
    <col min="3" max="3" width="10.6640625" style="19" bestFit="1" customWidth="1"/>
    <col min="4" max="4" width="5.6640625" style="19" bestFit="1" customWidth="1"/>
    <col min="5" max="5" width="14" style="19" customWidth="1"/>
    <col min="6" max="6" width="14.88671875" style="52" bestFit="1" customWidth="1"/>
    <col min="7" max="8" width="13" style="52" customWidth="1"/>
    <col min="9" max="9" width="15.33203125" style="52" customWidth="1"/>
    <col min="10" max="10" width="12.6640625" style="19" bestFit="1" customWidth="1"/>
    <col min="11" max="11" width="16.6640625" style="19" bestFit="1" customWidth="1"/>
    <col min="12" max="12" width="18.33203125" style="19" customWidth="1"/>
    <col min="13" max="13" width="17.88671875" style="19" customWidth="1"/>
    <col min="14" max="14" width="16.33203125" style="19" customWidth="1"/>
    <col min="15" max="15" width="25.33203125" style="19" bestFit="1" customWidth="1"/>
    <col min="16" max="16" width="11" style="19" bestFit="1" customWidth="1"/>
    <col min="17" max="17" width="14.44140625" style="19" customWidth="1"/>
    <col min="18" max="18" width="11" style="19" bestFit="1" customWidth="1"/>
    <col min="19" max="19" width="7.109375" style="19" bestFit="1" customWidth="1"/>
    <col min="20" max="20" width="15.5546875" style="19" customWidth="1"/>
    <col min="21" max="21" width="8.5546875" style="19" customWidth="1"/>
    <col min="22" max="23" width="9.109375" style="19"/>
    <col min="24" max="24" width="10.33203125" style="19" bestFit="1" customWidth="1"/>
    <col min="25" max="16384" width="9.109375" style="19"/>
  </cols>
  <sheetData>
    <row r="7" spans="2:19" ht="28.8" x14ac:dyDescent="0.3">
      <c r="B7" s="289" t="s">
        <v>202</v>
      </c>
      <c r="C7" s="254"/>
      <c r="D7" s="254"/>
      <c r="E7" s="254"/>
      <c r="F7" s="254"/>
      <c r="G7" s="254"/>
      <c r="H7" s="254"/>
      <c r="I7" s="254"/>
      <c r="J7" s="254"/>
      <c r="K7" s="254"/>
      <c r="L7" s="254"/>
      <c r="M7" s="254"/>
      <c r="N7" s="254"/>
      <c r="O7" s="254"/>
      <c r="P7" s="254"/>
      <c r="Q7" s="254"/>
    </row>
    <row r="8" spans="2:19" ht="57.6" x14ac:dyDescent="0.3">
      <c r="B8" s="98" t="s">
        <v>1</v>
      </c>
      <c r="C8" s="223" t="s">
        <v>2</v>
      </c>
      <c r="D8" s="223"/>
      <c r="E8" s="122" t="s">
        <v>3</v>
      </c>
      <c r="F8" s="3" t="s">
        <v>203</v>
      </c>
      <c r="G8" s="122" t="s">
        <v>204</v>
      </c>
      <c r="H8" s="122" t="s">
        <v>205</v>
      </c>
      <c r="I8" s="3" t="s">
        <v>111</v>
      </c>
      <c r="J8" s="3" t="s">
        <v>96</v>
      </c>
      <c r="K8" s="3" t="s">
        <v>110</v>
      </c>
      <c r="L8" s="3" t="s">
        <v>53</v>
      </c>
      <c r="M8" s="3" t="s">
        <v>10</v>
      </c>
      <c r="N8" s="3" t="s">
        <v>11</v>
      </c>
      <c r="O8" s="3" t="s">
        <v>12</v>
      </c>
      <c r="P8" s="122" t="s">
        <v>13</v>
      </c>
      <c r="Q8" s="122" t="s">
        <v>14</v>
      </c>
    </row>
    <row r="9" spans="2:19" x14ac:dyDescent="0.3">
      <c r="B9" s="136" t="s">
        <v>16</v>
      </c>
      <c r="C9" s="136" t="s">
        <v>113</v>
      </c>
      <c r="D9" s="118" t="s">
        <v>22</v>
      </c>
      <c r="E9" s="144">
        <v>1300</v>
      </c>
      <c r="F9" s="144" t="s">
        <v>182</v>
      </c>
      <c r="G9" s="96">
        <v>410</v>
      </c>
      <c r="H9" s="96">
        <v>54.2</v>
      </c>
      <c r="I9" s="96" t="s">
        <v>182</v>
      </c>
      <c r="J9" s="96">
        <v>40</v>
      </c>
      <c r="K9" s="189">
        <v>65</v>
      </c>
      <c r="L9" s="97">
        <f>SUM(E9:K9)</f>
        <v>1869.2</v>
      </c>
      <c r="M9" s="96">
        <v>200</v>
      </c>
      <c r="N9" s="97">
        <f>L9+M9</f>
        <v>2069.1999999999998</v>
      </c>
      <c r="O9" s="183" t="s">
        <v>114</v>
      </c>
      <c r="P9" s="210" t="s">
        <v>20</v>
      </c>
      <c r="Q9" s="95" t="s">
        <v>21</v>
      </c>
    </row>
    <row r="10" spans="2:19" ht="28.8" x14ac:dyDescent="0.3">
      <c r="B10" s="289" t="s">
        <v>202</v>
      </c>
      <c r="C10" s="254"/>
      <c r="D10" s="254"/>
      <c r="E10" s="254"/>
      <c r="F10" s="254"/>
      <c r="G10" s="254"/>
      <c r="H10" s="254"/>
      <c r="I10" s="254"/>
      <c r="J10" s="254"/>
      <c r="K10" s="254"/>
      <c r="L10" s="254"/>
      <c r="M10" s="254"/>
      <c r="N10" s="254"/>
      <c r="O10" s="254"/>
      <c r="P10" s="254"/>
      <c r="Q10" s="254"/>
    </row>
    <row r="11" spans="2:19" ht="57.6" x14ac:dyDescent="0.3">
      <c r="B11" s="98" t="s">
        <v>1</v>
      </c>
      <c r="C11" s="223" t="s">
        <v>2</v>
      </c>
      <c r="D11" s="223"/>
      <c r="E11" s="122" t="s">
        <v>3</v>
      </c>
      <c r="F11" s="3" t="s">
        <v>203</v>
      </c>
      <c r="G11" s="122" t="s">
        <v>204</v>
      </c>
      <c r="H11" s="122" t="s">
        <v>205</v>
      </c>
      <c r="I11" s="3" t="s">
        <v>111</v>
      </c>
      <c r="J11" s="3" t="s">
        <v>96</v>
      </c>
      <c r="K11" s="3" t="s">
        <v>110</v>
      </c>
      <c r="L11" s="3" t="s">
        <v>53</v>
      </c>
      <c r="M11" s="3" t="s">
        <v>10</v>
      </c>
      <c r="N11" s="3" t="s">
        <v>11</v>
      </c>
      <c r="O11" s="3" t="s">
        <v>12</v>
      </c>
      <c r="P11" s="122" t="s">
        <v>13</v>
      </c>
      <c r="Q11" s="122" t="s">
        <v>14</v>
      </c>
    </row>
    <row r="12" spans="2:19" x14ac:dyDescent="0.3">
      <c r="B12" s="278" t="s">
        <v>29</v>
      </c>
      <c r="C12" s="225" t="s">
        <v>113</v>
      </c>
      <c r="D12" s="118" t="s">
        <v>17</v>
      </c>
      <c r="E12" s="144">
        <v>450</v>
      </c>
      <c r="F12" s="144">
        <v>120</v>
      </c>
      <c r="G12" s="96">
        <v>340</v>
      </c>
      <c r="H12" s="96">
        <v>97.87</v>
      </c>
      <c r="I12" s="96">
        <v>160</v>
      </c>
      <c r="J12" s="96">
        <v>60</v>
      </c>
      <c r="K12" s="189">
        <v>62.7</v>
      </c>
      <c r="L12" s="97">
        <f>SUM(E12:K12)</f>
        <v>1290.57</v>
      </c>
      <c r="M12" s="96">
        <v>200</v>
      </c>
      <c r="N12" s="97">
        <f>L12+M12</f>
        <v>1490.57</v>
      </c>
      <c r="O12" s="183" t="s">
        <v>114</v>
      </c>
      <c r="P12" s="210" t="s">
        <v>20</v>
      </c>
      <c r="Q12" s="95" t="s">
        <v>70</v>
      </c>
    </row>
    <row r="13" spans="2:19" x14ac:dyDescent="0.3">
      <c r="B13" s="279"/>
      <c r="C13" s="225"/>
      <c r="D13" s="118" t="s">
        <v>22</v>
      </c>
      <c r="E13" s="144">
        <v>600</v>
      </c>
      <c r="F13" s="144">
        <v>240</v>
      </c>
      <c r="G13" s="96">
        <v>340</v>
      </c>
      <c r="H13" s="96">
        <v>97.87</v>
      </c>
      <c r="I13" s="96">
        <v>210</v>
      </c>
      <c r="J13" s="96">
        <v>60</v>
      </c>
      <c r="K13" s="189">
        <v>62.7</v>
      </c>
      <c r="L13" s="97">
        <f>SUM(E13:K13)</f>
        <v>1610.57</v>
      </c>
      <c r="M13" s="96">
        <v>200</v>
      </c>
      <c r="N13" s="97">
        <f>L13+M13</f>
        <v>1810.57</v>
      </c>
      <c r="O13" s="183" t="s">
        <v>114</v>
      </c>
      <c r="P13" s="210" t="s">
        <v>20</v>
      </c>
      <c r="Q13" s="95" t="s">
        <v>70</v>
      </c>
    </row>
    <row r="14" spans="2:19" ht="28.8" x14ac:dyDescent="0.3">
      <c r="B14" s="289" t="s">
        <v>206</v>
      </c>
      <c r="C14" s="254"/>
      <c r="D14" s="254"/>
      <c r="E14" s="254"/>
      <c r="F14" s="254"/>
      <c r="G14" s="254"/>
      <c r="H14" s="254"/>
      <c r="I14" s="254"/>
      <c r="J14" s="254"/>
      <c r="K14" s="254"/>
      <c r="L14" s="254"/>
      <c r="M14" s="254"/>
      <c r="N14" s="254"/>
      <c r="O14" s="254"/>
      <c r="P14" s="254"/>
      <c r="Q14" s="254"/>
      <c r="R14" s="254"/>
    </row>
    <row r="15" spans="2:19" ht="57.6" x14ac:dyDescent="0.3">
      <c r="B15" s="98" t="s">
        <v>1</v>
      </c>
      <c r="C15" s="223" t="s">
        <v>2</v>
      </c>
      <c r="D15" s="223"/>
      <c r="E15" s="122" t="s">
        <v>3</v>
      </c>
      <c r="F15" s="3" t="s">
        <v>203</v>
      </c>
      <c r="G15" s="122" t="s">
        <v>204</v>
      </c>
      <c r="H15" s="122" t="s">
        <v>205</v>
      </c>
      <c r="I15" s="3" t="s">
        <v>111</v>
      </c>
      <c r="J15" s="3" t="s">
        <v>96</v>
      </c>
      <c r="K15" s="3" t="s">
        <v>207</v>
      </c>
      <c r="L15" s="3" t="s">
        <v>208</v>
      </c>
      <c r="M15" s="3" t="s">
        <v>209</v>
      </c>
      <c r="N15" s="3" t="s">
        <v>53</v>
      </c>
      <c r="O15" s="3" t="s">
        <v>10</v>
      </c>
      <c r="P15" s="3" t="s">
        <v>11</v>
      </c>
      <c r="Q15" s="3" t="s">
        <v>12</v>
      </c>
      <c r="R15" s="122" t="s">
        <v>13</v>
      </c>
      <c r="S15" s="122" t="s">
        <v>14</v>
      </c>
    </row>
    <row r="16" spans="2:19" x14ac:dyDescent="0.3">
      <c r="B16" s="225" t="s">
        <v>29</v>
      </c>
      <c r="C16" s="225" t="s">
        <v>171</v>
      </c>
      <c r="D16" s="118" t="s">
        <v>17</v>
      </c>
      <c r="E16" s="120">
        <v>400</v>
      </c>
      <c r="F16" s="144">
        <v>120</v>
      </c>
      <c r="G16" s="96">
        <v>340</v>
      </c>
      <c r="H16" s="96">
        <v>97.87</v>
      </c>
      <c r="I16" s="96">
        <v>150</v>
      </c>
      <c r="J16" s="96">
        <v>50</v>
      </c>
      <c r="K16" s="96">
        <v>165</v>
      </c>
      <c r="L16" s="96">
        <v>175</v>
      </c>
      <c r="M16" s="189">
        <v>66</v>
      </c>
      <c r="N16" s="97">
        <f>SUM(E16:M16)</f>
        <v>1563.87</v>
      </c>
      <c r="O16" s="96">
        <v>200</v>
      </c>
      <c r="P16" s="97">
        <f>N16+O16</f>
        <v>1763.87</v>
      </c>
      <c r="Q16" s="183" t="s">
        <v>114</v>
      </c>
      <c r="R16" s="210" t="s">
        <v>20</v>
      </c>
      <c r="S16" s="95" t="s">
        <v>70</v>
      </c>
    </row>
    <row r="17" spans="2:19" x14ac:dyDescent="0.3">
      <c r="B17" s="225"/>
      <c r="C17" s="225"/>
      <c r="D17" s="118" t="s">
        <v>22</v>
      </c>
      <c r="E17" s="120">
        <v>550</v>
      </c>
      <c r="F17" s="144">
        <v>240</v>
      </c>
      <c r="G17" s="96">
        <v>340</v>
      </c>
      <c r="H17" s="96">
        <v>97.87</v>
      </c>
      <c r="I17" s="96">
        <v>200</v>
      </c>
      <c r="J17" s="96">
        <v>50</v>
      </c>
      <c r="K17" s="96">
        <v>165</v>
      </c>
      <c r="L17" s="96">
        <v>175</v>
      </c>
      <c r="M17" s="189">
        <v>66</v>
      </c>
      <c r="N17" s="97">
        <f>SUM(E17:M17)</f>
        <v>1883.87</v>
      </c>
      <c r="O17" s="96">
        <v>200</v>
      </c>
      <c r="P17" s="97">
        <f>N17+O17</f>
        <v>2083.87</v>
      </c>
      <c r="Q17" s="183" t="s">
        <v>114</v>
      </c>
      <c r="R17" s="210" t="s">
        <v>20</v>
      </c>
      <c r="S17" s="95" t="s">
        <v>70</v>
      </c>
    </row>
    <row r="18" spans="2:19" ht="28.8" x14ac:dyDescent="0.3">
      <c r="B18" s="358" t="s">
        <v>210</v>
      </c>
      <c r="C18" s="359"/>
      <c r="D18" s="359"/>
      <c r="E18" s="359"/>
      <c r="F18" s="359"/>
      <c r="G18" s="359"/>
      <c r="H18" s="359"/>
      <c r="I18" s="359"/>
      <c r="J18" s="359"/>
      <c r="K18" s="359"/>
      <c r="L18" s="359"/>
      <c r="M18" s="359"/>
      <c r="N18" s="359"/>
      <c r="O18" s="359"/>
      <c r="P18" s="359"/>
      <c r="Q18" s="359"/>
    </row>
    <row r="19" spans="2:19" ht="28.8" x14ac:dyDescent="0.3">
      <c r="B19" s="98" t="s">
        <v>1</v>
      </c>
      <c r="C19" s="223" t="s">
        <v>2</v>
      </c>
      <c r="D19" s="223"/>
      <c r="E19" s="122" t="s">
        <v>3</v>
      </c>
      <c r="F19" s="3" t="s">
        <v>203</v>
      </c>
      <c r="G19" s="122" t="s">
        <v>204</v>
      </c>
      <c r="H19" s="122" t="s">
        <v>205</v>
      </c>
      <c r="I19" s="3" t="s">
        <v>96</v>
      </c>
      <c r="J19" s="3" t="s">
        <v>53</v>
      </c>
      <c r="K19" s="3" t="s">
        <v>10</v>
      </c>
      <c r="L19" s="3" t="s">
        <v>11</v>
      </c>
      <c r="M19" s="3" t="s">
        <v>12</v>
      </c>
      <c r="N19" s="122" t="s">
        <v>13</v>
      </c>
      <c r="O19" s="122" t="s">
        <v>14</v>
      </c>
      <c r="P19" s="356" t="s">
        <v>144</v>
      </c>
      <c r="Q19" s="357"/>
    </row>
    <row r="20" spans="2:19" x14ac:dyDescent="0.3">
      <c r="B20" s="225" t="s">
        <v>29</v>
      </c>
      <c r="C20" s="225" t="s">
        <v>211</v>
      </c>
      <c r="D20" s="118" t="s">
        <v>17</v>
      </c>
      <c r="E20" s="120">
        <v>1000</v>
      </c>
      <c r="F20" s="96">
        <v>130</v>
      </c>
      <c r="G20" s="96">
        <v>355</v>
      </c>
      <c r="H20" s="96">
        <v>76.5</v>
      </c>
      <c r="I20" s="96">
        <v>50</v>
      </c>
      <c r="J20" s="97">
        <f>SUM(E20:I20)</f>
        <v>1611.5</v>
      </c>
      <c r="K20" s="96">
        <v>200</v>
      </c>
      <c r="L20" s="97">
        <f>J20+K20</f>
        <v>1811.5</v>
      </c>
      <c r="M20" s="183" t="s">
        <v>114</v>
      </c>
      <c r="N20" s="210" t="s">
        <v>20</v>
      </c>
      <c r="O20" s="95" t="s">
        <v>43</v>
      </c>
      <c r="P20" s="187" t="s">
        <v>212</v>
      </c>
      <c r="Q20" s="53"/>
    </row>
    <row r="21" spans="2:19" x14ac:dyDescent="0.3">
      <c r="B21" s="225"/>
      <c r="C21" s="225"/>
      <c r="D21" s="118" t="s">
        <v>22</v>
      </c>
      <c r="E21" s="120">
        <v>2000</v>
      </c>
      <c r="F21" s="96">
        <v>260</v>
      </c>
      <c r="G21" s="96">
        <v>355</v>
      </c>
      <c r="H21" s="96">
        <v>76.5</v>
      </c>
      <c r="I21" s="96">
        <v>50</v>
      </c>
      <c r="J21" s="97">
        <f>SUM(E21:I21)</f>
        <v>2741.5</v>
      </c>
      <c r="K21" s="96">
        <v>200</v>
      </c>
      <c r="L21" s="97">
        <f>J21+K21</f>
        <v>2941.5</v>
      </c>
      <c r="M21" s="183" t="s">
        <v>114</v>
      </c>
      <c r="N21" s="210" t="s">
        <v>20</v>
      </c>
      <c r="O21" s="95" t="s">
        <v>43</v>
      </c>
      <c r="P21" s="187" t="s">
        <v>212</v>
      </c>
      <c r="Q21" s="53"/>
    </row>
    <row r="22" spans="2:19" ht="28.95" customHeight="1" x14ac:dyDescent="0.3">
      <c r="B22" s="255" t="s">
        <v>213</v>
      </c>
      <c r="C22" s="256"/>
      <c r="D22" s="256"/>
      <c r="E22" s="256"/>
      <c r="F22" s="256"/>
      <c r="G22" s="256"/>
      <c r="H22" s="256"/>
      <c r="I22" s="256"/>
      <c r="J22" s="256"/>
      <c r="K22" s="256"/>
      <c r="L22" s="256"/>
      <c r="M22" s="256"/>
      <c r="N22" s="256"/>
      <c r="O22" s="256"/>
      <c r="P22" s="213"/>
    </row>
    <row r="23" spans="2:19" ht="28.8" x14ac:dyDescent="0.3">
      <c r="B23" s="98" t="s">
        <v>1</v>
      </c>
      <c r="C23" s="223" t="s">
        <v>2</v>
      </c>
      <c r="D23" s="223"/>
      <c r="E23" s="122" t="s">
        <v>3</v>
      </c>
      <c r="F23" s="122" t="s">
        <v>204</v>
      </c>
      <c r="G23" s="122" t="s">
        <v>205</v>
      </c>
      <c r="H23" s="3" t="s">
        <v>96</v>
      </c>
      <c r="I23" s="3" t="s">
        <v>53</v>
      </c>
      <c r="J23" s="3" t="s">
        <v>10</v>
      </c>
      <c r="K23" s="3" t="s">
        <v>11</v>
      </c>
      <c r="L23" s="3" t="s">
        <v>12</v>
      </c>
      <c r="M23" s="122" t="s">
        <v>13</v>
      </c>
      <c r="N23" s="122" t="s">
        <v>14</v>
      </c>
      <c r="O23" s="122" t="s">
        <v>144</v>
      </c>
      <c r="P23" s="354"/>
      <c r="Q23" s="355"/>
    </row>
    <row r="24" spans="2:19" x14ac:dyDescent="0.3">
      <c r="B24" s="225" t="s">
        <v>16</v>
      </c>
      <c r="C24" s="225" t="s">
        <v>214</v>
      </c>
      <c r="D24" s="118" t="s">
        <v>17</v>
      </c>
      <c r="E24" s="140">
        <f>CEILING((((725)*1.5)-355),100)</f>
        <v>800</v>
      </c>
      <c r="F24" s="96">
        <v>355</v>
      </c>
      <c r="G24" s="96">
        <v>76.5</v>
      </c>
      <c r="H24" s="96">
        <v>50</v>
      </c>
      <c r="I24" s="97">
        <f>SUM(E24:H24)</f>
        <v>1281.5</v>
      </c>
      <c r="J24" s="96">
        <v>200</v>
      </c>
      <c r="K24" s="97">
        <f>I24+J24</f>
        <v>1481.5</v>
      </c>
      <c r="L24" s="183" t="s">
        <v>215</v>
      </c>
      <c r="M24" s="210" t="s">
        <v>20</v>
      </c>
      <c r="N24" s="95" t="s">
        <v>43</v>
      </c>
      <c r="O24" s="212" t="s">
        <v>212</v>
      </c>
      <c r="P24" s="211"/>
    </row>
    <row r="25" spans="2:19" x14ac:dyDescent="0.3">
      <c r="B25" s="225"/>
      <c r="C25" s="225"/>
      <c r="D25" s="118" t="s">
        <v>22</v>
      </c>
      <c r="E25" s="140">
        <f>CEILING((((1200)*1.4)-289),50)</f>
        <v>1400</v>
      </c>
      <c r="F25" s="96">
        <v>355</v>
      </c>
      <c r="G25" s="96">
        <v>76.5</v>
      </c>
      <c r="H25" s="96">
        <v>50</v>
      </c>
      <c r="I25" s="97">
        <f>SUM(E25:H25)</f>
        <v>1881.5</v>
      </c>
      <c r="J25" s="96">
        <v>200</v>
      </c>
      <c r="K25" s="97">
        <f>I25+J25</f>
        <v>2081.5</v>
      </c>
      <c r="L25" s="183" t="s">
        <v>215</v>
      </c>
      <c r="M25" s="210" t="s">
        <v>20</v>
      </c>
      <c r="N25" s="95" t="s">
        <v>43</v>
      </c>
      <c r="O25" s="212" t="s">
        <v>212</v>
      </c>
      <c r="P25" s="211"/>
    </row>
    <row r="26" spans="2:19" ht="28.8" x14ac:dyDescent="0.3">
      <c r="B26" s="289" t="s">
        <v>216</v>
      </c>
      <c r="C26" s="254"/>
      <c r="D26" s="254"/>
      <c r="E26" s="254"/>
      <c r="F26" s="254"/>
      <c r="G26" s="254"/>
      <c r="H26" s="254"/>
      <c r="I26" s="254"/>
      <c r="J26" s="254"/>
      <c r="K26" s="254"/>
      <c r="L26" s="254"/>
      <c r="M26" s="254"/>
      <c r="N26" s="254"/>
      <c r="O26" s="254"/>
      <c r="P26" s="61"/>
    </row>
    <row r="27" spans="2:19" ht="28.8" x14ac:dyDescent="0.3">
      <c r="B27" s="98" t="s">
        <v>1</v>
      </c>
      <c r="C27" s="223" t="s">
        <v>2</v>
      </c>
      <c r="D27" s="223"/>
      <c r="E27" s="122" t="s">
        <v>3</v>
      </c>
      <c r="F27" s="122" t="s">
        <v>204</v>
      </c>
      <c r="G27" s="122" t="s">
        <v>205</v>
      </c>
      <c r="H27" s="3" t="s">
        <v>96</v>
      </c>
      <c r="I27" s="3" t="s">
        <v>53</v>
      </c>
      <c r="J27" s="3" t="s">
        <v>10</v>
      </c>
      <c r="K27" s="3" t="s">
        <v>11</v>
      </c>
      <c r="L27" s="3" t="s">
        <v>12</v>
      </c>
      <c r="M27" s="122" t="s">
        <v>13</v>
      </c>
      <c r="N27" s="122" t="s">
        <v>14</v>
      </c>
      <c r="O27" s="122" t="s">
        <v>144</v>
      </c>
      <c r="P27" s="61"/>
    </row>
    <row r="28" spans="2:19" ht="15" customHeight="1" x14ac:dyDescent="0.3">
      <c r="B28" s="225" t="s">
        <v>16</v>
      </c>
      <c r="C28" s="225" t="s">
        <v>117</v>
      </c>
      <c r="D28" s="118" t="s">
        <v>17</v>
      </c>
      <c r="E28" s="140">
        <f>CEILING((((490+5+85+15)*1.15)),75)</f>
        <v>750</v>
      </c>
      <c r="F28" s="96">
        <v>259</v>
      </c>
      <c r="G28" s="96">
        <f>60*1.125</f>
        <v>67.5</v>
      </c>
      <c r="H28" s="96">
        <v>60</v>
      </c>
      <c r="I28" s="97">
        <f>SUM(E28:H28)</f>
        <v>1136.5</v>
      </c>
      <c r="J28" s="96">
        <v>200</v>
      </c>
      <c r="K28" s="97">
        <f>I28+J28</f>
        <v>1336.5</v>
      </c>
      <c r="L28" s="183" t="s">
        <v>25</v>
      </c>
      <c r="M28" s="210" t="s">
        <v>20</v>
      </c>
      <c r="N28" s="95" t="s">
        <v>217</v>
      </c>
      <c r="O28" s="187" t="s">
        <v>212</v>
      </c>
      <c r="P28" s="61"/>
    </row>
    <row r="29" spans="2:19" x14ac:dyDescent="0.3">
      <c r="B29" s="225"/>
      <c r="C29" s="225"/>
      <c r="D29" s="118" t="s">
        <v>22</v>
      </c>
      <c r="E29" s="140">
        <f>CEILING((((500+5+175+15)*1.15)),75)</f>
        <v>825</v>
      </c>
      <c r="F29" s="96">
        <v>259</v>
      </c>
      <c r="G29" s="96">
        <f>60*1.125</f>
        <v>67.5</v>
      </c>
      <c r="H29" s="96">
        <v>60</v>
      </c>
      <c r="I29" s="97">
        <f>SUM(E29:H29)</f>
        <v>1211.5</v>
      </c>
      <c r="J29" s="96">
        <v>200</v>
      </c>
      <c r="K29" s="97">
        <f>I29+J29</f>
        <v>1411.5</v>
      </c>
      <c r="L29" s="183" t="s">
        <v>25</v>
      </c>
      <c r="M29" s="210" t="s">
        <v>20</v>
      </c>
      <c r="N29" s="95" t="s">
        <v>217</v>
      </c>
      <c r="O29" s="187" t="s">
        <v>212</v>
      </c>
      <c r="P29" s="61"/>
    </row>
    <row r="31" spans="2:19" ht="15.6" x14ac:dyDescent="0.3">
      <c r="B31" s="5" t="s">
        <v>32</v>
      </c>
      <c r="C31" s="6"/>
      <c r="D31" s="6"/>
      <c r="E31" s="6"/>
      <c r="F31" s="6"/>
      <c r="G31" s="6"/>
      <c r="H31" s="6"/>
      <c r="I31" s="6"/>
      <c r="J31" s="6"/>
      <c r="K31" s="6"/>
      <c r="L31" s="6"/>
      <c r="M31" s="6"/>
      <c r="N31" s="6"/>
      <c r="O31" s="6"/>
      <c r="P31" s="6"/>
      <c r="Q31" s="7"/>
    </row>
    <row r="32" spans="2:19" x14ac:dyDescent="0.3">
      <c r="B32" s="226" t="s">
        <v>33</v>
      </c>
      <c r="C32" s="227"/>
      <c r="D32" s="227"/>
      <c r="E32" s="227"/>
      <c r="F32" s="227"/>
      <c r="G32" s="227"/>
      <c r="H32" s="227"/>
      <c r="I32" s="227"/>
      <c r="J32" s="227"/>
      <c r="K32" s="227"/>
      <c r="L32" s="227"/>
      <c r="M32" s="227"/>
      <c r="N32" s="227"/>
      <c r="O32" s="227"/>
      <c r="P32" s="227"/>
      <c r="Q32" s="228"/>
    </row>
    <row r="33" spans="2:17" x14ac:dyDescent="0.3">
      <c r="B33" s="226"/>
      <c r="C33" s="227"/>
      <c r="D33" s="227"/>
      <c r="E33" s="227"/>
      <c r="F33" s="227"/>
      <c r="G33" s="227"/>
      <c r="H33" s="227"/>
      <c r="I33" s="227"/>
      <c r="J33" s="227"/>
      <c r="K33" s="227"/>
      <c r="L33" s="227"/>
      <c r="M33" s="227"/>
      <c r="N33" s="227"/>
      <c r="O33" s="227"/>
      <c r="P33" s="227"/>
      <c r="Q33" s="228"/>
    </row>
    <row r="34" spans="2:17" x14ac:dyDescent="0.3">
      <c r="B34" s="226"/>
      <c r="C34" s="227"/>
      <c r="D34" s="227"/>
      <c r="E34" s="227"/>
      <c r="F34" s="227"/>
      <c r="G34" s="227"/>
      <c r="H34" s="227"/>
      <c r="I34" s="227"/>
      <c r="J34" s="227"/>
      <c r="K34" s="227"/>
      <c r="L34" s="227"/>
      <c r="M34" s="227"/>
      <c r="N34" s="227"/>
      <c r="O34" s="227"/>
      <c r="P34" s="227"/>
      <c r="Q34" s="228"/>
    </row>
    <row r="35" spans="2:17" x14ac:dyDescent="0.3">
      <c r="B35" s="229"/>
      <c r="C35" s="230"/>
      <c r="D35" s="230"/>
      <c r="E35" s="230"/>
      <c r="F35" s="230"/>
      <c r="G35" s="230"/>
      <c r="H35" s="230"/>
      <c r="I35" s="230"/>
      <c r="J35" s="230"/>
      <c r="K35" s="230"/>
      <c r="L35" s="230"/>
      <c r="M35" s="230"/>
      <c r="N35" s="230"/>
      <c r="O35" s="230"/>
      <c r="P35" s="230"/>
      <c r="Q35" s="231"/>
    </row>
    <row r="36" spans="2:17" x14ac:dyDescent="0.3">
      <c r="B36" s="35"/>
      <c r="C36" s="35"/>
      <c r="D36" s="35"/>
      <c r="E36" s="35"/>
      <c r="F36" s="35"/>
      <c r="G36" s="35"/>
      <c r="H36" s="35"/>
      <c r="I36" s="35"/>
      <c r="J36" s="35"/>
      <c r="K36" s="35"/>
      <c r="L36" s="35"/>
      <c r="M36" s="35"/>
      <c r="N36" s="35"/>
      <c r="O36" s="35"/>
      <c r="P36" s="35"/>
      <c r="Q36" s="35"/>
    </row>
    <row r="37" spans="2:17" x14ac:dyDescent="0.3">
      <c r="B37" s="35"/>
      <c r="C37" s="35"/>
      <c r="D37" s="35"/>
      <c r="E37" s="35"/>
      <c r="F37" s="35"/>
      <c r="G37" s="35"/>
      <c r="H37" s="35"/>
      <c r="I37" s="35"/>
      <c r="J37" s="35"/>
      <c r="K37" s="35"/>
      <c r="L37" s="35"/>
      <c r="M37" s="35"/>
      <c r="N37" s="35"/>
      <c r="O37" s="35"/>
      <c r="P37" s="35"/>
      <c r="Q37" s="35"/>
    </row>
    <row r="38" spans="2:17" x14ac:dyDescent="0.3">
      <c r="B38" s="35"/>
      <c r="C38" s="35"/>
      <c r="D38" s="35"/>
      <c r="E38" s="35"/>
      <c r="F38" s="35"/>
      <c r="G38" s="35"/>
      <c r="H38" s="35"/>
      <c r="I38" s="35"/>
      <c r="J38" s="35"/>
      <c r="K38" s="35"/>
      <c r="L38" s="35"/>
      <c r="M38" s="35"/>
      <c r="N38" s="35"/>
      <c r="O38" s="35"/>
      <c r="P38" s="35"/>
      <c r="Q38" s="35"/>
    </row>
    <row r="39" spans="2:17" x14ac:dyDescent="0.3">
      <c r="B39" s="35"/>
      <c r="C39" s="35"/>
      <c r="D39" s="35"/>
      <c r="E39" s="35"/>
      <c r="F39" s="35"/>
      <c r="G39" s="35"/>
      <c r="H39" s="35"/>
      <c r="I39" s="35"/>
      <c r="J39" s="35"/>
      <c r="K39" s="35"/>
      <c r="L39" s="35"/>
      <c r="M39" s="35"/>
      <c r="N39" s="35"/>
      <c r="O39" s="35"/>
      <c r="P39" s="35"/>
      <c r="Q39" s="35"/>
    </row>
    <row r="40" spans="2:17" x14ac:dyDescent="0.3">
      <c r="B40" s="35"/>
      <c r="C40" s="35"/>
      <c r="D40" s="35"/>
      <c r="E40" s="35"/>
      <c r="F40" s="35"/>
      <c r="G40" s="35"/>
      <c r="H40" s="35"/>
      <c r="I40" s="35"/>
      <c r="J40" s="35"/>
      <c r="K40" s="35"/>
      <c r="L40" s="35"/>
      <c r="M40" s="35"/>
      <c r="N40" s="35"/>
      <c r="O40" s="35"/>
      <c r="P40" s="35"/>
      <c r="Q40" s="35"/>
    </row>
    <row r="41" spans="2:17" x14ac:dyDescent="0.3">
      <c r="B41" s="35"/>
      <c r="C41" s="35"/>
      <c r="D41" s="35"/>
      <c r="E41" s="35"/>
      <c r="F41" s="35"/>
      <c r="G41" s="35"/>
      <c r="H41" s="35"/>
      <c r="I41" s="35"/>
      <c r="J41" s="35"/>
      <c r="K41" s="35"/>
      <c r="L41" s="35"/>
      <c r="M41" s="35"/>
      <c r="N41" s="35"/>
      <c r="O41" s="35"/>
      <c r="P41" s="35"/>
      <c r="Q41" s="35"/>
    </row>
    <row r="42" spans="2:17" x14ac:dyDescent="0.3">
      <c r="B42" s="35"/>
      <c r="C42" s="35"/>
      <c r="D42" s="35"/>
      <c r="E42" s="35"/>
      <c r="F42" s="35"/>
      <c r="G42" s="35"/>
      <c r="H42" s="35"/>
      <c r="I42" s="35"/>
      <c r="J42" s="35"/>
      <c r="K42" s="35"/>
      <c r="L42" s="35"/>
      <c r="M42" s="35"/>
      <c r="N42" s="35"/>
      <c r="O42" s="35"/>
      <c r="P42" s="35"/>
      <c r="Q42" s="35"/>
    </row>
  </sheetData>
  <sheetProtection algorithmName="SHA-512" hashValue="/u41NJeXUazT/ZgMzhpgrpgetD4E0PdS+YfR743XznOLz/0NkipBkdkIf9s4Fz4di0uuf8eJZGEbqD5QgKrnAQ==" saltValue="yL+yTYYA3b6IXBSU0DfvOw==" spinCount="100000" sheet="1" objects="1" scenarios="1"/>
  <mergeCells count="25">
    <mergeCell ref="P19:Q19"/>
    <mergeCell ref="B18:Q18"/>
    <mergeCell ref="B22:O22"/>
    <mergeCell ref="B7:Q7"/>
    <mergeCell ref="C8:D8"/>
    <mergeCell ref="B10:Q10"/>
    <mergeCell ref="C15:D15"/>
    <mergeCell ref="C19:D19"/>
    <mergeCell ref="B14:R14"/>
    <mergeCell ref="C11:D11"/>
    <mergeCell ref="C20:C21"/>
    <mergeCell ref="B16:B17"/>
    <mergeCell ref="C16:C17"/>
    <mergeCell ref="B20:B21"/>
    <mergeCell ref="B12:B13"/>
    <mergeCell ref="C12:C13"/>
    <mergeCell ref="B32:Q35"/>
    <mergeCell ref="C23:D23"/>
    <mergeCell ref="B26:O26"/>
    <mergeCell ref="C27:D27"/>
    <mergeCell ref="B28:B29"/>
    <mergeCell ref="C28:C29"/>
    <mergeCell ref="B24:B25"/>
    <mergeCell ref="C24:C25"/>
    <mergeCell ref="P23:Q23"/>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8671875" defaultRowHeight="14.4" x14ac:dyDescent="0.3"/>
  <cols>
    <col min="1" max="1" width="8.88671875" style="19"/>
    <col min="2" max="2" width="18.6640625" style="19" bestFit="1" customWidth="1"/>
    <col min="3" max="3" width="11.6640625" style="19" bestFit="1" customWidth="1"/>
    <col min="4" max="4" width="4.33203125" style="19" bestFit="1" customWidth="1"/>
    <col min="5" max="5" width="10.44140625" style="19" bestFit="1" customWidth="1"/>
    <col min="6" max="6" width="8.5546875" style="19" bestFit="1" customWidth="1"/>
    <col min="7" max="8" width="7.6640625" style="19" bestFit="1" customWidth="1"/>
    <col min="9" max="9" width="11.5546875" style="19" customWidth="1"/>
    <col min="10" max="10" width="12.6640625" style="19" customWidth="1"/>
    <col min="11" max="11" width="8.5546875" style="19" bestFit="1" customWidth="1"/>
    <col min="12" max="12" width="10.44140625" style="19" bestFit="1" customWidth="1"/>
    <col min="13" max="13" width="6.88671875" style="19" bestFit="1" customWidth="1"/>
    <col min="14" max="14" width="9.33203125" style="19" bestFit="1" customWidth="1"/>
    <col min="15" max="15" width="6.5546875" style="19" customWidth="1"/>
    <col min="16" max="16" width="30.88671875" style="19" customWidth="1"/>
    <col min="17" max="16384" width="8.88671875" style="19"/>
  </cols>
  <sheetData>
    <row r="1" spans="2:16" x14ac:dyDescent="0.3">
      <c r="B1" s="35"/>
      <c r="C1" s="35"/>
      <c r="D1" s="35"/>
      <c r="E1" s="35"/>
      <c r="F1" s="35"/>
      <c r="G1" s="35"/>
      <c r="H1" s="35"/>
      <c r="I1" s="35"/>
      <c r="J1" s="35"/>
      <c r="K1" s="35"/>
      <c r="L1" s="35"/>
      <c r="M1" s="35"/>
      <c r="N1" s="35"/>
      <c r="O1" s="35"/>
    </row>
    <row r="2" spans="2:16" x14ac:dyDescent="0.3">
      <c r="B2" s="35"/>
      <c r="C2" s="35"/>
      <c r="D2" s="35"/>
      <c r="E2" s="35"/>
      <c r="F2" s="35"/>
      <c r="G2" s="35"/>
      <c r="H2" s="35"/>
      <c r="I2" s="35"/>
      <c r="J2" s="35"/>
      <c r="K2" s="35"/>
      <c r="L2" s="35"/>
      <c r="M2" s="35"/>
      <c r="N2" s="35"/>
      <c r="O2" s="35"/>
    </row>
    <row r="3" spans="2:16" x14ac:dyDescent="0.3">
      <c r="B3" s="35"/>
      <c r="C3" s="35"/>
      <c r="D3" s="35"/>
      <c r="E3" s="35"/>
      <c r="F3" s="35"/>
      <c r="G3" s="35"/>
      <c r="H3" s="35"/>
      <c r="I3" s="35"/>
      <c r="J3" s="35"/>
      <c r="K3" s="35"/>
      <c r="L3" s="35"/>
      <c r="M3" s="35"/>
      <c r="N3" s="35"/>
      <c r="O3" s="35"/>
    </row>
    <row r="4" spans="2:16" x14ac:dyDescent="0.3">
      <c r="B4" s="35"/>
      <c r="C4" s="35"/>
      <c r="D4" s="35"/>
      <c r="E4" s="35"/>
      <c r="F4" s="35"/>
      <c r="G4" s="35"/>
      <c r="H4" s="35"/>
      <c r="I4" s="35"/>
      <c r="J4" s="35"/>
      <c r="K4" s="35"/>
      <c r="L4" s="35"/>
      <c r="M4" s="35"/>
      <c r="N4" s="35"/>
      <c r="O4" s="35"/>
    </row>
    <row r="5" spans="2:16" x14ac:dyDescent="0.3">
      <c r="B5" s="35"/>
      <c r="C5" s="35"/>
      <c r="D5" s="35"/>
      <c r="E5" s="35"/>
      <c r="F5" s="35"/>
      <c r="G5" s="35"/>
      <c r="H5" s="35"/>
      <c r="I5" s="35"/>
      <c r="J5" s="35"/>
      <c r="K5" s="35"/>
      <c r="L5" s="35"/>
      <c r="M5" s="35"/>
      <c r="N5" s="35"/>
      <c r="O5" s="35"/>
    </row>
    <row r="6" spans="2:16" x14ac:dyDescent="0.3">
      <c r="B6" s="35"/>
      <c r="C6" s="35"/>
      <c r="D6" s="35"/>
      <c r="E6" s="35"/>
      <c r="F6" s="35"/>
      <c r="G6" s="35"/>
      <c r="H6" s="35"/>
      <c r="I6" s="35"/>
      <c r="J6" s="35"/>
      <c r="K6" s="35"/>
      <c r="L6" s="35"/>
      <c r="M6" s="35"/>
      <c r="N6" s="35"/>
      <c r="O6" s="35"/>
    </row>
    <row r="7" spans="2:16" x14ac:dyDescent="0.3">
      <c r="B7" s="35"/>
      <c r="C7" s="35"/>
      <c r="D7" s="35"/>
      <c r="E7" s="35"/>
      <c r="F7" s="35"/>
      <c r="G7" s="35"/>
      <c r="H7" s="35"/>
      <c r="I7" s="35"/>
      <c r="J7" s="35"/>
      <c r="K7" s="35"/>
      <c r="L7" s="35"/>
      <c r="M7" s="35"/>
      <c r="N7" s="35"/>
      <c r="O7" s="35"/>
    </row>
    <row r="8" spans="2:16" ht="15" thickBot="1" x14ac:dyDescent="0.35">
      <c r="B8" s="27"/>
      <c r="C8" s="27"/>
      <c r="D8" s="28"/>
      <c r="E8" s="29"/>
      <c r="F8" s="30"/>
      <c r="G8" s="30"/>
      <c r="H8" s="30"/>
      <c r="I8" s="30"/>
      <c r="J8" s="31"/>
      <c r="K8" s="32"/>
      <c r="L8" s="31"/>
      <c r="M8" s="33"/>
      <c r="N8" s="34"/>
      <c r="O8" s="28"/>
      <c r="P8" s="28"/>
    </row>
    <row r="9" spans="2:16" ht="28.8" x14ac:dyDescent="0.3">
      <c r="B9" s="75" t="s">
        <v>218</v>
      </c>
      <c r="C9" s="76"/>
      <c r="D9" s="76"/>
      <c r="E9" s="76"/>
      <c r="F9" s="76"/>
      <c r="G9" s="76"/>
      <c r="H9" s="76"/>
      <c r="I9" s="76"/>
      <c r="J9" s="76"/>
      <c r="K9" s="76"/>
      <c r="L9" s="76"/>
      <c r="M9" s="76"/>
      <c r="N9" s="76"/>
      <c r="O9" s="76"/>
      <c r="P9" s="77"/>
    </row>
    <row r="10" spans="2:16" ht="28.8" x14ac:dyDescent="0.3">
      <c r="B10" s="78" t="s">
        <v>1</v>
      </c>
      <c r="C10" s="360" t="s">
        <v>2</v>
      </c>
      <c r="D10" s="360"/>
      <c r="E10" s="15" t="s">
        <v>3</v>
      </c>
      <c r="F10" s="15" t="s">
        <v>4</v>
      </c>
      <c r="G10" s="15" t="s">
        <v>5</v>
      </c>
      <c r="H10" s="15" t="s">
        <v>6</v>
      </c>
      <c r="I10" s="16" t="s">
        <v>50</v>
      </c>
      <c r="J10" s="16" t="s">
        <v>53</v>
      </c>
      <c r="K10" s="16" t="s">
        <v>10</v>
      </c>
      <c r="L10" s="16" t="s">
        <v>11</v>
      </c>
      <c r="M10" s="16" t="s">
        <v>12</v>
      </c>
      <c r="N10" s="15" t="s">
        <v>13</v>
      </c>
      <c r="O10" s="15" t="s">
        <v>14</v>
      </c>
      <c r="P10" s="79" t="s">
        <v>36</v>
      </c>
    </row>
    <row r="11" spans="2:16" ht="28.8" x14ac:dyDescent="0.3">
      <c r="B11" s="361" t="s">
        <v>219</v>
      </c>
      <c r="C11" s="364" t="s">
        <v>29</v>
      </c>
      <c r="D11" s="45" t="s">
        <v>17</v>
      </c>
      <c r="E11" s="46">
        <v>11500</v>
      </c>
      <c r="F11" s="47">
        <v>335</v>
      </c>
      <c r="G11" s="47">
        <v>76.5</v>
      </c>
      <c r="H11" s="47">
        <v>14</v>
      </c>
      <c r="I11" s="47">
        <v>10</v>
      </c>
      <c r="J11" s="48">
        <f t="shared" ref="J11:J16" si="0">SUM(E11:I11)</f>
        <v>11935.5</v>
      </c>
      <c r="K11" s="24">
        <v>200</v>
      </c>
      <c r="L11" s="48">
        <f t="shared" ref="L11:L27" si="1">SUM(J11:K11)</f>
        <v>12135.5</v>
      </c>
      <c r="M11" s="49" t="s">
        <v>99</v>
      </c>
      <c r="N11" s="50">
        <v>45504</v>
      </c>
      <c r="O11" s="49" t="s">
        <v>108</v>
      </c>
      <c r="P11" s="80" t="s">
        <v>220</v>
      </c>
    </row>
    <row r="12" spans="2:16" ht="28.8" x14ac:dyDescent="0.3">
      <c r="B12" s="362"/>
      <c r="C12" s="364"/>
      <c r="D12" s="45" t="s">
        <v>22</v>
      </c>
      <c r="E12" s="46">
        <v>12000</v>
      </c>
      <c r="F12" s="47">
        <v>335</v>
      </c>
      <c r="G12" s="47">
        <v>76.5</v>
      </c>
      <c r="H12" s="47">
        <v>14</v>
      </c>
      <c r="I12" s="47">
        <v>10</v>
      </c>
      <c r="J12" s="48">
        <f t="shared" si="0"/>
        <v>12435.5</v>
      </c>
      <c r="K12" s="24">
        <v>200</v>
      </c>
      <c r="L12" s="48">
        <f t="shared" si="1"/>
        <v>12635.5</v>
      </c>
      <c r="M12" s="49" t="s">
        <v>99</v>
      </c>
      <c r="N12" s="50">
        <v>45504</v>
      </c>
      <c r="O12" s="49" t="s">
        <v>108</v>
      </c>
      <c r="P12" s="80" t="s">
        <v>220</v>
      </c>
    </row>
    <row r="13" spans="2:16" ht="28.8" x14ac:dyDescent="0.3">
      <c r="B13" s="362"/>
      <c r="C13" s="364" t="s">
        <v>16</v>
      </c>
      <c r="D13" s="45" t="s">
        <v>17</v>
      </c>
      <c r="E13" s="46">
        <v>11500</v>
      </c>
      <c r="F13" s="47">
        <v>335</v>
      </c>
      <c r="G13" s="47">
        <v>76.5</v>
      </c>
      <c r="H13" s="47">
        <v>14</v>
      </c>
      <c r="I13" s="47">
        <v>10</v>
      </c>
      <c r="J13" s="48">
        <f t="shared" si="0"/>
        <v>11935.5</v>
      </c>
      <c r="K13" s="24">
        <v>200</v>
      </c>
      <c r="L13" s="48">
        <f t="shared" si="1"/>
        <v>12135.5</v>
      </c>
      <c r="M13" s="49" t="s">
        <v>99</v>
      </c>
      <c r="N13" s="50">
        <v>45504</v>
      </c>
      <c r="O13" s="49" t="s">
        <v>108</v>
      </c>
      <c r="P13" s="80" t="s">
        <v>220</v>
      </c>
    </row>
    <row r="14" spans="2:16" ht="28.8" x14ac:dyDescent="0.3">
      <c r="B14" s="362"/>
      <c r="C14" s="364"/>
      <c r="D14" s="45" t="s">
        <v>22</v>
      </c>
      <c r="E14" s="46">
        <v>12000</v>
      </c>
      <c r="F14" s="47">
        <v>335</v>
      </c>
      <c r="G14" s="47">
        <v>76.5</v>
      </c>
      <c r="H14" s="47">
        <v>14</v>
      </c>
      <c r="I14" s="47">
        <v>10</v>
      </c>
      <c r="J14" s="48">
        <f t="shared" si="0"/>
        <v>12435.5</v>
      </c>
      <c r="K14" s="24">
        <v>200</v>
      </c>
      <c r="L14" s="48">
        <f t="shared" si="1"/>
        <v>12635.5</v>
      </c>
      <c r="M14" s="49" t="s">
        <v>99</v>
      </c>
      <c r="N14" s="50">
        <v>45504</v>
      </c>
      <c r="O14" s="49" t="s">
        <v>108</v>
      </c>
      <c r="P14" s="80" t="s">
        <v>220</v>
      </c>
    </row>
    <row r="15" spans="2:16" ht="28.8" x14ac:dyDescent="0.3">
      <c r="B15" s="362"/>
      <c r="C15" s="364" t="s">
        <v>29</v>
      </c>
      <c r="D15" s="45" t="s">
        <v>17</v>
      </c>
      <c r="E15" s="46">
        <v>11550</v>
      </c>
      <c r="F15" s="47">
        <v>300</v>
      </c>
      <c r="G15" s="47">
        <v>97.88</v>
      </c>
      <c r="H15" s="47" t="s">
        <v>118</v>
      </c>
      <c r="I15" s="51">
        <v>55</v>
      </c>
      <c r="J15" s="48">
        <f t="shared" si="0"/>
        <v>12002.88</v>
      </c>
      <c r="K15" s="24">
        <v>200</v>
      </c>
      <c r="L15" s="48">
        <f t="shared" si="1"/>
        <v>12202.88</v>
      </c>
      <c r="M15" s="49" t="s">
        <v>99</v>
      </c>
      <c r="N15" s="50">
        <v>45487</v>
      </c>
      <c r="O15" s="49" t="s">
        <v>70</v>
      </c>
      <c r="P15" s="81" t="s">
        <v>221</v>
      </c>
    </row>
    <row r="16" spans="2:16" ht="28.8" x14ac:dyDescent="0.3">
      <c r="B16" s="362"/>
      <c r="C16" s="364"/>
      <c r="D16" s="45" t="s">
        <v>22</v>
      </c>
      <c r="E16" s="46">
        <v>11750</v>
      </c>
      <c r="F16" s="47">
        <v>300</v>
      </c>
      <c r="G16" s="47">
        <v>97.88</v>
      </c>
      <c r="H16" s="47" t="s">
        <v>118</v>
      </c>
      <c r="I16" s="51">
        <v>55</v>
      </c>
      <c r="J16" s="48">
        <f t="shared" si="0"/>
        <v>12202.88</v>
      </c>
      <c r="K16" s="24">
        <v>200</v>
      </c>
      <c r="L16" s="48">
        <f>SUM(J16:K16)</f>
        <v>12402.88</v>
      </c>
      <c r="M16" s="49" t="s">
        <v>99</v>
      </c>
      <c r="N16" s="50">
        <v>45487</v>
      </c>
      <c r="O16" s="49" t="s">
        <v>70</v>
      </c>
      <c r="P16" s="81" t="s">
        <v>221</v>
      </c>
    </row>
    <row r="17" spans="2:16" ht="28.8" x14ac:dyDescent="0.3">
      <c r="B17" s="362"/>
      <c r="C17" s="364" t="s">
        <v>29</v>
      </c>
      <c r="D17" s="45" t="s">
        <v>17</v>
      </c>
      <c r="E17" s="46">
        <v>10900</v>
      </c>
      <c r="F17" s="47">
        <v>259</v>
      </c>
      <c r="G17" s="47">
        <v>61.88</v>
      </c>
      <c r="H17" s="47" t="s">
        <v>118</v>
      </c>
      <c r="I17" s="47" t="s">
        <v>118</v>
      </c>
      <c r="J17" s="48">
        <f>SUM(F17:I17)</f>
        <v>320.88</v>
      </c>
      <c r="K17" s="24">
        <v>200</v>
      </c>
      <c r="L17" s="48">
        <f t="shared" ref="L17:L18" si="2">SUM(J17:K17)</f>
        <v>520.88</v>
      </c>
      <c r="M17" s="49" t="s">
        <v>99</v>
      </c>
      <c r="N17" s="50">
        <v>45487</v>
      </c>
      <c r="O17" s="49" t="s">
        <v>62</v>
      </c>
      <c r="P17" s="80" t="s">
        <v>222</v>
      </c>
    </row>
    <row r="18" spans="2:16" ht="28.8" x14ac:dyDescent="0.3">
      <c r="B18" s="362"/>
      <c r="C18" s="364"/>
      <c r="D18" s="45" t="s">
        <v>22</v>
      </c>
      <c r="E18" s="46">
        <v>11900</v>
      </c>
      <c r="F18" s="47">
        <v>259</v>
      </c>
      <c r="G18" s="47">
        <v>61.88</v>
      </c>
      <c r="H18" s="47" t="s">
        <v>118</v>
      </c>
      <c r="I18" s="47" t="s">
        <v>118</v>
      </c>
      <c r="J18" s="48">
        <f>SUM(F18:I18)</f>
        <v>320.88</v>
      </c>
      <c r="K18" s="24">
        <v>200</v>
      </c>
      <c r="L18" s="48">
        <f t="shared" si="2"/>
        <v>520.88</v>
      </c>
      <c r="M18" s="49" t="s">
        <v>99</v>
      </c>
      <c r="N18" s="50">
        <v>45487</v>
      </c>
      <c r="O18" s="49" t="s">
        <v>62</v>
      </c>
      <c r="P18" s="80" t="s">
        <v>222</v>
      </c>
    </row>
    <row r="19" spans="2:16" ht="43.2" x14ac:dyDescent="0.3">
      <c r="B19" s="362"/>
      <c r="C19" s="364" t="s">
        <v>29</v>
      </c>
      <c r="D19" s="45" t="s">
        <v>17</v>
      </c>
      <c r="E19" s="46">
        <v>10900</v>
      </c>
      <c r="F19" s="47">
        <v>270</v>
      </c>
      <c r="G19" s="47">
        <v>70</v>
      </c>
      <c r="H19" s="51">
        <v>18</v>
      </c>
      <c r="I19" s="47" t="s">
        <v>118</v>
      </c>
      <c r="J19" s="48">
        <f>SUM(E19:I19)</f>
        <v>11258</v>
      </c>
      <c r="K19" s="24">
        <v>200</v>
      </c>
      <c r="L19" s="48">
        <f t="shared" si="1"/>
        <v>11458</v>
      </c>
      <c r="M19" s="49" t="s">
        <v>99</v>
      </c>
      <c r="N19" s="50">
        <v>45487</v>
      </c>
      <c r="O19" s="49" t="s">
        <v>46</v>
      </c>
      <c r="P19" s="80" t="s">
        <v>223</v>
      </c>
    </row>
    <row r="20" spans="2:16" ht="43.2" x14ac:dyDescent="0.3">
      <c r="B20" s="363"/>
      <c r="C20" s="364"/>
      <c r="D20" s="45" t="s">
        <v>22</v>
      </c>
      <c r="E20" s="46">
        <v>12350</v>
      </c>
      <c r="F20" s="47">
        <v>270</v>
      </c>
      <c r="G20" s="47">
        <v>70</v>
      </c>
      <c r="H20" s="51">
        <v>18</v>
      </c>
      <c r="I20" s="47" t="s">
        <v>118</v>
      </c>
      <c r="J20" s="48">
        <f>SUM(E20:I20)</f>
        <v>12708</v>
      </c>
      <c r="K20" s="24">
        <v>200</v>
      </c>
      <c r="L20" s="48">
        <f t="shared" si="1"/>
        <v>12908</v>
      </c>
      <c r="M20" s="49" t="s">
        <v>99</v>
      </c>
      <c r="N20" s="50">
        <v>45487</v>
      </c>
      <c r="O20" s="49" t="s">
        <v>46</v>
      </c>
      <c r="P20" s="80" t="s">
        <v>223</v>
      </c>
    </row>
    <row r="21" spans="2:16" ht="28.8" x14ac:dyDescent="0.3">
      <c r="B21" s="361" t="s">
        <v>224</v>
      </c>
      <c r="C21" s="364" t="s">
        <v>29</v>
      </c>
      <c r="D21" s="45" t="s">
        <v>17</v>
      </c>
      <c r="E21" s="46">
        <v>11650</v>
      </c>
      <c r="F21" s="47">
        <v>335</v>
      </c>
      <c r="G21" s="47">
        <v>76.5</v>
      </c>
      <c r="H21" s="47">
        <v>14</v>
      </c>
      <c r="I21" s="47">
        <v>10</v>
      </c>
      <c r="J21" s="48">
        <f>SUM(E21:I21)</f>
        <v>12085.5</v>
      </c>
      <c r="K21" s="24">
        <v>200</v>
      </c>
      <c r="L21" s="48">
        <f t="shared" si="1"/>
        <v>12285.5</v>
      </c>
      <c r="M21" s="49" t="s">
        <v>99</v>
      </c>
      <c r="N21" s="50">
        <v>45504</v>
      </c>
      <c r="O21" s="49" t="s">
        <v>108</v>
      </c>
      <c r="P21" s="80" t="s">
        <v>220</v>
      </c>
    </row>
    <row r="22" spans="2:16" ht="28.8" x14ac:dyDescent="0.3">
      <c r="B22" s="363"/>
      <c r="C22" s="364"/>
      <c r="D22" s="45" t="s">
        <v>22</v>
      </c>
      <c r="E22" s="46">
        <v>12300</v>
      </c>
      <c r="F22" s="47">
        <v>335</v>
      </c>
      <c r="G22" s="47">
        <v>76.5</v>
      </c>
      <c r="H22" s="47">
        <v>14</v>
      </c>
      <c r="I22" s="47">
        <v>10</v>
      </c>
      <c r="J22" s="48">
        <f>SUM(E22:I22)</f>
        <v>12735.5</v>
      </c>
      <c r="K22" s="24">
        <v>200</v>
      </c>
      <c r="L22" s="48">
        <f t="shared" si="1"/>
        <v>12935.5</v>
      </c>
      <c r="M22" s="49" t="s">
        <v>99</v>
      </c>
      <c r="N22" s="50">
        <v>45504</v>
      </c>
      <c r="O22" s="49" t="s">
        <v>108</v>
      </c>
      <c r="P22" s="80" t="s">
        <v>220</v>
      </c>
    </row>
    <row r="23" spans="2:16" ht="28.8" x14ac:dyDescent="0.3">
      <c r="B23" s="361" t="s">
        <v>225</v>
      </c>
      <c r="C23" s="364" t="s">
        <v>29</v>
      </c>
      <c r="D23" s="45" t="s">
        <v>17</v>
      </c>
      <c r="E23" s="46">
        <v>11800</v>
      </c>
      <c r="F23" s="47">
        <v>270</v>
      </c>
      <c r="G23" s="47">
        <v>70</v>
      </c>
      <c r="H23" s="47" t="s">
        <v>118</v>
      </c>
      <c r="I23" s="47" t="s">
        <v>118</v>
      </c>
      <c r="J23" s="48">
        <f t="shared" ref="J23:J25" si="3">SUM(E23:I23)</f>
        <v>12140</v>
      </c>
      <c r="K23" s="24">
        <v>200</v>
      </c>
      <c r="L23" s="48">
        <f t="shared" si="1"/>
        <v>12340</v>
      </c>
      <c r="M23" s="49" t="s">
        <v>99</v>
      </c>
      <c r="N23" s="50">
        <v>45504</v>
      </c>
      <c r="O23" s="49" t="s">
        <v>46</v>
      </c>
      <c r="P23" s="80" t="s">
        <v>226</v>
      </c>
    </row>
    <row r="24" spans="2:16" ht="28.8" x14ac:dyDescent="0.3">
      <c r="B24" s="363"/>
      <c r="C24" s="364"/>
      <c r="D24" s="45" t="s">
        <v>22</v>
      </c>
      <c r="E24" s="46">
        <v>13500</v>
      </c>
      <c r="F24" s="47">
        <v>270</v>
      </c>
      <c r="G24" s="47">
        <v>70</v>
      </c>
      <c r="H24" s="47" t="s">
        <v>118</v>
      </c>
      <c r="I24" s="47" t="s">
        <v>118</v>
      </c>
      <c r="J24" s="48">
        <f t="shared" si="3"/>
        <v>13840</v>
      </c>
      <c r="K24" s="24">
        <v>200</v>
      </c>
      <c r="L24" s="48">
        <f t="shared" si="1"/>
        <v>14040</v>
      </c>
      <c r="M24" s="74" t="s">
        <v>99</v>
      </c>
      <c r="N24" s="50">
        <v>45504</v>
      </c>
      <c r="O24" s="49" t="s">
        <v>46</v>
      </c>
      <c r="P24" s="80" t="s">
        <v>226</v>
      </c>
    </row>
    <row r="25" spans="2:16" ht="28.8" hidden="1" x14ac:dyDescent="0.3">
      <c r="B25" s="224" t="s">
        <v>227</v>
      </c>
      <c r="C25" s="225" t="s">
        <v>29</v>
      </c>
      <c r="D25" s="40" t="s">
        <v>17</v>
      </c>
      <c r="E25" s="83">
        <v>5300</v>
      </c>
      <c r="F25" s="56">
        <v>259</v>
      </c>
      <c r="G25" s="56">
        <v>60</v>
      </c>
      <c r="H25" s="56" t="s">
        <v>118</v>
      </c>
      <c r="I25" s="56" t="s">
        <v>118</v>
      </c>
      <c r="J25" s="58">
        <f t="shared" si="3"/>
        <v>5619</v>
      </c>
      <c r="K25" s="24">
        <v>200</v>
      </c>
      <c r="L25" s="58">
        <f t="shared" si="1"/>
        <v>5819</v>
      </c>
      <c r="M25" s="59" t="s">
        <v>228</v>
      </c>
      <c r="N25" s="60">
        <v>45493</v>
      </c>
      <c r="O25" s="53" t="s">
        <v>229</v>
      </c>
      <c r="P25" s="84" t="s">
        <v>230</v>
      </c>
    </row>
    <row r="26" spans="2:16" ht="28.8" hidden="1" x14ac:dyDescent="0.3">
      <c r="B26" s="224"/>
      <c r="C26" s="225"/>
      <c r="D26" s="40" t="s">
        <v>22</v>
      </c>
      <c r="E26" s="83">
        <v>7500</v>
      </c>
      <c r="F26" s="56">
        <v>259</v>
      </c>
      <c r="G26" s="56">
        <v>60</v>
      </c>
      <c r="H26" s="56" t="s">
        <v>118</v>
      </c>
      <c r="I26" s="56" t="s">
        <v>118</v>
      </c>
      <c r="J26" s="58">
        <f>SUM(E26:I26)</f>
        <v>7819</v>
      </c>
      <c r="K26" s="24">
        <v>200</v>
      </c>
      <c r="L26" s="58">
        <f t="shared" si="1"/>
        <v>8019</v>
      </c>
      <c r="M26" s="59" t="s">
        <v>228</v>
      </c>
      <c r="N26" s="60">
        <v>45493</v>
      </c>
      <c r="O26" s="53" t="s">
        <v>229</v>
      </c>
      <c r="P26" s="84" t="s">
        <v>230</v>
      </c>
    </row>
    <row r="27" spans="2:16" ht="15" thickBot="1" x14ac:dyDescent="0.35">
      <c r="B27" s="353"/>
      <c r="C27" s="373"/>
      <c r="D27" s="85" t="s">
        <v>17</v>
      </c>
      <c r="E27" s="86">
        <v>14200</v>
      </c>
      <c r="F27" s="87">
        <v>335</v>
      </c>
      <c r="G27" s="87">
        <v>76.5</v>
      </c>
      <c r="H27" s="87">
        <v>14</v>
      </c>
      <c r="I27" s="87">
        <v>10</v>
      </c>
      <c r="J27" s="88">
        <f>SUM(E27:I27)</f>
        <v>14635.5</v>
      </c>
      <c r="K27" s="82">
        <v>200</v>
      </c>
      <c r="L27" s="88">
        <f t="shared" si="1"/>
        <v>14835.5</v>
      </c>
      <c r="M27" s="89" t="s">
        <v>99</v>
      </c>
      <c r="N27" s="90">
        <v>45493</v>
      </c>
      <c r="O27" s="91" t="s">
        <v>108</v>
      </c>
      <c r="P27" s="92" t="s">
        <v>231</v>
      </c>
    </row>
    <row r="28" spans="2:16" ht="15" thickBot="1" x14ac:dyDescent="0.35">
      <c r="B28" s="27"/>
      <c r="C28" s="27"/>
      <c r="D28" s="28"/>
      <c r="E28" s="29"/>
      <c r="F28" s="30"/>
      <c r="G28" s="30"/>
      <c r="H28" s="30"/>
      <c r="I28" s="30"/>
      <c r="J28" s="31"/>
      <c r="K28" s="32"/>
      <c r="L28" s="31"/>
      <c r="M28" s="33"/>
      <c r="N28" s="34"/>
      <c r="O28" s="28"/>
    </row>
    <row r="29" spans="2:16" ht="15.6" x14ac:dyDescent="0.3">
      <c r="B29" s="365" t="s">
        <v>32</v>
      </c>
      <c r="C29" s="366"/>
      <c r="D29" s="366"/>
      <c r="E29" s="366"/>
      <c r="F29" s="366"/>
      <c r="G29" s="366"/>
      <c r="H29" s="366"/>
      <c r="I29" s="366"/>
      <c r="J29" s="366"/>
      <c r="K29" s="366"/>
      <c r="L29" s="366"/>
      <c r="M29" s="366"/>
      <c r="N29" s="366"/>
      <c r="O29" s="366"/>
      <c r="P29" s="367"/>
    </row>
    <row r="30" spans="2:16" x14ac:dyDescent="0.3">
      <c r="B30" s="368" t="s">
        <v>33</v>
      </c>
      <c r="C30" s="227"/>
      <c r="D30" s="227"/>
      <c r="E30" s="227"/>
      <c r="F30" s="227"/>
      <c r="G30" s="227"/>
      <c r="H30" s="227"/>
      <c r="I30" s="227"/>
      <c r="J30" s="227"/>
      <c r="K30" s="227"/>
      <c r="L30" s="227"/>
      <c r="M30" s="227"/>
      <c r="N30" s="227"/>
      <c r="O30" s="227"/>
      <c r="P30" s="369"/>
    </row>
    <row r="31" spans="2:16" x14ac:dyDescent="0.3">
      <c r="B31" s="368"/>
      <c r="C31" s="227"/>
      <c r="D31" s="227"/>
      <c r="E31" s="227"/>
      <c r="F31" s="227"/>
      <c r="G31" s="227"/>
      <c r="H31" s="227"/>
      <c r="I31" s="227"/>
      <c r="J31" s="227"/>
      <c r="K31" s="227"/>
      <c r="L31" s="227"/>
      <c r="M31" s="227"/>
      <c r="N31" s="227"/>
      <c r="O31" s="227"/>
      <c r="P31" s="369"/>
    </row>
    <row r="32" spans="2:16" x14ac:dyDescent="0.3">
      <c r="B32" s="368"/>
      <c r="C32" s="227"/>
      <c r="D32" s="227"/>
      <c r="E32" s="227"/>
      <c r="F32" s="227"/>
      <c r="G32" s="227"/>
      <c r="H32" s="227"/>
      <c r="I32" s="227"/>
      <c r="J32" s="227"/>
      <c r="K32" s="227"/>
      <c r="L32" s="227"/>
      <c r="M32" s="227"/>
      <c r="N32" s="227"/>
      <c r="O32" s="227"/>
      <c r="P32" s="369"/>
    </row>
    <row r="33" spans="2:16" ht="15" thickBot="1" x14ac:dyDescent="0.35">
      <c r="B33" s="370"/>
      <c r="C33" s="371"/>
      <c r="D33" s="371"/>
      <c r="E33" s="371"/>
      <c r="F33" s="371"/>
      <c r="G33" s="371"/>
      <c r="H33" s="371"/>
      <c r="I33" s="371"/>
      <c r="J33" s="371"/>
      <c r="K33" s="371"/>
      <c r="L33" s="371"/>
      <c r="M33" s="371"/>
      <c r="N33" s="371"/>
      <c r="O33" s="371"/>
      <c r="P33" s="372"/>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2.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customXml/itemProps3.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Print FE-TT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2026-09-28T14:04:06Z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