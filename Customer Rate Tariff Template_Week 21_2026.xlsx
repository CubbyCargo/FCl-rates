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4130D1A1-8938-48E9-A604-5EE7981D26CE}" xr6:coauthVersionLast="47" xr6:coauthVersionMax="47" xr10:uidLastSave="{00000000-0000-0000-0000-000000000000}"/>
  <bookViews>
    <workbookView xWindow="-108" yWindow="-108" windowWidth="23256" windowHeight="13896"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25" l="1"/>
  <c r="E37" i="25"/>
  <c r="E36" i="25"/>
  <c r="E40" i="28"/>
  <c r="E38" i="28"/>
  <c r="E37" i="28"/>
  <c r="I37" i="28" s="1"/>
  <c r="K37" i="28" s="1"/>
  <c r="E84" i="21"/>
  <c r="E83" i="21"/>
  <c r="E75" i="21"/>
  <c r="E74" i="21"/>
  <c r="E71" i="21"/>
  <c r="E70" i="21"/>
  <c r="E67" i="21"/>
  <c r="E66" i="21"/>
  <c r="E63" i="21"/>
  <c r="E62" i="21"/>
  <c r="E59" i="21"/>
  <c r="E58" i="21"/>
  <c r="K58" i="21" s="1"/>
  <c r="M58" i="21" s="1"/>
  <c r="E81" i="25"/>
  <c r="E80" i="25"/>
  <c r="E75" i="25"/>
  <c r="E74" i="25"/>
  <c r="E73" i="25"/>
  <c r="E72" i="25"/>
  <c r="E65" i="25"/>
  <c r="E64" i="25"/>
  <c r="E63" i="25"/>
  <c r="E62" i="25"/>
  <c r="E61" i="25"/>
  <c r="E60" i="25"/>
  <c r="E59" i="25"/>
  <c r="E58" i="25"/>
  <c r="E108" i="28"/>
  <c r="E107" i="28"/>
  <c r="E104" i="28"/>
  <c r="E103" i="28"/>
  <c r="E95" i="28"/>
  <c r="L95" i="28" s="1"/>
  <c r="N95" i="28" s="1"/>
  <c r="E94" i="28"/>
  <c r="L94" i="28" s="1"/>
  <c r="N94" i="28" s="1"/>
  <c r="E91" i="28"/>
  <c r="L91" i="28" s="1"/>
  <c r="N91" i="28" s="1"/>
  <c r="E90" i="28"/>
  <c r="L90" i="28" s="1"/>
  <c r="N90" i="28" s="1"/>
  <c r="E87" i="28"/>
  <c r="E86" i="28"/>
  <c r="L86" i="28" s="1"/>
  <c r="N86" i="28" s="1"/>
  <c r="E83" i="28"/>
  <c r="E82" i="28"/>
  <c r="E79" i="28"/>
  <c r="E78" i="28"/>
  <c r="E77" i="28"/>
  <c r="E76" i="28"/>
  <c r="E75" i="28"/>
  <c r="E74" i="28"/>
  <c r="E73" i="28"/>
  <c r="E72" i="28"/>
  <c r="E71" i="28"/>
  <c r="E70" i="28"/>
  <c r="L70" i="28" s="1"/>
  <c r="N70" i="28" s="1"/>
  <c r="E69" i="28"/>
  <c r="E68" i="28"/>
  <c r="E67" i="28"/>
  <c r="E66" i="28"/>
  <c r="E65" i="28"/>
  <c r="L65" i="28" s="1"/>
  <c r="N65" i="28" s="1"/>
  <c r="E64" i="28"/>
  <c r="E62" i="28"/>
  <c r="E63" i="28"/>
  <c r="E61" i="28"/>
  <c r="E60" i="28"/>
  <c r="E59" i="28"/>
  <c r="E58" i="28"/>
  <c r="E16" i="21"/>
  <c r="E15" i="21"/>
  <c r="E14" i="21"/>
  <c r="E13" i="21"/>
  <c r="E12" i="21"/>
  <c r="E11" i="21"/>
  <c r="E21" i="28"/>
  <c r="E20" i="28"/>
  <c r="E19" i="28"/>
  <c r="E18" i="28"/>
  <c r="E17" i="28"/>
  <c r="E16" i="28"/>
  <c r="E15" i="28"/>
  <c r="E14" i="28"/>
  <c r="E18" i="25"/>
  <c r="E17" i="25"/>
  <c r="E16" i="25"/>
  <c r="E15" i="25"/>
  <c r="E14" i="25"/>
  <c r="E13" i="25"/>
  <c r="E12" i="25"/>
  <c r="E11" i="25"/>
  <c r="E13" i="28"/>
  <c r="E12" i="28"/>
  <c r="E138" i="21"/>
  <c r="K138" i="21"/>
  <c r="E137" i="21"/>
  <c r="K137" i="21"/>
  <c r="M137" i="21"/>
  <c r="M138" i="21"/>
  <c r="E149" i="28"/>
  <c r="E148" i="28"/>
  <c r="E137" i="25"/>
  <c r="E136" i="25"/>
  <c r="J136" i="25"/>
  <c r="L136" i="25"/>
  <c r="J137" i="25"/>
  <c r="L137" i="25"/>
  <c r="L59" i="28"/>
  <c r="N59" i="28" s="1"/>
  <c r="E98" i="28"/>
  <c r="L98" i="28"/>
  <c r="N98" i="28"/>
  <c r="J27" i="27"/>
  <c r="J26" i="27"/>
  <c r="L26" i="27"/>
  <c r="L27" i="27"/>
  <c r="J19" i="27"/>
  <c r="J18" i="27"/>
  <c r="L18" i="27"/>
  <c r="L19" i="27"/>
  <c r="E99" i="28"/>
  <c r="E100" i="28"/>
  <c r="I39" i="28"/>
  <c r="K39" i="28"/>
  <c r="E20" i="24"/>
  <c r="E19" i="24"/>
  <c r="L67" i="28"/>
  <c r="N67" i="28" s="1"/>
  <c r="L66" i="28"/>
  <c r="N66" i="28" s="1"/>
  <c r="L63" i="28"/>
  <c r="N63" i="28" s="1"/>
  <c r="L62" i="28"/>
  <c r="N62" i="28" s="1"/>
  <c r="E142" i="28"/>
  <c r="K142" i="28"/>
  <c r="E143" i="28"/>
  <c r="K143" i="28"/>
  <c r="M143" i="28"/>
  <c r="K148" i="28"/>
  <c r="M148" i="28"/>
  <c r="K149" i="28"/>
  <c r="M149" i="28"/>
  <c r="K141" i="28"/>
  <c r="I125" i="28"/>
  <c r="K125" i="28"/>
  <c r="I126" i="28"/>
  <c r="K126" i="28"/>
  <c r="L58" i="28"/>
  <c r="N58" i="28" s="1"/>
  <c r="L60" i="28"/>
  <c r="N60" i="28"/>
  <c r="L61" i="28"/>
  <c r="N61" i="28" s="1"/>
  <c r="L64" i="28"/>
  <c r="N64" i="28" s="1"/>
  <c r="L68" i="28"/>
  <c r="N68" i="28" s="1"/>
  <c r="L69" i="28"/>
  <c r="N69" i="28" s="1"/>
  <c r="L71" i="28"/>
  <c r="N71" i="28"/>
  <c r="L72" i="28"/>
  <c r="N72" i="28" s="1"/>
  <c r="L73" i="28"/>
  <c r="N73" i="28"/>
  <c r="L74" i="28"/>
  <c r="N74" i="28" s="1"/>
  <c r="L75" i="28"/>
  <c r="N75" i="28"/>
  <c r="L76" i="28"/>
  <c r="N76" i="28" s="1"/>
  <c r="L77" i="28"/>
  <c r="N77" i="28"/>
  <c r="L78" i="28"/>
  <c r="N78" i="28"/>
  <c r="L79" i="28"/>
  <c r="N79" i="28" s="1"/>
  <c r="L82" i="28"/>
  <c r="N82" i="28"/>
  <c r="L83" i="28"/>
  <c r="N83" i="28" s="1"/>
  <c r="L87" i="28"/>
  <c r="N87" i="28" s="1"/>
  <c r="L99" i="28"/>
  <c r="N99" i="28"/>
  <c r="L100" i="28"/>
  <c r="N100" i="28"/>
  <c r="L103" i="28"/>
  <c r="N103" i="28"/>
  <c r="L104" i="28"/>
  <c r="N104" i="28"/>
  <c r="L107" i="28"/>
  <c r="N107" i="28" s="1"/>
  <c r="L108" i="28"/>
  <c r="N108" i="28"/>
  <c r="I38" i="28"/>
  <c r="K38" i="28"/>
  <c r="I40" i="28"/>
  <c r="K40" i="28"/>
  <c r="K10" i="28"/>
  <c r="M10" i="28"/>
  <c r="K11" i="28"/>
  <c r="M11" i="28"/>
  <c r="K12" i="28"/>
  <c r="M12" i="28"/>
  <c r="K13" i="28"/>
  <c r="M13" i="28"/>
  <c r="K14" i="28"/>
  <c r="M14" i="28"/>
  <c r="K15" i="28"/>
  <c r="M15" i="28"/>
  <c r="K16" i="28"/>
  <c r="M16" i="28"/>
  <c r="K17" i="28"/>
  <c r="M17" i="28"/>
  <c r="K18" i="28"/>
  <c r="M18" i="28"/>
  <c r="K19" i="28"/>
  <c r="M19" i="28"/>
  <c r="K20" i="28"/>
  <c r="M20" i="28"/>
  <c r="K21" i="28"/>
  <c r="M21" i="28"/>
  <c r="L11" i="27"/>
  <c r="L10" i="27"/>
  <c r="K74" i="21"/>
  <c r="M74" i="21" s="1"/>
  <c r="J62" i="25"/>
  <c r="L62" i="25" s="1"/>
  <c r="G31" i="27"/>
  <c r="G30" i="27"/>
  <c r="E31" i="27"/>
  <c r="E30" i="27"/>
  <c r="I31" i="27"/>
  <c r="K31" i="27"/>
  <c r="I30" i="27"/>
  <c r="K30" i="27"/>
  <c r="E27" i="27"/>
  <c r="E26" i="27"/>
  <c r="E22" i="27"/>
  <c r="E23" i="27"/>
  <c r="I23" i="27"/>
  <c r="K23" i="27"/>
  <c r="I22" i="27"/>
  <c r="K22" i="27"/>
  <c r="N14" i="27"/>
  <c r="N15" i="27"/>
  <c r="P15" i="27"/>
  <c r="P14" i="27"/>
  <c r="N11" i="27"/>
  <c r="N10" i="27"/>
  <c r="J75" i="25"/>
  <c r="L75" i="25"/>
  <c r="J74" i="25"/>
  <c r="L74" i="25"/>
  <c r="I39" i="25"/>
  <c r="K39" i="25" s="1"/>
  <c r="K59" i="21"/>
  <c r="M59" i="21" s="1"/>
  <c r="J81" i="25"/>
  <c r="L81" i="25" s="1"/>
  <c r="J80" i="25"/>
  <c r="L80" i="25" s="1"/>
  <c r="J73" i="25"/>
  <c r="L73" i="25" s="1"/>
  <c r="J72" i="25"/>
  <c r="L72" i="25"/>
  <c r="J65" i="25"/>
  <c r="L65" i="25"/>
  <c r="J64" i="25"/>
  <c r="L64" i="25"/>
  <c r="J59" i="25"/>
  <c r="L59" i="25" s="1"/>
  <c r="J58" i="25"/>
  <c r="L58" i="25"/>
  <c r="K19" i="24"/>
  <c r="M19" i="24"/>
  <c r="K20" i="24"/>
  <c r="M20" i="24"/>
  <c r="K71" i="21"/>
  <c r="M71" i="21"/>
  <c r="K70" i="21"/>
  <c r="M70" i="21" s="1"/>
  <c r="J63" i="25"/>
  <c r="L63" i="25" s="1"/>
  <c r="J61" i="25"/>
  <c r="L61" i="25"/>
  <c r="J60" i="25"/>
  <c r="L60" i="25" s="1"/>
  <c r="K119" i="21"/>
  <c r="M119" i="21"/>
  <c r="K118" i="21"/>
  <c r="M118" i="21"/>
  <c r="K84" i="21"/>
  <c r="M84" i="21" s="1"/>
  <c r="K83" i="21"/>
  <c r="M83" i="21" s="1"/>
  <c r="K80" i="21"/>
  <c r="M80" i="21"/>
  <c r="K79" i="21"/>
  <c r="M79" i="21" s="1"/>
  <c r="K75" i="21"/>
  <c r="M75" i="21" s="1"/>
  <c r="K67" i="21"/>
  <c r="M67" i="21"/>
  <c r="K66" i="21"/>
  <c r="M66" i="21" s="1"/>
  <c r="K63" i="21"/>
  <c r="M63" i="21" s="1"/>
  <c r="K62" i="21"/>
  <c r="M62" i="21"/>
  <c r="K11" i="21"/>
  <c r="M11" i="21"/>
  <c r="I38" i="25"/>
  <c r="K38" i="25"/>
  <c r="K15" i="24"/>
  <c r="M15" i="24"/>
  <c r="K16" i="24"/>
  <c r="M16" i="24"/>
  <c r="K13" i="24"/>
  <c r="M13" i="24"/>
  <c r="K14" i="24"/>
  <c r="M14" i="24"/>
  <c r="J124" i="25"/>
  <c r="L124" i="25"/>
  <c r="J123" i="25"/>
  <c r="L123" i="25"/>
  <c r="J104" i="25"/>
  <c r="L104" i="25"/>
  <c r="J103" i="25"/>
  <c r="L103" i="25"/>
  <c r="J85" i="25"/>
  <c r="L85" i="25" s="1"/>
  <c r="J84" i="25"/>
  <c r="L84" i="25" s="1"/>
  <c r="J79" i="25"/>
  <c r="L79" i="25"/>
  <c r="J78" i="25"/>
  <c r="L78" i="25"/>
  <c r="VGO72" i="25"/>
  <c r="VGQ72" i="25"/>
  <c r="VFY72" i="25"/>
  <c r="VGA72" i="25"/>
  <c r="VFI72" i="25"/>
  <c r="VFK72" i="25"/>
  <c r="VES72" i="25"/>
  <c r="VEU72" i="25"/>
  <c r="VEC72" i="25"/>
  <c r="VEE72" i="25"/>
  <c r="VDM72" i="25"/>
  <c r="VDO72" i="25"/>
  <c r="VCW72" i="25"/>
  <c r="VCY72" i="25"/>
  <c r="VCG72" i="25"/>
  <c r="VCI72" i="25"/>
  <c r="VBQ72" i="25"/>
  <c r="VBS72" i="25"/>
  <c r="VBA72" i="25"/>
  <c r="VBC72" i="25"/>
  <c r="VAK72" i="25"/>
  <c r="VAM72" i="25"/>
  <c r="UZU72" i="25"/>
  <c r="UZW72" i="25"/>
  <c r="UZE72" i="25"/>
  <c r="UZG72" i="25"/>
  <c r="UYO72" i="25"/>
  <c r="UYQ72" i="25"/>
  <c r="UXY72" i="25"/>
  <c r="UYA72" i="25"/>
  <c r="UXI72" i="25"/>
  <c r="UXK72" i="25"/>
  <c r="UWS72" i="25"/>
  <c r="UWU72" i="25"/>
  <c r="UWC72" i="25"/>
  <c r="UWE72" i="25"/>
  <c r="UVM72" i="25"/>
  <c r="UVO72" i="25"/>
  <c r="UUW72" i="25"/>
  <c r="UUY72" i="25"/>
  <c r="UUG72" i="25"/>
  <c r="UUI72" i="25"/>
  <c r="UTQ72" i="25"/>
  <c r="UTS72" i="25"/>
  <c r="UTA72" i="25"/>
  <c r="UTC72" i="25"/>
  <c r="USK72" i="25"/>
  <c r="USM72" i="25"/>
  <c r="URU72" i="25"/>
  <c r="URW72" i="25"/>
  <c r="URE72" i="25"/>
  <c r="URG72" i="25"/>
  <c r="UQO72" i="25"/>
  <c r="UQQ72" i="25"/>
  <c r="UPY72" i="25"/>
  <c r="UQA72" i="25"/>
  <c r="UPI72" i="25"/>
  <c r="UPK72" i="25"/>
  <c r="UOS72" i="25"/>
  <c r="UOU72" i="25"/>
  <c r="UOC72" i="25"/>
  <c r="UOE72" i="25"/>
  <c r="UNM72" i="25"/>
  <c r="UNO72" i="25"/>
  <c r="UMW72" i="25"/>
  <c r="UMY72" i="25"/>
  <c r="UMG72" i="25"/>
  <c r="UMI72" i="25"/>
  <c r="ULQ72" i="25"/>
  <c r="ULS72" i="25"/>
  <c r="ULA72" i="25"/>
  <c r="ULC72" i="25"/>
  <c r="UKK72" i="25"/>
  <c r="UKM72" i="25"/>
  <c r="UJU72" i="25"/>
  <c r="UJW72" i="25"/>
  <c r="UJE72" i="25"/>
  <c r="UJG72" i="25"/>
  <c r="UIO72" i="25"/>
  <c r="UIQ72" i="25"/>
  <c r="UHY72" i="25"/>
  <c r="UIA72" i="25"/>
  <c r="UHI72" i="25"/>
  <c r="UHK72" i="25"/>
  <c r="UGS72" i="25"/>
  <c r="UGU72" i="25"/>
  <c r="UGC72" i="25"/>
  <c r="UGE72" i="25"/>
  <c r="UFM72" i="25"/>
  <c r="UFO72" i="25"/>
  <c r="UEW72" i="25"/>
  <c r="UEY72" i="25"/>
  <c r="UEG72" i="25"/>
  <c r="UEI72" i="25"/>
  <c r="UDQ72" i="25"/>
  <c r="UDS72" i="25"/>
  <c r="UDA72" i="25"/>
  <c r="UDC72" i="25"/>
  <c r="UCK72" i="25"/>
  <c r="UCM72" i="25"/>
  <c r="UBU72" i="25"/>
  <c r="UBW72" i="25"/>
  <c r="UBE72" i="25"/>
  <c r="UBG72" i="25"/>
  <c r="UAO72" i="25"/>
  <c r="UAQ72" i="25"/>
  <c r="TZY72" i="25"/>
  <c r="UAA72" i="25"/>
  <c r="TZI72" i="25"/>
  <c r="TZK72" i="25"/>
  <c r="TYS72" i="25"/>
  <c r="TYU72" i="25"/>
  <c r="TYC72" i="25"/>
  <c r="TYE72" i="25"/>
  <c r="TXM72" i="25"/>
  <c r="TXO72" i="25"/>
  <c r="TWW72" i="25"/>
  <c r="TWY72" i="25"/>
  <c r="TWG72" i="25"/>
  <c r="TWI72" i="25"/>
  <c r="TVQ72" i="25"/>
  <c r="TVS72" i="25"/>
  <c r="TVA72" i="25"/>
  <c r="TVC72" i="25"/>
  <c r="TUK72" i="25"/>
  <c r="TUM72" i="25"/>
  <c r="TTU72" i="25"/>
  <c r="TTW72" i="25"/>
  <c r="TTE72" i="25"/>
  <c r="TTG72" i="25"/>
  <c r="TSO72" i="25"/>
  <c r="TSQ72" i="25"/>
  <c r="TRY72" i="25"/>
  <c r="TSA72" i="25"/>
  <c r="TRI72" i="25"/>
  <c r="TRK72" i="25"/>
  <c r="TQS72" i="25"/>
  <c r="TQU72" i="25"/>
  <c r="TQC72" i="25"/>
  <c r="TQE72" i="25"/>
  <c r="TPM72" i="25"/>
  <c r="TPO72" i="25"/>
  <c r="TOW72" i="25"/>
  <c r="TOY72" i="25"/>
  <c r="TOG72" i="25"/>
  <c r="TOI72" i="25"/>
  <c r="TNQ72" i="25"/>
  <c r="TNS72" i="25"/>
  <c r="TNA72" i="25"/>
  <c r="TNC72" i="25"/>
  <c r="TMK72" i="25"/>
  <c r="TMM72" i="25"/>
  <c r="TLU72" i="25"/>
  <c r="TLW72" i="25"/>
  <c r="TLE72" i="25"/>
  <c r="TLG72" i="25"/>
  <c r="TKO72" i="25"/>
  <c r="TKQ72" i="25"/>
  <c r="TJY72" i="25"/>
  <c r="TKA72" i="25"/>
  <c r="TJI72" i="25"/>
  <c r="TJK72" i="25"/>
  <c r="TIS72" i="25"/>
  <c r="TIU72" i="25"/>
  <c r="TIC72" i="25"/>
  <c r="TIE72" i="25"/>
  <c r="THM72" i="25"/>
  <c r="THO72" i="25"/>
  <c r="TGW72" i="25"/>
  <c r="TGY72" i="25"/>
  <c r="TGG72" i="25"/>
  <c r="TGI72" i="25"/>
  <c r="TFQ72" i="25"/>
  <c r="TFS72" i="25"/>
  <c r="TFA72" i="25"/>
  <c r="TFC72" i="25"/>
  <c r="TEK72" i="25"/>
  <c r="TEM72" i="25"/>
  <c r="TDU72" i="25"/>
  <c r="TDW72" i="25"/>
  <c r="TDE72" i="25"/>
  <c r="TDG72" i="25"/>
  <c r="TCO72" i="25"/>
  <c r="TCQ72" i="25"/>
  <c r="TBY72" i="25"/>
  <c r="TCA72" i="25"/>
  <c r="TBI72" i="25"/>
  <c r="TBK72" i="25"/>
  <c r="TAS72" i="25"/>
  <c r="TAU72" i="25"/>
  <c r="TAC72" i="25"/>
  <c r="TAE72" i="25"/>
  <c r="SZM72" i="25"/>
  <c r="SZO72" i="25"/>
  <c r="SYW72" i="25"/>
  <c r="SYY72" i="25"/>
  <c r="SYG72" i="25"/>
  <c r="SYI72" i="25"/>
  <c r="SXQ72" i="25"/>
  <c r="SXS72" i="25"/>
  <c r="SXA72" i="25"/>
  <c r="SXC72" i="25"/>
  <c r="SWK72" i="25"/>
  <c r="SWM72" i="25"/>
  <c r="SVU72" i="25"/>
  <c r="SVW72" i="25"/>
  <c r="SVE72" i="25"/>
  <c r="SVG72" i="25"/>
  <c r="SUO72" i="25"/>
  <c r="SUQ72" i="25"/>
  <c r="STY72" i="25"/>
  <c r="SUA72" i="25"/>
  <c r="STI72" i="25"/>
  <c r="STK72" i="25"/>
  <c r="SSS72" i="25"/>
  <c r="SSU72" i="25"/>
  <c r="SSC72" i="25"/>
  <c r="SSE72" i="25"/>
  <c r="SRM72" i="25"/>
  <c r="SRO72" i="25"/>
  <c r="SQW72" i="25"/>
  <c r="SQY72" i="25"/>
  <c r="SQG72" i="25"/>
  <c r="SQI72" i="25"/>
  <c r="SPQ72" i="25"/>
  <c r="SPS72" i="25"/>
  <c r="SPA72" i="25"/>
  <c r="SPC72" i="25"/>
  <c r="SOK72" i="25"/>
  <c r="SOM72" i="25"/>
  <c r="SNU72" i="25"/>
  <c r="SNW72" i="25"/>
  <c r="SNE72" i="25"/>
  <c r="SNG72" i="25"/>
  <c r="SMO72" i="25"/>
  <c r="SMQ72" i="25"/>
  <c r="SLY72" i="25"/>
  <c r="SMA72" i="25"/>
  <c r="SLI72" i="25"/>
  <c r="SLK72" i="25"/>
  <c r="SKS72" i="25"/>
  <c r="SKU72" i="25"/>
  <c r="SKC72" i="25"/>
  <c r="SKE72" i="25"/>
  <c r="SJM72" i="25"/>
  <c r="SJO72" i="25"/>
  <c r="SIW72" i="25"/>
  <c r="SIY72" i="25"/>
  <c r="SIG72" i="25"/>
  <c r="SII72" i="25"/>
  <c r="SHQ72" i="25"/>
  <c r="SHS72" i="25"/>
  <c r="SHA72" i="25"/>
  <c r="SHC72" i="25"/>
  <c r="SGK72" i="25"/>
  <c r="SGM72" i="25"/>
  <c r="SFU72" i="25"/>
  <c r="SFW72" i="25"/>
  <c r="SFE72" i="25"/>
  <c r="SFG72" i="25"/>
  <c r="SEO72" i="25"/>
  <c r="SEQ72" i="25"/>
  <c r="SDY72" i="25"/>
  <c r="SEA72" i="25"/>
  <c r="SDI72" i="25"/>
  <c r="SDK72" i="25"/>
  <c r="SCS72" i="25"/>
  <c r="SCU72" i="25"/>
  <c r="SCC72" i="25"/>
  <c r="SCE72" i="25"/>
  <c r="SBM72" i="25"/>
  <c r="SBO72" i="25"/>
  <c r="SAW72" i="25"/>
  <c r="SAY72" i="25"/>
  <c r="SAG72" i="25"/>
  <c r="SAI72" i="25"/>
  <c r="RZQ72" i="25"/>
  <c r="RZS72" i="25"/>
  <c r="RZA72" i="25"/>
  <c r="RZC72" i="25"/>
  <c r="RYK72" i="25"/>
  <c r="RYM72" i="25"/>
  <c r="RXU72" i="25"/>
  <c r="RXW72" i="25"/>
  <c r="RXE72" i="25"/>
  <c r="RXG72" i="25"/>
  <c r="QZU72" i="25"/>
  <c r="QZW72" i="25"/>
  <c r="QZE72" i="25"/>
  <c r="QZG72" i="25"/>
  <c r="QYO72" i="25"/>
  <c r="QYQ72" i="25"/>
  <c r="QXY72" i="25"/>
  <c r="QYA72" i="25"/>
  <c r="QXI72" i="25"/>
  <c r="QXK72" i="25"/>
  <c r="QWS72" i="25"/>
  <c r="QWU72" i="25"/>
  <c r="QWC72" i="25"/>
  <c r="QWE72" i="25"/>
  <c r="QVM72" i="25"/>
  <c r="QVO72" i="25"/>
  <c r="QUW72" i="25"/>
  <c r="QUY72" i="25"/>
  <c r="QUG72" i="25"/>
  <c r="QUI72" i="25"/>
  <c r="QTQ72" i="25"/>
  <c r="QTS72" i="25"/>
  <c r="QTA72" i="25"/>
  <c r="QTC72" i="25"/>
  <c r="QSK72" i="25"/>
  <c r="QSM72" i="25"/>
  <c r="QRU72" i="25"/>
  <c r="QRW72" i="25"/>
  <c r="QRE72" i="25"/>
  <c r="QRG72" i="25"/>
  <c r="QQO72" i="25"/>
  <c r="QQQ72" i="25"/>
  <c r="QPY72" i="25"/>
  <c r="QQA72" i="25"/>
  <c r="QPI72" i="25"/>
  <c r="QPK72" i="25"/>
  <c r="QOS72" i="25"/>
  <c r="QOU72" i="25"/>
  <c r="QOC72" i="25"/>
  <c r="QOE72" i="25"/>
  <c r="QNM72" i="25"/>
  <c r="QNO72" i="25"/>
  <c r="QMW72" i="25"/>
  <c r="QMY72" i="25"/>
  <c r="QMG72" i="25"/>
  <c r="QMI72" i="25"/>
  <c r="QLQ72" i="25"/>
  <c r="QLS72" i="25"/>
  <c r="QLA72" i="25"/>
  <c r="QLC72" i="25"/>
  <c r="QKK72" i="25"/>
  <c r="QKM72" i="25"/>
  <c r="QJU72" i="25"/>
  <c r="QJW72" i="25"/>
  <c r="QJE72" i="25"/>
  <c r="QJG72" i="25"/>
  <c r="QIO72" i="25"/>
  <c r="QIQ72" i="25"/>
  <c r="QHY72" i="25"/>
  <c r="QIA72" i="25"/>
  <c r="QHI72" i="25"/>
  <c r="QHK72" i="25"/>
  <c r="QGS72" i="25"/>
  <c r="QGU72" i="25"/>
  <c r="QGC72" i="25"/>
  <c r="QGE72" i="25"/>
  <c r="QFM72" i="25"/>
  <c r="QFO72" i="25"/>
  <c r="QEW72" i="25"/>
  <c r="QEY72" i="25"/>
  <c r="QEG72" i="25"/>
  <c r="QEI72" i="25"/>
  <c r="QDQ72" i="25"/>
  <c r="QDS72" i="25"/>
  <c r="QDA72" i="25"/>
  <c r="QDC72" i="25"/>
  <c r="QCK72" i="25"/>
  <c r="QCM72" i="25"/>
  <c r="QBU72" i="25"/>
  <c r="QBW72" i="25"/>
  <c r="QBE72" i="25"/>
  <c r="QBG72" i="25"/>
  <c r="QAO72" i="25"/>
  <c r="QAQ72" i="25"/>
  <c r="PZY72" i="25"/>
  <c r="QAA72" i="25"/>
  <c r="PZI72" i="25"/>
  <c r="PZK72" i="25"/>
  <c r="PYS72" i="25"/>
  <c r="PYU72" i="25"/>
  <c r="PYC72" i="25"/>
  <c r="PYE72" i="25"/>
  <c r="PXM72" i="25"/>
  <c r="PXO72" i="25"/>
  <c r="PWW72" i="25"/>
  <c r="PWY72" i="25"/>
  <c r="PWG72" i="25"/>
  <c r="PWI72" i="25"/>
  <c r="PVQ72" i="25"/>
  <c r="PVS72" i="25"/>
  <c r="PVA72" i="25"/>
  <c r="PVC72" i="25"/>
  <c r="PUK72" i="25"/>
  <c r="PUM72" i="25"/>
  <c r="PTU72" i="25"/>
  <c r="PTW72" i="25"/>
  <c r="PTE72" i="25"/>
  <c r="PTG72" i="25"/>
  <c r="PSO72" i="25"/>
  <c r="PSQ72" i="25"/>
  <c r="PRY72" i="25"/>
  <c r="PSA72" i="25"/>
  <c r="PRI72" i="25"/>
  <c r="PRK72" i="25"/>
  <c r="PQS72" i="25"/>
  <c r="PQU72" i="25"/>
  <c r="PQC72" i="25"/>
  <c r="PQE72" i="25"/>
  <c r="PPM72" i="25"/>
  <c r="PPO72" i="25"/>
  <c r="POW72" i="25"/>
  <c r="POY72" i="25"/>
  <c r="POG72" i="25"/>
  <c r="POI72" i="25"/>
  <c r="PNQ72" i="25"/>
  <c r="PNS72" i="25"/>
  <c r="PNA72" i="25"/>
  <c r="PNC72" i="25"/>
  <c r="PMK72" i="25"/>
  <c r="PMM72" i="25"/>
  <c r="PLU72" i="25"/>
  <c r="PLW72" i="25"/>
  <c r="PLE72" i="25"/>
  <c r="PLG72" i="25"/>
  <c r="PKO72" i="25"/>
  <c r="PKQ72" i="25"/>
  <c r="PJY72" i="25"/>
  <c r="PKA72" i="25"/>
  <c r="PJI72" i="25"/>
  <c r="PJK72" i="25"/>
  <c r="PIS72" i="25"/>
  <c r="PIU72" i="25"/>
  <c r="PIC72" i="25"/>
  <c r="PIE72" i="25"/>
  <c r="PHM72" i="25"/>
  <c r="PHO72" i="25"/>
  <c r="PGW72" i="25"/>
  <c r="PGY72" i="25"/>
  <c r="PGG72" i="25"/>
  <c r="PGI72" i="25"/>
  <c r="PFQ72" i="25"/>
  <c r="PFS72" i="25"/>
  <c r="PFA72" i="25"/>
  <c r="PFC72" i="25"/>
  <c r="PEK72" i="25"/>
  <c r="PEM72" i="25"/>
  <c r="PDU72" i="25"/>
  <c r="PDW72" i="25"/>
  <c r="PDE72" i="25"/>
  <c r="PDG72" i="25"/>
  <c r="PCO72" i="25"/>
  <c r="PCQ72" i="25"/>
  <c r="PBY72" i="25"/>
  <c r="PCA72" i="25"/>
  <c r="PBI72" i="25"/>
  <c r="PBK72" i="25"/>
  <c r="PAS72" i="25"/>
  <c r="PAU72" i="25"/>
  <c r="PAC72" i="25"/>
  <c r="PAE72" i="25"/>
  <c r="OZM72" i="25"/>
  <c r="OZO72" i="25"/>
  <c r="OYW72" i="25"/>
  <c r="OYY72" i="25"/>
  <c r="OYG72" i="25"/>
  <c r="OYI72" i="25"/>
  <c r="OXQ72" i="25"/>
  <c r="OXS72" i="25"/>
  <c r="OXA72" i="25"/>
  <c r="OXC72" i="25"/>
  <c r="OWK72" i="25"/>
  <c r="OWM72" i="25"/>
  <c r="OVU72" i="25"/>
  <c r="OVW72" i="25"/>
  <c r="OVE72" i="25"/>
  <c r="OVG72" i="25"/>
  <c r="OUO72" i="25"/>
  <c r="OUQ72" i="25"/>
  <c r="OTY72" i="25"/>
  <c r="OUA72" i="25"/>
  <c r="OTI72" i="25"/>
  <c r="OTK72" i="25"/>
  <c r="OSS72" i="25"/>
  <c r="OSU72" i="25"/>
  <c r="OSC72" i="25"/>
  <c r="OSE72" i="25"/>
  <c r="ORM72" i="25"/>
  <c r="ORO72" i="25"/>
  <c r="OQW72" i="25"/>
  <c r="OQY72" i="25"/>
  <c r="OQG72" i="25"/>
  <c r="OQI72" i="25"/>
  <c r="OPQ72" i="25"/>
  <c r="OPS72" i="25"/>
  <c r="OPA72" i="25"/>
  <c r="OPC72" i="25"/>
  <c r="OOK72" i="25"/>
  <c r="OOM72" i="25"/>
  <c r="ONU72" i="25"/>
  <c r="ONW72" i="25"/>
  <c r="ONE72" i="25"/>
  <c r="ONG72" i="25"/>
  <c r="OMO72" i="25"/>
  <c r="OMQ72" i="25"/>
  <c r="OLY72" i="25"/>
  <c r="OMA72" i="25"/>
  <c r="OLI72" i="25"/>
  <c r="OLK72" i="25"/>
  <c r="OKS72" i="25"/>
  <c r="OKU72" i="25"/>
  <c r="OKC72" i="25"/>
  <c r="OKE72" i="25"/>
  <c r="OJM72" i="25"/>
  <c r="OJO72" i="25"/>
  <c r="OIW72" i="25"/>
  <c r="OIY72" i="25"/>
  <c r="OIG72" i="25"/>
  <c r="OII72" i="25"/>
  <c r="OHQ72" i="25"/>
  <c r="OHS72" i="25"/>
  <c r="OHA72" i="25"/>
  <c r="OHC72" i="25"/>
  <c r="OGK72" i="25"/>
  <c r="OGM72" i="25"/>
  <c r="OFU72" i="25"/>
  <c r="OFW72" i="25"/>
  <c r="OFE72" i="25"/>
  <c r="OFG72" i="25"/>
  <c r="OEO72" i="25"/>
  <c r="OEQ72" i="25"/>
  <c r="ODY72" i="25"/>
  <c r="OEA72" i="25"/>
  <c r="ODI72" i="25"/>
  <c r="ODK72" i="25"/>
  <c r="OCS72" i="25"/>
  <c r="OCU72" i="25"/>
  <c r="OCC72" i="25"/>
  <c r="OCE72" i="25"/>
  <c r="OBM72" i="25"/>
  <c r="OBO72" i="25"/>
  <c r="OAW72" i="25"/>
  <c r="OAY72" i="25"/>
  <c r="OAG72" i="25"/>
  <c r="OAI72" i="25"/>
  <c r="NZQ72" i="25"/>
  <c r="NZS72" i="25"/>
  <c r="NZA72" i="25"/>
  <c r="NZC72" i="25"/>
  <c r="NYK72" i="25"/>
  <c r="NYM72" i="25"/>
  <c r="NXU72" i="25"/>
  <c r="NXW72" i="25"/>
  <c r="NXE72" i="25"/>
  <c r="NXG72" i="25"/>
  <c r="NWO72" i="25"/>
  <c r="NWQ72" i="25"/>
  <c r="NVY72" i="25"/>
  <c r="NWA72" i="25"/>
  <c r="NVI72" i="25"/>
  <c r="NVK72" i="25"/>
  <c r="NUS72" i="25"/>
  <c r="NUU72" i="25"/>
  <c r="NUC72" i="25"/>
  <c r="NUE72" i="25"/>
  <c r="NTM72" i="25"/>
  <c r="NTO72" i="25"/>
  <c r="NSW72" i="25"/>
  <c r="NSY72" i="25"/>
  <c r="NSG72" i="25"/>
  <c r="NSI72" i="25"/>
  <c r="NRQ72" i="25"/>
  <c r="NRS72" i="25"/>
  <c r="NRA72" i="25"/>
  <c r="NRC72" i="25"/>
  <c r="NQK72" i="25"/>
  <c r="NQM72" i="25"/>
  <c r="NPU72" i="25"/>
  <c r="NPW72" i="25"/>
  <c r="NPE72" i="25"/>
  <c r="NPG72" i="25"/>
  <c r="NOO72" i="25"/>
  <c r="NOQ72" i="25"/>
  <c r="NNY72" i="25"/>
  <c r="NOA72" i="25"/>
  <c r="NNI72" i="25"/>
  <c r="NNK72" i="25"/>
  <c r="NMS72" i="25"/>
  <c r="NMU72" i="25"/>
  <c r="NMC72" i="25"/>
  <c r="NME72" i="25"/>
  <c r="NLM72" i="25"/>
  <c r="NLO72" i="25"/>
  <c r="NKW72" i="25"/>
  <c r="NKY72" i="25"/>
  <c r="NKG72" i="25"/>
  <c r="NKI72" i="25"/>
  <c r="NJQ72" i="25"/>
  <c r="NJS72" i="25"/>
  <c r="NJA72" i="25"/>
  <c r="NJC72" i="25"/>
  <c r="NIK72" i="25"/>
  <c r="NIM72" i="25"/>
  <c r="NHU72" i="25"/>
  <c r="NHW72" i="25"/>
  <c r="NHE72" i="25"/>
  <c r="NHG72" i="25"/>
  <c r="NGO72" i="25"/>
  <c r="NGQ72" i="25"/>
  <c r="NFY72" i="25"/>
  <c r="NGA72" i="25"/>
  <c r="NFI72" i="25"/>
  <c r="NFK72" i="25"/>
  <c r="NES72" i="25"/>
  <c r="NEU72" i="25"/>
  <c r="NEC72" i="25"/>
  <c r="NEE72" i="25"/>
  <c r="NDM72" i="25"/>
  <c r="NDO72" i="25"/>
  <c r="NCW72" i="25"/>
  <c r="NCY72" i="25"/>
  <c r="NCG72" i="25"/>
  <c r="NCI72" i="25"/>
  <c r="NBQ72" i="25"/>
  <c r="NBS72" i="25"/>
  <c r="NBA72" i="25"/>
  <c r="NBC72" i="25"/>
  <c r="NAK72" i="25"/>
  <c r="NAM72" i="25"/>
  <c r="MZU72" i="25"/>
  <c r="MZW72" i="25"/>
  <c r="MZE72" i="25"/>
  <c r="MZG72" i="25"/>
  <c r="MYO72" i="25"/>
  <c r="MYQ72" i="25"/>
  <c r="MXY72" i="25"/>
  <c r="MYA72" i="25"/>
  <c r="MXI72" i="25"/>
  <c r="MXK72" i="25"/>
  <c r="MWS72" i="25"/>
  <c r="MWU72" i="25"/>
  <c r="MWC72" i="25"/>
  <c r="MWE72" i="25"/>
  <c r="MVM72" i="25"/>
  <c r="MVO72" i="25"/>
  <c r="MUW72" i="25"/>
  <c r="MUY72" i="25"/>
  <c r="MUG72" i="25"/>
  <c r="MUI72" i="25"/>
  <c r="MTQ72" i="25"/>
  <c r="MTS72" i="25"/>
  <c r="MTA72" i="25"/>
  <c r="MTC72" i="25"/>
  <c r="MSK72" i="25"/>
  <c r="MSM72" i="25"/>
  <c r="MRU72" i="25"/>
  <c r="MRW72" i="25"/>
  <c r="MRE72" i="25"/>
  <c r="MRG72" i="25"/>
  <c r="MQO72" i="25"/>
  <c r="MQQ72" i="25"/>
  <c r="MPY72" i="25"/>
  <c r="MQA72" i="25"/>
  <c r="MPI72" i="25"/>
  <c r="MPK72" i="25"/>
  <c r="MOS72" i="25"/>
  <c r="MOU72" i="25"/>
  <c r="MOC72" i="25"/>
  <c r="MOE72" i="25"/>
  <c r="MNM72" i="25"/>
  <c r="MNO72" i="25"/>
  <c r="MMW72" i="25"/>
  <c r="MMY72" i="25"/>
  <c r="MMG72" i="25"/>
  <c r="MMI72" i="25"/>
  <c r="MLQ72" i="25"/>
  <c r="MLS72" i="25"/>
  <c r="MLA72" i="25"/>
  <c r="MLC72" i="25"/>
  <c r="MKK72" i="25"/>
  <c r="MKM72" i="25"/>
  <c r="MJU72" i="25"/>
  <c r="MJW72" i="25"/>
  <c r="MJE72" i="25"/>
  <c r="MJG72" i="25"/>
  <c r="MIO72" i="25"/>
  <c r="MIQ72" i="25"/>
  <c r="MHY72" i="25"/>
  <c r="MIA72" i="25"/>
  <c r="MHI72" i="25"/>
  <c r="MHK72" i="25"/>
  <c r="MGS72" i="25"/>
  <c r="MGU72" i="25"/>
  <c r="MGC72" i="25"/>
  <c r="MGE72" i="25"/>
  <c r="MFM72" i="25"/>
  <c r="MFO72" i="25"/>
  <c r="MEW72" i="25"/>
  <c r="MEY72" i="25"/>
  <c r="MEG72" i="25"/>
  <c r="MEI72" i="25"/>
  <c r="MDQ72" i="25"/>
  <c r="MDS72" i="25"/>
  <c r="MDA72" i="25"/>
  <c r="MDC72" i="25"/>
  <c r="MCK72" i="25"/>
  <c r="MCM72" i="25"/>
  <c r="MBU72" i="25"/>
  <c r="MBW72" i="25"/>
  <c r="MBE72" i="25"/>
  <c r="MBG72" i="25"/>
  <c r="MAO72" i="25"/>
  <c r="MAQ72" i="25"/>
  <c r="LZY72" i="25"/>
  <c r="MAA72" i="25"/>
  <c r="LZI72" i="25"/>
  <c r="LZK72" i="25"/>
  <c r="LYS72" i="25"/>
  <c r="LYU72" i="25"/>
  <c r="LYC72" i="25"/>
  <c r="LYE72" i="25"/>
  <c r="LXM72" i="25"/>
  <c r="LXO72" i="25"/>
  <c r="LWW72" i="25"/>
  <c r="LWY72" i="25"/>
  <c r="LWG72" i="25"/>
  <c r="LWI72" i="25"/>
  <c r="LVQ72" i="25"/>
  <c r="LVS72" i="25"/>
  <c r="LVA72" i="25"/>
  <c r="LVC72" i="25"/>
  <c r="LUK72" i="25"/>
  <c r="LUM72" i="25"/>
  <c r="LTU72" i="25"/>
  <c r="LTW72" i="25"/>
  <c r="LTE72" i="25"/>
  <c r="LTG72" i="25"/>
  <c r="LSO72" i="25"/>
  <c r="LSQ72" i="25"/>
  <c r="LRY72" i="25"/>
  <c r="LSA72" i="25"/>
  <c r="LRI72" i="25"/>
  <c r="LRK72" i="25"/>
  <c r="LQS72" i="25"/>
  <c r="LQU72" i="25"/>
  <c r="LQC72" i="25"/>
  <c r="LQE72" i="25"/>
  <c r="LPM72" i="25"/>
  <c r="LPO72" i="25"/>
  <c r="LOW72" i="25"/>
  <c r="LOY72" i="25"/>
  <c r="LOG72" i="25"/>
  <c r="LOI72" i="25"/>
  <c r="LNQ72" i="25"/>
  <c r="LNS72" i="25"/>
  <c r="LNA72" i="25"/>
  <c r="LNC72" i="25"/>
  <c r="LMK72" i="25"/>
  <c r="LMM72" i="25"/>
  <c r="LLU72" i="25"/>
  <c r="LLW72" i="25"/>
  <c r="LLE72" i="25"/>
  <c r="LLG72" i="25"/>
  <c r="LKO72" i="25"/>
  <c r="LKQ72" i="25"/>
  <c r="LJY72" i="25"/>
  <c r="LKA72" i="25"/>
  <c r="LJI72" i="25"/>
  <c r="LJK72" i="25"/>
  <c r="LIS72" i="25"/>
  <c r="LIU72" i="25"/>
  <c r="LIC72" i="25"/>
  <c r="LIE72" i="25"/>
  <c r="LHM72" i="25"/>
  <c r="LHO72" i="25"/>
  <c r="LGW72" i="25"/>
  <c r="LGY72" i="25"/>
  <c r="LGG72" i="25"/>
  <c r="LGI72" i="25"/>
  <c r="LFQ72" i="25"/>
  <c r="LFS72" i="25"/>
  <c r="LFA72" i="25"/>
  <c r="LFC72" i="25"/>
  <c r="LEK72" i="25"/>
  <c r="LEM72" i="25"/>
  <c r="LDU72" i="25"/>
  <c r="LDW72" i="25"/>
  <c r="LDE72" i="25"/>
  <c r="LDG72" i="25"/>
  <c r="LCO72" i="25"/>
  <c r="LCQ72" i="25"/>
  <c r="LBY72" i="25"/>
  <c r="LCA72" i="25"/>
  <c r="LBI72" i="25"/>
  <c r="LBK72" i="25"/>
  <c r="LAS72" i="25"/>
  <c r="LAU72" i="25"/>
  <c r="LAC72" i="25"/>
  <c r="LAE72" i="25"/>
  <c r="KZM72" i="25"/>
  <c r="KZO72" i="25"/>
  <c r="KYW72" i="25"/>
  <c r="KYY72" i="25"/>
  <c r="KYG72" i="25"/>
  <c r="KYI72" i="25"/>
  <c r="KXQ72" i="25"/>
  <c r="KXS72" i="25"/>
  <c r="KXA72" i="25"/>
  <c r="KXC72" i="25"/>
  <c r="KWK72" i="25"/>
  <c r="KWM72" i="25"/>
  <c r="KVU72" i="25"/>
  <c r="KVW72" i="25"/>
  <c r="KVE72" i="25"/>
  <c r="KVG72" i="25"/>
  <c r="KUO72" i="25"/>
  <c r="KUQ72" i="25"/>
  <c r="KTY72" i="25"/>
  <c r="KUA72" i="25"/>
  <c r="KTI72" i="25"/>
  <c r="KTK72" i="25"/>
  <c r="KSS72" i="25"/>
  <c r="KSU72" i="25"/>
  <c r="KSC72" i="25"/>
  <c r="KSE72" i="25"/>
  <c r="KRM72" i="25"/>
  <c r="KRO72" i="25"/>
  <c r="KQW72" i="25"/>
  <c r="KQY72" i="25"/>
  <c r="KQG72" i="25"/>
  <c r="KQI72" i="25"/>
  <c r="KPQ72" i="25"/>
  <c r="KPS72" i="25"/>
  <c r="KPA72" i="25"/>
  <c r="KPC72" i="25"/>
  <c r="KOK72" i="25"/>
  <c r="KOM72" i="25"/>
  <c r="KNU72" i="25"/>
  <c r="KNW72" i="25"/>
  <c r="KNE72" i="25"/>
  <c r="KNG72" i="25"/>
  <c r="KMO72" i="25"/>
  <c r="KMQ72" i="25"/>
  <c r="KLY72" i="25"/>
  <c r="KMA72" i="25"/>
  <c r="KLI72" i="25"/>
  <c r="KLK72" i="25"/>
  <c r="KKS72" i="25"/>
  <c r="KKU72" i="25"/>
  <c r="KKC72" i="25"/>
  <c r="KKE72" i="25"/>
  <c r="KJM72" i="25"/>
  <c r="KJO72" i="25"/>
  <c r="KIW72" i="25"/>
  <c r="KIY72" i="25"/>
  <c r="KIG72" i="25"/>
  <c r="KII72" i="25"/>
  <c r="KHQ72" i="25"/>
  <c r="KHS72" i="25"/>
  <c r="KHA72" i="25"/>
  <c r="KHC72" i="25"/>
  <c r="KGK72" i="25"/>
  <c r="KGM72" i="25"/>
  <c r="KFU72" i="25"/>
  <c r="KFW72" i="25"/>
  <c r="KFE72" i="25"/>
  <c r="KFG72" i="25"/>
  <c r="KEO72" i="25"/>
  <c r="KEQ72" i="25"/>
  <c r="KDY72" i="25"/>
  <c r="KEA72" i="25"/>
  <c r="KDI72" i="25"/>
  <c r="KDK72" i="25"/>
  <c r="KCS72" i="25"/>
  <c r="KCU72" i="25"/>
  <c r="KCC72" i="25"/>
  <c r="KCE72" i="25"/>
  <c r="KBM72" i="25"/>
  <c r="KBO72" i="25"/>
  <c r="KAW72" i="25"/>
  <c r="KAY72" i="25"/>
  <c r="KAG72" i="25"/>
  <c r="KAI72" i="25"/>
  <c r="JZQ72" i="25"/>
  <c r="JZS72" i="25"/>
  <c r="JZA72" i="25"/>
  <c r="JZC72" i="25"/>
  <c r="JYK72" i="25"/>
  <c r="JYM72" i="25"/>
  <c r="JXU72" i="25"/>
  <c r="JXW72" i="25"/>
  <c r="JXE72" i="25"/>
  <c r="JXG72" i="25"/>
  <c r="JWO72" i="25"/>
  <c r="JWQ72" i="25"/>
  <c r="JVY72" i="25"/>
  <c r="JWA72" i="25"/>
  <c r="JVI72" i="25"/>
  <c r="JVK72" i="25"/>
  <c r="JUS72" i="25"/>
  <c r="JUU72" i="25"/>
  <c r="JUC72" i="25"/>
  <c r="JUE72" i="25"/>
  <c r="JTM72" i="25"/>
  <c r="JTO72" i="25"/>
  <c r="JSW72" i="25"/>
  <c r="JSY72" i="25"/>
  <c r="JSG72" i="25"/>
  <c r="JSI72" i="25"/>
  <c r="JRQ72" i="25"/>
  <c r="JRS72" i="25"/>
  <c r="JRA72" i="25"/>
  <c r="JRC72" i="25"/>
  <c r="JQK72" i="25"/>
  <c r="JQM72" i="25"/>
  <c r="JPU72" i="25"/>
  <c r="JPW72" i="25"/>
  <c r="JPE72" i="25"/>
  <c r="JPG72" i="25"/>
  <c r="JOO72" i="25"/>
  <c r="JOQ72" i="25"/>
  <c r="JNY72" i="25"/>
  <c r="JOA72" i="25"/>
  <c r="JNI72" i="25"/>
  <c r="JNK72" i="25"/>
  <c r="JMS72" i="25"/>
  <c r="JMU72" i="25"/>
  <c r="JMC72" i="25"/>
  <c r="JME72" i="25"/>
  <c r="JLM72" i="25"/>
  <c r="JLO72" i="25"/>
  <c r="JKW72" i="25"/>
  <c r="JKY72" i="25"/>
  <c r="JKG72" i="25"/>
  <c r="JKI72" i="25"/>
  <c r="JJQ72" i="25"/>
  <c r="JJS72" i="25"/>
  <c r="JJA72" i="25"/>
  <c r="JJC72" i="25"/>
  <c r="JIK72" i="25"/>
  <c r="JIM72" i="25"/>
  <c r="JHU72" i="25"/>
  <c r="JHW72" i="25"/>
  <c r="JHE72" i="25"/>
  <c r="JHG72" i="25"/>
  <c r="JGO72" i="25"/>
  <c r="JGQ72" i="25"/>
  <c r="JFY72" i="25"/>
  <c r="JGA72" i="25"/>
  <c r="JFI72" i="25"/>
  <c r="JFK72" i="25"/>
  <c r="JES72" i="25"/>
  <c r="JEU72" i="25"/>
  <c r="JEC72" i="25"/>
  <c r="JEE72" i="25"/>
  <c r="JDM72" i="25"/>
  <c r="JDO72" i="25"/>
  <c r="JCW72" i="25"/>
  <c r="JCY72" i="25"/>
  <c r="JCG72" i="25"/>
  <c r="JCI72" i="25"/>
  <c r="JBQ72" i="25"/>
  <c r="JBS72" i="25"/>
  <c r="JBA72" i="25"/>
  <c r="JBC72" i="25"/>
  <c r="JAK72" i="25"/>
  <c r="JAM72" i="25"/>
  <c r="IZU72" i="25"/>
  <c r="IZW72" i="25"/>
  <c r="IZE72" i="25"/>
  <c r="IZG72" i="25"/>
  <c r="IYO72" i="25"/>
  <c r="IYQ72" i="25"/>
  <c r="IXY72" i="25"/>
  <c r="IYA72" i="25"/>
  <c r="IXI72" i="25"/>
  <c r="IXK72" i="25"/>
  <c r="IWS72" i="25"/>
  <c r="IWU72" i="25"/>
  <c r="IWC72" i="25"/>
  <c r="IWE72" i="25"/>
  <c r="IVM72" i="25"/>
  <c r="IVO72" i="25"/>
  <c r="IUW72" i="25"/>
  <c r="IUY72" i="25"/>
  <c r="IUG72" i="25"/>
  <c r="IUI72" i="25"/>
  <c r="ITQ72" i="25"/>
  <c r="ITS72" i="25"/>
  <c r="ITA72" i="25"/>
  <c r="ITC72" i="25"/>
  <c r="ISK72" i="25"/>
  <c r="ISM72" i="25"/>
  <c r="IRU72" i="25"/>
  <c r="IRW72" i="25"/>
  <c r="IRE72" i="25"/>
  <c r="IRG72" i="25"/>
  <c r="IQO72" i="25"/>
  <c r="IQQ72" i="25"/>
  <c r="IPY72" i="25"/>
  <c r="IQA72" i="25"/>
  <c r="IPI72" i="25"/>
  <c r="IPK72" i="25"/>
  <c r="IOS72" i="25"/>
  <c r="IOU72" i="25"/>
  <c r="IOC72" i="25"/>
  <c r="IOE72" i="25"/>
  <c r="INM72" i="25"/>
  <c r="INO72" i="25"/>
  <c r="IMW72" i="25"/>
  <c r="IMY72" i="25"/>
  <c r="IMG72" i="25"/>
  <c r="IMI72" i="25"/>
  <c r="ILQ72" i="25"/>
  <c r="ILS72" i="25"/>
  <c r="ILA72" i="25"/>
  <c r="ILC72" i="25"/>
  <c r="IKK72" i="25"/>
  <c r="IKM72" i="25"/>
  <c r="IJU72" i="25"/>
  <c r="IJW72" i="25"/>
  <c r="IJE72" i="25"/>
  <c r="IJG72" i="25"/>
  <c r="IIO72" i="25"/>
  <c r="IIQ72" i="25"/>
  <c r="IHY72" i="25"/>
  <c r="IIA72" i="25"/>
  <c r="IHI72" i="25"/>
  <c r="IHK72" i="25"/>
  <c r="IGS72" i="25"/>
  <c r="IGU72" i="25"/>
  <c r="IGC72" i="25"/>
  <c r="IGE72" i="25"/>
  <c r="IFM72" i="25"/>
  <c r="IFO72" i="25"/>
  <c r="IEW72" i="25"/>
  <c r="IEY72" i="25"/>
  <c r="IEG72" i="25"/>
  <c r="IEI72" i="25"/>
  <c r="IDQ72" i="25"/>
  <c r="IDS72" i="25"/>
  <c r="IDA72" i="25"/>
  <c r="IDC72" i="25"/>
  <c r="ICK72" i="25"/>
  <c r="ICM72" i="25"/>
  <c r="IBU72" i="25"/>
  <c r="IBW72" i="25"/>
  <c r="IBE72" i="25"/>
  <c r="IBG72" i="25"/>
  <c r="IAO72" i="25"/>
  <c r="IAQ72" i="25"/>
  <c r="HZY72" i="25"/>
  <c r="IAA72" i="25"/>
  <c r="HZI72" i="25"/>
  <c r="HZK72" i="25"/>
  <c r="HYS72" i="25"/>
  <c r="HYU72" i="25"/>
  <c r="HYC72" i="25"/>
  <c r="HYE72" i="25"/>
  <c r="HXM72" i="25"/>
  <c r="HXO72" i="25"/>
  <c r="HWW72" i="25"/>
  <c r="HWY72" i="25"/>
  <c r="HWG72" i="25"/>
  <c r="HWI72" i="25"/>
  <c r="HVQ72" i="25"/>
  <c r="HVS72" i="25"/>
  <c r="HVA72" i="25"/>
  <c r="HVC72" i="25"/>
  <c r="HUK72" i="25"/>
  <c r="HUM72" i="25"/>
  <c r="HTU72" i="25"/>
  <c r="HTW72" i="25"/>
  <c r="HTE72" i="25"/>
  <c r="HTG72" i="25"/>
  <c r="HSO72" i="25"/>
  <c r="HSQ72" i="25"/>
  <c r="HRY72" i="25"/>
  <c r="HSA72" i="25"/>
  <c r="HRI72" i="25"/>
  <c r="HRK72" i="25"/>
  <c r="HQS72" i="25"/>
  <c r="HQU72" i="25"/>
  <c r="HQC72" i="25"/>
  <c r="HQE72" i="25"/>
  <c r="HPM72" i="25"/>
  <c r="HPO72" i="25"/>
  <c r="HOW72" i="25"/>
  <c r="HOY72" i="25"/>
  <c r="HOG72" i="25"/>
  <c r="HOI72" i="25"/>
  <c r="HNQ72" i="25"/>
  <c r="HNS72" i="25"/>
  <c r="HNA72" i="25"/>
  <c r="HNC72" i="25"/>
  <c r="HMK72" i="25"/>
  <c r="HMM72" i="25"/>
  <c r="HLU72" i="25"/>
  <c r="HLW72" i="25"/>
  <c r="HLE72" i="25"/>
  <c r="HLG72" i="25"/>
  <c r="HKO72" i="25"/>
  <c r="HKQ72" i="25"/>
  <c r="HJY72" i="25"/>
  <c r="HKA72" i="25"/>
  <c r="HJI72" i="25"/>
  <c r="HJK72" i="25"/>
  <c r="HIS72" i="25"/>
  <c r="HIU72" i="25"/>
  <c r="HIC72" i="25"/>
  <c r="HIE72" i="25"/>
  <c r="HHM72" i="25"/>
  <c r="HHO72" i="25"/>
  <c r="HGW72" i="25"/>
  <c r="HGY72" i="25"/>
  <c r="HGG72" i="25"/>
  <c r="HGI72" i="25"/>
  <c r="HFQ72" i="25"/>
  <c r="HFS72" i="25"/>
  <c r="HFA72" i="25"/>
  <c r="HFC72" i="25"/>
  <c r="HEK72" i="25"/>
  <c r="HEM72" i="25"/>
  <c r="HDU72" i="25"/>
  <c r="HDW72" i="25"/>
  <c r="HDE72" i="25"/>
  <c r="HDG72" i="25"/>
  <c r="HCO72" i="25"/>
  <c r="HCQ72" i="25"/>
  <c r="HBY72" i="25"/>
  <c r="HCA72" i="25"/>
  <c r="HBI72" i="25"/>
  <c r="HBK72" i="25"/>
  <c r="HAS72" i="25"/>
  <c r="HAU72" i="25"/>
  <c r="HAC72" i="25"/>
  <c r="HAE72" i="25"/>
  <c r="GZM72" i="25"/>
  <c r="GZO72" i="25"/>
  <c r="GYW72" i="25"/>
  <c r="GYY72" i="25"/>
  <c r="GYG72" i="25"/>
  <c r="GYI72" i="25"/>
  <c r="GXQ72" i="25"/>
  <c r="GXS72" i="25"/>
  <c r="GXA72" i="25"/>
  <c r="GXC72" i="25"/>
  <c r="GWK72" i="25"/>
  <c r="GWM72" i="25"/>
  <c r="GVU72" i="25"/>
  <c r="GVW72" i="25"/>
  <c r="GVE72" i="25"/>
  <c r="GVG72" i="25"/>
  <c r="GUO72" i="25"/>
  <c r="GUQ72" i="25"/>
  <c r="GTY72" i="25"/>
  <c r="GUA72" i="25"/>
  <c r="GTI72" i="25"/>
  <c r="GTK72" i="25"/>
  <c r="GSS72" i="25"/>
  <c r="GSU72" i="25"/>
  <c r="GSC72" i="25"/>
  <c r="GSE72" i="25"/>
  <c r="GRM72" i="25"/>
  <c r="GRO72" i="25"/>
  <c r="GQW72" i="25"/>
  <c r="GQY72" i="25"/>
  <c r="GQG72" i="25"/>
  <c r="GQI72" i="25"/>
  <c r="GPQ72" i="25"/>
  <c r="GPS72" i="25"/>
  <c r="GPA72" i="25"/>
  <c r="GPC72" i="25"/>
  <c r="GOK72" i="25"/>
  <c r="GOM72" i="25"/>
  <c r="GNU72" i="25"/>
  <c r="GNW72" i="25"/>
  <c r="GNE72" i="25"/>
  <c r="GNG72" i="25"/>
  <c r="GMO72" i="25"/>
  <c r="GMQ72" i="25"/>
  <c r="GLY72" i="25"/>
  <c r="GMA72" i="25"/>
  <c r="GLI72" i="25"/>
  <c r="GLK72" i="25"/>
  <c r="GKS72" i="25"/>
  <c r="GKU72" i="25"/>
  <c r="GKC72" i="25"/>
  <c r="GKE72" i="25"/>
  <c r="GJM72" i="25"/>
  <c r="GJO72" i="25"/>
  <c r="GIW72" i="25"/>
  <c r="GIY72" i="25"/>
  <c r="GIG72" i="25"/>
  <c r="GII72" i="25"/>
  <c r="GHQ72" i="25"/>
  <c r="GHS72" i="25"/>
  <c r="GHA72" i="25"/>
  <c r="GHC72" i="25"/>
  <c r="GGK72" i="25"/>
  <c r="GGM72" i="25"/>
  <c r="GFU72" i="25"/>
  <c r="GFW72" i="25"/>
  <c r="GFE72" i="25"/>
  <c r="GFG72" i="25"/>
  <c r="GEO72" i="25"/>
  <c r="GEQ72" i="25"/>
  <c r="GDY72" i="25"/>
  <c r="GEA72" i="25"/>
  <c r="GDI72" i="25"/>
  <c r="GDK72" i="25"/>
  <c r="GCS72" i="25"/>
  <c r="GCU72" i="25"/>
  <c r="GCC72" i="25"/>
  <c r="GCE72" i="25"/>
  <c r="GBM72" i="25"/>
  <c r="GBO72" i="25"/>
  <c r="GAW72" i="25"/>
  <c r="GAY72" i="25"/>
  <c r="GAG72" i="25"/>
  <c r="GAI72" i="25"/>
  <c r="FZQ72" i="25"/>
  <c r="FZS72" i="25"/>
  <c r="FZA72" i="25"/>
  <c r="FZC72" i="25"/>
  <c r="FYK72" i="25"/>
  <c r="FYM72" i="25"/>
  <c r="FXU72" i="25"/>
  <c r="FXW72" i="25"/>
  <c r="FXE72" i="25"/>
  <c r="FXG72" i="25"/>
  <c r="FWO72" i="25"/>
  <c r="FWQ72" i="25"/>
  <c r="FVY72" i="25"/>
  <c r="FWA72" i="25"/>
  <c r="FVI72" i="25"/>
  <c r="FVK72" i="25"/>
  <c r="FUS72" i="25"/>
  <c r="FUU72" i="25"/>
  <c r="FUC72" i="25"/>
  <c r="FUE72" i="25"/>
  <c r="FTM72" i="25"/>
  <c r="FTO72" i="25"/>
  <c r="FSW72" i="25"/>
  <c r="FSY72" i="25"/>
  <c r="FSG72" i="25"/>
  <c r="FSI72" i="25"/>
  <c r="FRQ72" i="25"/>
  <c r="FRS72" i="25"/>
  <c r="FRA72" i="25"/>
  <c r="FRC72" i="25"/>
  <c r="FQK72" i="25"/>
  <c r="FQM72" i="25"/>
  <c r="FPU72" i="25"/>
  <c r="FPW72" i="25"/>
  <c r="FPE72" i="25"/>
  <c r="FPG72" i="25"/>
  <c r="FOO72" i="25"/>
  <c r="FOQ72" i="25"/>
  <c r="FNY72" i="25"/>
  <c r="FOA72" i="25"/>
  <c r="FNI72" i="25"/>
  <c r="FNK72" i="25"/>
  <c r="FMS72" i="25"/>
  <c r="FMU72" i="25"/>
  <c r="FMC72" i="25"/>
  <c r="FME72" i="25"/>
  <c r="FLM72" i="25"/>
  <c r="FLO72" i="25"/>
  <c r="FKW72" i="25"/>
  <c r="FKY72" i="25"/>
  <c r="FKG72" i="25"/>
  <c r="FKI72" i="25"/>
  <c r="FJQ72" i="25"/>
  <c r="FJS72" i="25"/>
  <c r="FJA72" i="25"/>
  <c r="FJC72" i="25"/>
  <c r="FIK72" i="25"/>
  <c r="FIM72" i="25"/>
  <c r="FHU72" i="25"/>
  <c r="FHW72" i="25"/>
  <c r="FHE72" i="25"/>
  <c r="FHG72" i="25"/>
  <c r="FGO72" i="25"/>
  <c r="FGQ72" i="25"/>
  <c r="FFY72" i="25"/>
  <c r="FGA72" i="25"/>
  <c r="FFI72" i="25"/>
  <c r="FFK72" i="25"/>
  <c r="FES72" i="25"/>
  <c r="FEU72" i="25"/>
  <c r="FEC72" i="25"/>
  <c r="FEE72" i="25"/>
  <c r="FDM72" i="25"/>
  <c r="FDO72" i="25"/>
  <c r="FCW72" i="25"/>
  <c r="FCY72" i="25"/>
  <c r="FCG72" i="25"/>
  <c r="FCI72" i="25"/>
  <c r="FBQ72" i="25"/>
  <c r="FBS72" i="25"/>
  <c r="FBA72" i="25"/>
  <c r="FBC72" i="25"/>
  <c r="FAK72" i="25"/>
  <c r="FAM72" i="25"/>
  <c r="EZU72" i="25"/>
  <c r="EZW72" i="25"/>
  <c r="EZE72" i="25"/>
  <c r="EZG72" i="25"/>
  <c r="EYO72" i="25"/>
  <c r="EYQ72" i="25"/>
  <c r="EXY72" i="25"/>
  <c r="EYA72" i="25"/>
  <c r="EXI72" i="25"/>
  <c r="EXK72" i="25"/>
  <c r="EWS72" i="25"/>
  <c r="EWU72" i="25"/>
  <c r="EWC72" i="25"/>
  <c r="EWE72" i="25"/>
  <c r="EVM72" i="25"/>
  <c r="EVO72" i="25"/>
  <c r="EUW72" i="25"/>
  <c r="EUY72" i="25"/>
  <c r="EUG72" i="25"/>
  <c r="EUI72" i="25"/>
  <c r="ETQ72" i="25"/>
  <c r="ETS72" i="25"/>
  <c r="ETA72" i="25"/>
  <c r="ETC72" i="25"/>
  <c r="ESK72" i="25"/>
  <c r="ESM72" i="25"/>
  <c r="ERU72" i="25"/>
  <c r="ERW72" i="25"/>
  <c r="ERE72" i="25"/>
  <c r="ERG72" i="25"/>
  <c r="EQO72" i="25"/>
  <c r="EQQ72" i="25"/>
  <c r="EPY72" i="25"/>
  <c r="EQA72" i="25"/>
  <c r="EPI72" i="25"/>
  <c r="EPK72" i="25"/>
  <c r="EOS72" i="25"/>
  <c r="EOU72" i="25"/>
  <c r="EOC72" i="25"/>
  <c r="EOE72" i="25"/>
  <c r="ENM72" i="25"/>
  <c r="ENO72" i="25"/>
  <c r="EMW72" i="25"/>
  <c r="EMY72" i="25"/>
  <c r="EMG72" i="25"/>
  <c r="EMI72" i="25"/>
  <c r="ELQ72" i="25"/>
  <c r="ELS72" i="25"/>
  <c r="ELA72" i="25"/>
  <c r="ELC72" i="25"/>
  <c r="EKK72" i="25"/>
  <c r="EKM72" i="25"/>
  <c r="EJU72" i="25"/>
  <c r="EJW72" i="25"/>
  <c r="EJE72" i="25"/>
  <c r="EJG72" i="25"/>
  <c r="EIO72" i="25"/>
  <c r="EIQ72" i="25"/>
  <c r="EHY72" i="25"/>
  <c r="EIA72" i="25"/>
  <c r="EHI72" i="25"/>
  <c r="EHK72" i="25"/>
  <c r="EGS72" i="25"/>
  <c r="EGU72" i="25"/>
  <c r="EGC72" i="25"/>
  <c r="EGE72" i="25"/>
  <c r="EFM72" i="25"/>
  <c r="EFO72" i="25"/>
  <c r="EEW72" i="25"/>
  <c r="EEY72" i="25"/>
  <c r="EEG72" i="25"/>
  <c r="EEI72" i="25"/>
  <c r="EDQ72" i="25"/>
  <c r="EDS72" i="25"/>
  <c r="EDA72" i="25"/>
  <c r="EDC72" i="25"/>
  <c r="ECK72" i="25"/>
  <c r="ECM72" i="25"/>
  <c r="EBU72" i="25"/>
  <c r="EBW72" i="25"/>
  <c r="EBE72" i="25"/>
  <c r="EBG72" i="25"/>
  <c r="EAO72" i="25"/>
  <c r="EAQ72" i="25"/>
  <c r="DZY72" i="25"/>
  <c r="EAA72" i="25"/>
  <c r="DZI72" i="25"/>
  <c r="DZK72" i="25"/>
  <c r="DYS72" i="25"/>
  <c r="DYU72" i="25"/>
  <c r="DYC72" i="25"/>
  <c r="DYE72" i="25"/>
  <c r="DXM72" i="25"/>
  <c r="DXO72" i="25"/>
  <c r="DWW72" i="25"/>
  <c r="DWY72" i="25"/>
  <c r="DWG72" i="25"/>
  <c r="DWI72" i="25"/>
  <c r="DVQ72" i="25"/>
  <c r="DVS72" i="25"/>
  <c r="DVA72" i="25"/>
  <c r="DVC72" i="25"/>
  <c r="DUK72" i="25"/>
  <c r="DUM72" i="25"/>
  <c r="DTU72" i="25"/>
  <c r="DTW72" i="25"/>
  <c r="DTE72" i="25"/>
  <c r="DTG72" i="25"/>
  <c r="DSO72" i="25"/>
  <c r="DSQ72" i="25"/>
  <c r="DRY72" i="25"/>
  <c r="DSA72" i="25"/>
  <c r="DRI72" i="25"/>
  <c r="DRK72" i="25"/>
  <c r="DQS72" i="25"/>
  <c r="DQU72" i="25"/>
  <c r="DQC72" i="25"/>
  <c r="DQE72" i="25"/>
  <c r="DPM72" i="25"/>
  <c r="DPO72" i="25"/>
  <c r="DOW72" i="25"/>
  <c r="DOY72" i="25"/>
  <c r="DOG72" i="25"/>
  <c r="DOI72" i="25"/>
  <c r="DNQ72" i="25"/>
  <c r="DNS72" i="25"/>
  <c r="VGO71" i="25"/>
  <c r="VGQ71" i="25"/>
  <c r="VFY71" i="25"/>
  <c r="VGA71" i="25"/>
  <c r="VFI71" i="25"/>
  <c r="VFK71" i="25"/>
  <c r="VES71" i="25"/>
  <c r="VEU71" i="25"/>
  <c r="VEC71" i="25"/>
  <c r="VEE71" i="25"/>
  <c r="VDM71" i="25"/>
  <c r="VDO71" i="25"/>
  <c r="VCW71" i="25"/>
  <c r="VCY71" i="25"/>
  <c r="VCG71" i="25"/>
  <c r="VCI71" i="25"/>
  <c r="VBQ71" i="25"/>
  <c r="VBS71" i="25"/>
  <c r="VBA71" i="25"/>
  <c r="VBC71" i="25"/>
  <c r="VAK71" i="25"/>
  <c r="VAM71" i="25"/>
  <c r="UZU71" i="25"/>
  <c r="UZW71" i="25"/>
  <c r="UZE71" i="25"/>
  <c r="UZG71" i="25"/>
  <c r="UYO71" i="25"/>
  <c r="UYQ71" i="25"/>
  <c r="UXY71" i="25"/>
  <c r="UYA71" i="25"/>
  <c r="UXI71" i="25"/>
  <c r="UXK71" i="25"/>
  <c r="UWS71" i="25"/>
  <c r="UWU71" i="25"/>
  <c r="UWC71" i="25"/>
  <c r="UWE71" i="25"/>
  <c r="UVM71" i="25"/>
  <c r="UVO71" i="25"/>
  <c r="UUW71" i="25"/>
  <c r="UUY71" i="25"/>
  <c r="UUG71" i="25"/>
  <c r="UUI71" i="25"/>
  <c r="UTQ71" i="25"/>
  <c r="UTS71" i="25"/>
  <c r="UTA71" i="25"/>
  <c r="UTC71" i="25"/>
  <c r="USK71" i="25"/>
  <c r="USM71" i="25"/>
  <c r="URU71" i="25"/>
  <c r="URW71" i="25"/>
  <c r="URE71" i="25"/>
  <c r="URG71" i="25"/>
  <c r="UQO71" i="25"/>
  <c r="UQQ71" i="25"/>
  <c r="UPY71" i="25"/>
  <c r="UQA71" i="25"/>
  <c r="UPI71" i="25"/>
  <c r="UPK71" i="25"/>
  <c r="UOS71" i="25"/>
  <c r="UOU71" i="25"/>
  <c r="UOC71" i="25"/>
  <c r="UOE71" i="25"/>
  <c r="UNM71" i="25"/>
  <c r="UNO71" i="25"/>
  <c r="UMW71" i="25"/>
  <c r="UMY71" i="25"/>
  <c r="UMG71" i="25"/>
  <c r="UMI71" i="25"/>
  <c r="ULQ71" i="25"/>
  <c r="ULS71" i="25"/>
  <c r="ULA71" i="25"/>
  <c r="ULC71" i="25"/>
  <c r="UKK71" i="25"/>
  <c r="UKM71" i="25"/>
  <c r="UJU71" i="25"/>
  <c r="UJW71" i="25"/>
  <c r="UJE71" i="25"/>
  <c r="UJG71" i="25"/>
  <c r="UIO71" i="25"/>
  <c r="UIQ71" i="25"/>
  <c r="UHY71" i="25"/>
  <c r="UIA71" i="25"/>
  <c r="UHI71" i="25"/>
  <c r="UHK71" i="25"/>
  <c r="UGS71" i="25"/>
  <c r="UGU71" i="25"/>
  <c r="UGC71" i="25"/>
  <c r="UGE71" i="25"/>
  <c r="UFM71" i="25"/>
  <c r="UFO71" i="25"/>
  <c r="UEW71" i="25"/>
  <c r="UEY71" i="25"/>
  <c r="UEG71" i="25"/>
  <c r="UEI71" i="25"/>
  <c r="UDQ71" i="25"/>
  <c r="UDS71" i="25"/>
  <c r="UDA71" i="25"/>
  <c r="UDC71" i="25"/>
  <c r="UCK71" i="25"/>
  <c r="UCM71" i="25"/>
  <c r="UBU71" i="25"/>
  <c r="UBW71" i="25"/>
  <c r="UBE71" i="25"/>
  <c r="UBG71" i="25"/>
  <c r="UAO71" i="25"/>
  <c r="UAQ71" i="25"/>
  <c r="TZY71" i="25"/>
  <c r="UAA71" i="25"/>
  <c r="TZI71" i="25"/>
  <c r="TZK71" i="25"/>
  <c r="TYS71" i="25"/>
  <c r="TYU71" i="25"/>
  <c r="TYC71" i="25"/>
  <c r="TYE71" i="25"/>
  <c r="TXM71" i="25"/>
  <c r="TXO71" i="25"/>
  <c r="TWW71" i="25"/>
  <c r="TWY71" i="25"/>
  <c r="TWG71" i="25"/>
  <c r="TWI71" i="25"/>
  <c r="TVQ71" i="25"/>
  <c r="TVS71" i="25"/>
  <c r="TVA71" i="25"/>
  <c r="TVC71" i="25"/>
  <c r="TUK71" i="25"/>
  <c r="TUM71" i="25"/>
  <c r="TTU71" i="25"/>
  <c r="TTW71" i="25"/>
  <c r="TTE71" i="25"/>
  <c r="TTG71" i="25"/>
  <c r="TSO71" i="25"/>
  <c r="TSQ71" i="25"/>
  <c r="TRY71" i="25"/>
  <c r="TSA71" i="25"/>
  <c r="TRI71" i="25"/>
  <c r="TRK71" i="25"/>
  <c r="TQS71" i="25"/>
  <c r="TQU71" i="25"/>
  <c r="TQC71" i="25"/>
  <c r="TQE71" i="25"/>
  <c r="TPM71" i="25"/>
  <c r="TPO71" i="25"/>
  <c r="TOW71" i="25"/>
  <c r="TOY71" i="25"/>
  <c r="TOG71" i="25"/>
  <c r="TOI71" i="25"/>
  <c r="TNQ71" i="25"/>
  <c r="TNS71" i="25"/>
  <c r="TNA71" i="25"/>
  <c r="TNC71" i="25"/>
  <c r="TMK71" i="25"/>
  <c r="TMM71" i="25"/>
  <c r="TLU71" i="25"/>
  <c r="TLW71" i="25"/>
  <c r="TLE71" i="25"/>
  <c r="TLG71" i="25"/>
  <c r="TKO71" i="25"/>
  <c r="TKQ71" i="25"/>
  <c r="TJY71" i="25"/>
  <c r="TKA71" i="25"/>
  <c r="TJI71" i="25"/>
  <c r="TJK71" i="25"/>
  <c r="TIS71" i="25"/>
  <c r="TIU71" i="25"/>
  <c r="TIC71" i="25"/>
  <c r="TIE71" i="25"/>
  <c r="THM71" i="25"/>
  <c r="THO71" i="25"/>
  <c r="TGW71" i="25"/>
  <c r="TGY71" i="25"/>
  <c r="TGG71" i="25"/>
  <c r="TGI71" i="25"/>
  <c r="TFQ71" i="25"/>
  <c r="TFS71" i="25"/>
  <c r="TFA71" i="25"/>
  <c r="TFC71" i="25"/>
  <c r="TEK71" i="25"/>
  <c r="TEM71" i="25"/>
  <c r="TDU71" i="25"/>
  <c r="TDW71" i="25"/>
  <c r="TDE71" i="25"/>
  <c r="TDG71" i="25"/>
  <c r="TCO71" i="25"/>
  <c r="TCQ71" i="25"/>
  <c r="TBY71" i="25"/>
  <c r="TCA71" i="25"/>
  <c r="TBI71" i="25"/>
  <c r="TBK71" i="25"/>
  <c r="TAS71" i="25"/>
  <c r="TAU71" i="25"/>
  <c r="TAC71" i="25"/>
  <c r="TAE71" i="25"/>
  <c r="SZM71" i="25"/>
  <c r="SZO71" i="25"/>
  <c r="SYW71" i="25"/>
  <c r="SYY71" i="25"/>
  <c r="SYG71" i="25"/>
  <c r="SYI71" i="25"/>
  <c r="SXQ71" i="25"/>
  <c r="SXS71" i="25"/>
  <c r="SXA71" i="25"/>
  <c r="SXC71" i="25"/>
  <c r="SWK71" i="25"/>
  <c r="SWM71" i="25"/>
  <c r="SVU71" i="25"/>
  <c r="SVW71" i="25"/>
  <c r="SVE71" i="25"/>
  <c r="SVG71" i="25"/>
  <c r="SUO71" i="25"/>
  <c r="SUQ71" i="25"/>
  <c r="STY71" i="25"/>
  <c r="SUA71" i="25"/>
  <c r="STI71" i="25"/>
  <c r="STK71" i="25"/>
  <c r="SSS71" i="25"/>
  <c r="SSU71" i="25"/>
  <c r="SSC71" i="25"/>
  <c r="SSE71" i="25"/>
  <c r="SRM71" i="25"/>
  <c r="SRO71" i="25"/>
  <c r="SQW71" i="25"/>
  <c r="SQY71" i="25"/>
  <c r="SQG71" i="25"/>
  <c r="SQI71" i="25"/>
  <c r="SPQ71" i="25"/>
  <c r="SPS71" i="25"/>
  <c r="SPA71" i="25"/>
  <c r="SPC71" i="25"/>
  <c r="SOK71" i="25"/>
  <c r="SOM71" i="25"/>
  <c r="SNU71" i="25"/>
  <c r="SNW71" i="25"/>
  <c r="SNE71" i="25"/>
  <c r="SNG71" i="25"/>
  <c r="SMO71" i="25"/>
  <c r="SMQ71" i="25"/>
  <c r="SLY71" i="25"/>
  <c r="SMA71" i="25"/>
  <c r="SLI71" i="25"/>
  <c r="SLK71" i="25"/>
  <c r="SKS71" i="25"/>
  <c r="SKU71" i="25"/>
  <c r="SKC71" i="25"/>
  <c r="SKE71" i="25"/>
  <c r="SJM71" i="25"/>
  <c r="SJO71" i="25"/>
  <c r="SIW71" i="25"/>
  <c r="SIY71" i="25"/>
  <c r="SIG71" i="25"/>
  <c r="SII71" i="25"/>
  <c r="SHQ71" i="25"/>
  <c r="SHS71" i="25"/>
  <c r="SHA71" i="25"/>
  <c r="SHC71" i="25"/>
  <c r="SGK71" i="25"/>
  <c r="SGM71" i="25"/>
  <c r="SFU71" i="25"/>
  <c r="SFW71" i="25"/>
  <c r="SFE71" i="25"/>
  <c r="SFG71" i="25"/>
  <c r="SEO71" i="25"/>
  <c r="SEQ71" i="25"/>
  <c r="SDY71" i="25"/>
  <c r="SEA71" i="25"/>
  <c r="SDI71" i="25"/>
  <c r="SDK71" i="25"/>
  <c r="SCS71" i="25"/>
  <c r="SCU71" i="25"/>
  <c r="SCC71" i="25"/>
  <c r="SCE71" i="25"/>
  <c r="SBM71" i="25"/>
  <c r="SBO71" i="25"/>
  <c r="SAW71" i="25"/>
  <c r="SAY71" i="25"/>
  <c r="SAG71" i="25"/>
  <c r="SAI71" i="25"/>
  <c r="RZQ71" i="25"/>
  <c r="RZS71" i="25"/>
  <c r="RZA71" i="25"/>
  <c r="RZC71" i="25"/>
  <c r="RYK71" i="25"/>
  <c r="RYM71" i="25"/>
  <c r="RXU71" i="25"/>
  <c r="RXW71" i="25"/>
  <c r="RXE71" i="25"/>
  <c r="RXG71" i="25"/>
  <c r="QZU71" i="25"/>
  <c r="QZW71" i="25"/>
  <c r="QZE71" i="25"/>
  <c r="QZG71" i="25"/>
  <c r="QYO71" i="25"/>
  <c r="QYQ71" i="25"/>
  <c r="QXY71" i="25"/>
  <c r="QYA71" i="25"/>
  <c r="QXI71" i="25"/>
  <c r="QXK71" i="25"/>
  <c r="QWS71" i="25"/>
  <c r="QWU71" i="25"/>
  <c r="QWC71" i="25"/>
  <c r="QWE71" i="25"/>
  <c r="QVM71" i="25"/>
  <c r="QVO71" i="25"/>
  <c r="QUW71" i="25"/>
  <c r="QUY71" i="25"/>
  <c r="QUG71" i="25"/>
  <c r="QUI71" i="25"/>
  <c r="QTQ71" i="25"/>
  <c r="QTS71" i="25"/>
  <c r="QTA71" i="25"/>
  <c r="QTC71" i="25"/>
  <c r="QSK71" i="25"/>
  <c r="QSM71" i="25"/>
  <c r="QRU71" i="25"/>
  <c r="QRW71" i="25"/>
  <c r="QRE71" i="25"/>
  <c r="QRG71" i="25"/>
  <c r="QQO71" i="25"/>
  <c r="QQQ71" i="25"/>
  <c r="QPY71" i="25"/>
  <c r="QQA71" i="25"/>
  <c r="QPI71" i="25"/>
  <c r="QPK71" i="25"/>
  <c r="QOS71" i="25"/>
  <c r="QOU71" i="25"/>
  <c r="QOC71" i="25"/>
  <c r="QOE71" i="25"/>
  <c r="QNM71" i="25"/>
  <c r="QNO71" i="25"/>
  <c r="QMW71" i="25"/>
  <c r="QMY71" i="25"/>
  <c r="QMG71" i="25"/>
  <c r="QMI71" i="25"/>
  <c r="QLQ71" i="25"/>
  <c r="QLS71" i="25"/>
  <c r="QLA71" i="25"/>
  <c r="QLC71" i="25"/>
  <c r="QKK71" i="25"/>
  <c r="QKM71" i="25"/>
  <c r="QJU71" i="25"/>
  <c r="QJW71" i="25"/>
  <c r="QJE71" i="25"/>
  <c r="QJG71" i="25"/>
  <c r="QIO71" i="25"/>
  <c r="QIQ71" i="25"/>
  <c r="QHY71" i="25"/>
  <c r="QIA71" i="25"/>
  <c r="QHI71" i="25"/>
  <c r="QHK71" i="25"/>
  <c r="QGS71" i="25"/>
  <c r="QGU71" i="25"/>
  <c r="QGC71" i="25"/>
  <c r="QGE71" i="25"/>
  <c r="QFM71" i="25"/>
  <c r="QFO71" i="25"/>
  <c r="QEW71" i="25"/>
  <c r="QEY71" i="25"/>
  <c r="QEG71" i="25"/>
  <c r="QEI71" i="25"/>
  <c r="QDQ71" i="25"/>
  <c r="QDS71" i="25"/>
  <c r="QDA71" i="25"/>
  <c r="QDC71" i="25"/>
  <c r="QCK71" i="25"/>
  <c r="QCM71" i="25"/>
  <c r="QBU71" i="25"/>
  <c r="QBW71" i="25"/>
  <c r="QBE71" i="25"/>
  <c r="QBG71" i="25"/>
  <c r="QAO71" i="25"/>
  <c r="QAQ71" i="25"/>
  <c r="PZY71" i="25"/>
  <c r="QAA71" i="25"/>
  <c r="PZI71" i="25"/>
  <c r="PZK71" i="25"/>
  <c r="PYS71" i="25"/>
  <c r="PYU71" i="25"/>
  <c r="PYC71" i="25"/>
  <c r="PYE71" i="25"/>
  <c r="PXM71" i="25"/>
  <c r="PXO71" i="25"/>
  <c r="PWW71" i="25"/>
  <c r="PWY71" i="25"/>
  <c r="PWG71" i="25"/>
  <c r="PWI71" i="25"/>
  <c r="PVQ71" i="25"/>
  <c r="PVS71" i="25"/>
  <c r="PVA71" i="25"/>
  <c r="PVC71" i="25"/>
  <c r="PUK71" i="25"/>
  <c r="PUM71" i="25"/>
  <c r="PTU71" i="25"/>
  <c r="PTW71" i="25"/>
  <c r="PTE71" i="25"/>
  <c r="PTG71" i="25"/>
  <c r="PSO71" i="25"/>
  <c r="PSQ71" i="25"/>
  <c r="PRY71" i="25"/>
  <c r="PSA71" i="25"/>
  <c r="PRI71" i="25"/>
  <c r="PRK71" i="25"/>
  <c r="PQS71" i="25"/>
  <c r="PQU71" i="25"/>
  <c r="PQC71" i="25"/>
  <c r="PQE71" i="25"/>
  <c r="PPM71" i="25"/>
  <c r="PPO71" i="25"/>
  <c r="POW71" i="25"/>
  <c r="POY71" i="25"/>
  <c r="POG71" i="25"/>
  <c r="POI71" i="25"/>
  <c r="PNQ71" i="25"/>
  <c r="PNS71" i="25"/>
  <c r="PNA71" i="25"/>
  <c r="PNC71" i="25"/>
  <c r="PMK71" i="25"/>
  <c r="PMM71" i="25"/>
  <c r="PLU71" i="25"/>
  <c r="PLW71" i="25"/>
  <c r="PLE71" i="25"/>
  <c r="PLG71" i="25"/>
  <c r="PKO71" i="25"/>
  <c r="PKQ71" i="25"/>
  <c r="PJY71" i="25"/>
  <c r="PKA71" i="25"/>
  <c r="PJI71" i="25"/>
  <c r="PJK71" i="25"/>
  <c r="PIS71" i="25"/>
  <c r="PIU71" i="25"/>
  <c r="PIC71" i="25"/>
  <c r="PIE71" i="25"/>
  <c r="PHM71" i="25"/>
  <c r="PHO71" i="25"/>
  <c r="PGW71" i="25"/>
  <c r="PGY71" i="25"/>
  <c r="PGG71" i="25"/>
  <c r="PGI71" i="25"/>
  <c r="PFQ71" i="25"/>
  <c r="PFS71" i="25"/>
  <c r="PFA71" i="25"/>
  <c r="PFC71" i="25"/>
  <c r="PEK71" i="25"/>
  <c r="PEM71" i="25"/>
  <c r="PDU71" i="25"/>
  <c r="PDW71" i="25"/>
  <c r="PDE71" i="25"/>
  <c r="PDG71" i="25"/>
  <c r="PCO71" i="25"/>
  <c r="PCQ71" i="25"/>
  <c r="PBY71" i="25"/>
  <c r="PCA71" i="25"/>
  <c r="PBI71" i="25"/>
  <c r="PBK71" i="25"/>
  <c r="PAS71" i="25"/>
  <c r="PAU71" i="25"/>
  <c r="PAC71" i="25"/>
  <c r="PAE71" i="25"/>
  <c r="OZM71" i="25"/>
  <c r="OZO71" i="25"/>
  <c r="OYW71" i="25"/>
  <c r="OYY71" i="25"/>
  <c r="OYG71" i="25"/>
  <c r="OYI71" i="25"/>
  <c r="OXQ71" i="25"/>
  <c r="OXS71" i="25"/>
  <c r="OXA71" i="25"/>
  <c r="OXC71" i="25"/>
  <c r="OWK71" i="25"/>
  <c r="OWM71" i="25"/>
  <c r="OVU71" i="25"/>
  <c r="OVW71" i="25"/>
  <c r="OVE71" i="25"/>
  <c r="OVG71" i="25"/>
  <c r="OUO71" i="25"/>
  <c r="OUQ71" i="25"/>
  <c r="OTY71" i="25"/>
  <c r="OUA71" i="25"/>
  <c r="OTI71" i="25"/>
  <c r="OTK71" i="25"/>
  <c r="OSS71" i="25"/>
  <c r="OSU71" i="25"/>
  <c r="OSC71" i="25"/>
  <c r="OSE71" i="25"/>
  <c r="ORM71" i="25"/>
  <c r="ORO71" i="25"/>
  <c r="OQW71" i="25"/>
  <c r="OQY71" i="25"/>
  <c r="OQG71" i="25"/>
  <c r="OQI71" i="25"/>
  <c r="OPQ71" i="25"/>
  <c r="OPS71" i="25"/>
  <c r="OPA71" i="25"/>
  <c r="OPC71" i="25"/>
  <c r="OOK71" i="25"/>
  <c r="OOM71" i="25"/>
  <c r="ONU71" i="25"/>
  <c r="ONW71" i="25"/>
  <c r="ONE71" i="25"/>
  <c r="ONG71" i="25"/>
  <c r="OMO71" i="25"/>
  <c r="OMQ71" i="25"/>
  <c r="OLY71" i="25"/>
  <c r="OMA71" i="25"/>
  <c r="OLI71" i="25"/>
  <c r="OLK71" i="25"/>
  <c r="OKS71" i="25"/>
  <c r="OKU71" i="25"/>
  <c r="OKC71" i="25"/>
  <c r="OKE71" i="25"/>
  <c r="OJM71" i="25"/>
  <c r="OJO71" i="25"/>
  <c r="OIW71" i="25"/>
  <c r="OIY71" i="25"/>
  <c r="OIG71" i="25"/>
  <c r="OII71" i="25"/>
  <c r="OHQ71" i="25"/>
  <c r="OHS71" i="25"/>
  <c r="OHA71" i="25"/>
  <c r="OHC71" i="25"/>
  <c r="OGK71" i="25"/>
  <c r="OGM71" i="25"/>
  <c r="OFU71" i="25"/>
  <c r="OFW71" i="25"/>
  <c r="OFE71" i="25"/>
  <c r="OFG71" i="25"/>
  <c r="OEO71" i="25"/>
  <c r="OEQ71" i="25"/>
  <c r="ODY71" i="25"/>
  <c r="OEA71" i="25"/>
  <c r="ODI71" i="25"/>
  <c r="ODK71" i="25"/>
  <c r="OCS71" i="25"/>
  <c r="OCU71" i="25"/>
  <c r="OCC71" i="25"/>
  <c r="OCE71" i="25"/>
  <c r="OBM71" i="25"/>
  <c r="OBO71" i="25"/>
  <c r="OAW71" i="25"/>
  <c r="OAY71" i="25"/>
  <c r="OAG71" i="25"/>
  <c r="OAI71" i="25"/>
  <c r="NZQ71" i="25"/>
  <c r="NZS71" i="25"/>
  <c r="NZA71" i="25"/>
  <c r="NZC71" i="25"/>
  <c r="NYK71" i="25"/>
  <c r="NYM71" i="25"/>
  <c r="NXU71" i="25"/>
  <c r="NXW71" i="25"/>
  <c r="NXE71" i="25"/>
  <c r="NXG71" i="25"/>
  <c r="NWO71" i="25"/>
  <c r="NWQ71" i="25"/>
  <c r="NVY71" i="25"/>
  <c r="NWA71" i="25"/>
  <c r="NVI71" i="25"/>
  <c r="NVK71" i="25"/>
  <c r="NUS71" i="25"/>
  <c r="NUU71" i="25"/>
  <c r="NUC71" i="25"/>
  <c r="NUE71" i="25"/>
  <c r="NTM71" i="25"/>
  <c r="NTO71" i="25"/>
  <c r="NSW71" i="25"/>
  <c r="NSY71" i="25"/>
  <c r="NSG71" i="25"/>
  <c r="NSI71" i="25"/>
  <c r="NRQ71" i="25"/>
  <c r="NRS71" i="25"/>
  <c r="NRA71" i="25"/>
  <c r="NRC71" i="25"/>
  <c r="NQK71" i="25"/>
  <c r="NQM71" i="25"/>
  <c r="NPU71" i="25"/>
  <c r="NPW71" i="25"/>
  <c r="NPE71" i="25"/>
  <c r="NPG71" i="25"/>
  <c r="NOO71" i="25"/>
  <c r="NOQ71" i="25"/>
  <c r="NNY71" i="25"/>
  <c r="NOA71" i="25"/>
  <c r="NNI71" i="25"/>
  <c r="NNK71" i="25"/>
  <c r="NMS71" i="25"/>
  <c r="NMU71" i="25"/>
  <c r="NMC71" i="25"/>
  <c r="NME71" i="25"/>
  <c r="NLM71" i="25"/>
  <c r="NLO71" i="25"/>
  <c r="NKW71" i="25"/>
  <c r="NKY71" i="25"/>
  <c r="NKG71" i="25"/>
  <c r="NKI71" i="25"/>
  <c r="NJQ71" i="25"/>
  <c r="NJS71" i="25"/>
  <c r="NJA71" i="25"/>
  <c r="NJC71" i="25"/>
  <c r="NIK71" i="25"/>
  <c r="NIM71" i="25"/>
  <c r="NHU71" i="25"/>
  <c r="NHW71" i="25"/>
  <c r="NHE71" i="25"/>
  <c r="NHG71" i="25"/>
  <c r="NGO71" i="25"/>
  <c r="NGQ71" i="25"/>
  <c r="NFY71" i="25"/>
  <c r="NGA71" i="25"/>
  <c r="NFI71" i="25"/>
  <c r="NFK71" i="25"/>
  <c r="NES71" i="25"/>
  <c r="NEU71" i="25"/>
  <c r="NEC71" i="25"/>
  <c r="NEE71" i="25"/>
  <c r="NDM71" i="25"/>
  <c r="NDO71" i="25"/>
  <c r="NCW71" i="25"/>
  <c r="NCY71" i="25"/>
  <c r="NCG71" i="25"/>
  <c r="NCI71" i="25"/>
  <c r="NBQ71" i="25"/>
  <c r="NBS71" i="25"/>
  <c r="NBA71" i="25"/>
  <c r="NBC71" i="25"/>
  <c r="NAK71" i="25"/>
  <c r="NAM71" i="25"/>
  <c r="MZU71" i="25"/>
  <c r="MZW71" i="25"/>
  <c r="MZE71" i="25"/>
  <c r="MZG71" i="25"/>
  <c r="MYO71" i="25"/>
  <c r="MYQ71" i="25"/>
  <c r="MXY71" i="25"/>
  <c r="MYA71" i="25"/>
  <c r="MXI71" i="25"/>
  <c r="MXK71" i="25"/>
  <c r="MWS71" i="25"/>
  <c r="MWU71" i="25"/>
  <c r="MWC71" i="25"/>
  <c r="MWE71" i="25"/>
  <c r="MVM71" i="25"/>
  <c r="MVO71" i="25"/>
  <c r="MUW71" i="25"/>
  <c r="MUY71" i="25"/>
  <c r="MUG71" i="25"/>
  <c r="MUI71" i="25"/>
  <c r="MTQ71" i="25"/>
  <c r="MTS71" i="25"/>
  <c r="MTA71" i="25"/>
  <c r="MTC71" i="25"/>
  <c r="MSK71" i="25"/>
  <c r="MSM71" i="25"/>
  <c r="MRU71" i="25"/>
  <c r="MRW71" i="25"/>
  <c r="MRE71" i="25"/>
  <c r="MRG71" i="25"/>
  <c r="MQO71" i="25"/>
  <c r="MQQ71" i="25"/>
  <c r="MPY71" i="25"/>
  <c r="MQA71" i="25"/>
  <c r="MPI71" i="25"/>
  <c r="MPK71" i="25"/>
  <c r="MOS71" i="25"/>
  <c r="MOU71" i="25"/>
  <c r="MOC71" i="25"/>
  <c r="MOE71" i="25"/>
  <c r="MNM71" i="25"/>
  <c r="MNO71" i="25"/>
  <c r="MMW71" i="25"/>
  <c r="MMY71" i="25"/>
  <c r="MMG71" i="25"/>
  <c r="MMI71" i="25"/>
  <c r="MLQ71" i="25"/>
  <c r="MLS71" i="25"/>
  <c r="MLA71" i="25"/>
  <c r="MLC71" i="25"/>
  <c r="MKK71" i="25"/>
  <c r="MKM71" i="25"/>
  <c r="MJU71" i="25"/>
  <c r="MJW71" i="25"/>
  <c r="MJE71" i="25"/>
  <c r="MJG71" i="25"/>
  <c r="MIO71" i="25"/>
  <c r="MIQ71" i="25"/>
  <c r="MHY71" i="25"/>
  <c r="MIA71" i="25"/>
  <c r="MHI71" i="25"/>
  <c r="MHK71" i="25"/>
  <c r="MGS71" i="25"/>
  <c r="MGU71" i="25"/>
  <c r="MGC71" i="25"/>
  <c r="MGE71" i="25"/>
  <c r="MFM71" i="25"/>
  <c r="MFO71" i="25"/>
  <c r="MEW71" i="25"/>
  <c r="MEY71" i="25"/>
  <c r="MEG71" i="25"/>
  <c r="MEI71" i="25"/>
  <c r="MDQ71" i="25"/>
  <c r="MDS71" i="25"/>
  <c r="MDA71" i="25"/>
  <c r="MDC71" i="25"/>
  <c r="MCK71" i="25"/>
  <c r="MCM71" i="25"/>
  <c r="MBU71" i="25"/>
  <c r="MBW71" i="25"/>
  <c r="MBE71" i="25"/>
  <c r="MBG71" i="25"/>
  <c r="MAO71" i="25"/>
  <c r="MAQ71" i="25"/>
  <c r="LZY71" i="25"/>
  <c r="MAA71" i="25"/>
  <c r="LZI71" i="25"/>
  <c r="LZK71" i="25"/>
  <c r="LYS71" i="25"/>
  <c r="LYU71" i="25"/>
  <c r="LYC71" i="25"/>
  <c r="LYE71" i="25"/>
  <c r="LXM71" i="25"/>
  <c r="LXO71" i="25"/>
  <c r="LWW71" i="25"/>
  <c r="LWY71" i="25"/>
  <c r="LWG71" i="25"/>
  <c r="LWI71" i="25"/>
  <c r="LVQ71" i="25"/>
  <c r="LVS71" i="25"/>
  <c r="LVA71" i="25"/>
  <c r="LVC71" i="25"/>
  <c r="LUK71" i="25"/>
  <c r="LUM71" i="25"/>
  <c r="LTU71" i="25"/>
  <c r="LTW71" i="25"/>
  <c r="LTE71" i="25"/>
  <c r="LTG71" i="25"/>
  <c r="LSO71" i="25"/>
  <c r="LSQ71" i="25"/>
  <c r="LRY71" i="25"/>
  <c r="LSA71" i="25"/>
  <c r="LRI71" i="25"/>
  <c r="LRK71" i="25"/>
  <c r="LQS71" i="25"/>
  <c r="LQU71" i="25"/>
  <c r="LQC71" i="25"/>
  <c r="LQE71" i="25"/>
  <c r="LPM71" i="25"/>
  <c r="LPO71" i="25"/>
  <c r="LOW71" i="25"/>
  <c r="LOY71" i="25"/>
  <c r="LOG71" i="25"/>
  <c r="LOI71" i="25"/>
  <c r="LNQ71" i="25"/>
  <c r="LNS71" i="25"/>
  <c r="LNA71" i="25"/>
  <c r="LNC71" i="25"/>
  <c r="LMK71" i="25"/>
  <c r="LMM71" i="25"/>
  <c r="LLU71" i="25"/>
  <c r="LLW71" i="25"/>
  <c r="LLE71" i="25"/>
  <c r="LLG71" i="25"/>
  <c r="LKO71" i="25"/>
  <c r="LKQ71" i="25"/>
  <c r="LJY71" i="25"/>
  <c r="LKA71" i="25"/>
  <c r="LJI71" i="25"/>
  <c r="LJK71" i="25"/>
  <c r="LIS71" i="25"/>
  <c r="LIU71" i="25"/>
  <c r="LIC71" i="25"/>
  <c r="LIE71" i="25"/>
  <c r="LHM71" i="25"/>
  <c r="LHO71" i="25"/>
  <c r="LGW71" i="25"/>
  <c r="LGY71" i="25"/>
  <c r="LGG71" i="25"/>
  <c r="LGI71" i="25"/>
  <c r="LFQ71" i="25"/>
  <c r="LFS71" i="25"/>
  <c r="LFA71" i="25"/>
  <c r="LFC71" i="25"/>
  <c r="LEK71" i="25"/>
  <c r="LEM71" i="25"/>
  <c r="LDU71" i="25"/>
  <c r="LDW71" i="25"/>
  <c r="LDE71" i="25"/>
  <c r="LDG71" i="25"/>
  <c r="LCO71" i="25"/>
  <c r="LCQ71" i="25"/>
  <c r="LBY71" i="25"/>
  <c r="LCA71" i="25"/>
  <c r="LBI71" i="25"/>
  <c r="LBK71" i="25"/>
  <c r="LAS71" i="25"/>
  <c r="LAU71" i="25"/>
  <c r="LAC71" i="25"/>
  <c r="LAE71" i="25"/>
  <c r="KZM71" i="25"/>
  <c r="KZO71" i="25"/>
  <c r="KYW71" i="25"/>
  <c r="KYY71" i="25"/>
  <c r="KYG71" i="25"/>
  <c r="KYI71" i="25"/>
  <c r="KXQ71" i="25"/>
  <c r="KXS71" i="25"/>
  <c r="KXA71" i="25"/>
  <c r="KXC71" i="25"/>
  <c r="KWK71" i="25"/>
  <c r="KWM71" i="25"/>
  <c r="KVU71" i="25"/>
  <c r="KVW71" i="25"/>
  <c r="KVE71" i="25"/>
  <c r="KVG71" i="25"/>
  <c r="KUO71" i="25"/>
  <c r="KUQ71" i="25"/>
  <c r="KTY71" i="25"/>
  <c r="KUA71" i="25"/>
  <c r="KTI71" i="25"/>
  <c r="KTK71" i="25"/>
  <c r="KSS71" i="25"/>
  <c r="KSU71" i="25"/>
  <c r="KSC71" i="25"/>
  <c r="KSE71" i="25"/>
  <c r="KRM71" i="25"/>
  <c r="KRO71" i="25"/>
  <c r="KQW71" i="25"/>
  <c r="KQY71" i="25"/>
  <c r="KQG71" i="25"/>
  <c r="KQI71" i="25"/>
  <c r="KPQ71" i="25"/>
  <c r="KPS71" i="25"/>
  <c r="KPA71" i="25"/>
  <c r="KPC71" i="25"/>
  <c r="KOK71" i="25"/>
  <c r="KOM71" i="25"/>
  <c r="KNU71" i="25"/>
  <c r="KNW71" i="25"/>
  <c r="KNE71" i="25"/>
  <c r="KNG71" i="25"/>
  <c r="KMO71" i="25"/>
  <c r="KMQ71" i="25"/>
  <c r="KLY71" i="25"/>
  <c r="KMA71" i="25"/>
  <c r="KLI71" i="25"/>
  <c r="KLK71" i="25"/>
  <c r="KKS71" i="25"/>
  <c r="KKU71" i="25"/>
  <c r="KKC71" i="25"/>
  <c r="KKE71" i="25"/>
  <c r="KJM71" i="25"/>
  <c r="KJO71" i="25"/>
  <c r="KIW71" i="25"/>
  <c r="KIY71" i="25"/>
  <c r="KIG71" i="25"/>
  <c r="KII71" i="25"/>
  <c r="KHQ71" i="25"/>
  <c r="KHS71" i="25"/>
  <c r="KHA71" i="25"/>
  <c r="KHC71" i="25"/>
  <c r="KGK71" i="25"/>
  <c r="KGM71" i="25"/>
  <c r="KFU71" i="25"/>
  <c r="KFW71" i="25"/>
  <c r="KFE71" i="25"/>
  <c r="KFG71" i="25"/>
  <c r="KEO71" i="25"/>
  <c r="KEQ71" i="25"/>
  <c r="KDY71" i="25"/>
  <c r="KEA71" i="25"/>
  <c r="KDI71" i="25"/>
  <c r="KDK71" i="25"/>
  <c r="KCS71" i="25"/>
  <c r="KCU71" i="25"/>
  <c r="KCC71" i="25"/>
  <c r="KCE71" i="25"/>
  <c r="KBM71" i="25"/>
  <c r="KBO71" i="25"/>
  <c r="KAW71" i="25"/>
  <c r="KAY71" i="25"/>
  <c r="KAG71" i="25"/>
  <c r="KAI71" i="25"/>
  <c r="JZQ71" i="25"/>
  <c r="JZS71" i="25"/>
  <c r="JZA71" i="25"/>
  <c r="JZC71" i="25"/>
  <c r="JYK71" i="25"/>
  <c r="JYM71" i="25"/>
  <c r="JXU71" i="25"/>
  <c r="JXW71" i="25"/>
  <c r="JXE71" i="25"/>
  <c r="JXG71" i="25"/>
  <c r="JWO71" i="25"/>
  <c r="JWQ71" i="25"/>
  <c r="JVY71" i="25"/>
  <c r="JWA71" i="25"/>
  <c r="JVI71" i="25"/>
  <c r="JVK71" i="25"/>
  <c r="JUS71" i="25"/>
  <c r="JUU71" i="25"/>
  <c r="JUC71" i="25"/>
  <c r="JUE71" i="25"/>
  <c r="JTM71" i="25"/>
  <c r="JTO71" i="25"/>
  <c r="JSW71" i="25"/>
  <c r="JSY71" i="25"/>
  <c r="JSG71" i="25"/>
  <c r="JSI71" i="25"/>
  <c r="JRQ71" i="25"/>
  <c r="JRS71" i="25"/>
  <c r="JRA71" i="25"/>
  <c r="JRC71" i="25"/>
  <c r="JQK71" i="25"/>
  <c r="JQM71" i="25"/>
  <c r="JPU71" i="25"/>
  <c r="JPW71" i="25"/>
  <c r="JPE71" i="25"/>
  <c r="JPG71" i="25"/>
  <c r="JOO71" i="25"/>
  <c r="JOQ71" i="25"/>
  <c r="JNY71" i="25"/>
  <c r="JOA71" i="25"/>
  <c r="JNI71" i="25"/>
  <c r="JNK71" i="25"/>
  <c r="JMS71" i="25"/>
  <c r="JMU71" i="25"/>
  <c r="JMC71" i="25"/>
  <c r="JME71" i="25"/>
  <c r="JLM71" i="25"/>
  <c r="JLO71" i="25"/>
  <c r="JKW71" i="25"/>
  <c r="JKY71" i="25"/>
  <c r="JKG71" i="25"/>
  <c r="JKI71" i="25"/>
  <c r="JJQ71" i="25"/>
  <c r="JJS71" i="25"/>
  <c r="JJA71" i="25"/>
  <c r="JJC71" i="25"/>
  <c r="JIK71" i="25"/>
  <c r="JIM71" i="25"/>
  <c r="JHU71" i="25"/>
  <c r="JHW71" i="25"/>
  <c r="JHE71" i="25"/>
  <c r="JHG71" i="25"/>
  <c r="JGO71" i="25"/>
  <c r="JGQ71" i="25"/>
  <c r="JFY71" i="25"/>
  <c r="JGA71" i="25"/>
  <c r="JFI71" i="25"/>
  <c r="JFK71" i="25"/>
  <c r="JES71" i="25"/>
  <c r="JEU71" i="25"/>
  <c r="JEC71" i="25"/>
  <c r="JEE71" i="25"/>
  <c r="JDM71" i="25"/>
  <c r="JDO71" i="25"/>
  <c r="JCW71" i="25"/>
  <c r="JCY71" i="25"/>
  <c r="JCG71" i="25"/>
  <c r="JCI71" i="25"/>
  <c r="JBQ71" i="25"/>
  <c r="JBS71" i="25"/>
  <c r="JBA71" i="25"/>
  <c r="JBC71" i="25"/>
  <c r="JAK71" i="25"/>
  <c r="JAM71" i="25"/>
  <c r="IZU71" i="25"/>
  <c r="IZW71" i="25"/>
  <c r="IZE71" i="25"/>
  <c r="IZG71" i="25"/>
  <c r="IYO71" i="25"/>
  <c r="IYQ71" i="25"/>
  <c r="IXY71" i="25"/>
  <c r="IYA71" i="25"/>
  <c r="IXI71" i="25"/>
  <c r="IXK71" i="25"/>
  <c r="IWS71" i="25"/>
  <c r="IWU71" i="25"/>
  <c r="IWC71" i="25"/>
  <c r="IWE71" i="25"/>
  <c r="IVM71" i="25"/>
  <c r="IVO71" i="25"/>
  <c r="IUW71" i="25"/>
  <c r="IUY71" i="25"/>
  <c r="IUG71" i="25"/>
  <c r="IUI71" i="25"/>
  <c r="ITQ71" i="25"/>
  <c r="ITS71" i="25"/>
  <c r="ITA71" i="25"/>
  <c r="ITC71" i="25"/>
  <c r="ISK71" i="25"/>
  <c r="ISM71" i="25"/>
  <c r="IRU71" i="25"/>
  <c r="IRW71" i="25"/>
  <c r="IRE71" i="25"/>
  <c r="IRG71" i="25"/>
  <c r="IQO71" i="25"/>
  <c r="IQQ71" i="25"/>
  <c r="IPY71" i="25"/>
  <c r="IQA71" i="25"/>
  <c r="IPI71" i="25"/>
  <c r="IPK71" i="25"/>
  <c r="IOS71" i="25"/>
  <c r="IOU71" i="25"/>
  <c r="IOC71" i="25"/>
  <c r="IOE71" i="25"/>
  <c r="INM71" i="25"/>
  <c r="INO71" i="25"/>
  <c r="IMW71" i="25"/>
  <c r="IMY71" i="25"/>
  <c r="IMG71" i="25"/>
  <c r="IMI71" i="25"/>
  <c r="ILQ71" i="25"/>
  <c r="ILS71" i="25"/>
  <c r="ILA71" i="25"/>
  <c r="ILC71" i="25"/>
  <c r="IKK71" i="25"/>
  <c r="IKM71" i="25"/>
  <c r="IJU71" i="25"/>
  <c r="IJW71" i="25"/>
  <c r="IJE71" i="25"/>
  <c r="IJG71" i="25"/>
  <c r="IIO71" i="25"/>
  <c r="IIQ71" i="25"/>
  <c r="IHY71" i="25"/>
  <c r="IIA71" i="25"/>
  <c r="IHI71" i="25"/>
  <c r="IHK71" i="25"/>
  <c r="IGS71" i="25"/>
  <c r="IGU71" i="25"/>
  <c r="IGC71" i="25"/>
  <c r="IGE71" i="25"/>
  <c r="IFM71" i="25"/>
  <c r="IFO71" i="25"/>
  <c r="IEW71" i="25"/>
  <c r="IEY71" i="25"/>
  <c r="IEG71" i="25"/>
  <c r="IEI71" i="25"/>
  <c r="IDQ71" i="25"/>
  <c r="IDS71" i="25"/>
  <c r="IDA71" i="25"/>
  <c r="IDC71" i="25"/>
  <c r="ICK71" i="25"/>
  <c r="ICM71" i="25"/>
  <c r="IBU71" i="25"/>
  <c r="IBW71" i="25"/>
  <c r="IBE71" i="25"/>
  <c r="IBG71" i="25"/>
  <c r="IAO71" i="25"/>
  <c r="IAQ71" i="25"/>
  <c r="HZY71" i="25"/>
  <c r="IAA71" i="25"/>
  <c r="HZI71" i="25"/>
  <c r="HZK71" i="25"/>
  <c r="HYS71" i="25"/>
  <c r="HYU71" i="25"/>
  <c r="HYC71" i="25"/>
  <c r="HYE71" i="25"/>
  <c r="HXM71" i="25"/>
  <c r="HXO71" i="25"/>
  <c r="HWW71" i="25"/>
  <c r="HWY71" i="25"/>
  <c r="HWG71" i="25"/>
  <c r="HWI71" i="25"/>
  <c r="HVQ71" i="25"/>
  <c r="HVS71" i="25"/>
  <c r="HVA71" i="25"/>
  <c r="HVC71" i="25"/>
  <c r="HUK71" i="25"/>
  <c r="HUM71" i="25"/>
  <c r="HTU71" i="25"/>
  <c r="HTW71" i="25"/>
  <c r="HTE71" i="25"/>
  <c r="HTG71" i="25"/>
  <c r="HSO71" i="25"/>
  <c r="HSQ71" i="25"/>
  <c r="HRY71" i="25"/>
  <c r="HSA71" i="25"/>
  <c r="HRI71" i="25"/>
  <c r="HRK71" i="25"/>
  <c r="HQS71" i="25"/>
  <c r="HQU71" i="25"/>
  <c r="HQC71" i="25"/>
  <c r="HQE71" i="25"/>
  <c r="HPM71" i="25"/>
  <c r="HPO71" i="25"/>
  <c r="HOW71" i="25"/>
  <c r="HOY71" i="25"/>
  <c r="HOG71" i="25"/>
  <c r="HOI71" i="25"/>
  <c r="HNQ71" i="25"/>
  <c r="HNS71" i="25"/>
  <c r="HNA71" i="25"/>
  <c r="HNC71" i="25"/>
  <c r="HMK71" i="25"/>
  <c r="HMM71" i="25"/>
  <c r="HLU71" i="25"/>
  <c r="HLW71" i="25"/>
  <c r="HLE71" i="25"/>
  <c r="HLG71" i="25"/>
  <c r="HKO71" i="25"/>
  <c r="HKQ71" i="25"/>
  <c r="HJY71" i="25"/>
  <c r="HKA71" i="25"/>
  <c r="HJI71" i="25"/>
  <c r="HJK71" i="25"/>
  <c r="HIS71" i="25"/>
  <c r="HIU71" i="25"/>
  <c r="HIC71" i="25"/>
  <c r="HIE71" i="25"/>
  <c r="HHM71" i="25"/>
  <c r="HHO71" i="25"/>
  <c r="HGW71" i="25"/>
  <c r="HGY71" i="25"/>
  <c r="HGG71" i="25"/>
  <c r="HGI71" i="25"/>
  <c r="HFQ71" i="25"/>
  <c r="HFS71" i="25"/>
  <c r="HFA71" i="25"/>
  <c r="HFC71" i="25"/>
  <c r="HEK71" i="25"/>
  <c r="HEM71" i="25"/>
  <c r="HDU71" i="25"/>
  <c r="HDW71" i="25"/>
  <c r="HDE71" i="25"/>
  <c r="HDG71" i="25"/>
  <c r="HCO71" i="25"/>
  <c r="HCQ71" i="25"/>
  <c r="HBY71" i="25"/>
  <c r="HCA71" i="25"/>
  <c r="HBI71" i="25"/>
  <c r="HBK71" i="25"/>
  <c r="HAS71" i="25"/>
  <c r="HAU71" i="25"/>
  <c r="HAC71" i="25"/>
  <c r="HAE71" i="25"/>
  <c r="GZM71" i="25"/>
  <c r="GZO71" i="25"/>
  <c r="GYW71" i="25"/>
  <c r="GYY71" i="25"/>
  <c r="GYG71" i="25"/>
  <c r="GYI71" i="25"/>
  <c r="GXQ71" i="25"/>
  <c r="GXS71" i="25"/>
  <c r="GXA71" i="25"/>
  <c r="GXC71" i="25"/>
  <c r="GWK71" i="25"/>
  <c r="GWM71" i="25"/>
  <c r="GVU71" i="25"/>
  <c r="GVW71" i="25"/>
  <c r="GVE71" i="25"/>
  <c r="GVG71" i="25"/>
  <c r="GUO71" i="25"/>
  <c r="GUQ71" i="25"/>
  <c r="GTY71" i="25"/>
  <c r="GUA71" i="25"/>
  <c r="GTI71" i="25"/>
  <c r="GTK71" i="25"/>
  <c r="GSS71" i="25"/>
  <c r="GSU71" i="25"/>
  <c r="GSC71" i="25"/>
  <c r="GSE71" i="25"/>
  <c r="GRM71" i="25"/>
  <c r="GRO71" i="25"/>
  <c r="GQW71" i="25"/>
  <c r="GQY71" i="25"/>
  <c r="GQG71" i="25"/>
  <c r="GQI71" i="25"/>
  <c r="GPQ71" i="25"/>
  <c r="GPS71" i="25"/>
  <c r="GPA71" i="25"/>
  <c r="GPC71" i="25"/>
  <c r="GOK71" i="25"/>
  <c r="GOM71" i="25"/>
  <c r="GNU71" i="25"/>
  <c r="GNW71" i="25"/>
  <c r="GNE71" i="25"/>
  <c r="GNG71" i="25"/>
  <c r="GMO71" i="25"/>
  <c r="GMQ71" i="25"/>
  <c r="GLY71" i="25"/>
  <c r="GMA71" i="25"/>
  <c r="GLI71" i="25"/>
  <c r="GLK71" i="25"/>
  <c r="GKS71" i="25"/>
  <c r="GKU71" i="25"/>
  <c r="GKC71" i="25"/>
  <c r="GKE71" i="25"/>
  <c r="GJM71" i="25"/>
  <c r="GJO71" i="25"/>
  <c r="GIW71" i="25"/>
  <c r="GIY71" i="25"/>
  <c r="GIG71" i="25"/>
  <c r="GII71" i="25"/>
  <c r="GHQ71" i="25"/>
  <c r="GHS71" i="25"/>
  <c r="GHA71" i="25"/>
  <c r="GHC71" i="25"/>
  <c r="GGK71" i="25"/>
  <c r="GGM71" i="25"/>
  <c r="GFU71" i="25"/>
  <c r="GFW71" i="25"/>
  <c r="GFE71" i="25"/>
  <c r="GFG71" i="25"/>
  <c r="GEO71" i="25"/>
  <c r="GEQ71" i="25"/>
  <c r="GDY71" i="25"/>
  <c r="GEA71" i="25"/>
  <c r="GDI71" i="25"/>
  <c r="GDK71" i="25"/>
  <c r="GCS71" i="25"/>
  <c r="GCU71" i="25"/>
  <c r="GCC71" i="25"/>
  <c r="GCE71" i="25"/>
  <c r="GBM71" i="25"/>
  <c r="GBO71" i="25"/>
  <c r="GAW71" i="25"/>
  <c r="GAY71" i="25"/>
  <c r="GAG71" i="25"/>
  <c r="GAI71" i="25"/>
  <c r="FZQ71" i="25"/>
  <c r="FZS71" i="25"/>
  <c r="FZA71" i="25"/>
  <c r="FZC71" i="25"/>
  <c r="FYK71" i="25"/>
  <c r="FYM71" i="25"/>
  <c r="FXU71" i="25"/>
  <c r="FXW71" i="25"/>
  <c r="FXE71" i="25"/>
  <c r="FXG71" i="25"/>
  <c r="FWO71" i="25"/>
  <c r="FWQ71" i="25"/>
  <c r="FVY71" i="25"/>
  <c r="FWA71" i="25"/>
  <c r="FVI71" i="25"/>
  <c r="FVK71" i="25"/>
  <c r="FUS71" i="25"/>
  <c r="FUU71" i="25"/>
  <c r="FUC71" i="25"/>
  <c r="FUE71" i="25"/>
  <c r="FTM71" i="25"/>
  <c r="FTO71" i="25"/>
  <c r="FSW71" i="25"/>
  <c r="FSY71" i="25"/>
  <c r="FSG71" i="25"/>
  <c r="FSI71" i="25"/>
  <c r="FRQ71" i="25"/>
  <c r="FRS71" i="25"/>
  <c r="FRA71" i="25"/>
  <c r="FRC71" i="25"/>
  <c r="FQK71" i="25"/>
  <c r="FQM71" i="25"/>
  <c r="FPU71" i="25"/>
  <c r="FPW71" i="25"/>
  <c r="FPE71" i="25"/>
  <c r="FPG71" i="25"/>
  <c r="FOO71" i="25"/>
  <c r="FOQ71" i="25"/>
  <c r="FNY71" i="25"/>
  <c r="FOA71" i="25"/>
  <c r="FNI71" i="25"/>
  <c r="FNK71" i="25"/>
  <c r="FMS71" i="25"/>
  <c r="FMU71" i="25"/>
  <c r="FMC71" i="25"/>
  <c r="FME71" i="25"/>
  <c r="FLM71" i="25"/>
  <c r="FLO71" i="25"/>
  <c r="FKW71" i="25"/>
  <c r="FKY71" i="25"/>
  <c r="FKG71" i="25"/>
  <c r="FKI71" i="25"/>
  <c r="FJQ71" i="25"/>
  <c r="FJS71" i="25"/>
  <c r="FJA71" i="25"/>
  <c r="FJC71" i="25"/>
  <c r="FIK71" i="25"/>
  <c r="FIM71" i="25"/>
  <c r="FHU71" i="25"/>
  <c r="FHW71" i="25"/>
  <c r="FHE71" i="25"/>
  <c r="FHG71" i="25"/>
  <c r="FGO71" i="25"/>
  <c r="FGQ71" i="25"/>
  <c r="FFY71" i="25"/>
  <c r="FGA71" i="25"/>
  <c r="FFI71" i="25"/>
  <c r="FFK71" i="25"/>
  <c r="FES71" i="25"/>
  <c r="FEU71" i="25"/>
  <c r="FEC71" i="25"/>
  <c r="FEE71" i="25"/>
  <c r="FDM71" i="25"/>
  <c r="FDO71" i="25"/>
  <c r="FCW71" i="25"/>
  <c r="FCY71" i="25"/>
  <c r="FCG71" i="25"/>
  <c r="FCI71" i="25"/>
  <c r="FBQ71" i="25"/>
  <c r="FBS71" i="25"/>
  <c r="FBA71" i="25"/>
  <c r="FBC71" i="25"/>
  <c r="FAK71" i="25"/>
  <c r="FAM71" i="25"/>
  <c r="EZU71" i="25"/>
  <c r="EZW71" i="25"/>
  <c r="EZE71" i="25"/>
  <c r="EZG71" i="25"/>
  <c r="EYO71" i="25"/>
  <c r="EYQ71" i="25"/>
  <c r="EXY71" i="25"/>
  <c r="EYA71" i="25"/>
  <c r="EXI71" i="25"/>
  <c r="EXK71" i="25"/>
  <c r="EWS71" i="25"/>
  <c r="EWU71" i="25"/>
  <c r="EWC71" i="25"/>
  <c r="EWE71" i="25"/>
  <c r="EVM71" i="25"/>
  <c r="EVO71" i="25"/>
  <c r="EUW71" i="25"/>
  <c r="EUY71" i="25"/>
  <c r="EUG71" i="25"/>
  <c r="EUI71" i="25"/>
  <c r="ETQ71" i="25"/>
  <c r="ETS71" i="25"/>
  <c r="ETA71" i="25"/>
  <c r="ETC71" i="25"/>
  <c r="ESK71" i="25"/>
  <c r="ESM71" i="25"/>
  <c r="ERU71" i="25"/>
  <c r="ERW71" i="25"/>
  <c r="ERE71" i="25"/>
  <c r="ERG71" i="25"/>
  <c r="EQO71" i="25"/>
  <c r="EQQ71" i="25"/>
  <c r="EPY71" i="25"/>
  <c r="EQA71" i="25"/>
  <c r="EPI71" i="25"/>
  <c r="EPK71" i="25"/>
  <c r="EOS71" i="25"/>
  <c r="EOU71" i="25"/>
  <c r="EOC71" i="25"/>
  <c r="EOE71" i="25"/>
  <c r="ENM71" i="25"/>
  <c r="ENO71" i="25"/>
  <c r="EMW71" i="25"/>
  <c r="EMY71" i="25"/>
  <c r="EMG71" i="25"/>
  <c r="EMI71" i="25"/>
  <c r="ELQ71" i="25"/>
  <c r="ELS71" i="25"/>
  <c r="ELA71" i="25"/>
  <c r="ELC71" i="25"/>
  <c r="EKK71" i="25"/>
  <c r="EKM71" i="25"/>
  <c r="EJU71" i="25"/>
  <c r="EJW71" i="25"/>
  <c r="EJE71" i="25"/>
  <c r="EJG71" i="25"/>
  <c r="EIO71" i="25"/>
  <c r="EIQ71" i="25"/>
  <c r="EHY71" i="25"/>
  <c r="EIA71" i="25"/>
  <c r="EHI71" i="25"/>
  <c r="EHK71" i="25"/>
  <c r="EGS71" i="25"/>
  <c r="EGU71" i="25"/>
  <c r="EGC71" i="25"/>
  <c r="EGE71" i="25"/>
  <c r="EFM71" i="25"/>
  <c r="EFO71" i="25"/>
  <c r="EEW71" i="25"/>
  <c r="EEY71" i="25"/>
  <c r="EEG71" i="25"/>
  <c r="EEI71" i="25"/>
  <c r="EDQ71" i="25"/>
  <c r="EDS71" i="25"/>
  <c r="EDA71" i="25"/>
  <c r="EDC71" i="25"/>
  <c r="ECK71" i="25"/>
  <c r="ECM71" i="25"/>
  <c r="EBU71" i="25"/>
  <c r="EBW71" i="25"/>
  <c r="EBE71" i="25"/>
  <c r="EBG71" i="25"/>
  <c r="EAO71" i="25"/>
  <c r="EAQ71" i="25"/>
  <c r="DZY71" i="25"/>
  <c r="EAA71" i="25"/>
  <c r="DZI71" i="25"/>
  <c r="DZK71" i="25"/>
  <c r="DYS71" i="25"/>
  <c r="DYU71" i="25"/>
  <c r="DYC71" i="25"/>
  <c r="DYE71" i="25"/>
  <c r="DXM71" i="25"/>
  <c r="DXO71" i="25"/>
  <c r="DWW71" i="25"/>
  <c r="DWY71" i="25"/>
  <c r="DWG71" i="25"/>
  <c r="DWI71" i="25"/>
  <c r="DVQ71" i="25"/>
  <c r="DVS71" i="25"/>
  <c r="DVA71" i="25"/>
  <c r="DVC71" i="25"/>
  <c r="DUK71" i="25"/>
  <c r="DUM71" i="25"/>
  <c r="DTU71" i="25"/>
  <c r="DTW71" i="25"/>
  <c r="DTE71" i="25"/>
  <c r="DTG71" i="25"/>
  <c r="DSO71" i="25"/>
  <c r="DSQ71" i="25"/>
  <c r="DRY71" i="25"/>
  <c r="DSA71" i="25"/>
  <c r="DRI71" i="25"/>
  <c r="DRK71" i="25"/>
  <c r="DQS71" i="25"/>
  <c r="DQU71" i="25"/>
  <c r="DQC71" i="25"/>
  <c r="DQE71" i="25"/>
  <c r="DPM71" i="25"/>
  <c r="DPO71" i="25"/>
  <c r="DOW71" i="25"/>
  <c r="DOY71" i="25"/>
  <c r="DOG71" i="25"/>
  <c r="DOI71" i="25"/>
  <c r="DNQ71" i="25"/>
  <c r="DNS71" i="25"/>
  <c r="J71" i="25"/>
  <c r="L71" i="25"/>
  <c r="J70" i="25"/>
  <c r="L70" i="25"/>
  <c r="J69" i="25"/>
  <c r="L69" i="25"/>
  <c r="J68" i="25"/>
  <c r="L68" i="25"/>
  <c r="I40" i="25"/>
  <c r="K40" i="25"/>
  <c r="I37" i="25"/>
  <c r="K37" i="25"/>
  <c r="I36" i="25"/>
  <c r="K36" i="25"/>
  <c r="K18" i="25"/>
  <c r="M18" i="25"/>
  <c r="K17" i="25"/>
  <c r="M17" i="25"/>
  <c r="K16" i="25"/>
  <c r="M16" i="25"/>
  <c r="K15" i="25"/>
  <c r="M15" i="25"/>
  <c r="K14" i="25"/>
  <c r="M14" i="25"/>
  <c r="K13" i="25"/>
  <c r="M13" i="25"/>
  <c r="K12" i="25"/>
  <c r="M12" i="25"/>
  <c r="K11" i="25"/>
  <c r="M11" i="25"/>
  <c r="K11" i="24"/>
  <c r="K18" i="24"/>
  <c r="M18" i="24"/>
  <c r="K17" i="24"/>
  <c r="M17" i="24"/>
  <c r="K12" i="24"/>
  <c r="M12" i="24"/>
  <c r="M11" i="24"/>
  <c r="J38" i="21"/>
  <c r="L38" i="21" s="1"/>
  <c r="J37" i="21"/>
  <c r="L37" i="21"/>
  <c r="J36" i="21"/>
  <c r="L36" i="21"/>
  <c r="K76" i="21"/>
  <c r="M76" i="21"/>
  <c r="J35" i="21"/>
  <c r="L35" i="21"/>
  <c r="J34" i="21"/>
  <c r="L34" i="21"/>
  <c r="J101" i="21"/>
  <c r="L101" i="21"/>
  <c r="J100" i="21"/>
  <c r="L100" i="21"/>
  <c r="K57" i="21"/>
  <c r="M57" i="21"/>
  <c r="K56" i="21"/>
  <c r="M56" i="21"/>
  <c r="K16" i="21"/>
  <c r="M16" i="21"/>
  <c r="K15" i="21"/>
  <c r="M15"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<sst xmlns="http://schemas.openxmlformats.org/spreadsheetml/2006/main" count="9693" uniqueCount="282">
  <si>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</si>
  <si>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</si>
  <si>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</si>
  <si>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</si>
  <si>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</si>
  <si>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</si>
  <si>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</si>
  <si>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</si>
  <si>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</si>
  <si>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</si>
  <si>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</si>
  <si>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</si>
  <si>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</si>
  <si>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</si>
  <si>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</si>
  <si>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</si>
  <si>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</si>
  <si>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</si>
  <si>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</si>
  <si>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</si>
  <si>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7 days </t>
  </si>
  <si>
    <t>31/05/2026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</si>
  <si>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</si>
  <si>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</si>
  <si>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</si>
  <si>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</si>
  <si>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</si>
  <si>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</si>
  <si>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</si>
  <si>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</si>
  <si>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</si>
  <si>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</si>
  <si>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</si>
  <si>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</si>
  <si>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</si>
  <si>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</si>
  <si>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</si>
  <si>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</si>
  <si>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</si>
  <si>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</si>
  <si>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</si>
  <si>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30/06/2026</t>
  </si>
  <si>
    <t>MSC</t>
  </si>
  <si>
    <t>Space is available, there is an increase in demand this month so advanced bookings are recommended.</t>
  </si>
  <si>
    <t>DC- 14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</si>
  <si>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</si>
  <si>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</si>
  <si>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</si>
  <si>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</si>
  <si>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</si>
  <si>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</si>
  <si>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</si>
  <si>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</si>
  <si>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</si>
  <si>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</si>
  <si>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</si>
  <si>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</si>
  <si>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</si>
  <si>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</si>
  <si>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</si>
  <si>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31/5/2026</t>
  </si>
  <si>
    <t>Space is ok, space released once booking form is completed</t>
  </si>
  <si>
    <t>Peter- 21 free days</t>
  </si>
  <si>
    <t>Gaoming</t>
  </si>
  <si>
    <t>Shanghai/Xiamen/Tianjin/Shenzhen/Ningbo/Qingdao/Hong Kong/Xingang/Yantian</t>
  </si>
  <si>
    <t>COSCO</t>
  </si>
  <si>
    <t>Space is TIGHT, Subject to space approval by line.</t>
  </si>
  <si>
    <t>Wahsen - 17 free days</t>
  </si>
  <si>
    <t>Tianjin/Jiujiang (Shunde)/Hong Kong/Dalian</t>
  </si>
  <si>
    <t>Dalian/Gaoming(Foshan)/Sanshui/Yunfu/Nansha/Huangpu/Guangzhou</t>
  </si>
  <si>
    <t>Nansha/Guangzhou/Huangpu</t>
  </si>
  <si>
    <t>Nanjing/Jiujiang (Jiangxi)</t>
  </si>
  <si>
    <t>Shekou/Shanghai/Ningbo/Qingdao/Xiamen/Hong Kong/Yantian</t>
  </si>
  <si>
    <t>ONE</t>
  </si>
  <si>
    <t>Space is LIMITED, BOOK NOW, OVW FEE: USD200 AFTER 18 TONS</t>
  </si>
  <si>
    <t>Wahsen - 14 Free</t>
  </si>
  <si>
    <t>Shantou</t>
  </si>
  <si>
    <t>Liangyungang</t>
  </si>
  <si>
    <t>Space is TIGHT, Bookings should be placed in advance</t>
  </si>
  <si>
    <t>Yichang</t>
  </si>
  <si>
    <t>KOREA / TRINIDAD SHIPPING TARIFF</t>
  </si>
  <si>
    <t>Busan</t>
  </si>
  <si>
    <t>Port of Spain/ Point Lisas</t>
  </si>
  <si>
    <t>Peter - 21 free days</t>
  </si>
  <si>
    <t>TAIWAN / TRINIDAD SHIPPING TARIFF</t>
  </si>
  <si>
    <t>Keelung/ Kaoisung</t>
  </si>
  <si>
    <t>55-60</t>
  </si>
  <si>
    <t>peter - 14 free days</t>
  </si>
  <si>
    <t>JAPAN / TRINIDAD SHIPPING TARIFF</t>
  </si>
  <si>
    <t>Yokohama, Osaka</t>
  </si>
  <si>
    <t>Space is good.</t>
  </si>
  <si>
    <t>VIETNAM / TRINIDAD SHIPPING TARIFF</t>
  </si>
  <si>
    <t>Ho Chi Minh</t>
  </si>
  <si>
    <t>INDIA / TRINIDAD SHIPPING TARIFF</t>
  </si>
  <si>
    <t>Mundra (TILES)</t>
  </si>
  <si>
    <t>Port-of-Spain</t>
  </si>
  <si>
    <t>65-70</t>
  </si>
  <si>
    <t>ORCA -12 free days</t>
  </si>
  <si>
    <t>Mundra/ Nhava Sheva</t>
  </si>
  <si>
    <t>Trikom -11 free days</t>
  </si>
  <si>
    <t>MALAYSIA / TRINIDAD SHIPPING TARIFF</t>
  </si>
  <si>
    <t>Port Klang, Pasir Gudang</t>
  </si>
  <si>
    <t>21/5/2026</t>
  </si>
  <si>
    <t>THAILAND/ TRINIDAD SHIPPING TARIFF</t>
  </si>
  <si>
    <t>Bangkok</t>
  </si>
  <si>
    <t>PANAMA / TRINIDAD SHIPPING TARIFF</t>
  </si>
  <si>
    <t>LAC/Local charges</t>
  </si>
  <si>
    <t>Manzanillo</t>
  </si>
  <si>
    <t>30/05/2026</t>
  </si>
  <si>
    <t>Maersk</t>
  </si>
  <si>
    <t>Upcargo - 11 free days</t>
  </si>
  <si>
    <t>TURKEY / TRINIDAD SHIPPING TARIFF</t>
  </si>
  <si>
    <t>Docs</t>
  </si>
  <si>
    <t>Gemlik (TILES)</t>
  </si>
  <si>
    <t>55-65</t>
  </si>
  <si>
    <t>BATI Logistics - 11 free days</t>
  </si>
  <si>
    <t>Gebze/ Gemilk / Aliaga/ Istanbul</t>
  </si>
  <si>
    <t>COLOMBIA / TRINIDAD SHIPPING TARIFF</t>
  </si>
  <si>
    <t>Cartagena</t>
  </si>
  <si>
    <t>USA / GUYANA SHIPPING TARIFF</t>
  </si>
  <si>
    <t>Free Days</t>
  </si>
  <si>
    <t>Georgetown</t>
  </si>
  <si>
    <t>12-15 days</t>
  </si>
  <si>
    <t>14 Days</t>
  </si>
  <si>
    <t>14 days</t>
  </si>
  <si>
    <t>22 days</t>
  </si>
  <si>
    <t xml:space="preserve">New York </t>
  </si>
  <si>
    <t>15 days</t>
  </si>
  <si>
    <t>BRAZIL / GUYANA SHIPPING TARIFF</t>
  </si>
  <si>
    <t>Ocean Freight</t>
  </si>
  <si>
    <t>DTHC</t>
  </si>
  <si>
    <t>Santos/Rio de Janiero/Salvador/Parangua</t>
  </si>
  <si>
    <t>39-43</t>
  </si>
  <si>
    <t>Space is available, sailings are booking quickly so advanced bookings are recommended.</t>
  </si>
  <si>
    <t>Fast shipping</t>
  </si>
  <si>
    <t>Santos/Itapoa (TILES)</t>
  </si>
  <si>
    <t xml:space="preserve"> Included </t>
  </si>
  <si>
    <t>31/03/2026</t>
  </si>
  <si>
    <t>28 Days</t>
  </si>
  <si>
    <t>ES</t>
  </si>
  <si>
    <t>Santos (TILES)</t>
  </si>
  <si>
    <t>21 Days</t>
  </si>
  <si>
    <t>DSV</t>
  </si>
  <si>
    <t>Paranagua (Lumber)</t>
  </si>
  <si>
    <t>CHINA / GUYANA SHIPPING TARIFF</t>
  </si>
  <si>
    <t>Port Charges</t>
  </si>
  <si>
    <t>Handling Fee</t>
  </si>
  <si>
    <t>Comments</t>
  </si>
  <si>
    <t>Free time</t>
  </si>
  <si>
    <t>Shenzhen/ Shanghai/ Ningbo/ Qingdao/ Xiamen/ Hong Kong/ Chiwan/Yantian/Xingang</t>
  </si>
  <si>
    <t>Space is LIMITED, BOOK NOW</t>
  </si>
  <si>
    <t>Hardy</t>
  </si>
  <si>
    <t>Foshan/Gaoming/Yunfu/Tianjin/Guangzhou</t>
  </si>
  <si>
    <t>Shenzhen/ Shanghai/ Ningbo/ Qingdao/ Xiamen/ Hong Kong/ Chiwan/Yantian/Xingang/Tianjin</t>
  </si>
  <si>
    <t>17 days</t>
  </si>
  <si>
    <t>Yunfu/Gaoming</t>
  </si>
  <si>
    <t>Wahsen/COSCO</t>
  </si>
  <si>
    <t>JAPAN / GUYANA SHIPPING TARIFF</t>
  </si>
  <si>
    <t>Yokohama</t>
  </si>
  <si>
    <t xml:space="preserve">Space is GOOD. </t>
  </si>
  <si>
    <t>Peter/MSC</t>
  </si>
  <si>
    <t>Wahsen</t>
  </si>
  <si>
    <t>Osaka/Tokyo/Kobe/Yokohama</t>
  </si>
  <si>
    <t>21/7/2025</t>
  </si>
  <si>
    <t>Shenzhen/ Shanghai/ Ningbo/ Qingdao/ Xiamen/ Tianjin</t>
  </si>
  <si>
    <t>Kobe</t>
  </si>
  <si>
    <t>MALAYSIA / GUYANA SHIPPING TARIFF</t>
  </si>
  <si>
    <t>Port Klang, Tanjung</t>
  </si>
  <si>
    <t>INDIA / GUYANA SHIPPING TARIFF</t>
  </si>
  <si>
    <t>Mundra</t>
  </si>
  <si>
    <t>65-75</t>
  </si>
  <si>
    <t>MSK</t>
  </si>
  <si>
    <t>21 days</t>
  </si>
  <si>
    <t xml:space="preserve">Orca Shipping </t>
  </si>
  <si>
    <t>PANAMA / GUYANA SHIPPING TARIFF</t>
  </si>
  <si>
    <t>Guyana Port Congestion</t>
  </si>
  <si>
    <t>15 to 16 days</t>
  </si>
  <si>
    <t>30/5/2026</t>
  </si>
  <si>
    <t>12 Days</t>
  </si>
  <si>
    <t>TURKEY/ GUYANA SHIPPING TARIFF</t>
  </si>
  <si>
    <t>Gemlik/Gebze</t>
  </si>
  <si>
    <t>30-35</t>
  </si>
  <si>
    <t xml:space="preserve">Space available </t>
  </si>
  <si>
    <t>12 days</t>
  </si>
  <si>
    <t>COLOMBIA/ GUYANA SHIPPING TARIFF</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</si>
  <si>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</si>
  <si>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</si>
  <si>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</si>
  <si>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</si>
  <si>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</si>
  <si>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</si>
  <si>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</si>
  <si>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</si>
  <si>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</si>
  <si>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</si>
  <si>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</si>
  <si>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</si>
  <si>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</si>
  <si>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</si>
  <si>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</si>
  <si>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</si>
  <si>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</si>
  <si>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Hapag Lloyd</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</si>
  <si>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</si>
  <si>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</si>
  <si>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</si>
  <si>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</si>
  <si>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</si>
  <si>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</si>
  <si>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</si>
  <si>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</si>
  <si>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</si>
  <si>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</si>
  <si>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</si>
  <si>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</si>
  <si>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</si>
  <si>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</si>
  <si>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</si>
  <si>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 xml:space="preserve">Port Charges does not incl. deposit, extra dienst or storage fees. </t>
  </si>
  <si>
    <t>JAPAN / SURINAME SHIPPING TARIFF</t>
  </si>
  <si>
    <t>Nagoya</t>
  </si>
  <si>
    <t>70-80</t>
  </si>
  <si>
    <t>30/4/2025</t>
  </si>
  <si>
    <t>ZIM</t>
  </si>
  <si>
    <t>INDIA / SURINAME SHIPPING TARIFF</t>
  </si>
  <si>
    <t>75-85</t>
  </si>
  <si>
    <t xml:space="preserve">Space is limited, 20' containers are scarce. </t>
  </si>
  <si>
    <t>ORCA</t>
  </si>
  <si>
    <t>65-85</t>
  </si>
  <si>
    <t>CMA</t>
  </si>
  <si>
    <t>THAILAND/ SURINAME SHIPPING TARIFF</t>
  </si>
  <si>
    <t> </t>
  </si>
  <si>
    <t>PANAMA / SURINAME SHIPPING TARIFF</t>
  </si>
  <si>
    <t>Administration</t>
  </si>
  <si>
    <t>TURKEY / SURINAME SHIPPING TARIFF</t>
  </si>
  <si>
    <t>Gemlik/ Gebze</t>
  </si>
  <si>
    <t>Space available</t>
  </si>
  <si>
    <t>COLOMBIA/ SURINAME SHIPPING TARIFF</t>
  </si>
  <si>
    <t>TRINIDAD TO GUYANA SHIPPING TARIFF</t>
  </si>
  <si>
    <t>Emergency Fuel Surcharge</t>
  </si>
  <si>
    <t xml:space="preserve">OTHC </t>
  </si>
  <si>
    <t>Origin LAC</t>
  </si>
  <si>
    <t>Destination Terminal Handling Charge (DTHC)</t>
  </si>
  <si>
    <t>Agency Admin (Guyana)</t>
  </si>
  <si>
    <t>1-2 days</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</si>
  <si>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</si>
  <si>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</si>
  <si>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</si>
  <si>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</si>
  <si>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</si>
  <si>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</si>
  <si>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</si>
  <si>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</si>
  <si>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</si>
  <si>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TRINIDAD TO DOMINICAN REPUBLIC SHIPPING TARIFF</t>
  </si>
  <si>
    <t>Caucedo</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</si>
  <si>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</si>
  <si>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</si>
  <si>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</si>
  <si>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</si>
  <si>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</si>
  <si>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</si>
  <si>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</si>
  <si>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</si>
  <si>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</si>
  <si>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</si>
  <si>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</si>
  <si>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</si>
  <si>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</si>
  <si>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CHINA / COLOMBIA SHIPPING TARIFF</t>
  </si>
  <si>
    <t>DOC Fee</t>
  </si>
  <si>
    <t>EIR (VAT INCL)</t>
  </si>
  <si>
    <t>Shenzhen/ Shanghai/ Ningbo/ Xiamen/Shekou/ Yantian/Qingdao</t>
  </si>
  <si>
    <t>Barranquilla</t>
  </si>
  <si>
    <t>14/11/2025</t>
  </si>
  <si>
    <t>Buenaventura</t>
  </si>
  <si>
    <t>30/11/2025</t>
  </si>
  <si>
    <t>YML</t>
  </si>
  <si>
    <t>Space is TIGHT, Bookings should be placed in advance
OWS: TARE+CARGO  18-23.99 tons  USD200/20GP,   24tons and above, USD300/20GP</t>
  </si>
  <si>
    <t>Space is OK. Book in advance</t>
  </si>
  <si>
    <t>35-40</t>
  </si>
  <si>
    <t>14/05/2026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</si>
</sst>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Red]&quot;$&quot;#,##0.00"/>
  </numFmts>
  <fonts count="19">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sz val="11"/>
      <color theme="1"/>
      <name val="Aptos Narrow"/>
    </font>
    <font>
      <b/>
      <sz val="22"/>
      <color theme="0"/>
      <name val="Aptos Narrow"/>
    </font>
    <font>
      <sz val="11"/>
      <name val="Aptos Narrow"/>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rgb="FF000000"/>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rgb="FF000000"/>
      </left>
      <right/>
      <top style="thin">
        <color indexed="64"/>
      </top>
      <bottom/>
      <diagonal/>
    </border>
    <border>
      <left style="thin">
        <color theme="0"/>
      </left>
      <right/>
      <top style="thin">
        <color theme="0"/>
      </top>
      <bottom style="thin">
        <color theme="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theme="2" tint="-9.9978637043366805E-2"/>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430">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6"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44" fontId="3" fillId="0" borderId="1" xfId="1" applyFont="1" applyFill="1" applyBorder="1"/>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0" fillId="5" borderId="18" xfId="0" applyFill="1" applyBorder="1"/>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0" fontId="2" fillId="5" borderId="5" xfId="0" applyFont="1" applyFill="1" applyBorder="1" applyAlignment="1">
      <alignment horizontal="left" vertical="center" wrapText="1"/>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2" fillId="5" borderId="64" xfId="0" applyFont="1" applyFill="1" applyBorder="1" applyAlignment="1">
      <alignment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8" fontId="9" fillId="5" borderId="30" xfId="0" applyNumberFormat="1" applyFont="1" applyFill="1" applyBorder="1" applyAlignment="1">
      <alignment horizontal="center"/>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0" fontId="0" fillId="0" borderId="5" xfId="0" applyBorder="1"/>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164" fontId="0" fillId="0" borderId="1" xfId="1" applyNumberFormat="1" applyFont="1" applyBorder="1"/>
    <xf numFmtId="164" fontId="0" fillId="0" borderId="1" xfId="1" applyNumberFormat="1" applyFont="1" applyBorder="1" applyAlignment="1">
      <alignment horizontal="right"/>
    </xf>
    <xf numFmtId="0" fontId="0" fillId="5" borderId="2" xfId="0" applyFill="1" applyBorder="1"/>
    <xf numFmtId="0" fontId="0" fillId="5" borderId="71" xfId="0" applyFill="1" applyBorder="1"/>
    <xf numFmtId="0" fontId="0" fillId="0" borderId="71" xfId="0" applyBorder="1"/>
    <xf numFmtId="8" fontId="9" fillId="0" borderId="71" xfId="0" applyNumberFormat="1" applyFont="1" applyBorder="1"/>
    <xf numFmtId="44" fontId="0" fillId="0" borderId="71" xfId="1" applyFont="1" applyBorder="1"/>
    <xf numFmtId="44" fontId="0" fillId="0" borderId="71" xfId="1" applyFont="1" applyBorder="1" applyAlignment="1">
      <alignment horizontal="right"/>
    </xf>
    <xf numFmtId="8" fontId="2" fillId="0" borderId="71" xfId="1" applyNumberFormat="1" applyFont="1" applyBorder="1"/>
    <xf numFmtId="0" fontId="0" fillId="0" borderId="71" xfId="0" applyBorder="1" applyAlignment="1">
      <alignment horizontal="left"/>
    </xf>
    <xf numFmtId="14" fontId="0" fillId="0" borderId="71" xfId="0" applyNumberFormat="1" applyBorder="1" applyAlignment="1">
      <alignment vertical="center"/>
    </xf>
    <xf numFmtId="0" fontId="2" fillId="0" borderId="71" xfId="0" applyFont="1" applyBorder="1" applyAlignment="1">
      <alignment horizontal="center" vertical="center" wrapText="1"/>
    </xf>
    <xf numFmtId="0" fontId="0" fillId="5" borderId="72" xfId="0" applyFill="1" applyBorder="1"/>
    <xf numFmtId="0" fontId="0" fillId="0" borderId="72" xfId="0" applyBorder="1"/>
    <xf numFmtId="0" fontId="0" fillId="5" borderId="61" xfId="0" applyFill="1" applyBorder="1"/>
    <xf numFmtId="0" fontId="0" fillId="5" borderId="5" xfId="0" applyFill="1" applyBorder="1" applyAlignment="1">
      <alignment vertical="center"/>
    </xf>
    <xf numFmtId="0" fontId="2" fillId="5" borderId="8" xfId="0" applyFont="1" applyFill="1" applyBorder="1" applyAlignment="1">
      <alignment horizontal="left" vertical="center" wrapText="1"/>
    </xf>
    <xf numFmtId="0" fontId="2" fillId="5" borderId="1" xfId="0" applyFont="1" applyFill="1" applyBorder="1" applyAlignment="1">
      <alignment wrapText="1"/>
    </xf>
    <xf numFmtId="0" fontId="4" fillId="2" borderId="5" xfId="0" applyFont="1" applyFill="1" applyBorder="1" applyAlignment="1">
      <alignment horizontal="left"/>
    </xf>
    <xf numFmtId="0" fontId="0" fillId="5" borderId="62" xfId="0" applyFill="1" applyBorder="1"/>
    <xf numFmtId="0" fontId="2" fillId="5" borderId="5" xfId="0" applyFont="1" applyFill="1" applyBorder="1" applyAlignment="1">
      <alignment wrapText="1"/>
    </xf>
    <xf numFmtId="0" fontId="2" fillId="5" borderId="73" xfId="0" applyFont="1" applyFill="1" applyBorder="1" applyAlignment="1">
      <alignment wrapText="1"/>
    </xf>
    <xf numFmtId="0" fontId="0" fillId="5" borderId="74" xfId="0" applyFill="1" applyBorder="1"/>
    <xf numFmtId="0" fontId="0" fillId="0" borderId="74" xfId="0" applyBorder="1"/>
    <xf numFmtId="0" fontId="0" fillId="0" borderId="32" xfId="0" applyBorder="1" applyAlignment="1">
      <alignment horizontal="center" vertical="center" wrapText="1"/>
    </xf>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44" fontId="0" fillId="0" borderId="5" xfId="1" applyFont="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0" borderId="1" xfId="0" applyFont="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0" fillId="5" borderId="39" xfId="0" applyFill="1" applyBorder="1"/>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0" fontId="15" fillId="5" borderId="1" xfId="0" applyFont="1" applyFill="1" applyBorder="1" applyAlignment="1">
      <alignment horizontal="center"/>
    </xf>
    <xf numFmtId="8" fontId="9" fillId="0" borderId="30" xfId="0" applyNumberFormat="1" applyFont="1" applyBorder="1" applyAlignment="1">
      <alignment horizontal="center"/>
    </xf>
    <xf numFmtId="44" fontId="15" fillId="0" borderId="1" xfId="1" applyFont="1" applyBorder="1" applyAlignment="1">
      <alignment horizontal="center"/>
    </xf>
    <xf numFmtId="8" fontId="10" fillId="0" borderId="1" xfId="1" applyNumberFormat="1" applyFont="1" applyBorder="1" applyAlignment="1">
      <alignment horizontal="center"/>
    </xf>
    <xf numFmtId="44" fontId="15" fillId="0" borderId="5" xfId="1" applyFont="1" applyBorder="1" applyAlignment="1">
      <alignment horizontal="center"/>
    </xf>
    <xf numFmtId="44" fontId="0" fillId="0" borderId="1" xfId="1" applyFont="1" applyBorder="1" applyAlignment="1">
      <alignment horizontal="center"/>
    </xf>
    <xf numFmtId="44" fontId="0" fillId="0" borderId="30" xfId="1" applyFont="1" applyBorder="1" applyAlignment="1">
      <alignment horizontal="center"/>
    </xf>
    <xf numFmtId="8" fontId="2" fillId="0" borderId="30" xfId="1" applyNumberFormat="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80" xfId="0" applyBorder="1" applyAlignment="1">
      <alignment horizontal="center"/>
    </xf>
    <xf numFmtId="0" fontId="0" fillId="0" borderId="81" xfId="0" applyBorder="1" applyAlignment="1">
      <alignment horizontal="center"/>
    </xf>
    <xf numFmtId="14" fontId="16" fillId="0" borderId="1" xfId="0" applyNumberFormat="1" applyFont="1" applyBorder="1" applyAlignment="1">
      <alignment horizontal="left" vertical="center"/>
    </xf>
    <xf numFmtId="8" fontId="18" fillId="5" borderId="1" xfId="0" applyNumberFormat="1" applyFont="1" applyFill="1" applyBorder="1"/>
    <xf numFmtId="8" fontId="18" fillId="0" borderId="1" xfId="0" applyNumberFormat="1" applyFont="1" applyBorder="1" applyAlignment="1">
      <alignment horizontal="center"/>
    </xf>
    <xf numFmtId="0" fontId="7" fillId="0" borderId="2" xfId="0" applyFont="1" applyBorder="1" applyAlignment="1">
      <alignment horizontal="center"/>
    </xf>
    <xf numFmtId="8" fontId="9" fillId="0" borderId="2" xfId="0" applyNumberFormat="1" applyFont="1" applyBorder="1" applyAlignment="1">
      <alignment horizontal="center"/>
    </xf>
    <xf numFmtId="44" fontId="0" fillId="0" borderId="2" xfId="1" applyFont="1" applyBorder="1" applyAlignment="1">
      <alignment horizontal="center"/>
    </xf>
    <xf numFmtId="8" fontId="2" fillId="0" borderId="2" xfId="1" applyNumberFormat="1" applyFont="1" applyBorder="1" applyAlignment="1">
      <alignment horizontal="center"/>
    </xf>
    <xf numFmtId="0" fontId="0" fillId="0" borderId="2" xfId="0" applyBorder="1" applyAlignment="1">
      <alignment horizontal="center"/>
    </xf>
    <xf numFmtId="14" fontId="15" fillId="0" borderId="2" xfId="0" applyNumberFormat="1" applyFont="1" applyBorder="1" applyAlignment="1">
      <alignment horizontal="left" vertical="center"/>
    </xf>
    <xf numFmtId="14" fontId="16" fillId="0" borderId="30" xfId="0" applyNumberFormat="1" applyFont="1" applyBorder="1" applyAlignment="1">
      <alignment horizontal="left" vertical="center"/>
    </xf>
    <xf numFmtId="0" fontId="4"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0" fillId="5" borderId="36" xfId="0" applyFill="1" applyBorder="1" applyAlignment="1">
      <alignment horizontal="center" vertical="center"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70" xfId="0" applyFill="1" applyBorder="1" applyAlignment="1">
      <alignment horizontal="center" vertical="center" wrapText="1"/>
    </xf>
    <xf numFmtId="0" fontId="7" fillId="5" borderId="2" xfId="0" applyFont="1" applyFill="1" applyBorder="1" applyAlignment="1">
      <alignment horizontal="center" vertical="center"/>
    </xf>
    <xf numFmtId="0" fontId="7" fillId="5" borderId="63" xfId="0" applyFont="1" applyFill="1" applyBorder="1" applyAlignment="1">
      <alignment horizontal="center" vertical="center"/>
    </xf>
    <xf numFmtId="0" fontId="2" fillId="0" borderId="1" xfId="0" applyFont="1" applyBorder="1" applyAlignment="1">
      <alignment horizontal="center" vertical="center"/>
    </xf>
    <xf numFmtId="0" fontId="2" fillId="0" borderId="37" xfId="0" applyFont="1" applyBorder="1" applyAlignment="1">
      <alignment horizontal="center" vertical="center"/>
    </xf>
    <xf numFmtId="0" fontId="2" fillId="0" borderId="30" xfId="0" applyFont="1" applyBorder="1" applyAlignment="1">
      <alignment horizontal="center" vertical="center"/>
    </xf>
    <xf numFmtId="0" fontId="2" fillId="0" borderId="39" xfId="0" applyFont="1" applyBorder="1" applyAlignment="1">
      <alignment horizontal="center" vertical="center"/>
    </xf>
    <xf numFmtId="0" fontId="5" fillId="3" borderId="13" xfId="0" applyFont="1" applyFill="1" applyBorder="1" applyAlignment="1">
      <alignment horizontal="center" vertical="center"/>
    </xf>
    <xf numFmtId="0" fontId="0" fillId="0" borderId="45" xfId="0" applyBorder="1" applyAlignment="1">
      <alignment horizontal="center" vertical="center" wrapText="1"/>
    </xf>
    <xf numFmtId="0" fontId="0" fillId="0" borderId="83" xfId="0"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 fillId="0" borderId="2" xfId="0" applyFont="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1" xfId="0" applyFont="1" applyFill="1" applyBorder="1" applyAlignment="1">
      <alignment horizontal="center" wrapText="1"/>
    </xf>
    <xf numFmtId="0" fontId="0" fillId="0" borderId="60" xfId="0" applyBorder="1" applyAlignment="1">
      <alignment horizontal="center" vertical="center" wrapText="1"/>
    </xf>
    <xf numFmtId="0" fontId="7" fillId="0" borderId="4" xfId="0" applyFont="1" applyBorder="1" applyAlignment="1">
      <alignment horizontal="center" vertical="center"/>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5" fillId="3" borderId="59"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0" fillId="6" borderId="1"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5" borderId="36"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1" xfId="0" applyFill="1" applyBorder="1" applyAlignment="1">
      <alignment horizontal="center" wrapText="1"/>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17" fillId="3" borderId="40" xfId="0" applyFont="1" applyFill="1" applyBorder="1" applyAlignment="1">
      <alignment horizontal="center" vertical="center"/>
    </xf>
    <xf numFmtId="0" fontId="0" fillId="5" borderId="36" xfId="0" applyFill="1" applyBorder="1" applyAlignment="1">
      <alignment horizontal="center" vertical="center"/>
    </xf>
    <xf numFmtId="0" fontId="2" fillId="5" borderId="78" xfId="0" applyFont="1" applyFill="1" applyBorder="1" applyAlignment="1">
      <alignment horizontal="center" wrapText="1"/>
    </xf>
    <xf numFmtId="0" fontId="2" fillId="5" borderId="79" xfId="0" applyFont="1" applyFill="1" applyBorder="1" applyAlignment="1">
      <alignment horizontal="center" wrapText="1"/>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2" fillId="5" borderId="2" xfId="0" applyFont="1" applyFill="1" applyBorder="1" applyAlignment="1">
      <alignment horizontal="center" wrapText="1"/>
    </xf>
    <xf numFmtId="0" fontId="2" fillId="5" borderId="30" xfId="0" applyFont="1" applyFill="1" applyBorder="1" applyAlignment="1">
      <alignment horizontal="center" wrapText="1"/>
    </xf>
    <xf numFmtId="0" fontId="4" fillId="2" borderId="1" xfId="0" applyFont="1" applyFill="1" applyBorder="1" applyAlignment="1">
      <alignment horizontal="left"/>
    </xf>
    <xf numFmtId="0" fontId="5" fillId="3" borderId="31" xfId="0" applyFont="1" applyFill="1" applyBorder="1" applyAlignment="1">
      <alignment horizontal="center" vertical="center"/>
    </xf>
    <xf numFmtId="0" fontId="0" fillId="5" borderId="60" xfId="0" applyFill="1" applyBorder="1" applyAlignment="1">
      <alignment horizontal="center" vertical="center" wrapText="1"/>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7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75" xfId="0" applyBorder="1" applyAlignment="1">
      <alignment horizontal="center" vertical="center" wrapText="1"/>
    </xf>
    <xf numFmtId="0" fontId="0" fillId="0" borderId="76" xfId="0" applyBorder="1" applyAlignment="1">
      <alignment horizontal="center" vertic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77" xfId="0" applyFill="1" applyBorder="1" applyAlignment="1">
      <alignment horizontal="center" vertical="center"/>
    </xf>
    <xf numFmtId="0" fontId="5" fillId="3" borderId="48" xfId="0" applyFont="1" applyFill="1" applyBorder="1" applyAlignment="1">
      <alignment horizontal="center" vertical="center"/>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applyAlignment="1">
      <alignment horizontal="center"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0" fillId="5" borderId="38" xfId="0" applyFill="1" applyBorder="1" applyAlignment="1">
      <alignment horizontal="center" vertical="center" wrapText="1"/>
    </xf>
    <xf numFmtId="0" fontId="7" fillId="5" borderId="30" xfId="0" applyFont="1" applyFill="1" applyBorder="1" applyAlignment="1">
      <alignment vertical="center"/>
    </xf>
    <xf numFmtId="0" fontId="2" fillId="5" borderId="66"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5" fillId="3" borderId="82"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2" fillId="0" borderId="8" xfId="0"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2" fillId="0" borderId="35" xfId="0" applyFont="1" applyBorder="1" applyAlignment="1">
      <alignment horizontal="center" vertical="center"/>
    </xf>
    <xf numFmtId="0" fontId="2" fillId="0" borderId="69"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48</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93</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113</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127</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55"/>
  <sheetViews>
    <sheetView tabSelected="1" topLeftCell="K4" workbookViewId="0">
      <selection activeCell="T4" sqref="T1:T1048576"/>
    </sheetView>
  </sheetViews>
  <sheetFormatPr defaultColWidth="8.85546875" defaultRowHeight="14.45"/>
  <cols>
    <col min="1" max="1" width="8.85546875" style="19"/>
    <col min="2" max="2" width="47.28515625" style="19" customWidth="1"/>
    <col min="3" max="3" width="21.28515625" style="19" bestFit="1" customWidth="1"/>
    <col min="4" max="4" width="5.7109375" style="19" bestFit="1" customWidth="1"/>
    <col min="5" max="5" width="14" style="19" customWidth="1"/>
    <col min="6" max="6" width="11.7109375" style="54" bestFit="1" customWidth="1"/>
    <col min="7" max="8" width="13" style="54" customWidth="1"/>
    <col min="9" max="9" width="16.7109375" style="54"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21.5703125" style="19" customWidth="1"/>
    <col min="17" max="17" width="14.42578125" style="19" customWidth="1"/>
    <col min="18" max="18" width="42" style="19" customWidth="1"/>
    <col min="19" max="19" width="8.8554687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289" t="s">
        <v>0</v>
      </c>
      <c r="C8" s="289"/>
      <c r="D8" s="289"/>
      <c r="E8" s="289"/>
      <c r="F8" s="289"/>
      <c r="G8" s="289"/>
      <c r="H8" s="289"/>
      <c r="I8" s="289"/>
      <c r="J8" s="289"/>
      <c r="K8" s="289"/>
      <c r="L8" s="289"/>
      <c r="M8" s="289"/>
      <c r="N8" s="289"/>
      <c r="O8" s="289"/>
      <c r="P8" s="289"/>
    </row>
    <row r="9" spans="2:20" ht="28.9">
      <c r="B9" s="4" t="s">
        <v>1</v>
      </c>
      <c r="C9" s="254" t="s">
        <v>2</v>
      </c>
      <c r="D9" s="254"/>
      <c r="E9" s="129" t="s">
        <v>3</v>
      </c>
      <c r="F9" s="129" t="s">
        <v>4</v>
      </c>
      <c r="G9" s="129" t="s">
        <v>5</v>
      </c>
      <c r="H9" s="129" t="s">
        <v>6</v>
      </c>
      <c r="I9" s="3" t="s">
        <v>7</v>
      </c>
      <c r="J9" s="3" t="s">
        <v>8</v>
      </c>
      <c r="K9" s="3" t="s">
        <v>9</v>
      </c>
      <c r="L9" s="3" t="s">
        <v>10</v>
      </c>
      <c r="M9" s="3" t="s">
        <v>11</v>
      </c>
      <c r="N9" s="129" t="s">
        <v>12</v>
      </c>
      <c r="O9" s="129" t="s">
        <v>13</v>
      </c>
      <c r="P9" s="4" t="s">
        <v>14</v>
      </c>
      <c r="T9" s="138" t="s">
        <v>15</v>
      </c>
    </row>
    <row r="10" spans="2:20">
      <c r="B10" s="328" t="s">
        <v>16</v>
      </c>
      <c r="C10" s="328"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23" t="s">
        <v>20</v>
      </c>
      <c r="O10" s="25" t="s">
        <v>21</v>
      </c>
      <c r="P10" s="26" t="s">
        <v>22</v>
      </c>
      <c r="T10" s="139" t="s">
        <v>23</v>
      </c>
    </row>
    <row r="11" spans="2:20">
      <c r="B11" s="329"/>
      <c r="C11" s="329"/>
      <c r="D11" s="20" t="s">
        <v>24</v>
      </c>
      <c r="E11" s="21">
        <v>2800</v>
      </c>
      <c r="F11" s="22">
        <v>410</v>
      </c>
      <c r="G11" s="22">
        <v>76.5</v>
      </c>
      <c r="H11" s="22">
        <v>14</v>
      </c>
      <c r="I11" s="22">
        <v>10</v>
      </c>
      <c r="J11" s="22" t="s">
        <v>19</v>
      </c>
      <c r="K11" s="23">
        <f t="shared" si="0"/>
        <v>3310.5</v>
      </c>
      <c r="L11" s="24">
        <v>200</v>
      </c>
      <c r="M11" s="23">
        <f t="shared" si="1"/>
        <v>3510.5</v>
      </c>
      <c r="N11" s="123" t="s">
        <v>20</v>
      </c>
      <c r="O11" s="25" t="s">
        <v>21</v>
      </c>
      <c r="P11" s="26" t="s">
        <v>22</v>
      </c>
      <c r="T11" s="139" t="s">
        <v>23</v>
      </c>
    </row>
    <row r="12" spans="2:20">
      <c r="B12" s="329"/>
      <c r="C12" s="328" t="s">
        <v>17</v>
      </c>
      <c r="D12" s="119" t="s">
        <v>18</v>
      </c>
      <c r="E12" s="21">
        <f>(1125+265)+510</f>
        <v>1900</v>
      </c>
      <c r="F12" s="22">
        <v>355</v>
      </c>
      <c r="G12" s="22">
        <v>76.5</v>
      </c>
      <c r="H12" s="22">
        <v>14</v>
      </c>
      <c r="I12" s="22">
        <v>10</v>
      </c>
      <c r="J12" s="22">
        <v>150</v>
      </c>
      <c r="K12" s="23">
        <f t="shared" si="0"/>
        <v>2505.5</v>
      </c>
      <c r="L12" s="24">
        <v>200</v>
      </c>
      <c r="M12" s="23">
        <f t="shared" si="1"/>
        <v>2705.5</v>
      </c>
      <c r="N12" s="123" t="s">
        <v>20</v>
      </c>
      <c r="O12" s="25" t="s">
        <v>21</v>
      </c>
      <c r="P12" s="26" t="s">
        <v>25</v>
      </c>
      <c r="T12" s="139" t="s">
        <v>23</v>
      </c>
    </row>
    <row r="13" spans="2:20">
      <c r="B13" s="329"/>
      <c r="C13" s="329"/>
      <c r="D13" s="119" t="s">
        <v>24</v>
      </c>
      <c r="E13" s="21">
        <f>(1735+530)+535</f>
        <v>2800</v>
      </c>
      <c r="F13" s="22">
        <v>355</v>
      </c>
      <c r="G13" s="22">
        <v>76.5</v>
      </c>
      <c r="H13" s="22">
        <v>14</v>
      </c>
      <c r="I13" s="22">
        <v>10</v>
      </c>
      <c r="J13" s="22">
        <v>300</v>
      </c>
      <c r="K13" s="23">
        <f t="shared" si="0"/>
        <v>3555.5</v>
      </c>
      <c r="L13" s="24">
        <v>200</v>
      </c>
      <c r="M13" s="23">
        <f t="shared" si="1"/>
        <v>3755.5</v>
      </c>
      <c r="N13" s="123" t="s">
        <v>20</v>
      </c>
      <c r="O13" s="25" t="s">
        <v>21</v>
      </c>
      <c r="P13" s="26" t="s">
        <v>25</v>
      </c>
      <c r="Q13" s="27"/>
      <c r="T13" s="139" t="s">
        <v>23</v>
      </c>
    </row>
    <row r="14" spans="2:20">
      <c r="B14" s="324" t="s">
        <v>26</v>
      </c>
      <c r="C14" s="275" t="s">
        <v>17</v>
      </c>
      <c r="D14" s="20" t="s">
        <v>18</v>
      </c>
      <c r="E14" s="21">
        <f>(1225+265)+500</f>
        <v>1990</v>
      </c>
      <c r="F14" s="22">
        <v>355</v>
      </c>
      <c r="G14" s="22">
        <v>76.5</v>
      </c>
      <c r="H14" s="22">
        <v>14</v>
      </c>
      <c r="I14" s="22">
        <v>10</v>
      </c>
      <c r="J14" s="22">
        <v>150</v>
      </c>
      <c r="K14" s="23">
        <f t="shared" si="0"/>
        <v>2595.5</v>
      </c>
      <c r="L14" s="24">
        <v>200</v>
      </c>
      <c r="M14" s="23">
        <f t="shared" si="1"/>
        <v>2795.5</v>
      </c>
      <c r="N14" s="123" t="s">
        <v>27</v>
      </c>
      <c r="O14" s="25" t="s">
        <v>21</v>
      </c>
      <c r="P14" s="26" t="s">
        <v>25</v>
      </c>
      <c r="T14" s="139" t="s">
        <v>23</v>
      </c>
    </row>
    <row r="15" spans="2:20">
      <c r="B15" s="325"/>
      <c r="C15" s="275"/>
      <c r="D15" s="20" t="s">
        <v>24</v>
      </c>
      <c r="E15" s="21">
        <f>(1950+530)+500</f>
        <v>2980</v>
      </c>
      <c r="F15" s="22">
        <v>355</v>
      </c>
      <c r="G15" s="22">
        <v>76.5</v>
      </c>
      <c r="H15" s="22">
        <v>14</v>
      </c>
      <c r="I15" s="22">
        <v>10</v>
      </c>
      <c r="J15" s="22">
        <v>300</v>
      </c>
      <c r="K15" s="23">
        <f t="shared" si="0"/>
        <v>3735.5</v>
      </c>
      <c r="L15" s="24">
        <v>200</v>
      </c>
      <c r="M15" s="23">
        <f t="shared" si="1"/>
        <v>3935.5</v>
      </c>
      <c r="N15" s="123" t="s">
        <v>27</v>
      </c>
      <c r="O15" s="25" t="s">
        <v>21</v>
      </c>
      <c r="P15" s="26" t="s">
        <v>25</v>
      </c>
      <c r="T15" s="139" t="s">
        <v>23</v>
      </c>
    </row>
    <row r="16" spans="2:20">
      <c r="B16" s="324" t="s">
        <v>28</v>
      </c>
      <c r="C16" s="324" t="s">
        <v>17</v>
      </c>
      <c r="D16" s="20" t="s">
        <v>18</v>
      </c>
      <c r="E16" s="21">
        <f>(1425+265)+500</f>
        <v>2190</v>
      </c>
      <c r="F16" s="22">
        <v>355</v>
      </c>
      <c r="G16" s="22">
        <v>76.5</v>
      </c>
      <c r="H16" s="22">
        <v>14</v>
      </c>
      <c r="I16" s="22">
        <v>10</v>
      </c>
      <c r="J16" s="22">
        <v>150</v>
      </c>
      <c r="K16" s="23">
        <f t="shared" si="0"/>
        <v>2795.5</v>
      </c>
      <c r="L16" s="24">
        <v>200</v>
      </c>
      <c r="M16" s="23">
        <f t="shared" si="1"/>
        <v>2995.5</v>
      </c>
      <c r="N16" s="123" t="s">
        <v>29</v>
      </c>
      <c r="O16" s="25" t="s">
        <v>21</v>
      </c>
      <c r="P16" s="26" t="s">
        <v>25</v>
      </c>
      <c r="T16" s="139" t="s">
        <v>23</v>
      </c>
    </row>
    <row r="17" spans="2:20">
      <c r="B17" s="325"/>
      <c r="C17" s="325"/>
      <c r="D17" s="20" t="s">
        <v>24</v>
      </c>
      <c r="E17" s="21">
        <f>(2350+530)+500</f>
        <v>3380</v>
      </c>
      <c r="F17" s="22">
        <v>355</v>
      </c>
      <c r="G17" s="22">
        <v>76.5</v>
      </c>
      <c r="H17" s="22">
        <v>14</v>
      </c>
      <c r="I17" s="22">
        <v>10</v>
      </c>
      <c r="J17" s="22">
        <v>300</v>
      </c>
      <c r="K17" s="23">
        <f t="shared" si="0"/>
        <v>4135.5</v>
      </c>
      <c r="L17" s="24">
        <v>200</v>
      </c>
      <c r="M17" s="23">
        <f t="shared" si="1"/>
        <v>4335.5</v>
      </c>
      <c r="N17" s="123" t="s">
        <v>29</v>
      </c>
      <c r="O17" s="25" t="s">
        <v>21</v>
      </c>
      <c r="P17" s="26" t="s">
        <v>25</v>
      </c>
      <c r="T17" s="139" t="s">
        <v>23</v>
      </c>
    </row>
    <row r="18" spans="2:20">
      <c r="B18" s="324" t="s">
        <v>30</v>
      </c>
      <c r="C18" s="275" t="s">
        <v>31</v>
      </c>
      <c r="D18" s="20" t="s">
        <v>18</v>
      </c>
      <c r="E18" s="21">
        <f>(1225+265)+500</f>
        <v>1990</v>
      </c>
      <c r="F18" s="22">
        <v>355</v>
      </c>
      <c r="G18" s="22">
        <v>76.5</v>
      </c>
      <c r="H18" s="22">
        <v>14</v>
      </c>
      <c r="I18" s="22">
        <v>10</v>
      </c>
      <c r="J18" s="22">
        <v>150</v>
      </c>
      <c r="K18" s="23">
        <f t="shared" si="0"/>
        <v>2595.5</v>
      </c>
      <c r="L18" s="24">
        <v>200</v>
      </c>
      <c r="M18" s="23">
        <f t="shared" si="1"/>
        <v>2795.5</v>
      </c>
      <c r="N18" s="123" t="s">
        <v>32</v>
      </c>
      <c r="O18" s="25" t="s">
        <v>21</v>
      </c>
      <c r="P18" s="26" t="s">
        <v>25</v>
      </c>
      <c r="Q18" s="27"/>
      <c r="T18" s="139" t="s">
        <v>23</v>
      </c>
    </row>
    <row r="19" spans="2:20">
      <c r="B19" s="326"/>
      <c r="C19" s="275"/>
      <c r="D19" s="20" t="s">
        <v>24</v>
      </c>
      <c r="E19" s="21">
        <f>(1950+530)+500</f>
        <v>2980</v>
      </c>
      <c r="F19" s="22">
        <v>355</v>
      </c>
      <c r="G19" s="22">
        <v>76.5</v>
      </c>
      <c r="H19" s="22">
        <v>14</v>
      </c>
      <c r="I19" s="22">
        <v>10</v>
      </c>
      <c r="J19" s="22">
        <v>300</v>
      </c>
      <c r="K19" s="23">
        <f t="shared" si="0"/>
        <v>3735.5</v>
      </c>
      <c r="L19" s="24">
        <v>200</v>
      </c>
      <c r="M19" s="23">
        <f t="shared" si="1"/>
        <v>3935.5</v>
      </c>
      <c r="N19" s="123" t="s">
        <v>32</v>
      </c>
      <c r="O19" s="25" t="s">
        <v>21</v>
      </c>
      <c r="P19" s="26" t="s">
        <v>25</v>
      </c>
      <c r="Q19" s="27"/>
      <c r="T19" s="139" t="s">
        <v>23</v>
      </c>
    </row>
    <row r="20" spans="2:20">
      <c r="B20" s="326"/>
      <c r="C20" s="275" t="s">
        <v>17</v>
      </c>
      <c r="D20" s="20" t="s">
        <v>18</v>
      </c>
      <c r="E20" s="21">
        <f>(1225+265)+500</f>
        <v>1990</v>
      </c>
      <c r="F20" s="22">
        <v>355</v>
      </c>
      <c r="G20" s="22">
        <v>76.5</v>
      </c>
      <c r="H20" s="22">
        <v>14</v>
      </c>
      <c r="I20" s="22">
        <v>10</v>
      </c>
      <c r="J20" s="22">
        <v>150</v>
      </c>
      <c r="K20" s="23">
        <f t="shared" si="0"/>
        <v>2595.5</v>
      </c>
      <c r="L20" s="24">
        <v>200</v>
      </c>
      <c r="M20" s="23">
        <f t="shared" si="1"/>
        <v>2795.5</v>
      </c>
      <c r="N20" s="123" t="s">
        <v>33</v>
      </c>
      <c r="O20" s="25" t="s">
        <v>21</v>
      </c>
      <c r="P20" s="26" t="s">
        <v>25</v>
      </c>
      <c r="T20" s="139" t="s">
        <v>23</v>
      </c>
    </row>
    <row r="21" spans="2:20">
      <c r="B21" s="325"/>
      <c r="C21" s="275"/>
      <c r="D21" s="20" t="s">
        <v>24</v>
      </c>
      <c r="E21" s="21">
        <f>(1950+530)+500</f>
        <v>2980</v>
      </c>
      <c r="F21" s="22">
        <v>355</v>
      </c>
      <c r="G21" s="22">
        <v>76.5</v>
      </c>
      <c r="H21" s="22">
        <v>14</v>
      </c>
      <c r="I21" s="22">
        <v>10</v>
      </c>
      <c r="J21" s="22">
        <v>300</v>
      </c>
      <c r="K21" s="23">
        <f t="shared" si="0"/>
        <v>3735.5</v>
      </c>
      <c r="L21" s="24">
        <v>200</v>
      </c>
      <c r="M21" s="23">
        <f t="shared" si="1"/>
        <v>3935.5</v>
      </c>
      <c r="N21" s="123" t="s">
        <v>33</v>
      </c>
      <c r="O21" s="25" t="s">
        <v>21</v>
      </c>
      <c r="P21" s="26" t="s">
        <v>25</v>
      </c>
      <c r="T21" s="139" t="s">
        <v>23</v>
      </c>
    </row>
    <row r="22" spans="2:20">
      <c r="B22" s="28"/>
      <c r="C22" s="28"/>
      <c r="D22" s="29"/>
      <c r="E22" s="124"/>
      <c r="F22" s="104"/>
      <c r="G22" s="104"/>
      <c r="H22" s="104"/>
      <c r="I22" s="104"/>
      <c r="J22" s="107"/>
      <c r="K22" s="107"/>
      <c r="L22" s="107"/>
      <c r="M22" s="106"/>
      <c r="N22" s="107"/>
      <c r="O22" s="106"/>
      <c r="P22" s="35"/>
      <c r="Q22" s="29"/>
    </row>
    <row r="23" spans="2:20" ht="15.6">
      <c r="B23" s="227" t="s">
        <v>34</v>
      </c>
      <c r="C23" s="228"/>
      <c r="D23" s="228"/>
      <c r="E23" s="228"/>
      <c r="F23" s="228"/>
      <c r="G23" s="228"/>
      <c r="H23" s="228"/>
      <c r="I23" s="228"/>
      <c r="J23" s="228"/>
      <c r="K23" s="228"/>
      <c r="L23" s="228"/>
      <c r="M23" s="228"/>
      <c r="N23" s="228"/>
      <c r="O23" s="228"/>
      <c r="P23" s="228"/>
    </row>
    <row r="24" spans="2:20" ht="14.45" customHeight="1">
      <c r="B24" s="327" t="s">
        <v>35</v>
      </c>
      <c r="C24" s="327"/>
      <c r="D24" s="327"/>
      <c r="E24" s="327"/>
      <c r="F24" s="327"/>
      <c r="G24" s="327"/>
      <c r="H24" s="327"/>
      <c r="I24" s="327"/>
      <c r="J24" s="327"/>
      <c r="K24" s="327"/>
      <c r="L24" s="327"/>
      <c r="M24" s="327"/>
      <c r="N24" s="327"/>
      <c r="O24" s="327"/>
      <c r="P24" s="327"/>
    </row>
    <row r="25" spans="2:20">
      <c r="B25" s="327"/>
      <c r="C25" s="327"/>
      <c r="D25" s="327"/>
      <c r="E25" s="327"/>
      <c r="F25" s="327"/>
      <c r="G25" s="327"/>
      <c r="H25" s="327"/>
      <c r="I25" s="327"/>
      <c r="J25" s="327"/>
      <c r="K25" s="327"/>
      <c r="L25" s="327"/>
      <c r="M25" s="327"/>
      <c r="N25" s="327"/>
      <c r="O25" s="327"/>
      <c r="P25" s="327"/>
    </row>
    <row r="26" spans="2:20">
      <c r="B26" s="327"/>
      <c r="C26" s="327"/>
      <c r="D26" s="327"/>
      <c r="E26" s="327"/>
      <c r="F26" s="327"/>
      <c r="G26" s="327"/>
      <c r="H26" s="327"/>
      <c r="I26" s="327"/>
      <c r="J26" s="327"/>
      <c r="K26" s="327"/>
      <c r="L26" s="327"/>
      <c r="M26" s="327"/>
      <c r="N26" s="327"/>
      <c r="O26" s="327"/>
      <c r="P26" s="327"/>
    </row>
    <row r="27" spans="2:20">
      <c r="B27" s="327"/>
      <c r="C27" s="327"/>
      <c r="D27" s="327"/>
      <c r="E27" s="327"/>
      <c r="F27" s="327"/>
      <c r="G27" s="327"/>
      <c r="H27" s="327"/>
      <c r="I27" s="327"/>
      <c r="J27" s="327"/>
      <c r="K27" s="327"/>
      <c r="L27" s="327"/>
      <c r="M27" s="327"/>
      <c r="N27" s="327"/>
      <c r="O27" s="327"/>
      <c r="P27" s="327"/>
    </row>
    <row r="28" spans="2:20">
      <c r="B28" s="36"/>
      <c r="C28" s="36"/>
      <c r="D28" s="36"/>
      <c r="E28" s="36"/>
      <c r="F28" s="36"/>
      <c r="G28" s="36"/>
      <c r="H28" s="36"/>
      <c r="I28" s="36"/>
      <c r="J28" s="36"/>
      <c r="K28" s="36"/>
      <c r="L28" s="36"/>
      <c r="M28" s="36"/>
      <c r="N28" s="36"/>
      <c r="O28" s="36"/>
      <c r="P28" s="36"/>
      <c r="Q28" s="36"/>
    </row>
    <row r="29" spans="2:20">
      <c r="B29" s="36"/>
      <c r="C29" s="36"/>
      <c r="D29" s="36"/>
      <c r="E29" s="36"/>
      <c r="F29" s="36"/>
      <c r="G29" s="36"/>
      <c r="H29" s="36"/>
      <c r="I29" s="36"/>
      <c r="J29" s="36"/>
      <c r="K29" s="36"/>
      <c r="L29" s="36"/>
      <c r="M29" s="36"/>
      <c r="N29" s="36"/>
      <c r="O29" s="36"/>
      <c r="P29" s="36"/>
      <c r="Q29" s="36"/>
    </row>
    <row r="30" spans="2:20">
      <c r="B30" s="36"/>
      <c r="C30" s="36"/>
      <c r="D30" s="36"/>
      <c r="E30" s="36"/>
      <c r="F30" s="36"/>
      <c r="G30" s="36"/>
      <c r="H30" s="36"/>
      <c r="I30" s="36"/>
      <c r="J30" s="36"/>
      <c r="K30" s="36"/>
      <c r="L30" s="36"/>
      <c r="M30" s="36"/>
      <c r="N30" s="36"/>
      <c r="O30" s="36"/>
      <c r="P30" s="36"/>
      <c r="Q30" s="36"/>
    </row>
    <row r="31" spans="2:20">
      <c r="B31" s="36"/>
      <c r="C31" s="36"/>
      <c r="D31" s="36"/>
      <c r="E31" s="36"/>
      <c r="F31" s="36"/>
      <c r="G31" s="36"/>
      <c r="H31" s="36"/>
      <c r="I31" s="36"/>
      <c r="J31" s="36"/>
      <c r="K31" s="36"/>
      <c r="L31" s="36"/>
      <c r="M31" s="36"/>
      <c r="N31" s="36"/>
      <c r="O31" s="36"/>
      <c r="P31" s="36"/>
      <c r="Q31" s="36"/>
    </row>
    <row r="32" spans="2:20">
      <c r="B32" s="36"/>
      <c r="C32" s="36"/>
      <c r="D32" s="36"/>
      <c r="E32" s="36"/>
      <c r="F32" s="36"/>
      <c r="G32" s="36"/>
      <c r="H32" s="36"/>
      <c r="I32" s="36"/>
      <c r="J32" s="36"/>
      <c r="K32" s="36"/>
      <c r="L32" s="36"/>
      <c r="M32" s="36"/>
      <c r="N32" s="36"/>
      <c r="O32" s="36"/>
      <c r="P32" s="36"/>
      <c r="Q32" s="36"/>
    </row>
    <row r="33" spans="2:20">
      <c r="B33" s="36"/>
      <c r="C33" s="36"/>
      <c r="D33" s="36"/>
      <c r="E33" s="36"/>
      <c r="F33" s="36"/>
      <c r="G33" s="36"/>
      <c r="H33" s="36"/>
      <c r="I33" s="36"/>
      <c r="J33" s="36"/>
      <c r="K33" s="36"/>
      <c r="L33" s="36"/>
      <c r="M33" s="36"/>
      <c r="N33" s="36"/>
      <c r="O33" s="36"/>
      <c r="P33" s="36"/>
      <c r="Q33" s="36"/>
    </row>
    <row r="34" spans="2:20">
      <c r="B34" s="28"/>
      <c r="C34" s="28"/>
      <c r="D34" s="29"/>
      <c r="E34" s="124"/>
      <c r="F34" s="104"/>
      <c r="G34" s="104"/>
      <c r="H34" s="104"/>
      <c r="I34" s="104"/>
      <c r="J34" s="107"/>
      <c r="K34" s="107"/>
      <c r="L34" s="107"/>
      <c r="M34" s="106"/>
      <c r="N34" s="107"/>
      <c r="O34" s="106"/>
      <c r="P34" s="35"/>
      <c r="Q34" s="29"/>
    </row>
    <row r="35" spans="2:20" ht="28.9">
      <c r="B35" s="318" t="s">
        <v>36</v>
      </c>
      <c r="C35" s="296"/>
      <c r="D35" s="296"/>
      <c r="E35" s="296"/>
      <c r="F35" s="296"/>
      <c r="G35" s="296"/>
      <c r="H35" s="296"/>
      <c r="I35" s="296"/>
      <c r="J35" s="296"/>
      <c r="K35" s="296"/>
      <c r="L35" s="296"/>
      <c r="M35" s="296"/>
      <c r="N35" s="296"/>
      <c r="O35" s="296"/>
      <c r="P35" s="296"/>
    </row>
    <row r="36" spans="2:20" ht="28.9">
      <c r="B36" s="129" t="s">
        <v>1</v>
      </c>
      <c r="C36" s="254" t="s">
        <v>2</v>
      </c>
      <c r="D36" s="254"/>
      <c r="E36" s="129" t="s">
        <v>3</v>
      </c>
      <c r="F36" s="129" t="s">
        <v>4</v>
      </c>
      <c r="G36" s="11" t="s">
        <v>37</v>
      </c>
      <c r="H36" s="136" t="s">
        <v>6</v>
      </c>
      <c r="I36" s="3" t="s">
        <v>9</v>
      </c>
      <c r="J36" s="3" t="s">
        <v>10</v>
      </c>
      <c r="K36" s="3" t="s">
        <v>11</v>
      </c>
      <c r="L36" s="129" t="s">
        <v>12</v>
      </c>
      <c r="M36" s="129" t="s">
        <v>13</v>
      </c>
      <c r="N36" s="129" t="s">
        <v>14</v>
      </c>
      <c r="O36" s="254" t="s">
        <v>38</v>
      </c>
      <c r="P36" s="254"/>
      <c r="T36" s="229" t="s">
        <v>15</v>
      </c>
    </row>
    <row r="37" spans="2:20">
      <c r="B37" s="319" t="s">
        <v>39</v>
      </c>
      <c r="C37" s="152" t="s">
        <v>31</v>
      </c>
      <c r="D37" s="20" t="s">
        <v>18</v>
      </c>
      <c r="E37" s="160">
        <f>CEILING((((2861+50)*1.15)),50)</f>
        <v>3350</v>
      </c>
      <c r="F37" s="234">
        <v>340</v>
      </c>
      <c r="G37" s="234">
        <v>80</v>
      </c>
      <c r="H37" s="234">
        <v>18</v>
      </c>
      <c r="I37" s="40">
        <f>SUM(E37:H37)</f>
        <v>3788</v>
      </c>
      <c r="J37" s="24">
        <v>200</v>
      </c>
      <c r="K37" s="23">
        <f>I37+J37</f>
        <v>3988</v>
      </c>
      <c r="L37" s="41" t="s">
        <v>40</v>
      </c>
      <c r="M37" s="117" t="s">
        <v>41</v>
      </c>
      <c r="N37" s="99" t="s">
        <v>42</v>
      </c>
      <c r="O37" s="320" t="s">
        <v>43</v>
      </c>
      <c r="P37" s="321"/>
      <c r="T37" s="55" t="s">
        <v>44</v>
      </c>
    </row>
    <row r="38" spans="2:20">
      <c r="B38" s="319"/>
      <c r="C38" s="152" t="s">
        <v>31</v>
      </c>
      <c r="D38" s="20" t="s">
        <v>24</v>
      </c>
      <c r="E38" s="160">
        <f>CEILING((((3311+50)*1.15)),50)</f>
        <v>3900</v>
      </c>
      <c r="F38" s="234">
        <v>340</v>
      </c>
      <c r="G38" s="234">
        <v>80</v>
      </c>
      <c r="H38" s="234">
        <v>18</v>
      </c>
      <c r="I38" s="40">
        <f>SUM(E38:H38)</f>
        <v>4338</v>
      </c>
      <c r="J38" s="24">
        <v>200</v>
      </c>
      <c r="K38" s="23">
        <f>I38+J38</f>
        <v>4538</v>
      </c>
      <c r="L38" s="41" t="s">
        <v>40</v>
      </c>
      <c r="M38" s="117" t="s">
        <v>41</v>
      </c>
      <c r="N38" s="99" t="s">
        <v>42</v>
      </c>
      <c r="O38" s="322"/>
      <c r="P38" s="323"/>
      <c r="T38" s="55" t="s">
        <v>44</v>
      </c>
    </row>
    <row r="39" spans="2:20" ht="14.45" customHeight="1">
      <c r="B39" s="230" t="s">
        <v>45</v>
      </c>
      <c r="C39" s="152" t="s">
        <v>31</v>
      </c>
      <c r="D39" s="20" t="s">
        <v>18</v>
      </c>
      <c r="E39" s="160">
        <v>2645</v>
      </c>
      <c r="F39" s="22">
        <v>355</v>
      </c>
      <c r="G39" s="22">
        <v>76.5</v>
      </c>
      <c r="H39" s="22">
        <v>24</v>
      </c>
      <c r="I39" s="40">
        <f>SUM(E39:H39)</f>
        <v>3100.5</v>
      </c>
      <c r="J39" s="24">
        <v>200</v>
      </c>
      <c r="K39" s="23">
        <f>I39+J39</f>
        <v>3300.5</v>
      </c>
      <c r="L39" s="41" t="s">
        <v>46</v>
      </c>
      <c r="M39" s="117" t="s">
        <v>41</v>
      </c>
      <c r="N39" s="99" t="s">
        <v>47</v>
      </c>
      <c r="O39" s="276" t="s">
        <v>48</v>
      </c>
      <c r="P39" s="276"/>
      <c r="T39" s="55" t="s">
        <v>49</v>
      </c>
    </row>
    <row r="40" spans="2:20" ht="14.45" customHeight="1">
      <c r="B40" s="230" t="s">
        <v>50</v>
      </c>
      <c r="C40" s="152" t="s">
        <v>31</v>
      </c>
      <c r="D40" s="20" t="s">
        <v>24</v>
      </c>
      <c r="E40" s="160">
        <f>CEILING((((3311+50)*1.15)),5)</f>
        <v>3870</v>
      </c>
      <c r="F40" s="234">
        <v>340</v>
      </c>
      <c r="G40" s="234">
        <v>80</v>
      </c>
      <c r="H40" s="234">
        <v>18</v>
      </c>
      <c r="I40" s="40">
        <f>SUM(E40:H40)</f>
        <v>4308</v>
      </c>
      <c r="J40" s="24">
        <v>200</v>
      </c>
      <c r="K40" s="23">
        <f>I40+J40</f>
        <v>4508</v>
      </c>
      <c r="L40" s="41" t="s">
        <v>40</v>
      </c>
      <c r="M40" s="117" t="s">
        <v>41</v>
      </c>
      <c r="N40" s="99" t="s">
        <v>42</v>
      </c>
      <c r="O40" s="276" t="s">
        <v>48</v>
      </c>
      <c r="P40" s="276"/>
      <c r="T40" s="55" t="s">
        <v>44</v>
      </c>
    </row>
    <row r="41" spans="2:20">
      <c r="B41" s="44"/>
      <c r="C41" s="135"/>
      <c r="D41" s="29"/>
      <c r="E41" s="45"/>
      <c r="F41" s="45"/>
      <c r="G41" s="45"/>
      <c r="H41" s="135"/>
      <c r="I41" s="104"/>
      <c r="J41" s="105"/>
      <c r="K41" s="105"/>
      <c r="L41" s="105"/>
      <c r="M41" s="106"/>
      <c r="N41" s="107"/>
      <c r="O41" s="46"/>
      <c r="P41" s="35"/>
      <c r="Q41" s="135"/>
    </row>
    <row r="42" spans="2:20" ht="15.6">
      <c r="B42" s="5" t="s">
        <v>34</v>
      </c>
      <c r="C42" s="6"/>
      <c r="D42" s="6"/>
      <c r="E42" s="6"/>
      <c r="F42" s="6"/>
      <c r="G42" s="6"/>
      <c r="H42" s="6"/>
      <c r="I42" s="6"/>
      <c r="J42" s="6"/>
      <c r="K42" s="6"/>
      <c r="L42" s="6"/>
      <c r="M42" s="6"/>
      <c r="N42" s="6"/>
      <c r="O42" s="6"/>
      <c r="P42" s="6"/>
      <c r="Q42" s="7"/>
    </row>
    <row r="43" spans="2:20">
      <c r="B43" s="256" t="s">
        <v>35</v>
      </c>
      <c r="C43" s="257"/>
      <c r="D43" s="257"/>
      <c r="E43" s="257"/>
      <c r="F43" s="257"/>
      <c r="G43" s="257"/>
      <c r="H43" s="257"/>
      <c r="I43" s="257"/>
      <c r="J43" s="257"/>
      <c r="K43" s="257"/>
      <c r="L43" s="257"/>
      <c r="M43" s="257"/>
      <c r="N43" s="257"/>
      <c r="O43" s="257"/>
      <c r="P43" s="257"/>
      <c r="Q43" s="258"/>
    </row>
    <row r="44" spans="2:20">
      <c r="B44" s="256"/>
      <c r="C44" s="257"/>
      <c r="D44" s="257"/>
      <c r="E44" s="257"/>
      <c r="F44" s="257"/>
      <c r="G44" s="257"/>
      <c r="H44" s="257"/>
      <c r="I44" s="257"/>
      <c r="J44" s="257"/>
      <c r="K44" s="257"/>
      <c r="L44" s="257"/>
      <c r="M44" s="257"/>
      <c r="N44" s="257"/>
      <c r="O44" s="257"/>
      <c r="P44" s="257"/>
      <c r="Q44" s="258"/>
    </row>
    <row r="45" spans="2:20">
      <c r="B45" s="256"/>
      <c r="C45" s="257"/>
      <c r="D45" s="257"/>
      <c r="E45" s="257"/>
      <c r="F45" s="257"/>
      <c r="G45" s="257"/>
      <c r="H45" s="257"/>
      <c r="I45" s="257"/>
      <c r="J45" s="257"/>
      <c r="K45" s="257"/>
      <c r="L45" s="257"/>
      <c r="M45" s="257"/>
      <c r="N45" s="257"/>
      <c r="O45" s="257"/>
      <c r="P45" s="257"/>
      <c r="Q45" s="258"/>
    </row>
    <row r="46" spans="2:20">
      <c r="B46" s="259"/>
      <c r="C46" s="260"/>
      <c r="D46" s="260"/>
      <c r="E46" s="260"/>
      <c r="F46" s="260"/>
      <c r="G46" s="260"/>
      <c r="H46" s="260"/>
      <c r="I46" s="260"/>
      <c r="J46" s="260"/>
      <c r="K46" s="260"/>
      <c r="L46" s="260"/>
      <c r="M46" s="260"/>
      <c r="N46" s="260"/>
      <c r="O46" s="260"/>
      <c r="P46" s="260"/>
      <c r="Q46" s="261"/>
    </row>
    <row r="47" spans="2:20">
      <c r="B47" s="36"/>
      <c r="C47" s="36"/>
      <c r="D47" s="36"/>
      <c r="E47" s="36"/>
      <c r="F47" s="36"/>
      <c r="G47" s="36"/>
      <c r="H47" s="36"/>
      <c r="I47" s="36"/>
      <c r="J47" s="36"/>
      <c r="K47" s="36"/>
      <c r="L47" s="36"/>
      <c r="M47" s="36"/>
      <c r="N47" s="36"/>
      <c r="O47" s="36"/>
      <c r="P47" s="36"/>
      <c r="Q47" s="122"/>
    </row>
    <row r="48" spans="2:20">
      <c r="B48" s="36"/>
      <c r="C48" s="36"/>
      <c r="D48" s="36"/>
      <c r="E48" s="36"/>
      <c r="F48" s="36"/>
      <c r="G48" s="36"/>
      <c r="H48" s="36"/>
      <c r="I48" s="36"/>
      <c r="J48" s="36"/>
      <c r="K48" s="36"/>
      <c r="L48" s="36"/>
      <c r="M48" s="36"/>
      <c r="N48" s="36"/>
      <c r="O48" s="36"/>
      <c r="P48" s="36"/>
      <c r="Q48" s="36"/>
    </row>
    <row r="49" spans="2:20">
      <c r="B49" s="36"/>
      <c r="C49" s="36"/>
      <c r="D49" s="36"/>
      <c r="E49" s="36"/>
      <c r="F49" s="36"/>
      <c r="G49" s="36"/>
      <c r="H49" s="36"/>
      <c r="I49" s="36"/>
      <c r="J49" s="36"/>
      <c r="K49" s="36"/>
      <c r="L49" s="36"/>
      <c r="M49" s="36"/>
      <c r="N49" s="36"/>
      <c r="O49" s="36"/>
      <c r="P49" s="36"/>
      <c r="Q49" s="36"/>
    </row>
    <row r="50" spans="2:20">
      <c r="B50" s="36"/>
      <c r="C50" s="36"/>
      <c r="D50" s="36"/>
      <c r="E50" s="36"/>
      <c r="F50" s="36"/>
      <c r="G50" s="36"/>
      <c r="H50" s="36"/>
      <c r="I50" s="36"/>
      <c r="J50" s="36"/>
      <c r="K50" s="36"/>
      <c r="L50" s="36"/>
      <c r="M50" s="36"/>
      <c r="N50" s="36"/>
      <c r="O50" s="36"/>
      <c r="P50" s="36"/>
      <c r="Q50" s="36"/>
    </row>
    <row r="51" spans="2:20">
      <c r="B51" s="36"/>
      <c r="C51" s="36"/>
      <c r="D51" s="36"/>
      <c r="E51" s="36"/>
      <c r="F51" s="36"/>
      <c r="G51" s="36"/>
      <c r="H51" s="36"/>
      <c r="I51" s="36"/>
      <c r="J51" s="36"/>
      <c r="K51" s="36"/>
      <c r="L51" s="36"/>
      <c r="M51" s="36"/>
      <c r="N51" s="36"/>
      <c r="O51" s="36"/>
      <c r="P51" s="36"/>
      <c r="Q51" s="36"/>
    </row>
    <row r="52" spans="2:20">
      <c r="B52" s="36"/>
      <c r="C52" s="36"/>
      <c r="D52" s="36"/>
      <c r="E52" s="36"/>
      <c r="F52" s="36"/>
      <c r="G52" s="36"/>
      <c r="H52" s="36"/>
      <c r="I52" s="36"/>
      <c r="J52" s="36"/>
      <c r="K52" s="36"/>
      <c r="L52" s="36"/>
      <c r="M52" s="36"/>
      <c r="N52" s="36"/>
      <c r="O52" s="36"/>
      <c r="P52" s="36"/>
      <c r="Q52" s="36"/>
    </row>
    <row r="53" spans="2:20">
      <c r="B53" s="36"/>
      <c r="C53" s="36"/>
      <c r="D53" s="36"/>
      <c r="E53" s="36"/>
      <c r="F53" s="36"/>
      <c r="G53" s="36"/>
      <c r="H53" s="36"/>
      <c r="I53" s="36"/>
      <c r="J53" s="36"/>
      <c r="K53" s="36"/>
      <c r="L53" s="36"/>
      <c r="M53" s="36"/>
      <c r="N53" s="36"/>
      <c r="O53" s="36"/>
      <c r="P53" s="36"/>
      <c r="Q53" s="36"/>
    </row>
    <row r="54" spans="2:20">
      <c r="B54" s="36"/>
      <c r="C54" s="36"/>
      <c r="D54" s="36"/>
      <c r="E54" s="36"/>
      <c r="F54" s="36"/>
      <c r="G54" s="36"/>
      <c r="H54" s="36"/>
      <c r="I54" s="36"/>
      <c r="J54" s="36"/>
      <c r="K54" s="36"/>
      <c r="L54" s="36"/>
      <c r="M54" s="36"/>
      <c r="N54" s="36"/>
      <c r="O54" s="36"/>
      <c r="P54" s="36"/>
      <c r="Q54" s="36"/>
    </row>
    <row r="55" spans="2:20" ht="15" thickBot="1">
      <c r="B55" s="28"/>
      <c r="C55" s="28"/>
      <c r="D55" s="29"/>
      <c r="E55" s="124"/>
      <c r="F55" s="104"/>
      <c r="G55" s="104"/>
      <c r="H55" s="104"/>
      <c r="I55" s="104"/>
      <c r="J55" s="107"/>
      <c r="K55" s="107"/>
      <c r="L55" s="107"/>
      <c r="M55" s="106"/>
      <c r="N55" s="107"/>
      <c r="O55" s="106"/>
      <c r="P55" s="35"/>
      <c r="Q55" s="29"/>
      <c r="R55" s="29"/>
    </row>
    <row r="56" spans="2:20" ht="28.9">
      <c r="B56" s="262" t="s">
        <v>51</v>
      </c>
      <c r="C56" s="263"/>
      <c r="D56" s="263"/>
      <c r="E56" s="263"/>
      <c r="F56" s="263"/>
      <c r="G56" s="263"/>
      <c r="H56" s="263"/>
      <c r="I56" s="263"/>
      <c r="J56" s="263"/>
      <c r="K56" s="263"/>
      <c r="L56" s="263"/>
      <c r="M56" s="263"/>
      <c r="N56" s="263"/>
      <c r="O56" s="263"/>
      <c r="P56" s="263"/>
      <c r="Q56" s="263"/>
      <c r="R56" s="263"/>
      <c r="S56" s="277"/>
    </row>
    <row r="57" spans="2:20" ht="28.9">
      <c r="B57" s="102" t="s">
        <v>1</v>
      </c>
      <c r="C57" s="254" t="s">
        <v>2</v>
      </c>
      <c r="D57" s="254"/>
      <c r="E57" s="129" t="s">
        <v>3</v>
      </c>
      <c r="F57" s="129" t="s">
        <v>4</v>
      </c>
      <c r="G57" s="129" t="s">
        <v>5</v>
      </c>
      <c r="H57" s="129" t="s">
        <v>6</v>
      </c>
      <c r="I57" s="3" t="s">
        <v>52</v>
      </c>
      <c r="J57" s="3" t="s">
        <v>53</v>
      </c>
      <c r="K57" s="3" t="s">
        <v>54</v>
      </c>
      <c r="L57" s="3" t="s">
        <v>55</v>
      </c>
      <c r="M57" s="3" t="s">
        <v>10</v>
      </c>
      <c r="N57" s="215" t="s">
        <v>11</v>
      </c>
      <c r="O57" s="215" t="s">
        <v>12</v>
      </c>
      <c r="P57" s="4" t="s">
        <v>13</v>
      </c>
      <c r="Q57" s="4" t="s">
        <v>14</v>
      </c>
      <c r="R57" s="316" t="s">
        <v>38</v>
      </c>
      <c r="S57" s="317"/>
      <c r="T57" s="138" t="s">
        <v>15</v>
      </c>
    </row>
    <row r="58" spans="2:20" ht="14.45" customHeight="1">
      <c r="B58" s="303" t="s">
        <v>56</v>
      </c>
      <c r="C58" s="304" t="s">
        <v>57</v>
      </c>
      <c r="D58" s="154" t="s">
        <v>18</v>
      </c>
      <c r="E58" s="155">
        <f>CEILING((((4600+297+115)*1.15)-340)-150,50)</f>
        <v>5300</v>
      </c>
      <c r="F58" s="234">
        <v>340</v>
      </c>
      <c r="G58" s="234">
        <v>80</v>
      </c>
      <c r="H58" s="234">
        <v>18</v>
      </c>
      <c r="I58" s="234" t="s">
        <v>58</v>
      </c>
      <c r="J58" s="234">
        <v>75</v>
      </c>
      <c r="K58" s="234">
        <v>75</v>
      </c>
      <c r="L58" s="207">
        <f t="shared" ref="L58:L79" si="2">SUM(E58:K58)</f>
        <v>5888</v>
      </c>
      <c r="M58" s="214">
        <v>200</v>
      </c>
      <c r="N58" s="207">
        <f t="shared" ref="N58:N79" si="3">SUM(L58:M58)</f>
        <v>6088</v>
      </c>
      <c r="O58" s="158" t="s">
        <v>59</v>
      </c>
      <c r="P58" s="223" t="s">
        <v>60</v>
      </c>
      <c r="Q58" s="158" t="s">
        <v>42</v>
      </c>
      <c r="R58" s="301" t="s">
        <v>61</v>
      </c>
      <c r="S58" s="301"/>
      <c r="T58" s="139" t="s">
        <v>62</v>
      </c>
    </row>
    <row r="59" spans="2:20">
      <c r="B59" s="303"/>
      <c r="C59" s="304"/>
      <c r="D59" s="154" t="s">
        <v>24</v>
      </c>
      <c r="E59" s="155">
        <f>CEILING((((4800+297+115)*1.15)-340)-150,50)</f>
        <v>5550</v>
      </c>
      <c r="F59" s="234">
        <v>340</v>
      </c>
      <c r="G59" s="234">
        <v>80</v>
      </c>
      <c r="H59" s="234">
        <v>18</v>
      </c>
      <c r="I59" s="234" t="s">
        <v>58</v>
      </c>
      <c r="J59" s="234">
        <v>75</v>
      </c>
      <c r="K59" s="234">
        <v>75</v>
      </c>
      <c r="L59" s="207">
        <f t="shared" si="2"/>
        <v>6138</v>
      </c>
      <c r="M59" s="214">
        <v>200</v>
      </c>
      <c r="N59" s="207">
        <f t="shared" si="3"/>
        <v>6338</v>
      </c>
      <c r="O59" s="158" t="s">
        <v>59</v>
      </c>
      <c r="P59" s="223" t="s">
        <v>60</v>
      </c>
      <c r="Q59" s="158" t="s">
        <v>42</v>
      </c>
      <c r="R59" s="301"/>
      <c r="S59" s="301"/>
      <c r="T59" s="139" t="s">
        <v>62</v>
      </c>
    </row>
    <row r="60" spans="2:20" ht="14.45" customHeight="1">
      <c r="B60" s="308" t="s">
        <v>63</v>
      </c>
      <c r="C60" s="304" t="s">
        <v>57</v>
      </c>
      <c r="D60" s="154" t="s">
        <v>18</v>
      </c>
      <c r="E60" s="155">
        <f>CEILING((((4750+297+115)*1.15)-340)-150,50)</f>
        <v>5450</v>
      </c>
      <c r="F60" s="234">
        <v>340</v>
      </c>
      <c r="G60" s="234">
        <v>80</v>
      </c>
      <c r="H60" s="234">
        <v>18</v>
      </c>
      <c r="I60" s="234" t="s">
        <v>58</v>
      </c>
      <c r="J60" s="234">
        <v>75</v>
      </c>
      <c r="K60" s="234">
        <v>75</v>
      </c>
      <c r="L60" s="207">
        <f t="shared" si="2"/>
        <v>6038</v>
      </c>
      <c r="M60" s="214">
        <v>200</v>
      </c>
      <c r="N60" s="207">
        <f t="shared" si="3"/>
        <v>6238</v>
      </c>
      <c r="O60" s="158" t="s">
        <v>59</v>
      </c>
      <c r="P60" s="223" t="s">
        <v>60</v>
      </c>
      <c r="Q60" s="158" t="s">
        <v>42</v>
      </c>
      <c r="R60" s="301" t="s">
        <v>61</v>
      </c>
      <c r="S60" s="301"/>
      <c r="T60" s="139" t="s">
        <v>62</v>
      </c>
    </row>
    <row r="61" spans="2:20">
      <c r="B61" s="308"/>
      <c r="C61" s="304"/>
      <c r="D61" s="154" t="s">
        <v>24</v>
      </c>
      <c r="E61" s="155">
        <f>CEILING((((5020+297+115)*1.15)-340)-150,50)</f>
        <v>5800</v>
      </c>
      <c r="F61" s="234">
        <v>340</v>
      </c>
      <c r="G61" s="234">
        <v>80</v>
      </c>
      <c r="H61" s="234">
        <v>18</v>
      </c>
      <c r="I61" s="234" t="s">
        <v>58</v>
      </c>
      <c r="J61" s="234">
        <v>75</v>
      </c>
      <c r="K61" s="234">
        <v>75</v>
      </c>
      <c r="L61" s="207">
        <f t="shared" si="2"/>
        <v>6388</v>
      </c>
      <c r="M61" s="214">
        <v>200</v>
      </c>
      <c r="N61" s="207">
        <f t="shared" si="3"/>
        <v>6588</v>
      </c>
      <c r="O61" s="158" t="s">
        <v>59</v>
      </c>
      <c r="P61" s="223" t="s">
        <v>60</v>
      </c>
      <c r="Q61" s="158" t="s">
        <v>42</v>
      </c>
      <c r="R61" s="301"/>
      <c r="S61" s="301"/>
      <c r="T61" s="139" t="s">
        <v>62</v>
      </c>
    </row>
    <row r="62" spans="2:20" ht="14.45" customHeight="1">
      <c r="B62" s="312" t="s">
        <v>64</v>
      </c>
      <c r="C62" s="283" t="s">
        <v>31</v>
      </c>
      <c r="D62" s="125" t="s">
        <v>18</v>
      </c>
      <c r="E62" s="127">
        <f>CEILING(((4280+115+289)*1.15)-439,50)</f>
        <v>4950</v>
      </c>
      <c r="F62" s="100">
        <v>289</v>
      </c>
      <c r="G62" s="100">
        <v>84.38</v>
      </c>
      <c r="H62" s="100">
        <v>15</v>
      </c>
      <c r="I62" s="100">
        <v>40</v>
      </c>
      <c r="J62" s="100">
        <v>75</v>
      </c>
      <c r="K62" s="100">
        <v>75</v>
      </c>
      <c r="L62" s="101">
        <f t="shared" si="2"/>
        <v>5528.38</v>
      </c>
      <c r="M62" s="213">
        <v>200</v>
      </c>
      <c r="N62" s="101">
        <f t="shared" si="3"/>
        <v>5728.38</v>
      </c>
      <c r="O62" s="99" t="s">
        <v>59</v>
      </c>
      <c r="P62" s="223" t="s">
        <v>60</v>
      </c>
      <c r="Q62" s="99" t="s">
        <v>65</v>
      </c>
      <c r="R62" s="298" t="s">
        <v>66</v>
      </c>
      <c r="S62" s="298"/>
      <c r="T62" s="139" t="s">
        <v>67</v>
      </c>
    </row>
    <row r="63" spans="2:20">
      <c r="B63" s="313"/>
      <c r="C63" s="314"/>
      <c r="D63" s="125" t="s">
        <v>24</v>
      </c>
      <c r="E63" s="127">
        <f>CEILING(((4360+115+289)*1.15)-439,50)</f>
        <v>5050</v>
      </c>
      <c r="F63" s="100">
        <v>289</v>
      </c>
      <c r="G63" s="100">
        <v>84.38</v>
      </c>
      <c r="H63" s="100">
        <v>15</v>
      </c>
      <c r="I63" s="100">
        <v>40</v>
      </c>
      <c r="J63" s="100">
        <v>75</v>
      </c>
      <c r="K63" s="100">
        <v>75</v>
      </c>
      <c r="L63" s="101">
        <f t="shared" si="2"/>
        <v>5628.38</v>
      </c>
      <c r="M63" s="213">
        <v>200</v>
      </c>
      <c r="N63" s="101">
        <f t="shared" si="3"/>
        <v>5828.38</v>
      </c>
      <c r="O63" s="99" t="s">
        <v>59</v>
      </c>
      <c r="P63" s="223" t="s">
        <v>60</v>
      </c>
      <c r="Q63" s="99" t="s">
        <v>65</v>
      </c>
      <c r="R63" s="298" t="s">
        <v>66</v>
      </c>
      <c r="S63" s="298"/>
      <c r="T63" s="139" t="s">
        <v>67</v>
      </c>
    </row>
    <row r="64" spans="2:20">
      <c r="B64" s="315" t="s">
        <v>68</v>
      </c>
      <c r="C64" s="255" t="s">
        <v>57</v>
      </c>
      <c r="D64" s="125" t="s">
        <v>18</v>
      </c>
      <c r="E64" s="246">
        <f>CEILING((((4700+297+115)*1.15)-340)-150,50)</f>
        <v>5400</v>
      </c>
      <c r="F64" s="100">
        <v>340</v>
      </c>
      <c r="G64" s="100">
        <v>80</v>
      </c>
      <c r="H64" s="100">
        <v>18</v>
      </c>
      <c r="I64" s="100" t="s">
        <v>58</v>
      </c>
      <c r="J64" s="100">
        <v>75</v>
      </c>
      <c r="K64" s="100">
        <v>75</v>
      </c>
      <c r="L64" s="101">
        <f t="shared" si="2"/>
        <v>5988</v>
      </c>
      <c r="M64" s="213">
        <v>200</v>
      </c>
      <c r="N64" s="101">
        <f t="shared" si="3"/>
        <v>6188</v>
      </c>
      <c r="O64" s="99" t="s">
        <v>59</v>
      </c>
      <c r="P64" s="223" t="s">
        <v>60</v>
      </c>
      <c r="Q64" s="99" t="s">
        <v>42</v>
      </c>
      <c r="R64" s="276" t="s">
        <v>61</v>
      </c>
      <c r="S64" s="276"/>
      <c r="T64" s="139" t="s">
        <v>62</v>
      </c>
    </row>
    <row r="65" spans="2:20">
      <c r="B65" s="315"/>
      <c r="C65" s="255"/>
      <c r="D65" s="125" t="s">
        <v>24</v>
      </c>
      <c r="E65" s="246">
        <f>CEILING((((4900+297+115)*1.15)-340)-150,50)</f>
        <v>5650</v>
      </c>
      <c r="F65" s="100">
        <v>340</v>
      </c>
      <c r="G65" s="100">
        <v>80</v>
      </c>
      <c r="H65" s="100">
        <v>18</v>
      </c>
      <c r="I65" s="100" t="s">
        <v>58</v>
      </c>
      <c r="J65" s="100">
        <v>75</v>
      </c>
      <c r="K65" s="100">
        <v>75</v>
      </c>
      <c r="L65" s="101">
        <f t="shared" si="2"/>
        <v>6238</v>
      </c>
      <c r="M65" s="213">
        <v>200</v>
      </c>
      <c r="N65" s="101">
        <f t="shared" si="3"/>
        <v>6438</v>
      </c>
      <c r="O65" s="99" t="s">
        <v>59</v>
      </c>
      <c r="P65" s="223" t="s">
        <v>60</v>
      </c>
      <c r="Q65" s="99" t="s">
        <v>42</v>
      </c>
      <c r="R65" s="276"/>
      <c r="S65" s="276"/>
      <c r="T65" s="139" t="s">
        <v>62</v>
      </c>
    </row>
    <row r="66" spans="2:20" ht="14.45" customHeight="1">
      <c r="B66" s="312" t="s">
        <v>69</v>
      </c>
      <c r="C66" s="283" t="s">
        <v>31</v>
      </c>
      <c r="D66" s="125" t="s">
        <v>18</v>
      </c>
      <c r="E66" s="127">
        <f>CEILING(((4330+115+289)*1.15)-439,50)</f>
        <v>5050</v>
      </c>
      <c r="F66" s="231">
        <v>289</v>
      </c>
      <c r="G66" s="231">
        <v>84.38</v>
      </c>
      <c r="H66" s="231">
        <v>15</v>
      </c>
      <c r="I66" s="231">
        <v>40</v>
      </c>
      <c r="J66" s="231">
        <v>75</v>
      </c>
      <c r="K66" s="231">
        <v>75</v>
      </c>
      <c r="L66" s="101">
        <f t="shared" si="2"/>
        <v>5628.38</v>
      </c>
      <c r="M66" s="213">
        <v>200</v>
      </c>
      <c r="N66" s="101">
        <f t="shared" si="3"/>
        <v>5828.38</v>
      </c>
      <c r="O66" s="99" t="s">
        <v>59</v>
      </c>
      <c r="P66" s="223" t="s">
        <v>60</v>
      </c>
      <c r="Q66" s="99" t="s">
        <v>65</v>
      </c>
      <c r="R66" s="298" t="s">
        <v>66</v>
      </c>
      <c r="S66" s="298"/>
      <c r="T66" s="139" t="s">
        <v>67</v>
      </c>
    </row>
    <row r="67" spans="2:20">
      <c r="B67" s="313"/>
      <c r="C67" s="314"/>
      <c r="D67" s="125" t="s">
        <v>24</v>
      </c>
      <c r="E67" s="127">
        <f>CEILING(((4460+115+289)*1.15)-439,50)</f>
        <v>5200</v>
      </c>
      <c r="F67" s="231">
        <v>289</v>
      </c>
      <c r="G67" s="231">
        <v>84.38</v>
      </c>
      <c r="H67" s="231">
        <v>15</v>
      </c>
      <c r="I67" s="231">
        <v>40</v>
      </c>
      <c r="J67" s="231">
        <v>75</v>
      </c>
      <c r="K67" s="231">
        <v>75</v>
      </c>
      <c r="L67" s="101">
        <f t="shared" si="2"/>
        <v>5778.38</v>
      </c>
      <c r="M67" s="213">
        <v>200</v>
      </c>
      <c r="N67" s="101">
        <f t="shared" si="3"/>
        <v>5978.38</v>
      </c>
      <c r="O67" s="99" t="s">
        <v>59</v>
      </c>
      <c r="P67" s="223" t="s">
        <v>60</v>
      </c>
      <c r="Q67" s="99" t="s">
        <v>65</v>
      </c>
      <c r="R67" s="298" t="s">
        <v>66</v>
      </c>
      <c r="S67" s="298"/>
      <c r="T67" s="139" t="s">
        <v>67</v>
      </c>
    </row>
    <row r="68" spans="2:20" ht="14.45" customHeight="1">
      <c r="B68" s="306" t="s">
        <v>70</v>
      </c>
      <c r="C68" s="292" t="s">
        <v>57</v>
      </c>
      <c r="D68" s="125" t="s">
        <v>18</v>
      </c>
      <c r="E68" s="246">
        <f>CEILING((((4730+297+115)*1.15)-340)-150,50)</f>
        <v>5450</v>
      </c>
      <c r="F68" s="231">
        <v>340</v>
      </c>
      <c r="G68" s="231">
        <v>80</v>
      </c>
      <c r="H68" s="231">
        <v>18</v>
      </c>
      <c r="I68" s="231" t="s">
        <v>58</v>
      </c>
      <c r="J68" s="231">
        <v>75</v>
      </c>
      <c r="K68" s="231">
        <v>75</v>
      </c>
      <c r="L68" s="101">
        <f t="shared" si="2"/>
        <v>6038</v>
      </c>
      <c r="M68" s="213">
        <v>200</v>
      </c>
      <c r="N68" s="101">
        <f t="shared" si="3"/>
        <v>6238</v>
      </c>
      <c r="O68" s="99" t="s">
        <v>59</v>
      </c>
      <c r="P68" s="223" t="s">
        <v>60</v>
      </c>
      <c r="Q68" s="232" t="s">
        <v>42</v>
      </c>
      <c r="R68" s="302" t="s">
        <v>61</v>
      </c>
      <c r="S68" s="302"/>
      <c r="T68" s="139" t="s">
        <v>62</v>
      </c>
    </row>
    <row r="69" spans="2:20">
      <c r="B69" s="307"/>
      <c r="C69" s="300"/>
      <c r="D69" s="154" t="s">
        <v>24</v>
      </c>
      <c r="E69" s="155">
        <f>CEILING((((5055+297+115)*1.15)-340)-150,50)</f>
        <v>5800</v>
      </c>
      <c r="F69" s="234">
        <v>340</v>
      </c>
      <c r="G69" s="234">
        <v>80</v>
      </c>
      <c r="H69" s="234">
        <v>18</v>
      </c>
      <c r="I69" s="234" t="s">
        <v>58</v>
      </c>
      <c r="J69" s="234">
        <v>75</v>
      </c>
      <c r="K69" s="234">
        <v>75</v>
      </c>
      <c r="L69" s="207">
        <f t="shared" si="2"/>
        <v>6388</v>
      </c>
      <c r="M69" s="214">
        <v>200</v>
      </c>
      <c r="N69" s="207">
        <f t="shared" si="3"/>
        <v>6588</v>
      </c>
      <c r="O69" s="158" t="s">
        <v>59</v>
      </c>
      <c r="P69" s="223" t="s">
        <v>60</v>
      </c>
      <c r="Q69" s="221" t="s">
        <v>42</v>
      </c>
      <c r="R69" s="302"/>
      <c r="S69" s="302"/>
      <c r="T69" s="139" t="s">
        <v>62</v>
      </c>
    </row>
    <row r="70" spans="2:20" ht="14.45" customHeight="1">
      <c r="B70" s="306" t="s">
        <v>71</v>
      </c>
      <c r="C70" s="292" t="s">
        <v>57</v>
      </c>
      <c r="D70" s="154" t="s">
        <v>18</v>
      </c>
      <c r="E70" s="155">
        <f>CEILING((((4799+297+115)*1.15)-340)-150,50)</f>
        <v>5550</v>
      </c>
      <c r="F70" s="234">
        <v>340</v>
      </c>
      <c r="G70" s="234">
        <v>80</v>
      </c>
      <c r="H70" s="234">
        <v>18</v>
      </c>
      <c r="I70" s="234" t="s">
        <v>58</v>
      </c>
      <c r="J70" s="234">
        <v>75</v>
      </c>
      <c r="K70" s="234">
        <v>75</v>
      </c>
      <c r="L70" s="207">
        <f t="shared" si="2"/>
        <v>6138</v>
      </c>
      <c r="M70" s="213">
        <v>200</v>
      </c>
      <c r="N70" s="207">
        <f t="shared" si="3"/>
        <v>6338</v>
      </c>
      <c r="O70" s="158" t="s">
        <v>59</v>
      </c>
      <c r="P70" s="223" t="s">
        <v>60</v>
      </c>
      <c r="Q70" s="221" t="s">
        <v>42</v>
      </c>
      <c r="R70" s="302" t="s">
        <v>61</v>
      </c>
      <c r="S70" s="302"/>
      <c r="T70" s="139" t="s">
        <v>62</v>
      </c>
    </row>
    <row r="71" spans="2:20">
      <c r="B71" s="307"/>
      <c r="C71" s="300"/>
      <c r="D71" s="154" t="s">
        <v>24</v>
      </c>
      <c r="E71" s="155">
        <f>CEILING((((5104+297+115)*1.15)-340)-150,50)</f>
        <v>5900</v>
      </c>
      <c r="F71" s="234">
        <v>340</v>
      </c>
      <c r="G71" s="234">
        <v>80</v>
      </c>
      <c r="H71" s="234">
        <v>18</v>
      </c>
      <c r="I71" s="234" t="s">
        <v>58</v>
      </c>
      <c r="J71" s="234">
        <v>75</v>
      </c>
      <c r="K71" s="234">
        <v>75</v>
      </c>
      <c r="L71" s="207">
        <f t="shared" si="2"/>
        <v>6488</v>
      </c>
      <c r="M71" s="213">
        <v>200</v>
      </c>
      <c r="N71" s="207">
        <f t="shared" si="3"/>
        <v>6688</v>
      </c>
      <c r="O71" s="158" t="s">
        <v>59</v>
      </c>
      <c r="P71" s="223" t="s">
        <v>60</v>
      </c>
      <c r="Q71" s="221" t="s">
        <v>42</v>
      </c>
      <c r="R71" s="302"/>
      <c r="S71" s="302"/>
      <c r="T71" s="139" t="s">
        <v>62</v>
      </c>
    </row>
    <row r="72" spans="2:20" ht="14.45" customHeight="1">
      <c r="B72" s="308" t="s">
        <v>72</v>
      </c>
      <c r="C72" s="309" t="s">
        <v>31</v>
      </c>
      <c r="D72" s="219" t="s">
        <v>18</v>
      </c>
      <c r="E72" s="155">
        <f>CEILING(((4400+115+340)*1.15)-490,50)</f>
        <v>5100</v>
      </c>
      <c r="F72" s="220">
        <v>340</v>
      </c>
      <c r="G72" s="220">
        <v>97.87</v>
      </c>
      <c r="H72" s="220">
        <v>15</v>
      </c>
      <c r="I72" s="220">
        <v>40</v>
      </c>
      <c r="J72" s="220">
        <v>75</v>
      </c>
      <c r="K72" s="220">
        <v>75</v>
      </c>
      <c r="L72" s="101">
        <f t="shared" si="2"/>
        <v>5742.87</v>
      </c>
      <c r="M72" s="213">
        <v>200</v>
      </c>
      <c r="N72" s="101">
        <f t="shared" si="3"/>
        <v>5942.87</v>
      </c>
      <c r="O72" s="99" t="s">
        <v>59</v>
      </c>
      <c r="P72" s="223" t="s">
        <v>60</v>
      </c>
      <c r="Q72" s="222" t="s">
        <v>73</v>
      </c>
      <c r="R72" s="311" t="s">
        <v>74</v>
      </c>
      <c r="S72" s="311"/>
      <c r="T72" s="139" t="s">
        <v>75</v>
      </c>
    </row>
    <row r="73" spans="2:20" ht="14.45" customHeight="1">
      <c r="B73" s="308"/>
      <c r="C73" s="310"/>
      <c r="D73" s="219" t="s">
        <v>24</v>
      </c>
      <c r="E73" s="155">
        <f>CEILING(((4400+115+340)*1.15)-490,50)</f>
        <v>5100</v>
      </c>
      <c r="F73" s="220">
        <v>340</v>
      </c>
      <c r="G73" s="220">
        <v>97.87</v>
      </c>
      <c r="H73" s="220">
        <v>15</v>
      </c>
      <c r="I73" s="220">
        <v>40</v>
      </c>
      <c r="J73" s="220">
        <v>75</v>
      </c>
      <c r="K73" s="220">
        <v>75</v>
      </c>
      <c r="L73" s="101">
        <f t="shared" si="2"/>
        <v>5742.87</v>
      </c>
      <c r="M73" s="213">
        <v>200</v>
      </c>
      <c r="N73" s="101">
        <f t="shared" si="3"/>
        <v>5942.87</v>
      </c>
      <c r="O73" s="99" t="s">
        <v>59</v>
      </c>
      <c r="P73" s="223" t="s">
        <v>60</v>
      </c>
      <c r="Q73" s="222" t="s">
        <v>73</v>
      </c>
      <c r="R73" s="311" t="s">
        <v>74</v>
      </c>
      <c r="S73" s="311"/>
      <c r="T73" s="139" t="s">
        <v>75</v>
      </c>
    </row>
    <row r="74" spans="2:20" ht="14.45" customHeight="1">
      <c r="B74" s="303" t="s">
        <v>76</v>
      </c>
      <c r="C74" s="304" t="s">
        <v>57</v>
      </c>
      <c r="D74" s="154" t="s">
        <v>18</v>
      </c>
      <c r="E74" s="155">
        <f>CEILING((((4831+297+115)*1.15)-340)-150,50)</f>
        <v>5550</v>
      </c>
      <c r="F74" s="234">
        <v>340</v>
      </c>
      <c r="G74" s="234">
        <v>80</v>
      </c>
      <c r="H74" s="234">
        <v>18</v>
      </c>
      <c r="I74" s="234" t="s">
        <v>58</v>
      </c>
      <c r="J74" s="234">
        <v>75</v>
      </c>
      <c r="K74" s="234">
        <v>75</v>
      </c>
      <c r="L74" s="101">
        <f t="shared" si="2"/>
        <v>6138</v>
      </c>
      <c r="M74" s="213">
        <v>200</v>
      </c>
      <c r="N74" s="101">
        <f t="shared" si="3"/>
        <v>6338</v>
      </c>
      <c r="O74" s="99" t="s">
        <v>59</v>
      </c>
      <c r="P74" s="223" t="s">
        <v>60</v>
      </c>
      <c r="Q74" s="221" t="s">
        <v>42</v>
      </c>
      <c r="R74" s="302" t="s">
        <v>61</v>
      </c>
      <c r="S74" s="302"/>
      <c r="T74" s="139" t="s">
        <v>62</v>
      </c>
    </row>
    <row r="75" spans="2:20">
      <c r="B75" s="303"/>
      <c r="C75" s="304"/>
      <c r="D75" s="154" t="s">
        <v>24</v>
      </c>
      <c r="E75" s="155">
        <f>CEILING((((5262+297+115)*1.15)-340)-150,50)</f>
        <v>6050</v>
      </c>
      <c r="F75" s="234">
        <v>340</v>
      </c>
      <c r="G75" s="234">
        <v>80</v>
      </c>
      <c r="H75" s="234">
        <v>18</v>
      </c>
      <c r="I75" s="234" t="s">
        <v>58</v>
      </c>
      <c r="J75" s="234">
        <v>75</v>
      </c>
      <c r="K75" s="234">
        <v>75</v>
      </c>
      <c r="L75" s="101">
        <f t="shared" si="2"/>
        <v>6638</v>
      </c>
      <c r="M75" s="213">
        <v>200</v>
      </c>
      <c r="N75" s="101">
        <f t="shared" si="3"/>
        <v>6838</v>
      </c>
      <c r="O75" s="99" t="s">
        <v>59</v>
      </c>
      <c r="P75" s="223" t="s">
        <v>60</v>
      </c>
      <c r="Q75" s="221" t="s">
        <v>42</v>
      </c>
      <c r="R75" s="302"/>
      <c r="S75" s="302"/>
      <c r="T75" s="139" t="s">
        <v>62</v>
      </c>
    </row>
    <row r="76" spans="2:20" ht="14.45" customHeight="1">
      <c r="B76" s="303" t="s">
        <v>77</v>
      </c>
      <c r="C76" s="304" t="s">
        <v>57</v>
      </c>
      <c r="D76" s="154" t="s">
        <v>18</v>
      </c>
      <c r="E76" s="155">
        <f>CEILING((((4660+297+115)*1.15)-340)-150,50)</f>
        <v>5350</v>
      </c>
      <c r="F76" s="234">
        <v>340</v>
      </c>
      <c r="G76" s="234">
        <v>80</v>
      </c>
      <c r="H76" s="234">
        <v>18</v>
      </c>
      <c r="I76" s="234" t="s">
        <v>58</v>
      </c>
      <c r="J76" s="234">
        <v>75</v>
      </c>
      <c r="K76" s="234">
        <v>75</v>
      </c>
      <c r="L76" s="207">
        <f t="shared" si="2"/>
        <v>5938</v>
      </c>
      <c r="M76" s="214">
        <v>200</v>
      </c>
      <c r="N76" s="207">
        <f t="shared" si="3"/>
        <v>6138</v>
      </c>
      <c r="O76" s="158" t="s">
        <v>59</v>
      </c>
      <c r="P76" s="223" t="s">
        <v>60</v>
      </c>
      <c r="Q76" s="221" t="s">
        <v>42</v>
      </c>
      <c r="R76" s="302" t="s">
        <v>78</v>
      </c>
      <c r="S76" s="302"/>
      <c r="T76" s="139" t="s">
        <v>62</v>
      </c>
    </row>
    <row r="77" spans="2:20">
      <c r="B77" s="303"/>
      <c r="C77" s="304"/>
      <c r="D77" s="154" t="s">
        <v>24</v>
      </c>
      <c r="E77" s="155">
        <f>CEILING((((4920+297+115)*1.15)-340)-150,50)</f>
        <v>5650</v>
      </c>
      <c r="F77" s="234">
        <v>340</v>
      </c>
      <c r="G77" s="234">
        <v>80</v>
      </c>
      <c r="H77" s="234">
        <v>18</v>
      </c>
      <c r="I77" s="234" t="s">
        <v>58</v>
      </c>
      <c r="J77" s="234">
        <v>75</v>
      </c>
      <c r="K77" s="234">
        <v>75</v>
      </c>
      <c r="L77" s="207">
        <f t="shared" si="2"/>
        <v>6238</v>
      </c>
      <c r="M77" s="214">
        <v>200</v>
      </c>
      <c r="N77" s="207">
        <f t="shared" si="3"/>
        <v>6438</v>
      </c>
      <c r="O77" s="158" t="s">
        <v>59</v>
      </c>
      <c r="P77" s="223" t="s">
        <v>60</v>
      </c>
      <c r="Q77" s="221" t="s">
        <v>42</v>
      </c>
      <c r="R77" s="302"/>
      <c r="S77" s="302"/>
      <c r="T77" s="139" t="s">
        <v>62</v>
      </c>
    </row>
    <row r="78" spans="2:20">
      <c r="B78" s="303" t="s">
        <v>79</v>
      </c>
      <c r="C78" s="304" t="s">
        <v>57</v>
      </c>
      <c r="D78" s="154" t="s">
        <v>18</v>
      </c>
      <c r="E78" s="155">
        <f>CEILING((((4882+297+115)*1.15)-340)-150,50)</f>
        <v>5600</v>
      </c>
      <c r="F78" s="234">
        <v>340</v>
      </c>
      <c r="G78" s="234">
        <v>80</v>
      </c>
      <c r="H78" s="234">
        <v>18</v>
      </c>
      <c r="I78" s="234" t="s">
        <v>58</v>
      </c>
      <c r="J78" s="234">
        <v>75</v>
      </c>
      <c r="K78" s="234">
        <v>75</v>
      </c>
      <c r="L78" s="235">
        <f t="shared" si="2"/>
        <v>6188</v>
      </c>
      <c r="M78" s="236">
        <v>200</v>
      </c>
      <c r="N78" s="235">
        <f t="shared" si="3"/>
        <v>6388</v>
      </c>
      <c r="O78" s="221" t="s">
        <v>59</v>
      </c>
      <c r="P78" s="223" t="s">
        <v>60</v>
      </c>
      <c r="Q78" s="221" t="s">
        <v>42</v>
      </c>
      <c r="R78" s="302" t="s">
        <v>61</v>
      </c>
      <c r="S78" s="302"/>
      <c r="T78" s="139" t="s">
        <v>62</v>
      </c>
    </row>
    <row r="79" spans="2:20" ht="15" customHeight="1" thickBot="1">
      <c r="B79" s="303"/>
      <c r="C79" s="304"/>
      <c r="D79" s="154" t="s">
        <v>24</v>
      </c>
      <c r="E79" s="155">
        <f>CEILING((((5304+297+115)*1.15)-340)-150,50)</f>
        <v>6100</v>
      </c>
      <c r="F79" s="234">
        <v>340</v>
      </c>
      <c r="G79" s="234">
        <v>80</v>
      </c>
      <c r="H79" s="234">
        <v>18</v>
      </c>
      <c r="I79" s="234" t="s">
        <v>58</v>
      </c>
      <c r="J79" s="234">
        <v>75</v>
      </c>
      <c r="K79" s="234">
        <v>75</v>
      </c>
      <c r="L79" s="235">
        <f t="shared" si="2"/>
        <v>6688</v>
      </c>
      <c r="M79" s="236">
        <v>200</v>
      </c>
      <c r="N79" s="235">
        <f t="shared" si="3"/>
        <v>6888</v>
      </c>
      <c r="O79" s="221" t="s">
        <v>59</v>
      </c>
      <c r="P79" s="223" t="s">
        <v>60</v>
      </c>
      <c r="Q79" s="221" t="s">
        <v>42</v>
      </c>
      <c r="R79" s="302"/>
      <c r="S79" s="302"/>
      <c r="T79" s="139" t="s">
        <v>62</v>
      </c>
    </row>
    <row r="80" spans="2:20" ht="28.9">
      <c r="B80" s="262" t="s">
        <v>80</v>
      </c>
      <c r="C80" s="263"/>
      <c r="D80" s="263"/>
      <c r="E80" s="263"/>
      <c r="F80" s="263"/>
      <c r="G80" s="263"/>
      <c r="H80" s="263"/>
      <c r="I80" s="263"/>
      <c r="J80" s="263"/>
      <c r="K80" s="263"/>
      <c r="L80" s="263"/>
      <c r="M80" s="263"/>
      <c r="N80" s="263"/>
      <c r="O80" s="263"/>
      <c r="P80" s="263"/>
      <c r="Q80" s="263"/>
      <c r="R80" s="289"/>
      <c r="S80" s="305"/>
      <c r="T80" s="139"/>
    </row>
    <row r="81" spans="2:20" ht="28.9">
      <c r="B81" s="102" t="s">
        <v>1</v>
      </c>
      <c r="C81" s="278" t="s">
        <v>2</v>
      </c>
      <c r="D81" s="279"/>
      <c r="E81" s="129" t="s">
        <v>3</v>
      </c>
      <c r="F81" s="129" t="s">
        <v>4</v>
      </c>
      <c r="G81" s="129" t="s">
        <v>5</v>
      </c>
      <c r="H81" s="129" t="s">
        <v>6</v>
      </c>
      <c r="I81" s="3" t="s">
        <v>52</v>
      </c>
      <c r="J81" s="3" t="s">
        <v>53</v>
      </c>
      <c r="K81" s="3" t="s">
        <v>54</v>
      </c>
      <c r="L81" s="3" t="s">
        <v>55</v>
      </c>
      <c r="M81" s="3" t="s">
        <v>10</v>
      </c>
      <c r="N81" s="3" t="s">
        <v>11</v>
      </c>
      <c r="O81" s="3" t="s">
        <v>12</v>
      </c>
      <c r="P81" s="129" t="s">
        <v>13</v>
      </c>
      <c r="Q81" s="129" t="s">
        <v>14</v>
      </c>
      <c r="R81" s="278" t="s">
        <v>38</v>
      </c>
      <c r="S81" s="280"/>
      <c r="T81" s="139"/>
    </row>
    <row r="82" spans="2:20">
      <c r="B82" s="290" t="s">
        <v>81</v>
      </c>
      <c r="C82" s="292" t="s">
        <v>82</v>
      </c>
      <c r="D82" s="154" t="s">
        <v>18</v>
      </c>
      <c r="E82" s="155">
        <f>CEILING((((4800+297+115)*1.15)-340)-150,50)</f>
        <v>5550</v>
      </c>
      <c r="F82" s="234">
        <v>340</v>
      </c>
      <c r="G82" s="234">
        <v>80</v>
      </c>
      <c r="H82" s="234">
        <v>18</v>
      </c>
      <c r="I82" s="234" t="s">
        <v>58</v>
      </c>
      <c r="J82" s="100">
        <v>75</v>
      </c>
      <c r="K82" s="100">
        <v>75</v>
      </c>
      <c r="L82" s="207">
        <f>SUM(E82:K82)</f>
        <v>6138</v>
      </c>
      <c r="M82" s="237">
        <v>200</v>
      </c>
      <c r="N82" s="207">
        <f>SUM(L82:M82)</f>
        <v>6338</v>
      </c>
      <c r="O82" s="158" t="s">
        <v>59</v>
      </c>
      <c r="P82" s="223" t="s">
        <v>60</v>
      </c>
      <c r="Q82" s="221" t="s">
        <v>42</v>
      </c>
      <c r="R82" s="302" t="s">
        <v>78</v>
      </c>
      <c r="S82" s="302"/>
      <c r="T82" s="139" t="s">
        <v>83</v>
      </c>
    </row>
    <row r="83" spans="2:20" ht="15" thickBot="1">
      <c r="B83" s="299"/>
      <c r="C83" s="300"/>
      <c r="D83" s="154" t="s">
        <v>24</v>
      </c>
      <c r="E83" s="155">
        <f>CEILING((((5000+297+115)*1.15)-340)-150,50)</f>
        <v>5750</v>
      </c>
      <c r="F83" s="234">
        <v>340</v>
      </c>
      <c r="G83" s="234">
        <v>80</v>
      </c>
      <c r="H83" s="234">
        <v>18</v>
      </c>
      <c r="I83" s="234" t="s">
        <v>58</v>
      </c>
      <c r="J83" s="100">
        <v>75</v>
      </c>
      <c r="K83" s="100">
        <v>75</v>
      </c>
      <c r="L83" s="207">
        <f>SUM(E83:K83)</f>
        <v>6338</v>
      </c>
      <c r="M83" s="237">
        <v>200</v>
      </c>
      <c r="N83" s="207">
        <f>SUM(L83:M83)</f>
        <v>6538</v>
      </c>
      <c r="O83" s="158" t="s">
        <v>59</v>
      </c>
      <c r="P83" s="223" t="s">
        <v>60</v>
      </c>
      <c r="Q83" s="221" t="s">
        <v>42</v>
      </c>
      <c r="R83" s="302"/>
      <c r="S83" s="302"/>
      <c r="T83" s="139" t="s">
        <v>83</v>
      </c>
    </row>
    <row r="84" spans="2:20" ht="28.9">
      <c r="B84" s="262" t="s">
        <v>84</v>
      </c>
      <c r="C84" s="263"/>
      <c r="D84" s="263"/>
      <c r="E84" s="263"/>
      <c r="F84" s="263"/>
      <c r="G84" s="263"/>
      <c r="H84" s="263"/>
      <c r="I84" s="263"/>
      <c r="J84" s="263"/>
      <c r="K84" s="263"/>
      <c r="L84" s="263"/>
      <c r="M84" s="263"/>
      <c r="N84" s="263"/>
      <c r="O84" s="263"/>
      <c r="P84" s="263"/>
      <c r="Q84" s="263"/>
      <c r="R84" s="263"/>
      <c r="S84" s="277"/>
      <c r="T84" s="139"/>
    </row>
    <row r="85" spans="2:20" ht="28.9">
      <c r="B85" s="102" t="s">
        <v>1</v>
      </c>
      <c r="C85" s="278" t="s">
        <v>2</v>
      </c>
      <c r="D85" s="279"/>
      <c r="E85" s="129" t="s">
        <v>3</v>
      </c>
      <c r="F85" s="129" t="s">
        <v>4</v>
      </c>
      <c r="G85" s="129" t="s">
        <v>5</v>
      </c>
      <c r="H85" s="129" t="s">
        <v>6</v>
      </c>
      <c r="I85" s="3" t="s">
        <v>52</v>
      </c>
      <c r="J85" s="3" t="s">
        <v>53</v>
      </c>
      <c r="K85" s="3" t="s">
        <v>54</v>
      </c>
      <c r="L85" s="3" t="s">
        <v>55</v>
      </c>
      <c r="M85" s="3" t="s">
        <v>10</v>
      </c>
      <c r="N85" s="3" t="s">
        <v>11</v>
      </c>
      <c r="O85" s="3" t="s">
        <v>12</v>
      </c>
      <c r="P85" s="129" t="s">
        <v>13</v>
      </c>
      <c r="Q85" s="129" t="s">
        <v>14</v>
      </c>
      <c r="R85" s="278" t="s">
        <v>38</v>
      </c>
      <c r="S85" s="280"/>
      <c r="T85" s="139"/>
    </row>
    <row r="86" spans="2:20">
      <c r="B86" s="290" t="s">
        <v>85</v>
      </c>
      <c r="C86" s="292" t="s">
        <v>82</v>
      </c>
      <c r="D86" s="154" t="s">
        <v>18</v>
      </c>
      <c r="E86" s="155">
        <f>CEILING((((4808+297+115)*1.15)-340)-150,50)</f>
        <v>5550</v>
      </c>
      <c r="F86" s="237">
        <v>340</v>
      </c>
      <c r="G86" s="237">
        <v>80</v>
      </c>
      <c r="H86" s="237">
        <v>18</v>
      </c>
      <c r="I86" s="237" t="s">
        <v>58</v>
      </c>
      <c r="J86" s="237">
        <v>75</v>
      </c>
      <c r="K86" s="237">
        <v>75</v>
      </c>
      <c r="L86" s="207">
        <f>SUM(E86:K86)</f>
        <v>6138</v>
      </c>
      <c r="M86" s="237">
        <v>200</v>
      </c>
      <c r="N86" s="207">
        <f>SUM(L86:M86)</f>
        <v>6338</v>
      </c>
      <c r="O86" s="158" t="s">
        <v>86</v>
      </c>
      <c r="P86" s="223" t="s">
        <v>60</v>
      </c>
      <c r="Q86" s="158" t="s">
        <v>42</v>
      </c>
      <c r="R86" s="285" t="s">
        <v>61</v>
      </c>
      <c r="S86" s="285"/>
      <c r="T86" s="139" t="s">
        <v>87</v>
      </c>
    </row>
    <row r="87" spans="2:20">
      <c r="B87" s="299"/>
      <c r="C87" s="300"/>
      <c r="D87" s="154" t="s">
        <v>24</v>
      </c>
      <c r="E87" s="155">
        <f>CEILING((((5166+297+115)*1.15)-340)-150,50)</f>
        <v>5950</v>
      </c>
      <c r="F87" s="237">
        <v>340</v>
      </c>
      <c r="G87" s="237">
        <v>80</v>
      </c>
      <c r="H87" s="237">
        <v>18</v>
      </c>
      <c r="I87" s="237" t="s">
        <v>58</v>
      </c>
      <c r="J87" s="237">
        <v>75</v>
      </c>
      <c r="K87" s="237">
        <v>75</v>
      </c>
      <c r="L87" s="207">
        <f>SUM(E87:K87)</f>
        <v>6538</v>
      </c>
      <c r="M87" s="237">
        <v>200</v>
      </c>
      <c r="N87" s="207">
        <f>SUM(L87:M87)</f>
        <v>6738</v>
      </c>
      <c r="O87" s="158" t="s">
        <v>86</v>
      </c>
      <c r="P87" s="223" t="s">
        <v>60</v>
      </c>
      <c r="Q87" s="158" t="s">
        <v>42</v>
      </c>
      <c r="R87" s="285"/>
      <c r="S87" s="285"/>
      <c r="T87" s="139" t="s">
        <v>87</v>
      </c>
    </row>
    <row r="88" spans="2:20" ht="28.9">
      <c r="B88" s="295" t="s">
        <v>88</v>
      </c>
      <c r="C88" s="296"/>
      <c r="D88" s="296"/>
      <c r="E88" s="296"/>
      <c r="F88" s="296"/>
      <c r="G88" s="296"/>
      <c r="H88" s="296"/>
      <c r="I88" s="296"/>
      <c r="J88" s="296"/>
      <c r="K88" s="296"/>
      <c r="L88" s="296"/>
      <c r="M88" s="296"/>
      <c r="N88" s="296"/>
      <c r="O88" s="296"/>
      <c r="P88" s="296"/>
      <c r="Q88" s="296"/>
      <c r="R88" s="296"/>
      <c r="S88" s="297"/>
      <c r="T88" s="139"/>
    </row>
    <row r="89" spans="2:20" ht="28.9">
      <c r="B89" s="102" t="s">
        <v>1</v>
      </c>
      <c r="C89" s="278" t="s">
        <v>2</v>
      </c>
      <c r="D89" s="279"/>
      <c r="E89" s="129" t="s">
        <v>3</v>
      </c>
      <c r="F89" s="129" t="s">
        <v>4</v>
      </c>
      <c r="G89" s="129" t="s">
        <v>5</v>
      </c>
      <c r="H89" s="129" t="s">
        <v>6</v>
      </c>
      <c r="I89" s="3" t="s">
        <v>52</v>
      </c>
      <c r="J89" s="3" t="s">
        <v>53</v>
      </c>
      <c r="K89" s="3" t="s">
        <v>54</v>
      </c>
      <c r="L89" s="3" t="s">
        <v>55</v>
      </c>
      <c r="M89" s="3" t="s">
        <v>10</v>
      </c>
      <c r="N89" s="3" t="s">
        <v>11</v>
      </c>
      <c r="O89" s="3" t="s">
        <v>12</v>
      </c>
      <c r="P89" s="129" t="s">
        <v>13</v>
      </c>
      <c r="Q89" s="129" t="s">
        <v>14</v>
      </c>
      <c r="R89" s="278" t="s">
        <v>38</v>
      </c>
      <c r="S89" s="280"/>
      <c r="T89" s="139"/>
    </row>
    <row r="90" spans="2:20" ht="14.45" customHeight="1">
      <c r="B90" s="290" t="s">
        <v>89</v>
      </c>
      <c r="C90" s="292" t="s">
        <v>82</v>
      </c>
      <c r="D90" s="154" t="s">
        <v>18</v>
      </c>
      <c r="E90" s="155">
        <f>CEILING((((4800+297+65+50)*1.15)-340)-150,50)</f>
        <v>5550</v>
      </c>
      <c r="F90" s="237">
        <v>340</v>
      </c>
      <c r="G90" s="237">
        <v>80</v>
      </c>
      <c r="H90" s="237">
        <v>18</v>
      </c>
      <c r="I90" s="237" t="s">
        <v>58</v>
      </c>
      <c r="J90" s="237">
        <v>75</v>
      </c>
      <c r="K90" s="237">
        <v>75</v>
      </c>
      <c r="L90" s="207">
        <f>SUM(E90:K90)</f>
        <v>6138</v>
      </c>
      <c r="M90" s="237">
        <v>200</v>
      </c>
      <c r="N90" s="207">
        <f>SUM(L90:M90)</f>
        <v>6338</v>
      </c>
      <c r="O90" s="158" t="s">
        <v>86</v>
      </c>
      <c r="P90" s="223" t="s">
        <v>60</v>
      </c>
      <c r="Q90" s="158" t="s">
        <v>42</v>
      </c>
      <c r="R90" s="301" t="s">
        <v>90</v>
      </c>
      <c r="S90" s="301"/>
      <c r="T90" s="139" t="s">
        <v>87</v>
      </c>
    </row>
    <row r="91" spans="2:20" ht="14.45" customHeight="1">
      <c r="B91" s="299"/>
      <c r="C91" s="300"/>
      <c r="D91" s="154" t="s">
        <v>24</v>
      </c>
      <c r="E91" s="155">
        <f>CEILING((((5000+297+65+50)*1.15)-340)-150,50)</f>
        <v>5750</v>
      </c>
      <c r="F91" s="237">
        <v>340</v>
      </c>
      <c r="G91" s="237">
        <v>80</v>
      </c>
      <c r="H91" s="237">
        <v>18</v>
      </c>
      <c r="I91" s="237">
        <v>0</v>
      </c>
      <c r="J91" s="237">
        <v>75</v>
      </c>
      <c r="K91" s="237">
        <v>75</v>
      </c>
      <c r="L91" s="207">
        <f>SUM(E91:K91)</f>
        <v>6338</v>
      </c>
      <c r="M91" s="237">
        <v>200</v>
      </c>
      <c r="N91" s="207">
        <f>SUM(L91:M91)</f>
        <v>6538</v>
      </c>
      <c r="O91" s="158" t="s">
        <v>86</v>
      </c>
      <c r="P91" s="223" t="s">
        <v>60</v>
      </c>
      <c r="Q91" s="158" t="s">
        <v>42</v>
      </c>
      <c r="R91" s="301"/>
      <c r="S91" s="301"/>
      <c r="T91" s="139" t="s">
        <v>87</v>
      </c>
    </row>
    <row r="92" spans="2:20" ht="28.9">
      <c r="B92" s="295" t="s">
        <v>91</v>
      </c>
      <c r="C92" s="296"/>
      <c r="D92" s="296"/>
      <c r="E92" s="296"/>
      <c r="F92" s="296"/>
      <c r="G92" s="296"/>
      <c r="H92" s="296"/>
      <c r="I92" s="296"/>
      <c r="J92" s="296"/>
      <c r="K92" s="296"/>
      <c r="L92" s="296"/>
      <c r="M92" s="296"/>
      <c r="N92" s="296"/>
      <c r="O92" s="296"/>
      <c r="P92" s="296"/>
      <c r="Q92" s="296"/>
      <c r="R92" s="296"/>
      <c r="S92" s="297"/>
      <c r="T92" s="139"/>
    </row>
    <row r="93" spans="2:20" ht="28.9">
      <c r="B93" s="102" t="s">
        <v>1</v>
      </c>
      <c r="C93" s="278" t="s">
        <v>2</v>
      </c>
      <c r="D93" s="279"/>
      <c r="E93" s="129" t="s">
        <v>3</v>
      </c>
      <c r="F93" s="129" t="s">
        <v>4</v>
      </c>
      <c r="G93" s="129" t="s">
        <v>5</v>
      </c>
      <c r="H93" s="129" t="s">
        <v>6</v>
      </c>
      <c r="I93" s="3" t="s">
        <v>52</v>
      </c>
      <c r="J93" s="3" t="s">
        <v>53</v>
      </c>
      <c r="K93" s="3" t="s">
        <v>54</v>
      </c>
      <c r="L93" s="3" t="s">
        <v>55</v>
      </c>
      <c r="M93" s="3" t="s">
        <v>10</v>
      </c>
      <c r="N93" s="3" t="s">
        <v>11</v>
      </c>
      <c r="O93" s="3" t="s">
        <v>12</v>
      </c>
      <c r="P93" s="129" t="s">
        <v>13</v>
      </c>
      <c r="Q93" s="129" t="s">
        <v>14</v>
      </c>
      <c r="R93" s="278" t="s">
        <v>38</v>
      </c>
      <c r="S93" s="280"/>
      <c r="T93" s="139"/>
    </row>
    <row r="94" spans="2:20">
      <c r="B94" s="290" t="s">
        <v>92</v>
      </c>
      <c r="C94" s="292" t="s">
        <v>82</v>
      </c>
      <c r="D94" s="154" t="s">
        <v>18</v>
      </c>
      <c r="E94" s="155">
        <f>CEILING((((4920+297+115)*1.15)-340)-150,50)</f>
        <v>5650</v>
      </c>
      <c r="F94" s="237">
        <v>340</v>
      </c>
      <c r="G94" s="237">
        <v>80</v>
      </c>
      <c r="H94" s="237">
        <v>18</v>
      </c>
      <c r="I94" s="237" t="s">
        <v>58</v>
      </c>
      <c r="J94" s="237">
        <v>75</v>
      </c>
      <c r="K94" s="237">
        <v>75</v>
      </c>
      <c r="L94" s="207">
        <f>SUM(E94:K94)</f>
        <v>6238</v>
      </c>
      <c r="M94" s="237">
        <v>200</v>
      </c>
      <c r="N94" s="207">
        <f>SUM(L94:M94)</f>
        <v>6438</v>
      </c>
      <c r="O94" s="158" t="s">
        <v>86</v>
      </c>
      <c r="P94" s="223" t="s">
        <v>60</v>
      </c>
      <c r="Q94" s="158" t="s">
        <v>42</v>
      </c>
      <c r="R94" s="285" t="s">
        <v>61</v>
      </c>
      <c r="S94" s="285"/>
      <c r="T94" s="217" t="s">
        <v>87</v>
      </c>
    </row>
    <row r="95" spans="2:20">
      <c r="B95" s="299"/>
      <c r="C95" s="300"/>
      <c r="D95" s="154" t="s">
        <v>24</v>
      </c>
      <c r="E95" s="155">
        <f>CEILING((((5220+297+115)*1.15)-340)-150,50)</f>
        <v>6000</v>
      </c>
      <c r="F95" s="237">
        <v>340</v>
      </c>
      <c r="G95" s="237">
        <v>80</v>
      </c>
      <c r="H95" s="237">
        <v>18</v>
      </c>
      <c r="I95" s="237" t="s">
        <v>58</v>
      </c>
      <c r="J95" s="237">
        <v>75</v>
      </c>
      <c r="K95" s="237">
        <v>75</v>
      </c>
      <c r="L95" s="207">
        <f>SUM(E95:K95)</f>
        <v>6588</v>
      </c>
      <c r="M95" s="237">
        <v>200</v>
      </c>
      <c r="N95" s="207">
        <f>SUM(L95:M95)</f>
        <v>6788</v>
      </c>
      <c r="O95" s="158" t="s">
        <v>86</v>
      </c>
      <c r="P95" s="223" t="s">
        <v>60</v>
      </c>
      <c r="Q95" s="158" t="s">
        <v>42</v>
      </c>
      <c r="R95" s="285"/>
      <c r="S95" s="285"/>
      <c r="T95" s="217" t="s">
        <v>87</v>
      </c>
    </row>
    <row r="96" spans="2:20" ht="28.9">
      <c r="B96" s="295" t="s">
        <v>93</v>
      </c>
      <c r="C96" s="296"/>
      <c r="D96" s="296"/>
      <c r="E96" s="296"/>
      <c r="F96" s="296"/>
      <c r="G96" s="296"/>
      <c r="H96" s="296"/>
      <c r="I96" s="296"/>
      <c r="J96" s="296"/>
      <c r="K96" s="296"/>
      <c r="L96" s="296"/>
      <c r="M96" s="296"/>
      <c r="N96" s="296"/>
      <c r="O96" s="296"/>
      <c r="P96" s="296"/>
      <c r="Q96" s="296"/>
      <c r="R96" s="296"/>
      <c r="S96" s="297"/>
      <c r="T96" s="139"/>
    </row>
    <row r="97" spans="2:21" ht="28.9">
      <c r="B97" s="102"/>
      <c r="C97" s="278"/>
      <c r="D97" s="279"/>
      <c r="E97" s="129" t="s">
        <v>3</v>
      </c>
      <c r="F97" s="129" t="s">
        <v>4</v>
      </c>
      <c r="G97" s="129" t="s">
        <v>5</v>
      </c>
      <c r="H97" s="129" t="s">
        <v>6</v>
      </c>
      <c r="I97" s="3" t="s">
        <v>52</v>
      </c>
      <c r="J97" s="3" t="s">
        <v>53</v>
      </c>
      <c r="K97" s="3" t="s">
        <v>54</v>
      </c>
      <c r="L97" s="3" t="s">
        <v>55</v>
      </c>
      <c r="M97" s="3" t="s">
        <v>10</v>
      </c>
      <c r="N97" s="3" t="s">
        <v>11</v>
      </c>
      <c r="O97" s="3" t="s">
        <v>12</v>
      </c>
      <c r="P97" s="129" t="s">
        <v>13</v>
      </c>
      <c r="Q97" s="129" t="s">
        <v>14</v>
      </c>
      <c r="R97" s="278" t="s">
        <v>38</v>
      </c>
      <c r="S97" s="280"/>
      <c r="T97" s="139"/>
    </row>
    <row r="98" spans="2:21">
      <c r="B98" s="150" t="s">
        <v>94</v>
      </c>
      <c r="C98" s="134" t="s">
        <v>95</v>
      </c>
      <c r="D98" s="125" t="s">
        <v>18</v>
      </c>
      <c r="E98" s="155">
        <f>CEILING((((2546+25+30+340+150)*1.15)-340)-150,50)</f>
        <v>3100</v>
      </c>
      <c r="F98" s="237">
        <v>340</v>
      </c>
      <c r="G98" s="237">
        <v>80</v>
      </c>
      <c r="H98" s="237">
        <v>18</v>
      </c>
      <c r="I98" s="237">
        <v>0</v>
      </c>
      <c r="J98" s="237">
        <v>75</v>
      </c>
      <c r="K98" s="237">
        <v>75</v>
      </c>
      <c r="L98" s="101">
        <f>SUM(E98:K98)</f>
        <v>3688</v>
      </c>
      <c r="M98" s="100">
        <v>200</v>
      </c>
      <c r="N98" s="101">
        <f>SUM(L98:M98)</f>
        <v>3888</v>
      </c>
      <c r="O98" s="99" t="s">
        <v>96</v>
      </c>
      <c r="P98" s="223" t="s">
        <v>60</v>
      </c>
      <c r="Q98" s="158" t="s">
        <v>42</v>
      </c>
      <c r="R98" s="298" t="s">
        <v>78</v>
      </c>
      <c r="S98" s="298"/>
      <c r="T98" s="139" t="s">
        <v>97</v>
      </c>
    </row>
    <row r="99" spans="2:21" ht="14.45" customHeight="1">
      <c r="B99" s="281" t="s">
        <v>98</v>
      </c>
      <c r="C99" s="283" t="s">
        <v>17</v>
      </c>
      <c r="D99" s="125" t="s">
        <v>18</v>
      </c>
      <c r="E99" s="155">
        <f>CEILING((((3395+30+30+211+100+340)*1.15))-490,50)</f>
        <v>4250</v>
      </c>
      <c r="F99" s="22">
        <v>340</v>
      </c>
      <c r="G99" s="22">
        <v>80</v>
      </c>
      <c r="H99" s="237">
        <v>18</v>
      </c>
      <c r="I99" s="237" t="s">
        <v>58</v>
      </c>
      <c r="J99" s="237">
        <v>75</v>
      </c>
      <c r="K99" s="237">
        <v>75</v>
      </c>
      <c r="L99" s="101">
        <f>SUM(E99:K99)</f>
        <v>4838</v>
      </c>
      <c r="M99" s="100">
        <v>200</v>
      </c>
      <c r="N99" s="101">
        <f>SUM(L99:M99)</f>
        <v>5038</v>
      </c>
      <c r="O99" s="99" t="s">
        <v>96</v>
      </c>
      <c r="P99" s="223" t="s">
        <v>60</v>
      </c>
      <c r="Q99" s="158" t="s">
        <v>42</v>
      </c>
      <c r="R99" s="298" t="s">
        <v>78</v>
      </c>
      <c r="S99" s="298"/>
      <c r="T99" s="139" t="s">
        <v>99</v>
      </c>
    </row>
    <row r="100" spans="2:21" ht="15" thickBot="1">
      <c r="B100" s="282"/>
      <c r="C100" s="284"/>
      <c r="D100" s="140" t="s">
        <v>24</v>
      </c>
      <c r="E100" s="155">
        <f>CEILING((((3595+30+30+422+150+340)*1.15))-490,50)</f>
        <v>4800</v>
      </c>
      <c r="F100" s="22">
        <v>340</v>
      </c>
      <c r="G100" s="22">
        <v>80</v>
      </c>
      <c r="H100" s="237">
        <v>18</v>
      </c>
      <c r="I100" s="237" t="s">
        <v>58</v>
      </c>
      <c r="J100" s="237">
        <v>75</v>
      </c>
      <c r="K100" s="237">
        <v>75</v>
      </c>
      <c r="L100" s="101">
        <f>SUM(E100:K100)</f>
        <v>5388</v>
      </c>
      <c r="M100" s="100">
        <v>200</v>
      </c>
      <c r="N100" s="101">
        <f>SUM(L100:M100)</f>
        <v>5588</v>
      </c>
      <c r="O100" s="99" t="s">
        <v>96</v>
      </c>
      <c r="P100" s="223" t="s">
        <v>60</v>
      </c>
      <c r="Q100" s="158" t="s">
        <v>42</v>
      </c>
      <c r="R100" s="298" t="s">
        <v>78</v>
      </c>
      <c r="S100" s="298"/>
      <c r="T100" s="139" t="s">
        <v>99</v>
      </c>
    </row>
    <row r="101" spans="2:21" ht="28.9">
      <c r="B101" s="262" t="s">
        <v>100</v>
      </c>
      <c r="C101" s="263"/>
      <c r="D101" s="263"/>
      <c r="E101" s="263"/>
      <c r="F101" s="263"/>
      <c r="G101" s="263"/>
      <c r="H101" s="263"/>
      <c r="I101" s="263"/>
      <c r="J101" s="263"/>
      <c r="K101" s="263"/>
      <c r="L101" s="263"/>
      <c r="M101" s="263"/>
      <c r="N101" s="263"/>
      <c r="O101" s="263"/>
      <c r="P101" s="263"/>
      <c r="Q101" s="263"/>
      <c r="R101" s="289"/>
      <c r="S101" s="289"/>
    </row>
    <row r="102" spans="2:21" ht="28.9">
      <c r="B102" s="102" t="s">
        <v>1</v>
      </c>
      <c r="C102" s="278" t="s">
        <v>2</v>
      </c>
      <c r="D102" s="279"/>
      <c r="E102" s="129" t="s">
        <v>3</v>
      </c>
      <c r="F102" s="129" t="s">
        <v>4</v>
      </c>
      <c r="G102" s="129" t="s">
        <v>5</v>
      </c>
      <c r="H102" s="129" t="s">
        <v>6</v>
      </c>
      <c r="I102" s="3" t="s">
        <v>52</v>
      </c>
      <c r="J102" s="3" t="s">
        <v>53</v>
      </c>
      <c r="K102" s="3" t="s">
        <v>54</v>
      </c>
      <c r="L102" s="3" t="s">
        <v>55</v>
      </c>
      <c r="M102" s="3" t="s">
        <v>10</v>
      </c>
      <c r="N102" s="3" t="s">
        <v>11</v>
      </c>
      <c r="O102" s="3" t="s">
        <v>12</v>
      </c>
      <c r="P102" s="129" t="s">
        <v>13</v>
      </c>
      <c r="Q102" s="129" t="s">
        <v>14</v>
      </c>
      <c r="R102" s="278" t="s">
        <v>38</v>
      </c>
      <c r="S102" s="280"/>
    </row>
    <row r="103" spans="2:21">
      <c r="B103" s="290" t="s">
        <v>101</v>
      </c>
      <c r="C103" s="292" t="s">
        <v>82</v>
      </c>
      <c r="D103" s="154" t="s">
        <v>18</v>
      </c>
      <c r="E103" s="155">
        <f>CEILING((((4800+297+115)*1.15)-340)-150,50)</f>
        <v>5550</v>
      </c>
      <c r="F103" s="237">
        <v>340</v>
      </c>
      <c r="G103" s="237">
        <v>80</v>
      </c>
      <c r="H103" s="237">
        <v>18</v>
      </c>
      <c r="I103" s="237" t="s">
        <v>58</v>
      </c>
      <c r="J103" s="237">
        <v>75</v>
      </c>
      <c r="K103" s="237">
        <v>75</v>
      </c>
      <c r="L103" s="207">
        <f>SUM(E103:K103)</f>
        <v>6138</v>
      </c>
      <c r="M103" s="237">
        <v>200</v>
      </c>
      <c r="N103" s="207">
        <f>SUM(L103:M103)</f>
        <v>6338</v>
      </c>
      <c r="O103" s="158" t="s">
        <v>86</v>
      </c>
      <c r="P103" s="223" t="s">
        <v>102</v>
      </c>
      <c r="Q103" s="158" t="s">
        <v>42</v>
      </c>
      <c r="R103" s="285" t="s">
        <v>61</v>
      </c>
      <c r="S103" s="285"/>
      <c r="T103" s="217" t="s">
        <v>87</v>
      </c>
      <c r="U103"/>
    </row>
    <row r="104" spans="2:21">
      <c r="B104" s="291"/>
      <c r="C104" s="293"/>
      <c r="D104" s="247" t="s">
        <v>24</v>
      </c>
      <c r="E104" s="248">
        <f>CEILING((((5000+297+115)*1.15)-340)-150,50)</f>
        <v>5750</v>
      </c>
      <c r="F104" s="249">
        <v>340</v>
      </c>
      <c r="G104" s="249">
        <v>80</v>
      </c>
      <c r="H104" s="249">
        <v>18</v>
      </c>
      <c r="I104" s="249" t="s">
        <v>58</v>
      </c>
      <c r="J104" s="249">
        <v>75</v>
      </c>
      <c r="K104" s="249">
        <v>75</v>
      </c>
      <c r="L104" s="250">
        <f>SUM(E104:K104)</f>
        <v>6338</v>
      </c>
      <c r="M104" s="249">
        <v>200</v>
      </c>
      <c r="N104" s="250">
        <f>SUM(L104:M104)</f>
        <v>6538</v>
      </c>
      <c r="O104" s="251" t="s">
        <v>86</v>
      </c>
      <c r="P104" s="252" t="s">
        <v>102</v>
      </c>
      <c r="Q104" s="251" t="s">
        <v>42</v>
      </c>
      <c r="R104" s="294"/>
      <c r="S104" s="294"/>
      <c r="T104" s="217" t="s">
        <v>87</v>
      </c>
      <c r="U104"/>
    </row>
    <row r="105" spans="2:21" ht="28.9">
      <c r="B105" s="262" t="s">
        <v>103</v>
      </c>
      <c r="C105" s="263"/>
      <c r="D105" s="263"/>
      <c r="E105" s="263"/>
      <c r="F105" s="263"/>
      <c r="G105" s="263"/>
      <c r="H105" s="263"/>
      <c r="I105" s="263"/>
      <c r="J105" s="263"/>
      <c r="K105" s="263"/>
      <c r="L105" s="263"/>
      <c r="M105" s="263"/>
      <c r="N105" s="263"/>
      <c r="O105" s="263"/>
      <c r="P105" s="263"/>
      <c r="Q105" s="263"/>
      <c r="R105" s="263"/>
      <c r="S105" s="277"/>
    </row>
    <row r="106" spans="2:21" ht="28.9">
      <c r="B106" s="102" t="s">
        <v>1</v>
      </c>
      <c r="C106" s="278" t="s">
        <v>2</v>
      </c>
      <c r="D106" s="279"/>
      <c r="E106" s="129" t="s">
        <v>3</v>
      </c>
      <c r="F106" s="129" t="s">
        <v>4</v>
      </c>
      <c r="G106" s="129" t="s">
        <v>5</v>
      </c>
      <c r="H106" s="129" t="s">
        <v>6</v>
      </c>
      <c r="I106" s="3" t="s">
        <v>52</v>
      </c>
      <c r="J106" s="3" t="s">
        <v>53</v>
      </c>
      <c r="K106" s="3" t="s">
        <v>54</v>
      </c>
      <c r="L106" s="3" t="s">
        <v>55</v>
      </c>
      <c r="M106" s="3" t="s">
        <v>10</v>
      </c>
      <c r="N106" s="3" t="s">
        <v>11</v>
      </c>
      <c r="O106" s="3" t="s">
        <v>12</v>
      </c>
      <c r="P106" s="129" t="s">
        <v>13</v>
      </c>
      <c r="Q106" s="129" t="s">
        <v>14</v>
      </c>
      <c r="R106" s="278" t="s">
        <v>38</v>
      </c>
      <c r="S106" s="280"/>
    </row>
    <row r="107" spans="2:21">
      <c r="B107" s="281" t="s">
        <v>104</v>
      </c>
      <c r="C107" s="283" t="s">
        <v>31</v>
      </c>
      <c r="D107" s="125" t="s">
        <v>18</v>
      </c>
      <c r="E107" s="155">
        <f>CEILING((((4950+297+115)*1.15)-340)-150,50)</f>
        <v>5700</v>
      </c>
      <c r="F107" s="237">
        <v>340</v>
      </c>
      <c r="G107" s="237">
        <v>80</v>
      </c>
      <c r="H107" s="237">
        <v>18</v>
      </c>
      <c r="I107" s="237" t="s">
        <v>58</v>
      </c>
      <c r="J107" s="237">
        <v>75</v>
      </c>
      <c r="K107" s="237">
        <v>75</v>
      </c>
      <c r="L107" s="207">
        <f>SUM(E107:K107)</f>
        <v>6288</v>
      </c>
      <c r="M107" s="237">
        <v>200</v>
      </c>
      <c r="N107" s="207">
        <f>SUM(L107:M107)</f>
        <v>6488</v>
      </c>
      <c r="O107" s="158" t="s">
        <v>86</v>
      </c>
      <c r="P107" s="244" t="s">
        <v>102</v>
      </c>
      <c r="Q107" s="158" t="s">
        <v>42</v>
      </c>
      <c r="R107" s="285" t="s">
        <v>61</v>
      </c>
      <c r="S107" s="286"/>
      <c r="T107" s="217" t="s">
        <v>87</v>
      </c>
      <c r="U107"/>
    </row>
    <row r="108" spans="2:21">
      <c r="B108" s="282"/>
      <c r="C108" s="284"/>
      <c r="D108" s="140" t="s">
        <v>24</v>
      </c>
      <c r="E108" s="233">
        <f>CEILING((((5250+297+115)*1.15)-340)-150,50)</f>
        <v>6050</v>
      </c>
      <c r="F108" s="238">
        <v>340</v>
      </c>
      <c r="G108" s="238">
        <v>80</v>
      </c>
      <c r="H108" s="238">
        <v>18</v>
      </c>
      <c r="I108" s="238" t="s">
        <v>58</v>
      </c>
      <c r="J108" s="238">
        <v>75</v>
      </c>
      <c r="K108" s="238">
        <v>75</v>
      </c>
      <c r="L108" s="239">
        <f>SUM(E108:K108)</f>
        <v>6638</v>
      </c>
      <c r="M108" s="238">
        <v>200</v>
      </c>
      <c r="N108" s="239">
        <f>SUM(L108:M108)</f>
        <v>6838</v>
      </c>
      <c r="O108" s="242" t="s">
        <v>86</v>
      </c>
      <c r="P108" s="253" t="s">
        <v>102</v>
      </c>
      <c r="Q108" s="243" t="s">
        <v>42</v>
      </c>
      <c r="R108" s="287"/>
      <c r="S108" s="288"/>
      <c r="T108" s="217" t="s">
        <v>87</v>
      </c>
      <c r="U108"/>
    </row>
    <row r="109" spans="2:21">
      <c r="B109" s="145"/>
      <c r="C109" s="44"/>
      <c r="D109" s="142"/>
      <c r="E109" s="143"/>
      <c r="F109" s="240"/>
      <c r="G109" s="240"/>
      <c r="H109" s="240"/>
      <c r="I109" s="240"/>
      <c r="J109" s="240"/>
      <c r="K109" s="240"/>
      <c r="L109" s="241"/>
      <c r="M109" s="240"/>
      <c r="N109" s="241"/>
      <c r="O109" s="63"/>
      <c r="P109" s="35"/>
      <c r="Q109" s="63"/>
      <c r="R109" s="144"/>
      <c r="S109" s="146"/>
    </row>
    <row r="110" spans="2:21" ht="15.6">
      <c r="B110" s="265" t="s">
        <v>34</v>
      </c>
      <c r="C110" s="266"/>
      <c r="D110" s="266"/>
      <c r="E110" s="266"/>
      <c r="F110" s="266"/>
      <c r="G110" s="266"/>
      <c r="H110" s="266"/>
      <c r="I110" s="266"/>
      <c r="J110" s="266"/>
      <c r="K110" s="266"/>
      <c r="L110" s="266"/>
      <c r="M110" s="266"/>
      <c r="N110" s="266"/>
      <c r="O110" s="266"/>
      <c r="P110" s="266"/>
      <c r="Q110" s="266"/>
      <c r="R110" s="266"/>
      <c r="S110" s="267"/>
    </row>
    <row r="111" spans="2:21">
      <c r="B111" s="268" t="s">
        <v>35</v>
      </c>
      <c r="C111" s="269"/>
      <c r="D111" s="269"/>
      <c r="E111" s="269"/>
      <c r="F111" s="269"/>
      <c r="G111" s="269"/>
      <c r="H111" s="269"/>
      <c r="I111" s="269"/>
      <c r="J111" s="269"/>
      <c r="K111" s="269"/>
      <c r="L111" s="269"/>
      <c r="M111" s="269"/>
      <c r="N111" s="269"/>
      <c r="O111" s="269"/>
      <c r="P111" s="269"/>
      <c r="Q111" s="269"/>
      <c r="R111" s="269"/>
      <c r="S111" s="270"/>
    </row>
    <row r="112" spans="2:21">
      <c r="B112" s="268"/>
      <c r="C112" s="269"/>
      <c r="D112" s="269"/>
      <c r="E112" s="269"/>
      <c r="F112" s="269"/>
      <c r="G112" s="269"/>
      <c r="H112" s="269"/>
      <c r="I112" s="269"/>
      <c r="J112" s="269"/>
      <c r="K112" s="269"/>
      <c r="L112" s="269"/>
      <c r="M112" s="269"/>
      <c r="N112" s="269"/>
      <c r="O112" s="269"/>
      <c r="P112" s="269"/>
      <c r="Q112" s="269"/>
      <c r="R112" s="269"/>
      <c r="S112" s="270"/>
    </row>
    <row r="113" spans="2:20">
      <c r="B113" s="268"/>
      <c r="C113" s="269"/>
      <c r="D113" s="269"/>
      <c r="E113" s="269"/>
      <c r="F113" s="269"/>
      <c r="G113" s="269"/>
      <c r="H113" s="269"/>
      <c r="I113" s="269"/>
      <c r="J113" s="269"/>
      <c r="K113" s="269"/>
      <c r="L113" s="269"/>
      <c r="M113" s="269"/>
      <c r="N113" s="269"/>
      <c r="O113" s="269"/>
      <c r="P113" s="269"/>
      <c r="Q113" s="269"/>
      <c r="R113" s="269"/>
      <c r="S113" s="270"/>
    </row>
    <row r="114" spans="2:20" ht="15" thickBot="1">
      <c r="B114" s="271"/>
      <c r="C114" s="272"/>
      <c r="D114" s="272"/>
      <c r="E114" s="272"/>
      <c r="F114" s="272"/>
      <c r="G114" s="272"/>
      <c r="H114" s="272"/>
      <c r="I114" s="272"/>
      <c r="J114" s="272"/>
      <c r="K114" s="272"/>
      <c r="L114" s="272"/>
      <c r="M114" s="272"/>
      <c r="N114" s="272"/>
      <c r="O114" s="272"/>
      <c r="P114" s="272"/>
      <c r="Q114" s="272"/>
      <c r="R114" s="272"/>
      <c r="S114" s="273"/>
    </row>
    <row r="123" spans="2:20" ht="28.9">
      <c r="B123" s="274" t="s">
        <v>105</v>
      </c>
      <c r="C123" s="274"/>
      <c r="D123" s="274"/>
      <c r="E123" s="274"/>
      <c r="F123" s="274"/>
      <c r="G123" s="274"/>
      <c r="H123" s="274"/>
      <c r="I123" s="274"/>
      <c r="J123" s="274"/>
      <c r="K123" s="274"/>
      <c r="L123" s="274"/>
      <c r="M123" s="274"/>
      <c r="N123" s="274"/>
      <c r="O123" s="274"/>
      <c r="P123" s="274"/>
      <c r="Q123" s="141"/>
    </row>
    <row r="124" spans="2:20" ht="28.9">
      <c r="B124" s="129" t="s">
        <v>1</v>
      </c>
      <c r="C124" s="254" t="s">
        <v>2</v>
      </c>
      <c r="D124" s="254"/>
      <c r="E124" s="129" t="s">
        <v>3</v>
      </c>
      <c r="F124" s="129" t="s">
        <v>4</v>
      </c>
      <c r="G124" s="11" t="s">
        <v>106</v>
      </c>
      <c r="H124" s="136" t="s">
        <v>6</v>
      </c>
      <c r="I124" s="3" t="s">
        <v>9</v>
      </c>
      <c r="J124" s="3" t="s">
        <v>10</v>
      </c>
      <c r="K124" s="3" t="s">
        <v>11</v>
      </c>
      <c r="L124" s="129" t="s">
        <v>12</v>
      </c>
      <c r="M124" s="129" t="s">
        <v>13</v>
      </c>
      <c r="N124" s="129" t="s">
        <v>14</v>
      </c>
      <c r="O124" s="254" t="s">
        <v>38</v>
      </c>
      <c r="P124" s="254"/>
      <c r="Q124" s="254"/>
      <c r="T124" s="138" t="s">
        <v>15</v>
      </c>
    </row>
    <row r="125" spans="2:20" ht="14.45" customHeight="1">
      <c r="B125" s="255" t="s">
        <v>107</v>
      </c>
      <c r="C125" s="275" t="s">
        <v>17</v>
      </c>
      <c r="D125" s="20" t="s">
        <v>18</v>
      </c>
      <c r="E125" s="37">
        <v>1600</v>
      </c>
      <c r="F125" s="37">
        <v>370</v>
      </c>
      <c r="G125" s="37">
        <v>45</v>
      </c>
      <c r="H125" s="22">
        <v>0</v>
      </c>
      <c r="I125" s="40">
        <f>SUM(E125:H125)</f>
        <v>2015</v>
      </c>
      <c r="J125" s="24">
        <v>200</v>
      </c>
      <c r="K125" s="23">
        <f>I125+J125</f>
        <v>2215</v>
      </c>
      <c r="L125" s="41">
        <v>7</v>
      </c>
      <c r="M125" s="223" t="s">
        <v>108</v>
      </c>
      <c r="N125" s="20" t="s">
        <v>109</v>
      </c>
      <c r="O125" s="276" t="s">
        <v>48</v>
      </c>
      <c r="P125" s="276"/>
      <c r="Q125" s="276"/>
      <c r="T125" s="139" t="s">
        <v>110</v>
      </c>
    </row>
    <row r="126" spans="2:20">
      <c r="B126" s="255"/>
      <c r="C126" s="275"/>
      <c r="D126" s="20" t="s">
        <v>24</v>
      </c>
      <c r="E126" s="37">
        <v>1900</v>
      </c>
      <c r="F126" s="37">
        <v>370</v>
      </c>
      <c r="G126" s="37">
        <v>45</v>
      </c>
      <c r="H126" s="22">
        <v>0</v>
      </c>
      <c r="I126" s="40">
        <f>SUM(E126:H126)</f>
        <v>2315</v>
      </c>
      <c r="J126" s="24">
        <v>200</v>
      </c>
      <c r="K126" s="23">
        <f>I126+J126</f>
        <v>2515</v>
      </c>
      <c r="L126" s="41">
        <v>7</v>
      </c>
      <c r="M126" s="244" t="s">
        <v>108</v>
      </c>
      <c r="N126" s="20" t="s">
        <v>109</v>
      </c>
      <c r="O126" s="276"/>
      <c r="P126" s="276"/>
      <c r="Q126" s="276"/>
      <c r="T126" s="139" t="s">
        <v>110</v>
      </c>
    </row>
    <row r="127" spans="2:20">
      <c r="B127" s="44"/>
      <c r="C127" s="135"/>
      <c r="D127" s="29"/>
      <c r="E127" s="45"/>
      <c r="F127" s="45"/>
      <c r="G127" s="45"/>
      <c r="H127" s="135"/>
      <c r="I127" s="104"/>
      <c r="J127" s="105"/>
      <c r="K127" s="105"/>
      <c r="L127" s="105"/>
      <c r="M127" s="106"/>
      <c r="N127" s="107"/>
      <c r="O127" s="46"/>
      <c r="P127" s="35"/>
      <c r="Q127" s="135"/>
    </row>
    <row r="128" spans="2:20" ht="15.6">
      <c r="B128" s="5" t="s">
        <v>34</v>
      </c>
      <c r="C128" s="6"/>
      <c r="D128" s="6"/>
      <c r="E128" s="6"/>
      <c r="F128" s="6"/>
      <c r="G128" s="6"/>
      <c r="H128" s="6"/>
      <c r="I128" s="6"/>
      <c r="J128" s="6"/>
      <c r="K128" s="6"/>
      <c r="L128" s="6"/>
      <c r="M128" s="6"/>
      <c r="N128" s="6"/>
      <c r="O128" s="6"/>
      <c r="P128" s="6"/>
      <c r="Q128" s="7"/>
    </row>
    <row r="129" spans="2:20">
      <c r="B129" s="256" t="s">
        <v>35</v>
      </c>
      <c r="C129" s="257"/>
      <c r="D129" s="257"/>
      <c r="E129" s="257"/>
      <c r="F129" s="257"/>
      <c r="G129" s="257"/>
      <c r="H129" s="257"/>
      <c r="I129" s="257"/>
      <c r="J129" s="257"/>
      <c r="K129" s="257"/>
      <c r="L129" s="257"/>
      <c r="M129" s="257"/>
      <c r="N129" s="257"/>
      <c r="O129" s="257"/>
      <c r="P129" s="257"/>
      <c r="Q129" s="258"/>
    </row>
    <row r="130" spans="2:20">
      <c r="B130" s="256"/>
      <c r="C130" s="257"/>
      <c r="D130" s="257"/>
      <c r="E130" s="257"/>
      <c r="F130" s="257"/>
      <c r="G130" s="257"/>
      <c r="H130" s="257"/>
      <c r="I130" s="257"/>
      <c r="J130" s="257"/>
      <c r="K130" s="257"/>
      <c r="L130" s="257"/>
      <c r="M130" s="257"/>
      <c r="N130" s="257"/>
      <c r="O130" s="257"/>
      <c r="P130" s="257"/>
      <c r="Q130" s="258"/>
    </row>
    <row r="131" spans="2:20">
      <c r="B131" s="256"/>
      <c r="C131" s="257"/>
      <c r="D131" s="257"/>
      <c r="E131" s="257"/>
      <c r="F131" s="257"/>
      <c r="G131" s="257"/>
      <c r="H131" s="257"/>
      <c r="I131" s="257"/>
      <c r="J131" s="257"/>
      <c r="K131" s="257"/>
      <c r="L131" s="257"/>
      <c r="M131" s="257"/>
      <c r="N131" s="257"/>
      <c r="O131" s="257"/>
      <c r="P131" s="257"/>
      <c r="Q131" s="258"/>
    </row>
    <row r="132" spans="2:20">
      <c r="B132" s="259"/>
      <c r="C132" s="260"/>
      <c r="D132" s="260"/>
      <c r="E132" s="260"/>
      <c r="F132" s="260"/>
      <c r="G132" s="260"/>
      <c r="H132" s="260"/>
      <c r="I132" s="260"/>
      <c r="J132" s="260"/>
      <c r="K132" s="260"/>
      <c r="L132" s="260"/>
      <c r="M132" s="260"/>
      <c r="N132" s="260"/>
      <c r="O132" s="260"/>
      <c r="P132" s="260"/>
      <c r="Q132" s="261"/>
    </row>
    <row r="133" spans="2:20">
      <c r="B133" s="36"/>
      <c r="C133" s="36"/>
      <c r="D133" s="36"/>
      <c r="E133" s="36"/>
      <c r="F133" s="36"/>
      <c r="G133" s="36"/>
      <c r="H133" s="36"/>
      <c r="I133" s="36"/>
      <c r="J133" s="36"/>
      <c r="K133" s="36"/>
      <c r="L133" s="36"/>
      <c r="M133" s="36"/>
      <c r="N133" s="36"/>
      <c r="O133" s="36"/>
      <c r="P133" s="36"/>
      <c r="Q133" s="36"/>
    </row>
    <row r="138" spans="2:20" ht="15" thickBot="1"/>
    <row r="139" spans="2:20" ht="28.9">
      <c r="B139" s="262" t="s">
        <v>111</v>
      </c>
      <c r="C139" s="263"/>
      <c r="D139" s="263"/>
      <c r="E139" s="263"/>
      <c r="F139" s="263"/>
      <c r="G139" s="263"/>
      <c r="H139" s="263"/>
      <c r="I139" s="263"/>
      <c r="J139" s="263"/>
      <c r="K139" s="263"/>
      <c r="L139" s="263"/>
      <c r="M139" s="263"/>
      <c r="N139" s="263"/>
      <c r="O139" s="263"/>
      <c r="P139" s="263"/>
    </row>
    <row r="140" spans="2:20" ht="28.9">
      <c r="B140" s="102" t="s">
        <v>1</v>
      </c>
      <c r="C140" s="254" t="s">
        <v>2</v>
      </c>
      <c r="D140" s="254"/>
      <c r="E140" s="129" t="s">
        <v>3</v>
      </c>
      <c r="F140" s="129" t="s">
        <v>4</v>
      </c>
      <c r="G140" s="129" t="s">
        <v>5</v>
      </c>
      <c r="H140" s="129" t="s">
        <v>6</v>
      </c>
      <c r="I140" s="3" t="s">
        <v>53</v>
      </c>
      <c r="J140" s="3" t="s">
        <v>112</v>
      </c>
      <c r="K140" s="3" t="s">
        <v>55</v>
      </c>
      <c r="L140" s="3" t="s">
        <v>10</v>
      </c>
      <c r="M140" s="3" t="s">
        <v>11</v>
      </c>
      <c r="N140" s="3" t="s">
        <v>12</v>
      </c>
      <c r="O140" s="129" t="s">
        <v>13</v>
      </c>
      <c r="P140" s="129" t="s">
        <v>14</v>
      </c>
      <c r="T140" s="138" t="s">
        <v>15</v>
      </c>
    </row>
    <row r="141" spans="2:20">
      <c r="B141" s="150" t="s">
        <v>113</v>
      </c>
      <c r="C141" s="134" t="s">
        <v>95</v>
      </c>
      <c r="D141" s="125" t="s">
        <v>18</v>
      </c>
      <c r="E141" s="127">
        <v>1500</v>
      </c>
      <c r="F141" s="100">
        <v>340</v>
      </c>
      <c r="G141" s="100">
        <v>80</v>
      </c>
      <c r="H141" s="100">
        <v>18</v>
      </c>
      <c r="I141" s="100">
        <v>75</v>
      </c>
      <c r="J141" s="100">
        <v>75</v>
      </c>
      <c r="K141" s="101">
        <f>SUM(E141:J141)</f>
        <v>2088</v>
      </c>
      <c r="L141" s="100">
        <v>200</v>
      </c>
      <c r="M141" s="101">
        <f>SUM(K142:L142)</f>
        <v>3088</v>
      </c>
      <c r="N141" s="99" t="s">
        <v>114</v>
      </c>
      <c r="O141" s="223" t="s">
        <v>108</v>
      </c>
      <c r="P141" s="99" t="s">
        <v>42</v>
      </c>
      <c r="T141" s="139" t="s">
        <v>115</v>
      </c>
    </row>
    <row r="142" spans="2:20">
      <c r="B142" s="264" t="s">
        <v>116</v>
      </c>
      <c r="C142" s="255" t="s">
        <v>31</v>
      </c>
      <c r="D142" s="125" t="s">
        <v>18</v>
      </c>
      <c r="E142" s="127">
        <f>CEILING(((1997+75+340)*1.15)-(340+150),50)</f>
        <v>2300</v>
      </c>
      <c r="F142" s="100">
        <v>340</v>
      </c>
      <c r="G142" s="100">
        <v>80</v>
      </c>
      <c r="H142" s="100">
        <v>18</v>
      </c>
      <c r="I142" s="100">
        <v>75</v>
      </c>
      <c r="J142" s="100">
        <v>75</v>
      </c>
      <c r="K142" s="101">
        <f>SUM(E142:J142)</f>
        <v>2888</v>
      </c>
      <c r="L142" s="100">
        <v>200</v>
      </c>
      <c r="M142" s="101">
        <f>SUM(K142:L142)</f>
        <v>3088</v>
      </c>
      <c r="N142" s="99" t="s">
        <v>114</v>
      </c>
      <c r="O142" s="223" t="s">
        <v>108</v>
      </c>
      <c r="P142" s="99" t="s">
        <v>42</v>
      </c>
      <c r="T142" s="139" t="s">
        <v>115</v>
      </c>
    </row>
    <row r="143" spans="2:20">
      <c r="B143" s="264"/>
      <c r="C143" s="255"/>
      <c r="D143" s="125" t="s">
        <v>24</v>
      </c>
      <c r="E143" s="127">
        <f>CEILING(((2929+75+340)*1.15)-(340+150),50)</f>
        <v>3400</v>
      </c>
      <c r="F143" s="100">
        <v>340</v>
      </c>
      <c r="G143" s="100">
        <v>80</v>
      </c>
      <c r="H143" s="100">
        <v>18</v>
      </c>
      <c r="I143" s="100">
        <v>75</v>
      </c>
      <c r="J143" s="100">
        <v>75</v>
      </c>
      <c r="K143" s="101">
        <f>SUM(E143:J143)</f>
        <v>3988</v>
      </c>
      <c r="L143" s="100">
        <v>200</v>
      </c>
      <c r="M143" s="101">
        <f>SUM(K143:L143)</f>
        <v>4188</v>
      </c>
      <c r="N143" s="99" t="s">
        <v>114</v>
      </c>
      <c r="O143" s="223" t="s">
        <v>108</v>
      </c>
      <c r="P143" s="99" t="s">
        <v>42</v>
      </c>
      <c r="T143" s="139" t="s">
        <v>115</v>
      </c>
    </row>
    <row r="145" spans="2:17" ht="15" thickBot="1"/>
    <row r="146" spans="2:17" ht="28.9">
      <c r="B146" s="262" t="s">
        <v>117</v>
      </c>
      <c r="C146" s="263"/>
      <c r="D146" s="263"/>
      <c r="E146" s="263"/>
      <c r="F146" s="263"/>
      <c r="G146" s="263"/>
      <c r="H146" s="263"/>
      <c r="I146" s="263"/>
      <c r="J146" s="263"/>
      <c r="K146" s="263"/>
      <c r="L146" s="263"/>
      <c r="M146" s="263"/>
      <c r="N146" s="263"/>
      <c r="O146" s="263"/>
      <c r="P146" s="263"/>
    </row>
    <row r="147" spans="2:17" ht="28.9">
      <c r="B147" s="102" t="s">
        <v>1</v>
      </c>
      <c r="C147" s="254" t="s">
        <v>2</v>
      </c>
      <c r="D147" s="254"/>
      <c r="E147" s="129" t="s">
        <v>3</v>
      </c>
      <c r="F147" s="129" t="s">
        <v>4</v>
      </c>
      <c r="G147" s="129" t="s">
        <v>5</v>
      </c>
      <c r="H147" s="129" t="s">
        <v>6</v>
      </c>
      <c r="I147" s="3" t="s">
        <v>53</v>
      </c>
      <c r="J147" s="3" t="s">
        <v>112</v>
      </c>
      <c r="K147" s="3" t="s">
        <v>55</v>
      </c>
      <c r="L147" s="3" t="s">
        <v>10</v>
      </c>
      <c r="M147" s="3" t="s">
        <v>11</v>
      </c>
      <c r="N147" s="3" t="s">
        <v>12</v>
      </c>
      <c r="O147" s="129" t="s">
        <v>13</v>
      </c>
      <c r="P147" s="129" t="s">
        <v>14</v>
      </c>
    </row>
    <row r="148" spans="2:17">
      <c r="B148" s="255" t="s">
        <v>118</v>
      </c>
      <c r="C148" s="255" t="s">
        <v>31</v>
      </c>
      <c r="D148" s="125" t="s">
        <v>18</v>
      </c>
      <c r="E148" s="155">
        <f>CEILING((((600+130+10+20+71.4+289)*1.15)-289)-150,50)</f>
        <v>850</v>
      </c>
      <c r="F148" s="100">
        <v>289</v>
      </c>
      <c r="G148" s="100">
        <v>84.38</v>
      </c>
      <c r="H148" s="100">
        <v>55</v>
      </c>
      <c r="I148" s="100">
        <v>75</v>
      </c>
      <c r="J148" s="100">
        <v>75</v>
      </c>
      <c r="K148" s="101">
        <f>SUM(E148:J148)</f>
        <v>1428.38</v>
      </c>
      <c r="L148" s="100">
        <v>200</v>
      </c>
      <c r="M148" s="101">
        <f>SUM(K148:L148)</f>
        <v>1628.38</v>
      </c>
      <c r="N148" s="99">
        <v>10</v>
      </c>
      <c r="O148" s="223" t="s">
        <v>108</v>
      </c>
      <c r="P148" s="99" t="s">
        <v>65</v>
      </c>
    </row>
    <row r="149" spans="2:17">
      <c r="B149" s="255"/>
      <c r="C149" s="255"/>
      <c r="D149" s="125" t="s">
        <v>24</v>
      </c>
      <c r="E149" s="155">
        <f>CEILING((((800+260+10+20+71.4+289)*1.15)-289)-150,50)</f>
        <v>1250</v>
      </c>
      <c r="F149" s="100">
        <v>289</v>
      </c>
      <c r="G149" s="100">
        <v>84.38</v>
      </c>
      <c r="H149" s="100">
        <v>55</v>
      </c>
      <c r="I149" s="100">
        <v>75</v>
      </c>
      <c r="J149" s="100">
        <v>75</v>
      </c>
      <c r="K149" s="101">
        <f>SUM(E149:J149)</f>
        <v>1828.38</v>
      </c>
      <c r="L149" s="100">
        <v>200</v>
      </c>
      <c r="M149" s="101">
        <f>SUM(K149:L149)</f>
        <v>2028.38</v>
      </c>
      <c r="N149" s="99">
        <v>10</v>
      </c>
      <c r="O149" s="223" t="s">
        <v>108</v>
      </c>
      <c r="P149" s="99" t="s">
        <v>65</v>
      </c>
    </row>
    <row r="150" spans="2:17">
      <c r="F150" s="19"/>
      <c r="G150" s="19"/>
      <c r="H150" s="19"/>
      <c r="I150" s="19"/>
    </row>
    <row r="151" spans="2:17" ht="15.6">
      <c r="B151" s="5" t="s">
        <v>34</v>
      </c>
      <c r="C151" s="6"/>
      <c r="D151" s="6"/>
      <c r="E151" s="6"/>
      <c r="F151" s="6"/>
      <c r="G151" s="6"/>
      <c r="H151" s="6"/>
      <c r="I151" s="6"/>
      <c r="J151" s="6"/>
      <c r="K151" s="6"/>
      <c r="L151" s="6"/>
      <c r="M151" s="6"/>
      <c r="N151" s="6"/>
      <c r="O151" s="6"/>
      <c r="P151" s="6"/>
      <c r="Q151" s="7"/>
    </row>
    <row r="152" spans="2:17">
      <c r="B152" s="256" t="s">
        <v>35</v>
      </c>
      <c r="C152" s="257"/>
      <c r="D152" s="257"/>
      <c r="E152" s="257"/>
      <c r="F152" s="257"/>
      <c r="G152" s="257"/>
      <c r="H152" s="257"/>
      <c r="I152" s="257"/>
      <c r="J152" s="257"/>
      <c r="K152" s="257"/>
      <c r="L152" s="257"/>
      <c r="M152" s="257"/>
      <c r="N152" s="257"/>
      <c r="O152" s="257"/>
      <c r="P152" s="257"/>
      <c r="Q152" s="258"/>
    </row>
    <row r="153" spans="2:17">
      <c r="B153" s="256"/>
      <c r="C153" s="257"/>
      <c r="D153" s="257"/>
      <c r="E153" s="257"/>
      <c r="F153" s="257"/>
      <c r="G153" s="257"/>
      <c r="H153" s="257"/>
      <c r="I153" s="257"/>
      <c r="J153" s="257"/>
      <c r="K153" s="257"/>
      <c r="L153" s="257"/>
      <c r="M153" s="257"/>
      <c r="N153" s="257"/>
      <c r="O153" s="257"/>
      <c r="P153" s="257"/>
      <c r="Q153" s="258"/>
    </row>
    <row r="154" spans="2:17">
      <c r="B154" s="256"/>
      <c r="C154" s="257"/>
      <c r="D154" s="257"/>
      <c r="E154" s="257"/>
      <c r="F154" s="257"/>
      <c r="G154" s="257"/>
      <c r="H154" s="257"/>
      <c r="I154" s="257"/>
      <c r="J154" s="257"/>
      <c r="K154" s="257"/>
      <c r="L154" s="257"/>
      <c r="M154" s="257"/>
      <c r="N154" s="257"/>
      <c r="O154" s="257"/>
      <c r="P154" s="257"/>
      <c r="Q154" s="258"/>
    </row>
    <row r="155" spans="2:17">
      <c r="B155" s="259"/>
      <c r="C155" s="260"/>
      <c r="D155" s="260"/>
      <c r="E155" s="260"/>
      <c r="F155" s="260"/>
      <c r="G155" s="260"/>
      <c r="H155" s="260"/>
      <c r="I155" s="260"/>
      <c r="J155" s="260"/>
      <c r="K155" s="260"/>
      <c r="L155" s="260"/>
      <c r="M155" s="260"/>
      <c r="N155" s="260"/>
      <c r="O155" s="260"/>
      <c r="P155" s="260"/>
      <c r="Q155" s="261"/>
    </row>
  </sheetData>
  <sheetProtection algorithmName="SHA-512" hashValue="3BOasLWcy06sittIRvMDwbgvU2AjQE0WahtmvR1HfakIeYD+u1z+7/ivjraCOvHZYVfEI43SGH/9d8GPLMGyxg==" saltValue="ZOCQZVvfrTKVPMQzMuq3zQ==" spinCount="100000" sheet="1"/>
  <mergeCells count="122">
    <mergeCell ref="B16:B17"/>
    <mergeCell ref="C16:C17"/>
    <mergeCell ref="B18:B21"/>
    <mergeCell ref="C18:C19"/>
    <mergeCell ref="C20:C21"/>
    <mergeCell ref="B24:P27"/>
    <mergeCell ref="B8:P8"/>
    <mergeCell ref="C9:D9"/>
    <mergeCell ref="B10:B13"/>
    <mergeCell ref="C10:C11"/>
    <mergeCell ref="C12:C13"/>
    <mergeCell ref="B14:B15"/>
    <mergeCell ref="C14:C15"/>
    <mergeCell ref="O40:P40"/>
    <mergeCell ref="B43:Q46"/>
    <mergeCell ref="B56:S56"/>
    <mergeCell ref="C57:D57"/>
    <mergeCell ref="R57:S57"/>
    <mergeCell ref="B35:P35"/>
    <mergeCell ref="C36:D36"/>
    <mergeCell ref="O36:P36"/>
    <mergeCell ref="B37:B38"/>
    <mergeCell ref="O37:P38"/>
    <mergeCell ref="O39:P39"/>
    <mergeCell ref="B62:B63"/>
    <mergeCell ref="C62:C63"/>
    <mergeCell ref="R62:S62"/>
    <mergeCell ref="R63:S63"/>
    <mergeCell ref="B64:B65"/>
    <mergeCell ref="C64:C65"/>
    <mergeCell ref="R64:S65"/>
    <mergeCell ref="B58:B59"/>
    <mergeCell ref="C58:C59"/>
    <mergeCell ref="R58:S59"/>
    <mergeCell ref="B60:B61"/>
    <mergeCell ref="C60:C61"/>
    <mergeCell ref="R60:S61"/>
    <mergeCell ref="B70:B71"/>
    <mergeCell ref="C70:C71"/>
    <mergeCell ref="R70:S71"/>
    <mergeCell ref="B72:B73"/>
    <mergeCell ref="C72:C73"/>
    <mergeCell ref="R72:S72"/>
    <mergeCell ref="R73:S73"/>
    <mergeCell ref="B66:B67"/>
    <mergeCell ref="C66:C67"/>
    <mergeCell ref="R66:S66"/>
    <mergeCell ref="R67:S67"/>
    <mergeCell ref="B68:B69"/>
    <mergeCell ref="C68:C69"/>
    <mergeCell ref="R68:S69"/>
    <mergeCell ref="B78:B79"/>
    <mergeCell ref="C78:C79"/>
    <mergeCell ref="R78:S79"/>
    <mergeCell ref="B80:S80"/>
    <mergeCell ref="C81:D81"/>
    <mergeCell ref="R81:S81"/>
    <mergeCell ref="B74:B75"/>
    <mergeCell ref="C74:C75"/>
    <mergeCell ref="R74:S75"/>
    <mergeCell ref="B76:B77"/>
    <mergeCell ref="C76:C77"/>
    <mergeCell ref="R76:S77"/>
    <mergeCell ref="B84:S84"/>
    <mergeCell ref="C85:D85"/>
    <mergeCell ref="R85:S85"/>
    <mergeCell ref="B86:B87"/>
    <mergeCell ref="C86:C87"/>
    <mergeCell ref="R86:S87"/>
    <mergeCell ref="B82:B83"/>
    <mergeCell ref="C82:C83"/>
    <mergeCell ref="R82:S83"/>
    <mergeCell ref="B92:S92"/>
    <mergeCell ref="C93:D93"/>
    <mergeCell ref="R93:S93"/>
    <mergeCell ref="B94:B95"/>
    <mergeCell ref="C94:C95"/>
    <mergeCell ref="R94:S95"/>
    <mergeCell ref="B88:S88"/>
    <mergeCell ref="C89:D89"/>
    <mergeCell ref="R89:S89"/>
    <mergeCell ref="B90:B91"/>
    <mergeCell ref="C90:C91"/>
    <mergeCell ref="R90:S91"/>
    <mergeCell ref="B101:S101"/>
    <mergeCell ref="C102:D102"/>
    <mergeCell ref="R102:S102"/>
    <mergeCell ref="B103:B104"/>
    <mergeCell ref="C103:C104"/>
    <mergeCell ref="R103:S104"/>
    <mergeCell ref="B96:S96"/>
    <mergeCell ref="C97:D97"/>
    <mergeCell ref="R97:S97"/>
    <mergeCell ref="R98:S98"/>
    <mergeCell ref="B99:B100"/>
    <mergeCell ref="C99:C100"/>
    <mergeCell ref="R99:S99"/>
    <mergeCell ref="R100:S100"/>
    <mergeCell ref="B110:S110"/>
    <mergeCell ref="B111:S114"/>
    <mergeCell ref="B123:P123"/>
    <mergeCell ref="C124:D124"/>
    <mergeCell ref="O124:Q124"/>
    <mergeCell ref="B125:B126"/>
    <mergeCell ref="C125:C126"/>
    <mergeCell ref="O125:Q126"/>
    <mergeCell ref="B105:S105"/>
    <mergeCell ref="C106:D106"/>
    <mergeCell ref="R106:S106"/>
    <mergeCell ref="B107:B108"/>
    <mergeCell ref="C107:C108"/>
    <mergeCell ref="R107:S108"/>
    <mergeCell ref="C147:D147"/>
    <mergeCell ref="B148:B149"/>
    <mergeCell ref="C148:C149"/>
    <mergeCell ref="B152:Q155"/>
    <mergeCell ref="B129:Q132"/>
    <mergeCell ref="B139:P139"/>
    <mergeCell ref="C140:D140"/>
    <mergeCell ref="B142:B143"/>
    <mergeCell ref="C142:C143"/>
    <mergeCell ref="B146:P146"/>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A9:VHC137"/>
  <sheetViews>
    <sheetView topLeftCell="A63" zoomScale="101" zoomScaleNormal="100" zoomScaleSheetLayoutView="100" workbookViewId="0">
      <selection activeCell="M39" sqref="M39"/>
    </sheetView>
  </sheetViews>
  <sheetFormatPr defaultColWidth="8.5703125" defaultRowHeight="14.45"/>
  <cols>
    <col min="1" max="1" width="8.85546875" style="19" customWidth="1"/>
    <col min="2" max="2" width="34.5703125" style="19" customWidth="1"/>
    <col min="3" max="3" width="11.7109375" style="29"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19" style="19" customWidth="1"/>
    <col min="17" max="17" width="10.42578125" style="19" customWidth="1"/>
    <col min="18" max="18" width="10.28515625" style="19" customWidth="1"/>
    <col min="19" max="19" width="14.42578125" style="19" customWidth="1"/>
    <col min="20" max="20" width="9.28515625" style="19" customWidth="1"/>
    <col min="21" max="21" width="35.28515625" style="19" customWidth="1"/>
    <col min="22" max="16384" width="8.5703125" style="19"/>
  </cols>
  <sheetData>
    <row r="9" spans="2:17" ht="28.9">
      <c r="B9" s="289" t="s">
        <v>119</v>
      </c>
      <c r="C9" s="289"/>
      <c r="D9" s="289"/>
      <c r="E9" s="289"/>
      <c r="F9" s="289"/>
      <c r="G9" s="289"/>
      <c r="H9" s="289"/>
      <c r="I9" s="289"/>
      <c r="J9" s="289"/>
      <c r="K9" s="289"/>
      <c r="L9" s="289"/>
      <c r="M9" s="289"/>
      <c r="N9" s="289"/>
      <c r="O9" s="289"/>
      <c r="P9" s="289"/>
      <c r="Q9" s="289"/>
    </row>
    <row r="10" spans="2:17" ht="28.9">
      <c r="B10" s="1" t="s">
        <v>1</v>
      </c>
      <c r="C10" s="349" t="s">
        <v>2</v>
      </c>
      <c r="D10" s="349"/>
      <c r="E10" s="8" t="s">
        <v>3</v>
      </c>
      <c r="F10" s="9" t="s">
        <v>4</v>
      </c>
      <c r="G10" s="9" t="s">
        <v>5</v>
      </c>
      <c r="H10" s="9" t="s">
        <v>6</v>
      </c>
      <c r="I10" s="115" t="s">
        <v>7</v>
      </c>
      <c r="J10" s="9" t="s">
        <v>8</v>
      </c>
      <c r="K10" s="2" t="s">
        <v>9</v>
      </c>
      <c r="L10" s="2" t="s">
        <v>10</v>
      </c>
      <c r="M10" s="2" t="s">
        <v>11</v>
      </c>
      <c r="N10" s="8" t="s">
        <v>12</v>
      </c>
      <c r="O10" s="9" t="s">
        <v>13</v>
      </c>
      <c r="P10" s="10" t="s">
        <v>14</v>
      </c>
      <c r="Q10" s="17" t="s">
        <v>120</v>
      </c>
    </row>
    <row r="11" spans="2:17">
      <c r="B11" s="275" t="s">
        <v>16</v>
      </c>
      <c r="C11" s="275" t="s">
        <v>121</v>
      </c>
      <c r="D11" s="55" t="s">
        <v>18</v>
      </c>
      <c r="E11" s="76">
        <f>(1825+265)+550</f>
        <v>2640</v>
      </c>
      <c r="F11" s="56">
        <v>175</v>
      </c>
      <c r="G11" s="56">
        <v>75</v>
      </c>
      <c r="H11" s="56">
        <v>14</v>
      </c>
      <c r="I11" s="56">
        <v>50</v>
      </c>
      <c r="J11" s="56">
        <v>150</v>
      </c>
      <c r="K11" s="57">
        <f t="shared" ref="K11:K18" si="0">SUM(D11:J11)</f>
        <v>3104</v>
      </c>
      <c r="L11" s="58">
        <v>200</v>
      </c>
      <c r="M11" s="57">
        <f t="shared" ref="M11:M18" si="1">K11+L11</f>
        <v>3304</v>
      </c>
      <c r="N11" s="59" t="s">
        <v>122</v>
      </c>
      <c r="O11" s="25" t="s">
        <v>21</v>
      </c>
      <c r="P11" s="51" t="s">
        <v>25</v>
      </c>
      <c r="Q11" s="51" t="s">
        <v>123</v>
      </c>
    </row>
    <row r="12" spans="2:17">
      <c r="B12" s="275"/>
      <c r="C12" s="275"/>
      <c r="D12" s="55" t="s">
        <v>24</v>
      </c>
      <c r="E12" s="76">
        <f>(2690+530)+680</f>
        <v>3900</v>
      </c>
      <c r="F12" s="56">
        <v>225</v>
      </c>
      <c r="G12" s="56">
        <v>75</v>
      </c>
      <c r="H12" s="56">
        <v>14</v>
      </c>
      <c r="I12" s="56">
        <v>50</v>
      </c>
      <c r="J12" s="56">
        <v>300</v>
      </c>
      <c r="K12" s="57">
        <f t="shared" si="0"/>
        <v>4564</v>
      </c>
      <c r="L12" s="58">
        <v>200</v>
      </c>
      <c r="M12" s="57">
        <f t="shared" si="1"/>
        <v>4764</v>
      </c>
      <c r="N12" s="59" t="s">
        <v>122</v>
      </c>
      <c r="O12" s="25" t="s">
        <v>21</v>
      </c>
      <c r="P12" s="51" t="s">
        <v>25</v>
      </c>
      <c r="Q12" s="51" t="s">
        <v>123</v>
      </c>
    </row>
    <row r="13" spans="2:17">
      <c r="B13" s="275" t="s">
        <v>26</v>
      </c>
      <c r="C13" s="275" t="s">
        <v>121</v>
      </c>
      <c r="D13" s="55" t="s">
        <v>18</v>
      </c>
      <c r="E13" s="76">
        <f>(2375+265)+560</f>
        <v>3200</v>
      </c>
      <c r="F13" s="56">
        <v>175</v>
      </c>
      <c r="G13" s="56">
        <v>75</v>
      </c>
      <c r="H13" s="56">
        <v>14</v>
      </c>
      <c r="I13" s="56">
        <v>50</v>
      </c>
      <c r="J13" s="56">
        <v>150</v>
      </c>
      <c r="K13" s="57">
        <f t="shared" si="0"/>
        <v>3664</v>
      </c>
      <c r="L13" s="58">
        <v>200</v>
      </c>
      <c r="M13" s="57">
        <f t="shared" si="1"/>
        <v>3864</v>
      </c>
      <c r="N13" s="59" t="s">
        <v>124</v>
      </c>
      <c r="O13" s="25" t="s">
        <v>21</v>
      </c>
      <c r="P13" s="51" t="s">
        <v>25</v>
      </c>
      <c r="Q13" s="51" t="s">
        <v>123</v>
      </c>
    </row>
    <row r="14" spans="2:17">
      <c r="B14" s="275"/>
      <c r="C14" s="275"/>
      <c r="D14" s="55" t="s">
        <v>24</v>
      </c>
      <c r="E14" s="76">
        <f>(3375+530)+600</f>
        <v>4505</v>
      </c>
      <c r="F14" s="56">
        <v>225</v>
      </c>
      <c r="G14" s="56">
        <v>75</v>
      </c>
      <c r="H14" s="56">
        <v>14</v>
      </c>
      <c r="I14" s="56">
        <v>50</v>
      </c>
      <c r="J14" s="56">
        <v>300</v>
      </c>
      <c r="K14" s="57">
        <f t="shared" si="0"/>
        <v>5169</v>
      </c>
      <c r="L14" s="58">
        <v>200</v>
      </c>
      <c r="M14" s="57">
        <f t="shared" si="1"/>
        <v>5369</v>
      </c>
      <c r="N14" s="59" t="s">
        <v>124</v>
      </c>
      <c r="O14" s="25" t="s">
        <v>21</v>
      </c>
      <c r="P14" s="51" t="s">
        <v>25</v>
      </c>
      <c r="Q14" s="51" t="s">
        <v>123</v>
      </c>
    </row>
    <row r="15" spans="2:17">
      <c r="B15" s="324" t="s">
        <v>28</v>
      </c>
      <c r="C15" s="275" t="s">
        <v>121</v>
      </c>
      <c r="D15" s="55" t="s">
        <v>18</v>
      </c>
      <c r="E15" s="76">
        <f>(2675+265)+550</f>
        <v>3490</v>
      </c>
      <c r="F15" s="56">
        <v>175</v>
      </c>
      <c r="G15" s="56">
        <v>75</v>
      </c>
      <c r="H15" s="56">
        <v>14</v>
      </c>
      <c r="I15" s="56">
        <v>50</v>
      </c>
      <c r="J15" s="56">
        <v>150</v>
      </c>
      <c r="K15" s="57">
        <f t="shared" si="0"/>
        <v>3954</v>
      </c>
      <c r="L15" s="58">
        <v>200</v>
      </c>
      <c r="M15" s="57">
        <f t="shared" si="1"/>
        <v>4154</v>
      </c>
      <c r="N15" s="59" t="s">
        <v>125</v>
      </c>
      <c r="O15" s="25" t="s">
        <v>21</v>
      </c>
      <c r="P15" s="51" t="s">
        <v>25</v>
      </c>
      <c r="Q15" s="51" t="s">
        <v>123</v>
      </c>
    </row>
    <row r="16" spans="2:17">
      <c r="B16" s="324"/>
      <c r="C16" s="275"/>
      <c r="D16" s="55" t="s">
        <v>24</v>
      </c>
      <c r="E16" s="76">
        <f>(3750+530)+725</f>
        <v>5005</v>
      </c>
      <c r="F16" s="56">
        <v>225</v>
      </c>
      <c r="G16" s="56">
        <v>75</v>
      </c>
      <c r="H16" s="56">
        <v>14</v>
      </c>
      <c r="I16" s="56">
        <v>50</v>
      </c>
      <c r="J16" s="56">
        <v>300</v>
      </c>
      <c r="K16" s="57">
        <f t="shared" si="0"/>
        <v>5669</v>
      </c>
      <c r="L16" s="58">
        <v>200</v>
      </c>
      <c r="M16" s="57">
        <f t="shared" si="1"/>
        <v>5869</v>
      </c>
      <c r="N16" s="59" t="s">
        <v>125</v>
      </c>
      <c r="O16" s="25" t="s">
        <v>21</v>
      </c>
      <c r="P16" s="51" t="s">
        <v>25</v>
      </c>
      <c r="Q16" s="51" t="s">
        <v>123</v>
      </c>
    </row>
    <row r="17" spans="2:18">
      <c r="B17" s="275" t="s">
        <v>126</v>
      </c>
      <c r="C17" s="275" t="s">
        <v>121</v>
      </c>
      <c r="D17" s="55" t="s">
        <v>18</v>
      </c>
      <c r="E17" s="76">
        <f>(2375+265)+560</f>
        <v>3200</v>
      </c>
      <c r="F17" s="56">
        <v>175</v>
      </c>
      <c r="G17" s="56">
        <v>75</v>
      </c>
      <c r="H17" s="56">
        <v>14</v>
      </c>
      <c r="I17" s="56">
        <v>50</v>
      </c>
      <c r="J17" s="56">
        <v>150</v>
      </c>
      <c r="K17" s="57">
        <f t="shared" si="0"/>
        <v>3664</v>
      </c>
      <c r="L17" s="58">
        <v>200</v>
      </c>
      <c r="M17" s="57">
        <f t="shared" si="1"/>
        <v>3864</v>
      </c>
      <c r="N17" s="59" t="s">
        <v>127</v>
      </c>
      <c r="O17" s="25" t="s">
        <v>21</v>
      </c>
      <c r="P17" s="51" t="s">
        <v>25</v>
      </c>
      <c r="Q17" s="51" t="s">
        <v>123</v>
      </c>
    </row>
    <row r="18" spans="2:18">
      <c r="B18" s="275"/>
      <c r="C18" s="275"/>
      <c r="D18" s="55" t="s">
        <v>24</v>
      </c>
      <c r="E18" s="76">
        <f>(3375+530)+600</f>
        <v>4505</v>
      </c>
      <c r="F18" s="56">
        <v>225</v>
      </c>
      <c r="G18" s="56">
        <v>75</v>
      </c>
      <c r="H18" s="56">
        <v>14</v>
      </c>
      <c r="I18" s="56">
        <v>50</v>
      </c>
      <c r="J18" s="56">
        <v>300</v>
      </c>
      <c r="K18" s="57">
        <f t="shared" si="0"/>
        <v>5169</v>
      </c>
      <c r="L18" s="58">
        <v>200</v>
      </c>
      <c r="M18" s="57">
        <f t="shared" si="1"/>
        <v>5369</v>
      </c>
      <c r="N18" s="59" t="s">
        <v>127</v>
      </c>
      <c r="O18" s="25" t="s">
        <v>21</v>
      </c>
      <c r="P18" s="51" t="s">
        <v>25</v>
      </c>
      <c r="Q18" s="51" t="s">
        <v>123</v>
      </c>
    </row>
    <row r="19" spans="2:18">
      <c r="B19" s="28"/>
      <c r="C19" s="28"/>
      <c r="E19" s="69"/>
      <c r="F19" s="65"/>
      <c r="G19" s="65"/>
      <c r="H19" s="65"/>
      <c r="I19" s="65"/>
      <c r="J19" s="66"/>
      <c r="K19" s="66"/>
      <c r="L19" s="66"/>
      <c r="M19" s="66"/>
      <c r="N19" s="64"/>
      <c r="O19" s="66"/>
      <c r="P19" s="67"/>
      <c r="Q19" s="35"/>
    </row>
    <row r="20" spans="2:18" ht="15.6">
      <c r="B20" s="334" t="s">
        <v>34</v>
      </c>
      <c r="C20" s="335"/>
      <c r="D20" s="335"/>
      <c r="E20" s="335"/>
      <c r="F20" s="335"/>
      <c r="G20" s="335"/>
      <c r="H20" s="335"/>
      <c r="I20" s="335"/>
      <c r="J20" s="335"/>
      <c r="K20" s="335"/>
      <c r="L20" s="335"/>
      <c r="M20" s="335"/>
      <c r="N20" s="335"/>
      <c r="O20" s="335"/>
      <c r="P20" s="335"/>
      <c r="Q20" s="335"/>
      <c r="R20" s="336"/>
    </row>
    <row r="21" spans="2:18" ht="14.45" customHeight="1">
      <c r="B21" s="337" t="s">
        <v>35</v>
      </c>
      <c r="C21" s="338"/>
      <c r="D21" s="338"/>
      <c r="E21" s="338"/>
      <c r="F21" s="338"/>
      <c r="G21" s="338"/>
      <c r="H21" s="338"/>
      <c r="I21" s="338"/>
      <c r="J21" s="338"/>
      <c r="K21" s="338"/>
      <c r="L21" s="338"/>
      <c r="M21" s="338"/>
      <c r="N21" s="338"/>
      <c r="O21" s="338"/>
      <c r="P21" s="338"/>
      <c r="Q21" s="338"/>
      <c r="R21" s="339"/>
    </row>
    <row r="22" spans="2:18">
      <c r="B22" s="340"/>
      <c r="C22" s="269"/>
      <c r="D22" s="269"/>
      <c r="E22" s="269"/>
      <c r="F22" s="269"/>
      <c r="G22" s="269"/>
      <c r="H22" s="269"/>
      <c r="I22" s="269"/>
      <c r="J22" s="269"/>
      <c r="K22" s="269"/>
      <c r="L22" s="269"/>
      <c r="M22" s="269"/>
      <c r="N22" s="269"/>
      <c r="O22" s="269"/>
      <c r="P22" s="269"/>
      <c r="Q22" s="269"/>
      <c r="R22" s="341"/>
    </row>
    <row r="23" spans="2:18">
      <c r="B23" s="340"/>
      <c r="C23" s="269"/>
      <c r="D23" s="269"/>
      <c r="E23" s="269"/>
      <c r="F23" s="269"/>
      <c r="G23" s="269"/>
      <c r="H23" s="269"/>
      <c r="I23" s="269"/>
      <c r="J23" s="269"/>
      <c r="K23" s="269"/>
      <c r="L23" s="269"/>
      <c r="M23" s="269"/>
      <c r="N23" s="269"/>
      <c r="O23" s="269"/>
      <c r="P23" s="269"/>
      <c r="Q23" s="269"/>
      <c r="R23" s="341"/>
    </row>
    <row r="24" spans="2:18">
      <c r="B24" s="342"/>
      <c r="C24" s="343"/>
      <c r="D24" s="343"/>
      <c r="E24" s="343"/>
      <c r="F24" s="343"/>
      <c r="G24" s="343"/>
      <c r="H24" s="343"/>
      <c r="I24" s="343"/>
      <c r="J24" s="343"/>
      <c r="K24" s="343"/>
      <c r="L24" s="343"/>
      <c r="M24" s="343"/>
      <c r="N24" s="343"/>
      <c r="O24" s="343"/>
      <c r="P24" s="343"/>
      <c r="Q24" s="343"/>
      <c r="R24" s="344"/>
    </row>
    <row r="25" spans="2:18">
      <c r="B25" s="28"/>
      <c r="C25" s="28"/>
      <c r="E25" s="69"/>
      <c r="F25" s="65"/>
      <c r="G25" s="65"/>
      <c r="H25" s="65"/>
      <c r="I25" s="65"/>
      <c r="J25" s="66"/>
      <c r="K25" s="66"/>
      <c r="L25" s="66"/>
      <c r="M25" s="66"/>
      <c r="N25" s="64"/>
      <c r="O25" s="66"/>
      <c r="P25" s="67"/>
      <c r="Q25" s="35"/>
    </row>
    <row r="26" spans="2:18">
      <c r="B26" s="28"/>
      <c r="C26" s="28"/>
      <c r="E26" s="69"/>
      <c r="F26" s="65"/>
      <c r="G26" s="65"/>
      <c r="H26" s="65"/>
      <c r="I26" s="65"/>
      <c r="J26" s="66"/>
      <c r="K26" s="66"/>
      <c r="L26" s="66"/>
      <c r="M26" s="66"/>
      <c r="N26" s="64"/>
      <c r="O26" s="66"/>
      <c r="P26" s="67"/>
      <c r="Q26" s="35"/>
    </row>
    <row r="27" spans="2:18">
      <c r="B27" s="28"/>
      <c r="C27" s="28"/>
      <c r="E27" s="69"/>
      <c r="F27" s="65"/>
      <c r="G27" s="65"/>
      <c r="H27" s="65"/>
      <c r="I27" s="65"/>
      <c r="J27" s="66"/>
      <c r="K27" s="66"/>
      <c r="L27" s="66"/>
      <c r="M27" s="66"/>
      <c r="N27" s="64"/>
      <c r="O27" s="66"/>
      <c r="P27" s="67"/>
      <c r="Q27" s="35"/>
    </row>
    <row r="28" spans="2:18">
      <c r="B28" s="28"/>
      <c r="C28" s="28"/>
      <c r="E28" s="69"/>
      <c r="F28" s="65"/>
      <c r="G28" s="65"/>
      <c r="H28" s="65"/>
      <c r="I28" s="65"/>
      <c r="J28" s="66"/>
      <c r="K28" s="66"/>
      <c r="L28" s="66"/>
      <c r="M28" s="66"/>
      <c r="N28" s="64"/>
      <c r="O28" s="66"/>
      <c r="P28" s="67"/>
      <c r="Q28" s="35"/>
    </row>
    <row r="29" spans="2:18">
      <c r="B29" s="28"/>
      <c r="C29" s="28"/>
      <c r="E29" s="69"/>
      <c r="F29" s="65"/>
      <c r="G29" s="65"/>
      <c r="H29" s="65"/>
      <c r="I29" s="65"/>
      <c r="J29" s="66"/>
      <c r="K29" s="66"/>
      <c r="L29" s="66"/>
      <c r="M29" s="66"/>
      <c r="N29" s="64"/>
      <c r="O29" s="66"/>
      <c r="P29" s="67"/>
      <c r="Q29" s="35"/>
    </row>
    <row r="30" spans="2:18">
      <c r="B30" s="28"/>
      <c r="C30" s="28"/>
      <c r="E30" s="69"/>
      <c r="F30" s="65"/>
      <c r="G30" s="65"/>
      <c r="H30" s="65"/>
      <c r="I30" s="65"/>
      <c r="J30" s="66"/>
      <c r="K30" s="66"/>
      <c r="L30" s="66"/>
      <c r="M30" s="66"/>
      <c r="N30" s="64"/>
      <c r="O30" s="66"/>
      <c r="P30" s="67"/>
      <c r="Q30" s="35"/>
    </row>
    <row r="31" spans="2:18">
      <c r="B31" s="28"/>
      <c r="C31" s="28"/>
      <c r="E31" s="69"/>
      <c r="F31" s="65"/>
      <c r="G31" s="65"/>
      <c r="H31" s="65"/>
      <c r="I31" s="65"/>
      <c r="J31" s="66"/>
      <c r="K31" s="66"/>
      <c r="L31" s="66"/>
      <c r="M31" s="66"/>
      <c r="N31" s="64"/>
      <c r="O31" s="66"/>
      <c r="P31" s="67"/>
      <c r="Q31" s="35"/>
    </row>
    <row r="32" spans="2:18">
      <c r="B32" s="28"/>
      <c r="C32" s="28"/>
      <c r="E32" s="69"/>
      <c r="F32" s="65"/>
      <c r="G32" s="65"/>
      <c r="H32" s="65"/>
      <c r="I32" s="65"/>
      <c r="J32" s="66"/>
      <c r="K32" s="66"/>
      <c r="L32" s="66"/>
      <c r="M32" s="66"/>
      <c r="N32" s="64"/>
      <c r="O32" s="66"/>
      <c r="P32" s="67"/>
      <c r="Q32" s="35"/>
    </row>
    <row r="33" spans="2:21">
      <c r="B33" s="28"/>
      <c r="C33" s="28"/>
      <c r="E33" s="69"/>
      <c r="F33" s="65"/>
      <c r="G33" s="65"/>
      <c r="H33" s="65"/>
      <c r="I33" s="65"/>
      <c r="J33" s="66"/>
      <c r="K33" s="66"/>
      <c r="L33" s="66"/>
      <c r="M33" s="66"/>
      <c r="N33" s="64"/>
      <c r="O33" s="66"/>
      <c r="P33" s="67"/>
      <c r="Q33" s="35"/>
    </row>
    <row r="34" spans="2:21" ht="28.9">
      <c r="B34" s="318" t="s">
        <v>128</v>
      </c>
      <c r="C34" s="318"/>
      <c r="D34" s="318"/>
      <c r="E34" s="318"/>
      <c r="F34" s="318"/>
      <c r="G34" s="318"/>
      <c r="H34" s="318"/>
      <c r="I34" s="318"/>
      <c r="J34" s="318"/>
      <c r="K34" s="318"/>
      <c r="L34" s="318"/>
      <c r="M34" s="318"/>
      <c r="N34" s="318"/>
      <c r="O34" s="318"/>
      <c r="P34" s="318"/>
      <c r="Q34" s="318"/>
      <c r="R34" s="318"/>
    </row>
    <row r="35" spans="2:21" ht="28.9">
      <c r="B35" s="1" t="s">
        <v>1</v>
      </c>
      <c r="C35" s="349" t="s">
        <v>2</v>
      </c>
      <c r="D35" s="349"/>
      <c r="E35" s="136" t="s">
        <v>129</v>
      </c>
      <c r="F35" s="136" t="s">
        <v>130</v>
      </c>
      <c r="G35" s="11" t="s">
        <v>106</v>
      </c>
      <c r="H35" s="136" t="s">
        <v>6</v>
      </c>
      <c r="I35" s="2" t="s">
        <v>9</v>
      </c>
      <c r="J35" s="2" t="s">
        <v>10</v>
      </c>
      <c r="K35" s="2" t="s">
        <v>11</v>
      </c>
      <c r="L35" s="8" t="s">
        <v>12</v>
      </c>
      <c r="M35" s="9" t="s">
        <v>13</v>
      </c>
      <c r="N35" s="9" t="s">
        <v>14</v>
      </c>
      <c r="O35" s="133" t="s">
        <v>120</v>
      </c>
      <c r="P35" s="254" t="s">
        <v>38</v>
      </c>
      <c r="Q35" s="254"/>
      <c r="R35" s="254"/>
      <c r="U35" s="129" t="s">
        <v>15</v>
      </c>
    </row>
    <row r="36" spans="2:21" ht="14.45" customHeight="1">
      <c r="B36" s="319" t="s">
        <v>131</v>
      </c>
      <c r="C36" s="275" t="s">
        <v>121</v>
      </c>
      <c r="D36" s="55" t="s">
        <v>18</v>
      </c>
      <c r="E36" s="160">
        <f>CEILING((((1860+75)*1.12)),50)</f>
        <v>2200</v>
      </c>
      <c r="F36" s="37">
        <v>200</v>
      </c>
      <c r="G36" s="37">
        <v>150</v>
      </c>
      <c r="H36" s="37">
        <v>35</v>
      </c>
      <c r="I36" s="60">
        <f t="shared" ref="I36:I40" si="2">SUM(E36:H36)</f>
        <v>2585</v>
      </c>
      <c r="J36" s="58">
        <v>200</v>
      </c>
      <c r="K36" s="60">
        <f t="shared" ref="K36:K40" si="3">I36+J36</f>
        <v>2785</v>
      </c>
      <c r="L36" s="41" t="s">
        <v>132</v>
      </c>
      <c r="M36" s="25" t="s">
        <v>41</v>
      </c>
      <c r="N36" s="20" t="s">
        <v>65</v>
      </c>
      <c r="O36" s="55" t="s">
        <v>123</v>
      </c>
      <c r="P36" s="320" t="s">
        <v>133</v>
      </c>
      <c r="Q36" s="365"/>
      <c r="R36" s="321"/>
      <c r="U36" s="55" t="s">
        <v>134</v>
      </c>
    </row>
    <row r="37" spans="2:21">
      <c r="B37" s="319"/>
      <c r="C37" s="275"/>
      <c r="D37" s="55" t="s">
        <v>24</v>
      </c>
      <c r="E37" s="160">
        <f>CEILING((((2220+75)*1.12)),50)</f>
        <v>2600</v>
      </c>
      <c r="F37" s="37">
        <v>200</v>
      </c>
      <c r="G37" s="37">
        <v>100</v>
      </c>
      <c r="H37" s="37">
        <v>30</v>
      </c>
      <c r="I37" s="60">
        <f t="shared" si="2"/>
        <v>2930</v>
      </c>
      <c r="J37" s="58">
        <v>200</v>
      </c>
      <c r="K37" s="60">
        <f t="shared" si="3"/>
        <v>3130</v>
      </c>
      <c r="L37" s="114" t="s">
        <v>132</v>
      </c>
      <c r="M37" s="25" t="s">
        <v>41</v>
      </c>
      <c r="N37" s="20" t="s">
        <v>65</v>
      </c>
      <c r="O37" s="55" t="s">
        <v>123</v>
      </c>
      <c r="P37" s="366"/>
      <c r="Q37" s="367"/>
      <c r="R37" s="368"/>
      <c r="U37" s="55" t="s">
        <v>134</v>
      </c>
    </row>
    <row r="38" spans="2:21" hidden="1">
      <c r="B38" s="132" t="s">
        <v>135</v>
      </c>
      <c r="C38" s="20" t="s">
        <v>121</v>
      </c>
      <c r="D38" s="55" t="s">
        <v>18</v>
      </c>
      <c r="E38" s="160">
        <v>1450</v>
      </c>
      <c r="F38" s="41" t="s">
        <v>136</v>
      </c>
      <c r="G38" s="37">
        <v>150</v>
      </c>
      <c r="H38" s="37">
        <v>35</v>
      </c>
      <c r="I38" s="60">
        <f t="shared" si="2"/>
        <v>1635</v>
      </c>
      <c r="J38" s="58">
        <v>200</v>
      </c>
      <c r="K38" s="60">
        <f t="shared" si="3"/>
        <v>1835</v>
      </c>
      <c r="L38" s="114" t="s">
        <v>132</v>
      </c>
      <c r="M38" s="25" t="s">
        <v>137</v>
      </c>
      <c r="N38" s="20" t="s">
        <v>109</v>
      </c>
      <c r="O38" s="55" t="s">
        <v>138</v>
      </c>
      <c r="P38" s="322"/>
      <c r="Q38" s="369"/>
      <c r="R38" s="323"/>
      <c r="U38" s="55" t="s">
        <v>139</v>
      </c>
    </row>
    <row r="39" spans="2:21">
      <c r="B39" s="132" t="s">
        <v>140</v>
      </c>
      <c r="C39" s="20" t="s">
        <v>121</v>
      </c>
      <c r="D39" s="55" t="s">
        <v>18</v>
      </c>
      <c r="E39" s="155">
        <v>3100</v>
      </c>
      <c r="F39" s="41" t="s">
        <v>136</v>
      </c>
      <c r="G39" s="37">
        <v>100</v>
      </c>
      <c r="H39" s="37">
        <v>18</v>
      </c>
      <c r="I39" s="60">
        <f t="shared" si="2"/>
        <v>3218</v>
      </c>
      <c r="J39" s="58">
        <v>200</v>
      </c>
      <c r="K39" s="60">
        <f t="shared" si="3"/>
        <v>3418</v>
      </c>
      <c r="L39" s="114">
        <v>35</v>
      </c>
      <c r="M39" s="25" t="s">
        <v>41</v>
      </c>
      <c r="N39" s="20" t="s">
        <v>47</v>
      </c>
      <c r="O39" s="55" t="s">
        <v>141</v>
      </c>
      <c r="P39" s="370" t="s">
        <v>133</v>
      </c>
      <c r="Q39" s="371"/>
      <c r="R39" s="372"/>
      <c r="U39" s="55" t="s">
        <v>142</v>
      </c>
    </row>
    <row r="40" spans="2:21" ht="27" customHeight="1">
      <c r="B40" s="134" t="s">
        <v>143</v>
      </c>
      <c r="C40" s="20" t="s">
        <v>121</v>
      </c>
      <c r="D40" s="55" t="s">
        <v>24</v>
      </c>
      <c r="E40" s="160">
        <f>CEILING((((2220+75)*1.12)),25)</f>
        <v>2575</v>
      </c>
      <c r="F40" s="37">
        <v>200</v>
      </c>
      <c r="G40" s="37">
        <v>100</v>
      </c>
      <c r="H40" s="37">
        <v>30</v>
      </c>
      <c r="I40" s="60">
        <f t="shared" si="2"/>
        <v>2905</v>
      </c>
      <c r="J40" s="58">
        <v>200</v>
      </c>
      <c r="K40" s="60">
        <f t="shared" si="3"/>
        <v>3105</v>
      </c>
      <c r="L40" s="114" t="s">
        <v>132</v>
      </c>
      <c r="M40" s="25" t="s">
        <v>41</v>
      </c>
      <c r="N40" s="20" t="s">
        <v>65</v>
      </c>
      <c r="O40" s="55" t="s">
        <v>123</v>
      </c>
      <c r="P40" s="370" t="s">
        <v>133</v>
      </c>
      <c r="Q40" s="371"/>
      <c r="R40" s="372"/>
      <c r="U40" s="55" t="s">
        <v>134</v>
      </c>
    </row>
    <row r="41" spans="2:21">
      <c r="B41" s="44"/>
      <c r="E41" s="45"/>
      <c r="F41" s="45"/>
      <c r="G41" s="45"/>
      <c r="H41" s="45"/>
      <c r="I41" s="45"/>
      <c r="J41" s="66"/>
      <c r="K41" s="66"/>
      <c r="L41" s="66"/>
      <c r="M41" s="66"/>
      <c r="N41" s="64"/>
      <c r="O41" s="66"/>
      <c r="P41" s="135"/>
      <c r="Q41" s="120"/>
      <c r="R41" s="112"/>
      <c r="S41" s="121"/>
    </row>
    <row r="42" spans="2:21" ht="15.6">
      <c r="B42" s="5" t="s">
        <v>34</v>
      </c>
      <c r="C42" s="6"/>
      <c r="D42" s="6"/>
      <c r="E42" s="6"/>
      <c r="F42" s="6"/>
      <c r="G42" s="6"/>
      <c r="H42" s="6"/>
      <c r="I42" s="6"/>
      <c r="J42" s="6"/>
      <c r="K42" s="6"/>
      <c r="L42" s="6"/>
      <c r="M42" s="6"/>
      <c r="N42" s="6"/>
      <c r="O42" s="6"/>
      <c r="P42" s="6"/>
      <c r="Q42" s="6"/>
      <c r="R42" s="6"/>
      <c r="S42" s="7"/>
    </row>
    <row r="43" spans="2:21">
      <c r="B43" s="256" t="s">
        <v>35</v>
      </c>
      <c r="C43" s="256"/>
      <c r="D43" s="256"/>
      <c r="E43" s="256"/>
      <c r="F43" s="256"/>
      <c r="G43" s="256"/>
      <c r="H43" s="256"/>
      <c r="I43" s="256"/>
      <c r="J43" s="256"/>
      <c r="K43" s="256"/>
      <c r="L43" s="256"/>
      <c r="M43" s="256"/>
      <c r="N43" s="256"/>
      <c r="O43" s="256"/>
      <c r="P43" s="256"/>
      <c r="Q43" s="256"/>
      <c r="R43" s="256"/>
      <c r="S43" s="256"/>
    </row>
    <row r="44" spans="2:21">
      <c r="B44" s="256"/>
      <c r="C44" s="256"/>
      <c r="D44" s="256"/>
      <c r="E44" s="256"/>
      <c r="F44" s="256"/>
      <c r="G44" s="256"/>
      <c r="H44" s="256"/>
      <c r="I44" s="256"/>
      <c r="J44" s="256"/>
      <c r="K44" s="256"/>
      <c r="L44" s="256"/>
      <c r="M44" s="256"/>
      <c r="N44" s="256"/>
      <c r="O44" s="256"/>
      <c r="P44" s="256"/>
      <c r="Q44" s="256"/>
      <c r="R44" s="256"/>
      <c r="S44" s="256"/>
    </row>
    <row r="45" spans="2:21">
      <c r="B45" s="256"/>
      <c r="C45" s="256"/>
      <c r="D45" s="256"/>
      <c r="E45" s="256"/>
      <c r="F45" s="256"/>
      <c r="G45" s="256"/>
      <c r="H45" s="256"/>
      <c r="I45" s="256"/>
      <c r="J45" s="256"/>
      <c r="K45" s="256"/>
      <c r="L45" s="256"/>
      <c r="M45" s="256"/>
      <c r="N45" s="256"/>
      <c r="O45" s="256"/>
      <c r="P45" s="256"/>
      <c r="Q45" s="256"/>
      <c r="R45" s="256"/>
      <c r="S45" s="256"/>
    </row>
    <row r="46" spans="2:21">
      <c r="B46" s="259"/>
      <c r="C46" s="259"/>
      <c r="D46" s="259"/>
      <c r="E46" s="259"/>
      <c r="F46" s="259"/>
      <c r="G46" s="259"/>
      <c r="H46" s="259"/>
      <c r="I46" s="259"/>
      <c r="J46" s="259"/>
      <c r="K46" s="259"/>
      <c r="L46" s="259"/>
      <c r="M46" s="259"/>
      <c r="N46" s="259"/>
      <c r="O46" s="259"/>
      <c r="P46" s="259"/>
      <c r="Q46" s="259"/>
      <c r="R46" s="259"/>
      <c r="S46" s="259"/>
    </row>
    <row r="47" spans="2:21">
      <c r="B47" s="44"/>
      <c r="E47" s="45"/>
      <c r="F47" s="45"/>
      <c r="G47" s="45"/>
      <c r="H47" s="45"/>
      <c r="I47" s="45"/>
      <c r="J47" s="66"/>
      <c r="K47" s="66"/>
      <c r="L47" s="66"/>
      <c r="M47" s="66"/>
      <c r="N47" s="64"/>
      <c r="O47" s="66"/>
      <c r="P47" s="135"/>
      <c r="Q47" s="35"/>
      <c r="R47" s="135"/>
    </row>
    <row r="48" spans="2:21">
      <c r="B48" s="44"/>
      <c r="E48" s="45"/>
      <c r="F48" s="45"/>
      <c r="G48" s="45"/>
      <c r="H48" s="45"/>
      <c r="I48" s="45"/>
      <c r="J48" s="66"/>
      <c r="K48" s="66"/>
      <c r="L48" s="66"/>
      <c r="M48" s="66"/>
      <c r="N48" s="64"/>
      <c r="O48" s="66"/>
      <c r="P48" s="135"/>
      <c r="Q48" s="35"/>
      <c r="R48" s="135"/>
    </row>
    <row r="49" spans="2:21">
      <c r="B49" s="44"/>
      <c r="E49" s="45"/>
      <c r="F49" s="45"/>
      <c r="G49" s="45"/>
      <c r="H49" s="45"/>
      <c r="I49" s="45"/>
      <c r="J49" s="66"/>
      <c r="K49" s="66"/>
      <c r="L49" s="66"/>
      <c r="M49" s="66"/>
      <c r="N49" s="64"/>
      <c r="O49" s="66"/>
      <c r="P49" s="135"/>
      <c r="Q49" s="35"/>
      <c r="R49" s="135"/>
    </row>
    <row r="50" spans="2:21">
      <c r="B50" s="44"/>
      <c r="E50" s="45"/>
      <c r="F50" s="45"/>
      <c r="G50" s="45"/>
      <c r="H50" s="45"/>
      <c r="I50" s="45"/>
      <c r="J50" s="66"/>
      <c r="K50" s="66"/>
      <c r="L50" s="66"/>
      <c r="M50" s="66"/>
      <c r="N50" s="64"/>
      <c r="O50" s="66"/>
      <c r="P50" s="135"/>
      <c r="Q50" s="35"/>
      <c r="R50" s="135"/>
    </row>
    <row r="51" spans="2:21">
      <c r="B51" s="44"/>
      <c r="E51" s="45"/>
      <c r="F51" s="45"/>
      <c r="G51" s="45"/>
      <c r="H51" s="45"/>
      <c r="I51" s="45"/>
      <c r="J51" s="66"/>
      <c r="K51" s="66"/>
      <c r="L51" s="66"/>
      <c r="M51" s="66"/>
      <c r="N51" s="64"/>
      <c r="O51" s="66"/>
      <c r="P51" s="135"/>
      <c r="Q51" s="35"/>
      <c r="R51" s="135"/>
    </row>
    <row r="52" spans="2:21">
      <c r="B52" s="44"/>
      <c r="E52" s="45"/>
      <c r="F52" s="45"/>
      <c r="G52" s="45"/>
      <c r="H52" s="45"/>
      <c r="I52" s="45"/>
      <c r="J52" s="66"/>
      <c r="K52" s="66"/>
      <c r="L52" s="66"/>
      <c r="M52" s="66"/>
      <c r="N52" s="64"/>
      <c r="O52" s="66"/>
      <c r="P52" s="135"/>
      <c r="Q52" s="35"/>
      <c r="R52" s="135"/>
    </row>
    <row r="53" spans="2:21">
      <c r="B53" s="44"/>
      <c r="E53" s="45"/>
      <c r="F53" s="45"/>
      <c r="G53" s="45"/>
      <c r="H53" s="45"/>
      <c r="I53" s="45"/>
      <c r="J53" s="66"/>
      <c r="K53" s="66"/>
      <c r="L53" s="66"/>
      <c r="M53" s="66"/>
      <c r="N53" s="64"/>
      <c r="O53" s="66"/>
      <c r="P53" s="135"/>
      <c r="Q53" s="35"/>
      <c r="R53" s="135"/>
    </row>
    <row r="54" spans="2:21">
      <c r="B54" s="44"/>
      <c r="E54" s="45"/>
      <c r="F54" s="45"/>
      <c r="G54" s="45"/>
      <c r="H54" s="45"/>
      <c r="I54" s="45"/>
      <c r="J54" s="66"/>
      <c r="K54" s="66"/>
      <c r="L54" s="66"/>
      <c r="M54" s="66"/>
      <c r="N54" s="64"/>
      <c r="O54" s="66"/>
      <c r="P54" s="135"/>
      <c r="Q54" s="35"/>
      <c r="R54" s="135"/>
    </row>
    <row r="55" spans="2:21" ht="15" thickBot="1">
      <c r="B55" s="44"/>
      <c r="E55" s="45"/>
      <c r="F55" s="45"/>
      <c r="G55" s="45"/>
      <c r="H55" s="45"/>
      <c r="I55" s="45"/>
      <c r="J55" s="66"/>
      <c r="K55" s="66"/>
      <c r="L55" s="66"/>
      <c r="M55" s="66"/>
      <c r="N55" s="64"/>
      <c r="O55" s="66"/>
      <c r="P55" s="135"/>
      <c r="Q55" s="35"/>
      <c r="R55" s="135"/>
    </row>
    <row r="56" spans="2:21" ht="28.9">
      <c r="B56" s="262" t="s">
        <v>144</v>
      </c>
      <c r="C56" s="262"/>
      <c r="D56" s="262"/>
      <c r="E56" s="262"/>
      <c r="F56" s="262"/>
      <c r="G56" s="262"/>
      <c r="H56" s="262"/>
      <c r="I56" s="262"/>
      <c r="J56" s="262"/>
      <c r="K56" s="262"/>
      <c r="L56" s="262"/>
      <c r="M56" s="262"/>
      <c r="N56" s="262"/>
      <c r="O56" s="262"/>
      <c r="P56" s="262"/>
      <c r="Q56" s="262"/>
    </row>
    <row r="57" spans="2:21" ht="28.9">
      <c r="B57" s="102" t="s">
        <v>1</v>
      </c>
      <c r="C57" s="254" t="s">
        <v>2</v>
      </c>
      <c r="D57" s="254"/>
      <c r="E57" s="129" t="s">
        <v>3</v>
      </c>
      <c r="F57" s="129" t="s">
        <v>4</v>
      </c>
      <c r="G57" s="129" t="s">
        <v>145</v>
      </c>
      <c r="H57" s="129" t="s">
        <v>54</v>
      </c>
      <c r="I57" s="3" t="s">
        <v>146</v>
      </c>
      <c r="J57" s="3" t="s">
        <v>55</v>
      </c>
      <c r="K57" s="3" t="s">
        <v>10</v>
      </c>
      <c r="L57" s="3" t="s">
        <v>11</v>
      </c>
      <c r="M57" s="3" t="s">
        <v>12</v>
      </c>
      <c r="N57" s="129" t="s">
        <v>13</v>
      </c>
      <c r="O57" s="129" t="s">
        <v>14</v>
      </c>
      <c r="P57" s="129" t="s">
        <v>147</v>
      </c>
      <c r="Q57" s="130" t="s">
        <v>148</v>
      </c>
      <c r="U57" s="129" t="s">
        <v>15</v>
      </c>
    </row>
    <row r="58" spans="2:21" ht="34.9" customHeight="1">
      <c r="B58" s="264" t="s">
        <v>149</v>
      </c>
      <c r="C58" s="275" t="s">
        <v>121</v>
      </c>
      <c r="D58" s="55" t="s">
        <v>18</v>
      </c>
      <c r="E58" s="86">
        <f>CEILING((((6000+297+115)*1.12)- 85)-150,50)</f>
        <v>6950</v>
      </c>
      <c r="F58" s="182">
        <v>85</v>
      </c>
      <c r="G58" s="183">
        <v>215</v>
      </c>
      <c r="H58" s="183">
        <v>75</v>
      </c>
      <c r="I58" s="182">
        <v>150</v>
      </c>
      <c r="J58" s="60">
        <f t="shared" ref="J58:J65" si="4">SUM(E58:I58)</f>
        <v>7475</v>
      </c>
      <c r="K58" s="58">
        <v>200</v>
      </c>
      <c r="L58" s="60">
        <f t="shared" ref="L58:L65" si="5">SUM(J58:K58)</f>
        <v>7675</v>
      </c>
      <c r="M58" s="61" t="s">
        <v>114</v>
      </c>
      <c r="N58" s="218" t="s">
        <v>60</v>
      </c>
      <c r="O58" s="173" t="s">
        <v>42</v>
      </c>
      <c r="P58" s="332" t="s">
        <v>150</v>
      </c>
      <c r="Q58" s="110" t="s">
        <v>124</v>
      </c>
      <c r="U58" s="55" t="s">
        <v>151</v>
      </c>
    </row>
    <row r="59" spans="2:21" ht="14.45" customHeight="1">
      <c r="B59" s="264"/>
      <c r="C59" s="275"/>
      <c r="D59" s="55" t="s">
        <v>24</v>
      </c>
      <c r="E59" s="86">
        <f>CEILING((((6500+297+115)*1.12)- 85)-150,50)</f>
        <v>7550</v>
      </c>
      <c r="F59" s="182">
        <v>85</v>
      </c>
      <c r="G59" s="183">
        <v>215</v>
      </c>
      <c r="H59" s="183">
        <v>75</v>
      </c>
      <c r="I59" s="182">
        <v>150</v>
      </c>
      <c r="J59" s="60">
        <f t="shared" si="4"/>
        <v>8075</v>
      </c>
      <c r="K59" s="58">
        <v>200</v>
      </c>
      <c r="L59" s="60">
        <f t="shared" si="5"/>
        <v>8275</v>
      </c>
      <c r="M59" s="61" t="s">
        <v>114</v>
      </c>
      <c r="N59" s="218" t="s">
        <v>60</v>
      </c>
      <c r="O59" s="173" t="s">
        <v>42</v>
      </c>
      <c r="P59" s="333"/>
      <c r="Q59" s="110" t="s">
        <v>124</v>
      </c>
      <c r="U59" s="55" t="s">
        <v>151</v>
      </c>
    </row>
    <row r="60" spans="2:21" ht="14.45" customHeight="1">
      <c r="B60" s="264" t="s">
        <v>152</v>
      </c>
      <c r="C60" s="275" t="s">
        <v>121</v>
      </c>
      <c r="D60" s="55" t="s">
        <v>18</v>
      </c>
      <c r="E60" s="86">
        <f>CEILING((((6150+297+115)*1.12)- 85)-150,50)</f>
        <v>7150</v>
      </c>
      <c r="F60" s="182">
        <v>85</v>
      </c>
      <c r="G60" s="183">
        <v>215</v>
      </c>
      <c r="H60" s="183">
        <v>75</v>
      </c>
      <c r="I60" s="182">
        <v>150</v>
      </c>
      <c r="J60" s="60">
        <f t="shared" ref="J60:J63" si="6">SUM(E60:I60)</f>
        <v>7675</v>
      </c>
      <c r="K60" s="58">
        <v>200</v>
      </c>
      <c r="L60" s="60">
        <f t="shared" ref="L60:L63" si="7">SUM(J60:K60)</f>
        <v>7875</v>
      </c>
      <c r="M60" s="61" t="s">
        <v>114</v>
      </c>
      <c r="N60" s="218" t="s">
        <v>60</v>
      </c>
      <c r="O60" s="173" t="s">
        <v>42</v>
      </c>
      <c r="P60" s="332" t="s">
        <v>150</v>
      </c>
      <c r="Q60" s="110" t="s">
        <v>124</v>
      </c>
      <c r="U60" s="55"/>
    </row>
    <row r="61" spans="2:21" ht="14.45" customHeight="1">
      <c r="B61" s="264"/>
      <c r="C61" s="275"/>
      <c r="D61" s="55" t="s">
        <v>24</v>
      </c>
      <c r="E61" s="86">
        <f>CEILING((((6720+297+115)*1.12)- 85)-150,50)</f>
        <v>7800</v>
      </c>
      <c r="F61" s="182">
        <v>85</v>
      </c>
      <c r="G61" s="183">
        <v>215</v>
      </c>
      <c r="H61" s="183">
        <v>75</v>
      </c>
      <c r="I61" s="182">
        <v>150</v>
      </c>
      <c r="J61" s="60">
        <f t="shared" si="6"/>
        <v>8325</v>
      </c>
      <c r="K61" s="58">
        <v>200</v>
      </c>
      <c r="L61" s="60">
        <f t="shared" si="7"/>
        <v>8525</v>
      </c>
      <c r="M61" s="61" t="s">
        <v>114</v>
      </c>
      <c r="N61" s="218" t="s">
        <v>60</v>
      </c>
      <c r="O61" s="173" t="s">
        <v>42</v>
      </c>
      <c r="P61" s="333"/>
      <c r="Q61" s="110" t="s">
        <v>124</v>
      </c>
      <c r="U61" s="55"/>
    </row>
    <row r="62" spans="2:21" ht="27.6" customHeight="1">
      <c r="B62" s="264" t="s">
        <v>153</v>
      </c>
      <c r="C62" s="275" t="s">
        <v>121</v>
      </c>
      <c r="D62" s="55" t="s">
        <v>18</v>
      </c>
      <c r="E62" s="86">
        <f>CEILING((((6080+40+115)*1.12)- 150)-150,50)</f>
        <v>6700</v>
      </c>
      <c r="F62" s="37">
        <v>150</v>
      </c>
      <c r="G62" s="37">
        <v>150</v>
      </c>
      <c r="H62" s="37">
        <v>75</v>
      </c>
      <c r="I62" s="169">
        <v>150</v>
      </c>
      <c r="J62" s="60">
        <f>SUM(E62:I62)</f>
        <v>7225</v>
      </c>
      <c r="K62" s="58">
        <v>200</v>
      </c>
      <c r="L62" s="60">
        <f t="shared" si="7"/>
        <v>7425</v>
      </c>
      <c r="M62" s="61" t="s">
        <v>114</v>
      </c>
      <c r="N62" s="218" t="s">
        <v>60</v>
      </c>
      <c r="O62" s="20" t="s">
        <v>65</v>
      </c>
      <c r="P62" s="147" t="s">
        <v>150</v>
      </c>
      <c r="Q62" s="110" t="s">
        <v>154</v>
      </c>
      <c r="U62" s="55"/>
    </row>
    <row r="63" spans="2:21" ht="25.9" customHeight="1">
      <c r="B63" s="264"/>
      <c r="C63" s="275"/>
      <c r="D63" s="55" t="s">
        <v>24</v>
      </c>
      <c r="E63" s="86">
        <f>CEILING((((6160+80+115)*1.12)- 150)-150,50)</f>
        <v>6850</v>
      </c>
      <c r="F63" s="37">
        <v>150</v>
      </c>
      <c r="G63" s="37">
        <v>150</v>
      </c>
      <c r="H63" s="37">
        <v>75</v>
      </c>
      <c r="I63" s="169">
        <v>150</v>
      </c>
      <c r="J63" s="60">
        <f t="shared" si="6"/>
        <v>7375</v>
      </c>
      <c r="K63" s="58">
        <v>200</v>
      </c>
      <c r="L63" s="60">
        <f t="shared" si="7"/>
        <v>7575</v>
      </c>
      <c r="M63" s="61" t="s">
        <v>114</v>
      </c>
      <c r="N63" s="218" t="s">
        <v>60</v>
      </c>
      <c r="O63" s="20" t="s">
        <v>65</v>
      </c>
      <c r="P63" s="147" t="s">
        <v>150</v>
      </c>
      <c r="Q63" s="110" t="s">
        <v>154</v>
      </c>
      <c r="U63" s="55"/>
    </row>
    <row r="64" spans="2:21">
      <c r="B64" s="361" t="s">
        <v>155</v>
      </c>
      <c r="C64" s="363" t="s">
        <v>121</v>
      </c>
      <c r="D64" s="55" t="s">
        <v>18</v>
      </c>
      <c r="E64" s="86">
        <f>CEILING((((6130+40+115)*1.12)- 85)-150,50)</f>
        <v>6850</v>
      </c>
      <c r="F64" s="37">
        <v>150</v>
      </c>
      <c r="G64" s="37">
        <v>150</v>
      </c>
      <c r="H64" s="37">
        <v>75</v>
      </c>
      <c r="I64" s="169">
        <v>150</v>
      </c>
      <c r="J64" s="171">
        <f t="shared" si="4"/>
        <v>7375</v>
      </c>
      <c r="K64" s="169">
        <v>200</v>
      </c>
      <c r="L64" s="171">
        <f t="shared" si="5"/>
        <v>7575</v>
      </c>
      <c r="M64" s="163" t="s">
        <v>114</v>
      </c>
      <c r="N64" s="218" t="s">
        <v>60</v>
      </c>
      <c r="O64" s="20" t="s">
        <v>65</v>
      </c>
      <c r="P64" s="354" t="s">
        <v>150</v>
      </c>
      <c r="Q64" s="110" t="s">
        <v>154</v>
      </c>
      <c r="U64" s="55" t="s">
        <v>156</v>
      </c>
    </row>
    <row r="65" spans="1:63 3073:12199 12790:15083">
      <c r="B65" s="362"/>
      <c r="C65" s="325"/>
      <c r="D65" s="55" t="s">
        <v>24</v>
      </c>
      <c r="E65" s="86">
        <f>CEILING((((6260+80+115)*1.12)- 85)-150,50)</f>
        <v>7000</v>
      </c>
      <c r="F65" s="37">
        <v>150</v>
      </c>
      <c r="G65" s="37">
        <v>150</v>
      </c>
      <c r="H65" s="37">
        <v>75</v>
      </c>
      <c r="I65" s="169">
        <v>150</v>
      </c>
      <c r="J65" s="171">
        <f t="shared" si="4"/>
        <v>7525</v>
      </c>
      <c r="K65" s="169">
        <v>200</v>
      </c>
      <c r="L65" s="171">
        <f t="shared" si="5"/>
        <v>7725</v>
      </c>
      <c r="M65" s="163" t="s">
        <v>114</v>
      </c>
      <c r="N65" s="218" t="s">
        <v>60</v>
      </c>
      <c r="O65" s="20" t="s">
        <v>65</v>
      </c>
      <c r="P65" s="354"/>
      <c r="Q65" s="110" t="s">
        <v>154</v>
      </c>
      <c r="U65" s="55" t="s">
        <v>156</v>
      </c>
    </row>
    <row r="66" spans="1:63 3073:12199 12790:15083" ht="28.9">
      <c r="B66" s="295" t="s">
        <v>157</v>
      </c>
      <c r="C66" s="295"/>
      <c r="D66" s="364"/>
      <c r="E66" s="364"/>
      <c r="F66" s="295"/>
      <c r="G66" s="364"/>
      <c r="H66" s="364"/>
      <c r="I66" s="295"/>
      <c r="J66" s="364"/>
      <c r="K66" s="364"/>
      <c r="L66" s="364"/>
      <c r="M66" s="295"/>
      <c r="N66" s="364"/>
      <c r="O66" s="364"/>
      <c r="P66" s="364"/>
      <c r="Q66" s="364"/>
      <c r="U66" s="55"/>
    </row>
    <row r="67" spans="1:63 3073:12199 12790:15083" ht="28.9">
      <c r="B67" s="102" t="s">
        <v>1</v>
      </c>
      <c r="C67" s="254" t="s">
        <v>2</v>
      </c>
      <c r="D67" s="254"/>
      <c r="E67" s="8" t="s">
        <v>3</v>
      </c>
      <c r="F67" s="8" t="s">
        <v>4</v>
      </c>
      <c r="G67" s="8" t="s">
        <v>145</v>
      </c>
      <c r="H67" s="1" t="s">
        <v>54</v>
      </c>
      <c r="I67" s="97" t="s">
        <v>146</v>
      </c>
      <c r="J67" s="2" t="s">
        <v>9</v>
      </c>
      <c r="K67" s="2" t="s">
        <v>10</v>
      </c>
      <c r="L67" s="2" t="s">
        <v>11</v>
      </c>
      <c r="M67" s="8" t="s">
        <v>12</v>
      </c>
      <c r="N67" s="133" t="s">
        <v>13</v>
      </c>
      <c r="O67" s="133" t="s">
        <v>14</v>
      </c>
      <c r="P67" s="200" t="s">
        <v>147</v>
      </c>
      <c r="Q67" s="109" t="s">
        <v>148</v>
      </c>
      <c r="U67" s="55"/>
    </row>
    <row r="68" spans="1:63 3073:12199 12790:15083" hidden="1">
      <c r="B68" s="264" t="s">
        <v>158</v>
      </c>
      <c r="C68" s="275" t="s">
        <v>121</v>
      </c>
      <c r="D68" s="55" t="s">
        <v>18</v>
      </c>
      <c r="E68" s="86">
        <v>8800</v>
      </c>
      <c r="F68" s="58">
        <v>85</v>
      </c>
      <c r="G68" s="56">
        <v>215</v>
      </c>
      <c r="H68" s="56">
        <v>75</v>
      </c>
      <c r="I68" s="58">
        <v>150</v>
      </c>
      <c r="J68" s="60">
        <f t="shared" ref="J68:J73" si="8">SUM(E68:I68)</f>
        <v>9325</v>
      </c>
      <c r="K68" s="58">
        <v>200</v>
      </c>
      <c r="L68" s="60">
        <f t="shared" ref="L68:L73" si="9">SUM(J68:K68)</f>
        <v>9525</v>
      </c>
      <c r="M68" s="61" t="s">
        <v>114</v>
      </c>
      <c r="N68" s="25">
        <v>45663</v>
      </c>
      <c r="O68" s="55" t="s">
        <v>42</v>
      </c>
      <c r="P68" s="103" t="s">
        <v>159</v>
      </c>
      <c r="Q68" s="201" t="s">
        <v>124</v>
      </c>
      <c r="T68" s="19" t="s">
        <v>160</v>
      </c>
      <c r="U68" s="55" t="s">
        <v>161</v>
      </c>
    </row>
    <row r="69" spans="1:63 3073:12199 12790:15083" hidden="1">
      <c r="B69" s="264"/>
      <c r="C69" s="275"/>
      <c r="D69" s="55" t="s">
        <v>24</v>
      </c>
      <c r="E69" s="86">
        <v>8900</v>
      </c>
      <c r="F69" s="58">
        <v>85</v>
      </c>
      <c r="G69" s="56">
        <v>215</v>
      </c>
      <c r="H69" s="56">
        <v>75</v>
      </c>
      <c r="I69" s="58">
        <v>150</v>
      </c>
      <c r="J69" s="60">
        <f t="shared" si="8"/>
        <v>9425</v>
      </c>
      <c r="K69" s="58">
        <v>200</v>
      </c>
      <c r="L69" s="60">
        <f t="shared" si="9"/>
        <v>9625</v>
      </c>
      <c r="M69" s="61" t="s">
        <v>114</v>
      </c>
      <c r="N69" s="25">
        <v>45663</v>
      </c>
      <c r="O69" s="55" t="s">
        <v>42</v>
      </c>
      <c r="P69" s="198" t="s">
        <v>159</v>
      </c>
      <c r="Q69" s="196" t="s">
        <v>124</v>
      </c>
      <c r="T69" s="19" t="s">
        <v>160</v>
      </c>
      <c r="U69" s="184" t="s">
        <v>161</v>
      </c>
    </row>
    <row r="70" spans="1:63 3073:12199 12790:15083" ht="28.9" hidden="1">
      <c r="B70" s="281" t="s">
        <v>162</v>
      </c>
      <c r="C70" s="324" t="s">
        <v>121</v>
      </c>
      <c r="D70" s="55" t="s">
        <v>18</v>
      </c>
      <c r="E70" s="86">
        <v>7750</v>
      </c>
      <c r="F70" s="37">
        <v>150</v>
      </c>
      <c r="G70" s="37">
        <v>150</v>
      </c>
      <c r="H70" s="37">
        <v>35</v>
      </c>
      <c r="I70" s="58">
        <v>150</v>
      </c>
      <c r="J70" s="60">
        <f t="shared" si="8"/>
        <v>8235</v>
      </c>
      <c r="K70" s="58">
        <v>200</v>
      </c>
      <c r="L70" s="60">
        <f t="shared" si="9"/>
        <v>8435</v>
      </c>
      <c r="M70" s="61" t="s">
        <v>114</v>
      </c>
      <c r="N70" s="164" t="s">
        <v>163</v>
      </c>
      <c r="O70" s="197" t="s">
        <v>65</v>
      </c>
      <c r="P70" s="202" t="s">
        <v>150</v>
      </c>
      <c r="Q70" s="184" t="s">
        <v>154</v>
      </c>
      <c r="R70" s="194"/>
      <c r="S70" s="185"/>
      <c r="T70" s="185"/>
      <c r="U70" s="185" t="s">
        <v>156</v>
      </c>
      <c r="V70" s="185"/>
      <c r="W70" s="185"/>
      <c r="X70" s="185"/>
      <c r="Y70" s="185"/>
      <c r="Z70" s="185"/>
      <c r="AA70" s="185"/>
      <c r="AB70" s="185"/>
      <c r="AC70" s="185"/>
      <c r="AD70" s="185"/>
      <c r="AE70" s="204"/>
    </row>
    <row r="71" spans="1:63 3073:12199 12790:15083" ht="29.25" hidden="1" customHeight="1">
      <c r="A71" s="359"/>
      <c r="B71" s="351"/>
      <c r="C71" s="325"/>
      <c r="D71" s="55" t="s">
        <v>24</v>
      </c>
      <c r="E71" s="86">
        <v>8100</v>
      </c>
      <c r="F71" s="37">
        <v>150</v>
      </c>
      <c r="G71" s="37">
        <v>100</v>
      </c>
      <c r="H71" s="37">
        <v>30</v>
      </c>
      <c r="I71" s="58">
        <v>150</v>
      </c>
      <c r="J71" s="60">
        <f t="shared" si="8"/>
        <v>8530</v>
      </c>
      <c r="K71" s="58">
        <v>200</v>
      </c>
      <c r="L71" s="60">
        <f t="shared" si="9"/>
        <v>8730</v>
      </c>
      <c r="M71" s="61" t="s">
        <v>114</v>
      </c>
      <c r="N71" s="164" t="s">
        <v>163</v>
      </c>
      <c r="O71" s="20" t="s">
        <v>65</v>
      </c>
      <c r="P71" s="203" t="s">
        <v>150</v>
      </c>
      <c r="Q71" s="55" t="s">
        <v>154</v>
      </c>
      <c r="R71" s="195"/>
      <c r="S71" s="187"/>
      <c r="T71" s="188"/>
      <c r="U71" s="189">
        <v>215</v>
      </c>
      <c r="V71" s="189"/>
      <c r="W71" s="188"/>
      <c r="X71" s="190"/>
      <c r="Y71" s="188"/>
      <c r="Z71" s="190"/>
      <c r="AA71" s="191"/>
      <c r="AB71" s="192"/>
      <c r="AC71" s="186"/>
      <c r="AD71" s="356"/>
      <c r="AE71" s="205"/>
      <c r="AF71" s="357"/>
      <c r="AG71" s="358"/>
      <c r="AH71"/>
      <c r="AI71" s="174"/>
      <c r="AJ71" s="175"/>
      <c r="AK71" s="176"/>
      <c r="AL71" s="176"/>
      <c r="AM71" s="175"/>
      <c r="AN71" s="177"/>
      <c r="AO71" s="175"/>
      <c r="AP71" s="177"/>
      <c r="AQ71" s="178"/>
      <c r="AR71" s="179"/>
      <c r="AS71"/>
      <c r="AT71" s="355"/>
      <c r="AU71"/>
      <c r="AV71" s="357"/>
      <c r="AW71" s="358"/>
      <c r="AX71"/>
      <c r="AY71" s="174"/>
      <c r="AZ71" s="175"/>
      <c r="BA71" s="176"/>
      <c r="BB71" s="176"/>
      <c r="BC71" s="175"/>
      <c r="BD71" s="177"/>
      <c r="BE71" s="175"/>
      <c r="BF71" s="177"/>
      <c r="BG71" s="178"/>
      <c r="BH71" s="179"/>
      <c r="BI71"/>
      <c r="BJ71" s="355"/>
      <c r="BK71"/>
      <c r="DNE71" s="164">
        <v>45845</v>
      </c>
      <c r="DNF71" s="159" t="s">
        <v>42</v>
      </c>
      <c r="DNG71" s="354" t="s">
        <v>150</v>
      </c>
      <c r="DNH71" s="165" t="s">
        <v>124</v>
      </c>
      <c r="DNI71" s="352" t="s">
        <v>164</v>
      </c>
      <c r="DNJ71" s="353" t="s">
        <v>121</v>
      </c>
      <c r="DNK71" s="159" t="s">
        <v>18</v>
      </c>
      <c r="DNL71" s="160">
        <v>8100</v>
      </c>
      <c r="DNM71" s="169">
        <v>85</v>
      </c>
      <c r="DNN71" s="170">
        <v>215</v>
      </c>
      <c r="DNO71" s="170">
        <v>75</v>
      </c>
      <c r="DNP71" s="169">
        <v>150</v>
      </c>
      <c r="DNQ71" s="171">
        <f>SUM(DNL71:DNP71)</f>
        <v>8625</v>
      </c>
      <c r="DNR71" s="169">
        <v>200</v>
      </c>
      <c r="DNS71" s="171">
        <f>SUM(DNQ71:DNR71)</f>
        <v>8825</v>
      </c>
      <c r="DNT71" s="163" t="s">
        <v>114</v>
      </c>
      <c r="DNU71" s="164">
        <v>45845</v>
      </c>
      <c r="DNV71" s="159" t="s">
        <v>42</v>
      </c>
      <c r="DNW71" s="354" t="s">
        <v>150</v>
      </c>
      <c r="DNX71" s="165" t="s">
        <v>124</v>
      </c>
      <c r="DNY71" s="352" t="s">
        <v>164</v>
      </c>
      <c r="DNZ71" s="353" t="s">
        <v>121</v>
      </c>
      <c r="DOA71" s="159" t="s">
        <v>18</v>
      </c>
      <c r="DOB71" s="160">
        <v>8100</v>
      </c>
      <c r="DOC71" s="169">
        <v>85</v>
      </c>
      <c r="DOD71" s="170">
        <v>215</v>
      </c>
      <c r="DOE71" s="170">
        <v>75</v>
      </c>
      <c r="DOF71" s="169">
        <v>150</v>
      </c>
      <c r="DOG71" s="171">
        <f>SUM(DOB71:DOF71)</f>
        <v>8625</v>
      </c>
      <c r="DOH71" s="169">
        <v>200</v>
      </c>
      <c r="DOI71" s="171">
        <f>SUM(DOG71:DOH71)</f>
        <v>8825</v>
      </c>
      <c r="DOJ71" s="163" t="s">
        <v>114</v>
      </c>
      <c r="DOK71" s="164">
        <v>45845</v>
      </c>
      <c r="DOL71" s="159" t="s">
        <v>42</v>
      </c>
      <c r="DOM71" s="354" t="s">
        <v>150</v>
      </c>
      <c r="DON71" s="165" t="s">
        <v>124</v>
      </c>
      <c r="DOO71" s="352" t="s">
        <v>164</v>
      </c>
      <c r="DOP71" s="353" t="s">
        <v>121</v>
      </c>
      <c r="DOQ71" s="159" t="s">
        <v>18</v>
      </c>
      <c r="DOR71" s="160">
        <v>8100</v>
      </c>
      <c r="DOS71" s="169">
        <v>85</v>
      </c>
      <c r="DOT71" s="170">
        <v>215</v>
      </c>
      <c r="DOU71" s="170">
        <v>75</v>
      </c>
      <c r="DOV71" s="169">
        <v>150</v>
      </c>
      <c r="DOW71" s="171">
        <f>SUM(DOR71:DOV71)</f>
        <v>8625</v>
      </c>
      <c r="DOX71" s="169">
        <v>200</v>
      </c>
      <c r="DOY71" s="171">
        <f>SUM(DOW71:DOX71)</f>
        <v>8825</v>
      </c>
      <c r="DOZ71" s="163" t="s">
        <v>114</v>
      </c>
      <c r="DPA71" s="164">
        <v>45845</v>
      </c>
      <c r="DPB71" s="159" t="s">
        <v>42</v>
      </c>
      <c r="DPC71" s="354" t="s">
        <v>150</v>
      </c>
      <c r="DPD71" s="165" t="s">
        <v>124</v>
      </c>
      <c r="DPE71" s="352" t="s">
        <v>164</v>
      </c>
      <c r="DPF71" s="353" t="s">
        <v>121</v>
      </c>
      <c r="DPG71" s="159" t="s">
        <v>18</v>
      </c>
      <c r="DPH71" s="160">
        <v>8100</v>
      </c>
      <c r="DPI71" s="169">
        <v>85</v>
      </c>
      <c r="DPJ71" s="170">
        <v>215</v>
      </c>
      <c r="DPK71" s="170">
        <v>75</v>
      </c>
      <c r="DPL71" s="169">
        <v>150</v>
      </c>
      <c r="DPM71" s="171">
        <f>SUM(DPH71:DPL71)</f>
        <v>8625</v>
      </c>
      <c r="DPN71" s="169">
        <v>200</v>
      </c>
      <c r="DPO71" s="171">
        <f>SUM(DPM71:DPN71)</f>
        <v>8825</v>
      </c>
      <c r="DPP71" s="163" t="s">
        <v>114</v>
      </c>
      <c r="DPQ71" s="164">
        <v>45845</v>
      </c>
      <c r="DPR71" s="159" t="s">
        <v>42</v>
      </c>
      <c r="DPS71" s="354" t="s">
        <v>150</v>
      </c>
      <c r="DPT71" s="165" t="s">
        <v>124</v>
      </c>
      <c r="DPU71" s="352" t="s">
        <v>164</v>
      </c>
      <c r="DPV71" s="353" t="s">
        <v>121</v>
      </c>
      <c r="DPW71" s="159" t="s">
        <v>18</v>
      </c>
      <c r="DPX71" s="160">
        <v>8100</v>
      </c>
      <c r="DPY71" s="169">
        <v>85</v>
      </c>
      <c r="DPZ71" s="170">
        <v>215</v>
      </c>
      <c r="DQA71" s="170">
        <v>75</v>
      </c>
      <c r="DQB71" s="169">
        <v>150</v>
      </c>
      <c r="DQC71" s="171">
        <f>SUM(DPX71:DQB71)</f>
        <v>8625</v>
      </c>
      <c r="DQD71" s="169">
        <v>200</v>
      </c>
      <c r="DQE71" s="171">
        <f>SUM(DQC71:DQD71)</f>
        <v>8825</v>
      </c>
      <c r="DQF71" s="163" t="s">
        <v>114</v>
      </c>
      <c r="DQG71" s="164">
        <v>45845</v>
      </c>
      <c r="DQH71" s="159" t="s">
        <v>42</v>
      </c>
      <c r="DQI71" s="354" t="s">
        <v>150</v>
      </c>
      <c r="DQJ71" s="165" t="s">
        <v>124</v>
      </c>
      <c r="DQK71" s="352" t="s">
        <v>164</v>
      </c>
      <c r="DQL71" s="353" t="s">
        <v>121</v>
      </c>
      <c r="DQM71" s="159" t="s">
        <v>18</v>
      </c>
      <c r="DQN71" s="160">
        <v>8100</v>
      </c>
      <c r="DQO71" s="169">
        <v>85</v>
      </c>
      <c r="DQP71" s="170">
        <v>215</v>
      </c>
      <c r="DQQ71" s="170">
        <v>75</v>
      </c>
      <c r="DQR71" s="169">
        <v>150</v>
      </c>
      <c r="DQS71" s="171">
        <f>SUM(DQN71:DQR71)</f>
        <v>8625</v>
      </c>
      <c r="DQT71" s="169">
        <v>200</v>
      </c>
      <c r="DQU71" s="171">
        <f>SUM(DQS71:DQT71)</f>
        <v>8825</v>
      </c>
      <c r="DQV71" s="163" t="s">
        <v>114</v>
      </c>
      <c r="DQW71" s="164">
        <v>45845</v>
      </c>
      <c r="DQX71" s="159" t="s">
        <v>42</v>
      </c>
      <c r="DQY71" s="354" t="s">
        <v>150</v>
      </c>
      <c r="DQZ71" s="165" t="s">
        <v>124</v>
      </c>
      <c r="DRA71" s="352" t="s">
        <v>164</v>
      </c>
      <c r="DRB71" s="353" t="s">
        <v>121</v>
      </c>
      <c r="DRC71" s="159" t="s">
        <v>18</v>
      </c>
      <c r="DRD71" s="160">
        <v>8100</v>
      </c>
      <c r="DRE71" s="169">
        <v>85</v>
      </c>
      <c r="DRF71" s="170">
        <v>215</v>
      </c>
      <c r="DRG71" s="170">
        <v>75</v>
      </c>
      <c r="DRH71" s="169">
        <v>150</v>
      </c>
      <c r="DRI71" s="171">
        <f>SUM(DRD71:DRH71)</f>
        <v>8625</v>
      </c>
      <c r="DRJ71" s="169">
        <v>200</v>
      </c>
      <c r="DRK71" s="171">
        <f>SUM(DRI71:DRJ71)</f>
        <v>8825</v>
      </c>
      <c r="DRL71" s="163" t="s">
        <v>114</v>
      </c>
      <c r="DRM71" s="164">
        <v>45845</v>
      </c>
      <c r="DRN71" s="159" t="s">
        <v>42</v>
      </c>
      <c r="DRO71" s="354" t="s">
        <v>150</v>
      </c>
      <c r="DRP71" s="165" t="s">
        <v>124</v>
      </c>
      <c r="DRQ71" s="352" t="s">
        <v>164</v>
      </c>
      <c r="DRR71" s="353" t="s">
        <v>121</v>
      </c>
      <c r="DRS71" s="159" t="s">
        <v>18</v>
      </c>
      <c r="DRT71" s="160">
        <v>8100</v>
      </c>
      <c r="DRU71" s="169">
        <v>85</v>
      </c>
      <c r="DRV71" s="170">
        <v>215</v>
      </c>
      <c r="DRW71" s="170">
        <v>75</v>
      </c>
      <c r="DRX71" s="169">
        <v>150</v>
      </c>
      <c r="DRY71" s="171">
        <f>SUM(DRT71:DRX71)</f>
        <v>8625</v>
      </c>
      <c r="DRZ71" s="169">
        <v>200</v>
      </c>
      <c r="DSA71" s="171">
        <f>SUM(DRY71:DRZ71)</f>
        <v>8825</v>
      </c>
      <c r="DSB71" s="163" t="s">
        <v>114</v>
      </c>
      <c r="DSC71" s="164">
        <v>45845</v>
      </c>
      <c r="DSD71" s="159" t="s">
        <v>42</v>
      </c>
      <c r="DSE71" s="354" t="s">
        <v>150</v>
      </c>
      <c r="DSF71" s="165" t="s">
        <v>124</v>
      </c>
      <c r="DSG71" s="352" t="s">
        <v>164</v>
      </c>
      <c r="DSH71" s="353" t="s">
        <v>121</v>
      </c>
      <c r="DSI71" s="159" t="s">
        <v>18</v>
      </c>
      <c r="DSJ71" s="160">
        <v>8100</v>
      </c>
      <c r="DSK71" s="169">
        <v>85</v>
      </c>
      <c r="DSL71" s="170">
        <v>215</v>
      </c>
      <c r="DSM71" s="170">
        <v>75</v>
      </c>
      <c r="DSN71" s="169">
        <v>150</v>
      </c>
      <c r="DSO71" s="171">
        <f>SUM(DSJ71:DSN71)</f>
        <v>8625</v>
      </c>
      <c r="DSP71" s="169">
        <v>200</v>
      </c>
      <c r="DSQ71" s="171">
        <f>SUM(DSO71:DSP71)</f>
        <v>8825</v>
      </c>
      <c r="DSR71" s="163" t="s">
        <v>114</v>
      </c>
      <c r="DSS71" s="164">
        <v>45845</v>
      </c>
      <c r="DST71" s="159" t="s">
        <v>42</v>
      </c>
      <c r="DSU71" s="354" t="s">
        <v>150</v>
      </c>
      <c r="DSV71" s="165" t="s">
        <v>124</v>
      </c>
      <c r="DSW71" s="352" t="s">
        <v>164</v>
      </c>
      <c r="DSX71" s="353" t="s">
        <v>121</v>
      </c>
      <c r="DSY71" s="159" t="s">
        <v>18</v>
      </c>
      <c r="DSZ71" s="160">
        <v>8100</v>
      </c>
      <c r="DTA71" s="169">
        <v>85</v>
      </c>
      <c r="DTB71" s="170">
        <v>215</v>
      </c>
      <c r="DTC71" s="170">
        <v>75</v>
      </c>
      <c r="DTD71" s="169">
        <v>150</v>
      </c>
      <c r="DTE71" s="171">
        <f>SUM(DSZ71:DTD71)</f>
        <v>8625</v>
      </c>
      <c r="DTF71" s="169">
        <v>200</v>
      </c>
      <c r="DTG71" s="171">
        <f>SUM(DTE71:DTF71)</f>
        <v>8825</v>
      </c>
      <c r="DTH71" s="163" t="s">
        <v>114</v>
      </c>
      <c r="DTI71" s="164">
        <v>45845</v>
      </c>
      <c r="DTJ71" s="159" t="s">
        <v>42</v>
      </c>
      <c r="DTK71" s="354" t="s">
        <v>150</v>
      </c>
      <c r="DTL71" s="165" t="s">
        <v>124</v>
      </c>
      <c r="DTM71" s="352" t="s">
        <v>164</v>
      </c>
      <c r="DTN71" s="353" t="s">
        <v>121</v>
      </c>
      <c r="DTO71" s="159" t="s">
        <v>18</v>
      </c>
      <c r="DTP71" s="160">
        <v>8100</v>
      </c>
      <c r="DTQ71" s="169">
        <v>85</v>
      </c>
      <c r="DTR71" s="170">
        <v>215</v>
      </c>
      <c r="DTS71" s="170">
        <v>75</v>
      </c>
      <c r="DTT71" s="169">
        <v>150</v>
      </c>
      <c r="DTU71" s="171">
        <f>SUM(DTP71:DTT71)</f>
        <v>8625</v>
      </c>
      <c r="DTV71" s="169">
        <v>200</v>
      </c>
      <c r="DTW71" s="171">
        <f>SUM(DTU71:DTV71)</f>
        <v>8825</v>
      </c>
      <c r="DTX71" s="163" t="s">
        <v>114</v>
      </c>
      <c r="DTY71" s="164">
        <v>45845</v>
      </c>
      <c r="DTZ71" s="159" t="s">
        <v>42</v>
      </c>
      <c r="DUA71" s="354" t="s">
        <v>150</v>
      </c>
      <c r="DUB71" s="165" t="s">
        <v>124</v>
      </c>
      <c r="DUC71" s="352" t="s">
        <v>164</v>
      </c>
      <c r="DUD71" s="353" t="s">
        <v>121</v>
      </c>
      <c r="DUE71" s="159" t="s">
        <v>18</v>
      </c>
      <c r="DUF71" s="160">
        <v>8100</v>
      </c>
      <c r="DUG71" s="169">
        <v>85</v>
      </c>
      <c r="DUH71" s="170">
        <v>215</v>
      </c>
      <c r="DUI71" s="170">
        <v>75</v>
      </c>
      <c r="DUJ71" s="169">
        <v>150</v>
      </c>
      <c r="DUK71" s="171">
        <f>SUM(DUF71:DUJ71)</f>
        <v>8625</v>
      </c>
      <c r="DUL71" s="169">
        <v>200</v>
      </c>
      <c r="DUM71" s="171">
        <f>SUM(DUK71:DUL71)</f>
        <v>8825</v>
      </c>
      <c r="DUN71" s="163" t="s">
        <v>114</v>
      </c>
      <c r="DUO71" s="164">
        <v>45845</v>
      </c>
      <c r="DUP71" s="159" t="s">
        <v>42</v>
      </c>
      <c r="DUQ71" s="354" t="s">
        <v>150</v>
      </c>
      <c r="DUR71" s="165" t="s">
        <v>124</v>
      </c>
      <c r="DUS71" s="352" t="s">
        <v>164</v>
      </c>
      <c r="DUT71" s="353" t="s">
        <v>121</v>
      </c>
      <c r="DUU71" s="159" t="s">
        <v>18</v>
      </c>
      <c r="DUV71" s="160">
        <v>8100</v>
      </c>
      <c r="DUW71" s="169">
        <v>85</v>
      </c>
      <c r="DUX71" s="170">
        <v>215</v>
      </c>
      <c r="DUY71" s="170">
        <v>75</v>
      </c>
      <c r="DUZ71" s="169">
        <v>150</v>
      </c>
      <c r="DVA71" s="171">
        <f>SUM(DUV71:DUZ71)</f>
        <v>8625</v>
      </c>
      <c r="DVB71" s="169">
        <v>200</v>
      </c>
      <c r="DVC71" s="171">
        <f>SUM(DVA71:DVB71)</f>
        <v>8825</v>
      </c>
      <c r="DVD71" s="163" t="s">
        <v>114</v>
      </c>
      <c r="DVE71" s="164">
        <v>45845</v>
      </c>
      <c r="DVF71" s="159" t="s">
        <v>42</v>
      </c>
      <c r="DVG71" s="354" t="s">
        <v>150</v>
      </c>
      <c r="DVH71" s="165" t="s">
        <v>124</v>
      </c>
      <c r="DVI71" s="352" t="s">
        <v>164</v>
      </c>
      <c r="DVJ71" s="353" t="s">
        <v>121</v>
      </c>
      <c r="DVK71" s="159" t="s">
        <v>18</v>
      </c>
      <c r="DVL71" s="160">
        <v>8100</v>
      </c>
      <c r="DVM71" s="169">
        <v>85</v>
      </c>
      <c r="DVN71" s="170">
        <v>215</v>
      </c>
      <c r="DVO71" s="170">
        <v>75</v>
      </c>
      <c r="DVP71" s="169">
        <v>150</v>
      </c>
      <c r="DVQ71" s="171">
        <f>SUM(DVL71:DVP71)</f>
        <v>8625</v>
      </c>
      <c r="DVR71" s="169">
        <v>200</v>
      </c>
      <c r="DVS71" s="171">
        <f>SUM(DVQ71:DVR71)</f>
        <v>8825</v>
      </c>
      <c r="DVT71" s="163" t="s">
        <v>114</v>
      </c>
      <c r="DVU71" s="164">
        <v>45845</v>
      </c>
      <c r="DVV71" s="159" t="s">
        <v>42</v>
      </c>
      <c r="DVW71" s="354" t="s">
        <v>150</v>
      </c>
      <c r="DVX71" s="165" t="s">
        <v>124</v>
      </c>
      <c r="DVY71" s="352" t="s">
        <v>164</v>
      </c>
      <c r="DVZ71" s="353" t="s">
        <v>121</v>
      </c>
      <c r="DWA71" s="159" t="s">
        <v>18</v>
      </c>
      <c r="DWB71" s="160">
        <v>8100</v>
      </c>
      <c r="DWC71" s="169">
        <v>85</v>
      </c>
      <c r="DWD71" s="170">
        <v>215</v>
      </c>
      <c r="DWE71" s="170">
        <v>75</v>
      </c>
      <c r="DWF71" s="169">
        <v>150</v>
      </c>
      <c r="DWG71" s="171">
        <f>SUM(DWB71:DWF71)</f>
        <v>8625</v>
      </c>
      <c r="DWH71" s="169">
        <v>200</v>
      </c>
      <c r="DWI71" s="171">
        <f>SUM(DWG71:DWH71)</f>
        <v>8825</v>
      </c>
      <c r="DWJ71" s="163" t="s">
        <v>114</v>
      </c>
      <c r="DWK71" s="164">
        <v>45845</v>
      </c>
      <c r="DWL71" s="159" t="s">
        <v>42</v>
      </c>
      <c r="DWM71" s="354" t="s">
        <v>150</v>
      </c>
      <c r="DWN71" s="165" t="s">
        <v>124</v>
      </c>
      <c r="DWO71" s="352" t="s">
        <v>164</v>
      </c>
      <c r="DWP71" s="353" t="s">
        <v>121</v>
      </c>
      <c r="DWQ71" s="159" t="s">
        <v>18</v>
      </c>
      <c r="DWR71" s="160">
        <v>8100</v>
      </c>
      <c r="DWS71" s="169">
        <v>85</v>
      </c>
      <c r="DWT71" s="170">
        <v>215</v>
      </c>
      <c r="DWU71" s="170">
        <v>75</v>
      </c>
      <c r="DWV71" s="169">
        <v>150</v>
      </c>
      <c r="DWW71" s="171">
        <f>SUM(DWR71:DWV71)</f>
        <v>8625</v>
      </c>
      <c r="DWX71" s="169">
        <v>200</v>
      </c>
      <c r="DWY71" s="171">
        <f>SUM(DWW71:DWX71)</f>
        <v>8825</v>
      </c>
      <c r="DWZ71" s="163" t="s">
        <v>114</v>
      </c>
      <c r="DXA71" s="164">
        <v>45845</v>
      </c>
      <c r="DXB71" s="159" t="s">
        <v>42</v>
      </c>
      <c r="DXC71" s="354" t="s">
        <v>150</v>
      </c>
      <c r="DXD71" s="165" t="s">
        <v>124</v>
      </c>
      <c r="DXE71" s="352" t="s">
        <v>164</v>
      </c>
      <c r="DXF71" s="353" t="s">
        <v>121</v>
      </c>
      <c r="DXG71" s="159" t="s">
        <v>18</v>
      </c>
      <c r="DXH71" s="160">
        <v>8100</v>
      </c>
      <c r="DXI71" s="169">
        <v>85</v>
      </c>
      <c r="DXJ71" s="170">
        <v>215</v>
      </c>
      <c r="DXK71" s="170">
        <v>75</v>
      </c>
      <c r="DXL71" s="169">
        <v>150</v>
      </c>
      <c r="DXM71" s="171">
        <f>SUM(DXH71:DXL71)</f>
        <v>8625</v>
      </c>
      <c r="DXN71" s="169">
        <v>200</v>
      </c>
      <c r="DXO71" s="171">
        <f>SUM(DXM71:DXN71)</f>
        <v>8825</v>
      </c>
      <c r="DXP71" s="163" t="s">
        <v>114</v>
      </c>
      <c r="DXQ71" s="164">
        <v>45845</v>
      </c>
      <c r="DXR71" s="159" t="s">
        <v>42</v>
      </c>
      <c r="DXS71" s="354" t="s">
        <v>150</v>
      </c>
      <c r="DXT71" s="165" t="s">
        <v>124</v>
      </c>
      <c r="DXU71" s="352" t="s">
        <v>164</v>
      </c>
      <c r="DXV71" s="353" t="s">
        <v>121</v>
      </c>
      <c r="DXW71" s="159" t="s">
        <v>18</v>
      </c>
      <c r="DXX71" s="160">
        <v>8100</v>
      </c>
      <c r="DXY71" s="169">
        <v>85</v>
      </c>
      <c r="DXZ71" s="170">
        <v>215</v>
      </c>
      <c r="DYA71" s="170">
        <v>75</v>
      </c>
      <c r="DYB71" s="169">
        <v>150</v>
      </c>
      <c r="DYC71" s="171">
        <f>SUM(DXX71:DYB71)</f>
        <v>8625</v>
      </c>
      <c r="DYD71" s="169">
        <v>200</v>
      </c>
      <c r="DYE71" s="171">
        <f>SUM(DYC71:DYD71)</f>
        <v>8825</v>
      </c>
      <c r="DYF71" s="163" t="s">
        <v>114</v>
      </c>
      <c r="DYG71" s="164">
        <v>45845</v>
      </c>
      <c r="DYH71" s="159" t="s">
        <v>42</v>
      </c>
      <c r="DYI71" s="354" t="s">
        <v>150</v>
      </c>
      <c r="DYJ71" s="165" t="s">
        <v>124</v>
      </c>
      <c r="DYK71" s="352" t="s">
        <v>164</v>
      </c>
      <c r="DYL71" s="353" t="s">
        <v>121</v>
      </c>
      <c r="DYM71" s="159" t="s">
        <v>18</v>
      </c>
      <c r="DYN71" s="160">
        <v>8100</v>
      </c>
      <c r="DYO71" s="169">
        <v>85</v>
      </c>
      <c r="DYP71" s="170">
        <v>215</v>
      </c>
      <c r="DYQ71" s="170">
        <v>75</v>
      </c>
      <c r="DYR71" s="169">
        <v>150</v>
      </c>
      <c r="DYS71" s="171">
        <f>SUM(DYN71:DYR71)</f>
        <v>8625</v>
      </c>
      <c r="DYT71" s="169">
        <v>200</v>
      </c>
      <c r="DYU71" s="171">
        <f>SUM(DYS71:DYT71)</f>
        <v>8825</v>
      </c>
      <c r="DYV71" s="163" t="s">
        <v>114</v>
      </c>
      <c r="DYW71" s="164">
        <v>45845</v>
      </c>
      <c r="DYX71" s="159" t="s">
        <v>42</v>
      </c>
      <c r="DYY71" s="354" t="s">
        <v>150</v>
      </c>
      <c r="DYZ71" s="165" t="s">
        <v>124</v>
      </c>
      <c r="DZA71" s="352" t="s">
        <v>164</v>
      </c>
      <c r="DZB71" s="353" t="s">
        <v>121</v>
      </c>
      <c r="DZC71" s="159" t="s">
        <v>18</v>
      </c>
      <c r="DZD71" s="160">
        <v>8100</v>
      </c>
      <c r="DZE71" s="169">
        <v>85</v>
      </c>
      <c r="DZF71" s="170">
        <v>215</v>
      </c>
      <c r="DZG71" s="170">
        <v>75</v>
      </c>
      <c r="DZH71" s="169">
        <v>150</v>
      </c>
      <c r="DZI71" s="171">
        <f>SUM(DZD71:DZH71)</f>
        <v>8625</v>
      </c>
      <c r="DZJ71" s="169">
        <v>200</v>
      </c>
      <c r="DZK71" s="171">
        <f>SUM(DZI71:DZJ71)</f>
        <v>8825</v>
      </c>
      <c r="DZL71" s="163" t="s">
        <v>114</v>
      </c>
      <c r="DZM71" s="164">
        <v>45845</v>
      </c>
      <c r="DZN71" s="159" t="s">
        <v>42</v>
      </c>
      <c r="DZO71" s="354" t="s">
        <v>150</v>
      </c>
      <c r="DZP71" s="165" t="s">
        <v>124</v>
      </c>
      <c r="DZQ71" s="352" t="s">
        <v>164</v>
      </c>
      <c r="DZR71" s="353" t="s">
        <v>121</v>
      </c>
      <c r="DZS71" s="159" t="s">
        <v>18</v>
      </c>
      <c r="DZT71" s="160">
        <v>8100</v>
      </c>
      <c r="DZU71" s="169">
        <v>85</v>
      </c>
      <c r="DZV71" s="170">
        <v>215</v>
      </c>
      <c r="DZW71" s="170">
        <v>75</v>
      </c>
      <c r="DZX71" s="169">
        <v>150</v>
      </c>
      <c r="DZY71" s="171">
        <f>SUM(DZT71:DZX71)</f>
        <v>8625</v>
      </c>
      <c r="DZZ71" s="169">
        <v>200</v>
      </c>
      <c r="EAA71" s="171">
        <f>SUM(DZY71:DZZ71)</f>
        <v>8825</v>
      </c>
      <c r="EAB71" s="163" t="s">
        <v>114</v>
      </c>
      <c r="EAC71" s="164">
        <v>45845</v>
      </c>
      <c r="EAD71" s="159" t="s">
        <v>42</v>
      </c>
      <c r="EAE71" s="354" t="s">
        <v>150</v>
      </c>
      <c r="EAF71" s="165" t="s">
        <v>124</v>
      </c>
      <c r="EAG71" s="352" t="s">
        <v>164</v>
      </c>
      <c r="EAH71" s="353" t="s">
        <v>121</v>
      </c>
      <c r="EAI71" s="159" t="s">
        <v>18</v>
      </c>
      <c r="EAJ71" s="160">
        <v>8100</v>
      </c>
      <c r="EAK71" s="169">
        <v>85</v>
      </c>
      <c r="EAL71" s="170">
        <v>215</v>
      </c>
      <c r="EAM71" s="170">
        <v>75</v>
      </c>
      <c r="EAN71" s="169">
        <v>150</v>
      </c>
      <c r="EAO71" s="171">
        <f>SUM(EAJ71:EAN71)</f>
        <v>8625</v>
      </c>
      <c r="EAP71" s="169">
        <v>200</v>
      </c>
      <c r="EAQ71" s="171">
        <f>SUM(EAO71:EAP71)</f>
        <v>8825</v>
      </c>
      <c r="EAR71" s="163" t="s">
        <v>114</v>
      </c>
      <c r="EAS71" s="164">
        <v>45845</v>
      </c>
      <c r="EAT71" s="159" t="s">
        <v>42</v>
      </c>
      <c r="EAU71" s="354" t="s">
        <v>150</v>
      </c>
      <c r="EAV71" s="165" t="s">
        <v>124</v>
      </c>
      <c r="EAW71" s="352" t="s">
        <v>164</v>
      </c>
      <c r="EAX71" s="353" t="s">
        <v>121</v>
      </c>
      <c r="EAY71" s="159" t="s">
        <v>18</v>
      </c>
      <c r="EAZ71" s="160">
        <v>8100</v>
      </c>
      <c r="EBA71" s="169">
        <v>85</v>
      </c>
      <c r="EBB71" s="170">
        <v>215</v>
      </c>
      <c r="EBC71" s="170">
        <v>75</v>
      </c>
      <c r="EBD71" s="169">
        <v>150</v>
      </c>
      <c r="EBE71" s="171">
        <f>SUM(EAZ71:EBD71)</f>
        <v>8625</v>
      </c>
      <c r="EBF71" s="169">
        <v>200</v>
      </c>
      <c r="EBG71" s="171">
        <f>SUM(EBE71:EBF71)</f>
        <v>8825</v>
      </c>
      <c r="EBH71" s="163" t="s">
        <v>114</v>
      </c>
      <c r="EBI71" s="164">
        <v>45845</v>
      </c>
      <c r="EBJ71" s="159" t="s">
        <v>42</v>
      </c>
      <c r="EBK71" s="354" t="s">
        <v>150</v>
      </c>
      <c r="EBL71" s="165" t="s">
        <v>124</v>
      </c>
      <c r="EBM71" s="352" t="s">
        <v>164</v>
      </c>
      <c r="EBN71" s="353" t="s">
        <v>121</v>
      </c>
      <c r="EBO71" s="159" t="s">
        <v>18</v>
      </c>
      <c r="EBP71" s="160">
        <v>8100</v>
      </c>
      <c r="EBQ71" s="169">
        <v>85</v>
      </c>
      <c r="EBR71" s="170">
        <v>215</v>
      </c>
      <c r="EBS71" s="170">
        <v>75</v>
      </c>
      <c r="EBT71" s="169">
        <v>150</v>
      </c>
      <c r="EBU71" s="171">
        <f>SUM(EBP71:EBT71)</f>
        <v>8625</v>
      </c>
      <c r="EBV71" s="169">
        <v>200</v>
      </c>
      <c r="EBW71" s="171">
        <f>SUM(EBU71:EBV71)</f>
        <v>8825</v>
      </c>
      <c r="EBX71" s="163" t="s">
        <v>114</v>
      </c>
      <c r="EBY71" s="164">
        <v>45845</v>
      </c>
      <c r="EBZ71" s="159" t="s">
        <v>42</v>
      </c>
      <c r="ECA71" s="354" t="s">
        <v>150</v>
      </c>
      <c r="ECB71" s="165" t="s">
        <v>124</v>
      </c>
      <c r="ECC71" s="352" t="s">
        <v>164</v>
      </c>
      <c r="ECD71" s="353" t="s">
        <v>121</v>
      </c>
      <c r="ECE71" s="159" t="s">
        <v>18</v>
      </c>
      <c r="ECF71" s="160">
        <v>8100</v>
      </c>
      <c r="ECG71" s="169">
        <v>85</v>
      </c>
      <c r="ECH71" s="170">
        <v>215</v>
      </c>
      <c r="ECI71" s="170">
        <v>75</v>
      </c>
      <c r="ECJ71" s="169">
        <v>150</v>
      </c>
      <c r="ECK71" s="171">
        <f>SUM(ECF71:ECJ71)</f>
        <v>8625</v>
      </c>
      <c r="ECL71" s="169">
        <v>200</v>
      </c>
      <c r="ECM71" s="171">
        <f>SUM(ECK71:ECL71)</f>
        <v>8825</v>
      </c>
      <c r="ECN71" s="163" t="s">
        <v>114</v>
      </c>
      <c r="ECO71" s="164">
        <v>45845</v>
      </c>
      <c r="ECP71" s="159" t="s">
        <v>42</v>
      </c>
      <c r="ECQ71" s="354" t="s">
        <v>150</v>
      </c>
      <c r="ECR71" s="165" t="s">
        <v>124</v>
      </c>
      <c r="ECS71" s="352" t="s">
        <v>164</v>
      </c>
      <c r="ECT71" s="353" t="s">
        <v>121</v>
      </c>
      <c r="ECU71" s="159" t="s">
        <v>18</v>
      </c>
      <c r="ECV71" s="160">
        <v>8100</v>
      </c>
      <c r="ECW71" s="169">
        <v>85</v>
      </c>
      <c r="ECX71" s="170">
        <v>215</v>
      </c>
      <c r="ECY71" s="170">
        <v>75</v>
      </c>
      <c r="ECZ71" s="169">
        <v>150</v>
      </c>
      <c r="EDA71" s="171">
        <f>SUM(ECV71:ECZ71)</f>
        <v>8625</v>
      </c>
      <c r="EDB71" s="169">
        <v>200</v>
      </c>
      <c r="EDC71" s="171">
        <f>SUM(EDA71:EDB71)</f>
        <v>8825</v>
      </c>
      <c r="EDD71" s="163" t="s">
        <v>114</v>
      </c>
      <c r="EDE71" s="164">
        <v>45845</v>
      </c>
      <c r="EDF71" s="159" t="s">
        <v>42</v>
      </c>
      <c r="EDG71" s="354" t="s">
        <v>150</v>
      </c>
      <c r="EDH71" s="165" t="s">
        <v>124</v>
      </c>
      <c r="EDI71" s="352" t="s">
        <v>164</v>
      </c>
      <c r="EDJ71" s="353" t="s">
        <v>121</v>
      </c>
      <c r="EDK71" s="159" t="s">
        <v>18</v>
      </c>
      <c r="EDL71" s="160">
        <v>8100</v>
      </c>
      <c r="EDM71" s="169">
        <v>85</v>
      </c>
      <c r="EDN71" s="170">
        <v>215</v>
      </c>
      <c r="EDO71" s="170">
        <v>75</v>
      </c>
      <c r="EDP71" s="169">
        <v>150</v>
      </c>
      <c r="EDQ71" s="171">
        <f>SUM(EDL71:EDP71)</f>
        <v>8625</v>
      </c>
      <c r="EDR71" s="169">
        <v>200</v>
      </c>
      <c r="EDS71" s="171">
        <f>SUM(EDQ71:EDR71)</f>
        <v>8825</v>
      </c>
      <c r="EDT71" s="163" t="s">
        <v>114</v>
      </c>
      <c r="EDU71" s="164">
        <v>45845</v>
      </c>
      <c r="EDV71" s="159" t="s">
        <v>42</v>
      </c>
      <c r="EDW71" s="354" t="s">
        <v>150</v>
      </c>
      <c r="EDX71" s="165" t="s">
        <v>124</v>
      </c>
      <c r="EDY71" s="352" t="s">
        <v>164</v>
      </c>
      <c r="EDZ71" s="353" t="s">
        <v>121</v>
      </c>
      <c r="EEA71" s="159" t="s">
        <v>18</v>
      </c>
      <c r="EEB71" s="160">
        <v>8100</v>
      </c>
      <c r="EEC71" s="169">
        <v>85</v>
      </c>
      <c r="EED71" s="170">
        <v>215</v>
      </c>
      <c r="EEE71" s="170">
        <v>75</v>
      </c>
      <c r="EEF71" s="169">
        <v>150</v>
      </c>
      <c r="EEG71" s="171">
        <f>SUM(EEB71:EEF71)</f>
        <v>8625</v>
      </c>
      <c r="EEH71" s="169">
        <v>200</v>
      </c>
      <c r="EEI71" s="171">
        <f>SUM(EEG71:EEH71)</f>
        <v>8825</v>
      </c>
      <c r="EEJ71" s="163" t="s">
        <v>114</v>
      </c>
      <c r="EEK71" s="164">
        <v>45845</v>
      </c>
      <c r="EEL71" s="159" t="s">
        <v>42</v>
      </c>
      <c r="EEM71" s="354" t="s">
        <v>150</v>
      </c>
      <c r="EEN71" s="165" t="s">
        <v>124</v>
      </c>
      <c r="EEO71" s="352" t="s">
        <v>164</v>
      </c>
      <c r="EEP71" s="353" t="s">
        <v>121</v>
      </c>
      <c r="EEQ71" s="159" t="s">
        <v>18</v>
      </c>
      <c r="EER71" s="160">
        <v>8100</v>
      </c>
      <c r="EES71" s="169">
        <v>85</v>
      </c>
      <c r="EET71" s="170">
        <v>215</v>
      </c>
      <c r="EEU71" s="170">
        <v>75</v>
      </c>
      <c r="EEV71" s="169">
        <v>150</v>
      </c>
      <c r="EEW71" s="171">
        <f>SUM(EER71:EEV71)</f>
        <v>8625</v>
      </c>
      <c r="EEX71" s="169">
        <v>200</v>
      </c>
      <c r="EEY71" s="171">
        <f>SUM(EEW71:EEX71)</f>
        <v>8825</v>
      </c>
      <c r="EEZ71" s="163" t="s">
        <v>114</v>
      </c>
      <c r="EFA71" s="164">
        <v>45845</v>
      </c>
      <c r="EFB71" s="159" t="s">
        <v>42</v>
      </c>
      <c r="EFC71" s="354" t="s">
        <v>150</v>
      </c>
      <c r="EFD71" s="165" t="s">
        <v>124</v>
      </c>
      <c r="EFE71" s="352" t="s">
        <v>164</v>
      </c>
      <c r="EFF71" s="353" t="s">
        <v>121</v>
      </c>
      <c r="EFG71" s="159" t="s">
        <v>18</v>
      </c>
      <c r="EFH71" s="160">
        <v>8100</v>
      </c>
      <c r="EFI71" s="169">
        <v>85</v>
      </c>
      <c r="EFJ71" s="170">
        <v>215</v>
      </c>
      <c r="EFK71" s="170">
        <v>75</v>
      </c>
      <c r="EFL71" s="169">
        <v>150</v>
      </c>
      <c r="EFM71" s="171">
        <f>SUM(EFH71:EFL71)</f>
        <v>8625</v>
      </c>
      <c r="EFN71" s="169">
        <v>200</v>
      </c>
      <c r="EFO71" s="171">
        <f>SUM(EFM71:EFN71)</f>
        <v>8825</v>
      </c>
      <c r="EFP71" s="163" t="s">
        <v>114</v>
      </c>
      <c r="EFQ71" s="164">
        <v>45845</v>
      </c>
      <c r="EFR71" s="159" t="s">
        <v>42</v>
      </c>
      <c r="EFS71" s="354" t="s">
        <v>150</v>
      </c>
      <c r="EFT71" s="165" t="s">
        <v>124</v>
      </c>
      <c r="EFU71" s="352" t="s">
        <v>164</v>
      </c>
      <c r="EFV71" s="353" t="s">
        <v>121</v>
      </c>
      <c r="EFW71" s="159" t="s">
        <v>18</v>
      </c>
      <c r="EFX71" s="160">
        <v>8100</v>
      </c>
      <c r="EFY71" s="169">
        <v>85</v>
      </c>
      <c r="EFZ71" s="170">
        <v>215</v>
      </c>
      <c r="EGA71" s="170">
        <v>75</v>
      </c>
      <c r="EGB71" s="169">
        <v>150</v>
      </c>
      <c r="EGC71" s="171">
        <f>SUM(EFX71:EGB71)</f>
        <v>8625</v>
      </c>
      <c r="EGD71" s="169">
        <v>200</v>
      </c>
      <c r="EGE71" s="171">
        <f>SUM(EGC71:EGD71)</f>
        <v>8825</v>
      </c>
      <c r="EGF71" s="163" t="s">
        <v>114</v>
      </c>
      <c r="EGG71" s="164">
        <v>45845</v>
      </c>
      <c r="EGH71" s="159" t="s">
        <v>42</v>
      </c>
      <c r="EGI71" s="354" t="s">
        <v>150</v>
      </c>
      <c r="EGJ71" s="165" t="s">
        <v>124</v>
      </c>
      <c r="EGK71" s="352" t="s">
        <v>164</v>
      </c>
      <c r="EGL71" s="353" t="s">
        <v>121</v>
      </c>
      <c r="EGM71" s="159" t="s">
        <v>18</v>
      </c>
      <c r="EGN71" s="160">
        <v>8100</v>
      </c>
      <c r="EGO71" s="169">
        <v>85</v>
      </c>
      <c r="EGP71" s="170">
        <v>215</v>
      </c>
      <c r="EGQ71" s="170">
        <v>75</v>
      </c>
      <c r="EGR71" s="169">
        <v>150</v>
      </c>
      <c r="EGS71" s="171">
        <f>SUM(EGN71:EGR71)</f>
        <v>8625</v>
      </c>
      <c r="EGT71" s="169">
        <v>200</v>
      </c>
      <c r="EGU71" s="171">
        <f>SUM(EGS71:EGT71)</f>
        <v>8825</v>
      </c>
      <c r="EGV71" s="163" t="s">
        <v>114</v>
      </c>
      <c r="EGW71" s="164">
        <v>45845</v>
      </c>
      <c r="EGX71" s="159" t="s">
        <v>42</v>
      </c>
      <c r="EGY71" s="354" t="s">
        <v>150</v>
      </c>
      <c r="EGZ71" s="165" t="s">
        <v>124</v>
      </c>
      <c r="EHA71" s="352" t="s">
        <v>164</v>
      </c>
      <c r="EHB71" s="353" t="s">
        <v>121</v>
      </c>
      <c r="EHC71" s="159" t="s">
        <v>18</v>
      </c>
      <c r="EHD71" s="160">
        <v>8100</v>
      </c>
      <c r="EHE71" s="169">
        <v>85</v>
      </c>
      <c r="EHF71" s="170">
        <v>215</v>
      </c>
      <c r="EHG71" s="170">
        <v>75</v>
      </c>
      <c r="EHH71" s="169">
        <v>150</v>
      </c>
      <c r="EHI71" s="171">
        <f>SUM(EHD71:EHH71)</f>
        <v>8625</v>
      </c>
      <c r="EHJ71" s="169">
        <v>200</v>
      </c>
      <c r="EHK71" s="171">
        <f>SUM(EHI71:EHJ71)</f>
        <v>8825</v>
      </c>
      <c r="EHL71" s="163" t="s">
        <v>114</v>
      </c>
      <c r="EHM71" s="164">
        <v>45845</v>
      </c>
      <c r="EHN71" s="159" t="s">
        <v>42</v>
      </c>
      <c r="EHO71" s="354" t="s">
        <v>150</v>
      </c>
      <c r="EHP71" s="165" t="s">
        <v>124</v>
      </c>
      <c r="EHQ71" s="352" t="s">
        <v>164</v>
      </c>
      <c r="EHR71" s="353" t="s">
        <v>121</v>
      </c>
      <c r="EHS71" s="159" t="s">
        <v>18</v>
      </c>
      <c r="EHT71" s="160">
        <v>8100</v>
      </c>
      <c r="EHU71" s="169">
        <v>85</v>
      </c>
      <c r="EHV71" s="170">
        <v>215</v>
      </c>
      <c r="EHW71" s="170">
        <v>75</v>
      </c>
      <c r="EHX71" s="169">
        <v>150</v>
      </c>
      <c r="EHY71" s="171">
        <f>SUM(EHT71:EHX71)</f>
        <v>8625</v>
      </c>
      <c r="EHZ71" s="169">
        <v>200</v>
      </c>
      <c r="EIA71" s="171">
        <f>SUM(EHY71:EHZ71)</f>
        <v>8825</v>
      </c>
      <c r="EIB71" s="163" t="s">
        <v>114</v>
      </c>
      <c r="EIC71" s="164">
        <v>45845</v>
      </c>
      <c r="EID71" s="159" t="s">
        <v>42</v>
      </c>
      <c r="EIE71" s="354" t="s">
        <v>150</v>
      </c>
      <c r="EIF71" s="165" t="s">
        <v>124</v>
      </c>
      <c r="EIG71" s="352" t="s">
        <v>164</v>
      </c>
      <c r="EIH71" s="353" t="s">
        <v>121</v>
      </c>
      <c r="EII71" s="159" t="s">
        <v>18</v>
      </c>
      <c r="EIJ71" s="160">
        <v>8100</v>
      </c>
      <c r="EIK71" s="169">
        <v>85</v>
      </c>
      <c r="EIL71" s="170">
        <v>215</v>
      </c>
      <c r="EIM71" s="170">
        <v>75</v>
      </c>
      <c r="EIN71" s="169">
        <v>150</v>
      </c>
      <c r="EIO71" s="171">
        <f>SUM(EIJ71:EIN71)</f>
        <v>8625</v>
      </c>
      <c r="EIP71" s="169">
        <v>200</v>
      </c>
      <c r="EIQ71" s="171">
        <f>SUM(EIO71:EIP71)</f>
        <v>8825</v>
      </c>
      <c r="EIR71" s="163" t="s">
        <v>114</v>
      </c>
      <c r="EIS71" s="164">
        <v>45845</v>
      </c>
      <c r="EIT71" s="159" t="s">
        <v>42</v>
      </c>
      <c r="EIU71" s="354" t="s">
        <v>150</v>
      </c>
      <c r="EIV71" s="165" t="s">
        <v>124</v>
      </c>
      <c r="EIW71" s="352" t="s">
        <v>164</v>
      </c>
      <c r="EIX71" s="353" t="s">
        <v>121</v>
      </c>
      <c r="EIY71" s="159" t="s">
        <v>18</v>
      </c>
      <c r="EIZ71" s="160">
        <v>8100</v>
      </c>
      <c r="EJA71" s="169">
        <v>85</v>
      </c>
      <c r="EJB71" s="170">
        <v>215</v>
      </c>
      <c r="EJC71" s="170">
        <v>75</v>
      </c>
      <c r="EJD71" s="169">
        <v>150</v>
      </c>
      <c r="EJE71" s="171">
        <f>SUM(EIZ71:EJD71)</f>
        <v>8625</v>
      </c>
      <c r="EJF71" s="169">
        <v>200</v>
      </c>
      <c r="EJG71" s="171">
        <f>SUM(EJE71:EJF71)</f>
        <v>8825</v>
      </c>
      <c r="EJH71" s="163" t="s">
        <v>114</v>
      </c>
      <c r="EJI71" s="164">
        <v>45845</v>
      </c>
      <c r="EJJ71" s="159" t="s">
        <v>42</v>
      </c>
      <c r="EJK71" s="354" t="s">
        <v>150</v>
      </c>
      <c r="EJL71" s="165" t="s">
        <v>124</v>
      </c>
      <c r="EJM71" s="352" t="s">
        <v>164</v>
      </c>
      <c r="EJN71" s="353" t="s">
        <v>121</v>
      </c>
      <c r="EJO71" s="159" t="s">
        <v>18</v>
      </c>
      <c r="EJP71" s="160">
        <v>8100</v>
      </c>
      <c r="EJQ71" s="169">
        <v>85</v>
      </c>
      <c r="EJR71" s="170">
        <v>215</v>
      </c>
      <c r="EJS71" s="170">
        <v>75</v>
      </c>
      <c r="EJT71" s="169">
        <v>150</v>
      </c>
      <c r="EJU71" s="171">
        <f>SUM(EJP71:EJT71)</f>
        <v>8625</v>
      </c>
      <c r="EJV71" s="169">
        <v>200</v>
      </c>
      <c r="EJW71" s="171">
        <f>SUM(EJU71:EJV71)</f>
        <v>8825</v>
      </c>
      <c r="EJX71" s="163" t="s">
        <v>114</v>
      </c>
      <c r="EJY71" s="164">
        <v>45845</v>
      </c>
      <c r="EJZ71" s="159" t="s">
        <v>42</v>
      </c>
      <c r="EKA71" s="354" t="s">
        <v>150</v>
      </c>
      <c r="EKB71" s="165" t="s">
        <v>124</v>
      </c>
      <c r="EKC71" s="352" t="s">
        <v>164</v>
      </c>
      <c r="EKD71" s="353" t="s">
        <v>121</v>
      </c>
      <c r="EKE71" s="159" t="s">
        <v>18</v>
      </c>
      <c r="EKF71" s="160">
        <v>8100</v>
      </c>
      <c r="EKG71" s="169">
        <v>85</v>
      </c>
      <c r="EKH71" s="170">
        <v>215</v>
      </c>
      <c r="EKI71" s="170">
        <v>75</v>
      </c>
      <c r="EKJ71" s="169">
        <v>150</v>
      </c>
      <c r="EKK71" s="171">
        <f>SUM(EKF71:EKJ71)</f>
        <v>8625</v>
      </c>
      <c r="EKL71" s="169">
        <v>200</v>
      </c>
      <c r="EKM71" s="171">
        <f>SUM(EKK71:EKL71)</f>
        <v>8825</v>
      </c>
      <c r="EKN71" s="163" t="s">
        <v>114</v>
      </c>
      <c r="EKO71" s="164">
        <v>45845</v>
      </c>
      <c r="EKP71" s="159" t="s">
        <v>42</v>
      </c>
      <c r="EKQ71" s="354" t="s">
        <v>150</v>
      </c>
      <c r="EKR71" s="165" t="s">
        <v>124</v>
      </c>
      <c r="EKS71" s="352" t="s">
        <v>164</v>
      </c>
      <c r="EKT71" s="353" t="s">
        <v>121</v>
      </c>
      <c r="EKU71" s="159" t="s">
        <v>18</v>
      </c>
      <c r="EKV71" s="160">
        <v>8100</v>
      </c>
      <c r="EKW71" s="169">
        <v>85</v>
      </c>
      <c r="EKX71" s="170">
        <v>215</v>
      </c>
      <c r="EKY71" s="170">
        <v>75</v>
      </c>
      <c r="EKZ71" s="169">
        <v>150</v>
      </c>
      <c r="ELA71" s="171">
        <f>SUM(EKV71:EKZ71)</f>
        <v>8625</v>
      </c>
      <c r="ELB71" s="169">
        <v>200</v>
      </c>
      <c r="ELC71" s="171">
        <f>SUM(ELA71:ELB71)</f>
        <v>8825</v>
      </c>
      <c r="ELD71" s="163" t="s">
        <v>114</v>
      </c>
      <c r="ELE71" s="164">
        <v>45845</v>
      </c>
      <c r="ELF71" s="159" t="s">
        <v>42</v>
      </c>
      <c r="ELG71" s="354" t="s">
        <v>150</v>
      </c>
      <c r="ELH71" s="165" t="s">
        <v>124</v>
      </c>
      <c r="ELI71" s="352" t="s">
        <v>164</v>
      </c>
      <c r="ELJ71" s="353" t="s">
        <v>121</v>
      </c>
      <c r="ELK71" s="159" t="s">
        <v>18</v>
      </c>
      <c r="ELL71" s="160">
        <v>8100</v>
      </c>
      <c r="ELM71" s="169">
        <v>85</v>
      </c>
      <c r="ELN71" s="170">
        <v>215</v>
      </c>
      <c r="ELO71" s="170">
        <v>75</v>
      </c>
      <c r="ELP71" s="169">
        <v>150</v>
      </c>
      <c r="ELQ71" s="171">
        <f>SUM(ELL71:ELP71)</f>
        <v>8625</v>
      </c>
      <c r="ELR71" s="169">
        <v>200</v>
      </c>
      <c r="ELS71" s="171">
        <f>SUM(ELQ71:ELR71)</f>
        <v>8825</v>
      </c>
      <c r="ELT71" s="163" t="s">
        <v>114</v>
      </c>
      <c r="ELU71" s="164">
        <v>45845</v>
      </c>
      <c r="ELV71" s="159" t="s">
        <v>42</v>
      </c>
      <c r="ELW71" s="354" t="s">
        <v>150</v>
      </c>
      <c r="ELX71" s="165" t="s">
        <v>124</v>
      </c>
      <c r="ELY71" s="352" t="s">
        <v>164</v>
      </c>
      <c r="ELZ71" s="353" t="s">
        <v>121</v>
      </c>
      <c r="EMA71" s="159" t="s">
        <v>18</v>
      </c>
      <c r="EMB71" s="160">
        <v>8100</v>
      </c>
      <c r="EMC71" s="169">
        <v>85</v>
      </c>
      <c r="EMD71" s="170">
        <v>215</v>
      </c>
      <c r="EME71" s="170">
        <v>75</v>
      </c>
      <c r="EMF71" s="169">
        <v>150</v>
      </c>
      <c r="EMG71" s="171">
        <f>SUM(EMB71:EMF71)</f>
        <v>8625</v>
      </c>
      <c r="EMH71" s="169">
        <v>200</v>
      </c>
      <c r="EMI71" s="171">
        <f>SUM(EMG71:EMH71)</f>
        <v>8825</v>
      </c>
      <c r="EMJ71" s="163" t="s">
        <v>114</v>
      </c>
      <c r="EMK71" s="164">
        <v>45845</v>
      </c>
      <c r="EML71" s="159" t="s">
        <v>42</v>
      </c>
      <c r="EMM71" s="354" t="s">
        <v>150</v>
      </c>
      <c r="EMN71" s="165" t="s">
        <v>124</v>
      </c>
      <c r="EMO71" s="352" t="s">
        <v>164</v>
      </c>
      <c r="EMP71" s="353" t="s">
        <v>121</v>
      </c>
      <c r="EMQ71" s="159" t="s">
        <v>18</v>
      </c>
      <c r="EMR71" s="160">
        <v>8100</v>
      </c>
      <c r="EMS71" s="169">
        <v>85</v>
      </c>
      <c r="EMT71" s="170">
        <v>215</v>
      </c>
      <c r="EMU71" s="170">
        <v>75</v>
      </c>
      <c r="EMV71" s="169">
        <v>150</v>
      </c>
      <c r="EMW71" s="171">
        <f>SUM(EMR71:EMV71)</f>
        <v>8625</v>
      </c>
      <c r="EMX71" s="169">
        <v>200</v>
      </c>
      <c r="EMY71" s="171">
        <f>SUM(EMW71:EMX71)</f>
        <v>8825</v>
      </c>
      <c r="EMZ71" s="163" t="s">
        <v>114</v>
      </c>
      <c r="ENA71" s="164">
        <v>45845</v>
      </c>
      <c r="ENB71" s="159" t="s">
        <v>42</v>
      </c>
      <c r="ENC71" s="354" t="s">
        <v>150</v>
      </c>
      <c r="END71" s="165" t="s">
        <v>124</v>
      </c>
      <c r="ENE71" s="352" t="s">
        <v>164</v>
      </c>
      <c r="ENF71" s="353" t="s">
        <v>121</v>
      </c>
      <c r="ENG71" s="159" t="s">
        <v>18</v>
      </c>
      <c r="ENH71" s="160">
        <v>8100</v>
      </c>
      <c r="ENI71" s="169">
        <v>85</v>
      </c>
      <c r="ENJ71" s="170">
        <v>215</v>
      </c>
      <c r="ENK71" s="170">
        <v>75</v>
      </c>
      <c r="ENL71" s="169">
        <v>150</v>
      </c>
      <c r="ENM71" s="171">
        <f>SUM(ENH71:ENL71)</f>
        <v>8625</v>
      </c>
      <c r="ENN71" s="169">
        <v>200</v>
      </c>
      <c r="ENO71" s="171">
        <f>SUM(ENM71:ENN71)</f>
        <v>8825</v>
      </c>
      <c r="ENP71" s="163" t="s">
        <v>114</v>
      </c>
      <c r="ENQ71" s="164">
        <v>45845</v>
      </c>
      <c r="ENR71" s="159" t="s">
        <v>42</v>
      </c>
      <c r="ENS71" s="354" t="s">
        <v>150</v>
      </c>
      <c r="ENT71" s="165" t="s">
        <v>124</v>
      </c>
      <c r="ENU71" s="352" t="s">
        <v>164</v>
      </c>
      <c r="ENV71" s="353" t="s">
        <v>121</v>
      </c>
      <c r="ENW71" s="159" t="s">
        <v>18</v>
      </c>
      <c r="ENX71" s="160">
        <v>8100</v>
      </c>
      <c r="ENY71" s="169">
        <v>85</v>
      </c>
      <c r="ENZ71" s="170">
        <v>215</v>
      </c>
      <c r="EOA71" s="170">
        <v>75</v>
      </c>
      <c r="EOB71" s="169">
        <v>150</v>
      </c>
      <c r="EOC71" s="171">
        <f>SUM(ENX71:EOB71)</f>
        <v>8625</v>
      </c>
      <c r="EOD71" s="169">
        <v>200</v>
      </c>
      <c r="EOE71" s="171">
        <f>SUM(EOC71:EOD71)</f>
        <v>8825</v>
      </c>
      <c r="EOF71" s="163" t="s">
        <v>114</v>
      </c>
      <c r="EOG71" s="164">
        <v>45845</v>
      </c>
      <c r="EOH71" s="159" t="s">
        <v>42</v>
      </c>
      <c r="EOI71" s="354" t="s">
        <v>150</v>
      </c>
      <c r="EOJ71" s="165" t="s">
        <v>124</v>
      </c>
      <c r="EOK71" s="352" t="s">
        <v>164</v>
      </c>
      <c r="EOL71" s="353" t="s">
        <v>121</v>
      </c>
      <c r="EOM71" s="159" t="s">
        <v>18</v>
      </c>
      <c r="EON71" s="160">
        <v>8100</v>
      </c>
      <c r="EOO71" s="169">
        <v>85</v>
      </c>
      <c r="EOP71" s="170">
        <v>215</v>
      </c>
      <c r="EOQ71" s="170">
        <v>75</v>
      </c>
      <c r="EOR71" s="169">
        <v>150</v>
      </c>
      <c r="EOS71" s="171">
        <f>SUM(EON71:EOR71)</f>
        <v>8625</v>
      </c>
      <c r="EOT71" s="169">
        <v>200</v>
      </c>
      <c r="EOU71" s="171">
        <f>SUM(EOS71:EOT71)</f>
        <v>8825</v>
      </c>
      <c r="EOV71" s="163" t="s">
        <v>114</v>
      </c>
      <c r="EOW71" s="164">
        <v>45845</v>
      </c>
      <c r="EOX71" s="159" t="s">
        <v>42</v>
      </c>
      <c r="EOY71" s="354" t="s">
        <v>150</v>
      </c>
      <c r="EOZ71" s="165" t="s">
        <v>124</v>
      </c>
      <c r="EPA71" s="352" t="s">
        <v>164</v>
      </c>
      <c r="EPB71" s="353" t="s">
        <v>121</v>
      </c>
      <c r="EPC71" s="159" t="s">
        <v>18</v>
      </c>
      <c r="EPD71" s="160">
        <v>8100</v>
      </c>
      <c r="EPE71" s="169">
        <v>85</v>
      </c>
      <c r="EPF71" s="170">
        <v>215</v>
      </c>
      <c r="EPG71" s="170">
        <v>75</v>
      </c>
      <c r="EPH71" s="169">
        <v>150</v>
      </c>
      <c r="EPI71" s="171">
        <f>SUM(EPD71:EPH71)</f>
        <v>8625</v>
      </c>
      <c r="EPJ71" s="169">
        <v>200</v>
      </c>
      <c r="EPK71" s="171">
        <f>SUM(EPI71:EPJ71)</f>
        <v>8825</v>
      </c>
      <c r="EPL71" s="163" t="s">
        <v>114</v>
      </c>
      <c r="EPM71" s="164">
        <v>45845</v>
      </c>
      <c r="EPN71" s="159" t="s">
        <v>42</v>
      </c>
      <c r="EPO71" s="354" t="s">
        <v>150</v>
      </c>
      <c r="EPP71" s="165" t="s">
        <v>124</v>
      </c>
      <c r="EPQ71" s="352" t="s">
        <v>164</v>
      </c>
      <c r="EPR71" s="353" t="s">
        <v>121</v>
      </c>
      <c r="EPS71" s="159" t="s">
        <v>18</v>
      </c>
      <c r="EPT71" s="160">
        <v>8100</v>
      </c>
      <c r="EPU71" s="169">
        <v>85</v>
      </c>
      <c r="EPV71" s="170">
        <v>215</v>
      </c>
      <c r="EPW71" s="170">
        <v>75</v>
      </c>
      <c r="EPX71" s="169">
        <v>150</v>
      </c>
      <c r="EPY71" s="171">
        <f>SUM(EPT71:EPX71)</f>
        <v>8625</v>
      </c>
      <c r="EPZ71" s="169">
        <v>200</v>
      </c>
      <c r="EQA71" s="171">
        <f>SUM(EPY71:EPZ71)</f>
        <v>8825</v>
      </c>
      <c r="EQB71" s="163" t="s">
        <v>114</v>
      </c>
      <c r="EQC71" s="164">
        <v>45845</v>
      </c>
      <c r="EQD71" s="159" t="s">
        <v>42</v>
      </c>
      <c r="EQE71" s="354" t="s">
        <v>150</v>
      </c>
      <c r="EQF71" s="165" t="s">
        <v>124</v>
      </c>
      <c r="EQG71" s="352" t="s">
        <v>164</v>
      </c>
      <c r="EQH71" s="353" t="s">
        <v>121</v>
      </c>
      <c r="EQI71" s="159" t="s">
        <v>18</v>
      </c>
      <c r="EQJ71" s="160">
        <v>8100</v>
      </c>
      <c r="EQK71" s="169">
        <v>85</v>
      </c>
      <c r="EQL71" s="170">
        <v>215</v>
      </c>
      <c r="EQM71" s="170">
        <v>75</v>
      </c>
      <c r="EQN71" s="169">
        <v>150</v>
      </c>
      <c r="EQO71" s="171">
        <f>SUM(EQJ71:EQN71)</f>
        <v>8625</v>
      </c>
      <c r="EQP71" s="169">
        <v>200</v>
      </c>
      <c r="EQQ71" s="171">
        <f>SUM(EQO71:EQP71)</f>
        <v>8825</v>
      </c>
      <c r="EQR71" s="163" t="s">
        <v>114</v>
      </c>
      <c r="EQS71" s="164">
        <v>45845</v>
      </c>
      <c r="EQT71" s="159" t="s">
        <v>42</v>
      </c>
      <c r="EQU71" s="354" t="s">
        <v>150</v>
      </c>
      <c r="EQV71" s="165" t="s">
        <v>124</v>
      </c>
      <c r="EQW71" s="352" t="s">
        <v>164</v>
      </c>
      <c r="EQX71" s="353" t="s">
        <v>121</v>
      </c>
      <c r="EQY71" s="159" t="s">
        <v>18</v>
      </c>
      <c r="EQZ71" s="160">
        <v>8100</v>
      </c>
      <c r="ERA71" s="169">
        <v>85</v>
      </c>
      <c r="ERB71" s="170">
        <v>215</v>
      </c>
      <c r="ERC71" s="170">
        <v>75</v>
      </c>
      <c r="ERD71" s="169">
        <v>150</v>
      </c>
      <c r="ERE71" s="171">
        <f>SUM(EQZ71:ERD71)</f>
        <v>8625</v>
      </c>
      <c r="ERF71" s="169">
        <v>200</v>
      </c>
      <c r="ERG71" s="171">
        <f>SUM(ERE71:ERF71)</f>
        <v>8825</v>
      </c>
      <c r="ERH71" s="163" t="s">
        <v>114</v>
      </c>
      <c r="ERI71" s="164">
        <v>45845</v>
      </c>
      <c r="ERJ71" s="159" t="s">
        <v>42</v>
      </c>
      <c r="ERK71" s="354" t="s">
        <v>150</v>
      </c>
      <c r="ERL71" s="165" t="s">
        <v>124</v>
      </c>
      <c r="ERM71" s="352" t="s">
        <v>164</v>
      </c>
      <c r="ERN71" s="353" t="s">
        <v>121</v>
      </c>
      <c r="ERO71" s="159" t="s">
        <v>18</v>
      </c>
      <c r="ERP71" s="160">
        <v>8100</v>
      </c>
      <c r="ERQ71" s="169">
        <v>85</v>
      </c>
      <c r="ERR71" s="170">
        <v>215</v>
      </c>
      <c r="ERS71" s="170">
        <v>75</v>
      </c>
      <c r="ERT71" s="169">
        <v>150</v>
      </c>
      <c r="ERU71" s="171">
        <f>SUM(ERP71:ERT71)</f>
        <v>8625</v>
      </c>
      <c r="ERV71" s="169">
        <v>200</v>
      </c>
      <c r="ERW71" s="171">
        <f>SUM(ERU71:ERV71)</f>
        <v>8825</v>
      </c>
      <c r="ERX71" s="163" t="s">
        <v>114</v>
      </c>
      <c r="ERY71" s="164">
        <v>45845</v>
      </c>
      <c r="ERZ71" s="159" t="s">
        <v>42</v>
      </c>
      <c r="ESA71" s="354" t="s">
        <v>150</v>
      </c>
      <c r="ESB71" s="165" t="s">
        <v>124</v>
      </c>
      <c r="ESC71" s="352" t="s">
        <v>164</v>
      </c>
      <c r="ESD71" s="353" t="s">
        <v>121</v>
      </c>
      <c r="ESE71" s="159" t="s">
        <v>18</v>
      </c>
      <c r="ESF71" s="160">
        <v>8100</v>
      </c>
      <c r="ESG71" s="169">
        <v>85</v>
      </c>
      <c r="ESH71" s="170">
        <v>215</v>
      </c>
      <c r="ESI71" s="170">
        <v>75</v>
      </c>
      <c r="ESJ71" s="169">
        <v>150</v>
      </c>
      <c r="ESK71" s="171">
        <f>SUM(ESF71:ESJ71)</f>
        <v>8625</v>
      </c>
      <c r="ESL71" s="169">
        <v>200</v>
      </c>
      <c r="ESM71" s="171">
        <f>SUM(ESK71:ESL71)</f>
        <v>8825</v>
      </c>
      <c r="ESN71" s="163" t="s">
        <v>114</v>
      </c>
      <c r="ESO71" s="164">
        <v>45845</v>
      </c>
      <c r="ESP71" s="159" t="s">
        <v>42</v>
      </c>
      <c r="ESQ71" s="354" t="s">
        <v>150</v>
      </c>
      <c r="ESR71" s="165" t="s">
        <v>124</v>
      </c>
      <c r="ESS71" s="352" t="s">
        <v>164</v>
      </c>
      <c r="EST71" s="353" t="s">
        <v>121</v>
      </c>
      <c r="ESU71" s="159" t="s">
        <v>18</v>
      </c>
      <c r="ESV71" s="160">
        <v>8100</v>
      </c>
      <c r="ESW71" s="169">
        <v>85</v>
      </c>
      <c r="ESX71" s="170">
        <v>215</v>
      </c>
      <c r="ESY71" s="170">
        <v>75</v>
      </c>
      <c r="ESZ71" s="169">
        <v>150</v>
      </c>
      <c r="ETA71" s="171">
        <f>SUM(ESV71:ESZ71)</f>
        <v>8625</v>
      </c>
      <c r="ETB71" s="169">
        <v>200</v>
      </c>
      <c r="ETC71" s="171">
        <f>SUM(ETA71:ETB71)</f>
        <v>8825</v>
      </c>
      <c r="ETD71" s="163" t="s">
        <v>114</v>
      </c>
      <c r="ETE71" s="164">
        <v>45845</v>
      </c>
      <c r="ETF71" s="159" t="s">
        <v>42</v>
      </c>
      <c r="ETG71" s="354" t="s">
        <v>150</v>
      </c>
      <c r="ETH71" s="165" t="s">
        <v>124</v>
      </c>
      <c r="ETI71" s="352" t="s">
        <v>164</v>
      </c>
      <c r="ETJ71" s="353" t="s">
        <v>121</v>
      </c>
      <c r="ETK71" s="159" t="s">
        <v>18</v>
      </c>
      <c r="ETL71" s="160">
        <v>8100</v>
      </c>
      <c r="ETM71" s="169">
        <v>85</v>
      </c>
      <c r="ETN71" s="170">
        <v>215</v>
      </c>
      <c r="ETO71" s="170">
        <v>75</v>
      </c>
      <c r="ETP71" s="169">
        <v>150</v>
      </c>
      <c r="ETQ71" s="171">
        <f>SUM(ETL71:ETP71)</f>
        <v>8625</v>
      </c>
      <c r="ETR71" s="169">
        <v>200</v>
      </c>
      <c r="ETS71" s="171">
        <f>SUM(ETQ71:ETR71)</f>
        <v>8825</v>
      </c>
      <c r="ETT71" s="163" t="s">
        <v>114</v>
      </c>
      <c r="ETU71" s="164">
        <v>45845</v>
      </c>
      <c r="ETV71" s="159" t="s">
        <v>42</v>
      </c>
      <c r="ETW71" s="354" t="s">
        <v>150</v>
      </c>
      <c r="ETX71" s="165" t="s">
        <v>124</v>
      </c>
      <c r="ETY71" s="352" t="s">
        <v>164</v>
      </c>
      <c r="ETZ71" s="353" t="s">
        <v>121</v>
      </c>
      <c r="EUA71" s="159" t="s">
        <v>18</v>
      </c>
      <c r="EUB71" s="160">
        <v>8100</v>
      </c>
      <c r="EUC71" s="169">
        <v>85</v>
      </c>
      <c r="EUD71" s="170">
        <v>215</v>
      </c>
      <c r="EUE71" s="170">
        <v>75</v>
      </c>
      <c r="EUF71" s="169">
        <v>150</v>
      </c>
      <c r="EUG71" s="171">
        <f>SUM(EUB71:EUF71)</f>
        <v>8625</v>
      </c>
      <c r="EUH71" s="169">
        <v>200</v>
      </c>
      <c r="EUI71" s="171">
        <f>SUM(EUG71:EUH71)</f>
        <v>8825</v>
      </c>
      <c r="EUJ71" s="163" t="s">
        <v>114</v>
      </c>
      <c r="EUK71" s="164">
        <v>45845</v>
      </c>
      <c r="EUL71" s="159" t="s">
        <v>42</v>
      </c>
      <c r="EUM71" s="354" t="s">
        <v>150</v>
      </c>
      <c r="EUN71" s="165" t="s">
        <v>124</v>
      </c>
      <c r="EUO71" s="352" t="s">
        <v>164</v>
      </c>
      <c r="EUP71" s="353" t="s">
        <v>121</v>
      </c>
      <c r="EUQ71" s="159" t="s">
        <v>18</v>
      </c>
      <c r="EUR71" s="160">
        <v>8100</v>
      </c>
      <c r="EUS71" s="169">
        <v>85</v>
      </c>
      <c r="EUT71" s="170">
        <v>215</v>
      </c>
      <c r="EUU71" s="170">
        <v>75</v>
      </c>
      <c r="EUV71" s="169">
        <v>150</v>
      </c>
      <c r="EUW71" s="171">
        <f>SUM(EUR71:EUV71)</f>
        <v>8625</v>
      </c>
      <c r="EUX71" s="169">
        <v>200</v>
      </c>
      <c r="EUY71" s="171">
        <f>SUM(EUW71:EUX71)</f>
        <v>8825</v>
      </c>
      <c r="EUZ71" s="163" t="s">
        <v>114</v>
      </c>
      <c r="EVA71" s="164">
        <v>45845</v>
      </c>
      <c r="EVB71" s="159" t="s">
        <v>42</v>
      </c>
      <c r="EVC71" s="354" t="s">
        <v>150</v>
      </c>
      <c r="EVD71" s="165" t="s">
        <v>124</v>
      </c>
      <c r="EVE71" s="352" t="s">
        <v>164</v>
      </c>
      <c r="EVF71" s="353" t="s">
        <v>121</v>
      </c>
      <c r="EVG71" s="159" t="s">
        <v>18</v>
      </c>
      <c r="EVH71" s="160">
        <v>8100</v>
      </c>
      <c r="EVI71" s="169">
        <v>85</v>
      </c>
      <c r="EVJ71" s="170">
        <v>215</v>
      </c>
      <c r="EVK71" s="170">
        <v>75</v>
      </c>
      <c r="EVL71" s="169">
        <v>150</v>
      </c>
      <c r="EVM71" s="171">
        <f>SUM(EVH71:EVL71)</f>
        <v>8625</v>
      </c>
      <c r="EVN71" s="169">
        <v>200</v>
      </c>
      <c r="EVO71" s="171">
        <f>SUM(EVM71:EVN71)</f>
        <v>8825</v>
      </c>
      <c r="EVP71" s="163" t="s">
        <v>114</v>
      </c>
      <c r="EVQ71" s="164">
        <v>45845</v>
      </c>
      <c r="EVR71" s="159" t="s">
        <v>42</v>
      </c>
      <c r="EVS71" s="354" t="s">
        <v>150</v>
      </c>
      <c r="EVT71" s="165" t="s">
        <v>124</v>
      </c>
      <c r="EVU71" s="352" t="s">
        <v>164</v>
      </c>
      <c r="EVV71" s="353" t="s">
        <v>121</v>
      </c>
      <c r="EVW71" s="159" t="s">
        <v>18</v>
      </c>
      <c r="EVX71" s="160">
        <v>8100</v>
      </c>
      <c r="EVY71" s="169">
        <v>85</v>
      </c>
      <c r="EVZ71" s="170">
        <v>215</v>
      </c>
      <c r="EWA71" s="170">
        <v>75</v>
      </c>
      <c r="EWB71" s="169">
        <v>150</v>
      </c>
      <c r="EWC71" s="171">
        <f>SUM(EVX71:EWB71)</f>
        <v>8625</v>
      </c>
      <c r="EWD71" s="169">
        <v>200</v>
      </c>
      <c r="EWE71" s="171">
        <f>SUM(EWC71:EWD71)</f>
        <v>8825</v>
      </c>
      <c r="EWF71" s="163" t="s">
        <v>114</v>
      </c>
      <c r="EWG71" s="164">
        <v>45845</v>
      </c>
      <c r="EWH71" s="159" t="s">
        <v>42</v>
      </c>
      <c r="EWI71" s="354" t="s">
        <v>150</v>
      </c>
      <c r="EWJ71" s="165" t="s">
        <v>124</v>
      </c>
      <c r="EWK71" s="352" t="s">
        <v>164</v>
      </c>
      <c r="EWL71" s="353" t="s">
        <v>121</v>
      </c>
      <c r="EWM71" s="159" t="s">
        <v>18</v>
      </c>
      <c r="EWN71" s="160">
        <v>8100</v>
      </c>
      <c r="EWO71" s="169">
        <v>85</v>
      </c>
      <c r="EWP71" s="170">
        <v>215</v>
      </c>
      <c r="EWQ71" s="170">
        <v>75</v>
      </c>
      <c r="EWR71" s="169">
        <v>150</v>
      </c>
      <c r="EWS71" s="171">
        <f>SUM(EWN71:EWR71)</f>
        <v>8625</v>
      </c>
      <c r="EWT71" s="169">
        <v>200</v>
      </c>
      <c r="EWU71" s="171">
        <f>SUM(EWS71:EWT71)</f>
        <v>8825</v>
      </c>
      <c r="EWV71" s="163" t="s">
        <v>114</v>
      </c>
      <c r="EWW71" s="164">
        <v>45845</v>
      </c>
      <c r="EWX71" s="159" t="s">
        <v>42</v>
      </c>
      <c r="EWY71" s="354" t="s">
        <v>150</v>
      </c>
      <c r="EWZ71" s="165" t="s">
        <v>124</v>
      </c>
      <c r="EXA71" s="352" t="s">
        <v>164</v>
      </c>
      <c r="EXB71" s="353" t="s">
        <v>121</v>
      </c>
      <c r="EXC71" s="159" t="s">
        <v>18</v>
      </c>
      <c r="EXD71" s="160">
        <v>8100</v>
      </c>
      <c r="EXE71" s="169">
        <v>85</v>
      </c>
      <c r="EXF71" s="170">
        <v>215</v>
      </c>
      <c r="EXG71" s="170">
        <v>75</v>
      </c>
      <c r="EXH71" s="169">
        <v>150</v>
      </c>
      <c r="EXI71" s="171">
        <f>SUM(EXD71:EXH71)</f>
        <v>8625</v>
      </c>
      <c r="EXJ71" s="169">
        <v>200</v>
      </c>
      <c r="EXK71" s="171">
        <f>SUM(EXI71:EXJ71)</f>
        <v>8825</v>
      </c>
      <c r="EXL71" s="163" t="s">
        <v>114</v>
      </c>
      <c r="EXM71" s="164">
        <v>45845</v>
      </c>
      <c r="EXN71" s="159" t="s">
        <v>42</v>
      </c>
      <c r="EXO71" s="354" t="s">
        <v>150</v>
      </c>
      <c r="EXP71" s="165" t="s">
        <v>124</v>
      </c>
      <c r="EXQ71" s="352" t="s">
        <v>164</v>
      </c>
      <c r="EXR71" s="353" t="s">
        <v>121</v>
      </c>
      <c r="EXS71" s="159" t="s">
        <v>18</v>
      </c>
      <c r="EXT71" s="160">
        <v>8100</v>
      </c>
      <c r="EXU71" s="169">
        <v>85</v>
      </c>
      <c r="EXV71" s="170">
        <v>215</v>
      </c>
      <c r="EXW71" s="170">
        <v>75</v>
      </c>
      <c r="EXX71" s="169">
        <v>150</v>
      </c>
      <c r="EXY71" s="171">
        <f>SUM(EXT71:EXX71)</f>
        <v>8625</v>
      </c>
      <c r="EXZ71" s="169">
        <v>200</v>
      </c>
      <c r="EYA71" s="171">
        <f>SUM(EXY71:EXZ71)</f>
        <v>8825</v>
      </c>
      <c r="EYB71" s="163" t="s">
        <v>114</v>
      </c>
      <c r="EYC71" s="164">
        <v>45845</v>
      </c>
      <c r="EYD71" s="159" t="s">
        <v>42</v>
      </c>
      <c r="EYE71" s="354" t="s">
        <v>150</v>
      </c>
      <c r="EYF71" s="165" t="s">
        <v>124</v>
      </c>
      <c r="EYG71" s="352" t="s">
        <v>164</v>
      </c>
      <c r="EYH71" s="353" t="s">
        <v>121</v>
      </c>
      <c r="EYI71" s="159" t="s">
        <v>18</v>
      </c>
      <c r="EYJ71" s="160">
        <v>8100</v>
      </c>
      <c r="EYK71" s="169">
        <v>85</v>
      </c>
      <c r="EYL71" s="170">
        <v>215</v>
      </c>
      <c r="EYM71" s="170">
        <v>75</v>
      </c>
      <c r="EYN71" s="169">
        <v>150</v>
      </c>
      <c r="EYO71" s="171">
        <f>SUM(EYJ71:EYN71)</f>
        <v>8625</v>
      </c>
      <c r="EYP71" s="169">
        <v>200</v>
      </c>
      <c r="EYQ71" s="171">
        <f>SUM(EYO71:EYP71)</f>
        <v>8825</v>
      </c>
      <c r="EYR71" s="163" t="s">
        <v>114</v>
      </c>
      <c r="EYS71" s="164">
        <v>45845</v>
      </c>
      <c r="EYT71" s="159" t="s">
        <v>42</v>
      </c>
      <c r="EYU71" s="354" t="s">
        <v>150</v>
      </c>
      <c r="EYV71" s="165" t="s">
        <v>124</v>
      </c>
      <c r="EYW71" s="352" t="s">
        <v>164</v>
      </c>
      <c r="EYX71" s="353" t="s">
        <v>121</v>
      </c>
      <c r="EYY71" s="159" t="s">
        <v>18</v>
      </c>
      <c r="EYZ71" s="160">
        <v>8100</v>
      </c>
      <c r="EZA71" s="169">
        <v>85</v>
      </c>
      <c r="EZB71" s="170">
        <v>215</v>
      </c>
      <c r="EZC71" s="170">
        <v>75</v>
      </c>
      <c r="EZD71" s="169">
        <v>150</v>
      </c>
      <c r="EZE71" s="171">
        <f>SUM(EYZ71:EZD71)</f>
        <v>8625</v>
      </c>
      <c r="EZF71" s="169">
        <v>200</v>
      </c>
      <c r="EZG71" s="171">
        <f>SUM(EZE71:EZF71)</f>
        <v>8825</v>
      </c>
      <c r="EZH71" s="163" t="s">
        <v>114</v>
      </c>
      <c r="EZI71" s="164">
        <v>45845</v>
      </c>
      <c r="EZJ71" s="159" t="s">
        <v>42</v>
      </c>
      <c r="EZK71" s="354" t="s">
        <v>150</v>
      </c>
      <c r="EZL71" s="165" t="s">
        <v>124</v>
      </c>
      <c r="EZM71" s="352" t="s">
        <v>164</v>
      </c>
      <c r="EZN71" s="353" t="s">
        <v>121</v>
      </c>
      <c r="EZO71" s="159" t="s">
        <v>18</v>
      </c>
      <c r="EZP71" s="160">
        <v>8100</v>
      </c>
      <c r="EZQ71" s="169">
        <v>85</v>
      </c>
      <c r="EZR71" s="170">
        <v>215</v>
      </c>
      <c r="EZS71" s="170">
        <v>75</v>
      </c>
      <c r="EZT71" s="169">
        <v>150</v>
      </c>
      <c r="EZU71" s="171">
        <f>SUM(EZP71:EZT71)</f>
        <v>8625</v>
      </c>
      <c r="EZV71" s="169">
        <v>200</v>
      </c>
      <c r="EZW71" s="171">
        <f>SUM(EZU71:EZV71)</f>
        <v>8825</v>
      </c>
      <c r="EZX71" s="163" t="s">
        <v>114</v>
      </c>
      <c r="EZY71" s="164">
        <v>45845</v>
      </c>
      <c r="EZZ71" s="159" t="s">
        <v>42</v>
      </c>
      <c r="FAA71" s="354" t="s">
        <v>150</v>
      </c>
      <c r="FAB71" s="165" t="s">
        <v>124</v>
      </c>
      <c r="FAC71" s="352" t="s">
        <v>164</v>
      </c>
      <c r="FAD71" s="353" t="s">
        <v>121</v>
      </c>
      <c r="FAE71" s="159" t="s">
        <v>18</v>
      </c>
      <c r="FAF71" s="160">
        <v>8100</v>
      </c>
      <c r="FAG71" s="169">
        <v>85</v>
      </c>
      <c r="FAH71" s="170">
        <v>215</v>
      </c>
      <c r="FAI71" s="170">
        <v>75</v>
      </c>
      <c r="FAJ71" s="169">
        <v>150</v>
      </c>
      <c r="FAK71" s="171">
        <f>SUM(FAF71:FAJ71)</f>
        <v>8625</v>
      </c>
      <c r="FAL71" s="169">
        <v>200</v>
      </c>
      <c r="FAM71" s="171">
        <f>SUM(FAK71:FAL71)</f>
        <v>8825</v>
      </c>
      <c r="FAN71" s="163" t="s">
        <v>114</v>
      </c>
      <c r="FAO71" s="164">
        <v>45845</v>
      </c>
      <c r="FAP71" s="159" t="s">
        <v>42</v>
      </c>
      <c r="FAQ71" s="354" t="s">
        <v>150</v>
      </c>
      <c r="FAR71" s="165" t="s">
        <v>124</v>
      </c>
      <c r="FAS71" s="352" t="s">
        <v>164</v>
      </c>
      <c r="FAT71" s="353" t="s">
        <v>121</v>
      </c>
      <c r="FAU71" s="159" t="s">
        <v>18</v>
      </c>
      <c r="FAV71" s="160">
        <v>8100</v>
      </c>
      <c r="FAW71" s="169">
        <v>85</v>
      </c>
      <c r="FAX71" s="170">
        <v>215</v>
      </c>
      <c r="FAY71" s="170">
        <v>75</v>
      </c>
      <c r="FAZ71" s="169">
        <v>150</v>
      </c>
      <c r="FBA71" s="171">
        <f>SUM(FAV71:FAZ71)</f>
        <v>8625</v>
      </c>
      <c r="FBB71" s="169">
        <v>200</v>
      </c>
      <c r="FBC71" s="171">
        <f>SUM(FBA71:FBB71)</f>
        <v>8825</v>
      </c>
      <c r="FBD71" s="163" t="s">
        <v>114</v>
      </c>
      <c r="FBE71" s="164">
        <v>45845</v>
      </c>
      <c r="FBF71" s="159" t="s">
        <v>42</v>
      </c>
      <c r="FBG71" s="354" t="s">
        <v>150</v>
      </c>
      <c r="FBH71" s="165" t="s">
        <v>124</v>
      </c>
      <c r="FBI71" s="352" t="s">
        <v>164</v>
      </c>
      <c r="FBJ71" s="353" t="s">
        <v>121</v>
      </c>
      <c r="FBK71" s="159" t="s">
        <v>18</v>
      </c>
      <c r="FBL71" s="160">
        <v>8100</v>
      </c>
      <c r="FBM71" s="169">
        <v>85</v>
      </c>
      <c r="FBN71" s="170">
        <v>215</v>
      </c>
      <c r="FBO71" s="170">
        <v>75</v>
      </c>
      <c r="FBP71" s="169">
        <v>150</v>
      </c>
      <c r="FBQ71" s="171">
        <f>SUM(FBL71:FBP71)</f>
        <v>8625</v>
      </c>
      <c r="FBR71" s="169">
        <v>200</v>
      </c>
      <c r="FBS71" s="171">
        <f>SUM(FBQ71:FBR71)</f>
        <v>8825</v>
      </c>
      <c r="FBT71" s="163" t="s">
        <v>114</v>
      </c>
      <c r="FBU71" s="164">
        <v>45845</v>
      </c>
      <c r="FBV71" s="159" t="s">
        <v>42</v>
      </c>
      <c r="FBW71" s="354" t="s">
        <v>150</v>
      </c>
      <c r="FBX71" s="165" t="s">
        <v>124</v>
      </c>
      <c r="FBY71" s="352" t="s">
        <v>164</v>
      </c>
      <c r="FBZ71" s="353" t="s">
        <v>121</v>
      </c>
      <c r="FCA71" s="159" t="s">
        <v>18</v>
      </c>
      <c r="FCB71" s="160">
        <v>8100</v>
      </c>
      <c r="FCC71" s="169">
        <v>85</v>
      </c>
      <c r="FCD71" s="170">
        <v>215</v>
      </c>
      <c r="FCE71" s="170">
        <v>75</v>
      </c>
      <c r="FCF71" s="169">
        <v>150</v>
      </c>
      <c r="FCG71" s="171">
        <f>SUM(FCB71:FCF71)</f>
        <v>8625</v>
      </c>
      <c r="FCH71" s="169">
        <v>200</v>
      </c>
      <c r="FCI71" s="171">
        <f>SUM(FCG71:FCH71)</f>
        <v>8825</v>
      </c>
      <c r="FCJ71" s="163" t="s">
        <v>114</v>
      </c>
      <c r="FCK71" s="164">
        <v>45845</v>
      </c>
      <c r="FCL71" s="159" t="s">
        <v>42</v>
      </c>
      <c r="FCM71" s="354" t="s">
        <v>150</v>
      </c>
      <c r="FCN71" s="165" t="s">
        <v>124</v>
      </c>
      <c r="FCO71" s="352" t="s">
        <v>164</v>
      </c>
      <c r="FCP71" s="353" t="s">
        <v>121</v>
      </c>
      <c r="FCQ71" s="159" t="s">
        <v>18</v>
      </c>
      <c r="FCR71" s="160">
        <v>8100</v>
      </c>
      <c r="FCS71" s="169">
        <v>85</v>
      </c>
      <c r="FCT71" s="170">
        <v>215</v>
      </c>
      <c r="FCU71" s="170">
        <v>75</v>
      </c>
      <c r="FCV71" s="169">
        <v>150</v>
      </c>
      <c r="FCW71" s="171">
        <f>SUM(FCR71:FCV71)</f>
        <v>8625</v>
      </c>
      <c r="FCX71" s="169">
        <v>200</v>
      </c>
      <c r="FCY71" s="171">
        <f>SUM(FCW71:FCX71)</f>
        <v>8825</v>
      </c>
      <c r="FCZ71" s="163" t="s">
        <v>114</v>
      </c>
      <c r="FDA71" s="164">
        <v>45845</v>
      </c>
      <c r="FDB71" s="159" t="s">
        <v>42</v>
      </c>
      <c r="FDC71" s="354" t="s">
        <v>150</v>
      </c>
      <c r="FDD71" s="165" t="s">
        <v>124</v>
      </c>
      <c r="FDE71" s="352" t="s">
        <v>164</v>
      </c>
      <c r="FDF71" s="353" t="s">
        <v>121</v>
      </c>
      <c r="FDG71" s="159" t="s">
        <v>18</v>
      </c>
      <c r="FDH71" s="160">
        <v>8100</v>
      </c>
      <c r="FDI71" s="169">
        <v>85</v>
      </c>
      <c r="FDJ71" s="170">
        <v>215</v>
      </c>
      <c r="FDK71" s="170">
        <v>75</v>
      </c>
      <c r="FDL71" s="169">
        <v>150</v>
      </c>
      <c r="FDM71" s="171">
        <f>SUM(FDH71:FDL71)</f>
        <v>8625</v>
      </c>
      <c r="FDN71" s="169">
        <v>200</v>
      </c>
      <c r="FDO71" s="171">
        <f>SUM(FDM71:FDN71)</f>
        <v>8825</v>
      </c>
      <c r="FDP71" s="163" t="s">
        <v>114</v>
      </c>
      <c r="FDQ71" s="164">
        <v>45845</v>
      </c>
      <c r="FDR71" s="159" t="s">
        <v>42</v>
      </c>
      <c r="FDS71" s="354" t="s">
        <v>150</v>
      </c>
      <c r="FDT71" s="165" t="s">
        <v>124</v>
      </c>
      <c r="FDU71" s="352" t="s">
        <v>164</v>
      </c>
      <c r="FDV71" s="353" t="s">
        <v>121</v>
      </c>
      <c r="FDW71" s="159" t="s">
        <v>18</v>
      </c>
      <c r="FDX71" s="160">
        <v>8100</v>
      </c>
      <c r="FDY71" s="169">
        <v>85</v>
      </c>
      <c r="FDZ71" s="170">
        <v>215</v>
      </c>
      <c r="FEA71" s="170">
        <v>75</v>
      </c>
      <c r="FEB71" s="169">
        <v>150</v>
      </c>
      <c r="FEC71" s="171">
        <f>SUM(FDX71:FEB71)</f>
        <v>8625</v>
      </c>
      <c r="FED71" s="169">
        <v>200</v>
      </c>
      <c r="FEE71" s="171">
        <f>SUM(FEC71:FED71)</f>
        <v>8825</v>
      </c>
      <c r="FEF71" s="163" t="s">
        <v>114</v>
      </c>
      <c r="FEG71" s="164">
        <v>45845</v>
      </c>
      <c r="FEH71" s="159" t="s">
        <v>42</v>
      </c>
      <c r="FEI71" s="354" t="s">
        <v>150</v>
      </c>
      <c r="FEJ71" s="165" t="s">
        <v>124</v>
      </c>
      <c r="FEK71" s="352" t="s">
        <v>164</v>
      </c>
      <c r="FEL71" s="353" t="s">
        <v>121</v>
      </c>
      <c r="FEM71" s="159" t="s">
        <v>18</v>
      </c>
      <c r="FEN71" s="160">
        <v>8100</v>
      </c>
      <c r="FEO71" s="169">
        <v>85</v>
      </c>
      <c r="FEP71" s="170">
        <v>215</v>
      </c>
      <c r="FEQ71" s="170">
        <v>75</v>
      </c>
      <c r="FER71" s="169">
        <v>150</v>
      </c>
      <c r="FES71" s="171">
        <f>SUM(FEN71:FER71)</f>
        <v>8625</v>
      </c>
      <c r="FET71" s="169">
        <v>200</v>
      </c>
      <c r="FEU71" s="171">
        <f>SUM(FES71:FET71)</f>
        <v>8825</v>
      </c>
      <c r="FEV71" s="163" t="s">
        <v>114</v>
      </c>
      <c r="FEW71" s="164">
        <v>45845</v>
      </c>
      <c r="FEX71" s="159" t="s">
        <v>42</v>
      </c>
      <c r="FEY71" s="354" t="s">
        <v>150</v>
      </c>
      <c r="FEZ71" s="165" t="s">
        <v>124</v>
      </c>
      <c r="FFA71" s="352" t="s">
        <v>164</v>
      </c>
      <c r="FFB71" s="353" t="s">
        <v>121</v>
      </c>
      <c r="FFC71" s="159" t="s">
        <v>18</v>
      </c>
      <c r="FFD71" s="160">
        <v>8100</v>
      </c>
      <c r="FFE71" s="169">
        <v>85</v>
      </c>
      <c r="FFF71" s="170">
        <v>215</v>
      </c>
      <c r="FFG71" s="170">
        <v>75</v>
      </c>
      <c r="FFH71" s="169">
        <v>150</v>
      </c>
      <c r="FFI71" s="171">
        <f>SUM(FFD71:FFH71)</f>
        <v>8625</v>
      </c>
      <c r="FFJ71" s="169">
        <v>200</v>
      </c>
      <c r="FFK71" s="171">
        <f>SUM(FFI71:FFJ71)</f>
        <v>8825</v>
      </c>
      <c r="FFL71" s="163" t="s">
        <v>114</v>
      </c>
      <c r="FFM71" s="164">
        <v>45845</v>
      </c>
      <c r="FFN71" s="159" t="s">
        <v>42</v>
      </c>
      <c r="FFO71" s="354" t="s">
        <v>150</v>
      </c>
      <c r="FFP71" s="165" t="s">
        <v>124</v>
      </c>
      <c r="FFQ71" s="352" t="s">
        <v>164</v>
      </c>
      <c r="FFR71" s="353" t="s">
        <v>121</v>
      </c>
      <c r="FFS71" s="159" t="s">
        <v>18</v>
      </c>
      <c r="FFT71" s="160">
        <v>8100</v>
      </c>
      <c r="FFU71" s="169">
        <v>85</v>
      </c>
      <c r="FFV71" s="170">
        <v>215</v>
      </c>
      <c r="FFW71" s="170">
        <v>75</v>
      </c>
      <c r="FFX71" s="169">
        <v>150</v>
      </c>
      <c r="FFY71" s="171">
        <f>SUM(FFT71:FFX71)</f>
        <v>8625</v>
      </c>
      <c r="FFZ71" s="169">
        <v>200</v>
      </c>
      <c r="FGA71" s="171">
        <f>SUM(FFY71:FFZ71)</f>
        <v>8825</v>
      </c>
      <c r="FGB71" s="163" t="s">
        <v>114</v>
      </c>
      <c r="FGC71" s="164">
        <v>45845</v>
      </c>
      <c r="FGD71" s="159" t="s">
        <v>42</v>
      </c>
      <c r="FGE71" s="354" t="s">
        <v>150</v>
      </c>
      <c r="FGF71" s="165" t="s">
        <v>124</v>
      </c>
      <c r="FGG71" s="352" t="s">
        <v>164</v>
      </c>
      <c r="FGH71" s="353" t="s">
        <v>121</v>
      </c>
      <c r="FGI71" s="159" t="s">
        <v>18</v>
      </c>
      <c r="FGJ71" s="160">
        <v>8100</v>
      </c>
      <c r="FGK71" s="169">
        <v>85</v>
      </c>
      <c r="FGL71" s="170">
        <v>215</v>
      </c>
      <c r="FGM71" s="170">
        <v>75</v>
      </c>
      <c r="FGN71" s="169">
        <v>150</v>
      </c>
      <c r="FGO71" s="171">
        <f>SUM(FGJ71:FGN71)</f>
        <v>8625</v>
      </c>
      <c r="FGP71" s="169">
        <v>200</v>
      </c>
      <c r="FGQ71" s="171">
        <f>SUM(FGO71:FGP71)</f>
        <v>8825</v>
      </c>
      <c r="FGR71" s="163" t="s">
        <v>114</v>
      </c>
      <c r="FGS71" s="164">
        <v>45845</v>
      </c>
      <c r="FGT71" s="159" t="s">
        <v>42</v>
      </c>
      <c r="FGU71" s="354" t="s">
        <v>150</v>
      </c>
      <c r="FGV71" s="165" t="s">
        <v>124</v>
      </c>
      <c r="FGW71" s="352" t="s">
        <v>164</v>
      </c>
      <c r="FGX71" s="353" t="s">
        <v>121</v>
      </c>
      <c r="FGY71" s="159" t="s">
        <v>18</v>
      </c>
      <c r="FGZ71" s="160">
        <v>8100</v>
      </c>
      <c r="FHA71" s="169">
        <v>85</v>
      </c>
      <c r="FHB71" s="170">
        <v>215</v>
      </c>
      <c r="FHC71" s="170">
        <v>75</v>
      </c>
      <c r="FHD71" s="169">
        <v>150</v>
      </c>
      <c r="FHE71" s="171">
        <f>SUM(FGZ71:FHD71)</f>
        <v>8625</v>
      </c>
      <c r="FHF71" s="169">
        <v>200</v>
      </c>
      <c r="FHG71" s="171">
        <f>SUM(FHE71:FHF71)</f>
        <v>8825</v>
      </c>
      <c r="FHH71" s="163" t="s">
        <v>114</v>
      </c>
      <c r="FHI71" s="164">
        <v>45845</v>
      </c>
      <c r="FHJ71" s="159" t="s">
        <v>42</v>
      </c>
      <c r="FHK71" s="354" t="s">
        <v>150</v>
      </c>
      <c r="FHL71" s="165" t="s">
        <v>124</v>
      </c>
      <c r="FHM71" s="352" t="s">
        <v>164</v>
      </c>
      <c r="FHN71" s="353" t="s">
        <v>121</v>
      </c>
      <c r="FHO71" s="159" t="s">
        <v>18</v>
      </c>
      <c r="FHP71" s="160">
        <v>8100</v>
      </c>
      <c r="FHQ71" s="169">
        <v>85</v>
      </c>
      <c r="FHR71" s="170">
        <v>215</v>
      </c>
      <c r="FHS71" s="170">
        <v>75</v>
      </c>
      <c r="FHT71" s="169">
        <v>150</v>
      </c>
      <c r="FHU71" s="171">
        <f>SUM(FHP71:FHT71)</f>
        <v>8625</v>
      </c>
      <c r="FHV71" s="169">
        <v>200</v>
      </c>
      <c r="FHW71" s="171">
        <f>SUM(FHU71:FHV71)</f>
        <v>8825</v>
      </c>
      <c r="FHX71" s="163" t="s">
        <v>114</v>
      </c>
      <c r="FHY71" s="164">
        <v>45845</v>
      </c>
      <c r="FHZ71" s="159" t="s">
        <v>42</v>
      </c>
      <c r="FIA71" s="354" t="s">
        <v>150</v>
      </c>
      <c r="FIB71" s="165" t="s">
        <v>124</v>
      </c>
      <c r="FIC71" s="352" t="s">
        <v>164</v>
      </c>
      <c r="FID71" s="353" t="s">
        <v>121</v>
      </c>
      <c r="FIE71" s="159" t="s">
        <v>18</v>
      </c>
      <c r="FIF71" s="160">
        <v>8100</v>
      </c>
      <c r="FIG71" s="169">
        <v>85</v>
      </c>
      <c r="FIH71" s="170">
        <v>215</v>
      </c>
      <c r="FII71" s="170">
        <v>75</v>
      </c>
      <c r="FIJ71" s="169">
        <v>150</v>
      </c>
      <c r="FIK71" s="171">
        <f>SUM(FIF71:FIJ71)</f>
        <v>8625</v>
      </c>
      <c r="FIL71" s="169">
        <v>200</v>
      </c>
      <c r="FIM71" s="171">
        <f>SUM(FIK71:FIL71)</f>
        <v>8825</v>
      </c>
      <c r="FIN71" s="163" t="s">
        <v>114</v>
      </c>
      <c r="FIO71" s="164">
        <v>45845</v>
      </c>
      <c r="FIP71" s="159" t="s">
        <v>42</v>
      </c>
      <c r="FIQ71" s="354" t="s">
        <v>150</v>
      </c>
      <c r="FIR71" s="165" t="s">
        <v>124</v>
      </c>
      <c r="FIS71" s="352" t="s">
        <v>164</v>
      </c>
      <c r="FIT71" s="353" t="s">
        <v>121</v>
      </c>
      <c r="FIU71" s="159" t="s">
        <v>18</v>
      </c>
      <c r="FIV71" s="160">
        <v>8100</v>
      </c>
      <c r="FIW71" s="169">
        <v>85</v>
      </c>
      <c r="FIX71" s="170">
        <v>215</v>
      </c>
      <c r="FIY71" s="170">
        <v>75</v>
      </c>
      <c r="FIZ71" s="169">
        <v>150</v>
      </c>
      <c r="FJA71" s="171">
        <f>SUM(FIV71:FIZ71)</f>
        <v>8625</v>
      </c>
      <c r="FJB71" s="169">
        <v>200</v>
      </c>
      <c r="FJC71" s="171">
        <f>SUM(FJA71:FJB71)</f>
        <v>8825</v>
      </c>
      <c r="FJD71" s="163" t="s">
        <v>114</v>
      </c>
      <c r="FJE71" s="164">
        <v>45845</v>
      </c>
      <c r="FJF71" s="159" t="s">
        <v>42</v>
      </c>
      <c r="FJG71" s="354" t="s">
        <v>150</v>
      </c>
      <c r="FJH71" s="165" t="s">
        <v>124</v>
      </c>
      <c r="FJI71" s="352" t="s">
        <v>164</v>
      </c>
      <c r="FJJ71" s="353" t="s">
        <v>121</v>
      </c>
      <c r="FJK71" s="159" t="s">
        <v>18</v>
      </c>
      <c r="FJL71" s="160">
        <v>8100</v>
      </c>
      <c r="FJM71" s="169">
        <v>85</v>
      </c>
      <c r="FJN71" s="170">
        <v>215</v>
      </c>
      <c r="FJO71" s="170">
        <v>75</v>
      </c>
      <c r="FJP71" s="169">
        <v>150</v>
      </c>
      <c r="FJQ71" s="171">
        <f>SUM(FJL71:FJP71)</f>
        <v>8625</v>
      </c>
      <c r="FJR71" s="169">
        <v>200</v>
      </c>
      <c r="FJS71" s="171">
        <f>SUM(FJQ71:FJR71)</f>
        <v>8825</v>
      </c>
      <c r="FJT71" s="163" t="s">
        <v>114</v>
      </c>
      <c r="FJU71" s="164">
        <v>45845</v>
      </c>
      <c r="FJV71" s="159" t="s">
        <v>42</v>
      </c>
      <c r="FJW71" s="354" t="s">
        <v>150</v>
      </c>
      <c r="FJX71" s="165" t="s">
        <v>124</v>
      </c>
      <c r="FJY71" s="352" t="s">
        <v>164</v>
      </c>
      <c r="FJZ71" s="353" t="s">
        <v>121</v>
      </c>
      <c r="FKA71" s="159" t="s">
        <v>18</v>
      </c>
      <c r="FKB71" s="160">
        <v>8100</v>
      </c>
      <c r="FKC71" s="169">
        <v>85</v>
      </c>
      <c r="FKD71" s="170">
        <v>215</v>
      </c>
      <c r="FKE71" s="170">
        <v>75</v>
      </c>
      <c r="FKF71" s="169">
        <v>150</v>
      </c>
      <c r="FKG71" s="171">
        <f>SUM(FKB71:FKF71)</f>
        <v>8625</v>
      </c>
      <c r="FKH71" s="169">
        <v>200</v>
      </c>
      <c r="FKI71" s="171">
        <f>SUM(FKG71:FKH71)</f>
        <v>8825</v>
      </c>
      <c r="FKJ71" s="163" t="s">
        <v>114</v>
      </c>
      <c r="FKK71" s="164">
        <v>45845</v>
      </c>
      <c r="FKL71" s="159" t="s">
        <v>42</v>
      </c>
      <c r="FKM71" s="354" t="s">
        <v>150</v>
      </c>
      <c r="FKN71" s="165" t="s">
        <v>124</v>
      </c>
      <c r="FKO71" s="352" t="s">
        <v>164</v>
      </c>
      <c r="FKP71" s="353" t="s">
        <v>121</v>
      </c>
      <c r="FKQ71" s="159" t="s">
        <v>18</v>
      </c>
      <c r="FKR71" s="160">
        <v>8100</v>
      </c>
      <c r="FKS71" s="169">
        <v>85</v>
      </c>
      <c r="FKT71" s="170">
        <v>215</v>
      </c>
      <c r="FKU71" s="170">
        <v>75</v>
      </c>
      <c r="FKV71" s="169">
        <v>150</v>
      </c>
      <c r="FKW71" s="171">
        <f>SUM(FKR71:FKV71)</f>
        <v>8625</v>
      </c>
      <c r="FKX71" s="169">
        <v>200</v>
      </c>
      <c r="FKY71" s="171">
        <f>SUM(FKW71:FKX71)</f>
        <v>8825</v>
      </c>
      <c r="FKZ71" s="163" t="s">
        <v>114</v>
      </c>
      <c r="FLA71" s="164">
        <v>45845</v>
      </c>
      <c r="FLB71" s="159" t="s">
        <v>42</v>
      </c>
      <c r="FLC71" s="354" t="s">
        <v>150</v>
      </c>
      <c r="FLD71" s="165" t="s">
        <v>124</v>
      </c>
      <c r="FLE71" s="352" t="s">
        <v>164</v>
      </c>
      <c r="FLF71" s="353" t="s">
        <v>121</v>
      </c>
      <c r="FLG71" s="159" t="s">
        <v>18</v>
      </c>
      <c r="FLH71" s="160">
        <v>8100</v>
      </c>
      <c r="FLI71" s="169">
        <v>85</v>
      </c>
      <c r="FLJ71" s="170">
        <v>215</v>
      </c>
      <c r="FLK71" s="170">
        <v>75</v>
      </c>
      <c r="FLL71" s="169">
        <v>150</v>
      </c>
      <c r="FLM71" s="171">
        <f>SUM(FLH71:FLL71)</f>
        <v>8625</v>
      </c>
      <c r="FLN71" s="169">
        <v>200</v>
      </c>
      <c r="FLO71" s="171">
        <f>SUM(FLM71:FLN71)</f>
        <v>8825</v>
      </c>
      <c r="FLP71" s="163" t="s">
        <v>114</v>
      </c>
      <c r="FLQ71" s="164">
        <v>45845</v>
      </c>
      <c r="FLR71" s="159" t="s">
        <v>42</v>
      </c>
      <c r="FLS71" s="354" t="s">
        <v>150</v>
      </c>
      <c r="FLT71" s="165" t="s">
        <v>124</v>
      </c>
      <c r="FLU71" s="352" t="s">
        <v>164</v>
      </c>
      <c r="FLV71" s="353" t="s">
        <v>121</v>
      </c>
      <c r="FLW71" s="159" t="s">
        <v>18</v>
      </c>
      <c r="FLX71" s="160">
        <v>8100</v>
      </c>
      <c r="FLY71" s="169">
        <v>85</v>
      </c>
      <c r="FLZ71" s="170">
        <v>215</v>
      </c>
      <c r="FMA71" s="170">
        <v>75</v>
      </c>
      <c r="FMB71" s="169">
        <v>150</v>
      </c>
      <c r="FMC71" s="171">
        <f>SUM(FLX71:FMB71)</f>
        <v>8625</v>
      </c>
      <c r="FMD71" s="169">
        <v>200</v>
      </c>
      <c r="FME71" s="171">
        <f>SUM(FMC71:FMD71)</f>
        <v>8825</v>
      </c>
      <c r="FMF71" s="163" t="s">
        <v>114</v>
      </c>
      <c r="FMG71" s="164">
        <v>45845</v>
      </c>
      <c r="FMH71" s="159" t="s">
        <v>42</v>
      </c>
      <c r="FMI71" s="354" t="s">
        <v>150</v>
      </c>
      <c r="FMJ71" s="165" t="s">
        <v>124</v>
      </c>
      <c r="FMK71" s="352" t="s">
        <v>164</v>
      </c>
      <c r="FML71" s="353" t="s">
        <v>121</v>
      </c>
      <c r="FMM71" s="159" t="s">
        <v>18</v>
      </c>
      <c r="FMN71" s="160">
        <v>8100</v>
      </c>
      <c r="FMO71" s="169">
        <v>85</v>
      </c>
      <c r="FMP71" s="170">
        <v>215</v>
      </c>
      <c r="FMQ71" s="170">
        <v>75</v>
      </c>
      <c r="FMR71" s="169">
        <v>150</v>
      </c>
      <c r="FMS71" s="171">
        <f>SUM(FMN71:FMR71)</f>
        <v>8625</v>
      </c>
      <c r="FMT71" s="169">
        <v>200</v>
      </c>
      <c r="FMU71" s="171">
        <f>SUM(FMS71:FMT71)</f>
        <v>8825</v>
      </c>
      <c r="FMV71" s="163" t="s">
        <v>114</v>
      </c>
      <c r="FMW71" s="164">
        <v>45845</v>
      </c>
      <c r="FMX71" s="159" t="s">
        <v>42</v>
      </c>
      <c r="FMY71" s="354" t="s">
        <v>150</v>
      </c>
      <c r="FMZ71" s="165" t="s">
        <v>124</v>
      </c>
      <c r="FNA71" s="352" t="s">
        <v>164</v>
      </c>
      <c r="FNB71" s="353" t="s">
        <v>121</v>
      </c>
      <c r="FNC71" s="159" t="s">
        <v>18</v>
      </c>
      <c r="FND71" s="160">
        <v>8100</v>
      </c>
      <c r="FNE71" s="169">
        <v>85</v>
      </c>
      <c r="FNF71" s="170">
        <v>215</v>
      </c>
      <c r="FNG71" s="170">
        <v>75</v>
      </c>
      <c r="FNH71" s="169">
        <v>150</v>
      </c>
      <c r="FNI71" s="171">
        <f>SUM(FND71:FNH71)</f>
        <v>8625</v>
      </c>
      <c r="FNJ71" s="169">
        <v>200</v>
      </c>
      <c r="FNK71" s="171">
        <f>SUM(FNI71:FNJ71)</f>
        <v>8825</v>
      </c>
      <c r="FNL71" s="163" t="s">
        <v>114</v>
      </c>
      <c r="FNM71" s="164">
        <v>45845</v>
      </c>
      <c r="FNN71" s="159" t="s">
        <v>42</v>
      </c>
      <c r="FNO71" s="354" t="s">
        <v>150</v>
      </c>
      <c r="FNP71" s="165" t="s">
        <v>124</v>
      </c>
      <c r="FNQ71" s="352" t="s">
        <v>164</v>
      </c>
      <c r="FNR71" s="353" t="s">
        <v>121</v>
      </c>
      <c r="FNS71" s="159" t="s">
        <v>18</v>
      </c>
      <c r="FNT71" s="160">
        <v>8100</v>
      </c>
      <c r="FNU71" s="169">
        <v>85</v>
      </c>
      <c r="FNV71" s="170">
        <v>215</v>
      </c>
      <c r="FNW71" s="170">
        <v>75</v>
      </c>
      <c r="FNX71" s="169">
        <v>150</v>
      </c>
      <c r="FNY71" s="171">
        <f>SUM(FNT71:FNX71)</f>
        <v>8625</v>
      </c>
      <c r="FNZ71" s="169">
        <v>200</v>
      </c>
      <c r="FOA71" s="171">
        <f>SUM(FNY71:FNZ71)</f>
        <v>8825</v>
      </c>
      <c r="FOB71" s="163" t="s">
        <v>114</v>
      </c>
      <c r="FOC71" s="164">
        <v>45845</v>
      </c>
      <c r="FOD71" s="159" t="s">
        <v>42</v>
      </c>
      <c r="FOE71" s="354" t="s">
        <v>150</v>
      </c>
      <c r="FOF71" s="165" t="s">
        <v>124</v>
      </c>
      <c r="FOG71" s="352" t="s">
        <v>164</v>
      </c>
      <c r="FOH71" s="353" t="s">
        <v>121</v>
      </c>
      <c r="FOI71" s="159" t="s">
        <v>18</v>
      </c>
      <c r="FOJ71" s="160">
        <v>8100</v>
      </c>
      <c r="FOK71" s="169">
        <v>85</v>
      </c>
      <c r="FOL71" s="170">
        <v>215</v>
      </c>
      <c r="FOM71" s="170">
        <v>75</v>
      </c>
      <c r="FON71" s="169">
        <v>150</v>
      </c>
      <c r="FOO71" s="171">
        <f>SUM(FOJ71:FON71)</f>
        <v>8625</v>
      </c>
      <c r="FOP71" s="169">
        <v>200</v>
      </c>
      <c r="FOQ71" s="171">
        <f>SUM(FOO71:FOP71)</f>
        <v>8825</v>
      </c>
      <c r="FOR71" s="163" t="s">
        <v>114</v>
      </c>
      <c r="FOS71" s="164">
        <v>45845</v>
      </c>
      <c r="FOT71" s="159" t="s">
        <v>42</v>
      </c>
      <c r="FOU71" s="354" t="s">
        <v>150</v>
      </c>
      <c r="FOV71" s="165" t="s">
        <v>124</v>
      </c>
      <c r="FOW71" s="352" t="s">
        <v>164</v>
      </c>
      <c r="FOX71" s="353" t="s">
        <v>121</v>
      </c>
      <c r="FOY71" s="159" t="s">
        <v>18</v>
      </c>
      <c r="FOZ71" s="160">
        <v>8100</v>
      </c>
      <c r="FPA71" s="169">
        <v>85</v>
      </c>
      <c r="FPB71" s="170">
        <v>215</v>
      </c>
      <c r="FPC71" s="170">
        <v>75</v>
      </c>
      <c r="FPD71" s="169">
        <v>150</v>
      </c>
      <c r="FPE71" s="171">
        <f>SUM(FOZ71:FPD71)</f>
        <v>8625</v>
      </c>
      <c r="FPF71" s="169">
        <v>200</v>
      </c>
      <c r="FPG71" s="171">
        <f>SUM(FPE71:FPF71)</f>
        <v>8825</v>
      </c>
      <c r="FPH71" s="163" t="s">
        <v>114</v>
      </c>
      <c r="FPI71" s="164">
        <v>45845</v>
      </c>
      <c r="FPJ71" s="159" t="s">
        <v>42</v>
      </c>
      <c r="FPK71" s="354" t="s">
        <v>150</v>
      </c>
      <c r="FPL71" s="165" t="s">
        <v>124</v>
      </c>
      <c r="FPM71" s="352" t="s">
        <v>164</v>
      </c>
      <c r="FPN71" s="353" t="s">
        <v>121</v>
      </c>
      <c r="FPO71" s="159" t="s">
        <v>18</v>
      </c>
      <c r="FPP71" s="160">
        <v>8100</v>
      </c>
      <c r="FPQ71" s="169">
        <v>85</v>
      </c>
      <c r="FPR71" s="170">
        <v>215</v>
      </c>
      <c r="FPS71" s="170">
        <v>75</v>
      </c>
      <c r="FPT71" s="169">
        <v>150</v>
      </c>
      <c r="FPU71" s="171">
        <f>SUM(FPP71:FPT71)</f>
        <v>8625</v>
      </c>
      <c r="FPV71" s="169">
        <v>200</v>
      </c>
      <c r="FPW71" s="171">
        <f>SUM(FPU71:FPV71)</f>
        <v>8825</v>
      </c>
      <c r="FPX71" s="163" t="s">
        <v>114</v>
      </c>
      <c r="FPY71" s="164">
        <v>45845</v>
      </c>
      <c r="FPZ71" s="159" t="s">
        <v>42</v>
      </c>
      <c r="FQA71" s="354" t="s">
        <v>150</v>
      </c>
      <c r="FQB71" s="165" t="s">
        <v>124</v>
      </c>
      <c r="FQC71" s="352" t="s">
        <v>164</v>
      </c>
      <c r="FQD71" s="353" t="s">
        <v>121</v>
      </c>
      <c r="FQE71" s="159" t="s">
        <v>18</v>
      </c>
      <c r="FQF71" s="160">
        <v>8100</v>
      </c>
      <c r="FQG71" s="169">
        <v>85</v>
      </c>
      <c r="FQH71" s="170">
        <v>215</v>
      </c>
      <c r="FQI71" s="170">
        <v>75</v>
      </c>
      <c r="FQJ71" s="169">
        <v>150</v>
      </c>
      <c r="FQK71" s="171">
        <f>SUM(FQF71:FQJ71)</f>
        <v>8625</v>
      </c>
      <c r="FQL71" s="169">
        <v>200</v>
      </c>
      <c r="FQM71" s="171">
        <f>SUM(FQK71:FQL71)</f>
        <v>8825</v>
      </c>
      <c r="FQN71" s="163" t="s">
        <v>114</v>
      </c>
      <c r="FQO71" s="164">
        <v>45845</v>
      </c>
      <c r="FQP71" s="159" t="s">
        <v>42</v>
      </c>
      <c r="FQQ71" s="354" t="s">
        <v>150</v>
      </c>
      <c r="FQR71" s="165" t="s">
        <v>124</v>
      </c>
      <c r="FQS71" s="352" t="s">
        <v>164</v>
      </c>
      <c r="FQT71" s="353" t="s">
        <v>121</v>
      </c>
      <c r="FQU71" s="159" t="s">
        <v>18</v>
      </c>
      <c r="FQV71" s="160">
        <v>8100</v>
      </c>
      <c r="FQW71" s="169">
        <v>85</v>
      </c>
      <c r="FQX71" s="170">
        <v>215</v>
      </c>
      <c r="FQY71" s="170">
        <v>75</v>
      </c>
      <c r="FQZ71" s="169">
        <v>150</v>
      </c>
      <c r="FRA71" s="171">
        <f>SUM(FQV71:FQZ71)</f>
        <v>8625</v>
      </c>
      <c r="FRB71" s="169">
        <v>200</v>
      </c>
      <c r="FRC71" s="171">
        <f>SUM(FRA71:FRB71)</f>
        <v>8825</v>
      </c>
      <c r="FRD71" s="163" t="s">
        <v>114</v>
      </c>
      <c r="FRE71" s="164">
        <v>45845</v>
      </c>
      <c r="FRF71" s="159" t="s">
        <v>42</v>
      </c>
      <c r="FRG71" s="354" t="s">
        <v>150</v>
      </c>
      <c r="FRH71" s="165" t="s">
        <v>124</v>
      </c>
      <c r="FRI71" s="352" t="s">
        <v>164</v>
      </c>
      <c r="FRJ71" s="353" t="s">
        <v>121</v>
      </c>
      <c r="FRK71" s="159" t="s">
        <v>18</v>
      </c>
      <c r="FRL71" s="160">
        <v>8100</v>
      </c>
      <c r="FRM71" s="169">
        <v>85</v>
      </c>
      <c r="FRN71" s="170">
        <v>215</v>
      </c>
      <c r="FRO71" s="170">
        <v>75</v>
      </c>
      <c r="FRP71" s="169">
        <v>150</v>
      </c>
      <c r="FRQ71" s="171">
        <f>SUM(FRL71:FRP71)</f>
        <v>8625</v>
      </c>
      <c r="FRR71" s="169">
        <v>200</v>
      </c>
      <c r="FRS71" s="171">
        <f>SUM(FRQ71:FRR71)</f>
        <v>8825</v>
      </c>
      <c r="FRT71" s="163" t="s">
        <v>114</v>
      </c>
      <c r="FRU71" s="164">
        <v>45845</v>
      </c>
      <c r="FRV71" s="159" t="s">
        <v>42</v>
      </c>
      <c r="FRW71" s="354" t="s">
        <v>150</v>
      </c>
      <c r="FRX71" s="165" t="s">
        <v>124</v>
      </c>
      <c r="FRY71" s="352" t="s">
        <v>164</v>
      </c>
      <c r="FRZ71" s="353" t="s">
        <v>121</v>
      </c>
      <c r="FSA71" s="159" t="s">
        <v>18</v>
      </c>
      <c r="FSB71" s="160">
        <v>8100</v>
      </c>
      <c r="FSC71" s="169">
        <v>85</v>
      </c>
      <c r="FSD71" s="170">
        <v>215</v>
      </c>
      <c r="FSE71" s="170">
        <v>75</v>
      </c>
      <c r="FSF71" s="169">
        <v>150</v>
      </c>
      <c r="FSG71" s="171">
        <f>SUM(FSB71:FSF71)</f>
        <v>8625</v>
      </c>
      <c r="FSH71" s="169">
        <v>200</v>
      </c>
      <c r="FSI71" s="171">
        <f>SUM(FSG71:FSH71)</f>
        <v>8825</v>
      </c>
      <c r="FSJ71" s="163" t="s">
        <v>114</v>
      </c>
      <c r="FSK71" s="164">
        <v>45845</v>
      </c>
      <c r="FSL71" s="159" t="s">
        <v>42</v>
      </c>
      <c r="FSM71" s="354" t="s">
        <v>150</v>
      </c>
      <c r="FSN71" s="165" t="s">
        <v>124</v>
      </c>
      <c r="FSO71" s="352" t="s">
        <v>164</v>
      </c>
      <c r="FSP71" s="353" t="s">
        <v>121</v>
      </c>
      <c r="FSQ71" s="159" t="s">
        <v>18</v>
      </c>
      <c r="FSR71" s="160">
        <v>8100</v>
      </c>
      <c r="FSS71" s="169">
        <v>85</v>
      </c>
      <c r="FST71" s="170">
        <v>215</v>
      </c>
      <c r="FSU71" s="170">
        <v>75</v>
      </c>
      <c r="FSV71" s="169">
        <v>150</v>
      </c>
      <c r="FSW71" s="171">
        <f>SUM(FSR71:FSV71)</f>
        <v>8625</v>
      </c>
      <c r="FSX71" s="169">
        <v>200</v>
      </c>
      <c r="FSY71" s="171">
        <f>SUM(FSW71:FSX71)</f>
        <v>8825</v>
      </c>
      <c r="FSZ71" s="163" t="s">
        <v>114</v>
      </c>
      <c r="FTA71" s="164">
        <v>45845</v>
      </c>
      <c r="FTB71" s="159" t="s">
        <v>42</v>
      </c>
      <c r="FTC71" s="354" t="s">
        <v>150</v>
      </c>
      <c r="FTD71" s="165" t="s">
        <v>124</v>
      </c>
      <c r="FTE71" s="352" t="s">
        <v>164</v>
      </c>
      <c r="FTF71" s="353" t="s">
        <v>121</v>
      </c>
      <c r="FTG71" s="159" t="s">
        <v>18</v>
      </c>
      <c r="FTH71" s="160">
        <v>8100</v>
      </c>
      <c r="FTI71" s="169">
        <v>85</v>
      </c>
      <c r="FTJ71" s="170">
        <v>215</v>
      </c>
      <c r="FTK71" s="170">
        <v>75</v>
      </c>
      <c r="FTL71" s="169">
        <v>150</v>
      </c>
      <c r="FTM71" s="171">
        <f>SUM(FTH71:FTL71)</f>
        <v>8625</v>
      </c>
      <c r="FTN71" s="169">
        <v>200</v>
      </c>
      <c r="FTO71" s="171">
        <f>SUM(FTM71:FTN71)</f>
        <v>8825</v>
      </c>
      <c r="FTP71" s="163" t="s">
        <v>114</v>
      </c>
      <c r="FTQ71" s="164">
        <v>45845</v>
      </c>
      <c r="FTR71" s="159" t="s">
        <v>42</v>
      </c>
      <c r="FTS71" s="354" t="s">
        <v>150</v>
      </c>
      <c r="FTT71" s="165" t="s">
        <v>124</v>
      </c>
      <c r="FTU71" s="352" t="s">
        <v>164</v>
      </c>
      <c r="FTV71" s="353" t="s">
        <v>121</v>
      </c>
      <c r="FTW71" s="159" t="s">
        <v>18</v>
      </c>
      <c r="FTX71" s="160">
        <v>8100</v>
      </c>
      <c r="FTY71" s="169">
        <v>85</v>
      </c>
      <c r="FTZ71" s="170">
        <v>215</v>
      </c>
      <c r="FUA71" s="170">
        <v>75</v>
      </c>
      <c r="FUB71" s="169">
        <v>150</v>
      </c>
      <c r="FUC71" s="171">
        <f>SUM(FTX71:FUB71)</f>
        <v>8625</v>
      </c>
      <c r="FUD71" s="169">
        <v>200</v>
      </c>
      <c r="FUE71" s="171">
        <f>SUM(FUC71:FUD71)</f>
        <v>8825</v>
      </c>
      <c r="FUF71" s="163" t="s">
        <v>114</v>
      </c>
      <c r="FUG71" s="164">
        <v>45845</v>
      </c>
      <c r="FUH71" s="159" t="s">
        <v>42</v>
      </c>
      <c r="FUI71" s="354" t="s">
        <v>150</v>
      </c>
      <c r="FUJ71" s="165" t="s">
        <v>124</v>
      </c>
      <c r="FUK71" s="352" t="s">
        <v>164</v>
      </c>
      <c r="FUL71" s="353" t="s">
        <v>121</v>
      </c>
      <c r="FUM71" s="159" t="s">
        <v>18</v>
      </c>
      <c r="FUN71" s="160">
        <v>8100</v>
      </c>
      <c r="FUO71" s="169">
        <v>85</v>
      </c>
      <c r="FUP71" s="170">
        <v>215</v>
      </c>
      <c r="FUQ71" s="170">
        <v>75</v>
      </c>
      <c r="FUR71" s="169">
        <v>150</v>
      </c>
      <c r="FUS71" s="171">
        <f>SUM(FUN71:FUR71)</f>
        <v>8625</v>
      </c>
      <c r="FUT71" s="169">
        <v>200</v>
      </c>
      <c r="FUU71" s="171">
        <f>SUM(FUS71:FUT71)</f>
        <v>8825</v>
      </c>
      <c r="FUV71" s="163" t="s">
        <v>114</v>
      </c>
      <c r="FUW71" s="164">
        <v>45845</v>
      </c>
      <c r="FUX71" s="159" t="s">
        <v>42</v>
      </c>
      <c r="FUY71" s="354" t="s">
        <v>150</v>
      </c>
      <c r="FUZ71" s="165" t="s">
        <v>124</v>
      </c>
      <c r="FVA71" s="352" t="s">
        <v>164</v>
      </c>
      <c r="FVB71" s="353" t="s">
        <v>121</v>
      </c>
      <c r="FVC71" s="159" t="s">
        <v>18</v>
      </c>
      <c r="FVD71" s="160">
        <v>8100</v>
      </c>
      <c r="FVE71" s="169">
        <v>85</v>
      </c>
      <c r="FVF71" s="170">
        <v>215</v>
      </c>
      <c r="FVG71" s="170">
        <v>75</v>
      </c>
      <c r="FVH71" s="169">
        <v>150</v>
      </c>
      <c r="FVI71" s="171">
        <f>SUM(FVD71:FVH71)</f>
        <v>8625</v>
      </c>
      <c r="FVJ71" s="169">
        <v>200</v>
      </c>
      <c r="FVK71" s="171">
        <f>SUM(FVI71:FVJ71)</f>
        <v>8825</v>
      </c>
      <c r="FVL71" s="163" t="s">
        <v>114</v>
      </c>
      <c r="FVM71" s="164">
        <v>45845</v>
      </c>
      <c r="FVN71" s="159" t="s">
        <v>42</v>
      </c>
      <c r="FVO71" s="354" t="s">
        <v>150</v>
      </c>
      <c r="FVP71" s="165" t="s">
        <v>124</v>
      </c>
      <c r="FVQ71" s="352" t="s">
        <v>164</v>
      </c>
      <c r="FVR71" s="353" t="s">
        <v>121</v>
      </c>
      <c r="FVS71" s="159" t="s">
        <v>18</v>
      </c>
      <c r="FVT71" s="160">
        <v>8100</v>
      </c>
      <c r="FVU71" s="169">
        <v>85</v>
      </c>
      <c r="FVV71" s="170">
        <v>215</v>
      </c>
      <c r="FVW71" s="170">
        <v>75</v>
      </c>
      <c r="FVX71" s="169">
        <v>150</v>
      </c>
      <c r="FVY71" s="171">
        <f>SUM(FVT71:FVX71)</f>
        <v>8625</v>
      </c>
      <c r="FVZ71" s="169">
        <v>200</v>
      </c>
      <c r="FWA71" s="171">
        <f>SUM(FVY71:FVZ71)</f>
        <v>8825</v>
      </c>
      <c r="FWB71" s="163" t="s">
        <v>114</v>
      </c>
      <c r="FWC71" s="164">
        <v>45845</v>
      </c>
      <c r="FWD71" s="159" t="s">
        <v>42</v>
      </c>
      <c r="FWE71" s="354" t="s">
        <v>150</v>
      </c>
      <c r="FWF71" s="165" t="s">
        <v>124</v>
      </c>
      <c r="FWG71" s="352" t="s">
        <v>164</v>
      </c>
      <c r="FWH71" s="353" t="s">
        <v>121</v>
      </c>
      <c r="FWI71" s="159" t="s">
        <v>18</v>
      </c>
      <c r="FWJ71" s="160">
        <v>8100</v>
      </c>
      <c r="FWK71" s="169">
        <v>85</v>
      </c>
      <c r="FWL71" s="170">
        <v>215</v>
      </c>
      <c r="FWM71" s="170">
        <v>75</v>
      </c>
      <c r="FWN71" s="169">
        <v>150</v>
      </c>
      <c r="FWO71" s="171">
        <f>SUM(FWJ71:FWN71)</f>
        <v>8625</v>
      </c>
      <c r="FWP71" s="169">
        <v>200</v>
      </c>
      <c r="FWQ71" s="171">
        <f>SUM(FWO71:FWP71)</f>
        <v>8825</v>
      </c>
      <c r="FWR71" s="163" t="s">
        <v>114</v>
      </c>
      <c r="FWS71" s="164">
        <v>45845</v>
      </c>
      <c r="FWT71" s="159" t="s">
        <v>42</v>
      </c>
      <c r="FWU71" s="354" t="s">
        <v>150</v>
      </c>
      <c r="FWV71" s="165" t="s">
        <v>124</v>
      </c>
      <c r="FWW71" s="352" t="s">
        <v>164</v>
      </c>
      <c r="FWX71" s="353" t="s">
        <v>121</v>
      </c>
      <c r="FWY71" s="159" t="s">
        <v>18</v>
      </c>
      <c r="FWZ71" s="160">
        <v>8100</v>
      </c>
      <c r="FXA71" s="169">
        <v>85</v>
      </c>
      <c r="FXB71" s="170">
        <v>215</v>
      </c>
      <c r="FXC71" s="170">
        <v>75</v>
      </c>
      <c r="FXD71" s="169">
        <v>150</v>
      </c>
      <c r="FXE71" s="171">
        <f>SUM(FWZ71:FXD71)</f>
        <v>8625</v>
      </c>
      <c r="FXF71" s="169">
        <v>200</v>
      </c>
      <c r="FXG71" s="171">
        <f>SUM(FXE71:FXF71)</f>
        <v>8825</v>
      </c>
      <c r="FXH71" s="163" t="s">
        <v>114</v>
      </c>
      <c r="FXI71" s="164">
        <v>45845</v>
      </c>
      <c r="FXJ71" s="159" t="s">
        <v>42</v>
      </c>
      <c r="FXK71" s="354" t="s">
        <v>150</v>
      </c>
      <c r="FXL71" s="165" t="s">
        <v>124</v>
      </c>
      <c r="FXM71" s="352" t="s">
        <v>164</v>
      </c>
      <c r="FXN71" s="353" t="s">
        <v>121</v>
      </c>
      <c r="FXO71" s="159" t="s">
        <v>18</v>
      </c>
      <c r="FXP71" s="160">
        <v>8100</v>
      </c>
      <c r="FXQ71" s="169">
        <v>85</v>
      </c>
      <c r="FXR71" s="170">
        <v>215</v>
      </c>
      <c r="FXS71" s="170">
        <v>75</v>
      </c>
      <c r="FXT71" s="169">
        <v>150</v>
      </c>
      <c r="FXU71" s="171">
        <f>SUM(FXP71:FXT71)</f>
        <v>8625</v>
      </c>
      <c r="FXV71" s="169">
        <v>200</v>
      </c>
      <c r="FXW71" s="171">
        <f>SUM(FXU71:FXV71)</f>
        <v>8825</v>
      </c>
      <c r="FXX71" s="163" t="s">
        <v>114</v>
      </c>
      <c r="FXY71" s="164">
        <v>45845</v>
      </c>
      <c r="FXZ71" s="159" t="s">
        <v>42</v>
      </c>
      <c r="FYA71" s="354" t="s">
        <v>150</v>
      </c>
      <c r="FYB71" s="165" t="s">
        <v>124</v>
      </c>
      <c r="FYC71" s="352" t="s">
        <v>164</v>
      </c>
      <c r="FYD71" s="353" t="s">
        <v>121</v>
      </c>
      <c r="FYE71" s="159" t="s">
        <v>18</v>
      </c>
      <c r="FYF71" s="160">
        <v>8100</v>
      </c>
      <c r="FYG71" s="169">
        <v>85</v>
      </c>
      <c r="FYH71" s="170">
        <v>215</v>
      </c>
      <c r="FYI71" s="170">
        <v>75</v>
      </c>
      <c r="FYJ71" s="169">
        <v>150</v>
      </c>
      <c r="FYK71" s="171">
        <f>SUM(FYF71:FYJ71)</f>
        <v>8625</v>
      </c>
      <c r="FYL71" s="169">
        <v>200</v>
      </c>
      <c r="FYM71" s="171">
        <f>SUM(FYK71:FYL71)</f>
        <v>8825</v>
      </c>
      <c r="FYN71" s="163" t="s">
        <v>114</v>
      </c>
      <c r="FYO71" s="164">
        <v>45845</v>
      </c>
      <c r="FYP71" s="159" t="s">
        <v>42</v>
      </c>
      <c r="FYQ71" s="354" t="s">
        <v>150</v>
      </c>
      <c r="FYR71" s="165" t="s">
        <v>124</v>
      </c>
      <c r="FYS71" s="352" t="s">
        <v>164</v>
      </c>
      <c r="FYT71" s="353" t="s">
        <v>121</v>
      </c>
      <c r="FYU71" s="159" t="s">
        <v>18</v>
      </c>
      <c r="FYV71" s="160">
        <v>8100</v>
      </c>
      <c r="FYW71" s="169">
        <v>85</v>
      </c>
      <c r="FYX71" s="170">
        <v>215</v>
      </c>
      <c r="FYY71" s="170">
        <v>75</v>
      </c>
      <c r="FYZ71" s="169">
        <v>150</v>
      </c>
      <c r="FZA71" s="171">
        <f>SUM(FYV71:FYZ71)</f>
        <v>8625</v>
      </c>
      <c r="FZB71" s="169">
        <v>200</v>
      </c>
      <c r="FZC71" s="171">
        <f>SUM(FZA71:FZB71)</f>
        <v>8825</v>
      </c>
      <c r="FZD71" s="163" t="s">
        <v>114</v>
      </c>
      <c r="FZE71" s="164">
        <v>45845</v>
      </c>
      <c r="FZF71" s="159" t="s">
        <v>42</v>
      </c>
      <c r="FZG71" s="354" t="s">
        <v>150</v>
      </c>
      <c r="FZH71" s="165" t="s">
        <v>124</v>
      </c>
      <c r="FZI71" s="352" t="s">
        <v>164</v>
      </c>
      <c r="FZJ71" s="353" t="s">
        <v>121</v>
      </c>
      <c r="FZK71" s="159" t="s">
        <v>18</v>
      </c>
      <c r="FZL71" s="160">
        <v>8100</v>
      </c>
      <c r="FZM71" s="169">
        <v>85</v>
      </c>
      <c r="FZN71" s="170">
        <v>215</v>
      </c>
      <c r="FZO71" s="170">
        <v>75</v>
      </c>
      <c r="FZP71" s="169">
        <v>150</v>
      </c>
      <c r="FZQ71" s="171">
        <f>SUM(FZL71:FZP71)</f>
        <v>8625</v>
      </c>
      <c r="FZR71" s="169">
        <v>200</v>
      </c>
      <c r="FZS71" s="171">
        <f>SUM(FZQ71:FZR71)</f>
        <v>8825</v>
      </c>
      <c r="FZT71" s="163" t="s">
        <v>114</v>
      </c>
      <c r="FZU71" s="164">
        <v>45845</v>
      </c>
      <c r="FZV71" s="159" t="s">
        <v>42</v>
      </c>
      <c r="FZW71" s="354" t="s">
        <v>150</v>
      </c>
      <c r="FZX71" s="165" t="s">
        <v>124</v>
      </c>
      <c r="FZY71" s="352" t="s">
        <v>164</v>
      </c>
      <c r="FZZ71" s="353" t="s">
        <v>121</v>
      </c>
      <c r="GAA71" s="159" t="s">
        <v>18</v>
      </c>
      <c r="GAB71" s="160">
        <v>8100</v>
      </c>
      <c r="GAC71" s="169">
        <v>85</v>
      </c>
      <c r="GAD71" s="170">
        <v>215</v>
      </c>
      <c r="GAE71" s="170">
        <v>75</v>
      </c>
      <c r="GAF71" s="169">
        <v>150</v>
      </c>
      <c r="GAG71" s="171">
        <f>SUM(GAB71:GAF71)</f>
        <v>8625</v>
      </c>
      <c r="GAH71" s="169">
        <v>200</v>
      </c>
      <c r="GAI71" s="171">
        <f>SUM(GAG71:GAH71)</f>
        <v>8825</v>
      </c>
      <c r="GAJ71" s="163" t="s">
        <v>114</v>
      </c>
      <c r="GAK71" s="164">
        <v>45845</v>
      </c>
      <c r="GAL71" s="159" t="s">
        <v>42</v>
      </c>
      <c r="GAM71" s="354" t="s">
        <v>150</v>
      </c>
      <c r="GAN71" s="165" t="s">
        <v>124</v>
      </c>
      <c r="GAO71" s="352" t="s">
        <v>164</v>
      </c>
      <c r="GAP71" s="353" t="s">
        <v>121</v>
      </c>
      <c r="GAQ71" s="159" t="s">
        <v>18</v>
      </c>
      <c r="GAR71" s="160">
        <v>8100</v>
      </c>
      <c r="GAS71" s="169">
        <v>85</v>
      </c>
      <c r="GAT71" s="170">
        <v>215</v>
      </c>
      <c r="GAU71" s="170">
        <v>75</v>
      </c>
      <c r="GAV71" s="169">
        <v>150</v>
      </c>
      <c r="GAW71" s="171">
        <f>SUM(GAR71:GAV71)</f>
        <v>8625</v>
      </c>
      <c r="GAX71" s="169">
        <v>200</v>
      </c>
      <c r="GAY71" s="171">
        <f>SUM(GAW71:GAX71)</f>
        <v>8825</v>
      </c>
      <c r="GAZ71" s="163" t="s">
        <v>114</v>
      </c>
      <c r="GBA71" s="164">
        <v>45845</v>
      </c>
      <c r="GBB71" s="159" t="s">
        <v>42</v>
      </c>
      <c r="GBC71" s="354" t="s">
        <v>150</v>
      </c>
      <c r="GBD71" s="165" t="s">
        <v>124</v>
      </c>
      <c r="GBE71" s="352" t="s">
        <v>164</v>
      </c>
      <c r="GBF71" s="353" t="s">
        <v>121</v>
      </c>
      <c r="GBG71" s="159" t="s">
        <v>18</v>
      </c>
      <c r="GBH71" s="160">
        <v>8100</v>
      </c>
      <c r="GBI71" s="169">
        <v>85</v>
      </c>
      <c r="GBJ71" s="170">
        <v>215</v>
      </c>
      <c r="GBK71" s="170">
        <v>75</v>
      </c>
      <c r="GBL71" s="169">
        <v>150</v>
      </c>
      <c r="GBM71" s="171">
        <f>SUM(GBH71:GBL71)</f>
        <v>8625</v>
      </c>
      <c r="GBN71" s="169">
        <v>200</v>
      </c>
      <c r="GBO71" s="171">
        <f>SUM(GBM71:GBN71)</f>
        <v>8825</v>
      </c>
      <c r="GBP71" s="163" t="s">
        <v>114</v>
      </c>
      <c r="GBQ71" s="164">
        <v>45845</v>
      </c>
      <c r="GBR71" s="159" t="s">
        <v>42</v>
      </c>
      <c r="GBS71" s="354" t="s">
        <v>150</v>
      </c>
      <c r="GBT71" s="165" t="s">
        <v>124</v>
      </c>
      <c r="GBU71" s="352" t="s">
        <v>164</v>
      </c>
      <c r="GBV71" s="353" t="s">
        <v>121</v>
      </c>
      <c r="GBW71" s="159" t="s">
        <v>18</v>
      </c>
      <c r="GBX71" s="160">
        <v>8100</v>
      </c>
      <c r="GBY71" s="169">
        <v>85</v>
      </c>
      <c r="GBZ71" s="170">
        <v>215</v>
      </c>
      <c r="GCA71" s="170">
        <v>75</v>
      </c>
      <c r="GCB71" s="169">
        <v>150</v>
      </c>
      <c r="GCC71" s="171">
        <f>SUM(GBX71:GCB71)</f>
        <v>8625</v>
      </c>
      <c r="GCD71" s="169">
        <v>200</v>
      </c>
      <c r="GCE71" s="171">
        <f>SUM(GCC71:GCD71)</f>
        <v>8825</v>
      </c>
      <c r="GCF71" s="163" t="s">
        <v>114</v>
      </c>
      <c r="GCG71" s="164">
        <v>45845</v>
      </c>
      <c r="GCH71" s="159" t="s">
        <v>42</v>
      </c>
      <c r="GCI71" s="354" t="s">
        <v>150</v>
      </c>
      <c r="GCJ71" s="165" t="s">
        <v>124</v>
      </c>
      <c r="GCK71" s="352" t="s">
        <v>164</v>
      </c>
      <c r="GCL71" s="353" t="s">
        <v>121</v>
      </c>
      <c r="GCM71" s="159" t="s">
        <v>18</v>
      </c>
      <c r="GCN71" s="160">
        <v>8100</v>
      </c>
      <c r="GCO71" s="169">
        <v>85</v>
      </c>
      <c r="GCP71" s="170">
        <v>215</v>
      </c>
      <c r="GCQ71" s="170">
        <v>75</v>
      </c>
      <c r="GCR71" s="169">
        <v>150</v>
      </c>
      <c r="GCS71" s="171">
        <f>SUM(GCN71:GCR71)</f>
        <v>8625</v>
      </c>
      <c r="GCT71" s="169">
        <v>200</v>
      </c>
      <c r="GCU71" s="171">
        <f>SUM(GCS71:GCT71)</f>
        <v>8825</v>
      </c>
      <c r="GCV71" s="163" t="s">
        <v>114</v>
      </c>
      <c r="GCW71" s="164">
        <v>45845</v>
      </c>
      <c r="GCX71" s="159" t="s">
        <v>42</v>
      </c>
      <c r="GCY71" s="354" t="s">
        <v>150</v>
      </c>
      <c r="GCZ71" s="165" t="s">
        <v>124</v>
      </c>
      <c r="GDA71" s="352" t="s">
        <v>164</v>
      </c>
      <c r="GDB71" s="353" t="s">
        <v>121</v>
      </c>
      <c r="GDC71" s="159" t="s">
        <v>18</v>
      </c>
      <c r="GDD71" s="160">
        <v>8100</v>
      </c>
      <c r="GDE71" s="169">
        <v>85</v>
      </c>
      <c r="GDF71" s="170">
        <v>215</v>
      </c>
      <c r="GDG71" s="170">
        <v>75</v>
      </c>
      <c r="GDH71" s="169">
        <v>150</v>
      </c>
      <c r="GDI71" s="171">
        <f>SUM(GDD71:GDH71)</f>
        <v>8625</v>
      </c>
      <c r="GDJ71" s="169">
        <v>200</v>
      </c>
      <c r="GDK71" s="171">
        <f>SUM(GDI71:GDJ71)</f>
        <v>8825</v>
      </c>
      <c r="GDL71" s="163" t="s">
        <v>114</v>
      </c>
      <c r="GDM71" s="164">
        <v>45845</v>
      </c>
      <c r="GDN71" s="159" t="s">
        <v>42</v>
      </c>
      <c r="GDO71" s="354" t="s">
        <v>150</v>
      </c>
      <c r="GDP71" s="165" t="s">
        <v>124</v>
      </c>
      <c r="GDQ71" s="352" t="s">
        <v>164</v>
      </c>
      <c r="GDR71" s="353" t="s">
        <v>121</v>
      </c>
      <c r="GDS71" s="159" t="s">
        <v>18</v>
      </c>
      <c r="GDT71" s="160">
        <v>8100</v>
      </c>
      <c r="GDU71" s="169">
        <v>85</v>
      </c>
      <c r="GDV71" s="170">
        <v>215</v>
      </c>
      <c r="GDW71" s="170">
        <v>75</v>
      </c>
      <c r="GDX71" s="169">
        <v>150</v>
      </c>
      <c r="GDY71" s="171">
        <f>SUM(GDT71:GDX71)</f>
        <v>8625</v>
      </c>
      <c r="GDZ71" s="169">
        <v>200</v>
      </c>
      <c r="GEA71" s="171">
        <f>SUM(GDY71:GDZ71)</f>
        <v>8825</v>
      </c>
      <c r="GEB71" s="163" t="s">
        <v>114</v>
      </c>
      <c r="GEC71" s="164">
        <v>45845</v>
      </c>
      <c r="GED71" s="159" t="s">
        <v>42</v>
      </c>
      <c r="GEE71" s="354" t="s">
        <v>150</v>
      </c>
      <c r="GEF71" s="165" t="s">
        <v>124</v>
      </c>
      <c r="GEG71" s="352" t="s">
        <v>164</v>
      </c>
      <c r="GEH71" s="353" t="s">
        <v>121</v>
      </c>
      <c r="GEI71" s="159" t="s">
        <v>18</v>
      </c>
      <c r="GEJ71" s="160">
        <v>8100</v>
      </c>
      <c r="GEK71" s="169">
        <v>85</v>
      </c>
      <c r="GEL71" s="170">
        <v>215</v>
      </c>
      <c r="GEM71" s="170">
        <v>75</v>
      </c>
      <c r="GEN71" s="169">
        <v>150</v>
      </c>
      <c r="GEO71" s="171">
        <f>SUM(GEJ71:GEN71)</f>
        <v>8625</v>
      </c>
      <c r="GEP71" s="169">
        <v>200</v>
      </c>
      <c r="GEQ71" s="171">
        <f>SUM(GEO71:GEP71)</f>
        <v>8825</v>
      </c>
      <c r="GER71" s="163" t="s">
        <v>114</v>
      </c>
      <c r="GES71" s="164">
        <v>45845</v>
      </c>
      <c r="GET71" s="159" t="s">
        <v>42</v>
      </c>
      <c r="GEU71" s="354" t="s">
        <v>150</v>
      </c>
      <c r="GEV71" s="165" t="s">
        <v>124</v>
      </c>
      <c r="GEW71" s="352" t="s">
        <v>164</v>
      </c>
      <c r="GEX71" s="353" t="s">
        <v>121</v>
      </c>
      <c r="GEY71" s="159" t="s">
        <v>18</v>
      </c>
      <c r="GEZ71" s="160">
        <v>8100</v>
      </c>
      <c r="GFA71" s="169">
        <v>85</v>
      </c>
      <c r="GFB71" s="170">
        <v>215</v>
      </c>
      <c r="GFC71" s="170">
        <v>75</v>
      </c>
      <c r="GFD71" s="169">
        <v>150</v>
      </c>
      <c r="GFE71" s="171">
        <f>SUM(GEZ71:GFD71)</f>
        <v>8625</v>
      </c>
      <c r="GFF71" s="169">
        <v>200</v>
      </c>
      <c r="GFG71" s="171">
        <f>SUM(GFE71:GFF71)</f>
        <v>8825</v>
      </c>
      <c r="GFH71" s="163" t="s">
        <v>114</v>
      </c>
      <c r="GFI71" s="164">
        <v>45845</v>
      </c>
      <c r="GFJ71" s="159" t="s">
        <v>42</v>
      </c>
      <c r="GFK71" s="354" t="s">
        <v>150</v>
      </c>
      <c r="GFL71" s="165" t="s">
        <v>124</v>
      </c>
      <c r="GFM71" s="352" t="s">
        <v>164</v>
      </c>
      <c r="GFN71" s="353" t="s">
        <v>121</v>
      </c>
      <c r="GFO71" s="159" t="s">
        <v>18</v>
      </c>
      <c r="GFP71" s="160">
        <v>8100</v>
      </c>
      <c r="GFQ71" s="169">
        <v>85</v>
      </c>
      <c r="GFR71" s="170">
        <v>215</v>
      </c>
      <c r="GFS71" s="170">
        <v>75</v>
      </c>
      <c r="GFT71" s="169">
        <v>150</v>
      </c>
      <c r="GFU71" s="171">
        <f>SUM(GFP71:GFT71)</f>
        <v>8625</v>
      </c>
      <c r="GFV71" s="169">
        <v>200</v>
      </c>
      <c r="GFW71" s="171">
        <f>SUM(GFU71:GFV71)</f>
        <v>8825</v>
      </c>
      <c r="GFX71" s="163" t="s">
        <v>114</v>
      </c>
      <c r="GFY71" s="164">
        <v>45845</v>
      </c>
      <c r="GFZ71" s="159" t="s">
        <v>42</v>
      </c>
      <c r="GGA71" s="354" t="s">
        <v>150</v>
      </c>
      <c r="GGB71" s="165" t="s">
        <v>124</v>
      </c>
      <c r="GGC71" s="352" t="s">
        <v>164</v>
      </c>
      <c r="GGD71" s="353" t="s">
        <v>121</v>
      </c>
      <c r="GGE71" s="159" t="s">
        <v>18</v>
      </c>
      <c r="GGF71" s="160">
        <v>8100</v>
      </c>
      <c r="GGG71" s="169">
        <v>85</v>
      </c>
      <c r="GGH71" s="170">
        <v>215</v>
      </c>
      <c r="GGI71" s="170">
        <v>75</v>
      </c>
      <c r="GGJ71" s="169">
        <v>150</v>
      </c>
      <c r="GGK71" s="171">
        <f>SUM(GGF71:GGJ71)</f>
        <v>8625</v>
      </c>
      <c r="GGL71" s="169">
        <v>200</v>
      </c>
      <c r="GGM71" s="171">
        <f>SUM(GGK71:GGL71)</f>
        <v>8825</v>
      </c>
      <c r="GGN71" s="163" t="s">
        <v>114</v>
      </c>
      <c r="GGO71" s="164">
        <v>45845</v>
      </c>
      <c r="GGP71" s="159" t="s">
        <v>42</v>
      </c>
      <c r="GGQ71" s="354" t="s">
        <v>150</v>
      </c>
      <c r="GGR71" s="165" t="s">
        <v>124</v>
      </c>
      <c r="GGS71" s="352" t="s">
        <v>164</v>
      </c>
      <c r="GGT71" s="353" t="s">
        <v>121</v>
      </c>
      <c r="GGU71" s="159" t="s">
        <v>18</v>
      </c>
      <c r="GGV71" s="160">
        <v>8100</v>
      </c>
      <c r="GGW71" s="169">
        <v>85</v>
      </c>
      <c r="GGX71" s="170">
        <v>215</v>
      </c>
      <c r="GGY71" s="170">
        <v>75</v>
      </c>
      <c r="GGZ71" s="169">
        <v>150</v>
      </c>
      <c r="GHA71" s="171">
        <f>SUM(GGV71:GGZ71)</f>
        <v>8625</v>
      </c>
      <c r="GHB71" s="169">
        <v>200</v>
      </c>
      <c r="GHC71" s="171">
        <f>SUM(GHA71:GHB71)</f>
        <v>8825</v>
      </c>
      <c r="GHD71" s="163" t="s">
        <v>114</v>
      </c>
      <c r="GHE71" s="164">
        <v>45845</v>
      </c>
      <c r="GHF71" s="159" t="s">
        <v>42</v>
      </c>
      <c r="GHG71" s="354" t="s">
        <v>150</v>
      </c>
      <c r="GHH71" s="165" t="s">
        <v>124</v>
      </c>
      <c r="GHI71" s="352" t="s">
        <v>164</v>
      </c>
      <c r="GHJ71" s="353" t="s">
        <v>121</v>
      </c>
      <c r="GHK71" s="159" t="s">
        <v>18</v>
      </c>
      <c r="GHL71" s="160">
        <v>8100</v>
      </c>
      <c r="GHM71" s="169">
        <v>85</v>
      </c>
      <c r="GHN71" s="170">
        <v>215</v>
      </c>
      <c r="GHO71" s="170">
        <v>75</v>
      </c>
      <c r="GHP71" s="169">
        <v>150</v>
      </c>
      <c r="GHQ71" s="171">
        <f>SUM(GHL71:GHP71)</f>
        <v>8625</v>
      </c>
      <c r="GHR71" s="169">
        <v>200</v>
      </c>
      <c r="GHS71" s="171">
        <f>SUM(GHQ71:GHR71)</f>
        <v>8825</v>
      </c>
      <c r="GHT71" s="163" t="s">
        <v>114</v>
      </c>
      <c r="GHU71" s="164">
        <v>45845</v>
      </c>
      <c r="GHV71" s="159" t="s">
        <v>42</v>
      </c>
      <c r="GHW71" s="354" t="s">
        <v>150</v>
      </c>
      <c r="GHX71" s="165" t="s">
        <v>124</v>
      </c>
      <c r="GHY71" s="352" t="s">
        <v>164</v>
      </c>
      <c r="GHZ71" s="353" t="s">
        <v>121</v>
      </c>
      <c r="GIA71" s="159" t="s">
        <v>18</v>
      </c>
      <c r="GIB71" s="160">
        <v>8100</v>
      </c>
      <c r="GIC71" s="169">
        <v>85</v>
      </c>
      <c r="GID71" s="170">
        <v>215</v>
      </c>
      <c r="GIE71" s="170">
        <v>75</v>
      </c>
      <c r="GIF71" s="169">
        <v>150</v>
      </c>
      <c r="GIG71" s="171">
        <f>SUM(GIB71:GIF71)</f>
        <v>8625</v>
      </c>
      <c r="GIH71" s="169">
        <v>200</v>
      </c>
      <c r="GII71" s="171">
        <f>SUM(GIG71:GIH71)</f>
        <v>8825</v>
      </c>
      <c r="GIJ71" s="163" t="s">
        <v>114</v>
      </c>
      <c r="GIK71" s="164">
        <v>45845</v>
      </c>
      <c r="GIL71" s="159" t="s">
        <v>42</v>
      </c>
      <c r="GIM71" s="354" t="s">
        <v>150</v>
      </c>
      <c r="GIN71" s="165" t="s">
        <v>124</v>
      </c>
      <c r="GIO71" s="352" t="s">
        <v>164</v>
      </c>
      <c r="GIP71" s="353" t="s">
        <v>121</v>
      </c>
      <c r="GIQ71" s="159" t="s">
        <v>18</v>
      </c>
      <c r="GIR71" s="160">
        <v>8100</v>
      </c>
      <c r="GIS71" s="169">
        <v>85</v>
      </c>
      <c r="GIT71" s="170">
        <v>215</v>
      </c>
      <c r="GIU71" s="170">
        <v>75</v>
      </c>
      <c r="GIV71" s="169">
        <v>150</v>
      </c>
      <c r="GIW71" s="171">
        <f>SUM(GIR71:GIV71)</f>
        <v>8625</v>
      </c>
      <c r="GIX71" s="169">
        <v>200</v>
      </c>
      <c r="GIY71" s="171">
        <f>SUM(GIW71:GIX71)</f>
        <v>8825</v>
      </c>
      <c r="GIZ71" s="163" t="s">
        <v>114</v>
      </c>
      <c r="GJA71" s="164">
        <v>45845</v>
      </c>
      <c r="GJB71" s="159" t="s">
        <v>42</v>
      </c>
      <c r="GJC71" s="354" t="s">
        <v>150</v>
      </c>
      <c r="GJD71" s="165" t="s">
        <v>124</v>
      </c>
      <c r="GJE71" s="352" t="s">
        <v>164</v>
      </c>
      <c r="GJF71" s="353" t="s">
        <v>121</v>
      </c>
      <c r="GJG71" s="159" t="s">
        <v>18</v>
      </c>
      <c r="GJH71" s="160">
        <v>8100</v>
      </c>
      <c r="GJI71" s="169">
        <v>85</v>
      </c>
      <c r="GJJ71" s="170">
        <v>215</v>
      </c>
      <c r="GJK71" s="170">
        <v>75</v>
      </c>
      <c r="GJL71" s="169">
        <v>150</v>
      </c>
      <c r="GJM71" s="171">
        <f>SUM(GJH71:GJL71)</f>
        <v>8625</v>
      </c>
      <c r="GJN71" s="169">
        <v>200</v>
      </c>
      <c r="GJO71" s="171">
        <f>SUM(GJM71:GJN71)</f>
        <v>8825</v>
      </c>
      <c r="GJP71" s="163" t="s">
        <v>114</v>
      </c>
      <c r="GJQ71" s="164">
        <v>45845</v>
      </c>
      <c r="GJR71" s="159" t="s">
        <v>42</v>
      </c>
      <c r="GJS71" s="354" t="s">
        <v>150</v>
      </c>
      <c r="GJT71" s="165" t="s">
        <v>124</v>
      </c>
      <c r="GJU71" s="352" t="s">
        <v>164</v>
      </c>
      <c r="GJV71" s="353" t="s">
        <v>121</v>
      </c>
      <c r="GJW71" s="159" t="s">
        <v>18</v>
      </c>
      <c r="GJX71" s="160">
        <v>8100</v>
      </c>
      <c r="GJY71" s="169">
        <v>85</v>
      </c>
      <c r="GJZ71" s="170">
        <v>215</v>
      </c>
      <c r="GKA71" s="170">
        <v>75</v>
      </c>
      <c r="GKB71" s="169">
        <v>150</v>
      </c>
      <c r="GKC71" s="171">
        <f>SUM(GJX71:GKB71)</f>
        <v>8625</v>
      </c>
      <c r="GKD71" s="169">
        <v>200</v>
      </c>
      <c r="GKE71" s="171">
        <f>SUM(GKC71:GKD71)</f>
        <v>8825</v>
      </c>
      <c r="GKF71" s="163" t="s">
        <v>114</v>
      </c>
      <c r="GKG71" s="164">
        <v>45845</v>
      </c>
      <c r="GKH71" s="159" t="s">
        <v>42</v>
      </c>
      <c r="GKI71" s="354" t="s">
        <v>150</v>
      </c>
      <c r="GKJ71" s="165" t="s">
        <v>124</v>
      </c>
      <c r="GKK71" s="352" t="s">
        <v>164</v>
      </c>
      <c r="GKL71" s="353" t="s">
        <v>121</v>
      </c>
      <c r="GKM71" s="159" t="s">
        <v>18</v>
      </c>
      <c r="GKN71" s="160">
        <v>8100</v>
      </c>
      <c r="GKO71" s="169">
        <v>85</v>
      </c>
      <c r="GKP71" s="170">
        <v>215</v>
      </c>
      <c r="GKQ71" s="170">
        <v>75</v>
      </c>
      <c r="GKR71" s="169">
        <v>150</v>
      </c>
      <c r="GKS71" s="171">
        <f>SUM(GKN71:GKR71)</f>
        <v>8625</v>
      </c>
      <c r="GKT71" s="169">
        <v>200</v>
      </c>
      <c r="GKU71" s="171">
        <f>SUM(GKS71:GKT71)</f>
        <v>8825</v>
      </c>
      <c r="GKV71" s="163" t="s">
        <v>114</v>
      </c>
      <c r="GKW71" s="164">
        <v>45845</v>
      </c>
      <c r="GKX71" s="159" t="s">
        <v>42</v>
      </c>
      <c r="GKY71" s="354" t="s">
        <v>150</v>
      </c>
      <c r="GKZ71" s="165" t="s">
        <v>124</v>
      </c>
      <c r="GLA71" s="352" t="s">
        <v>164</v>
      </c>
      <c r="GLB71" s="353" t="s">
        <v>121</v>
      </c>
      <c r="GLC71" s="159" t="s">
        <v>18</v>
      </c>
      <c r="GLD71" s="160">
        <v>8100</v>
      </c>
      <c r="GLE71" s="169">
        <v>85</v>
      </c>
      <c r="GLF71" s="170">
        <v>215</v>
      </c>
      <c r="GLG71" s="170">
        <v>75</v>
      </c>
      <c r="GLH71" s="169">
        <v>150</v>
      </c>
      <c r="GLI71" s="171">
        <f>SUM(GLD71:GLH71)</f>
        <v>8625</v>
      </c>
      <c r="GLJ71" s="169">
        <v>200</v>
      </c>
      <c r="GLK71" s="171">
        <f>SUM(GLI71:GLJ71)</f>
        <v>8825</v>
      </c>
      <c r="GLL71" s="163" t="s">
        <v>114</v>
      </c>
      <c r="GLM71" s="164">
        <v>45845</v>
      </c>
      <c r="GLN71" s="159" t="s">
        <v>42</v>
      </c>
      <c r="GLO71" s="354" t="s">
        <v>150</v>
      </c>
      <c r="GLP71" s="165" t="s">
        <v>124</v>
      </c>
      <c r="GLQ71" s="352" t="s">
        <v>164</v>
      </c>
      <c r="GLR71" s="353" t="s">
        <v>121</v>
      </c>
      <c r="GLS71" s="159" t="s">
        <v>18</v>
      </c>
      <c r="GLT71" s="160">
        <v>8100</v>
      </c>
      <c r="GLU71" s="169">
        <v>85</v>
      </c>
      <c r="GLV71" s="170">
        <v>215</v>
      </c>
      <c r="GLW71" s="170">
        <v>75</v>
      </c>
      <c r="GLX71" s="169">
        <v>150</v>
      </c>
      <c r="GLY71" s="171">
        <f>SUM(GLT71:GLX71)</f>
        <v>8625</v>
      </c>
      <c r="GLZ71" s="169">
        <v>200</v>
      </c>
      <c r="GMA71" s="171">
        <f>SUM(GLY71:GLZ71)</f>
        <v>8825</v>
      </c>
      <c r="GMB71" s="163" t="s">
        <v>114</v>
      </c>
      <c r="GMC71" s="164">
        <v>45845</v>
      </c>
      <c r="GMD71" s="159" t="s">
        <v>42</v>
      </c>
      <c r="GME71" s="354" t="s">
        <v>150</v>
      </c>
      <c r="GMF71" s="165" t="s">
        <v>124</v>
      </c>
      <c r="GMG71" s="352" t="s">
        <v>164</v>
      </c>
      <c r="GMH71" s="353" t="s">
        <v>121</v>
      </c>
      <c r="GMI71" s="159" t="s">
        <v>18</v>
      </c>
      <c r="GMJ71" s="160">
        <v>8100</v>
      </c>
      <c r="GMK71" s="169">
        <v>85</v>
      </c>
      <c r="GML71" s="170">
        <v>215</v>
      </c>
      <c r="GMM71" s="170">
        <v>75</v>
      </c>
      <c r="GMN71" s="169">
        <v>150</v>
      </c>
      <c r="GMO71" s="171">
        <f>SUM(GMJ71:GMN71)</f>
        <v>8625</v>
      </c>
      <c r="GMP71" s="169">
        <v>200</v>
      </c>
      <c r="GMQ71" s="171">
        <f>SUM(GMO71:GMP71)</f>
        <v>8825</v>
      </c>
      <c r="GMR71" s="163" t="s">
        <v>114</v>
      </c>
      <c r="GMS71" s="164">
        <v>45845</v>
      </c>
      <c r="GMT71" s="159" t="s">
        <v>42</v>
      </c>
      <c r="GMU71" s="354" t="s">
        <v>150</v>
      </c>
      <c r="GMV71" s="165" t="s">
        <v>124</v>
      </c>
      <c r="GMW71" s="352" t="s">
        <v>164</v>
      </c>
      <c r="GMX71" s="353" t="s">
        <v>121</v>
      </c>
      <c r="GMY71" s="159" t="s">
        <v>18</v>
      </c>
      <c r="GMZ71" s="160">
        <v>8100</v>
      </c>
      <c r="GNA71" s="169">
        <v>85</v>
      </c>
      <c r="GNB71" s="170">
        <v>215</v>
      </c>
      <c r="GNC71" s="170">
        <v>75</v>
      </c>
      <c r="GND71" s="169">
        <v>150</v>
      </c>
      <c r="GNE71" s="171">
        <f>SUM(GMZ71:GND71)</f>
        <v>8625</v>
      </c>
      <c r="GNF71" s="169">
        <v>200</v>
      </c>
      <c r="GNG71" s="171">
        <f>SUM(GNE71:GNF71)</f>
        <v>8825</v>
      </c>
      <c r="GNH71" s="163" t="s">
        <v>114</v>
      </c>
      <c r="GNI71" s="164">
        <v>45845</v>
      </c>
      <c r="GNJ71" s="159" t="s">
        <v>42</v>
      </c>
      <c r="GNK71" s="354" t="s">
        <v>150</v>
      </c>
      <c r="GNL71" s="165" t="s">
        <v>124</v>
      </c>
      <c r="GNM71" s="352" t="s">
        <v>164</v>
      </c>
      <c r="GNN71" s="353" t="s">
        <v>121</v>
      </c>
      <c r="GNO71" s="159" t="s">
        <v>18</v>
      </c>
      <c r="GNP71" s="160">
        <v>8100</v>
      </c>
      <c r="GNQ71" s="169">
        <v>85</v>
      </c>
      <c r="GNR71" s="170">
        <v>215</v>
      </c>
      <c r="GNS71" s="170">
        <v>75</v>
      </c>
      <c r="GNT71" s="169">
        <v>150</v>
      </c>
      <c r="GNU71" s="171">
        <f>SUM(GNP71:GNT71)</f>
        <v>8625</v>
      </c>
      <c r="GNV71" s="169">
        <v>200</v>
      </c>
      <c r="GNW71" s="171">
        <f>SUM(GNU71:GNV71)</f>
        <v>8825</v>
      </c>
      <c r="GNX71" s="163" t="s">
        <v>114</v>
      </c>
      <c r="GNY71" s="164">
        <v>45845</v>
      </c>
      <c r="GNZ71" s="159" t="s">
        <v>42</v>
      </c>
      <c r="GOA71" s="354" t="s">
        <v>150</v>
      </c>
      <c r="GOB71" s="165" t="s">
        <v>124</v>
      </c>
      <c r="GOC71" s="352" t="s">
        <v>164</v>
      </c>
      <c r="GOD71" s="353" t="s">
        <v>121</v>
      </c>
      <c r="GOE71" s="159" t="s">
        <v>18</v>
      </c>
      <c r="GOF71" s="160">
        <v>8100</v>
      </c>
      <c r="GOG71" s="169">
        <v>85</v>
      </c>
      <c r="GOH71" s="170">
        <v>215</v>
      </c>
      <c r="GOI71" s="170">
        <v>75</v>
      </c>
      <c r="GOJ71" s="169">
        <v>150</v>
      </c>
      <c r="GOK71" s="171">
        <f>SUM(GOF71:GOJ71)</f>
        <v>8625</v>
      </c>
      <c r="GOL71" s="169">
        <v>200</v>
      </c>
      <c r="GOM71" s="171">
        <f>SUM(GOK71:GOL71)</f>
        <v>8825</v>
      </c>
      <c r="GON71" s="163" t="s">
        <v>114</v>
      </c>
      <c r="GOO71" s="164">
        <v>45845</v>
      </c>
      <c r="GOP71" s="159" t="s">
        <v>42</v>
      </c>
      <c r="GOQ71" s="354" t="s">
        <v>150</v>
      </c>
      <c r="GOR71" s="165" t="s">
        <v>124</v>
      </c>
      <c r="GOS71" s="352" t="s">
        <v>164</v>
      </c>
      <c r="GOT71" s="353" t="s">
        <v>121</v>
      </c>
      <c r="GOU71" s="159" t="s">
        <v>18</v>
      </c>
      <c r="GOV71" s="160">
        <v>8100</v>
      </c>
      <c r="GOW71" s="169">
        <v>85</v>
      </c>
      <c r="GOX71" s="170">
        <v>215</v>
      </c>
      <c r="GOY71" s="170">
        <v>75</v>
      </c>
      <c r="GOZ71" s="169">
        <v>150</v>
      </c>
      <c r="GPA71" s="171">
        <f>SUM(GOV71:GOZ71)</f>
        <v>8625</v>
      </c>
      <c r="GPB71" s="169">
        <v>200</v>
      </c>
      <c r="GPC71" s="171">
        <f>SUM(GPA71:GPB71)</f>
        <v>8825</v>
      </c>
      <c r="GPD71" s="163" t="s">
        <v>114</v>
      </c>
      <c r="GPE71" s="164">
        <v>45845</v>
      </c>
      <c r="GPF71" s="159" t="s">
        <v>42</v>
      </c>
      <c r="GPG71" s="354" t="s">
        <v>150</v>
      </c>
      <c r="GPH71" s="165" t="s">
        <v>124</v>
      </c>
      <c r="GPI71" s="352" t="s">
        <v>164</v>
      </c>
      <c r="GPJ71" s="353" t="s">
        <v>121</v>
      </c>
      <c r="GPK71" s="159" t="s">
        <v>18</v>
      </c>
      <c r="GPL71" s="160">
        <v>8100</v>
      </c>
      <c r="GPM71" s="169">
        <v>85</v>
      </c>
      <c r="GPN71" s="170">
        <v>215</v>
      </c>
      <c r="GPO71" s="170">
        <v>75</v>
      </c>
      <c r="GPP71" s="169">
        <v>150</v>
      </c>
      <c r="GPQ71" s="171">
        <f>SUM(GPL71:GPP71)</f>
        <v>8625</v>
      </c>
      <c r="GPR71" s="169">
        <v>200</v>
      </c>
      <c r="GPS71" s="171">
        <f>SUM(GPQ71:GPR71)</f>
        <v>8825</v>
      </c>
      <c r="GPT71" s="163" t="s">
        <v>114</v>
      </c>
      <c r="GPU71" s="164">
        <v>45845</v>
      </c>
      <c r="GPV71" s="159" t="s">
        <v>42</v>
      </c>
      <c r="GPW71" s="354" t="s">
        <v>150</v>
      </c>
      <c r="GPX71" s="165" t="s">
        <v>124</v>
      </c>
      <c r="GPY71" s="352" t="s">
        <v>164</v>
      </c>
      <c r="GPZ71" s="353" t="s">
        <v>121</v>
      </c>
      <c r="GQA71" s="159" t="s">
        <v>18</v>
      </c>
      <c r="GQB71" s="160">
        <v>8100</v>
      </c>
      <c r="GQC71" s="169">
        <v>85</v>
      </c>
      <c r="GQD71" s="170">
        <v>215</v>
      </c>
      <c r="GQE71" s="170">
        <v>75</v>
      </c>
      <c r="GQF71" s="169">
        <v>150</v>
      </c>
      <c r="GQG71" s="171">
        <f>SUM(GQB71:GQF71)</f>
        <v>8625</v>
      </c>
      <c r="GQH71" s="169">
        <v>200</v>
      </c>
      <c r="GQI71" s="171">
        <f>SUM(GQG71:GQH71)</f>
        <v>8825</v>
      </c>
      <c r="GQJ71" s="163" t="s">
        <v>114</v>
      </c>
      <c r="GQK71" s="164">
        <v>45845</v>
      </c>
      <c r="GQL71" s="159" t="s">
        <v>42</v>
      </c>
      <c r="GQM71" s="354" t="s">
        <v>150</v>
      </c>
      <c r="GQN71" s="165" t="s">
        <v>124</v>
      </c>
      <c r="GQO71" s="352" t="s">
        <v>164</v>
      </c>
      <c r="GQP71" s="353" t="s">
        <v>121</v>
      </c>
      <c r="GQQ71" s="159" t="s">
        <v>18</v>
      </c>
      <c r="GQR71" s="160">
        <v>8100</v>
      </c>
      <c r="GQS71" s="169">
        <v>85</v>
      </c>
      <c r="GQT71" s="170">
        <v>215</v>
      </c>
      <c r="GQU71" s="170">
        <v>75</v>
      </c>
      <c r="GQV71" s="169">
        <v>150</v>
      </c>
      <c r="GQW71" s="171">
        <f>SUM(GQR71:GQV71)</f>
        <v>8625</v>
      </c>
      <c r="GQX71" s="169">
        <v>200</v>
      </c>
      <c r="GQY71" s="171">
        <f>SUM(GQW71:GQX71)</f>
        <v>8825</v>
      </c>
      <c r="GQZ71" s="163" t="s">
        <v>114</v>
      </c>
      <c r="GRA71" s="164">
        <v>45845</v>
      </c>
      <c r="GRB71" s="159" t="s">
        <v>42</v>
      </c>
      <c r="GRC71" s="354" t="s">
        <v>150</v>
      </c>
      <c r="GRD71" s="165" t="s">
        <v>124</v>
      </c>
      <c r="GRE71" s="352" t="s">
        <v>164</v>
      </c>
      <c r="GRF71" s="353" t="s">
        <v>121</v>
      </c>
      <c r="GRG71" s="159" t="s">
        <v>18</v>
      </c>
      <c r="GRH71" s="160">
        <v>8100</v>
      </c>
      <c r="GRI71" s="169">
        <v>85</v>
      </c>
      <c r="GRJ71" s="170">
        <v>215</v>
      </c>
      <c r="GRK71" s="170">
        <v>75</v>
      </c>
      <c r="GRL71" s="169">
        <v>150</v>
      </c>
      <c r="GRM71" s="171">
        <f>SUM(GRH71:GRL71)</f>
        <v>8625</v>
      </c>
      <c r="GRN71" s="169">
        <v>200</v>
      </c>
      <c r="GRO71" s="171">
        <f>SUM(GRM71:GRN71)</f>
        <v>8825</v>
      </c>
      <c r="GRP71" s="163" t="s">
        <v>114</v>
      </c>
      <c r="GRQ71" s="164">
        <v>45845</v>
      </c>
      <c r="GRR71" s="159" t="s">
        <v>42</v>
      </c>
      <c r="GRS71" s="354" t="s">
        <v>150</v>
      </c>
      <c r="GRT71" s="165" t="s">
        <v>124</v>
      </c>
      <c r="GRU71" s="352" t="s">
        <v>164</v>
      </c>
      <c r="GRV71" s="353" t="s">
        <v>121</v>
      </c>
      <c r="GRW71" s="159" t="s">
        <v>18</v>
      </c>
      <c r="GRX71" s="160">
        <v>8100</v>
      </c>
      <c r="GRY71" s="169">
        <v>85</v>
      </c>
      <c r="GRZ71" s="170">
        <v>215</v>
      </c>
      <c r="GSA71" s="170">
        <v>75</v>
      </c>
      <c r="GSB71" s="169">
        <v>150</v>
      </c>
      <c r="GSC71" s="171">
        <f>SUM(GRX71:GSB71)</f>
        <v>8625</v>
      </c>
      <c r="GSD71" s="169">
        <v>200</v>
      </c>
      <c r="GSE71" s="171">
        <f>SUM(GSC71:GSD71)</f>
        <v>8825</v>
      </c>
      <c r="GSF71" s="163" t="s">
        <v>114</v>
      </c>
      <c r="GSG71" s="164">
        <v>45845</v>
      </c>
      <c r="GSH71" s="159" t="s">
        <v>42</v>
      </c>
      <c r="GSI71" s="354" t="s">
        <v>150</v>
      </c>
      <c r="GSJ71" s="165" t="s">
        <v>124</v>
      </c>
      <c r="GSK71" s="352" t="s">
        <v>164</v>
      </c>
      <c r="GSL71" s="353" t="s">
        <v>121</v>
      </c>
      <c r="GSM71" s="159" t="s">
        <v>18</v>
      </c>
      <c r="GSN71" s="160">
        <v>8100</v>
      </c>
      <c r="GSO71" s="169">
        <v>85</v>
      </c>
      <c r="GSP71" s="170">
        <v>215</v>
      </c>
      <c r="GSQ71" s="170">
        <v>75</v>
      </c>
      <c r="GSR71" s="169">
        <v>150</v>
      </c>
      <c r="GSS71" s="171">
        <f>SUM(GSN71:GSR71)</f>
        <v>8625</v>
      </c>
      <c r="GST71" s="169">
        <v>200</v>
      </c>
      <c r="GSU71" s="171">
        <f>SUM(GSS71:GST71)</f>
        <v>8825</v>
      </c>
      <c r="GSV71" s="163" t="s">
        <v>114</v>
      </c>
      <c r="GSW71" s="164">
        <v>45845</v>
      </c>
      <c r="GSX71" s="159" t="s">
        <v>42</v>
      </c>
      <c r="GSY71" s="354" t="s">
        <v>150</v>
      </c>
      <c r="GSZ71" s="165" t="s">
        <v>124</v>
      </c>
      <c r="GTA71" s="352" t="s">
        <v>164</v>
      </c>
      <c r="GTB71" s="353" t="s">
        <v>121</v>
      </c>
      <c r="GTC71" s="159" t="s">
        <v>18</v>
      </c>
      <c r="GTD71" s="160">
        <v>8100</v>
      </c>
      <c r="GTE71" s="169">
        <v>85</v>
      </c>
      <c r="GTF71" s="170">
        <v>215</v>
      </c>
      <c r="GTG71" s="170">
        <v>75</v>
      </c>
      <c r="GTH71" s="169">
        <v>150</v>
      </c>
      <c r="GTI71" s="171">
        <f>SUM(GTD71:GTH71)</f>
        <v>8625</v>
      </c>
      <c r="GTJ71" s="169">
        <v>200</v>
      </c>
      <c r="GTK71" s="171">
        <f>SUM(GTI71:GTJ71)</f>
        <v>8825</v>
      </c>
      <c r="GTL71" s="163" t="s">
        <v>114</v>
      </c>
      <c r="GTM71" s="164">
        <v>45845</v>
      </c>
      <c r="GTN71" s="159" t="s">
        <v>42</v>
      </c>
      <c r="GTO71" s="354" t="s">
        <v>150</v>
      </c>
      <c r="GTP71" s="165" t="s">
        <v>124</v>
      </c>
      <c r="GTQ71" s="352" t="s">
        <v>164</v>
      </c>
      <c r="GTR71" s="353" t="s">
        <v>121</v>
      </c>
      <c r="GTS71" s="159" t="s">
        <v>18</v>
      </c>
      <c r="GTT71" s="160">
        <v>8100</v>
      </c>
      <c r="GTU71" s="169">
        <v>85</v>
      </c>
      <c r="GTV71" s="170">
        <v>215</v>
      </c>
      <c r="GTW71" s="170">
        <v>75</v>
      </c>
      <c r="GTX71" s="169">
        <v>150</v>
      </c>
      <c r="GTY71" s="171">
        <f>SUM(GTT71:GTX71)</f>
        <v>8625</v>
      </c>
      <c r="GTZ71" s="169">
        <v>200</v>
      </c>
      <c r="GUA71" s="171">
        <f>SUM(GTY71:GTZ71)</f>
        <v>8825</v>
      </c>
      <c r="GUB71" s="163" t="s">
        <v>114</v>
      </c>
      <c r="GUC71" s="164">
        <v>45845</v>
      </c>
      <c r="GUD71" s="159" t="s">
        <v>42</v>
      </c>
      <c r="GUE71" s="354" t="s">
        <v>150</v>
      </c>
      <c r="GUF71" s="165" t="s">
        <v>124</v>
      </c>
      <c r="GUG71" s="352" t="s">
        <v>164</v>
      </c>
      <c r="GUH71" s="353" t="s">
        <v>121</v>
      </c>
      <c r="GUI71" s="159" t="s">
        <v>18</v>
      </c>
      <c r="GUJ71" s="160">
        <v>8100</v>
      </c>
      <c r="GUK71" s="169">
        <v>85</v>
      </c>
      <c r="GUL71" s="170">
        <v>215</v>
      </c>
      <c r="GUM71" s="170">
        <v>75</v>
      </c>
      <c r="GUN71" s="169">
        <v>150</v>
      </c>
      <c r="GUO71" s="171">
        <f>SUM(GUJ71:GUN71)</f>
        <v>8625</v>
      </c>
      <c r="GUP71" s="169">
        <v>200</v>
      </c>
      <c r="GUQ71" s="171">
        <f>SUM(GUO71:GUP71)</f>
        <v>8825</v>
      </c>
      <c r="GUR71" s="163" t="s">
        <v>114</v>
      </c>
      <c r="GUS71" s="164">
        <v>45845</v>
      </c>
      <c r="GUT71" s="159" t="s">
        <v>42</v>
      </c>
      <c r="GUU71" s="354" t="s">
        <v>150</v>
      </c>
      <c r="GUV71" s="165" t="s">
        <v>124</v>
      </c>
      <c r="GUW71" s="352" t="s">
        <v>164</v>
      </c>
      <c r="GUX71" s="353" t="s">
        <v>121</v>
      </c>
      <c r="GUY71" s="159" t="s">
        <v>18</v>
      </c>
      <c r="GUZ71" s="160">
        <v>8100</v>
      </c>
      <c r="GVA71" s="169">
        <v>85</v>
      </c>
      <c r="GVB71" s="170">
        <v>215</v>
      </c>
      <c r="GVC71" s="170">
        <v>75</v>
      </c>
      <c r="GVD71" s="169">
        <v>150</v>
      </c>
      <c r="GVE71" s="171">
        <f>SUM(GUZ71:GVD71)</f>
        <v>8625</v>
      </c>
      <c r="GVF71" s="169">
        <v>200</v>
      </c>
      <c r="GVG71" s="171">
        <f>SUM(GVE71:GVF71)</f>
        <v>8825</v>
      </c>
      <c r="GVH71" s="163" t="s">
        <v>114</v>
      </c>
      <c r="GVI71" s="164">
        <v>45845</v>
      </c>
      <c r="GVJ71" s="159" t="s">
        <v>42</v>
      </c>
      <c r="GVK71" s="354" t="s">
        <v>150</v>
      </c>
      <c r="GVL71" s="165" t="s">
        <v>124</v>
      </c>
      <c r="GVM71" s="352" t="s">
        <v>164</v>
      </c>
      <c r="GVN71" s="353" t="s">
        <v>121</v>
      </c>
      <c r="GVO71" s="159" t="s">
        <v>18</v>
      </c>
      <c r="GVP71" s="160">
        <v>8100</v>
      </c>
      <c r="GVQ71" s="169">
        <v>85</v>
      </c>
      <c r="GVR71" s="170">
        <v>215</v>
      </c>
      <c r="GVS71" s="170">
        <v>75</v>
      </c>
      <c r="GVT71" s="169">
        <v>150</v>
      </c>
      <c r="GVU71" s="171">
        <f>SUM(GVP71:GVT71)</f>
        <v>8625</v>
      </c>
      <c r="GVV71" s="169">
        <v>200</v>
      </c>
      <c r="GVW71" s="171">
        <f>SUM(GVU71:GVV71)</f>
        <v>8825</v>
      </c>
      <c r="GVX71" s="163" t="s">
        <v>114</v>
      </c>
      <c r="GVY71" s="164">
        <v>45845</v>
      </c>
      <c r="GVZ71" s="159" t="s">
        <v>42</v>
      </c>
      <c r="GWA71" s="354" t="s">
        <v>150</v>
      </c>
      <c r="GWB71" s="165" t="s">
        <v>124</v>
      </c>
      <c r="GWC71" s="352" t="s">
        <v>164</v>
      </c>
      <c r="GWD71" s="353" t="s">
        <v>121</v>
      </c>
      <c r="GWE71" s="159" t="s">
        <v>18</v>
      </c>
      <c r="GWF71" s="160">
        <v>8100</v>
      </c>
      <c r="GWG71" s="169">
        <v>85</v>
      </c>
      <c r="GWH71" s="170">
        <v>215</v>
      </c>
      <c r="GWI71" s="170">
        <v>75</v>
      </c>
      <c r="GWJ71" s="169">
        <v>150</v>
      </c>
      <c r="GWK71" s="171">
        <f>SUM(GWF71:GWJ71)</f>
        <v>8625</v>
      </c>
      <c r="GWL71" s="169">
        <v>200</v>
      </c>
      <c r="GWM71" s="171">
        <f>SUM(GWK71:GWL71)</f>
        <v>8825</v>
      </c>
      <c r="GWN71" s="163" t="s">
        <v>114</v>
      </c>
      <c r="GWO71" s="164">
        <v>45845</v>
      </c>
      <c r="GWP71" s="159" t="s">
        <v>42</v>
      </c>
      <c r="GWQ71" s="354" t="s">
        <v>150</v>
      </c>
      <c r="GWR71" s="165" t="s">
        <v>124</v>
      </c>
      <c r="GWS71" s="352" t="s">
        <v>164</v>
      </c>
      <c r="GWT71" s="353" t="s">
        <v>121</v>
      </c>
      <c r="GWU71" s="159" t="s">
        <v>18</v>
      </c>
      <c r="GWV71" s="160">
        <v>8100</v>
      </c>
      <c r="GWW71" s="169">
        <v>85</v>
      </c>
      <c r="GWX71" s="170">
        <v>215</v>
      </c>
      <c r="GWY71" s="170">
        <v>75</v>
      </c>
      <c r="GWZ71" s="169">
        <v>150</v>
      </c>
      <c r="GXA71" s="171">
        <f>SUM(GWV71:GWZ71)</f>
        <v>8625</v>
      </c>
      <c r="GXB71" s="169">
        <v>200</v>
      </c>
      <c r="GXC71" s="171">
        <f>SUM(GXA71:GXB71)</f>
        <v>8825</v>
      </c>
      <c r="GXD71" s="163" t="s">
        <v>114</v>
      </c>
      <c r="GXE71" s="164">
        <v>45845</v>
      </c>
      <c r="GXF71" s="159" t="s">
        <v>42</v>
      </c>
      <c r="GXG71" s="354" t="s">
        <v>150</v>
      </c>
      <c r="GXH71" s="165" t="s">
        <v>124</v>
      </c>
      <c r="GXI71" s="352" t="s">
        <v>164</v>
      </c>
      <c r="GXJ71" s="353" t="s">
        <v>121</v>
      </c>
      <c r="GXK71" s="159" t="s">
        <v>18</v>
      </c>
      <c r="GXL71" s="160">
        <v>8100</v>
      </c>
      <c r="GXM71" s="169">
        <v>85</v>
      </c>
      <c r="GXN71" s="170">
        <v>215</v>
      </c>
      <c r="GXO71" s="170">
        <v>75</v>
      </c>
      <c r="GXP71" s="169">
        <v>150</v>
      </c>
      <c r="GXQ71" s="171">
        <f>SUM(GXL71:GXP71)</f>
        <v>8625</v>
      </c>
      <c r="GXR71" s="169">
        <v>200</v>
      </c>
      <c r="GXS71" s="171">
        <f>SUM(GXQ71:GXR71)</f>
        <v>8825</v>
      </c>
      <c r="GXT71" s="163" t="s">
        <v>114</v>
      </c>
      <c r="GXU71" s="164">
        <v>45845</v>
      </c>
      <c r="GXV71" s="159" t="s">
        <v>42</v>
      </c>
      <c r="GXW71" s="354" t="s">
        <v>150</v>
      </c>
      <c r="GXX71" s="165" t="s">
        <v>124</v>
      </c>
      <c r="GXY71" s="352" t="s">
        <v>164</v>
      </c>
      <c r="GXZ71" s="353" t="s">
        <v>121</v>
      </c>
      <c r="GYA71" s="159" t="s">
        <v>18</v>
      </c>
      <c r="GYB71" s="160">
        <v>8100</v>
      </c>
      <c r="GYC71" s="169">
        <v>85</v>
      </c>
      <c r="GYD71" s="170">
        <v>215</v>
      </c>
      <c r="GYE71" s="170">
        <v>75</v>
      </c>
      <c r="GYF71" s="169">
        <v>150</v>
      </c>
      <c r="GYG71" s="171">
        <f>SUM(GYB71:GYF71)</f>
        <v>8625</v>
      </c>
      <c r="GYH71" s="169">
        <v>200</v>
      </c>
      <c r="GYI71" s="171">
        <f>SUM(GYG71:GYH71)</f>
        <v>8825</v>
      </c>
      <c r="GYJ71" s="163" t="s">
        <v>114</v>
      </c>
      <c r="GYK71" s="164">
        <v>45845</v>
      </c>
      <c r="GYL71" s="159" t="s">
        <v>42</v>
      </c>
      <c r="GYM71" s="354" t="s">
        <v>150</v>
      </c>
      <c r="GYN71" s="165" t="s">
        <v>124</v>
      </c>
      <c r="GYO71" s="352" t="s">
        <v>164</v>
      </c>
      <c r="GYP71" s="353" t="s">
        <v>121</v>
      </c>
      <c r="GYQ71" s="159" t="s">
        <v>18</v>
      </c>
      <c r="GYR71" s="160">
        <v>8100</v>
      </c>
      <c r="GYS71" s="169">
        <v>85</v>
      </c>
      <c r="GYT71" s="170">
        <v>215</v>
      </c>
      <c r="GYU71" s="170">
        <v>75</v>
      </c>
      <c r="GYV71" s="169">
        <v>150</v>
      </c>
      <c r="GYW71" s="171">
        <f>SUM(GYR71:GYV71)</f>
        <v>8625</v>
      </c>
      <c r="GYX71" s="169">
        <v>200</v>
      </c>
      <c r="GYY71" s="171">
        <f>SUM(GYW71:GYX71)</f>
        <v>8825</v>
      </c>
      <c r="GYZ71" s="163" t="s">
        <v>114</v>
      </c>
      <c r="GZA71" s="164">
        <v>45845</v>
      </c>
      <c r="GZB71" s="159" t="s">
        <v>42</v>
      </c>
      <c r="GZC71" s="354" t="s">
        <v>150</v>
      </c>
      <c r="GZD71" s="165" t="s">
        <v>124</v>
      </c>
      <c r="GZE71" s="352" t="s">
        <v>164</v>
      </c>
      <c r="GZF71" s="353" t="s">
        <v>121</v>
      </c>
      <c r="GZG71" s="159" t="s">
        <v>18</v>
      </c>
      <c r="GZH71" s="160">
        <v>8100</v>
      </c>
      <c r="GZI71" s="169">
        <v>85</v>
      </c>
      <c r="GZJ71" s="170">
        <v>215</v>
      </c>
      <c r="GZK71" s="170">
        <v>75</v>
      </c>
      <c r="GZL71" s="169">
        <v>150</v>
      </c>
      <c r="GZM71" s="171">
        <f>SUM(GZH71:GZL71)</f>
        <v>8625</v>
      </c>
      <c r="GZN71" s="169">
        <v>200</v>
      </c>
      <c r="GZO71" s="171">
        <f>SUM(GZM71:GZN71)</f>
        <v>8825</v>
      </c>
      <c r="GZP71" s="163" t="s">
        <v>114</v>
      </c>
      <c r="GZQ71" s="164">
        <v>45845</v>
      </c>
      <c r="GZR71" s="159" t="s">
        <v>42</v>
      </c>
      <c r="GZS71" s="354" t="s">
        <v>150</v>
      </c>
      <c r="GZT71" s="165" t="s">
        <v>124</v>
      </c>
      <c r="GZU71" s="352" t="s">
        <v>164</v>
      </c>
      <c r="GZV71" s="353" t="s">
        <v>121</v>
      </c>
      <c r="GZW71" s="159" t="s">
        <v>18</v>
      </c>
      <c r="GZX71" s="160">
        <v>8100</v>
      </c>
      <c r="GZY71" s="169">
        <v>85</v>
      </c>
      <c r="GZZ71" s="170">
        <v>215</v>
      </c>
      <c r="HAA71" s="170">
        <v>75</v>
      </c>
      <c r="HAB71" s="169">
        <v>150</v>
      </c>
      <c r="HAC71" s="171">
        <f>SUM(GZX71:HAB71)</f>
        <v>8625</v>
      </c>
      <c r="HAD71" s="169">
        <v>200</v>
      </c>
      <c r="HAE71" s="171">
        <f>SUM(HAC71:HAD71)</f>
        <v>8825</v>
      </c>
      <c r="HAF71" s="163" t="s">
        <v>114</v>
      </c>
      <c r="HAG71" s="164">
        <v>45845</v>
      </c>
      <c r="HAH71" s="159" t="s">
        <v>42</v>
      </c>
      <c r="HAI71" s="354" t="s">
        <v>150</v>
      </c>
      <c r="HAJ71" s="165" t="s">
        <v>124</v>
      </c>
      <c r="HAK71" s="352" t="s">
        <v>164</v>
      </c>
      <c r="HAL71" s="353" t="s">
        <v>121</v>
      </c>
      <c r="HAM71" s="159" t="s">
        <v>18</v>
      </c>
      <c r="HAN71" s="160">
        <v>8100</v>
      </c>
      <c r="HAO71" s="169">
        <v>85</v>
      </c>
      <c r="HAP71" s="170">
        <v>215</v>
      </c>
      <c r="HAQ71" s="170">
        <v>75</v>
      </c>
      <c r="HAR71" s="169">
        <v>150</v>
      </c>
      <c r="HAS71" s="171">
        <f>SUM(HAN71:HAR71)</f>
        <v>8625</v>
      </c>
      <c r="HAT71" s="169">
        <v>200</v>
      </c>
      <c r="HAU71" s="171">
        <f>SUM(HAS71:HAT71)</f>
        <v>8825</v>
      </c>
      <c r="HAV71" s="163" t="s">
        <v>114</v>
      </c>
      <c r="HAW71" s="164">
        <v>45845</v>
      </c>
      <c r="HAX71" s="159" t="s">
        <v>42</v>
      </c>
      <c r="HAY71" s="354" t="s">
        <v>150</v>
      </c>
      <c r="HAZ71" s="165" t="s">
        <v>124</v>
      </c>
      <c r="HBA71" s="352" t="s">
        <v>164</v>
      </c>
      <c r="HBB71" s="353" t="s">
        <v>121</v>
      </c>
      <c r="HBC71" s="159" t="s">
        <v>18</v>
      </c>
      <c r="HBD71" s="160">
        <v>8100</v>
      </c>
      <c r="HBE71" s="169">
        <v>85</v>
      </c>
      <c r="HBF71" s="170">
        <v>215</v>
      </c>
      <c r="HBG71" s="170">
        <v>75</v>
      </c>
      <c r="HBH71" s="169">
        <v>150</v>
      </c>
      <c r="HBI71" s="171">
        <f>SUM(HBD71:HBH71)</f>
        <v>8625</v>
      </c>
      <c r="HBJ71" s="169">
        <v>200</v>
      </c>
      <c r="HBK71" s="171">
        <f>SUM(HBI71:HBJ71)</f>
        <v>8825</v>
      </c>
      <c r="HBL71" s="163" t="s">
        <v>114</v>
      </c>
      <c r="HBM71" s="164">
        <v>45845</v>
      </c>
      <c r="HBN71" s="159" t="s">
        <v>42</v>
      </c>
      <c r="HBO71" s="354" t="s">
        <v>150</v>
      </c>
      <c r="HBP71" s="165" t="s">
        <v>124</v>
      </c>
      <c r="HBQ71" s="352" t="s">
        <v>164</v>
      </c>
      <c r="HBR71" s="353" t="s">
        <v>121</v>
      </c>
      <c r="HBS71" s="159" t="s">
        <v>18</v>
      </c>
      <c r="HBT71" s="160">
        <v>8100</v>
      </c>
      <c r="HBU71" s="169">
        <v>85</v>
      </c>
      <c r="HBV71" s="170">
        <v>215</v>
      </c>
      <c r="HBW71" s="170">
        <v>75</v>
      </c>
      <c r="HBX71" s="169">
        <v>150</v>
      </c>
      <c r="HBY71" s="171">
        <f>SUM(HBT71:HBX71)</f>
        <v>8625</v>
      </c>
      <c r="HBZ71" s="169">
        <v>200</v>
      </c>
      <c r="HCA71" s="171">
        <f>SUM(HBY71:HBZ71)</f>
        <v>8825</v>
      </c>
      <c r="HCB71" s="163" t="s">
        <v>114</v>
      </c>
      <c r="HCC71" s="164">
        <v>45845</v>
      </c>
      <c r="HCD71" s="159" t="s">
        <v>42</v>
      </c>
      <c r="HCE71" s="354" t="s">
        <v>150</v>
      </c>
      <c r="HCF71" s="165" t="s">
        <v>124</v>
      </c>
      <c r="HCG71" s="352" t="s">
        <v>164</v>
      </c>
      <c r="HCH71" s="353" t="s">
        <v>121</v>
      </c>
      <c r="HCI71" s="159" t="s">
        <v>18</v>
      </c>
      <c r="HCJ71" s="160">
        <v>8100</v>
      </c>
      <c r="HCK71" s="169">
        <v>85</v>
      </c>
      <c r="HCL71" s="170">
        <v>215</v>
      </c>
      <c r="HCM71" s="170">
        <v>75</v>
      </c>
      <c r="HCN71" s="169">
        <v>150</v>
      </c>
      <c r="HCO71" s="171">
        <f>SUM(HCJ71:HCN71)</f>
        <v>8625</v>
      </c>
      <c r="HCP71" s="169">
        <v>200</v>
      </c>
      <c r="HCQ71" s="171">
        <f>SUM(HCO71:HCP71)</f>
        <v>8825</v>
      </c>
      <c r="HCR71" s="163" t="s">
        <v>114</v>
      </c>
      <c r="HCS71" s="164">
        <v>45845</v>
      </c>
      <c r="HCT71" s="159" t="s">
        <v>42</v>
      </c>
      <c r="HCU71" s="354" t="s">
        <v>150</v>
      </c>
      <c r="HCV71" s="165" t="s">
        <v>124</v>
      </c>
      <c r="HCW71" s="352" t="s">
        <v>164</v>
      </c>
      <c r="HCX71" s="353" t="s">
        <v>121</v>
      </c>
      <c r="HCY71" s="159" t="s">
        <v>18</v>
      </c>
      <c r="HCZ71" s="160">
        <v>8100</v>
      </c>
      <c r="HDA71" s="169">
        <v>85</v>
      </c>
      <c r="HDB71" s="170">
        <v>215</v>
      </c>
      <c r="HDC71" s="170">
        <v>75</v>
      </c>
      <c r="HDD71" s="169">
        <v>150</v>
      </c>
      <c r="HDE71" s="171">
        <f>SUM(HCZ71:HDD71)</f>
        <v>8625</v>
      </c>
      <c r="HDF71" s="169">
        <v>200</v>
      </c>
      <c r="HDG71" s="171">
        <f>SUM(HDE71:HDF71)</f>
        <v>8825</v>
      </c>
      <c r="HDH71" s="163" t="s">
        <v>114</v>
      </c>
      <c r="HDI71" s="164">
        <v>45845</v>
      </c>
      <c r="HDJ71" s="159" t="s">
        <v>42</v>
      </c>
      <c r="HDK71" s="354" t="s">
        <v>150</v>
      </c>
      <c r="HDL71" s="165" t="s">
        <v>124</v>
      </c>
      <c r="HDM71" s="352" t="s">
        <v>164</v>
      </c>
      <c r="HDN71" s="353" t="s">
        <v>121</v>
      </c>
      <c r="HDO71" s="159" t="s">
        <v>18</v>
      </c>
      <c r="HDP71" s="160">
        <v>8100</v>
      </c>
      <c r="HDQ71" s="169">
        <v>85</v>
      </c>
      <c r="HDR71" s="170">
        <v>215</v>
      </c>
      <c r="HDS71" s="170">
        <v>75</v>
      </c>
      <c r="HDT71" s="169">
        <v>150</v>
      </c>
      <c r="HDU71" s="171">
        <f>SUM(HDP71:HDT71)</f>
        <v>8625</v>
      </c>
      <c r="HDV71" s="169">
        <v>200</v>
      </c>
      <c r="HDW71" s="171">
        <f>SUM(HDU71:HDV71)</f>
        <v>8825</v>
      </c>
      <c r="HDX71" s="163" t="s">
        <v>114</v>
      </c>
      <c r="HDY71" s="164">
        <v>45845</v>
      </c>
      <c r="HDZ71" s="159" t="s">
        <v>42</v>
      </c>
      <c r="HEA71" s="354" t="s">
        <v>150</v>
      </c>
      <c r="HEB71" s="165" t="s">
        <v>124</v>
      </c>
      <c r="HEC71" s="352" t="s">
        <v>164</v>
      </c>
      <c r="HED71" s="353" t="s">
        <v>121</v>
      </c>
      <c r="HEE71" s="159" t="s">
        <v>18</v>
      </c>
      <c r="HEF71" s="160">
        <v>8100</v>
      </c>
      <c r="HEG71" s="169">
        <v>85</v>
      </c>
      <c r="HEH71" s="170">
        <v>215</v>
      </c>
      <c r="HEI71" s="170">
        <v>75</v>
      </c>
      <c r="HEJ71" s="169">
        <v>150</v>
      </c>
      <c r="HEK71" s="171">
        <f>SUM(HEF71:HEJ71)</f>
        <v>8625</v>
      </c>
      <c r="HEL71" s="169">
        <v>200</v>
      </c>
      <c r="HEM71" s="171">
        <f>SUM(HEK71:HEL71)</f>
        <v>8825</v>
      </c>
      <c r="HEN71" s="163" t="s">
        <v>114</v>
      </c>
      <c r="HEO71" s="164">
        <v>45845</v>
      </c>
      <c r="HEP71" s="159" t="s">
        <v>42</v>
      </c>
      <c r="HEQ71" s="354" t="s">
        <v>150</v>
      </c>
      <c r="HER71" s="165" t="s">
        <v>124</v>
      </c>
      <c r="HES71" s="352" t="s">
        <v>164</v>
      </c>
      <c r="HET71" s="353" t="s">
        <v>121</v>
      </c>
      <c r="HEU71" s="159" t="s">
        <v>18</v>
      </c>
      <c r="HEV71" s="160">
        <v>8100</v>
      </c>
      <c r="HEW71" s="169">
        <v>85</v>
      </c>
      <c r="HEX71" s="170">
        <v>215</v>
      </c>
      <c r="HEY71" s="170">
        <v>75</v>
      </c>
      <c r="HEZ71" s="169">
        <v>150</v>
      </c>
      <c r="HFA71" s="171">
        <f>SUM(HEV71:HEZ71)</f>
        <v>8625</v>
      </c>
      <c r="HFB71" s="169">
        <v>200</v>
      </c>
      <c r="HFC71" s="171">
        <f>SUM(HFA71:HFB71)</f>
        <v>8825</v>
      </c>
      <c r="HFD71" s="163" t="s">
        <v>114</v>
      </c>
      <c r="HFE71" s="164">
        <v>45845</v>
      </c>
      <c r="HFF71" s="159" t="s">
        <v>42</v>
      </c>
      <c r="HFG71" s="354" t="s">
        <v>150</v>
      </c>
      <c r="HFH71" s="165" t="s">
        <v>124</v>
      </c>
      <c r="HFI71" s="352" t="s">
        <v>164</v>
      </c>
      <c r="HFJ71" s="353" t="s">
        <v>121</v>
      </c>
      <c r="HFK71" s="159" t="s">
        <v>18</v>
      </c>
      <c r="HFL71" s="160">
        <v>8100</v>
      </c>
      <c r="HFM71" s="169">
        <v>85</v>
      </c>
      <c r="HFN71" s="170">
        <v>215</v>
      </c>
      <c r="HFO71" s="170">
        <v>75</v>
      </c>
      <c r="HFP71" s="169">
        <v>150</v>
      </c>
      <c r="HFQ71" s="171">
        <f>SUM(HFL71:HFP71)</f>
        <v>8625</v>
      </c>
      <c r="HFR71" s="169">
        <v>200</v>
      </c>
      <c r="HFS71" s="171">
        <f>SUM(HFQ71:HFR71)</f>
        <v>8825</v>
      </c>
      <c r="HFT71" s="163" t="s">
        <v>114</v>
      </c>
      <c r="HFU71" s="164">
        <v>45845</v>
      </c>
      <c r="HFV71" s="159" t="s">
        <v>42</v>
      </c>
      <c r="HFW71" s="354" t="s">
        <v>150</v>
      </c>
      <c r="HFX71" s="165" t="s">
        <v>124</v>
      </c>
      <c r="HFY71" s="352" t="s">
        <v>164</v>
      </c>
      <c r="HFZ71" s="353" t="s">
        <v>121</v>
      </c>
      <c r="HGA71" s="159" t="s">
        <v>18</v>
      </c>
      <c r="HGB71" s="160">
        <v>8100</v>
      </c>
      <c r="HGC71" s="169">
        <v>85</v>
      </c>
      <c r="HGD71" s="170">
        <v>215</v>
      </c>
      <c r="HGE71" s="170">
        <v>75</v>
      </c>
      <c r="HGF71" s="169">
        <v>150</v>
      </c>
      <c r="HGG71" s="171">
        <f>SUM(HGB71:HGF71)</f>
        <v>8625</v>
      </c>
      <c r="HGH71" s="169">
        <v>200</v>
      </c>
      <c r="HGI71" s="171">
        <f>SUM(HGG71:HGH71)</f>
        <v>8825</v>
      </c>
      <c r="HGJ71" s="163" t="s">
        <v>114</v>
      </c>
      <c r="HGK71" s="164">
        <v>45845</v>
      </c>
      <c r="HGL71" s="159" t="s">
        <v>42</v>
      </c>
      <c r="HGM71" s="354" t="s">
        <v>150</v>
      </c>
      <c r="HGN71" s="165" t="s">
        <v>124</v>
      </c>
      <c r="HGO71" s="352" t="s">
        <v>164</v>
      </c>
      <c r="HGP71" s="353" t="s">
        <v>121</v>
      </c>
      <c r="HGQ71" s="159" t="s">
        <v>18</v>
      </c>
      <c r="HGR71" s="160">
        <v>8100</v>
      </c>
      <c r="HGS71" s="169">
        <v>85</v>
      </c>
      <c r="HGT71" s="170">
        <v>215</v>
      </c>
      <c r="HGU71" s="170">
        <v>75</v>
      </c>
      <c r="HGV71" s="169">
        <v>150</v>
      </c>
      <c r="HGW71" s="171">
        <f>SUM(HGR71:HGV71)</f>
        <v>8625</v>
      </c>
      <c r="HGX71" s="169">
        <v>200</v>
      </c>
      <c r="HGY71" s="171">
        <f>SUM(HGW71:HGX71)</f>
        <v>8825</v>
      </c>
      <c r="HGZ71" s="163" t="s">
        <v>114</v>
      </c>
      <c r="HHA71" s="164">
        <v>45845</v>
      </c>
      <c r="HHB71" s="159" t="s">
        <v>42</v>
      </c>
      <c r="HHC71" s="354" t="s">
        <v>150</v>
      </c>
      <c r="HHD71" s="165" t="s">
        <v>124</v>
      </c>
      <c r="HHE71" s="352" t="s">
        <v>164</v>
      </c>
      <c r="HHF71" s="353" t="s">
        <v>121</v>
      </c>
      <c r="HHG71" s="159" t="s">
        <v>18</v>
      </c>
      <c r="HHH71" s="160">
        <v>8100</v>
      </c>
      <c r="HHI71" s="169">
        <v>85</v>
      </c>
      <c r="HHJ71" s="170">
        <v>215</v>
      </c>
      <c r="HHK71" s="170">
        <v>75</v>
      </c>
      <c r="HHL71" s="169">
        <v>150</v>
      </c>
      <c r="HHM71" s="171">
        <f>SUM(HHH71:HHL71)</f>
        <v>8625</v>
      </c>
      <c r="HHN71" s="169">
        <v>200</v>
      </c>
      <c r="HHO71" s="171">
        <f>SUM(HHM71:HHN71)</f>
        <v>8825</v>
      </c>
      <c r="HHP71" s="163" t="s">
        <v>114</v>
      </c>
      <c r="HHQ71" s="164">
        <v>45845</v>
      </c>
      <c r="HHR71" s="159" t="s">
        <v>42</v>
      </c>
      <c r="HHS71" s="354" t="s">
        <v>150</v>
      </c>
      <c r="HHT71" s="165" t="s">
        <v>124</v>
      </c>
      <c r="HHU71" s="352" t="s">
        <v>164</v>
      </c>
      <c r="HHV71" s="353" t="s">
        <v>121</v>
      </c>
      <c r="HHW71" s="159" t="s">
        <v>18</v>
      </c>
      <c r="HHX71" s="160">
        <v>8100</v>
      </c>
      <c r="HHY71" s="169">
        <v>85</v>
      </c>
      <c r="HHZ71" s="170">
        <v>215</v>
      </c>
      <c r="HIA71" s="170">
        <v>75</v>
      </c>
      <c r="HIB71" s="169">
        <v>150</v>
      </c>
      <c r="HIC71" s="171">
        <f>SUM(HHX71:HIB71)</f>
        <v>8625</v>
      </c>
      <c r="HID71" s="169">
        <v>200</v>
      </c>
      <c r="HIE71" s="171">
        <f>SUM(HIC71:HID71)</f>
        <v>8825</v>
      </c>
      <c r="HIF71" s="163" t="s">
        <v>114</v>
      </c>
      <c r="HIG71" s="164">
        <v>45845</v>
      </c>
      <c r="HIH71" s="159" t="s">
        <v>42</v>
      </c>
      <c r="HII71" s="354" t="s">
        <v>150</v>
      </c>
      <c r="HIJ71" s="165" t="s">
        <v>124</v>
      </c>
      <c r="HIK71" s="352" t="s">
        <v>164</v>
      </c>
      <c r="HIL71" s="353" t="s">
        <v>121</v>
      </c>
      <c r="HIM71" s="159" t="s">
        <v>18</v>
      </c>
      <c r="HIN71" s="160">
        <v>8100</v>
      </c>
      <c r="HIO71" s="169">
        <v>85</v>
      </c>
      <c r="HIP71" s="170">
        <v>215</v>
      </c>
      <c r="HIQ71" s="170">
        <v>75</v>
      </c>
      <c r="HIR71" s="169">
        <v>150</v>
      </c>
      <c r="HIS71" s="171">
        <f>SUM(HIN71:HIR71)</f>
        <v>8625</v>
      </c>
      <c r="HIT71" s="169">
        <v>200</v>
      </c>
      <c r="HIU71" s="171">
        <f>SUM(HIS71:HIT71)</f>
        <v>8825</v>
      </c>
      <c r="HIV71" s="163" t="s">
        <v>114</v>
      </c>
      <c r="HIW71" s="164">
        <v>45845</v>
      </c>
      <c r="HIX71" s="159" t="s">
        <v>42</v>
      </c>
      <c r="HIY71" s="354" t="s">
        <v>150</v>
      </c>
      <c r="HIZ71" s="165" t="s">
        <v>124</v>
      </c>
      <c r="HJA71" s="352" t="s">
        <v>164</v>
      </c>
      <c r="HJB71" s="353" t="s">
        <v>121</v>
      </c>
      <c r="HJC71" s="159" t="s">
        <v>18</v>
      </c>
      <c r="HJD71" s="160">
        <v>8100</v>
      </c>
      <c r="HJE71" s="169">
        <v>85</v>
      </c>
      <c r="HJF71" s="170">
        <v>215</v>
      </c>
      <c r="HJG71" s="170">
        <v>75</v>
      </c>
      <c r="HJH71" s="169">
        <v>150</v>
      </c>
      <c r="HJI71" s="171">
        <f>SUM(HJD71:HJH71)</f>
        <v>8625</v>
      </c>
      <c r="HJJ71" s="169">
        <v>200</v>
      </c>
      <c r="HJK71" s="171">
        <f>SUM(HJI71:HJJ71)</f>
        <v>8825</v>
      </c>
      <c r="HJL71" s="163" t="s">
        <v>114</v>
      </c>
      <c r="HJM71" s="164">
        <v>45845</v>
      </c>
      <c r="HJN71" s="159" t="s">
        <v>42</v>
      </c>
      <c r="HJO71" s="354" t="s">
        <v>150</v>
      </c>
      <c r="HJP71" s="165" t="s">
        <v>124</v>
      </c>
      <c r="HJQ71" s="352" t="s">
        <v>164</v>
      </c>
      <c r="HJR71" s="353" t="s">
        <v>121</v>
      </c>
      <c r="HJS71" s="159" t="s">
        <v>18</v>
      </c>
      <c r="HJT71" s="160">
        <v>8100</v>
      </c>
      <c r="HJU71" s="169">
        <v>85</v>
      </c>
      <c r="HJV71" s="170">
        <v>215</v>
      </c>
      <c r="HJW71" s="170">
        <v>75</v>
      </c>
      <c r="HJX71" s="169">
        <v>150</v>
      </c>
      <c r="HJY71" s="171">
        <f>SUM(HJT71:HJX71)</f>
        <v>8625</v>
      </c>
      <c r="HJZ71" s="169">
        <v>200</v>
      </c>
      <c r="HKA71" s="171">
        <f>SUM(HJY71:HJZ71)</f>
        <v>8825</v>
      </c>
      <c r="HKB71" s="163" t="s">
        <v>114</v>
      </c>
      <c r="HKC71" s="164">
        <v>45845</v>
      </c>
      <c r="HKD71" s="159" t="s">
        <v>42</v>
      </c>
      <c r="HKE71" s="354" t="s">
        <v>150</v>
      </c>
      <c r="HKF71" s="165" t="s">
        <v>124</v>
      </c>
      <c r="HKG71" s="352" t="s">
        <v>164</v>
      </c>
      <c r="HKH71" s="353" t="s">
        <v>121</v>
      </c>
      <c r="HKI71" s="159" t="s">
        <v>18</v>
      </c>
      <c r="HKJ71" s="160">
        <v>8100</v>
      </c>
      <c r="HKK71" s="169">
        <v>85</v>
      </c>
      <c r="HKL71" s="170">
        <v>215</v>
      </c>
      <c r="HKM71" s="170">
        <v>75</v>
      </c>
      <c r="HKN71" s="169">
        <v>150</v>
      </c>
      <c r="HKO71" s="171">
        <f>SUM(HKJ71:HKN71)</f>
        <v>8625</v>
      </c>
      <c r="HKP71" s="169">
        <v>200</v>
      </c>
      <c r="HKQ71" s="171">
        <f>SUM(HKO71:HKP71)</f>
        <v>8825</v>
      </c>
      <c r="HKR71" s="163" t="s">
        <v>114</v>
      </c>
      <c r="HKS71" s="164">
        <v>45845</v>
      </c>
      <c r="HKT71" s="159" t="s">
        <v>42</v>
      </c>
      <c r="HKU71" s="354" t="s">
        <v>150</v>
      </c>
      <c r="HKV71" s="165" t="s">
        <v>124</v>
      </c>
      <c r="HKW71" s="352" t="s">
        <v>164</v>
      </c>
      <c r="HKX71" s="353" t="s">
        <v>121</v>
      </c>
      <c r="HKY71" s="159" t="s">
        <v>18</v>
      </c>
      <c r="HKZ71" s="160">
        <v>8100</v>
      </c>
      <c r="HLA71" s="169">
        <v>85</v>
      </c>
      <c r="HLB71" s="170">
        <v>215</v>
      </c>
      <c r="HLC71" s="170">
        <v>75</v>
      </c>
      <c r="HLD71" s="169">
        <v>150</v>
      </c>
      <c r="HLE71" s="171">
        <f>SUM(HKZ71:HLD71)</f>
        <v>8625</v>
      </c>
      <c r="HLF71" s="169">
        <v>200</v>
      </c>
      <c r="HLG71" s="171">
        <f>SUM(HLE71:HLF71)</f>
        <v>8825</v>
      </c>
      <c r="HLH71" s="163" t="s">
        <v>114</v>
      </c>
      <c r="HLI71" s="164">
        <v>45845</v>
      </c>
      <c r="HLJ71" s="159" t="s">
        <v>42</v>
      </c>
      <c r="HLK71" s="354" t="s">
        <v>150</v>
      </c>
      <c r="HLL71" s="165" t="s">
        <v>124</v>
      </c>
      <c r="HLM71" s="352" t="s">
        <v>164</v>
      </c>
      <c r="HLN71" s="353" t="s">
        <v>121</v>
      </c>
      <c r="HLO71" s="159" t="s">
        <v>18</v>
      </c>
      <c r="HLP71" s="160">
        <v>8100</v>
      </c>
      <c r="HLQ71" s="169">
        <v>85</v>
      </c>
      <c r="HLR71" s="170">
        <v>215</v>
      </c>
      <c r="HLS71" s="170">
        <v>75</v>
      </c>
      <c r="HLT71" s="169">
        <v>150</v>
      </c>
      <c r="HLU71" s="171">
        <f>SUM(HLP71:HLT71)</f>
        <v>8625</v>
      </c>
      <c r="HLV71" s="169">
        <v>200</v>
      </c>
      <c r="HLW71" s="171">
        <f>SUM(HLU71:HLV71)</f>
        <v>8825</v>
      </c>
      <c r="HLX71" s="163" t="s">
        <v>114</v>
      </c>
      <c r="HLY71" s="164">
        <v>45845</v>
      </c>
      <c r="HLZ71" s="159" t="s">
        <v>42</v>
      </c>
      <c r="HMA71" s="354" t="s">
        <v>150</v>
      </c>
      <c r="HMB71" s="165" t="s">
        <v>124</v>
      </c>
      <c r="HMC71" s="352" t="s">
        <v>164</v>
      </c>
      <c r="HMD71" s="353" t="s">
        <v>121</v>
      </c>
      <c r="HME71" s="159" t="s">
        <v>18</v>
      </c>
      <c r="HMF71" s="160">
        <v>8100</v>
      </c>
      <c r="HMG71" s="169">
        <v>85</v>
      </c>
      <c r="HMH71" s="170">
        <v>215</v>
      </c>
      <c r="HMI71" s="170">
        <v>75</v>
      </c>
      <c r="HMJ71" s="169">
        <v>150</v>
      </c>
      <c r="HMK71" s="171">
        <f>SUM(HMF71:HMJ71)</f>
        <v>8625</v>
      </c>
      <c r="HML71" s="169">
        <v>200</v>
      </c>
      <c r="HMM71" s="171">
        <f>SUM(HMK71:HML71)</f>
        <v>8825</v>
      </c>
      <c r="HMN71" s="163" t="s">
        <v>114</v>
      </c>
      <c r="HMO71" s="164">
        <v>45845</v>
      </c>
      <c r="HMP71" s="159" t="s">
        <v>42</v>
      </c>
      <c r="HMQ71" s="354" t="s">
        <v>150</v>
      </c>
      <c r="HMR71" s="165" t="s">
        <v>124</v>
      </c>
      <c r="HMS71" s="352" t="s">
        <v>164</v>
      </c>
      <c r="HMT71" s="353" t="s">
        <v>121</v>
      </c>
      <c r="HMU71" s="159" t="s">
        <v>18</v>
      </c>
      <c r="HMV71" s="160">
        <v>8100</v>
      </c>
      <c r="HMW71" s="169">
        <v>85</v>
      </c>
      <c r="HMX71" s="170">
        <v>215</v>
      </c>
      <c r="HMY71" s="170">
        <v>75</v>
      </c>
      <c r="HMZ71" s="169">
        <v>150</v>
      </c>
      <c r="HNA71" s="171">
        <f>SUM(HMV71:HMZ71)</f>
        <v>8625</v>
      </c>
      <c r="HNB71" s="169">
        <v>200</v>
      </c>
      <c r="HNC71" s="171">
        <f>SUM(HNA71:HNB71)</f>
        <v>8825</v>
      </c>
      <c r="HND71" s="163" t="s">
        <v>114</v>
      </c>
      <c r="HNE71" s="164">
        <v>45845</v>
      </c>
      <c r="HNF71" s="159" t="s">
        <v>42</v>
      </c>
      <c r="HNG71" s="354" t="s">
        <v>150</v>
      </c>
      <c r="HNH71" s="165" t="s">
        <v>124</v>
      </c>
      <c r="HNI71" s="352" t="s">
        <v>164</v>
      </c>
      <c r="HNJ71" s="353" t="s">
        <v>121</v>
      </c>
      <c r="HNK71" s="159" t="s">
        <v>18</v>
      </c>
      <c r="HNL71" s="160">
        <v>8100</v>
      </c>
      <c r="HNM71" s="169">
        <v>85</v>
      </c>
      <c r="HNN71" s="170">
        <v>215</v>
      </c>
      <c r="HNO71" s="170">
        <v>75</v>
      </c>
      <c r="HNP71" s="169">
        <v>150</v>
      </c>
      <c r="HNQ71" s="171">
        <f>SUM(HNL71:HNP71)</f>
        <v>8625</v>
      </c>
      <c r="HNR71" s="169">
        <v>200</v>
      </c>
      <c r="HNS71" s="171">
        <f>SUM(HNQ71:HNR71)</f>
        <v>8825</v>
      </c>
      <c r="HNT71" s="163" t="s">
        <v>114</v>
      </c>
      <c r="HNU71" s="164">
        <v>45845</v>
      </c>
      <c r="HNV71" s="159" t="s">
        <v>42</v>
      </c>
      <c r="HNW71" s="354" t="s">
        <v>150</v>
      </c>
      <c r="HNX71" s="165" t="s">
        <v>124</v>
      </c>
      <c r="HNY71" s="352" t="s">
        <v>164</v>
      </c>
      <c r="HNZ71" s="353" t="s">
        <v>121</v>
      </c>
      <c r="HOA71" s="159" t="s">
        <v>18</v>
      </c>
      <c r="HOB71" s="160">
        <v>8100</v>
      </c>
      <c r="HOC71" s="169">
        <v>85</v>
      </c>
      <c r="HOD71" s="170">
        <v>215</v>
      </c>
      <c r="HOE71" s="170">
        <v>75</v>
      </c>
      <c r="HOF71" s="169">
        <v>150</v>
      </c>
      <c r="HOG71" s="171">
        <f>SUM(HOB71:HOF71)</f>
        <v>8625</v>
      </c>
      <c r="HOH71" s="169">
        <v>200</v>
      </c>
      <c r="HOI71" s="171">
        <f>SUM(HOG71:HOH71)</f>
        <v>8825</v>
      </c>
      <c r="HOJ71" s="163" t="s">
        <v>114</v>
      </c>
      <c r="HOK71" s="164">
        <v>45845</v>
      </c>
      <c r="HOL71" s="159" t="s">
        <v>42</v>
      </c>
      <c r="HOM71" s="354" t="s">
        <v>150</v>
      </c>
      <c r="HON71" s="165" t="s">
        <v>124</v>
      </c>
      <c r="HOO71" s="352" t="s">
        <v>164</v>
      </c>
      <c r="HOP71" s="353" t="s">
        <v>121</v>
      </c>
      <c r="HOQ71" s="159" t="s">
        <v>18</v>
      </c>
      <c r="HOR71" s="160">
        <v>8100</v>
      </c>
      <c r="HOS71" s="169">
        <v>85</v>
      </c>
      <c r="HOT71" s="170">
        <v>215</v>
      </c>
      <c r="HOU71" s="170">
        <v>75</v>
      </c>
      <c r="HOV71" s="169">
        <v>150</v>
      </c>
      <c r="HOW71" s="171">
        <f>SUM(HOR71:HOV71)</f>
        <v>8625</v>
      </c>
      <c r="HOX71" s="169">
        <v>200</v>
      </c>
      <c r="HOY71" s="171">
        <f>SUM(HOW71:HOX71)</f>
        <v>8825</v>
      </c>
      <c r="HOZ71" s="163" t="s">
        <v>114</v>
      </c>
      <c r="HPA71" s="164">
        <v>45845</v>
      </c>
      <c r="HPB71" s="159" t="s">
        <v>42</v>
      </c>
      <c r="HPC71" s="354" t="s">
        <v>150</v>
      </c>
      <c r="HPD71" s="165" t="s">
        <v>124</v>
      </c>
      <c r="HPE71" s="352" t="s">
        <v>164</v>
      </c>
      <c r="HPF71" s="353" t="s">
        <v>121</v>
      </c>
      <c r="HPG71" s="159" t="s">
        <v>18</v>
      </c>
      <c r="HPH71" s="160">
        <v>8100</v>
      </c>
      <c r="HPI71" s="169">
        <v>85</v>
      </c>
      <c r="HPJ71" s="170">
        <v>215</v>
      </c>
      <c r="HPK71" s="170">
        <v>75</v>
      </c>
      <c r="HPL71" s="169">
        <v>150</v>
      </c>
      <c r="HPM71" s="171">
        <f>SUM(HPH71:HPL71)</f>
        <v>8625</v>
      </c>
      <c r="HPN71" s="169">
        <v>200</v>
      </c>
      <c r="HPO71" s="171">
        <f>SUM(HPM71:HPN71)</f>
        <v>8825</v>
      </c>
      <c r="HPP71" s="163" t="s">
        <v>114</v>
      </c>
      <c r="HPQ71" s="164">
        <v>45845</v>
      </c>
      <c r="HPR71" s="159" t="s">
        <v>42</v>
      </c>
      <c r="HPS71" s="354" t="s">
        <v>150</v>
      </c>
      <c r="HPT71" s="165" t="s">
        <v>124</v>
      </c>
      <c r="HPU71" s="352" t="s">
        <v>164</v>
      </c>
      <c r="HPV71" s="353" t="s">
        <v>121</v>
      </c>
      <c r="HPW71" s="159" t="s">
        <v>18</v>
      </c>
      <c r="HPX71" s="160">
        <v>8100</v>
      </c>
      <c r="HPY71" s="169">
        <v>85</v>
      </c>
      <c r="HPZ71" s="170">
        <v>215</v>
      </c>
      <c r="HQA71" s="170">
        <v>75</v>
      </c>
      <c r="HQB71" s="169">
        <v>150</v>
      </c>
      <c r="HQC71" s="171">
        <f>SUM(HPX71:HQB71)</f>
        <v>8625</v>
      </c>
      <c r="HQD71" s="169">
        <v>200</v>
      </c>
      <c r="HQE71" s="171">
        <f>SUM(HQC71:HQD71)</f>
        <v>8825</v>
      </c>
      <c r="HQF71" s="163" t="s">
        <v>114</v>
      </c>
      <c r="HQG71" s="164">
        <v>45845</v>
      </c>
      <c r="HQH71" s="159" t="s">
        <v>42</v>
      </c>
      <c r="HQI71" s="354" t="s">
        <v>150</v>
      </c>
      <c r="HQJ71" s="165" t="s">
        <v>124</v>
      </c>
      <c r="HQK71" s="352" t="s">
        <v>164</v>
      </c>
      <c r="HQL71" s="353" t="s">
        <v>121</v>
      </c>
      <c r="HQM71" s="159" t="s">
        <v>18</v>
      </c>
      <c r="HQN71" s="160">
        <v>8100</v>
      </c>
      <c r="HQO71" s="169">
        <v>85</v>
      </c>
      <c r="HQP71" s="170">
        <v>215</v>
      </c>
      <c r="HQQ71" s="170">
        <v>75</v>
      </c>
      <c r="HQR71" s="169">
        <v>150</v>
      </c>
      <c r="HQS71" s="171">
        <f>SUM(HQN71:HQR71)</f>
        <v>8625</v>
      </c>
      <c r="HQT71" s="169">
        <v>200</v>
      </c>
      <c r="HQU71" s="171">
        <f>SUM(HQS71:HQT71)</f>
        <v>8825</v>
      </c>
      <c r="HQV71" s="163" t="s">
        <v>114</v>
      </c>
      <c r="HQW71" s="164">
        <v>45845</v>
      </c>
      <c r="HQX71" s="159" t="s">
        <v>42</v>
      </c>
      <c r="HQY71" s="354" t="s">
        <v>150</v>
      </c>
      <c r="HQZ71" s="165" t="s">
        <v>124</v>
      </c>
      <c r="HRA71" s="352" t="s">
        <v>164</v>
      </c>
      <c r="HRB71" s="353" t="s">
        <v>121</v>
      </c>
      <c r="HRC71" s="159" t="s">
        <v>18</v>
      </c>
      <c r="HRD71" s="160">
        <v>8100</v>
      </c>
      <c r="HRE71" s="169">
        <v>85</v>
      </c>
      <c r="HRF71" s="170">
        <v>215</v>
      </c>
      <c r="HRG71" s="170">
        <v>75</v>
      </c>
      <c r="HRH71" s="169">
        <v>150</v>
      </c>
      <c r="HRI71" s="171">
        <f>SUM(HRD71:HRH71)</f>
        <v>8625</v>
      </c>
      <c r="HRJ71" s="169">
        <v>200</v>
      </c>
      <c r="HRK71" s="171">
        <f>SUM(HRI71:HRJ71)</f>
        <v>8825</v>
      </c>
      <c r="HRL71" s="163" t="s">
        <v>114</v>
      </c>
      <c r="HRM71" s="164">
        <v>45845</v>
      </c>
      <c r="HRN71" s="159" t="s">
        <v>42</v>
      </c>
      <c r="HRO71" s="354" t="s">
        <v>150</v>
      </c>
      <c r="HRP71" s="165" t="s">
        <v>124</v>
      </c>
      <c r="HRQ71" s="352" t="s">
        <v>164</v>
      </c>
      <c r="HRR71" s="353" t="s">
        <v>121</v>
      </c>
      <c r="HRS71" s="159" t="s">
        <v>18</v>
      </c>
      <c r="HRT71" s="160">
        <v>8100</v>
      </c>
      <c r="HRU71" s="169">
        <v>85</v>
      </c>
      <c r="HRV71" s="170">
        <v>215</v>
      </c>
      <c r="HRW71" s="170">
        <v>75</v>
      </c>
      <c r="HRX71" s="169">
        <v>150</v>
      </c>
      <c r="HRY71" s="171">
        <f>SUM(HRT71:HRX71)</f>
        <v>8625</v>
      </c>
      <c r="HRZ71" s="169">
        <v>200</v>
      </c>
      <c r="HSA71" s="171">
        <f>SUM(HRY71:HRZ71)</f>
        <v>8825</v>
      </c>
      <c r="HSB71" s="163" t="s">
        <v>114</v>
      </c>
      <c r="HSC71" s="164">
        <v>45845</v>
      </c>
      <c r="HSD71" s="159" t="s">
        <v>42</v>
      </c>
      <c r="HSE71" s="354" t="s">
        <v>150</v>
      </c>
      <c r="HSF71" s="165" t="s">
        <v>124</v>
      </c>
      <c r="HSG71" s="352" t="s">
        <v>164</v>
      </c>
      <c r="HSH71" s="353" t="s">
        <v>121</v>
      </c>
      <c r="HSI71" s="159" t="s">
        <v>18</v>
      </c>
      <c r="HSJ71" s="160">
        <v>8100</v>
      </c>
      <c r="HSK71" s="169">
        <v>85</v>
      </c>
      <c r="HSL71" s="170">
        <v>215</v>
      </c>
      <c r="HSM71" s="170">
        <v>75</v>
      </c>
      <c r="HSN71" s="169">
        <v>150</v>
      </c>
      <c r="HSO71" s="171">
        <f>SUM(HSJ71:HSN71)</f>
        <v>8625</v>
      </c>
      <c r="HSP71" s="169">
        <v>200</v>
      </c>
      <c r="HSQ71" s="171">
        <f>SUM(HSO71:HSP71)</f>
        <v>8825</v>
      </c>
      <c r="HSR71" s="163" t="s">
        <v>114</v>
      </c>
      <c r="HSS71" s="164">
        <v>45845</v>
      </c>
      <c r="HST71" s="159" t="s">
        <v>42</v>
      </c>
      <c r="HSU71" s="354" t="s">
        <v>150</v>
      </c>
      <c r="HSV71" s="165" t="s">
        <v>124</v>
      </c>
      <c r="HSW71" s="352" t="s">
        <v>164</v>
      </c>
      <c r="HSX71" s="353" t="s">
        <v>121</v>
      </c>
      <c r="HSY71" s="159" t="s">
        <v>18</v>
      </c>
      <c r="HSZ71" s="160">
        <v>8100</v>
      </c>
      <c r="HTA71" s="169">
        <v>85</v>
      </c>
      <c r="HTB71" s="170">
        <v>215</v>
      </c>
      <c r="HTC71" s="170">
        <v>75</v>
      </c>
      <c r="HTD71" s="169">
        <v>150</v>
      </c>
      <c r="HTE71" s="171">
        <f>SUM(HSZ71:HTD71)</f>
        <v>8625</v>
      </c>
      <c r="HTF71" s="169">
        <v>200</v>
      </c>
      <c r="HTG71" s="171">
        <f>SUM(HTE71:HTF71)</f>
        <v>8825</v>
      </c>
      <c r="HTH71" s="163" t="s">
        <v>114</v>
      </c>
      <c r="HTI71" s="164">
        <v>45845</v>
      </c>
      <c r="HTJ71" s="159" t="s">
        <v>42</v>
      </c>
      <c r="HTK71" s="354" t="s">
        <v>150</v>
      </c>
      <c r="HTL71" s="165" t="s">
        <v>124</v>
      </c>
      <c r="HTM71" s="352" t="s">
        <v>164</v>
      </c>
      <c r="HTN71" s="353" t="s">
        <v>121</v>
      </c>
      <c r="HTO71" s="159" t="s">
        <v>18</v>
      </c>
      <c r="HTP71" s="160">
        <v>8100</v>
      </c>
      <c r="HTQ71" s="169">
        <v>85</v>
      </c>
      <c r="HTR71" s="170">
        <v>215</v>
      </c>
      <c r="HTS71" s="170">
        <v>75</v>
      </c>
      <c r="HTT71" s="169">
        <v>150</v>
      </c>
      <c r="HTU71" s="171">
        <f>SUM(HTP71:HTT71)</f>
        <v>8625</v>
      </c>
      <c r="HTV71" s="169">
        <v>200</v>
      </c>
      <c r="HTW71" s="171">
        <f>SUM(HTU71:HTV71)</f>
        <v>8825</v>
      </c>
      <c r="HTX71" s="163" t="s">
        <v>114</v>
      </c>
      <c r="HTY71" s="164">
        <v>45845</v>
      </c>
      <c r="HTZ71" s="159" t="s">
        <v>42</v>
      </c>
      <c r="HUA71" s="354" t="s">
        <v>150</v>
      </c>
      <c r="HUB71" s="165" t="s">
        <v>124</v>
      </c>
      <c r="HUC71" s="352" t="s">
        <v>164</v>
      </c>
      <c r="HUD71" s="353" t="s">
        <v>121</v>
      </c>
      <c r="HUE71" s="159" t="s">
        <v>18</v>
      </c>
      <c r="HUF71" s="160">
        <v>8100</v>
      </c>
      <c r="HUG71" s="169">
        <v>85</v>
      </c>
      <c r="HUH71" s="170">
        <v>215</v>
      </c>
      <c r="HUI71" s="170">
        <v>75</v>
      </c>
      <c r="HUJ71" s="169">
        <v>150</v>
      </c>
      <c r="HUK71" s="171">
        <f>SUM(HUF71:HUJ71)</f>
        <v>8625</v>
      </c>
      <c r="HUL71" s="169">
        <v>200</v>
      </c>
      <c r="HUM71" s="171">
        <f>SUM(HUK71:HUL71)</f>
        <v>8825</v>
      </c>
      <c r="HUN71" s="163" t="s">
        <v>114</v>
      </c>
      <c r="HUO71" s="164">
        <v>45845</v>
      </c>
      <c r="HUP71" s="159" t="s">
        <v>42</v>
      </c>
      <c r="HUQ71" s="354" t="s">
        <v>150</v>
      </c>
      <c r="HUR71" s="165" t="s">
        <v>124</v>
      </c>
      <c r="HUS71" s="352" t="s">
        <v>164</v>
      </c>
      <c r="HUT71" s="353" t="s">
        <v>121</v>
      </c>
      <c r="HUU71" s="159" t="s">
        <v>18</v>
      </c>
      <c r="HUV71" s="160">
        <v>8100</v>
      </c>
      <c r="HUW71" s="169">
        <v>85</v>
      </c>
      <c r="HUX71" s="170">
        <v>215</v>
      </c>
      <c r="HUY71" s="170">
        <v>75</v>
      </c>
      <c r="HUZ71" s="169">
        <v>150</v>
      </c>
      <c r="HVA71" s="171">
        <f>SUM(HUV71:HUZ71)</f>
        <v>8625</v>
      </c>
      <c r="HVB71" s="169">
        <v>200</v>
      </c>
      <c r="HVC71" s="171">
        <f>SUM(HVA71:HVB71)</f>
        <v>8825</v>
      </c>
      <c r="HVD71" s="163" t="s">
        <v>114</v>
      </c>
      <c r="HVE71" s="164">
        <v>45845</v>
      </c>
      <c r="HVF71" s="159" t="s">
        <v>42</v>
      </c>
      <c r="HVG71" s="354" t="s">
        <v>150</v>
      </c>
      <c r="HVH71" s="165" t="s">
        <v>124</v>
      </c>
      <c r="HVI71" s="352" t="s">
        <v>164</v>
      </c>
      <c r="HVJ71" s="353" t="s">
        <v>121</v>
      </c>
      <c r="HVK71" s="159" t="s">
        <v>18</v>
      </c>
      <c r="HVL71" s="160">
        <v>8100</v>
      </c>
      <c r="HVM71" s="169">
        <v>85</v>
      </c>
      <c r="HVN71" s="170">
        <v>215</v>
      </c>
      <c r="HVO71" s="170">
        <v>75</v>
      </c>
      <c r="HVP71" s="169">
        <v>150</v>
      </c>
      <c r="HVQ71" s="171">
        <f>SUM(HVL71:HVP71)</f>
        <v>8625</v>
      </c>
      <c r="HVR71" s="169">
        <v>200</v>
      </c>
      <c r="HVS71" s="171">
        <f>SUM(HVQ71:HVR71)</f>
        <v>8825</v>
      </c>
      <c r="HVT71" s="163" t="s">
        <v>114</v>
      </c>
      <c r="HVU71" s="164">
        <v>45845</v>
      </c>
      <c r="HVV71" s="159" t="s">
        <v>42</v>
      </c>
      <c r="HVW71" s="354" t="s">
        <v>150</v>
      </c>
      <c r="HVX71" s="165" t="s">
        <v>124</v>
      </c>
      <c r="HVY71" s="352" t="s">
        <v>164</v>
      </c>
      <c r="HVZ71" s="353" t="s">
        <v>121</v>
      </c>
      <c r="HWA71" s="159" t="s">
        <v>18</v>
      </c>
      <c r="HWB71" s="160">
        <v>8100</v>
      </c>
      <c r="HWC71" s="169">
        <v>85</v>
      </c>
      <c r="HWD71" s="170">
        <v>215</v>
      </c>
      <c r="HWE71" s="170">
        <v>75</v>
      </c>
      <c r="HWF71" s="169">
        <v>150</v>
      </c>
      <c r="HWG71" s="171">
        <f>SUM(HWB71:HWF71)</f>
        <v>8625</v>
      </c>
      <c r="HWH71" s="169">
        <v>200</v>
      </c>
      <c r="HWI71" s="171">
        <f>SUM(HWG71:HWH71)</f>
        <v>8825</v>
      </c>
      <c r="HWJ71" s="163" t="s">
        <v>114</v>
      </c>
      <c r="HWK71" s="164">
        <v>45845</v>
      </c>
      <c r="HWL71" s="159" t="s">
        <v>42</v>
      </c>
      <c r="HWM71" s="354" t="s">
        <v>150</v>
      </c>
      <c r="HWN71" s="165" t="s">
        <v>124</v>
      </c>
      <c r="HWO71" s="352" t="s">
        <v>164</v>
      </c>
      <c r="HWP71" s="353" t="s">
        <v>121</v>
      </c>
      <c r="HWQ71" s="159" t="s">
        <v>18</v>
      </c>
      <c r="HWR71" s="160">
        <v>8100</v>
      </c>
      <c r="HWS71" s="169">
        <v>85</v>
      </c>
      <c r="HWT71" s="170">
        <v>215</v>
      </c>
      <c r="HWU71" s="170">
        <v>75</v>
      </c>
      <c r="HWV71" s="169">
        <v>150</v>
      </c>
      <c r="HWW71" s="171">
        <f>SUM(HWR71:HWV71)</f>
        <v>8625</v>
      </c>
      <c r="HWX71" s="169">
        <v>200</v>
      </c>
      <c r="HWY71" s="171">
        <f>SUM(HWW71:HWX71)</f>
        <v>8825</v>
      </c>
      <c r="HWZ71" s="163" t="s">
        <v>114</v>
      </c>
      <c r="HXA71" s="164">
        <v>45845</v>
      </c>
      <c r="HXB71" s="159" t="s">
        <v>42</v>
      </c>
      <c r="HXC71" s="354" t="s">
        <v>150</v>
      </c>
      <c r="HXD71" s="165" t="s">
        <v>124</v>
      </c>
      <c r="HXE71" s="352" t="s">
        <v>164</v>
      </c>
      <c r="HXF71" s="353" t="s">
        <v>121</v>
      </c>
      <c r="HXG71" s="159" t="s">
        <v>18</v>
      </c>
      <c r="HXH71" s="160">
        <v>8100</v>
      </c>
      <c r="HXI71" s="169">
        <v>85</v>
      </c>
      <c r="HXJ71" s="170">
        <v>215</v>
      </c>
      <c r="HXK71" s="170">
        <v>75</v>
      </c>
      <c r="HXL71" s="169">
        <v>150</v>
      </c>
      <c r="HXM71" s="171">
        <f>SUM(HXH71:HXL71)</f>
        <v>8625</v>
      </c>
      <c r="HXN71" s="169">
        <v>200</v>
      </c>
      <c r="HXO71" s="171">
        <f>SUM(HXM71:HXN71)</f>
        <v>8825</v>
      </c>
      <c r="HXP71" s="163" t="s">
        <v>114</v>
      </c>
      <c r="HXQ71" s="164">
        <v>45845</v>
      </c>
      <c r="HXR71" s="159" t="s">
        <v>42</v>
      </c>
      <c r="HXS71" s="354" t="s">
        <v>150</v>
      </c>
      <c r="HXT71" s="165" t="s">
        <v>124</v>
      </c>
      <c r="HXU71" s="352" t="s">
        <v>164</v>
      </c>
      <c r="HXV71" s="353" t="s">
        <v>121</v>
      </c>
      <c r="HXW71" s="159" t="s">
        <v>18</v>
      </c>
      <c r="HXX71" s="160">
        <v>8100</v>
      </c>
      <c r="HXY71" s="169">
        <v>85</v>
      </c>
      <c r="HXZ71" s="170">
        <v>215</v>
      </c>
      <c r="HYA71" s="170">
        <v>75</v>
      </c>
      <c r="HYB71" s="169">
        <v>150</v>
      </c>
      <c r="HYC71" s="171">
        <f>SUM(HXX71:HYB71)</f>
        <v>8625</v>
      </c>
      <c r="HYD71" s="169">
        <v>200</v>
      </c>
      <c r="HYE71" s="171">
        <f>SUM(HYC71:HYD71)</f>
        <v>8825</v>
      </c>
      <c r="HYF71" s="163" t="s">
        <v>114</v>
      </c>
      <c r="HYG71" s="164">
        <v>45845</v>
      </c>
      <c r="HYH71" s="159" t="s">
        <v>42</v>
      </c>
      <c r="HYI71" s="354" t="s">
        <v>150</v>
      </c>
      <c r="HYJ71" s="165" t="s">
        <v>124</v>
      </c>
      <c r="HYK71" s="352" t="s">
        <v>164</v>
      </c>
      <c r="HYL71" s="353" t="s">
        <v>121</v>
      </c>
      <c r="HYM71" s="159" t="s">
        <v>18</v>
      </c>
      <c r="HYN71" s="160">
        <v>8100</v>
      </c>
      <c r="HYO71" s="169">
        <v>85</v>
      </c>
      <c r="HYP71" s="170">
        <v>215</v>
      </c>
      <c r="HYQ71" s="170">
        <v>75</v>
      </c>
      <c r="HYR71" s="169">
        <v>150</v>
      </c>
      <c r="HYS71" s="171">
        <f>SUM(HYN71:HYR71)</f>
        <v>8625</v>
      </c>
      <c r="HYT71" s="169">
        <v>200</v>
      </c>
      <c r="HYU71" s="171">
        <f>SUM(HYS71:HYT71)</f>
        <v>8825</v>
      </c>
      <c r="HYV71" s="163" t="s">
        <v>114</v>
      </c>
      <c r="HYW71" s="164">
        <v>45845</v>
      </c>
      <c r="HYX71" s="159" t="s">
        <v>42</v>
      </c>
      <c r="HYY71" s="354" t="s">
        <v>150</v>
      </c>
      <c r="HYZ71" s="165" t="s">
        <v>124</v>
      </c>
      <c r="HZA71" s="352" t="s">
        <v>164</v>
      </c>
      <c r="HZB71" s="353" t="s">
        <v>121</v>
      </c>
      <c r="HZC71" s="159" t="s">
        <v>18</v>
      </c>
      <c r="HZD71" s="160">
        <v>8100</v>
      </c>
      <c r="HZE71" s="169">
        <v>85</v>
      </c>
      <c r="HZF71" s="170">
        <v>215</v>
      </c>
      <c r="HZG71" s="170">
        <v>75</v>
      </c>
      <c r="HZH71" s="169">
        <v>150</v>
      </c>
      <c r="HZI71" s="171">
        <f>SUM(HZD71:HZH71)</f>
        <v>8625</v>
      </c>
      <c r="HZJ71" s="169">
        <v>200</v>
      </c>
      <c r="HZK71" s="171">
        <f>SUM(HZI71:HZJ71)</f>
        <v>8825</v>
      </c>
      <c r="HZL71" s="163" t="s">
        <v>114</v>
      </c>
      <c r="HZM71" s="164">
        <v>45845</v>
      </c>
      <c r="HZN71" s="159" t="s">
        <v>42</v>
      </c>
      <c r="HZO71" s="354" t="s">
        <v>150</v>
      </c>
      <c r="HZP71" s="165" t="s">
        <v>124</v>
      </c>
      <c r="HZQ71" s="352" t="s">
        <v>164</v>
      </c>
      <c r="HZR71" s="353" t="s">
        <v>121</v>
      </c>
      <c r="HZS71" s="159" t="s">
        <v>18</v>
      </c>
      <c r="HZT71" s="160">
        <v>8100</v>
      </c>
      <c r="HZU71" s="169">
        <v>85</v>
      </c>
      <c r="HZV71" s="170">
        <v>215</v>
      </c>
      <c r="HZW71" s="170">
        <v>75</v>
      </c>
      <c r="HZX71" s="169">
        <v>150</v>
      </c>
      <c r="HZY71" s="171">
        <f>SUM(HZT71:HZX71)</f>
        <v>8625</v>
      </c>
      <c r="HZZ71" s="169">
        <v>200</v>
      </c>
      <c r="IAA71" s="171">
        <f>SUM(HZY71:HZZ71)</f>
        <v>8825</v>
      </c>
      <c r="IAB71" s="163" t="s">
        <v>114</v>
      </c>
      <c r="IAC71" s="164">
        <v>45845</v>
      </c>
      <c r="IAD71" s="159" t="s">
        <v>42</v>
      </c>
      <c r="IAE71" s="354" t="s">
        <v>150</v>
      </c>
      <c r="IAF71" s="165" t="s">
        <v>124</v>
      </c>
      <c r="IAG71" s="352" t="s">
        <v>164</v>
      </c>
      <c r="IAH71" s="353" t="s">
        <v>121</v>
      </c>
      <c r="IAI71" s="159" t="s">
        <v>18</v>
      </c>
      <c r="IAJ71" s="160">
        <v>8100</v>
      </c>
      <c r="IAK71" s="169">
        <v>85</v>
      </c>
      <c r="IAL71" s="170">
        <v>215</v>
      </c>
      <c r="IAM71" s="170">
        <v>75</v>
      </c>
      <c r="IAN71" s="169">
        <v>150</v>
      </c>
      <c r="IAO71" s="171">
        <f>SUM(IAJ71:IAN71)</f>
        <v>8625</v>
      </c>
      <c r="IAP71" s="169">
        <v>200</v>
      </c>
      <c r="IAQ71" s="171">
        <f>SUM(IAO71:IAP71)</f>
        <v>8825</v>
      </c>
      <c r="IAR71" s="163" t="s">
        <v>114</v>
      </c>
      <c r="IAS71" s="164">
        <v>45845</v>
      </c>
      <c r="IAT71" s="159" t="s">
        <v>42</v>
      </c>
      <c r="IAU71" s="354" t="s">
        <v>150</v>
      </c>
      <c r="IAV71" s="165" t="s">
        <v>124</v>
      </c>
      <c r="IAW71" s="352" t="s">
        <v>164</v>
      </c>
      <c r="IAX71" s="353" t="s">
        <v>121</v>
      </c>
      <c r="IAY71" s="159" t="s">
        <v>18</v>
      </c>
      <c r="IAZ71" s="160">
        <v>8100</v>
      </c>
      <c r="IBA71" s="169">
        <v>85</v>
      </c>
      <c r="IBB71" s="170">
        <v>215</v>
      </c>
      <c r="IBC71" s="170">
        <v>75</v>
      </c>
      <c r="IBD71" s="169">
        <v>150</v>
      </c>
      <c r="IBE71" s="171">
        <f>SUM(IAZ71:IBD71)</f>
        <v>8625</v>
      </c>
      <c r="IBF71" s="169">
        <v>200</v>
      </c>
      <c r="IBG71" s="171">
        <f>SUM(IBE71:IBF71)</f>
        <v>8825</v>
      </c>
      <c r="IBH71" s="163" t="s">
        <v>114</v>
      </c>
      <c r="IBI71" s="164">
        <v>45845</v>
      </c>
      <c r="IBJ71" s="159" t="s">
        <v>42</v>
      </c>
      <c r="IBK71" s="354" t="s">
        <v>150</v>
      </c>
      <c r="IBL71" s="165" t="s">
        <v>124</v>
      </c>
      <c r="IBM71" s="352" t="s">
        <v>164</v>
      </c>
      <c r="IBN71" s="353" t="s">
        <v>121</v>
      </c>
      <c r="IBO71" s="159" t="s">
        <v>18</v>
      </c>
      <c r="IBP71" s="160">
        <v>8100</v>
      </c>
      <c r="IBQ71" s="169">
        <v>85</v>
      </c>
      <c r="IBR71" s="170">
        <v>215</v>
      </c>
      <c r="IBS71" s="170">
        <v>75</v>
      </c>
      <c r="IBT71" s="169">
        <v>150</v>
      </c>
      <c r="IBU71" s="171">
        <f>SUM(IBP71:IBT71)</f>
        <v>8625</v>
      </c>
      <c r="IBV71" s="169">
        <v>200</v>
      </c>
      <c r="IBW71" s="171">
        <f>SUM(IBU71:IBV71)</f>
        <v>8825</v>
      </c>
      <c r="IBX71" s="163" t="s">
        <v>114</v>
      </c>
      <c r="IBY71" s="164">
        <v>45845</v>
      </c>
      <c r="IBZ71" s="159" t="s">
        <v>42</v>
      </c>
      <c r="ICA71" s="354" t="s">
        <v>150</v>
      </c>
      <c r="ICB71" s="165" t="s">
        <v>124</v>
      </c>
      <c r="ICC71" s="352" t="s">
        <v>164</v>
      </c>
      <c r="ICD71" s="353" t="s">
        <v>121</v>
      </c>
      <c r="ICE71" s="159" t="s">
        <v>18</v>
      </c>
      <c r="ICF71" s="160">
        <v>8100</v>
      </c>
      <c r="ICG71" s="169">
        <v>85</v>
      </c>
      <c r="ICH71" s="170">
        <v>215</v>
      </c>
      <c r="ICI71" s="170">
        <v>75</v>
      </c>
      <c r="ICJ71" s="169">
        <v>150</v>
      </c>
      <c r="ICK71" s="171">
        <f>SUM(ICF71:ICJ71)</f>
        <v>8625</v>
      </c>
      <c r="ICL71" s="169">
        <v>200</v>
      </c>
      <c r="ICM71" s="171">
        <f>SUM(ICK71:ICL71)</f>
        <v>8825</v>
      </c>
      <c r="ICN71" s="163" t="s">
        <v>114</v>
      </c>
      <c r="ICO71" s="164">
        <v>45845</v>
      </c>
      <c r="ICP71" s="159" t="s">
        <v>42</v>
      </c>
      <c r="ICQ71" s="354" t="s">
        <v>150</v>
      </c>
      <c r="ICR71" s="165" t="s">
        <v>124</v>
      </c>
      <c r="ICS71" s="352" t="s">
        <v>164</v>
      </c>
      <c r="ICT71" s="353" t="s">
        <v>121</v>
      </c>
      <c r="ICU71" s="159" t="s">
        <v>18</v>
      </c>
      <c r="ICV71" s="160">
        <v>8100</v>
      </c>
      <c r="ICW71" s="169">
        <v>85</v>
      </c>
      <c r="ICX71" s="170">
        <v>215</v>
      </c>
      <c r="ICY71" s="170">
        <v>75</v>
      </c>
      <c r="ICZ71" s="169">
        <v>150</v>
      </c>
      <c r="IDA71" s="171">
        <f>SUM(ICV71:ICZ71)</f>
        <v>8625</v>
      </c>
      <c r="IDB71" s="169">
        <v>200</v>
      </c>
      <c r="IDC71" s="171">
        <f>SUM(IDA71:IDB71)</f>
        <v>8825</v>
      </c>
      <c r="IDD71" s="163" t="s">
        <v>114</v>
      </c>
      <c r="IDE71" s="164">
        <v>45845</v>
      </c>
      <c r="IDF71" s="159" t="s">
        <v>42</v>
      </c>
      <c r="IDG71" s="354" t="s">
        <v>150</v>
      </c>
      <c r="IDH71" s="165" t="s">
        <v>124</v>
      </c>
      <c r="IDI71" s="352" t="s">
        <v>164</v>
      </c>
      <c r="IDJ71" s="353" t="s">
        <v>121</v>
      </c>
      <c r="IDK71" s="159" t="s">
        <v>18</v>
      </c>
      <c r="IDL71" s="160">
        <v>8100</v>
      </c>
      <c r="IDM71" s="169">
        <v>85</v>
      </c>
      <c r="IDN71" s="170">
        <v>215</v>
      </c>
      <c r="IDO71" s="170">
        <v>75</v>
      </c>
      <c r="IDP71" s="169">
        <v>150</v>
      </c>
      <c r="IDQ71" s="171">
        <f>SUM(IDL71:IDP71)</f>
        <v>8625</v>
      </c>
      <c r="IDR71" s="169">
        <v>200</v>
      </c>
      <c r="IDS71" s="171">
        <f>SUM(IDQ71:IDR71)</f>
        <v>8825</v>
      </c>
      <c r="IDT71" s="163" t="s">
        <v>114</v>
      </c>
      <c r="IDU71" s="164">
        <v>45845</v>
      </c>
      <c r="IDV71" s="159" t="s">
        <v>42</v>
      </c>
      <c r="IDW71" s="354" t="s">
        <v>150</v>
      </c>
      <c r="IDX71" s="165" t="s">
        <v>124</v>
      </c>
      <c r="IDY71" s="352" t="s">
        <v>164</v>
      </c>
      <c r="IDZ71" s="353" t="s">
        <v>121</v>
      </c>
      <c r="IEA71" s="159" t="s">
        <v>18</v>
      </c>
      <c r="IEB71" s="160">
        <v>8100</v>
      </c>
      <c r="IEC71" s="169">
        <v>85</v>
      </c>
      <c r="IED71" s="170">
        <v>215</v>
      </c>
      <c r="IEE71" s="170">
        <v>75</v>
      </c>
      <c r="IEF71" s="169">
        <v>150</v>
      </c>
      <c r="IEG71" s="171">
        <f>SUM(IEB71:IEF71)</f>
        <v>8625</v>
      </c>
      <c r="IEH71" s="169">
        <v>200</v>
      </c>
      <c r="IEI71" s="171">
        <f>SUM(IEG71:IEH71)</f>
        <v>8825</v>
      </c>
      <c r="IEJ71" s="163" t="s">
        <v>114</v>
      </c>
      <c r="IEK71" s="164">
        <v>45845</v>
      </c>
      <c r="IEL71" s="159" t="s">
        <v>42</v>
      </c>
      <c r="IEM71" s="354" t="s">
        <v>150</v>
      </c>
      <c r="IEN71" s="165" t="s">
        <v>124</v>
      </c>
      <c r="IEO71" s="352" t="s">
        <v>164</v>
      </c>
      <c r="IEP71" s="353" t="s">
        <v>121</v>
      </c>
      <c r="IEQ71" s="159" t="s">
        <v>18</v>
      </c>
      <c r="IER71" s="160">
        <v>8100</v>
      </c>
      <c r="IES71" s="169">
        <v>85</v>
      </c>
      <c r="IET71" s="170">
        <v>215</v>
      </c>
      <c r="IEU71" s="170">
        <v>75</v>
      </c>
      <c r="IEV71" s="169">
        <v>150</v>
      </c>
      <c r="IEW71" s="171">
        <f>SUM(IER71:IEV71)</f>
        <v>8625</v>
      </c>
      <c r="IEX71" s="169">
        <v>200</v>
      </c>
      <c r="IEY71" s="171">
        <f>SUM(IEW71:IEX71)</f>
        <v>8825</v>
      </c>
      <c r="IEZ71" s="163" t="s">
        <v>114</v>
      </c>
      <c r="IFA71" s="164">
        <v>45845</v>
      </c>
      <c r="IFB71" s="159" t="s">
        <v>42</v>
      </c>
      <c r="IFC71" s="354" t="s">
        <v>150</v>
      </c>
      <c r="IFD71" s="165" t="s">
        <v>124</v>
      </c>
      <c r="IFE71" s="352" t="s">
        <v>164</v>
      </c>
      <c r="IFF71" s="353" t="s">
        <v>121</v>
      </c>
      <c r="IFG71" s="159" t="s">
        <v>18</v>
      </c>
      <c r="IFH71" s="160">
        <v>8100</v>
      </c>
      <c r="IFI71" s="169">
        <v>85</v>
      </c>
      <c r="IFJ71" s="170">
        <v>215</v>
      </c>
      <c r="IFK71" s="170">
        <v>75</v>
      </c>
      <c r="IFL71" s="169">
        <v>150</v>
      </c>
      <c r="IFM71" s="171">
        <f>SUM(IFH71:IFL71)</f>
        <v>8625</v>
      </c>
      <c r="IFN71" s="169">
        <v>200</v>
      </c>
      <c r="IFO71" s="171">
        <f>SUM(IFM71:IFN71)</f>
        <v>8825</v>
      </c>
      <c r="IFP71" s="163" t="s">
        <v>114</v>
      </c>
      <c r="IFQ71" s="164">
        <v>45845</v>
      </c>
      <c r="IFR71" s="159" t="s">
        <v>42</v>
      </c>
      <c r="IFS71" s="354" t="s">
        <v>150</v>
      </c>
      <c r="IFT71" s="165" t="s">
        <v>124</v>
      </c>
      <c r="IFU71" s="352" t="s">
        <v>164</v>
      </c>
      <c r="IFV71" s="353" t="s">
        <v>121</v>
      </c>
      <c r="IFW71" s="159" t="s">
        <v>18</v>
      </c>
      <c r="IFX71" s="160">
        <v>8100</v>
      </c>
      <c r="IFY71" s="169">
        <v>85</v>
      </c>
      <c r="IFZ71" s="170">
        <v>215</v>
      </c>
      <c r="IGA71" s="170">
        <v>75</v>
      </c>
      <c r="IGB71" s="169">
        <v>150</v>
      </c>
      <c r="IGC71" s="171">
        <f>SUM(IFX71:IGB71)</f>
        <v>8625</v>
      </c>
      <c r="IGD71" s="169">
        <v>200</v>
      </c>
      <c r="IGE71" s="171">
        <f>SUM(IGC71:IGD71)</f>
        <v>8825</v>
      </c>
      <c r="IGF71" s="163" t="s">
        <v>114</v>
      </c>
      <c r="IGG71" s="164">
        <v>45845</v>
      </c>
      <c r="IGH71" s="159" t="s">
        <v>42</v>
      </c>
      <c r="IGI71" s="354" t="s">
        <v>150</v>
      </c>
      <c r="IGJ71" s="165" t="s">
        <v>124</v>
      </c>
      <c r="IGK71" s="352" t="s">
        <v>164</v>
      </c>
      <c r="IGL71" s="353" t="s">
        <v>121</v>
      </c>
      <c r="IGM71" s="159" t="s">
        <v>18</v>
      </c>
      <c r="IGN71" s="160">
        <v>8100</v>
      </c>
      <c r="IGO71" s="169">
        <v>85</v>
      </c>
      <c r="IGP71" s="170">
        <v>215</v>
      </c>
      <c r="IGQ71" s="170">
        <v>75</v>
      </c>
      <c r="IGR71" s="169">
        <v>150</v>
      </c>
      <c r="IGS71" s="171">
        <f>SUM(IGN71:IGR71)</f>
        <v>8625</v>
      </c>
      <c r="IGT71" s="169">
        <v>200</v>
      </c>
      <c r="IGU71" s="171">
        <f>SUM(IGS71:IGT71)</f>
        <v>8825</v>
      </c>
      <c r="IGV71" s="163" t="s">
        <v>114</v>
      </c>
      <c r="IGW71" s="164">
        <v>45845</v>
      </c>
      <c r="IGX71" s="159" t="s">
        <v>42</v>
      </c>
      <c r="IGY71" s="354" t="s">
        <v>150</v>
      </c>
      <c r="IGZ71" s="165" t="s">
        <v>124</v>
      </c>
      <c r="IHA71" s="352" t="s">
        <v>164</v>
      </c>
      <c r="IHB71" s="353" t="s">
        <v>121</v>
      </c>
      <c r="IHC71" s="159" t="s">
        <v>18</v>
      </c>
      <c r="IHD71" s="160">
        <v>8100</v>
      </c>
      <c r="IHE71" s="169">
        <v>85</v>
      </c>
      <c r="IHF71" s="170">
        <v>215</v>
      </c>
      <c r="IHG71" s="170">
        <v>75</v>
      </c>
      <c r="IHH71" s="169">
        <v>150</v>
      </c>
      <c r="IHI71" s="171">
        <f>SUM(IHD71:IHH71)</f>
        <v>8625</v>
      </c>
      <c r="IHJ71" s="169">
        <v>200</v>
      </c>
      <c r="IHK71" s="171">
        <f>SUM(IHI71:IHJ71)</f>
        <v>8825</v>
      </c>
      <c r="IHL71" s="163" t="s">
        <v>114</v>
      </c>
      <c r="IHM71" s="164">
        <v>45845</v>
      </c>
      <c r="IHN71" s="159" t="s">
        <v>42</v>
      </c>
      <c r="IHO71" s="354" t="s">
        <v>150</v>
      </c>
      <c r="IHP71" s="165" t="s">
        <v>124</v>
      </c>
      <c r="IHQ71" s="352" t="s">
        <v>164</v>
      </c>
      <c r="IHR71" s="353" t="s">
        <v>121</v>
      </c>
      <c r="IHS71" s="159" t="s">
        <v>18</v>
      </c>
      <c r="IHT71" s="160">
        <v>8100</v>
      </c>
      <c r="IHU71" s="169">
        <v>85</v>
      </c>
      <c r="IHV71" s="170">
        <v>215</v>
      </c>
      <c r="IHW71" s="170">
        <v>75</v>
      </c>
      <c r="IHX71" s="169">
        <v>150</v>
      </c>
      <c r="IHY71" s="171">
        <f>SUM(IHT71:IHX71)</f>
        <v>8625</v>
      </c>
      <c r="IHZ71" s="169">
        <v>200</v>
      </c>
      <c r="IIA71" s="171">
        <f>SUM(IHY71:IHZ71)</f>
        <v>8825</v>
      </c>
      <c r="IIB71" s="163" t="s">
        <v>114</v>
      </c>
      <c r="IIC71" s="164">
        <v>45845</v>
      </c>
      <c r="IID71" s="159" t="s">
        <v>42</v>
      </c>
      <c r="IIE71" s="354" t="s">
        <v>150</v>
      </c>
      <c r="IIF71" s="165" t="s">
        <v>124</v>
      </c>
      <c r="IIG71" s="352" t="s">
        <v>164</v>
      </c>
      <c r="IIH71" s="353" t="s">
        <v>121</v>
      </c>
      <c r="III71" s="159" t="s">
        <v>18</v>
      </c>
      <c r="IIJ71" s="160">
        <v>8100</v>
      </c>
      <c r="IIK71" s="169">
        <v>85</v>
      </c>
      <c r="IIL71" s="170">
        <v>215</v>
      </c>
      <c r="IIM71" s="170">
        <v>75</v>
      </c>
      <c r="IIN71" s="169">
        <v>150</v>
      </c>
      <c r="IIO71" s="171">
        <f>SUM(IIJ71:IIN71)</f>
        <v>8625</v>
      </c>
      <c r="IIP71" s="169">
        <v>200</v>
      </c>
      <c r="IIQ71" s="171">
        <f>SUM(IIO71:IIP71)</f>
        <v>8825</v>
      </c>
      <c r="IIR71" s="163" t="s">
        <v>114</v>
      </c>
      <c r="IIS71" s="164">
        <v>45845</v>
      </c>
      <c r="IIT71" s="159" t="s">
        <v>42</v>
      </c>
      <c r="IIU71" s="354" t="s">
        <v>150</v>
      </c>
      <c r="IIV71" s="165" t="s">
        <v>124</v>
      </c>
      <c r="IIW71" s="352" t="s">
        <v>164</v>
      </c>
      <c r="IIX71" s="353" t="s">
        <v>121</v>
      </c>
      <c r="IIY71" s="159" t="s">
        <v>18</v>
      </c>
      <c r="IIZ71" s="160">
        <v>8100</v>
      </c>
      <c r="IJA71" s="169">
        <v>85</v>
      </c>
      <c r="IJB71" s="170">
        <v>215</v>
      </c>
      <c r="IJC71" s="170">
        <v>75</v>
      </c>
      <c r="IJD71" s="169">
        <v>150</v>
      </c>
      <c r="IJE71" s="171">
        <f>SUM(IIZ71:IJD71)</f>
        <v>8625</v>
      </c>
      <c r="IJF71" s="169">
        <v>200</v>
      </c>
      <c r="IJG71" s="171">
        <f>SUM(IJE71:IJF71)</f>
        <v>8825</v>
      </c>
      <c r="IJH71" s="163" t="s">
        <v>114</v>
      </c>
      <c r="IJI71" s="164">
        <v>45845</v>
      </c>
      <c r="IJJ71" s="159" t="s">
        <v>42</v>
      </c>
      <c r="IJK71" s="354" t="s">
        <v>150</v>
      </c>
      <c r="IJL71" s="165" t="s">
        <v>124</v>
      </c>
      <c r="IJM71" s="352" t="s">
        <v>164</v>
      </c>
      <c r="IJN71" s="353" t="s">
        <v>121</v>
      </c>
      <c r="IJO71" s="159" t="s">
        <v>18</v>
      </c>
      <c r="IJP71" s="160">
        <v>8100</v>
      </c>
      <c r="IJQ71" s="169">
        <v>85</v>
      </c>
      <c r="IJR71" s="170">
        <v>215</v>
      </c>
      <c r="IJS71" s="170">
        <v>75</v>
      </c>
      <c r="IJT71" s="169">
        <v>150</v>
      </c>
      <c r="IJU71" s="171">
        <f>SUM(IJP71:IJT71)</f>
        <v>8625</v>
      </c>
      <c r="IJV71" s="169">
        <v>200</v>
      </c>
      <c r="IJW71" s="171">
        <f>SUM(IJU71:IJV71)</f>
        <v>8825</v>
      </c>
      <c r="IJX71" s="163" t="s">
        <v>114</v>
      </c>
      <c r="IJY71" s="164">
        <v>45845</v>
      </c>
      <c r="IJZ71" s="159" t="s">
        <v>42</v>
      </c>
      <c r="IKA71" s="354" t="s">
        <v>150</v>
      </c>
      <c r="IKB71" s="165" t="s">
        <v>124</v>
      </c>
      <c r="IKC71" s="352" t="s">
        <v>164</v>
      </c>
      <c r="IKD71" s="353" t="s">
        <v>121</v>
      </c>
      <c r="IKE71" s="159" t="s">
        <v>18</v>
      </c>
      <c r="IKF71" s="160">
        <v>8100</v>
      </c>
      <c r="IKG71" s="169">
        <v>85</v>
      </c>
      <c r="IKH71" s="170">
        <v>215</v>
      </c>
      <c r="IKI71" s="170">
        <v>75</v>
      </c>
      <c r="IKJ71" s="169">
        <v>150</v>
      </c>
      <c r="IKK71" s="171">
        <f>SUM(IKF71:IKJ71)</f>
        <v>8625</v>
      </c>
      <c r="IKL71" s="169">
        <v>200</v>
      </c>
      <c r="IKM71" s="171">
        <f>SUM(IKK71:IKL71)</f>
        <v>8825</v>
      </c>
      <c r="IKN71" s="163" t="s">
        <v>114</v>
      </c>
      <c r="IKO71" s="164">
        <v>45845</v>
      </c>
      <c r="IKP71" s="159" t="s">
        <v>42</v>
      </c>
      <c r="IKQ71" s="354" t="s">
        <v>150</v>
      </c>
      <c r="IKR71" s="165" t="s">
        <v>124</v>
      </c>
      <c r="IKS71" s="352" t="s">
        <v>164</v>
      </c>
      <c r="IKT71" s="353" t="s">
        <v>121</v>
      </c>
      <c r="IKU71" s="159" t="s">
        <v>18</v>
      </c>
      <c r="IKV71" s="160">
        <v>8100</v>
      </c>
      <c r="IKW71" s="169">
        <v>85</v>
      </c>
      <c r="IKX71" s="170">
        <v>215</v>
      </c>
      <c r="IKY71" s="170">
        <v>75</v>
      </c>
      <c r="IKZ71" s="169">
        <v>150</v>
      </c>
      <c r="ILA71" s="171">
        <f>SUM(IKV71:IKZ71)</f>
        <v>8625</v>
      </c>
      <c r="ILB71" s="169">
        <v>200</v>
      </c>
      <c r="ILC71" s="171">
        <f>SUM(ILA71:ILB71)</f>
        <v>8825</v>
      </c>
      <c r="ILD71" s="163" t="s">
        <v>114</v>
      </c>
      <c r="ILE71" s="164">
        <v>45845</v>
      </c>
      <c r="ILF71" s="159" t="s">
        <v>42</v>
      </c>
      <c r="ILG71" s="354" t="s">
        <v>150</v>
      </c>
      <c r="ILH71" s="165" t="s">
        <v>124</v>
      </c>
      <c r="ILI71" s="352" t="s">
        <v>164</v>
      </c>
      <c r="ILJ71" s="353" t="s">
        <v>121</v>
      </c>
      <c r="ILK71" s="159" t="s">
        <v>18</v>
      </c>
      <c r="ILL71" s="160">
        <v>8100</v>
      </c>
      <c r="ILM71" s="169">
        <v>85</v>
      </c>
      <c r="ILN71" s="170">
        <v>215</v>
      </c>
      <c r="ILO71" s="170">
        <v>75</v>
      </c>
      <c r="ILP71" s="169">
        <v>150</v>
      </c>
      <c r="ILQ71" s="171">
        <f>SUM(ILL71:ILP71)</f>
        <v>8625</v>
      </c>
      <c r="ILR71" s="169">
        <v>200</v>
      </c>
      <c r="ILS71" s="171">
        <f>SUM(ILQ71:ILR71)</f>
        <v>8825</v>
      </c>
      <c r="ILT71" s="163" t="s">
        <v>114</v>
      </c>
      <c r="ILU71" s="164">
        <v>45845</v>
      </c>
      <c r="ILV71" s="159" t="s">
        <v>42</v>
      </c>
      <c r="ILW71" s="354" t="s">
        <v>150</v>
      </c>
      <c r="ILX71" s="165" t="s">
        <v>124</v>
      </c>
      <c r="ILY71" s="352" t="s">
        <v>164</v>
      </c>
      <c r="ILZ71" s="353" t="s">
        <v>121</v>
      </c>
      <c r="IMA71" s="159" t="s">
        <v>18</v>
      </c>
      <c r="IMB71" s="160">
        <v>8100</v>
      </c>
      <c r="IMC71" s="169">
        <v>85</v>
      </c>
      <c r="IMD71" s="170">
        <v>215</v>
      </c>
      <c r="IME71" s="170">
        <v>75</v>
      </c>
      <c r="IMF71" s="169">
        <v>150</v>
      </c>
      <c r="IMG71" s="171">
        <f>SUM(IMB71:IMF71)</f>
        <v>8625</v>
      </c>
      <c r="IMH71" s="169">
        <v>200</v>
      </c>
      <c r="IMI71" s="171">
        <f>SUM(IMG71:IMH71)</f>
        <v>8825</v>
      </c>
      <c r="IMJ71" s="163" t="s">
        <v>114</v>
      </c>
      <c r="IMK71" s="164">
        <v>45845</v>
      </c>
      <c r="IML71" s="159" t="s">
        <v>42</v>
      </c>
      <c r="IMM71" s="354" t="s">
        <v>150</v>
      </c>
      <c r="IMN71" s="165" t="s">
        <v>124</v>
      </c>
      <c r="IMO71" s="352" t="s">
        <v>164</v>
      </c>
      <c r="IMP71" s="353" t="s">
        <v>121</v>
      </c>
      <c r="IMQ71" s="159" t="s">
        <v>18</v>
      </c>
      <c r="IMR71" s="160">
        <v>8100</v>
      </c>
      <c r="IMS71" s="169">
        <v>85</v>
      </c>
      <c r="IMT71" s="170">
        <v>215</v>
      </c>
      <c r="IMU71" s="170">
        <v>75</v>
      </c>
      <c r="IMV71" s="169">
        <v>150</v>
      </c>
      <c r="IMW71" s="171">
        <f>SUM(IMR71:IMV71)</f>
        <v>8625</v>
      </c>
      <c r="IMX71" s="169">
        <v>200</v>
      </c>
      <c r="IMY71" s="171">
        <f>SUM(IMW71:IMX71)</f>
        <v>8825</v>
      </c>
      <c r="IMZ71" s="163" t="s">
        <v>114</v>
      </c>
      <c r="INA71" s="164">
        <v>45845</v>
      </c>
      <c r="INB71" s="159" t="s">
        <v>42</v>
      </c>
      <c r="INC71" s="354" t="s">
        <v>150</v>
      </c>
      <c r="IND71" s="165" t="s">
        <v>124</v>
      </c>
      <c r="INE71" s="352" t="s">
        <v>164</v>
      </c>
      <c r="INF71" s="353" t="s">
        <v>121</v>
      </c>
      <c r="ING71" s="159" t="s">
        <v>18</v>
      </c>
      <c r="INH71" s="160">
        <v>8100</v>
      </c>
      <c r="INI71" s="169">
        <v>85</v>
      </c>
      <c r="INJ71" s="170">
        <v>215</v>
      </c>
      <c r="INK71" s="170">
        <v>75</v>
      </c>
      <c r="INL71" s="169">
        <v>150</v>
      </c>
      <c r="INM71" s="171">
        <f>SUM(INH71:INL71)</f>
        <v>8625</v>
      </c>
      <c r="INN71" s="169">
        <v>200</v>
      </c>
      <c r="INO71" s="171">
        <f>SUM(INM71:INN71)</f>
        <v>8825</v>
      </c>
      <c r="INP71" s="163" t="s">
        <v>114</v>
      </c>
      <c r="INQ71" s="164">
        <v>45845</v>
      </c>
      <c r="INR71" s="159" t="s">
        <v>42</v>
      </c>
      <c r="INS71" s="354" t="s">
        <v>150</v>
      </c>
      <c r="INT71" s="165" t="s">
        <v>124</v>
      </c>
      <c r="INU71" s="352" t="s">
        <v>164</v>
      </c>
      <c r="INV71" s="353" t="s">
        <v>121</v>
      </c>
      <c r="INW71" s="159" t="s">
        <v>18</v>
      </c>
      <c r="INX71" s="160">
        <v>8100</v>
      </c>
      <c r="INY71" s="169">
        <v>85</v>
      </c>
      <c r="INZ71" s="170">
        <v>215</v>
      </c>
      <c r="IOA71" s="170">
        <v>75</v>
      </c>
      <c r="IOB71" s="169">
        <v>150</v>
      </c>
      <c r="IOC71" s="171">
        <f>SUM(INX71:IOB71)</f>
        <v>8625</v>
      </c>
      <c r="IOD71" s="169">
        <v>200</v>
      </c>
      <c r="IOE71" s="171">
        <f>SUM(IOC71:IOD71)</f>
        <v>8825</v>
      </c>
      <c r="IOF71" s="163" t="s">
        <v>114</v>
      </c>
      <c r="IOG71" s="164">
        <v>45845</v>
      </c>
      <c r="IOH71" s="159" t="s">
        <v>42</v>
      </c>
      <c r="IOI71" s="354" t="s">
        <v>150</v>
      </c>
      <c r="IOJ71" s="165" t="s">
        <v>124</v>
      </c>
      <c r="IOK71" s="352" t="s">
        <v>164</v>
      </c>
      <c r="IOL71" s="353" t="s">
        <v>121</v>
      </c>
      <c r="IOM71" s="159" t="s">
        <v>18</v>
      </c>
      <c r="ION71" s="160">
        <v>8100</v>
      </c>
      <c r="IOO71" s="169">
        <v>85</v>
      </c>
      <c r="IOP71" s="170">
        <v>215</v>
      </c>
      <c r="IOQ71" s="170">
        <v>75</v>
      </c>
      <c r="IOR71" s="169">
        <v>150</v>
      </c>
      <c r="IOS71" s="171">
        <f>SUM(ION71:IOR71)</f>
        <v>8625</v>
      </c>
      <c r="IOT71" s="169">
        <v>200</v>
      </c>
      <c r="IOU71" s="171">
        <f>SUM(IOS71:IOT71)</f>
        <v>8825</v>
      </c>
      <c r="IOV71" s="163" t="s">
        <v>114</v>
      </c>
      <c r="IOW71" s="164">
        <v>45845</v>
      </c>
      <c r="IOX71" s="159" t="s">
        <v>42</v>
      </c>
      <c r="IOY71" s="354" t="s">
        <v>150</v>
      </c>
      <c r="IOZ71" s="165" t="s">
        <v>124</v>
      </c>
      <c r="IPA71" s="352" t="s">
        <v>164</v>
      </c>
      <c r="IPB71" s="353" t="s">
        <v>121</v>
      </c>
      <c r="IPC71" s="159" t="s">
        <v>18</v>
      </c>
      <c r="IPD71" s="160">
        <v>8100</v>
      </c>
      <c r="IPE71" s="169">
        <v>85</v>
      </c>
      <c r="IPF71" s="170">
        <v>215</v>
      </c>
      <c r="IPG71" s="170">
        <v>75</v>
      </c>
      <c r="IPH71" s="169">
        <v>150</v>
      </c>
      <c r="IPI71" s="171">
        <f>SUM(IPD71:IPH71)</f>
        <v>8625</v>
      </c>
      <c r="IPJ71" s="169">
        <v>200</v>
      </c>
      <c r="IPK71" s="171">
        <f>SUM(IPI71:IPJ71)</f>
        <v>8825</v>
      </c>
      <c r="IPL71" s="163" t="s">
        <v>114</v>
      </c>
      <c r="IPM71" s="164">
        <v>45845</v>
      </c>
      <c r="IPN71" s="159" t="s">
        <v>42</v>
      </c>
      <c r="IPO71" s="354" t="s">
        <v>150</v>
      </c>
      <c r="IPP71" s="165" t="s">
        <v>124</v>
      </c>
      <c r="IPQ71" s="352" t="s">
        <v>164</v>
      </c>
      <c r="IPR71" s="353" t="s">
        <v>121</v>
      </c>
      <c r="IPS71" s="159" t="s">
        <v>18</v>
      </c>
      <c r="IPT71" s="160">
        <v>8100</v>
      </c>
      <c r="IPU71" s="169">
        <v>85</v>
      </c>
      <c r="IPV71" s="170">
        <v>215</v>
      </c>
      <c r="IPW71" s="170">
        <v>75</v>
      </c>
      <c r="IPX71" s="169">
        <v>150</v>
      </c>
      <c r="IPY71" s="171">
        <f>SUM(IPT71:IPX71)</f>
        <v>8625</v>
      </c>
      <c r="IPZ71" s="169">
        <v>200</v>
      </c>
      <c r="IQA71" s="171">
        <f>SUM(IPY71:IPZ71)</f>
        <v>8825</v>
      </c>
      <c r="IQB71" s="163" t="s">
        <v>114</v>
      </c>
      <c r="IQC71" s="164">
        <v>45845</v>
      </c>
      <c r="IQD71" s="159" t="s">
        <v>42</v>
      </c>
      <c r="IQE71" s="354" t="s">
        <v>150</v>
      </c>
      <c r="IQF71" s="165" t="s">
        <v>124</v>
      </c>
      <c r="IQG71" s="352" t="s">
        <v>164</v>
      </c>
      <c r="IQH71" s="353" t="s">
        <v>121</v>
      </c>
      <c r="IQI71" s="159" t="s">
        <v>18</v>
      </c>
      <c r="IQJ71" s="160">
        <v>8100</v>
      </c>
      <c r="IQK71" s="169">
        <v>85</v>
      </c>
      <c r="IQL71" s="170">
        <v>215</v>
      </c>
      <c r="IQM71" s="170">
        <v>75</v>
      </c>
      <c r="IQN71" s="169">
        <v>150</v>
      </c>
      <c r="IQO71" s="171">
        <f>SUM(IQJ71:IQN71)</f>
        <v>8625</v>
      </c>
      <c r="IQP71" s="169">
        <v>200</v>
      </c>
      <c r="IQQ71" s="171">
        <f>SUM(IQO71:IQP71)</f>
        <v>8825</v>
      </c>
      <c r="IQR71" s="163" t="s">
        <v>114</v>
      </c>
      <c r="IQS71" s="164">
        <v>45845</v>
      </c>
      <c r="IQT71" s="159" t="s">
        <v>42</v>
      </c>
      <c r="IQU71" s="354" t="s">
        <v>150</v>
      </c>
      <c r="IQV71" s="165" t="s">
        <v>124</v>
      </c>
      <c r="IQW71" s="352" t="s">
        <v>164</v>
      </c>
      <c r="IQX71" s="353" t="s">
        <v>121</v>
      </c>
      <c r="IQY71" s="159" t="s">
        <v>18</v>
      </c>
      <c r="IQZ71" s="160">
        <v>8100</v>
      </c>
      <c r="IRA71" s="169">
        <v>85</v>
      </c>
      <c r="IRB71" s="170">
        <v>215</v>
      </c>
      <c r="IRC71" s="170">
        <v>75</v>
      </c>
      <c r="IRD71" s="169">
        <v>150</v>
      </c>
      <c r="IRE71" s="171">
        <f>SUM(IQZ71:IRD71)</f>
        <v>8625</v>
      </c>
      <c r="IRF71" s="169">
        <v>200</v>
      </c>
      <c r="IRG71" s="171">
        <f>SUM(IRE71:IRF71)</f>
        <v>8825</v>
      </c>
      <c r="IRH71" s="163" t="s">
        <v>114</v>
      </c>
      <c r="IRI71" s="164">
        <v>45845</v>
      </c>
      <c r="IRJ71" s="159" t="s">
        <v>42</v>
      </c>
      <c r="IRK71" s="354" t="s">
        <v>150</v>
      </c>
      <c r="IRL71" s="165" t="s">
        <v>124</v>
      </c>
      <c r="IRM71" s="352" t="s">
        <v>164</v>
      </c>
      <c r="IRN71" s="353" t="s">
        <v>121</v>
      </c>
      <c r="IRO71" s="159" t="s">
        <v>18</v>
      </c>
      <c r="IRP71" s="160">
        <v>8100</v>
      </c>
      <c r="IRQ71" s="169">
        <v>85</v>
      </c>
      <c r="IRR71" s="170">
        <v>215</v>
      </c>
      <c r="IRS71" s="170">
        <v>75</v>
      </c>
      <c r="IRT71" s="169">
        <v>150</v>
      </c>
      <c r="IRU71" s="171">
        <f>SUM(IRP71:IRT71)</f>
        <v>8625</v>
      </c>
      <c r="IRV71" s="169">
        <v>200</v>
      </c>
      <c r="IRW71" s="171">
        <f>SUM(IRU71:IRV71)</f>
        <v>8825</v>
      </c>
      <c r="IRX71" s="163" t="s">
        <v>114</v>
      </c>
      <c r="IRY71" s="164">
        <v>45845</v>
      </c>
      <c r="IRZ71" s="159" t="s">
        <v>42</v>
      </c>
      <c r="ISA71" s="354" t="s">
        <v>150</v>
      </c>
      <c r="ISB71" s="165" t="s">
        <v>124</v>
      </c>
      <c r="ISC71" s="352" t="s">
        <v>164</v>
      </c>
      <c r="ISD71" s="353" t="s">
        <v>121</v>
      </c>
      <c r="ISE71" s="159" t="s">
        <v>18</v>
      </c>
      <c r="ISF71" s="160">
        <v>8100</v>
      </c>
      <c r="ISG71" s="169">
        <v>85</v>
      </c>
      <c r="ISH71" s="170">
        <v>215</v>
      </c>
      <c r="ISI71" s="170">
        <v>75</v>
      </c>
      <c r="ISJ71" s="169">
        <v>150</v>
      </c>
      <c r="ISK71" s="171">
        <f>SUM(ISF71:ISJ71)</f>
        <v>8625</v>
      </c>
      <c r="ISL71" s="169">
        <v>200</v>
      </c>
      <c r="ISM71" s="171">
        <f>SUM(ISK71:ISL71)</f>
        <v>8825</v>
      </c>
      <c r="ISN71" s="163" t="s">
        <v>114</v>
      </c>
      <c r="ISO71" s="164">
        <v>45845</v>
      </c>
      <c r="ISP71" s="159" t="s">
        <v>42</v>
      </c>
      <c r="ISQ71" s="354" t="s">
        <v>150</v>
      </c>
      <c r="ISR71" s="165" t="s">
        <v>124</v>
      </c>
      <c r="ISS71" s="352" t="s">
        <v>164</v>
      </c>
      <c r="IST71" s="353" t="s">
        <v>121</v>
      </c>
      <c r="ISU71" s="159" t="s">
        <v>18</v>
      </c>
      <c r="ISV71" s="160">
        <v>8100</v>
      </c>
      <c r="ISW71" s="169">
        <v>85</v>
      </c>
      <c r="ISX71" s="170">
        <v>215</v>
      </c>
      <c r="ISY71" s="170">
        <v>75</v>
      </c>
      <c r="ISZ71" s="169">
        <v>150</v>
      </c>
      <c r="ITA71" s="171">
        <f>SUM(ISV71:ISZ71)</f>
        <v>8625</v>
      </c>
      <c r="ITB71" s="169">
        <v>200</v>
      </c>
      <c r="ITC71" s="171">
        <f>SUM(ITA71:ITB71)</f>
        <v>8825</v>
      </c>
      <c r="ITD71" s="163" t="s">
        <v>114</v>
      </c>
      <c r="ITE71" s="164">
        <v>45845</v>
      </c>
      <c r="ITF71" s="159" t="s">
        <v>42</v>
      </c>
      <c r="ITG71" s="354" t="s">
        <v>150</v>
      </c>
      <c r="ITH71" s="165" t="s">
        <v>124</v>
      </c>
      <c r="ITI71" s="352" t="s">
        <v>164</v>
      </c>
      <c r="ITJ71" s="353" t="s">
        <v>121</v>
      </c>
      <c r="ITK71" s="159" t="s">
        <v>18</v>
      </c>
      <c r="ITL71" s="160">
        <v>8100</v>
      </c>
      <c r="ITM71" s="169">
        <v>85</v>
      </c>
      <c r="ITN71" s="170">
        <v>215</v>
      </c>
      <c r="ITO71" s="170">
        <v>75</v>
      </c>
      <c r="ITP71" s="169">
        <v>150</v>
      </c>
      <c r="ITQ71" s="171">
        <f>SUM(ITL71:ITP71)</f>
        <v>8625</v>
      </c>
      <c r="ITR71" s="169">
        <v>200</v>
      </c>
      <c r="ITS71" s="171">
        <f>SUM(ITQ71:ITR71)</f>
        <v>8825</v>
      </c>
      <c r="ITT71" s="163" t="s">
        <v>114</v>
      </c>
      <c r="ITU71" s="164">
        <v>45845</v>
      </c>
      <c r="ITV71" s="159" t="s">
        <v>42</v>
      </c>
      <c r="ITW71" s="354" t="s">
        <v>150</v>
      </c>
      <c r="ITX71" s="165" t="s">
        <v>124</v>
      </c>
      <c r="ITY71" s="352" t="s">
        <v>164</v>
      </c>
      <c r="ITZ71" s="353" t="s">
        <v>121</v>
      </c>
      <c r="IUA71" s="159" t="s">
        <v>18</v>
      </c>
      <c r="IUB71" s="160">
        <v>8100</v>
      </c>
      <c r="IUC71" s="169">
        <v>85</v>
      </c>
      <c r="IUD71" s="170">
        <v>215</v>
      </c>
      <c r="IUE71" s="170">
        <v>75</v>
      </c>
      <c r="IUF71" s="169">
        <v>150</v>
      </c>
      <c r="IUG71" s="171">
        <f>SUM(IUB71:IUF71)</f>
        <v>8625</v>
      </c>
      <c r="IUH71" s="169">
        <v>200</v>
      </c>
      <c r="IUI71" s="171">
        <f>SUM(IUG71:IUH71)</f>
        <v>8825</v>
      </c>
      <c r="IUJ71" s="163" t="s">
        <v>114</v>
      </c>
      <c r="IUK71" s="164">
        <v>45845</v>
      </c>
      <c r="IUL71" s="159" t="s">
        <v>42</v>
      </c>
      <c r="IUM71" s="354" t="s">
        <v>150</v>
      </c>
      <c r="IUN71" s="165" t="s">
        <v>124</v>
      </c>
      <c r="IUO71" s="352" t="s">
        <v>164</v>
      </c>
      <c r="IUP71" s="353" t="s">
        <v>121</v>
      </c>
      <c r="IUQ71" s="159" t="s">
        <v>18</v>
      </c>
      <c r="IUR71" s="160">
        <v>8100</v>
      </c>
      <c r="IUS71" s="169">
        <v>85</v>
      </c>
      <c r="IUT71" s="170">
        <v>215</v>
      </c>
      <c r="IUU71" s="170">
        <v>75</v>
      </c>
      <c r="IUV71" s="169">
        <v>150</v>
      </c>
      <c r="IUW71" s="171">
        <f>SUM(IUR71:IUV71)</f>
        <v>8625</v>
      </c>
      <c r="IUX71" s="169">
        <v>200</v>
      </c>
      <c r="IUY71" s="171">
        <f>SUM(IUW71:IUX71)</f>
        <v>8825</v>
      </c>
      <c r="IUZ71" s="163" t="s">
        <v>114</v>
      </c>
      <c r="IVA71" s="164">
        <v>45845</v>
      </c>
      <c r="IVB71" s="159" t="s">
        <v>42</v>
      </c>
      <c r="IVC71" s="354" t="s">
        <v>150</v>
      </c>
      <c r="IVD71" s="165" t="s">
        <v>124</v>
      </c>
      <c r="IVE71" s="352" t="s">
        <v>164</v>
      </c>
      <c r="IVF71" s="353" t="s">
        <v>121</v>
      </c>
      <c r="IVG71" s="159" t="s">
        <v>18</v>
      </c>
      <c r="IVH71" s="160">
        <v>8100</v>
      </c>
      <c r="IVI71" s="169">
        <v>85</v>
      </c>
      <c r="IVJ71" s="170">
        <v>215</v>
      </c>
      <c r="IVK71" s="170">
        <v>75</v>
      </c>
      <c r="IVL71" s="169">
        <v>150</v>
      </c>
      <c r="IVM71" s="171">
        <f>SUM(IVH71:IVL71)</f>
        <v>8625</v>
      </c>
      <c r="IVN71" s="169">
        <v>200</v>
      </c>
      <c r="IVO71" s="171">
        <f>SUM(IVM71:IVN71)</f>
        <v>8825</v>
      </c>
      <c r="IVP71" s="163" t="s">
        <v>114</v>
      </c>
      <c r="IVQ71" s="164">
        <v>45845</v>
      </c>
      <c r="IVR71" s="159" t="s">
        <v>42</v>
      </c>
      <c r="IVS71" s="354" t="s">
        <v>150</v>
      </c>
      <c r="IVT71" s="165" t="s">
        <v>124</v>
      </c>
      <c r="IVU71" s="352" t="s">
        <v>164</v>
      </c>
      <c r="IVV71" s="353" t="s">
        <v>121</v>
      </c>
      <c r="IVW71" s="159" t="s">
        <v>18</v>
      </c>
      <c r="IVX71" s="160">
        <v>8100</v>
      </c>
      <c r="IVY71" s="169">
        <v>85</v>
      </c>
      <c r="IVZ71" s="170">
        <v>215</v>
      </c>
      <c r="IWA71" s="170">
        <v>75</v>
      </c>
      <c r="IWB71" s="169">
        <v>150</v>
      </c>
      <c r="IWC71" s="171">
        <f>SUM(IVX71:IWB71)</f>
        <v>8625</v>
      </c>
      <c r="IWD71" s="169">
        <v>200</v>
      </c>
      <c r="IWE71" s="171">
        <f>SUM(IWC71:IWD71)</f>
        <v>8825</v>
      </c>
      <c r="IWF71" s="163" t="s">
        <v>114</v>
      </c>
      <c r="IWG71" s="164">
        <v>45845</v>
      </c>
      <c r="IWH71" s="159" t="s">
        <v>42</v>
      </c>
      <c r="IWI71" s="354" t="s">
        <v>150</v>
      </c>
      <c r="IWJ71" s="165" t="s">
        <v>124</v>
      </c>
      <c r="IWK71" s="352" t="s">
        <v>164</v>
      </c>
      <c r="IWL71" s="353" t="s">
        <v>121</v>
      </c>
      <c r="IWM71" s="159" t="s">
        <v>18</v>
      </c>
      <c r="IWN71" s="160">
        <v>8100</v>
      </c>
      <c r="IWO71" s="169">
        <v>85</v>
      </c>
      <c r="IWP71" s="170">
        <v>215</v>
      </c>
      <c r="IWQ71" s="170">
        <v>75</v>
      </c>
      <c r="IWR71" s="169">
        <v>150</v>
      </c>
      <c r="IWS71" s="171">
        <f>SUM(IWN71:IWR71)</f>
        <v>8625</v>
      </c>
      <c r="IWT71" s="169">
        <v>200</v>
      </c>
      <c r="IWU71" s="171">
        <f>SUM(IWS71:IWT71)</f>
        <v>8825</v>
      </c>
      <c r="IWV71" s="163" t="s">
        <v>114</v>
      </c>
      <c r="IWW71" s="164">
        <v>45845</v>
      </c>
      <c r="IWX71" s="159" t="s">
        <v>42</v>
      </c>
      <c r="IWY71" s="354" t="s">
        <v>150</v>
      </c>
      <c r="IWZ71" s="165" t="s">
        <v>124</v>
      </c>
      <c r="IXA71" s="352" t="s">
        <v>164</v>
      </c>
      <c r="IXB71" s="353" t="s">
        <v>121</v>
      </c>
      <c r="IXC71" s="159" t="s">
        <v>18</v>
      </c>
      <c r="IXD71" s="160">
        <v>8100</v>
      </c>
      <c r="IXE71" s="169">
        <v>85</v>
      </c>
      <c r="IXF71" s="170">
        <v>215</v>
      </c>
      <c r="IXG71" s="170">
        <v>75</v>
      </c>
      <c r="IXH71" s="169">
        <v>150</v>
      </c>
      <c r="IXI71" s="171">
        <f>SUM(IXD71:IXH71)</f>
        <v>8625</v>
      </c>
      <c r="IXJ71" s="169">
        <v>200</v>
      </c>
      <c r="IXK71" s="171">
        <f>SUM(IXI71:IXJ71)</f>
        <v>8825</v>
      </c>
      <c r="IXL71" s="163" t="s">
        <v>114</v>
      </c>
      <c r="IXM71" s="164">
        <v>45845</v>
      </c>
      <c r="IXN71" s="159" t="s">
        <v>42</v>
      </c>
      <c r="IXO71" s="354" t="s">
        <v>150</v>
      </c>
      <c r="IXP71" s="165" t="s">
        <v>124</v>
      </c>
      <c r="IXQ71" s="352" t="s">
        <v>164</v>
      </c>
      <c r="IXR71" s="353" t="s">
        <v>121</v>
      </c>
      <c r="IXS71" s="159" t="s">
        <v>18</v>
      </c>
      <c r="IXT71" s="160">
        <v>8100</v>
      </c>
      <c r="IXU71" s="169">
        <v>85</v>
      </c>
      <c r="IXV71" s="170">
        <v>215</v>
      </c>
      <c r="IXW71" s="170">
        <v>75</v>
      </c>
      <c r="IXX71" s="169">
        <v>150</v>
      </c>
      <c r="IXY71" s="171">
        <f>SUM(IXT71:IXX71)</f>
        <v>8625</v>
      </c>
      <c r="IXZ71" s="169">
        <v>200</v>
      </c>
      <c r="IYA71" s="171">
        <f>SUM(IXY71:IXZ71)</f>
        <v>8825</v>
      </c>
      <c r="IYB71" s="163" t="s">
        <v>114</v>
      </c>
      <c r="IYC71" s="164">
        <v>45845</v>
      </c>
      <c r="IYD71" s="159" t="s">
        <v>42</v>
      </c>
      <c r="IYE71" s="354" t="s">
        <v>150</v>
      </c>
      <c r="IYF71" s="165" t="s">
        <v>124</v>
      </c>
      <c r="IYG71" s="352" t="s">
        <v>164</v>
      </c>
      <c r="IYH71" s="353" t="s">
        <v>121</v>
      </c>
      <c r="IYI71" s="159" t="s">
        <v>18</v>
      </c>
      <c r="IYJ71" s="160">
        <v>8100</v>
      </c>
      <c r="IYK71" s="169">
        <v>85</v>
      </c>
      <c r="IYL71" s="170">
        <v>215</v>
      </c>
      <c r="IYM71" s="170">
        <v>75</v>
      </c>
      <c r="IYN71" s="169">
        <v>150</v>
      </c>
      <c r="IYO71" s="171">
        <f>SUM(IYJ71:IYN71)</f>
        <v>8625</v>
      </c>
      <c r="IYP71" s="169">
        <v>200</v>
      </c>
      <c r="IYQ71" s="171">
        <f>SUM(IYO71:IYP71)</f>
        <v>8825</v>
      </c>
      <c r="IYR71" s="163" t="s">
        <v>114</v>
      </c>
      <c r="IYS71" s="164">
        <v>45845</v>
      </c>
      <c r="IYT71" s="159" t="s">
        <v>42</v>
      </c>
      <c r="IYU71" s="354" t="s">
        <v>150</v>
      </c>
      <c r="IYV71" s="165" t="s">
        <v>124</v>
      </c>
      <c r="IYW71" s="352" t="s">
        <v>164</v>
      </c>
      <c r="IYX71" s="353" t="s">
        <v>121</v>
      </c>
      <c r="IYY71" s="159" t="s">
        <v>18</v>
      </c>
      <c r="IYZ71" s="160">
        <v>8100</v>
      </c>
      <c r="IZA71" s="169">
        <v>85</v>
      </c>
      <c r="IZB71" s="170">
        <v>215</v>
      </c>
      <c r="IZC71" s="170">
        <v>75</v>
      </c>
      <c r="IZD71" s="169">
        <v>150</v>
      </c>
      <c r="IZE71" s="171">
        <f>SUM(IYZ71:IZD71)</f>
        <v>8625</v>
      </c>
      <c r="IZF71" s="169">
        <v>200</v>
      </c>
      <c r="IZG71" s="171">
        <f>SUM(IZE71:IZF71)</f>
        <v>8825</v>
      </c>
      <c r="IZH71" s="163" t="s">
        <v>114</v>
      </c>
      <c r="IZI71" s="164">
        <v>45845</v>
      </c>
      <c r="IZJ71" s="159" t="s">
        <v>42</v>
      </c>
      <c r="IZK71" s="354" t="s">
        <v>150</v>
      </c>
      <c r="IZL71" s="165" t="s">
        <v>124</v>
      </c>
      <c r="IZM71" s="352" t="s">
        <v>164</v>
      </c>
      <c r="IZN71" s="353" t="s">
        <v>121</v>
      </c>
      <c r="IZO71" s="159" t="s">
        <v>18</v>
      </c>
      <c r="IZP71" s="160">
        <v>8100</v>
      </c>
      <c r="IZQ71" s="169">
        <v>85</v>
      </c>
      <c r="IZR71" s="170">
        <v>215</v>
      </c>
      <c r="IZS71" s="170">
        <v>75</v>
      </c>
      <c r="IZT71" s="169">
        <v>150</v>
      </c>
      <c r="IZU71" s="171">
        <f>SUM(IZP71:IZT71)</f>
        <v>8625</v>
      </c>
      <c r="IZV71" s="169">
        <v>200</v>
      </c>
      <c r="IZW71" s="171">
        <f>SUM(IZU71:IZV71)</f>
        <v>8825</v>
      </c>
      <c r="IZX71" s="163" t="s">
        <v>114</v>
      </c>
      <c r="IZY71" s="164">
        <v>45845</v>
      </c>
      <c r="IZZ71" s="159" t="s">
        <v>42</v>
      </c>
      <c r="JAA71" s="354" t="s">
        <v>150</v>
      </c>
      <c r="JAB71" s="165" t="s">
        <v>124</v>
      </c>
      <c r="JAC71" s="352" t="s">
        <v>164</v>
      </c>
      <c r="JAD71" s="353" t="s">
        <v>121</v>
      </c>
      <c r="JAE71" s="159" t="s">
        <v>18</v>
      </c>
      <c r="JAF71" s="160">
        <v>8100</v>
      </c>
      <c r="JAG71" s="169">
        <v>85</v>
      </c>
      <c r="JAH71" s="170">
        <v>215</v>
      </c>
      <c r="JAI71" s="170">
        <v>75</v>
      </c>
      <c r="JAJ71" s="169">
        <v>150</v>
      </c>
      <c r="JAK71" s="171">
        <f>SUM(JAF71:JAJ71)</f>
        <v>8625</v>
      </c>
      <c r="JAL71" s="169">
        <v>200</v>
      </c>
      <c r="JAM71" s="171">
        <f>SUM(JAK71:JAL71)</f>
        <v>8825</v>
      </c>
      <c r="JAN71" s="163" t="s">
        <v>114</v>
      </c>
      <c r="JAO71" s="164">
        <v>45845</v>
      </c>
      <c r="JAP71" s="159" t="s">
        <v>42</v>
      </c>
      <c r="JAQ71" s="354" t="s">
        <v>150</v>
      </c>
      <c r="JAR71" s="165" t="s">
        <v>124</v>
      </c>
      <c r="JAS71" s="352" t="s">
        <v>164</v>
      </c>
      <c r="JAT71" s="353" t="s">
        <v>121</v>
      </c>
      <c r="JAU71" s="159" t="s">
        <v>18</v>
      </c>
      <c r="JAV71" s="160">
        <v>8100</v>
      </c>
      <c r="JAW71" s="169">
        <v>85</v>
      </c>
      <c r="JAX71" s="170">
        <v>215</v>
      </c>
      <c r="JAY71" s="170">
        <v>75</v>
      </c>
      <c r="JAZ71" s="169">
        <v>150</v>
      </c>
      <c r="JBA71" s="171">
        <f>SUM(JAV71:JAZ71)</f>
        <v>8625</v>
      </c>
      <c r="JBB71" s="169">
        <v>200</v>
      </c>
      <c r="JBC71" s="171">
        <f>SUM(JBA71:JBB71)</f>
        <v>8825</v>
      </c>
      <c r="JBD71" s="163" t="s">
        <v>114</v>
      </c>
      <c r="JBE71" s="164">
        <v>45845</v>
      </c>
      <c r="JBF71" s="159" t="s">
        <v>42</v>
      </c>
      <c r="JBG71" s="354" t="s">
        <v>150</v>
      </c>
      <c r="JBH71" s="165" t="s">
        <v>124</v>
      </c>
      <c r="JBI71" s="352" t="s">
        <v>164</v>
      </c>
      <c r="JBJ71" s="353" t="s">
        <v>121</v>
      </c>
      <c r="JBK71" s="159" t="s">
        <v>18</v>
      </c>
      <c r="JBL71" s="160">
        <v>8100</v>
      </c>
      <c r="JBM71" s="169">
        <v>85</v>
      </c>
      <c r="JBN71" s="170">
        <v>215</v>
      </c>
      <c r="JBO71" s="170">
        <v>75</v>
      </c>
      <c r="JBP71" s="169">
        <v>150</v>
      </c>
      <c r="JBQ71" s="171">
        <f>SUM(JBL71:JBP71)</f>
        <v>8625</v>
      </c>
      <c r="JBR71" s="169">
        <v>200</v>
      </c>
      <c r="JBS71" s="171">
        <f>SUM(JBQ71:JBR71)</f>
        <v>8825</v>
      </c>
      <c r="JBT71" s="163" t="s">
        <v>114</v>
      </c>
      <c r="JBU71" s="164">
        <v>45845</v>
      </c>
      <c r="JBV71" s="159" t="s">
        <v>42</v>
      </c>
      <c r="JBW71" s="354" t="s">
        <v>150</v>
      </c>
      <c r="JBX71" s="165" t="s">
        <v>124</v>
      </c>
      <c r="JBY71" s="352" t="s">
        <v>164</v>
      </c>
      <c r="JBZ71" s="353" t="s">
        <v>121</v>
      </c>
      <c r="JCA71" s="159" t="s">
        <v>18</v>
      </c>
      <c r="JCB71" s="160">
        <v>8100</v>
      </c>
      <c r="JCC71" s="169">
        <v>85</v>
      </c>
      <c r="JCD71" s="170">
        <v>215</v>
      </c>
      <c r="JCE71" s="170">
        <v>75</v>
      </c>
      <c r="JCF71" s="169">
        <v>150</v>
      </c>
      <c r="JCG71" s="171">
        <f>SUM(JCB71:JCF71)</f>
        <v>8625</v>
      </c>
      <c r="JCH71" s="169">
        <v>200</v>
      </c>
      <c r="JCI71" s="171">
        <f>SUM(JCG71:JCH71)</f>
        <v>8825</v>
      </c>
      <c r="JCJ71" s="163" t="s">
        <v>114</v>
      </c>
      <c r="JCK71" s="164">
        <v>45845</v>
      </c>
      <c r="JCL71" s="159" t="s">
        <v>42</v>
      </c>
      <c r="JCM71" s="354" t="s">
        <v>150</v>
      </c>
      <c r="JCN71" s="165" t="s">
        <v>124</v>
      </c>
      <c r="JCO71" s="352" t="s">
        <v>164</v>
      </c>
      <c r="JCP71" s="353" t="s">
        <v>121</v>
      </c>
      <c r="JCQ71" s="159" t="s">
        <v>18</v>
      </c>
      <c r="JCR71" s="160">
        <v>8100</v>
      </c>
      <c r="JCS71" s="169">
        <v>85</v>
      </c>
      <c r="JCT71" s="170">
        <v>215</v>
      </c>
      <c r="JCU71" s="170">
        <v>75</v>
      </c>
      <c r="JCV71" s="169">
        <v>150</v>
      </c>
      <c r="JCW71" s="171">
        <f>SUM(JCR71:JCV71)</f>
        <v>8625</v>
      </c>
      <c r="JCX71" s="169">
        <v>200</v>
      </c>
      <c r="JCY71" s="171">
        <f>SUM(JCW71:JCX71)</f>
        <v>8825</v>
      </c>
      <c r="JCZ71" s="163" t="s">
        <v>114</v>
      </c>
      <c r="JDA71" s="164">
        <v>45845</v>
      </c>
      <c r="JDB71" s="159" t="s">
        <v>42</v>
      </c>
      <c r="JDC71" s="354" t="s">
        <v>150</v>
      </c>
      <c r="JDD71" s="165" t="s">
        <v>124</v>
      </c>
      <c r="JDE71" s="352" t="s">
        <v>164</v>
      </c>
      <c r="JDF71" s="353" t="s">
        <v>121</v>
      </c>
      <c r="JDG71" s="159" t="s">
        <v>18</v>
      </c>
      <c r="JDH71" s="160">
        <v>8100</v>
      </c>
      <c r="JDI71" s="169">
        <v>85</v>
      </c>
      <c r="JDJ71" s="170">
        <v>215</v>
      </c>
      <c r="JDK71" s="170">
        <v>75</v>
      </c>
      <c r="JDL71" s="169">
        <v>150</v>
      </c>
      <c r="JDM71" s="171">
        <f>SUM(JDH71:JDL71)</f>
        <v>8625</v>
      </c>
      <c r="JDN71" s="169">
        <v>200</v>
      </c>
      <c r="JDO71" s="171">
        <f>SUM(JDM71:JDN71)</f>
        <v>8825</v>
      </c>
      <c r="JDP71" s="163" t="s">
        <v>114</v>
      </c>
      <c r="JDQ71" s="164">
        <v>45845</v>
      </c>
      <c r="JDR71" s="159" t="s">
        <v>42</v>
      </c>
      <c r="JDS71" s="354" t="s">
        <v>150</v>
      </c>
      <c r="JDT71" s="165" t="s">
        <v>124</v>
      </c>
      <c r="JDU71" s="352" t="s">
        <v>164</v>
      </c>
      <c r="JDV71" s="353" t="s">
        <v>121</v>
      </c>
      <c r="JDW71" s="159" t="s">
        <v>18</v>
      </c>
      <c r="JDX71" s="160">
        <v>8100</v>
      </c>
      <c r="JDY71" s="169">
        <v>85</v>
      </c>
      <c r="JDZ71" s="170">
        <v>215</v>
      </c>
      <c r="JEA71" s="170">
        <v>75</v>
      </c>
      <c r="JEB71" s="169">
        <v>150</v>
      </c>
      <c r="JEC71" s="171">
        <f>SUM(JDX71:JEB71)</f>
        <v>8625</v>
      </c>
      <c r="JED71" s="169">
        <v>200</v>
      </c>
      <c r="JEE71" s="171">
        <f>SUM(JEC71:JED71)</f>
        <v>8825</v>
      </c>
      <c r="JEF71" s="163" t="s">
        <v>114</v>
      </c>
      <c r="JEG71" s="164">
        <v>45845</v>
      </c>
      <c r="JEH71" s="159" t="s">
        <v>42</v>
      </c>
      <c r="JEI71" s="354" t="s">
        <v>150</v>
      </c>
      <c r="JEJ71" s="165" t="s">
        <v>124</v>
      </c>
      <c r="JEK71" s="352" t="s">
        <v>164</v>
      </c>
      <c r="JEL71" s="353" t="s">
        <v>121</v>
      </c>
      <c r="JEM71" s="159" t="s">
        <v>18</v>
      </c>
      <c r="JEN71" s="160">
        <v>8100</v>
      </c>
      <c r="JEO71" s="169">
        <v>85</v>
      </c>
      <c r="JEP71" s="170">
        <v>215</v>
      </c>
      <c r="JEQ71" s="170">
        <v>75</v>
      </c>
      <c r="JER71" s="169">
        <v>150</v>
      </c>
      <c r="JES71" s="171">
        <f>SUM(JEN71:JER71)</f>
        <v>8625</v>
      </c>
      <c r="JET71" s="169">
        <v>200</v>
      </c>
      <c r="JEU71" s="171">
        <f>SUM(JES71:JET71)</f>
        <v>8825</v>
      </c>
      <c r="JEV71" s="163" t="s">
        <v>114</v>
      </c>
      <c r="JEW71" s="164">
        <v>45845</v>
      </c>
      <c r="JEX71" s="159" t="s">
        <v>42</v>
      </c>
      <c r="JEY71" s="354" t="s">
        <v>150</v>
      </c>
      <c r="JEZ71" s="165" t="s">
        <v>124</v>
      </c>
      <c r="JFA71" s="352" t="s">
        <v>164</v>
      </c>
      <c r="JFB71" s="353" t="s">
        <v>121</v>
      </c>
      <c r="JFC71" s="159" t="s">
        <v>18</v>
      </c>
      <c r="JFD71" s="160">
        <v>8100</v>
      </c>
      <c r="JFE71" s="169">
        <v>85</v>
      </c>
      <c r="JFF71" s="170">
        <v>215</v>
      </c>
      <c r="JFG71" s="170">
        <v>75</v>
      </c>
      <c r="JFH71" s="169">
        <v>150</v>
      </c>
      <c r="JFI71" s="171">
        <f>SUM(JFD71:JFH71)</f>
        <v>8625</v>
      </c>
      <c r="JFJ71" s="169">
        <v>200</v>
      </c>
      <c r="JFK71" s="171">
        <f>SUM(JFI71:JFJ71)</f>
        <v>8825</v>
      </c>
      <c r="JFL71" s="163" t="s">
        <v>114</v>
      </c>
      <c r="JFM71" s="164">
        <v>45845</v>
      </c>
      <c r="JFN71" s="159" t="s">
        <v>42</v>
      </c>
      <c r="JFO71" s="354" t="s">
        <v>150</v>
      </c>
      <c r="JFP71" s="165" t="s">
        <v>124</v>
      </c>
      <c r="JFQ71" s="352" t="s">
        <v>164</v>
      </c>
      <c r="JFR71" s="353" t="s">
        <v>121</v>
      </c>
      <c r="JFS71" s="159" t="s">
        <v>18</v>
      </c>
      <c r="JFT71" s="160">
        <v>8100</v>
      </c>
      <c r="JFU71" s="169">
        <v>85</v>
      </c>
      <c r="JFV71" s="170">
        <v>215</v>
      </c>
      <c r="JFW71" s="170">
        <v>75</v>
      </c>
      <c r="JFX71" s="169">
        <v>150</v>
      </c>
      <c r="JFY71" s="171">
        <f>SUM(JFT71:JFX71)</f>
        <v>8625</v>
      </c>
      <c r="JFZ71" s="169">
        <v>200</v>
      </c>
      <c r="JGA71" s="171">
        <f>SUM(JFY71:JFZ71)</f>
        <v>8825</v>
      </c>
      <c r="JGB71" s="163" t="s">
        <v>114</v>
      </c>
      <c r="JGC71" s="164">
        <v>45845</v>
      </c>
      <c r="JGD71" s="159" t="s">
        <v>42</v>
      </c>
      <c r="JGE71" s="354" t="s">
        <v>150</v>
      </c>
      <c r="JGF71" s="165" t="s">
        <v>124</v>
      </c>
      <c r="JGG71" s="352" t="s">
        <v>164</v>
      </c>
      <c r="JGH71" s="353" t="s">
        <v>121</v>
      </c>
      <c r="JGI71" s="159" t="s">
        <v>18</v>
      </c>
      <c r="JGJ71" s="160">
        <v>8100</v>
      </c>
      <c r="JGK71" s="169">
        <v>85</v>
      </c>
      <c r="JGL71" s="170">
        <v>215</v>
      </c>
      <c r="JGM71" s="170">
        <v>75</v>
      </c>
      <c r="JGN71" s="169">
        <v>150</v>
      </c>
      <c r="JGO71" s="171">
        <f>SUM(JGJ71:JGN71)</f>
        <v>8625</v>
      </c>
      <c r="JGP71" s="169">
        <v>200</v>
      </c>
      <c r="JGQ71" s="171">
        <f>SUM(JGO71:JGP71)</f>
        <v>8825</v>
      </c>
      <c r="JGR71" s="163" t="s">
        <v>114</v>
      </c>
      <c r="JGS71" s="164">
        <v>45845</v>
      </c>
      <c r="JGT71" s="159" t="s">
        <v>42</v>
      </c>
      <c r="JGU71" s="354" t="s">
        <v>150</v>
      </c>
      <c r="JGV71" s="165" t="s">
        <v>124</v>
      </c>
      <c r="JGW71" s="352" t="s">
        <v>164</v>
      </c>
      <c r="JGX71" s="353" t="s">
        <v>121</v>
      </c>
      <c r="JGY71" s="159" t="s">
        <v>18</v>
      </c>
      <c r="JGZ71" s="160">
        <v>8100</v>
      </c>
      <c r="JHA71" s="169">
        <v>85</v>
      </c>
      <c r="JHB71" s="170">
        <v>215</v>
      </c>
      <c r="JHC71" s="170">
        <v>75</v>
      </c>
      <c r="JHD71" s="169">
        <v>150</v>
      </c>
      <c r="JHE71" s="171">
        <f>SUM(JGZ71:JHD71)</f>
        <v>8625</v>
      </c>
      <c r="JHF71" s="169">
        <v>200</v>
      </c>
      <c r="JHG71" s="171">
        <f>SUM(JHE71:JHF71)</f>
        <v>8825</v>
      </c>
      <c r="JHH71" s="163" t="s">
        <v>114</v>
      </c>
      <c r="JHI71" s="164">
        <v>45845</v>
      </c>
      <c r="JHJ71" s="159" t="s">
        <v>42</v>
      </c>
      <c r="JHK71" s="354" t="s">
        <v>150</v>
      </c>
      <c r="JHL71" s="165" t="s">
        <v>124</v>
      </c>
      <c r="JHM71" s="352" t="s">
        <v>164</v>
      </c>
      <c r="JHN71" s="353" t="s">
        <v>121</v>
      </c>
      <c r="JHO71" s="159" t="s">
        <v>18</v>
      </c>
      <c r="JHP71" s="160">
        <v>8100</v>
      </c>
      <c r="JHQ71" s="169">
        <v>85</v>
      </c>
      <c r="JHR71" s="170">
        <v>215</v>
      </c>
      <c r="JHS71" s="170">
        <v>75</v>
      </c>
      <c r="JHT71" s="169">
        <v>150</v>
      </c>
      <c r="JHU71" s="171">
        <f>SUM(JHP71:JHT71)</f>
        <v>8625</v>
      </c>
      <c r="JHV71" s="169">
        <v>200</v>
      </c>
      <c r="JHW71" s="171">
        <f>SUM(JHU71:JHV71)</f>
        <v>8825</v>
      </c>
      <c r="JHX71" s="163" t="s">
        <v>114</v>
      </c>
      <c r="JHY71" s="164">
        <v>45845</v>
      </c>
      <c r="JHZ71" s="159" t="s">
        <v>42</v>
      </c>
      <c r="JIA71" s="354" t="s">
        <v>150</v>
      </c>
      <c r="JIB71" s="165" t="s">
        <v>124</v>
      </c>
      <c r="JIC71" s="352" t="s">
        <v>164</v>
      </c>
      <c r="JID71" s="353" t="s">
        <v>121</v>
      </c>
      <c r="JIE71" s="159" t="s">
        <v>18</v>
      </c>
      <c r="JIF71" s="160">
        <v>8100</v>
      </c>
      <c r="JIG71" s="169">
        <v>85</v>
      </c>
      <c r="JIH71" s="170">
        <v>215</v>
      </c>
      <c r="JII71" s="170">
        <v>75</v>
      </c>
      <c r="JIJ71" s="169">
        <v>150</v>
      </c>
      <c r="JIK71" s="171">
        <f>SUM(JIF71:JIJ71)</f>
        <v>8625</v>
      </c>
      <c r="JIL71" s="169">
        <v>200</v>
      </c>
      <c r="JIM71" s="171">
        <f>SUM(JIK71:JIL71)</f>
        <v>8825</v>
      </c>
      <c r="JIN71" s="163" t="s">
        <v>114</v>
      </c>
      <c r="JIO71" s="164">
        <v>45845</v>
      </c>
      <c r="JIP71" s="159" t="s">
        <v>42</v>
      </c>
      <c r="JIQ71" s="354" t="s">
        <v>150</v>
      </c>
      <c r="JIR71" s="165" t="s">
        <v>124</v>
      </c>
      <c r="JIS71" s="352" t="s">
        <v>164</v>
      </c>
      <c r="JIT71" s="353" t="s">
        <v>121</v>
      </c>
      <c r="JIU71" s="159" t="s">
        <v>18</v>
      </c>
      <c r="JIV71" s="160">
        <v>8100</v>
      </c>
      <c r="JIW71" s="169">
        <v>85</v>
      </c>
      <c r="JIX71" s="170">
        <v>215</v>
      </c>
      <c r="JIY71" s="170">
        <v>75</v>
      </c>
      <c r="JIZ71" s="169">
        <v>150</v>
      </c>
      <c r="JJA71" s="171">
        <f>SUM(JIV71:JIZ71)</f>
        <v>8625</v>
      </c>
      <c r="JJB71" s="169">
        <v>200</v>
      </c>
      <c r="JJC71" s="171">
        <f>SUM(JJA71:JJB71)</f>
        <v>8825</v>
      </c>
      <c r="JJD71" s="163" t="s">
        <v>114</v>
      </c>
      <c r="JJE71" s="164">
        <v>45845</v>
      </c>
      <c r="JJF71" s="159" t="s">
        <v>42</v>
      </c>
      <c r="JJG71" s="354" t="s">
        <v>150</v>
      </c>
      <c r="JJH71" s="165" t="s">
        <v>124</v>
      </c>
      <c r="JJI71" s="352" t="s">
        <v>164</v>
      </c>
      <c r="JJJ71" s="353" t="s">
        <v>121</v>
      </c>
      <c r="JJK71" s="159" t="s">
        <v>18</v>
      </c>
      <c r="JJL71" s="160">
        <v>8100</v>
      </c>
      <c r="JJM71" s="169">
        <v>85</v>
      </c>
      <c r="JJN71" s="170">
        <v>215</v>
      </c>
      <c r="JJO71" s="170">
        <v>75</v>
      </c>
      <c r="JJP71" s="169">
        <v>150</v>
      </c>
      <c r="JJQ71" s="171">
        <f>SUM(JJL71:JJP71)</f>
        <v>8625</v>
      </c>
      <c r="JJR71" s="169">
        <v>200</v>
      </c>
      <c r="JJS71" s="171">
        <f>SUM(JJQ71:JJR71)</f>
        <v>8825</v>
      </c>
      <c r="JJT71" s="163" t="s">
        <v>114</v>
      </c>
      <c r="JJU71" s="164">
        <v>45845</v>
      </c>
      <c r="JJV71" s="159" t="s">
        <v>42</v>
      </c>
      <c r="JJW71" s="354" t="s">
        <v>150</v>
      </c>
      <c r="JJX71" s="165" t="s">
        <v>124</v>
      </c>
      <c r="JJY71" s="352" t="s">
        <v>164</v>
      </c>
      <c r="JJZ71" s="353" t="s">
        <v>121</v>
      </c>
      <c r="JKA71" s="159" t="s">
        <v>18</v>
      </c>
      <c r="JKB71" s="160">
        <v>8100</v>
      </c>
      <c r="JKC71" s="169">
        <v>85</v>
      </c>
      <c r="JKD71" s="170">
        <v>215</v>
      </c>
      <c r="JKE71" s="170">
        <v>75</v>
      </c>
      <c r="JKF71" s="169">
        <v>150</v>
      </c>
      <c r="JKG71" s="171">
        <f>SUM(JKB71:JKF71)</f>
        <v>8625</v>
      </c>
      <c r="JKH71" s="169">
        <v>200</v>
      </c>
      <c r="JKI71" s="171">
        <f>SUM(JKG71:JKH71)</f>
        <v>8825</v>
      </c>
      <c r="JKJ71" s="163" t="s">
        <v>114</v>
      </c>
      <c r="JKK71" s="164">
        <v>45845</v>
      </c>
      <c r="JKL71" s="159" t="s">
        <v>42</v>
      </c>
      <c r="JKM71" s="354" t="s">
        <v>150</v>
      </c>
      <c r="JKN71" s="165" t="s">
        <v>124</v>
      </c>
      <c r="JKO71" s="352" t="s">
        <v>164</v>
      </c>
      <c r="JKP71" s="353" t="s">
        <v>121</v>
      </c>
      <c r="JKQ71" s="159" t="s">
        <v>18</v>
      </c>
      <c r="JKR71" s="160">
        <v>8100</v>
      </c>
      <c r="JKS71" s="169">
        <v>85</v>
      </c>
      <c r="JKT71" s="170">
        <v>215</v>
      </c>
      <c r="JKU71" s="170">
        <v>75</v>
      </c>
      <c r="JKV71" s="169">
        <v>150</v>
      </c>
      <c r="JKW71" s="171">
        <f>SUM(JKR71:JKV71)</f>
        <v>8625</v>
      </c>
      <c r="JKX71" s="169">
        <v>200</v>
      </c>
      <c r="JKY71" s="171">
        <f>SUM(JKW71:JKX71)</f>
        <v>8825</v>
      </c>
      <c r="JKZ71" s="163" t="s">
        <v>114</v>
      </c>
      <c r="JLA71" s="164">
        <v>45845</v>
      </c>
      <c r="JLB71" s="159" t="s">
        <v>42</v>
      </c>
      <c r="JLC71" s="354" t="s">
        <v>150</v>
      </c>
      <c r="JLD71" s="165" t="s">
        <v>124</v>
      </c>
      <c r="JLE71" s="352" t="s">
        <v>164</v>
      </c>
      <c r="JLF71" s="353" t="s">
        <v>121</v>
      </c>
      <c r="JLG71" s="159" t="s">
        <v>18</v>
      </c>
      <c r="JLH71" s="160">
        <v>8100</v>
      </c>
      <c r="JLI71" s="169">
        <v>85</v>
      </c>
      <c r="JLJ71" s="170">
        <v>215</v>
      </c>
      <c r="JLK71" s="170">
        <v>75</v>
      </c>
      <c r="JLL71" s="169">
        <v>150</v>
      </c>
      <c r="JLM71" s="171">
        <f>SUM(JLH71:JLL71)</f>
        <v>8625</v>
      </c>
      <c r="JLN71" s="169">
        <v>200</v>
      </c>
      <c r="JLO71" s="171">
        <f>SUM(JLM71:JLN71)</f>
        <v>8825</v>
      </c>
      <c r="JLP71" s="163" t="s">
        <v>114</v>
      </c>
      <c r="JLQ71" s="164">
        <v>45845</v>
      </c>
      <c r="JLR71" s="159" t="s">
        <v>42</v>
      </c>
      <c r="JLS71" s="354" t="s">
        <v>150</v>
      </c>
      <c r="JLT71" s="165" t="s">
        <v>124</v>
      </c>
      <c r="JLU71" s="352" t="s">
        <v>164</v>
      </c>
      <c r="JLV71" s="353" t="s">
        <v>121</v>
      </c>
      <c r="JLW71" s="159" t="s">
        <v>18</v>
      </c>
      <c r="JLX71" s="160">
        <v>8100</v>
      </c>
      <c r="JLY71" s="169">
        <v>85</v>
      </c>
      <c r="JLZ71" s="170">
        <v>215</v>
      </c>
      <c r="JMA71" s="170">
        <v>75</v>
      </c>
      <c r="JMB71" s="169">
        <v>150</v>
      </c>
      <c r="JMC71" s="171">
        <f>SUM(JLX71:JMB71)</f>
        <v>8625</v>
      </c>
      <c r="JMD71" s="169">
        <v>200</v>
      </c>
      <c r="JME71" s="171">
        <f>SUM(JMC71:JMD71)</f>
        <v>8825</v>
      </c>
      <c r="JMF71" s="163" t="s">
        <v>114</v>
      </c>
      <c r="JMG71" s="164">
        <v>45845</v>
      </c>
      <c r="JMH71" s="159" t="s">
        <v>42</v>
      </c>
      <c r="JMI71" s="354" t="s">
        <v>150</v>
      </c>
      <c r="JMJ71" s="165" t="s">
        <v>124</v>
      </c>
      <c r="JMK71" s="352" t="s">
        <v>164</v>
      </c>
      <c r="JML71" s="353" t="s">
        <v>121</v>
      </c>
      <c r="JMM71" s="159" t="s">
        <v>18</v>
      </c>
      <c r="JMN71" s="160">
        <v>8100</v>
      </c>
      <c r="JMO71" s="169">
        <v>85</v>
      </c>
      <c r="JMP71" s="170">
        <v>215</v>
      </c>
      <c r="JMQ71" s="170">
        <v>75</v>
      </c>
      <c r="JMR71" s="169">
        <v>150</v>
      </c>
      <c r="JMS71" s="171">
        <f>SUM(JMN71:JMR71)</f>
        <v>8625</v>
      </c>
      <c r="JMT71" s="169">
        <v>200</v>
      </c>
      <c r="JMU71" s="171">
        <f>SUM(JMS71:JMT71)</f>
        <v>8825</v>
      </c>
      <c r="JMV71" s="163" t="s">
        <v>114</v>
      </c>
      <c r="JMW71" s="164">
        <v>45845</v>
      </c>
      <c r="JMX71" s="159" t="s">
        <v>42</v>
      </c>
      <c r="JMY71" s="354" t="s">
        <v>150</v>
      </c>
      <c r="JMZ71" s="165" t="s">
        <v>124</v>
      </c>
      <c r="JNA71" s="352" t="s">
        <v>164</v>
      </c>
      <c r="JNB71" s="353" t="s">
        <v>121</v>
      </c>
      <c r="JNC71" s="159" t="s">
        <v>18</v>
      </c>
      <c r="JND71" s="160">
        <v>8100</v>
      </c>
      <c r="JNE71" s="169">
        <v>85</v>
      </c>
      <c r="JNF71" s="170">
        <v>215</v>
      </c>
      <c r="JNG71" s="170">
        <v>75</v>
      </c>
      <c r="JNH71" s="169">
        <v>150</v>
      </c>
      <c r="JNI71" s="171">
        <f>SUM(JND71:JNH71)</f>
        <v>8625</v>
      </c>
      <c r="JNJ71" s="169">
        <v>200</v>
      </c>
      <c r="JNK71" s="171">
        <f>SUM(JNI71:JNJ71)</f>
        <v>8825</v>
      </c>
      <c r="JNL71" s="163" t="s">
        <v>114</v>
      </c>
      <c r="JNM71" s="164">
        <v>45845</v>
      </c>
      <c r="JNN71" s="159" t="s">
        <v>42</v>
      </c>
      <c r="JNO71" s="354" t="s">
        <v>150</v>
      </c>
      <c r="JNP71" s="165" t="s">
        <v>124</v>
      </c>
      <c r="JNQ71" s="352" t="s">
        <v>164</v>
      </c>
      <c r="JNR71" s="353" t="s">
        <v>121</v>
      </c>
      <c r="JNS71" s="159" t="s">
        <v>18</v>
      </c>
      <c r="JNT71" s="160">
        <v>8100</v>
      </c>
      <c r="JNU71" s="169">
        <v>85</v>
      </c>
      <c r="JNV71" s="170">
        <v>215</v>
      </c>
      <c r="JNW71" s="170">
        <v>75</v>
      </c>
      <c r="JNX71" s="169">
        <v>150</v>
      </c>
      <c r="JNY71" s="171">
        <f>SUM(JNT71:JNX71)</f>
        <v>8625</v>
      </c>
      <c r="JNZ71" s="169">
        <v>200</v>
      </c>
      <c r="JOA71" s="171">
        <f>SUM(JNY71:JNZ71)</f>
        <v>8825</v>
      </c>
      <c r="JOB71" s="163" t="s">
        <v>114</v>
      </c>
      <c r="JOC71" s="164">
        <v>45845</v>
      </c>
      <c r="JOD71" s="159" t="s">
        <v>42</v>
      </c>
      <c r="JOE71" s="354" t="s">
        <v>150</v>
      </c>
      <c r="JOF71" s="165" t="s">
        <v>124</v>
      </c>
      <c r="JOG71" s="352" t="s">
        <v>164</v>
      </c>
      <c r="JOH71" s="353" t="s">
        <v>121</v>
      </c>
      <c r="JOI71" s="159" t="s">
        <v>18</v>
      </c>
      <c r="JOJ71" s="160">
        <v>8100</v>
      </c>
      <c r="JOK71" s="169">
        <v>85</v>
      </c>
      <c r="JOL71" s="170">
        <v>215</v>
      </c>
      <c r="JOM71" s="170">
        <v>75</v>
      </c>
      <c r="JON71" s="169">
        <v>150</v>
      </c>
      <c r="JOO71" s="171">
        <f>SUM(JOJ71:JON71)</f>
        <v>8625</v>
      </c>
      <c r="JOP71" s="169">
        <v>200</v>
      </c>
      <c r="JOQ71" s="171">
        <f>SUM(JOO71:JOP71)</f>
        <v>8825</v>
      </c>
      <c r="JOR71" s="163" t="s">
        <v>114</v>
      </c>
      <c r="JOS71" s="164">
        <v>45845</v>
      </c>
      <c r="JOT71" s="159" t="s">
        <v>42</v>
      </c>
      <c r="JOU71" s="354" t="s">
        <v>150</v>
      </c>
      <c r="JOV71" s="165" t="s">
        <v>124</v>
      </c>
      <c r="JOW71" s="352" t="s">
        <v>164</v>
      </c>
      <c r="JOX71" s="353" t="s">
        <v>121</v>
      </c>
      <c r="JOY71" s="159" t="s">
        <v>18</v>
      </c>
      <c r="JOZ71" s="160">
        <v>8100</v>
      </c>
      <c r="JPA71" s="169">
        <v>85</v>
      </c>
      <c r="JPB71" s="170">
        <v>215</v>
      </c>
      <c r="JPC71" s="170">
        <v>75</v>
      </c>
      <c r="JPD71" s="169">
        <v>150</v>
      </c>
      <c r="JPE71" s="171">
        <f>SUM(JOZ71:JPD71)</f>
        <v>8625</v>
      </c>
      <c r="JPF71" s="169">
        <v>200</v>
      </c>
      <c r="JPG71" s="171">
        <f>SUM(JPE71:JPF71)</f>
        <v>8825</v>
      </c>
      <c r="JPH71" s="163" t="s">
        <v>114</v>
      </c>
      <c r="JPI71" s="164">
        <v>45845</v>
      </c>
      <c r="JPJ71" s="159" t="s">
        <v>42</v>
      </c>
      <c r="JPK71" s="354" t="s">
        <v>150</v>
      </c>
      <c r="JPL71" s="165" t="s">
        <v>124</v>
      </c>
      <c r="JPM71" s="352" t="s">
        <v>164</v>
      </c>
      <c r="JPN71" s="353" t="s">
        <v>121</v>
      </c>
      <c r="JPO71" s="159" t="s">
        <v>18</v>
      </c>
      <c r="JPP71" s="160">
        <v>8100</v>
      </c>
      <c r="JPQ71" s="169">
        <v>85</v>
      </c>
      <c r="JPR71" s="170">
        <v>215</v>
      </c>
      <c r="JPS71" s="170">
        <v>75</v>
      </c>
      <c r="JPT71" s="169">
        <v>150</v>
      </c>
      <c r="JPU71" s="171">
        <f>SUM(JPP71:JPT71)</f>
        <v>8625</v>
      </c>
      <c r="JPV71" s="169">
        <v>200</v>
      </c>
      <c r="JPW71" s="171">
        <f>SUM(JPU71:JPV71)</f>
        <v>8825</v>
      </c>
      <c r="JPX71" s="163" t="s">
        <v>114</v>
      </c>
      <c r="JPY71" s="164">
        <v>45845</v>
      </c>
      <c r="JPZ71" s="159" t="s">
        <v>42</v>
      </c>
      <c r="JQA71" s="354" t="s">
        <v>150</v>
      </c>
      <c r="JQB71" s="165" t="s">
        <v>124</v>
      </c>
      <c r="JQC71" s="352" t="s">
        <v>164</v>
      </c>
      <c r="JQD71" s="353" t="s">
        <v>121</v>
      </c>
      <c r="JQE71" s="159" t="s">
        <v>18</v>
      </c>
      <c r="JQF71" s="160">
        <v>8100</v>
      </c>
      <c r="JQG71" s="169">
        <v>85</v>
      </c>
      <c r="JQH71" s="170">
        <v>215</v>
      </c>
      <c r="JQI71" s="170">
        <v>75</v>
      </c>
      <c r="JQJ71" s="169">
        <v>150</v>
      </c>
      <c r="JQK71" s="171">
        <f>SUM(JQF71:JQJ71)</f>
        <v>8625</v>
      </c>
      <c r="JQL71" s="169">
        <v>200</v>
      </c>
      <c r="JQM71" s="171">
        <f>SUM(JQK71:JQL71)</f>
        <v>8825</v>
      </c>
      <c r="JQN71" s="163" t="s">
        <v>114</v>
      </c>
      <c r="JQO71" s="164">
        <v>45845</v>
      </c>
      <c r="JQP71" s="159" t="s">
        <v>42</v>
      </c>
      <c r="JQQ71" s="354" t="s">
        <v>150</v>
      </c>
      <c r="JQR71" s="165" t="s">
        <v>124</v>
      </c>
      <c r="JQS71" s="352" t="s">
        <v>164</v>
      </c>
      <c r="JQT71" s="353" t="s">
        <v>121</v>
      </c>
      <c r="JQU71" s="159" t="s">
        <v>18</v>
      </c>
      <c r="JQV71" s="160">
        <v>8100</v>
      </c>
      <c r="JQW71" s="169">
        <v>85</v>
      </c>
      <c r="JQX71" s="170">
        <v>215</v>
      </c>
      <c r="JQY71" s="170">
        <v>75</v>
      </c>
      <c r="JQZ71" s="169">
        <v>150</v>
      </c>
      <c r="JRA71" s="171">
        <f>SUM(JQV71:JQZ71)</f>
        <v>8625</v>
      </c>
      <c r="JRB71" s="169">
        <v>200</v>
      </c>
      <c r="JRC71" s="171">
        <f>SUM(JRA71:JRB71)</f>
        <v>8825</v>
      </c>
      <c r="JRD71" s="163" t="s">
        <v>114</v>
      </c>
      <c r="JRE71" s="164">
        <v>45845</v>
      </c>
      <c r="JRF71" s="159" t="s">
        <v>42</v>
      </c>
      <c r="JRG71" s="354" t="s">
        <v>150</v>
      </c>
      <c r="JRH71" s="165" t="s">
        <v>124</v>
      </c>
      <c r="JRI71" s="352" t="s">
        <v>164</v>
      </c>
      <c r="JRJ71" s="353" t="s">
        <v>121</v>
      </c>
      <c r="JRK71" s="159" t="s">
        <v>18</v>
      </c>
      <c r="JRL71" s="160">
        <v>8100</v>
      </c>
      <c r="JRM71" s="169">
        <v>85</v>
      </c>
      <c r="JRN71" s="170">
        <v>215</v>
      </c>
      <c r="JRO71" s="170">
        <v>75</v>
      </c>
      <c r="JRP71" s="169">
        <v>150</v>
      </c>
      <c r="JRQ71" s="171">
        <f>SUM(JRL71:JRP71)</f>
        <v>8625</v>
      </c>
      <c r="JRR71" s="169">
        <v>200</v>
      </c>
      <c r="JRS71" s="171">
        <f>SUM(JRQ71:JRR71)</f>
        <v>8825</v>
      </c>
      <c r="JRT71" s="163" t="s">
        <v>114</v>
      </c>
      <c r="JRU71" s="164">
        <v>45845</v>
      </c>
      <c r="JRV71" s="159" t="s">
        <v>42</v>
      </c>
      <c r="JRW71" s="354" t="s">
        <v>150</v>
      </c>
      <c r="JRX71" s="165" t="s">
        <v>124</v>
      </c>
      <c r="JRY71" s="352" t="s">
        <v>164</v>
      </c>
      <c r="JRZ71" s="353" t="s">
        <v>121</v>
      </c>
      <c r="JSA71" s="159" t="s">
        <v>18</v>
      </c>
      <c r="JSB71" s="160">
        <v>8100</v>
      </c>
      <c r="JSC71" s="169">
        <v>85</v>
      </c>
      <c r="JSD71" s="170">
        <v>215</v>
      </c>
      <c r="JSE71" s="170">
        <v>75</v>
      </c>
      <c r="JSF71" s="169">
        <v>150</v>
      </c>
      <c r="JSG71" s="171">
        <f>SUM(JSB71:JSF71)</f>
        <v>8625</v>
      </c>
      <c r="JSH71" s="169">
        <v>200</v>
      </c>
      <c r="JSI71" s="171">
        <f>SUM(JSG71:JSH71)</f>
        <v>8825</v>
      </c>
      <c r="JSJ71" s="163" t="s">
        <v>114</v>
      </c>
      <c r="JSK71" s="164">
        <v>45845</v>
      </c>
      <c r="JSL71" s="159" t="s">
        <v>42</v>
      </c>
      <c r="JSM71" s="354" t="s">
        <v>150</v>
      </c>
      <c r="JSN71" s="165" t="s">
        <v>124</v>
      </c>
      <c r="JSO71" s="352" t="s">
        <v>164</v>
      </c>
      <c r="JSP71" s="353" t="s">
        <v>121</v>
      </c>
      <c r="JSQ71" s="159" t="s">
        <v>18</v>
      </c>
      <c r="JSR71" s="160">
        <v>8100</v>
      </c>
      <c r="JSS71" s="169">
        <v>85</v>
      </c>
      <c r="JST71" s="170">
        <v>215</v>
      </c>
      <c r="JSU71" s="170">
        <v>75</v>
      </c>
      <c r="JSV71" s="169">
        <v>150</v>
      </c>
      <c r="JSW71" s="171">
        <f>SUM(JSR71:JSV71)</f>
        <v>8625</v>
      </c>
      <c r="JSX71" s="169">
        <v>200</v>
      </c>
      <c r="JSY71" s="171">
        <f>SUM(JSW71:JSX71)</f>
        <v>8825</v>
      </c>
      <c r="JSZ71" s="163" t="s">
        <v>114</v>
      </c>
      <c r="JTA71" s="164">
        <v>45845</v>
      </c>
      <c r="JTB71" s="159" t="s">
        <v>42</v>
      </c>
      <c r="JTC71" s="354" t="s">
        <v>150</v>
      </c>
      <c r="JTD71" s="165" t="s">
        <v>124</v>
      </c>
      <c r="JTE71" s="352" t="s">
        <v>164</v>
      </c>
      <c r="JTF71" s="353" t="s">
        <v>121</v>
      </c>
      <c r="JTG71" s="159" t="s">
        <v>18</v>
      </c>
      <c r="JTH71" s="160">
        <v>8100</v>
      </c>
      <c r="JTI71" s="169">
        <v>85</v>
      </c>
      <c r="JTJ71" s="170">
        <v>215</v>
      </c>
      <c r="JTK71" s="170">
        <v>75</v>
      </c>
      <c r="JTL71" s="169">
        <v>150</v>
      </c>
      <c r="JTM71" s="171">
        <f>SUM(JTH71:JTL71)</f>
        <v>8625</v>
      </c>
      <c r="JTN71" s="169">
        <v>200</v>
      </c>
      <c r="JTO71" s="171">
        <f>SUM(JTM71:JTN71)</f>
        <v>8825</v>
      </c>
      <c r="JTP71" s="163" t="s">
        <v>114</v>
      </c>
      <c r="JTQ71" s="164">
        <v>45845</v>
      </c>
      <c r="JTR71" s="159" t="s">
        <v>42</v>
      </c>
      <c r="JTS71" s="354" t="s">
        <v>150</v>
      </c>
      <c r="JTT71" s="165" t="s">
        <v>124</v>
      </c>
      <c r="JTU71" s="352" t="s">
        <v>164</v>
      </c>
      <c r="JTV71" s="353" t="s">
        <v>121</v>
      </c>
      <c r="JTW71" s="159" t="s">
        <v>18</v>
      </c>
      <c r="JTX71" s="160">
        <v>8100</v>
      </c>
      <c r="JTY71" s="169">
        <v>85</v>
      </c>
      <c r="JTZ71" s="170">
        <v>215</v>
      </c>
      <c r="JUA71" s="170">
        <v>75</v>
      </c>
      <c r="JUB71" s="169">
        <v>150</v>
      </c>
      <c r="JUC71" s="171">
        <f>SUM(JTX71:JUB71)</f>
        <v>8625</v>
      </c>
      <c r="JUD71" s="169">
        <v>200</v>
      </c>
      <c r="JUE71" s="171">
        <f>SUM(JUC71:JUD71)</f>
        <v>8825</v>
      </c>
      <c r="JUF71" s="163" t="s">
        <v>114</v>
      </c>
      <c r="JUG71" s="164">
        <v>45845</v>
      </c>
      <c r="JUH71" s="159" t="s">
        <v>42</v>
      </c>
      <c r="JUI71" s="354" t="s">
        <v>150</v>
      </c>
      <c r="JUJ71" s="165" t="s">
        <v>124</v>
      </c>
      <c r="JUK71" s="352" t="s">
        <v>164</v>
      </c>
      <c r="JUL71" s="353" t="s">
        <v>121</v>
      </c>
      <c r="JUM71" s="159" t="s">
        <v>18</v>
      </c>
      <c r="JUN71" s="160">
        <v>8100</v>
      </c>
      <c r="JUO71" s="169">
        <v>85</v>
      </c>
      <c r="JUP71" s="170">
        <v>215</v>
      </c>
      <c r="JUQ71" s="170">
        <v>75</v>
      </c>
      <c r="JUR71" s="169">
        <v>150</v>
      </c>
      <c r="JUS71" s="171">
        <f>SUM(JUN71:JUR71)</f>
        <v>8625</v>
      </c>
      <c r="JUT71" s="169">
        <v>200</v>
      </c>
      <c r="JUU71" s="171">
        <f>SUM(JUS71:JUT71)</f>
        <v>8825</v>
      </c>
      <c r="JUV71" s="163" t="s">
        <v>114</v>
      </c>
      <c r="JUW71" s="164">
        <v>45845</v>
      </c>
      <c r="JUX71" s="159" t="s">
        <v>42</v>
      </c>
      <c r="JUY71" s="354" t="s">
        <v>150</v>
      </c>
      <c r="JUZ71" s="165" t="s">
        <v>124</v>
      </c>
      <c r="JVA71" s="352" t="s">
        <v>164</v>
      </c>
      <c r="JVB71" s="353" t="s">
        <v>121</v>
      </c>
      <c r="JVC71" s="159" t="s">
        <v>18</v>
      </c>
      <c r="JVD71" s="160">
        <v>8100</v>
      </c>
      <c r="JVE71" s="169">
        <v>85</v>
      </c>
      <c r="JVF71" s="170">
        <v>215</v>
      </c>
      <c r="JVG71" s="170">
        <v>75</v>
      </c>
      <c r="JVH71" s="169">
        <v>150</v>
      </c>
      <c r="JVI71" s="171">
        <f>SUM(JVD71:JVH71)</f>
        <v>8625</v>
      </c>
      <c r="JVJ71" s="169">
        <v>200</v>
      </c>
      <c r="JVK71" s="171">
        <f>SUM(JVI71:JVJ71)</f>
        <v>8825</v>
      </c>
      <c r="JVL71" s="163" t="s">
        <v>114</v>
      </c>
      <c r="JVM71" s="164">
        <v>45845</v>
      </c>
      <c r="JVN71" s="159" t="s">
        <v>42</v>
      </c>
      <c r="JVO71" s="354" t="s">
        <v>150</v>
      </c>
      <c r="JVP71" s="165" t="s">
        <v>124</v>
      </c>
      <c r="JVQ71" s="352" t="s">
        <v>164</v>
      </c>
      <c r="JVR71" s="353" t="s">
        <v>121</v>
      </c>
      <c r="JVS71" s="159" t="s">
        <v>18</v>
      </c>
      <c r="JVT71" s="160">
        <v>8100</v>
      </c>
      <c r="JVU71" s="169">
        <v>85</v>
      </c>
      <c r="JVV71" s="170">
        <v>215</v>
      </c>
      <c r="JVW71" s="170">
        <v>75</v>
      </c>
      <c r="JVX71" s="169">
        <v>150</v>
      </c>
      <c r="JVY71" s="171">
        <f>SUM(JVT71:JVX71)</f>
        <v>8625</v>
      </c>
      <c r="JVZ71" s="169">
        <v>200</v>
      </c>
      <c r="JWA71" s="171">
        <f>SUM(JVY71:JVZ71)</f>
        <v>8825</v>
      </c>
      <c r="JWB71" s="163" t="s">
        <v>114</v>
      </c>
      <c r="JWC71" s="164">
        <v>45845</v>
      </c>
      <c r="JWD71" s="159" t="s">
        <v>42</v>
      </c>
      <c r="JWE71" s="354" t="s">
        <v>150</v>
      </c>
      <c r="JWF71" s="165" t="s">
        <v>124</v>
      </c>
      <c r="JWG71" s="352" t="s">
        <v>164</v>
      </c>
      <c r="JWH71" s="353" t="s">
        <v>121</v>
      </c>
      <c r="JWI71" s="159" t="s">
        <v>18</v>
      </c>
      <c r="JWJ71" s="160">
        <v>8100</v>
      </c>
      <c r="JWK71" s="169">
        <v>85</v>
      </c>
      <c r="JWL71" s="170">
        <v>215</v>
      </c>
      <c r="JWM71" s="170">
        <v>75</v>
      </c>
      <c r="JWN71" s="169">
        <v>150</v>
      </c>
      <c r="JWO71" s="171">
        <f>SUM(JWJ71:JWN71)</f>
        <v>8625</v>
      </c>
      <c r="JWP71" s="169">
        <v>200</v>
      </c>
      <c r="JWQ71" s="171">
        <f>SUM(JWO71:JWP71)</f>
        <v>8825</v>
      </c>
      <c r="JWR71" s="163" t="s">
        <v>114</v>
      </c>
      <c r="JWS71" s="164">
        <v>45845</v>
      </c>
      <c r="JWT71" s="159" t="s">
        <v>42</v>
      </c>
      <c r="JWU71" s="354" t="s">
        <v>150</v>
      </c>
      <c r="JWV71" s="165" t="s">
        <v>124</v>
      </c>
      <c r="JWW71" s="352" t="s">
        <v>164</v>
      </c>
      <c r="JWX71" s="353" t="s">
        <v>121</v>
      </c>
      <c r="JWY71" s="159" t="s">
        <v>18</v>
      </c>
      <c r="JWZ71" s="160">
        <v>8100</v>
      </c>
      <c r="JXA71" s="169">
        <v>85</v>
      </c>
      <c r="JXB71" s="170">
        <v>215</v>
      </c>
      <c r="JXC71" s="170">
        <v>75</v>
      </c>
      <c r="JXD71" s="169">
        <v>150</v>
      </c>
      <c r="JXE71" s="171">
        <f>SUM(JWZ71:JXD71)</f>
        <v>8625</v>
      </c>
      <c r="JXF71" s="169">
        <v>200</v>
      </c>
      <c r="JXG71" s="171">
        <f>SUM(JXE71:JXF71)</f>
        <v>8825</v>
      </c>
      <c r="JXH71" s="163" t="s">
        <v>114</v>
      </c>
      <c r="JXI71" s="164">
        <v>45845</v>
      </c>
      <c r="JXJ71" s="159" t="s">
        <v>42</v>
      </c>
      <c r="JXK71" s="354" t="s">
        <v>150</v>
      </c>
      <c r="JXL71" s="165" t="s">
        <v>124</v>
      </c>
      <c r="JXM71" s="352" t="s">
        <v>164</v>
      </c>
      <c r="JXN71" s="353" t="s">
        <v>121</v>
      </c>
      <c r="JXO71" s="159" t="s">
        <v>18</v>
      </c>
      <c r="JXP71" s="160">
        <v>8100</v>
      </c>
      <c r="JXQ71" s="169">
        <v>85</v>
      </c>
      <c r="JXR71" s="170">
        <v>215</v>
      </c>
      <c r="JXS71" s="170">
        <v>75</v>
      </c>
      <c r="JXT71" s="169">
        <v>150</v>
      </c>
      <c r="JXU71" s="171">
        <f>SUM(JXP71:JXT71)</f>
        <v>8625</v>
      </c>
      <c r="JXV71" s="169">
        <v>200</v>
      </c>
      <c r="JXW71" s="171">
        <f>SUM(JXU71:JXV71)</f>
        <v>8825</v>
      </c>
      <c r="JXX71" s="163" t="s">
        <v>114</v>
      </c>
      <c r="JXY71" s="164">
        <v>45845</v>
      </c>
      <c r="JXZ71" s="159" t="s">
        <v>42</v>
      </c>
      <c r="JYA71" s="354" t="s">
        <v>150</v>
      </c>
      <c r="JYB71" s="165" t="s">
        <v>124</v>
      </c>
      <c r="JYC71" s="352" t="s">
        <v>164</v>
      </c>
      <c r="JYD71" s="353" t="s">
        <v>121</v>
      </c>
      <c r="JYE71" s="159" t="s">
        <v>18</v>
      </c>
      <c r="JYF71" s="160">
        <v>8100</v>
      </c>
      <c r="JYG71" s="169">
        <v>85</v>
      </c>
      <c r="JYH71" s="170">
        <v>215</v>
      </c>
      <c r="JYI71" s="170">
        <v>75</v>
      </c>
      <c r="JYJ71" s="169">
        <v>150</v>
      </c>
      <c r="JYK71" s="171">
        <f>SUM(JYF71:JYJ71)</f>
        <v>8625</v>
      </c>
      <c r="JYL71" s="169">
        <v>200</v>
      </c>
      <c r="JYM71" s="171">
        <f>SUM(JYK71:JYL71)</f>
        <v>8825</v>
      </c>
      <c r="JYN71" s="163" t="s">
        <v>114</v>
      </c>
      <c r="JYO71" s="164">
        <v>45845</v>
      </c>
      <c r="JYP71" s="159" t="s">
        <v>42</v>
      </c>
      <c r="JYQ71" s="354" t="s">
        <v>150</v>
      </c>
      <c r="JYR71" s="165" t="s">
        <v>124</v>
      </c>
      <c r="JYS71" s="352" t="s">
        <v>164</v>
      </c>
      <c r="JYT71" s="353" t="s">
        <v>121</v>
      </c>
      <c r="JYU71" s="159" t="s">
        <v>18</v>
      </c>
      <c r="JYV71" s="160">
        <v>8100</v>
      </c>
      <c r="JYW71" s="169">
        <v>85</v>
      </c>
      <c r="JYX71" s="170">
        <v>215</v>
      </c>
      <c r="JYY71" s="170">
        <v>75</v>
      </c>
      <c r="JYZ71" s="169">
        <v>150</v>
      </c>
      <c r="JZA71" s="171">
        <f>SUM(JYV71:JYZ71)</f>
        <v>8625</v>
      </c>
      <c r="JZB71" s="169">
        <v>200</v>
      </c>
      <c r="JZC71" s="171">
        <f>SUM(JZA71:JZB71)</f>
        <v>8825</v>
      </c>
      <c r="JZD71" s="163" t="s">
        <v>114</v>
      </c>
      <c r="JZE71" s="164">
        <v>45845</v>
      </c>
      <c r="JZF71" s="159" t="s">
        <v>42</v>
      </c>
      <c r="JZG71" s="354" t="s">
        <v>150</v>
      </c>
      <c r="JZH71" s="165" t="s">
        <v>124</v>
      </c>
      <c r="JZI71" s="352" t="s">
        <v>164</v>
      </c>
      <c r="JZJ71" s="353" t="s">
        <v>121</v>
      </c>
      <c r="JZK71" s="159" t="s">
        <v>18</v>
      </c>
      <c r="JZL71" s="160">
        <v>8100</v>
      </c>
      <c r="JZM71" s="169">
        <v>85</v>
      </c>
      <c r="JZN71" s="170">
        <v>215</v>
      </c>
      <c r="JZO71" s="170">
        <v>75</v>
      </c>
      <c r="JZP71" s="169">
        <v>150</v>
      </c>
      <c r="JZQ71" s="171">
        <f>SUM(JZL71:JZP71)</f>
        <v>8625</v>
      </c>
      <c r="JZR71" s="169">
        <v>200</v>
      </c>
      <c r="JZS71" s="171">
        <f>SUM(JZQ71:JZR71)</f>
        <v>8825</v>
      </c>
      <c r="JZT71" s="163" t="s">
        <v>114</v>
      </c>
      <c r="JZU71" s="164">
        <v>45845</v>
      </c>
      <c r="JZV71" s="159" t="s">
        <v>42</v>
      </c>
      <c r="JZW71" s="354" t="s">
        <v>150</v>
      </c>
      <c r="JZX71" s="165" t="s">
        <v>124</v>
      </c>
      <c r="JZY71" s="352" t="s">
        <v>164</v>
      </c>
      <c r="JZZ71" s="353" t="s">
        <v>121</v>
      </c>
      <c r="KAA71" s="159" t="s">
        <v>18</v>
      </c>
      <c r="KAB71" s="160">
        <v>8100</v>
      </c>
      <c r="KAC71" s="169">
        <v>85</v>
      </c>
      <c r="KAD71" s="170">
        <v>215</v>
      </c>
      <c r="KAE71" s="170">
        <v>75</v>
      </c>
      <c r="KAF71" s="169">
        <v>150</v>
      </c>
      <c r="KAG71" s="171">
        <f>SUM(KAB71:KAF71)</f>
        <v>8625</v>
      </c>
      <c r="KAH71" s="169">
        <v>200</v>
      </c>
      <c r="KAI71" s="171">
        <f>SUM(KAG71:KAH71)</f>
        <v>8825</v>
      </c>
      <c r="KAJ71" s="163" t="s">
        <v>114</v>
      </c>
      <c r="KAK71" s="164">
        <v>45845</v>
      </c>
      <c r="KAL71" s="159" t="s">
        <v>42</v>
      </c>
      <c r="KAM71" s="354" t="s">
        <v>150</v>
      </c>
      <c r="KAN71" s="165" t="s">
        <v>124</v>
      </c>
      <c r="KAO71" s="352" t="s">
        <v>164</v>
      </c>
      <c r="KAP71" s="353" t="s">
        <v>121</v>
      </c>
      <c r="KAQ71" s="159" t="s">
        <v>18</v>
      </c>
      <c r="KAR71" s="160">
        <v>8100</v>
      </c>
      <c r="KAS71" s="169">
        <v>85</v>
      </c>
      <c r="KAT71" s="170">
        <v>215</v>
      </c>
      <c r="KAU71" s="170">
        <v>75</v>
      </c>
      <c r="KAV71" s="169">
        <v>150</v>
      </c>
      <c r="KAW71" s="171">
        <f>SUM(KAR71:KAV71)</f>
        <v>8625</v>
      </c>
      <c r="KAX71" s="169">
        <v>200</v>
      </c>
      <c r="KAY71" s="171">
        <f>SUM(KAW71:KAX71)</f>
        <v>8825</v>
      </c>
      <c r="KAZ71" s="163" t="s">
        <v>114</v>
      </c>
      <c r="KBA71" s="164">
        <v>45845</v>
      </c>
      <c r="KBB71" s="159" t="s">
        <v>42</v>
      </c>
      <c r="KBC71" s="354" t="s">
        <v>150</v>
      </c>
      <c r="KBD71" s="165" t="s">
        <v>124</v>
      </c>
      <c r="KBE71" s="352" t="s">
        <v>164</v>
      </c>
      <c r="KBF71" s="353" t="s">
        <v>121</v>
      </c>
      <c r="KBG71" s="159" t="s">
        <v>18</v>
      </c>
      <c r="KBH71" s="160">
        <v>8100</v>
      </c>
      <c r="KBI71" s="169">
        <v>85</v>
      </c>
      <c r="KBJ71" s="170">
        <v>215</v>
      </c>
      <c r="KBK71" s="170">
        <v>75</v>
      </c>
      <c r="KBL71" s="169">
        <v>150</v>
      </c>
      <c r="KBM71" s="171">
        <f>SUM(KBH71:KBL71)</f>
        <v>8625</v>
      </c>
      <c r="KBN71" s="169">
        <v>200</v>
      </c>
      <c r="KBO71" s="171">
        <f>SUM(KBM71:KBN71)</f>
        <v>8825</v>
      </c>
      <c r="KBP71" s="163" t="s">
        <v>114</v>
      </c>
      <c r="KBQ71" s="164">
        <v>45845</v>
      </c>
      <c r="KBR71" s="159" t="s">
        <v>42</v>
      </c>
      <c r="KBS71" s="354" t="s">
        <v>150</v>
      </c>
      <c r="KBT71" s="165" t="s">
        <v>124</v>
      </c>
      <c r="KBU71" s="352" t="s">
        <v>164</v>
      </c>
      <c r="KBV71" s="353" t="s">
        <v>121</v>
      </c>
      <c r="KBW71" s="159" t="s">
        <v>18</v>
      </c>
      <c r="KBX71" s="160">
        <v>8100</v>
      </c>
      <c r="KBY71" s="169">
        <v>85</v>
      </c>
      <c r="KBZ71" s="170">
        <v>215</v>
      </c>
      <c r="KCA71" s="170">
        <v>75</v>
      </c>
      <c r="KCB71" s="169">
        <v>150</v>
      </c>
      <c r="KCC71" s="171">
        <f>SUM(KBX71:KCB71)</f>
        <v>8625</v>
      </c>
      <c r="KCD71" s="169">
        <v>200</v>
      </c>
      <c r="KCE71" s="171">
        <f>SUM(KCC71:KCD71)</f>
        <v>8825</v>
      </c>
      <c r="KCF71" s="163" t="s">
        <v>114</v>
      </c>
      <c r="KCG71" s="164">
        <v>45845</v>
      </c>
      <c r="KCH71" s="159" t="s">
        <v>42</v>
      </c>
      <c r="KCI71" s="354" t="s">
        <v>150</v>
      </c>
      <c r="KCJ71" s="165" t="s">
        <v>124</v>
      </c>
      <c r="KCK71" s="352" t="s">
        <v>164</v>
      </c>
      <c r="KCL71" s="353" t="s">
        <v>121</v>
      </c>
      <c r="KCM71" s="159" t="s">
        <v>18</v>
      </c>
      <c r="KCN71" s="160">
        <v>8100</v>
      </c>
      <c r="KCO71" s="169">
        <v>85</v>
      </c>
      <c r="KCP71" s="170">
        <v>215</v>
      </c>
      <c r="KCQ71" s="170">
        <v>75</v>
      </c>
      <c r="KCR71" s="169">
        <v>150</v>
      </c>
      <c r="KCS71" s="171">
        <f>SUM(KCN71:KCR71)</f>
        <v>8625</v>
      </c>
      <c r="KCT71" s="169">
        <v>200</v>
      </c>
      <c r="KCU71" s="171">
        <f>SUM(KCS71:KCT71)</f>
        <v>8825</v>
      </c>
      <c r="KCV71" s="163" t="s">
        <v>114</v>
      </c>
      <c r="KCW71" s="164">
        <v>45845</v>
      </c>
      <c r="KCX71" s="159" t="s">
        <v>42</v>
      </c>
      <c r="KCY71" s="354" t="s">
        <v>150</v>
      </c>
      <c r="KCZ71" s="165" t="s">
        <v>124</v>
      </c>
      <c r="KDA71" s="352" t="s">
        <v>164</v>
      </c>
      <c r="KDB71" s="353" t="s">
        <v>121</v>
      </c>
      <c r="KDC71" s="159" t="s">
        <v>18</v>
      </c>
      <c r="KDD71" s="160">
        <v>8100</v>
      </c>
      <c r="KDE71" s="169">
        <v>85</v>
      </c>
      <c r="KDF71" s="170">
        <v>215</v>
      </c>
      <c r="KDG71" s="170">
        <v>75</v>
      </c>
      <c r="KDH71" s="169">
        <v>150</v>
      </c>
      <c r="KDI71" s="171">
        <f>SUM(KDD71:KDH71)</f>
        <v>8625</v>
      </c>
      <c r="KDJ71" s="169">
        <v>200</v>
      </c>
      <c r="KDK71" s="171">
        <f>SUM(KDI71:KDJ71)</f>
        <v>8825</v>
      </c>
      <c r="KDL71" s="163" t="s">
        <v>114</v>
      </c>
      <c r="KDM71" s="164">
        <v>45845</v>
      </c>
      <c r="KDN71" s="159" t="s">
        <v>42</v>
      </c>
      <c r="KDO71" s="354" t="s">
        <v>150</v>
      </c>
      <c r="KDP71" s="165" t="s">
        <v>124</v>
      </c>
      <c r="KDQ71" s="352" t="s">
        <v>164</v>
      </c>
      <c r="KDR71" s="353" t="s">
        <v>121</v>
      </c>
      <c r="KDS71" s="159" t="s">
        <v>18</v>
      </c>
      <c r="KDT71" s="160">
        <v>8100</v>
      </c>
      <c r="KDU71" s="169">
        <v>85</v>
      </c>
      <c r="KDV71" s="170">
        <v>215</v>
      </c>
      <c r="KDW71" s="170">
        <v>75</v>
      </c>
      <c r="KDX71" s="169">
        <v>150</v>
      </c>
      <c r="KDY71" s="171">
        <f>SUM(KDT71:KDX71)</f>
        <v>8625</v>
      </c>
      <c r="KDZ71" s="169">
        <v>200</v>
      </c>
      <c r="KEA71" s="171">
        <f>SUM(KDY71:KDZ71)</f>
        <v>8825</v>
      </c>
      <c r="KEB71" s="163" t="s">
        <v>114</v>
      </c>
      <c r="KEC71" s="164">
        <v>45845</v>
      </c>
      <c r="KED71" s="159" t="s">
        <v>42</v>
      </c>
      <c r="KEE71" s="354" t="s">
        <v>150</v>
      </c>
      <c r="KEF71" s="165" t="s">
        <v>124</v>
      </c>
      <c r="KEG71" s="352" t="s">
        <v>164</v>
      </c>
      <c r="KEH71" s="353" t="s">
        <v>121</v>
      </c>
      <c r="KEI71" s="159" t="s">
        <v>18</v>
      </c>
      <c r="KEJ71" s="160">
        <v>8100</v>
      </c>
      <c r="KEK71" s="169">
        <v>85</v>
      </c>
      <c r="KEL71" s="170">
        <v>215</v>
      </c>
      <c r="KEM71" s="170">
        <v>75</v>
      </c>
      <c r="KEN71" s="169">
        <v>150</v>
      </c>
      <c r="KEO71" s="171">
        <f>SUM(KEJ71:KEN71)</f>
        <v>8625</v>
      </c>
      <c r="KEP71" s="169">
        <v>200</v>
      </c>
      <c r="KEQ71" s="171">
        <f>SUM(KEO71:KEP71)</f>
        <v>8825</v>
      </c>
      <c r="KER71" s="163" t="s">
        <v>114</v>
      </c>
      <c r="KES71" s="164">
        <v>45845</v>
      </c>
      <c r="KET71" s="159" t="s">
        <v>42</v>
      </c>
      <c r="KEU71" s="354" t="s">
        <v>150</v>
      </c>
      <c r="KEV71" s="165" t="s">
        <v>124</v>
      </c>
      <c r="KEW71" s="352" t="s">
        <v>164</v>
      </c>
      <c r="KEX71" s="353" t="s">
        <v>121</v>
      </c>
      <c r="KEY71" s="159" t="s">
        <v>18</v>
      </c>
      <c r="KEZ71" s="160">
        <v>8100</v>
      </c>
      <c r="KFA71" s="169">
        <v>85</v>
      </c>
      <c r="KFB71" s="170">
        <v>215</v>
      </c>
      <c r="KFC71" s="170">
        <v>75</v>
      </c>
      <c r="KFD71" s="169">
        <v>150</v>
      </c>
      <c r="KFE71" s="171">
        <f>SUM(KEZ71:KFD71)</f>
        <v>8625</v>
      </c>
      <c r="KFF71" s="169">
        <v>200</v>
      </c>
      <c r="KFG71" s="171">
        <f>SUM(KFE71:KFF71)</f>
        <v>8825</v>
      </c>
      <c r="KFH71" s="163" t="s">
        <v>114</v>
      </c>
      <c r="KFI71" s="164">
        <v>45845</v>
      </c>
      <c r="KFJ71" s="159" t="s">
        <v>42</v>
      </c>
      <c r="KFK71" s="354" t="s">
        <v>150</v>
      </c>
      <c r="KFL71" s="165" t="s">
        <v>124</v>
      </c>
      <c r="KFM71" s="352" t="s">
        <v>164</v>
      </c>
      <c r="KFN71" s="353" t="s">
        <v>121</v>
      </c>
      <c r="KFO71" s="159" t="s">
        <v>18</v>
      </c>
      <c r="KFP71" s="160">
        <v>8100</v>
      </c>
      <c r="KFQ71" s="169">
        <v>85</v>
      </c>
      <c r="KFR71" s="170">
        <v>215</v>
      </c>
      <c r="KFS71" s="170">
        <v>75</v>
      </c>
      <c r="KFT71" s="169">
        <v>150</v>
      </c>
      <c r="KFU71" s="171">
        <f>SUM(KFP71:KFT71)</f>
        <v>8625</v>
      </c>
      <c r="KFV71" s="169">
        <v>200</v>
      </c>
      <c r="KFW71" s="171">
        <f>SUM(KFU71:KFV71)</f>
        <v>8825</v>
      </c>
      <c r="KFX71" s="163" t="s">
        <v>114</v>
      </c>
      <c r="KFY71" s="164">
        <v>45845</v>
      </c>
      <c r="KFZ71" s="159" t="s">
        <v>42</v>
      </c>
      <c r="KGA71" s="354" t="s">
        <v>150</v>
      </c>
      <c r="KGB71" s="165" t="s">
        <v>124</v>
      </c>
      <c r="KGC71" s="352" t="s">
        <v>164</v>
      </c>
      <c r="KGD71" s="353" t="s">
        <v>121</v>
      </c>
      <c r="KGE71" s="159" t="s">
        <v>18</v>
      </c>
      <c r="KGF71" s="160">
        <v>8100</v>
      </c>
      <c r="KGG71" s="169">
        <v>85</v>
      </c>
      <c r="KGH71" s="170">
        <v>215</v>
      </c>
      <c r="KGI71" s="170">
        <v>75</v>
      </c>
      <c r="KGJ71" s="169">
        <v>150</v>
      </c>
      <c r="KGK71" s="171">
        <f>SUM(KGF71:KGJ71)</f>
        <v>8625</v>
      </c>
      <c r="KGL71" s="169">
        <v>200</v>
      </c>
      <c r="KGM71" s="171">
        <f>SUM(KGK71:KGL71)</f>
        <v>8825</v>
      </c>
      <c r="KGN71" s="163" t="s">
        <v>114</v>
      </c>
      <c r="KGO71" s="164">
        <v>45845</v>
      </c>
      <c r="KGP71" s="159" t="s">
        <v>42</v>
      </c>
      <c r="KGQ71" s="354" t="s">
        <v>150</v>
      </c>
      <c r="KGR71" s="165" t="s">
        <v>124</v>
      </c>
      <c r="KGS71" s="352" t="s">
        <v>164</v>
      </c>
      <c r="KGT71" s="353" t="s">
        <v>121</v>
      </c>
      <c r="KGU71" s="159" t="s">
        <v>18</v>
      </c>
      <c r="KGV71" s="160">
        <v>8100</v>
      </c>
      <c r="KGW71" s="169">
        <v>85</v>
      </c>
      <c r="KGX71" s="170">
        <v>215</v>
      </c>
      <c r="KGY71" s="170">
        <v>75</v>
      </c>
      <c r="KGZ71" s="169">
        <v>150</v>
      </c>
      <c r="KHA71" s="171">
        <f>SUM(KGV71:KGZ71)</f>
        <v>8625</v>
      </c>
      <c r="KHB71" s="169">
        <v>200</v>
      </c>
      <c r="KHC71" s="171">
        <f>SUM(KHA71:KHB71)</f>
        <v>8825</v>
      </c>
      <c r="KHD71" s="163" t="s">
        <v>114</v>
      </c>
      <c r="KHE71" s="164">
        <v>45845</v>
      </c>
      <c r="KHF71" s="159" t="s">
        <v>42</v>
      </c>
      <c r="KHG71" s="354" t="s">
        <v>150</v>
      </c>
      <c r="KHH71" s="165" t="s">
        <v>124</v>
      </c>
      <c r="KHI71" s="352" t="s">
        <v>164</v>
      </c>
      <c r="KHJ71" s="353" t="s">
        <v>121</v>
      </c>
      <c r="KHK71" s="159" t="s">
        <v>18</v>
      </c>
      <c r="KHL71" s="160">
        <v>8100</v>
      </c>
      <c r="KHM71" s="169">
        <v>85</v>
      </c>
      <c r="KHN71" s="170">
        <v>215</v>
      </c>
      <c r="KHO71" s="170">
        <v>75</v>
      </c>
      <c r="KHP71" s="169">
        <v>150</v>
      </c>
      <c r="KHQ71" s="171">
        <f>SUM(KHL71:KHP71)</f>
        <v>8625</v>
      </c>
      <c r="KHR71" s="169">
        <v>200</v>
      </c>
      <c r="KHS71" s="171">
        <f>SUM(KHQ71:KHR71)</f>
        <v>8825</v>
      </c>
      <c r="KHT71" s="163" t="s">
        <v>114</v>
      </c>
      <c r="KHU71" s="164">
        <v>45845</v>
      </c>
      <c r="KHV71" s="159" t="s">
        <v>42</v>
      </c>
      <c r="KHW71" s="354" t="s">
        <v>150</v>
      </c>
      <c r="KHX71" s="165" t="s">
        <v>124</v>
      </c>
      <c r="KHY71" s="352" t="s">
        <v>164</v>
      </c>
      <c r="KHZ71" s="353" t="s">
        <v>121</v>
      </c>
      <c r="KIA71" s="159" t="s">
        <v>18</v>
      </c>
      <c r="KIB71" s="160">
        <v>8100</v>
      </c>
      <c r="KIC71" s="169">
        <v>85</v>
      </c>
      <c r="KID71" s="170">
        <v>215</v>
      </c>
      <c r="KIE71" s="170">
        <v>75</v>
      </c>
      <c r="KIF71" s="169">
        <v>150</v>
      </c>
      <c r="KIG71" s="171">
        <f>SUM(KIB71:KIF71)</f>
        <v>8625</v>
      </c>
      <c r="KIH71" s="169">
        <v>200</v>
      </c>
      <c r="KII71" s="171">
        <f>SUM(KIG71:KIH71)</f>
        <v>8825</v>
      </c>
      <c r="KIJ71" s="163" t="s">
        <v>114</v>
      </c>
      <c r="KIK71" s="164">
        <v>45845</v>
      </c>
      <c r="KIL71" s="159" t="s">
        <v>42</v>
      </c>
      <c r="KIM71" s="354" t="s">
        <v>150</v>
      </c>
      <c r="KIN71" s="165" t="s">
        <v>124</v>
      </c>
      <c r="KIO71" s="352" t="s">
        <v>164</v>
      </c>
      <c r="KIP71" s="353" t="s">
        <v>121</v>
      </c>
      <c r="KIQ71" s="159" t="s">
        <v>18</v>
      </c>
      <c r="KIR71" s="160">
        <v>8100</v>
      </c>
      <c r="KIS71" s="169">
        <v>85</v>
      </c>
      <c r="KIT71" s="170">
        <v>215</v>
      </c>
      <c r="KIU71" s="170">
        <v>75</v>
      </c>
      <c r="KIV71" s="169">
        <v>150</v>
      </c>
      <c r="KIW71" s="171">
        <f>SUM(KIR71:KIV71)</f>
        <v>8625</v>
      </c>
      <c r="KIX71" s="169">
        <v>200</v>
      </c>
      <c r="KIY71" s="171">
        <f>SUM(KIW71:KIX71)</f>
        <v>8825</v>
      </c>
      <c r="KIZ71" s="163" t="s">
        <v>114</v>
      </c>
      <c r="KJA71" s="164">
        <v>45845</v>
      </c>
      <c r="KJB71" s="159" t="s">
        <v>42</v>
      </c>
      <c r="KJC71" s="354" t="s">
        <v>150</v>
      </c>
      <c r="KJD71" s="165" t="s">
        <v>124</v>
      </c>
      <c r="KJE71" s="352" t="s">
        <v>164</v>
      </c>
      <c r="KJF71" s="353" t="s">
        <v>121</v>
      </c>
      <c r="KJG71" s="159" t="s">
        <v>18</v>
      </c>
      <c r="KJH71" s="160">
        <v>8100</v>
      </c>
      <c r="KJI71" s="169">
        <v>85</v>
      </c>
      <c r="KJJ71" s="170">
        <v>215</v>
      </c>
      <c r="KJK71" s="170">
        <v>75</v>
      </c>
      <c r="KJL71" s="169">
        <v>150</v>
      </c>
      <c r="KJM71" s="171">
        <f>SUM(KJH71:KJL71)</f>
        <v>8625</v>
      </c>
      <c r="KJN71" s="169">
        <v>200</v>
      </c>
      <c r="KJO71" s="171">
        <f>SUM(KJM71:KJN71)</f>
        <v>8825</v>
      </c>
      <c r="KJP71" s="163" t="s">
        <v>114</v>
      </c>
      <c r="KJQ71" s="164">
        <v>45845</v>
      </c>
      <c r="KJR71" s="159" t="s">
        <v>42</v>
      </c>
      <c r="KJS71" s="354" t="s">
        <v>150</v>
      </c>
      <c r="KJT71" s="165" t="s">
        <v>124</v>
      </c>
      <c r="KJU71" s="352" t="s">
        <v>164</v>
      </c>
      <c r="KJV71" s="353" t="s">
        <v>121</v>
      </c>
      <c r="KJW71" s="159" t="s">
        <v>18</v>
      </c>
      <c r="KJX71" s="160">
        <v>8100</v>
      </c>
      <c r="KJY71" s="169">
        <v>85</v>
      </c>
      <c r="KJZ71" s="170">
        <v>215</v>
      </c>
      <c r="KKA71" s="170">
        <v>75</v>
      </c>
      <c r="KKB71" s="169">
        <v>150</v>
      </c>
      <c r="KKC71" s="171">
        <f>SUM(KJX71:KKB71)</f>
        <v>8625</v>
      </c>
      <c r="KKD71" s="169">
        <v>200</v>
      </c>
      <c r="KKE71" s="171">
        <f>SUM(KKC71:KKD71)</f>
        <v>8825</v>
      </c>
      <c r="KKF71" s="163" t="s">
        <v>114</v>
      </c>
      <c r="KKG71" s="164">
        <v>45845</v>
      </c>
      <c r="KKH71" s="159" t="s">
        <v>42</v>
      </c>
      <c r="KKI71" s="354" t="s">
        <v>150</v>
      </c>
      <c r="KKJ71" s="165" t="s">
        <v>124</v>
      </c>
      <c r="KKK71" s="352" t="s">
        <v>164</v>
      </c>
      <c r="KKL71" s="353" t="s">
        <v>121</v>
      </c>
      <c r="KKM71" s="159" t="s">
        <v>18</v>
      </c>
      <c r="KKN71" s="160">
        <v>8100</v>
      </c>
      <c r="KKO71" s="169">
        <v>85</v>
      </c>
      <c r="KKP71" s="170">
        <v>215</v>
      </c>
      <c r="KKQ71" s="170">
        <v>75</v>
      </c>
      <c r="KKR71" s="169">
        <v>150</v>
      </c>
      <c r="KKS71" s="171">
        <f>SUM(KKN71:KKR71)</f>
        <v>8625</v>
      </c>
      <c r="KKT71" s="169">
        <v>200</v>
      </c>
      <c r="KKU71" s="171">
        <f>SUM(KKS71:KKT71)</f>
        <v>8825</v>
      </c>
      <c r="KKV71" s="163" t="s">
        <v>114</v>
      </c>
      <c r="KKW71" s="164">
        <v>45845</v>
      </c>
      <c r="KKX71" s="159" t="s">
        <v>42</v>
      </c>
      <c r="KKY71" s="354" t="s">
        <v>150</v>
      </c>
      <c r="KKZ71" s="165" t="s">
        <v>124</v>
      </c>
      <c r="KLA71" s="352" t="s">
        <v>164</v>
      </c>
      <c r="KLB71" s="353" t="s">
        <v>121</v>
      </c>
      <c r="KLC71" s="159" t="s">
        <v>18</v>
      </c>
      <c r="KLD71" s="160">
        <v>8100</v>
      </c>
      <c r="KLE71" s="169">
        <v>85</v>
      </c>
      <c r="KLF71" s="170">
        <v>215</v>
      </c>
      <c r="KLG71" s="170">
        <v>75</v>
      </c>
      <c r="KLH71" s="169">
        <v>150</v>
      </c>
      <c r="KLI71" s="171">
        <f>SUM(KLD71:KLH71)</f>
        <v>8625</v>
      </c>
      <c r="KLJ71" s="169">
        <v>200</v>
      </c>
      <c r="KLK71" s="171">
        <f>SUM(KLI71:KLJ71)</f>
        <v>8825</v>
      </c>
      <c r="KLL71" s="163" t="s">
        <v>114</v>
      </c>
      <c r="KLM71" s="164">
        <v>45845</v>
      </c>
      <c r="KLN71" s="159" t="s">
        <v>42</v>
      </c>
      <c r="KLO71" s="354" t="s">
        <v>150</v>
      </c>
      <c r="KLP71" s="165" t="s">
        <v>124</v>
      </c>
      <c r="KLQ71" s="352" t="s">
        <v>164</v>
      </c>
      <c r="KLR71" s="353" t="s">
        <v>121</v>
      </c>
      <c r="KLS71" s="159" t="s">
        <v>18</v>
      </c>
      <c r="KLT71" s="160">
        <v>8100</v>
      </c>
      <c r="KLU71" s="169">
        <v>85</v>
      </c>
      <c r="KLV71" s="170">
        <v>215</v>
      </c>
      <c r="KLW71" s="170">
        <v>75</v>
      </c>
      <c r="KLX71" s="169">
        <v>150</v>
      </c>
      <c r="KLY71" s="171">
        <f>SUM(KLT71:KLX71)</f>
        <v>8625</v>
      </c>
      <c r="KLZ71" s="169">
        <v>200</v>
      </c>
      <c r="KMA71" s="171">
        <f>SUM(KLY71:KLZ71)</f>
        <v>8825</v>
      </c>
      <c r="KMB71" s="163" t="s">
        <v>114</v>
      </c>
      <c r="KMC71" s="164">
        <v>45845</v>
      </c>
      <c r="KMD71" s="159" t="s">
        <v>42</v>
      </c>
      <c r="KME71" s="354" t="s">
        <v>150</v>
      </c>
      <c r="KMF71" s="165" t="s">
        <v>124</v>
      </c>
      <c r="KMG71" s="352" t="s">
        <v>164</v>
      </c>
      <c r="KMH71" s="353" t="s">
        <v>121</v>
      </c>
      <c r="KMI71" s="159" t="s">
        <v>18</v>
      </c>
      <c r="KMJ71" s="160">
        <v>8100</v>
      </c>
      <c r="KMK71" s="169">
        <v>85</v>
      </c>
      <c r="KML71" s="170">
        <v>215</v>
      </c>
      <c r="KMM71" s="170">
        <v>75</v>
      </c>
      <c r="KMN71" s="169">
        <v>150</v>
      </c>
      <c r="KMO71" s="171">
        <f>SUM(KMJ71:KMN71)</f>
        <v>8625</v>
      </c>
      <c r="KMP71" s="169">
        <v>200</v>
      </c>
      <c r="KMQ71" s="171">
        <f>SUM(KMO71:KMP71)</f>
        <v>8825</v>
      </c>
      <c r="KMR71" s="163" t="s">
        <v>114</v>
      </c>
      <c r="KMS71" s="164">
        <v>45845</v>
      </c>
      <c r="KMT71" s="159" t="s">
        <v>42</v>
      </c>
      <c r="KMU71" s="354" t="s">
        <v>150</v>
      </c>
      <c r="KMV71" s="165" t="s">
        <v>124</v>
      </c>
      <c r="KMW71" s="352" t="s">
        <v>164</v>
      </c>
      <c r="KMX71" s="353" t="s">
        <v>121</v>
      </c>
      <c r="KMY71" s="159" t="s">
        <v>18</v>
      </c>
      <c r="KMZ71" s="160">
        <v>8100</v>
      </c>
      <c r="KNA71" s="169">
        <v>85</v>
      </c>
      <c r="KNB71" s="170">
        <v>215</v>
      </c>
      <c r="KNC71" s="170">
        <v>75</v>
      </c>
      <c r="KND71" s="169">
        <v>150</v>
      </c>
      <c r="KNE71" s="171">
        <f>SUM(KMZ71:KND71)</f>
        <v>8625</v>
      </c>
      <c r="KNF71" s="169">
        <v>200</v>
      </c>
      <c r="KNG71" s="171">
        <f>SUM(KNE71:KNF71)</f>
        <v>8825</v>
      </c>
      <c r="KNH71" s="163" t="s">
        <v>114</v>
      </c>
      <c r="KNI71" s="164">
        <v>45845</v>
      </c>
      <c r="KNJ71" s="159" t="s">
        <v>42</v>
      </c>
      <c r="KNK71" s="354" t="s">
        <v>150</v>
      </c>
      <c r="KNL71" s="165" t="s">
        <v>124</v>
      </c>
      <c r="KNM71" s="352" t="s">
        <v>164</v>
      </c>
      <c r="KNN71" s="353" t="s">
        <v>121</v>
      </c>
      <c r="KNO71" s="159" t="s">
        <v>18</v>
      </c>
      <c r="KNP71" s="160">
        <v>8100</v>
      </c>
      <c r="KNQ71" s="169">
        <v>85</v>
      </c>
      <c r="KNR71" s="170">
        <v>215</v>
      </c>
      <c r="KNS71" s="170">
        <v>75</v>
      </c>
      <c r="KNT71" s="169">
        <v>150</v>
      </c>
      <c r="KNU71" s="171">
        <f>SUM(KNP71:KNT71)</f>
        <v>8625</v>
      </c>
      <c r="KNV71" s="169">
        <v>200</v>
      </c>
      <c r="KNW71" s="171">
        <f>SUM(KNU71:KNV71)</f>
        <v>8825</v>
      </c>
      <c r="KNX71" s="163" t="s">
        <v>114</v>
      </c>
      <c r="KNY71" s="164">
        <v>45845</v>
      </c>
      <c r="KNZ71" s="159" t="s">
        <v>42</v>
      </c>
      <c r="KOA71" s="354" t="s">
        <v>150</v>
      </c>
      <c r="KOB71" s="165" t="s">
        <v>124</v>
      </c>
      <c r="KOC71" s="352" t="s">
        <v>164</v>
      </c>
      <c r="KOD71" s="353" t="s">
        <v>121</v>
      </c>
      <c r="KOE71" s="159" t="s">
        <v>18</v>
      </c>
      <c r="KOF71" s="160">
        <v>8100</v>
      </c>
      <c r="KOG71" s="169">
        <v>85</v>
      </c>
      <c r="KOH71" s="170">
        <v>215</v>
      </c>
      <c r="KOI71" s="170">
        <v>75</v>
      </c>
      <c r="KOJ71" s="169">
        <v>150</v>
      </c>
      <c r="KOK71" s="171">
        <f>SUM(KOF71:KOJ71)</f>
        <v>8625</v>
      </c>
      <c r="KOL71" s="169">
        <v>200</v>
      </c>
      <c r="KOM71" s="171">
        <f>SUM(KOK71:KOL71)</f>
        <v>8825</v>
      </c>
      <c r="KON71" s="163" t="s">
        <v>114</v>
      </c>
      <c r="KOO71" s="164">
        <v>45845</v>
      </c>
      <c r="KOP71" s="159" t="s">
        <v>42</v>
      </c>
      <c r="KOQ71" s="354" t="s">
        <v>150</v>
      </c>
      <c r="KOR71" s="165" t="s">
        <v>124</v>
      </c>
      <c r="KOS71" s="352" t="s">
        <v>164</v>
      </c>
      <c r="KOT71" s="353" t="s">
        <v>121</v>
      </c>
      <c r="KOU71" s="159" t="s">
        <v>18</v>
      </c>
      <c r="KOV71" s="160">
        <v>8100</v>
      </c>
      <c r="KOW71" s="169">
        <v>85</v>
      </c>
      <c r="KOX71" s="170">
        <v>215</v>
      </c>
      <c r="KOY71" s="170">
        <v>75</v>
      </c>
      <c r="KOZ71" s="169">
        <v>150</v>
      </c>
      <c r="KPA71" s="171">
        <f>SUM(KOV71:KOZ71)</f>
        <v>8625</v>
      </c>
      <c r="KPB71" s="169">
        <v>200</v>
      </c>
      <c r="KPC71" s="171">
        <f>SUM(KPA71:KPB71)</f>
        <v>8825</v>
      </c>
      <c r="KPD71" s="163" t="s">
        <v>114</v>
      </c>
      <c r="KPE71" s="164">
        <v>45845</v>
      </c>
      <c r="KPF71" s="159" t="s">
        <v>42</v>
      </c>
      <c r="KPG71" s="354" t="s">
        <v>150</v>
      </c>
      <c r="KPH71" s="165" t="s">
        <v>124</v>
      </c>
      <c r="KPI71" s="352" t="s">
        <v>164</v>
      </c>
      <c r="KPJ71" s="353" t="s">
        <v>121</v>
      </c>
      <c r="KPK71" s="159" t="s">
        <v>18</v>
      </c>
      <c r="KPL71" s="160">
        <v>8100</v>
      </c>
      <c r="KPM71" s="169">
        <v>85</v>
      </c>
      <c r="KPN71" s="170">
        <v>215</v>
      </c>
      <c r="KPO71" s="170">
        <v>75</v>
      </c>
      <c r="KPP71" s="169">
        <v>150</v>
      </c>
      <c r="KPQ71" s="171">
        <f>SUM(KPL71:KPP71)</f>
        <v>8625</v>
      </c>
      <c r="KPR71" s="169">
        <v>200</v>
      </c>
      <c r="KPS71" s="171">
        <f>SUM(KPQ71:KPR71)</f>
        <v>8825</v>
      </c>
      <c r="KPT71" s="163" t="s">
        <v>114</v>
      </c>
      <c r="KPU71" s="164">
        <v>45845</v>
      </c>
      <c r="KPV71" s="159" t="s">
        <v>42</v>
      </c>
      <c r="KPW71" s="354" t="s">
        <v>150</v>
      </c>
      <c r="KPX71" s="165" t="s">
        <v>124</v>
      </c>
      <c r="KPY71" s="352" t="s">
        <v>164</v>
      </c>
      <c r="KPZ71" s="353" t="s">
        <v>121</v>
      </c>
      <c r="KQA71" s="159" t="s">
        <v>18</v>
      </c>
      <c r="KQB71" s="160">
        <v>8100</v>
      </c>
      <c r="KQC71" s="169">
        <v>85</v>
      </c>
      <c r="KQD71" s="170">
        <v>215</v>
      </c>
      <c r="KQE71" s="170">
        <v>75</v>
      </c>
      <c r="KQF71" s="169">
        <v>150</v>
      </c>
      <c r="KQG71" s="171">
        <f>SUM(KQB71:KQF71)</f>
        <v>8625</v>
      </c>
      <c r="KQH71" s="169">
        <v>200</v>
      </c>
      <c r="KQI71" s="171">
        <f>SUM(KQG71:KQH71)</f>
        <v>8825</v>
      </c>
      <c r="KQJ71" s="163" t="s">
        <v>114</v>
      </c>
      <c r="KQK71" s="164">
        <v>45845</v>
      </c>
      <c r="KQL71" s="159" t="s">
        <v>42</v>
      </c>
      <c r="KQM71" s="354" t="s">
        <v>150</v>
      </c>
      <c r="KQN71" s="165" t="s">
        <v>124</v>
      </c>
      <c r="KQO71" s="352" t="s">
        <v>164</v>
      </c>
      <c r="KQP71" s="353" t="s">
        <v>121</v>
      </c>
      <c r="KQQ71" s="159" t="s">
        <v>18</v>
      </c>
      <c r="KQR71" s="160">
        <v>8100</v>
      </c>
      <c r="KQS71" s="169">
        <v>85</v>
      </c>
      <c r="KQT71" s="170">
        <v>215</v>
      </c>
      <c r="KQU71" s="170">
        <v>75</v>
      </c>
      <c r="KQV71" s="169">
        <v>150</v>
      </c>
      <c r="KQW71" s="171">
        <f>SUM(KQR71:KQV71)</f>
        <v>8625</v>
      </c>
      <c r="KQX71" s="169">
        <v>200</v>
      </c>
      <c r="KQY71" s="171">
        <f>SUM(KQW71:KQX71)</f>
        <v>8825</v>
      </c>
      <c r="KQZ71" s="163" t="s">
        <v>114</v>
      </c>
      <c r="KRA71" s="164">
        <v>45845</v>
      </c>
      <c r="KRB71" s="159" t="s">
        <v>42</v>
      </c>
      <c r="KRC71" s="354" t="s">
        <v>150</v>
      </c>
      <c r="KRD71" s="165" t="s">
        <v>124</v>
      </c>
      <c r="KRE71" s="352" t="s">
        <v>164</v>
      </c>
      <c r="KRF71" s="353" t="s">
        <v>121</v>
      </c>
      <c r="KRG71" s="159" t="s">
        <v>18</v>
      </c>
      <c r="KRH71" s="160">
        <v>8100</v>
      </c>
      <c r="KRI71" s="169">
        <v>85</v>
      </c>
      <c r="KRJ71" s="170">
        <v>215</v>
      </c>
      <c r="KRK71" s="170">
        <v>75</v>
      </c>
      <c r="KRL71" s="169">
        <v>150</v>
      </c>
      <c r="KRM71" s="171">
        <f>SUM(KRH71:KRL71)</f>
        <v>8625</v>
      </c>
      <c r="KRN71" s="169">
        <v>200</v>
      </c>
      <c r="KRO71" s="171">
        <f>SUM(KRM71:KRN71)</f>
        <v>8825</v>
      </c>
      <c r="KRP71" s="163" t="s">
        <v>114</v>
      </c>
      <c r="KRQ71" s="164">
        <v>45845</v>
      </c>
      <c r="KRR71" s="159" t="s">
        <v>42</v>
      </c>
      <c r="KRS71" s="354" t="s">
        <v>150</v>
      </c>
      <c r="KRT71" s="165" t="s">
        <v>124</v>
      </c>
      <c r="KRU71" s="352" t="s">
        <v>164</v>
      </c>
      <c r="KRV71" s="353" t="s">
        <v>121</v>
      </c>
      <c r="KRW71" s="159" t="s">
        <v>18</v>
      </c>
      <c r="KRX71" s="160">
        <v>8100</v>
      </c>
      <c r="KRY71" s="169">
        <v>85</v>
      </c>
      <c r="KRZ71" s="170">
        <v>215</v>
      </c>
      <c r="KSA71" s="170">
        <v>75</v>
      </c>
      <c r="KSB71" s="169">
        <v>150</v>
      </c>
      <c r="KSC71" s="171">
        <f>SUM(KRX71:KSB71)</f>
        <v>8625</v>
      </c>
      <c r="KSD71" s="169">
        <v>200</v>
      </c>
      <c r="KSE71" s="171">
        <f>SUM(KSC71:KSD71)</f>
        <v>8825</v>
      </c>
      <c r="KSF71" s="163" t="s">
        <v>114</v>
      </c>
      <c r="KSG71" s="164">
        <v>45845</v>
      </c>
      <c r="KSH71" s="159" t="s">
        <v>42</v>
      </c>
      <c r="KSI71" s="354" t="s">
        <v>150</v>
      </c>
      <c r="KSJ71" s="165" t="s">
        <v>124</v>
      </c>
      <c r="KSK71" s="352" t="s">
        <v>164</v>
      </c>
      <c r="KSL71" s="353" t="s">
        <v>121</v>
      </c>
      <c r="KSM71" s="159" t="s">
        <v>18</v>
      </c>
      <c r="KSN71" s="160">
        <v>8100</v>
      </c>
      <c r="KSO71" s="169">
        <v>85</v>
      </c>
      <c r="KSP71" s="170">
        <v>215</v>
      </c>
      <c r="KSQ71" s="170">
        <v>75</v>
      </c>
      <c r="KSR71" s="169">
        <v>150</v>
      </c>
      <c r="KSS71" s="171">
        <f>SUM(KSN71:KSR71)</f>
        <v>8625</v>
      </c>
      <c r="KST71" s="169">
        <v>200</v>
      </c>
      <c r="KSU71" s="171">
        <f>SUM(KSS71:KST71)</f>
        <v>8825</v>
      </c>
      <c r="KSV71" s="163" t="s">
        <v>114</v>
      </c>
      <c r="KSW71" s="164">
        <v>45845</v>
      </c>
      <c r="KSX71" s="159" t="s">
        <v>42</v>
      </c>
      <c r="KSY71" s="354" t="s">
        <v>150</v>
      </c>
      <c r="KSZ71" s="165" t="s">
        <v>124</v>
      </c>
      <c r="KTA71" s="352" t="s">
        <v>164</v>
      </c>
      <c r="KTB71" s="353" t="s">
        <v>121</v>
      </c>
      <c r="KTC71" s="159" t="s">
        <v>18</v>
      </c>
      <c r="KTD71" s="160">
        <v>8100</v>
      </c>
      <c r="KTE71" s="169">
        <v>85</v>
      </c>
      <c r="KTF71" s="170">
        <v>215</v>
      </c>
      <c r="KTG71" s="170">
        <v>75</v>
      </c>
      <c r="KTH71" s="169">
        <v>150</v>
      </c>
      <c r="KTI71" s="171">
        <f>SUM(KTD71:KTH71)</f>
        <v>8625</v>
      </c>
      <c r="KTJ71" s="169">
        <v>200</v>
      </c>
      <c r="KTK71" s="171">
        <f>SUM(KTI71:KTJ71)</f>
        <v>8825</v>
      </c>
      <c r="KTL71" s="163" t="s">
        <v>114</v>
      </c>
      <c r="KTM71" s="164">
        <v>45845</v>
      </c>
      <c r="KTN71" s="159" t="s">
        <v>42</v>
      </c>
      <c r="KTO71" s="354" t="s">
        <v>150</v>
      </c>
      <c r="KTP71" s="165" t="s">
        <v>124</v>
      </c>
      <c r="KTQ71" s="352" t="s">
        <v>164</v>
      </c>
      <c r="KTR71" s="353" t="s">
        <v>121</v>
      </c>
      <c r="KTS71" s="159" t="s">
        <v>18</v>
      </c>
      <c r="KTT71" s="160">
        <v>8100</v>
      </c>
      <c r="KTU71" s="169">
        <v>85</v>
      </c>
      <c r="KTV71" s="170">
        <v>215</v>
      </c>
      <c r="KTW71" s="170">
        <v>75</v>
      </c>
      <c r="KTX71" s="169">
        <v>150</v>
      </c>
      <c r="KTY71" s="171">
        <f>SUM(KTT71:KTX71)</f>
        <v>8625</v>
      </c>
      <c r="KTZ71" s="169">
        <v>200</v>
      </c>
      <c r="KUA71" s="171">
        <f>SUM(KTY71:KTZ71)</f>
        <v>8825</v>
      </c>
      <c r="KUB71" s="163" t="s">
        <v>114</v>
      </c>
      <c r="KUC71" s="164">
        <v>45845</v>
      </c>
      <c r="KUD71" s="159" t="s">
        <v>42</v>
      </c>
      <c r="KUE71" s="354" t="s">
        <v>150</v>
      </c>
      <c r="KUF71" s="165" t="s">
        <v>124</v>
      </c>
      <c r="KUG71" s="352" t="s">
        <v>164</v>
      </c>
      <c r="KUH71" s="353" t="s">
        <v>121</v>
      </c>
      <c r="KUI71" s="159" t="s">
        <v>18</v>
      </c>
      <c r="KUJ71" s="160">
        <v>8100</v>
      </c>
      <c r="KUK71" s="169">
        <v>85</v>
      </c>
      <c r="KUL71" s="170">
        <v>215</v>
      </c>
      <c r="KUM71" s="170">
        <v>75</v>
      </c>
      <c r="KUN71" s="169">
        <v>150</v>
      </c>
      <c r="KUO71" s="171">
        <f>SUM(KUJ71:KUN71)</f>
        <v>8625</v>
      </c>
      <c r="KUP71" s="169">
        <v>200</v>
      </c>
      <c r="KUQ71" s="171">
        <f>SUM(KUO71:KUP71)</f>
        <v>8825</v>
      </c>
      <c r="KUR71" s="163" t="s">
        <v>114</v>
      </c>
      <c r="KUS71" s="164">
        <v>45845</v>
      </c>
      <c r="KUT71" s="159" t="s">
        <v>42</v>
      </c>
      <c r="KUU71" s="354" t="s">
        <v>150</v>
      </c>
      <c r="KUV71" s="165" t="s">
        <v>124</v>
      </c>
      <c r="KUW71" s="352" t="s">
        <v>164</v>
      </c>
      <c r="KUX71" s="353" t="s">
        <v>121</v>
      </c>
      <c r="KUY71" s="159" t="s">
        <v>18</v>
      </c>
      <c r="KUZ71" s="160">
        <v>8100</v>
      </c>
      <c r="KVA71" s="169">
        <v>85</v>
      </c>
      <c r="KVB71" s="170">
        <v>215</v>
      </c>
      <c r="KVC71" s="170">
        <v>75</v>
      </c>
      <c r="KVD71" s="169">
        <v>150</v>
      </c>
      <c r="KVE71" s="171">
        <f>SUM(KUZ71:KVD71)</f>
        <v>8625</v>
      </c>
      <c r="KVF71" s="169">
        <v>200</v>
      </c>
      <c r="KVG71" s="171">
        <f>SUM(KVE71:KVF71)</f>
        <v>8825</v>
      </c>
      <c r="KVH71" s="163" t="s">
        <v>114</v>
      </c>
      <c r="KVI71" s="164">
        <v>45845</v>
      </c>
      <c r="KVJ71" s="159" t="s">
        <v>42</v>
      </c>
      <c r="KVK71" s="354" t="s">
        <v>150</v>
      </c>
      <c r="KVL71" s="165" t="s">
        <v>124</v>
      </c>
      <c r="KVM71" s="352" t="s">
        <v>164</v>
      </c>
      <c r="KVN71" s="353" t="s">
        <v>121</v>
      </c>
      <c r="KVO71" s="159" t="s">
        <v>18</v>
      </c>
      <c r="KVP71" s="160">
        <v>8100</v>
      </c>
      <c r="KVQ71" s="169">
        <v>85</v>
      </c>
      <c r="KVR71" s="170">
        <v>215</v>
      </c>
      <c r="KVS71" s="170">
        <v>75</v>
      </c>
      <c r="KVT71" s="169">
        <v>150</v>
      </c>
      <c r="KVU71" s="171">
        <f>SUM(KVP71:KVT71)</f>
        <v>8625</v>
      </c>
      <c r="KVV71" s="169">
        <v>200</v>
      </c>
      <c r="KVW71" s="171">
        <f>SUM(KVU71:KVV71)</f>
        <v>8825</v>
      </c>
      <c r="KVX71" s="163" t="s">
        <v>114</v>
      </c>
      <c r="KVY71" s="164">
        <v>45845</v>
      </c>
      <c r="KVZ71" s="159" t="s">
        <v>42</v>
      </c>
      <c r="KWA71" s="354" t="s">
        <v>150</v>
      </c>
      <c r="KWB71" s="165" t="s">
        <v>124</v>
      </c>
      <c r="KWC71" s="352" t="s">
        <v>164</v>
      </c>
      <c r="KWD71" s="353" t="s">
        <v>121</v>
      </c>
      <c r="KWE71" s="159" t="s">
        <v>18</v>
      </c>
      <c r="KWF71" s="160">
        <v>8100</v>
      </c>
      <c r="KWG71" s="169">
        <v>85</v>
      </c>
      <c r="KWH71" s="170">
        <v>215</v>
      </c>
      <c r="KWI71" s="170">
        <v>75</v>
      </c>
      <c r="KWJ71" s="169">
        <v>150</v>
      </c>
      <c r="KWK71" s="171">
        <f>SUM(KWF71:KWJ71)</f>
        <v>8625</v>
      </c>
      <c r="KWL71" s="169">
        <v>200</v>
      </c>
      <c r="KWM71" s="171">
        <f>SUM(KWK71:KWL71)</f>
        <v>8825</v>
      </c>
      <c r="KWN71" s="163" t="s">
        <v>114</v>
      </c>
      <c r="KWO71" s="164">
        <v>45845</v>
      </c>
      <c r="KWP71" s="159" t="s">
        <v>42</v>
      </c>
      <c r="KWQ71" s="354" t="s">
        <v>150</v>
      </c>
      <c r="KWR71" s="165" t="s">
        <v>124</v>
      </c>
      <c r="KWS71" s="352" t="s">
        <v>164</v>
      </c>
      <c r="KWT71" s="353" t="s">
        <v>121</v>
      </c>
      <c r="KWU71" s="159" t="s">
        <v>18</v>
      </c>
      <c r="KWV71" s="160">
        <v>8100</v>
      </c>
      <c r="KWW71" s="169">
        <v>85</v>
      </c>
      <c r="KWX71" s="170">
        <v>215</v>
      </c>
      <c r="KWY71" s="170">
        <v>75</v>
      </c>
      <c r="KWZ71" s="169">
        <v>150</v>
      </c>
      <c r="KXA71" s="171">
        <f>SUM(KWV71:KWZ71)</f>
        <v>8625</v>
      </c>
      <c r="KXB71" s="169">
        <v>200</v>
      </c>
      <c r="KXC71" s="171">
        <f>SUM(KXA71:KXB71)</f>
        <v>8825</v>
      </c>
      <c r="KXD71" s="163" t="s">
        <v>114</v>
      </c>
      <c r="KXE71" s="164">
        <v>45845</v>
      </c>
      <c r="KXF71" s="159" t="s">
        <v>42</v>
      </c>
      <c r="KXG71" s="354" t="s">
        <v>150</v>
      </c>
      <c r="KXH71" s="165" t="s">
        <v>124</v>
      </c>
      <c r="KXI71" s="352" t="s">
        <v>164</v>
      </c>
      <c r="KXJ71" s="353" t="s">
        <v>121</v>
      </c>
      <c r="KXK71" s="159" t="s">
        <v>18</v>
      </c>
      <c r="KXL71" s="160">
        <v>8100</v>
      </c>
      <c r="KXM71" s="169">
        <v>85</v>
      </c>
      <c r="KXN71" s="170">
        <v>215</v>
      </c>
      <c r="KXO71" s="170">
        <v>75</v>
      </c>
      <c r="KXP71" s="169">
        <v>150</v>
      </c>
      <c r="KXQ71" s="171">
        <f>SUM(KXL71:KXP71)</f>
        <v>8625</v>
      </c>
      <c r="KXR71" s="169">
        <v>200</v>
      </c>
      <c r="KXS71" s="171">
        <f>SUM(KXQ71:KXR71)</f>
        <v>8825</v>
      </c>
      <c r="KXT71" s="163" t="s">
        <v>114</v>
      </c>
      <c r="KXU71" s="164">
        <v>45845</v>
      </c>
      <c r="KXV71" s="159" t="s">
        <v>42</v>
      </c>
      <c r="KXW71" s="354" t="s">
        <v>150</v>
      </c>
      <c r="KXX71" s="165" t="s">
        <v>124</v>
      </c>
      <c r="KXY71" s="352" t="s">
        <v>164</v>
      </c>
      <c r="KXZ71" s="353" t="s">
        <v>121</v>
      </c>
      <c r="KYA71" s="159" t="s">
        <v>18</v>
      </c>
      <c r="KYB71" s="160">
        <v>8100</v>
      </c>
      <c r="KYC71" s="169">
        <v>85</v>
      </c>
      <c r="KYD71" s="170">
        <v>215</v>
      </c>
      <c r="KYE71" s="170">
        <v>75</v>
      </c>
      <c r="KYF71" s="169">
        <v>150</v>
      </c>
      <c r="KYG71" s="171">
        <f>SUM(KYB71:KYF71)</f>
        <v>8625</v>
      </c>
      <c r="KYH71" s="169">
        <v>200</v>
      </c>
      <c r="KYI71" s="171">
        <f>SUM(KYG71:KYH71)</f>
        <v>8825</v>
      </c>
      <c r="KYJ71" s="163" t="s">
        <v>114</v>
      </c>
      <c r="KYK71" s="164">
        <v>45845</v>
      </c>
      <c r="KYL71" s="159" t="s">
        <v>42</v>
      </c>
      <c r="KYM71" s="354" t="s">
        <v>150</v>
      </c>
      <c r="KYN71" s="165" t="s">
        <v>124</v>
      </c>
      <c r="KYO71" s="352" t="s">
        <v>164</v>
      </c>
      <c r="KYP71" s="353" t="s">
        <v>121</v>
      </c>
      <c r="KYQ71" s="159" t="s">
        <v>18</v>
      </c>
      <c r="KYR71" s="160">
        <v>8100</v>
      </c>
      <c r="KYS71" s="169">
        <v>85</v>
      </c>
      <c r="KYT71" s="170">
        <v>215</v>
      </c>
      <c r="KYU71" s="170">
        <v>75</v>
      </c>
      <c r="KYV71" s="169">
        <v>150</v>
      </c>
      <c r="KYW71" s="171">
        <f>SUM(KYR71:KYV71)</f>
        <v>8625</v>
      </c>
      <c r="KYX71" s="169">
        <v>200</v>
      </c>
      <c r="KYY71" s="171">
        <f>SUM(KYW71:KYX71)</f>
        <v>8825</v>
      </c>
      <c r="KYZ71" s="163" t="s">
        <v>114</v>
      </c>
      <c r="KZA71" s="164">
        <v>45845</v>
      </c>
      <c r="KZB71" s="159" t="s">
        <v>42</v>
      </c>
      <c r="KZC71" s="354" t="s">
        <v>150</v>
      </c>
      <c r="KZD71" s="165" t="s">
        <v>124</v>
      </c>
      <c r="KZE71" s="352" t="s">
        <v>164</v>
      </c>
      <c r="KZF71" s="353" t="s">
        <v>121</v>
      </c>
      <c r="KZG71" s="159" t="s">
        <v>18</v>
      </c>
      <c r="KZH71" s="160">
        <v>8100</v>
      </c>
      <c r="KZI71" s="169">
        <v>85</v>
      </c>
      <c r="KZJ71" s="170">
        <v>215</v>
      </c>
      <c r="KZK71" s="170">
        <v>75</v>
      </c>
      <c r="KZL71" s="169">
        <v>150</v>
      </c>
      <c r="KZM71" s="171">
        <f>SUM(KZH71:KZL71)</f>
        <v>8625</v>
      </c>
      <c r="KZN71" s="169">
        <v>200</v>
      </c>
      <c r="KZO71" s="171">
        <f>SUM(KZM71:KZN71)</f>
        <v>8825</v>
      </c>
      <c r="KZP71" s="163" t="s">
        <v>114</v>
      </c>
      <c r="KZQ71" s="164">
        <v>45845</v>
      </c>
      <c r="KZR71" s="159" t="s">
        <v>42</v>
      </c>
      <c r="KZS71" s="354" t="s">
        <v>150</v>
      </c>
      <c r="KZT71" s="165" t="s">
        <v>124</v>
      </c>
      <c r="KZU71" s="352" t="s">
        <v>164</v>
      </c>
      <c r="KZV71" s="353" t="s">
        <v>121</v>
      </c>
      <c r="KZW71" s="159" t="s">
        <v>18</v>
      </c>
      <c r="KZX71" s="160">
        <v>8100</v>
      </c>
      <c r="KZY71" s="169">
        <v>85</v>
      </c>
      <c r="KZZ71" s="170">
        <v>215</v>
      </c>
      <c r="LAA71" s="170">
        <v>75</v>
      </c>
      <c r="LAB71" s="169">
        <v>150</v>
      </c>
      <c r="LAC71" s="171">
        <f>SUM(KZX71:LAB71)</f>
        <v>8625</v>
      </c>
      <c r="LAD71" s="169">
        <v>200</v>
      </c>
      <c r="LAE71" s="171">
        <f>SUM(LAC71:LAD71)</f>
        <v>8825</v>
      </c>
      <c r="LAF71" s="163" t="s">
        <v>114</v>
      </c>
      <c r="LAG71" s="164">
        <v>45845</v>
      </c>
      <c r="LAH71" s="159" t="s">
        <v>42</v>
      </c>
      <c r="LAI71" s="354" t="s">
        <v>150</v>
      </c>
      <c r="LAJ71" s="165" t="s">
        <v>124</v>
      </c>
      <c r="LAK71" s="352" t="s">
        <v>164</v>
      </c>
      <c r="LAL71" s="353" t="s">
        <v>121</v>
      </c>
      <c r="LAM71" s="159" t="s">
        <v>18</v>
      </c>
      <c r="LAN71" s="160">
        <v>8100</v>
      </c>
      <c r="LAO71" s="169">
        <v>85</v>
      </c>
      <c r="LAP71" s="170">
        <v>215</v>
      </c>
      <c r="LAQ71" s="170">
        <v>75</v>
      </c>
      <c r="LAR71" s="169">
        <v>150</v>
      </c>
      <c r="LAS71" s="171">
        <f>SUM(LAN71:LAR71)</f>
        <v>8625</v>
      </c>
      <c r="LAT71" s="169">
        <v>200</v>
      </c>
      <c r="LAU71" s="171">
        <f>SUM(LAS71:LAT71)</f>
        <v>8825</v>
      </c>
      <c r="LAV71" s="163" t="s">
        <v>114</v>
      </c>
      <c r="LAW71" s="164">
        <v>45845</v>
      </c>
      <c r="LAX71" s="159" t="s">
        <v>42</v>
      </c>
      <c r="LAY71" s="354" t="s">
        <v>150</v>
      </c>
      <c r="LAZ71" s="165" t="s">
        <v>124</v>
      </c>
      <c r="LBA71" s="352" t="s">
        <v>164</v>
      </c>
      <c r="LBB71" s="353" t="s">
        <v>121</v>
      </c>
      <c r="LBC71" s="159" t="s">
        <v>18</v>
      </c>
      <c r="LBD71" s="160">
        <v>8100</v>
      </c>
      <c r="LBE71" s="169">
        <v>85</v>
      </c>
      <c r="LBF71" s="170">
        <v>215</v>
      </c>
      <c r="LBG71" s="170">
        <v>75</v>
      </c>
      <c r="LBH71" s="169">
        <v>150</v>
      </c>
      <c r="LBI71" s="171">
        <f>SUM(LBD71:LBH71)</f>
        <v>8625</v>
      </c>
      <c r="LBJ71" s="169">
        <v>200</v>
      </c>
      <c r="LBK71" s="171">
        <f>SUM(LBI71:LBJ71)</f>
        <v>8825</v>
      </c>
      <c r="LBL71" s="163" t="s">
        <v>114</v>
      </c>
      <c r="LBM71" s="164">
        <v>45845</v>
      </c>
      <c r="LBN71" s="159" t="s">
        <v>42</v>
      </c>
      <c r="LBO71" s="354" t="s">
        <v>150</v>
      </c>
      <c r="LBP71" s="165" t="s">
        <v>124</v>
      </c>
      <c r="LBQ71" s="352" t="s">
        <v>164</v>
      </c>
      <c r="LBR71" s="353" t="s">
        <v>121</v>
      </c>
      <c r="LBS71" s="159" t="s">
        <v>18</v>
      </c>
      <c r="LBT71" s="160">
        <v>8100</v>
      </c>
      <c r="LBU71" s="169">
        <v>85</v>
      </c>
      <c r="LBV71" s="170">
        <v>215</v>
      </c>
      <c r="LBW71" s="170">
        <v>75</v>
      </c>
      <c r="LBX71" s="169">
        <v>150</v>
      </c>
      <c r="LBY71" s="171">
        <f>SUM(LBT71:LBX71)</f>
        <v>8625</v>
      </c>
      <c r="LBZ71" s="169">
        <v>200</v>
      </c>
      <c r="LCA71" s="171">
        <f>SUM(LBY71:LBZ71)</f>
        <v>8825</v>
      </c>
      <c r="LCB71" s="163" t="s">
        <v>114</v>
      </c>
      <c r="LCC71" s="164">
        <v>45845</v>
      </c>
      <c r="LCD71" s="159" t="s">
        <v>42</v>
      </c>
      <c r="LCE71" s="354" t="s">
        <v>150</v>
      </c>
      <c r="LCF71" s="165" t="s">
        <v>124</v>
      </c>
      <c r="LCG71" s="352" t="s">
        <v>164</v>
      </c>
      <c r="LCH71" s="353" t="s">
        <v>121</v>
      </c>
      <c r="LCI71" s="159" t="s">
        <v>18</v>
      </c>
      <c r="LCJ71" s="160">
        <v>8100</v>
      </c>
      <c r="LCK71" s="169">
        <v>85</v>
      </c>
      <c r="LCL71" s="170">
        <v>215</v>
      </c>
      <c r="LCM71" s="170">
        <v>75</v>
      </c>
      <c r="LCN71" s="169">
        <v>150</v>
      </c>
      <c r="LCO71" s="171">
        <f>SUM(LCJ71:LCN71)</f>
        <v>8625</v>
      </c>
      <c r="LCP71" s="169">
        <v>200</v>
      </c>
      <c r="LCQ71" s="171">
        <f>SUM(LCO71:LCP71)</f>
        <v>8825</v>
      </c>
      <c r="LCR71" s="163" t="s">
        <v>114</v>
      </c>
      <c r="LCS71" s="164">
        <v>45845</v>
      </c>
      <c r="LCT71" s="159" t="s">
        <v>42</v>
      </c>
      <c r="LCU71" s="354" t="s">
        <v>150</v>
      </c>
      <c r="LCV71" s="165" t="s">
        <v>124</v>
      </c>
      <c r="LCW71" s="352" t="s">
        <v>164</v>
      </c>
      <c r="LCX71" s="353" t="s">
        <v>121</v>
      </c>
      <c r="LCY71" s="159" t="s">
        <v>18</v>
      </c>
      <c r="LCZ71" s="160">
        <v>8100</v>
      </c>
      <c r="LDA71" s="169">
        <v>85</v>
      </c>
      <c r="LDB71" s="170">
        <v>215</v>
      </c>
      <c r="LDC71" s="170">
        <v>75</v>
      </c>
      <c r="LDD71" s="169">
        <v>150</v>
      </c>
      <c r="LDE71" s="171">
        <f>SUM(LCZ71:LDD71)</f>
        <v>8625</v>
      </c>
      <c r="LDF71" s="169">
        <v>200</v>
      </c>
      <c r="LDG71" s="171">
        <f>SUM(LDE71:LDF71)</f>
        <v>8825</v>
      </c>
      <c r="LDH71" s="163" t="s">
        <v>114</v>
      </c>
      <c r="LDI71" s="164">
        <v>45845</v>
      </c>
      <c r="LDJ71" s="159" t="s">
        <v>42</v>
      </c>
      <c r="LDK71" s="354" t="s">
        <v>150</v>
      </c>
      <c r="LDL71" s="165" t="s">
        <v>124</v>
      </c>
      <c r="LDM71" s="352" t="s">
        <v>164</v>
      </c>
      <c r="LDN71" s="353" t="s">
        <v>121</v>
      </c>
      <c r="LDO71" s="159" t="s">
        <v>18</v>
      </c>
      <c r="LDP71" s="160">
        <v>8100</v>
      </c>
      <c r="LDQ71" s="169">
        <v>85</v>
      </c>
      <c r="LDR71" s="170">
        <v>215</v>
      </c>
      <c r="LDS71" s="170">
        <v>75</v>
      </c>
      <c r="LDT71" s="169">
        <v>150</v>
      </c>
      <c r="LDU71" s="171">
        <f>SUM(LDP71:LDT71)</f>
        <v>8625</v>
      </c>
      <c r="LDV71" s="169">
        <v>200</v>
      </c>
      <c r="LDW71" s="171">
        <f>SUM(LDU71:LDV71)</f>
        <v>8825</v>
      </c>
      <c r="LDX71" s="163" t="s">
        <v>114</v>
      </c>
      <c r="LDY71" s="164">
        <v>45845</v>
      </c>
      <c r="LDZ71" s="159" t="s">
        <v>42</v>
      </c>
      <c r="LEA71" s="354" t="s">
        <v>150</v>
      </c>
      <c r="LEB71" s="165" t="s">
        <v>124</v>
      </c>
      <c r="LEC71" s="352" t="s">
        <v>164</v>
      </c>
      <c r="LED71" s="353" t="s">
        <v>121</v>
      </c>
      <c r="LEE71" s="159" t="s">
        <v>18</v>
      </c>
      <c r="LEF71" s="160">
        <v>8100</v>
      </c>
      <c r="LEG71" s="169">
        <v>85</v>
      </c>
      <c r="LEH71" s="170">
        <v>215</v>
      </c>
      <c r="LEI71" s="170">
        <v>75</v>
      </c>
      <c r="LEJ71" s="169">
        <v>150</v>
      </c>
      <c r="LEK71" s="171">
        <f>SUM(LEF71:LEJ71)</f>
        <v>8625</v>
      </c>
      <c r="LEL71" s="169">
        <v>200</v>
      </c>
      <c r="LEM71" s="171">
        <f>SUM(LEK71:LEL71)</f>
        <v>8825</v>
      </c>
      <c r="LEN71" s="163" t="s">
        <v>114</v>
      </c>
      <c r="LEO71" s="164">
        <v>45845</v>
      </c>
      <c r="LEP71" s="159" t="s">
        <v>42</v>
      </c>
      <c r="LEQ71" s="354" t="s">
        <v>150</v>
      </c>
      <c r="LER71" s="165" t="s">
        <v>124</v>
      </c>
      <c r="LES71" s="352" t="s">
        <v>164</v>
      </c>
      <c r="LET71" s="353" t="s">
        <v>121</v>
      </c>
      <c r="LEU71" s="159" t="s">
        <v>18</v>
      </c>
      <c r="LEV71" s="160">
        <v>8100</v>
      </c>
      <c r="LEW71" s="169">
        <v>85</v>
      </c>
      <c r="LEX71" s="170">
        <v>215</v>
      </c>
      <c r="LEY71" s="170">
        <v>75</v>
      </c>
      <c r="LEZ71" s="169">
        <v>150</v>
      </c>
      <c r="LFA71" s="171">
        <f>SUM(LEV71:LEZ71)</f>
        <v>8625</v>
      </c>
      <c r="LFB71" s="169">
        <v>200</v>
      </c>
      <c r="LFC71" s="171">
        <f>SUM(LFA71:LFB71)</f>
        <v>8825</v>
      </c>
      <c r="LFD71" s="163" t="s">
        <v>114</v>
      </c>
      <c r="LFE71" s="164">
        <v>45845</v>
      </c>
      <c r="LFF71" s="159" t="s">
        <v>42</v>
      </c>
      <c r="LFG71" s="354" t="s">
        <v>150</v>
      </c>
      <c r="LFH71" s="165" t="s">
        <v>124</v>
      </c>
      <c r="LFI71" s="352" t="s">
        <v>164</v>
      </c>
      <c r="LFJ71" s="353" t="s">
        <v>121</v>
      </c>
      <c r="LFK71" s="159" t="s">
        <v>18</v>
      </c>
      <c r="LFL71" s="160">
        <v>8100</v>
      </c>
      <c r="LFM71" s="169">
        <v>85</v>
      </c>
      <c r="LFN71" s="170">
        <v>215</v>
      </c>
      <c r="LFO71" s="170">
        <v>75</v>
      </c>
      <c r="LFP71" s="169">
        <v>150</v>
      </c>
      <c r="LFQ71" s="171">
        <f>SUM(LFL71:LFP71)</f>
        <v>8625</v>
      </c>
      <c r="LFR71" s="169">
        <v>200</v>
      </c>
      <c r="LFS71" s="171">
        <f>SUM(LFQ71:LFR71)</f>
        <v>8825</v>
      </c>
      <c r="LFT71" s="163" t="s">
        <v>114</v>
      </c>
      <c r="LFU71" s="164">
        <v>45845</v>
      </c>
      <c r="LFV71" s="159" t="s">
        <v>42</v>
      </c>
      <c r="LFW71" s="354" t="s">
        <v>150</v>
      </c>
      <c r="LFX71" s="165" t="s">
        <v>124</v>
      </c>
      <c r="LFY71" s="352" t="s">
        <v>164</v>
      </c>
      <c r="LFZ71" s="353" t="s">
        <v>121</v>
      </c>
      <c r="LGA71" s="159" t="s">
        <v>18</v>
      </c>
      <c r="LGB71" s="160">
        <v>8100</v>
      </c>
      <c r="LGC71" s="169">
        <v>85</v>
      </c>
      <c r="LGD71" s="170">
        <v>215</v>
      </c>
      <c r="LGE71" s="170">
        <v>75</v>
      </c>
      <c r="LGF71" s="169">
        <v>150</v>
      </c>
      <c r="LGG71" s="171">
        <f>SUM(LGB71:LGF71)</f>
        <v>8625</v>
      </c>
      <c r="LGH71" s="169">
        <v>200</v>
      </c>
      <c r="LGI71" s="171">
        <f>SUM(LGG71:LGH71)</f>
        <v>8825</v>
      </c>
      <c r="LGJ71" s="163" t="s">
        <v>114</v>
      </c>
      <c r="LGK71" s="164">
        <v>45845</v>
      </c>
      <c r="LGL71" s="159" t="s">
        <v>42</v>
      </c>
      <c r="LGM71" s="354" t="s">
        <v>150</v>
      </c>
      <c r="LGN71" s="165" t="s">
        <v>124</v>
      </c>
      <c r="LGO71" s="352" t="s">
        <v>164</v>
      </c>
      <c r="LGP71" s="353" t="s">
        <v>121</v>
      </c>
      <c r="LGQ71" s="159" t="s">
        <v>18</v>
      </c>
      <c r="LGR71" s="160">
        <v>8100</v>
      </c>
      <c r="LGS71" s="169">
        <v>85</v>
      </c>
      <c r="LGT71" s="170">
        <v>215</v>
      </c>
      <c r="LGU71" s="170">
        <v>75</v>
      </c>
      <c r="LGV71" s="169">
        <v>150</v>
      </c>
      <c r="LGW71" s="171">
        <f>SUM(LGR71:LGV71)</f>
        <v>8625</v>
      </c>
      <c r="LGX71" s="169">
        <v>200</v>
      </c>
      <c r="LGY71" s="171">
        <f>SUM(LGW71:LGX71)</f>
        <v>8825</v>
      </c>
      <c r="LGZ71" s="163" t="s">
        <v>114</v>
      </c>
      <c r="LHA71" s="164">
        <v>45845</v>
      </c>
      <c r="LHB71" s="159" t="s">
        <v>42</v>
      </c>
      <c r="LHC71" s="354" t="s">
        <v>150</v>
      </c>
      <c r="LHD71" s="165" t="s">
        <v>124</v>
      </c>
      <c r="LHE71" s="352" t="s">
        <v>164</v>
      </c>
      <c r="LHF71" s="353" t="s">
        <v>121</v>
      </c>
      <c r="LHG71" s="159" t="s">
        <v>18</v>
      </c>
      <c r="LHH71" s="160">
        <v>8100</v>
      </c>
      <c r="LHI71" s="169">
        <v>85</v>
      </c>
      <c r="LHJ71" s="170">
        <v>215</v>
      </c>
      <c r="LHK71" s="170">
        <v>75</v>
      </c>
      <c r="LHL71" s="169">
        <v>150</v>
      </c>
      <c r="LHM71" s="171">
        <f>SUM(LHH71:LHL71)</f>
        <v>8625</v>
      </c>
      <c r="LHN71" s="169">
        <v>200</v>
      </c>
      <c r="LHO71" s="171">
        <f>SUM(LHM71:LHN71)</f>
        <v>8825</v>
      </c>
      <c r="LHP71" s="163" t="s">
        <v>114</v>
      </c>
      <c r="LHQ71" s="164">
        <v>45845</v>
      </c>
      <c r="LHR71" s="159" t="s">
        <v>42</v>
      </c>
      <c r="LHS71" s="354" t="s">
        <v>150</v>
      </c>
      <c r="LHT71" s="165" t="s">
        <v>124</v>
      </c>
      <c r="LHU71" s="352" t="s">
        <v>164</v>
      </c>
      <c r="LHV71" s="353" t="s">
        <v>121</v>
      </c>
      <c r="LHW71" s="159" t="s">
        <v>18</v>
      </c>
      <c r="LHX71" s="160">
        <v>8100</v>
      </c>
      <c r="LHY71" s="169">
        <v>85</v>
      </c>
      <c r="LHZ71" s="170">
        <v>215</v>
      </c>
      <c r="LIA71" s="170">
        <v>75</v>
      </c>
      <c r="LIB71" s="169">
        <v>150</v>
      </c>
      <c r="LIC71" s="171">
        <f>SUM(LHX71:LIB71)</f>
        <v>8625</v>
      </c>
      <c r="LID71" s="169">
        <v>200</v>
      </c>
      <c r="LIE71" s="171">
        <f>SUM(LIC71:LID71)</f>
        <v>8825</v>
      </c>
      <c r="LIF71" s="163" t="s">
        <v>114</v>
      </c>
      <c r="LIG71" s="164">
        <v>45845</v>
      </c>
      <c r="LIH71" s="159" t="s">
        <v>42</v>
      </c>
      <c r="LII71" s="354" t="s">
        <v>150</v>
      </c>
      <c r="LIJ71" s="165" t="s">
        <v>124</v>
      </c>
      <c r="LIK71" s="352" t="s">
        <v>164</v>
      </c>
      <c r="LIL71" s="353" t="s">
        <v>121</v>
      </c>
      <c r="LIM71" s="159" t="s">
        <v>18</v>
      </c>
      <c r="LIN71" s="160">
        <v>8100</v>
      </c>
      <c r="LIO71" s="169">
        <v>85</v>
      </c>
      <c r="LIP71" s="170">
        <v>215</v>
      </c>
      <c r="LIQ71" s="170">
        <v>75</v>
      </c>
      <c r="LIR71" s="169">
        <v>150</v>
      </c>
      <c r="LIS71" s="171">
        <f>SUM(LIN71:LIR71)</f>
        <v>8625</v>
      </c>
      <c r="LIT71" s="169">
        <v>200</v>
      </c>
      <c r="LIU71" s="171">
        <f>SUM(LIS71:LIT71)</f>
        <v>8825</v>
      </c>
      <c r="LIV71" s="163" t="s">
        <v>114</v>
      </c>
      <c r="LIW71" s="164">
        <v>45845</v>
      </c>
      <c r="LIX71" s="159" t="s">
        <v>42</v>
      </c>
      <c r="LIY71" s="354" t="s">
        <v>150</v>
      </c>
      <c r="LIZ71" s="165" t="s">
        <v>124</v>
      </c>
      <c r="LJA71" s="352" t="s">
        <v>164</v>
      </c>
      <c r="LJB71" s="353" t="s">
        <v>121</v>
      </c>
      <c r="LJC71" s="159" t="s">
        <v>18</v>
      </c>
      <c r="LJD71" s="160">
        <v>8100</v>
      </c>
      <c r="LJE71" s="169">
        <v>85</v>
      </c>
      <c r="LJF71" s="170">
        <v>215</v>
      </c>
      <c r="LJG71" s="170">
        <v>75</v>
      </c>
      <c r="LJH71" s="169">
        <v>150</v>
      </c>
      <c r="LJI71" s="171">
        <f>SUM(LJD71:LJH71)</f>
        <v>8625</v>
      </c>
      <c r="LJJ71" s="169">
        <v>200</v>
      </c>
      <c r="LJK71" s="171">
        <f>SUM(LJI71:LJJ71)</f>
        <v>8825</v>
      </c>
      <c r="LJL71" s="163" t="s">
        <v>114</v>
      </c>
      <c r="LJM71" s="164">
        <v>45845</v>
      </c>
      <c r="LJN71" s="159" t="s">
        <v>42</v>
      </c>
      <c r="LJO71" s="354" t="s">
        <v>150</v>
      </c>
      <c r="LJP71" s="165" t="s">
        <v>124</v>
      </c>
      <c r="LJQ71" s="352" t="s">
        <v>164</v>
      </c>
      <c r="LJR71" s="353" t="s">
        <v>121</v>
      </c>
      <c r="LJS71" s="159" t="s">
        <v>18</v>
      </c>
      <c r="LJT71" s="160">
        <v>8100</v>
      </c>
      <c r="LJU71" s="169">
        <v>85</v>
      </c>
      <c r="LJV71" s="170">
        <v>215</v>
      </c>
      <c r="LJW71" s="170">
        <v>75</v>
      </c>
      <c r="LJX71" s="169">
        <v>150</v>
      </c>
      <c r="LJY71" s="171">
        <f>SUM(LJT71:LJX71)</f>
        <v>8625</v>
      </c>
      <c r="LJZ71" s="169">
        <v>200</v>
      </c>
      <c r="LKA71" s="171">
        <f>SUM(LJY71:LJZ71)</f>
        <v>8825</v>
      </c>
      <c r="LKB71" s="163" t="s">
        <v>114</v>
      </c>
      <c r="LKC71" s="164">
        <v>45845</v>
      </c>
      <c r="LKD71" s="159" t="s">
        <v>42</v>
      </c>
      <c r="LKE71" s="354" t="s">
        <v>150</v>
      </c>
      <c r="LKF71" s="165" t="s">
        <v>124</v>
      </c>
      <c r="LKG71" s="352" t="s">
        <v>164</v>
      </c>
      <c r="LKH71" s="353" t="s">
        <v>121</v>
      </c>
      <c r="LKI71" s="159" t="s">
        <v>18</v>
      </c>
      <c r="LKJ71" s="160">
        <v>8100</v>
      </c>
      <c r="LKK71" s="169">
        <v>85</v>
      </c>
      <c r="LKL71" s="170">
        <v>215</v>
      </c>
      <c r="LKM71" s="170">
        <v>75</v>
      </c>
      <c r="LKN71" s="169">
        <v>150</v>
      </c>
      <c r="LKO71" s="171">
        <f>SUM(LKJ71:LKN71)</f>
        <v>8625</v>
      </c>
      <c r="LKP71" s="169">
        <v>200</v>
      </c>
      <c r="LKQ71" s="171">
        <f>SUM(LKO71:LKP71)</f>
        <v>8825</v>
      </c>
      <c r="LKR71" s="163" t="s">
        <v>114</v>
      </c>
      <c r="LKS71" s="164">
        <v>45845</v>
      </c>
      <c r="LKT71" s="159" t="s">
        <v>42</v>
      </c>
      <c r="LKU71" s="354" t="s">
        <v>150</v>
      </c>
      <c r="LKV71" s="165" t="s">
        <v>124</v>
      </c>
      <c r="LKW71" s="352" t="s">
        <v>164</v>
      </c>
      <c r="LKX71" s="353" t="s">
        <v>121</v>
      </c>
      <c r="LKY71" s="159" t="s">
        <v>18</v>
      </c>
      <c r="LKZ71" s="160">
        <v>8100</v>
      </c>
      <c r="LLA71" s="169">
        <v>85</v>
      </c>
      <c r="LLB71" s="170">
        <v>215</v>
      </c>
      <c r="LLC71" s="170">
        <v>75</v>
      </c>
      <c r="LLD71" s="169">
        <v>150</v>
      </c>
      <c r="LLE71" s="171">
        <f>SUM(LKZ71:LLD71)</f>
        <v>8625</v>
      </c>
      <c r="LLF71" s="169">
        <v>200</v>
      </c>
      <c r="LLG71" s="171">
        <f>SUM(LLE71:LLF71)</f>
        <v>8825</v>
      </c>
      <c r="LLH71" s="163" t="s">
        <v>114</v>
      </c>
      <c r="LLI71" s="164">
        <v>45845</v>
      </c>
      <c r="LLJ71" s="159" t="s">
        <v>42</v>
      </c>
      <c r="LLK71" s="354" t="s">
        <v>150</v>
      </c>
      <c r="LLL71" s="165" t="s">
        <v>124</v>
      </c>
      <c r="LLM71" s="352" t="s">
        <v>164</v>
      </c>
      <c r="LLN71" s="353" t="s">
        <v>121</v>
      </c>
      <c r="LLO71" s="159" t="s">
        <v>18</v>
      </c>
      <c r="LLP71" s="160">
        <v>8100</v>
      </c>
      <c r="LLQ71" s="169">
        <v>85</v>
      </c>
      <c r="LLR71" s="170">
        <v>215</v>
      </c>
      <c r="LLS71" s="170">
        <v>75</v>
      </c>
      <c r="LLT71" s="169">
        <v>150</v>
      </c>
      <c r="LLU71" s="171">
        <f>SUM(LLP71:LLT71)</f>
        <v>8625</v>
      </c>
      <c r="LLV71" s="169">
        <v>200</v>
      </c>
      <c r="LLW71" s="171">
        <f>SUM(LLU71:LLV71)</f>
        <v>8825</v>
      </c>
      <c r="LLX71" s="163" t="s">
        <v>114</v>
      </c>
      <c r="LLY71" s="164">
        <v>45845</v>
      </c>
      <c r="LLZ71" s="159" t="s">
        <v>42</v>
      </c>
      <c r="LMA71" s="354" t="s">
        <v>150</v>
      </c>
      <c r="LMB71" s="165" t="s">
        <v>124</v>
      </c>
      <c r="LMC71" s="352" t="s">
        <v>164</v>
      </c>
      <c r="LMD71" s="353" t="s">
        <v>121</v>
      </c>
      <c r="LME71" s="159" t="s">
        <v>18</v>
      </c>
      <c r="LMF71" s="160">
        <v>8100</v>
      </c>
      <c r="LMG71" s="169">
        <v>85</v>
      </c>
      <c r="LMH71" s="170">
        <v>215</v>
      </c>
      <c r="LMI71" s="170">
        <v>75</v>
      </c>
      <c r="LMJ71" s="169">
        <v>150</v>
      </c>
      <c r="LMK71" s="171">
        <f>SUM(LMF71:LMJ71)</f>
        <v>8625</v>
      </c>
      <c r="LML71" s="169">
        <v>200</v>
      </c>
      <c r="LMM71" s="171">
        <f>SUM(LMK71:LML71)</f>
        <v>8825</v>
      </c>
      <c r="LMN71" s="163" t="s">
        <v>114</v>
      </c>
      <c r="LMO71" s="164">
        <v>45845</v>
      </c>
      <c r="LMP71" s="159" t="s">
        <v>42</v>
      </c>
      <c r="LMQ71" s="354" t="s">
        <v>150</v>
      </c>
      <c r="LMR71" s="165" t="s">
        <v>124</v>
      </c>
      <c r="LMS71" s="352" t="s">
        <v>164</v>
      </c>
      <c r="LMT71" s="353" t="s">
        <v>121</v>
      </c>
      <c r="LMU71" s="159" t="s">
        <v>18</v>
      </c>
      <c r="LMV71" s="160">
        <v>8100</v>
      </c>
      <c r="LMW71" s="169">
        <v>85</v>
      </c>
      <c r="LMX71" s="170">
        <v>215</v>
      </c>
      <c r="LMY71" s="170">
        <v>75</v>
      </c>
      <c r="LMZ71" s="169">
        <v>150</v>
      </c>
      <c r="LNA71" s="171">
        <f>SUM(LMV71:LMZ71)</f>
        <v>8625</v>
      </c>
      <c r="LNB71" s="169">
        <v>200</v>
      </c>
      <c r="LNC71" s="171">
        <f>SUM(LNA71:LNB71)</f>
        <v>8825</v>
      </c>
      <c r="LND71" s="163" t="s">
        <v>114</v>
      </c>
      <c r="LNE71" s="164">
        <v>45845</v>
      </c>
      <c r="LNF71" s="159" t="s">
        <v>42</v>
      </c>
      <c r="LNG71" s="354" t="s">
        <v>150</v>
      </c>
      <c r="LNH71" s="165" t="s">
        <v>124</v>
      </c>
      <c r="LNI71" s="352" t="s">
        <v>164</v>
      </c>
      <c r="LNJ71" s="353" t="s">
        <v>121</v>
      </c>
      <c r="LNK71" s="159" t="s">
        <v>18</v>
      </c>
      <c r="LNL71" s="160">
        <v>8100</v>
      </c>
      <c r="LNM71" s="169">
        <v>85</v>
      </c>
      <c r="LNN71" s="170">
        <v>215</v>
      </c>
      <c r="LNO71" s="170">
        <v>75</v>
      </c>
      <c r="LNP71" s="169">
        <v>150</v>
      </c>
      <c r="LNQ71" s="171">
        <f>SUM(LNL71:LNP71)</f>
        <v>8625</v>
      </c>
      <c r="LNR71" s="169">
        <v>200</v>
      </c>
      <c r="LNS71" s="171">
        <f>SUM(LNQ71:LNR71)</f>
        <v>8825</v>
      </c>
      <c r="LNT71" s="163" t="s">
        <v>114</v>
      </c>
      <c r="LNU71" s="164">
        <v>45845</v>
      </c>
      <c r="LNV71" s="159" t="s">
        <v>42</v>
      </c>
      <c r="LNW71" s="354" t="s">
        <v>150</v>
      </c>
      <c r="LNX71" s="165" t="s">
        <v>124</v>
      </c>
      <c r="LNY71" s="352" t="s">
        <v>164</v>
      </c>
      <c r="LNZ71" s="353" t="s">
        <v>121</v>
      </c>
      <c r="LOA71" s="159" t="s">
        <v>18</v>
      </c>
      <c r="LOB71" s="160">
        <v>8100</v>
      </c>
      <c r="LOC71" s="169">
        <v>85</v>
      </c>
      <c r="LOD71" s="170">
        <v>215</v>
      </c>
      <c r="LOE71" s="170">
        <v>75</v>
      </c>
      <c r="LOF71" s="169">
        <v>150</v>
      </c>
      <c r="LOG71" s="171">
        <f>SUM(LOB71:LOF71)</f>
        <v>8625</v>
      </c>
      <c r="LOH71" s="169">
        <v>200</v>
      </c>
      <c r="LOI71" s="171">
        <f>SUM(LOG71:LOH71)</f>
        <v>8825</v>
      </c>
      <c r="LOJ71" s="163" t="s">
        <v>114</v>
      </c>
      <c r="LOK71" s="164">
        <v>45845</v>
      </c>
      <c r="LOL71" s="159" t="s">
        <v>42</v>
      </c>
      <c r="LOM71" s="354" t="s">
        <v>150</v>
      </c>
      <c r="LON71" s="165" t="s">
        <v>124</v>
      </c>
      <c r="LOO71" s="352" t="s">
        <v>164</v>
      </c>
      <c r="LOP71" s="353" t="s">
        <v>121</v>
      </c>
      <c r="LOQ71" s="159" t="s">
        <v>18</v>
      </c>
      <c r="LOR71" s="160">
        <v>8100</v>
      </c>
      <c r="LOS71" s="169">
        <v>85</v>
      </c>
      <c r="LOT71" s="170">
        <v>215</v>
      </c>
      <c r="LOU71" s="170">
        <v>75</v>
      </c>
      <c r="LOV71" s="169">
        <v>150</v>
      </c>
      <c r="LOW71" s="171">
        <f>SUM(LOR71:LOV71)</f>
        <v>8625</v>
      </c>
      <c r="LOX71" s="169">
        <v>200</v>
      </c>
      <c r="LOY71" s="171">
        <f>SUM(LOW71:LOX71)</f>
        <v>8825</v>
      </c>
      <c r="LOZ71" s="163" t="s">
        <v>114</v>
      </c>
      <c r="LPA71" s="164">
        <v>45845</v>
      </c>
      <c r="LPB71" s="159" t="s">
        <v>42</v>
      </c>
      <c r="LPC71" s="354" t="s">
        <v>150</v>
      </c>
      <c r="LPD71" s="165" t="s">
        <v>124</v>
      </c>
      <c r="LPE71" s="352" t="s">
        <v>164</v>
      </c>
      <c r="LPF71" s="353" t="s">
        <v>121</v>
      </c>
      <c r="LPG71" s="159" t="s">
        <v>18</v>
      </c>
      <c r="LPH71" s="160">
        <v>8100</v>
      </c>
      <c r="LPI71" s="169">
        <v>85</v>
      </c>
      <c r="LPJ71" s="170">
        <v>215</v>
      </c>
      <c r="LPK71" s="170">
        <v>75</v>
      </c>
      <c r="LPL71" s="169">
        <v>150</v>
      </c>
      <c r="LPM71" s="171">
        <f>SUM(LPH71:LPL71)</f>
        <v>8625</v>
      </c>
      <c r="LPN71" s="169">
        <v>200</v>
      </c>
      <c r="LPO71" s="171">
        <f>SUM(LPM71:LPN71)</f>
        <v>8825</v>
      </c>
      <c r="LPP71" s="163" t="s">
        <v>114</v>
      </c>
      <c r="LPQ71" s="164">
        <v>45845</v>
      </c>
      <c r="LPR71" s="159" t="s">
        <v>42</v>
      </c>
      <c r="LPS71" s="354" t="s">
        <v>150</v>
      </c>
      <c r="LPT71" s="165" t="s">
        <v>124</v>
      </c>
      <c r="LPU71" s="352" t="s">
        <v>164</v>
      </c>
      <c r="LPV71" s="353" t="s">
        <v>121</v>
      </c>
      <c r="LPW71" s="159" t="s">
        <v>18</v>
      </c>
      <c r="LPX71" s="160">
        <v>8100</v>
      </c>
      <c r="LPY71" s="169">
        <v>85</v>
      </c>
      <c r="LPZ71" s="170">
        <v>215</v>
      </c>
      <c r="LQA71" s="170">
        <v>75</v>
      </c>
      <c r="LQB71" s="169">
        <v>150</v>
      </c>
      <c r="LQC71" s="171">
        <f>SUM(LPX71:LQB71)</f>
        <v>8625</v>
      </c>
      <c r="LQD71" s="169">
        <v>200</v>
      </c>
      <c r="LQE71" s="171">
        <f>SUM(LQC71:LQD71)</f>
        <v>8825</v>
      </c>
      <c r="LQF71" s="163" t="s">
        <v>114</v>
      </c>
      <c r="LQG71" s="164">
        <v>45845</v>
      </c>
      <c r="LQH71" s="159" t="s">
        <v>42</v>
      </c>
      <c r="LQI71" s="354" t="s">
        <v>150</v>
      </c>
      <c r="LQJ71" s="165" t="s">
        <v>124</v>
      </c>
      <c r="LQK71" s="352" t="s">
        <v>164</v>
      </c>
      <c r="LQL71" s="353" t="s">
        <v>121</v>
      </c>
      <c r="LQM71" s="159" t="s">
        <v>18</v>
      </c>
      <c r="LQN71" s="160">
        <v>8100</v>
      </c>
      <c r="LQO71" s="169">
        <v>85</v>
      </c>
      <c r="LQP71" s="170">
        <v>215</v>
      </c>
      <c r="LQQ71" s="170">
        <v>75</v>
      </c>
      <c r="LQR71" s="169">
        <v>150</v>
      </c>
      <c r="LQS71" s="171">
        <f>SUM(LQN71:LQR71)</f>
        <v>8625</v>
      </c>
      <c r="LQT71" s="169">
        <v>200</v>
      </c>
      <c r="LQU71" s="171">
        <f>SUM(LQS71:LQT71)</f>
        <v>8825</v>
      </c>
      <c r="LQV71" s="163" t="s">
        <v>114</v>
      </c>
      <c r="LQW71" s="164">
        <v>45845</v>
      </c>
      <c r="LQX71" s="159" t="s">
        <v>42</v>
      </c>
      <c r="LQY71" s="354" t="s">
        <v>150</v>
      </c>
      <c r="LQZ71" s="165" t="s">
        <v>124</v>
      </c>
      <c r="LRA71" s="352" t="s">
        <v>164</v>
      </c>
      <c r="LRB71" s="353" t="s">
        <v>121</v>
      </c>
      <c r="LRC71" s="159" t="s">
        <v>18</v>
      </c>
      <c r="LRD71" s="160">
        <v>8100</v>
      </c>
      <c r="LRE71" s="169">
        <v>85</v>
      </c>
      <c r="LRF71" s="170">
        <v>215</v>
      </c>
      <c r="LRG71" s="170">
        <v>75</v>
      </c>
      <c r="LRH71" s="169">
        <v>150</v>
      </c>
      <c r="LRI71" s="171">
        <f>SUM(LRD71:LRH71)</f>
        <v>8625</v>
      </c>
      <c r="LRJ71" s="169">
        <v>200</v>
      </c>
      <c r="LRK71" s="171">
        <f>SUM(LRI71:LRJ71)</f>
        <v>8825</v>
      </c>
      <c r="LRL71" s="163" t="s">
        <v>114</v>
      </c>
      <c r="LRM71" s="164">
        <v>45845</v>
      </c>
      <c r="LRN71" s="159" t="s">
        <v>42</v>
      </c>
      <c r="LRO71" s="354" t="s">
        <v>150</v>
      </c>
      <c r="LRP71" s="165" t="s">
        <v>124</v>
      </c>
      <c r="LRQ71" s="352" t="s">
        <v>164</v>
      </c>
      <c r="LRR71" s="353" t="s">
        <v>121</v>
      </c>
      <c r="LRS71" s="159" t="s">
        <v>18</v>
      </c>
      <c r="LRT71" s="160">
        <v>8100</v>
      </c>
      <c r="LRU71" s="169">
        <v>85</v>
      </c>
      <c r="LRV71" s="170">
        <v>215</v>
      </c>
      <c r="LRW71" s="170">
        <v>75</v>
      </c>
      <c r="LRX71" s="169">
        <v>150</v>
      </c>
      <c r="LRY71" s="171">
        <f>SUM(LRT71:LRX71)</f>
        <v>8625</v>
      </c>
      <c r="LRZ71" s="169">
        <v>200</v>
      </c>
      <c r="LSA71" s="171">
        <f>SUM(LRY71:LRZ71)</f>
        <v>8825</v>
      </c>
      <c r="LSB71" s="163" t="s">
        <v>114</v>
      </c>
      <c r="LSC71" s="164">
        <v>45845</v>
      </c>
      <c r="LSD71" s="159" t="s">
        <v>42</v>
      </c>
      <c r="LSE71" s="354" t="s">
        <v>150</v>
      </c>
      <c r="LSF71" s="165" t="s">
        <v>124</v>
      </c>
      <c r="LSG71" s="352" t="s">
        <v>164</v>
      </c>
      <c r="LSH71" s="353" t="s">
        <v>121</v>
      </c>
      <c r="LSI71" s="159" t="s">
        <v>18</v>
      </c>
      <c r="LSJ71" s="160">
        <v>8100</v>
      </c>
      <c r="LSK71" s="169">
        <v>85</v>
      </c>
      <c r="LSL71" s="170">
        <v>215</v>
      </c>
      <c r="LSM71" s="170">
        <v>75</v>
      </c>
      <c r="LSN71" s="169">
        <v>150</v>
      </c>
      <c r="LSO71" s="171">
        <f>SUM(LSJ71:LSN71)</f>
        <v>8625</v>
      </c>
      <c r="LSP71" s="169">
        <v>200</v>
      </c>
      <c r="LSQ71" s="171">
        <f>SUM(LSO71:LSP71)</f>
        <v>8825</v>
      </c>
      <c r="LSR71" s="163" t="s">
        <v>114</v>
      </c>
      <c r="LSS71" s="164">
        <v>45845</v>
      </c>
      <c r="LST71" s="159" t="s">
        <v>42</v>
      </c>
      <c r="LSU71" s="354" t="s">
        <v>150</v>
      </c>
      <c r="LSV71" s="165" t="s">
        <v>124</v>
      </c>
      <c r="LSW71" s="352" t="s">
        <v>164</v>
      </c>
      <c r="LSX71" s="353" t="s">
        <v>121</v>
      </c>
      <c r="LSY71" s="159" t="s">
        <v>18</v>
      </c>
      <c r="LSZ71" s="160">
        <v>8100</v>
      </c>
      <c r="LTA71" s="169">
        <v>85</v>
      </c>
      <c r="LTB71" s="170">
        <v>215</v>
      </c>
      <c r="LTC71" s="170">
        <v>75</v>
      </c>
      <c r="LTD71" s="169">
        <v>150</v>
      </c>
      <c r="LTE71" s="171">
        <f>SUM(LSZ71:LTD71)</f>
        <v>8625</v>
      </c>
      <c r="LTF71" s="169">
        <v>200</v>
      </c>
      <c r="LTG71" s="171">
        <f>SUM(LTE71:LTF71)</f>
        <v>8825</v>
      </c>
      <c r="LTH71" s="163" t="s">
        <v>114</v>
      </c>
      <c r="LTI71" s="164">
        <v>45845</v>
      </c>
      <c r="LTJ71" s="159" t="s">
        <v>42</v>
      </c>
      <c r="LTK71" s="354" t="s">
        <v>150</v>
      </c>
      <c r="LTL71" s="165" t="s">
        <v>124</v>
      </c>
      <c r="LTM71" s="352" t="s">
        <v>164</v>
      </c>
      <c r="LTN71" s="353" t="s">
        <v>121</v>
      </c>
      <c r="LTO71" s="159" t="s">
        <v>18</v>
      </c>
      <c r="LTP71" s="160">
        <v>8100</v>
      </c>
      <c r="LTQ71" s="169">
        <v>85</v>
      </c>
      <c r="LTR71" s="170">
        <v>215</v>
      </c>
      <c r="LTS71" s="170">
        <v>75</v>
      </c>
      <c r="LTT71" s="169">
        <v>150</v>
      </c>
      <c r="LTU71" s="171">
        <f>SUM(LTP71:LTT71)</f>
        <v>8625</v>
      </c>
      <c r="LTV71" s="169">
        <v>200</v>
      </c>
      <c r="LTW71" s="171">
        <f>SUM(LTU71:LTV71)</f>
        <v>8825</v>
      </c>
      <c r="LTX71" s="163" t="s">
        <v>114</v>
      </c>
      <c r="LTY71" s="164">
        <v>45845</v>
      </c>
      <c r="LTZ71" s="159" t="s">
        <v>42</v>
      </c>
      <c r="LUA71" s="354" t="s">
        <v>150</v>
      </c>
      <c r="LUB71" s="165" t="s">
        <v>124</v>
      </c>
      <c r="LUC71" s="352" t="s">
        <v>164</v>
      </c>
      <c r="LUD71" s="353" t="s">
        <v>121</v>
      </c>
      <c r="LUE71" s="159" t="s">
        <v>18</v>
      </c>
      <c r="LUF71" s="160">
        <v>8100</v>
      </c>
      <c r="LUG71" s="169">
        <v>85</v>
      </c>
      <c r="LUH71" s="170">
        <v>215</v>
      </c>
      <c r="LUI71" s="170">
        <v>75</v>
      </c>
      <c r="LUJ71" s="169">
        <v>150</v>
      </c>
      <c r="LUK71" s="171">
        <f>SUM(LUF71:LUJ71)</f>
        <v>8625</v>
      </c>
      <c r="LUL71" s="169">
        <v>200</v>
      </c>
      <c r="LUM71" s="171">
        <f>SUM(LUK71:LUL71)</f>
        <v>8825</v>
      </c>
      <c r="LUN71" s="163" t="s">
        <v>114</v>
      </c>
      <c r="LUO71" s="164">
        <v>45845</v>
      </c>
      <c r="LUP71" s="159" t="s">
        <v>42</v>
      </c>
      <c r="LUQ71" s="354" t="s">
        <v>150</v>
      </c>
      <c r="LUR71" s="165" t="s">
        <v>124</v>
      </c>
      <c r="LUS71" s="352" t="s">
        <v>164</v>
      </c>
      <c r="LUT71" s="353" t="s">
        <v>121</v>
      </c>
      <c r="LUU71" s="159" t="s">
        <v>18</v>
      </c>
      <c r="LUV71" s="160">
        <v>8100</v>
      </c>
      <c r="LUW71" s="169">
        <v>85</v>
      </c>
      <c r="LUX71" s="170">
        <v>215</v>
      </c>
      <c r="LUY71" s="170">
        <v>75</v>
      </c>
      <c r="LUZ71" s="169">
        <v>150</v>
      </c>
      <c r="LVA71" s="171">
        <f>SUM(LUV71:LUZ71)</f>
        <v>8625</v>
      </c>
      <c r="LVB71" s="169">
        <v>200</v>
      </c>
      <c r="LVC71" s="171">
        <f>SUM(LVA71:LVB71)</f>
        <v>8825</v>
      </c>
      <c r="LVD71" s="163" t="s">
        <v>114</v>
      </c>
      <c r="LVE71" s="164">
        <v>45845</v>
      </c>
      <c r="LVF71" s="159" t="s">
        <v>42</v>
      </c>
      <c r="LVG71" s="354" t="s">
        <v>150</v>
      </c>
      <c r="LVH71" s="165" t="s">
        <v>124</v>
      </c>
      <c r="LVI71" s="352" t="s">
        <v>164</v>
      </c>
      <c r="LVJ71" s="353" t="s">
        <v>121</v>
      </c>
      <c r="LVK71" s="159" t="s">
        <v>18</v>
      </c>
      <c r="LVL71" s="160">
        <v>8100</v>
      </c>
      <c r="LVM71" s="169">
        <v>85</v>
      </c>
      <c r="LVN71" s="170">
        <v>215</v>
      </c>
      <c r="LVO71" s="170">
        <v>75</v>
      </c>
      <c r="LVP71" s="169">
        <v>150</v>
      </c>
      <c r="LVQ71" s="171">
        <f>SUM(LVL71:LVP71)</f>
        <v>8625</v>
      </c>
      <c r="LVR71" s="169">
        <v>200</v>
      </c>
      <c r="LVS71" s="171">
        <f>SUM(LVQ71:LVR71)</f>
        <v>8825</v>
      </c>
      <c r="LVT71" s="163" t="s">
        <v>114</v>
      </c>
      <c r="LVU71" s="164">
        <v>45845</v>
      </c>
      <c r="LVV71" s="159" t="s">
        <v>42</v>
      </c>
      <c r="LVW71" s="354" t="s">
        <v>150</v>
      </c>
      <c r="LVX71" s="165" t="s">
        <v>124</v>
      </c>
      <c r="LVY71" s="352" t="s">
        <v>164</v>
      </c>
      <c r="LVZ71" s="353" t="s">
        <v>121</v>
      </c>
      <c r="LWA71" s="159" t="s">
        <v>18</v>
      </c>
      <c r="LWB71" s="160">
        <v>8100</v>
      </c>
      <c r="LWC71" s="169">
        <v>85</v>
      </c>
      <c r="LWD71" s="170">
        <v>215</v>
      </c>
      <c r="LWE71" s="170">
        <v>75</v>
      </c>
      <c r="LWF71" s="169">
        <v>150</v>
      </c>
      <c r="LWG71" s="171">
        <f>SUM(LWB71:LWF71)</f>
        <v>8625</v>
      </c>
      <c r="LWH71" s="169">
        <v>200</v>
      </c>
      <c r="LWI71" s="171">
        <f>SUM(LWG71:LWH71)</f>
        <v>8825</v>
      </c>
      <c r="LWJ71" s="163" t="s">
        <v>114</v>
      </c>
      <c r="LWK71" s="164">
        <v>45845</v>
      </c>
      <c r="LWL71" s="159" t="s">
        <v>42</v>
      </c>
      <c r="LWM71" s="354" t="s">
        <v>150</v>
      </c>
      <c r="LWN71" s="165" t="s">
        <v>124</v>
      </c>
      <c r="LWO71" s="352" t="s">
        <v>164</v>
      </c>
      <c r="LWP71" s="353" t="s">
        <v>121</v>
      </c>
      <c r="LWQ71" s="159" t="s">
        <v>18</v>
      </c>
      <c r="LWR71" s="160">
        <v>8100</v>
      </c>
      <c r="LWS71" s="169">
        <v>85</v>
      </c>
      <c r="LWT71" s="170">
        <v>215</v>
      </c>
      <c r="LWU71" s="170">
        <v>75</v>
      </c>
      <c r="LWV71" s="169">
        <v>150</v>
      </c>
      <c r="LWW71" s="171">
        <f>SUM(LWR71:LWV71)</f>
        <v>8625</v>
      </c>
      <c r="LWX71" s="169">
        <v>200</v>
      </c>
      <c r="LWY71" s="171">
        <f>SUM(LWW71:LWX71)</f>
        <v>8825</v>
      </c>
      <c r="LWZ71" s="163" t="s">
        <v>114</v>
      </c>
      <c r="LXA71" s="164">
        <v>45845</v>
      </c>
      <c r="LXB71" s="159" t="s">
        <v>42</v>
      </c>
      <c r="LXC71" s="354" t="s">
        <v>150</v>
      </c>
      <c r="LXD71" s="165" t="s">
        <v>124</v>
      </c>
      <c r="LXE71" s="352" t="s">
        <v>164</v>
      </c>
      <c r="LXF71" s="353" t="s">
        <v>121</v>
      </c>
      <c r="LXG71" s="159" t="s">
        <v>18</v>
      </c>
      <c r="LXH71" s="160">
        <v>8100</v>
      </c>
      <c r="LXI71" s="169">
        <v>85</v>
      </c>
      <c r="LXJ71" s="170">
        <v>215</v>
      </c>
      <c r="LXK71" s="170">
        <v>75</v>
      </c>
      <c r="LXL71" s="169">
        <v>150</v>
      </c>
      <c r="LXM71" s="171">
        <f>SUM(LXH71:LXL71)</f>
        <v>8625</v>
      </c>
      <c r="LXN71" s="169">
        <v>200</v>
      </c>
      <c r="LXO71" s="171">
        <f>SUM(LXM71:LXN71)</f>
        <v>8825</v>
      </c>
      <c r="LXP71" s="163" t="s">
        <v>114</v>
      </c>
      <c r="LXQ71" s="164">
        <v>45845</v>
      </c>
      <c r="LXR71" s="159" t="s">
        <v>42</v>
      </c>
      <c r="LXS71" s="354" t="s">
        <v>150</v>
      </c>
      <c r="LXT71" s="165" t="s">
        <v>124</v>
      </c>
      <c r="LXU71" s="352" t="s">
        <v>164</v>
      </c>
      <c r="LXV71" s="353" t="s">
        <v>121</v>
      </c>
      <c r="LXW71" s="159" t="s">
        <v>18</v>
      </c>
      <c r="LXX71" s="160">
        <v>8100</v>
      </c>
      <c r="LXY71" s="169">
        <v>85</v>
      </c>
      <c r="LXZ71" s="170">
        <v>215</v>
      </c>
      <c r="LYA71" s="170">
        <v>75</v>
      </c>
      <c r="LYB71" s="169">
        <v>150</v>
      </c>
      <c r="LYC71" s="171">
        <f>SUM(LXX71:LYB71)</f>
        <v>8625</v>
      </c>
      <c r="LYD71" s="169">
        <v>200</v>
      </c>
      <c r="LYE71" s="171">
        <f>SUM(LYC71:LYD71)</f>
        <v>8825</v>
      </c>
      <c r="LYF71" s="163" t="s">
        <v>114</v>
      </c>
      <c r="LYG71" s="164">
        <v>45845</v>
      </c>
      <c r="LYH71" s="159" t="s">
        <v>42</v>
      </c>
      <c r="LYI71" s="354" t="s">
        <v>150</v>
      </c>
      <c r="LYJ71" s="165" t="s">
        <v>124</v>
      </c>
      <c r="LYK71" s="352" t="s">
        <v>164</v>
      </c>
      <c r="LYL71" s="353" t="s">
        <v>121</v>
      </c>
      <c r="LYM71" s="159" t="s">
        <v>18</v>
      </c>
      <c r="LYN71" s="160">
        <v>8100</v>
      </c>
      <c r="LYO71" s="169">
        <v>85</v>
      </c>
      <c r="LYP71" s="170">
        <v>215</v>
      </c>
      <c r="LYQ71" s="170">
        <v>75</v>
      </c>
      <c r="LYR71" s="169">
        <v>150</v>
      </c>
      <c r="LYS71" s="171">
        <f>SUM(LYN71:LYR71)</f>
        <v>8625</v>
      </c>
      <c r="LYT71" s="169">
        <v>200</v>
      </c>
      <c r="LYU71" s="171">
        <f>SUM(LYS71:LYT71)</f>
        <v>8825</v>
      </c>
      <c r="LYV71" s="163" t="s">
        <v>114</v>
      </c>
      <c r="LYW71" s="164">
        <v>45845</v>
      </c>
      <c r="LYX71" s="159" t="s">
        <v>42</v>
      </c>
      <c r="LYY71" s="354" t="s">
        <v>150</v>
      </c>
      <c r="LYZ71" s="165" t="s">
        <v>124</v>
      </c>
      <c r="LZA71" s="352" t="s">
        <v>164</v>
      </c>
      <c r="LZB71" s="353" t="s">
        <v>121</v>
      </c>
      <c r="LZC71" s="159" t="s">
        <v>18</v>
      </c>
      <c r="LZD71" s="160">
        <v>8100</v>
      </c>
      <c r="LZE71" s="169">
        <v>85</v>
      </c>
      <c r="LZF71" s="170">
        <v>215</v>
      </c>
      <c r="LZG71" s="170">
        <v>75</v>
      </c>
      <c r="LZH71" s="169">
        <v>150</v>
      </c>
      <c r="LZI71" s="171">
        <f>SUM(LZD71:LZH71)</f>
        <v>8625</v>
      </c>
      <c r="LZJ71" s="169">
        <v>200</v>
      </c>
      <c r="LZK71" s="171">
        <f>SUM(LZI71:LZJ71)</f>
        <v>8825</v>
      </c>
      <c r="LZL71" s="163" t="s">
        <v>114</v>
      </c>
      <c r="LZM71" s="164">
        <v>45845</v>
      </c>
      <c r="LZN71" s="159" t="s">
        <v>42</v>
      </c>
      <c r="LZO71" s="354" t="s">
        <v>150</v>
      </c>
      <c r="LZP71" s="165" t="s">
        <v>124</v>
      </c>
      <c r="LZQ71" s="352" t="s">
        <v>164</v>
      </c>
      <c r="LZR71" s="353" t="s">
        <v>121</v>
      </c>
      <c r="LZS71" s="159" t="s">
        <v>18</v>
      </c>
      <c r="LZT71" s="160">
        <v>8100</v>
      </c>
      <c r="LZU71" s="169">
        <v>85</v>
      </c>
      <c r="LZV71" s="170">
        <v>215</v>
      </c>
      <c r="LZW71" s="170">
        <v>75</v>
      </c>
      <c r="LZX71" s="169">
        <v>150</v>
      </c>
      <c r="LZY71" s="171">
        <f>SUM(LZT71:LZX71)</f>
        <v>8625</v>
      </c>
      <c r="LZZ71" s="169">
        <v>200</v>
      </c>
      <c r="MAA71" s="171">
        <f>SUM(LZY71:LZZ71)</f>
        <v>8825</v>
      </c>
      <c r="MAB71" s="163" t="s">
        <v>114</v>
      </c>
      <c r="MAC71" s="164">
        <v>45845</v>
      </c>
      <c r="MAD71" s="159" t="s">
        <v>42</v>
      </c>
      <c r="MAE71" s="354" t="s">
        <v>150</v>
      </c>
      <c r="MAF71" s="165" t="s">
        <v>124</v>
      </c>
      <c r="MAG71" s="352" t="s">
        <v>164</v>
      </c>
      <c r="MAH71" s="353" t="s">
        <v>121</v>
      </c>
      <c r="MAI71" s="159" t="s">
        <v>18</v>
      </c>
      <c r="MAJ71" s="160">
        <v>8100</v>
      </c>
      <c r="MAK71" s="169">
        <v>85</v>
      </c>
      <c r="MAL71" s="170">
        <v>215</v>
      </c>
      <c r="MAM71" s="170">
        <v>75</v>
      </c>
      <c r="MAN71" s="169">
        <v>150</v>
      </c>
      <c r="MAO71" s="171">
        <f>SUM(MAJ71:MAN71)</f>
        <v>8625</v>
      </c>
      <c r="MAP71" s="169">
        <v>200</v>
      </c>
      <c r="MAQ71" s="171">
        <f>SUM(MAO71:MAP71)</f>
        <v>8825</v>
      </c>
      <c r="MAR71" s="163" t="s">
        <v>114</v>
      </c>
      <c r="MAS71" s="164">
        <v>45845</v>
      </c>
      <c r="MAT71" s="159" t="s">
        <v>42</v>
      </c>
      <c r="MAU71" s="354" t="s">
        <v>150</v>
      </c>
      <c r="MAV71" s="165" t="s">
        <v>124</v>
      </c>
      <c r="MAW71" s="352" t="s">
        <v>164</v>
      </c>
      <c r="MAX71" s="353" t="s">
        <v>121</v>
      </c>
      <c r="MAY71" s="159" t="s">
        <v>18</v>
      </c>
      <c r="MAZ71" s="160">
        <v>8100</v>
      </c>
      <c r="MBA71" s="169">
        <v>85</v>
      </c>
      <c r="MBB71" s="170">
        <v>215</v>
      </c>
      <c r="MBC71" s="170">
        <v>75</v>
      </c>
      <c r="MBD71" s="169">
        <v>150</v>
      </c>
      <c r="MBE71" s="171">
        <f>SUM(MAZ71:MBD71)</f>
        <v>8625</v>
      </c>
      <c r="MBF71" s="169">
        <v>200</v>
      </c>
      <c r="MBG71" s="171">
        <f>SUM(MBE71:MBF71)</f>
        <v>8825</v>
      </c>
      <c r="MBH71" s="163" t="s">
        <v>114</v>
      </c>
      <c r="MBI71" s="164">
        <v>45845</v>
      </c>
      <c r="MBJ71" s="159" t="s">
        <v>42</v>
      </c>
      <c r="MBK71" s="354" t="s">
        <v>150</v>
      </c>
      <c r="MBL71" s="165" t="s">
        <v>124</v>
      </c>
      <c r="MBM71" s="352" t="s">
        <v>164</v>
      </c>
      <c r="MBN71" s="353" t="s">
        <v>121</v>
      </c>
      <c r="MBO71" s="159" t="s">
        <v>18</v>
      </c>
      <c r="MBP71" s="160">
        <v>8100</v>
      </c>
      <c r="MBQ71" s="169">
        <v>85</v>
      </c>
      <c r="MBR71" s="170">
        <v>215</v>
      </c>
      <c r="MBS71" s="170">
        <v>75</v>
      </c>
      <c r="MBT71" s="169">
        <v>150</v>
      </c>
      <c r="MBU71" s="171">
        <f>SUM(MBP71:MBT71)</f>
        <v>8625</v>
      </c>
      <c r="MBV71" s="169">
        <v>200</v>
      </c>
      <c r="MBW71" s="171">
        <f>SUM(MBU71:MBV71)</f>
        <v>8825</v>
      </c>
      <c r="MBX71" s="163" t="s">
        <v>114</v>
      </c>
      <c r="MBY71" s="164">
        <v>45845</v>
      </c>
      <c r="MBZ71" s="159" t="s">
        <v>42</v>
      </c>
      <c r="MCA71" s="354" t="s">
        <v>150</v>
      </c>
      <c r="MCB71" s="165" t="s">
        <v>124</v>
      </c>
      <c r="MCC71" s="352" t="s">
        <v>164</v>
      </c>
      <c r="MCD71" s="353" t="s">
        <v>121</v>
      </c>
      <c r="MCE71" s="159" t="s">
        <v>18</v>
      </c>
      <c r="MCF71" s="160">
        <v>8100</v>
      </c>
      <c r="MCG71" s="169">
        <v>85</v>
      </c>
      <c r="MCH71" s="170">
        <v>215</v>
      </c>
      <c r="MCI71" s="170">
        <v>75</v>
      </c>
      <c r="MCJ71" s="169">
        <v>150</v>
      </c>
      <c r="MCK71" s="171">
        <f>SUM(MCF71:MCJ71)</f>
        <v>8625</v>
      </c>
      <c r="MCL71" s="169">
        <v>200</v>
      </c>
      <c r="MCM71" s="171">
        <f>SUM(MCK71:MCL71)</f>
        <v>8825</v>
      </c>
      <c r="MCN71" s="163" t="s">
        <v>114</v>
      </c>
      <c r="MCO71" s="164">
        <v>45845</v>
      </c>
      <c r="MCP71" s="159" t="s">
        <v>42</v>
      </c>
      <c r="MCQ71" s="354" t="s">
        <v>150</v>
      </c>
      <c r="MCR71" s="165" t="s">
        <v>124</v>
      </c>
      <c r="MCS71" s="352" t="s">
        <v>164</v>
      </c>
      <c r="MCT71" s="353" t="s">
        <v>121</v>
      </c>
      <c r="MCU71" s="159" t="s">
        <v>18</v>
      </c>
      <c r="MCV71" s="160">
        <v>8100</v>
      </c>
      <c r="MCW71" s="169">
        <v>85</v>
      </c>
      <c r="MCX71" s="170">
        <v>215</v>
      </c>
      <c r="MCY71" s="170">
        <v>75</v>
      </c>
      <c r="MCZ71" s="169">
        <v>150</v>
      </c>
      <c r="MDA71" s="171">
        <f>SUM(MCV71:MCZ71)</f>
        <v>8625</v>
      </c>
      <c r="MDB71" s="169">
        <v>200</v>
      </c>
      <c r="MDC71" s="171">
        <f>SUM(MDA71:MDB71)</f>
        <v>8825</v>
      </c>
      <c r="MDD71" s="163" t="s">
        <v>114</v>
      </c>
      <c r="MDE71" s="164">
        <v>45845</v>
      </c>
      <c r="MDF71" s="159" t="s">
        <v>42</v>
      </c>
      <c r="MDG71" s="354" t="s">
        <v>150</v>
      </c>
      <c r="MDH71" s="165" t="s">
        <v>124</v>
      </c>
      <c r="MDI71" s="352" t="s">
        <v>164</v>
      </c>
      <c r="MDJ71" s="353" t="s">
        <v>121</v>
      </c>
      <c r="MDK71" s="159" t="s">
        <v>18</v>
      </c>
      <c r="MDL71" s="160">
        <v>8100</v>
      </c>
      <c r="MDM71" s="169">
        <v>85</v>
      </c>
      <c r="MDN71" s="170">
        <v>215</v>
      </c>
      <c r="MDO71" s="170">
        <v>75</v>
      </c>
      <c r="MDP71" s="169">
        <v>150</v>
      </c>
      <c r="MDQ71" s="171">
        <f>SUM(MDL71:MDP71)</f>
        <v>8625</v>
      </c>
      <c r="MDR71" s="169">
        <v>200</v>
      </c>
      <c r="MDS71" s="171">
        <f>SUM(MDQ71:MDR71)</f>
        <v>8825</v>
      </c>
      <c r="MDT71" s="163" t="s">
        <v>114</v>
      </c>
      <c r="MDU71" s="164">
        <v>45845</v>
      </c>
      <c r="MDV71" s="159" t="s">
        <v>42</v>
      </c>
      <c r="MDW71" s="354" t="s">
        <v>150</v>
      </c>
      <c r="MDX71" s="165" t="s">
        <v>124</v>
      </c>
      <c r="MDY71" s="352" t="s">
        <v>164</v>
      </c>
      <c r="MDZ71" s="353" t="s">
        <v>121</v>
      </c>
      <c r="MEA71" s="159" t="s">
        <v>18</v>
      </c>
      <c r="MEB71" s="160">
        <v>8100</v>
      </c>
      <c r="MEC71" s="169">
        <v>85</v>
      </c>
      <c r="MED71" s="170">
        <v>215</v>
      </c>
      <c r="MEE71" s="170">
        <v>75</v>
      </c>
      <c r="MEF71" s="169">
        <v>150</v>
      </c>
      <c r="MEG71" s="171">
        <f>SUM(MEB71:MEF71)</f>
        <v>8625</v>
      </c>
      <c r="MEH71" s="169">
        <v>200</v>
      </c>
      <c r="MEI71" s="171">
        <f>SUM(MEG71:MEH71)</f>
        <v>8825</v>
      </c>
      <c r="MEJ71" s="163" t="s">
        <v>114</v>
      </c>
      <c r="MEK71" s="164">
        <v>45845</v>
      </c>
      <c r="MEL71" s="159" t="s">
        <v>42</v>
      </c>
      <c r="MEM71" s="354" t="s">
        <v>150</v>
      </c>
      <c r="MEN71" s="165" t="s">
        <v>124</v>
      </c>
      <c r="MEO71" s="352" t="s">
        <v>164</v>
      </c>
      <c r="MEP71" s="353" t="s">
        <v>121</v>
      </c>
      <c r="MEQ71" s="159" t="s">
        <v>18</v>
      </c>
      <c r="MER71" s="160">
        <v>8100</v>
      </c>
      <c r="MES71" s="169">
        <v>85</v>
      </c>
      <c r="MET71" s="170">
        <v>215</v>
      </c>
      <c r="MEU71" s="170">
        <v>75</v>
      </c>
      <c r="MEV71" s="169">
        <v>150</v>
      </c>
      <c r="MEW71" s="171">
        <f>SUM(MER71:MEV71)</f>
        <v>8625</v>
      </c>
      <c r="MEX71" s="169">
        <v>200</v>
      </c>
      <c r="MEY71" s="171">
        <f>SUM(MEW71:MEX71)</f>
        <v>8825</v>
      </c>
      <c r="MEZ71" s="163" t="s">
        <v>114</v>
      </c>
      <c r="MFA71" s="164">
        <v>45845</v>
      </c>
      <c r="MFB71" s="159" t="s">
        <v>42</v>
      </c>
      <c r="MFC71" s="354" t="s">
        <v>150</v>
      </c>
      <c r="MFD71" s="165" t="s">
        <v>124</v>
      </c>
      <c r="MFE71" s="352" t="s">
        <v>164</v>
      </c>
      <c r="MFF71" s="353" t="s">
        <v>121</v>
      </c>
      <c r="MFG71" s="159" t="s">
        <v>18</v>
      </c>
      <c r="MFH71" s="160">
        <v>8100</v>
      </c>
      <c r="MFI71" s="169">
        <v>85</v>
      </c>
      <c r="MFJ71" s="170">
        <v>215</v>
      </c>
      <c r="MFK71" s="170">
        <v>75</v>
      </c>
      <c r="MFL71" s="169">
        <v>150</v>
      </c>
      <c r="MFM71" s="171">
        <f>SUM(MFH71:MFL71)</f>
        <v>8625</v>
      </c>
      <c r="MFN71" s="169">
        <v>200</v>
      </c>
      <c r="MFO71" s="171">
        <f>SUM(MFM71:MFN71)</f>
        <v>8825</v>
      </c>
      <c r="MFP71" s="163" t="s">
        <v>114</v>
      </c>
      <c r="MFQ71" s="164">
        <v>45845</v>
      </c>
      <c r="MFR71" s="159" t="s">
        <v>42</v>
      </c>
      <c r="MFS71" s="354" t="s">
        <v>150</v>
      </c>
      <c r="MFT71" s="165" t="s">
        <v>124</v>
      </c>
      <c r="MFU71" s="352" t="s">
        <v>164</v>
      </c>
      <c r="MFV71" s="353" t="s">
        <v>121</v>
      </c>
      <c r="MFW71" s="159" t="s">
        <v>18</v>
      </c>
      <c r="MFX71" s="160">
        <v>8100</v>
      </c>
      <c r="MFY71" s="169">
        <v>85</v>
      </c>
      <c r="MFZ71" s="170">
        <v>215</v>
      </c>
      <c r="MGA71" s="170">
        <v>75</v>
      </c>
      <c r="MGB71" s="169">
        <v>150</v>
      </c>
      <c r="MGC71" s="171">
        <f>SUM(MFX71:MGB71)</f>
        <v>8625</v>
      </c>
      <c r="MGD71" s="169">
        <v>200</v>
      </c>
      <c r="MGE71" s="171">
        <f>SUM(MGC71:MGD71)</f>
        <v>8825</v>
      </c>
      <c r="MGF71" s="163" t="s">
        <v>114</v>
      </c>
      <c r="MGG71" s="164">
        <v>45845</v>
      </c>
      <c r="MGH71" s="159" t="s">
        <v>42</v>
      </c>
      <c r="MGI71" s="354" t="s">
        <v>150</v>
      </c>
      <c r="MGJ71" s="165" t="s">
        <v>124</v>
      </c>
      <c r="MGK71" s="352" t="s">
        <v>164</v>
      </c>
      <c r="MGL71" s="353" t="s">
        <v>121</v>
      </c>
      <c r="MGM71" s="159" t="s">
        <v>18</v>
      </c>
      <c r="MGN71" s="160">
        <v>8100</v>
      </c>
      <c r="MGO71" s="169">
        <v>85</v>
      </c>
      <c r="MGP71" s="170">
        <v>215</v>
      </c>
      <c r="MGQ71" s="170">
        <v>75</v>
      </c>
      <c r="MGR71" s="169">
        <v>150</v>
      </c>
      <c r="MGS71" s="171">
        <f>SUM(MGN71:MGR71)</f>
        <v>8625</v>
      </c>
      <c r="MGT71" s="169">
        <v>200</v>
      </c>
      <c r="MGU71" s="171">
        <f>SUM(MGS71:MGT71)</f>
        <v>8825</v>
      </c>
      <c r="MGV71" s="163" t="s">
        <v>114</v>
      </c>
      <c r="MGW71" s="164">
        <v>45845</v>
      </c>
      <c r="MGX71" s="159" t="s">
        <v>42</v>
      </c>
      <c r="MGY71" s="354" t="s">
        <v>150</v>
      </c>
      <c r="MGZ71" s="165" t="s">
        <v>124</v>
      </c>
      <c r="MHA71" s="352" t="s">
        <v>164</v>
      </c>
      <c r="MHB71" s="353" t="s">
        <v>121</v>
      </c>
      <c r="MHC71" s="159" t="s">
        <v>18</v>
      </c>
      <c r="MHD71" s="160">
        <v>8100</v>
      </c>
      <c r="MHE71" s="169">
        <v>85</v>
      </c>
      <c r="MHF71" s="170">
        <v>215</v>
      </c>
      <c r="MHG71" s="170">
        <v>75</v>
      </c>
      <c r="MHH71" s="169">
        <v>150</v>
      </c>
      <c r="MHI71" s="171">
        <f>SUM(MHD71:MHH71)</f>
        <v>8625</v>
      </c>
      <c r="MHJ71" s="169">
        <v>200</v>
      </c>
      <c r="MHK71" s="171">
        <f>SUM(MHI71:MHJ71)</f>
        <v>8825</v>
      </c>
      <c r="MHL71" s="163" t="s">
        <v>114</v>
      </c>
      <c r="MHM71" s="164">
        <v>45845</v>
      </c>
      <c r="MHN71" s="159" t="s">
        <v>42</v>
      </c>
      <c r="MHO71" s="354" t="s">
        <v>150</v>
      </c>
      <c r="MHP71" s="165" t="s">
        <v>124</v>
      </c>
      <c r="MHQ71" s="352" t="s">
        <v>164</v>
      </c>
      <c r="MHR71" s="353" t="s">
        <v>121</v>
      </c>
      <c r="MHS71" s="159" t="s">
        <v>18</v>
      </c>
      <c r="MHT71" s="160">
        <v>8100</v>
      </c>
      <c r="MHU71" s="169">
        <v>85</v>
      </c>
      <c r="MHV71" s="170">
        <v>215</v>
      </c>
      <c r="MHW71" s="170">
        <v>75</v>
      </c>
      <c r="MHX71" s="169">
        <v>150</v>
      </c>
      <c r="MHY71" s="171">
        <f>SUM(MHT71:MHX71)</f>
        <v>8625</v>
      </c>
      <c r="MHZ71" s="169">
        <v>200</v>
      </c>
      <c r="MIA71" s="171">
        <f>SUM(MHY71:MHZ71)</f>
        <v>8825</v>
      </c>
      <c r="MIB71" s="163" t="s">
        <v>114</v>
      </c>
      <c r="MIC71" s="164">
        <v>45845</v>
      </c>
      <c r="MID71" s="159" t="s">
        <v>42</v>
      </c>
      <c r="MIE71" s="354" t="s">
        <v>150</v>
      </c>
      <c r="MIF71" s="165" t="s">
        <v>124</v>
      </c>
      <c r="MIG71" s="352" t="s">
        <v>164</v>
      </c>
      <c r="MIH71" s="353" t="s">
        <v>121</v>
      </c>
      <c r="MII71" s="159" t="s">
        <v>18</v>
      </c>
      <c r="MIJ71" s="160">
        <v>8100</v>
      </c>
      <c r="MIK71" s="169">
        <v>85</v>
      </c>
      <c r="MIL71" s="170">
        <v>215</v>
      </c>
      <c r="MIM71" s="170">
        <v>75</v>
      </c>
      <c r="MIN71" s="169">
        <v>150</v>
      </c>
      <c r="MIO71" s="171">
        <f>SUM(MIJ71:MIN71)</f>
        <v>8625</v>
      </c>
      <c r="MIP71" s="169">
        <v>200</v>
      </c>
      <c r="MIQ71" s="171">
        <f>SUM(MIO71:MIP71)</f>
        <v>8825</v>
      </c>
      <c r="MIR71" s="163" t="s">
        <v>114</v>
      </c>
      <c r="MIS71" s="164">
        <v>45845</v>
      </c>
      <c r="MIT71" s="159" t="s">
        <v>42</v>
      </c>
      <c r="MIU71" s="354" t="s">
        <v>150</v>
      </c>
      <c r="MIV71" s="165" t="s">
        <v>124</v>
      </c>
      <c r="MIW71" s="352" t="s">
        <v>164</v>
      </c>
      <c r="MIX71" s="353" t="s">
        <v>121</v>
      </c>
      <c r="MIY71" s="159" t="s">
        <v>18</v>
      </c>
      <c r="MIZ71" s="160">
        <v>8100</v>
      </c>
      <c r="MJA71" s="169">
        <v>85</v>
      </c>
      <c r="MJB71" s="170">
        <v>215</v>
      </c>
      <c r="MJC71" s="170">
        <v>75</v>
      </c>
      <c r="MJD71" s="169">
        <v>150</v>
      </c>
      <c r="MJE71" s="171">
        <f>SUM(MIZ71:MJD71)</f>
        <v>8625</v>
      </c>
      <c r="MJF71" s="169">
        <v>200</v>
      </c>
      <c r="MJG71" s="171">
        <f>SUM(MJE71:MJF71)</f>
        <v>8825</v>
      </c>
      <c r="MJH71" s="163" t="s">
        <v>114</v>
      </c>
      <c r="MJI71" s="164">
        <v>45845</v>
      </c>
      <c r="MJJ71" s="159" t="s">
        <v>42</v>
      </c>
      <c r="MJK71" s="354" t="s">
        <v>150</v>
      </c>
      <c r="MJL71" s="165" t="s">
        <v>124</v>
      </c>
      <c r="MJM71" s="352" t="s">
        <v>164</v>
      </c>
      <c r="MJN71" s="353" t="s">
        <v>121</v>
      </c>
      <c r="MJO71" s="159" t="s">
        <v>18</v>
      </c>
      <c r="MJP71" s="160">
        <v>8100</v>
      </c>
      <c r="MJQ71" s="169">
        <v>85</v>
      </c>
      <c r="MJR71" s="170">
        <v>215</v>
      </c>
      <c r="MJS71" s="170">
        <v>75</v>
      </c>
      <c r="MJT71" s="169">
        <v>150</v>
      </c>
      <c r="MJU71" s="171">
        <f>SUM(MJP71:MJT71)</f>
        <v>8625</v>
      </c>
      <c r="MJV71" s="169">
        <v>200</v>
      </c>
      <c r="MJW71" s="171">
        <f>SUM(MJU71:MJV71)</f>
        <v>8825</v>
      </c>
      <c r="MJX71" s="163" t="s">
        <v>114</v>
      </c>
      <c r="MJY71" s="164">
        <v>45845</v>
      </c>
      <c r="MJZ71" s="159" t="s">
        <v>42</v>
      </c>
      <c r="MKA71" s="354" t="s">
        <v>150</v>
      </c>
      <c r="MKB71" s="165" t="s">
        <v>124</v>
      </c>
      <c r="MKC71" s="352" t="s">
        <v>164</v>
      </c>
      <c r="MKD71" s="353" t="s">
        <v>121</v>
      </c>
      <c r="MKE71" s="159" t="s">
        <v>18</v>
      </c>
      <c r="MKF71" s="160">
        <v>8100</v>
      </c>
      <c r="MKG71" s="169">
        <v>85</v>
      </c>
      <c r="MKH71" s="170">
        <v>215</v>
      </c>
      <c r="MKI71" s="170">
        <v>75</v>
      </c>
      <c r="MKJ71" s="169">
        <v>150</v>
      </c>
      <c r="MKK71" s="171">
        <f>SUM(MKF71:MKJ71)</f>
        <v>8625</v>
      </c>
      <c r="MKL71" s="169">
        <v>200</v>
      </c>
      <c r="MKM71" s="171">
        <f>SUM(MKK71:MKL71)</f>
        <v>8825</v>
      </c>
      <c r="MKN71" s="163" t="s">
        <v>114</v>
      </c>
      <c r="MKO71" s="164">
        <v>45845</v>
      </c>
      <c r="MKP71" s="159" t="s">
        <v>42</v>
      </c>
      <c r="MKQ71" s="354" t="s">
        <v>150</v>
      </c>
      <c r="MKR71" s="165" t="s">
        <v>124</v>
      </c>
      <c r="MKS71" s="352" t="s">
        <v>164</v>
      </c>
      <c r="MKT71" s="353" t="s">
        <v>121</v>
      </c>
      <c r="MKU71" s="159" t="s">
        <v>18</v>
      </c>
      <c r="MKV71" s="160">
        <v>8100</v>
      </c>
      <c r="MKW71" s="169">
        <v>85</v>
      </c>
      <c r="MKX71" s="170">
        <v>215</v>
      </c>
      <c r="MKY71" s="170">
        <v>75</v>
      </c>
      <c r="MKZ71" s="169">
        <v>150</v>
      </c>
      <c r="MLA71" s="171">
        <f>SUM(MKV71:MKZ71)</f>
        <v>8625</v>
      </c>
      <c r="MLB71" s="169">
        <v>200</v>
      </c>
      <c r="MLC71" s="171">
        <f>SUM(MLA71:MLB71)</f>
        <v>8825</v>
      </c>
      <c r="MLD71" s="163" t="s">
        <v>114</v>
      </c>
      <c r="MLE71" s="164">
        <v>45845</v>
      </c>
      <c r="MLF71" s="159" t="s">
        <v>42</v>
      </c>
      <c r="MLG71" s="354" t="s">
        <v>150</v>
      </c>
      <c r="MLH71" s="165" t="s">
        <v>124</v>
      </c>
      <c r="MLI71" s="352" t="s">
        <v>164</v>
      </c>
      <c r="MLJ71" s="353" t="s">
        <v>121</v>
      </c>
      <c r="MLK71" s="159" t="s">
        <v>18</v>
      </c>
      <c r="MLL71" s="160">
        <v>8100</v>
      </c>
      <c r="MLM71" s="169">
        <v>85</v>
      </c>
      <c r="MLN71" s="170">
        <v>215</v>
      </c>
      <c r="MLO71" s="170">
        <v>75</v>
      </c>
      <c r="MLP71" s="169">
        <v>150</v>
      </c>
      <c r="MLQ71" s="171">
        <f>SUM(MLL71:MLP71)</f>
        <v>8625</v>
      </c>
      <c r="MLR71" s="169">
        <v>200</v>
      </c>
      <c r="MLS71" s="171">
        <f>SUM(MLQ71:MLR71)</f>
        <v>8825</v>
      </c>
      <c r="MLT71" s="163" t="s">
        <v>114</v>
      </c>
      <c r="MLU71" s="164">
        <v>45845</v>
      </c>
      <c r="MLV71" s="159" t="s">
        <v>42</v>
      </c>
      <c r="MLW71" s="354" t="s">
        <v>150</v>
      </c>
      <c r="MLX71" s="165" t="s">
        <v>124</v>
      </c>
      <c r="MLY71" s="352" t="s">
        <v>164</v>
      </c>
      <c r="MLZ71" s="353" t="s">
        <v>121</v>
      </c>
      <c r="MMA71" s="159" t="s">
        <v>18</v>
      </c>
      <c r="MMB71" s="160">
        <v>8100</v>
      </c>
      <c r="MMC71" s="169">
        <v>85</v>
      </c>
      <c r="MMD71" s="170">
        <v>215</v>
      </c>
      <c r="MME71" s="170">
        <v>75</v>
      </c>
      <c r="MMF71" s="169">
        <v>150</v>
      </c>
      <c r="MMG71" s="171">
        <f>SUM(MMB71:MMF71)</f>
        <v>8625</v>
      </c>
      <c r="MMH71" s="169">
        <v>200</v>
      </c>
      <c r="MMI71" s="171">
        <f>SUM(MMG71:MMH71)</f>
        <v>8825</v>
      </c>
      <c r="MMJ71" s="163" t="s">
        <v>114</v>
      </c>
      <c r="MMK71" s="164">
        <v>45845</v>
      </c>
      <c r="MML71" s="159" t="s">
        <v>42</v>
      </c>
      <c r="MMM71" s="354" t="s">
        <v>150</v>
      </c>
      <c r="MMN71" s="165" t="s">
        <v>124</v>
      </c>
      <c r="MMO71" s="352" t="s">
        <v>164</v>
      </c>
      <c r="MMP71" s="353" t="s">
        <v>121</v>
      </c>
      <c r="MMQ71" s="159" t="s">
        <v>18</v>
      </c>
      <c r="MMR71" s="160">
        <v>8100</v>
      </c>
      <c r="MMS71" s="169">
        <v>85</v>
      </c>
      <c r="MMT71" s="170">
        <v>215</v>
      </c>
      <c r="MMU71" s="170">
        <v>75</v>
      </c>
      <c r="MMV71" s="169">
        <v>150</v>
      </c>
      <c r="MMW71" s="171">
        <f>SUM(MMR71:MMV71)</f>
        <v>8625</v>
      </c>
      <c r="MMX71" s="169">
        <v>200</v>
      </c>
      <c r="MMY71" s="171">
        <f>SUM(MMW71:MMX71)</f>
        <v>8825</v>
      </c>
      <c r="MMZ71" s="163" t="s">
        <v>114</v>
      </c>
      <c r="MNA71" s="164">
        <v>45845</v>
      </c>
      <c r="MNB71" s="159" t="s">
        <v>42</v>
      </c>
      <c r="MNC71" s="354" t="s">
        <v>150</v>
      </c>
      <c r="MND71" s="165" t="s">
        <v>124</v>
      </c>
      <c r="MNE71" s="352" t="s">
        <v>164</v>
      </c>
      <c r="MNF71" s="353" t="s">
        <v>121</v>
      </c>
      <c r="MNG71" s="159" t="s">
        <v>18</v>
      </c>
      <c r="MNH71" s="160">
        <v>8100</v>
      </c>
      <c r="MNI71" s="169">
        <v>85</v>
      </c>
      <c r="MNJ71" s="170">
        <v>215</v>
      </c>
      <c r="MNK71" s="170">
        <v>75</v>
      </c>
      <c r="MNL71" s="169">
        <v>150</v>
      </c>
      <c r="MNM71" s="171">
        <f>SUM(MNH71:MNL71)</f>
        <v>8625</v>
      </c>
      <c r="MNN71" s="169">
        <v>200</v>
      </c>
      <c r="MNO71" s="171">
        <f>SUM(MNM71:MNN71)</f>
        <v>8825</v>
      </c>
      <c r="MNP71" s="163" t="s">
        <v>114</v>
      </c>
      <c r="MNQ71" s="164">
        <v>45845</v>
      </c>
      <c r="MNR71" s="159" t="s">
        <v>42</v>
      </c>
      <c r="MNS71" s="354" t="s">
        <v>150</v>
      </c>
      <c r="MNT71" s="165" t="s">
        <v>124</v>
      </c>
      <c r="MNU71" s="352" t="s">
        <v>164</v>
      </c>
      <c r="MNV71" s="353" t="s">
        <v>121</v>
      </c>
      <c r="MNW71" s="159" t="s">
        <v>18</v>
      </c>
      <c r="MNX71" s="160">
        <v>8100</v>
      </c>
      <c r="MNY71" s="169">
        <v>85</v>
      </c>
      <c r="MNZ71" s="170">
        <v>215</v>
      </c>
      <c r="MOA71" s="170">
        <v>75</v>
      </c>
      <c r="MOB71" s="169">
        <v>150</v>
      </c>
      <c r="MOC71" s="171">
        <f>SUM(MNX71:MOB71)</f>
        <v>8625</v>
      </c>
      <c r="MOD71" s="169">
        <v>200</v>
      </c>
      <c r="MOE71" s="171">
        <f>SUM(MOC71:MOD71)</f>
        <v>8825</v>
      </c>
      <c r="MOF71" s="163" t="s">
        <v>114</v>
      </c>
      <c r="MOG71" s="164">
        <v>45845</v>
      </c>
      <c r="MOH71" s="159" t="s">
        <v>42</v>
      </c>
      <c r="MOI71" s="354" t="s">
        <v>150</v>
      </c>
      <c r="MOJ71" s="165" t="s">
        <v>124</v>
      </c>
      <c r="MOK71" s="352" t="s">
        <v>164</v>
      </c>
      <c r="MOL71" s="353" t="s">
        <v>121</v>
      </c>
      <c r="MOM71" s="159" t="s">
        <v>18</v>
      </c>
      <c r="MON71" s="160">
        <v>8100</v>
      </c>
      <c r="MOO71" s="169">
        <v>85</v>
      </c>
      <c r="MOP71" s="170">
        <v>215</v>
      </c>
      <c r="MOQ71" s="170">
        <v>75</v>
      </c>
      <c r="MOR71" s="169">
        <v>150</v>
      </c>
      <c r="MOS71" s="171">
        <f>SUM(MON71:MOR71)</f>
        <v>8625</v>
      </c>
      <c r="MOT71" s="169">
        <v>200</v>
      </c>
      <c r="MOU71" s="171">
        <f>SUM(MOS71:MOT71)</f>
        <v>8825</v>
      </c>
      <c r="MOV71" s="163" t="s">
        <v>114</v>
      </c>
      <c r="MOW71" s="164">
        <v>45845</v>
      </c>
      <c r="MOX71" s="159" t="s">
        <v>42</v>
      </c>
      <c r="MOY71" s="354" t="s">
        <v>150</v>
      </c>
      <c r="MOZ71" s="165" t="s">
        <v>124</v>
      </c>
      <c r="MPA71" s="352" t="s">
        <v>164</v>
      </c>
      <c r="MPB71" s="353" t="s">
        <v>121</v>
      </c>
      <c r="MPC71" s="159" t="s">
        <v>18</v>
      </c>
      <c r="MPD71" s="160">
        <v>8100</v>
      </c>
      <c r="MPE71" s="169">
        <v>85</v>
      </c>
      <c r="MPF71" s="170">
        <v>215</v>
      </c>
      <c r="MPG71" s="170">
        <v>75</v>
      </c>
      <c r="MPH71" s="169">
        <v>150</v>
      </c>
      <c r="MPI71" s="171">
        <f>SUM(MPD71:MPH71)</f>
        <v>8625</v>
      </c>
      <c r="MPJ71" s="169">
        <v>200</v>
      </c>
      <c r="MPK71" s="171">
        <f>SUM(MPI71:MPJ71)</f>
        <v>8825</v>
      </c>
      <c r="MPL71" s="163" t="s">
        <v>114</v>
      </c>
      <c r="MPM71" s="164">
        <v>45845</v>
      </c>
      <c r="MPN71" s="159" t="s">
        <v>42</v>
      </c>
      <c r="MPO71" s="354" t="s">
        <v>150</v>
      </c>
      <c r="MPP71" s="165" t="s">
        <v>124</v>
      </c>
      <c r="MPQ71" s="352" t="s">
        <v>164</v>
      </c>
      <c r="MPR71" s="353" t="s">
        <v>121</v>
      </c>
      <c r="MPS71" s="159" t="s">
        <v>18</v>
      </c>
      <c r="MPT71" s="160">
        <v>8100</v>
      </c>
      <c r="MPU71" s="169">
        <v>85</v>
      </c>
      <c r="MPV71" s="170">
        <v>215</v>
      </c>
      <c r="MPW71" s="170">
        <v>75</v>
      </c>
      <c r="MPX71" s="169">
        <v>150</v>
      </c>
      <c r="MPY71" s="171">
        <f>SUM(MPT71:MPX71)</f>
        <v>8625</v>
      </c>
      <c r="MPZ71" s="169">
        <v>200</v>
      </c>
      <c r="MQA71" s="171">
        <f>SUM(MPY71:MPZ71)</f>
        <v>8825</v>
      </c>
      <c r="MQB71" s="163" t="s">
        <v>114</v>
      </c>
      <c r="MQC71" s="164">
        <v>45845</v>
      </c>
      <c r="MQD71" s="159" t="s">
        <v>42</v>
      </c>
      <c r="MQE71" s="354" t="s">
        <v>150</v>
      </c>
      <c r="MQF71" s="165" t="s">
        <v>124</v>
      </c>
      <c r="MQG71" s="352" t="s">
        <v>164</v>
      </c>
      <c r="MQH71" s="353" t="s">
        <v>121</v>
      </c>
      <c r="MQI71" s="159" t="s">
        <v>18</v>
      </c>
      <c r="MQJ71" s="160">
        <v>8100</v>
      </c>
      <c r="MQK71" s="169">
        <v>85</v>
      </c>
      <c r="MQL71" s="170">
        <v>215</v>
      </c>
      <c r="MQM71" s="170">
        <v>75</v>
      </c>
      <c r="MQN71" s="169">
        <v>150</v>
      </c>
      <c r="MQO71" s="171">
        <f>SUM(MQJ71:MQN71)</f>
        <v>8625</v>
      </c>
      <c r="MQP71" s="169">
        <v>200</v>
      </c>
      <c r="MQQ71" s="171">
        <f>SUM(MQO71:MQP71)</f>
        <v>8825</v>
      </c>
      <c r="MQR71" s="163" t="s">
        <v>114</v>
      </c>
      <c r="MQS71" s="164">
        <v>45845</v>
      </c>
      <c r="MQT71" s="159" t="s">
        <v>42</v>
      </c>
      <c r="MQU71" s="354" t="s">
        <v>150</v>
      </c>
      <c r="MQV71" s="165" t="s">
        <v>124</v>
      </c>
      <c r="MQW71" s="352" t="s">
        <v>164</v>
      </c>
      <c r="MQX71" s="353" t="s">
        <v>121</v>
      </c>
      <c r="MQY71" s="159" t="s">
        <v>18</v>
      </c>
      <c r="MQZ71" s="160">
        <v>8100</v>
      </c>
      <c r="MRA71" s="169">
        <v>85</v>
      </c>
      <c r="MRB71" s="170">
        <v>215</v>
      </c>
      <c r="MRC71" s="170">
        <v>75</v>
      </c>
      <c r="MRD71" s="169">
        <v>150</v>
      </c>
      <c r="MRE71" s="171">
        <f>SUM(MQZ71:MRD71)</f>
        <v>8625</v>
      </c>
      <c r="MRF71" s="169">
        <v>200</v>
      </c>
      <c r="MRG71" s="171">
        <f>SUM(MRE71:MRF71)</f>
        <v>8825</v>
      </c>
      <c r="MRH71" s="163" t="s">
        <v>114</v>
      </c>
      <c r="MRI71" s="164">
        <v>45845</v>
      </c>
      <c r="MRJ71" s="159" t="s">
        <v>42</v>
      </c>
      <c r="MRK71" s="354" t="s">
        <v>150</v>
      </c>
      <c r="MRL71" s="165" t="s">
        <v>124</v>
      </c>
      <c r="MRM71" s="352" t="s">
        <v>164</v>
      </c>
      <c r="MRN71" s="353" t="s">
        <v>121</v>
      </c>
      <c r="MRO71" s="159" t="s">
        <v>18</v>
      </c>
      <c r="MRP71" s="160">
        <v>8100</v>
      </c>
      <c r="MRQ71" s="169">
        <v>85</v>
      </c>
      <c r="MRR71" s="170">
        <v>215</v>
      </c>
      <c r="MRS71" s="170">
        <v>75</v>
      </c>
      <c r="MRT71" s="169">
        <v>150</v>
      </c>
      <c r="MRU71" s="171">
        <f>SUM(MRP71:MRT71)</f>
        <v>8625</v>
      </c>
      <c r="MRV71" s="169">
        <v>200</v>
      </c>
      <c r="MRW71" s="171">
        <f>SUM(MRU71:MRV71)</f>
        <v>8825</v>
      </c>
      <c r="MRX71" s="163" t="s">
        <v>114</v>
      </c>
      <c r="MRY71" s="164">
        <v>45845</v>
      </c>
      <c r="MRZ71" s="159" t="s">
        <v>42</v>
      </c>
      <c r="MSA71" s="354" t="s">
        <v>150</v>
      </c>
      <c r="MSB71" s="165" t="s">
        <v>124</v>
      </c>
      <c r="MSC71" s="352" t="s">
        <v>164</v>
      </c>
      <c r="MSD71" s="353" t="s">
        <v>121</v>
      </c>
      <c r="MSE71" s="159" t="s">
        <v>18</v>
      </c>
      <c r="MSF71" s="160">
        <v>8100</v>
      </c>
      <c r="MSG71" s="169">
        <v>85</v>
      </c>
      <c r="MSH71" s="170">
        <v>215</v>
      </c>
      <c r="MSI71" s="170">
        <v>75</v>
      </c>
      <c r="MSJ71" s="169">
        <v>150</v>
      </c>
      <c r="MSK71" s="171">
        <f>SUM(MSF71:MSJ71)</f>
        <v>8625</v>
      </c>
      <c r="MSL71" s="169">
        <v>200</v>
      </c>
      <c r="MSM71" s="171">
        <f>SUM(MSK71:MSL71)</f>
        <v>8825</v>
      </c>
      <c r="MSN71" s="163" t="s">
        <v>114</v>
      </c>
      <c r="MSO71" s="164">
        <v>45845</v>
      </c>
      <c r="MSP71" s="159" t="s">
        <v>42</v>
      </c>
      <c r="MSQ71" s="354" t="s">
        <v>150</v>
      </c>
      <c r="MSR71" s="165" t="s">
        <v>124</v>
      </c>
      <c r="MSS71" s="352" t="s">
        <v>164</v>
      </c>
      <c r="MST71" s="353" t="s">
        <v>121</v>
      </c>
      <c r="MSU71" s="159" t="s">
        <v>18</v>
      </c>
      <c r="MSV71" s="160">
        <v>8100</v>
      </c>
      <c r="MSW71" s="169">
        <v>85</v>
      </c>
      <c r="MSX71" s="170">
        <v>215</v>
      </c>
      <c r="MSY71" s="170">
        <v>75</v>
      </c>
      <c r="MSZ71" s="169">
        <v>150</v>
      </c>
      <c r="MTA71" s="171">
        <f>SUM(MSV71:MSZ71)</f>
        <v>8625</v>
      </c>
      <c r="MTB71" s="169">
        <v>200</v>
      </c>
      <c r="MTC71" s="171">
        <f>SUM(MTA71:MTB71)</f>
        <v>8825</v>
      </c>
      <c r="MTD71" s="163" t="s">
        <v>114</v>
      </c>
      <c r="MTE71" s="164">
        <v>45845</v>
      </c>
      <c r="MTF71" s="159" t="s">
        <v>42</v>
      </c>
      <c r="MTG71" s="354" t="s">
        <v>150</v>
      </c>
      <c r="MTH71" s="165" t="s">
        <v>124</v>
      </c>
      <c r="MTI71" s="352" t="s">
        <v>164</v>
      </c>
      <c r="MTJ71" s="353" t="s">
        <v>121</v>
      </c>
      <c r="MTK71" s="159" t="s">
        <v>18</v>
      </c>
      <c r="MTL71" s="160">
        <v>8100</v>
      </c>
      <c r="MTM71" s="169">
        <v>85</v>
      </c>
      <c r="MTN71" s="170">
        <v>215</v>
      </c>
      <c r="MTO71" s="170">
        <v>75</v>
      </c>
      <c r="MTP71" s="169">
        <v>150</v>
      </c>
      <c r="MTQ71" s="171">
        <f>SUM(MTL71:MTP71)</f>
        <v>8625</v>
      </c>
      <c r="MTR71" s="169">
        <v>200</v>
      </c>
      <c r="MTS71" s="171">
        <f>SUM(MTQ71:MTR71)</f>
        <v>8825</v>
      </c>
      <c r="MTT71" s="163" t="s">
        <v>114</v>
      </c>
      <c r="MTU71" s="164">
        <v>45845</v>
      </c>
      <c r="MTV71" s="159" t="s">
        <v>42</v>
      </c>
      <c r="MTW71" s="354" t="s">
        <v>150</v>
      </c>
      <c r="MTX71" s="165" t="s">
        <v>124</v>
      </c>
      <c r="MTY71" s="352" t="s">
        <v>164</v>
      </c>
      <c r="MTZ71" s="353" t="s">
        <v>121</v>
      </c>
      <c r="MUA71" s="159" t="s">
        <v>18</v>
      </c>
      <c r="MUB71" s="160">
        <v>8100</v>
      </c>
      <c r="MUC71" s="169">
        <v>85</v>
      </c>
      <c r="MUD71" s="170">
        <v>215</v>
      </c>
      <c r="MUE71" s="170">
        <v>75</v>
      </c>
      <c r="MUF71" s="169">
        <v>150</v>
      </c>
      <c r="MUG71" s="171">
        <f>SUM(MUB71:MUF71)</f>
        <v>8625</v>
      </c>
      <c r="MUH71" s="169">
        <v>200</v>
      </c>
      <c r="MUI71" s="171">
        <f>SUM(MUG71:MUH71)</f>
        <v>8825</v>
      </c>
      <c r="MUJ71" s="163" t="s">
        <v>114</v>
      </c>
      <c r="MUK71" s="164">
        <v>45845</v>
      </c>
      <c r="MUL71" s="159" t="s">
        <v>42</v>
      </c>
      <c r="MUM71" s="354" t="s">
        <v>150</v>
      </c>
      <c r="MUN71" s="165" t="s">
        <v>124</v>
      </c>
      <c r="MUO71" s="352" t="s">
        <v>164</v>
      </c>
      <c r="MUP71" s="353" t="s">
        <v>121</v>
      </c>
      <c r="MUQ71" s="159" t="s">
        <v>18</v>
      </c>
      <c r="MUR71" s="160">
        <v>8100</v>
      </c>
      <c r="MUS71" s="169">
        <v>85</v>
      </c>
      <c r="MUT71" s="170">
        <v>215</v>
      </c>
      <c r="MUU71" s="170">
        <v>75</v>
      </c>
      <c r="MUV71" s="169">
        <v>150</v>
      </c>
      <c r="MUW71" s="171">
        <f>SUM(MUR71:MUV71)</f>
        <v>8625</v>
      </c>
      <c r="MUX71" s="169">
        <v>200</v>
      </c>
      <c r="MUY71" s="171">
        <f>SUM(MUW71:MUX71)</f>
        <v>8825</v>
      </c>
      <c r="MUZ71" s="163" t="s">
        <v>114</v>
      </c>
      <c r="MVA71" s="164">
        <v>45845</v>
      </c>
      <c r="MVB71" s="159" t="s">
        <v>42</v>
      </c>
      <c r="MVC71" s="354" t="s">
        <v>150</v>
      </c>
      <c r="MVD71" s="165" t="s">
        <v>124</v>
      </c>
      <c r="MVE71" s="352" t="s">
        <v>164</v>
      </c>
      <c r="MVF71" s="353" t="s">
        <v>121</v>
      </c>
      <c r="MVG71" s="159" t="s">
        <v>18</v>
      </c>
      <c r="MVH71" s="160">
        <v>8100</v>
      </c>
      <c r="MVI71" s="169">
        <v>85</v>
      </c>
      <c r="MVJ71" s="170">
        <v>215</v>
      </c>
      <c r="MVK71" s="170">
        <v>75</v>
      </c>
      <c r="MVL71" s="169">
        <v>150</v>
      </c>
      <c r="MVM71" s="171">
        <f>SUM(MVH71:MVL71)</f>
        <v>8625</v>
      </c>
      <c r="MVN71" s="169">
        <v>200</v>
      </c>
      <c r="MVO71" s="171">
        <f>SUM(MVM71:MVN71)</f>
        <v>8825</v>
      </c>
      <c r="MVP71" s="163" t="s">
        <v>114</v>
      </c>
      <c r="MVQ71" s="164">
        <v>45845</v>
      </c>
      <c r="MVR71" s="159" t="s">
        <v>42</v>
      </c>
      <c r="MVS71" s="354" t="s">
        <v>150</v>
      </c>
      <c r="MVT71" s="165" t="s">
        <v>124</v>
      </c>
      <c r="MVU71" s="352" t="s">
        <v>164</v>
      </c>
      <c r="MVV71" s="353" t="s">
        <v>121</v>
      </c>
      <c r="MVW71" s="159" t="s">
        <v>18</v>
      </c>
      <c r="MVX71" s="160">
        <v>8100</v>
      </c>
      <c r="MVY71" s="169">
        <v>85</v>
      </c>
      <c r="MVZ71" s="170">
        <v>215</v>
      </c>
      <c r="MWA71" s="170">
        <v>75</v>
      </c>
      <c r="MWB71" s="169">
        <v>150</v>
      </c>
      <c r="MWC71" s="171">
        <f>SUM(MVX71:MWB71)</f>
        <v>8625</v>
      </c>
      <c r="MWD71" s="169">
        <v>200</v>
      </c>
      <c r="MWE71" s="171">
        <f>SUM(MWC71:MWD71)</f>
        <v>8825</v>
      </c>
      <c r="MWF71" s="163" t="s">
        <v>114</v>
      </c>
      <c r="MWG71" s="164">
        <v>45845</v>
      </c>
      <c r="MWH71" s="159" t="s">
        <v>42</v>
      </c>
      <c r="MWI71" s="354" t="s">
        <v>150</v>
      </c>
      <c r="MWJ71" s="165" t="s">
        <v>124</v>
      </c>
      <c r="MWK71" s="352" t="s">
        <v>164</v>
      </c>
      <c r="MWL71" s="353" t="s">
        <v>121</v>
      </c>
      <c r="MWM71" s="159" t="s">
        <v>18</v>
      </c>
      <c r="MWN71" s="160">
        <v>8100</v>
      </c>
      <c r="MWO71" s="169">
        <v>85</v>
      </c>
      <c r="MWP71" s="170">
        <v>215</v>
      </c>
      <c r="MWQ71" s="170">
        <v>75</v>
      </c>
      <c r="MWR71" s="169">
        <v>150</v>
      </c>
      <c r="MWS71" s="171">
        <f>SUM(MWN71:MWR71)</f>
        <v>8625</v>
      </c>
      <c r="MWT71" s="169">
        <v>200</v>
      </c>
      <c r="MWU71" s="171">
        <f>SUM(MWS71:MWT71)</f>
        <v>8825</v>
      </c>
      <c r="MWV71" s="163" t="s">
        <v>114</v>
      </c>
      <c r="MWW71" s="164">
        <v>45845</v>
      </c>
      <c r="MWX71" s="159" t="s">
        <v>42</v>
      </c>
      <c r="MWY71" s="354" t="s">
        <v>150</v>
      </c>
      <c r="MWZ71" s="165" t="s">
        <v>124</v>
      </c>
      <c r="MXA71" s="352" t="s">
        <v>164</v>
      </c>
      <c r="MXB71" s="353" t="s">
        <v>121</v>
      </c>
      <c r="MXC71" s="159" t="s">
        <v>18</v>
      </c>
      <c r="MXD71" s="160">
        <v>8100</v>
      </c>
      <c r="MXE71" s="169">
        <v>85</v>
      </c>
      <c r="MXF71" s="170">
        <v>215</v>
      </c>
      <c r="MXG71" s="170">
        <v>75</v>
      </c>
      <c r="MXH71" s="169">
        <v>150</v>
      </c>
      <c r="MXI71" s="171">
        <f>SUM(MXD71:MXH71)</f>
        <v>8625</v>
      </c>
      <c r="MXJ71" s="169">
        <v>200</v>
      </c>
      <c r="MXK71" s="171">
        <f>SUM(MXI71:MXJ71)</f>
        <v>8825</v>
      </c>
      <c r="MXL71" s="163" t="s">
        <v>114</v>
      </c>
      <c r="MXM71" s="164">
        <v>45845</v>
      </c>
      <c r="MXN71" s="159" t="s">
        <v>42</v>
      </c>
      <c r="MXO71" s="354" t="s">
        <v>150</v>
      </c>
      <c r="MXP71" s="165" t="s">
        <v>124</v>
      </c>
      <c r="MXQ71" s="352" t="s">
        <v>164</v>
      </c>
      <c r="MXR71" s="353" t="s">
        <v>121</v>
      </c>
      <c r="MXS71" s="159" t="s">
        <v>18</v>
      </c>
      <c r="MXT71" s="160">
        <v>8100</v>
      </c>
      <c r="MXU71" s="169">
        <v>85</v>
      </c>
      <c r="MXV71" s="170">
        <v>215</v>
      </c>
      <c r="MXW71" s="170">
        <v>75</v>
      </c>
      <c r="MXX71" s="169">
        <v>150</v>
      </c>
      <c r="MXY71" s="171">
        <f>SUM(MXT71:MXX71)</f>
        <v>8625</v>
      </c>
      <c r="MXZ71" s="169">
        <v>200</v>
      </c>
      <c r="MYA71" s="171">
        <f>SUM(MXY71:MXZ71)</f>
        <v>8825</v>
      </c>
      <c r="MYB71" s="163" t="s">
        <v>114</v>
      </c>
      <c r="MYC71" s="164">
        <v>45845</v>
      </c>
      <c r="MYD71" s="159" t="s">
        <v>42</v>
      </c>
      <c r="MYE71" s="354" t="s">
        <v>150</v>
      </c>
      <c r="MYF71" s="165" t="s">
        <v>124</v>
      </c>
      <c r="MYG71" s="352" t="s">
        <v>164</v>
      </c>
      <c r="MYH71" s="353" t="s">
        <v>121</v>
      </c>
      <c r="MYI71" s="159" t="s">
        <v>18</v>
      </c>
      <c r="MYJ71" s="160">
        <v>8100</v>
      </c>
      <c r="MYK71" s="169">
        <v>85</v>
      </c>
      <c r="MYL71" s="170">
        <v>215</v>
      </c>
      <c r="MYM71" s="170">
        <v>75</v>
      </c>
      <c r="MYN71" s="169">
        <v>150</v>
      </c>
      <c r="MYO71" s="171">
        <f>SUM(MYJ71:MYN71)</f>
        <v>8625</v>
      </c>
      <c r="MYP71" s="169">
        <v>200</v>
      </c>
      <c r="MYQ71" s="171">
        <f>SUM(MYO71:MYP71)</f>
        <v>8825</v>
      </c>
      <c r="MYR71" s="163" t="s">
        <v>114</v>
      </c>
      <c r="MYS71" s="164">
        <v>45845</v>
      </c>
      <c r="MYT71" s="159" t="s">
        <v>42</v>
      </c>
      <c r="MYU71" s="354" t="s">
        <v>150</v>
      </c>
      <c r="MYV71" s="165" t="s">
        <v>124</v>
      </c>
      <c r="MYW71" s="352" t="s">
        <v>164</v>
      </c>
      <c r="MYX71" s="353" t="s">
        <v>121</v>
      </c>
      <c r="MYY71" s="159" t="s">
        <v>18</v>
      </c>
      <c r="MYZ71" s="160">
        <v>8100</v>
      </c>
      <c r="MZA71" s="169">
        <v>85</v>
      </c>
      <c r="MZB71" s="170">
        <v>215</v>
      </c>
      <c r="MZC71" s="170">
        <v>75</v>
      </c>
      <c r="MZD71" s="169">
        <v>150</v>
      </c>
      <c r="MZE71" s="171">
        <f>SUM(MYZ71:MZD71)</f>
        <v>8625</v>
      </c>
      <c r="MZF71" s="169">
        <v>200</v>
      </c>
      <c r="MZG71" s="171">
        <f>SUM(MZE71:MZF71)</f>
        <v>8825</v>
      </c>
      <c r="MZH71" s="163" t="s">
        <v>114</v>
      </c>
      <c r="MZI71" s="164">
        <v>45845</v>
      </c>
      <c r="MZJ71" s="159" t="s">
        <v>42</v>
      </c>
      <c r="MZK71" s="354" t="s">
        <v>150</v>
      </c>
      <c r="MZL71" s="165" t="s">
        <v>124</v>
      </c>
      <c r="MZM71" s="352" t="s">
        <v>164</v>
      </c>
      <c r="MZN71" s="353" t="s">
        <v>121</v>
      </c>
      <c r="MZO71" s="159" t="s">
        <v>18</v>
      </c>
      <c r="MZP71" s="160">
        <v>8100</v>
      </c>
      <c r="MZQ71" s="169">
        <v>85</v>
      </c>
      <c r="MZR71" s="170">
        <v>215</v>
      </c>
      <c r="MZS71" s="170">
        <v>75</v>
      </c>
      <c r="MZT71" s="169">
        <v>150</v>
      </c>
      <c r="MZU71" s="171">
        <f>SUM(MZP71:MZT71)</f>
        <v>8625</v>
      </c>
      <c r="MZV71" s="169">
        <v>200</v>
      </c>
      <c r="MZW71" s="171">
        <f>SUM(MZU71:MZV71)</f>
        <v>8825</v>
      </c>
      <c r="MZX71" s="163" t="s">
        <v>114</v>
      </c>
      <c r="MZY71" s="164">
        <v>45845</v>
      </c>
      <c r="MZZ71" s="159" t="s">
        <v>42</v>
      </c>
      <c r="NAA71" s="354" t="s">
        <v>150</v>
      </c>
      <c r="NAB71" s="165" t="s">
        <v>124</v>
      </c>
      <c r="NAC71" s="352" t="s">
        <v>164</v>
      </c>
      <c r="NAD71" s="353" t="s">
        <v>121</v>
      </c>
      <c r="NAE71" s="159" t="s">
        <v>18</v>
      </c>
      <c r="NAF71" s="160">
        <v>8100</v>
      </c>
      <c r="NAG71" s="169">
        <v>85</v>
      </c>
      <c r="NAH71" s="170">
        <v>215</v>
      </c>
      <c r="NAI71" s="170">
        <v>75</v>
      </c>
      <c r="NAJ71" s="169">
        <v>150</v>
      </c>
      <c r="NAK71" s="171">
        <f>SUM(NAF71:NAJ71)</f>
        <v>8625</v>
      </c>
      <c r="NAL71" s="169">
        <v>200</v>
      </c>
      <c r="NAM71" s="171">
        <f>SUM(NAK71:NAL71)</f>
        <v>8825</v>
      </c>
      <c r="NAN71" s="163" t="s">
        <v>114</v>
      </c>
      <c r="NAO71" s="164">
        <v>45845</v>
      </c>
      <c r="NAP71" s="159" t="s">
        <v>42</v>
      </c>
      <c r="NAQ71" s="354" t="s">
        <v>150</v>
      </c>
      <c r="NAR71" s="165" t="s">
        <v>124</v>
      </c>
      <c r="NAS71" s="352" t="s">
        <v>164</v>
      </c>
      <c r="NAT71" s="353" t="s">
        <v>121</v>
      </c>
      <c r="NAU71" s="159" t="s">
        <v>18</v>
      </c>
      <c r="NAV71" s="160">
        <v>8100</v>
      </c>
      <c r="NAW71" s="169">
        <v>85</v>
      </c>
      <c r="NAX71" s="170">
        <v>215</v>
      </c>
      <c r="NAY71" s="170">
        <v>75</v>
      </c>
      <c r="NAZ71" s="169">
        <v>150</v>
      </c>
      <c r="NBA71" s="171">
        <f>SUM(NAV71:NAZ71)</f>
        <v>8625</v>
      </c>
      <c r="NBB71" s="169">
        <v>200</v>
      </c>
      <c r="NBC71" s="171">
        <f>SUM(NBA71:NBB71)</f>
        <v>8825</v>
      </c>
      <c r="NBD71" s="163" t="s">
        <v>114</v>
      </c>
      <c r="NBE71" s="164">
        <v>45845</v>
      </c>
      <c r="NBF71" s="159" t="s">
        <v>42</v>
      </c>
      <c r="NBG71" s="354" t="s">
        <v>150</v>
      </c>
      <c r="NBH71" s="165" t="s">
        <v>124</v>
      </c>
      <c r="NBI71" s="352" t="s">
        <v>164</v>
      </c>
      <c r="NBJ71" s="353" t="s">
        <v>121</v>
      </c>
      <c r="NBK71" s="159" t="s">
        <v>18</v>
      </c>
      <c r="NBL71" s="160">
        <v>8100</v>
      </c>
      <c r="NBM71" s="169">
        <v>85</v>
      </c>
      <c r="NBN71" s="170">
        <v>215</v>
      </c>
      <c r="NBO71" s="170">
        <v>75</v>
      </c>
      <c r="NBP71" s="169">
        <v>150</v>
      </c>
      <c r="NBQ71" s="171">
        <f>SUM(NBL71:NBP71)</f>
        <v>8625</v>
      </c>
      <c r="NBR71" s="169">
        <v>200</v>
      </c>
      <c r="NBS71" s="171">
        <f>SUM(NBQ71:NBR71)</f>
        <v>8825</v>
      </c>
      <c r="NBT71" s="163" t="s">
        <v>114</v>
      </c>
      <c r="NBU71" s="164">
        <v>45845</v>
      </c>
      <c r="NBV71" s="159" t="s">
        <v>42</v>
      </c>
      <c r="NBW71" s="354" t="s">
        <v>150</v>
      </c>
      <c r="NBX71" s="165" t="s">
        <v>124</v>
      </c>
      <c r="NBY71" s="352" t="s">
        <v>164</v>
      </c>
      <c r="NBZ71" s="353" t="s">
        <v>121</v>
      </c>
      <c r="NCA71" s="159" t="s">
        <v>18</v>
      </c>
      <c r="NCB71" s="160">
        <v>8100</v>
      </c>
      <c r="NCC71" s="169">
        <v>85</v>
      </c>
      <c r="NCD71" s="170">
        <v>215</v>
      </c>
      <c r="NCE71" s="170">
        <v>75</v>
      </c>
      <c r="NCF71" s="169">
        <v>150</v>
      </c>
      <c r="NCG71" s="171">
        <f>SUM(NCB71:NCF71)</f>
        <v>8625</v>
      </c>
      <c r="NCH71" s="169">
        <v>200</v>
      </c>
      <c r="NCI71" s="171">
        <f>SUM(NCG71:NCH71)</f>
        <v>8825</v>
      </c>
      <c r="NCJ71" s="163" t="s">
        <v>114</v>
      </c>
      <c r="NCK71" s="164">
        <v>45845</v>
      </c>
      <c r="NCL71" s="159" t="s">
        <v>42</v>
      </c>
      <c r="NCM71" s="354" t="s">
        <v>150</v>
      </c>
      <c r="NCN71" s="165" t="s">
        <v>124</v>
      </c>
      <c r="NCO71" s="352" t="s">
        <v>164</v>
      </c>
      <c r="NCP71" s="353" t="s">
        <v>121</v>
      </c>
      <c r="NCQ71" s="159" t="s">
        <v>18</v>
      </c>
      <c r="NCR71" s="160">
        <v>8100</v>
      </c>
      <c r="NCS71" s="169">
        <v>85</v>
      </c>
      <c r="NCT71" s="170">
        <v>215</v>
      </c>
      <c r="NCU71" s="170">
        <v>75</v>
      </c>
      <c r="NCV71" s="169">
        <v>150</v>
      </c>
      <c r="NCW71" s="171">
        <f>SUM(NCR71:NCV71)</f>
        <v>8625</v>
      </c>
      <c r="NCX71" s="169">
        <v>200</v>
      </c>
      <c r="NCY71" s="171">
        <f>SUM(NCW71:NCX71)</f>
        <v>8825</v>
      </c>
      <c r="NCZ71" s="163" t="s">
        <v>114</v>
      </c>
      <c r="NDA71" s="164">
        <v>45845</v>
      </c>
      <c r="NDB71" s="159" t="s">
        <v>42</v>
      </c>
      <c r="NDC71" s="354" t="s">
        <v>150</v>
      </c>
      <c r="NDD71" s="165" t="s">
        <v>124</v>
      </c>
      <c r="NDE71" s="352" t="s">
        <v>164</v>
      </c>
      <c r="NDF71" s="353" t="s">
        <v>121</v>
      </c>
      <c r="NDG71" s="159" t="s">
        <v>18</v>
      </c>
      <c r="NDH71" s="160">
        <v>8100</v>
      </c>
      <c r="NDI71" s="169">
        <v>85</v>
      </c>
      <c r="NDJ71" s="170">
        <v>215</v>
      </c>
      <c r="NDK71" s="170">
        <v>75</v>
      </c>
      <c r="NDL71" s="169">
        <v>150</v>
      </c>
      <c r="NDM71" s="171">
        <f>SUM(NDH71:NDL71)</f>
        <v>8625</v>
      </c>
      <c r="NDN71" s="169">
        <v>200</v>
      </c>
      <c r="NDO71" s="171">
        <f>SUM(NDM71:NDN71)</f>
        <v>8825</v>
      </c>
      <c r="NDP71" s="163" t="s">
        <v>114</v>
      </c>
      <c r="NDQ71" s="164">
        <v>45845</v>
      </c>
      <c r="NDR71" s="159" t="s">
        <v>42</v>
      </c>
      <c r="NDS71" s="354" t="s">
        <v>150</v>
      </c>
      <c r="NDT71" s="165" t="s">
        <v>124</v>
      </c>
      <c r="NDU71" s="352" t="s">
        <v>164</v>
      </c>
      <c r="NDV71" s="353" t="s">
        <v>121</v>
      </c>
      <c r="NDW71" s="159" t="s">
        <v>18</v>
      </c>
      <c r="NDX71" s="160">
        <v>8100</v>
      </c>
      <c r="NDY71" s="169">
        <v>85</v>
      </c>
      <c r="NDZ71" s="170">
        <v>215</v>
      </c>
      <c r="NEA71" s="170">
        <v>75</v>
      </c>
      <c r="NEB71" s="169">
        <v>150</v>
      </c>
      <c r="NEC71" s="171">
        <f>SUM(NDX71:NEB71)</f>
        <v>8625</v>
      </c>
      <c r="NED71" s="169">
        <v>200</v>
      </c>
      <c r="NEE71" s="171">
        <f>SUM(NEC71:NED71)</f>
        <v>8825</v>
      </c>
      <c r="NEF71" s="163" t="s">
        <v>114</v>
      </c>
      <c r="NEG71" s="164">
        <v>45845</v>
      </c>
      <c r="NEH71" s="159" t="s">
        <v>42</v>
      </c>
      <c r="NEI71" s="354" t="s">
        <v>150</v>
      </c>
      <c r="NEJ71" s="165" t="s">
        <v>124</v>
      </c>
      <c r="NEK71" s="352" t="s">
        <v>164</v>
      </c>
      <c r="NEL71" s="353" t="s">
        <v>121</v>
      </c>
      <c r="NEM71" s="159" t="s">
        <v>18</v>
      </c>
      <c r="NEN71" s="160">
        <v>8100</v>
      </c>
      <c r="NEO71" s="169">
        <v>85</v>
      </c>
      <c r="NEP71" s="170">
        <v>215</v>
      </c>
      <c r="NEQ71" s="170">
        <v>75</v>
      </c>
      <c r="NER71" s="169">
        <v>150</v>
      </c>
      <c r="NES71" s="171">
        <f>SUM(NEN71:NER71)</f>
        <v>8625</v>
      </c>
      <c r="NET71" s="169">
        <v>200</v>
      </c>
      <c r="NEU71" s="171">
        <f>SUM(NES71:NET71)</f>
        <v>8825</v>
      </c>
      <c r="NEV71" s="163" t="s">
        <v>114</v>
      </c>
      <c r="NEW71" s="164">
        <v>45845</v>
      </c>
      <c r="NEX71" s="159" t="s">
        <v>42</v>
      </c>
      <c r="NEY71" s="354" t="s">
        <v>150</v>
      </c>
      <c r="NEZ71" s="165" t="s">
        <v>124</v>
      </c>
      <c r="NFA71" s="352" t="s">
        <v>164</v>
      </c>
      <c r="NFB71" s="353" t="s">
        <v>121</v>
      </c>
      <c r="NFC71" s="159" t="s">
        <v>18</v>
      </c>
      <c r="NFD71" s="160">
        <v>8100</v>
      </c>
      <c r="NFE71" s="169">
        <v>85</v>
      </c>
      <c r="NFF71" s="170">
        <v>215</v>
      </c>
      <c r="NFG71" s="170">
        <v>75</v>
      </c>
      <c r="NFH71" s="169">
        <v>150</v>
      </c>
      <c r="NFI71" s="171">
        <f>SUM(NFD71:NFH71)</f>
        <v>8625</v>
      </c>
      <c r="NFJ71" s="169">
        <v>200</v>
      </c>
      <c r="NFK71" s="171">
        <f>SUM(NFI71:NFJ71)</f>
        <v>8825</v>
      </c>
      <c r="NFL71" s="163" t="s">
        <v>114</v>
      </c>
      <c r="NFM71" s="164">
        <v>45845</v>
      </c>
      <c r="NFN71" s="159" t="s">
        <v>42</v>
      </c>
      <c r="NFO71" s="354" t="s">
        <v>150</v>
      </c>
      <c r="NFP71" s="165" t="s">
        <v>124</v>
      </c>
      <c r="NFQ71" s="352" t="s">
        <v>164</v>
      </c>
      <c r="NFR71" s="353" t="s">
        <v>121</v>
      </c>
      <c r="NFS71" s="159" t="s">
        <v>18</v>
      </c>
      <c r="NFT71" s="160">
        <v>8100</v>
      </c>
      <c r="NFU71" s="169">
        <v>85</v>
      </c>
      <c r="NFV71" s="170">
        <v>215</v>
      </c>
      <c r="NFW71" s="170">
        <v>75</v>
      </c>
      <c r="NFX71" s="169">
        <v>150</v>
      </c>
      <c r="NFY71" s="171">
        <f>SUM(NFT71:NFX71)</f>
        <v>8625</v>
      </c>
      <c r="NFZ71" s="169">
        <v>200</v>
      </c>
      <c r="NGA71" s="171">
        <f>SUM(NFY71:NFZ71)</f>
        <v>8825</v>
      </c>
      <c r="NGB71" s="163" t="s">
        <v>114</v>
      </c>
      <c r="NGC71" s="164">
        <v>45845</v>
      </c>
      <c r="NGD71" s="159" t="s">
        <v>42</v>
      </c>
      <c r="NGE71" s="354" t="s">
        <v>150</v>
      </c>
      <c r="NGF71" s="165" t="s">
        <v>124</v>
      </c>
      <c r="NGG71" s="352" t="s">
        <v>164</v>
      </c>
      <c r="NGH71" s="353" t="s">
        <v>121</v>
      </c>
      <c r="NGI71" s="159" t="s">
        <v>18</v>
      </c>
      <c r="NGJ71" s="160">
        <v>8100</v>
      </c>
      <c r="NGK71" s="169">
        <v>85</v>
      </c>
      <c r="NGL71" s="170">
        <v>215</v>
      </c>
      <c r="NGM71" s="170">
        <v>75</v>
      </c>
      <c r="NGN71" s="169">
        <v>150</v>
      </c>
      <c r="NGO71" s="171">
        <f>SUM(NGJ71:NGN71)</f>
        <v>8625</v>
      </c>
      <c r="NGP71" s="169">
        <v>200</v>
      </c>
      <c r="NGQ71" s="171">
        <f>SUM(NGO71:NGP71)</f>
        <v>8825</v>
      </c>
      <c r="NGR71" s="163" t="s">
        <v>114</v>
      </c>
      <c r="NGS71" s="164">
        <v>45845</v>
      </c>
      <c r="NGT71" s="159" t="s">
        <v>42</v>
      </c>
      <c r="NGU71" s="354" t="s">
        <v>150</v>
      </c>
      <c r="NGV71" s="165" t="s">
        <v>124</v>
      </c>
      <c r="NGW71" s="352" t="s">
        <v>164</v>
      </c>
      <c r="NGX71" s="353" t="s">
        <v>121</v>
      </c>
      <c r="NGY71" s="159" t="s">
        <v>18</v>
      </c>
      <c r="NGZ71" s="160">
        <v>8100</v>
      </c>
      <c r="NHA71" s="169">
        <v>85</v>
      </c>
      <c r="NHB71" s="170">
        <v>215</v>
      </c>
      <c r="NHC71" s="170">
        <v>75</v>
      </c>
      <c r="NHD71" s="169">
        <v>150</v>
      </c>
      <c r="NHE71" s="171">
        <f>SUM(NGZ71:NHD71)</f>
        <v>8625</v>
      </c>
      <c r="NHF71" s="169">
        <v>200</v>
      </c>
      <c r="NHG71" s="171">
        <f>SUM(NHE71:NHF71)</f>
        <v>8825</v>
      </c>
      <c r="NHH71" s="163" t="s">
        <v>114</v>
      </c>
      <c r="NHI71" s="164">
        <v>45845</v>
      </c>
      <c r="NHJ71" s="159" t="s">
        <v>42</v>
      </c>
      <c r="NHK71" s="354" t="s">
        <v>150</v>
      </c>
      <c r="NHL71" s="165" t="s">
        <v>124</v>
      </c>
      <c r="NHM71" s="352" t="s">
        <v>164</v>
      </c>
      <c r="NHN71" s="353" t="s">
        <v>121</v>
      </c>
      <c r="NHO71" s="159" t="s">
        <v>18</v>
      </c>
      <c r="NHP71" s="160">
        <v>8100</v>
      </c>
      <c r="NHQ71" s="169">
        <v>85</v>
      </c>
      <c r="NHR71" s="170">
        <v>215</v>
      </c>
      <c r="NHS71" s="170">
        <v>75</v>
      </c>
      <c r="NHT71" s="169">
        <v>150</v>
      </c>
      <c r="NHU71" s="171">
        <f>SUM(NHP71:NHT71)</f>
        <v>8625</v>
      </c>
      <c r="NHV71" s="169">
        <v>200</v>
      </c>
      <c r="NHW71" s="171">
        <f>SUM(NHU71:NHV71)</f>
        <v>8825</v>
      </c>
      <c r="NHX71" s="163" t="s">
        <v>114</v>
      </c>
      <c r="NHY71" s="164">
        <v>45845</v>
      </c>
      <c r="NHZ71" s="159" t="s">
        <v>42</v>
      </c>
      <c r="NIA71" s="354" t="s">
        <v>150</v>
      </c>
      <c r="NIB71" s="165" t="s">
        <v>124</v>
      </c>
      <c r="NIC71" s="352" t="s">
        <v>164</v>
      </c>
      <c r="NID71" s="353" t="s">
        <v>121</v>
      </c>
      <c r="NIE71" s="159" t="s">
        <v>18</v>
      </c>
      <c r="NIF71" s="160">
        <v>8100</v>
      </c>
      <c r="NIG71" s="169">
        <v>85</v>
      </c>
      <c r="NIH71" s="170">
        <v>215</v>
      </c>
      <c r="NII71" s="170">
        <v>75</v>
      </c>
      <c r="NIJ71" s="169">
        <v>150</v>
      </c>
      <c r="NIK71" s="171">
        <f>SUM(NIF71:NIJ71)</f>
        <v>8625</v>
      </c>
      <c r="NIL71" s="169">
        <v>200</v>
      </c>
      <c r="NIM71" s="171">
        <f>SUM(NIK71:NIL71)</f>
        <v>8825</v>
      </c>
      <c r="NIN71" s="163" t="s">
        <v>114</v>
      </c>
      <c r="NIO71" s="164">
        <v>45845</v>
      </c>
      <c r="NIP71" s="159" t="s">
        <v>42</v>
      </c>
      <c r="NIQ71" s="354" t="s">
        <v>150</v>
      </c>
      <c r="NIR71" s="165" t="s">
        <v>124</v>
      </c>
      <c r="NIS71" s="352" t="s">
        <v>164</v>
      </c>
      <c r="NIT71" s="353" t="s">
        <v>121</v>
      </c>
      <c r="NIU71" s="159" t="s">
        <v>18</v>
      </c>
      <c r="NIV71" s="160">
        <v>8100</v>
      </c>
      <c r="NIW71" s="169">
        <v>85</v>
      </c>
      <c r="NIX71" s="170">
        <v>215</v>
      </c>
      <c r="NIY71" s="170">
        <v>75</v>
      </c>
      <c r="NIZ71" s="169">
        <v>150</v>
      </c>
      <c r="NJA71" s="171">
        <f>SUM(NIV71:NIZ71)</f>
        <v>8625</v>
      </c>
      <c r="NJB71" s="169">
        <v>200</v>
      </c>
      <c r="NJC71" s="171">
        <f>SUM(NJA71:NJB71)</f>
        <v>8825</v>
      </c>
      <c r="NJD71" s="163" t="s">
        <v>114</v>
      </c>
      <c r="NJE71" s="164">
        <v>45845</v>
      </c>
      <c r="NJF71" s="159" t="s">
        <v>42</v>
      </c>
      <c r="NJG71" s="354" t="s">
        <v>150</v>
      </c>
      <c r="NJH71" s="165" t="s">
        <v>124</v>
      </c>
      <c r="NJI71" s="352" t="s">
        <v>164</v>
      </c>
      <c r="NJJ71" s="353" t="s">
        <v>121</v>
      </c>
      <c r="NJK71" s="159" t="s">
        <v>18</v>
      </c>
      <c r="NJL71" s="160">
        <v>8100</v>
      </c>
      <c r="NJM71" s="169">
        <v>85</v>
      </c>
      <c r="NJN71" s="170">
        <v>215</v>
      </c>
      <c r="NJO71" s="170">
        <v>75</v>
      </c>
      <c r="NJP71" s="169">
        <v>150</v>
      </c>
      <c r="NJQ71" s="171">
        <f>SUM(NJL71:NJP71)</f>
        <v>8625</v>
      </c>
      <c r="NJR71" s="169">
        <v>200</v>
      </c>
      <c r="NJS71" s="171">
        <f>SUM(NJQ71:NJR71)</f>
        <v>8825</v>
      </c>
      <c r="NJT71" s="163" t="s">
        <v>114</v>
      </c>
      <c r="NJU71" s="164">
        <v>45845</v>
      </c>
      <c r="NJV71" s="159" t="s">
        <v>42</v>
      </c>
      <c r="NJW71" s="354" t="s">
        <v>150</v>
      </c>
      <c r="NJX71" s="165" t="s">
        <v>124</v>
      </c>
      <c r="NJY71" s="352" t="s">
        <v>164</v>
      </c>
      <c r="NJZ71" s="353" t="s">
        <v>121</v>
      </c>
      <c r="NKA71" s="159" t="s">
        <v>18</v>
      </c>
      <c r="NKB71" s="160">
        <v>8100</v>
      </c>
      <c r="NKC71" s="169">
        <v>85</v>
      </c>
      <c r="NKD71" s="170">
        <v>215</v>
      </c>
      <c r="NKE71" s="170">
        <v>75</v>
      </c>
      <c r="NKF71" s="169">
        <v>150</v>
      </c>
      <c r="NKG71" s="171">
        <f>SUM(NKB71:NKF71)</f>
        <v>8625</v>
      </c>
      <c r="NKH71" s="169">
        <v>200</v>
      </c>
      <c r="NKI71" s="171">
        <f>SUM(NKG71:NKH71)</f>
        <v>8825</v>
      </c>
      <c r="NKJ71" s="163" t="s">
        <v>114</v>
      </c>
      <c r="NKK71" s="164">
        <v>45845</v>
      </c>
      <c r="NKL71" s="159" t="s">
        <v>42</v>
      </c>
      <c r="NKM71" s="354" t="s">
        <v>150</v>
      </c>
      <c r="NKN71" s="165" t="s">
        <v>124</v>
      </c>
      <c r="NKO71" s="352" t="s">
        <v>164</v>
      </c>
      <c r="NKP71" s="353" t="s">
        <v>121</v>
      </c>
      <c r="NKQ71" s="159" t="s">
        <v>18</v>
      </c>
      <c r="NKR71" s="160">
        <v>8100</v>
      </c>
      <c r="NKS71" s="169">
        <v>85</v>
      </c>
      <c r="NKT71" s="170">
        <v>215</v>
      </c>
      <c r="NKU71" s="170">
        <v>75</v>
      </c>
      <c r="NKV71" s="169">
        <v>150</v>
      </c>
      <c r="NKW71" s="171">
        <f>SUM(NKR71:NKV71)</f>
        <v>8625</v>
      </c>
      <c r="NKX71" s="169">
        <v>200</v>
      </c>
      <c r="NKY71" s="171">
        <f>SUM(NKW71:NKX71)</f>
        <v>8825</v>
      </c>
      <c r="NKZ71" s="163" t="s">
        <v>114</v>
      </c>
      <c r="NLA71" s="164">
        <v>45845</v>
      </c>
      <c r="NLB71" s="159" t="s">
        <v>42</v>
      </c>
      <c r="NLC71" s="354" t="s">
        <v>150</v>
      </c>
      <c r="NLD71" s="165" t="s">
        <v>124</v>
      </c>
      <c r="NLE71" s="352" t="s">
        <v>164</v>
      </c>
      <c r="NLF71" s="353" t="s">
        <v>121</v>
      </c>
      <c r="NLG71" s="159" t="s">
        <v>18</v>
      </c>
      <c r="NLH71" s="160">
        <v>8100</v>
      </c>
      <c r="NLI71" s="169">
        <v>85</v>
      </c>
      <c r="NLJ71" s="170">
        <v>215</v>
      </c>
      <c r="NLK71" s="170">
        <v>75</v>
      </c>
      <c r="NLL71" s="169">
        <v>150</v>
      </c>
      <c r="NLM71" s="171">
        <f>SUM(NLH71:NLL71)</f>
        <v>8625</v>
      </c>
      <c r="NLN71" s="169">
        <v>200</v>
      </c>
      <c r="NLO71" s="171">
        <f>SUM(NLM71:NLN71)</f>
        <v>8825</v>
      </c>
      <c r="NLP71" s="163" t="s">
        <v>114</v>
      </c>
      <c r="NLQ71" s="164">
        <v>45845</v>
      </c>
      <c r="NLR71" s="159" t="s">
        <v>42</v>
      </c>
      <c r="NLS71" s="354" t="s">
        <v>150</v>
      </c>
      <c r="NLT71" s="165" t="s">
        <v>124</v>
      </c>
      <c r="NLU71" s="352" t="s">
        <v>164</v>
      </c>
      <c r="NLV71" s="353" t="s">
        <v>121</v>
      </c>
      <c r="NLW71" s="159" t="s">
        <v>18</v>
      </c>
      <c r="NLX71" s="160">
        <v>8100</v>
      </c>
      <c r="NLY71" s="169">
        <v>85</v>
      </c>
      <c r="NLZ71" s="170">
        <v>215</v>
      </c>
      <c r="NMA71" s="170">
        <v>75</v>
      </c>
      <c r="NMB71" s="169">
        <v>150</v>
      </c>
      <c r="NMC71" s="171">
        <f>SUM(NLX71:NMB71)</f>
        <v>8625</v>
      </c>
      <c r="NMD71" s="169">
        <v>200</v>
      </c>
      <c r="NME71" s="171">
        <f>SUM(NMC71:NMD71)</f>
        <v>8825</v>
      </c>
      <c r="NMF71" s="163" t="s">
        <v>114</v>
      </c>
      <c r="NMG71" s="164">
        <v>45845</v>
      </c>
      <c r="NMH71" s="159" t="s">
        <v>42</v>
      </c>
      <c r="NMI71" s="354" t="s">
        <v>150</v>
      </c>
      <c r="NMJ71" s="165" t="s">
        <v>124</v>
      </c>
      <c r="NMK71" s="352" t="s">
        <v>164</v>
      </c>
      <c r="NML71" s="353" t="s">
        <v>121</v>
      </c>
      <c r="NMM71" s="159" t="s">
        <v>18</v>
      </c>
      <c r="NMN71" s="160">
        <v>8100</v>
      </c>
      <c r="NMO71" s="169">
        <v>85</v>
      </c>
      <c r="NMP71" s="170">
        <v>215</v>
      </c>
      <c r="NMQ71" s="170">
        <v>75</v>
      </c>
      <c r="NMR71" s="169">
        <v>150</v>
      </c>
      <c r="NMS71" s="171">
        <f>SUM(NMN71:NMR71)</f>
        <v>8625</v>
      </c>
      <c r="NMT71" s="169">
        <v>200</v>
      </c>
      <c r="NMU71" s="171">
        <f>SUM(NMS71:NMT71)</f>
        <v>8825</v>
      </c>
      <c r="NMV71" s="163" t="s">
        <v>114</v>
      </c>
      <c r="NMW71" s="164">
        <v>45845</v>
      </c>
      <c r="NMX71" s="159" t="s">
        <v>42</v>
      </c>
      <c r="NMY71" s="354" t="s">
        <v>150</v>
      </c>
      <c r="NMZ71" s="165" t="s">
        <v>124</v>
      </c>
      <c r="NNA71" s="352" t="s">
        <v>164</v>
      </c>
      <c r="NNB71" s="353" t="s">
        <v>121</v>
      </c>
      <c r="NNC71" s="159" t="s">
        <v>18</v>
      </c>
      <c r="NND71" s="160">
        <v>8100</v>
      </c>
      <c r="NNE71" s="169">
        <v>85</v>
      </c>
      <c r="NNF71" s="170">
        <v>215</v>
      </c>
      <c r="NNG71" s="170">
        <v>75</v>
      </c>
      <c r="NNH71" s="169">
        <v>150</v>
      </c>
      <c r="NNI71" s="171">
        <f>SUM(NND71:NNH71)</f>
        <v>8625</v>
      </c>
      <c r="NNJ71" s="169">
        <v>200</v>
      </c>
      <c r="NNK71" s="171">
        <f>SUM(NNI71:NNJ71)</f>
        <v>8825</v>
      </c>
      <c r="NNL71" s="163" t="s">
        <v>114</v>
      </c>
      <c r="NNM71" s="164">
        <v>45845</v>
      </c>
      <c r="NNN71" s="159" t="s">
        <v>42</v>
      </c>
      <c r="NNO71" s="354" t="s">
        <v>150</v>
      </c>
      <c r="NNP71" s="165" t="s">
        <v>124</v>
      </c>
      <c r="NNQ71" s="352" t="s">
        <v>164</v>
      </c>
      <c r="NNR71" s="353" t="s">
        <v>121</v>
      </c>
      <c r="NNS71" s="159" t="s">
        <v>18</v>
      </c>
      <c r="NNT71" s="160">
        <v>8100</v>
      </c>
      <c r="NNU71" s="169">
        <v>85</v>
      </c>
      <c r="NNV71" s="170">
        <v>215</v>
      </c>
      <c r="NNW71" s="170">
        <v>75</v>
      </c>
      <c r="NNX71" s="169">
        <v>150</v>
      </c>
      <c r="NNY71" s="171">
        <f>SUM(NNT71:NNX71)</f>
        <v>8625</v>
      </c>
      <c r="NNZ71" s="169">
        <v>200</v>
      </c>
      <c r="NOA71" s="171">
        <f>SUM(NNY71:NNZ71)</f>
        <v>8825</v>
      </c>
      <c r="NOB71" s="163" t="s">
        <v>114</v>
      </c>
      <c r="NOC71" s="164">
        <v>45845</v>
      </c>
      <c r="NOD71" s="159" t="s">
        <v>42</v>
      </c>
      <c r="NOE71" s="354" t="s">
        <v>150</v>
      </c>
      <c r="NOF71" s="165" t="s">
        <v>124</v>
      </c>
      <c r="NOG71" s="352" t="s">
        <v>164</v>
      </c>
      <c r="NOH71" s="353" t="s">
        <v>121</v>
      </c>
      <c r="NOI71" s="159" t="s">
        <v>18</v>
      </c>
      <c r="NOJ71" s="160">
        <v>8100</v>
      </c>
      <c r="NOK71" s="169">
        <v>85</v>
      </c>
      <c r="NOL71" s="170">
        <v>215</v>
      </c>
      <c r="NOM71" s="170">
        <v>75</v>
      </c>
      <c r="NON71" s="169">
        <v>150</v>
      </c>
      <c r="NOO71" s="171">
        <f>SUM(NOJ71:NON71)</f>
        <v>8625</v>
      </c>
      <c r="NOP71" s="169">
        <v>200</v>
      </c>
      <c r="NOQ71" s="171">
        <f>SUM(NOO71:NOP71)</f>
        <v>8825</v>
      </c>
      <c r="NOR71" s="163" t="s">
        <v>114</v>
      </c>
      <c r="NOS71" s="164">
        <v>45845</v>
      </c>
      <c r="NOT71" s="159" t="s">
        <v>42</v>
      </c>
      <c r="NOU71" s="354" t="s">
        <v>150</v>
      </c>
      <c r="NOV71" s="165" t="s">
        <v>124</v>
      </c>
      <c r="NOW71" s="352" t="s">
        <v>164</v>
      </c>
      <c r="NOX71" s="353" t="s">
        <v>121</v>
      </c>
      <c r="NOY71" s="159" t="s">
        <v>18</v>
      </c>
      <c r="NOZ71" s="160">
        <v>8100</v>
      </c>
      <c r="NPA71" s="169">
        <v>85</v>
      </c>
      <c r="NPB71" s="170">
        <v>215</v>
      </c>
      <c r="NPC71" s="170">
        <v>75</v>
      </c>
      <c r="NPD71" s="169">
        <v>150</v>
      </c>
      <c r="NPE71" s="171">
        <f>SUM(NOZ71:NPD71)</f>
        <v>8625</v>
      </c>
      <c r="NPF71" s="169">
        <v>200</v>
      </c>
      <c r="NPG71" s="171">
        <f>SUM(NPE71:NPF71)</f>
        <v>8825</v>
      </c>
      <c r="NPH71" s="163" t="s">
        <v>114</v>
      </c>
      <c r="NPI71" s="164">
        <v>45845</v>
      </c>
      <c r="NPJ71" s="159" t="s">
        <v>42</v>
      </c>
      <c r="NPK71" s="354" t="s">
        <v>150</v>
      </c>
      <c r="NPL71" s="165" t="s">
        <v>124</v>
      </c>
      <c r="NPM71" s="352" t="s">
        <v>164</v>
      </c>
      <c r="NPN71" s="353" t="s">
        <v>121</v>
      </c>
      <c r="NPO71" s="159" t="s">
        <v>18</v>
      </c>
      <c r="NPP71" s="160">
        <v>8100</v>
      </c>
      <c r="NPQ71" s="169">
        <v>85</v>
      </c>
      <c r="NPR71" s="170">
        <v>215</v>
      </c>
      <c r="NPS71" s="170">
        <v>75</v>
      </c>
      <c r="NPT71" s="169">
        <v>150</v>
      </c>
      <c r="NPU71" s="171">
        <f>SUM(NPP71:NPT71)</f>
        <v>8625</v>
      </c>
      <c r="NPV71" s="169">
        <v>200</v>
      </c>
      <c r="NPW71" s="171">
        <f>SUM(NPU71:NPV71)</f>
        <v>8825</v>
      </c>
      <c r="NPX71" s="163" t="s">
        <v>114</v>
      </c>
      <c r="NPY71" s="164">
        <v>45845</v>
      </c>
      <c r="NPZ71" s="159" t="s">
        <v>42</v>
      </c>
      <c r="NQA71" s="354" t="s">
        <v>150</v>
      </c>
      <c r="NQB71" s="165" t="s">
        <v>124</v>
      </c>
      <c r="NQC71" s="352" t="s">
        <v>164</v>
      </c>
      <c r="NQD71" s="353" t="s">
        <v>121</v>
      </c>
      <c r="NQE71" s="159" t="s">
        <v>18</v>
      </c>
      <c r="NQF71" s="160">
        <v>8100</v>
      </c>
      <c r="NQG71" s="169">
        <v>85</v>
      </c>
      <c r="NQH71" s="170">
        <v>215</v>
      </c>
      <c r="NQI71" s="170">
        <v>75</v>
      </c>
      <c r="NQJ71" s="169">
        <v>150</v>
      </c>
      <c r="NQK71" s="171">
        <f>SUM(NQF71:NQJ71)</f>
        <v>8625</v>
      </c>
      <c r="NQL71" s="169">
        <v>200</v>
      </c>
      <c r="NQM71" s="171">
        <f>SUM(NQK71:NQL71)</f>
        <v>8825</v>
      </c>
      <c r="NQN71" s="163" t="s">
        <v>114</v>
      </c>
      <c r="NQO71" s="164">
        <v>45845</v>
      </c>
      <c r="NQP71" s="159" t="s">
        <v>42</v>
      </c>
      <c r="NQQ71" s="354" t="s">
        <v>150</v>
      </c>
      <c r="NQR71" s="165" t="s">
        <v>124</v>
      </c>
      <c r="NQS71" s="352" t="s">
        <v>164</v>
      </c>
      <c r="NQT71" s="353" t="s">
        <v>121</v>
      </c>
      <c r="NQU71" s="159" t="s">
        <v>18</v>
      </c>
      <c r="NQV71" s="160">
        <v>8100</v>
      </c>
      <c r="NQW71" s="169">
        <v>85</v>
      </c>
      <c r="NQX71" s="170">
        <v>215</v>
      </c>
      <c r="NQY71" s="170">
        <v>75</v>
      </c>
      <c r="NQZ71" s="169">
        <v>150</v>
      </c>
      <c r="NRA71" s="171">
        <f>SUM(NQV71:NQZ71)</f>
        <v>8625</v>
      </c>
      <c r="NRB71" s="169">
        <v>200</v>
      </c>
      <c r="NRC71" s="171">
        <f>SUM(NRA71:NRB71)</f>
        <v>8825</v>
      </c>
      <c r="NRD71" s="163" t="s">
        <v>114</v>
      </c>
      <c r="NRE71" s="164">
        <v>45845</v>
      </c>
      <c r="NRF71" s="159" t="s">
        <v>42</v>
      </c>
      <c r="NRG71" s="354" t="s">
        <v>150</v>
      </c>
      <c r="NRH71" s="165" t="s">
        <v>124</v>
      </c>
      <c r="NRI71" s="352" t="s">
        <v>164</v>
      </c>
      <c r="NRJ71" s="353" t="s">
        <v>121</v>
      </c>
      <c r="NRK71" s="159" t="s">
        <v>18</v>
      </c>
      <c r="NRL71" s="160">
        <v>8100</v>
      </c>
      <c r="NRM71" s="169">
        <v>85</v>
      </c>
      <c r="NRN71" s="170">
        <v>215</v>
      </c>
      <c r="NRO71" s="170">
        <v>75</v>
      </c>
      <c r="NRP71" s="169">
        <v>150</v>
      </c>
      <c r="NRQ71" s="171">
        <f>SUM(NRL71:NRP71)</f>
        <v>8625</v>
      </c>
      <c r="NRR71" s="169">
        <v>200</v>
      </c>
      <c r="NRS71" s="171">
        <f>SUM(NRQ71:NRR71)</f>
        <v>8825</v>
      </c>
      <c r="NRT71" s="163" t="s">
        <v>114</v>
      </c>
      <c r="NRU71" s="164">
        <v>45845</v>
      </c>
      <c r="NRV71" s="159" t="s">
        <v>42</v>
      </c>
      <c r="NRW71" s="354" t="s">
        <v>150</v>
      </c>
      <c r="NRX71" s="165" t="s">
        <v>124</v>
      </c>
      <c r="NRY71" s="352" t="s">
        <v>164</v>
      </c>
      <c r="NRZ71" s="353" t="s">
        <v>121</v>
      </c>
      <c r="NSA71" s="159" t="s">
        <v>18</v>
      </c>
      <c r="NSB71" s="160">
        <v>8100</v>
      </c>
      <c r="NSC71" s="169">
        <v>85</v>
      </c>
      <c r="NSD71" s="170">
        <v>215</v>
      </c>
      <c r="NSE71" s="170">
        <v>75</v>
      </c>
      <c r="NSF71" s="169">
        <v>150</v>
      </c>
      <c r="NSG71" s="171">
        <f>SUM(NSB71:NSF71)</f>
        <v>8625</v>
      </c>
      <c r="NSH71" s="169">
        <v>200</v>
      </c>
      <c r="NSI71" s="171">
        <f>SUM(NSG71:NSH71)</f>
        <v>8825</v>
      </c>
      <c r="NSJ71" s="163" t="s">
        <v>114</v>
      </c>
      <c r="NSK71" s="164">
        <v>45845</v>
      </c>
      <c r="NSL71" s="159" t="s">
        <v>42</v>
      </c>
      <c r="NSM71" s="354" t="s">
        <v>150</v>
      </c>
      <c r="NSN71" s="165" t="s">
        <v>124</v>
      </c>
      <c r="NSO71" s="352" t="s">
        <v>164</v>
      </c>
      <c r="NSP71" s="353" t="s">
        <v>121</v>
      </c>
      <c r="NSQ71" s="159" t="s">
        <v>18</v>
      </c>
      <c r="NSR71" s="160">
        <v>8100</v>
      </c>
      <c r="NSS71" s="169">
        <v>85</v>
      </c>
      <c r="NST71" s="170">
        <v>215</v>
      </c>
      <c r="NSU71" s="170">
        <v>75</v>
      </c>
      <c r="NSV71" s="169">
        <v>150</v>
      </c>
      <c r="NSW71" s="171">
        <f>SUM(NSR71:NSV71)</f>
        <v>8625</v>
      </c>
      <c r="NSX71" s="169">
        <v>200</v>
      </c>
      <c r="NSY71" s="171">
        <f>SUM(NSW71:NSX71)</f>
        <v>8825</v>
      </c>
      <c r="NSZ71" s="163" t="s">
        <v>114</v>
      </c>
      <c r="NTA71" s="164">
        <v>45845</v>
      </c>
      <c r="NTB71" s="159" t="s">
        <v>42</v>
      </c>
      <c r="NTC71" s="354" t="s">
        <v>150</v>
      </c>
      <c r="NTD71" s="165" t="s">
        <v>124</v>
      </c>
      <c r="NTE71" s="352" t="s">
        <v>164</v>
      </c>
      <c r="NTF71" s="353" t="s">
        <v>121</v>
      </c>
      <c r="NTG71" s="159" t="s">
        <v>18</v>
      </c>
      <c r="NTH71" s="160">
        <v>8100</v>
      </c>
      <c r="NTI71" s="169">
        <v>85</v>
      </c>
      <c r="NTJ71" s="170">
        <v>215</v>
      </c>
      <c r="NTK71" s="170">
        <v>75</v>
      </c>
      <c r="NTL71" s="169">
        <v>150</v>
      </c>
      <c r="NTM71" s="171">
        <f>SUM(NTH71:NTL71)</f>
        <v>8625</v>
      </c>
      <c r="NTN71" s="169">
        <v>200</v>
      </c>
      <c r="NTO71" s="171">
        <f>SUM(NTM71:NTN71)</f>
        <v>8825</v>
      </c>
      <c r="NTP71" s="163" t="s">
        <v>114</v>
      </c>
      <c r="NTQ71" s="164">
        <v>45845</v>
      </c>
      <c r="NTR71" s="159" t="s">
        <v>42</v>
      </c>
      <c r="NTS71" s="354" t="s">
        <v>150</v>
      </c>
      <c r="NTT71" s="165" t="s">
        <v>124</v>
      </c>
      <c r="NTU71" s="352" t="s">
        <v>164</v>
      </c>
      <c r="NTV71" s="353" t="s">
        <v>121</v>
      </c>
      <c r="NTW71" s="159" t="s">
        <v>18</v>
      </c>
      <c r="NTX71" s="160">
        <v>8100</v>
      </c>
      <c r="NTY71" s="169">
        <v>85</v>
      </c>
      <c r="NTZ71" s="170">
        <v>215</v>
      </c>
      <c r="NUA71" s="170">
        <v>75</v>
      </c>
      <c r="NUB71" s="169">
        <v>150</v>
      </c>
      <c r="NUC71" s="171">
        <f>SUM(NTX71:NUB71)</f>
        <v>8625</v>
      </c>
      <c r="NUD71" s="169">
        <v>200</v>
      </c>
      <c r="NUE71" s="171">
        <f>SUM(NUC71:NUD71)</f>
        <v>8825</v>
      </c>
      <c r="NUF71" s="163" t="s">
        <v>114</v>
      </c>
      <c r="NUG71" s="164">
        <v>45845</v>
      </c>
      <c r="NUH71" s="159" t="s">
        <v>42</v>
      </c>
      <c r="NUI71" s="354" t="s">
        <v>150</v>
      </c>
      <c r="NUJ71" s="165" t="s">
        <v>124</v>
      </c>
      <c r="NUK71" s="352" t="s">
        <v>164</v>
      </c>
      <c r="NUL71" s="353" t="s">
        <v>121</v>
      </c>
      <c r="NUM71" s="159" t="s">
        <v>18</v>
      </c>
      <c r="NUN71" s="160">
        <v>8100</v>
      </c>
      <c r="NUO71" s="169">
        <v>85</v>
      </c>
      <c r="NUP71" s="170">
        <v>215</v>
      </c>
      <c r="NUQ71" s="170">
        <v>75</v>
      </c>
      <c r="NUR71" s="169">
        <v>150</v>
      </c>
      <c r="NUS71" s="171">
        <f>SUM(NUN71:NUR71)</f>
        <v>8625</v>
      </c>
      <c r="NUT71" s="169">
        <v>200</v>
      </c>
      <c r="NUU71" s="171">
        <f>SUM(NUS71:NUT71)</f>
        <v>8825</v>
      </c>
      <c r="NUV71" s="163" t="s">
        <v>114</v>
      </c>
      <c r="NUW71" s="164">
        <v>45845</v>
      </c>
      <c r="NUX71" s="159" t="s">
        <v>42</v>
      </c>
      <c r="NUY71" s="354" t="s">
        <v>150</v>
      </c>
      <c r="NUZ71" s="165" t="s">
        <v>124</v>
      </c>
      <c r="NVA71" s="352" t="s">
        <v>164</v>
      </c>
      <c r="NVB71" s="353" t="s">
        <v>121</v>
      </c>
      <c r="NVC71" s="159" t="s">
        <v>18</v>
      </c>
      <c r="NVD71" s="160">
        <v>8100</v>
      </c>
      <c r="NVE71" s="169">
        <v>85</v>
      </c>
      <c r="NVF71" s="170">
        <v>215</v>
      </c>
      <c r="NVG71" s="170">
        <v>75</v>
      </c>
      <c r="NVH71" s="169">
        <v>150</v>
      </c>
      <c r="NVI71" s="171">
        <f>SUM(NVD71:NVH71)</f>
        <v>8625</v>
      </c>
      <c r="NVJ71" s="169">
        <v>200</v>
      </c>
      <c r="NVK71" s="171">
        <f>SUM(NVI71:NVJ71)</f>
        <v>8825</v>
      </c>
      <c r="NVL71" s="163" t="s">
        <v>114</v>
      </c>
      <c r="NVM71" s="164">
        <v>45845</v>
      </c>
      <c r="NVN71" s="159" t="s">
        <v>42</v>
      </c>
      <c r="NVO71" s="354" t="s">
        <v>150</v>
      </c>
      <c r="NVP71" s="165" t="s">
        <v>124</v>
      </c>
      <c r="NVQ71" s="352" t="s">
        <v>164</v>
      </c>
      <c r="NVR71" s="353" t="s">
        <v>121</v>
      </c>
      <c r="NVS71" s="159" t="s">
        <v>18</v>
      </c>
      <c r="NVT71" s="160">
        <v>8100</v>
      </c>
      <c r="NVU71" s="169">
        <v>85</v>
      </c>
      <c r="NVV71" s="170">
        <v>215</v>
      </c>
      <c r="NVW71" s="170">
        <v>75</v>
      </c>
      <c r="NVX71" s="169">
        <v>150</v>
      </c>
      <c r="NVY71" s="171">
        <f>SUM(NVT71:NVX71)</f>
        <v>8625</v>
      </c>
      <c r="NVZ71" s="169">
        <v>200</v>
      </c>
      <c r="NWA71" s="171">
        <f>SUM(NVY71:NVZ71)</f>
        <v>8825</v>
      </c>
      <c r="NWB71" s="163" t="s">
        <v>114</v>
      </c>
      <c r="NWC71" s="164">
        <v>45845</v>
      </c>
      <c r="NWD71" s="159" t="s">
        <v>42</v>
      </c>
      <c r="NWE71" s="354" t="s">
        <v>150</v>
      </c>
      <c r="NWF71" s="165" t="s">
        <v>124</v>
      </c>
      <c r="NWG71" s="352" t="s">
        <v>164</v>
      </c>
      <c r="NWH71" s="353" t="s">
        <v>121</v>
      </c>
      <c r="NWI71" s="159" t="s">
        <v>18</v>
      </c>
      <c r="NWJ71" s="160">
        <v>8100</v>
      </c>
      <c r="NWK71" s="169">
        <v>85</v>
      </c>
      <c r="NWL71" s="170">
        <v>215</v>
      </c>
      <c r="NWM71" s="170">
        <v>75</v>
      </c>
      <c r="NWN71" s="169">
        <v>150</v>
      </c>
      <c r="NWO71" s="171">
        <f>SUM(NWJ71:NWN71)</f>
        <v>8625</v>
      </c>
      <c r="NWP71" s="169">
        <v>200</v>
      </c>
      <c r="NWQ71" s="171">
        <f>SUM(NWO71:NWP71)</f>
        <v>8825</v>
      </c>
      <c r="NWR71" s="163" t="s">
        <v>114</v>
      </c>
      <c r="NWS71" s="164">
        <v>45845</v>
      </c>
      <c r="NWT71" s="159" t="s">
        <v>42</v>
      </c>
      <c r="NWU71" s="354" t="s">
        <v>150</v>
      </c>
      <c r="NWV71" s="165" t="s">
        <v>124</v>
      </c>
      <c r="NWW71" s="352" t="s">
        <v>164</v>
      </c>
      <c r="NWX71" s="353" t="s">
        <v>121</v>
      </c>
      <c r="NWY71" s="159" t="s">
        <v>18</v>
      </c>
      <c r="NWZ71" s="160">
        <v>8100</v>
      </c>
      <c r="NXA71" s="169">
        <v>85</v>
      </c>
      <c r="NXB71" s="170">
        <v>215</v>
      </c>
      <c r="NXC71" s="170">
        <v>75</v>
      </c>
      <c r="NXD71" s="169">
        <v>150</v>
      </c>
      <c r="NXE71" s="171">
        <f>SUM(NWZ71:NXD71)</f>
        <v>8625</v>
      </c>
      <c r="NXF71" s="169">
        <v>200</v>
      </c>
      <c r="NXG71" s="171">
        <f>SUM(NXE71:NXF71)</f>
        <v>8825</v>
      </c>
      <c r="NXH71" s="163" t="s">
        <v>114</v>
      </c>
      <c r="NXI71" s="164">
        <v>45845</v>
      </c>
      <c r="NXJ71" s="159" t="s">
        <v>42</v>
      </c>
      <c r="NXK71" s="354" t="s">
        <v>150</v>
      </c>
      <c r="NXL71" s="165" t="s">
        <v>124</v>
      </c>
      <c r="NXM71" s="352" t="s">
        <v>164</v>
      </c>
      <c r="NXN71" s="353" t="s">
        <v>121</v>
      </c>
      <c r="NXO71" s="159" t="s">
        <v>18</v>
      </c>
      <c r="NXP71" s="160">
        <v>8100</v>
      </c>
      <c r="NXQ71" s="169">
        <v>85</v>
      </c>
      <c r="NXR71" s="170">
        <v>215</v>
      </c>
      <c r="NXS71" s="170">
        <v>75</v>
      </c>
      <c r="NXT71" s="169">
        <v>150</v>
      </c>
      <c r="NXU71" s="171">
        <f>SUM(NXP71:NXT71)</f>
        <v>8625</v>
      </c>
      <c r="NXV71" s="169">
        <v>200</v>
      </c>
      <c r="NXW71" s="171">
        <f>SUM(NXU71:NXV71)</f>
        <v>8825</v>
      </c>
      <c r="NXX71" s="163" t="s">
        <v>114</v>
      </c>
      <c r="NXY71" s="164">
        <v>45845</v>
      </c>
      <c r="NXZ71" s="159" t="s">
        <v>42</v>
      </c>
      <c r="NYA71" s="354" t="s">
        <v>150</v>
      </c>
      <c r="NYB71" s="165" t="s">
        <v>124</v>
      </c>
      <c r="NYC71" s="352" t="s">
        <v>164</v>
      </c>
      <c r="NYD71" s="353" t="s">
        <v>121</v>
      </c>
      <c r="NYE71" s="159" t="s">
        <v>18</v>
      </c>
      <c r="NYF71" s="160">
        <v>8100</v>
      </c>
      <c r="NYG71" s="169">
        <v>85</v>
      </c>
      <c r="NYH71" s="170">
        <v>215</v>
      </c>
      <c r="NYI71" s="170">
        <v>75</v>
      </c>
      <c r="NYJ71" s="169">
        <v>150</v>
      </c>
      <c r="NYK71" s="171">
        <f>SUM(NYF71:NYJ71)</f>
        <v>8625</v>
      </c>
      <c r="NYL71" s="169">
        <v>200</v>
      </c>
      <c r="NYM71" s="171">
        <f>SUM(NYK71:NYL71)</f>
        <v>8825</v>
      </c>
      <c r="NYN71" s="163" t="s">
        <v>114</v>
      </c>
      <c r="NYO71" s="164">
        <v>45845</v>
      </c>
      <c r="NYP71" s="159" t="s">
        <v>42</v>
      </c>
      <c r="NYQ71" s="354" t="s">
        <v>150</v>
      </c>
      <c r="NYR71" s="165" t="s">
        <v>124</v>
      </c>
      <c r="NYS71" s="352" t="s">
        <v>164</v>
      </c>
      <c r="NYT71" s="353" t="s">
        <v>121</v>
      </c>
      <c r="NYU71" s="159" t="s">
        <v>18</v>
      </c>
      <c r="NYV71" s="160">
        <v>8100</v>
      </c>
      <c r="NYW71" s="169">
        <v>85</v>
      </c>
      <c r="NYX71" s="170">
        <v>215</v>
      </c>
      <c r="NYY71" s="170">
        <v>75</v>
      </c>
      <c r="NYZ71" s="169">
        <v>150</v>
      </c>
      <c r="NZA71" s="171">
        <f>SUM(NYV71:NYZ71)</f>
        <v>8625</v>
      </c>
      <c r="NZB71" s="169">
        <v>200</v>
      </c>
      <c r="NZC71" s="171">
        <f>SUM(NZA71:NZB71)</f>
        <v>8825</v>
      </c>
      <c r="NZD71" s="163" t="s">
        <v>114</v>
      </c>
      <c r="NZE71" s="164">
        <v>45845</v>
      </c>
      <c r="NZF71" s="159" t="s">
        <v>42</v>
      </c>
      <c r="NZG71" s="354" t="s">
        <v>150</v>
      </c>
      <c r="NZH71" s="165" t="s">
        <v>124</v>
      </c>
      <c r="NZI71" s="352" t="s">
        <v>164</v>
      </c>
      <c r="NZJ71" s="353" t="s">
        <v>121</v>
      </c>
      <c r="NZK71" s="159" t="s">
        <v>18</v>
      </c>
      <c r="NZL71" s="160">
        <v>8100</v>
      </c>
      <c r="NZM71" s="169">
        <v>85</v>
      </c>
      <c r="NZN71" s="170">
        <v>215</v>
      </c>
      <c r="NZO71" s="170">
        <v>75</v>
      </c>
      <c r="NZP71" s="169">
        <v>150</v>
      </c>
      <c r="NZQ71" s="171">
        <f>SUM(NZL71:NZP71)</f>
        <v>8625</v>
      </c>
      <c r="NZR71" s="169">
        <v>200</v>
      </c>
      <c r="NZS71" s="171">
        <f>SUM(NZQ71:NZR71)</f>
        <v>8825</v>
      </c>
      <c r="NZT71" s="163" t="s">
        <v>114</v>
      </c>
      <c r="NZU71" s="164">
        <v>45845</v>
      </c>
      <c r="NZV71" s="159" t="s">
        <v>42</v>
      </c>
      <c r="NZW71" s="354" t="s">
        <v>150</v>
      </c>
      <c r="NZX71" s="165" t="s">
        <v>124</v>
      </c>
      <c r="NZY71" s="352" t="s">
        <v>164</v>
      </c>
      <c r="NZZ71" s="353" t="s">
        <v>121</v>
      </c>
      <c r="OAA71" s="159" t="s">
        <v>18</v>
      </c>
      <c r="OAB71" s="160">
        <v>8100</v>
      </c>
      <c r="OAC71" s="169">
        <v>85</v>
      </c>
      <c r="OAD71" s="170">
        <v>215</v>
      </c>
      <c r="OAE71" s="170">
        <v>75</v>
      </c>
      <c r="OAF71" s="169">
        <v>150</v>
      </c>
      <c r="OAG71" s="171">
        <f>SUM(OAB71:OAF71)</f>
        <v>8625</v>
      </c>
      <c r="OAH71" s="169">
        <v>200</v>
      </c>
      <c r="OAI71" s="171">
        <f>SUM(OAG71:OAH71)</f>
        <v>8825</v>
      </c>
      <c r="OAJ71" s="163" t="s">
        <v>114</v>
      </c>
      <c r="OAK71" s="164">
        <v>45845</v>
      </c>
      <c r="OAL71" s="159" t="s">
        <v>42</v>
      </c>
      <c r="OAM71" s="354" t="s">
        <v>150</v>
      </c>
      <c r="OAN71" s="165" t="s">
        <v>124</v>
      </c>
      <c r="OAO71" s="352" t="s">
        <v>164</v>
      </c>
      <c r="OAP71" s="353" t="s">
        <v>121</v>
      </c>
      <c r="OAQ71" s="159" t="s">
        <v>18</v>
      </c>
      <c r="OAR71" s="160">
        <v>8100</v>
      </c>
      <c r="OAS71" s="169">
        <v>85</v>
      </c>
      <c r="OAT71" s="170">
        <v>215</v>
      </c>
      <c r="OAU71" s="170">
        <v>75</v>
      </c>
      <c r="OAV71" s="169">
        <v>150</v>
      </c>
      <c r="OAW71" s="171">
        <f>SUM(OAR71:OAV71)</f>
        <v>8625</v>
      </c>
      <c r="OAX71" s="169">
        <v>200</v>
      </c>
      <c r="OAY71" s="171">
        <f>SUM(OAW71:OAX71)</f>
        <v>8825</v>
      </c>
      <c r="OAZ71" s="163" t="s">
        <v>114</v>
      </c>
      <c r="OBA71" s="164">
        <v>45845</v>
      </c>
      <c r="OBB71" s="159" t="s">
        <v>42</v>
      </c>
      <c r="OBC71" s="354" t="s">
        <v>150</v>
      </c>
      <c r="OBD71" s="165" t="s">
        <v>124</v>
      </c>
      <c r="OBE71" s="352" t="s">
        <v>164</v>
      </c>
      <c r="OBF71" s="353" t="s">
        <v>121</v>
      </c>
      <c r="OBG71" s="159" t="s">
        <v>18</v>
      </c>
      <c r="OBH71" s="160">
        <v>8100</v>
      </c>
      <c r="OBI71" s="169">
        <v>85</v>
      </c>
      <c r="OBJ71" s="170">
        <v>215</v>
      </c>
      <c r="OBK71" s="170">
        <v>75</v>
      </c>
      <c r="OBL71" s="169">
        <v>150</v>
      </c>
      <c r="OBM71" s="171">
        <f>SUM(OBH71:OBL71)</f>
        <v>8625</v>
      </c>
      <c r="OBN71" s="169">
        <v>200</v>
      </c>
      <c r="OBO71" s="171">
        <f>SUM(OBM71:OBN71)</f>
        <v>8825</v>
      </c>
      <c r="OBP71" s="163" t="s">
        <v>114</v>
      </c>
      <c r="OBQ71" s="164">
        <v>45845</v>
      </c>
      <c r="OBR71" s="159" t="s">
        <v>42</v>
      </c>
      <c r="OBS71" s="354" t="s">
        <v>150</v>
      </c>
      <c r="OBT71" s="165" t="s">
        <v>124</v>
      </c>
      <c r="OBU71" s="352" t="s">
        <v>164</v>
      </c>
      <c r="OBV71" s="353" t="s">
        <v>121</v>
      </c>
      <c r="OBW71" s="159" t="s">
        <v>18</v>
      </c>
      <c r="OBX71" s="160">
        <v>8100</v>
      </c>
      <c r="OBY71" s="169">
        <v>85</v>
      </c>
      <c r="OBZ71" s="170">
        <v>215</v>
      </c>
      <c r="OCA71" s="170">
        <v>75</v>
      </c>
      <c r="OCB71" s="169">
        <v>150</v>
      </c>
      <c r="OCC71" s="171">
        <f>SUM(OBX71:OCB71)</f>
        <v>8625</v>
      </c>
      <c r="OCD71" s="169">
        <v>200</v>
      </c>
      <c r="OCE71" s="171">
        <f>SUM(OCC71:OCD71)</f>
        <v>8825</v>
      </c>
      <c r="OCF71" s="163" t="s">
        <v>114</v>
      </c>
      <c r="OCG71" s="164">
        <v>45845</v>
      </c>
      <c r="OCH71" s="159" t="s">
        <v>42</v>
      </c>
      <c r="OCI71" s="354" t="s">
        <v>150</v>
      </c>
      <c r="OCJ71" s="165" t="s">
        <v>124</v>
      </c>
      <c r="OCK71" s="352" t="s">
        <v>164</v>
      </c>
      <c r="OCL71" s="353" t="s">
        <v>121</v>
      </c>
      <c r="OCM71" s="159" t="s">
        <v>18</v>
      </c>
      <c r="OCN71" s="160">
        <v>8100</v>
      </c>
      <c r="OCO71" s="169">
        <v>85</v>
      </c>
      <c r="OCP71" s="170">
        <v>215</v>
      </c>
      <c r="OCQ71" s="170">
        <v>75</v>
      </c>
      <c r="OCR71" s="169">
        <v>150</v>
      </c>
      <c r="OCS71" s="171">
        <f>SUM(OCN71:OCR71)</f>
        <v>8625</v>
      </c>
      <c r="OCT71" s="169">
        <v>200</v>
      </c>
      <c r="OCU71" s="171">
        <f>SUM(OCS71:OCT71)</f>
        <v>8825</v>
      </c>
      <c r="OCV71" s="163" t="s">
        <v>114</v>
      </c>
      <c r="OCW71" s="164">
        <v>45845</v>
      </c>
      <c r="OCX71" s="159" t="s">
        <v>42</v>
      </c>
      <c r="OCY71" s="354" t="s">
        <v>150</v>
      </c>
      <c r="OCZ71" s="165" t="s">
        <v>124</v>
      </c>
      <c r="ODA71" s="352" t="s">
        <v>164</v>
      </c>
      <c r="ODB71" s="353" t="s">
        <v>121</v>
      </c>
      <c r="ODC71" s="159" t="s">
        <v>18</v>
      </c>
      <c r="ODD71" s="160">
        <v>8100</v>
      </c>
      <c r="ODE71" s="169">
        <v>85</v>
      </c>
      <c r="ODF71" s="170">
        <v>215</v>
      </c>
      <c r="ODG71" s="170">
        <v>75</v>
      </c>
      <c r="ODH71" s="169">
        <v>150</v>
      </c>
      <c r="ODI71" s="171">
        <f>SUM(ODD71:ODH71)</f>
        <v>8625</v>
      </c>
      <c r="ODJ71" s="169">
        <v>200</v>
      </c>
      <c r="ODK71" s="171">
        <f>SUM(ODI71:ODJ71)</f>
        <v>8825</v>
      </c>
      <c r="ODL71" s="163" t="s">
        <v>114</v>
      </c>
      <c r="ODM71" s="164">
        <v>45845</v>
      </c>
      <c r="ODN71" s="159" t="s">
        <v>42</v>
      </c>
      <c r="ODO71" s="354" t="s">
        <v>150</v>
      </c>
      <c r="ODP71" s="165" t="s">
        <v>124</v>
      </c>
      <c r="ODQ71" s="352" t="s">
        <v>164</v>
      </c>
      <c r="ODR71" s="353" t="s">
        <v>121</v>
      </c>
      <c r="ODS71" s="159" t="s">
        <v>18</v>
      </c>
      <c r="ODT71" s="160">
        <v>8100</v>
      </c>
      <c r="ODU71" s="169">
        <v>85</v>
      </c>
      <c r="ODV71" s="170">
        <v>215</v>
      </c>
      <c r="ODW71" s="170">
        <v>75</v>
      </c>
      <c r="ODX71" s="169">
        <v>150</v>
      </c>
      <c r="ODY71" s="171">
        <f>SUM(ODT71:ODX71)</f>
        <v>8625</v>
      </c>
      <c r="ODZ71" s="169">
        <v>200</v>
      </c>
      <c r="OEA71" s="171">
        <f>SUM(ODY71:ODZ71)</f>
        <v>8825</v>
      </c>
      <c r="OEB71" s="163" t="s">
        <v>114</v>
      </c>
      <c r="OEC71" s="164">
        <v>45845</v>
      </c>
      <c r="OED71" s="159" t="s">
        <v>42</v>
      </c>
      <c r="OEE71" s="354" t="s">
        <v>150</v>
      </c>
      <c r="OEF71" s="165" t="s">
        <v>124</v>
      </c>
      <c r="OEG71" s="352" t="s">
        <v>164</v>
      </c>
      <c r="OEH71" s="353" t="s">
        <v>121</v>
      </c>
      <c r="OEI71" s="159" t="s">
        <v>18</v>
      </c>
      <c r="OEJ71" s="160">
        <v>8100</v>
      </c>
      <c r="OEK71" s="169">
        <v>85</v>
      </c>
      <c r="OEL71" s="170">
        <v>215</v>
      </c>
      <c r="OEM71" s="170">
        <v>75</v>
      </c>
      <c r="OEN71" s="169">
        <v>150</v>
      </c>
      <c r="OEO71" s="171">
        <f>SUM(OEJ71:OEN71)</f>
        <v>8625</v>
      </c>
      <c r="OEP71" s="169">
        <v>200</v>
      </c>
      <c r="OEQ71" s="171">
        <f>SUM(OEO71:OEP71)</f>
        <v>8825</v>
      </c>
      <c r="OER71" s="163" t="s">
        <v>114</v>
      </c>
      <c r="OES71" s="164">
        <v>45845</v>
      </c>
      <c r="OET71" s="159" t="s">
        <v>42</v>
      </c>
      <c r="OEU71" s="354" t="s">
        <v>150</v>
      </c>
      <c r="OEV71" s="165" t="s">
        <v>124</v>
      </c>
      <c r="OEW71" s="352" t="s">
        <v>164</v>
      </c>
      <c r="OEX71" s="353" t="s">
        <v>121</v>
      </c>
      <c r="OEY71" s="159" t="s">
        <v>18</v>
      </c>
      <c r="OEZ71" s="160">
        <v>8100</v>
      </c>
      <c r="OFA71" s="169">
        <v>85</v>
      </c>
      <c r="OFB71" s="170">
        <v>215</v>
      </c>
      <c r="OFC71" s="170">
        <v>75</v>
      </c>
      <c r="OFD71" s="169">
        <v>150</v>
      </c>
      <c r="OFE71" s="171">
        <f>SUM(OEZ71:OFD71)</f>
        <v>8625</v>
      </c>
      <c r="OFF71" s="169">
        <v>200</v>
      </c>
      <c r="OFG71" s="171">
        <f>SUM(OFE71:OFF71)</f>
        <v>8825</v>
      </c>
      <c r="OFH71" s="163" t="s">
        <v>114</v>
      </c>
      <c r="OFI71" s="164">
        <v>45845</v>
      </c>
      <c r="OFJ71" s="159" t="s">
        <v>42</v>
      </c>
      <c r="OFK71" s="354" t="s">
        <v>150</v>
      </c>
      <c r="OFL71" s="165" t="s">
        <v>124</v>
      </c>
      <c r="OFM71" s="352" t="s">
        <v>164</v>
      </c>
      <c r="OFN71" s="353" t="s">
        <v>121</v>
      </c>
      <c r="OFO71" s="159" t="s">
        <v>18</v>
      </c>
      <c r="OFP71" s="160">
        <v>8100</v>
      </c>
      <c r="OFQ71" s="169">
        <v>85</v>
      </c>
      <c r="OFR71" s="170">
        <v>215</v>
      </c>
      <c r="OFS71" s="170">
        <v>75</v>
      </c>
      <c r="OFT71" s="169">
        <v>150</v>
      </c>
      <c r="OFU71" s="171">
        <f>SUM(OFP71:OFT71)</f>
        <v>8625</v>
      </c>
      <c r="OFV71" s="169">
        <v>200</v>
      </c>
      <c r="OFW71" s="171">
        <f>SUM(OFU71:OFV71)</f>
        <v>8825</v>
      </c>
      <c r="OFX71" s="163" t="s">
        <v>114</v>
      </c>
      <c r="OFY71" s="164">
        <v>45845</v>
      </c>
      <c r="OFZ71" s="159" t="s">
        <v>42</v>
      </c>
      <c r="OGA71" s="354" t="s">
        <v>150</v>
      </c>
      <c r="OGB71" s="165" t="s">
        <v>124</v>
      </c>
      <c r="OGC71" s="352" t="s">
        <v>164</v>
      </c>
      <c r="OGD71" s="353" t="s">
        <v>121</v>
      </c>
      <c r="OGE71" s="159" t="s">
        <v>18</v>
      </c>
      <c r="OGF71" s="160">
        <v>8100</v>
      </c>
      <c r="OGG71" s="169">
        <v>85</v>
      </c>
      <c r="OGH71" s="170">
        <v>215</v>
      </c>
      <c r="OGI71" s="170">
        <v>75</v>
      </c>
      <c r="OGJ71" s="169">
        <v>150</v>
      </c>
      <c r="OGK71" s="171">
        <f>SUM(OGF71:OGJ71)</f>
        <v>8625</v>
      </c>
      <c r="OGL71" s="169">
        <v>200</v>
      </c>
      <c r="OGM71" s="171">
        <f>SUM(OGK71:OGL71)</f>
        <v>8825</v>
      </c>
      <c r="OGN71" s="163" t="s">
        <v>114</v>
      </c>
      <c r="OGO71" s="164">
        <v>45845</v>
      </c>
      <c r="OGP71" s="159" t="s">
        <v>42</v>
      </c>
      <c r="OGQ71" s="354" t="s">
        <v>150</v>
      </c>
      <c r="OGR71" s="165" t="s">
        <v>124</v>
      </c>
      <c r="OGS71" s="352" t="s">
        <v>164</v>
      </c>
      <c r="OGT71" s="353" t="s">
        <v>121</v>
      </c>
      <c r="OGU71" s="159" t="s">
        <v>18</v>
      </c>
      <c r="OGV71" s="160">
        <v>8100</v>
      </c>
      <c r="OGW71" s="169">
        <v>85</v>
      </c>
      <c r="OGX71" s="170">
        <v>215</v>
      </c>
      <c r="OGY71" s="170">
        <v>75</v>
      </c>
      <c r="OGZ71" s="169">
        <v>150</v>
      </c>
      <c r="OHA71" s="171">
        <f>SUM(OGV71:OGZ71)</f>
        <v>8625</v>
      </c>
      <c r="OHB71" s="169">
        <v>200</v>
      </c>
      <c r="OHC71" s="171">
        <f>SUM(OHA71:OHB71)</f>
        <v>8825</v>
      </c>
      <c r="OHD71" s="163" t="s">
        <v>114</v>
      </c>
      <c r="OHE71" s="164">
        <v>45845</v>
      </c>
      <c r="OHF71" s="159" t="s">
        <v>42</v>
      </c>
      <c r="OHG71" s="354" t="s">
        <v>150</v>
      </c>
      <c r="OHH71" s="165" t="s">
        <v>124</v>
      </c>
      <c r="OHI71" s="352" t="s">
        <v>164</v>
      </c>
      <c r="OHJ71" s="353" t="s">
        <v>121</v>
      </c>
      <c r="OHK71" s="159" t="s">
        <v>18</v>
      </c>
      <c r="OHL71" s="160">
        <v>8100</v>
      </c>
      <c r="OHM71" s="169">
        <v>85</v>
      </c>
      <c r="OHN71" s="170">
        <v>215</v>
      </c>
      <c r="OHO71" s="170">
        <v>75</v>
      </c>
      <c r="OHP71" s="169">
        <v>150</v>
      </c>
      <c r="OHQ71" s="171">
        <f>SUM(OHL71:OHP71)</f>
        <v>8625</v>
      </c>
      <c r="OHR71" s="169">
        <v>200</v>
      </c>
      <c r="OHS71" s="171">
        <f>SUM(OHQ71:OHR71)</f>
        <v>8825</v>
      </c>
      <c r="OHT71" s="163" t="s">
        <v>114</v>
      </c>
      <c r="OHU71" s="164">
        <v>45845</v>
      </c>
      <c r="OHV71" s="159" t="s">
        <v>42</v>
      </c>
      <c r="OHW71" s="354" t="s">
        <v>150</v>
      </c>
      <c r="OHX71" s="165" t="s">
        <v>124</v>
      </c>
      <c r="OHY71" s="352" t="s">
        <v>164</v>
      </c>
      <c r="OHZ71" s="353" t="s">
        <v>121</v>
      </c>
      <c r="OIA71" s="159" t="s">
        <v>18</v>
      </c>
      <c r="OIB71" s="160">
        <v>8100</v>
      </c>
      <c r="OIC71" s="169">
        <v>85</v>
      </c>
      <c r="OID71" s="170">
        <v>215</v>
      </c>
      <c r="OIE71" s="170">
        <v>75</v>
      </c>
      <c r="OIF71" s="169">
        <v>150</v>
      </c>
      <c r="OIG71" s="171">
        <f>SUM(OIB71:OIF71)</f>
        <v>8625</v>
      </c>
      <c r="OIH71" s="169">
        <v>200</v>
      </c>
      <c r="OII71" s="171">
        <f>SUM(OIG71:OIH71)</f>
        <v>8825</v>
      </c>
      <c r="OIJ71" s="163" t="s">
        <v>114</v>
      </c>
      <c r="OIK71" s="164">
        <v>45845</v>
      </c>
      <c r="OIL71" s="159" t="s">
        <v>42</v>
      </c>
      <c r="OIM71" s="354" t="s">
        <v>150</v>
      </c>
      <c r="OIN71" s="165" t="s">
        <v>124</v>
      </c>
      <c r="OIO71" s="352" t="s">
        <v>164</v>
      </c>
      <c r="OIP71" s="353" t="s">
        <v>121</v>
      </c>
      <c r="OIQ71" s="159" t="s">
        <v>18</v>
      </c>
      <c r="OIR71" s="160">
        <v>8100</v>
      </c>
      <c r="OIS71" s="169">
        <v>85</v>
      </c>
      <c r="OIT71" s="170">
        <v>215</v>
      </c>
      <c r="OIU71" s="170">
        <v>75</v>
      </c>
      <c r="OIV71" s="169">
        <v>150</v>
      </c>
      <c r="OIW71" s="171">
        <f>SUM(OIR71:OIV71)</f>
        <v>8625</v>
      </c>
      <c r="OIX71" s="169">
        <v>200</v>
      </c>
      <c r="OIY71" s="171">
        <f>SUM(OIW71:OIX71)</f>
        <v>8825</v>
      </c>
      <c r="OIZ71" s="163" t="s">
        <v>114</v>
      </c>
      <c r="OJA71" s="164">
        <v>45845</v>
      </c>
      <c r="OJB71" s="159" t="s">
        <v>42</v>
      </c>
      <c r="OJC71" s="354" t="s">
        <v>150</v>
      </c>
      <c r="OJD71" s="165" t="s">
        <v>124</v>
      </c>
      <c r="OJE71" s="352" t="s">
        <v>164</v>
      </c>
      <c r="OJF71" s="353" t="s">
        <v>121</v>
      </c>
      <c r="OJG71" s="159" t="s">
        <v>18</v>
      </c>
      <c r="OJH71" s="160">
        <v>8100</v>
      </c>
      <c r="OJI71" s="169">
        <v>85</v>
      </c>
      <c r="OJJ71" s="170">
        <v>215</v>
      </c>
      <c r="OJK71" s="170">
        <v>75</v>
      </c>
      <c r="OJL71" s="169">
        <v>150</v>
      </c>
      <c r="OJM71" s="171">
        <f>SUM(OJH71:OJL71)</f>
        <v>8625</v>
      </c>
      <c r="OJN71" s="169">
        <v>200</v>
      </c>
      <c r="OJO71" s="171">
        <f>SUM(OJM71:OJN71)</f>
        <v>8825</v>
      </c>
      <c r="OJP71" s="163" t="s">
        <v>114</v>
      </c>
      <c r="OJQ71" s="164">
        <v>45845</v>
      </c>
      <c r="OJR71" s="159" t="s">
        <v>42</v>
      </c>
      <c r="OJS71" s="354" t="s">
        <v>150</v>
      </c>
      <c r="OJT71" s="165" t="s">
        <v>124</v>
      </c>
      <c r="OJU71" s="352" t="s">
        <v>164</v>
      </c>
      <c r="OJV71" s="353" t="s">
        <v>121</v>
      </c>
      <c r="OJW71" s="159" t="s">
        <v>18</v>
      </c>
      <c r="OJX71" s="160">
        <v>8100</v>
      </c>
      <c r="OJY71" s="169">
        <v>85</v>
      </c>
      <c r="OJZ71" s="170">
        <v>215</v>
      </c>
      <c r="OKA71" s="170">
        <v>75</v>
      </c>
      <c r="OKB71" s="169">
        <v>150</v>
      </c>
      <c r="OKC71" s="171">
        <f>SUM(OJX71:OKB71)</f>
        <v>8625</v>
      </c>
      <c r="OKD71" s="169">
        <v>200</v>
      </c>
      <c r="OKE71" s="171">
        <f>SUM(OKC71:OKD71)</f>
        <v>8825</v>
      </c>
      <c r="OKF71" s="163" t="s">
        <v>114</v>
      </c>
      <c r="OKG71" s="164">
        <v>45845</v>
      </c>
      <c r="OKH71" s="159" t="s">
        <v>42</v>
      </c>
      <c r="OKI71" s="354" t="s">
        <v>150</v>
      </c>
      <c r="OKJ71" s="165" t="s">
        <v>124</v>
      </c>
      <c r="OKK71" s="352" t="s">
        <v>164</v>
      </c>
      <c r="OKL71" s="353" t="s">
        <v>121</v>
      </c>
      <c r="OKM71" s="159" t="s">
        <v>18</v>
      </c>
      <c r="OKN71" s="160">
        <v>8100</v>
      </c>
      <c r="OKO71" s="169">
        <v>85</v>
      </c>
      <c r="OKP71" s="170">
        <v>215</v>
      </c>
      <c r="OKQ71" s="170">
        <v>75</v>
      </c>
      <c r="OKR71" s="169">
        <v>150</v>
      </c>
      <c r="OKS71" s="171">
        <f>SUM(OKN71:OKR71)</f>
        <v>8625</v>
      </c>
      <c r="OKT71" s="169">
        <v>200</v>
      </c>
      <c r="OKU71" s="171">
        <f>SUM(OKS71:OKT71)</f>
        <v>8825</v>
      </c>
      <c r="OKV71" s="163" t="s">
        <v>114</v>
      </c>
      <c r="OKW71" s="164">
        <v>45845</v>
      </c>
      <c r="OKX71" s="159" t="s">
        <v>42</v>
      </c>
      <c r="OKY71" s="354" t="s">
        <v>150</v>
      </c>
      <c r="OKZ71" s="165" t="s">
        <v>124</v>
      </c>
      <c r="OLA71" s="352" t="s">
        <v>164</v>
      </c>
      <c r="OLB71" s="353" t="s">
        <v>121</v>
      </c>
      <c r="OLC71" s="159" t="s">
        <v>18</v>
      </c>
      <c r="OLD71" s="160">
        <v>8100</v>
      </c>
      <c r="OLE71" s="169">
        <v>85</v>
      </c>
      <c r="OLF71" s="170">
        <v>215</v>
      </c>
      <c r="OLG71" s="170">
        <v>75</v>
      </c>
      <c r="OLH71" s="169">
        <v>150</v>
      </c>
      <c r="OLI71" s="171">
        <f>SUM(OLD71:OLH71)</f>
        <v>8625</v>
      </c>
      <c r="OLJ71" s="169">
        <v>200</v>
      </c>
      <c r="OLK71" s="171">
        <f>SUM(OLI71:OLJ71)</f>
        <v>8825</v>
      </c>
      <c r="OLL71" s="163" t="s">
        <v>114</v>
      </c>
      <c r="OLM71" s="164">
        <v>45845</v>
      </c>
      <c r="OLN71" s="159" t="s">
        <v>42</v>
      </c>
      <c r="OLO71" s="354" t="s">
        <v>150</v>
      </c>
      <c r="OLP71" s="165" t="s">
        <v>124</v>
      </c>
      <c r="OLQ71" s="352" t="s">
        <v>164</v>
      </c>
      <c r="OLR71" s="353" t="s">
        <v>121</v>
      </c>
      <c r="OLS71" s="159" t="s">
        <v>18</v>
      </c>
      <c r="OLT71" s="160">
        <v>8100</v>
      </c>
      <c r="OLU71" s="169">
        <v>85</v>
      </c>
      <c r="OLV71" s="170">
        <v>215</v>
      </c>
      <c r="OLW71" s="170">
        <v>75</v>
      </c>
      <c r="OLX71" s="169">
        <v>150</v>
      </c>
      <c r="OLY71" s="171">
        <f>SUM(OLT71:OLX71)</f>
        <v>8625</v>
      </c>
      <c r="OLZ71" s="169">
        <v>200</v>
      </c>
      <c r="OMA71" s="171">
        <f>SUM(OLY71:OLZ71)</f>
        <v>8825</v>
      </c>
      <c r="OMB71" s="163" t="s">
        <v>114</v>
      </c>
      <c r="OMC71" s="164">
        <v>45845</v>
      </c>
      <c r="OMD71" s="159" t="s">
        <v>42</v>
      </c>
      <c r="OME71" s="354" t="s">
        <v>150</v>
      </c>
      <c r="OMF71" s="165" t="s">
        <v>124</v>
      </c>
      <c r="OMG71" s="352" t="s">
        <v>164</v>
      </c>
      <c r="OMH71" s="353" t="s">
        <v>121</v>
      </c>
      <c r="OMI71" s="159" t="s">
        <v>18</v>
      </c>
      <c r="OMJ71" s="160">
        <v>8100</v>
      </c>
      <c r="OMK71" s="169">
        <v>85</v>
      </c>
      <c r="OML71" s="170">
        <v>215</v>
      </c>
      <c r="OMM71" s="170">
        <v>75</v>
      </c>
      <c r="OMN71" s="169">
        <v>150</v>
      </c>
      <c r="OMO71" s="171">
        <f>SUM(OMJ71:OMN71)</f>
        <v>8625</v>
      </c>
      <c r="OMP71" s="169">
        <v>200</v>
      </c>
      <c r="OMQ71" s="171">
        <f>SUM(OMO71:OMP71)</f>
        <v>8825</v>
      </c>
      <c r="OMR71" s="163" t="s">
        <v>114</v>
      </c>
      <c r="OMS71" s="164">
        <v>45845</v>
      </c>
      <c r="OMT71" s="159" t="s">
        <v>42</v>
      </c>
      <c r="OMU71" s="354" t="s">
        <v>150</v>
      </c>
      <c r="OMV71" s="165" t="s">
        <v>124</v>
      </c>
      <c r="OMW71" s="352" t="s">
        <v>164</v>
      </c>
      <c r="OMX71" s="353" t="s">
        <v>121</v>
      </c>
      <c r="OMY71" s="159" t="s">
        <v>18</v>
      </c>
      <c r="OMZ71" s="160">
        <v>8100</v>
      </c>
      <c r="ONA71" s="169">
        <v>85</v>
      </c>
      <c r="ONB71" s="170">
        <v>215</v>
      </c>
      <c r="ONC71" s="170">
        <v>75</v>
      </c>
      <c r="OND71" s="169">
        <v>150</v>
      </c>
      <c r="ONE71" s="171">
        <f>SUM(OMZ71:OND71)</f>
        <v>8625</v>
      </c>
      <c r="ONF71" s="169">
        <v>200</v>
      </c>
      <c r="ONG71" s="171">
        <f>SUM(ONE71:ONF71)</f>
        <v>8825</v>
      </c>
      <c r="ONH71" s="163" t="s">
        <v>114</v>
      </c>
      <c r="ONI71" s="164">
        <v>45845</v>
      </c>
      <c r="ONJ71" s="159" t="s">
        <v>42</v>
      </c>
      <c r="ONK71" s="354" t="s">
        <v>150</v>
      </c>
      <c r="ONL71" s="165" t="s">
        <v>124</v>
      </c>
      <c r="ONM71" s="352" t="s">
        <v>164</v>
      </c>
      <c r="ONN71" s="353" t="s">
        <v>121</v>
      </c>
      <c r="ONO71" s="159" t="s">
        <v>18</v>
      </c>
      <c r="ONP71" s="160">
        <v>8100</v>
      </c>
      <c r="ONQ71" s="169">
        <v>85</v>
      </c>
      <c r="ONR71" s="170">
        <v>215</v>
      </c>
      <c r="ONS71" s="170">
        <v>75</v>
      </c>
      <c r="ONT71" s="169">
        <v>150</v>
      </c>
      <c r="ONU71" s="171">
        <f>SUM(ONP71:ONT71)</f>
        <v>8625</v>
      </c>
      <c r="ONV71" s="169">
        <v>200</v>
      </c>
      <c r="ONW71" s="171">
        <f>SUM(ONU71:ONV71)</f>
        <v>8825</v>
      </c>
      <c r="ONX71" s="163" t="s">
        <v>114</v>
      </c>
      <c r="ONY71" s="164">
        <v>45845</v>
      </c>
      <c r="ONZ71" s="159" t="s">
        <v>42</v>
      </c>
      <c r="OOA71" s="354" t="s">
        <v>150</v>
      </c>
      <c r="OOB71" s="165" t="s">
        <v>124</v>
      </c>
      <c r="OOC71" s="352" t="s">
        <v>164</v>
      </c>
      <c r="OOD71" s="353" t="s">
        <v>121</v>
      </c>
      <c r="OOE71" s="159" t="s">
        <v>18</v>
      </c>
      <c r="OOF71" s="160">
        <v>8100</v>
      </c>
      <c r="OOG71" s="169">
        <v>85</v>
      </c>
      <c r="OOH71" s="170">
        <v>215</v>
      </c>
      <c r="OOI71" s="170">
        <v>75</v>
      </c>
      <c r="OOJ71" s="169">
        <v>150</v>
      </c>
      <c r="OOK71" s="171">
        <f>SUM(OOF71:OOJ71)</f>
        <v>8625</v>
      </c>
      <c r="OOL71" s="169">
        <v>200</v>
      </c>
      <c r="OOM71" s="171">
        <f>SUM(OOK71:OOL71)</f>
        <v>8825</v>
      </c>
      <c r="OON71" s="163" t="s">
        <v>114</v>
      </c>
      <c r="OOO71" s="164">
        <v>45845</v>
      </c>
      <c r="OOP71" s="159" t="s">
        <v>42</v>
      </c>
      <c r="OOQ71" s="354" t="s">
        <v>150</v>
      </c>
      <c r="OOR71" s="165" t="s">
        <v>124</v>
      </c>
      <c r="OOS71" s="352" t="s">
        <v>164</v>
      </c>
      <c r="OOT71" s="353" t="s">
        <v>121</v>
      </c>
      <c r="OOU71" s="159" t="s">
        <v>18</v>
      </c>
      <c r="OOV71" s="160">
        <v>8100</v>
      </c>
      <c r="OOW71" s="169">
        <v>85</v>
      </c>
      <c r="OOX71" s="170">
        <v>215</v>
      </c>
      <c r="OOY71" s="170">
        <v>75</v>
      </c>
      <c r="OOZ71" s="169">
        <v>150</v>
      </c>
      <c r="OPA71" s="171">
        <f>SUM(OOV71:OOZ71)</f>
        <v>8625</v>
      </c>
      <c r="OPB71" s="169">
        <v>200</v>
      </c>
      <c r="OPC71" s="171">
        <f>SUM(OPA71:OPB71)</f>
        <v>8825</v>
      </c>
      <c r="OPD71" s="163" t="s">
        <v>114</v>
      </c>
      <c r="OPE71" s="164">
        <v>45845</v>
      </c>
      <c r="OPF71" s="159" t="s">
        <v>42</v>
      </c>
      <c r="OPG71" s="354" t="s">
        <v>150</v>
      </c>
      <c r="OPH71" s="165" t="s">
        <v>124</v>
      </c>
      <c r="OPI71" s="352" t="s">
        <v>164</v>
      </c>
      <c r="OPJ71" s="353" t="s">
        <v>121</v>
      </c>
      <c r="OPK71" s="159" t="s">
        <v>18</v>
      </c>
      <c r="OPL71" s="160">
        <v>8100</v>
      </c>
      <c r="OPM71" s="169">
        <v>85</v>
      </c>
      <c r="OPN71" s="170">
        <v>215</v>
      </c>
      <c r="OPO71" s="170">
        <v>75</v>
      </c>
      <c r="OPP71" s="169">
        <v>150</v>
      </c>
      <c r="OPQ71" s="171">
        <f>SUM(OPL71:OPP71)</f>
        <v>8625</v>
      </c>
      <c r="OPR71" s="169">
        <v>200</v>
      </c>
      <c r="OPS71" s="171">
        <f>SUM(OPQ71:OPR71)</f>
        <v>8825</v>
      </c>
      <c r="OPT71" s="163" t="s">
        <v>114</v>
      </c>
      <c r="OPU71" s="164">
        <v>45845</v>
      </c>
      <c r="OPV71" s="159" t="s">
        <v>42</v>
      </c>
      <c r="OPW71" s="354" t="s">
        <v>150</v>
      </c>
      <c r="OPX71" s="165" t="s">
        <v>124</v>
      </c>
      <c r="OPY71" s="352" t="s">
        <v>164</v>
      </c>
      <c r="OPZ71" s="353" t="s">
        <v>121</v>
      </c>
      <c r="OQA71" s="159" t="s">
        <v>18</v>
      </c>
      <c r="OQB71" s="160">
        <v>8100</v>
      </c>
      <c r="OQC71" s="169">
        <v>85</v>
      </c>
      <c r="OQD71" s="170">
        <v>215</v>
      </c>
      <c r="OQE71" s="170">
        <v>75</v>
      </c>
      <c r="OQF71" s="169">
        <v>150</v>
      </c>
      <c r="OQG71" s="171">
        <f>SUM(OQB71:OQF71)</f>
        <v>8625</v>
      </c>
      <c r="OQH71" s="169">
        <v>200</v>
      </c>
      <c r="OQI71" s="171">
        <f>SUM(OQG71:OQH71)</f>
        <v>8825</v>
      </c>
      <c r="OQJ71" s="163" t="s">
        <v>114</v>
      </c>
      <c r="OQK71" s="164">
        <v>45845</v>
      </c>
      <c r="OQL71" s="159" t="s">
        <v>42</v>
      </c>
      <c r="OQM71" s="354" t="s">
        <v>150</v>
      </c>
      <c r="OQN71" s="165" t="s">
        <v>124</v>
      </c>
      <c r="OQO71" s="352" t="s">
        <v>164</v>
      </c>
      <c r="OQP71" s="353" t="s">
        <v>121</v>
      </c>
      <c r="OQQ71" s="159" t="s">
        <v>18</v>
      </c>
      <c r="OQR71" s="160">
        <v>8100</v>
      </c>
      <c r="OQS71" s="169">
        <v>85</v>
      </c>
      <c r="OQT71" s="170">
        <v>215</v>
      </c>
      <c r="OQU71" s="170">
        <v>75</v>
      </c>
      <c r="OQV71" s="169">
        <v>150</v>
      </c>
      <c r="OQW71" s="171">
        <f>SUM(OQR71:OQV71)</f>
        <v>8625</v>
      </c>
      <c r="OQX71" s="169">
        <v>200</v>
      </c>
      <c r="OQY71" s="171">
        <f>SUM(OQW71:OQX71)</f>
        <v>8825</v>
      </c>
      <c r="OQZ71" s="163" t="s">
        <v>114</v>
      </c>
      <c r="ORA71" s="164">
        <v>45845</v>
      </c>
      <c r="ORB71" s="159" t="s">
        <v>42</v>
      </c>
      <c r="ORC71" s="354" t="s">
        <v>150</v>
      </c>
      <c r="ORD71" s="165" t="s">
        <v>124</v>
      </c>
      <c r="ORE71" s="352" t="s">
        <v>164</v>
      </c>
      <c r="ORF71" s="353" t="s">
        <v>121</v>
      </c>
      <c r="ORG71" s="159" t="s">
        <v>18</v>
      </c>
      <c r="ORH71" s="160">
        <v>8100</v>
      </c>
      <c r="ORI71" s="169">
        <v>85</v>
      </c>
      <c r="ORJ71" s="170">
        <v>215</v>
      </c>
      <c r="ORK71" s="170">
        <v>75</v>
      </c>
      <c r="ORL71" s="169">
        <v>150</v>
      </c>
      <c r="ORM71" s="171">
        <f>SUM(ORH71:ORL71)</f>
        <v>8625</v>
      </c>
      <c r="ORN71" s="169">
        <v>200</v>
      </c>
      <c r="ORO71" s="171">
        <f>SUM(ORM71:ORN71)</f>
        <v>8825</v>
      </c>
      <c r="ORP71" s="163" t="s">
        <v>114</v>
      </c>
      <c r="ORQ71" s="164">
        <v>45845</v>
      </c>
      <c r="ORR71" s="159" t="s">
        <v>42</v>
      </c>
      <c r="ORS71" s="354" t="s">
        <v>150</v>
      </c>
      <c r="ORT71" s="165" t="s">
        <v>124</v>
      </c>
      <c r="ORU71" s="352" t="s">
        <v>164</v>
      </c>
      <c r="ORV71" s="353" t="s">
        <v>121</v>
      </c>
      <c r="ORW71" s="159" t="s">
        <v>18</v>
      </c>
      <c r="ORX71" s="160">
        <v>8100</v>
      </c>
      <c r="ORY71" s="169">
        <v>85</v>
      </c>
      <c r="ORZ71" s="170">
        <v>215</v>
      </c>
      <c r="OSA71" s="170">
        <v>75</v>
      </c>
      <c r="OSB71" s="169">
        <v>150</v>
      </c>
      <c r="OSC71" s="171">
        <f>SUM(ORX71:OSB71)</f>
        <v>8625</v>
      </c>
      <c r="OSD71" s="169">
        <v>200</v>
      </c>
      <c r="OSE71" s="171">
        <f>SUM(OSC71:OSD71)</f>
        <v>8825</v>
      </c>
      <c r="OSF71" s="163" t="s">
        <v>114</v>
      </c>
      <c r="OSG71" s="164">
        <v>45845</v>
      </c>
      <c r="OSH71" s="159" t="s">
        <v>42</v>
      </c>
      <c r="OSI71" s="354" t="s">
        <v>150</v>
      </c>
      <c r="OSJ71" s="165" t="s">
        <v>124</v>
      </c>
      <c r="OSK71" s="352" t="s">
        <v>164</v>
      </c>
      <c r="OSL71" s="353" t="s">
        <v>121</v>
      </c>
      <c r="OSM71" s="159" t="s">
        <v>18</v>
      </c>
      <c r="OSN71" s="160">
        <v>8100</v>
      </c>
      <c r="OSO71" s="169">
        <v>85</v>
      </c>
      <c r="OSP71" s="170">
        <v>215</v>
      </c>
      <c r="OSQ71" s="170">
        <v>75</v>
      </c>
      <c r="OSR71" s="169">
        <v>150</v>
      </c>
      <c r="OSS71" s="171">
        <f>SUM(OSN71:OSR71)</f>
        <v>8625</v>
      </c>
      <c r="OST71" s="169">
        <v>200</v>
      </c>
      <c r="OSU71" s="171">
        <f>SUM(OSS71:OST71)</f>
        <v>8825</v>
      </c>
      <c r="OSV71" s="163" t="s">
        <v>114</v>
      </c>
      <c r="OSW71" s="164">
        <v>45845</v>
      </c>
      <c r="OSX71" s="159" t="s">
        <v>42</v>
      </c>
      <c r="OSY71" s="354" t="s">
        <v>150</v>
      </c>
      <c r="OSZ71" s="165" t="s">
        <v>124</v>
      </c>
      <c r="OTA71" s="352" t="s">
        <v>164</v>
      </c>
      <c r="OTB71" s="353" t="s">
        <v>121</v>
      </c>
      <c r="OTC71" s="159" t="s">
        <v>18</v>
      </c>
      <c r="OTD71" s="160">
        <v>8100</v>
      </c>
      <c r="OTE71" s="169">
        <v>85</v>
      </c>
      <c r="OTF71" s="170">
        <v>215</v>
      </c>
      <c r="OTG71" s="170">
        <v>75</v>
      </c>
      <c r="OTH71" s="169">
        <v>150</v>
      </c>
      <c r="OTI71" s="171">
        <f>SUM(OTD71:OTH71)</f>
        <v>8625</v>
      </c>
      <c r="OTJ71" s="169">
        <v>200</v>
      </c>
      <c r="OTK71" s="171">
        <f>SUM(OTI71:OTJ71)</f>
        <v>8825</v>
      </c>
      <c r="OTL71" s="163" t="s">
        <v>114</v>
      </c>
      <c r="OTM71" s="164">
        <v>45845</v>
      </c>
      <c r="OTN71" s="159" t="s">
        <v>42</v>
      </c>
      <c r="OTO71" s="354" t="s">
        <v>150</v>
      </c>
      <c r="OTP71" s="165" t="s">
        <v>124</v>
      </c>
      <c r="OTQ71" s="352" t="s">
        <v>164</v>
      </c>
      <c r="OTR71" s="353" t="s">
        <v>121</v>
      </c>
      <c r="OTS71" s="159" t="s">
        <v>18</v>
      </c>
      <c r="OTT71" s="160">
        <v>8100</v>
      </c>
      <c r="OTU71" s="169">
        <v>85</v>
      </c>
      <c r="OTV71" s="170">
        <v>215</v>
      </c>
      <c r="OTW71" s="170">
        <v>75</v>
      </c>
      <c r="OTX71" s="169">
        <v>150</v>
      </c>
      <c r="OTY71" s="171">
        <f>SUM(OTT71:OTX71)</f>
        <v>8625</v>
      </c>
      <c r="OTZ71" s="169">
        <v>200</v>
      </c>
      <c r="OUA71" s="171">
        <f>SUM(OTY71:OTZ71)</f>
        <v>8825</v>
      </c>
      <c r="OUB71" s="163" t="s">
        <v>114</v>
      </c>
      <c r="OUC71" s="164">
        <v>45845</v>
      </c>
      <c r="OUD71" s="159" t="s">
        <v>42</v>
      </c>
      <c r="OUE71" s="354" t="s">
        <v>150</v>
      </c>
      <c r="OUF71" s="165" t="s">
        <v>124</v>
      </c>
      <c r="OUG71" s="352" t="s">
        <v>164</v>
      </c>
      <c r="OUH71" s="353" t="s">
        <v>121</v>
      </c>
      <c r="OUI71" s="159" t="s">
        <v>18</v>
      </c>
      <c r="OUJ71" s="160">
        <v>8100</v>
      </c>
      <c r="OUK71" s="169">
        <v>85</v>
      </c>
      <c r="OUL71" s="170">
        <v>215</v>
      </c>
      <c r="OUM71" s="170">
        <v>75</v>
      </c>
      <c r="OUN71" s="169">
        <v>150</v>
      </c>
      <c r="OUO71" s="171">
        <f>SUM(OUJ71:OUN71)</f>
        <v>8625</v>
      </c>
      <c r="OUP71" s="169">
        <v>200</v>
      </c>
      <c r="OUQ71" s="171">
        <f>SUM(OUO71:OUP71)</f>
        <v>8825</v>
      </c>
      <c r="OUR71" s="163" t="s">
        <v>114</v>
      </c>
      <c r="OUS71" s="164">
        <v>45845</v>
      </c>
      <c r="OUT71" s="159" t="s">
        <v>42</v>
      </c>
      <c r="OUU71" s="354" t="s">
        <v>150</v>
      </c>
      <c r="OUV71" s="165" t="s">
        <v>124</v>
      </c>
      <c r="OUW71" s="352" t="s">
        <v>164</v>
      </c>
      <c r="OUX71" s="353" t="s">
        <v>121</v>
      </c>
      <c r="OUY71" s="159" t="s">
        <v>18</v>
      </c>
      <c r="OUZ71" s="160">
        <v>8100</v>
      </c>
      <c r="OVA71" s="169">
        <v>85</v>
      </c>
      <c r="OVB71" s="170">
        <v>215</v>
      </c>
      <c r="OVC71" s="170">
        <v>75</v>
      </c>
      <c r="OVD71" s="169">
        <v>150</v>
      </c>
      <c r="OVE71" s="171">
        <f>SUM(OUZ71:OVD71)</f>
        <v>8625</v>
      </c>
      <c r="OVF71" s="169">
        <v>200</v>
      </c>
      <c r="OVG71" s="171">
        <f>SUM(OVE71:OVF71)</f>
        <v>8825</v>
      </c>
      <c r="OVH71" s="163" t="s">
        <v>114</v>
      </c>
      <c r="OVI71" s="164">
        <v>45845</v>
      </c>
      <c r="OVJ71" s="159" t="s">
        <v>42</v>
      </c>
      <c r="OVK71" s="354" t="s">
        <v>150</v>
      </c>
      <c r="OVL71" s="165" t="s">
        <v>124</v>
      </c>
      <c r="OVM71" s="352" t="s">
        <v>164</v>
      </c>
      <c r="OVN71" s="353" t="s">
        <v>121</v>
      </c>
      <c r="OVO71" s="159" t="s">
        <v>18</v>
      </c>
      <c r="OVP71" s="160">
        <v>8100</v>
      </c>
      <c r="OVQ71" s="169">
        <v>85</v>
      </c>
      <c r="OVR71" s="170">
        <v>215</v>
      </c>
      <c r="OVS71" s="170">
        <v>75</v>
      </c>
      <c r="OVT71" s="169">
        <v>150</v>
      </c>
      <c r="OVU71" s="171">
        <f>SUM(OVP71:OVT71)</f>
        <v>8625</v>
      </c>
      <c r="OVV71" s="169">
        <v>200</v>
      </c>
      <c r="OVW71" s="171">
        <f>SUM(OVU71:OVV71)</f>
        <v>8825</v>
      </c>
      <c r="OVX71" s="163" t="s">
        <v>114</v>
      </c>
      <c r="OVY71" s="164">
        <v>45845</v>
      </c>
      <c r="OVZ71" s="159" t="s">
        <v>42</v>
      </c>
      <c r="OWA71" s="354" t="s">
        <v>150</v>
      </c>
      <c r="OWB71" s="165" t="s">
        <v>124</v>
      </c>
      <c r="OWC71" s="352" t="s">
        <v>164</v>
      </c>
      <c r="OWD71" s="353" t="s">
        <v>121</v>
      </c>
      <c r="OWE71" s="159" t="s">
        <v>18</v>
      </c>
      <c r="OWF71" s="160">
        <v>8100</v>
      </c>
      <c r="OWG71" s="169">
        <v>85</v>
      </c>
      <c r="OWH71" s="170">
        <v>215</v>
      </c>
      <c r="OWI71" s="170">
        <v>75</v>
      </c>
      <c r="OWJ71" s="169">
        <v>150</v>
      </c>
      <c r="OWK71" s="171">
        <f>SUM(OWF71:OWJ71)</f>
        <v>8625</v>
      </c>
      <c r="OWL71" s="169">
        <v>200</v>
      </c>
      <c r="OWM71" s="171">
        <f>SUM(OWK71:OWL71)</f>
        <v>8825</v>
      </c>
      <c r="OWN71" s="163" t="s">
        <v>114</v>
      </c>
      <c r="OWO71" s="164">
        <v>45845</v>
      </c>
      <c r="OWP71" s="159" t="s">
        <v>42</v>
      </c>
      <c r="OWQ71" s="354" t="s">
        <v>150</v>
      </c>
      <c r="OWR71" s="165" t="s">
        <v>124</v>
      </c>
      <c r="OWS71" s="352" t="s">
        <v>164</v>
      </c>
      <c r="OWT71" s="353" t="s">
        <v>121</v>
      </c>
      <c r="OWU71" s="159" t="s">
        <v>18</v>
      </c>
      <c r="OWV71" s="160">
        <v>8100</v>
      </c>
      <c r="OWW71" s="169">
        <v>85</v>
      </c>
      <c r="OWX71" s="170">
        <v>215</v>
      </c>
      <c r="OWY71" s="170">
        <v>75</v>
      </c>
      <c r="OWZ71" s="169">
        <v>150</v>
      </c>
      <c r="OXA71" s="171">
        <f>SUM(OWV71:OWZ71)</f>
        <v>8625</v>
      </c>
      <c r="OXB71" s="169">
        <v>200</v>
      </c>
      <c r="OXC71" s="171">
        <f>SUM(OXA71:OXB71)</f>
        <v>8825</v>
      </c>
      <c r="OXD71" s="163" t="s">
        <v>114</v>
      </c>
      <c r="OXE71" s="164">
        <v>45845</v>
      </c>
      <c r="OXF71" s="159" t="s">
        <v>42</v>
      </c>
      <c r="OXG71" s="354" t="s">
        <v>150</v>
      </c>
      <c r="OXH71" s="165" t="s">
        <v>124</v>
      </c>
      <c r="OXI71" s="352" t="s">
        <v>164</v>
      </c>
      <c r="OXJ71" s="353" t="s">
        <v>121</v>
      </c>
      <c r="OXK71" s="159" t="s">
        <v>18</v>
      </c>
      <c r="OXL71" s="160">
        <v>8100</v>
      </c>
      <c r="OXM71" s="169">
        <v>85</v>
      </c>
      <c r="OXN71" s="170">
        <v>215</v>
      </c>
      <c r="OXO71" s="170">
        <v>75</v>
      </c>
      <c r="OXP71" s="169">
        <v>150</v>
      </c>
      <c r="OXQ71" s="171">
        <f>SUM(OXL71:OXP71)</f>
        <v>8625</v>
      </c>
      <c r="OXR71" s="169">
        <v>200</v>
      </c>
      <c r="OXS71" s="171">
        <f>SUM(OXQ71:OXR71)</f>
        <v>8825</v>
      </c>
      <c r="OXT71" s="163" t="s">
        <v>114</v>
      </c>
      <c r="OXU71" s="164">
        <v>45845</v>
      </c>
      <c r="OXV71" s="159" t="s">
        <v>42</v>
      </c>
      <c r="OXW71" s="354" t="s">
        <v>150</v>
      </c>
      <c r="OXX71" s="165" t="s">
        <v>124</v>
      </c>
      <c r="OXY71" s="352" t="s">
        <v>164</v>
      </c>
      <c r="OXZ71" s="353" t="s">
        <v>121</v>
      </c>
      <c r="OYA71" s="159" t="s">
        <v>18</v>
      </c>
      <c r="OYB71" s="160">
        <v>8100</v>
      </c>
      <c r="OYC71" s="169">
        <v>85</v>
      </c>
      <c r="OYD71" s="170">
        <v>215</v>
      </c>
      <c r="OYE71" s="170">
        <v>75</v>
      </c>
      <c r="OYF71" s="169">
        <v>150</v>
      </c>
      <c r="OYG71" s="171">
        <f>SUM(OYB71:OYF71)</f>
        <v>8625</v>
      </c>
      <c r="OYH71" s="169">
        <v>200</v>
      </c>
      <c r="OYI71" s="171">
        <f>SUM(OYG71:OYH71)</f>
        <v>8825</v>
      </c>
      <c r="OYJ71" s="163" t="s">
        <v>114</v>
      </c>
      <c r="OYK71" s="164">
        <v>45845</v>
      </c>
      <c r="OYL71" s="159" t="s">
        <v>42</v>
      </c>
      <c r="OYM71" s="354" t="s">
        <v>150</v>
      </c>
      <c r="OYN71" s="165" t="s">
        <v>124</v>
      </c>
      <c r="OYO71" s="352" t="s">
        <v>164</v>
      </c>
      <c r="OYP71" s="353" t="s">
        <v>121</v>
      </c>
      <c r="OYQ71" s="159" t="s">
        <v>18</v>
      </c>
      <c r="OYR71" s="160">
        <v>8100</v>
      </c>
      <c r="OYS71" s="169">
        <v>85</v>
      </c>
      <c r="OYT71" s="170">
        <v>215</v>
      </c>
      <c r="OYU71" s="170">
        <v>75</v>
      </c>
      <c r="OYV71" s="169">
        <v>150</v>
      </c>
      <c r="OYW71" s="171">
        <f>SUM(OYR71:OYV71)</f>
        <v>8625</v>
      </c>
      <c r="OYX71" s="169">
        <v>200</v>
      </c>
      <c r="OYY71" s="171">
        <f>SUM(OYW71:OYX71)</f>
        <v>8825</v>
      </c>
      <c r="OYZ71" s="163" t="s">
        <v>114</v>
      </c>
      <c r="OZA71" s="164">
        <v>45845</v>
      </c>
      <c r="OZB71" s="159" t="s">
        <v>42</v>
      </c>
      <c r="OZC71" s="354" t="s">
        <v>150</v>
      </c>
      <c r="OZD71" s="165" t="s">
        <v>124</v>
      </c>
      <c r="OZE71" s="352" t="s">
        <v>164</v>
      </c>
      <c r="OZF71" s="353" t="s">
        <v>121</v>
      </c>
      <c r="OZG71" s="159" t="s">
        <v>18</v>
      </c>
      <c r="OZH71" s="160">
        <v>8100</v>
      </c>
      <c r="OZI71" s="169">
        <v>85</v>
      </c>
      <c r="OZJ71" s="170">
        <v>215</v>
      </c>
      <c r="OZK71" s="170">
        <v>75</v>
      </c>
      <c r="OZL71" s="169">
        <v>150</v>
      </c>
      <c r="OZM71" s="171">
        <f>SUM(OZH71:OZL71)</f>
        <v>8625</v>
      </c>
      <c r="OZN71" s="169">
        <v>200</v>
      </c>
      <c r="OZO71" s="171">
        <f>SUM(OZM71:OZN71)</f>
        <v>8825</v>
      </c>
      <c r="OZP71" s="163" t="s">
        <v>114</v>
      </c>
      <c r="OZQ71" s="164">
        <v>45845</v>
      </c>
      <c r="OZR71" s="159" t="s">
        <v>42</v>
      </c>
      <c r="OZS71" s="354" t="s">
        <v>150</v>
      </c>
      <c r="OZT71" s="165" t="s">
        <v>124</v>
      </c>
      <c r="OZU71" s="352" t="s">
        <v>164</v>
      </c>
      <c r="OZV71" s="353" t="s">
        <v>121</v>
      </c>
      <c r="OZW71" s="159" t="s">
        <v>18</v>
      </c>
      <c r="OZX71" s="160">
        <v>8100</v>
      </c>
      <c r="OZY71" s="169">
        <v>85</v>
      </c>
      <c r="OZZ71" s="170">
        <v>215</v>
      </c>
      <c r="PAA71" s="170">
        <v>75</v>
      </c>
      <c r="PAB71" s="169">
        <v>150</v>
      </c>
      <c r="PAC71" s="171">
        <f>SUM(OZX71:PAB71)</f>
        <v>8625</v>
      </c>
      <c r="PAD71" s="169">
        <v>200</v>
      </c>
      <c r="PAE71" s="171">
        <f>SUM(PAC71:PAD71)</f>
        <v>8825</v>
      </c>
      <c r="PAF71" s="163" t="s">
        <v>114</v>
      </c>
      <c r="PAG71" s="164">
        <v>45845</v>
      </c>
      <c r="PAH71" s="159" t="s">
        <v>42</v>
      </c>
      <c r="PAI71" s="354" t="s">
        <v>150</v>
      </c>
      <c r="PAJ71" s="165" t="s">
        <v>124</v>
      </c>
      <c r="PAK71" s="352" t="s">
        <v>164</v>
      </c>
      <c r="PAL71" s="353" t="s">
        <v>121</v>
      </c>
      <c r="PAM71" s="159" t="s">
        <v>18</v>
      </c>
      <c r="PAN71" s="160">
        <v>8100</v>
      </c>
      <c r="PAO71" s="169">
        <v>85</v>
      </c>
      <c r="PAP71" s="170">
        <v>215</v>
      </c>
      <c r="PAQ71" s="170">
        <v>75</v>
      </c>
      <c r="PAR71" s="169">
        <v>150</v>
      </c>
      <c r="PAS71" s="171">
        <f>SUM(PAN71:PAR71)</f>
        <v>8625</v>
      </c>
      <c r="PAT71" s="169">
        <v>200</v>
      </c>
      <c r="PAU71" s="171">
        <f>SUM(PAS71:PAT71)</f>
        <v>8825</v>
      </c>
      <c r="PAV71" s="163" t="s">
        <v>114</v>
      </c>
      <c r="PAW71" s="164">
        <v>45845</v>
      </c>
      <c r="PAX71" s="159" t="s">
        <v>42</v>
      </c>
      <c r="PAY71" s="354" t="s">
        <v>150</v>
      </c>
      <c r="PAZ71" s="165" t="s">
        <v>124</v>
      </c>
      <c r="PBA71" s="352" t="s">
        <v>164</v>
      </c>
      <c r="PBB71" s="353" t="s">
        <v>121</v>
      </c>
      <c r="PBC71" s="159" t="s">
        <v>18</v>
      </c>
      <c r="PBD71" s="160">
        <v>8100</v>
      </c>
      <c r="PBE71" s="169">
        <v>85</v>
      </c>
      <c r="PBF71" s="170">
        <v>215</v>
      </c>
      <c r="PBG71" s="170">
        <v>75</v>
      </c>
      <c r="PBH71" s="169">
        <v>150</v>
      </c>
      <c r="PBI71" s="171">
        <f>SUM(PBD71:PBH71)</f>
        <v>8625</v>
      </c>
      <c r="PBJ71" s="169">
        <v>200</v>
      </c>
      <c r="PBK71" s="171">
        <f>SUM(PBI71:PBJ71)</f>
        <v>8825</v>
      </c>
      <c r="PBL71" s="163" t="s">
        <v>114</v>
      </c>
      <c r="PBM71" s="164">
        <v>45845</v>
      </c>
      <c r="PBN71" s="159" t="s">
        <v>42</v>
      </c>
      <c r="PBO71" s="354" t="s">
        <v>150</v>
      </c>
      <c r="PBP71" s="165" t="s">
        <v>124</v>
      </c>
      <c r="PBQ71" s="352" t="s">
        <v>164</v>
      </c>
      <c r="PBR71" s="353" t="s">
        <v>121</v>
      </c>
      <c r="PBS71" s="159" t="s">
        <v>18</v>
      </c>
      <c r="PBT71" s="160">
        <v>8100</v>
      </c>
      <c r="PBU71" s="169">
        <v>85</v>
      </c>
      <c r="PBV71" s="170">
        <v>215</v>
      </c>
      <c r="PBW71" s="170">
        <v>75</v>
      </c>
      <c r="PBX71" s="169">
        <v>150</v>
      </c>
      <c r="PBY71" s="171">
        <f>SUM(PBT71:PBX71)</f>
        <v>8625</v>
      </c>
      <c r="PBZ71" s="169">
        <v>200</v>
      </c>
      <c r="PCA71" s="171">
        <f>SUM(PBY71:PBZ71)</f>
        <v>8825</v>
      </c>
      <c r="PCB71" s="163" t="s">
        <v>114</v>
      </c>
      <c r="PCC71" s="164">
        <v>45845</v>
      </c>
      <c r="PCD71" s="159" t="s">
        <v>42</v>
      </c>
      <c r="PCE71" s="354" t="s">
        <v>150</v>
      </c>
      <c r="PCF71" s="165" t="s">
        <v>124</v>
      </c>
      <c r="PCG71" s="352" t="s">
        <v>164</v>
      </c>
      <c r="PCH71" s="353" t="s">
        <v>121</v>
      </c>
      <c r="PCI71" s="159" t="s">
        <v>18</v>
      </c>
      <c r="PCJ71" s="160">
        <v>8100</v>
      </c>
      <c r="PCK71" s="169">
        <v>85</v>
      </c>
      <c r="PCL71" s="170">
        <v>215</v>
      </c>
      <c r="PCM71" s="170">
        <v>75</v>
      </c>
      <c r="PCN71" s="169">
        <v>150</v>
      </c>
      <c r="PCO71" s="171">
        <f>SUM(PCJ71:PCN71)</f>
        <v>8625</v>
      </c>
      <c r="PCP71" s="169">
        <v>200</v>
      </c>
      <c r="PCQ71" s="171">
        <f>SUM(PCO71:PCP71)</f>
        <v>8825</v>
      </c>
      <c r="PCR71" s="163" t="s">
        <v>114</v>
      </c>
      <c r="PCS71" s="164">
        <v>45845</v>
      </c>
      <c r="PCT71" s="159" t="s">
        <v>42</v>
      </c>
      <c r="PCU71" s="354" t="s">
        <v>150</v>
      </c>
      <c r="PCV71" s="165" t="s">
        <v>124</v>
      </c>
      <c r="PCW71" s="352" t="s">
        <v>164</v>
      </c>
      <c r="PCX71" s="353" t="s">
        <v>121</v>
      </c>
      <c r="PCY71" s="159" t="s">
        <v>18</v>
      </c>
      <c r="PCZ71" s="160">
        <v>8100</v>
      </c>
      <c r="PDA71" s="169">
        <v>85</v>
      </c>
      <c r="PDB71" s="170">
        <v>215</v>
      </c>
      <c r="PDC71" s="170">
        <v>75</v>
      </c>
      <c r="PDD71" s="169">
        <v>150</v>
      </c>
      <c r="PDE71" s="171">
        <f>SUM(PCZ71:PDD71)</f>
        <v>8625</v>
      </c>
      <c r="PDF71" s="169">
        <v>200</v>
      </c>
      <c r="PDG71" s="171">
        <f>SUM(PDE71:PDF71)</f>
        <v>8825</v>
      </c>
      <c r="PDH71" s="163" t="s">
        <v>114</v>
      </c>
      <c r="PDI71" s="164">
        <v>45845</v>
      </c>
      <c r="PDJ71" s="159" t="s">
        <v>42</v>
      </c>
      <c r="PDK71" s="354" t="s">
        <v>150</v>
      </c>
      <c r="PDL71" s="165" t="s">
        <v>124</v>
      </c>
      <c r="PDM71" s="352" t="s">
        <v>164</v>
      </c>
      <c r="PDN71" s="353" t="s">
        <v>121</v>
      </c>
      <c r="PDO71" s="159" t="s">
        <v>18</v>
      </c>
      <c r="PDP71" s="160">
        <v>8100</v>
      </c>
      <c r="PDQ71" s="169">
        <v>85</v>
      </c>
      <c r="PDR71" s="170">
        <v>215</v>
      </c>
      <c r="PDS71" s="170">
        <v>75</v>
      </c>
      <c r="PDT71" s="169">
        <v>150</v>
      </c>
      <c r="PDU71" s="171">
        <f>SUM(PDP71:PDT71)</f>
        <v>8625</v>
      </c>
      <c r="PDV71" s="169">
        <v>200</v>
      </c>
      <c r="PDW71" s="171">
        <f>SUM(PDU71:PDV71)</f>
        <v>8825</v>
      </c>
      <c r="PDX71" s="163" t="s">
        <v>114</v>
      </c>
      <c r="PDY71" s="164">
        <v>45845</v>
      </c>
      <c r="PDZ71" s="159" t="s">
        <v>42</v>
      </c>
      <c r="PEA71" s="354" t="s">
        <v>150</v>
      </c>
      <c r="PEB71" s="165" t="s">
        <v>124</v>
      </c>
      <c r="PEC71" s="352" t="s">
        <v>164</v>
      </c>
      <c r="PED71" s="353" t="s">
        <v>121</v>
      </c>
      <c r="PEE71" s="159" t="s">
        <v>18</v>
      </c>
      <c r="PEF71" s="160">
        <v>8100</v>
      </c>
      <c r="PEG71" s="169">
        <v>85</v>
      </c>
      <c r="PEH71" s="170">
        <v>215</v>
      </c>
      <c r="PEI71" s="170">
        <v>75</v>
      </c>
      <c r="PEJ71" s="169">
        <v>150</v>
      </c>
      <c r="PEK71" s="171">
        <f>SUM(PEF71:PEJ71)</f>
        <v>8625</v>
      </c>
      <c r="PEL71" s="169">
        <v>200</v>
      </c>
      <c r="PEM71" s="171">
        <f>SUM(PEK71:PEL71)</f>
        <v>8825</v>
      </c>
      <c r="PEN71" s="163" t="s">
        <v>114</v>
      </c>
      <c r="PEO71" s="164">
        <v>45845</v>
      </c>
      <c r="PEP71" s="159" t="s">
        <v>42</v>
      </c>
      <c r="PEQ71" s="354" t="s">
        <v>150</v>
      </c>
      <c r="PER71" s="165" t="s">
        <v>124</v>
      </c>
      <c r="PES71" s="352" t="s">
        <v>164</v>
      </c>
      <c r="PET71" s="353" t="s">
        <v>121</v>
      </c>
      <c r="PEU71" s="159" t="s">
        <v>18</v>
      </c>
      <c r="PEV71" s="160">
        <v>8100</v>
      </c>
      <c r="PEW71" s="169">
        <v>85</v>
      </c>
      <c r="PEX71" s="170">
        <v>215</v>
      </c>
      <c r="PEY71" s="170">
        <v>75</v>
      </c>
      <c r="PEZ71" s="169">
        <v>150</v>
      </c>
      <c r="PFA71" s="171">
        <f>SUM(PEV71:PEZ71)</f>
        <v>8625</v>
      </c>
      <c r="PFB71" s="169">
        <v>200</v>
      </c>
      <c r="PFC71" s="171">
        <f>SUM(PFA71:PFB71)</f>
        <v>8825</v>
      </c>
      <c r="PFD71" s="163" t="s">
        <v>114</v>
      </c>
      <c r="PFE71" s="164">
        <v>45845</v>
      </c>
      <c r="PFF71" s="159" t="s">
        <v>42</v>
      </c>
      <c r="PFG71" s="354" t="s">
        <v>150</v>
      </c>
      <c r="PFH71" s="165" t="s">
        <v>124</v>
      </c>
      <c r="PFI71" s="352" t="s">
        <v>164</v>
      </c>
      <c r="PFJ71" s="353" t="s">
        <v>121</v>
      </c>
      <c r="PFK71" s="159" t="s">
        <v>18</v>
      </c>
      <c r="PFL71" s="160">
        <v>8100</v>
      </c>
      <c r="PFM71" s="169">
        <v>85</v>
      </c>
      <c r="PFN71" s="170">
        <v>215</v>
      </c>
      <c r="PFO71" s="170">
        <v>75</v>
      </c>
      <c r="PFP71" s="169">
        <v>150</v>
      </c>
      <c r="PFQ71" s="171">
        <f>SUM(PFL71:PFP71)</f>
        <v>8625</v>
      </c>
      <c r="PFR71" s="169">
        <v>200</v>
      </c>
      <c r="PFS71" s="171">
        <f>SUM(PFQ71:PFR71)</f>
        <v>8825</v>
      </c>
      <c r="PFT71" s="163" t="s">
        <v>114</v>
      </c>
      <c r="PFU71" s="164">
        <v>45845</v>
      </c>
      <c r="PFV71" s="159" t="s">
        <v>42</v>
      </c>
      <c r="PFW71" s="354" t="s">
        <v>150</v>
      </c>
      <c r="PFX71" s="165" t="s">
        <v>124</v>
      </c>
      <c r="PFY71" s="352" t="s">
        <v>164</v>
      </c>
      <c r="PFZ71" s="353" t="s">
        <v>121</v>
      </c>
      <c r="PGA71" s="159" t="s">
        <v>18</v>
      </c>
      <c r="PGB71" s="160">
        <v>8100</v>
      </c>
      <c r="PGC71" s="169">
        <v>85</v>
      </c>
      <c r="PGD71" s="170">
        <v>215</v>
      </c>
      <c r="PGE71" s="170">
        <v>75</v>
      </c>
      <c r="PGF71" s="169">
        <v>150</v>
      </c>
      <c r="PGG71" s="171">
        <f>SUM(PGB71:PGF71)</f>
        <v>8625</v>
      </c>
      <c r="PGH71" s="169">
        <v>200</v>
      </c>
      <c r="PGI71" s="171">
        <f>SUM(PGG71:PGH71)</f>
        <v>8825</v>
      </c>
      <c r="PGJ71" s="163" t="s">
        <v>114</v>
      </c>
      <c r="PGK71" s="164">
        <v>45845</v>
      </c>
      <c r="PGL71" s="159" t="s">
        <v>42</v>
      </c>
      <c r="PGM71" s="354" t="s">
        <v>150</v>
      </c>
      <c r="PGN71" s="165" t="s">
        <v>124</v>
      </c>
      <c r="PGO71" s="352" t="s">
        <v>164</v>
      </c>
      <c r="PGP71" s="353" t="s">
        <v>121</v>
      </c>
      <c r="PGQ71" s="159" t="s">
        <v>18</v>
      </c>
      <c r="PGR71" s="160">
        <v>8100</v>
      </c>
      <c r="PGS71" s="169">
        <v>85</v>
      </c>
      <c r="PGT71" s="170">
        <v>215</v>
      </c>
      <c r="PGU71" s="170">
        <v>75</v>
      </c>
      <c r="PGV71" s="169">
        <v>150</v>
      </c>
      <c r="PGW71" s="171">
        <f>SUM(PGR71:PGV71)</f>
        <v>8625</v>
      </c>
      <c r="PGX71" s="169">
        <v>200</v>
      </c>
      <c r="PGY71" s="171">
        <f>SUM(PGW71:PGX71)</f>
        <v>8825</v>
      </c>
      <c r="PGZ71" s="163" t="s">
        <v>114</v>
      </c>
      <c r="PHA71" s="164">
        <v>45845</v>
      </c>
      <c r="PHB71" s="159" t="s">
        <v>42</v>
      </c>
      <c r="PHC71" s="354" t="s">
        <v>150</v>
      </c>
      <c r="PHD71" s="165" t="s">
        <v>124</v>
      </c>
      <c r="PHE71" s="352" t="s">
        <v>164</v>
      </c>
      <c r="PHF71" s="353" t="s">
        <v>121</v>
      </c>
      <c r="PHG71" s="159" t="s">
        <v>18</v>
      </c>
      <c r="PHH71" s="160">
        <v>8100</v>
      </c>
      <c r="PHI71" s="169">
        <v>85</v>
      </c>
      <c r="PHJ71" s="170">
        <v>215</v>
      </c>
      <c r="PHK71" s="170">
        <v>75</v>
      </c>
      <c r="PHL71" s="169">
        <v>150</v>
      </c>
      <c r="PHM71" s="171">
        <f>SUM(PHH71:PHL71)</f>
        <v>8625</v>
      </c>
      <c r="PHN71" s="169">
        <v>200</v>
      </c>
      <c r="PHO71" s="171">
        <f>SUM(PHM71:PHN71)</f>
        <v>8825</v>
      </c>
      <c r="PHP71" s="163" t="s">
        <v>114</v>
      </c>
      <c r="PHQ71" s="164">
        <v>45845</v>
      </c>
      <c r="PHR71" s="159" t="s">
        <v>42</v>
      </c>
      <c r="PHS71" s="354" t="s">
        <v>150</v>
      </c>
      <c r="PHT71" s="165" t="s">
        <v>124</v>
      </c>
      <c r="PHU71" s="352" t="s">
        <v>164</v>
      </c>
      <c r="PHV71" s="353" t="s">
        <v>121</v>
      </c>
      <c r="PHW71" s="159" t="s">
        <v>18</v>
      </c>
      <c r="PHX71" s="160">
        <v>8100</v>
      </c>
      <c r="PHY71" s="169">
        <v>85</v>
      </c>
      <c r="PHZ71" s="170">
        <v>215</v>
      </c>
      <c r="PIA71" s="170">
        <v>75</v>
      </c>
      <c r="PIB71" s="169">
        <v>150</v>
      </c>
      <c r="PIC71" s="171">
        <f>SUM(PHX71:PIB71)</f>
        <v>8625</v>
      </c>
      <c r="PID71" s="169">
        <v>200</v>
      </c>
      <c r="PIE71" s="171">
        <f>SUM(PIC71:PID71)</f>
        <v>8825</v>
      </c>
      <c r="PIF71" s="163" t="s">
        <v>114</v>
      </c>
      <c r="PIG71" s="164">
        <v>45845</v>
      </c>
      <c r="PIH71" s="159" t="s">
        <v>42</v>
      </c>
      <c r="PII71" s="354" t="s">
        <v>150</v>
      </c>
      <c r="PIJ71" s="165" t="s">
        <v>124</v>
      </c>
      <c r="PIK71" s="352" t="s">
        <v>164</v>
      </c>
      <c r="PIL71" s="353" t="s">
        <v>121</v>
      </c>
      <c r="PIM71" s="159" t="s">
        <v>18</v>
      </c>
      <c r="PIN71" s="160">
        <v>8100</v>
      </c>
      <c r="PIO71" s="169">
        <v>85</v>
      </c>
      <c r="PIP71" s="170">
        <v>215</v>
      </c>
      <c r="PIQ71" s="170">
        <v>75</v>
      </c>
      <c r="PIR71" s="169">
        <v>150</v>
      </c>
      <c r="PIS71" s="171">
        <f>SUM(PIN71:PIR71)</f>
        <v>8625</v>
      </c>
      <c r="PIT71" s="169">
        <v>200</v>
      </c>
      <c r="PIU71" s="171">
        <f>SUM(PIS71:PIT71)</f>
        <v>8825</v>
      </c>
      <c r="PIV71" s="163" t="s">
        <v>114</v>
      </c>
      <c r="PIW71" s="164">
        <v>45845</v>
      </c>
      <c r="PIX71" s="159" t="s">
        <v>42</v>
      </c>
      <c r="PIY71" s="354" t="s">
        <v>150</v>
      </c>
      <c r="PIZ71" s="165" t="s">
        <v>124</v>
      </c>
      <c r="PJA71" s="352" t="s">
        <v>164</v>
      </c>
      <c r="PJB71" s="353" t="s">
        <v>121</v>
      </c>
      <c r="PJC71" s="159" t="s">
        <v>18</v>
      </c>
      <c r="PJD71" s="160">
        <v>8100</v>
      </c>
      <c r="PJE71" s="169">
        <v>85</v>
      </c>
      <c r="PJF71" s="170">
        <v>215</v>
      </c>
      <c r="PJG71" s="170">
        <v>75</v>
      </c>
      <c r="PJH71" s="169">
        <v>150</v>
      </c>
      <c r="PJI71" s="171">
        <f>SUM(PJD71:PJH71)</f>
        <v>8625</v>
      </c>
      <c r="PJJ71" s="169">
        <v>200</v>
      </c>
      <c r="PJK71" s="171">
        <f>SUM(PJI71:PJJ71)</f>
        <v>8825</v>
      </c>
      <c r="PJL71" s="163" t="s">
        <v>114</v>
      </c>
      <c r="PJM71" s="164">
        <v>45845</v>
      </c>
      <c r="PJN71" s="159" t="s">
        <v>42</v>
      </c>
      <c r="PJO71" s="354" t="s">
        <v>150</v>
      </c>
      <c r="PJP71" s="165" t="s">
        <v>124</v>
      </c>
      <c r="PJQ71" s="352" t="s">
        <v>164</v>
      </c>
      <c r="PJR71" s="353" t="s">
        <v>121</v>
      </c>
      <c r="PJS71" s="159" t="s">
        <v>18</v>
      </c>
      <c r="PJT71" s="160">
        <v>8100</v>
      </c>
      <c r="PJU71" s="169">
        <v>85</v>
      </c>
      <c r="PJV71" s="170">
        <v>215</v>
      </c>
      <c r="PJW71" s="170">
        <v>75</v>
      </c>
      <c r="PJX71" s="169">
        <v>150</v>
      </c>
      <c r="PJY71" s="171">
        <f>SUM(PJT71:PJX71)</f>
        <v>8625</v>
      </c>
      <c r="PJZ71" s="169">
        <v>200</v>
      </c>
      <c r="PKA71" s="171">
        <f>SUM(PJY71:PJZ71)</f>
        <v>8825</v>
      </c>
      <c r="PKB71" s="163" t="s">
        <v>114</v>
      </c>
      <c r="PKC71" s="164">
        <v>45845</v>
      </c>
      <c r="PKD71" s="159" t="s">
        <v>42</v>
      </c>
      <c r="PKE71" s="354" t="s">
        <v>150</v>
      </c>
      <c r="PKF71" s="165" t="s">
        <v>124</v>
      </c>
      <c r="PKG71" s="352" t="s">
        <v>164</v>
      </c>
      <c r="PKH71" s="353" t="s">
        <v>121</v>
      </c>
      <c r="PKI71" s="159" t="s">
        <v>18</v>
      </c>
      <c r="PKJ71" s="160">
        <v>8100</v>
      </c>
      <c r="PKK71" s="169">
        <v>85</v>
      </c>
      <c r="PKL71" s="170">
        <v>215</v>
      </c>
      <c r="PKM71" s="170">
        <v>75</v>
      </c>
      <c r="PKN71" s="169">
        <v>150</v>
      </c>
      <c r="PKO71" s="171">
        <f>SUM(PKJ71:PKN71)</f>
        <v>8625</v>
      </c>
      <c r="PKP71" s="169">
        <v>200</v>
      </c>
      <c r="PKQ71" s="171">
        <f>SUM(PKO71:PKP71)</f>
        <v>8825</v>
      </c>
      <c r="PKR71" s="163" t="s">
        <v>114</v>
      </c>
      <c r="PKS71" s="164">
        <v>45845</v>
      </c>
      <c r="PKT71" s="159" t="s">
        <v>42</v>
      </c>
      <c r="PKU71" s="354" t="s">
        <v>150</v>
      </c>
      <c r="PKV71" s="165" t="s">
        <v>124</v>
      </c>
      <c r="PKW71" s="352" t="s">
        <v>164</v>
      </c>
      <c r="PKX71" s="353" t="s">
        <v>121</v>
      </c>
      <c r="PKY71" s="159" t="s">
        <v>18</v>
      </c>
      <c r="PKZ71" s="160">
        <v>8100</v>
      </c>
      <c r="PLA71" s="169">
        <v>85</v>
      </c>
      <c r="PLB71" s="170">
        <v>215</v>
      </c>
      <c r="PLC71" s="170">
        <v>75</v>
      </c>
      <c r="PLD71" s="169">
        <v>150</v>
      </c>
      <c r="PLE71" s="171">
        <f>SUM(PKZ71:PLD71)</f>
        <v>8625</v>
      </c>
      <c r="PLF71" s="169">
        <v>200</v>
      </c>
      <c r="PLG71" s="171">
        <f>SUM(PLE71:PLF71)</f>
        <v>8825</v>
      </c>
      <c r="PLH71" s="163" t="s">
        <v>114</v>
      </c>
      <c r="PLI71" s="164">
        <v>45845</v>
      </c>
      <c r="PLJ71" s="159" t="s">
        <v>42</v>
      </c>
      <c r="PLK71" s="354" t="s">
        <v>150</v>
      </c>
      <c r="PLL71" s="165" t="s">
        <v>124</v>
      </c>
      <c r="PLM71" s="352" t="s">
        <v>164</v>
      </c>
      <c r="PLN71" s="353" t="s">
        <v>121</v>
      </c>
      <c r="PLO71" s="159" t="s">
        <v>18</v>
      </c>
      <c r="PLP71" s="160">
        <v>8100</v>
      </c>
      <c r="PLQ71" s="169">
        <v>85</v>
      </c>
      <c r="PLR71" s="170">
        <v>215</v>
      </c>
      <c r="PLS71" s="170">
        <v>75</v>
      </c>
      <c r="PLT71" s="169">
        <v>150</v>
      </c>
      <c r="PLU71" s="171">
        <f>SUM(PLP71:PLT71)</f>
        <v>8625</v>
      </c>
      <c r="PLV71" s="169">
        <v>200</v>
      </c>
      <c r="PLW71" s="171">
        <f>SUM(PLU71:PLV71)</f>
        <v>8825</v>
      </c>
      <c r="PLX71" s="163" t="s">
        <v>114</v>
      </c>
      <c r="PLY71" s="164">
        <v>45845</v>
      </c>
      <c r="PLZ71" s="159" t="s">
        <v>42</v>
      </c>
      <c r="PMA71" s="354" t="s">
        <v>150</v>
      </c>
      <c r="PMB71" s="165" t="s">
        <v>124</v>
      </c>
      <c r="PMC71" s="352" t="s">
        <v>164</v>
      </c>
      <c r="PMD71" s="353" t="s">
        <v>121</v>
      </c>
      <c r="PME71" s="159" t="s">
        <v>18</v>
      </c>
      <c r="PMF71" s="160">
        <v>8100</v>
      </c>
      <c r="PMG71" s="169">
        <v>85</v>
      </c>
      <c r="PMH71" s="170">
        <v>215</v>
      </c>
      <c r="PMI71" s="170">
        <v>75</v>
      </c>
      <c r="PMJ71" s="169">
        <v>150</v>
      </c>
      <c r="PMK71" s="171">
        <f>SUM(PMF71:PMJ71)</f>
        <v>8625</v>
      </c>
      <c r="PML71" s="169">
        <v>200</v>
      </c>
      <c r="PMM71" s="171">
        <f>SUM(PMK71:PML71)</f>
        <v>8825</v>
      </c>
      <c r="PMN71" s="163" t="s">
        <v>114</v>
      </c>
      <c r="PMO71" s="164">
        <v>45845</v>
      </c>
      <c r="PMP71" s="159" t="s">
        <v>42</v>
      </c>
      <c r="PMQ71" s="354" t="s">
        <v>150</v>
      </c>
      <c r="PMR71" s="165" t="s">
        <v>124</v>
      </c>
      <c r="PMS71" s="352" t="s">
        <v>164</v>
      </c>
      <c r="PMT71" s="353" t="s">
        <v>121</v>
      </c>
      <c r="PMU71" s="159" t="s">
        <v>18</v>
      </c>
      <c r="PMV71" s="160">
        <v>8100</v>
      </c>
      <c r="PMW71" s="169">
        <v>85</v>
      </c>
      <c r="PMX71" s="170">
        <v>215</v>
      </c>
      <c r="PMY71" s="170">
        <v>75</v>
      </c>
      <c r="PMZ71" s="169">
        <v>150</v>
      </c>
      <c r="PNA71" s="171">
        <f>SUM(PMV71:PMZ71)</f>
        <v>8625</v>
      </c>
      <c r="PNB71" s="169">
        <v>200</v>
      </c>
      <c r="PNC71" s="171">
        <f>SUM(PNA71:PNB71)</f>
        <v>8825</v>
      </c>
      <c r="PND71" s="163" t="s">
        <v>114</v>
      </c>
      <c r="PNE71" s="164">
        <v>45845</v>
      </c>
      <c r="PNF71" s="159" t="s">
        <v>42</v>
      </c>
      <c r="PNG71" s="354" t="s">
        <v>150</v>
      </c>
      <c r="PNH71" s="165" t="s">
        <v>124</v>
      </c>
      <c r="PNI71" s="352" t="s">
        <v>164</v>
      </c>
      <c r="PNJ71" s="353" t="s">
        <v>121</v>
      </c>
      <c r="PNK71" s="159" t="s">
        <v>18</v>
      </c>
      <c r="PNL71" s="160">
        <v>8100</v>
      </c>
      <c r="PNM71" s="169">
        <v>85</v>
      </c>
      <c r="PNN71" s="170">
        <v>215</v>
      </c>
      <c r="PNO71" s="170">
        <v>75</v>
      </c>
      <c r="PNP71" s="169">
        <v>150</v>
      </c>
      <c r="PNQ71" s="171">
        <f>SUM(PNL71:PNP71)</f>
        <v>8625</v>
      </c>
      <c r="PNR71" s="169">
        <v>200</v>
      </c>
      <c r="PNS71" s="171">
        <f>SUM(PNQ71:PNR71)</f>
        <v>8825</v>
      </c>
      <c r="PNT71" s="163" t="s">
        <v>114</v>
      </c>
      <c r="PNU71" s="164">
        <v>45845</v>
      </c>
      <c r="PNV71" s="159" t="s">
        <v>42</v>
      </c>
      <c r="PNW71" s="354" t="s">
        <v>150</v>
      </c>
      <c r="PNX71" s="165" t="s">
        <v>124</v>
      </c>
      <c r="PNY71" s="352" t="s">
        <v>164</v>
      </c>
      <c r="PNZ71" s="353" t="s">
        <v>121</v>
      </c>
      <c r="POA71" s="159" t="s">
        <v>18</v>
      </c>
      <c r="POB71" s="160">
        <v>8100</v>
      </c>
      <c r="POC71" s="169">
        <v>85</v>
      </c>
      <c r="POD71" s="170">
        <v>215</v>
      </c>
      <c r="POE71" s="170">
        <v>75</v>
      </c>
      <c r="POF71" s="169">
        <v>150</v>
      </c>
      <c r="POG71" s="171">
        <f>SUM(POB71:POF71)</f>
        <v>8625</v>
      </c>
      <c r="POH71" s="169">
        <v>200</v>
      </c>
      <c r="POI71" s="171">
        <f>SUM(POG71:POH71)</f>
        <v>8825</v>
      </c>
      <c r="POJ71" s="163" t="s">
        <v>114</v>
      </c>
      <c r="POK71" s="164">
        <v>45845</v>
      </c>
      <c r="POL71" s="159" t="s">
        <v>42</v>
      </c>
      <c r="POM71" s="354" t="s">
        <v>150</v>
      </c>
      <c r="PON71" s="165" t="s">
        <v>124</v>
      </c>
      <c r="POO71" s="352" t="s">
        <v>164</v>
      </c>
      <c r="POP71" s="353" t="s">
        <v>121</v>
      </c>
      <c r="POQ71" s="159" t="s">
        <v>18</v>
      </c>
      <c r="POR71" s="160">
        <v>8100</v>
      </c>
      <c r="POS71" s="169">
        <v>85</v>
      </c>
      <c r="POT71" s="170">
        <v>215</v>
      </c>
      <c r="POU71" s="170">
        <v>75</v>
      </c>
      <c r="POV71" s="169">
        <v>150</v>
      </c>
      <c r="POW71" s="171">
        <f>SUM(POR71:POV71)</f>
        <v>8625</v>
      </c>
      <c r="POX71" s="169">
        <v>200</v>
      </c>
      <c r="POY71" s="171">
        <f>SUM(POW71:POX71)</f>
        <v>8825</v>
      </c>
      <c r="POZ71" s="163" t="s">
        <v>114</v>
      </c>
      <c r="PPA71" s="164">
        <v>45845</v>
      </c>
      <c r="PPB71" s="159" t="s">
        <v>42</v>
      </c>
      <c r="PPC71" s="354" t="s">
        <v>150</v>
      </c>
      <c r="PPD71" s="165" t="s">
        <v>124</v>
      </c>
      <c r="PPE71" s="352" t="s">
        <v>164</v>
      </c>
      <c r="PPF71" s="353" t="s">
        <v>121</v>
      </c>
      <c r="PPG71" s="159" t="s">
        <v>18</v>
      </c>
      <c r="PPH71" s="160">
        <v>8100</v>
      </c>
      <c r="PPI71" s="169">
        <v>85</v>
      </c>
      <c r="PPJ71" s="170">
        <v>215</v>
      </c>
      <c r="PPK71" s="170">
        <v>75</v>
      </c>
      <c r="PPL71" s="169">
        <v>150</v>
      </c>
      <c r="PPM71" s="171">
        <f>SUM(PPH71:PPL71)</f>
        <v>8625</v>
      </c>
      <c r="PPN71" s="169">
        <v>200</v>
      </c>
      <c r="PPO71" s="171">
        <f>SUM(PPM71:PPN71)</f>
        <v>8825</v>
      </c>
      <c r="PPP71" s="163" t="s">
        <v>114</v>
      </c>
      <c r="PPQ71" s="164">
        <v>45845</v>
      </c>
      <c r="PPR71" s="159" t="s">
        <v>42</v>
      </c>
      <c r="PPS71" s="354" t="s">
        <v>150</v>
      </c>
      <c r="PPT71" s="165" t="s">
        <v>124</v>
      </c>
      <c r="PPU71" s="352" t="s">
        <v>164</v>
      </c>
      <c r="PPV71" s="353" t="s">
        <v>121</v>
      </c>
      <c r="PPW71" s="159" t="s">
        <v>18</v>
      </c>
      <c r="PPX71" s="160">
        <v>8100</v>
      </c>
      <c r="PPY71" s="169">
        <v>85</v>
      </c>
      <c r="PPZ71" s="170">
        <v>215</v>
      </c>
      <c r="PQA71" s="170">
        <v>75</v>
      </c>
      <c r="PQB71" s="169">
        <v>150</v>
      </c>
      <c r="PQC71" s="171">
        <f>SUM(PPX71:PQB71)</f>
        <v>8625</v>
      </c>
      <c r="PQD71" s="169">
        <v>200</v>
      </c>
      <c r="PQE71" s="171">
        <f>SUM(PQC71:PQD71)</f>
        <v>8825</v>
      </c>
      <c r="PQF71" s="163" t="s">
        <v>114</v>
      </c>
      <c r="PQG71" s="164">
        <v>45845</v>
      </c>
      <c r="PQH71" s="159" t="s">
        <v>42</v>
      </c>
      <c r="PQI71" s="354" t="s">
        <v>150</v>
      </c>
      <c r="PQJ71" s="165" t="s">
        <v>124</v>
      </c>
      <c r="PQK71" s="352" t="s">
        <v>164</v>
      </c>
      <c r="PQL71" s="353" t="s">
        <v>121</v>
      </c>
      <c r="PQM71" s="159" t="s">
        <v>18</v>
      </c>
      <c r="PQN71" s="160">
        <v>8100</v>
      </c>
      <c r="PQO71" s="169">
        <v>85</v>
      </c>
      <c r="PQP71" s="170">
        <v>215</v>
      </c>
      <c r="PQQ71" s="170">
        <v>75</v>
      </c>
      <c r="PQR71" s="169">
        <v>150</v>
      </c>
      <c r="PQS71" s="171">
        <f>SUM(PQN71:PQR71)</f>
        <v>8625</v>
      </c>
      <c r="PQT71" s="169">
        <v>200</v>
      </c>
      <c r="PQU71" s="171">
        <f>SUM(PQS71:PQT71)</f>
        <v>8825</v>
      </c>
      <c r="PQV71" s="163" t="s">
        <v>114</v>
      </c>
      <c r="PQW71" s="164">
        <v>45845</v>
      </c>
      <c r="PQX71" s="159" t="s">
        <v>42</v>
      </c>
      <c r="PQY71" s="354" t="s">
        <v>150</v>
      </c>
      <c r="PQZ71" s="165" t="s">
        <v>124</v>
      </c>
      <c r="PRA71" s="352" t="s">
        <v>164</v>
      </c>
      <c r="PRB71" s="353" t="s">
        <v>121</v>
      </c>
      <c r="PRC71" s="159" t="s">
        <v>18</v>
      </c>
      <c r="PRD71" s="160">
        <v>8100</v>
      </c>
      <c r="PRE71" s="169">
        <v>85</v>
      </c>
      <c r="PRF71" s="170">
        <v>215</v>
      </c>
      <c r="PRG71" s="170">
        <v>75</v>
      </c>
      <c r="PRH71" s="169">
        <v>150</v>
      </c>
      <c r="PRI71" s="171">
        <f>SUM(PRD71:PRH71)</f>
        <v>8625</v>
      </c>
      <c r="PRJ71" s="169">
        <v>200</v>
      </c>
      <c r="PRK71" s="171">
        <f>SUM(PRI71:PRJ71)</f>
        <v>8825</v>
      </c>
      <c r="PRL71" s="163" t="s">
        <v>114</v>
      </c>
      <c r="PRM71" s="164">
        <v>45845</v>
      </c>
      <c r="PRN71" s="159" t="s">
        <v>42</v>
      </c>
      <c r="PRO71" s="354" t="s">
        <v>150</v>
      </c>
      <c r="PRP71" s="165" t="s">
        <v>124</v>
      </c>
      <c r="PRQ71" s="352" t="s">
        <v>164</v>
      </c>
      <c r="PRR71" s="353" t="s">
        <v>121</v>
      </c>
      <c r="PRS71" s="159" t="s">
        <v>18</v>
      </c>
      <c r="PRT71" s="160">
        <v>8100</v>
      </c>
      <c r="PRU71" s="169">
        <v>85</v>
      </c>
      <c r="PRV71" s="170">
        <v>215</v>
      </c>
      <c r="PRW71" s="170">
        <v>75</v>
      </c>
      <c r="PRX71" s="169">
        <v>150</v>
      </c>
      <c r="PRY71" s="171">
        <f>SUM(PRT71:PRX71)</f>
        <v>8625</v>
      </c>
      <c r="PRZ71" s="169">
        <v>200</v>
      </c>
      <c r="PSA71" s="171">
        <f>SUM(PRY71:PRZ71)</f>
        <v>8825</v>
      </c>
      <c r="PSB71" s="163" t="s">
        <v>114</v>
      </c>
      <c r="PSC71" s="164">
        <v>45845</v>
      </c>
      <c r="PSD71" s="159" t="s">
        <v>42</v>
      </c>
      <c r="PSE71" s="354" t="s">
        <v>150</v>
      </c>
      <c r="PSF71" s="165" t="s">
        <v>124</v>
      </c>
      <c r="PSG71" s="352" t="s">
        <v>164</v>
      </c>
      <c r="PSH71" s="353" t="s">
        <v>121</v>
      </c>
      <c r="PSI71" s="159" t="s">
        <v>18</v>
      </c>
      <c r="PSJ71" s="160">
        <v>8100</v>
      </c>
      <c r="PSK71" s="169">
        <v>85</v>
      </c>
      <c r="PSL71" s="170">
        <v>215</v>
      </c>
      <c r="PSM71" s="170">
        <v>75</v>
      </c>
      <c r="PSN71" s="169">
        <v>150</v>
      </c>
      <c r="PSO71" s="171">
        <f>SUM(PSJ71:PSN71)</f>
        <v>8625</v>
      </c>
      <c r="PSP71" s="169">
        <v>200</v>
      </c>
      <c r="PSQ71" s="171">
        <f>SUM(PSO71:PSP71)</f>
        <v>8825</v>
      </c>
      <c r="PSR71" s="163" t="s">
        <v>114</v>
      </c>
      <c r="PSS71" s="164">
        <v>45845</v>
      </c>
      <c r="PST71" s="159" t="s">
        <v>42</v>
      </c>
      <c r="PSU71" s="354" t="s">
        <v>150</v>
      </c>
      <c r="PSV71" s="165" t="s">
        <v>124</v>
      </c>
      <c r="PSW71" s="352" t="s">
        <v>164</v>
      </c>
      <c r="PSX71" s="353" t="s">
        <v>121</v>
      </c>
      <c r="PSY71" s="159" t="s">
        <v>18</v>
      </c>
      <c r="PSZ71" s="160">
        <v>8100</v>
      </c>
      <c r="PTA71" s="169">
        <v>85</v>
      </c>
      <c r="PTB71" s="170">
        <v>215</v>
      </c>
      <c r="PTC71" s="170">
        <v>75</v>
      </c>
      <c r="PTD71" s="169">
        <v>150</v>
      </c>
      <c r="PTE71" s="171">
        <f>SUM(PSZ71:PTD71)</f>
        <v>8625</v>
      </c>
      <c r="PTF71" s="169">
        <v>200</v>
      </c>
      <c r="PTG71" s="171">
        <f>SUM(PTE71:PTF71)</f>
        <v>8825</v>
      </c>
      <c r="PTH71" s="163" t="s">
        <v>114</v>
      </c>
      <c r="PTI71" s="164">
        <v>45845</v>
      </c>
      <c r="PTJ71" s="159" t="s">
        <v>42</v>
      </c>
      <c r="PTK71" s="354" t="s">
        <v>150</v>
      </c>
      <c r="PTL71" s="165" t="s">
        <v>124</v>
      </c>
      <c r="PTM71" s="352" t="s">
        <v>164</v>
      </c>
      <c r="PTN71" s="353" t="s">
        <v>121</v>
      </c>
      <c r="PTO71" s="159" t="s">
        <v>18</v>
      </c>
      <c r="PTP71" s="160">
        <v>8100</v>
      </c>
      <c r="PTQ71" s="169">
        <v>85</v>
      </c>
      <c r="PTR71" s="170">
        <v>215</v>
      </c>
      <c r="PTS71" s="170">
        <v>75</v>
      </c>
      <c r="PTT71" s="169">
        <v>150</v>
      </c>
      <c r="PTU71" s="171">
        <f>SUM(PTP71:PTT71)</f>
        <v>8625</v>
      </c>
      <c r="PTV71" s="169">
        <v>200</v>
      </c>
      <c r="PTW71" s="171">
        <f>SUM(PTU71:PTV71)</f>
        <v>8825</v>
      </c>
      <c r="PTX71" s="163" t="s">
        <v>114</v>
      </c>
      <c r="PTY71" s="164">
        <v>45845</v>
      </c>
      <c r="PTZ71" s="159" t="s">
        <v>42</v>
      </c>
      <c r="PUA71" s="354" t="s">
        <v>150</v>
      </c>
      <c r="PUB71" s="165" t="s">
        <v>124</v>
      </c>
      <c r="PUC71" s="352" t="s">
        <v>164</v>
      </c>
      <c r="PUD71" s="353" t="s">
        <v>121</v>
      </c>
      <c r="PUE71" s="159" t="s">
        <v>18</v>
      </c>
      <c r="PUF71" s="160">
        <v>8100</v>
      </c>
      <c r="PUG71" s="169">
        <v>85</v>
      </c>
      <c r="PUH71" s="170">
        <v>215</v>
      </c>
      <c r="PUI71" s="170">
        <v>75</v>
      </c>
      <c r="PUJ71" s="169">
        <v>150</v>
      </c>
      <c r="PUK71" s="171">
        <f>SUM(PUF71:PUJ71)</f>
        <v>8625</v>
      </c>
      <c r="PUL71" s="169">
        <v>200</v>
      </c>
      <c r="PUM71" s="171">
        <f>SUM(PUK71:PUL71)</f>
        <v>8825</v>
      </c>
      <c r="PUN71" s="163" t="s">
        <v>114</v>
      </c>
      <c r="PUO71" s="164">
        <v>45845</v>
      </c>
      <c r="PUP71" s="159" t="s">
        <v>42</v>
      </c>
      <c r="PUQ71" s="354" t="s">
        <v>150</v>
      </c>
      <c r="PUR71" s="165" t="s">
        <v>124</v>
      </c>
      <c r="PUS71" s="352" t="s">
        <v>164</v>
      </c>
      <c r="PUT71" s="353" t="s">
        <v>121</v>
      </c>
      <c r="PUU71" s="159" t="s">
        <v>18</v>
      </c>
      <c r="PUV71" s="160">
        <v>8100</v>
      </c>
      <c r="PUW71" s="169">
        <v>85</v>
      </c>
      <c r="PUX71" s="170">
        <v>215</v>
      </c>
      <c r="PUY71" s="170">
        <v>75</v>
      </c>
      <c r="PUZ71" s="169">
        <v>150</v>
      </c>
      <c r="PVA71" s="171">
        <f>SUM(PUV71:PUZ71)</f>
        <v>8625</v>
      </c>
      <c r="PVB71" s="169">
        <v>200</v>
      </c>
      <c r="PVC71" s="171">
        <f>SUM(PVA71:PVB71)</f>
        <v>8825</v>
      </c>
      <c r="PVD71" s="163" t="s">
        <v>114</v>
      </c>
      <c r="PVE71" s="164">
        <v>45845</v>
      </c>
      <c r="PVF71" s="159" t="s">
        <v>42</v>
      </c>
      <c r="PVG71" s="354" t="s">
        <v>150</v>
      </c>
      <c r="PVH71" s="165" t="s">
        <v>124</v>
      </c>
      <c r="PVI71" s="352" t="s">
        <v>164</v>
      </c>
      <c r="PVJ71" s="353" t="s">
        <v>121</v>
      </c>
      <c r="PVK71" s="159" t="s">
        <v>18</v>
      </c>
      <c r="PVL71" s="160">
        <v>8100</v>
      </c>
      <c r="PVM71" s="169">
        <v>85</v>
      </c>
      <c r="PVN71" s="170">
        <v>215</v>
      </c>
      <c r="PVO71" s="170">
        <v>75</v>
      </c>
      <c r="PVP71" s="169">
        <v>150</v>
      </c>
      <c r="PVQ71" s="171">
        <f>SUM(PVL71:PVP71)</f>
        <v>8625</v>
      </c>
      <c r="PVR71" s="169">
        <v>200</v>
      </c>
      <c r="PVS71" s="171">
        <f>SUM(PVQ71:PVR71)</f>
        <v>8825</v>
      </c>
      <c r="PVT71" s="163" t="s">
        <v>114</v>
      </c>
      <c r="PVU71" s="164">
        <v>45845</v>
      </c>
      <c r="PVV71" s="159" t="s">
        <v>42</v>
      </c>
      <c r="PVW71" s="354" t="s">
        <v>150</v>
      </c>
      <c r="PVX71" s="165" t="s">
        <v>124</v>
      </c>
      <c r="PVY71" s="352" t="s">
        <v>164</v>
      </c>
      <c r="PVZ71" s="353" t="s">
        <v>121</v>
      </c>
      <c r="PWA71" s="159" t="s">
        <v>18</v>
      </c>
      <c r="PWB71" s="160">
        <v>8100</v>
      </c>
      <c r="PWC71" s="169">
        <v>85</v>
      </c>
      <c r="PWD71" s="170">
        <v>215</v>
      </c>
      <c r="PWE71" s="170">
        <v>75</v>
      </c>
      <c r="PWF71" s="169">
        <v>150</v>
      </c>
      <c r="PWG71" s="171">
        <f>SUM(PWB71:PWF71)</f>
        <v>8625</v>
      </c>
      <c r="PWH71" s="169">
        <v>200</v>
      </c>
      <c r="PWI71" s="171">
        <f>SUM(PWG71:PWH71)</f>
        <v>8825</v>
      </c>
      <c r="PWJ71" s="163" t="s">
        <v>114</v>
      </c>
      <c r="PWK71" s="164">
        <v>45845</v>
      </c>
      <c r="PWL71" s="159" t="s">
        <v>42</v>
      </c>
      <c r="PWM71" s="354" t="s">
        <v>150</v>
      </c>
      <c r="PWN71" s="165" t="s">
        <v>124</v>
      </c>
      <c r="PWO71" s="352" t="s">
        <v>164</v>
      </c>
      <c r="PWP71" s="353" t="s">
        <v>121</v>
      </c>
      <c r="PWQ71" s="159" t="s">
        <v>18</v>
      </c>
      <c r="PWR71" s="160">
        <v>8100</v>
      </c>
      <c r="PWS71" s="169">
        <v>85</v>
      </c>
      <c r="PWT71" s="170">
        <v>215</v>
      </c>
      <c r="PWU71" s="170">
        <v>75</v>
      </c>
      <c r="PWV71" s="169">
        <v>150</v>
      </c>
      <c r="PWW71" s="171">
        <f>SUM(PWR71:PWV71)</f>
        <v>8625</v>
      </c>
      <c r="PWX71" s="169">
        <v>200</v>
      </c>
      <c r="PWY71" s="171">
        <f>SUM(PWW71:PWX71)</f>
        <v>8825</v>
      </c>
      <c r="PWZ71" s="163" t="s">
        <v>114</v>
      </c>
      <c r="PXA71" s="164">
        <v>45845</v>
      </c>
      <c r="PXB71" s="159" t="s">
        <v>42</v>
      </c>
      <c r="PXC71" s="354" t="s">
        <v>150</v>
      </c>
      <c r="PXD71" s="165" t="s">
        <v>124</v>
      </c>
      <c r="PXE71" s="352" t="s">
        <v>164</v>
      </c>
      <c r="PXF71" s="353" t="s">
        <v>121</v>
      </c>
      <c r="PXG71" s="159" t="s">
        <v>18</v>
      </c>
      <c r="PXH71" s="160">
        <v>8100</v>
      </c>
      <c r="PXI71" s="169">
        <v>85</v>
      </c>
      <c r="PXJ71" s="170">
        <v>215</v>
      </c>
      <c r="PXK71" s="170">
        <v>75</v>
      </c>
      <c r="PXL71" s="169">
        <v>150</v>
      </c>
      <c r="PXM71" s="171">
        <f>SUM(PXH71:PXL71)</f>
        <v>8625</v>
      </c>
      <c r="PXN71" s="169">
        <v>200</v>
      </c>
      <c r="PXO71" s="171">
        <f>SUM(PXM71:PXN71)</f>
        <v>8825</v>
      </c>
      <c r="PXP71" s="163" t="s">
        <v>114</v>
      </c>
      <c r="PXQ71" s="164">
        <v>45845</v>
      </c>
      <c r="PXR71" s="159" t="s">
        <v>42</v>
      </c>
      <c r="PXS71" s="354" t="s">
        <v>150</v>
      </c>
      <c r="PXT71" s="165" t="s">
        <v>124</v>
      </c>
      <c r="PXU71" s="352" t="s">
        <v>164</v>
      </c>
      <c r="PXV71" s="353" t="s">
        <v>121</v>
      </c>
      <c r="PXW71" s="159" t="s">
        <v>18</v>
      </c>
      <c r="PXX71" s="160">
        <v>8100</v>
      </c>
      <c r="PXY71" s="169">
        <v>85</v>
      </c>
      <c r="PXZ71" s="170">
        <v>215</v>
      </c>
      <c r="PYA71" s="170">
        <v>75</v>
      </c>
      <c r="PYB71" s="169">
        <v>150</v>
      </c>
      <c r="PYC71" s="171">
        <f>SUM(PXX71:PYB71)</f>
        <v>8625</v>
      </c>
      <c r="PYD71" s="169">
        <v>200</v>
      </c>
      <c r="PYE71" s="171">
        <f>SUM(PYC71:PYD71)</f>
        <v>8825</v>
      </c>
      <c r="PYF71" s="163" t="s">
        <v>114</v>
      </c>
      <c r="PYG71" s="164">
        <v>45845</v>
      </c>
      <c r="PYH71" s="159" t="s">
        <v>42</v>
      </c>
      <c r="PYI71" s="354" t="s">
        <v>150</v>
      </c>
      <c r="PYJ71" s="165" t="s">
        <v>124</v>
      </c>
      <c r="PYK71" s="352" t="s">
        <v>164</v>
      </c>
      <c r="PYL71" s="353" t="s">
        <v>121</v>
      </c>
      <c r="PYM71" s="159" t="s">
        <v>18</v>
      </c>
      <c r="PYN71" s="160">
        <v>8100</v>
      </c>
      <c r="PYO71" s="169">
        <v>85</v>
      </c>
      <c r="PYP71" s="170">
        <v>215</v>
      </c>
      <c r="PYQ71" s="170">
        <v>75</v>
      </c>
      <c r="PYR71" s="169">
        <v>150</v>
      </c>
      <c r="PYS71" s="171">
        <f>SUM(PYN71:PYR71)</f>
        <v>8625</v>
      </c>
      <c r="PYT71" s="169">
        <v>200</v>
      </c>
      <c r="PYU71" s="171">
        <f>SUM(PYS71:PYT71)</f>
        <v>8825</v>
      </c>
      <c r="PYV71" s="163" t="s">
        <v>114</v>
      </c>
      <c r="PYW71" s="164">
        <v>45845</v>
      </c>
      <c r="PYX71" s="159" t="s">
        <v>42</v>
      </c>
      <c r="PYY71" s="354" t="s">
        <v>150</v>
      </c>
      <c r="PYZ71" s="165" t="s">
        <v>124</v>
      </c>
      <c r="PZA71" s="352" t="s">
        <v>164</v>
      </c>
      <c r="PZB71" s="353" t="s">
        <v>121</v>
      </c>
      <c r="PZC71" s="159" t="s">
        <v>18</v>
      </c>
      <c r="PZD71" s="160">
        <v>8100</v>
      </c>
      <c r="PZE71" s="169">
        <v>85</v>
      </c>
      <c r="PZF71" s="170">
        <v>215</v>
      </c>
      <c r="PZG71" s="170">
        <v>75</v>
      </c>
      <c r="PZH71" s="169">
        <v>150</v>
      </c>
      <c r="PZI71" s="171">
        <f>SUM(PZD71:PZH71)</f>
        <v>8625</v>
      </c>
      <c r="PZJ71" s="169">
        <v>200</v>
      </c>
      <c r="PZK71" s="171">
        <f>SUM(PZI71:PZJ71)</f>
        <v>8825</v>
      </c>
      <c r="PZL71" s="163" t="s">
        <v>114</v>
      </c>
      <c r="PZM71" s="164">
        <v>45845</v>
      </c>
      <c r="PZN71" s="159" t="s">
        <v>42</v>
      </c>
      <c r="PZO71" s="354" t="s">
        <v>150</v>
      </c>
      <c r="PZP71" s="165" t="s">
        <v>124</v>
      </c>
      <c r="PZQ71" s="352" t="s">
        <v>164</v>
      </c>
      <c r="PZR71" s="353" t="s">
        <v>121</v>
      </c>
      <c r="PZS71" s="159" t="s">
        <v>18</v>
      </c>
      <c r="PZT71" s="160">
        <v>8100</v>
      </c>
      <c r="PZU71" s="169">
        <v>85</v>
      </c>
      <c r="PZV71" s="170">
        <v>215</v>
      </c>
      <c r="PZW71" s="170">
        <v>75</v>
      </c>
      <c r="PZX71" s="169">
        <v>150</v>
      </c>
      <c r="PZY71" s="171">
        <f>SUM(PZT71:PZX71)</f>
        <v>8625</v>
      </c>
      <c r="PZZ71" s="169">
        <v>200</v>
      </c>
      <c r="QAA71" s="171">
        <f>SUM(PZY71:PZZ71)</f>
        <v>8825</v>
      </c>
      <c r="QAB71" s="163" t="s">
        <v>114</v>
      </c>
      <c r="QAC71" s="164">
        <v>45845</v>
      </c>
      <c r="QAD71" s="159" t="s">
        <v>42</v>
      </c>
      <c r="QAE71" s="354" t="s">
        <v>150</v>
      </c>
      <c r="QAF71" s="165" t="s">
        <v>124</v>
      </c>
      <c r="QAG71" s="352" t="s">
        <v>164</v>
      </c>
      <c r="QAH71" s="353" t="s">
        <v>121</v>
      </c>
      <c r="QAI71" s="159" t="s">
        <v>18</v>
      </c>
      <c r="QAJ71" s="160">
        <v>8100</v>
      </c>
      <c r="QAK71" s="169">
        <v>85</v>
      </c>
      <c r="QAL71" s="170">
        <v>215</v>
      </c>
      <c r="QAM71" s="170">
        <v>75</v>
      </c>
      <c r="QAN71" s="169">
        <v>150</v>
      </c>
      <c r="QAO71" s="171">
        <f>SUM(QAJ71:QAN71)</f>
        <v>8625</v>
      </c>
      <c r="QAP71" s="169">
        <v>200</v>
      </c>
      <c r="QAQ71" s="171">
        <f>SUM(QAO71:QAP71)</f>
        <v>8825</v>
      </c>
      <c r="QAR71" s="163" t="s">
        <v>114</v>
      </c>
      <c r="QAS71" s="164">
        <v>45845</v>
      </c>
      <c r="QAT71" s="159" t="s">
        <v>42</v>
      </c>
      <c r="QAU71" s="354" t="s">
        <v>150</v>
      </c>
      <c r="QAV71" s="165" t="s">
        <v>124</v>
      </c>
      <c r="QAW71" s="352" t="s">
        <v>164</v>
      </c>
      <c r="QAX71" s="353" t="s">
        <v>121</v>
      </c>
      <c r="QAY71" s="159" t="s">
        <v>18</v>
      </c>
      <c r="QAZ71" s="160">
        <v>8100</v>
      </c>
      <c r="QBA71" s="169">
        <v>85</v>
      </c>
      <c r="QBB71" s="170">
        <v>215</v>
      </c>
      <c r="QBC71" s="170">
        <v>75</v>
      </c>
      <c r="QBD71" s="169">
        <v>150</v>
      </c>
      <c r="QBE71" s="171">
        <f>SUM(QAZ71:QBD71)</f>
        <v>8625</v>
      </c>
      <c r="QBF71" s="169">
        <v>200</v>
      </c>
      <c r="QBG71" s="171">
        <f>SUM(QBE71:QBF71)</f>
        <v>8825</v>
      </c>
      <c r="QBH71" s="163" t="s">
        <v>114</v>
      </c>
      <c r="QBI71" s="164">
        <v>45845</v>
      </c>
      <c r="QBJ71" s="159" t="s">
        <v>42</v>
      </c>
      <c r="QBK71" s="354" t="s">
        <v>150</v>
      </c>
      <c r="QBL71" s="165" t="s">
        <v>124</v>
      </c>
      <c r="QBM71" s="352" t="s">
        <v>164</v>
      </c>
      <c r="QBN71" s="353" t="s">
        <v>121</v>
      </c>
      <c r="QBO71" s="159" t="s">
        <v>18</v>
      </c>
      <c r="QBP71" s="160">
        <v>8100</v>
      </c>
      <c r="QBQ71" s="169">
        <v>85</v>
      </c>
      <c r="QBR71" s="170">
        <v>215</v>
      </c>
      <c r="QBS71" s="170">
        <v>75</v>
      </c>
      <c r="QBT71" s="169">
        <v>150</v>
      </c>
      <c r="QBU71" s="171">
        <f>SUM(QBP71:QBT71)</f>
        <v>8625</v>
      </c>
      <c r="QBV71" s="169">
        <v>200</v>
      </c>
      <c r="QBW71" s="171">
        <f>SUM(QBU71:QBV71)</f>
        <v>8825</v>
      </c>
      <c r="QBX71" s="163" t="s">
        <v>114</v>
      </c>
      <c r="QBY71" s="164">
        <v>45845</v>
      </c>
      <c r="QBZ71" s="159" t="s">
        <v>42</v>
      </c>
      <c r="QCA71" s="354" t="s">
        <v>150</v>
      </c>
      <c r="QCB71" s="165" t="s">
        <v>124</v>
      </c>
      <c r="QCC71" s="352" t="s">
        <v>164</v>
      </c>
      <c r="QCD71" s="353" t="s">
        <v>121</v>
      </c>
      <c r="QCE71" s="159" t="s">
        <v>18</v>
      </c>
      <c r="QCF71" s="160">
        <v>8100</v>
      </c>
      <c r="QCG71" s="169">
        <v>85</v>
      </c>
      <c r="QCH71" s="170">
        <v>215</v>
      </c>
      <c r="QCI71" s="170">
        <v>75</v>
      </c>
      <c r="QCJ71" s="169">
        <v>150</v>
      </c>
      <c r="QCK71" s="171">
        <f>SUM(QCF71:QCJ71)</f>
        <v>8625</v>
      </c>
      <c r="QCL71" s="169">
        <v>200</v>
      </c>
      <c r="QCM71" s="171">
        <f>SUM(QCK71:QCL71)</f>
        <v>8825</v>
      </c>
      <c r="QCN71" s="163" t="s">
        <v>114</v>
      </c>
      <c r="QCO71" s="164">
        <v>45845</v>
      </c>
      <c r="QCP71" s="159" t="s">
        <v>42</v>
      </c>
      <c r="QCQ71" s="354" t="s">
        <v>150</v>
      </c>
      <c r="QCR71" s="165" t="s">
        <v>124</v>
      </c>
      <c r="QCS71" s="352" t="s">
        <v>164</v>
      </c>
      <c r="QCT71" s="353" t="s">
        <v>121</v>
      </c>
      <c r="QCU71" s="159" t="s">
        <v>18</v>
      </c>
      <c r="QCV71" s="160">
        <v>8100</v>
      </c>
      <c r="QCW71" s="169">
        <v>85</v>
      </c>
      <c r="QCX71" s="170">
        <v>215</v>
      </c>
      <c r="QCY71" s="170">
        <v>75</v>
      </c>
      <c r="QCZ71" s="169">
        <v>150</v>
      </c>
      <c r="QDA71" s="171">
        <f>SUM(QCV71:QCZ71)</f>
        <v>8625</v>
      </c>
      <c r="QDB71" s="169">
        <v>200</v>
      </c>
      <c r="QDC71" s="171">
        <f>SUM(QDA71:QDB71)</f>
        <v>8825</v>
      </c>
      <c r="QDD71" s="163" t="s">
        <v>114</v>
      </c>
      <c r="QDE71" s="164">
        <v>45845</v>
      </c>
      <c r="QDF71" s="159" t="s">
        <v>42</v>
      </c>
      <c r="QDG71" s="354" t="s">
        <v>150</v>
      </c>
      <c r="QDH71" s="165" t="s">
        <v>124</v>
      </c>
      <c r="QDI71" s="352" t="s">
        <v>164</v>
      </c>
      <c r="QDJ71" s="353" t="s">
        <v>121</v>
      </c>
      <c r="QDK71" s="159" t="s">
        <v>18</v>
      </c>
      <c r="QDL71" s="160">
        <v>8100</v>
      </c>
      <c r="QDM71" s="169">
        <v>85</v>
      </c>
      <c r="QDN71" s="170">
        <v>215</v>
      </c>
      <c r="QDO71" s="170">
        <v>75</v>
      </c>
      <c r="QDP71" s="169">
        <v>150</v>
      </c>
      <c r="QDQ71" s="171">
        <f>SUM(QDL71:QDP71)</f>
        <v>8625</v>
      </c>
      <c r="QDR71" s="169">
        <v>200</v>
      </c>
      <c r="QDS71" s="171">
        <f>SUM(QDQ71:QDR71)</f>
        <v>8825</v>
      </c>
      <c r="QDT71" s="163" t="s">
        <v>114</v>
      </c>
      <c r="QDU71" s="164">
        <v>45845</v>
      </c>
      <c r="QDV71" s="159" t="s">
        <v>42</v>
      </c>
      <c r="QDW71" s="354" t="s">
        <v>150</v>
      </c>
      <c r="QDX71" s="165" t="s">
        <v>124</v>
      </c>
      <c r="QDY71" s="352" t="s">
        <v>164</v>
      </c>
      <c r="QDZ71" s="353" t="s">
        <v>121</v>
      </c>
      <c r="QEA71" s="159" t="s">
        <v>18</v>
      </c>
      <c r="QEB71" s="160">
        <v>8100</v>
      </c>
      <c r="QEC71" s="169">
        <v>85</v>
      </c>
      <c r="QED71" s="170">
        <v>215</v>
      </c>
      <c r="QEE71" s="170">
        <v>75</v>
      </c>
      <c r="QEF71" s="169">
        <v>150</v>
      </c>
      <c r="QEG71" s="171">
        <f>SUM(QEB71:QEF71)</f>
        <v>8625</v>
      </c>
      <c r="QEH71" s="169">
        <v>200</v>
      </c>
      <c r="QEI71" s="171">
        <f>SUM(QEG71:QEH71)</f>
        <v>8825</v>
      </c>
      <c r="QEJ71" s="163" t="s">
        <v>114</v>
      </c>
      <c r="QEK71" s="164">
        <v>45845</v>
      </c>
      <c r="QEL71" s="159" t="s">
        <v>42</v>
      </c>
      <c r="QEM71" s="354" t="s">
        <v>150</v>
      </c>
      <c r="QEN71" s="165" t="s">
        <v>124</v>
      </c>
      <c r="QEO71" s="352" t="s">
        <v>164</v>
      </c>
      <c r="QEP71" s="353" t="s">
        <v>121</v>
      </c>
      <c r="QEQ71" s="159" t="s">
        <v>18</v>
      </c>
      <c r="QER71" s="160">
        <v>8100</v>
      </c>
      <c r="QES71" s="169">
        <v>85</v>
      </c>
      <c r="QET71" s="170">
        <v>215</v>
      </c>
      <c r="QEU71" s="170">
        <v>75</v>
      </c>
      <c r="QEV71" s="169">
        <v>150</v>
      </c>
      <c r="QEW71" s="171">
        <f>SUM(QER71:QEV71)</f>
        <v>8625</v>
      </c>
      <c r="QEX71" s="169">
        <v>200</v>
      </c>
      <c r="QEY71" s="171">
        <f>SUM(QEW71:QEX71)</f>
        <v>8825</v>
      </c>
      <c r="QEZ71" s="163" t="s">
        <v>114</v>
      </c>
      <c r="QFA71" s="164">
        <v>45845</v>
      </c>
      <c r="QFB71" s="159" t="s">
        <v>42</v>
      </c>
      <c r="QFC71" s="354" t="s">
        <v>150</v>
      </c>
      <c r="QFD71" s="165" t="s">
        <v>124</v>
      </c>
      <c r="QFE71" s="352" t="s">
        <v>164</v>
      </c>
      <c r="QFF71" s="353" t="s">
        <v>121</v>
      </c>
      <c r="QFG71" s="159" t="s">
        <v>18</v>
      </c>
      <c r="QFH71" s="160">
        <v>8100</v>
      </c>
      <c r="QFI71" s="169">
        <v>85</v>
      </c>
      <c r="QFJ71" s="170">
        <v>215</v>
      </c>
      <c r="QFK71" s="170">
        <v>75</v>
      </c>
      <c r="QFL71" s="169">
        <v>150</v>
      </c>
      <c r="QFM71" s="171">
        <f>SUM(QFH71:QFL71)</f>
        <v>8625</v>
      </c>
      <c r="QFN71" s="169">
        <v>200</v>
      </c>
      <c r="QFO71" s="171">
        <f>SUM(QFM71:QFN71)</f>
        <v>8825</v>
      </c>
      <c r="QFP71" s="163" t="s">
        <v>114</v>
      </c>
      <c r="QFQ71" s="164">
        <v>45845</v>
      </c>
      <c r="QFR71" s="159" t="s">
        <v>42</v>
      </c>
      <c r="QFS71" s="354" t="s">
        <v>150</v>
      </c>
      <c r="QFT71" s="165" t="s">
        <v>124</v>
      </c>
      <c r="QFU71" s="352" t="s">
        <v>164</v>
      </c>
      <c r="QFV71" s="353" t="s">
        <v>121</v>
      </c>
      <c r="QFW71" s="159" t="s">
        <v>18</v>
      </c>
      <c r="QFX71" s="160">
        <v>8100</v>
      </c>
      <c r="QFY71" s="169">
        <v>85</v>
      </c>
      <c r="QFZ71" s="170">
        <v>215</v>
      </c>
      <c r="QGA71" s="170">
        <v>75</v>
      </c>
      <c r="QGB71" s="169">
        <v>150</v>
      </c>
      <c r="QGC71" s="171">
        <f>SUM(QFX71:QGB71)</f>
        <v>8625</v>
      </c>
      <c r="QGD71" s="169">
        <v>200</v>
      </c>
      <c r="QGE71" s="171">
        <f>SUM(QGC71:QGD71)</f>
        <v>8825</v>
      </c>
      <c r="QGF71" s="163" t="s">
        <v>114</v>
      </c>
      <c r="QGG71" s="164">
        <v>45845</v>
      </c>
      <c r="QGH71" s="159" t="s">
        <v>42</v>
      </c>
      <c r="QGI71" s="354" t="s">
        <v>150</v>
      </c>
      <c r="QGJ71" s="165" t="s">
        <v>124</v>
      </c>
      <c r="QGK71" s="352" t="s">
        <v>164</v>
      </c>
      <c r="QGL71" s="353" t="s">
        <v>121</v>
      </c>
      <c r="QGM71" s="159" t="s">
        <v>18</v>
      </c>
      <c r="QGN71" s="160">
        <v>8100</v>
      </c>
      <c r="QGO71" s="169">
        <v>85</v>
      </c>
      <c r="QGP71" s="170">
        <v>215</v>
      </c>
      <c r="QGQ71" s="170">
        <v>75</v>
      </c>
      <c r="QGR71" s="169">
        <v>150</v>
      </c>
      <c r="QGS71" s="171">
        <f>SUM(QGN71:QGR71)</f>
        <v>8625</v>
      </c>
      <c r="QGT71" s="169">
        <v>200</v>
      </c>
      <c r="QGU71" s="171">
        <f>SUM(QGS71:QGT71)</f>
        <v>8825</v>
      </c>
      <c r="QGV71" s="163" t="s">
        <v>114</v>
      </c>
      <c r="QGW71" s="164">
        <v>45845</v>
      </c>
      <c r="QGX71" s="159" t="s">
        <v>42</v>
      </c>
      <c r="QGY71" s="354" t="s">
        <v>150</v>
      </c>
      <c r="QGZ71" s="165" t="s">
        <v>124</v>
      </c>
      <c r="QHA71" s="352" t="s">
        <v>164</v>
      </c>
      <c r="QHB71" s="353" t="s">
        <v>121</v>
      </c>
      <c r="QHC71" s="159" t="s">
        <v>18</v>
      </c>
      <c r="QHD71" s="160">
        <v>8100</v>
      </c>
      <c r="QHE71" s="169">
        <v>85</v>
      </c>
      <c r="QHF71" s="170">
        <v>215</v>
      </c>
      <c r="QHG71" s="170">
        <v>75</v>
      </c>
      <c r="QHH71" s="169">
        <v>150</v>
      </c>
      <c r="QHI71" s="171">
        <f>SUM(QHD71:QHH71)</f>
        <v>8625</v>
      </c>
      <c r="QHJ71" s="169">
        <v>200</v>
      </c>
      <c r="QHK71" s="171">
        <f>SUM(QHI71:QHJ71)</f>
        <v>8825</v>
      </c>
      <c r="QHL71" s="163" t="s">
        <v>114</v>
      </c>
      <c r="QHM71" s="164">
        <v>45845</v>
      </c>
      <c r="QHN71" s="159" t="s">
        <v>42</v>
      </c>
      <c r="QHO71" s="354" t="s">
        <v>150</v>
      </c>
      <c r="QHP71" s="165" t="s">
        <v>124</v>
      </c>
      <c r="QHQ71" s="352" t="s">
        <v>164</v>
      </c>
      <c r="QHR71" s="353" t="s">
        <v>121</v>
      </c>
      <c r="QHS71" s="159" t="s">
        <v>18</v>
      </c>
      <c r="QHT71" s="160">
        <v>8100</v>
      </c>
      <c r="QHU71" s="169">
        <v>85</v>
      </c>
      <c r="QHV71" s="170">
        <v>215</v>
      </c>
      <c r="QHW71" s="170">
        <v>75</v>
      </c>
      <c r="QHX71" s="169">
        <v>150</v>
      </c>
      <c r="QHY71" s="171">
        <f>SUM(QHT71:QHX71)</f>
        <v>8625</v>
      </c>
      <c r="QHZ71" s="169">
        <v>200</v>
      </c>
      <c r="QIA71" s="171">
        <f>SUM(QHY71:QHZ71)</f>
        <v>8825</v>
      </c>
      <c r="QIB71" s="163" t="s">
        <v>114</v>
      </c>
      <c r="QIC71" s="164">
        <v>45845</v>
      </c>
      <c r="QID71" s="159" t="s">
        <v>42</v>
      </c>
      <c r="QIE71" s="354" t="s">
        <v>150</v>
      </c>
      <c r="QIF71" s="165" t="s">
        <v>124</v>
      </c>
      <c r="QIG71" s="352" t="s">
        <v>164</v>
      </c>
      <c r="QIH71" s="353" t="s">
        <v>121</v>
      </c>
      <c r="QII71" s="159" t="s">
        <v>18</v>
      </c>
      <c r="QIJ71" s="160">
        <v>8100</v>
      </c>
      <c r="QIK71" s="169">
        <v>85</v>
      </c>
      <c r="QIL71" s="170">
        <v>215</v>
      </c>
      <c r="QIM71" s="170">
        <v>75</v>
      </c>
      <c r="QIN71" s="169">
        <v>150</v>
      </c>
      <c r="QIO71" s="171">
        <f>SUM(QIJ71:QIN71)</f>
        <v>8625</v>
      </c>
      <c r="QIP71" s="169">
        <v>200</v>
      </c>
      <c r="QIQ71" s="171">
        <f>SUM(QIO71:QIP71)</f>
        <v>8825</v>
      </c>
      <c r="QIR71" s="163" t="s">
        <v>114</v>
      </c>
      <c r="QIS71" s="164">
        <v>45845</v>
      </c>
      <c r="QIT71" s="159" t="s">
        <v>42</v>
      </c>
      <c r="QIU71" s="354" t="s">
        <v>150</v>
      </c>
      <c r="QIV71" s="165" t="s">
        <v>124</v>
      </c>
      <c r="QIW71" s="352" t="s">
        <v>164</v>
      </c>
      <c r="QIX71" s="353" t="s">
        <v>121</v>
      </c>
      <c r="QIY71" s="159" t="s">
        <v>18</v>
      </c>
      <c r="QIZ71" s="160">
        <v>8100</v>
      </c>
      <c r="QJA71" s="169">
        <v>85</v>
      </c>
      <c r="QJB71" s="170">
        <v>215</v>
      </c>
      <c r="QJC71" s="170">
        <v>75</v>
      </c>
      <c r="QJD71" s="169">
        <v>150</v>
      </c>
      <c r="QJE71" s="171">
        <f>SUM(QIZ71:QJD71)</f>
        <v>8625</v>
      </c>
      <c r="QJF71" s="169">
        <v>200</v>
      </c>
      <c r="QJG71" s="171">
        <f>SUM(QJE71:QJF71)</f>
        <v>8825</v>
      </c>
      <c r="QJH71" s="163" t="s">
        <v>114</v>
      </c>
      <c r="QJI71" s="164">
        <v>45845</v>
      </c>
      <c r="QJJ71" s="159" t="s">
        <v>42</v>
      </c>
      <c r="QJK71" s="354" t="s">
        <v>150</v>
      </c>
      <c r="QJL71" s="165" t="s">
        <v>124</v>
      </c>
      <c r="QJM71" s="352" t="s">
        <v>164</v>
      </c>
      <c r="QJN71" s="353" t="s">
        <v>121</v>
      </c>
      <c r="QJO71" s="159" t="s">
        <v>18</v>
      </c>
      <c r="QJP71" s="160">
        <v>8100</v>
      </c>
      <c r="QJQ71" s="169">
        <v>85</v>
      </c>
      <c r="QJR71" s="170">
        <v>215</v>
      </c>
      <c r="QJS71" s="170">
        <v>75</v>
      </c>
      <c r="QJT71" s="169">
        <v>150</v>
      </c>
      <c r="QJU71" s="171">
        <f>SUM(QJP71:QJT71)</f>
        <v>8625</v>
      </c>
      <c r="QJV71" s="169">
        <v>200</v>
      </c>
      <c r="QJW71" s="171">
        <f>SUM(QJU71:QJV71)</f>
        <v>8825</v>
      </c>
      <c r="QJX71" s="163" t="s">
        <v>114</v>
      </c>
      <c r="QJY71" s="164">
        <v>45845</v>
      </c>
      <c r="QJZ71" s="159" t="s">
        <v>42</v>
      </c>
      <c r="QKA71" s="354" t="s">
        <v>150</v>
      </c>
      <c r="QKB71" s="165" t="s">
        <v>124</v>
      </c>
      <c r="QKC71" s="352" t="s">
        <v>164</v>
      </c>
      <c r="QKD71" s="353" t="s">
        <v>121</v>
      </c>
      <c r="QKE71" s="159" t="s">
        <v>18</v>
      </c>
      <c r="QKF71" s="160">
        <v>8100</v>
      </c>
      <c r="QKG71" s="169">
        <v>85</v>
      </c>
      <c r="QKH71" s="170">
        <v>215</v>
      </c>
      <c r="QKI71" s="170">
        <v>75</v>
      </c>
      <c r="QKJ71" s="169">
        <v>150</v>
      </c>
      <c r="QKK71" s="171">
        <f>SUM(QKF71:QKJ71)</f>
        <v>8625</v>
      </c>
      <c r="QKL71" s="169">
        <v>200</v>
      </c>
      <c r="QKM71" s="171">
        <f>SUM(QKK71:QKL71)</f>
        <v>8825</v>
      </c>
      <c r="QKN71" s="163" t="s">
        <v>114</v>
      </c>
      <c r="QKO71" s="164">
        <v>45845</v>
      </c>
      <c r="QKP71" s="159" t="s">
        <v>42</v>
      </c>
      <c r="QKQ71" s="354" t="s">
        <v>150</v>
      </c>
      <c r="QKR71" s="165" t="s">
        <v>124</v>
      </c>
      <c r="QKS71" s="352" t="s">
        <v>164</v>
      </c>
      <c r="QKT71" s="353" t="s">
        <v>121</v>
      </c>
      <c r="QKU71" s="159" t="s">
        <v>18</v>
      </c>
      <c r="QKV71" s="160">
        <v>8100</v>
      </c>
      <c r="QKW71" s="169">
        <v>85</v>
      </c>
      <c r="QKX71" s="170">
        <v>215</v>
      </c>
      <c r="QKY71" s="170">
        <v>75</v>
      </c>
      <c r="QKZ71" s="169">
        <v>150</v>
      </c>
      <c r="QLA71" s="171">
        <f>SUM(QKV71:QKZ71)</f>
        <v>8625</v>
      </c>
      <c r="QLB71" s="169">
        <v>200</v>
      </c>
      <c r="QLC71" s="171">
        <f>SUM(QLA71:QLB71)</f>
        <v>8825</v>
      </c>
      <c r="QLD71" s="163" t="s">
        <v>114</v>
      </c>
      <c r="QLE71" s="164">
        <v>45845</v>
      </c>
      <c r="QLF71" s="159" t="s">
        <v>42</v>
      </c>
      <c r="QLG71" s="354" t="s">
        <v>150</v>
      </c>
      <c r="QLH71" s="165" t="s">
        <v>124</v>
      </c>
      <c r="QLI71" s="352" t="s">
        <v>164</v>
      </c>
      <c r="QLJ71" s="353" t="s">
        <v>121</v>
      </c>
      <c r="QLK71" s="159" t="s">
        <v>18</v>
      </c>
      <c r="QLL71" s="160">
        <v>8100</v>
      </c>
      <c r="QLM71" s="169">
        <v>85</v>
      </c>
      <c r="QLN71" s="170">
        <v>215</v>
      </c>
      <c r="QLO71" s="170">
        <v>75</v>
      </c>
      <c r="QLP71" s="169">
        <v>150</v>
      </c>
      <c r="QLQ71" s="171">
        <f>SUM(QLL71:QLP71)</f>
        <v>8625</v>
      </c>
      <c r="QLR71" s="169">
        <v>200</v>
      </c>
      <c r="QLS71" s="171">
        <f>SUM(QLQ71:QLR71)</f>
        <v>8825</v>
      </c>
      <c r="QLT71" s="163" t="s">
        <v>114</v>
      </c>
      <c r="QLU71" s="164">
        <v>45845</v>
      </c>
      <c r="QLV71" s="159" t="s">
        <v>42</v>
      </c>
      <c r="QLW71" s="354" t="s">
        <v>150</v>
      </c>
      <c r="QLX71" s="165" t="s">
        <v>124</v>
      </c>
      <c r="QLY71" s="352" t="s">
        <v>164</v>
      </c>
      <c r="QLZ71" s="353" t="s">
        <v>121</v>
      </c>
      <c r="QMA71" s="159" t="s">
        <v>18</v>
      </c>
      <c r="QMB71" s="160">
        <v>8100</v>
      </c>
      <c r="QMC71" s="169">
        <v>85</v>
      </c>
      <c r="QMD71" s="170">
        <v>215</v>
      </c>
      <c r="QME71" s="170">
        <v>75</v>
      </c>
      <c r="QMF71" s="169">
        <v>150</v>
      </c>
      <c r="QMG71" s="171">
        <f>SUM(QMB71:QMF71)</f>
        <v>8625</v>
      </c>
      <c r="QMH71" s="169">
        <v>200</v>
      </c>
      <c r="QMI71" s="171">
        <f>SUM(QMG71:QMH71)</f>
        <v>8825</v>
      </c>
      <c r="QMJ71" s="163" t="s">
        <v>114</v>
      </c>
      <c r="QMK71" s="164">
        <v>45845</v>
      </c>
      <c r="QML71" s="159" t="s">
        <v>42</v>
      </c>
      <c r="QMM71" s="354" t="s">
        <v>150</v>
      </c>
      <c r="QMN71" s="165" t="s">
        <v>124</v>
      </c>
      <c r="QMO71" s="352" t="s">
        <v>164</v>
      </c>
      <c r="QMP71" s="353" t="s">
        <v>121</v>
      </c>
      <c r="QMQ71" s="159" t="s">
        <v>18</v>
      </c>
      <c r="QMR71" s="160">
        <v>8100</v>
      </c>
      <c r="QMS71" s="169">
        <v>85</v>
      </c>
      <c r="QMT71" s="170">
        <v>215</v>
      </c>
      <c r="QMU71" s="170">
        <v>75</v>
      </c>
      <c r="QMV71" s="169">
        <v>150</v>
      </c>
      <c r="QMW71" s="171">
        <f>SUM(QMR71:QMV71)</f>
        <v>8625</v>
      </c>
      <c r="QMX71" s="169">
        <v>200</v>
      </c>
      <c r="QMY71" s="171">
        <f>SUM(QMW71:QMX71)</f>
        <v>8825</v>
      </c>
      <c r="QMZ71" s="163" t="s">
        <v>114</v>
      </c>
      <c r="QNA71" s="164">
        <v>45845</v>
      </c>
      <c r="QNB71" s="159" t="s">
        <v>42</v>
      </c>
      <c r="QNC71" s="354" t="s">
        <v>150</v>
      </c>
      <c r="QND71" s="165" t="s">
        <v>124</v>
      </c>
      <c r="QNE71" s="352" t="s">
        <v>164</v>
      </c>
      <c r="QNF71" s="353" t="s">
        <v>121</v>
      </c>
      <c r="QNG71" s="159" t="s">
        <v>18</v>
      </c>
      <c r="QNH71" s="160">
        <v>8100</v>
      </c>
      <c r="QNI71" s="169">
        <v>85</v>
      </c>
      <c r="QNJ71" s="170">
        <v>215</v>
      </c>
      <c r="QNK71" s="170">
        <v>75</v>
      </c>
      <c r="QNL71" s="169">
        <v>150</v>
      </c>
      <c r="QNM71" s="171">
        <f>SUM(QNH71:QNL71)</f>
        <v>8625</v>
      </c>
      <c r="QNN71" s="169">
        <v>200</v>
      </c>
      <c r="QNO71" s="171">
        <f>SUM(QNM71:QNN71)</f>
        <v>8825</v>
      </c>
      <c r="QNP71" s="163" t="s">
        <v>114</v>
      </c>
      <c r="QNQ71" s="164">
        <v>45845</v>
      </c>
      <c r="QNR71" s="159" t="s">
        <v>42</v>
      </c>
      <c r="QNS71" s="354" t="s">
        <v>150</v>
      </c>
      <c r="QNT71" s="165" t="s">
        <v>124</v>
      </c>
      <c r="QNU71" s="352" t="s">
        <v>164</v>
      </c>
      <c r="QNV71" s="353" t="s">
        <v>121</v>
      </c>
      <c r="QNW71" s="159" t="s">
        <v>18</v>
      </c>
      <c r="QNX71" s="160">
        <v>8100</v>
      </c>
      <c r="QNY71" s="169">
        <v>85</v>
      </c>
      <c r="QNZ71" s="170">
        <v>215</v>
      </c>
      <c r="QOA71" s="170">
        <v>75</v>
      </c>
      <c r="QOB71" s="169">
        <v>150</v>
      </c>
      <c r="QOC71" s="171">
        <f>SUM(QNX71:QOB71)</f>
        <v>8625</v>
      </c>
      <c r="QOD71" s="169">
        <v>200</v>
      </c>
      <c r="QOE71" s="171">
        <f>SUM(QOC71:QOD71)</f>
        <v>8825</v>
      </c>
      <c r="QOF71" s="163" t="s">
        <v>114</v>
      </c>
      <c r="QOG71" s="164">
        <v>45845</v>
      </c>
      <c r="QOH71" s="159" t="s">
        <v>42</v>
      </c>
      <c r="QOI71" s="354" t="s">
        <v>150</v>
      </c>
      <c r="QOJ71" s="165" t="s">
        <v>124</v>
      </c>
      <c r="QOK71" s="352" t="s">
        <v>164</v>
      </c>
      <c r="QOL71" s="353" t="s">
        <v>121</v>
      </c>
      <c r="QOM71" s="159" t="s">
        <v>18</v>
      </c>
      <c r="QON71" s="160">
        <v>8100</v>
      </c>
      <c r="QOO71" s="169">
        <v>85</v>
      </c>
      <c r="QOP71" s="170">
        <v>215</v>
      </c>
      <c r="QOQ71" s="170">
        <v>75</v>
      </c>
      <c r="QOR71" s="169">
        <v>150</v>
      </c>
      <c r="QOS71" s="171">
        <f>SUM(QON71:QOR71)</f>
        <v>8625</v>
      </c>
      <c r="QOT71" s="169">
        <v>200</v>
      </c>
      <c r="QOU71" s="171">
        <f>SUM(QOS71:QOT71)</f>
        <v>8825</v>
      </c>
      <c r="QOV71" s="163" t="s">
        <v>114</v>
      </c>
      <c r="QOW71" s="164">
        <v>45845</v>
      </c>
      <c r="QOX71" s="159" t="s">
        <v>42</v>
      </c>
      <c r="QOY71" s="354" t="s">
        <v>150</v>
      </c>
      <c r="QOZ71" s="165" t="s">
        <v>124</v>
      </c>
      <c r="QPA71" s="352" t="s">
        <v>164</v>
      </c>
      <c r="QPB71" s="353" t="s">
        <v>121</v>
      </c>
      <c r="QPC71" s="159" t="s">
        <v>18</v>
      </c>
      <c r="QPD71" s="160">
        <v>8100</v>
      </c>
      <c r="QPE71" s="169">
        <v>85</v>
      </c>
      <c r="QPF71" s="170">
        <v>215</v>
      </c>
      <c r="QPG71" s="170">
        <v>75</v>
      </c>
      <c r="QPH71" s="169">
        <v>150</v>
      </c>
      <c r="QPI71" s="171">
        <f>SUM(QPD71:QPH71)</f>
        <v>8625</v>
      </c>
      <c r="QPJ71" s="169">
        <v>200</v>
      </c>
      <c r="QPK71" s="171">
        <f>SUM(QPI71:QPJ71)</f>
        <v>8825</v>
      </c>
      <c r="QPL71" s="163" t="s">
        <v>114</v>
      </c>
      <c r="QPM71" s="164">
        <v>45845</v>
      </c>
      <c r="QPN71" s="159" t="s">
        <v>42</v>
      </c>
      <c r="QPO71" s="354" t="s">
        <v>150</v>
      </c>
      <c r="QPP71" s="165" t="s">
        <v>124</v>
      </c>
      <c r="QPQ71" s="352" t="s">
        <v>164</v>
      </c>
      <c r="QPR71" s="353" t="s">
        <v>121</v>
      </c>
      <c r="QPS71" s="159" t="s">
        <v>18</v>
      </c>
      <c r="QPT71" s="160">
        <v>8100</v>
      </c>
      <c r="QPU71" s="169">
        <v>85</v>
      </c>
      <c r="QPV71" s="170">
        <v>215</v>
      </c>
      <c r="QPW71" s="170">
        <v>75</v>
      </c>
      <c r="QPX71" s="169">
        <v>150</v>
      </c>
      <c r="QPY71" s="171">
        <f>SUM(QPT71:QPX71)</f>
        <v>8625</v>
      </c>
      <c r="QPZ71" s="169">
        <v>200</v>
      </c>
      <c r="QQA71" s="171">
        <f>SUM(QPY71:QPZ71)</f>
        <v>8825</v>
      </c>
      <c r="QQB71" s="163" t="s">
        <v>114</v>
      </c>
      <c r="QQC71" s="164">
        <v>45845</v>
      </c>
      <c r="QQD71" s="159" t="s">
        <v>42</v>
      </c>
      <c r="QQE71" s="354" t="s">
        <v>150</v>
      </c>
      <c r="QQF71" s="165" t="s">
        <v>124</v>
      </c>
      <c r="QQG71" s="352" t="s">
        <v>164</v>
      </c>
      <c r="QQH71" s="353" t="s">
        <v>121</v>
      </c>
      <c r="QQI71" s="159" t="s">
        <v>18</v>
      </c>
      <c r="QQJ71" s="160">
        <v>8100</v>
      </c>
      <c r="QQK71" s="169">
        <v>85</v>
      </c>
      <c r="QQL71" s="170">
        <v>215</v>
      </c>
      <c r="QQM71" s="170">
        <v>75</v>
      </c>
      <c r="QQN71" s="169">
        <v>150</v>
      </c>
      <c r="QQO71" s="171">
        <f>SUM(QQJ71:QQN71)</f>
        <v>8625</v>
      </c>
      <c r="QQP71" s="169">
        <v>200</v>
      </c>
      <c r="QQQ71" s="171">
        <f>SUM(QQO71:QQP71)</f>
        <v>8825</v>
      </c>
      <c r="QQR71" s="163" t="s">
        <v>114</v>
      </c>
      <c r="QQS71" s="164">
        <v>45845</v>
      </c>
      <c r="QQT71" s="159" t="s">
        <v>42</v>
      </c>
      <c r="QQU71" s="354" t="s">
        <v>150</v>
      </c>
      <c r="QQV71" s="165" t="s">
        <v>124</v>
      </c>
      <c r="QQW71" s="352" t="s">
        <v>164</v>
      </c>
      <c r="QQX71" s="353" t="s">
        <v>121</v>
      </c>
      <c r="QQY71" s="159" t="s">
        <v>18</v>
      </c>
      <c r="QQZ71" s="160">
        <v>8100</v>
      </c>
      <c r="QRA71" s="169">
        <v>85</v>
      </c>
      <c r="QRB71" s="170">
        <v>215</v>
      </c>
      <c r="QRC71" s="170">
        <v>75</v>
      </c>
      <c r="QRD71" s="169">
        <v>150</v>
      </c>
      <c r="QRE71" s="171">
        <f>SUM(QQZ71:QRD71)</f>
        <v>8625</v>
      </c>
      <c r="QRF71" s="169">
        <v>200</v>
      </c>
      <c r="QRG71" s="171">
        <f>SUM(QRE71:QRF71)</f>
        <v>8825</v>
      </c>
      <c r="QRH71" s="163" t="s">
        <v>114</v>
      </c>
      <c r="QRI71" s="164">
        <v>45845</v>
      </c>
      <c r="QRJ71" s="159" t="s">
        <v>42</v>
      </c>
      <c r="QRK71" s="354" t="s">
        <v>150</v>
      </c>
      <c r="QRL71" s="165" t="s">
        <v>124</v>
      </c>
      <c r="QRM71" s="352" t="s">
        <v>164</v>
      </c>
      <c r="QRN71" s="353" t="s">
        <v>121</v>
      </c>
      <c r="QRO71" s="159" t="s">
        <v>18</v>
      </c>
      <c r="QRP71" s="160">
        <v>8100</v>
      </c>
      <c r="QRQ71" s="169">
        <v>85</v>
      </c>
      <c r="QRR71" s="170">
        <v>215</v>
      </c>
      <c r="QRS71" s="170">
        <v>75</v>
      </c>
      <c r="QRT71" s="169">
        <v>150</v>
      </c>
      <c r="QRU71" s="171">
        <f>SUM(QRP71:QRT71)</f>
        <v>8625</v>
      </c>
      <c r="QRV71" s="169">
        <v>200</v>
      </c>
      <c r="QRW71" s="171">
        <f>SUM(QRU71:QRV71)</f>
        <v>8825</v>
      </c>
      <c r="QRX71" s="163" t="s">
        <v>114</v>
      </c>
      <c r="QRY71" s="164">
        <v>45845</v>
      </c>
      <c r="QRZ71" s="159" t="s">
        <v>42</v>
      </c>
      <c r="QSA71" s="354" t="s">
        <v>150</v>
      </c>
      <c r="QSB71" s="165" t="s">
        <v>124</v>
      </c>
      <c r="QSC71" s="352" t="s">
        <v>164</v>
      </c>
      <c r="QSD71" s="353" t="s">
        <v>121</v>
      </c>
      <c r="QSE71" s="159" t="s">
        <v>18</v>
      </c>
      <c r="QSF71" s="160">
        <v>8100</v>
      </c>
      <c r="QSG71" s="169">
        <v>85</v>
      </c>
      <c r="QSH71" s="170">
        <v>215</v>
      </c>
      <c r="QSI71" s="170">
        <v>75</v>
      </c>
      <c r="QSJ71" s="169">
        <v>150</v>
      </c>
      <c r="QSK71" s="171">
        <f>SUM(QSF71:QSJ71)</f>
        <v>8625</v>
      </c>
      <c r="QSL71" s="169">
        <v>200</v>
      </c>
      <c r="QSM71" s="171">
        <f>SUM(QSK71:QSL71)</f>
        <v>8825</v>
      </c>
      <c r="QSN71" s="163" t="s">
        <v>114</v>
      </c>
      <c r="QSO71" s="164">
        <v>45845</v>
      </c>
      <c r="QSP71" s="159" t="s">
        <v>42</v>
      </c>
      <c r="QSQ71" s="354" t="s">
        <v>150</v>
      </c>
      <c r="QSR71" s="165" t="s">
        <v>124</v>
      </c>
      <c r="QSS71" s="352" t="s">
        <v>164</v>
      </c>
      <c r="QST71" s="353" t="s">
        <v>121</v>
      </c>
      <c r="QSU71" s="159" t="s">
        <v>18</v>
      </c>
      <c r="QSV71" s="160">
        <v>8100</v>
      </c>
      <c r="QSW71" s="169">
        <v>85</v>
      </c>
      <c r="QSX71" s="170">
        <v>215</v>
      </c>
      <c r="QSY71" s="170">
        <v>75</v>
      </c>
      <c r="QSZ71" s="169">
        <v>150</v>
      </c>
      <c r="QTA71" s="171">
        <f>SUM(QSV71:QSZ71)</f>
        <v>8625</v>
      </c>
      <c r="QTB71" s="169">
        <v>200</v>
      </c>
      <c r="QTC71" s="171">
        <f>SUM(QTA71:QTB71)</f>
        <v>8825</v>
      </c>
      <c r="QTD71" s="163" t="s">
        <v>114</v>
      </c>
      <c r="QTE71" s="164">
        <v>45845</v>
      </c>
      <c r="QTF71" s="159" t="s">
        <v>42</v>
      </c>
      <c r="QTG71" s="354" t="s">
        <v>150</v>
      </c>
      <c r="QTH71" s="165" t="s">
        <v>124</v>
      </c>
      <c r="QTI71" s="352" t="s">
        <v>164</v>
      </c>
      <c r="QTJ71" s="353" t="s">
        <v>121</v>
      </c>
      <c r="QTK71" s="159" t="s">
        <v>18</v>
      </c>
      <c r="QTL71" s="160">
        <v>8100</v>
      </c>
      <c r="QTM71" s="169">
        <v>85</v>
      </c>
      <c r="QTN71" s="170">
        <v>215</v>
      </c>
      <c r="QTO71" s="170">
        <v>75</v>
      </c>
      <c r="QTP71" s="169">
        <v>150</v>
      </c>
      <c r="QTQ71" s="171">
        <f>SUM(QTL71:QTP71)</f>
        <v>8625</v>
      </c>
      <c r="QTR71" s="169">
        <v>200</v>
      </c>
      <c r="QTS71" s="171">
        <f>SUM(QTQ71:QTR71)</f>
        <v>8825</v>
      </c>
      <c r="QTT71" s="163" t="s">
        <v>114</v>
      </c>
      <c r="QTU71" s="164">
        <v>45845</v>
      </c>
      <c r="QTV71" s="159" t="s">
        <v>42</v>
      </c>
      <c r="QTW71" s="354" t="s">
        <v>150</v>
      </c>
      <c r="QTX71" s="165" t="s">
        <v>124</v>
      </c>
      <c r="QTY71" s="352" t="s">
        <v>164</v>
      </c>
      <c r="QTZ71" s="353" t="s">
        <v>121</v>
      </c>
      <c r="QUA71" s="159" t="s">
        <v>18</v>
      </c>
      <c r="QUB71" s="160">
        <v>8100</v>
      </c>
      <c r="QUC71" s="169">
        <v>85</v>
      </c>
      <c r="QUD71" s="170">
        <v>215</v>
      </c>
      <c r="QUE71" s="170">
        <v>75</v>
      </c>
      <c r="QUF71" s="169">
        <v>150</v>
      </c>
      <c r="QUG71" s="171">
        <f>SUM(QUB71:QUF71)</f>
        <v>8625</v>
      </c>
      <c r="QUH71" s="169">
        <v>200</v>
      </c>
      <c r="QUI71" s="171">
        <f>SUM(QUG71:QUH71)</f>
        <v>8825</v>
      </c>
      <c r="QUJ71" s="163" t="s">
        <v>114</v>
      </c>
      <c r="QUK71" s="164">
        <v>45845</v>
      </c>
      <c r="QUL71" s="159" t="s">
        <v>42</v>
      </c>
      <c r="QUM71" s="354" t="s">
        <v>150</v>
      </c>
      <c r="QUN71" s="165" t="s">
        <v>124</v>
      </c>
      <c r="QUO71" s="352" t="s">
        <v>164</v>
      </c>
      <c r="QUP71" s="353" t="s">
        <v>121</v>
      </c>
      <c r="QUQ71" s="159" t="s">
        <v>18</v>
      </c>
      <c r="QUR71" s="160">
        <v>8100</v>
      </c>
      <c r="QUS71" s="169">
        <v>85</v>
      </c>
      <c r="QUT71" s="170">
        <v>215</v>
      </c>
      <c r="QUU71" s="170">
        <v>75</v>
      </c>
      <c r="QUV71" s="169">
        <v>150</v>
      </c>
      <c r="QUW71" s="171">
        <f>SUM(QUR71:QUV71)</f>
        <v>8625</v>
      </c>
      <c r="QUX71" s="169">
        <v>200</v>
      </c>
      <c r="QUY71" s="171">
        <f>SUM(QUW71:QUX71)</f>
        <v>8825</v>
      </c>
      <c r="QUZ71" s="163" t="s">
        <v>114</v>
      </c>
      <c r="QVA71" s="164">
        <v>45845</v>
      </c>
      <c r="QVB71" s="159" t="s">
        <v>42</v>
      </c>
      <c r="QVC71" s="354" t="s">
        <v>150</v>
      </c>
      <c r="QVD71" s="165" t="s">
        <v>124</v>
      </c>
      <c r="QVE71" s="352" t="s">
        <v>164</v>
      </c>
      <c r="QVF71" s="353" t="s">
        <v>121</v>
      </c>
      <c r="QVG71" s="159" t="s">
        <v>18</v>
      </c>
      <c r="QVH71" s="160">
        <v>8100</v>
      </c>
      <c r="QVI71" s="169">
        <v>85</v>
      </c>
      <c r="QVJ71" s="170">
        <v>215</v>
      </c>
      <c r="QVK71" s="170">
        <v>75</v>
      </c>
      <c r="QVL71" s="169">
        <v>150</v>
      </c>
      <c r="QVM71" s="171">
        <f>SUM(QVH71:QVL71)</f>
        <v>8625</v>
      </c>
      <c r="QVN71" s="169">
        <v>200</v>
      </c>
      <c r="QVO71" s="171">
        <f>SUM(QVM71:QVN71)</f>
        <v>8825</v>
      </c>
      <c r="QVP71" s="163" t="s">
        <v>114</v>
      </c>
      <c r="QVQ71" s="164">
        <v>45845</v>
      </c>
      <c r="QVR71" s="159" t="s">
        <v>42</v>
      </c>
      <c r="QVS71" s="354" t="s">
        <v>150</v>
      </c>
      <c r="QVT71" s="165" t="s">
        <v>124</v>
      </c>
      <c r="QVU71" s="352" t="s">
        <v>164</v>
      </c>
      <c r="QVV71" s="353" t="s">
        <v>121</v>
      </c>
      <c r="QVW71" s="159" t="s">
        <v>18</v>
      </c>
      <c r="QVX71" s="160">
        <v>8100</v>
      </c>
      <c r="QVY71" s="169">
        <v>85</v>
      </c>
      <c r="QVZ71" s="170">
        <v>215</v>
      </c>
      <c r="QWA71" s="170">
        <v>75</v>
      </c>
      <c r="QWB71" s="169">
        <v>150</v>
      </c>
      <c r="QWC71" s="171">
        <f>SUM(QVX71:QWB71)</f>
        <v>8625</v>
      </c>
      <c r="QWD71" s="169">
        <v>200</v>
      </c>
      <c r="QWE71" s="171">
        <f>SUM(QWC71:QWD71)</f>
        <v>8825</v>
      </c>
      <c r="QWF71" s="163" t="s">
        <v>114</v>
      </c>
      <c r="QWG71" s="164">
        <v>45845</v>
      </c>
      <c r="QWH71" s="159" t="s">
        <v>42</v>
      </c>
      <c r="QWI71" s="354" t="s">
        <v>150</v>
      </c>
      <c r="QWJ71" s="165" t="s">
        <v>124</v>
      </c>
      <c r="QWK71" s="352" t="s">
        <v>164</v>
      </c>
      <c r="QWL71" s="353" t="s">
        <v>121</v>
      </c>
      <c r="QWM71" s="159" t="s">
        <v>18</v>
      </c>
      <c r="QWN71" s="160">
        <v>8100</v>
      </c>
      <c r="QWO71" s="169">
        <v>85</v>
      </c>
      <c r="QWP71" s="170">
        <v>215</v>
      </c>
      <c r="QWQ71" s="170">
        <v>75</v>
      </c>
      <c r="QWR71" s="169">
        <v>150</v>
      </c>
      <c r="QWS71" s="171">
        <f>SUM(QWN71:QWR71)</f>
        <v>8625</v>
      </c>
      <c r="QWT71" s="169">
        <v>200</v>
      </c>
      <c r="QWU71" s="171">
        <f>SUM(QWS71:QWT71)</f>
        <v>8825</v>
      </c>
      <c r="QWV71" s="163" t="s">
        <v>114</v>
      </c>
      <c r="QWW71" s="164">
        <v>45845</v>
      </c>
      <c r="QWX71" s="159" t="s">
        <v>42</v>
      </c>
      <c r="QWY71" s="354" t="s">
        <v>150</v>
      </c>
      <c r="QWZ71" s="165" t="s">
        <v>124</v>
      </c>
      <c r="QXA71" s="352" t="s">
        <v>164</v>
      </c>
      <c r="QXB71" s="353" t="s">
        <v>121</v>
      </c>
      <c r="QXC71" s="159" t="s">
        <v>18</v>
      </c>
      <c r="QXD71" s="160">
        <v>8100</v>
      </c>
      <c r="QXE71" s="169">
        <v>85</v>
      </c>
      <c r="QXF71" s="170">
        <v>215</v>
      </c>
      <c r="QXG71" s="170">
        <v>75</v>
      </c>
      <c r="QXH71" s="169">
        <v>150</v>
      </c>
      <c r="QXI71" s="171">
        <f>SUM(QXD71:QXH71)</f>
        <v>8625</v>
      </c>
      <c r="QXJ71" s="169">
        <v>200</v>
      </c>
      <c r="QXK71" s="171">
        <f>SUM(QXI71:QXJ71)</f>
        <v>8825</v>
      </c>
      <c r="QXL71" s="163" t="s">
        <v>114</v>
      </c>
      <c r="QXM71" s="164">
        <v>45845</v>
      </c>
      <c r="QXN71" s="159" t="s">
        <v>42</v>
      </c>
      <c r="QXO71" s="354" t="s">
        <v>150</v>
      </c>
      <c r="QXP71" s="165" t="s">
        <v>124</v>
      </c>
      <c r="QXQ71" s="352" t="s">
        <v>164</v>
      </c>
      <c r="QXR71" s="353" t="s">
        <v>121</v>
      </c>
      <c r="QXS71" s="159" t="s">
        <v>18</v>
      </c>
      <c r="QXT71" s="160">
        <v>8100</v>
      </c>
      <c r="QXU71" s="169">
        <v>85</v>
      </c>
      <c r="QXV71" s="170">
        <v>215</v>
      </c>
      <c r="QXW71" s="170">
        <v>75</v>
      </c>
      <c r="QXX71" s="169">
        <v>150</v>
      </c>
      <c r="QXY71" s="171">
        <f>SUM(QXT71:QXX71)</f>
        <v>8625</v>
      </c>
      <c r="QXZ71" s="169">
        <v>200</v>
      </c>
      <c r="QYA71" s="171">
        <f>SUM(QXY71:QXZ71)</f>
        <v>8825</v>
      </c>
      <c r="QYB71" s="163" t="s">
        <v>114</v>
      </c>
      <c r="QYC71" s="164">
        <v>45845</v>
      </c>
      <c r="QYD71" s="159" t="s">
        <v>42</v>
      </c>
      <c r="QYE71" s="354" t="s">
        <v>150</v>
      </c>
      <c r="QYF71" s="165" t="s">
        <v>124</v>
      </c>
      <c r="QYG71" s="352" t="s">
        <v>164</v>
      </c>
      <c r="QYH71" s="353" t="s">
        <v>121</v>
      </c>
      <c r="QYI71" s="159" t="s">
        <v>18</v>
      </c>
      <c r="QYJ71" s="160">
        <v>8100</v>
      </c>
      <c r="QYK71" s="169">
        <v>85</v>
      </c>
      <c r="QYL71" s="170">
        <v>215</v>
      </c>
      <c r="QYM71" s="170">
        <v>75</v>
      </c>
      <c r="QYN71" s="169">
        <v>150</v>
      </c>
      <c r="QYO71" s="171">
        <f>SUM(QYJ71:QYN71)</f>
        <v>8625</v>
      </c>
      <c r="QYP71" s="169">
        <v>200</v>
      </c>
      <c r="QYQ71" s="171">
        <f>SUM(QYO71:QYP71)</f>
        <v>8825</v>
      </c>
      <c r="QYR71" s="163" t="s">
        <v>114</v>
      </c>
      <c r="QYS71" s="164">
        <v>45845</v>
      </c>
      <c r="QYT71" s="159" t="s">
        <v>42</v>
      </c>
      <c r="QYU71" s="354" t="s">
        <v>150</v>
      </c>
      <c r="QYV71" s="165" t="s">
        <v>124</v>
      </c>
      <c r="QYW71" s="352" t="s">
        <v>164</v>
      </c>
      <c r="QYX71" s="353" t="s">
        <v>121</v>
      </c>
      <c r="QYY71" s="159" t="s">
        <v>18</v>
      </c>
      <c r="QYZ71" s="160">
        <v>8100</v>
      </c>
      <c r="QZA71" s="169">
        <v>85</v>
      </c>
      <c r="QZB71" s="170">
        <v>215</v>
      </c>
      <c r="QZC71" s="170">
        <v>75</v>
      </c>
      <c r="QZD71" s="169">
        <v>150</v>
      </c>
      <c r="QZE71" s="171">
        <f>SUM(QYZ71:QZD71)</f>
        <v>8625</v>
      </c>
      <c r="QZF71" s="169">
        <v>200</v>
      </c>
      <c r="QZG71" s="171">
        <f>SUM(QZE71:QZF71)</f>
        <v>8825</v>
      </c>
      <c r="QZH71" s="163" t="s">
        <v>114</v>
      </c>
      <c r="QZI71" s="164">
        <v>45845</v>
      </c>
      <c r="QZJ71" s="159" t="s">
        <v>42</v>
      </c>
      <c r="QZK71" s="354" t="s">
        <v>150</v>
      </c>
      <c r="QZL71" s="165" t="s">
        <v>124</v>
      </c>
      <c r="QZM71" s="352" t="s">
        <v>164</v>
      </c>
      <c r="QZN71" s="353" t="s">
        <v>121</v>
      </c>
      <c r="QZO71" s="159" t="s">
        <v>18</v>
      </c>
      <c r="QZP71" s="160">
        <v>8100</v>
      </c>
      <c r="QZQ71" s="169">
        <v>85</v>
      </c>
      <c r="QZR71" s="170">
        <v>215</v>
      </c>
      <c r="QZS71" s="170">
        <v>75</v>
      </c>
      <c r="QZT71" s="169">
        <v>150</v>
      </c>
      <c r="QZU71" s="171">
        <f>SUM(QZP71:QZT71)</f>
        <v>8625</v>
      </c>
      <c r="QZV71" s="169">
        <v>200</v>
      </c>
      <c r="QZW71" s="171">
        <f>SUM(QZU71:QZV71)</f>
        <v>8825</v>
      </c>
      <c r="QZX71" s="163" t="s">
        <v>114</v>
      </c>
      <c r="QZY71" s="164">
        <v>45845</v>
      </c>
      <c r="QZZ71" s="159" t="s">
        <v>42</v>
      </c>
      <c r="RAA71" s="354" t="s">
        <v>150</v>
      </c>
      <c r="RAB71" s="165" t="s">
        <v>124</v>
      </c>
      <c r="RAC71" s="352" t="s">
        <v>164</v>
      </c>
      <c r="RAD71" s="353" t="s">
        <v>121</v>
      </c>
      <c r="RAE71" s="159" t="s">
        <v>18</v>
      </c>
      <c r="RWX71" s="353" t="s">
        <v>121</v>
      </c>
      <c r="RWY71" s="159" t="s">
        <v>18</v>
      </c>
      <c r="RWZ71" s="160">
        <v>8100</v>
      </c>
      <c r="RXA71" s="169">
        <v>85</v>
      </c>
      <c r="RXB71" s="170">
        <v>215</v>
      </c>
      <c r="RXC71" s="170">
        <v>75</v>
      </c>
      <c r="RXD71" s="169">
        <v>150</v>
      </c>
      <c r="RXE71" s="171">
        <f>SUM(RWZ71:RXD71)</f>
        <v>8625</v>
      </c>
      <c r="RXF71" s="169">
        <v>200</v>
      </c>
      <c r="RXG71" s="171">
        <f>SUM(RXE71:RXF71)</f>
        <v>8825</v>
      </c>
      <c r="RXH71" s="163" t="s">
        <v>114</v>
      </c>
      <c r="RXI71" s="164">
        <v>45845</v>
      </c>
      <c r="RXJ71" s="159" t="s">
        <v>42</v>
      </c>
      <c r="RXK71" s="354" t="s">
        <v>150</v>
      </c>
      <c r="RXL71" s="165" t="s">
        <v>124</v>
      </c>
      <c r="RXM71" s="352" t="s">
        <v>164</v>
      </c>
      <c r="RXN71" s="353" t="s">
        <v>121</v>
      </c>
      <c r="RXO71" s="159" t="s">
        <v>18</v>
      </c>
      <c r="RXP71" s="160">
        <v>8100</v>
      </c>
      <c r="RXQ71" s="169">
        <v>85</v>
      </c>
      <c r="RXR71" s="170">
        <v>215</v>
      </c>
      <c r="RXS71" s="170">
        <v>75</v>
      </c>
      <c r="RXT71" s="169">
        <v>150</v>
      </c>
      <c r="RXU71" s="171">
        <f>SUM(RXP71:RXT71)</f>
        <v>8625</v>
      </c>
      <c r="RXV71" s="169">
        <v>200</v>
      </c>
      <c r="RXW71" s="171">
        <f>SUM(RXU71:RXV71)</f>
        <v>8825</v>
      </c>
      <c r="RXX71" s="163" t="s">
        <v>114</v>
      </c>
      <c r="RXY71" s="164">
        <v>45845</v>
      </c>
      <c r="RXZ71" s="159" t="s">
        <v>42</v>
      </c>
      <c r="RYA71" s="354" t="s">
        <v>150</v>
      </c>
      <c r="RYB71" s="165" t="s">
        <v>124</v>
      </c>
      <c r="RYC71" s="352" t="s">
        <v>164</v>
      </c>
      <c r="RYD71" s="353" t="s">
        <v>121</v>
      </c>
      <c r="RYE71" s="159" t="s">
        <v>18</v>
      </c>
      <c r="RYF71" s="160">
        <v>8100</v>
      </c>
      <c r="RYG71" s="169">
        <v>85</v>
      </c>
      <c r="RYH71" s="170">
        <v>215</v>
      </c>
      <c r="RYI71" s="170">
        <v>75</v>
      </c>
      <c r="RYJ71" s="169">
        <v>150</v>
      </c>
      <c r="RYK71" s="171">
        <f>SUM(RYF71:RYJ71)</f>
        <v>8625</v>
      </c>
      <c r="RYL71" s="169">
        <v>200</v>
      </c>
      <c r="RYM71" s="171">
        <f>SUM(RYK71:RYL71)</f>
        <v>8825</v>
      </c>
      <c r="RYN71" s="163" t="s">
        <v>114</v>
      </c>
      <c r="RYO71" s="164">
        <v>45845</v>
      </c>
      <c r="RYP71" s="159" t="s">
        <v>42</v>
      </c>
      <c r="RYQ71" s="354" t="s">
        <v>150</v>
      </c>
      <c r="RYR71" s="165" t="s">
        <v>124</v>
      </c>
      <c r="RYS71" s="352" t="s">
        <v>164</v>
      </c>
      <c r="RYT71" s="353" t="s">
        <v>121</v>
      </c>
      <c r="RYU71" s="159" t="s">
        <v>18</v>
      </c>
      <c r="RYV71" s="160">
        <v>8100</v>
      </c>
      <c r="RYW71" s="169">
        <v>85</v>
      </c>
      <c r="RYX71" s="170">
        <v>215</v>
      </c>
      <c r="RYY71" s="170">
        <v>75</v>
      </c>
      <c r="RYZ71" s="169">
        <v>150</v>
      </c>
      <c r="RZA71" s="171">
        <f>SUM(RYV71:RYZ71)</f>
        <v>8625</v>
      </c>
      <c r="RZB71" s="169">
        <v>200</v>
      </c>
      <c r="RZC71" s="171">
        <f>SUM(RZA71:RZB71)</f>
        <v>8825</v>
      </c>
      <c r="RZD71" s="163" t="s">
        <v>114</v>
      </c>
      <c r="RZE71" s="164">
        <v>45845</v>
      </c>
      <c r="RZF71" s="159" t="s">
        <v>42</v>
      </c>
      <c r="RZG71" s="354" t="s">
        <v>150</v>
      </c>
      <c r="RZH71" s="165" t="s">
        <v>124</v>
      </c>
      <c r="RZI71" s="352" t="s">
        <v>164</v>
      </c>
      <c r="RZJ71" s="353" t="s">
        <v>121</v>
      </c>
      <c r="RZK71" s="159" t="s">
        <v>18</v>
      </c>
      <c r="RZL71" s="160">
        <v>8100</v>
      </c>
      <c r="RZM71" s="169">
        <v>85</v>
      </c>
      <c r="RZN71" s="170">
        <v>215</v>
      </c>
      <c r="RZO71" s="170">
        <v>75</v>
      </c>
      <c r="RZP71" s="169">
        <v>150</v>
      </c>
      <c r="RZQ71" s="171">
        <f>SUM(RZL71:RZP71)</f>
        <v>8625</v>
      </c>
      <c r="RZR71" s="169">
        <v>200</v>
      </c>
      <c r="RZS71" s="171">
        <f>SUM(RZQ71:RZR71)</f>
        <v>8825</v>
      </c>
      <c r="RZT71" s="163" t="s">
        <v>114</v>
      </c>
      <c r="RZU71" s="164">
        <v>45845</v>
      </c>
      <c r="RZV71" s="159" t="s">
        <v>42</v>
      </c>
      <c r="RZW71" s="354" t="s">
        <v>150</v>
      </c>
      <c r="RZX71" s="165" t="s">
        <v>124</v>
      </c>
      <c r="RZY71" s="352" t="s">
        <v>164</v>
      </c>
      <c r="RZZ71" s="353" t="s">
        <v>121</v>
      </c>
      <c r="SAA71" s="159" t="s">
        <v>18</v>
      </c>
      <c r="SAB71" s="160">
        <v>8100</v>
      </c>
      <c r="SAC71" s="169">
        <v>85</v>
      </c>
      <c r="SAD71" s="170">
        <v>215</v>
      </c>
      <c r="SAE71" s="170">
        <v>75</v>
      </c>
      <c r="SAF71" s="169">
        <v>150</v>
      </c>
      <c r="SAG71" s="171">
        <f>SUM(SAB71:SAF71)</f>
        <v>8625</v>
      </c>
      <c r="SAH71" s="169">
        <v>200</v>
      </c>
      <c r="SAI71" s="171">
        <f>SUM(SAG71:SAH71)</f>
        <v>8825</v>
      </c>
      <c r="SAJ71" s="163" t="s">
        <v>114</v>
      </c>
      <c r="SAK71" s="164">
        <v>45845</v>
      </c>
      <c r="SAL71" s="159" t="s">
        <v>42</v>
      </c>
      <c r="SAM71" s="354" t="s">
        <v>150</v>
      </c>
      <c r="SAN71" s="165" t="s">
        <v>124</v>
      </c>
      <c r="SAO71" s="352" t="s">
        <v>164</v>
      </c>
      <c r="SAP71" s="353" t="s">
        <v>121</v>
      </c>
      <c r="SAQ71" s="159" t="s">
        <v>18</v>
      </c>
      <c r="SAR71" s="160">
        <v>8100</v>
      </c>
      <c r="SAS71" s="169">
        <v>85</v>
      </c>
      <c r="SAT71" s="170">
        <v>215</v>
      </c>
      <c r="SAU71" s="170">
        <v>75</v>
      </c>
      <c r="SAV71" s="169">
        <v>150</v>
      </c>
      <c r="SAW71" s="171">
        <f>SUM(SAR71:SAV71)</f>
        <v>8625</v>
      </c>
      <c r="SAX71" s="169">
        <v>200</v>
      </c>
      <c r="SAY71" s="171">
        <f>SUM(SAW71:SAX71)</f>
        <v>8825</v>
      </c>
      <c r="SAZ71" s="163" t="s">
        <v>114</v>
      </c>
      <c r="SBA71" s="164">
        <v>45845</v>
      </c>
      <c r="SBB71" s="159" t="s">
        <v>42</v>
      </c>
      <c r="SBC71" s="354" t="s">
        <v>150</v>
      </c>
      <c r="SBD71" s="165" t="s">
        <v>124</v>
      </c>
      <c r="SBE71" s="352" t="s">
        <v>164</v>
      </c>
      <c r="SBF71" s="353" t="s">
        <v>121</v>
      </c>
      <c r="SBG71" s="159" t="s">
        <v>18</v>
      </c>
      <c r="SBH71" s="160">
        <v>8100</v>
      </c>
      <c r="SBI71" s="169">
        <v>85</v>
      </c>
      <c r="SBJ71" s="170">
        <v>215</v>
      </c>
      <c r="SBK71" s="170">
        <v>75</v>
      </c>
      <c r="SBL71" s="169">
        <v>150</v>
      </c>
      <c r="SBM71" s="171">
        <f>SUM(SBH71:SBL71)</f>
        <v>8625</v>
      </c>
      <c r="SBN71" s="169">
        <v>200</v>
      </c>
      <c r="SBO71" s="171">
        <f>SUM(SBM71:SBN71)</f>
        <v>8825</v>
      </c>
      <c r="SBP71" s="163" t="s">
        <v>114</v>
      </c>
      <c r="SBQ71" s="164">
        <v>45845</v>
      </c>
      <c r="SBR71" s="159" t="s">
        <v>42</v>
      </c>
      <c r="SBS71" s="354" t="s">
        <v>150</v>
      </c>
      <c r="SBT71" s="165" t="s">
        <v>124</v>
      </c>
      <c r="SBU71" s="352" t="s">
        <v>164</v>
      </c>
      <c r="SBV71" s="353" t="s">
        <v>121</v>
      </c>
      <c r="SBW71" s="159" t="s">
        <v>18</v>
      </c>
      <c r="SBX71" s="160">
        <v>8100</v>
      </c>
      <c r="SBY71" s="169">
        <v>85</v>
      </c>
      <c r="SBZ71" s="170">
        <v>215</v>
      </c>
      <c r="SCA71" s="170">
        <v>75</v>
      </c>
      <c r="SCB71" s="169">
        <v>150</v>
      </c>
      <c r="SCC71" s="171">
        <f>SUM(SBX71:SCB71)</f>
        <v>8625</v>
      </c>
      <c r="SCD71" s="169">
        <v>200</v>
      </c>
      <c r="SCE71" s="171">
        <f>SUM(SCC71:SCD71)</f>
        <v>8825</v>
      </c>
      <c r="SCF71" s="163" t="s">
        <v>114</v>
      </c>
      <c r="SCG71" s="164">
        <v>45845</v>
      </c>
      <c r="SCH71" s="159" t="s">
        <v>42</v>
      </c>
      <c r="SCI71" s="354" t="s">
        <v>150</v>
      </c>
      <c r="SCJ71" s="165" t="s">
        <v>124</v>
      </c>
      <c r="SCK71" s="352" t="s">
        <v>164</v>
      </c>
      <c r="SCL71" s="353" t="s">
        <v>121</v>
      </c>
      <c r="SCM71" s="159" t="s">
        <v>18</v>
      </c>
      <c r="SCN71" s="160">
        <v>8100</v>
      </c>
      <c r="SCO71" s="169">
        <v>85</v>
      </c>
      <c r="SCP71" s="170">
        <v>215</v>
      </c>
      <c r="SCQ71" s="170">
        <v>75</v>
      </c>
      <c r="SCR71" s="169">
        <v>150</v>
      </c>
      <c r="SCS71" s="171">
        <f>SUM(SCN71:SCR71)</f>
        <v>8625</v>
      </c>
      <c r="SCT71" s="169">
        <v>200</v>
      </c>
      <c r="SCU71" s="171">
        <f>SUM(SCS71:SCT71)</f>
        <v>8825</v>
      </c>
      <c r="SCV71" s="163" t="s">
        <v>114</v>
      </c>
      <c r="SCW71" s="164">
        <v>45845</v>
      </c>
      <c r="SCX71" s="159" t="s">
        <v>42</v>
      </c>
      <c r="SCY71" s="354" t="s">
        <v>150</v>
      </c>
      <c r="SCZ71" s="165" t="s">
        <v>124</v>
      </c>
      <c r="SDA71" s="352" t="s">
        <v>164</v>
      </c>
      <c r="SDB71" s="353" t="s">
        <v>121</v>
      </c>
      <c r="SDC71" s="159" t="s">
        <v>18</v>
      </c>
      <c r="SDD71" s="160">
        <v>8100</v>
      </c>
      <c r="SDE71" s="169">
        <v>85</v>
      </c>
      <c r="SDF71" s="170">
        <v>215</v>
      </c>
      <c r="SDG71" s="170">
        <v>75</v>
      </c>
      <c r="SDH71" s="169">
        <v>150</v>
      </c>
      <c r="SDI71" s="171">
        <f>SUM(SDD71:SDH71)</f>
        <v>8625</v>
      </c>
      <c r="SDJ71" s="169">
        <v>200</v>
      </c>
      <c r="SDK71" s="171">
        <f>SUM(SDI71:SDJ71)</f>
        <v>8825</v>
      </c>
      <c r="SDL71" s="163" t="s">
        <v>114</v>
      </c>
      <c r="SDM71" s="164">
        <v>45845</v>
      </c>
      <c r="SDN71" s="159" t="s">
        <v>42</v>
      </c>
      <c r="SDO71" s="354" t="s">
        <v>150</v>
      </c>
      <c r="SDP71" s="165" t="s">
        <v>124</v>
      </c>
      <c r="SDQ71" s="352" t="s">
        <v>164</v>
      </c>
      <c r="SDR71" s="353" t="s">
        <v>121</v>
      </c>
      <c r="SDS71" s="159" t="s">
        <v>18</v>
      </c>
      <c r="SDT71" s="160">
        <v>8100</v>
      </c>
      <c r="SDU71" s="169">
        <v>85</v>
      </c>
      <c r="SDV71" s="170">
        <v>215</v>
      </c>
      <c r="SDW71" s="170">
        <v>75</v>
      </c>
      <c r="SDX71" s="169">
        <v>150</v>
      </c>
      <c r="SDY71" s="171">
        <f>SUM(SDT71:SDX71)</f>
        <v>8625</v>
      </c>
      <c r="SDZ71" s="169">
        <v>200</v>
      </c>
      <c r="SEA71" s="171">
        <f>SUM(SDY71:SDZ71)</f>
        <v>8825</v>
      </c>
      <c r="SEB71" s="163" t="s">
        <v>114</v>
      </c>
      <c r="SEC71" s="164">
        <v>45845</v>
      </c>
      <c r="SED71" s="159" t="s">
        <v>42</v>
      </c>
      <c r="SEE71" s="354" t="s">
        <v>150</v>
      </c>
      <c r="SEF71" s="165" t="s">
        <v>124</v>
      </c>
      <c r="SEG71" s="352" t="s">
        <v>164</v>
      </c>
      <c r="SEH71" s="353" t="s">
        <v>121</v>
      </c>
      <c r="SEI71" s="159" t="s">
        <v>18</v>
      </c>
      <c r="SEJ71" s="160">
        <v>8100</v>
      </c>
      <c r="SEK71" s="169">
        <v>85</v>
      </c>
      <c r="SEL71" s="170">
        <v>215</v>
      </c>
      <c r="SEM71" s="170">
        <v>75</v>
      </c>
      <c r="SEN71" s="169">
        <v>150</v>
      </c>
      <c r="SEO71" s="171">
        <f>SUM(SEJ71:SEN71)</f>
        <v>8625</v>
      </c>
      <c r="SEP71" s="169">
        <v>200</v>
      </c>
      <c r="SEQ71" s="171">
        <f>SUM(SEO71:SEP71)</f>
        <v>8825</v>
      </c>
      <c r="SER71" s="163" t="s">
        <v>114</v>
      </c>
      <c r="SES71" s="164">
        <v>45845</v>
      </c>
      <c r="SET71" s="159" t="s">
        <v>42</v>
      </c>
      <c r="SEU71" s="354" t="s">
        <v>150</v>
      </c>
      <c r="SEV71" s="165" t="s">
        <v>124</v>
      </c>
      <c r="SEW71" s="352" t="s">
        <v>164</v>
      </c>
      <c r="SEX71" s="353" t="s">
        <v>121</v>
      </c>
      <c r="SEY71" s="159" t="s">
        <v>18</v>
      </c>
      <c r="SEZ71" s="160">
        <v>8100</v>
      </c>
      <c r="SFA71" s="169">
        <v>85</v>
      </c>
      <c r="SFB71" s="170">
        <v>215</v>
      </c>
      <c r="SFC71" s="170">
        <v>75</v>
      </c>
      <c r="SFD71" s="169">
        <v>150</v>
      </c>
      <c r="SFE71" s="171">
        <f>SUM(SEZ71:SFD71)</f>
        <v>8625</v>
      </c>
      <c r="SFF71" s="169">
        <v>200</v>
      </c>
      <c r="SFG71" s="171">
        <f>SUM(SFE71:SFF71)</f>
        <v>8825</v>
      </c>
      <c r="SFH71" s="163" t="s">
        <v>114</v>
      </c>
      <c r="SFI71" s="164">
        <v>45845</v>
      </c>
      <c r="SFJ71" s="159" t="s">
        <v>42</v>
      </c>
      <c r="SFK71" s="354" t="s">
        <v>150</v>
      </c>
      <c r="SFL71" s="165" t="s">
        <v>124</v>
      </c>
      <c r="SFM71" s="352" t="s">
        <v>164</v>
      </c>
      <c r="SFN71" s="353" t="s">
        <v>121</v>
      </c>
      <c r="SFO71" s="159" t="s">
        <v>18</v>
      </c>
      <c r="SFP71" s="160">
        <v>8100</v>
      </c>
      <c r="SFQ71" s="169">
        <v>85</v>
      </c>
      <c r="SFR71" s="170">
        <v>215</v>
      </c>
      <c r="SFS71" s="170">
        <v>75</v>
      </c>
      <c r="SFT71" s="169">
        <v>150</v>
      </c>
      <c r="SFU71" s="171">
        <f>SUM(SFP71:SFT71)</f>
        <v>8625</v>
      </c>
      <c r="SFV71" s="169">
        <v>200</v>
      </c>
      <c r="SFW71" s="171">
        <f>SUM(SFU71:SFV71)</f>
        <v>8825</v>
      </c>
      <c r="SFX71" s="163" t="s">
        <v>114</v>
      </c>
      <c r="SFY71" s="164">
        <v>45845</v>
      </c>
      <c r="SFZ71" s="159" t="s">
        <v>42</v>
      </c>
      <c r="SGA71" s="354" t="s">
        <v>150</v>
      </c>
      <c r="SGB71" s="165" t="s">
        <v>124</v>
      </c>
      <c r="SGC71" s="352" t="s">
        <v>164</v>
      </c>
      <c r="SGD71" s="353" t="s">
        <v>121</v>
      </c>
      <c r="SGE71" s="159" t="s">
        <v>18</v>
      </c>
      <c r="SGF71" s="160">
        <v>8100</v>
      </c>
      <c r="SGG71" s="169">
        <v>85</v>
      </c>
      <c r="SGH71" s="170">
        <v>215</v>
      </c>
      <c r="SGI71" s="170">
        <v>75</v>
      </c>
      <c r="SGJ71" s="169">
        <v>150</v>
      </c>
      <c r="SGK71" s="171">
        <f>SUM(SGF71:SGJ71)</f>
        <v>8625</v>
      </c>
      <c r="SGL71" s="169">
        <v>200</v>
      </c>
      <c r="SGM71" s="171">
        <f>SUM(SGK71:SGL71)</f>
        <v>8825</v>
      </c>
      <c r="SGN71" s="163" t="s">
        <v>114</v>
      </c>
      <c r="SGO71" s="164">
        <v>45845</v>
      </c>
      <c r="SGP71" s="159" t="s">
        <v>42</v>
      </c>
      <c r="SGQ71" s="354" t="s">
        <v>150</v>
      </c>
      <c r="SGR71" s="165" t="s">
        <v>124</v>
      </c>
      <c r="SGS71" s="352" t="s">
        <v>164</v>
      </c>
      <c r="SGT71" s="353" t="s">
        <v>121</v>
      </c>
      <c r="SGU71" s="159" t="s">
        <v>18</v>
      </c>
      <c r="SGV71" s="160">
        <v>8100</v>
      </c>
      <c r="SGW71" s="169">
        <v>85</v>
      </c>
      <c r="SGX71" s="170">
        <v>215</v>
      </c>
      <c r="SGY71" s="170">
        <v>75</v>
      </c>
      <c r="SGZ71" s="169">
        <v>150</v>
      </c>
      <c r="SHA71" s="171">
        <f>SUM(SGV71:SGZ71)</f>
        <v>8625</v>
      </c>
      <c r="SHB71" s="169">
        <v>200</v>
      </c>
      <c r="SHC71" s="171">
        <f>SUM(SHA71:SHB71)</f>
        <v>8825</v>
      </c>
      <c r="SHD71" s="163" t="s">
        <v>114</v>
      </c>
      <c r="SHE71" s="164">
        <v>45845</v>
      </c>
      <c r="SHF71" s="159" t="s">
        <v>42</v>
      </c>
      <c r="SHG71" s="354" t="s">
        <v>150</v>
      </c>
      <c r="SHH71" s="165" t="s">
        <v>124</v>
      </c>
      <c r="SHI71" s="352" t="s">
        <v>164</v>
      </c>
      <c r="SHJ71" s="353" t="s">
        <v>121</v>
      </c>
      <c r="SHK71" s="159" t="s">
        <v>18</v>
      </c>
      <c r="SHL71" s="160">
        <v>8100</v>
      </c>
      <c r="SHM71" s="169">
        <v>85</v>
      </c>
      <c r="SHN71" s="170">
        <v>215</v>
      </c>
      <c r="SHO71" s="170">
        <v>75</v>
      </c>
      <c r="SHP71" s="169">
        <v>150</v>
      </c>
      <c r="SHQ71" s="171">
        <f>SUM(SHL71:SHP71)</f>
        <v>8625</v>
      </c>
      <c r="SHR71" s="169">
        <v>200</v>
      </c>
      <c r="SHS71" s="171">
        <f>SUM(SHQ71:SHR71)</f>
        <v>8825</v>
      </c>
      <c r="SHT71" s="163" t="s">
        <v>114</v>
      </c>
      <c r="SHU71" s="164">
        <v>45845</v>
      </c>
      <c r="SHV71" s="159" t="s">
        <v>42</v>
      </c>
      <c r="SHW71" s="354" t="s">
        <v>150</v>
      </c>
      <c r="SHX71" s="165" t="s">
        <v>124</v>
      </c>
      <c r="SHY71" s="352" t="s">
        <v>164</v>
      </c>
      <c r="SHZ71" s="353" t="s">
        <v>121</v>
      </c>
      <c r="SIA71" s="159" t="s">
        <v>18</v>
      </c>
      <c r="SIB71" s="160">
        <v>8100</v>
      </c>
      <c r="SIC71" s="169">
        <v>85</v>
      </c>
      <c r="SID71" s="170">
        <v>215</v>
      </c>
      <c r="SIE71" s="170">
        <v>75</v>
      </c>
      <c r="SIF71" s="169">
        <v>150</v>
      </c>
      <c r="SIG71" s="171">
        <f>SUM(SIB71:SIF71)</f>
        <v>8625</v>
      </c>
      <c r="SIH71" s="169">
        <v>200</v>
      </c>
      <c r="SII71" s="171">
        <f>SUM(SIG71:SIH71)</f>
        <v>8825</v>
      </c>
      <c r="SIJ71" s="163" t="s">
        <v>114</v>
      </c>
      <c r="SIK71" s="164">
        <v>45845</v>
      </c>
      <c r="SIL71" s="159" t="s">
        <v>42</v>
      </c>
      <c r="SIM71" s="354" t="s">
        <v>150</v>
      </c>
      <c r="SIN71" s="165" t="s">
        <v>124</v>
      </c>
      <c r="SIO71" s="352" t="s">
        <v>164</v>
      </c>
      <c r="SIP71" s="353" t="s">
        <v>121</v>
      </c>
      <c r="SIQ71" s="159" t="s">
        <v>18</v>
      </c>
      <c r="SIR71" s="160">
        <v>8100</v>
      </c>
      <c r="SIS71" s="169">
        <v>85</v>
      </c>
      <c r="SIT71" s="170">
        <v>215</v>
      </c>
      <c r="SIU71" s="170">
        <v>75</v>
      </c>
      <c r="SIV71" s="169">
        <v>150</v>
      </c>
      <c r="SIW71" s="171">
        <f>SUM(SIR71:SIV71)</f>
        <v>8625</v>
      </c>
      <c r="SIX71" s="169">
        <v>200</v>
      </c>
      <c r="SIY71" s="171">
        <f>SUM(SIW71:SIX71)</f>
        <v>8825</v>
      </c>
      <c r="SIZ71" s="163" t="s">
        <v>114</v>
      </c>
      <c r="SJA71" s="164">
        <v>45845</v>
      </c>
      <c r="SJB71" s="159" t="s">
        <v>42</v>
      </c>
      <c r="SJC71" s="354" t="s">
        <v>150</v>
      </c>
      <c r="SJD71" s="165" t="s">
        <v>124</v>
      </c>
      <c r="SJE71" s="352" t="s">
        <v>164</v>
      </c>
      <c r="SJF71" s="353" t="s">
        <v>121</v>
      </c>
      <c r="SJG71" s="159" t="s">
        <v>18</v>
      </c>
      <c r="SJH71" s="160">
        <v>8100</v>
      </c>
      <c r="SJI71" s="169">
        <v>85</v>
      </c>
      <c r="SJJ71" s="170">
        <v>215</v>
      </c>
      <c r="SJK71" s="170">
        <v>75</v>
      </c>
      <c r="SJL71" s="169">
        <v>150</v>
      </c>
      <c r="SJM71" s="171">
        <f>SUM(SJH71:SJL71)</f>
        <v>8625</v>
      </c>
      <c r="SJN71" s="169">
        <v>200</v>
      </c>
      <c r="SJO71" s="171">
        <f>SUM(SJM71:SJN71)</f>
        <v>8825</v>
      </c>
      <c r="SJP71" s="163" t="s">
        <v>114</v>
      </c>
      <c r="SJQ71" s="164">
        <v>45845</v>
      </c>
      <c r="SJR71" s="159" t="s">
        <v>42</v>
      </c>
      <c r="SJS71" s="354" t="s">
        <v>150</v>
      </c>
      <c r="SJT71" s="165" t="s">
        <v>124</v>
      </c>
      <c r="SJU71" s="352" t="s">
        <v>164</v>
      </c>
      <c r="SJV71" s="353" t="s">
        <v>121</v>
      </c>
      <c r="SJW71" s="159" t="s">
        <v>18</v>
      </c>
      <c r="SJX71" s="160">
        <v>8100</v>
      </c>
      <c r="SJY71" s="169">
        <v>85</v>
      </c>
      <c r="SJZ71" s="170">
        <v>215</v>
      </c>
      <c r="SKA71" s="170">
        <v>75</v>
      </c>
      <c r="SKB71" s="169">
        <v>150</v>
      </c>
      <c r="SKC71" s="171">
        <f>SUM(SJX71:SKB71)</f>
        <v>8625</v>
      </c>
      <c r="SKD71" s="169">
        <v>200</v>
      </c>
      <c r="SKE71" s="171">
        <f>SUM(SKC71:SKD71)</f>
        <v>8825</v>
      </c>
      <c r="SKF71" s="163" t="s">
        <v>114</v>
      </c>
      <c r="SKG71" s="164">
        <v>45845</v>
      </c>
      <c r="SKH71" s="159" t="s">
        <v>42</v>
      </c>
      <c r="SKI71" s="354" t="s">
        <v>150</v>
      </c>
      <c r="SKJ71" s="165" t="s">
        <v>124</v>
      </c>
      <c r="SKK71" s="352" t="s">
        <v>164</v>
      </c>
      <c r="SKL71" s="353" t="s">
        <v>121</v>
      </c>
      <c r="SKM71" s="159" t="s">
        <v>18</v>
      </c>
      <c r="SKN71" s="160">
        <v>8100</v>
      </c>
      <c r="SKO71" s="169">
        <v>85</v>
      </c>
      <c r="SKP71" s="170">
        <v>215</v>
      </c>
      <c r="SKQ71" s="170">
        <v>75</v>
      </c>
      <c r="SKR71" s="169">
        <v>150</v>
      </c>
      <c r="SKS71" s="171">
        <f>SUM(SKN71:SKR71)</f>
        <v>8625</v>
      </c>
      <c r="SKT71" s="169">
        <v>200</v>
      </c>
      <c r="SKU71" s="171">
        <f>SUM(SKS71:SKT71)</f>
        <v>8825</v>
      </c>
      <c r="SKV71" s="163" t="s">
        <v>114</v>
      </c>
      <c r="SKW71" s="164">
        <v>45845</v>
      </c>
      <c r="SKX71" s="159" t="s">
        <v>42</v>
      </c>
      <c r="SKY71" s="354" t="s">
        <v>150</v>
      </c>
      <c r="SKZ71" s="165" t="s">
        <v>124</v>
      </c>
      <c r="SLA71" s="352" t="s">
        <v>164</v>
      </c>
      <c r="SLB71" s="353" t="s">
        <v>121</v>
      </c>
      <c r="SLC71" s="159" t="s">
        <v>18</v>
      </c>
      <c r="SLD71" s="160">
        <v>8100</v>
      </c>
      <c r="SLE71" s="169">
        <v>85</v>
      </c>
      <c r="SLF71" s="170">
        <v>215</v>
      </c>
      <c r="SLG71" s="170">
        <v>75</v>
      </c>
      <c r="SLH71" s="169">
        <v>150</v>
      </c>
      <c r="SLI71" s="171">
        <f>SUM(SLD71:SLH71)</f>
        <v>8625</v>
      </c>
      <c r="SLJ71" s="169">
        <v>200</v>
      </c>
      <c r="SLK71" s="171">
        <f>SUM(SLI71:SLJ71)</f>
        <v>8825</v>
      </c>
      <c r="SLL71" s="163" t="s">
        <v>114</v>
      </c>
      <c r="SLM71" s="164">
        <v>45845</v>
      </c>
      <c r="SLN71" s="159" t="s">
        <v>42</v>
      </c>
      <c r="SLO71" s="354" t="s">
        <v>150</v>
      </c>
      <c r="SLP71" s="165" t="s">
        <v>124</v>
      </c>
      <c r="SLQ71" s="352" t="s">
        <v>164</v>
      </c>
      <c r="SLR71" s="353" t="s">
        <v>121</v>
      </c>
      <c r="SLS71" s="159" t="s">
        <v>18</v>
      </c>
      <c r="SLT71" s="160">
        <v>8100</v>
      </c>
      <c r="SLU71" s="169">
        <v>85</v>
      </c>
      <c r="SLV71" s="170">
        <v>215</v>
      </c>
      <c r="SLW71" s="170">
        <v>75</v>
      </c>
      <c r="SLX71" s="169">
        <v>150</v>
      </c>
      <c r="SLY71" s="171">
        <f>SUM(SLT71:SLX71)</f>
        <v>8625</v>
      </c>
      <c r="SLZ71" s="169">
        <v>200</v>
      </c>
      <c r="SMA71" s="171">
        <f>SUM(SLY71:SLZ71)</f>
        <v>8825</v>
      </c>
      <c r="SMB71" s="163" t="s">
        <v>114</v>
      </c>
      <c r="SMC71" s="164">
        <v>45845</v>
      </c>
      <c r="SMD71" s="159" t="s">
        <v>42</v>
      </c>
      <c r="SME71" s="354" t="s">
        <v>150</v>
      </c>
      <c r="SMF71" s="165" t="s">
        <v>124</v>
      </c>
      <c r="SMG71" s="352" t="s">
        <v>164</v>
      </c>
      <c r="SMH71" s="353" t="s">
        <v>121</v>
      </c>
      <c r="SMI71" s="159" t="s">
        <v>18</v>
      </c>
      <c r="SMJ71" s="160">
        <v>8100</v>
      </c>
      <c r="SMK71" s="169">
        <v>85</v>
      </c>
      <c r="SML71" s="170">
        <v>215</v>
      </c>
      <c r="SMM71" s="170">
        <v>75</v>
      </c>
      <c r="SMN71" s="169">
        <v>150</v>
      </c>
      <c r="SMO71" s="171">
        <f>SUM(SMJ71:SMN71)</f>
        <v>8625</v>
      </c>
      <c r="SMP71" s="169">
        <v>200</v>
      </c>
      <c r="SMQ71" s="171">
        <f>SUM(SMO71:SMP71)</f>
        <v>8825</v>
      </c>
      <c r="SMR71" s="163" t="s">
        <v>114</v>
      </c>
      <c r="SMS71" s="164">
        <v>45845</v>
      </c>
      <c r="SMT71" s="159" t="s">
        <v>42</v>
      </c>
      <c r="SMU71" s="354" t="s">
        <v>150</v>
      </c>
      <c r="SMV71" s="165" t="s">
        <v>124</v>
      </c>
      <c r="SMW71" s="352" t="s">
        <v>164</v>
      </c>
      <c r="SMX71" s="353" t="s">
        <v>121</v>
      </c>
      <c r="SMY71" s="159" t="s">
        <v>18</v>
      </c>
      <c r="SMZ71" s="160">
        <v>8100</v>
      </c>
      <c r="SNA71" s="169">
        <v>85</v>
      </c>
      <c r="SNB71" s="170">
        <v>215</v>
      </c>
      <c r="SNC71" s="170">
        <v>75</v>
      </c>
      <c r="SND71" s="169">
        <v>150</v>
      </c>
      <c r="SNE71" s="171">
        <f>SUM(SMZ71:SND71)</f>
        <v>8625</v>
      </c>
      <c r="SNF71" s="169">
        <v>200</v>
      </c>
      <c r="SNG71" s="171">
        <f>SUM(SNE71:SNF71)</f>
        <v>8825</v>
      </c>
      <c r="SNH71" s="163" t="s">
        <v>114</v>
      </c>
      <c r="SNI71" s="164">
        <v>45845</v>
      </c>
      <c r="SNJ71" s="159" t="s">
        <v>42</v>
      </c>
      <c r="SNK71" s="354" t="s">
        <v>150</v>
      </c>
      <c r="SNL71" s="165" t="s">
        <v>124</v>
      </c>
      <c r="SNM71" s="352" t="s">
        <v>164</v>
      </c>
      <c r="SNN71" s="353" t="s">
        <v>121</v>
      </c>
      <c r="SNO71" s="159" t="s">
        <v>18</v>
      </c>
      <c r="SNP71" s="160">
        <v>8100</v>
      </c>
      <c r="SNQ71" s="169">
        <v>85</v>
      </c>
      <c r="SNR71" s="170">
        <v>215</v>
      </c>
      <c r="SNS71" s="170">
        <v>75</v>
      </c>
      <c r="SNT71" s="169">
        <v>150</v>
      </c>
      <c r="SNU71" s="171">
        <f>SUM(SNP71:SNT71)</f>
        <v>8625</v>
      </c>
      <c r="SNV71" s="169">
        <v>200</v>
      </c>
      <c r="SNW71" s="171">
        <f>SUM(SNU71:SNV71)</f>
        <v>8825</v>
      </c>
      <c r="SNX71" s="163" t="s">
        <v>114</v>
      </c>
      <c r="SNY71" s="164">
        <v>45845</v>
      </c>
      <c r="SNZ71" s="159" t="s">
        <v>42</v>
      </c>
      <c r="SOA71" s="354" t="s">
        <v>150</v>
      </c>
      <c r="SOB71" s="165" t="s">
        <v>124</v>
      </c>
      <c r="SOC71" s="352" t="s">
        <v>164</v>
      </c>
      <c r="SOD71" s="353" t="s">
        <v>121</v>
      </c>
      <c r="SOE71" s="159" t="s">
        <v>18</v>
      </c>
      <c r="SOF71" s="160">
        <v>8100</v>
      </c>
      <c r="SOG71" s="169">
        <v>85</v>
      </c>
      <c r="SOH71" s="170">
        <v>215</v>
      </c>
      <c r="SOI71" s="170">
        <v>75</v>
      </c>
      <c r="SOJ71" s="169">
        <v>150</v>
      </c>
      <c r="SOK71" s="171">
        <f>SUM(SOF71:SOJ71)</f>
        <v>8625</v>
      </c>
      <c r="SOL71" s="169">
        <v>200</v>
      </c>
      <c r="SOM71" s="171">
        <f>SUM(SOK71:SOL71)</f>
        <v>8825</v>
      </c>
      <c r="SON71" s="163" t="s">
        <v>114</v>
      </c>
      <c r="SOO71" s="164">
        <v>45845</v>
      </c>
      <c r="SOP71" s="159" t="s">
        <v>42</v>
      </c>
      <c r="SOQ71" s="354" t="s">
        <v>150</v>
      </c>
      <c r="SOR71" s="165" t="s">
        <v>124</v>
      </c>
      <c r="SOS71" s="352" t="s">
        <v>164</v>
      </c>
      <c r="SOT71" s="353" t="s">
        <v>121</v>
      </c>
      <c r="SOU71" s="159" t="s">
        <v>18</v>
      </c>
      <c r="SOV71" s="160">
        <v>8100</v>
      </c>
      <c r="SOW71" s="169">
        <v>85</v>
      </c>
      <c r="SOX71" s="170">
        <v>215</v>
      </c>
      <c r="SOY71" s="170">
        <v>75</v>
      </c>
      <c r="SOZ71" s="169">
        <v>150</v>
      </c>
      <c r="SPA71" s="171">
        <f>SUM(SOV71:SOZ71)</f>
        <v>8625</v>
      </c>
      <c r="SPB71" s="169">
        <v>200</v>
      </c>
      <c r="SPC71" s="171">
        <f>SUM(SPA71:SPB71)</f>
        <v>8825</v>
      </c>
      <c r="SPD71" s="163" t="s">
        <v>114</v>
      </c>
      <c r="SPE71" s="164">
        <v>45845</v>
      </c>
      <c r="SPF71" s="159" t="s">
        <v>42</v>
      </c>
      <c r="SPG71" s="354" t="s">
        <v>150</v>
      </c>
      <c r="SPH71" s="165" t="s">
        <v>124</v>
      </c>
      <c r="SPI71" s="352" t="s">
        <v>164</v>
      </c>
      <c r="SPJ71" s="353" t="s">
        <v>121</v>
      </c>
      <c r="SPK71" s="159" t="s">
        <v>18</v>
      </c>
      <c r="SPL71" s="160">
        <v>8100</v>
      </c>
      <c r="SPM71" s="169">
        <v>85</v>
      </c>
      <c r="SPN71" s="170">
        <v>215</v>
      </c>
      <c r="SPO71" s="170">
        <v>75</v>
      </c>
      <c r="SPP71" s="169">
        <v>150</v>
      </c>
      <c r="SPQ71" s="171">
        <f>SUM(SPL71:SPP71)</f>
        <v>8625</v>
      </c>
      <c r="SPR71" s="169">
        <v>200</v>
      </c>
      <c r="SPS71" s="171">
        <f>SUM(SPQ71:SPR71)</f>
        <v>8825</v>
      </c>
      <c r="SPT71" s="163" t="s">
        <v>114</v>
      </c>
      <c r="SPU71" s="164">
        <v>45845</v>
      </c>
      <c r="SPV71" s="159" t="s">
        <v>42</v>
      </c>
      <c r="SPW71" s="354" t="s">
        <v>150</v>
      </c>
      <c r="SPX71" s="165" t="s">
        <v>124</v>
      </c>
      <c r="SPY71" s="352" t="s">
        <v>164</v>
      </c>
      <c r="SPZ71" s="353" t="s">
        <v>121</v>
      </c>
      <c r="SQA71" s="159" t="s">
        <v>18</v>
      </c>
      <c r="SQB71" s="160">
        <v>8100</v>
      </c>
      <c r="SQC71" s="169">
        <v>85</v>
      </c>
      <c r="SQD71" s="170">
        <v>215</v>
      </c>
      <c r="SQE71" s="170">
        <v>75</v>
      </c>
      <c r="SQF71" s="169">
        <v>150</v>
      </c>
      <c r="SQG71" s="171">
        <f>SUM(SQB71:SQF71)</f>
        <v>8625</v>
      </c>
      <c r="SQH71" s="169">
        <v>200</v>
      </c>
      <c r="SQI71" s="171">
        <f>SUM(SQG71:SQH71)</f>
        <v>8825</v>
      </c>
      <c r="SQJ71" s="163" t="s">
        <v>114</v>
      </c>
      <c r="SQK71" s="164">
        <v>45845</v>
      </c>
      <c r="SQL71" s="159" t="s">
        <v>42</v>
      </c>
      <c r="SQM71" s="354" t="s">
        <v>150</v>
      </c>
      <c r="SQN71" s="165" t="s">
        <v>124</v>
      </c>
      <c r="SQO71" s="352" t="s">
        <v>164</v>
      </c>
      <c r="SQP71" s="353" t="s">
        <v>121</v>
      </c>
      <c r="SQQ71" s="159" t="s">
        <v>18</v>
      </c>
      <c r="SQR71" s="160">
        <v>8100</v>
      </c>
      <c r="SQS71" s="169">
        <v>85</v>
      </c>
      <c r="SQT71" s="170">
        <v>215</v>
      </c>
      <c r="SQU71" s="170">
        <v>75</v>
      </c>
      <c r="SQV71" s="169">
        <v>150</v>
      </c>
      <c r="SQW71" s="171">
        <f>SUM(SQR71:SQV71)</f>
        <v>8625</v>
      </c>
      <c r="SQX71" s="169">
        <v>200</v>
      </c>
      <c r="SQY71" s="171">
        <f>SUM(SQW71:SQX71)</f>
        <v>8825</v>
      </c>
      <c r="SQZ71" s="163" t="s">
        <v>114</v>
      </c>
      <c r="SRA71" s="164">
        <v>45845</v>
      </c>
      <c r="SRB71" s="159" t="s">
        <v>42</v>
      </c>
      <c r="SRC71" s="354" t="s">
        <v>150</v>
      </c>
      <c r="SRD71" s="165" t="s">
        <v>124</v>
      </c>
      <c r="SRE71" s="352" t="s">
        <v>164</v>
      </c>
      <c r="SRF71" s="353" t="s">
        <v>121</v>
      </c>
      <c r="SRG71" s="159" t="s">
        <v>18</v>
      </c>
      <c r="SRH71" s="160">
        <v>8100</v>
      </c>
      <c r="SRI71" s="169">
        <v>85</v>
      </c>
      <c r="SRJ71" s="170">
        <v>215</v>
      </c>
      <c r="SRK71" s="170">
        <v>75</v>
      </c>
      <c r="SRL71" s="169">
        <v>150</v>
      </c>
      <c r="SRM71" s="171">
        <f>SUM(SRH71:SRL71)</f>
        <v>8625</v>
      </c>
      <c r="SRN71" s="169">
        <v>200</v>
      </c>
      <c r="SRO71" s="171">
        <f>SUM(SRM71:SRN71)</f>
        <v>8825</v>
      </c>
      <c r="SRP71" s="163" t="s">
        <v>114</v>
      </c>
      <c r="SRQ71" s="164">
        <v>45845</v>
      </c>
      <c r="SRR71" s="159" t="s">
        <v>42</v>
      </c>
      <c r="SRS71" s="354" t="s">
        <v>150</v>
      </c>
      <c r="SRT71" s="165" t="s">
        <v>124</v>
      </c>
      <c r="SRU71" s="352" t="s">
        <v>164</v>
      </c>
      <c r="SRV71" s="353" t="s">
        <v>121</v>
      </c>
      <c r="SRW71" s="159" t="s">
        <v>18</v>
      </c>
      <c r="SRX71" s="160">
        <v>8100</v>
      </c>
      <c r="SRY71" s="169">
        <v>85</v>
      </c>
      <c r="SRZ71" s="170">
        <v>215</v>
      </c>
      <c r="SSA71" s="170">
        <v>75</v>
      </c>
      <c r="SSB71" s="169">
        <v>150</v>
      </c>
      <c r="SSC71" s="171">
        <f>SUM(SRX71:SSB71)</f>
        <v>8625</v>
      </c>
      <c r="SSD71" s="169">
        <v>200</v>
      </c>
      <c r="SSE71" s="171">
        <f>SUM(SSC71:SSD71)</f>
        <v>8825</v>
      </c>
      <c r="SSF71" s="163" t="s">
        <v>114</v>
      </c>
      <c r="SSG71" s="164">
        <v>45845</v>
      </c>
      <c r="SSH71" s="159" t="s">
        <v>42</v>
      </c>
      <c r="SSI71" s="354" t="s">
        <v>150</v>
      </c>
      <c r="SSJ71" s="165" t="s">
        <v>124</v>
      </c>
      <c r="SSK71" s="352" t="s">
        <v>164</v>
      </c>
      <c r="SSL71" s="353" t="s">
        <v>121</v>
      </c>
      <c r="SSM71" s="159" t="s">
        <v>18</v>
      </c>
      <c r="SSN71" s="160">
        <v>8100</v>
      </c>
      <c r="SSO71" s="169">
        <v>85</v>
      </c>
      <c r="SSP71" s="170">
        <v>215</v>
      </c>
      <c r="SSQ71" s="170">
        <v>75</v>
      </c>
      <c r="SSR71" s="169">
        <v>150</v>
      </c>
      <c r="SSS71" s="171">
        <f>SUM(SSN71:SSR71)</f>
        <v>8625</v>
      </c>
      <c r="SST71" s="169">
        <v>200</v>
      </c>
      <c r="SSU71" s="171">
        <f>SUM(SSS71:SST71)</f>
        <v>8825</v>
      </c>
      <c r="SSV71" s="163" t="s">
        <v>114</v>
      </c>
      <c r="SSW71" s="164">
        <v>45845</v>
      </c>
      <c r="SSX71" s="159" t="s">
        <v>42</v>
      </c>
      <c r="SSY71" s="354" t="s">
        <v>150</v>
      </c>
      <c r="SSZ71" s="165" t="s">
        <v>124</v>
      </c>
      <c r="STA71" s="352" t="s">
        <v>164</v>
      </c>
      <c r="STB71" s="353" t="s">
        <v>121</v>
      </c>
      <c r="STC71" s="159" t="s">
        <v>18</v>
      </c>
      <c r="STD71" s="160">
        <v>8100</v>
      </c>
      <c r="STE71" s="169">
        <v>85</v>
      </c>
      <c r="STF71" s="170">
        <v>215</v>
      </c>
      <c r="STG71" s="170">
        <v>75</v>
      </c>
      <c r="STH71" s="169">
        <v>150</v>
      </c>
      <c r="STI71" s="171">
        <f>SUM(STD71:STH71)</f>
        <v>8625</v>
      </c>
      <c r="STJ71" s="169">
        <v>200</v>
      </c>
      <c r="STK71" s="171">
        <f>SUM(STI71:STJ71)</f>
        <v>8825</v>
      </c>
      <c r="STL71" s="163" t="s">
        <v>114</v>
      </c>
      <c r="STM71" s="164">
        <v>45845</v>
      </c>
      <c r="STN71" s="159" t="s">
        <v>42</v>
      </c>
      <c r="STO71" s="354" t="s">
        <v>150</v>
      </c>
      <c r="STP71" s="165" t="s">
        <v>124</v>
      </c>
      <c r="STQ71" s="352" t="s">
        <v>164</v>
      </c>
      <c r="STR71" s="353" t="s">
        <v>121</v>
      </c>
      <c r="STS71" s="159" t="s">
        <v>18</v>
      </c>
      <c r="STT71" s="160">
        <v>8100</v>
      </c>
      <c r="STU71" s="169">
        <v>85</v>
      </c>
      <c r="STV71" s="170">
        <v>215</v>
      </c>
      <c r="STW71" s="170">
        <v>75</v>
      </c>
      <c r="STX71" s="169">
        <v>150</v>
      </c>
      <c r="STY71" s="171">
        <f>SUM(STT71:STX71)</f>
        <v>8625</v>
      </c>
      <c r="STZ71" s="169">
        <v>200</v>
      </c>
      <c r="SUA71" s="171">
        <f>SUM(STY71:STZ71)</f>
        <v>8825</v>
      </c>
      <c r="SUB71" s="163" t="s">
        <v>114</v>
      </c>
      <c r="SUC71" s="164">
        <v>45845</v>
      </c>
      <c r="SUD71" s="159" t="s">
        <v>42</v>
      </c>
      <c r="SUE71" s="354" t="s">
        <v>150</v>
      </c>
      <c r="SUF71" s="165" t="s">
        <v>124</v>
      </c>
      <c r="SUG71" s="352" t="s">
        <v>164</v>
      </c>
      <c r="SUH71" s="353" t="s">
        <v>121</v>
      </c>
      <c r="SUI71" s="159" t="s">
        <v>18</v>
      </c>
      <c r="SUJ71" s="160">
        <v>8100</v>
      </c>
      <c r="SUK71" s="169">
        <v>85</v>
      </c>
      <c r="SUL71" s="170">
        <v>215</v>
      </c>
      <c r="SUM71" s="170">
        <v>75</v>
      </c>
      <c r="SUN71" s="169">
        <v>150</v>
      </c>
      <c r="SUO71" s="171">
        <f>SUM(SUJ71:SUN71)</f>
        <v>8625</v>
      </c>
      <c r="SUP71" s="169">
        <v>200</v>
      </c>
      <c r="SUQ71" s="171">
        <f>SUM(SUO71:SUP71)</f>
        <v>8825</v>
      </c>
      <c r="SUR71" s="163" t="s">
        <v>114</v>
      </c>
      <c r="SUS71" s="164">
        <v>45845</v>
      </c>
      <c r="SUT71" s="159" t="s">
        <v>42</v>
      </c>
      <c r="SUU71" s="354" t="s">
        <v>150</v>
      </c>
      <c r="SUV71" s="165" t="s">
        <v>124</v>
      </c>
      <c r="SUW71" s="352" t="s">
        <v>164</v>
      </c>
      <c r="SUX71" s="353" t="s">
        <v>121</v>
      </c>
      <c r="SUY71" s="159" t="s">
        <v>18</v>
      </c>
      <c r="SUZ71" s="160">
        <v>8100</v>
      </c>
      <c r="SVA71" s="169">
        <v>85</v>
      </c>
      <c r="SVB71" s="170">
        <v>215</v>
      </c>
      <c r="SVC71" s="170">
        <v>75</v>
      </c>
      <c r="SVD71" s="169">
        <v>150</v>
      </c>
      <c r="SVE71" s="171">
        <f>SUM(SUZ71:SVD71)</f>
        <v>8625</v>
      </c>
      <c r="SVF71" s="169">
        <v>200</v>
      </c>
      <c r="SVG71" s="171">
        <f>SUM(SVE71:SVF71)</f>
        <v>8825</v>
      </c>
      <c r="SVH71" s="163" t="s">
        <v>114</v>
      </c>
      <c r="SVI71" s="164">
        <v>45845</v>
      </c>
      <c r="SVJ71" s="159" t="s">
        <v>42</v>
      </c>
      <c r="SVK71" s="354" t="s">
        <v>150</v>
      </c>
      <c r="SVL71" s="165" t="s">
        <v>124</v>
      </c>
      <c r="SVM71" s="352" t="s">
        <v>164</v>
      </c>
      <c r="SVN71" s="353" t="s">
        <v>121</v>
      </c>
      <c r="SVO71" s="159" t="s">
        <v>18</v>
      </c>
      <c r="SVP71" s="160">
        <v>8100</v>
      </c>
      <c r="SVQ71" s="169">
        <v>85</v>
      </c>
      <c r="SVR71" s="170">
        <v>215</v>
      </c>
      <c r="SVS71" s="170">
        <v>75</v>
      </c>
      <c r="SVT71" s="169">
        <v>150</v>
      </c>
      <c r="SVU71" s="171">
        <f>SUM(SVP71:SVT71)</f>
        <v>8625</v>
      </c>
      <c r="SVV71" s="169">
        <v>200</v>
      </c>
      <c r="SVW71" s="171">
        <f>SUM(SVU71:SVV71)</f>
        <v>8825</v>
      </c>
      <c r="SVX71" s="163" t="s">
        <v>114</v>
      </c>
      <c r="SVY71" s="164">
        <v>45845</v>
      </c>
      <c r="SVZ71" s="159" t="s">
        <v>42</v>
      </c>
      <c r="SWA71" s="354" t="s">
        <v>150</v>
      </c>
      <c r="SWB71" s="165" t="s">
        <v>124</v>
      </c>
      <c r="SWC71" s="352" t="s">
        <v>164</v>
      </c>
      <c r="SWD71" s="353" t="s">
        <v>121</v>
      </c>
      <c r="SWE71" s="159" t="s">
        <v>18</v>
      </c>
      <c r="SWF71" s="160">
        <v>8100</v>
      </c>
      <c r="SWG71" s="169">
        <v>85</v>
      </c>
      <c r="SWH71" s="170">
        <v>215</v>
      </c>
      <c r="SWI71" s="170">
        <v>75</v>
      </c>
      <c r="SWJ71" s="169">
        <v>150</v>
      </c>
      <c r="SWK71" s="171">
        <f>SUM(SWF71:SWJ71)</f>
        <v>8625</v>
      </c>
      <c r="SWL71" s="169">
        <v>200</v>
      </c>
      <c r="SWM71" s="171">
        <f>SUM(SWK71:SWL71)</f>
        <v>8825</v>
      </c>
      <c r="SWN71" s="163" t="s">
        <v>114</v>
      </c>
      <c r="SWO71" s="164">
        <v>45845</v>
      </c>
      <c r="SWP71" s="159" t="s">
        <v>42</v>
      </c>
      <c r="SWQ71" s="354" t="s">
        <v>150</v>
      </c>
      <c r="SWR71" s="165" t="s">
        <v>124</v>
      </c>
      <c r="SWS71" s="352" t="s">
        <v>164</v>
      </c>
      <c r="SWT71" s="353" t="s">
        <v>121</v>
      </c>
      <c r="SWU71" s="159" t="s">
        <v>18</v>
      </c>
      <c r="SWV71" s="160">
        <v>8100</v>
      </c>
      <c r="SWW71" s="169">
        <v>85</v>
      </c>
      <c r="SWX71" s="170">
        <v>215</v>
      </c>
      <c r="SWY71" s="170">
        <v>75</v>
      </c>
      <c r="SWZ71" s="169">
        <v>150</v>
      </c>
      <c r="SXA71" s="171">
        <f>SUM(SWV71:SWZ71)</f>
        <v>8625</v>
      </c>
      <c r="SXB71" s="169">
        <v>200</v>
      </c>
      <c r="SXC71" s="171">
        <f>SUM(SXA71:SXB71)</f>
        <v>8825</v>
      </c>
      <c r="SXD71" s="163" t="s">
        <v>114</v>
      </c>
      <c r="SXE71" s="164">
        <v>45845</v>
      </c>
      <c r="SXF71" s="159" t="s">
        <v>42</v>
      </c>
      <c r="SXG71" s="354" t="s">
        <v>150</v>
      </c>
      <c r="SXH71" s="165" t="s">
        <v>124</v>
      </c>
      <c r="SXI71" s="352" t="s">
        <v>164</v>
      </c>
      <c r="SXJ71" s="353" t="s">
        <v>121</v>
      </c>
      <c r="SXK71" s="159" t="s">
        <v>18</v>
      </c>
      <c r="SXL71" s="160">
        <v>8100</v>
      </c>
      <c r="SXM71" s="169">
        <v>85</v>
      </c>
      <c r="SXN71" s="170">
        <v>215</v>
      </c>
      <c r="SXO71" s="170">
        <v>75</v>
      </c>
      <c r="SXP71" s="169">
        <v>150</v>
      </c>
      <c r="SXQ71" s="171">
        <f>SUM(SXL71:SXP71)</f>
        <v>8625</v>
      </c>
      <c r="SXR71" s="169">
        <v>200</v>
      </c>
      <c r="SXS71" s="171">
        <f>SUM(SXQ71:SXR71)</f>
        <v>8825</v>
      </c>
      <c r="SXT71" s="163" t="s">
        <v>114</v>
      </c>
      <c r="SXU71" s="164">
        <v>45845</v>
      </c>
      <c r="SXV71" s="159" t="s">
        <v>42</v>
      </c>
      <c r="SXW71" s="354" t="s">
        <v>150</v>
      </c>
      <c r="SXX71" s="165" t="s">
        <v>124</v>
      </c>
      <c r="SXY71" s="352" t="s">
        <v>164</v>
      </c>
      <c r="SXZ71" s="353" t="s">
        <v>121</v>
      </c>
      <c r="SYA71" s="159" t="s">
        <v>18</v>
      </c>
      <c r="SYB71" s="160">
        <v>8100</v>
      </c>
      <c r="SYC71" s="169">
        <v>85</v>
      </c>
      <c r="SYD71" s="170">
        <v>215</v>
      </c>
      <c r="SYE71" s="170">
        <v>75</v>
      </c>
      <c r="SYF71" s="169">
        <v>150</v>
      </c>
      <c r="SYG71" s="171">
        <f>SUM(SYB71:SYF71)</f>
        <v>8625</v>
      </c>
      <c r="SYH71" s="169">
        <v>200</v>
      </c>
      <c r="SYI71" s="171">
        <f>SUM(SYG71:SYH71)</f>
        <v>8825</v>
      </c>
      <c r="SYJ71" s="163" t="s">
        <v>114</v>
      </c>
      <c r="SYK71" s="164">
        <v>45845</v>
      </c>
      <c r="SYL71" s="159" t="s">
        <v>42</v>
      </c>
      <c r="SYM71" s="354" t="s">
        <v>150</v>
      </c>
      <c r="SYN71" s="165" t="s">
        <v>124</v>
      </c>
      <c r="SYO71" s="352" t="s">
        <v>164</v>
      </c>
      <c r="SYP71" s="353" t="s">
        <v>121</v>
      </c>
      <c r="SYQ71" s="159" t="s">
        <v>18</v>
      </c>
      <c r="SYR71" s="160">
        <v>8100</v>
      </c>
      <c r="SYS71" s="169">
        <v>85</v>
      </c>
      <c r="SYT71" s="170">
        <v>215</v>
      </c>
      <c r="SYU71" s="170">
        <v>75</v>
      </c>
      <c r="SYV71" s="169">
        <v>150</v>
      </c>
      <c r="SYW71" s="171">
        <f>SUM(SYR71:SYV71)</f>
        <v>8625</v>
      </c>
      <c r="SYX71" s="169">
        <v>200</v>
      </c>
      <c r="SYY71" s="171">
        <f>SUM(SYW71:SYX71)</f>
        <v>8825</v>
      </c>
      <c r="SYZ71" s="163" t="s">
        <v>114</v>
      </c>
      <c r="SZA71" s="164">
        <v>45845</v>
      </c>
      <c r="SZB71" s="159" t="s">
        <v>42</v>
      </c>
      <c r="SZC71" s="354" t="s">
        <v>150</v>
      </c>
      <c r="SZD71" s="165" t="s">
        <v>124</v>
      </c>
      <c r="SZE71" s="352" t="s">
        <v>164</v>
      </c>
      <c r="SZF71" s="353" t="s">
        <v>121</v>
      </c>
      <c r="SZG71" s="159" t="s">
        <v>18</v>
      </c>
      <c r="SZH71" s="160">
        <v>8100</v>
      </c>
      <c r="SZI71" s="169">
        <v>85</v>
      </c>
      <c r="SZJ71" s="170">
        <v>215</v>
      </c>
      <c r="SZK71" s="170">
        <v>75</v>
      </c>
      <c r="SZL71" s="169">
        <v>150</v>
      </c>
      <c r="SZM71" s="171">
        <f>SUM(SZH71:SZL71)</f>
        <v>8625</v>
      </c>
      <c r="SZN71" s="169">
        <v>200</v>
      </c>
      <c r="SZO71" s="171">
        <f>SUM(SZM71:SZN71)</f>
        <v>8825</v>
      </c>
      <c r="SZP71" s="163" t="s">
        <v>114</v>
      </c>
      <c r="SZQ71" s="164">
        <v>45845</v>
      </c>
      <c r="SZR71" s="159" t="s">
        <v>42</v>
      </c>
      <c r="SZS71" s="354" t="s">
        <v>150</v>
      </c>
      <c r="SZT71" s="165" t="s">
        <v>124</v>
      </c>
      <c r="SZU71" s="352" t="s">
        <v>164</v>
      </c>
      <c r="SZV71" s="353" t="s">
        <v>121</v>
      </c>
      <c r="SZW71" s="159" t="s">
        <v>18</v>
      </c>
      <c r="SZX71" s="160">
        <v>8100</v>
      </c>
      <c r="SZY71" s="169">
        <v>85</v>
      </c>
      <c r="SZZ71" s="170">
        <v>215</v>
      </c>
      <c r="TAA71" s="170">
        <v>75</v>
      </c>
      <c r="TAB71" s="169">
        <v>150</v>
      </c>
      <c r="TAC71" s="171">
        <f>SUM(SZX71:TAB71)</f>
        <v>8625</v>
      </c>
      <c r="TAD71" s="169">
        <v>200</v>
      </c>
      <c r="TAE71" s="171">
        <f>SUM(TAC71:TAD71)</f>
        <v>8825</v>
      </c>
      <c r="TAF71" s="163" t="s">
        <v>114</v>
      </c>
      <c r="TAG71" s="164">
        <v>45845</v>
      </c>
      <c r="TAH71" s="159" t="s">
        <v>42</v>
      </c>
      <c r="TAI71" s="354" t="s">
        <v>150</v>
      </c>
      <c r="TAJ71" s="165" t="s">
        <v>124</v>
      </c>
      <c r="TAK71" s="352" t="s">
        <v>164</v>
      </c>
      <c r="TAL71" s="353" t="s">
        <v>121</v>
      </c>
      <c r="TAM71" s="159" t="s">
        <v>18</v>
      </c>
      <c r="TAN71" s="160">
        <v>8100</v>
      </c>
      <c r="TAO71" s="169">
        <v>85</v>
      </c>
      <c r="TAP71" s="170">
        <v>215</v>
      </c>
      <c r="TAQ71" s="170">
        <v>75</v>
      </c>
      <c r="TAR71" s="169">
        <v>150</v>
      </c>
      <c r="TAS71" s="171">
        <f>SUM(TAN71:TAR71)</f>
        <v>8625</v>
      </c>
      <c r="TAT71" s="169">
        <v>200</v>
      </c>
      <c r="TAU71" s="171">
        <f>SUM(TAS71:TAT71)</f>
        <v>8825</v>
      </c>
      <c r="TAV71" s="163" t="s">
        <v>114</v>
      </c>
      <c r="TAW71" s="164">
        <v>45845</v>
      </c>
      <c r="TAX71" s="159" t="s">
        <v>42</v>
      </c>
      <c r="TAY71" s="354" t="s">
        <v>150</v>
      </c>
      <c r="TAZ71" s="165" t="s">
        <v>124</v>
      </c>
      <c r="TBA71" s="352" t="s">
        <v>164</v>
      </c>
      <c r="TBB71" s="353" t="s">
        <v>121</v>
      </c>
      <c r="TBC71" s="159" t="s">
        <v>18</v>
      </c>
      <c r="TBD71" s="160">
        <v>8100</v>
      </c>
      <c r="TBE71" s="169">
        <v>85</v>
      </c>
      <c r="TBF71" s="170">
        <v>215</v>
      </c>
      <c r="TBG71" s="170">
        <v>75</v>
      </c>
      <c r="TBH71" s="169">
        <v>150</v>
      </c>
      <c r="TBI71" s="171">
        <f>SUM(TBD71:TBH71)</f>
        <v>8625</v>
      </c>
      <c r="TBJ71" s="169">
        <v>200</v>
      </c>
      <c r="TBK71" s="171">
        <f>SUM(TBI71:TBJ71)</f>
        <v>8825</v>
      </c>
      <c r="TBL71" s="163" t="s">
        <v>114</v>
      </c>
      <c r="TBM71" s="164">
        <v>45845</v>
      </c>
      <c r="TBN71" s="159" t="s">
        <v>42</v>
      </c>
      <c r="TBO71" s="354" t="s">
        <v>150</v>
      </c>
      <c r="TBP71" s="165" t="s">
        <v>124</v>
      </c>
      <c r="TBQ71" s="352" t="s">
        <v>164</v>
      </c>
      <c r="TBR71" s="353" t="s">
        <v>121</v>
      </c>
      <c r="TBS71" s="159" t="s">
        <v>18</v>
      </c>
      <c r="TBT71" s="160">
        <v>8100</v>
      </c>
      <c r="TBU71" s="169">
        <v>85</v>
      </c>
      <c r="TBV71" s="170">
        <v>215</v>
      </c>
      <c r="TBW71" s="170">
        <v>75</v>
      </c>
      <c r="TBX71" s="169">
        <v>150</v>
      </c>
      <c r="TBY71" s="171">
        <f>SUM(TBT71:TBX71)</f>
        <v>8625</v>
      </c>
      <c r="TBZ71" s="169">
        <v>200</v>
      </c>
      <c r="TCA71" s="171">
        <f>SUM(TBY71:TBZ71)</f>
        <v>8825</v>
      </c>
      <c r="TCB71" s="163" t="s">
        <v>114</v>
      </c>
      <c r="TCC71" s="164">
        <v>45845</v>
      </c>
      <c r="TCD71" s="159" t="s">
        <v>42</v>
      </c>
      <c r="TCE71" s="354" t="s">
        <v>150</v>
      </c>
      <c r="TCF71" s="165" t="s">
        <v>124</v>
      </c>
      <c r="TCG71" s="352" t="s">
        <v>164</v>
      </c>
      <c r="TCH71" s="353" t="s">
        <v>121</v>
      </c>
      <c r="TCI71" s="159" t="s">
        <v>18</v>
      </c>
      <c r="TCJ71" s="160">
        <v>8100</v>
      </c>
      <c r="TCK71" s="169">
        <v>85</v>
      </c>
      <c r="TCL71" s="170">
        <v>215</v>
      </c>
      <c r="TCM71" s="170">
        <v>75</v>
      </c>
      <c r="TCN71" s="169">
        <v>150</v>
      </c>
      <c r="TCO71" s="171">
        <f>SUM(TCJ71:TCN71)</f>
        <v>8625</v>
      </c>
      <c r="TCP71" s="169">
        <v>200</v>
      </c>
      <c r="TCQ71" s="171">
        <f>SUM(TCO71:TCP71)</f>
        <v>8825</v>
      </c>
      <c r="TCR71" s="163" t="s">
        <v>114</v>
      </c>
      <c r="TCS71" s="164">
        <v>45845</v>
      </c>
      <c r="TCT71" s="159" t="s">
        <v>42</v>
      </c>
      <c r="TCU71" s="354" t="s">
        <v>150</v>
      </c>
      <c r="TCV71" s="165" t="s">
        <v>124</v>
      </c>
      <c r="TCW71" s="352" t="s">
        <v>164</v>
      </c>
      <c r="TCX71" s="353" t="s">
        <v>121</v>
      </c>
      <c r="TCY71" s="159" t="s">
        <v>18</v>
      </c>
      <c r="TCZ71" s="160">
        <v>8100</v>
      </c>
      <c r="TDA71" s="169">
        <v>85</v>
      </c>
      <c r="TDB71" s="170">
        <v>215</v>
      </c>
      <c r="TDC71" s="170">
        <v>75</v>
      </c>
      <c r="TDD71" s="169">
        <v>150</v>
      </c>
      <c r="TDE71" s="171">
        <f>SUM(TCZ71:TDD71)</f>
        <v>8625</v>
      </c>
      <c r="TDF71" s="169">
        <v>200</v>
      </c>
      <c r="TDG71" s="171">
        <f>SUM(TDE71:TDF71)</f>
        <v>8825</v>
      </c>
      <c r="TDH71" s="163" t="s">
        <v>114</v>
      </c>
      <c r="TDI71" s="164">
        <v>45845</v>
      </c>
      <c r="TDJ71" s="159" t="s">
        <v>42</v>
      </c>
      <c r="TDK71" s="354" t="s">
        <v>150</v>
      </c>
      <c r="TDL71" s="165" t="s">
        <v>124</v>
      </c>
      <c r="TDM71" s="352" t="s">
        <v>164</v>
      </c>
      <c r="TDN71" s="353" t="s">
        <v>121</v>
      </c>
      <c r="TDO71" s="159" t="s">
        <v>18</v>
      </c>
      <c r="TDP71" s="160">
        <v>8100</v>
      </c>
      <c r="TDQ71" s="169">
        <v>85</v>
      </c>
      <c r="TDR71" s="170">
        <v>215</v>
      </c>
      <c r="TDS71" s="170">
        <v>75</v>
      </c>
      <c r="TDT71" s="169">
        <v>150</v>
      </c>
      <c r="TDU71" s="171">
        <f>SUM(TDP71:TDT71)</f>
        <v>8625</v>
      </c>
      <c r="TDV71" s="169">
        <v>200</v>
      </c>
      <c r="TDW71" s="171">
        <f>SUM(TDU71:TDV71)</f>
        <v>8825</v>
      </c>
      <c r="TDX71" s="163" t="s">
        <v>114</v>
      </c>
      <c r="TDY71" s="164">
        <v>45845</v>
      </c>
      <c r="TDZ71" s="159" t="s">
        <v>42</v>
      </c>
      <c r="TEA71" s="354" t="s">
        <v>150</v>
      </c>
      <c r="TEB71" s="165" t="s">
        <v>124</v>
      </c>
      <c r="TEC71" s="352" t="s">
        <v>164</v>
      </c>
      <c r="TED71" s="353" t="s">
        <v>121</v>
      </c>
      <c r="TEE71" s="159" t="s">
        <v>18</v>
      </c>
      <c r="TEF71" s="160">
        <v>8100</v>
      </c>
      <c r="TEG71" s="169">
        <v>85</v>
      </c>
      <c r="TEH71" s="170">
        <v>215</v>
      </c>
      <c r="TEI71" s="170">
        <v>75</v>
      </c>
      <c r="TEJ71" s="169">
        <v>150</v>
      </c>
      <c r="TEK71" s="171">
        <f>SUM(TEF71:TEJ71)</f>
        <v>8625</v>
      </c>
      <c r="TEL71" s="169">
        <v>200</v>
      </c>
      <c r="TEM71" s="171">
        <f>SUM(TEK71:TEL71)</f>
        <v>8825</v>
      </c>
      <c r="TEN71" s="163" t="s">
        <v>114</v>
      </c>
      <c r="TEO71" s="164">
        <v>45845</v>
      </c>
      <c r="TEP71" s="159" t="s">
        <v>42</v>
      </c>
      <c r="TEQ71" s="354" t="s">
        <v>150</v>
      </c>
      <c r="TER71" s="165" t="s">
        <v>124</v>
      </c>
      <c r="TES71" s="352" t="s">
        <v>164</v>
      </c>
      <c r="TET71" s="353" t="s">
        <v>121</v>
      </c>
      <c r="TEU71" s="159" t="s">
        <v>18</v>
      </c>
      <c r="TEV71" s="160">
        <v>8100</v>
      </c>
      <c r="TEW71" s="169">
        <v>85</v>
      </c>
      <c r="TEX71" s="170">
        <v>215</v>
      </c>
      <c r="TEY71" s="170">
        <v>75</v>
      </c>
      <c r="TEZ71" s="169">
        <v>150</v>
      </c>
      <c r="TFA71" s="171">
        <f>SUM(TEV71:TEZ71)</f>
        <v>8625</v>
      </c>
      <c r="TFB71" s="169">
        <v>200</v>
      </c>
      <c r="TFC71" s="171">
        <f>SUM(TFA71:TFB71)</f>
        <v>8825</v>
      </c>
      <c r="TFD71" s="163" t="s">
        <v>114</v>
      </c>
      <c r="TFE71" s="164">
        <v>45845</v>
      </c>
      <c r="TFF71" s="159" t="s">
        <v>42</v>
      </c>
      <c r="TFG71" s="354" t="s">
        <v>150</v>
      </c>
      <c r="TFH71" s="165" t="s">
        <v>124</v>
      </c>
      <c r="TFI71" s="352" t="s">
        <v>164</v>
      </c>
      <c r="TFJ71" s="353" t="s">
        <v>121</v>
      </c>
      <c r="TFK71" s="159" t="s">
        <v>18</v>
      </c>
      <c r="TFL71" s="160">
        <v>8100</v>
      </c>
      <c r="TFM71" s="169">
        <v>85</v>
      </c>
      <c r="TFN71" s="170">
        <v>215</v>
      </c>
      <c r="TFO71" s="170">
        <v>75</v>
      </c>
      <c r="TFP71" s="169">
        <v>150</v>
      </c>
      <c r="TFQ71" s="171">
        <f>SUM(TFL71:TFP71)</f>
        <v>8625</v>
      </c>
      <c r="TFR71" s="169">
        <v>200</v>
      </c>
      <c r="TFS71" s="171">
        <f>SUM(TFQ71:TFR71)</f>
        <v>8825</v>
      </c>
      <c r="TFT71" s="163" t="s">
        <v>114</v>
      </c>
      <c r="TFU71" s="164">
        <v>45845</v>
      </c>
      <c r="TFV71" s="159" t="s">
        <v>42</v>
      </c>
      <c r="TFW71" s="354" t="s">
        <v>150</v>
      </c>
      <c r="TFX71" s="165" t="s">
        <v>124</v>
      </c>
      <c r="TFY71" s="352" t="s">
        <v>164</v>
      </c>
      <c r="TFZ71" s="353" t="s">
        <v>121</v>
      </c>
      <c r="TGA71" s="159" t="s">
        <v>18</v>
      </c>
      <c r="TGB71" s="160">
        <v>8100</v>
      </c>
      <c r="TGC71" s="169">
        <v>85</v>
      </c>
      <c r="TGD71" s="170">
        <v>215</v>
      </c>
      <c r="TGE71" s="170">
        <v>75</v>
      </c>
      <c r="TGF71" s="169">
        <v>150</v>
      </c>
      <c r="TGG71" s="171">
        <f>SUM(TGB71:TGF71)</f>
        <v>8625</v>
      </c>
      <c r="TGH71" s="169">
        <v>200</v>
      </c>
      <c r="TGI71" s="171">
        <f>SUM(TGG71:TGH71)</f>
        <v>8825</v>
      </c>
      <c r="TGJ71" s="163" t="s">
        <v>114</v>
      </c>
      <c r="TGK71" s="164">
        <v>45845</v>
      </c>
      <c r="TGL71" s="159" t="s">
        <v>42</v>
      </c>
      <c r="TGM71" s="354" t="s">
        <v>150</v>
      </c>
      <c r="TGN71" s="165" t="s">
        <v>124</v>
      </c>
      <c r="TGO71" s="352" t="s">
        <v>164</v>
      </c>
      <c r="TGP71" s="353" t="s">
        <v>121</v>
      </c>
      <c r="TGQ71" s="159" t="s">
        <v>18</v>
      </c>
      <c r="TGR71" s="160">
        <v>8100</v>
      </c>
      <c r="TGS71" s="169">
        <v>85</v>
      </c>
      <c r="TGT71" s="170">
        <v>215</v>
      </c>
      <c r="TGU71" s="170">
        <v>75</v>
      </c>
      <c r="TGV71" s="169">
        <v>150</v>
      </c>
      <c r="TGW71" s="171">
        <f>SUM(TGR71:TGV71)</f>
        <v>8625</v>
      </c>
      <c r="TGX71" s="169">
        <v>200</v>
      </c>
      <c r="TGY71" s="171">
        <f>SUM(TGW71:TGX71)</f>
        <v>8825</v>
      </c>
      <c r="TGZ71" s="163" t="s">
        <v>114</v>
      </c>
      <c r="THA71" s="164">
        <v>45845</v>
      </c>
      <c r="THB71" s="159" t="s">
        <v>42</v>
      </c>
      <c r="THC71" s="354" t="s">
        <v>150</v>
      </c>
      <c r="THD71" s="165" t="s">
        <v>124</v>
      </c>
      <c r="THE71" s="352" t="s">
        <v>164</v>
      </c>
      <c r="THF71" s="353" t="s">
        <v>121</v>
      </c>
      <c r="THG71" s="159" t="s">
        <v>18</v>
      </c>
      <c r="THH71" s="160">
        <v>8100</v>
      </c>
      <c r="THI71" s="169">
        <v>85</v>
      </c>
      <c r="THJ71" s="170">
        <v>215</v>
      </c>
      <c r="THK71" s="170">
        <v>75</v>
      </c>
      <c r="THL71" s="169">
        <v>150</v>
      </c>
      <c r="THM71" s="171">
        <f>SUM(THH71:THL71)</f>
        <v>8625</v>
      </c>
      <c r="THN71" s="169">
        <v>200</v>
      </c>
      <c r="THO71" s="171">
        <f>SUM(THM71:THN71)</f>
        <v>8825</v>
      </c>
      <c r="THP71" s="163" t="s">
        <v>114</v>
      </c>
      <c r="THQ71" s="164">
        <v>45845</v>
      </c>
      <c r="THR71" s="159" t="s">
        <v>42</v>
      </c>
      <c r="THS71" s="354" t="s">
        <v>150</v>
      </c>
      <c r="THT71" s="165" t="s">
        <v>124</v>
      </c>
      <c r="THU71" s="352" t="s">
        <v>164</v>
      </c>
      <c r="THV71" s="353" t="s">
        <v>121</v>
      </c>
      <c r="THW71" s="159" t="s">
        <v>18</v>
      </c>
      <c r="THX71" s="160">
        <v>8100</v>
      </c>
      <c r="THY71" s="169">
        <v>85</v>
      </c>
      <c r="THZ71" s="170">
        <v>215</v>
      </c>
      <c r="TIA71" s="170">
        <v>75</v>
      </c>
      <c r="TIB71" s="169">
        <v>150</v>
      </c>
      <c r="TIC71" s="171">
        <f>SUM(THX71:TIB71)</f>
        <v>8625</v>
      </c>
      <c r="TID71" s="169">
        <v>200</v>
      </c>
      <c r="TIE71" s="171">
        <f>SUM(TIC71:TID71)</f>
        <v>8825</v>
      </c>
      <c r="TIF71" s="163" t="s">
        <v>114</v>
      </c>
      <c r="TIG71" s="164">
        <v>45845</v>
      </c>
      <c r="TIH71" s="159" t="s">
        <v>42</v>
      </c>
      <c r="TII71" s="354" t="s">
        <v>150</v>
      </c>
      <c r="TIJ71" s="165" t="s">
        <v>124</v>
      </c>
      <c r="TIK71" s="352" t="s">
        <v>164</v>
      </c>
      <c r="TIL71" s="353" t="s">
        <v>121</v>
      </c>
      <c r="TIM71" s="159" t="s">
        <v>18</v>
      </c>
      <c r="TIN71" s="160">
        <v>8100</v>
      </c>
      <c r="TIO71" s="169">
        <v>85</v>
      </c>
      <c r="TIP71" s="170">
        <v>215</v>
      </c>
      <c r="TIQ71" s="170">
        <v>75</v>
      </c>
      <c r="TIR71" s="169">
        <v>150</v>
      </c>
      <c r="TIS71" s="171">
        <f>SUM(TIN71:TIR71)</f>
        <v>8625</v>
      </c>
      <c r="TIT71" s="169">
        <v>200</v>
      </c>
      <c r="TIU71" s="171">
        <f>SUM(TIS71:TIT71)</f>
        <v>8825</v>
      </c>
      <c r="TIV71" s="163" t="s">
        <v>114</v>
      </c>
      <c r="TIW71" s="164">
        <v>45845</v>
      </c>
      <c r="TIX71" s="159" t="s">
        <v>42</v>
      </c>
      <c r="TIY71" s="354" t="s">
        <v>150</v>
      </c>
      <c r="TIZ71" s="165" t="s">
        <v>124</v>
      </c>
      <c r="TJA71" s="352" t="s">
        <v>164</v>
      </c>
      <c r="TJB71" s="353" t="s">
        <v>121</v>
      </c>
      <c r="TJC71" s="159" t="s">
        <v>18</v>
      </c>
      <c r="TJD71" s="160">
        <v>8100</v>
      </c>
      <c r="TJE71" s="169">
        <v>85</v>
      </c>
      <c r="TJF71" s="170">
        <v>215</v>
      </c>
      <c r="TJG71" s="170">
        <v>75</v>
      </c>
      <c r="TJH71" s="169">
        <v>150</v>
      </c>
      <c r="TJI71" s="171">
        <f>SUM(TJD71:TJH71)</f>
        <v>8625</v>
      </c>
      <c r="TJJ71" s="169">
        <v>200</v>
      </c>
      <c r="TJK71" s="171">
        <f>SUM(TJI71:TJJ71)</f>
        <v>8825</v>
      </c>
      <c r="TJL71" s="163" t="s">
        <v>114</v>
      </c>
      <c r="TJM71" s="164">
        <v>45845</v>
      </c>
      <c r="TJN71" s="159" t="s">
        <v>42</v>
      </c>
      <c r="TJO71" s="354" t="s">
        <v>150</v>
      </c>
      <c r="TJP71" s="165" t="s">
        <v>124</v>
      </c>
      <c r="TJQ71" s="352" t="s">
        <v>164</v>
      </c>
      <c r="TJR71" s="353" t="s">
        <v>121</v>
      </c>
      <c r="TJS71" s="159" t="s">
        <v>18</v>
      </c>
      <c r="TJT71" s="160">
        <v>8100</v>
      </c>
      <c r="TJU71" s="169">
        <v>85</v>
      </c>
      <c r="TJV71" s="170">
        <v>215</v>
      </c>
      <c r="TJW71" s="170">
        <v>75</v>
      </c>
      <c r="TJX71" s="169">
        <v>150</v>
      </c>
      <c r="TJY71" s="171">
        <f>SUM(TJT71:TJX71)</f>
        <v>8625</v>
      </c>
      <c r="TJZ71" s="169">
        <v>200</v>
      </c>
      <c r="TKA71" s="171">
        <f>SUM(TJY71:TJZ71)</f>
        <v>8825</v>
      </c>
      <c r="TKB71" s="163" t="s">
        <v>114</v>
      </c>
      <c r="TKC71" s="164">
        <v>45845</v>
      </c>
      <c r="TKD71" s="159" t="s">
        <v>42</v>
      </c>
      <c r="TKE71" s="354" t="s">
        <v>150</v>
      </c>
      <c r="TKF71" s="165" t="s">
        <v>124</v>
      </c>
      <c r="TKG71" s="352" t="s">
        <v>164</v>
      </c>
      <c r="TKH71" s="353" t="s">
        <v>121</v>
      </c>
      <c r="TKI71" s="159" t="s">
        <v>18</v>
      </c>
      <c r="TKJ71" s="160">
        <v>8100</v>
      </c>
      <c r="TKK71" s="169">
        <v>85</v>
      </c>
      <c r="TKL71" s="170">
        <v>215</v>
      </c>
      <c r="TKM71" s="170">
        <v>75</v>
      </c>
      <c r="TKN71" s="169">
        <v>150</v>
      </c>
      <c r="TKO71" s="171">
        <f>SUM(TKJ71:TKN71)</f>
        <v>8625</v>
      </c>
      <c r="TKP71" s="169">
        <v>200</v>
      </c>
      <c r="TKQ71" s="171">
        <f>SUM(TKO71:TKP71)</f>
        <v>8825</v>
      </c>
      <c r="TKR71" s="163" t="s">
        <v>114</v>
      </c>
      <c r="TKS71" s="164">
        <v>45845</v>
      </c>
      <c r="TKT71" s="159" t="s">
        <v>42</v>
      </c>
      <c r="TKU71" s="354" t="s">
        <v>150</v>
      </c>
      <c r="TKV71" s="165" t="s">
        <v>124</v>
      </c>
      <c r="TKW71" s="352" t="s">
        <v>164</v>
      </c>
      <c r="TKX71" s="353" t="s">
        <v>121</v>
      </c>
      <c r="TKY71" s="159" t="s">
        <v>18</v>
      </c>
      <c r="TKZ71" s="160">
        <v>8100</v>
      </c>
      <c r="TLA71" s="169">
        <v>85</v>
      </c>
      <c r="TLB71" s="170">
        <v>215</v>
      </c>
      <c r="TLC71" s="170">
        <v>75</v>
      </c>
      <c r="TLD71" s="169">
        <v>150</v>
      </c>
      <c r="TLE71" s="171">
        <f>SUM(TKZ71:TLD71)</f>
        <v>8625</v>
      </c>
      <c r="TLF71" s="169">
        <v>200</v>
      </c>
      <c r="TLG71" s="171">
        <f>SUM(TLE71:TLF71)</f>
        <v>8825</v>
      </c>
      <c r="TLH71" s="163" t="s">
        <v>114</v>
      </c>
      <c r="TLI71" s="164">
        <v>45845</v>
      </c>
      <c r="TLJ71" s="159" t="s">
        <v>42</v>
      </c>
      <c r="TLK71" s="354" t="s">
        <v>150</v>
      </c>
      <c r="TLL71" s="165" t="s">
        <v>124</v>
      </c>
      <c r="TLM71" s="352" t="s">
        <v>164</v>
      </c>
      <c r="TLN71" s="353" t="s">
        <v>121</v>
      </c>
      <c r="TLO71" s="159" t="s">
        <v>18</v>
      </c>
      <c r="TLP71" s="160">
        <v>8100</v>
      </c>
      <c r="TLQ71" s="169">
        <v>85</v>
      </c>
      <c r="TLR71" s="170">
        <v>215</v>
      </c>
      <c r="TLS71" s="170">
        <v>75</v>
      </c>
      <c r="TLT71" s="169">
        <v>150</v>
      </c>
      <c r="TLU71" s="171">
        <f>SUM(TLP71:TLT71)</f>
        <v>8625</v>
      </c>
      <c r="TLV71" s="169">
        <v>200</v>
      </c>
      <c r="TLW71" s="171">
        <f>SUM(TLU71:TLV71)</f>
        <v>8825</v>
      </c>
      <c r="TLX71" s="163" t="s">
        <v>114</v>
      </c>
      <c r="TLY71" s="164">
        <v>45845</v>
      </c>
      <c r="TLZ71" s="159" t="s">
        <v>42</v>
      </c>
      <c r="TMA71" s="354" t="s">
        <v>150</v>
      </c>
      <c r="TMB71" s="165" t="s">
        <v>124</v>
      </c>
      <c r="TMC71" s="352" t="s">
        <v>164</v>
      </c>
      <c r="TMD71" s="353" t="s">
        <v>121</v>
      </c>
      <c r="TME71" s="159" t="s">
        <v>18</v>
      </c>
      <c r="TMF71" s="160">
        <v>8100</v>
      </c>
      <c r="TMG71" s="169">
        <v>85</v>
      </c>
      <c r="TMH71" s="170">
        <v>215</v>
      </c>
      <c r="TMI71" s="170">
        <v>75</v>
      </c>
      <c r="TMJ71" s="169">
        <v>150</v>
      </c>
      <c r="TMK71" s="171">
        <f>SUM(TMF71:TMJ71)</f>
        <v>8625</v>
      </c>
      <c r="TML71" s="169">
        <v>200</v>
      </c>
      <c r="TMM71" s="171">
        <f>SUM(TMK71:TML71)</f>
        <v>8825</v>
      </c>
      <c r="TMN71" s="163" t="s">
        <v>114</v>
      </c>
      <c r="TMO71" s="164">
        <v>45845</v>
      </c>
      <c r="TMP71" s="159" t="s">
        <v>42</v>
      </c>
      <c r="TMQ71" s="354" t="s">
        <v>150</v>
      </c>
      <c r="TMR71" s="165" t="s">
        <v>124</v>
      </c>
      <c r="TMS71" s="352" t="s">
        <v>164</v>
      </c>
      <c r="TMT71" s="353" t="s">
        <v>121</v>
      </c>
      <c r="TMU71" s="159" t="s">
        <v>18</v>
      </c>
      <c r="TMV71" s="160">
        <v>8100</v>
      </c>
      <c r="TMW71" s="169">
        <v>85</v>
      </c>
      <c r="TMX71" s="170">
        <v>215</v>
      </c>
      <c r="TMY71" s="170">
        <v>75</v>
      </c>
      <c r="TMZ71" s="169">
        <v>150</v>
      </c>
      <c r="TNA71" s="171">
        <f>SUM(TMV71:TMZ71)</f>
        <v>8625</v>
      </c>
      <c r="TNB71" s="169">
        <v>200</v>
      </c>
      <c r="TNC71" s="171">
        <f>SUM(TNA71:TNB71)</f>
        <v>8825</v>
      </c>
      <c r="TND71" s="163" t="s">
        <v>114</v>
      </c>
      <c r="TNE71" s="164">
        <v>45845</v>
      </c>
      <c r="TNF71" s="159" t="s">
        <v>42</v>
      </c>
      <c r="TNG71" s="354" t="s">
        <v>150</v>
      </c>
      <c r="TNH71" s="165" t="s">
        <v>124</v>
      </c>
      <c r="TNI71" s="352" t="s">
        <v>164</v>
      </c>
      <c r="TNJ71" s="353" t="s">
        <v>121</v>
      </c>
      <c r="TNK71" s="159" t="s">
        <v>18</v>
      </c>
      <c r="TNL71" s="160">
        <v>8100</v>
      </c>
      <c r="TNM71" s="169">
        <v>85</v>
      </c>
      <c r="TNN71" s="170">
        <v>215</v>
      </c>
      <c r="TNO71" s="170">
        <v>75</v>
      </c>
      <c r="TNP71" s="169">
        <v>150</v>
      </c>
      <c r="TNQ71" s="171">
        <f>SUM(TNL71:TNP71)</f>
        <v>8625</v>
      </c>
      <c r="TNR71" s="169">
        <v>200</v>
      </c>
      <c r="TNS71" s="171">
        <f>SUM(TNQ71:TNR71)</f>
        <v>8825</v>
      </c>
      <c r="TNT71" s="163" t="s">
        <v>114</v>
      </c>
      <c r="TNU71" s="164">
        <v>45845</v>
      </c>
      <c r="TNV71" s="159" t="s">
        <v>42</v>
      </c>
      <c r="TNW71" s="354" t="s">
        <v>150</v>
      </c>
      <c r="TNX71" s="165" t="s">
        <v>124</v>
      </c>
      <c r="TNY71" s="352" t="s">
        <v>164</v>
      </c>
      <c r="TNZ71" s="353" t="s">
        <v>121</v>
      </c>
      <c r="TOA71" s="159" t="s">
        <v>18</v>
      </c>
      <c r="TOB71" s="160">
        <v>8100</v>
      </c>
      <c r="TOC71" s="169">
        <v>85</v>
      </c>
      <c r="TOD71" s="170">
        <v>215</v>
      </c>
      <c r="TOE71" s="170">
        <v>75</v>
      </c>
      <c r="TOF71" s="169">
        <v>150</v>
      </c>
      <c r="TOG71" s="171">
        <f>SUM(TOB71:TOF71)</f>
        <v>8625</v>
      </c>
      <c r="TOH71" s="169">
        <v>200</v>
      </c>
      <c r="TOI71" s="171">
        <f>SUM(TOG71:TOH71)</f>
        <v>8825</v>
      </c>
      <c r="TOJ71" s="163" t="s">
        <v>114</v>
      </c>
      <c r="TOK71" s="164">
        <v>45845</v>
      </c>
      <c r="TOL71" s="159" t="s">
        <v>42</v>
      </c>
      <c r="TOM71" s="354" t="s">
        <v>150</v>
      </c>
      <c r="TON71" s="165" t="s">
        <v>124</v>
      </c>
      <c r="TOO71" s="352" t="s">
        <v>164</v>
      </c>
      <c r="TOP71" s="353" t="s">
        <v>121</v>
      </c>
      <c r="TOQ71" s="159" t="s">
        <v>18</v>
      </c>
      <c r="TOR71" s="160">
        <v>8100</v>
      </c>
      <c r="TOS71" s="169">
        <v>85</v>
      </c>
      <c r="TOT71" s="170">
        <v>215</v>
      </c>
      <c r="TOU71" s="170">
        <v>75</v>
      </c>
      <c r="TOV71" s="169">
        <v>150</v>
      </c>
      <c r="TOW71" s="171">
        <f>SUM(TOR71:TOV71)</f>
        <v>8625</v>
      </c>
      <c r="TOX71" s="169">
        <v>200</v>
      </c>
      <c r="TOY71" s="171">
        <f>SUM(TOW71:TOX71)</f>
        <v>8825</v>
      </c>
      <c r="TOZ71" s="163" t="s">
        <v>114</v>
      </c>
      <c r="TPA71" s="164">
        <v>45845</v>
      </c>
      <c r="TPB71" s="159" t="s">
        <v>42</v>
      </c>
      <c r="TPC71" s="354" t="s">
        <v>150</v>
      </c>
      <c r="TPD71" s="165" t="s">
        <v>124</v>
      </c>
      <c r="TPE71" s="352" t="s">
        <v>164</v>
      </c>
      <c r="TPF71" s="353" t="s">
        <v>121</v>
      </c>
      <c r="TPG71" s="159" t="s">
        <v>18</v>
      </c>
      <c r="TPH71" s="160">
        <v>8100</v>
      </c>
      <c r="TPI71" s="169">
        <v>85</v>
      </c>
      <c r="TPJ71" s="170">
        <v>215</v>
      </c>
      <c r="TPK71" s="170">
        <v>75</v>
      </c>
      <c r="TPL71" s="169">
        <v>150</v>
      </c>
      <c r="TPM71" s="171">
        <f>SUM(TPH71:TPL71)</f>
        <v>8625</v>
      </c>
      <c r="TPN71" s="169">
        <v>200</v>
      </c>
      <c r="TPO71" s="171">
        <f>SUM(TPM71:TPN71)</f>
        <v>8825</v>
      </c>
      <c r="TPP71" s="163" t="s">
        <v>114</v>
      </c>
      <c r="TPQ71" s="164">
        <v>45845</v>
      </c>
      <c r="TPR71" s="159" t="s">
        <v>42</v>
      </c>
      <c r="TPS71" s="354" t="s">
        <v>150</v>
      </c>
      <c r="TPT71" s="165" t="s">
        <v>124</v>
      </c>
      <c r="TPU71" s="352" t="s">
        <v>164</v>
      </c>
      <c r="TPV71" s="353" t="s">
        <v>121</v>
      </c>
      <c r="TPW71" s="159" t="s">
        <v>18</v>
      </c>
      <c r="TPX71" s="160">
        <v>8100</v>
      </c>
      <c r="TPY71" s="169">
        <v>85</v>
      </c>
      <c r="TPZ71" s="170">
        <v>215</v>
      </c>
      <c r="TQA71" s="170">
        <v>75</v>
      </c>
      <c r="TQB71" s="169">
        <v>150</v>
      </c>
      <c r="TQC71" s="171">
        <f>SUM(TPX71:TQB71)</f>
        <v>8625</v>
      </c>
      <c r="TQD71" s="169">
        <v>200</v>
      </c>
      <c r="TQE71" s="171">
        <f>SUM(TQC71:TQD71)</f>
        <v>8825</v>
      </c>
      <c r="TQF71" s="163" t="s">
        <v>114</v>
      </c>
      <c r="TQG71" s="164">
        <v>45845</v>
      </c>
      <c r="TQH71" s="159" t="s">
        <v>42</v>
      </c>
      <c r="TQI71" s="354" t="s">
        <v>150</v>
      </c>
      <c r="TQJ71" s="165" t="s">
        <v>124</v>
      </c>
      <c r="TQK71" s="352" t="s">
        <v>164</v>
      </c>
      <c r="TQL71" s="353" t="s">
        <v>121</v>
      </c>
      <c r="TQM71" s="159" t="s">
        <v>18</v>
      </c>
      <c r="TQN71" s="160">
        <v>8100</v>
      </c>
      <c r="TQO71" s="169">
        <v>85</v>
      </c>
      <c r="TQP71" s="170">
        <v>215</v>
      </c>
      <c r="TQQ71" s="170">
        <v>75</v>
      </c>
      <c r="TQR71" s="169">
        <v>150</v>
      </c>
      <c r="TQS71" s="171">
        <f>SUM(TQN71:TQR71)</f>
        <v>8625</v>
      </c>
      <c r="TQT71" s="169">
        <v>200</v>
      </c>
      <c r="TQU71" s="171">
        <f>SUM(TQS71:TQT71)</f>
        <v>8825</v>
      </c>
      <c r="TQV71" s="163" t="s">
        <v>114</v>
      </c>
      <c r="TQW71" s="164">
        <v>45845</v>
      </c>
      <c r="TQX71" s="159" t="s">
        <v>42</v>
      </c>
      <c r="TQY71" s="354" t="s">
        <v>150</v>
      </c>
      <c r="TQZ71" s="165" t="s">
        <v>124</v>
      </c>
      <c r="TRA71" s="352" t="s">
        <v>164</v>
      </c>
      <c r="TRB71" s="353" t="s">
        <v>121</v>
      </c>
      <c r="TRC71" s="159" t="s">
        <v>18</v>
      </c>
      <c r="TRD71" s="160">
        <v>8100</v>
      </c>
      <c r="TRE71" s="169">
        <v>85</v>
      </c>
      <c r="TRF71" s="170">
        <v>215</v>
      </c>
      <c r="TRG71" s="170">
        <v>75</v>
      </c>
      <c r="TRH71" s="169">
        <v>150</v>
      </c>
      <c r="TRI71" s="171">
        <f>SUM(TRD71:TRH71)</f>
        <v>8625</v>
      </c>
      <c r="TRJ71" s="169">
        <v>200</v>
      </c>
      <c r="TRK71" s="171">
        <f>SUM(TRI71:TRJ71)</f>
        <v>8825</v>
      </c>
      <c r="TRL71" s="163" t="s">
        <v>114</v>
      </c>
      <c r="TRM71" s="164">
        <v>45845</v>
      </c>
      <c r="TRN71" s="159" t="s">
        <v>42</v>
      </c>
      <c r="TRO71" s="354" t="s">
        <v>150</v>
      </c>
      <c r="TRP71" s="165" t="s">
        <v>124</v>
      </c>
      <c r="TRQ71" s="352" t="s">
        <v>164</v>
      </c>
      <c r="TRR71" s="353" t="s">
        <v>121</v>
      </c>
      <c r="TRS71" s="159" t="s">
        <v>18</v>
      </c>
      <c r="TRT71" s="160">
        <v>8100</v>
      </c>
      <c r="TRU71" s="169">
        <v>85</v>
      </c>
      <c r="TRV71" s="170">
        <v>215</v>
      </c>
      <c r="TRW71" s="170">
        <v>75</v>
      </c>
      <c r="TRX71" s="169">
        <v>150</v>
      </c>
      <c r="TRY71" s="171">
        <f>SUM(TRT71:TRX71)</f>
        <v>8625</v>
      </c>
      <c r="TRZ71" s="169">
        <v>200</v>
      </c>
      <c r="TSA71" s="171">
        <f>SUM(TRY71:TRZ71)</f>
        <v>8825</v>
      </c>
      <c r="TSB71" s="163" t="s">
        <v>114</v>
      </c>
      <c r="TSC71" s="164">
        <v>45845</v>
      </c>
      <c r="TSD71" s="159" t="s">
        <v>42</v>
      </c>
      <c r="TSE71" s="354" t="s">
        <v>150</v>
      </c>
      <c r="TSF71" s="165" t="s">
        <v>124</v>
      </c>
      <c r="TSG71" s="352" t="s">
        <v>164</v>
      </c>
      <c r="TSH71" s="353" t="s">
        <v>121</v>
      </c>
      <c r="TSI71" s="159" t="s">
        <v>18</v>
      </c>
      <c r="TSJ71" s="160">
        <v>8100</v>
      </c>
      <c r="TSK71" s="169">
        <v>85</v>
      </c>
      <c r="TSL71" s="170">
        <v>215</v>
      </c>
      <c r="TSM71" s="170">
        <v>75</v>
      </c>
      <c r="TSN71" s="169">
        <v>150</v>
      </c>
      <c r="TSO71" s="171">
        <f>SUM(TSJ71:TSN71)</f>
        <v>8625</v>
      </c>
      <c r="TSP71" s="169">
        <v>200</v>
      </c>
      <c r="TSQ71" s="171">
        <f>SUM(TSO71:TSP71)</f>
        <v>8825</v>
      </c>
      <c r="TSR71" s="163" t="s">
        <v>114</v>
      </c>
      <c r="TSS71" s="164">
        <v>45845</v>
      </c>
      <c r="TST71" s="159" t="s">
        <v>42</v>
      </c>
      <c r="TSU71" s="354" t="s">
        <v>150</v>
      </c>
      <c r="TSV71" s="165" t="s">
        <v>124</v>
      </c>
      <c r="TSW71" s="352" t="s">
        <v>164</v>
      </c>
      <c r="TSX71" s="353" t="s">
        <v>121</v>
      </c>
      <c r="TSY71" s="159" t="s">
        <v>18</v>
      </c>
      <c r="TSZ71" s="160">
        <v>8100</v>
      </c>
      <c r="TTA71" s="169">
        <v>85</v>
      </c>
      <c r="TTB71" s="170">
        <v>215</v>
      </c>
      <c r="TTC71" s="170">
        <v>75</v>
      </c>
      <c r="TTD71" s="169">
        <v>150</v>
      </c>
      <c r="TTE71" s="171">
        <f>SUM(TSZ71:TTD71)</f>
        <v>8625</v>
      </c>
      <c r="TTF71" s="169">
        <v>200</v>
      </c>
      <c r="TTG71" s="171">
        <f>SUM(TTE71:TTF71)</f>
        <v>8825</v>
      </c>
      <c r="TTH71" s="163" t="s">
        <v>114</v>
      </c>
      <c r="TTI71" s="164">
        <v>45845</v>
      </c>
      <c r="TTJ71" s="159" t="s">
        <v>42</v>
      </c>
      <c r="TTK71" s="354" t="s">
        <v>150</v>
      </c>
      <c r="TTL71" s="165" t="s">
        <v>124</v>
      </c>
      <c r="TTM71" s="352" t="s">
        <v>164</v>
      </c>
      <c r="TTN71" s="353" t="s">
        <v>121</v>
      </c>
      <c r="TTO71" s="159" t="s">
        <v>18</v>
      </c>
      <c r="TTP71" s="160">
        <v>8100</v>
      </c>
      <c r="TTQ71" s="169">
        <v>85</v>
      </c>
      <c r="TTR71" s="170">
        <v>215</v>
      </c>
      <c r="TTS71" s="170">
        <v>75</v>
      </c>
      <c r="TTT71" s="169">
        <v>150</v>
      </c>
      <c r="TTU71" s="171">
        <f>SUM(TTP71:TTT71)</f>
        <v>8625</v>
      </c>
      <c r="TTV71" s="169">
        <v>200</v>
      </c>
      <c r="TTW71" s="171">
        <f>SUM(TTU71:TTV71)</f>
        <v>8825</v>
      </c>
      <c r="TTX71" s="163" t="s">
        <v>114</v>
      </c>
      <c r="TTY71" s="164">
        <v>45845</v>
      </c>
      <c r="TTZ71" s="159" t="s">
        <v>42</v>
      </c>
      <c r="TUA71" s="354" t="s">
        <v>150</v>
      </c>
      <c r="TUB71" s="165" t="s">
        <v>124</v>
      </c>
      <c r="TUC71" s="352" t="s">
        <v>164</v>
      </c>
      <c r="TUD71" s="353" t="s">
        <v>121</v>
      </c>
      <c r="TUE71" s="159" t="s">
        <v>18</v>
      </c>
      <c r="TUF71" s="160">
        <v>8100</v>
      </c>
      <c r="TUG71" s="169">
        <v>85</v>
      </c>
      <c r="TUH71" s="170">
        <v>215</v>
      </c>
      <c r="TUI71" s="170">
        <v>75</v>
      </c>
      <c r="TUJ71" s="169">
        <v>150</v>
      </c>
      <c r="TUK71" s="171">
        <f>SUM(TUF71:TUJ71)</f>
        <v>8625</v>
      </c>
      <c r="TUL71" s="169">
        <v>200</v>
      </c>
      <c r="TUM71" s="171">
        <f>SUM(TUK71:TUL71)</f>
        <v>8825</v>
      </c>
      <c r="TUN71" s="163" t="s">
        <v>114</v>
      </c>
      <c r="TUO71" s="164">
        <v>45845</v>
      </c>
      <c r="TUP71" s="159" t="s">
        <v>42</v>
      </c>
      <c r="TUQ71" s="354" t="s">
        <v>150</v>
      </c>
      <c r="TUR71" s="165" t="s">
        <v>124</v>
      </c>
      <c r="TUS71" s="352" t="s">
        <v>164</v>
      </c>
      <c r="TUT71" s="353" t="s">
        <v>121</v>
      </c>
      <c r="TUU71" s="159" t="s">
        <v>18</v>
      </c>
      <c r="TUV71" s="160">
        <v>8100</v>
      </c>
      <c r="TUW71" s="169">
        <v>85</v>
      </c>
      <c r="TUX71" s="170">
        <v>215</v>
      </c>
      <c r="TUY71" s="170">
        <v>75</v>
      </c>
      <c r="TUZ71" s="169">
        <v>150</v>
      </c>
      <c r="TVA71" s="171">
        <f>SUM(TUV71:TUZ71)</f>
        <v>8625</v>
      </c>
      <c r="TVB71" s="169">
        <v>200</v>
      </c>
      <c r="TVC71" s="171">
        <f>SUM(TVA71:TVB71)</f>
        <v>8825</v>
      </c>
      <c r="TVD71" s="163" t="s">
        <v>114</v>
      </c>
      <c r="TVE71" s="164">
        <v>45845</v>
      </c>
      <c r="TVF71" s="159" t="s">
        <v>42</v>
      </c>
      <c r="TVG71" s="354" t="s">
        <v>150</v>
      </c>
      <c r="TVH71" s="165" t="s">
        <v>124</v>
      </c>
      <c r="TVI71" s="352" t="s">
        <v>164</v>
      </c>
      <c r="TVJ71" s="353" t="s">
        <v>121</v>
      </c>
      <c r="TVK71" s="159" t="s">
        <v>18</v>
      </c>
      <c r="TVL71" s="160">
        <v>8100</v>
      </c>
      <c r="TVM71" s="169">
        <v>85</v>
      </c>
      <c r="TVN71" s="170">
        <v>215</v>
      </c>
      <c r="TVO71" s="170">
        <v>75</v>
      </c>
      <c r="TVP71" s="169">
        <v>150</v>
      </c>
      <c r="TVQ71" s="171">
        <f>SUM(TVL71:TVP71)</f>
        <v>8625</v>
      </c>
      <c r="TVR71" s="169">
        <v>200</v>
      </c>
      <c r="TVS71" s="171">
        <f>SUM(TVQ71:TVR71)</f>
        <v>8825</v>
      </c>
      <c r="TVT71" s="163" t="s">
        <v>114</v>
      </c>
      <c r="TVU71" s="164">
        <v>45845</v>
      </c>
      <c r="TVV71" s="159" t="s">
        <v>42</v>
      </c>
      <c r="TVW71" s="354" t="s">
        <v>150</v>
      </c>
      <c r="TVX71" s="165" t="s">
        <v>124</v>
      </c>
      <c r="TVY71" s="352" t="s">
        <v>164</v>
      </c>
      <c r="TVZ71" s="353" t="s">
        <v>121</v>
      </c>
      <c r="TWA71" s="159" t="s">
        <v>18</v>
      </c>
      <c r="TWB71" s="160">
        <v>8100</v>
      </c>
      <c r="TWC71" s="169">
        <v>85</v>
      </c>
      <c r="TWD71" s="170">
        <v>215</v>
      </c>
      <c r="TWE71" s="170">
        <v>75</v>
      </c>
      <c r="TWF71" s="169">
        <v>150</v>
      </c>
      <c r="TWG71" s="171">
        <f>SUM(TWB71:TWF71)</f>
        <v>8625</v>
      </c>
      <c r="TWH71" s="169">
        <v>200</v>
      </c>
      <c r="TWI71" s="171">
        <f>SUM(TWG71:TWH71)</f>
        <v>8825</v>
      </c>
      <c r="TWJ71" s="163" t="s">
        <v>114</v>
      </c>
      <c r="TWK71" s="164">
        <v>45845</v>
      </c>
      <c r="TWL71" s="159" t="s">
        <v>42</v>
      </c>
      <c r="TWM71" s="354" t="s">
        <v>150</v>
      </c>
      <c r="TWN71" s="165" t="s">
        <v>124</v>
      </c>
      <c r="TWO71" s="352" t="s">
        <v>164</v>
      </c>
      <c r="TWP71" s="353" t="s">
        <v>121</v>
      </c>
      <c r="TWQ71" s="159" t="s">
        <v>18</v>
      </c>
      <c r="TWR71" s="160">
        <v>8100</v>
      </c>
      <c r="TWS71" s="169">
        <v>85</v>
      </c>
      <c r="TWT71" s="170">
        <v>215</v>
      </c>
      <c r="TWU71" s="170">
        <v>75</v>
      </c>
      <c r="TWV71" s="169">
        <v>150</v>
      </c>
      <c r="TWW71" s="171">
        <f>SUM(TWR71:TWV71)</f>
        <v>8625</v>
      </c>
      <c r="TWX71" s="169">
        <v>200</v>
      </c>
      <c r="TWY71" s="171">
        <f>SUM(TWW71:TWX71)</f>
        <v>8825</v>
      </c>
      <c r="TWZ71" s="163" t="s">
        <v>114</v>
      </c>
      <c r="TXA71" s="164">
        <v>45845</v>
      </c>
      <c r="TXB71" s="159" t="s">
        <v>42</v>
      </c>
      <c r="TXC71" s="354" t="s">
        <v>150</v>
      </c>
      <c r="TXD71" s="165" t="s">
        <v>124</v>
      </c>
      <c r="TXE71" s="352" t="s">
        <v>164</v>
      </c>
      <c r="TXF71" s="353" t="s">
        <v>121</v>
      </c>
      <c r="TXG71" s="159" t="s">
        <v>18</v>
      </c>
      <c r="TXH71" s="160">
        <v>8100</v>
      </c>
      <c r="TXI71" s="169">
        <v>85</v>
      </c>
      <c r="TXJ71" s="170">
        <v>215</v>
      </c>
      <c r="TXK71" s="170">
        <v>75</v>
      </c>
      <c r="TXL71" s="169">
        <v>150</v>
      </c>
      <c r="TXM71" s="171">
        <f>SUM(TXH71:TXL71)</f>
        <v>8625</v>
      </c>
      <c r="TXN71" s="169">
        <v>200</v>
      </c>
      <c r="TXO71" s="171">
        <f>SUM(TXM71:TXN71)</f>
        <v>8825</v>
      </c>
      <c r="TXP71" s="163" t="s">
        <v>114</v>
      </c>
      <c r="TXQ71" s="164">
        <v>45845</v>
      </c>
      <c r="TXR71" s="159" t="s">
        <v>42</v>
      </c>
      <c r="TXS71" s="354" t="s">
        <v>150</v>
      </c>
      <c r="TXT71" s="165" t="s">
        <v>124</v>
      </c>
      <c r="TXU71" s="352" t="s">
        <v>164</v>
      </c>
      <c r="TXV71" s="353" t="s">
        <v>121</v>
      </c>
      <c r="TXW71" s="159" t="s">
        <v>18</v>
      </c>
      <c r="TXX71" s="160">
        <v>8100</v>
      </c>
      <c r="TXY71" s="169">
        <v>85</v>
      </c>
      <c r="TXZ71" s="170">
        <v>215</v>
      </c>
      <c r="TYA71" s="170">
        <v>75</v>
      </c>
      <c r="TYB71" s="169">
        <v>150</v>
      </c>
      <c r="TYC71" s="171">
        <f>SUM(TXX71:TYB71)</f>
        <v>8625</v>
      </c>
      <c r="TYD71" s="169">
        <v>200</v>
      </c>
      <c r="TYE71" s="171">
        <f>SUM(TYC71:TYD71)</f>
        <v>8825</v>
      </c>
      <c r="TYF71" s="163" t="s">
        <v>114</v>
      </c>
      <c r="TYG71" s="164">
        <v>45845</v>
      </c>
      <c r="TYH71" s="159" t="s">
        <v>42</v>
      </c>
      <c r="TYI71" s="354" t="s">
        <v>150</v>
      </c>
      <c r="TYJ71" s="165" t="s">
        <v>124</v>
      </c>
      <c r="TYK71" s="352" t="s">
        <v>164</v>
      </c>
      <c r="TYL71" s="353" t="s">
        <v>121</v>
      </c>
      <c r="TYM71" s="159" t="s">
        <v>18</v>
      </c>
      <c r="TYN71" s="160">
        <v>8100</v>
      </c>
      <c r="TYO71" s="169">
        <v>85</v>
      </c>
      <c r="TYP71" s="170">
        <v>215</v>
      </c>
      <c r="TYQ71" s="170">
        <v>75</v>
      </c>
      <c r="TYR71" s="169">
        <v>150</v>
      </c>
      <c r="TYS71" s="171">
        <f>SUM(TYN71:TYR71)</f>
        <v>8625</v>
      </c>
      <c r="TYT71" s="169">
        <v>200</v>
      </c>
      <c r="TYU71" s="171">
        <f>SUM(TYS71:TYT71)</f>
        <v>8825</v>
      </c>
      <c r="TYV71" s="163" t="s">
        <v>114</v>
      </c>
      <c r="TYW71" s="164">
        <v>45845</v>
      </c>
      <c r="TYX71" s="159" t="s">
        <v>42</v>
      </c>
      <c r="TYY71" s="354" t="s">
        <v>150</v>
      </c>
      <c r="TYZ71" s="165" t="s">
        <v>124</v>
      </c>
      <c r="TZA71" s="352" t="s">
        <v>164</v>
      </c>
      <c r="TZB71" s="353" t="s">
        <v>121</v>
      </c>
      <c r="TZC71" s="159" t="s">
        <v>18</v>
      </c>
      <c r="TZD71" s="160">
        <v>8100</v>
      </c>
      <c r="TZE71" s="169">
        <v>85</v>
      </c>
      <c r="TZF71" s="170">
        <v>215</v>
      </c>
      <c r="TZG71" s="170">
        <v>75</v>
      </c>
      <c r="TZH71" s="169">
        <v>150</v>
      </c>
      <c r="TZI71" s="171">
        <f>SUM(TZD71:TZH71)</f>
        <v>8625</v>
      </c>
      <c r="TZJ71" s="169">
        <v>200</v>
      </c>
      <c r="TZK71" s="171">
        <f>SUM(TZI71:TZJ71)</f>
        <v>8825</v>
      </c>
      <c r="TZL71" s="163" t="s">
        <v>114</v>
      </c>
      <c r="TZM71" s="164">
        <v>45845</v>
      </c>
      <c r="TZN71" s="159" t="s">
        <v>42</v>
      </c>
      <c r="TZO71" s="354" t="s">
        <v>150</v>
      </c>
      <c r="TZP71" s="165" t="s">
        <v>124</v>
      </c>
      <c r="TZQ71" s="352" t="s">
        <v>164</v>
      </c>
      <c r="TZR71" s="353" t="s">
        <v>121</v>
      </c>
      <c r="TZS71" s="159" t="s">
        <v>18</v>
      </c>
      <c r="TZT71" s="160">
        <v>8100</v>
      </c>
      <c r="TZU71" s="169">
        <v>85</v>
      </c>
      <c r="TZV71" s="170">
        <v>215</v>
      </c>
      <c r="TZW71" s="170">
        <v>75</v>
      </c>
      <c r="TZX71" s="169">
        <v>150</v>
      </c>
      <c r="TZY71" s="171">
        <f>SUM(TZT71:TZX71)</f>
        <v>8625</v>
      </c>
      <c r="TZZ71" s="169">
        <v>200</v>
      </c>
      <c r="UAA71" s="171">
        <f>SUM(TZY71:TZZ71)</f>
        <v>8825</v>
      </c>
      <c r="UAB71" s="163" t="s">
        <v>114</v>
      </c>
      <c r="UAC71" s="164">
        <v>45845</v>
      </c>
      <c r="UAD71" s="159" t="s">
        <v>42</v>
      </c>
      <c r="UAE71" s="354" t="s">
        <v>150</v>
      </c>
      <c r="UAF71" s="165" t="s">
        <v>124</v>
      </c>
      <c r="UAG71" s="352" t="s">
        <v>164</v>
      </c>
      <c r="UAH71" s="353" t="s">
        <v>121</v>
      </c>
      <c r="UAI71" s="159" t="s">
        <v>18</v>
      </c>
      <c r="UAJ71" s="160">
        <v>8100</v>
      </c>
      <c r="UAK71" s="169">
        <v>85</v>
      </c>
      <c r="UAL71" s="170">
        <v>215</v>
      </c>
      <c r="UAM71" s="170">
        <v>75</v>
      </c>
      <c r="UAN71" s="169">
        <v>150</v>
      </c>
      <c r="UAO71" s="171">
        <f>SUM(UAJ71:UAN71)</f>
        <v>8625</v>
      </c>
      <c r="UAP71" s="169">
        <v>200</v>
      </c>
      <c r="UAQ71" s="171">
        <f>SUM(UAO71:UAP71)</f>
        <v>8825</v>
      </c>
      <c r="UAR71" s="163" t="s">
        <v>114</v>
      </c>
      <c r="UAS71" s="164">
        <v>45845</v>
      </c>
      <c r="UAT71" s="159" t="s">
        <v>42</v>
      </c>
      <c r="UAU71" s="354" t="s">
        <v>150</v>
      </c>
      <c r="UAV71" s="165" t="s">
        <v>124</v>
      </c>
      <c r="UAW71" s="352" t="s">
        <v>164</v>
      </c>
      <c r="UAX71" s="353" t="s">
        <v>121</v>
      </c>
      <c r="UAY71" s="159" t="s">
        <v>18</v>
      </c>
      <c r="UAZ71" s="160">
        <v>8100</v>
      </c>
      <c r="UBA71" s="169">
        <v>85</v>
      </c>
      <c r="UBB71" s="170">
        <v>215</v>
      </c>
      <c r="UBC71" s="170">
        <v>75</v>
      </c>
      <c r="UBD71" s="169">
        <v>150</v>
      </c>
      <c r="UBE71" s="171">
        <f>SUM(UAZ71:UBD71)</f>
        <v>8625</v>
      </c>
      <c r="UBF71" s="169">
        <v>200</v>
      </c>
      <c r="UBG71" s="171">
        <f>SUM(UBE71:UBF71)</f>
        <v>8825</v>
      </c>
      <c r="UBH71" s="163" t="s">
        <v>114</v>
      </c>
      <c r="UBI71" s="164">
        <v>45845</v>
      </c>
      <c r="UBJ71" s="159" t="s">
        <v>42</v>
      </c>
      <c r="UBK71" s="354" t="s">
        <v>150</v>
      </c>
      <c r="UBL71" s="165" t="s">
        <v>124</v>
      </c>
      <c r="UBM71" s="352" t="s">
        <v>164</v>
      </c>
      <c r="UBN71" s="353" t="s">
        <v>121</v>
      </c>
      <c r="UBO71" s="159" t="s">
        <v>18</v>
      </c>
      <c r="UBP71" s="160">
        <v>8100</v>
      </c>
      <c r="UBQ71" s="169">
        <v>85</v>
      </c>
      <c r="UBR71" s="170">
        <v>215</v>
      </c>
      <c r="UBS71" s="170">
        <v>75</v>
      </c>
      <c r="UBT71" s="169">
        <v>150</v>
      </c>
      <c r="UBU71" s="171">
        <f>SUM(UBP71:UBT71)</f>
        <v>8625</v>
      </c>
      <c r="UBV71" s="169">
        <v>200</v>
      </c>
      <c r="UBW71" s="171">
        <f>SUM(UBU71:UBV71)</f>
        <v>8825</v>
      </c>
      <c r="UBX71" s="163" t="s">
        <v>114</v>
      </c>
      <c r="UBY71" s="164">
        <v>45845</v>
      </c>
      <c r="UBZ71" s="159" t="s">
        <v>42</v>
      </c>
      <c r="UCA71" s="354" t="s">
        <v>150</v>
      </c>
      <c r="UCB71" s="165" t="s">
        <v>124</v>
      </c>
      <c r="UCC71" s="352" t="s">
        <v>164</v>
      </c>
      <c r="UCD71" s="353" t="s">
        <v>121</v>
      </c>
      <c r="UCE71" s="159" t="s">
        <v>18</v>
      </c>
      <c r="UCF71" s="160">
        <v>8100</v>
      </c>
      <c r="UCG71" s="169">
        <v>85</v>
      </c>
      <c r="UCH71" s="170">
        <v>215</v>
      </c>
      <c r="UCI71" s="170">
        <v>75</v>
      </c>
      <c r="UCJ71" s="169">
        <v>150</v>
      </c>
      <c r="UCK71" s="171">
        <f>SUM(UCF71:UCJ71)</f>
        <v>8625</v>
      </c>
      <c r="UCL71" s="169">
        <v>200</v>
      </c>
      <c r="UCM71" s="171">
        <f>SUM(UCK71:UCL71)</f>
        <v>8825</v>
      </c>
      <c r="UCN71" s="163" t="s">
        <v>114</v>
      </c>
      <c r="UCO71" s="164">
        <v>45845</v>
      </c>
      <c r="UCP71" s="159" t="s">
        <v>42</v>
      </c>
      <c r="UCQ71" s="354" t="s">
        <v>150</v>
      </c>
      <c r="UCR71" s="165" t="s">
        <v>124</v>
      </c>
      <c r="UCS71" s="352" t="s">
        <v>164</v>
      </c>
      <c r="UCT71" s="353" t="s">
        <v>121</v>
      </c>
      <c r="UCU71" s="159" t="s">
        <v>18</v>
      </c>
      <c r="UCV71" s="160">
        <v>8100</v>
      </c>
      <c r="UCW71" s="169">
        <v>85</v>
      </c>
      <c r="UCX71" s="170">
        <v>215</v>
      </c>
      <c r="UCY71" s="170">
        <v>75</v>
      </c>
      <c r="UCZ71" s="169">
        <v>150</v>
      </c>
      <c r="UDA71" s="171">
        <f>SUM(UCV71:UCZ71)</f>
        <v>8625</v>
      </c>
      <c r="UDB71" s="169">
        <v>200</v>
      </c>
      <c r="UDC71" s="171">
        <f>SUM(UDA71:UDB71)</f>
        <v>8825</v>
      </c>
      <c r="UDD71" s="163" t="s">
        <v>114</v>
      </c>
      <c r="UDE71" s="164">
        <v>45845</v>
      </c>
      <c r="UDF71" s="159" t="s">
        <v>42</v>
      </c>
      <c r="UDG71" s="354" t="s">
        <v>150</v>
      </c>
      <c r="UDH71" s="165" t="s">
        <v>124</v>
      </c>
      <c r="UDI71" s="352" t="s">
        <v>164</v>
      </c>
      <c r="UDJ71" s="353" t="s">
        <v>121</v>
      </c>
      <c r="UDK71" s="159" t="s">
        <v>18</v>
      </c>
      <c r="UDL71" s="160">
        <v>8100</v>
      </c>
      <c r="UDM71" s="169">
        <v>85</v>
      </c>
      <c r="UDN71" s="170">
        <v>215</v>
      </c>
      <c r="UDO71" s="170">
        <v>75</v>
      </c>
      <c r="UDP71" s="169">
        <v>150</v>
      </c>
      <c r="UDQ71" s="171">
        <f>SUM(UDL71:UDP71)</f>
        <v>8625</v>
      </c>
      <c r="UDR71" s="169">
        <v>200</v>
      </c>
      <c r="UDS71" s="171">
        <f>SUM(UDQ71:UDR71)</f>
        <v>8825</v>
      </c>
      <c r="UDT71" s="163" t="s">
        <v>114</v>
      </c>
      <c r="UDU71" s="164">
        <v>45845</v>
      </c>
      <c r="UDV71" s="159" t="s">
        <v>42</v>
      </c>
      <c r="UDW71" s="354" t="s">
        <v>150</v>
      </c>
      <c r="UDX71" s="165" t="s">
        <v>124</v>
      </c>
      <c r="UDY71" s="352" t="s">
        <v>164</v>
      </c>
      <c r="UDZ71" s="353" t="s">
        <v>121</v>
      </c>
      <c r="UEA71" s="159" t="s">
        <v>18</v>
      </c>
      <c r="UEB71" s="160">
        <v>8100</v>
      </c>
      <c r="UEC71" s="169">
        <v>85</v>
      </c>
      <c r="UED71" s="170">
        <v>215</v>
      </c>
      <c r="UEE71" s="170">
        <v>75</v>
      </c>
      <c r="UEF71" s="169">
        <v>150</v>
      </c>
      <c r="UEG71" s="171">
        <f>SUM(UEB71:UEF71)</f>
        <v>8625</v>
      </c>
      <c r="UEH71" s="169">
        <v>200</v>
      </c>
      <c r="UEI71" s="171">
        <f>SUM(UEG71:UEH71)</f>
        <v>8825</v>
      </c>
      <c r="UEJ71" s="163" t="s">
        <v>114</v>
      </c>
      <c r="UEK71" s="164">
        <v>45845</v>
      </c>
      <c r="UEL71" s="159" t="s">
        <v>42</v>
      </c>
      <c r="UEM71" s="354" t="s">
        <v>150</v>
      </c>
      <c r="UEN71" s="165" t="s">
        <v>124</v>
      </c>
      <c r="UEO71" s="352" t="s">
        <v>164</v>
      </c>
      <c r="UEP71" s="353" t="s">
        <v>121</v>
      </c>
      <c r="UEQ71" s="159" t="s">
        <v>18</v>
      </c>
      <c r="UER71" s="160">
        <v>8100</v>
      </c>
      <c r="UES71" s="169">
        <v>85</v>
      </c>
      <c r="UET71" s="170">
        <v>215</v>
      </c>
      <c r="UEU71" s="170">
        <v>75</v>
      </c>
      <c r="UEV71" s="169">
        <v>150</v>
      </c>
      <c r="UEW71" s="171">
        <f>SUM(UER71:UEV71)</f>
        <v>8625</v>
      </c>
      <c r="UEX71" s="169">
        <v>200</v>
      </c>
      <c r="UEY71" s="171">
        <f>SUM(UEW71:UEX71)</f>
        <v>8825</v>
      </c>
      <c r="UEZ71" s="163" t="s">
        <v>114</v>
      </c>
      <c r="UFA71" s="164">
        <v>45845</v>
      </c>
      <c r="UFB71" s="159" t="s">
        <v>42</v>
      </c>
      <c r="UFC71" s="354" t="s">
        <v>150</v>
      </c>
      <c r="UFD71" s="165" t="s">
        <v>124</v>
      </c>
      <c r="UFE71" s="352" t="s">
        <v>164</v>
      </c>
      <c r="UFF71" s="353" t="s">
        <v>121</v>
      </c>
      <c r="UFG71" s="159" t="s">
        <v>18</v>
      </c>
      <c r="UFH71" s="160">
        <v>8100</v>
      </c>
      <c r="UFI71" s="169">
        <v>85</v>
      </c>
      <c r="UFJ71" s="170">
        <v>215</v>
      </c>
      <c r="UFK71" s="170">
        <v>75</v>
      </c>
      <c r="UFL71" s="169">
        <v>150</v>
      </c>
      <c r="UFM71" s="171">
        <f>SUM(UFH71:UFL71)</f>
        <v>8625</v>
      </c>
      <c r="UFN71" s="169">
        <v>200</v>
      </c>
      <c r="UFO71" s="171">
        <f>SUM(UFM71:UFN71)</f>
        <v>8825</v>
      </c>
      <c r="UFP71" s="163" t="s">
        <v>114</v>
      </c>
      <c r="UFQ71" s="164">
        <v>45845</v>
      </c>
      <c r="UFR71" s="159" t="s">
        <v>42</v>
      </c>
      <c r="UFS71" s="354" t="s">
        <v>150</v>
      </c>
      <c r="UFT71" s="165" t="s">
        <v>124</v>
      </c>
      <c r="UFU71" s="352" t="s">
        <v>164</v>
      </c>
      <c r="UFV71" s="353" t="s">
        <v>121</v>
      </c>
      <c r="UFW71" s="159" t="s">
        <v>18</v>
      </c>
      <c r="UFX71" s="160">
        <v>8100</v>
      </c>
      <c r="UFY71" s="169">
        <v>85</v>
      </c>
      <c r="UFZ71" s="170">
        <v>215</v>
      </c>
      <c r="UGA71" s="170">
        <v>75</v>
      </c>
      <c r="UGB71" s="169">
        <v>150</v>
      </c>
      <c r="UGC71" s="171">
        <f>SUM(UFX71:UGB71)</f>
        <v>8625</v>
      </c>
      <c r="UGD71" s="169">
        <v>200</v>
      </c>
      <c r="UGE71" s="171">
        <f>SUM(UGC71:UGD71)</f>
        <v>8825</v>
      </c>
      <c r="UGF71" s="163" t="s">
        <v>114</v>
      </c>
      <c r="UGG71" s="164">
        <v>45845</v>
      </c>
      <c r="UGH71" s="159" t="s">
        <v>42</v>
      </c>
      <c r="UGI71" s="354" t="s">
        <v>150</v>
      </c>
      <c r="UGJ71" s="165" t="s">
        <v>124</v>
      </c>
      <c r="UGK71" s="352" t="s">
        <v>164</v>
      </c>
      <c r="UGL71" s="353" t="s">
        <v>121</v>
      </c>
      <c r="UGM71" s="159" t="s">
        <v>18</v>
      </c>
      <c r="UGN71" s="160">
        <v>8100</v>
      </c>
      <c r="UGO71" s="169">
        <v>85</v>
      </c>
      <c r="UGP71" s="170">
        <v>215</v>
      </c>
      <c r="UGQ71" s="170">
        <v>75</v>
      </c>
      <c r="UGR71" s="169">
        <v>150</v>
      </c>
      <c r="UGS71" s="171">
        <f>SUM(UGN71:UGR71)</f>
        <v>8625</v>
      </c>
      <c r="UGT71" s="169">
        <v>200</v>
      </c>
      <c r="UGU71" s="171">
        <f>SUM(UGS71:UGT71)</f>
        <v>8825</v>
      </c>
      <c r="UGV71" s="163" t="s">
        <v>114</v>
      </c>
      <c r="UGW71" s="164">
        <v>45845</v>
      </c>
      <c r="UGX71" s="159" t="s">
        <v>42</v>
      </c>
      <c r="UGY71" s="354" t="s">
        <v>150</v>
      </c>
      <c r="UGZ71" s="165" t="s">
        <v>124</v>
      </c>
      <c r="UHA71" s="352" t="s">
        <v>164</v>
      </c>
      <c r="UHB71" s="353" t="s">
        <v>121</v>
      </c>
      <c r="UHC71" s="159" t="s">
        <v>18</v>
      </c>
      <c r="UHD71" s="160">
        <v>8100</v>
      </c>
      <c r="UHE71" s="169">
        <v>85</v>
      </c>
      <c r="UHF71" s="170">
        <v>215</v>
      </c>
      <c r="UHG71" s="170">
        <v>75</v>
      </c>
      <c r="UHH71" s="169">
        <v>150</v>
      </c>
      <c r="UHI71" s="171">
        <f>SUM(UHD71:UHH71)</f>
        <v>8625</v>
      </c>
      <c r="UHJ71" s="169">
        <v>200</v>
      </c>
      <c r="UHK71" s="171">
        <f>SUM(UHI71:UHJ71)</f>
        <v>8825</v>
      </c>
      <c r="UHL71" s="163" t="s">
        <v>114</v>
      </c>
      <c r="UHM71" s="164">
        <v>45845</v>
      </c>
      <c r="UHN71" s="159" t="s">
        <v>42</v>
      </c>
      <c r="UHO71" s="354" t="s">
        <v>150</v>
      </c>
      <c r="UHP71" s="165" t="s">
        <v>124</v>
      </c>
      <c r="UHQ71" s="352" t="s">
        <v>164</v>
      </c>
      <c r="UHR71" s="353" t="s">
        <v>121</v>
      </c>
      <c r="UHS71" s="159" t="s">
        <v>18</v>
      </c>
      <c r="UHT71" s="160">
        <v>8100</v>
      </c>
      <c r="UHU71" s="169">
        <v>85</v>
      </c>
      <c r="UHV71" s="170">
        <v>215</v>
      </c>
      <c r="UHW71" s="170">
        <v>75</v>
      </c>
      <c r="UHX71" s="169">
        <v>150</v>
      </c>
      <c r="UHY71" s="171">
        <f>SUM(UHT71:UHX71)</f>
        <v>8625</v>
      </c>
      <c r="UHZ71" s="169">
        <v>200</v>
      </c>
      <c r="UIA71" s="171">
        <f>SUM(UHY71:UHZ71)</f>
        <v>8825</v>
      </c>
      <c r="UIB71" s="163" t="s">
        <v>114</v>
      </c>
      <c r="UIC71" s="164">
        <v>45845</v>
      </c>
      <c r="UID71" s="159" t="s">
        <v>42</v>
      </c>
      <c r="UIE71" s="354" t="s">
        <v>150</v>
      </c>
      <c r="UIF71" s="165" t="s">
        <v>124</v>
      </c>
      <c r="UIG71" s="352" t="s">
        <v>164</v>
      </c>
      <c r="UIH71" s="353" t="s">
        <v>121</v>
      </c>
      <c r="UII71" s="159" t="s">
        <v>18</v>
      </c>
      <c r="UIJ71" s="160">
        <v>8100</v>
      </c>
      <c r="UIK71" s="169">
        <v>85</v>
      </c>
      <c r="UIL71" s="170">
        <v>215</v>
      </c>
      <c r="UIM71" s="170">
        <v>75</v>
      </c>
      <c r="UIN71" s="169">
        <v>150</v>
      </c>
      <c r="UIO71" s="171">
        <f>SUM(UIJ71:UIN71)</f>
        <v>8625</v>
      </c>
      <c r="UIP71" s="169">
        <v>200</v>
      </c>
      <c r="UIQ71" s="171">
        <f>SUM(UIO71:UIP71)</f>
        <v>8825</v>
      </c>
      <c r="UIR71" s="163" t="s">
        <v>114</v>
      </c>
      <c r="UIS71" s="164">
        <v>45845</v>
      </c>
      <c r="UIT71" s="159" t="s">
        <v>42</v>
      </c>
      <c r="UIU71" s="354" t="s">
        <v>150</v>
      </c>
      <c r="UIV71" s="165" t="s">
        <v>124</v>
      </c>
      <c r="UIW71" s="352" t="s">
        <v>164</v>
      </c>
      <c r="UIX71" s="353" t="s">
        <v>121</v>
      </c>
      <c r="UIY71" s="159" t="s">
        <v>18</v>
      </c>
      <c r="UIZ71" s="160">
        <v>8100</v>
      </c>
      <c r="UJA71" s="169">
        <v>85</v>
      </c>
      <c r="UJB71" s="170">
        <v>215</v>
      </c>
      <c r="UJC71" s="170">
        <v>75</v>
      </c>
      <c r="UJD71" s="169">
        <v>150</v>
      </c>
      <c r="UJE71" s="171">
        <f>SUM(UIZ71:UJD71)</f>
        <v>8625</v>
      </c>
      <c r="UJF71" s="169">
        <v>200</v>
      </c>
      <c r="UJG71" s="171">
        <f>SUM(UJE71:UJF71)</f>
        <v>8825</v>
      </c>
      <c r="UJH71" s="163" t="s">
        <v>114</v>
      </c>
      <c r="UJI71" s="164">
        <v>45845</v>
      </c>
      <c r="UJJ71" s="159" t="s">
        <v>42</v>
      </c>
      <c r="UJK71" s="354" t="s">
        <v>150</v>
      </c>
      <c r="UJL71" s="165" t="s">
        <v>124</v>
      </c>
      <c r="UJM71" s="352" t="s">
        <v>164</v>
      </c>
      <c r="UJN71" s="353" t="s">
        <v>121</v>
      </c>
      <c r="UJO71" s="159" t="s">
        <v>18</v>
      </c>
      <c r="UJP71" s="160">
        <v>8100</v>
      </c>
      <c r="UJQ71" s="169">
        <v>85</v>
      </c>
      <c r="UJR71" s="170">
        <v>215</v>
      </c>
      <c r="UJS71" s="170">
        <v>75</v>
      </c>
      <c r="UJT71" s="169">
        <v>150</v>
      </c>
      <c r="UJU71" s="171">
        <f>SUM(UJP71:UJT71)</f>
        <v>8625</v>
      </c>
      <c r="UJV71" s="169">
        <v>200</v>
      </c>
      <c r="UJW71" s="171">
        <f>SUM(UJU71:UJV71)</f>
        <v>8825</v>
      </c>
      <c r="UJX71" s="163" t="s">
        <v>114</v>
      </c>
      <c r="UJY71" s="164">
        <v>45845</v>
      </c>
      <c r="UJZ71" s="159" t="s">
        <v>42</v>
      </c>
      <c r="UKA71" s="354" t="s">
        <v>150</v>
      </c>
      <c r="UKB71" s="165" t="s">
        <v>124</v>
      </c>
      <c r="UKC71" s="352" t="s">
        <v>164</v>
      </c>
      <c r="UKD71" s="353" t="s">
        <v>121</v>
      </c>
      <c r="UKE71" s="159" t="s">
        <v>18</v>
      </c>
      <c r="UKF71" s="160">
        <v>8100</v>
      </c>
      <c r="UKG71" s="169">
        <v>85</v>
      </c>
      <c r="UKH71" s="170">
        <v>215</v>
      </c>
      <c r="UKI71" s="170">
        <v>75</v>
      </c>
      <c r="UKJ71" s="169">
        <v>150</v>
      </c>
      <c r="UKK71" s="171">
        <f>SUM(UKF71:UKJ71)</f>
        <v>8625</v>
      </c>
      <c r="UKL71" s="169">
        <v>200</v>
      </c>
      <c r="UKM71" s="171">
        <f>SUM(UKK71:UKL71)</f>
        <v>8825</v>
      </c>
      <c r="UKN71" s="163" t="s">
        <v>114</v>
      </c>
      <c r="UKO71" s="164">
        <v>45845</v>
      </c>
      <c r="UKP71" s="159" t="s">
        <v>42</v>
      </c>
      <c r="UKQ71" s="354" t="s">
        <v>150</v>
      </c>
      <c r="UKR71" s="165" t="s">
        <v>124</v>
      </c>
      <c r="UKS71" s="352" t="s">
        <v>164</v>
      </c>
      <c r="UKT71" s="353" t="s">
        <v>121</v>
      </c>
      <c r="UKU71" s="159" t="s">
        <v>18</v>
      </c>
      <c r="UKV71" s="160">
        <v>8100</v>
      </c>
      <c r="UKW71" s="169">
        <v>85</v>
      </c>
      <c r="UKX71" s="170">
        <v>215</v>
      </c>
      <c r="UKY71" s="170">
        <v>75</v>
      </c>
      <c r="UKZ71" s="169">
        <v>150</v>
      </c>
      <c r="ULA71" s="171">
        <f>SUM(UKV71:UKZ71)</f>
        <v>8625</v>
      </c>
      <c r="ULB71" s="169">
        <v>200</v>
      </c>
      <c r="ULC71" s="171">
        <f>SUM(ULA71:ULB71)</f>
        <v>8825</v>
      </c>
      <c r="ULD71" s="163" t="s">
        <v>114</v>
      </c>
      <c r="ULE71" s="164">
        <v>45845</v>
      </c>
      <c r="ULF71" s="159" t="s">
        <v>42</v>
      </c>
      <c r="ULG71" s="354" t="s">
        <v>150</v>
      </c>
      <c r="ULH71" s="165" t="s">
        <v>124</v>
      </c>
      <c r="ULI71" s="352" t="s">
        <v>164</v>
      </c>
      <c r="ULJ71" s="353" t="s">
        <v>121</v>
      </c>
      <c r="ULK71" s="159" t="s">
        <v>18</v>
      </c>
      <c r="ULL71" s="160">
        <v>8100</v>
      </c>
      <c r="ULM71" s="169">
        <v>85</v>
      </c>
      <c r="ULN71" s="170">
        <v>215</v>
      </c>
      <c r="ULO71" s="170">
        <v>75</v>
      </c>
      <c r="ULP71" s="169">
        <v>150</v>
      </c>
      <c r="ULQ71" s="171">
        <f>SUM(ULL71:ULP71)</f>
        <v>8625</v>
      </c>
      <c r="ULR71" s="169">
        <v>200</v>
      </c>
      <c r="ULS71" s="171">
        <f>SUM(ULQ71:ULR71)</f>
        <v>8825</v>
      </c>
      <c r="ULT71" s="163" t="s">
        <v>114</v>
      </c>
      <c r="ULU71" s="164">
        <v>45845</v>
      </c>
      <c r="ULV71" s="159" t="s">
        <v>42</v>
      </c>
      <c r="ULW71" s="354" t="s">
        <v>150</v>
      </c>
      <c r="ULX71" s="165" t="s">
        <v>124</v>
      </c>
      <c r="ULY71" s="352" t="s">
        <v>164</v>
      </c>
      <c r="ULZ71" s="353" t="s">
        <v>121</v>
      </c>
      <c r="UMA71" s="159" t="s">
        <v>18</v>
      </c>
      <c r="UMB71" s="160">
        <v>8100</v>
      </c>
      <c r="UMC71" s="169">
        <v>85</v>
      </c>
      <c r="UMD71" s="170">
        <v>215</v>
      </c>
      <c r="UME71" s="170">
        <v>75</v>
      </c>
      <c r="UMF71" s="169">
        <v>150</v>
      </c>
      <c r="UMG71" s="171">
        <f>SUM(UMB71:UMF71)</f>
        <v>8625</v>
      </c>
      <c r="UMH71" s="169">
        <v>200</v>
      </c>
      <c r="UMI71" s="171">
        <f>SUM(UMG71:UMH71)</f>
        <v>8825</v>
      </c>
      <c r="UMJ71" s="163" t="s">
        <v>114</v>
      </c>
      <c r="UMK71" s="164">
        <v>45845</v>
      </c>
      <c r="UML71" s="159" t="s">
        <v>42</v>
      </c>
      <c r="UMM71" s="354" t="s">
        <v>150</v>
      </c>
      <c r="UMN71" s="165" t="s">
        <v>124</v>
      </c>
      <c r="UMO71" s="352" t="s">
        <v>164</v>
      </c>
      <c r="UMP71" s="353" t="s">
        <v>121</v>
      </c>
      <c r="UMQ71" s="159" t="s">
        <v>18</v>
      </c>
      <c r="UMR71" s="160">
        <v>8100</v>
      </c>
      <c r="UMS71" s="169">
        <v>85</v>
      </c>
      <c r="UMT71" s="170">
        <v>215</v>
      </c>
      <c r="UMU71" s="170">
        <v>75</v>
      </c>
      <c r="UMV71" s="169">
        <v>150</v>
      </c>
      <c r="UMW71" s="171">
        <f>SUM(UMR71:UMV71)</f>
        <v>8625</v>
      </c>
      <c r="UMX71" s="169">
        <v>200</v>
      </c>
      <c r="UMY71" s="171">
        <f>SUM(UMW71:UMX71)</f>
        <v>8825</v>
      </c>
      <c r="UMZ71" s="163" t="s">
        <v>114</v>
      </c>
      <c r="UNA71" s="164">
        <v>45845</v>
      </c>
      <c r="UNB71" s="159" t="s">
        <v>42</v>
      </c>
      <c r="UNC71" s="354" t="s">
        <v>150</v>
      </c>
      <c r="UND71" s="165" t="s">
        <v>124</v>
      </c>
      <c r="UNE71" s="352" t="s">
        <v>164</v>
      </c>
      <c r="UNF71" s="353" t="s">
        <v>121</v>
      </c>
      <c r="UNG71" s="159" t="s">
        <v>18</v>
      </c>
      <c r="UNH71" s="160">
        <v>8100</v>
      </c>
      <c r="UNI71" s="169">
        <v>85</v>
      </c>
      <c r="UNJ71" s="170">
        <v>215</v>
      </c>
      <c r="UNK71" s="170">
        <v>75</v>
      </c>
      <c r="UNL71" s="169">
        <v>150</v>
      </c>
      <c r="UNM71" s="171">
        <f>SUM(UNH71:UNL71)</f>
        <v>8625</v>
      </c>
      <c r="UNN71" s="169">
        <v>200</v>
      </c>
      <c r="UNO71" s="171">
        <f>SUM(UNM71:UNN71)</f>
        <v>8825</v>
      </c>
      <c r="UNP71" s="163" t="s">
        <v>114</v>
      </c>
      <c r="UNQ71" s="164">
        <v>45845</v>
      </c>
      <c r="UNR71" s="159" t="s">
        <v>42</v>
      </c>
      <c r="UNS71" s="354" t="s">
        <v>150</v>
      </c>
      <c r="UNT71" s="165" t="s">
        <v>124</v>
      </c>
      <c r="UNU71" s="352" t="s">
        <v>164</v>
      </c>
      <c r="UNV71" s="353" t="s">
        <v>121</v>
      </c>
      <c r="UNW71" s="159" t="s">
        <v>18</v>
      </c>
      <c r="UNX71" s="160">
        <v>8100</v>
      </c>
      <c r="UNY71" s="169">
        <v>85</v>
      </c>
      <c r="UNZ71" s="170">
        <v>215</v>
      </c>
      <c r="UOA71" s="170">
        <v>75</v>
      </c>
      <c r="UOB71" s="169">
        <v>150</v>
      </c>
      <c r="UOC71" s="171">
        <f>SUM(UNX71:UOB71)</f>
        <v>8625</v>
      </c>
      <c r="UOD71" s="169">
        <v>200</v>
      </c>
      <c r="UOE71" s="171">
        <f>SUM(UOC71:UOD71)</f>
        <v>8825</v>
      </c>
      <c r="UOF71" s="163" t="s">
        <v>114</v>
      </c>
      <c r="UOG71" s="164">
        <v>45845</v>
      </c>
      <c r="UOH71" s="159" t="s">
        <v>42</v>
      </c>
      <c r="UOI71" s="354" t="s">
        <v>150</v>
      </c>
      <c r="UOJ71" s="165" t="s">
        <v>124</v>
      </c>
      <c r="UOK71" s="352" t="s">
        <v>164</v>
      </c>
      <c r="UOL71" s="353" t="s">
        <v>121</v>
      </c>
      <c r="UOM71" s="159" t="s">
        <v>18</v>
      </c>
      <c r="UON71" s="160">
        <v>8100</v>
      </c>
      <c r="UOO71" s="169">
        <v>85</v>
      </c>
      <c r="UOP71" s="170">
        <v>215</v>
      </c>
      <c r="UOQ71" s="170">
        <v>75</v>
      </c>
      <c r="UOR71" s="169">
        <v>150</v>
      </c>
      <c r="UOS71" s="171">
        <f>SUM(UON71:UOR71)</f>
        <v>8625</v>
      </c>
      <c r="UOT71" s="169">
        <v>200</v>
      </c>
      <c r="UOU71" s="171">
        <f>SUM(UOS71:UOT71)</f>
        <v>8825</v>
      </c>
      <c r="UOV71" s="163" t="s">
        <v>114</v>
      </c>
      <c r="UOW71" s="164">
        <v>45845</v>
      </c>
      <c r="UOX71" s="159" t="s">
        <v>42</v>
      </c>
      <c r="UOY71" s="354" t="s">
        <v>150</v>
      </c>
      <c r="UOZ71" s="165" t="s">
        <v>124</v>
      </c>
      <c r="UPA71" s="352" t="s">
        <v>164</v>
      </c>
      <c r="UPB71" s="353" t="s">
        <v>121</v>
      </c>
      <c r="UPC71" s="159" t="s">
        <v>18</v>
      </c>
      <c r="UPD71" s="160">
        <v>8100</v>
      </c>
      <c r="UPE71" s="169">
        <v>85</v>
      </c>
      <c r="UPF71" s="170">
        <v>215</v>
      </c>
      <c r="UPG71" s="170">
        <v>75</v>
      </c>
      <c r="UPH71" s="169">
        <v>150</v>
      </c>
      <c r="UPI71" s="171">
        <f>SUM(UPD71:UPH71)</f>
        <v>8625</v>
      </c>
      <c r="UPJ71" s="169">
        <v>200</v>
      </c>
      <c r="UPK71" s="171">
        <f>SUM(UPI71:UPJ71)</f>
        <v>8825</v>
      </c>
      <c r="UPL71" s="163" t="s">
        <v>114</v>
      </c>
      <c r="UPM71" s="164">
        <v>45845</v>
      </c>
      <c r="UPN71" s="159" t="s">
        <v>42</v>
      </c>
      <c r="UPO71" s="354" t="s">
        <v>150</v>
      </c>
      <c r="UPP71" s="165" t="s">
        <v>124</v>
      </c>
      <c r="UPQ71" s="352" t="s">
        <v>164</v>
      </c>
      <c r="UPR71" s="353" t="s">
        <v>121</v>
      </c>
      <c r="UPS71" s="159" t="s">
        <v>18</v>
      </c>
      <c r="UPT71" s="160">
        <v>8100</v>
      </c>
      <c r="UPU71" s="169">
        <v>85</v>
      </c>
      <c r="UPV71" s="170">
        <v>215</v>
      </c>
      <c r="UPW71" s="170">
        <v>75</v>
      </c>
      <c r="UPX71" s="169">
        <v>150</v>
      </c>
      <c r="UPY71" s="171">
        <f>SUM(UPT71:UPX71)</f>
        <v>8625</v>
      </c>
      <c r="UPZ71" s="169">
        <v>200</v>
      </c>
      <c r="UQA71" s="171">
        <f>SUM(UPY71:UPZ71)</f>
        <v>8825</v>
      </c>
      <c r="UQB71" s="163" t="s">
        <v>114</v>
      </c>
      <c r="UQC71" s="164">
        <v>45845</v>
      </c>
      <c r="UQD71" s="159" t="s">
        <v>42</v>
      </c>
      <c r="UQE71" s="354" t="s">
        <v>150</v>
      </c>
      <c r="UQF71" s="165" t="s">
        <v>124</v>
      </c>
      <c r="UQG71" s="352" t="s">
        <v>164</v>
      </c>
      <c r="UQH71" s="353" t="s">
        <v>121</v>
      </c>
      <c r="UQI71" s="159" t="s">
        <v>18</v>
      </c>
      <c r="UQJ71" s="160">
        <v>8100</v>
      </c>
      <c r="UQK71" s="169">
        <v>85</v>
      </c>
      <c r="UQL71" s="170">
        <v>215</v>
      </c>
      <c r="UQM71" s="170">
        <v>75</v>
      </c>
      <c r="UQN71" s="169">
        <v>150</v>
      </c>
      <c r="UQO71" s="171">
        <f>SUM(UQJ71:UQN71)</f>
        <v>8625</v>
      </c>
      <c r="UQP71" s="169">
        <v>200</v>
      </c>
      <c r="UQQ71" s="171">
        <f>SUM(UQO71:UQP71)</f>
        <v>8825</v>
      </c>
      <c r="UQR71" s="163" t="s">
        <v>114</v>
      </c>
      <c r="UQS71" s="164">
        <v>45845</v>
      </c>
      <c r="UQT71" s="159" t="s">
        <v>42</v>
      </c>
      <c r="UQU71" s="354" t="s">
        <v>150</v>
      </c>
      <c r="UQV71" s="165" t="s">
        <v>124</v>
      </c>
      <c r="UQW71" s="352" t="s">
        <v>164</v>
      </c>
      <c r="UQX71" s="353" t="s">
        <v>121</v>
      </c>
      <c r="UQY71" s="159" t="s">
        <v>18</v>
      </c>
      <c r="UQZ71" s="160">
        <v>8100</v>
      </c>
      <c r="URA71" s="169">
        <v>85</v>
      </c>
      <c r="URB71" s="170">
        <v>215</v>
      </c>
      <c r="URC71" s="170">
        <v>75</v>
      </c>
      <c r="URD71" s="169">
        <v>150</v>
      </c>
      <c r="URE71" s="171">
        <f>SUM(UQZ71:URD71)</f>
        <v>8625</v>
      </c>
      <c r="URF71" s="169">
        <v>200</v>
      </c>
      <c r="URG71" s="171">
        <f>SUM(URE71:URF71)</f>
        <v>8825</v>
      </c>
      <c r="URH71" s="163" t="s">
        <v>114</v>
      </c>
      <c r="URI71" s="164">
        <v>45845</v>
      </c>
      <c r="URJ71" s="159" t="s">
        <v>42</v>
      </c>
      <c r="URK71" s="354" t="s">
        <v>150</v>
      </c>
      <c r="URL71" s="165" t="s">
        <v>124</v>
      </c>
      <c r="URM71" s="352" t="s">
        <v>164</v>
      </c>
      <c r="URN71" s="353" t="s">
        <v>121</v>
      </c>
      <c r="URO71" s="159" t="s">
        <v>18</v>
      </c>
      <c r="URP71" s="160">
        <v>8100</v>
      </c>
      <c r="URQ71" s="169">
        <v>85</v>
      </c>
      <c r="URR71" s="170">
        <v>215</v>
      </c>
      <c r="URS71" s="170">
        <v>75</v>
      </c>
      <c r="URT71" s="169">
        <v>150</v>
      </c>
      <c r="URU71" s="171">
        <f>SUM(URP71:URT71)</f>
        <v>8625</v>
      </c>
      <c r="URV71" s="169">
        <v>200</v>
      </c>
      <c r="URW71" s="171">
        <f>SUM(URU71:URV71)</f>
        <v>8825</v>
      </c>
      <c r="URX71" s="163" t="s">
        <v>114</v>
      </c>
      <c r="URY71" s="164">
        <v>45845</v>
      </c>
      <c r="URZ71" s="159" t="s">
        <v>42</v>
      </c>
      <c r="USA71" s="354" t="s">
        <v>150</v>
      </c>
      <c r="USB71" s="165" t="s">
        <v>124</v>
      </c>
      <c r="USC71" s="352" t="s">
        <v>164</v>
      </c>
      <c r="USD71" s="353" t="s">
        <v>121</v>
      </c>
      <c r="USE71" s="159" t="s">
        <v>18</v>
      </c>
      <c r="USF71" s="160">
        <v>8100</v>
      </c>
      <c r="USG71" s="169">
        <v>85</v>
      </c>
      <c r="USH71" s="170">
        <v>215</v>
      </c>
      <c r="USI71" s="170">
        <v>75</v>
      </c>
      <c r="USJ71" s="169">
        <v>150</v>
      </c>
      <c r="USK71" s="171">
        <f>SUM(USF71:USJ71)</f>
        <v>8625</v>
      </c>
      <c r="USL71" s="169">
        <v>200</v>
      </c>
      <c r="USM71" s="171">
        <f>SUM(USK71:USL71)</f>
        <v>8825</v>
      </c>
      <c r="USN71" s="163" t="s">
        <v>114</v>
      </c>
      <c r="USO71" s="164">
        <v>45845</v>
      </c>
      <c r="USP71" s="159" t="s">
        <v>42</v>
      </c>
      <c r="USQ71" s="354" t="s">
        <v>150</v>
      </c>
      <c r="USR71" s="165" t="s">
        <v>124</v>
      </c>
      <c r="USS71" s="352" t="s">
        <v>164</v>
      </c>
      <c r="UST71" s="353" t="s">
        <v>121</v>
      </c>
      <c r="USU71" s="159" t="s">
        <v>18</v>
      </c>
      <c r="USV71" s="160">
        <v>8100</v>
      </c>
      <c r="USW71" s="169">
        <v>85</v>
      </c>
      <c r="USX71" s="170">
        <v>215</v>
      </c>
      <c r="USY71" s="170">
        <v>75</v>
      </c>
      <c r="USZ71" s="169">
        <v>150</v>
      </c>
      <c r="UTA71" s="171">
        <f>SUM(USV71:USZ71)</f>
        <v>8625</v>
      </c>
      <c r="UTB71" s="169">
        <v>200</v>
      </c>
      <c r="UTC71" s="171">
        <f>SUM(UTA71:UTB71)</f>
        <v>8825</v>
      </c>
      <c r="UTD71" s="163" t="s">
        <v>114</v>
      </c>
      <c r="UTE71" s="164">
        <v>45845</v>
      </c>
      <c r="UTF71" s="159" t="s">
        <v>42</v>
      </c>
      <c r="UTG71" s="354" t="s">
        <v>150</v>
      </c>
      <c r="UTH71" s="165" t="s">
        <v>124</v>
      </c>
      <c r="UTI71" s="352" t="s">
        <v>164</v>
      </c>
      <c r="UTJ71" s="353" t="s">
        <v>121</v>
      </c>
      <c r="UTK71" s="159" t="s">
        <v>18</v>
      </c>
      <c r="UTL71" s="160">
        <v>8100</v>
      </c>
      <c r="UTM71" s="169">
        <v>85</v>
      </c>
      <c r="UTN71" s="170">
        <v>215</v>
      </c>
      <c r="UTO71" s="170">
        <v>75</v>
      </c>
      <c r="UTP71" s="169">
        <v>150</v>
      </c>
      <c r="UTQ71" s="171">
        <f>SUM(UTL71:UTP71)</f>
        <v>8625</v>
      </c>
      <c r="UTR71" s="169">
        <v>200</v>
      </c>
      <c r="UTS71" s="171">
        <f>SUM(UTQ71:UTR71)</f>
        <v>8825</v>
      </c>
      <c r="UTT71" s="163" t="s">
        <v>114</v>
      </c>
      <c r="UTU71" s="164">
        <v>45845</v>
      </c>
      <c r="UTV71" s="159" t="s">
        <v>42</v>
      </c>
      <c r="UTW71" s="354" t="s">
        <v>150</v>
      </c>
      <c r="UTX71" s="165" t="s">
        <v>124</v>
      </c>
      <c r="UTY71" s="352" t="s">
        <v>164</v>
      </c>
      <c r="UTZ71" s="353" t="s">
        <v>121</v>
      </c>
      <c r="UUA71" s="159" t="s">
        <v>18</v>
      </c>
      <c r="UUB71" s="160">
        <v>8100</v>
      </c>
      <c r="UUC71" s="169">
        <v>85</v>
      </c>
      <c r="UUD71" s="170">
        <v>215</v>
      </c>
      <c r="UUE71" s="170">
        <v>75</v>
      </c>
      <c r="UUF71" s="169">
        <v>150</v>
      </c>
      <c r="UUG71" s="171">
        <f>SUM(UUB71:UUF71)</f>
        <v>8625</v>
      </c>
      <c r="UUH71" s="169">
        <v>200</v>
      </c>
      <c r="UUI71" s="171">
        <f>SUM(UUG71:UUH71)</f>
        <v>8825</v>
      </c>
      <c r="UUJ71" s="163" t="s">
        <v>114</v>
      </c>
      <c r="UUK71" s="164">
        <v>45845</v>
      </c>
      <c r="UUL71" s="159" t="s">
        <v>42</v>
      </c>
      <c r="UUM71" s="354" t="s">
        <v>150</v>
      </c>
      <c r="UUN71" s="165" t="s">
        <v>124</v>
      </c>
      <c r="UUO71" s="352" t="s">
        <v>164</v>
      </c>
      <c r="UUP71" s="353" t="s">
        <v>121</v>
      </c>
      <c r="UUQ71" s="159" t="s">
        <v>18</v>
      </c>
      <c r="UUR71" s="160">
        <v>8100</v>
      </c>
      <c r="UUS71" s="169">
        <v>85</v>
      </c>
      <c r="UUT71" s="170">
        <v>215</v>
      </c>
      <c r="UUU71" s="170">
        <v>75</v>
      </c>
      <c r="UUV71" s="169">
        <v>150</v>
      </c>
      <c r="UUW71" s="171">
        <f>SUM(UUR71:UUV71)</f>
        <v>8625</v>
      </c>
      <c r="UUX71" s="169">
        <v>200</v>
      </c>
      <c r="UUY71" s="171">
        <f>SUM(UUW71:UUX71)</f>
        <v>8825</v>
      </c>
      <c r="UUZ71" s="163" t="s">
        <v>114</v>
      </c>
      <c r="UVA71" s="164">
        <v>45845</v>
      </c>
      <c r="UVB71" s="159" t="s">
        <v>42</v>
      </c>
      <c r="UVC71" s="354" t="s">
        <v>150</v>
      </c>
      <c r="UVD71" s="165" t="s">
        <v>124</v>
      </c>
      <c r="UVE71" s="352" t="s">
        <v>164</v>
      </c>
      <c r="UVF71" s="353" t="s">
        <v>121</v>
      </c>
      <c r="UVG71" s="159" t="s">
        <v>18</v>
      </c>
      <c r="UVH71" s="160">
        <v>8100</v>
      </c>
      <c r="UVI71" s="169">
        <v>85</v>
      </c>
      <c r="UVJ71" s="170">
        <v>215</v>
      </c>
      <c r="UVK71" s="170">
        <v>75</v>
      </c>
      <c r="UVL71" s="169">
        <v>150</v>
      </c>
      <c r="UVM71" s="171">
        <f>SUM(UVH71:UVL71)</f>
        <v>8625</v>
      </c>
      <c r="UVN71" s="169">
        <v>200</v>
      </c>
      <c r="UVO71" s="171">
        <f>SUM(UVM71:UVN71)</f>
        <v>8825</v>
      </c>
      <c r="UVP71" s="163" t="s">
        <v>114</v>
      </c>
      <c r="UVQ71" s="164">
        <v>45845</v>
      </c>
      <c r="UVR71" s="159" t="s">
        <v>42</v>
      </c>
      <c r="UVS71" s="354" t="s">
        <v>150</v>
      </c>
      <c r="UVT71" s="165" t="s">
        <v>124</v>
      </c>
      <c r="UVU71" s="352" t="s">
        <v>164</v>
      </c>
      <c r="UVV71" s="353" t="s">
        <v>121</v>
      </c>
      <c r="UVW71" s="159" t="s">
        <v>18</v>
      </c>
      <c r="UVX71" s="160">
        <v>8100</v>
      </c>
      <c r="UVY71" s="169">
        <v>85</v>
      </c>
      <c r="UVZ71" s="170">
        <v>215</v>
      </c>
      <c r="UWA71" s="170">
        <v>75</v>
      </c>
      <c r="UWB71" s="169">
        <v>150</v>
      </c>
      <c r="UWC71" s="171">
        <f>SUM(UVX71:UWB71)</f>
        <v>8625</v>
      </c>
      <c r="UWD71" s="169">
        <v>200</v>
      </c>
      <c r="UWE71" s="171">
        <f>SUM(UWC71:UWD71)</f>
        <v>8825</v>
      </c>
      <c r="UWF71" s="163" t="s">
        <v>114</v>
      </c>
      <c r="UWG71" s="164">
        <v>45845</v>
      </c>
      <c r="UWH71" s="159" t="s">
        <v>42</v>
      </c>
      <c r="UWI71" s="354" t="s">
        <v>150</v>
      </c>
      <c r="UWJ71" s="165" t="s">
        <v>124</v>
      </c>
      <c r="UWK71" s="352" t="s">
        <v>164</v>
      </c>
      <c r="UWL71" s="353" t="s">
        <v>121</v>
      </c>
      <c r="UWM71" s="159" t="s">
        <v>18</v>
      </c>
      <c r="UWN71" s="160">
        <v>8100</v>
      </c>
      <c r="UWO71" s="169">
        <v>85</v>
      </c>
      <c r="UWP71" s="170">
        <v>215</v>
      </c>
      <c r="UWQ71" s="170">
        <v>75</v>
      </c>
      <c r="UWR71" s="169">
        <v>150</v>
      </c>
      <c r="UWS71" s="171">
        <f>SUM(UWN71:UWR71)</f>
        <v>8625</v>
      </c>
      <c r="UWT71" s="169">
        <v>200</v>
      </c>
      <c r="UWU71" s="171">
        <f>SUM(UWS71:UWT71)</f>
        <v>8825</v>
      </c>
      <c r="UWV71" s="163" t="s">
        <v>114</v>
      </c>
      <c r="UWW71" s="164">
        <v>45845</v>
      </c>
      <c r="UWX71" s="159" t="s">
        <v>42</v>
      </c>
      <c r="UWY71" s="354" t="s">
        <v>150</v>
      </c>
      <c r="UWZ71" s="165" t="s">
        <v>124</v>
      </c>
      <c r="UXA71" s="352" t="s">
        <v>164</v>
      </c>
      <c r="UXB71" s="353" t="s">
        <v>121</v>
      </c>
      <c r="UXC71" s="159" t="s">
        <v>18</v>
      </c>
      <c r="UXD71" s="160">
        <v>8100</v>
      </c>
      <c r="UXE71" s="169">
        <v>85</v>
      </c>
      <c r="UXF71" s="170">
        <v>215</v>
      </c>
      <c r="UXG71" s="170">
        <v>75</v>
      </c>
      <c r="UXH71" s="169">
        <v>150</v>
      </c>
      <c r="UXI71" s="171">
        <f>SUM(UXD71:UXH71)</f>
        <v>8625</v>
      </c>
      <c r="UXJ71" s="169">
        <v>200</v>
      </c>
      <c r="UXK71" s="171">
        <f>SUM(UXI71:UXJ71)</f>
        <v>8825</v>
      </c>
      <c r="UXL71" s="163" t="s">
        <v>114</v>
      </c>
      <c r="UXM71" s="164">
        <v>45845</v>
      </c>
      <c r="UXN71" s="159" t="s">
        <v>42</v>
      </c>
      <c r="UXO71" s="354" t="s">
        <v>150</v>
      </c>
      <c r="UXP71" s="165" t="s">
        <v>124</v>
      </c>
      <c r="UXQ71" s="352" t="s">
        <v>164</v>
      </c>
      <c r="UXR71" s="353" t="s">
        <v>121</v>
      </c>
      <c r="UXS71" s="159" t="s">
        <v>18</v>
      </c>
      <c r="UXT71" s="160">
        <v>8100</v>
      </c>
      <c r="UXU71" s="169">
        <v>85</v>
      </c>
      <c r="UXV71" s="170">
        <v>215</v>
      </c>
      <c r="UXW71" s="170">
        <v>75</v>
      </c>
      <c r="UXX71" s="169">
        <v>150</v>
      </c>
      <c r="UXY71" s="171">
        <f>SUM(UXT71:UXX71)</f>
        <v>8625</v>
      </c>
      <c r="UXZ71" s="169">
        <v>200</v>
      </c>
      <c r="UYA71" s="171">
        <f>SUM(UXY71:UXZ71)</f>
        <v>8825</v>
      </c>
      <c r="UYB71" s="163" t="s">
        <v>114</v>
      </c>
      <c r="UYC71" s="164">
        <v>45845</v>
      </c>
      <c r="UYD71" s="159" t="s">
        <v>42</v>
      </c>
      <c r="UYE71" s="354" t="s">
        <v>150</v>
      </c>
      <c r="UYF71" s="165" t="s">
        <v>124</v>
      </c>
      <c r="UYG71" s="352" t="s">
        <v>164</v>
      </c>
      <c r="UYH71" s="353" t="s">
        <v>121</v>
      </c>
      <c r="UYI71" s="159" t="s">
        <v>18</v>
      </c>
      <c r="UYJ71" s="160">
        <v>8100</v>
      </c>
      <c r="UYK71" s="169">
        <v>85</v>
      </c>
      <c r="UYL71" s="170">
        <v>215</v>
      </c>
      <c r="UYM71" s="170">
        <v>75</v>
      </c>
      <c r="UYN71" s="169">
        <v>150</v>
      </c>
      <c r="UYO71" s="171">
        <f>SUM(UYJ71:UYN71)</f>
        <v>8625</v>
      </c>
      <c r="UYP71" s="169">
        <v>200</v>
      </c>
      <c r="UYQ71" s="171">
        <f>SUM(UYO71:UYP71)</f>
        <v>8825</v>
      </c>
      <c r="UYR71" s="163" t="s">
        <v>114</v>
      </c>
      <c r="UYS71" s="164">
        <v>45845</v>
      </c>
      <c r="UYT71" s="159" t="s">
        <v>42</v>
      </c>
      <c r="UYU71" s="354" t="s">
        <v>150</v>
      </c>
      <c r="UYV71" s="165" t="s">
        <v>124</v>
      </c>
      <c r="UYW71" s="352" t="s">
        <v>164</v>
      </c>
      <c r="UYX71" s="353" t="s">
        <v>121</v>
      </c>
      <c r="UYY71" s="159" t="s">
        <v>18</v>
      </c>
      <c r="UYZ71" s="160">
        <v>8100</v>
      </c>
      <c r="UZA71" s="169">
        <v>85</v>
      </c>
      <c r="UZB71" s="170">
        <v>215</v>
      </c>
      <c r="UZC71" s="170">
        <v>75</v>
      </c>
      <c r="UZD71" s="169">
        <v>150</v>
      </c>
      <c r="UZE71" s="171">
        <f>SUM(UYZ71:UZD71)</f>
        <v>8625</v>
      </c>
      <c r="UZF71" s="169">
        <v>200</v>
      </c>
      <c r="UZG71" s="171">
        <f>SUM(UZE71:UZF71)</f>
        <v>8825</v>
      </c>
      <c r="UZH71" s="163" t="s">
        <v>114</v>
      </c>
      <c r="UZI71" s="164">
        <v>45845</v>
      </c>
      <c r="UZJ71" s="159" t="s">
        <v>42</v>
      </c>
      <c r="UZK71" s="354" t="s">
        <v>150</v>
      </c>
      <c r="UZL71" s="165" t="s">
        <v>124</v>
      </c>
      <c r="UZM71" s="352" t="s">
        <v>164</v>
      </c>
      <c r="UZN71" s="353" t="s">
        <v>121</v>
      </c>
      <c r="UZO71" s="159" t="s">
        <v>18</v>
      </c>
      <c r="UZP71" s="160">
        <v>8100</v>
      </c>
      <c r="UZQ71" s="169">
        <v>85</v>
      </c>
      <c r="UZR71" s="170">
        <v>215</v>
      </c>
      <c r="UZS71" s="170">
        <v>75</v>
      </c>
      <c r="UZT71" s="169">
        <v>150</v>
      </c>
      <c r="UZU71" s="171">
        <f>SUM(UZP71:UZT71)</f>
        <v>8625</v>
      </c>
      <c r="UZV71" s="169">
        <v>200</v>
      </c>
      <c r="UZW71" s="171">
        <f>SUM(UZU71:UZV71)</f>
        <v>8825</v>
      </c>
      <c r="UZX71" s="163" t="s">
        <v>114</v>
      </c>
      <c r="UZY71" s="164">
        <v>45845</v>
      </c>
      <c r="UZZ71" s="159" t="s">
        <v>42</v>
      </c>
      <c r="VAA71" s="354" t="s">
        <v>150</v>
      </c>
      <c r="VAB71" s="165" t="s">
        <v>124</v>
      </c>
      <c r="VAC71" s="352" t="s">
        <v>164</v>
      </c>
      <c r="VAD71" s="353" t="s">
        <v>121</v>
      </c>
      <c r="VAE71" s="159" t="s">
        <v>18</v>
      </c>
      <c r="VAF71" s="160">
        <v>8100</v>
      </c>
      <c r="VAG71" s="169">
        <v>85</v>
      </c>
      <c r="VAH71" s="170">
        <v>215</v>
      </c>
      <c r="VAI71" s="170">
        <v>75</v>
      </c>
      <c r="VAJ71" s="169">
        <v>150</v>
      </c>
      <c r="VAK71" s="171">
        <f>SUM(VAF71:VAJ71)</f>
        <v>8625</v>
      </c>
      <c r="VAL71" s="169">
        <v>200</v>
      </c>
      <c r="VAM71" s="171">
        <f>SUM(VAK71:VAL71)</f>
        <v>8825</v>
      </c>
      <c r="VAN71" s="163" t="s">
        <v>114</v>
      </c>
      <c r="VAO71" s="164">
        <v>45845</v>
      </c>
      <c r="VAP71" s="159" t="s">
        <v>42</v>
      </c>
      <c r="VAQ71" s="354" t="s">
        <v>150</v>
      </c>
      <c r="VAR71" s="165" t="s">
        <v>124</v>
      </c>
      <c r="VAS71" s="352" t="s">
        <v>164</v>
      </c>
      <c r="VAT71" s="353" t="s">
        <v>121</v>
      </c>
      <c r="VAU71" s="159" t="s">
        <v>18</v>
      </c>
      <c r="VAV71" s="160">
        <v>8100</v>
      </c>
      <c r="VAW71" s="169">
        <v>85</v>
      </c>
      <c r="VAX71" s="170">
        <v>215</v>
      </c>
      <c r="VAY71" s="170">
        <v>75</v>
      </c>
      <c r="VAZ71" s="169">
        <v>150</v>
      </c>
      <c r="VBA71" s="171">
        <f>SUM(VAV71:VAZ71)</f>
        <v>8625</v>
      </c>
      <c r="VBB71" s="169">
        <v>200</v>
      </c>
      <c r="VBC71" s="171">
        <f>SUM(VBA71:VBB71)</f>
        <v>8825</v>
      </c>
      <c r="VBD71" s="163" t="s">
        <v>114</v>
      </c>
      <c r="VBE71" s="164">
        <v>45845</v>
      </c>
      <c r="VBF71" s="159" t="s">
        <v>42</v>
      </c>
      <c r="VBG71" s="354" t="s">
        <v>150</v>
      </c>
      <c r="VBH71" s="165" t="s">
        <v>124</v>
      </c>
      <c r="VBI71" s="352" t="s">
        <v>164</v>
      </c>
      <c r="VBJ71" s="353" t="s">
        <v>121</v>
      </c>
      <c r="VBK71" s="159" t="s">
        <v>18</v>
      </c>
      <c r="VBL71" s="160">
        <v>8100</v>
      </c>
      <c r="VBM71" s="169">
        <v>85</v>
      </c>
      <c r="VBN71" s="170">
        <v>215</v>
      </c>
      <c r="VBO71" s="170">
        <v>75</v>
      </c>
      <c r="VBP71" s="169">
        <v>150</v>
      </c>
      <c r="VBQ71" s="171">
        <f>SUM(VBL71:VBP71)</f>
        <v>8625</v>
      </c>
      <c r="VBR71" s="169">
        <v>200</v>
      </c>
      <c r="VBS71" s="171">
        <f>SUM(VBQ71:VBR71)</f>
        <v>8825</v>
      </c>
      <c r="VBT71" s="163" t="s">
        <v>114</v>
      </c>
      <c r="VBU71" s="164">
        <v>45845</v>
      </c>
      <c r="VBV71" s="159" t="s">
        <v>42</v>
      </c>
      <c r="VBW71" s="354" t="s">
        <v>150</v>
      </c>
      <c r="VBX71" s="165" t="s">
        <v>124</v>
      </c>
      <c r="VBY71" s="352" t="s">
        <v>164</v>
      </c>
      <c r="VBZ71" s="353" t="s">
        <v>121</v>
      </c>
      <c r="VCA71" s="159" t="s">
        <v>18</v>
      </c>
      <c r="VCB71" s="160">
        <v>8100</v>
      </c>
      <c r="VCC71" s="169">
        <v>85</v>
      </c>
      <c r="VCD71" s="170">
        <v>215</v>
      </c>
      <c r="VCE71" s="170">
        <v>75</v>
      </c>
      <c r="VCF71" s="169">
        <v>150</v>
      </c>
      <c r="VCG71" s="171">
        <f>SUM(VCB71:VCF71)</f>
        <v>8625</v>
      </c>
      <c r="VCH71" s="169">
        <v>200</v>
      </c>
      <c r="VCI71" s="171">
        <f>SUM(VCG71:VCH71)</f>
        <v>8825</v>
      </c>
      <c r="VCJ71" s="163" t="s">
        <v>114</v>
      </c>
      <c r="VCK71" s="164">
        <v>45845</v>
      </c>
      <c r="VCL71" s="159" t="s">
        <v>42</v>
      </c>
      <c r="VCM71" s="354" t="s">
        <v>150</v>
      </c>
      <c r="VCN71" s="165" t="s">
        <v>124</v>
      </c>
      <c r="VCO71" s="352" t="s">
        <v>164</v>
      </c>
      <c r="VCP71" s="353" t="s">
        <v>121</v>
      </c>
      <c r="VCQ71" s="159" t="s">
        <v>18</v>
      </c>
      <c r="VCR71" s="160">
        <v>8100</v>
      </c>
      <c r="VCS71" s="169">
        <v>85</v>
      </c>
      <c r="VCT71" s="170">
        <v>215</v>
      </c>
      <c r="VCU71" s="170">
        <v>75</v>
      </c>
      <c r="VCV71" s="169">
        <v>150</v>
      </c>
      <c r="VCW71" s="171">
        <f>SUM(VCR71:VCV71)</f>
        <v>8625</v>
      </c>
      <c r="VCX71" s="169">
        <v>200</v>
      </c>
      <c r="VCY71" s="171">
        <f>SUM(VCW71:VCX71)</f>
        <v>8825</v>
      </c>
      <c r="VCZ71" s="163" t="s">
        <v>114</v>
      </c>
      <c r="VDA71" s="164">
        <v>45845</v>
      </c>
      <c r="VDB71" s="159" t="s">
        <v>42</v>
      </c>
      <c r="VDC71" s="354" t="s">
        <v>150</v>
      </c>
      <c r="VDD71" s="165" t="s">
        <v>124</v>
      </c>
      <c r="VDE71" s="352" t="s">
        <v>164</v>
      </c>
      <c r="VDF71" s="353" t="s">
        <v>121</v>
      </c>
      <c r="VDG71" s="159" t="s">
        <v>18</v>
      </c>
      <c r="VDH71" s="160">
        <v>8100</v>
      </c>
      <c r="VDI71" s="169">
        <v>85</v>
      </c>
      <c r="VDJ71" s="170">
        <v>215</v>
      </c>
      <c r="VDK71" s="170">
        <v>75</v>
      </c>
      <c r="VDL71" s="169">
        <v>150</v>
      </c>
      <c r="VDM71" s="171">
        <f>SUM(VDH71:VDL71)</f>
        <v>8625</v>
      </c>
      <c r="VDN71" s="169">
        <v>200</v>
      </c>
      <c r="VDO71" s="171">
        <f>SUM(VDM71:VDN71)</f>
        <v>8825</v>
      </c>
      <c r="VDP71" s="163" t="s">
        <v>114</v>
      </c>
      <c r="VDQ71" s="164">
        <v>45845</v>
      </c>
      <c r="VDR71" s="159" t="s">
        <v>42</v>
      </c>
      <c r="VDS71" s="354" t="s">
        <v>150</v>
      </c>
      <c r="VDT71" s="165" t="s">
        <v>124</v>
      </c>
      <c r="VDU71" s="352" t="s">
        <v>164</v>
      </c>
      <c r="VDV71" s="353" t="s">
        <v>121</v>
      </c>
      <c r="VDW71" s="159" t="s">
        <v>18</v>
      </c>
      <c r="VDX71" s="160">
        <v>8100</v>
      </c>
      <c r="VDY71" s="169">
        <v>85</v>
      </c>
      <c r="VDZ71" s="170">
        <v>215</v>
      </c>
      <c r="VEA71" s="170">
        <v>75</v>
      </c>
      <c r="VEB71" s="169">
        <v>150</v>
      </c>
      <c r="VEC71" s="171">
        <f>SUM(VDX71:VEB71)</f>
        <v>8625</v>
      </c>
      <c r="VED71" s="169">
        <v>200</v>
      </c>
      <c r="VEE71" s="171">
        <f>SUM(VEC71:VED71)</f>
        <v>8825</v>
      </c>
      <c r="VEF71" s="163" t="s">
        <v>114</v>
      </c>
      <c r="VEG71" s="164">
        <v>45845</v>
      </c>
      <c r="VEH71" s="159" t="s">
        <v>42</v>
      </c>
      <c r="VEI71" s="354" t="s">
        <v>150</v>
      </c>
      <c r="VEJ71" s="165" t="s">
        <v>124</v>
      </c>
      <c r="VEK71" s="352" t="s">
        <v>164</v>
      </c>
      <c r="VEL71" s="353" t="s">
        <v>121</v>
      </c>
      <c r="VEM71" s="159" t="s">
        <v>18</v>
      </c>
      <c r="VEN71" s="160">
        <v>8100</v>
      </c>
      <c r="VEO71" s="169">
        <v>85</v>
      </c>
      <c r="VEP71" s="170">
        <v>215</v>
      </c>
      <c r="VEQ71" s="170">
        <v>75</v>
      </c>
      <c r="VER71" s="169">
        <v>150</v>
      </c>
      <c r="VES71" s="171">
        <f>SUM(VEN71:VER71)</f>
        <v>8625</v>
      </c>
      <c r="VET71" s="169">
        <v>200</v>
      </c>
      <c r="VEU71" s="171">
        <f>SUM(VES71:VET71)</f>
        <v>8825</v>
      </c>
      <c r="VEV71" s="163" t="s">
        <v>114</v>
      </c>
      <c r="VEW71" s="164">
        <v>45845</v>
      </c>
      <c r="VEX71" s="159" t="s">
        <v>42</v>
      </c>
      <c r="VEY71" s="354" t="s">
        <v>150</v>
      </c>
      <c r="VEZ71" s="165" t="s">
        <v>124</v>
      </c>
      <c r="VFA71" s="352" t="s">
        <v>164</v>
      </c>
      <c r="VFB71" s="353" t="s">
        <v>121</v>
      </c>
      <c r="VFC71" s="159" t="s">
        <v>18</v>
      </c>
      <c r="VFD71" s="160">
        <v>8100</v>
      </c>
      <c r="VFE71" s="169">
        <v>85</v>
      </c>
      <c r="VFF71" s="170">
        <v>215</v>
      </c>
      <c r="VFG71" s="170">
        <v>75</v>
      </c>
      <c r="VFH71" s="169">
        <v>150</v>
      </c>
      <c r="VFI71" s="171">
        <f>SUM(VFD71:VFH71)</f>
        <v>8625</v>
      </c>
      <c r="VFJ71" s="169">
        <v>200</v>
      </c>
      <c r="VFK71" s="171">
        <f>SUM(VFI71:VFJ71)</f>
        <v>8825</v>
      </c>
      <c r="VFL71" s="163" t="s">
        <v>114</v>
      </c>
      <c r="VFM71" s="164">
        <v>45845</v>
      </c>
      <c r="VFN71" s="159" t="s">
        <v>42</v>
      </c>
      <c r="VFO71" s="354" t="s">
        <v>150</v>
      </c>
      <c r="VFP71" s="165" t="s">
        <v>124</v>
      </c>
      <c r="VFQ71" s="352" t="s">
        <v>164</v>
      </c>
      <c r="VFR71" s="353" t="s">
        <v>121</v>
      </c>
      <c r="VFS71" s="159" t="s">
        <v>18</v>
      </c>
      <c r="VFT71" s="160">
        <v>8100</v>
      </c>
      <c r="VFU71" s="169">
        <v>85</v>
      </c>
      <c r="VFV71" s="170">
        <v>215</v>
      </c>
      <c r="VFW71" s="170">
        <v>75</v>
      </c>
      <c r="VFX71" s="169">
        <v>150</v>
      </c>
      <c r="VFY71" s="171">
        <f>SUM(VFT71:VFX71)</f>
        <v>8625</v>
      </c>
      <c r="VFZ71" s="169">
        <v>200</v>
      </c>
      <c r="VGA71" s="171">
        <f>SUM(VFY71:VFZ71)</f>
        <v>8825</v>
      </c>
      <c r="VGB71" s="163" t="s">
        <v>114</v>
      </c>
      <c r="VGC71" s="164">
        <v>45845</v>
      </c>
      <c r="VGD71" s="159" t="s">
        <v>42</v>
      </c>
      <c r="VGE71" s="354" t="s">
        <v>150</v>
      </c>
      <c r="VGF71" s="165" t="s">
        <v>124</v>
      </c>
      <c r="VGG71" s="352" t="s">
        <v>164</v>
      </c>
      <c r="VGH71" s="353" t="s">
        <v>121</v>
      </c>
      <c r="VGI71" s="159" t="s">
        <v>18</v>
      </c>
      <c r="VGJ71" s="160">
        <v>8100</v>
      </c>
      <c r="VGK71" s="169">
        <v>85</v>
      </c>
      <c r="VGL71" s="170">
        <v>215</v>
      </c>
      <c r="VGM71" s="170">
        <v>75</v>
      </c>
      <c r="VGN71" s="169">
        <v>150</v>
      </c>
      <c r="VGO71" s="171">
        <f>SUM(VGJ71:VGN71)</f>
        <v>8625</v>
      </c>
      <c r="VGP71" s="169">
        <v>200</v>
      </c>
      <c r="VGQ71" s="171">
        <f>SUM(VGO71:VGP71)</f>
        <v>8825</v>
      </c>
      <c r="VGR71" s="163" t="s">
        <v>114</v>
      </c>
      <c r="VGS71" s="164">
        <v>45845</v>
      </c>
      <c r="VGT71" s="159" t="s">
        <v>42</v>
      </c>
      <c r="VGU71" s="354" t="s">
        <v>150</v>
      </c>
      <c r="VGV71" s="165" t="s">
        <v>124</v>
      </c>
      <c r="VGW71" s="352" t="s">
        <v>164</v>
      </c>
      <c r="VGX71" s="353" t="s">
        <v>121</v>
      </c>
      <c r="VGY71" s="159" t="s">
        <v>18</v>
      </c>
      <c r="VGZ71" s="160">
        <v>8100</v>
      </c>
      <c r="VHA71" s="169">
        <v>85</v>
      </c>
      <c r="VHB71" s="170">
        <v>215</v>
      </c>
      <c r="VHC71" s="170">
        <v>75</v>
      </c>
    </row>
    <row r="72" spans="1:63 3073:12199 12790:15083" ht="28.15" customHeight="1">
      <c r="A72" s="360"/>
      <c r="B72" s="281" t="s">
        <v>158</v>
      </c>
      <c r="C72" s="20" t="s">
        <v>121</v>
      </c>
      <c r="D72" s="160" t="s">
        <v>18</v>
      </c>
      <c r="E72" s="86">
        <f>CEILING((((6200+297+115)*1.12)- 85)-150,50)</f>
        <v>7200</v>
      </c>
      <c r="F72" s="182">
        <v>85</v>
      </c>
      <c r="G72" s="183">
        <v>215</v>
      </c>
      <c r="H72" s="183">
        <v>75</v>
      </c>
      <c r="I72" s="182">
        <v>150</v>
      </c>
      <c r="J72" s="171">
        <f t="shared" si="8"/>
        <v>7725</v>
      </c>
      <c r="K72" s="182">
        <v>200</v>
      </c>
      <c r="L72" s="171">
        <f t="shared" si="9"/>
        <v>7925</v>
      </c>
      <c r="M72" s="163" t="s">
        <v>114</v>
      </c>
      <c r="N72" s="218" t="s">
        <v>60</v>
      </c>
      <c r="O72" s="173" t="s">
        <v>42</v>
      </c>
      <c r="P72" s="199" t="s">
        <v>150</v>
      </c>
      <c r="Q72" s="110" t="s">
        <v>124</v>
      </c>
      <c r="R72" s="195"/>
      <c r="S72" s="187"/>
      <c r="T72" s="188"/>
      <c r="U72" s="189">
        <v>215</v>
      </c>
      <c r="V72" s="189"/>
      <c r="W72" s="188"/>
      <c r="X72" s="190"/>
      <c r="Y72" s="188"/>
      <c r="Z72" s="190"/>
      <c r="AA72" s="191"/>
      <c r="AB72" s="192"/>
      <c r="AC72" s="186"/>
      <c r="AD72" s="356"/>
      <c r="AE72" s="205"/>
      <c r="AF72" s="357"/>
      <c r="AG72" s="358"/>
      <c r="AH72"/>
      <c r="AI72" s="174"/>
      <c r="AJ72" s="175"/>
      <c r="AK72" s="176"/>
      <c r="AL72" s="176"/>
      <c r="AM72" s="175"/>
      <c r="AN72" s="177"/>
      <c r="AO72" s="175"/>
      <c r="AP72" s="177"/>
      <c r="AQ72" s="178"/>
      <c r="AR72" s="179"/>
      <c r="AS72"/>
      <c r="AT72" s="355"/>
      <c r="AU72"/>
      <c r="AV72" s="357"/>
      <c r="AW72" s="358"/>
      <c r="AX72"/>
      <c r="AY72" s="174"/>
      <c r="AZ72" s="175"/>
      <c r="BA72" s="176"/>
      <c r="BB72" s="176"/>
      <c r="BC72" s="175"/>
      <c r="BD72" s="177"/>
      <c r="BE72" s="175"/>
      <c r="BF72" s="177"/>
      <c r="BG72" s="178"/>
      <c r="BH72" s="179"/>
      <c r="BI72"/>
      <c r="BJ72" s="355"/>
      <c r="BK72"/>
      <c r="DNE72" s="164">
        <v>45845</v>
      </c>
      <c r="DNF72" s="159" t="s">
        <v>42</v>
      </c>
      <c r="DNG72" s="354"/>
      <c r="DNH72" s="165" t="s">
        <v>124</v>
      </c>
      <c r="DNI72" s="352"/>
      <c r="DNJ72" s="353"/>
      <c r="DNK72" s="159" t="s">
        <v>24</v>
      </c>
      <c r="DNL72" s="160">
        <v>8150</v>
      </c>
      <c r="DNM72" s="169">
        <v>85</v>
      </c>
      <c r="DNN72" s="170">
        <v>215</v>
      </c>
      <c r="DNO72" s="170">
        <v>75</v>
      </c>
      <c r="DNP72" s="169">
        <v>150</v>
      </c>
      <c r="DNQ72" s="171">
        <f>SUM(DNL72:DNP72)</f>
        <v>8675</v>
      </c>
      <c r="DNR72" s="169">
        <v>200</v>
      </c>
      <c r="DNS72" s="171">
        <f>SUM(DNQ72:DNR72)</f>
        <v>8875</v>
      </c>
      <c r="DNT72" s="163" t="s">
        <v>114</v>
      </c>
      <c r="DNU72" s="164">
        <v>45845</v>
      </c>
      <c r="DNV72" s="159" t="s">
        <v>42</v>
      </c>
      <c r="DNW72" s="354"/>
      <c r="DNX72" s="165" t="s">
        <v>124</v>
      </c>
      <c r="DNY72" s="352"/>
      <c r="DNZ72" s="353"/>
      <c r="DOA72" s="159" t="s">
        <v>24</v>
      </c>
      <c r="DOB72" s="160">
        <v>8150</v>
      </c>
      <c r="DOC72" s="169">
        <v>85</v>
      </c>
      <c r="DOD72" s="170">
        <v>215</v>
      </c>
      <c r="DOE72" s="170">
        <v>75</v>
      </c>
      <c r="DOF72" s="169">
        <v>150</v>
      </c>
      <c r="DOG72" s="171">
        <f>SUM(DOB72:DOF72)</f>
        <v>8675</v>
      </c>
      <c r="DOH72" s="169">
        <v>200</v>
      </c>
      <c r="DOI72" s="171">
        <f>SUM(DOG72:DOH72)</f>
        <v>8875</v>
      </c>
      <c r="DOJ72" s="163" t="s">
        <v>114</v>
      </c>
      <c r="DOK72" s="164">
        <v>45845</v>
      </c>
      <c r="DOL72" s="159" t="s">
        <v>42</v>
      </c>
      <c r="DOM72" s="354"/>
      <c r="DON72" s="165" t="s">
        <v>124</v>
      </c>
      <c r="DOO72" s="352"/>
      <c r="DOP72" s="353"/>
      <c r="DOQ72" s="159" t="s">
        <v>24</v>
      </c>
      <c r="DOR72" s="160">
        <v>8150</v>
      </c>
      <c r="DOS72" s="169">
        <v>85</v>
      </c>
      <c r="DOT72" s="170">
        <v>215</v>
      </c>
      <c r="DOU72" s="170">
        <v>75</v>
      </c>
      <c r="DOV72" s="169">
        <v>150</v>
      </c>
      <c r="DOW72" s="171">
        <f>SUM(DOR72:DOV72)</f>
        <v>8675</v>
      </c>
      <c r="DOX72" s="169">
        <v>200</v>
      </c>
      <c r="DOY72" s="171">
        <f>SUM(DOW72:DOX72)</f>
        <v>8875</v>
      </c>
      <c r="DOZ72" s="163" t="s">
        <v>114</v>
      </c>
      <c r="DPA72" s="164">
        <v>45845</v>
      </c>
      <c r="DPB72" s="159" t="s">
        <v>42</v>
      </c>
      <c r="DPC72" s="354"/>
      <c r="DPD72" s="165" t="s">
        <v>124</v>
      </c>
      <c r="DPE72" s="352"/>
      <c r="DPF72" s="353"/>
      <c r="DPG72" s="159" t="s">
        <v>24</v>
      </c>
      <c r="DPH72" s="160">
        <v>8150</v>
      </c>
      <c r="DPI72" s="169">
        <v>85</v>
      </c>
      <c r="DPJ72" s="170">
        <v>215</v>
      </c>
      <c r="DPK72" s="170">
        <v>75</v>
      </c>
      <c r="DPL72" s="169">
        <v>150</v>
      </c>
      <c r="DPM72" s="171">
        <f>SUM(DPH72:DPL72)</f>
        <v>8675</v>
      </c>
      <c r="DPN72" s="169">
        <v>200</v>
      </c>
      <c r="DPO72" s="171">
        <f>SUM(DPM72:DPN72)</f>
        <v>8875</v>
      </c>
      <c r="DPP72" s="163" t="s">
        <v>114</v>
      </c>
      <c r="DPQ72" s="164">
        <v>45845</v>
      </c>
      <c r="DPR72" s="159" t="s">
        <v>42</v>
      </c>
      <c r="DPS72" s="354"/>
      <c r="DPT72" s="165" t="s">
        <v>124</v>
      </c>
      <c r="DPU72" s="352"/>
      <c r="DPV72" s="353"/>
      <c r="DPW72" s="159" t="s">
        <v>24</v>
      </c>
      <c r="DPX72" s="160">
        <v>8150</v>
      </c>
      <c r="DPY72" s="169">
        <v>85</v>
      </c>
      <c r="DPZ72" s="170">
        <v>215</v>
      </c>
      <c r="DQA72" s="170">
        <v>75</v>
      </c>
      <c r="DQB72" s="169">
        <v>150</v>
      </c>
      <c r="DQC72" s="171">
        <f>SUM(DPX72:DQB72)</f>
        <v>8675</v>
      </c>
      <c r="DQD72" s="169">
        <v>200</v>
      </c>
      <c r="DQE72" s="171">
        <f>SUM(DQC72:DQD72)</f>
        <v>8875</v>
      </c>
      <c r="DQF72" s="163" t="s">
        <v>114</v>
      </c>
      <c r="DQG72" s="164">
        <v>45845</v>
      </c>
      <c r="DQH72" s="159" t="s">
        <v>42</v>
      </c>
      <c r="DQI72" s="354"/>
      <c r="DQJ72" s="165" t="s">
        <v>124</v>
      </c>
      <c r="DQK72" s="352"/>
      <c r="DQL72" s="353"/>
      <c r="DQM72" s="159" t="s">
        <v>24</v>
      </c>
      <c r="DQN72" s="160">
        <v>8150</v>
      </c>
      <c r="DQO72" s="169">
        <v>85</v>
      </c>
      <c r="DQP72" s="170">
        <v>215</v>
      </c>
      <c r="DQQ72" s="170">
        <v>75</v>
      </c>
      <c r="DQR72" s="169">
        <v>150</v>
      </c>
      <c r="DQS72" s="171">
        <f>SUM(DQN72:DQR72)</f>
        <v>8675</v>
      </c>
      <c r="DQT72" s="169">
        <v>200</v>
      </c>
      <c r="DQU72" s="171">
        <f>SUM(DQS72:DQT72)</f>
        <v>8875</v>
      </c>
      <c r="DQV72" s="163" t="s">
        <v>114</v>
      </c>
      <c r="DQW72" s="164">
        <v>45845</v>
      </c>
      <c r="DQX72" s="159" t="s">
        <v>42</v>
      </c>
      <c r="DQY72" s="354"/>
      <c r="DQZ72" s="165" t="s">
        <v>124</v>
      </c>
      <c r="DRA72" s="352"/>
      <c r="DRB72" s="353"/>
      <c r="DRC72" s="159" t="s">
        <v>24</v>
      </c>
      <c r="DRD72" s="160">
        <v>8150</v>
      </c>
      <c r="DRE72" s="169">
        <v>85</v>
      </c>
      <c r="DRF72" s="170">
        <v>215</v>
      </c>
      <c r="DRG72" s="170">
        <v>75</v>
      </c>
      <c r="DRH72" s="169">
        <v>150</v>
      </c>
      <c r="DRI72" s="171">
        <f>SUM(DRD72:DRH72)</f>
        <v>8675</v>
      </c>
      <c r="DRJ72" s="169">
        <v>200</v>
      </c>
      <c r="DRK72" s="171">
        <f>SUM(DRI72:DRJ72)</f>
        <v>8875</v>
      </c>
      <c r="DRL72" s="163" t="s">
        <v>114</v>
      </c>
      <c r="DRM72" s="164">
        <v>45845</v>
      </c>
      <c r="DRN72" s="159" t="s">
        <v>42</v>
      </c>
      <c r="DRO72" s="354"/>
      <c r="DRP72" s="165" t="s">
        <v>124</v>
      </c>
      <c r="DRQ72" s="352"/>
      <c r="DRR72" s="353"/>
      <c r="DRS72" s="159" t="s">
        <v>24</v>
      </c>
      <c r="DRT72" s="160">
        <v>8150</v>
      </c>
      <c r="DRU72" s="169">
        <v>85</v>
      </c>
      <c r="DRV72" s="170">
        <v>215</v>
      </c>
      <c r="DRW72" s="170">
        <v>75</v>
      </c>
      <c r="DRX72" s="169">
        <v>150</v>
      </c>
      <c r="DRY72" s="171">
        <f>SUM(DRT72:DRX72)</f>
        <v>8675</v>
      </c>
      <c r="DRZ72" s="169">
        <v>200</v>
      </c>
      <c r="DSA72" s="171">
        <f>SUM(DRY72:DRZ72)</f>
        <v>8875</v>
      </c>
      <c r="DSB72" s="163" t="s">
        <v>114</v>
      </c>
      <c r="DSC72" s="164">
        <v>45845</v>
      </c>
      <c r="DSD72" s="159" t="s">
        <v>42</v>
      </c>
      <c r="DSE72" s="354"/>
      <c r="DSF72" s="165" t="s">
        <v>124</v>
      </c>
      <c r="DSG72" s="352"/>
      <c r="DSH72" s="353"/>
      <c r="DSI72" s="159" t="s">
        <v>24</v>
      </c>
      <c r="DSJ72" s="160">
        <v>8150</v>
      </c>
      <c r="DSK72" s="169">
        <v>85</v>
      </c>
      <c r="DSL72" s="170">
        <v>215</v>
      </c>
      <c r="DSM72" s="170">
        <v>75</v>
      </c>
      <c r="DSN72" s="169">
        <v>150</v>
      </c>
      <c r="DSO72" s="171">
        <f>SUM(DSJ72:DSN72)</f>
        <v>8675</v>
      </c>
      <c r="DSP72" s="169">
        <v>200</v>
      </c>
      <c r="DSQ72" s="171">
        <f>SUM(DSO72:DSP72)</f>
        <v>8875</v>
      </c>
      <c r="DSR72" s="163" t="s">
        <v>114</v>
      </c>
      <c r="DSS72" s="164">
        <v>45845</v>
      </c>
      <c r="DST72" s="159" t="s">
        <v>42</v>
      </c>
      <c r="DSU72" s="354"/>
      <c r="DSV72" s="165" t="s">
        <v>124</v>
      </c>
      <c r="DSW72" s="352"/>
      <c r="DSX72" s="353"/>
      <c r="DSY72" s="159" t="s">
        <v>24</v>
      </c>
      <c r="DSZ72" s="160">
        <v>8150</v>
      </c>
      <c r="DTA72" s="169">
        <v>85</v>
      </c>
      <c r="DTB72" s="170">
        <v>215</v>
      </c>
      <c r="DTC72" s="170">
        <v>75</v>
      </c>
      <c r="DTD72" s="169">
        <v>150</v>
      </c>
      <c r="DTE72" s="171">
        <f>SUM(DSZ72:DTD72)</f>
        <v>8675</v>
      </c>
      <c r="DTF72" s="169">
        <v>200</v>
      </c>
      <c r="DTG72" s="171">
        <f>SUM(DTE72:DTF72)</f>
        <v>8875</v>
      </c>
      <c r="DTH72" s="163" t="s">
        <v>114</v>
      </c>
      <c r="DTI72" s="164">
        <v>45845</v>
      </c>
      <c r="DTJ72" s="159" t="s">
        <v>42</v>
      </c>
      <c r="DTK72" s="354"/>
      <c r="DTL72" s="165" t="s">
        <v>124</v>
      </c>
      <c r="DTM72" s="352"/>
      <c r="DTN72" s="353"/>
      <c r="DTO72" s="159" t="s">
        <v>24</v>
      </c>
      <c r="DTP72" s="160">
        <v>8150</v>
      </c>
      <c r="DTQ72" s="169">
        <v>85</v>
      </c>
      <c r="DTR72" s="170">
        <v>215</v>
      </c>
      <c r="DTS72" s="170">
        <v>75</v>
      </c>
      <c r="DTT72" s="169">
        <v>150</v>
      </c>
      <c r="DTU72" s="171">
        <f>SUM(DTP72:DTT72)</f>
        <v>8675</v>
      </c>
      <c r="DTV72" s="169">
        <v>200</v>
      </c>
      <c r="DTW72" s="171">
        <f>SUM(DTU72:DTV72)</f>
        <v>8875</v>
      </c>
      <c r="DTX72" s="163" t="s">
        <v>114</v>
      </c>
      <c r="DTY72" s="164">
        <v>45845</v>
      </c>
      <c r="DTZ72" s="159" t="s">
        <v>42</v>
      </c>
      <c r="DUA72" s="354"/>
      <c r="DUB72" s="165" t="s">
        <v>124</v>
      </c>
      <c r="DUC72" s="352"/>
      <c r="DUD72" s="353"/>
      <c r="DUE72" s="159" t="s">
        <v>24</v>
      </c>
      <c r="DUF72" s="160">
        <v>8150</v>
      </c>
      <c r="DUG72" s="169">
        <v>85</v>
      </c>
      <c r="DUH72" s="170">
        <v>215</v>
      </c>
      <c r="DUI72" s="170">
        <v>75</v>
      </c>
      <c r="DUJ72" s="169">
        <v>150</v>
      </c>
      <c r="DUK72" s="171">
        <f>SUM(DUF72:DUJ72)</f>
        <v>8675</v>
      </c>
      <c r="DUL72" s="169">
        <v>200</v>
      </c>
      <c r="DUM72" s="171">
        <f>SUM(DUK72:DUL72)</f>
        <v>8875</v>
      </c>
      <c r="DUN72" s="163" t="s">
        <v>114</v>
      </c>
      <c r="DUO72" s="164">
        <v>45845</v>
      </c>
      <c r="DUP72" s="159" t="s">
        <v>42</v>
      </c>
      <c r="DUQ72" s="354"/>
      <c r="DUR72" s="165" t="s">
        <v>124</v>
      </c>
      <c r="DUS72" s="352"/>
      <c r="DUT72" s="353"/>
      <c r="DUU72" s="159" t="s">
        <v>24</v>
      </c>
      <c r="DUV72" s="160">
        <v>8150</v>
      </c>
      <c r="DUW72" s="169">
        <v>85</v>
      </c>
      <c r="DUX72" s="170">
        <v>215</v>
      </c>
      <c r="DUY72" s="170">
        <v>75</v>
      </c>
      <c r="DUZ72" s="169">
        <v>150</v>
      </c>
      <c r="DVA72" s="171">
        <f>SUM(DUV72:DUZ72)</f>
        <v>8675</v>
      </c>
      <c r="DVB72" s="169">
        <v>200</v>
      </c>
      <c r="DVC72" s="171">
        <f>SUM(DVA72:DVB72)</f>
        <v>8875</v>
      </c>
      <c r="DVD72" s="163" t="s">
        <v>114</v>
      </c>
      <c r="DVE72" s="164">
        <v>45845</v>
      </c>
      <c r="DVF72" s="159" t="s">
        <v>42</v>
      </c>
      <c r="DVG72" s="354"/>
      <c r="DVH72" s="165" t="s">
        <v>124</v>
      </c>
      <c r="DVI72" s="352"/>
      <c r="DVJ72" s="353"/>
      <c r="DVK72" s="159" t="s">
        <v>24</v>
      </c>
      <c r="DVL72" s="160">
        <v>8150</v>
      </c>
      <c r="DVM72" s="169">
        <v>85</v>
      </c>
      <c r="DVN72" s="170">
        <v>215</v>
      </c>
      <c r="DVO72" s="170">
        <v>75</v>
      </c>
      <c r="DVP72" s="169">
        <v>150</v>
      </c>
      <c r="DVQ72" s="171">
        <f>SUM(DVL72:DVP72)</f>
        <v>8675</v>
      </c>
      <c r="DVR72" s="169">
        <v>200</v>
      </c>
      <c r="DVS72" s="171">
        <f>SUM(DVQ72:DVR72)</f>
        <v>8875</v>
      </c>
      <c r="DVT72" s="163" t="s">
        <v>114</v>
      </c>
      <c r="DVU72" s="164">
        <v>45845</v>
      </c>
      <c r="DVV72" s="159" t="s">
        <v>42</v>
      </c>
      <c r="DVW72" s="354"/>
      <c r="DVX72" s="165" t="s">
        <v>124</v>
      </c>
      <c r="DVY72" s="352"/>
      <c r="DVZ72" s="353"/>
      <c r="DWA72" s="159" t="s">
        <v>24</v>
      </c>
      <c r="DWB72" s="160">
        <v>8150</v>
      </c>
      <c r="DWC72" s="169">
        <v>85</v>
      </c>
      <c r="DWD72" s="170">
        <v>215</v>
      </c>
      <c r="DWE72" s="170">
        <v>75</v>
      </c>
      <c r="DWF72" s="169">
        <v>150</v>
      </c>
      <c r="DWG72" s="171">
        <f>SUM(DWB72:DWF72)</f>
        <v>8675</v>
      </c>
      <c r="DWH72" s="169">
        <v>200</v>
      </c>
      <c r="DWI72" s="171">
        <f>SUM(DWG72:DWH72)</f>
        <v>8875</v>
      </c>
      <c r="DWJ72" s="163" t="s">
        <v>114</v>
      </c>
      <c r="DWK72" s="164">
        <v>45845</v>
      </c>
      <c r="DWL72" s="159" t="s">
        <v>42</v>
      </c>
      <c r="DWM72" s="354"/>
      <c r="DWN72" s="165" t="s">
        <v>124</v>
      </c>
      <c r="DWO72" s="352"/>
      <c r="DWP72" s="353"/>
      <c r="DWQ72" s="159" t="s">
        <v>24</v>
      </c>
      <c r="DWR72" s="160">
        <v>8150</v>
      </c>
      <c r="DWS72" s="169">
        <v>85</v>
      </c>
      <c r="DWT72" s="170">
        <v>215</v>
      </c>
      <c r="DWU72" s="170">
        <v>75</v>
      </c>
      <c r="DWV72" s="169">
        <v>150</v>
      </c>
      <c r="DWW72" s="171">
        <f>SUM(DWR72:DWV72)</f>
        <v>8675</v>
      </c>
      <c r="DWX72" s="169">
        <v>200</v>
      </c>
      <c r="DWY72" s="171">
        <f>SUM(DWW72:DWX72)</f>
        <v>8875</v>
      </c>
      <c r="DWZ72" s="163" t="s">
        <v>114</v>
      </c>
      <c r="DXA72" s="164">
        <v>45845</v>
      </c>
      <c r="DXB72" s="159" t="s">
        <v>42</v>
      </c>
      <c r="DXC72" s="354"/>
      <c r="DXD72" s="165" t="s">
        <v>124</v>
      </c>
      <c r="DXE72" s="352"/>
      <c r="DXF72" s="353"/>
      <c r="DXG72" s="159" t="s">
        <v>24</v>
      </c>
      <c r="DXH72" s="160">
        <v>8150</v>
      </c>
      <c r="DXI72" s="169">
        <v>85</v>
      </c>
      <c r="DXJ72" s="170">
        <v>215</v>
      </c>
      <c r="DXK72" s="170">
        <v>75</v>
      </c>
      <c r="DXL72" s="169">
        <v>150</v>
      </c>
      <c r="DXM72" s="171">
        <f>SUM(DXH72:DXL72)</f>
        <v>8675</v>
      </c>
      <c r="DXN72" s="169">
        <v>200</v>
      </c>
      <c r="DXO72" s="171">
        <f>SUM(DXM72:DXN72)</f>
        <v>8875</v>
      </c>
      <c r="DXP72" s="163" t="s">
        <v>114</v>
      </c>
      <c r="DXQ72" s="164">
        <v>45845</v>
      </c>
      <c r="DXR72" s="159" t="s">
        <v>42</v>
      </c>
      <c r="DXS72" s="354"/>
      <c r="DXT72" s="165" t="s">
        <v>124</v>
      </c>
      <c r="DXU72" s="352"/>
      <c r="DXV72" s="353"/>
      <c r="DXW72" s="159" t="s">
        <v>24</v>
      </c>
      <c r="DXX72" s="160">
        <v>8150</v>
      </c>
      <c r="DXY72" s="169">
        <v>85</v>
      </c>
      <c r="DXZ72" s="170">
        <v>215</v>
      </c>
      <c r="DYA72" s="170">
        <v>75</v>
      </c>
      <c r="DYB72" s="169">
        <v>150</v>
      </c>
      <c r="DYC72" s="171">
        <f>SUM(DXX72:DYB72)</f>
        <v>8675</v>
      </c>
      <c r="DYD72" s="169">
        <v>200</v>
      </c>
      <c r="DYE72" s="171">
        <f>SUM(DYC72:DYD72)</f>
        <v>8875</v>
      </c>
      <c r="DYF72" s="163" t="s">
        <v>114</v>
      </c>
      <c r="DYG72" s="164">
        <v>45845</v>
      </c>
      <c r="DYH72" s="159" t="s">
        <v>42</v>
      </c>
      <c r="DYI72" s="354"/>
      <c r="DYJ72" s="165" t="s">
        <v>124</v>
      </c>
      <c r="DYK72" s="352"/>
      <c r="DYL72" s="353"/>
      <c r="DYM72" s="159" t="s">
        <v>24</v>
      </c>
      <c r="DYN72" s="160">
        <v>8150</v>
      </c>
      <c r="DYO72" s="169">
        <v>85</v>
      </c>
      <c r="DYP72" s="170">
        <v>215</v>
      </c>
      <c r="DYQ72" s="170">
        <v>75</v>
      </c>
      <c r="DYR72" s="169">
        <v>150</v>
      </c>
      <c r="DYS72" s="171">
        <f>SUM(DYN72:DYR72)</f>
        <v>8675</v>
      </c>
      <c r="DYT72" s="169">
        <v>200</v>
      </c>
      <c r="DYU72" s="171">
        <f>SUM(DYS72:DYT72)</f>
        <v>8875</v>
      </c>
      <c r="DYV72" s="163" t="s">
        <v>114</v>
      </c>
      <c r="DYW72" s="164">
        <v>45845</v>
      </c>
      <c r="DYX72" s="159" t="s">
        <v>42</v>
      </c>
      <c r="DYY72" s="354"/>
      <c r="DYZ72" s="165" t="s">
        <v>124</v>
      </c>
      <c r="DZA72" s="352"/>
      <c r="DZB72" s="353"/>
      <c r="DZC72" s="159" t="s">
        <v>24</v>
      </c>
      <c r="DZD72" s="160">
        <v>8150</v>
      </c>
      <c r="DZE72" s="169">
        <v>85</v>
      </c>
      <c r="DZF72" s="170">
        <v>215</v>
      </c>
      <c r="DZG72" s="170">
        <v>75</v>
      </c>
      <c r="DZH72" s="169">
        <v>150</v>
      </c>
      <c r="DZI72" s="171">
        <f>SUM(DZD72:DZH72)</f>
        <v>8675</v>
      </c>
      <c r="DZJ72" s="169">
        <v>200</v>
      </c>
      <c r="DZK72" s="171">
        <f>SUM(DZI72:DZJ72)</f>
        <v>8875</v>
      </c>
      <c r="DZL72" s="163" t="s">
        <v>114</v>
      </c>
      <c r="DZM72" s="164">
        <v>45845</v>
      </c>
      <c r="DZN72" s="159" t="s">
        <v>42</v>
      </c>
      <c r="DZO72" s="354"/>
      <c r="DZP72" s="165" t="s">
        <v>124</v>
      </c>
      <c r="DZQ72" s="352"/>
      <c r="DZR72" s="353"/>
      <c r="DZS72" s="159" t="s">
        <v>24</v>
      </c>
      <c r="DZT72" s="160">
        <v>8150</v>
      </c>
      <c r="DZU72" s="169">
        <v>85</v>
      </c>
      <c r="DZV72" s="170">
        <v>215</v>
      </c>
      <c r="DZW72" s="170">
        <v>75</v>
      </c>
      <c r="DZX72" s="169">
        <v>150</v>
      </c>
      <c r="DZY72" s="171">
        <f>SUM(DZT72:DZX72)</f>
        <v>8675</v>
      </c>
      <c r="DZZ72" s="169">
        <v>200</v>
      </c>
      <c r="EAA72" s="171">
        <f>SUM(DZY72:DZZ72)</f>
        <v>8875</v>
      </c>
      <c r="EAB72" s="163" t="s">
        <v>114</v>
      </c>
      <c r="EAC72" s="164">
        <v>45845</v>
      </c>
      <c r="EAD72" s="159" t="s">
        <v>42</v>
      </c>
      <c r="EAE72" s="354"/>
      <c r="EAF72" s="165" t="s">
        <v>124</v>
      </c>
      <c r="EAG72" s="352"/>
      <c r="EAH72" s="353"/>
      <c r="EAI72" s="159" t="s">
        <v>24</v>
      </c>
      <c r="EAJ72" s="160">
        <v>8150</v>
      </c>
      <c r="EAK72" s="169">
        <v>85</v>
      </c>
      <c r="EAL72" s="170">
        <v>215</v>
      </c>
      <c r="EAM72" s="170">
        <v>75</v>
      </c>
      <c r="EAN72" s="169">
        <v>150</v>
      </c>
      <c r="EAO72" s="171">
        <f>SUM(EAJ72:EAN72)</f>
        <v>8675</v>
      </c>
      <c r="EAP72" s="169">
        <v>200</v>
      </c>
      <c r="EAQ72" s="171">
        <f>SUM(EAO72:EAP72)</f>
        <v>8875</v>
      </c>
      <c r="EAR72" s="163" t="s">
        <v>114</v>
      </c>
      <c r="EAS72" s="164">
        <v>45845</v>
      </c>
      <c r="EAT72" s="159" t="s">
        <v>42</v>
      </c>
      <c r="EAU72" s="354"/>
      <c r="EAV72" s="165" t="s">
        <v>124</v>
      </c>
      <c r="EAW72" s="352"/>
      <c r="EAX72" s="353"/>
      <c r="EAY72" s="159" t="s">
        <v>24</v>
      </c>
      <c r="EAZ72" s="160">
        <v>8150</v>
      </c>
      <c r="EBA72" s="169">
        <v>85</v>
      </c>
      <c r="EBB72" s="170">
        <v>215</v>
      </c>
      <c r="EBC72" s="170">
        <v>75</v>
      </c>
      <c r="EBD72" s="169">
        <v>150</v>
      </c>
      <c r="EBE72" s="171">
        <f>SUM(EAZ72:EBD72)</f>
        <v>8675</v>
      </c>
      <c r="EBF72" s="169">
        <v>200</v>
      </c>
      <c r="EBG72" s="171">
        <f>SUM(EBE72:EBF72)</f>
        <v>8875</v>
      </c>
      <c r="EBH72" s="163" t="s">
        <v>114</v>
      </c>
      <c r="EBI72" s="164">
        <v>45845</v>
      </c>
      <c r="EBJ72" s="159" t="s">
        <v>42</v>
      </c>
      <c r="EBK72" s="354"/>
      <c r="EBL72" s="165" t="s">
        <v>124</v>
      </c>
      <c r="EBM72" s="352"/>
      <c r="EBN72" s="353"/>
      <c r="EBO72" s="159" t="s">
        <v>24</v>
      </c>
      <c r="EBP72" s="160">
        <v>8150</v>
      </c>
      <c r="EBQ72" s="169">
        <v>85</v>
      </c>
      <c r="EBR72" s="170">
        <v>215</v>
      </c>
      <c r="EBS72" s="170">
        <v>75</v>
      </c>
      <c r="EBT72" s="169">
        <v>150</v>
      </c>
      <c r="EBU72" s="171">
        <f>SUM(EBP72:EBT72)</f>
        <v>8675</v>
      </c>
      <c r="EBV72" s="169">
        <v>200</v>
      </c>
      <c r="EBW72" s="171">
        <f>SUM(EBU72:EBV72)</f>
        <v>8875</v>
      </c>
      <c r="EBX72" s="163" t="s">
        <v>114</v>
      </c>
      <c r="EBY72" s="164">
        <v>45845</v>
      </c>
      <c r="EBZ72" s="159" t="s">
        <v>42</v>
      </c>
      <c r="ECA72" s="354"/>
      <c r="ECB72" s="165" t="s">
        <v>124</v>
      </c>
      <c r="ECC72" s="352"/>
      <c r="ECD72" s="353"/>
      <c r="ECE72" s="159" t="s">
        <v>24</v>
      </c>
      <c r="ECF72" s="160">
        <v>8150</v>
      </c>
      <c r="ECG72" s="169">
        <v>85</v>
      </c>
      <c r="ECH72" s="170">
        <v>215</v>
      </c>
      <c r="ECI72" s="170">
        <v>75</v>
      </c>
      <c r="ECJ72" s="169">
        <v>150</v>
      </c>
      <c r="ECK72" s="171">
        <f>SUM(ECF72:ECJ72)</f>
        <v>8675</v>
      </c>
      <c r="ECL72" s="169">
        <v>200</v>
      </c>
      <c r="ECM72" s="171">
        <f>SUM(ECK72:ECL72)</f>
        <v>8875</v>
      </c>
      <c r="ECN72" s="163" t="s">
        <v>114</v>
      </c>
      <c r="ECO72" s="164">
        <v>45845</v>
      </c>
      <c r="ECP72" s="159" t="s">
        <v>42</v>
      </c>
      <c r="ECQ72" s="354"/>
      <c r="ECR72" s="165" t="s">
        <v>124</v>
      </c>
      <c r="ECS72" s="352"/>
      <c r="ECT72" s="353"/>
      <c r="ECU72" s="159" t="s">
        <v>24</v>
      </c>
      <c r="ECV72" s="160">
        <v>8150</v>
      </c>
      <c r="ECW72" s="169">
        <v>85</v>
      </c>
      <c r="ECX72" s="170">
        <v>215</v>
      </c>
      <c r="ECY72" s="170">
        <v>75</v>
      </c>
      <c r="ECZ72" s="169">
        <v>150</v>
      </c>
      <c r="EDA72" s="171">
        <f>SUM(ECV72:ECZ72)</f>
        <v>8675</v>
      </c>
      <c r="EDB72" s="169">
        <v>200</v>
      </c>
      <c r="EDC72" s="171">
        <f>SUM(EDA72:EDB72)</f>
        <v>8875</v>
      </c>
      <c r="EDD72" s="163" t="s">
        <v>114</v>
      </c>
      <c r="EDE72" s="164">
        <v>45845</v>
      </c>
      <c r="EDF72" s="159" t="s">
        <v>42</v>
      </c>
      <c r="EDG72" s="354"/>
      <c r="EDH72" s="165" t="s">
        <v>124</v>
      </c>
      <c r="EDI72" s="352"/>
      <c r="EDJ72" s="353"/>
      <c r="EDK72" s="159" t="s">
        <v>24</v>
      </c>
      <c r="EDL72" s="160">
        <v>8150</v>
      </c>
      <c r="EDM72" s="169">
        <v>85</v>
      </c>
      <c r="EDN72" s="170">
        <v>215</v>
      </c>
      <c r="EDO72" s="170">
        <v>75</v>
      </c>
      <c r="EDP72" s="169">
        <v>150</v>
      </c>
      <c r="EDQ72" s="171">
        <f>SUM(EDL72:EDP72)</f>
        <v>8675</v>
      </c>
      <c r="EDR72" s="169">
        <v>200</v>
      </c>
      <c r="EDS72" s="171">
        <f>SUM(EDQ72:EDR72)</f>
        <v>8875</v>
      </c>
      <c r="EDT72" s="163" t="s">
        <v>114</v>
      </c>
      <c r="EDU72" s="164">
        <v>45845</v>
      </c>
      <c r="EDV72" s="159" t="s">
        <v>42</v>
      </c>
      <c r="EDW72" s="354"/>
      <c r="EDX72" s="165" t="s">
        <v>124</v>
      </c>
      <c r="EDY72" s="352"/>
      <c r="EDZ72" s="353"/>
      <c r="EEA72" s="159" t="s">
        <v>24</v>
      </c>
      <c r="EEB72" s="160">
        <v>8150</v>
      </c>
      <c r="EEC72" s="169">
        <v>85</v>
      </c>
      <c r="EED72" s="170">
        <v>215</v>
      </c>
      <c r="EEE72" s="170">
        <v>75</v>
      </c>
      <c r="EEF72" s="169">
        <v>150</v>
      </c>
      <c r="EEG72" s="171">
        <f>SUM(EEB72:EEF72)</f>
        <v>8675</v>
      </c>
      <c r="EEH72" s="169">
        <v>200</v>
      </c>
      <c r="EEI72" s="171">
        <f>SUM(EEG72:EEH72)</f>
        <v>8875</v>
      </c>
      <c r="EEJ72" s="163" t="s">
        <v>114</v>
      </c>
      <c r="EEK72" s="164">
        <v>45845</v>
      </c>
      <c r="EEL72" s="159" t="s">
        <v>42</v>
      </c>
      <c r="EEM72" s="354"/>
      <c r="EEN72" s="165" t="s">
        <v>124</v>
      </c>
      <c r="EEO72" s="352"/>
      <c r="EEP72" s="353"/>
      <c r="EEQ72" s="159" t="s">
        <v>24</v>
      </c>
      <c r="EER72" s="160">
        <v>8150</v>
      </c>
      <c r="EES72" s="169">
        <v>85</v>
      </c>
      <c r="EET72" s="170">
        <v>215</v>
      </c>
      <c r="EEU72" s="170">
        <v>75</v>
      </c>
      <c r="EEV72" s="169">
        <v>150</v>
      </c>
      <c r="EEW72" s="171">
        <f>SUM(EER72:EEV72)</f>
        <v>8675</v>
      </c>
      <c r="EEX72" s="169">
        <v>200</v>
      </c>
      <c r="EEY72" s="171">
        <f>SUM(EEW72:EEX72)</f>
        <v>8875</v>
      </c>
      <c r="EEZ72" s="163" t="s">
        <v>114</v>
      </c>
      <c r="EFA72" s="164">
        <v>45845</v>
      </c>
      <c r="EFB72" s="159" t="s">
        <v>42</v>
      </c>
      <c r="EFC72" s="354"/>
      <c r="EFD72" s="165" t="s">
        <v>124</v>
      </c>
      <c r="EFE72" s="352"/>
      <c r="EFF72" s="353"/>
      <c r="EFG72" s="159" t="s">
        <v>24</v>
      </c>
      <c r="EFH72" s="160">
        <v>8150</v>
      </c>
      <c r="EFI72" s="169">
        <v>85</v>
      </c>
      <c r="EFJ72" s="170">
        <v>215</v>
      </c>
      <c r="EFK72" s="170">
        <v>75</v>
      </c>
      <c r="EFL72" s="169">
        <v>150</v>
      </c>
      <c r="EFM72" s="171">
        <f>SUM(EFH72:EFL72)</f>
        <v>8675</v>
      </c>
      <c r="EFN72" s="169">
        <v>200</v>
      </c>
      <c r="EFO72" s="171">
        <f>SUM(EFM72:EFN72)</f>
        <v>8875</v>
      </c>
      <c r="EFP72" s="163" t="s">
        <v>114</v>
      </c>
      <c r="EFQ72" s="164">
        <v>45845</v>
      </c>
      <c r="EFR72" s="159" t="s">
        <v>42</v>
      </c>
      <c r="EFS72" s="354"/>
      <c r="EFT72" s="165" t="s">
        <v>124</v>
      </c>
      <c r="EFU72" s="352"/>
      <c r="EFV72" s="353"/>
      <c r="EFW72" s="159" t="s">
        <v>24</v>
      </c>
      <c r="EFX72" s="160">
        <v>8150</v>
      </c>
      <c r="EFY72" s="169">
        <v>85</v>
      </c>
      <c r="EFZ72" s="170">
        <v>215</v>
      </c>
      <c r="EGA72" s="170">
        <v>75</v>
      </c>
      <c r="EGB72" s="169">
        <v>150</v>
      </c>
      <c r="EGC72" s="171">
        <f>SUM(EFX72:EGB72)</f>
        <v>8675</v>
      </c>
      <c r="EGD72" s="169">
        <v>200</v>
      </c>
      <c r="EGE72" s="171">
        <f>SUM(EGC72:EGD72)</f>
        <v>8875</v>
      </c>
      <c r="EGF72" s="163" t="s">
        <v>114</v>
      </c>
      <c r="EGG72" s="164">
        <v>45845</v>
      </c>
      <c r="EGH72" s="159" t="s">
        <v>42</v>
      </c>
      <c r="EGI72" s="354"/>
      <c r="EGJ72" s="165" t="s">
        <v>124</v>
      </c>
      <c r="EGK72" s="352"/>
      <c r="EGL72" s="353"/>
      <c r="EGM72" s="159" t="s">
        <v>24</v>
      </c>
      <c r="EGN72" s="160">
        <v>8150</v>
      </c>
      <c r="EGO72" s="169">
        <v>85</v>
      </c>
      <c r="EGP72" s="170">
        <v>215</v>
      </c>
      <c r="EGQ72" s="170">
        <v>75</v>
      </c>
      <c r="EGR72" s="169">
        <v>150</v>
      </c>
      <c r="EGS72" s="171">
        <f>SUM(EGN72:EGR72)</f>
        <v>8675</v>
      </c>
      <c r="EGT72" s="169">
        <v>200</v>
      </c>
      <c r="EGU72" s="171">
        <f>SUM(EGS72:EGT72)</f>
        <v>8875</v>
      </c>
      <c r="EGV72" s="163" t="s">
        <v>114</v>
      </c>
      <c r="EGW72" s="164">
        <v>45845</v>
      </c>
      <c r="EGX72" s="159" t="s">
        <v>42</v>
      </c>
      <c r="EGY72" s="354"/>
      <c r="EGZ72" s="165" t="s">
        <v>124</v>
      </c>
      <c r="EHA72" s="352"/>
      <c r="EHB72" s="353"/>
      <c r="EHC72" s="159" t="s">
        <v>24</v>
      </c>
      <c r="EHD72" s="160">
        <v>8150</v>
      </c>
      <c r="EHE72" s="169">
        <v>85</v>
      </c>
      <c r="EHF72" s="170">
        <v>215</v>
      </c>
      <c r="EHG72" s="170">
        <v>75</v>
      </c>
      <c r="EHH72" s="169">
        <v>150</v>
      </c>
      <c r="EHI72" s="171">
        <f>SUM(EHD72:EHH72)</f>
        <v>8675</v>
      </c>
      <c r="EHJ72" s="169">
        <v>200</v>
      </c>
      <c r="EHK72" s="171">
        <f>SUM(EHI72:EHJ72)</f>
        <v>8875</v>
      </c>
      <c r="EHL72" s="163" t="s">
        <v>114</v>
      </c>
      <c r="EHM72" s="164">
        <v>45845</v>
      </c>
      <c r="EHN72" s="159" t="s">
        <v>42</v>
      </c>
      <c r="EHO72" s="354"/>
      <c r="EHP72" s="165" t="s">
        <v>124</v>
      </c>
      <c r="EHQ72" s="352"/>
      <c r="EHR72" s="353"/>
      <c r="EHS72" s="159" t="s">
        <v>24</v>
      </c>
      <c r="EHT72" s="160">
        <v>8150</v>
      </c>
      <c r="EHU72" s="169">
        <v>85</v>
      </c>
      <c r="EHV72" s="170">
        <v>215</v>
      </c>
      <c r="EHW72" s="170">
        <v>75</v>
      </c>
      <c r="EHX72" s="169">
        <v>150</v>
      </c>
      <c r="EHY72" s="171">
        <f>SUM(EHT72:EHX72)</f>
        <v>8675</v>
      </c>
      <c r="EHZ72" s="169">
        <v>200</v>
      </c>
      <c r="EIA72" s="171">
        <f>SUM(EHY72:EHZ72)</f>
        <v>8875</v>
      </c>
      <c r="EIB72" s="163" t="s">
        <v>114</v>
      </c>
      <c r="EIC72" s="164">
        <v>45845</v>
      </c>
      <c r="EID72" s="159" t="s">
        <v>42</v>
      </c>
      <c r="EIE72" s="354"/>
      <c r="EIF72" s="165" t="s">
        <v>124</v>
      </c>
      <c r="EIG72" s="352"/>
      <c r="EIH72" s="353"/>
      <c r="EII72" s="159" t="s">
        <v>24</v>
      </c>
      <c r="EIJ72" s="160">
        <v>8150</v>
      </c>
      <c r="EIK72" s="169">
        <v>85</v>
      </c>
      <c r="EIL72" s="170">
        <v>215</v>
      </c>
      <c r="EIM72" s="170">
        <v>75</v>
      </c>
      <c r="EIN72" s="169">
        <v>150</v>
      </c>
      <c r="EIO72" s="171">
        <f>SUM(EIJ72:EIN72)</f>
        <v>8675</v>
      </c>
      <c r="EIP72" s="169">
        <v>200</v>
      </c>
      <c r="EIQ72" s="171">
        <f>SUM(EIO72:EIP72)</f>
        <v>8875</v>
      </c>
      <c r="EIR72" s="163" t="s">
        <v>114</v>
      </c>
      <c r="EIS72" s="164">
        <v>45845</v>
      </c>
      <c r="EIT72" s="159" t="s">
        <v>42</v>
      </c>
      <c r="EIU72" s="354"/>
      <c r="EIV72" s="165" t="s">
        <v>124</v>
      </c>
      <c r="EIW72" s="352"/>
      <c r="EIX72" s="353"/>
      <c r="EIY72" s="159" t="s">
        <v>24</v>
      </c>
      <c r="EIZ72" s="160">
        <v>8150</v>
      </c>
      <c r="EJA72" s="169">
        <v>85</v>
      </c>
      <c r="EJB72" s="170">
        <v>215</v>
      </c>
      <c r="EJC72" s="170">
        <v>75</v>
      </c>
      <c r="EJD72" s="169">
        <v>150</v>
      </c>
      <c r="EJE72" s="171">
        <f>SUM(EIZ72:EJD72)</f>
        <v>8675</v>
      </c>
      <c r="EJF72" s="169">
        <v>200</v>
      </c>
      <c r="EJG72" s="171">
        <f>SUM(EJE72:EJF72)</f>
        <v>8875</v>
      </c>
      <c r="EJH72" s="163" t="s">
        <v>114</v>
      </c>
      <c r="EJI72" s="164">
        <v>45845</v>
      </c>
      <c r="EJJ72" s="159" t="s">
        <v>42</v>
      </c>
      <c r="EJK72" s="354"/>
      <c r="EJL72" s="165" t="s">
        <v>124</v>
      </c>
      <c r="EJM72" s="352"/>
      <c r="EJN72" s="353"/>
      <c r="EJO72" s="159" t="s">
        <v>24</v>
      </c>
      <c r="EJP72" s="160">
        <v>8150</v>
      </c>
      <c r="EJQ72" s="169">
        <v>85</v>
      </c>
      <c r="EJR72" s="170">
        <v>215</v>
      </c>
      <c r="EJS72" s="170">
        <v>75</v>
      </c>
      <c r="EJT72" s="169">
        <v>150</v>
      </c>
      <c r="EJU72" s="171">
        <f>SUM(EJP72:EJT72)</f>
        <v>8675</v>
      </c>
      <c r="EJV72" s="169">
        <v>200</v>
      </c>
      <c r="EJW72" s="171">
        <f>SUM(EJU72:EJV72)</f>
        <v>8875</v>
      </c>
      <c r="EJX72" s="163" t="s">
        <v>114</v>
      </c>
      <c r="EJY72" s="164">
        <v>45845</v>
      </c>
      <c r="EJZ72" s="159" t="s">
        <v>42</v>
      </c>
      <c r="EKA72" s="354"/>
      <c r="EKB72" s="165" t="s">
        <v>124</v>
      </c>
      <c r="EKC72" s="352"/>
      <c r="EKD72" s="353"/>
      <c r="EKE72" s="159" t="s">
        <v>24</v>
      </c>
      <c r="EKF72" s="160">
        <v>8150</v>
      </c>
      <c r="EKG72" s="169">
        <v>85</v>
      </c>
      <c r="EKH72" s="170">
        <v>215</v>
      </c>
      <c r="EKI72" s="170">
        <v>75</v>
      </c>
      <c r="EKJ72" s="169">
        <v>150</v>
      </c>
      <c r="EKK72" s="171">
        <f>SUM(EKF72:EKJ72)</f>
        <v>8675</v>
      </c>
      <c r="EKL72" s="169">
        <v>200</v>
      </c>
      <c r="EKM72" s="171">
        <f>SUM(EKK72:EKL72)</f>
        <v>8875</v>
      </c>
      <c r="EKN72" s="163" t="s">
        <v>114</v>
      </c>
      <c r="EKO72" s="164">
        <v>45845</v>
      </c>
      <c r="EKP72" s="159" t="s">
        <v>42</v>
      </c>
      <c r="EKQ72" s="354"/>
      <c r="EKR72" s="165" t="s">
        <v>124</v>
      </c>
      <c r="EKS72" s="352"/>
      <c r="EKT72" s="353"/>
      <c r="EKU72" s="159" t="s">
        <v>24</v>
      </c>
      <c r="EKV72" s="160">
        <v>8150</v>
      </c>
      <c r="EKW72" s="169">
        <v>85</v>
      </c>
      <c r="EKX72" s="170">
        <v>215</v>
      </c>
      <c r="EKY72" s="170">
        <v>75</v>
      </c>
      <c r="EKZ72" s="169">
        <v>150</v>
      </c>
      <c r="ELA72" s="171">
        <f>SUM(EKV72:EKZ72)</f>
        <v>8675</v>
      </c>
      <c r="ELB72" s="169">
        <v>200</v>
      </c>
      <c r="ELC72" s="171">
        <f>SUM(ELA72:ELB72)</f>
        <v>8875</v>
      </c>
      <c r="ELD72" s="163" t="s">
        <v>114</v>
      </c>
      <c r="ELE72" s="164">
        <v>45845</v>
      </c>
      <c r="ELF72" s="159" t="s">
        <v>42</v>
      </c>
      <c r="ELG72" s="354"/>
      <c r="ELH72" s="165" t="s">
        <v>124</v>
      </c>
      <c r="ELI72" s="352"/>
      <c r="ELJ72" s="353"/>
      <c r="ELK72" s="159" t="s">
        <v>24</v>
      </c>
      <c r="ELL72" s="160">
        <v>8150</v>
      </c>
      <c r="ELM72" s="169">
        <v>85</v>
      </c>
      <c r="ELN72" s="170">
        <v>215</v>
      </c>
      <c r="ELO72" s="170">
        <v>75</v>
      </c>
      <c r="ELP72" s="169">
        <v>150</v>
      </c>
      <c r="ELQ72" s="171">
        <f>SUM(ELL72:ELP72)</f>
        <v>8675</v>
      </c>
      <c r="ELR72" s="169">
        <v>200</v>
      </c>
      <c r="ELS72" s="171">
        <f>SUM(ELQ72:ELR72)</f>
        <v>8875</v>
      </c>
      <c r="ELT72" s="163" t="s">
        <v>114</v>
      </c>
      <c r="ELU72" s="164">
        <v>45845</v>
      </c>
      <c r="ELV72" s="159" t="s">
        <v>42</v>
      </c>
      <c r="ELW72" s="354"/>
      <c r="ELX72" s="165" t="s">
        <v>124</v>
      </c>
      <c r="ELY72" s="352"/>
      <c r="ELZ72" s="353"/>
      <c r="EMA72" s="159" t="s">
        <v>24</v>
      </c>
      <c r="EMB72" s="160">
        <v>8150</v>
      </c>
      <c r="EMC72" s="169">
        <v>85</v>
      </c>
      <c r="EMD72" s="170">
        <v>215</v>
      </c>
      <c r="EME72" s="170">
        <v>75</v>
      </c>
      <c r="EMF72" s="169">
        <v>150</v>
      </c>
      <c r="EMG72" s="171">
        <f>SUM(EMB72:EMF72)</f>
        <v>8675</v>
      </c>
      <c r="EMH72" s="169">
        <v>200</v>
      </c>
      <c r="EMI72" s="171">
        <f>SUM(EMG72:EMH72)</f>
        <v>8875</v>
      </c>
      <c r="EMJ72" s="163" t="s">
        <v>114</v>
      </c>
      <c r="EMK72" s="164">
        <v>45845</v>
      </c>
      <c r="EML72" s="159" t="s">
        <v>42</v>
      </c>
      <c r="EMM72" s="354"/>
      <c r="EMN72" s="165" t="s">
        <v>124</v>
      </c>
      <c r="EMO72" s="352"/>
      <c r="EMP72" s="353"/>
      <c r="EMQ72" s="159" t="s">
        <v>24</v>
      </c>
      <c r="EMR72" s="160">
        <v>8150</v>
      </c>
      <c r="EMS72" s="169">
        <v>85</v>
      </c>
      <c r="EMT72" s="170">
        <v>215</v>
      </c>
      <c r="EMU72" s="170">
        <v>75</v>
      </c>
      <c r="EMV72" s="169">
        <v>150</v>
      </c>
      <c r="EMW72" s="171">
        <f>SUM(EMR72:EMV72)</f>
        <v>8675</v>
      </c>
      <c r="EMX72" s="169">
        <v>200</v>
      </c>
      <c r="EMY72" s="171">
        <f>SUM(EMW72:EMX72)</f>
        <v>8875</v>
      </c>
      <c r="EMZ72" s="163" t="s">
        <v>114</v>
      </c>
      <c r="ENA72" s="164">
        <v>45845</v>
      </c>
      <c r="ENB72" s="159" t="s">
        <v>42</v>
      </c>
      <c r="ENC72" s="354"/>
      <c r="END72" s="165" t="s">
        <v>124</v>
      </c>
      <c r="ENE72" s="352"/>
      <c r="ENF72" s="353"/>
      <c r="ENG72" s="159" t="s">
        <v>24</v>
      </c>
      <c r="ENH72" s="160">
        <v>8150</v>
      </c>
      <c r="ENI72" s="169">
        <v>85</v>
      </c>
      <c r="ENJ72" s="170">
        <v>215</v>
      </c>
      <c r="ENK72" s="170">
        <v>75</v>
      </c>
      <c r="ENL72" s="169">
        <v>150</v>
      </c>
      <c r="ENM72" s="171">
        <f>SUM(ENH72:ENL72)</f>
        <v>8675</v>
      </c>
      <c r="ENN72" s="169">
        <v>200</v>
      </c>
      <c r="ENO72" s="171">
        <f>SUM(ENM72:ENN72)</f>
        <v>8875</v>
      </c>
      <c r="ENP72" s="163" t="s">
        <v>114</v>
      </c>
      <c r="ENQ72" s="164">
        <v>45845</v>
      </c>
      <c r="ENR72" s="159" t="s">
        <v>42</v>
      </c>
      <c r="ENS72" s="354"/>
      <c r="ENT72" s="165" t="s">
        <v>124</v>
      </c>
      <c r="ENU72" s="352"/>
      <c r="ENV72" s="353"/>
      <c r="ENW72" s="159" t="s">
        <v>24</v>
      </c>
      <c r="ENX72" s="160">
        <v>8150</v>
      </c>
      <c r="ENY72" s="169">
        <v>85</v>
      </c>
      <c r="ENZ72" s="170">
        <v>215</v>
      </c>
      <c r="EOA72" s="170">
        <v>75</v>
      </c>
      <c r="EOB72" s="169">
        <v>150</v>
      </c>
      <c r="EOC72" s="171">
        <f>SUM(ENX72:EOB72)</f>
        <v>8675</v>
      </c>
      <c r="EOD72" s="169">
        <v>200</v>
      </c>
      <c r="EOE72" s="171">
        <f>SUM(EOC72:EOD72)</f>
        <v>8875</v>
      </c>
      <c r="EOF72" s="163" t="s">
        <v>114</v>
      </c>
      <c r="EOG72" s="164">
        <v>45845</v>
      </c>
      <c r="EOH72" s="159" t="s">
        <v>42</v>
      </c>
      <c r="EOI72" s="354"/>
      <c r="EOJ72" s="165" t="s">
        <v>124</v>
      </c>
      <c r="EOK72" s="352"/>
      <c r="EOL72" s="353"/>
      <c r="EOM72" s="159" t="s">
        <v>24</v>
      </c>
      <c r="EON72" s="160">
        <v>8150</v>
      </c>
      <c r="EOO72" s="169">
        <v>85</v>
      </c>
      <c r="EOP72" s="170">
        <v>215</v>
      </c>
      <c r="EOQ72" s="170">
        <v>75</v>
      </c>
      <c r="EOR72" s="169">
        <v>150</v>
      </c>
      <c r="EOS72" s="171">
        <f>SUM(EON72:EOR72)</f>
        <v>8675</v>
      </c>
      <c r="EOT72" s="169">
        <v>200</v>
      </c>
      <c r="EOU72" s="171">
        <f>SUM(EOS72:EOT72)</f>
        <v>8875</v>
      </c>
      <c r="EOV72" s="163" t="s">
        <v>114</v>
      </c>
      <c r="EOW72" s="164">
        <v>45845</v>
      </c>
      <c r="EOX72" s="159" t="s">
        <v>42</v>
      </c>
      <c r="EOY72" s="354"/>
      <c r="EOZ72" s="165" t="s">
        <v>124</v>
      </c>
      <c r="EPA72" s="352"/>
      <c r="EPB72" s="353"/>
      <c r="EPC72" s="159" t="s">
        <v>24</v>
      </c>
      <c r="EPD72" s="160">
        <v>8150</v>
      </c>
      <c r="EPE72" s="169">
        <v>85</v>
      </c>
      <c r="EPF72" s="170">
        <v>215</v>
      </c>
      <c r="EPG72" s="170">
        <v>75</v>
      </c>
      <c r="EPH72" s="169">
        <v>150</v>
      </c>
      <c r="EPI72" s="171">
        <f>SUM(EPD72:EPH72)</f>
        <v>8675</v>
      </c>
      <c r="EPJ72" s="169">
        <v>200</v>
      </c>
      <c r="EPK72" s="171">
        <f>SUM(EPI72:EPJ72)</f>
        <v>8875</v>
      </c>
      <c r="EPL72" s="163" t="s">
        <v>114</v>
      </c>
      <c r="EPM72" s="164">
        <v>45845</v>
      </c>
      <c r="EPN72" s="159" t="s">
        <v>42</v>
      </c>
      <c r="EPO72" s="354"/>
      <c r="EPP72" s="165" t="s">
        <v>124</v>
      </c>
      <c r="EPQ72" s="352"/>
      <c r="EPR72" s="353"/>
      <c r="EPS72" s="159" t="s">
        <v>24</v>
      </c>
      <c r="EPT72" s="160">
        <v>8150</v>
      </c>
      <c r="EPU72" s="169">
        <v>85</v>
      </c>
      <c r="EPV72" s="170">
        <v>215</v>
      </c>
      <c r="EPW72" s="170">
        <v>75</v>
      </c>
      <c r="EPX72" s="169">
        <v>150</v>
      </c>
      <c r="EPY72" s="171">
        <f>SUM(EPT72:EPX72)</f>
        <v>8675</v>
      </c>
      <c r="EPZ72" s="169">
        <v>200</v>
      </c>
      <c r="EQA72" s="171">
        <f>SUM(EPY72:EPZ72)</f>
        <v>8875</v>
      </c>
      <c r="EQB72" s="163" t="s">
        <v>114</v>
      </c>
      <c r="EQC72" s="164">
        <v>45845</v>
      </c>
      <c r="EQD72" s="159" t="s">
        <v>42</v>
      </c>
      <c r="EQE72" s="354"/>
      <c r="EQF72" s="165" t="s">
        <v>124</v>
      </c>
      <c r="EQG72" s="352"/>
      <c r="EQH72" s="353"/>
      <c r="EQI72" s="159" t="s">
        <v>24</v>
      </c>
      <c r="EQJ72" s="160">
        <v>8150</v>
      </c>
      <c r="EQK72" s="169">
        <v>85</v>
      </c>
      <c r="EQL72" s="170">
        <v>215</v>
      </c>
      <c r="EQM72" s="170">
        <v>75</v>
      </c>
      <c r="EQN72" s="169">
        <v>150</v>
      </c>
      <c r="EQO72" s="171">
        <f>SUM(EQJ72:EQN72)</f>
        <v>8675</v>
      </c>
      <c r="EQP72" s="169">
        <v>200</v>
      </c>
      <c r="EQQ72" s="171">
        <f>SUM(EQO72:EQP72)</f>
        <v>8875</v>
      </c>
      <c r="EQR72" s="163" t="s">
        <v>114</v>
      </c>
      <c r="EQS72" s="164">
        <v>45845</v>
      </c>
      <c r="EQT72" s="159" t="s">
        <v>42</v>
      </c>
      <c r="EQU72" s="354"/>
      <c r="EQV72" s="165" t="s">
        <v>124</v>
      </c>
      <c r="EQW72" s="352"/>
      <c r="EQX72" s="353"/>
      <c r="EQY72" s="159" t="s">
        <v>24</v>
      </c>
      <c r="EQZ72" s="160">
        <v>8150</v>
      </c>
      <c r="ERA72" s="169">
        <v>85</v>
      </c>
      <c r="ERB72" s="170">
        <v>215</v>
      </c>
      <c r="ERC72" s="170">
        <v>75</v>
      </c>
      <c r="ERD72" s="169">
        <v>150</v>
      </c>
      <c r="ERE72" s="171">
        <f>SUM(EQZ72:ERD72)</f>
        <v>8675</v>
      </c>
      <c r="ERF72" s="169">
        <v>200</v>
      </c>
      <c r="ERG72" s="171">
        <f>SUM(ERE72:ERF72)</f>
        <v>8875</v>
      </c>
      <c r="ERH72" s="163" t="s">
        <v>114</v>
      </c>
      <c r="ERI72" s="164">
        <v>45845</v>
      </c>
      <c r="ERJ72" s="159" t="s">
        <v>42</v>
      </c>
      <c r="ERK72" s="354"/>
      <c r="ERL72" s="165" t="s">
        <v>124</v>
      </c>
      <c r="ERM72" s="352"/>
      <c r="ERN72" s="353"/>
      <c r="ERO72" s="159" t="s">
        <v>24</v>
      </c>
      <c r="ERP72" s="160">
        <v>8150</v>
      </c>
      <c r="ERQ72" s="169">
        <v>85</v>
      </c>
      <c r="ERR72" s="170">
        <v>215</v>
      </c>
      <c r="ERS72" s="170">
        <v>75</v>
      </c>
      <c r="ERT72" s="169">
        <v>150</v>
      </c>
      <c r="ERU72" s="171">
        <f>SUM(ERP72:ERT72)</f>
        <v>8675</v>
      </c>
      <c r="ERV72" s="169">
        <v>200</v>
      </c>
      <c r="ERW72" s="171">
        <f>SUM(ERU72:ERV72)</f>
        <v>8875</v>
      </c>
      <c r="ERX72" s="163" t="s">
        <v>114</v>
      </c>
      <c r="ERY72" s="164">
        <v>45845</v>
      </c>
      <c r="ERZ72" s="159" t="s">
        <v>42</v>
      </c>
      <c r="ESA72" s="354"/>
      <c r="ESB72" s="165" t="s">
        <v>124</v>
      </c>
      <c r="ESC72" s="352"/>
      <c r="ESD72" s="353"/>
      <c r="ESE72" s="159" t="s">
        <v>24</v>
      </c>
      <c r="ESF72" s="160">
        <v>8150</v>
      </c>
      <c r="ESG72" s="169">
        <v>85</v>
      </c>
      <c r="ESH72" s="170">
        <v>215</v>
      </c>
      <c r="ESI72" s="170">
        <v>75</v>
      </c>
      <c r="ESJ72" s="169">
        <v>150</v>
      </c>
      <c r="ESK72" s="171">
        <f>SUM(ESF72:ESJ72)</f>
        <v>8675</v>
      </c>
      <c r="ESL72" s="169">
        <v>200</v>
      </c>
      <c r="ESM72" s="171">
        <f>SUM(ESK72:ESL72)</f>
        <v>8875</v>
      </c>
      <c r="ESN72" s="163" t="s">
        <v>114</v>
      </c>
      <c r="ESO72" s="164">
        <v>45845</v>
      </c>
      <c r="ESP72" s="159" t="s">
        <v>42</v>
      </c>
      <c r="ESQ72" s="354"/>
      <c r="ESR72" s="165" t="s">
        <v>124</v>
      </c>
      <c r="ESS72" s="352"/>
      <c r="EST72" s="353"/>
      <c r="ESU72" s="159" t="s">
        <v>24</v>
      </c>
      <c r="ESV72" s="160">
        <v>8150</v>
      </c>
      <c r="ESW72" s="169">
        <v>85</v>
      </c>
      <c r="ESX72" s="170">
        <v>215</v>
      </c>
      <c r="ESY72" s="170">
        <v>75</v>
      </c>
      <c r="ESZ72" s="169">
        <v>150</v>
      </c>
      <c r="ETA72" s="171">
        <f>SUM(ESV72:ESZ72)</f>
        <v>8675</v>
      </c>
      <c r="ETB72" s="169">
        <v>200</v>
      </c>
      <c r="ETC72" s="171">
        <f>SUM(ETA72:ETB72)</f>
        <v>8875</v>
      </c>
      <c r="ETD72" s="163" t="s">
        <v>114</v>
      </c>
      <c r="ETE72" s="164">
        <v>45845</v>
      </c>
      <c r="ETF72" s="159" t="s">
        <v>42</v>
      </c>
      <c r="ETG72" s="354"/>
      <c r="ETH72" s="165" t="s">
        <v>124</v>
      </c>
      <c r="ETI72" s="352"/>
      <c r="ETJ72" s="353"/>
      <c r="ETK72" s="159" t="s">
        <v>24</v>
      </c>
      <c r="ETL72" s="160">
        <v>8150</v>
      </c>
      <c r="ETM72" s="169">
        <v>85</v>
      </c>
      <c r="ETN72" s="170">
        <v>215</v>
      </c>
      <c r="ETO72" s="170">
        <v>75</v>
      </c>
      <c r="ETP72" s="169">
        <v>150</v>
      </c>
      <c r="ETQ72" s="171">
        <f>SUM(ETL72:ETP72)</f>
        <v>8675</v>
      </c>
      <c r="ETR72" s="169">
        <v>200</v>
      </c>
      <c r="ETS72" s="171">
        <f>SUM(ETQ72:ETR72)</f>
        <v>8875</v>
      </c>
      <c r="ETT72" s="163" t="s">
        <v>114</v>
      </c>
      <c r="ETU72" s="164">
        <v>45845</v>
      </c>
      <c r="ETV72" s="159" t="s">
        <v>42</v>
      </c>
      <c r="ETW72" s="354"/>
      <c r="ETX72" s="165" t="s">
        <v>124</v>
      </c>
      <c r="ETY72" s="352"/>
      <c r="ETZ72" s="353"/>
      <c r="EUA72" s="159" t="s">
        <v>24</v>
      </c>
      <c r="EUB72" s="160">
        <v>8150</v>
      </c>
      <c r="EUC72" s="169">
        <v>85</v>
      </c>
      <c r="EUD72" s="170">
        <v>215</v>
      </c>
      <c r="EUE72" s="170">
        <v>75</v>
      </c>
      <c r="EUF72" s="169">
        <v>150</v>
      </c>
      <c r="EUG72" s="171">
        <f>SUM(EUB72:EUF72)</f>
        <v>8675</v>
      </c>
      <c r="EUH72" s="169">
        <v>200</v>
      </c>
      <c r="EUI72" s="171">
        <f>SUM(EUG72:EUH72)</f>
        <v>8875</v>
      </c>
      <c r="EUJ72" s="163" t="s">
        <v>114</v>
      </c>
      <c r="EUK72" s="164">
        <v>45845</v>
      </c>
      <c r="EUL72" s="159" t="s">
        <v>42</v>
      </c>
      <c r="EUM72" s="354"/>
      <c r="EUN72" s="165" t="s">
        <v>124</v>
      </c>
      <c r="EUO72" s="352"/>
      <c r="EUP72" s="353"/>
      <c r="EUQ72" s="159" t="s">
        <v>24</v>
      </c>
      <c r="EUR72" s="160">
        <v>8150</v>
      </c>
      <c r="EUS72" s="169">
        <v>85</v>
      </c>
      <c r="EUT72" s="170">
        <v>215</v>
      </c>
      <c r="EUU72" s="170">
        <v>75</v>
      </c>
      <c r="EUV72" s="169">
        <v>150</v>
      </c>
      <c r="EUW72" s="171">
        <f>SUM(EUR72:EUV72)</f>
        <v>8675</v>
      </c>
      <c r="EUX72" s="169">
        <v>200</v>
      </c>
      <c r="EUY72" s="171">
        <f>SUM(EUW72:EUX72)</f>
        <v>8875</v>
      </c>
      <c r="EUZ72" s="163" t="s">
        <v>114</v>
      </c>
      <c r="EVA72" s="164">
        <v>45845</v>
      </c>
      <c r="EVB72" s="159" t="s">
        <v>42</v>
      </c>
      <c r="EVC72" s="354"/>
      <c r="EVD72" s="165" t="s">
        <v>124</v>
      </c>
      <c r="EVE72" s="352"/>
      <c r="EVF72" s="353"/>
      <c r="EVG72" s="159" t="s">
        <v>24</v>
      </c>
      <c r="EVH72" s="160">
        <v>8150</v>
      </c>
      <c r="EVI72" s="169">
        <v>85</v>
      </c>
      <c r="EVJ72" s="170">
        <v>215</v>
      </c>
      <c r="EVK72" s="170">
        <v>75</v>
      </c>
      <c r="EVL72" s="169">
        <v>150</v>
      </c>
      <c r="EVM72" s="171">
        <f>SUM(EVH72:EVL72)</f>
        <v>8675</v>
      </c>
      <c r="EVN72" s="169">
        <v>200</v>
      </c>
      <c r="EVO72" s="171">
        <f>SUM(EVM72:EVN72)</f>
        <v>8875</v>
      </c>
      <c r="EVP72" s="163" t="s">
        <v>114</v>
      </c>
      <c r="EVQ72" s="164">
        <v>45845</v>
      </c>
      <c r="EVR72" s="159" t="s">
        <v>42</v>
      </c>
      <c r="EVS72" s="354"/>
      <c r="EVT72" s="165" t="s">
        <v>124</v>
      </c>
      <c r="EVU72" s="352"/>
      <c r="EVV72" s="353"/>
      <c r="EVW72" s="159" t="s">
        <v>24</v>
      </c>
      <c r="EVX72" s="160">
        <v>8150</v>
      </c>
      <c r="EVY72" s="169">
        <v>85</v>
      </c>
      <c r="EVZ72" s="170">
        <v>215</v>
      </c>
      <c r="EWA72" s="170">
        <v>75</v>
      </c>
      <c r="EWB72" s="169">
        <v>150</v>
      </c>
      <c r="EWC72" s="171">
        <f>SUM(EVX72:EWB72)</f>
        <v>8675</v>
      </c>
      <c r="EWD72" s="169">
        <v>200</v>
      </c>
      <c r="EWE72" s="171">
        <f>SUM(EWC72:EWD72)</f>
        <v>8875</v>
      </c>
      <c r="EWF72" s="163" t="s">
        <v>114</v>
      </c>
      <c r="EWG72" s="164">
        <v>45845</v>
      </c>
      <c r="EWH72" s="159" t="s">
        <v>42</v>
      </c>
      <c r="EWI72" s="354"/>
      <c r="EWJ72" s="165" t="s">
        <v>124</v>
      </c>
      <c r="EWK72" s="352"/>
      <c r="EWL72" s="353"/>
      <c r="EWM72" s="159" t="s">
        <v>24</v>
      </c>
      <c r="EWN72" s="160">
        <v>8150</v>
      </c>
      <c r="EWO72" s="169">
        <v>85</v>
      </c>
      <c r="EWP72" s="170">
        <v>215</v>
      </c>
      <c r="EWQ72" s="170">
        <v>75</v>
      </c>
      <c r="EWR72" s="169">
        <v>150</v>
      </c>
      <c r="EWS72" s="171">
        <f>SUM(EWN72:EWR72)</f>
        <v>8675</v>
      </c>
      <c r="EWT72" s="169">
        <v>200</v>
      </c>
      <c r="EWU72" s="171">
        <f>SUM(EWS72:EWT72)</f>
        <v>8875</v>
      </c>
      <c r="EWV72" s="163" t="s">
        <v>114</v>
      </c>
      <c r="EWW72" s="164">
        <v>45845</v>
      </c>
      <c r="EWX72" s="159" t="s">
        <v>42</v>
      </c>
      <c r="EWY72" s="354"/>
      <c r="EWZ72" s="165" t="s">
        <v>124</v>
      </c>
      <c r="EXA72" s="352"/>
      <c r="EXB72" s="353"/>
      <c r="EXC72" s="159" t="s">
        <v>24</v>
      </c>
      <c r="EXD72" s="160">
        <v>8150</v>
      </c>
      <c r="EXE72" s="169">
        <v>85</v>
      </c>
      <c r="EXF72" s="170">
        <v>215</v>
      </c>
      <c r="EXG72" s="170">
        <v>75</v>
      </c>
      <c r="EXH72" s="169">
        <v>150</v>
      </c>
      <c r="EXI72" s="171">
        <f>SUM(EXD72:EXH72)</f>
        <v>8675</v>
      </c>
      <c r="EXJ72" s="169">
        <v>200</v>
      </c>
      <c r="EXK72" s="171">
        <f>SUM(EXI72:EXJ72)</f>
        <v>8875</v>
      </c>
      <c r="EXL72" s="163" t="s">
        <v>114</v>
      </c>
      <c r="EXM72" s="164">
        <v>45845</v>
      </c>
      <c r="EXN72" s="159" t="s">
        <v>42</v>
      </c>
      <c r="EXO72" s="354"/>
      <c r="EXP72" s="165" t="s">
        <v>124</v>
      </c>
      <c r="EXQ72" s="352"/>
      <c r="EXR72" s="353"/>
      <c r="EXS72" s="159" t="s">
        <v>24</v>
      </c>
      <c r="EXT72" s="160">
        <v>8150</v>
      </c>
      <c r="EXU72" s="169">
        <v>85</v>
      </c>
      <c r="EXV72" s="170">
        <v>215</v>
      </c>
      <c r="EXW72" s="170">
        <v>75</v>
      </c>
      <c r="EXX72" s="169">
        <v>150</v>
      </c>
      <c r="EXY72" s="171">
        <f>SUM(EXT72:EXX72)</f>
        <v>8675</v>
      </c>
      <c r="EXZ72" s="169">
        <v>200</v>
      </c>
      <c r="EYA72" s="171">
        <f>SUM(EXY72:EXZ72)</f>
        <v>8875</v>
      </c>
      <c r="EYB72" s="163" t="s">
        <v>114</v>
      </c>
      <c r="EYC72" s="164">
        <v>45845</v>
      </c>
      <c r="EYD72" s="159" t="s">
        <v>42</v>
      </c>
      <c r="EYE72" s="354"/>
      <c r="EYF72" s="165" t="s">
        <v>124</v>
      </c>
      <c r="EYG72" s="352"/>
      <c r="EYH72" s="353"/>
      <c r="EYI72" s="159" t="s">
        <v>24</v>
      </c>
      <c r="EYJ72" s="160">
        <v>8150</v>
      </c>
      <c r="EYK72" s="169">
        <v>85</v>
      </c>
      <c r="EYL72" s="170">
        <v>215</v>
      </c>
      <c r="EYM72" s="170">
        <v>75</v>
      </c>
      <c r="EYN72" s="169">
        <v>150</v>
      </c>
      <c r="EYO72" s="171">
        <f>SUM(EYJ72:EYN72)</f>
        <v>8675</v>
      </c>
      <c r="EYP72" s="169">
        <v>200</v>
      </c>
      <c r="EYQ72" s="171">
        <f>SUM(EYO72:EYP72)</f>
        <v>8875</v>
      </c>
      <c r="EYR72" s="163" t="s">
        <v>114</v>
      </c>
      <c r="EYS72" s="164">
        <v>45845</v>
      </c>
      <c r="EYT72" s="159" t="s">
        <v>42</v>
      </c>
      <c r="EYU72" s="354"/>
      <c r="EYV72" s="165" t="s">
        <v>124</v>
      </c>
      <c r="EYW72" s="352"/>
      <c r="EYX72" s="353"/>
      <c r="EYY72" s="159" t="s">
        <v>24</v>
      </c>
      <c r="EYZ72" s="160">
        <v>8150</v>
      </c>
      <c r="EZA72" s="169">
        <v>85</v>
      </c>
      <c r="EZB72" s="170">
        <v>215</v>
      </c>
      <c r="EZC72" s="170">
        <v>75</v>
      </c>
      <c r="EZD72" s="169">
        <v>150</v>
      </c>
      <c r="EZE72" s="171">
        <f>SUM(EYZ72:EZD72)</f>
        <v>8675</v>
      </c>
      <c r="EZF72" s="169">
        <v>200</v>
      </c>
      <c r="EZG72" s="171">
        <f>SUM(EZE72:EZF72)</f>
        <v>8875</v>
      </c>
      <c r="EZH72" s="163" t="s">
        <v>114</v>
      </c>
      <c r="EZI72" s="164">
        <v>45845</v>
      </c>
      <c r="EZJ72" s="159" t="s">
        <v>42</v>
      </c>
      <c r="EZK72" s="354"/>
      <c r="EZL72" s="165" t="s">
        <v>124</v>
      </c>
      <c r="EZM72" s="352"/>
      <c r="EZN72" s="353"/>
      <c r="EZO72" s="159" t="s">
        <v>24</v>
      </c>
      <c r="EZP72" s="160">
        <v>8150</v>
      </c>
      <c r="EZQ72" s="169">
        <v>85</v>
      </c>
      <c r="EZR72" s="170">
        <v>215</v>
      </c>
      <c r="EZS72" s="170">
        <v>75</v>
      </c>
      <c r="EZT72" s="169">
        <v>150</v>
      </c>
      <c r="EZU72" s="171">
        <f>SUM(EZP72:EZT72)</f>
        <v>8675</v>
      </c>
      <c r="EZV72" s="169">
        <v>200</v>
      </c>
      <c r="EZW72" s="171">
        <f>SUM(EZU72:EZV72)</f>
        <v>8875</v>
      </c>
      <c r="EZX72" s="163" t="s">
        <v>114</v>
      </c>
      <c r="EZY72" s="164">
        <v>45845</v>
      </c>
      <c r="EZZ72" s="159" t="s">
        <v>42</v>
      </c>
      <c r="FAA72" s="354"/>
      <c r="FAB72" s="165" t="s">
        <v>124</v>
      </c>
      <c r="FAC72" s="352"/>
      <c r="FAD72" s="353"/>
      <c r="FAE72" s="159" t="s">
        <v>24</v>
      </c>
      <c r="FAF72" s="160">
        <v>8150</v>
      </c>
      <c r="FAG72" s="169">
        <v>85</v>
      </c>
      <c r="FAH72" s="170">
        <v>215</v>
      </c>
      <c r="FAI72" s="170">
        <v>75</v>
      </c>
      <c r="FAJ72" s="169">
        <v>150</v>
      </c>
      <c r="FAK72" s="171">
        <f>SUM(FAF72:FAJ72)</f>
        <v>8675</v>
      </c>
      <c r="FAL72" s="169">
        <v>200</v>
      </c>
      <c r="FAM72" s="171">
        <f>SUM(FAK72:FAL72)</f>
        <v>8875</v>
      </c>
      <c r="FAN72" s="163" t="s">
        <v>114</v>
      </c>
      <c r="FAO72" s="164">
        <v>45845</v>
      </c>
      <c r="FAP72" s="159" t="s">
        <v>42</v>
      </c>
      <c r="FAQ72" s="354"/>
      <c r="FAR72" s="165" t="s">
        <v>124</v>
      </c>
      <c r="FAS72" s="352"/>
      <c r="FAT72" s="353"/>
      <c r="FAU72" s="159" t="s">
        <v>24</v>
      </c>
      <c r="FAV72" s="160">
        <v>8150</v>
      </c>
      <c r="FAW72" s="169">
        <v>85</v>
      </c>
      <c r="FAX72" s="170">
        <v>215</v>
      </c>
      <c r="FAY72" s="170">
        <v>75</v>
      </c>
      <c r="FAZ72" s="169">
        <v>150</v>
      </c>
      <c r="FBA72" s="171">
        <f>SUM(FAV72:FAZ72)</f>
        <v>8675</v>
      </c>
      <c r="FBB72" s="169">
        <v>200</v>
      </c>
      <c r="FBC72" s="171">
        <f>SUM(FBA72:FBB72)</f>
        <v>8875</v>
      </c>
      <c r="FBD72" s="163" t="s">
        <v>114</v>
      </c>
      <c r="FBE72" s="164">
        <v>45845</v>
      </c>
      <c r="FBF72" s="159" t="s">
        <v>42</v>
      </c>
      <c r="FBG72" s="354"/>
      <c r="FBH72" s="165" t="s">
        <v>124</v>
      </c>
      <c r="FBI72" s="352"/>
      <c r="FBJ72" s="353"/>
      <c r="FBK72" s="159" t="s">
        <v>24</v>
      </c>
      <c r="FBL72" s="160">
        <v>8150</v>
      </c>
      <c r="FBM72" s="169">
        <v>85</v>
      </c>
      <c r="FBN72" s="170">
        <v>215</v>
      </c>
      <c r="FBO72" s="170">
        <v>75</v>
      </c>
      <c r="FBP72" s="169">
        <v>150</v>
      </c>
      <c r="FBQ72" s="171">
        <f>SUM(FBL72:FBP72)</f>
        <v>8675</v>
      </c>
      <c r="FBR72" s="169">
        <v>200</v>
      </c>
      <c r="FBS72" s="171">
        <f>SUM(FBQ72:FBR72)</f>
        <v>8875</v>
      </c>
      <c r="FBT72" s="163" t="s">
        <v>114</v>
      </c>
      <c r="FBU72" s="164">
        <v>45845</v>
      </c>
      <c r="FBV72" s="159" t="s">
        <v>42</v>
      </c>
      <c r="FBW72" s="354"/>
      <c r="FBX72" s="165" t="s">
        <v>124</v>
      </c>
      <c r="FBY72" s="352"/>
      <c r="FBZ72" s="353"/>
      <c r="FCA72" s="159" t="s">
        <v>24</v>
      </c>
      <c r="FCB72" s="160">
        <v>8150</v>
      </c>
      <c r="FCC72" s="169">
        <v>85</v>
      </c>
      <c r="FCD72" s="170">
        <v>215</v>
      </c>
      <c r="FCE72" s="170">
        <v>75</v>
      </c>
      <c r="FCF72" s="169">
        <v>150</v>
      </c>
      <c r="FCG72" s="171">
        <f>SUM(FCB72:FCF72)</f>
        <v>8675</v>
      </c>
      <c r="FCH72" s="169">
        <v>200</v>
      </c>
      <c r="FCI72" s="171">
        <f>SUM(FCG72:FCH72)</f>
        <v>8875</v>
      </c>
      <c r="FCJ72" s="163" t="s">
        <v>114</v>
      </c>
      <c r="FCK72" s="164">
        <v>45845</v>
      </c>
      <c r="FCL72" s="159" t="s">
        <v>42</v>
      </c>
      <c r="FCM72" s="354"/>
      <c r="FCN72" s="165" t="s">
        <v>124</v>
      </c>
      <c r="FCO72" s="352"/>
      <c r="FCP72" s="353"/>
      <c r="FCQ72" s="159" t="s">
        <v>24</v>
      </c>
      <c r="FCR72" s="160">
        <v>8150</v>
      </c>
      <c r="FCS72" s="169">
        <v>85</v>
      </c>
      <c r="FCT72" s="170">
        <v>215</v>
      </c>
      <c r="FCU72" s="170">
        <v>75</v>
      </c>
      <c r="FCV72" s="169">
        <v>150</v>
      </c>
      <c r="FCW72" s="171">
        <f>SUM(FCR72:FCV72)</f>
        <v>8675</v>
      </c>
      <c r="FCX72" s="169">
        <v>200</v>
      </c>
      <c r="FCY72" s="171">
        <f>SUM(FCW72:FCX72)</f>
        <v>8875</v>
      </c>
      <c r="FCZ72" s="163" t="s">
        <v>114</v>
      </c>
      <c r="FDA72" s="164">
        <v>45845</v>
      </c>
      <c r="FDB72" s="159" t="s">
        <v>42</v>
      </c>
      <c r="FDC72" s="354"/>
      <c r="FDD72" s="165" t="s">
        <v>124</v>
      </c>
      <c r="FDE72" s="352"/>
      <c r="FDF72" s="353"/>
      <c r="FDG72" s="159" t="s">
        <v>24</v>
      </c>
      <c r="FDH72" s="160">
        <v>8150</v>
      </c>
      <c r="FDI72" s="169">
        <v>85</v>
      </c>
      <c r="FDJ72" s="170">
        <v>215</v>
      </c>
      <c r="FDK72" s="170">
        <v>75</v>
      </c>
      <c r="FDL72" s="169">
        <v>150</v>
      </c>
      <c r="FDM72" s="171">
        <f>SUM(FDH72:FDL72)</f>
        <v>8675</v>
      </c>
      <c r="FDN72" s="169">
        <v>200</v>
      </c>
      <c r="FDO72" s="171">
        <f>SUM(FDM72:FDN72)</f>
        <v>8875</v>
      </c>
      <c r="FDP72" s="163" t="s">
        <v>114</v>
      </c>
      <c r="FDQ72" s="164">
        <v>45845</v>
      </c>
      <c r="FDR72" s="159" t="s">
        <v>42</v>
      </c>
      <c r="FDS72" s="354"/>
      <c r="FDT72" s="165" t="s">
        <v>124</v>
      </c>
      <c r="FDU72" s="352"/>
      <c r="FDV72" s="353"/>
      <c r="FDW72" s="159" t="s">
        <v>24</v>
      </c>
      <c r="FDX72" s="160">
        <v>8150</v>
      </c>
      <c r="FDY72" s="169">
        <v>85</v>
      </c>
      <c r="FDZ72" s="170">
        <v>215</v>
      </c>
      <c r="FEA72" s="170">
        <v>75</v>
      </c>
      <c r="FEB72" s="169">
        <v>150</v>
      </c>
      <c r="FEC72" s="171">
        <f>SUM(FDX72:FEB72)</f>
        <v>8675</v>
      </c>
      <c r="FED72" s="169">
        <v>200</v>
      </c>
      <c r="FEE72" s="171">
        <f>SUM(FEC72:FED72)</f>
        <v>8875</v>
      </c>
      <c r="FEF72" s="163" t="s">
        <v>114</v>
      </c>
      <c r="FEG72" s="164">
        <v>45845</v>
      </c>
      <c r="FEH72" s="159" t="s">
        <v>42</v>
      </c>
      <c r="FEI72" s="354"/>
      <c r="FEJ72" s="165" t="s">
        <v>124</v>
      </c>
      <c r="FEK72" s="352"/>
      <c r="FEL72" s="353"/>
      <c r="FEM72" s="159" t="s">
        <v>24</v>
      </c>
      <c r="FEN72" s="160">
        <v>8150</v>
      </c>
      <c r="FEO72" s="169">
        <v>85</v>
      </c>
      <c r="FEP72" s="170">
        <v>215</v>
      </c>
      <c r="FEQ72" s="170">
        <v>75</v>
      </c>
      <c r="FER72" s="169">
        <v>150</v>
      </c>
      <c r="FES72" s="171">
        <f>SUM(FEN72:FER72)</f>
        <v>8675</v>
      </c>
      <c r="FET72" s="169">
        <v>200</v>
      </c>
      <c r="FEU72" s="171">
        <f>SUM(FES72:FET72)</f>
        <v>8875</v>
      </c>
      <c r="FEV72" s="163" t="s">
        <v>114</v>
      </c>
      <c r="FEW72" s="164">
        <v>45845</v>
      </c>
      <c r="FEX72" s="159" t="s">
        <v>42</v>
      </c>
      <c r="FEY72" s="354"/>
      <c r="FEZ72" s="165" t="s">
        <v>124</v>
      </c>
      <c r="FFA72" s="352"/>
      <c r="FFB72" s="353"/>
      <c r="FFC72" s="159" t="s">
        <v>24</v>
      </c>
      <c r="FFD72" s="160">
        <v>8150</v>
      </c>
      <c r="FFE72" s="169">
        <v>85</v>
      </c>
      <c r="FFF72" s="170">
        <v>215</v>
      </c>
      <c r="FFG72" s="170">
        <v>75</v>
      </c>
      <c r="FFH72" s="169">
        <v>150</v>
      </c>
      <c r="FFI72" s="171">
        <f>SUM(FFD72:FFH72)</f>
        <v>8675</v>
      </c>
      <c r="FFJ72" s="169">
        <v>200</v>
      </c>
      <c r="FFK72" s="171">
        <f>SUM(FFI72:FFJ72)</f>
        <v>8875</v>
      </c>
      <c r="FFL72" s="163" t="s">
        <v>114</v>
      </c>
      <c r="FFM72" s="164">
        <v>45845</v>
      </c>
      <c r="FFN72" s="159" t="s">
        <v>42</v>
      </c>
      <c r="FFO72" s="354"/>
      <c r="FFP72" s="165" t="s">
        <v>124</v>
      </c>
      <c r="FFQ72" s="352"/>
      <c r="FFR72" s="353"/>
      <c r="FFS72" s="159" t="s">
        <v>24</v>
      </c>
      <c r="FFT72" s="160">
        <v>8150</v>
      </c>
      <c r="FFU72" s="169">
        <v>85</v>
      </c>
      <c r="FFV72" s="170">
        <v>215</v>
      </c>
      <c r="FFW72" s="170">
        <v>75</v>
      </c>
      <c r="FFX72" s="169">
        <v>150</v>
      </c>
      <c r="FFY72" s="171">
        <f>SUM(FFT72:FFX72)</f>
        <v>8675</v>
      </c>
      <c r="FFZ72" s="169">
        <v>200</v>
      </c>
      <c r="FGA72" s="171">
        <f>SUM(FFY72:FFZ72)</f>
        <v>8875</v>
      </c>
      <c r="FGB72" s="163" t="s">
        <v>114</v>
      </c>
      <c r="FGC72" s="164">
        <v>45845</v>
      </c>
      <c r="FGD72" s="159" t="s">
        <v>42</v>
      </c>
      <c r="FGE72" s="354"/>
      <c r="FGF72" s="165" t="s">
        <v>124</v>
      </c>
      <c r="FGG72" s="352"/>
      <c r="FGH72" s="353"/>
      <c r="FGI72" s="159" t="s">
        <v>24</v>
      </c>
      <c r="FGJ72" s="160">
        <v>8150</v>
      </c>
      <c r="FGK72" s="169">
        <v>85</v>
      </c>
      <c r="FGL72" s="170">
        <v>215</v>
      </c>
      <c r="FGM72" s="170">
        <v>75</v>
      </c>
      <c r="FGN72" s="169">
        <v>150</v>
      </c>
      <c r="FGO72" s="171">
        <f>SUM(FGJ72:FGN72)</f>
        <v>8675</v>
      </c>
      <c r="FGP72" s="169">
        <v>200</v>
      </c>
      <c r="FGQ72" s="171">
        <f>SUM(FGO72:FGP72)</f>
        <v>8875</v>
      </c>
      <c r="FGR72" s="163" t="s">
        <v>114</v>
      </c>
      <c r="FGS72" s="164">
        <v>45845</v>
      </c>
      <c r="FGT72" s="159" t="s">
        <v>42</v>
      </c>
      <c r="FGU72" s="354"/>
      <c r="FGV72" s="165" t="s">
        <v>124</v>
      </c>
      <c r="FGW72" s="352"/>
      <c r="FGX72" s="353"/>
      <c r="FGY72" s="159" t="s">
        <v>24</v>
      </c>
      <c r="FGZ72" s="160">
        <v>8150</v>
      </c>
      <c r="FHA72" s="169">
        <v>85</v>
      </c>
      <c r="FHB72" s="170">
        <v>215</v>
      </c>
      <c r="FHC72" s="170">
        <v>75</v>
      </c>
      <c r="FHD72" s="169">
        <v>150</v>
      </c>
      <c r="FHE72" s="171">
        <f>SUM(FGZ72:FHD72)</f>
        <v>8675</v>
      </c>
      <c r="FHF72" s="169">
        <v>200</v>
      </c>
      <c r="FHG72" s="171">
        <f>SUM(FHE72:FHF72)</f>
        <v>8875</v>
      </c>
      <c r="FHH72" s="163" t="s">
        <v>114</v>
      </c>
      <c r="FHI72" s="164">
        <v>45845</v>
      </c>
      <c r="FHJ72" s="159" t="s">
        <v>42</v>
      </c>
      <c r="FHK72" s="354"/>
      <c r="FHL72" s="165" t="s">
        <v>124</v>
      </c>
      <c r="FHM72" s="352"/>
      <c r="FHN72" s="353"/>
      <c r="FHO72" s="159" t="s">
        <v>24</v>
      </c>
      <c r="FHP72" s="160">
        <v>8150</v>
      </c>
      <c r="FHQ72" s="169">
        <v>85</v>
      </c>
      <c r="FHR72" s="170">
        <v>215</v>
      </c>
      <c r="FHS72" s="170">
        <v>75</v>
      </c>
      <c r="FHT72" s="169">
        <v>150</v>
      </c>
      <c r="FHU72" s="171">
        <f>SUM(FHP72:FHT72)</f>
        <v>8675</v>
      </c>
      <c r="FHV72" s="169">
        <v>200</v>
      </c>
      <c r="FHW72" s="171">
        <f>SUM(FHU72:FHV72)</f>
        <v>8875</v>
      </c>
      <c r="FHX72" s="163" t="s">
        <v>114</v>
      </c>
      <c r="FHY72" s="164">
        <v>45845</v>
      </c>
      <c r="FHZ72" s="159" t="s">
        <v>42</v>
      </c>
      <c r="FIA72" s="354"/>
      <c r="FIB72" s="165" t="s">
        <v>124</v>
      </c>
      <c r="FIC72" s="352"/>
      <c r="FID72" s="353"/>
      <c r="FIE72" s="159" t="s">
        <v>24</v>
      </c>
      <c r="FIF72" s="160">
        <v>8150</v>
      </c>
      <c r="FIG72" s="169">
        <v>85</v>
      </c>
      <c r="FIH72" s="170">
        <v>215</v>
      </c>
      <c r="FII72" s="170">
        <v>75</v>
      </c>
      <c r="FIJ72" s="169">
        <v>150</v>
      </c>
      <c r="FIK72" s="171">
        <f>SUM(FIF72:FIJ72)</f>
        <v>8675</v>
      </c>
      <c r="FIL72" s="169">
        <v>200</v>
      </c>
      <c r="FIM72" s="171">
        <f>SUM(FIK72:FIL72)</f>
        <v>8875</v>
      </c>
      <c r="FIN72" s="163" t="s">
        <v>114</v>
      </c>
      <c r="FIO72" s="164">
        <v>45845</v>
      </c>
      <c r="FIP72" s="159" t="s">
        <v>42</v>
      </c>
      <c r="FIQ72" s="354"/>
      <c r="FIR72" s="165" t="s">
        <v>124</v>
      </c>
      <c r="FIS72" s="352"/>
      <c r="FIT72" s="353"/>
      <c r="FIU72" s="159" t="s">
        <v>24</v>
      </c>
      <c r="FIV72" s="160">
        <v>8150</v>
      </c>
      <c r="FIW72" s="169">
        <v>85</v>
      </c>
      <c r="FIX72" s="170">
        <v>215</v>
      </c>
      <c r="FIY72" s="170">
        <v>75</v>
      </c>
      <c r="FIZ72" s="169">
        <v>150</v>
      </c>
      <c r="FJA72" s="171">
        <f>SUM(FIV72:FIZ72)</f>
        <v>8675</v>
      </c>
      <c r="FJB72" s="169">
        <v>200</v>
      </c>
      <c r="FJC72" s="171">
        <f>SUM(FJA72:FJB72)</f>
        <v>8875</v>
      </c>
      <c r="FJD72" s="163" t="s">
        <v>114</v>
      </c>
      <c r="FJE72" s="164">
        <v>45845</v>
      </c>
      <c r="FJF72" s="159" t="s">
        <v>42</v>
      </c>
      <c r="FJG72" s="354"/>
      <c r="FJH72" s="165" t="s">
        <v>124</v>
      </c>
      <c r="FJI72" s="352"/>
      <c r="FJJ72" s="353"/>
      <c r="FJK72" s="159" t="s">
        <v>24</v>
      </c>
      <c r="FJL72" s="160">
        <v>8150</v>
      </c>
      <c r="FJM72" s="169">
        <v>85</v>
      </c>
      <c r="FJN72" s="170">
        <v>215</v>
      </c>
      <c r="FJO72" s="170">
        <v>75</v>
      </c>
      <c r="FJP72" s="169">
        <v>150</v>
      </c>
      <c r="FJQ72" s="171">
        <f>SUM(FJL72:FJP72)</f>
        <v>8675</v>
      </c>
      <c r="FJR72" s="169">
        <v>200</v>
      </c>
      <c r="FJS72" s="171">
        <f>SUM(FJQ72:FJR72)</f>
        <v>8875</v>
      </c>
      <c r="FJT72" s="163" t="s">
        <v>114</v>
      </c>
      <c r="FJU72" s="164">
        <v>45845</v>
      </c>
      <c r="FJV72" s="159" t="s">
        <v>42</v>
      </c>
      <c r="FJW72" s="354"/>
      <c r="FJX72" s="165" t="s">
        <v>124</v>
      </c>
      <c r="FJY72" s="352"/>
      <c r="FJZ72" s="353"/>
      <c r="FKA72" s="159" t="s">
        <v>24</v>
      </c>
      <c r="FKB72" s="160">
        <v>8150</v>
      </c>
      <c r="FKC72" s="169">
        <v>85</v>
      </c>
      <c r="FKD72" s="170">
        <v>215</v>
      </c>
      <c r="FKE72" s="170">
        <v>75</v>
      </c>
      <c r="FKF72" s="169">
        <v>150</v>
      </c>
      <c r="FKG72" s="171">
        <f>SUM(FKB72:FKF72)</f>
        <v>8675</v>
      </c>
      <c r="FKH72" s="169">
        <v>200</v>
      </c>
      <c r="FKI72" s="171">
        <f>SUM(FKG72:FKH72)</f>
        <v>8875</v>
      </c>
      <c r="FKJ72" s="163" t="s">
        <v>114</v>
      </c>
      <c r="FKK72" s="164">
        <v>45845</v>
      </c>
      <c r="FKL72" s="159" t="s">
        <v>42</v>
      </c>
      <c r="FKM72" s="354"/>
      <c r="FKN72" s="165" t="s">
        <v>124</v>
      </c>
      <c r="FKO72" s="352"/>
      <c r="FKP72" s="353"/>
      <c r="FKQ72" s="159" t="s">
        <v>24</v>
      </c>
      <c r="FKR72" s="160">
        <v>8150</v>
      </c>
      <c r="FKS72" s="169">
        <v>85</v>
      </c>
      <c r="FKT72" s="170">
        <v>215</v>
      </c>
      <c r="FKU72" s="170">
        <v>75</v>
      </c>
      <c r="FKV72" s="169">
        <v>150</v>
      </c>
      <c r="FKW72" s="171">
        <f>SUM(FKR72:FKV72)</f>
        <v>8675</v>
      </c>
      <c r="FKX72" s="169">
        <v>200</v>
      </c>
      <c r="FKY72" s="171">
        <f>SUM(FKW72:FKX72)</f>
        <v>8875</v>
      </c>
      <c r="FKZ72" s="163" t="s">
        <v>114</v>
      </c>
      <c r="FLA72" s="164">
        <v>45845</v>
      </c>
      <c r="FLB72" s="159" t="s">
        <v>42</v>
      </c>
      <c r="FLC72" s="354"/>
      <c r="FLD72" s="165" t="s">
        <v>124</v>
      </c>
      <c r="FLE72" s="352"/>
      <c r="FLF72" s="353"/>
      <c r="FLG72" s="159" t="s">
        <v>24</v>
      </c>
      <c r="FLH72" s="160">
        <v>8150</v>
      </c>
      <c r="FLI72" s="169">
        <v>85</v>
      </c>
      <c r="FLJ72" s="170">
        <v>215</v>
      </c>
      <c r="FLK72" s="170">
        <v>75</v>
      </c>
      <c r="FLL72" s="169">
        <v>150</v>
      </c>
      <c r="FLM72" s="171">
        <f>SUM(FLH72:FLL72)</f>
        <v>8675</v>
      </c>
      <c r="FLN72" s="169">
        <v>200</v>
      </c>
      <c r="FLO72" s="171">
        <f>SUM(FLM72:FLN72)</f>
        <v>8875</v>
      </c>
      <c r="FLP72" s="163" t="s">
        <v>114</v>
      </c>
      <c r="FLQ72" s="164">
        <v>45845</v>
      </c>
      <c r="FLR72" s="159" t="s">
        <v>42</v>
      </c>
      <c r="FLS72" s="354"/>
      <c r="FLT72" s="165" t="s">
        <v>124</v>
      </c>
      <c r="FLU72" s="352"/>
      <c r="FLV72" s="353"/>
      <c r="FLW72" s="159" t="s">
        <v>24</v>
      </c>
      <c r="FLX72" s="160">
        <v>8150</v>
      </c>
      <c r="FLY72" s="169">
        <v>85</v>
      </c>
      <c r="FLZ72" s="170">
        <v>215</v>
      </c>
      <c r="FMA72" s="170">
        <v>75</v>
      </c>
      <c r="FMB72" s="169">
        <v>150</v>
      </c>
      <c r="FMC72" s="171">
        <f>SUM(FLX72:FMB72)</f>
        <v>8675</v>
      </c>
      <c r="FMD72" s="169">
        <v>200</v>
      </c>
      <c r="FME72" s="171">
        <f>SUM(FMC72:FMD72)</f>
        <v>8875</v>
      </c>
      <c r="FMF72" s="163" t="s">
        <v>114</v>
      </c>
      <c r="FMG72" s="164">
        <v>45845</v>
      </c>
      <c r="FMH72" s="159" t="s">
        <v>42</v>
      </c>
      <c r="FMI72" s="354"/>
      <c r="FMJ72" s="165" t="s">
        <v>124</v>
      </c>
      <c r="FMK72" s="352"/>
      <c r="FML72" s="353"/>
      <c r="FMM72" s="159" t="s">
        <v>24</v>
      </c>
      <c r="FMN72" s="160">
        <v>8150</v>
      </c>
      <c r="FMO72" s="169">
        <v>85</v>
      </c>
      <c r="FMP72" s="170">
        <v>215</v>
      </c>
      <c r="FMQ72" s="170">
        <v>75</v>
      </c>
      <c r="FMR72" s="169">
        <v>150</v>
      </c>
      <c r="FMS72" s="171">
        <f>SUM(FMN72:FMR72)</f>
        <v>8675</v>
      </c>
      <c r="FMT72" s="169">
        <v>200</v>
      </c>
      <c r="FMU72" s="171">
        <f>SUM(FMS72:FMT72)</f>
        <v>8875</v>
      </c>
      <c r="FMV72" s="163" t="s">
        <v>114</v>
      </c>
      <c r="FMW72" s="164">
        <v>45845</v>
      </c>
      <c r="FMX72" s="159" t="s">
        <v>42</v>
      </c>
      <c r="FMY72" s="354"/>
      <c r="FMZ72" s="165" t="s">
        <v>124</v>
      </c>
      <c r="FNA72" s="352"/>
      <c r="FNB72" s="353"/>
      <c r="FNC72" s="159" t="s">
        <v>24</v>
      </c>
      <c r="FND72" s="160">
        <v>8150</v>
      </c>
      <c r="FNE72" s="169">
        <v>85</v>
      </c>
      <c r="FNF72" s="170">
        <v>215</v>
      </c>
      <c r="FNG72" s="170">
        <v>75</v>
      </c>
      <c r="FNH72" s="169">
        <v>150</v>
      </c>
      <c r="FNI72" s="171">
        <f>SUM(FND72:FNH72)</f>
        <v>8675</v>
      </c>
      <c r="FNJ72" s="169">
        <v>200</v>
      </c>
      <c r="FNK72" s="171">
        <f>SUM(FNI72:FNJ72)</f>
        <v>8875</v>
      </c>
      <c r="FNL72" s="163" t="s">
        <v>114</v>
      </c>
      <c r="FNM72" s="164">
        <v>45845</v>
      </c>
      <c r="FNN72" s="159" t="s">
        <v>42</v>
      </c>
      <c r="FNO72" s="354"/>
      <c r="FNP72" s="165" t="s">
        <v>124</v>
      </c>
      <c r="FNQ72" s="352"/>
      <c r="FNR72" s="353"/>
      <c r="FNS72" s="159" t="s">
        <v>24</v>
      </c>
      <c r="FNT72" s="160">
        <v>8150</v>
      </c>
      <c r="FNU72" s="169">
        <v>85</v>
      </c>
      <c r="FNV72" s="170">
        <v>215</v>
      </c>
      <c r="FNW72" s="170">
        <v>75</v>
      </c>
      <c r="FNX72" s="169">
        <v>150</v>
      </c>
      <c r="FNY72" s="171">
        <f>SUM(FNT72:FNX72)</f>
        <v>8675</v>
      </c>
      <c r="FNZ72" s="169">
        <v>200</v>
      </c>
      <c r="FOA72" s="171">
        <f>SUM(FNY72:FNZ72)</f>
        <v>8875</v>
      </c>
      <c r="FOB72" s="163" t="s">
        <v>114</v>
      </c>
      <c r="FOC72" s="164">
        <v>45845</v>
      </c>
      <c r="FOD72" s="159" t="s">
        <v>42</v>
      </c>
      <c r="FOE72" s="354"/>
      <c r="FOF72" s="165" t="s">
        <v>124</v>
      </c>
      <c r="FOG72" s="352"/>
      <c r="FOH72" s="353"/>
      <c r="FOI72" s="159" t="s">
        <v>24</v>
      </c>
      <c r="FOJ72" s="160">
        <v>8150</v>
      </c>
      <c r="FOK72" s="169">
        <v>85</v>
      </c>
      <c r="FOL72" s="170">
        <v>215</v>
      </c>
      <c r="FOM72" s="170">
        <v>75</v>
      </c>
      <c r="FON72" s="169">
        <v>150</v>
      </c>
      <c r="FOO72" s="171">
        <f>SUM(FOJ72:FON72)</f>
        <v>8675</v>
      </c>
      <c r="FOP72" s="169">
        <v>200</v>
      </c>
      <c r="FOQ72" s="171">
        <f>SUM(FOO72:FOP72)</f>
        <v>8875</v>
      </c>
      <c r="FOR72" s="163" t="s">
        <v>114</v>
      </c>
      <c r="FOS72" s="164">
        <v>45845</v>
      </c>
      <c r="FOT72" s="159" t="s">
        <v>42</v>
      </c>
      <c r="FOU72" s="354"/>
      <c r="FOV72" s="165" t="s">
        <v>124</v>
      </c>
      <c r="FOW72" s="352"/>
      <c r="FOX72" s="353"/>
      <c r="FOY72" s="159" t="s">
        <v>24</v>
      </c>
      <c r="FOZ72" s="160">
        <v>8150</v>
      </c>
      <c r="FPA72" s="169">
        <v>85</v>
      </c>
      <c r="FPB72" s="170">
        <v>215</v>
      </c>
      <c r="FPC72" s="170">
        <v>75</v>
      </c>
      <c r="FPD72" s="169">
        <v>150</v>
      </c>
      <c r="FPE72" s="171">
        <f>SUM(FOZ72:FPD72)</f>
        <v>8675</v>
      </c>
      <c r="FPF72" s="169">
        <v>200</v>
      </c>
      <c r="FPG72" s="171">
        <f>SUM(FPE72:FPF72)</f>
        <v>8875</v>
      </c>
      <c r="FPH72" s="163" t="s">
        <v>114</v>
      </c>
      <c r="FPI72" s="164">
        <v>45845</v>
      </c>
      <c r="FPJ72" s="159" t="s">
        <v>42</v>
      </c>
      <c r="FPK72" s="354"/>
      <c r="FPL72" s="165" t="s">
        <v>124</v>
      </c>
      <c r="FPM72" s="352"/>
      <c r="FPN72" s="353"/>
      <c r="FPO72" s="159" t="s">
        <v>24</v>
      </c>
      <c r="FPP72" s="160">
        <v>8150</v>
      </c>
      <c r="FPQ72" s="169">
        <v>85</v>
      </c>
      <c r="FPR72" s="170">
        <v>215</v>
      </c>
      <c r="FPS72" s="170">
        <v>75</v>
      </c>
      <c r="FPT72" s="169">
        <v>150</v>
      </c>
      <c r="FPU72" s="171">
        <f>SUM(FPP72:FPT72)</f>
        <v>8675</v>
      </c>
      <c r="FPV72" s="169">
        <v>200</v>
      </c>
      <c r="FPW72" s="171">
        <f>SUM(FPU72:FPV72)</f>
        <v>8875</v>
      </c>
      <c r="FPX72" s="163" t="s">
        <v>114</v>
      </c>
      <c r="FPY72" s="164">
        <v>45845</v>
      </c>
      <c r="FPZ72" s="159" t="s">
        <v>42</v>
      </c>
      <c r="FQA72" s="354"/>
      <c r="FQB72" s="165" t="s">
        <v>124</v>
      </c>
      <c r="FQC72" s="352"/>
      <c r="FQD72" s="353"/>
      <c r="FQE72" s="159" t="s">
        <v>24</v>
      </c>
      <c r="FQF72" s="160">
        <v>8150</v>
      </c>
      <c r="FQG72" s="169">
        <v>85</v>
      </c>
      <c r="FQH72" s="170">
        <v>215</v>
      </c>
      <c r="FQI72" s="170">
        <v>75</v>
      </c>
      <c r="FQJ72" s="169">
        <v>150</v>
      </c>
      <c r="FQK72" s="171">
        <f>SUM(FQF72:FQJ72)</f>
        <v>8675</v>
      </c>
      <c r="FQL72" s="169">
        <v>200</v>
      </c>
      <c r="FQM72" s="171">
        <f>SUM(FQK72:FQL72)</f>
        <v>8875</v>
      </c>
      <c r="FQN72" s="163" t="s">
        <v>114</v>
      </c>
      <c r="FQO72" s="164">
        <v>45845</v>
      </c>
      <c r="FQP72" s="159" t="s">
        <v>42</v>
      </c>
      <c r="FQQ72" s="354"/>
      <c r="FQR72" s="165" t="s">
        <v>124</v>
      </c>
      <c r="FQS72" s="352"/>
      <c r="FQT72" s="353"/>
      <c r="FQU72" s="159" t="s">
        <v>24</v>
      </c>
      <c r="FQV72" s="160">
        <v>8150</v>
      </c>
      <c r="FQW72" s="169">
        <v>85</v>
      </c>
      <c r="FQX72" s="170">
        <v>215</v>
      </c>
      <c r="FQY72" s="170">
        <v>75</v>
      </c>
      <c r="FQZ72" s="169">
        <v>150</v>
      </c>
      <c r="FRA72" s="171">
        <f>SUM(FQV72:FQZ72)</f>
        <v>8675</v>
      </c>
      <c r="FRB72" s="169">
        <v>200</v>
      </c>
      <c r="FRC72" s="171">
        <f>SUM(FRA72:FRB72)</f>
        <v>8875</v>
      </c>
      <c r="FRD72" s="163" t="s">
        <v>114</v>
      </c>
      <c r="FRE72" s="164">
        <v>45845</v>
      </c>
      <c r="FRF72" s="159" t="s">
        <v>42</v>
      </c>
      <c r="FRG72" s="354"/>
      <c r="FRH72" s="165" t="s">
        <v>124</v>
      </c>
      <c r="FRI72" s="352"/>
      <c r="FRJ72" s="353"/>
      <c r="FRK72" s="159" t="s">
        <v>24</v>
      </c>
      <c r="FRL72" s="160">
        <v>8150</v>
      </c>
      <c r="FRM72" s="169">
        <v>85</v>
      </c>
      <c r="FRN72" s="170">
        <v>215</v>
      </c>
      <c r="FRO72" s="170">
        <v>75</v>
      </c>
      <c r="FRP72" s="169">
        <v>150</v>
      </c>
      <c r="FRQ72" s="171">
        <f>SUM(FRL72:FRP72)</f>
        <v>8675</v>
      </c>
      <c r="FRR72" s="169">
        <v>200</v>
      </c>
      <c r="FRS72" s="171">
        <f>SUM(FRQ72:FRR72)</f>
        <v>8875</v>
      </c>
      <c r="FRT72" s="163" t="s">
        <v>114</v>
      </c>
      <c r="FRU72" s="164">
        <v>45845</v>
      </c>
      <c r="FRV72" s="159" t="s">
        <v>42</v>
      </c>
      <c r="FRW72" s="354"/>
      <c r="FRX72" s="165" t="s">
        <v>124</v>
      </c>
      <c r="FRY72" s="352"/>
      <c r="FRZ72" s="353"/>
      <c r="FSA72" s="159" t="s">
        <v>24</v>
      </c>
      <c r="FSB72" s="160">
        <v>8150</v>
      </c>
      <c r="FSC72" s="169">
        <v>85</v>
      </c>
      <c r="FSD72" s="170">
        <v>215</v>
      </c>
      <c r="FSE72" s="170">
        <v>75</v>
      </c>
      <c r="FSF72" s="169">
        <v>150</v>
      </c>
      <c r="FSG72" s="171">
        <f>SUM(FSB72:FSF72)</f>
        <v>8675</v>
      </c>
      <c r="FSH72" s="169">
        <v>200</v>
      </c>
      <c r="FSI72" s="171">
        <f>SUM(FSG72:FSH72)</f>
        <v>8875</v>
      </c>
      <c r="FSJ72" s="163" t="s">
        <v>114</v>
      </c>
      <c r="FSK72" s="164">
        <v>45845</v>
      </c>
      <c r="FSL72" s="159" t="s">
        <v>42</v>
      </c>
      <c r="FSM72" s="354"/>
      <c r="FSN72" s="165" t="s">
        <v>124</v>
      </c>
      <c r="FSO72" s="352"/>
      <c r="FSP72" s="353"/>
      <c r="FSQ72" s="159" t="s">
        <v>24</v>
      </c>
      <c r="FSR72" s="160">
        <v>8150</v>
      </c>
      <c r="FSS72" s="169">
        <v>85</v>
      </c>
      <c r="FST72" s="170">
        <v>215</v>
      </c>
      <c r="FSU72" s="170">
        <v>75</v>
      </c>
      <c r="FSV72" s="169">
        <v>150</v>
      </c>
      <c r="FSW72" s="171">
        <f>SUM(FSR72:FSV72)</f>
        <v>8675</v>
      </c>
      <c r="FSX72" s="169">
        <v>200</v>
      </c>
      <c r="FSY72" s="171">
        <f>SUM(FSW72:FSX72)</f>
        <v>8875</v>
      </c>
      <c r="FSZ72" s="163" t="s">
        <v>114</v>
      </c>
      <c r="FTA72" s="164">
        <v>45845</v>
      </c>
      <c r="FTB72" s="159" t="s">
        <v>42</v>
      </c>
      <c r="FTC72" s="354"/>
      <c r="FTD72" s="165" t="s">
        <v>124</v>
      </c>
      <c r="FTE72" s="352"/>
      <c r="FTF72" s="353"/>
      <c r="FTG72" s="159" t="s">
        <v>24</v>
      </c>
      <c r="FTH72" s="160">
        <v>8150</v>
      </c>
      <c r="FTI72" s="169">
        <v>85</v>
      </c>
      <c r="FTJ72" s="170">
        <v>215</v>
      </c>
      <c r="FTK72" s="170">
        <v>75</v>
      </c>
      <c r="FTL72" s="169">
        <v>150</v>
      </c>
      <c r="FTM72" s="171">
        <f>SUM(FTH72:FTL72)</f>
        <v>8675</v>
      </c>
      <c r="FTN72" s="169">
        <v>200</v>
      </c>
      <c r="FTO72" s="171">
        <f>SUM(FTM72:FTN72)</f>
        <v>8875</v>
      </c>
      <c r="FTP72" s="163" t="s">
        <v>114</v>
      </c>
      <c r="FTQ72" s="164">
        <v>45845</v>
      </c>
      <c r="FTR72" s="159" t="s">
        <v>42</v>
      </c>
      <c r="FTS72" s="354"/>
      <c r="FTT72" s="165" t="s">
        <v>124</v>
      </c>
      <c r="FTU72" s="352"/>
      <c r="FTV72" s="353"/>
      <c r="FTW72" s="159" t="s">
        <v>24</v>
      </c>
      <c r="FTX72" s="160">
        <v>8150</v>
      </c>
      <c r="FTY72" s="169">
        <v>85</v>
      </c>
      <c r="FTZ72" s="170">
        <v>215</v>
      </c>
      <c r="FUA72" s="170">
        <v>75</v>
      </c>
      <c r="FUB72" s="169">
        <v>150</v>
      </c>
      <c r="FUC72" s="171">
        <f>SUM(FTX72:FUB72)</f>
        <v>8675</v>
      </c>
      <c r="FUD72" s="169">
        <v>200</v>
      </c>
      <c r="FUE72" s="171">
        <f>SUM(FUC72:FUD72)</f>
        <v>8875</v>
      </c>
      <c r="FUF72" s="163" t="s">
        <v>114</v>
      </c>
      <c r="FUG72" s="164">
        <v>45845</v>
      </c>
      <c r="FUH72" s="159" t="s">
        <v>42</v>
      </c>
      <c r="FUI72" s="354"/>
      <c r="FUJ72" s="165" t="s">
        <v>124</v>
      </c>
      <c r="FUK72" s="352"/>
      <c r="FUL72" s="353"/>
      <c r="FUM72" s="159" t="s">
        <v>24</v>
      </c>
      <c r="FUN72" s="160">
        <v>8150</v>
      </c>
      <c r="FUO72" s="169">
        <v>85</v>
      </c>
      <c r="FUP72" s="170">
        <v>215</v>
      </c>
      <c r="FUQ72" s="170">
        <v>75</v>
      </c>
      <c r="FUR72" s="169">
        <v>150</v>
      </c>
      <c r="FUS72" s="171">
        <f>SUM(FUN72:FUR72)</f>
        <v>8675</v>
      </c>
      <c r="FUT72" s="169">
        <v>200</v>
      </c>
      <c r="FUU72" s="171">
        <f>SUM(FUS72:FUT72)</f>
        <v>8875</v>
      </c>
      <c r="FUV72" s="163" t="s">
        <v>114</v>
      </c>
      <c r="FUW72" s="164">
        <v>45845</v>
      </c>
      <c r="FUX72" s="159" t="s">
        <v>42</v>
      </c>
      <c r="FUY72" s="354"/>
      <c r="FUZ72" s="165" t="s">
        <v>124</v>
      </c>
      <c r="FVA72" s="352"/>
      <c r="FVB72" s="353"/>
      <c r="FVC72" s="159" t="s">
        <v>24</v>
      </c>
      <c r="FVD72" s="160">
        <v>8150</v>
      </c>
      <c r="FVE72" s="169">
        <v>85</v>
      </c>
      <c r="FVF72" s="170">
        <v>215</v>
      </c>
      <c r="FVG72" s="170">
        <v>75</v>
      </c>
      <c r="FVH72" s="169">
        <v>150</v>
      </c>
      <c r="FVI72" s="171">
        <f>SUM(FVD72:FVH72)</f>
        <v>8675</v>
      </c>
      <c r="FVJ72" s="169">
        <v>200</v>
      </c>
      <c r="FVK72" s="171">
        <f>SUM(FVI72:FVJ72)</f>
        <v>8875</v>
      </c>
      <c r="FVL72" s="163" t="s">
        <v>114</v>
      </c>
      <c r="FVM72" s="164">
        <v>45845</v>
      </c>
      <c r="FVN72" s="159" t="s">
        <v>42</v>
      </c>
      <c r="FVO72" s="354"/>
      <c r="FVP72" s="165" t="s">
        <v>124</v>
      </c>
      <c r="FVQ72" s="352"/>
      <c r="FVR72" s="353"/>
      <c r="FVS72" s="159" t="s">
        <v>24</v>
      </c>
      <c r="FVT72" s="160">
        <v>8150</v>
      </c>
      <c r="FVU72" s="169">
        <v>85</v>
      </c>
      <c r="FVV72" s="170">
        <v>215</v>
      </c>
      <c r="FVW72" s="170">
        <v>75</v>
      </c>
      <c r="FVX72" s="169">
        <v>150</v>
      </c>
      <c r="FVY72" s="171">
        <f>SUM(FVT72:FVX72)</f>
        <v>8675</v>
      </c>
      <c r="FVZ72" s="169">
        <v>200</v>
      </c>
      <c r="FWA72" s="171">
        <f>SUM(FVY72:FVZ72)</f>
        <v>8875</v>
      </c>
      <c r="FWB72" s="163" t="s">
        <v>114</v>
      </c>
      <c r="FWC72" s="164">
        <v>45845</v>
      </c>
      <c r="FWD72" s="159" t="s">
        <v>42</v>
      </c>
      <c r="FWE72" s="354"/>
      <c r="FWF72" s="165" t="s">
        <v>124</v>
      </c>
      <c r="FWG72" s="352"/>
      <c r="FWH72" s="353"/>
      <c r="FWI72" s="159" t="s">
        <v>24</v>
      </c>
      <c r="FWJ72" s="160">
        <v>8150</v>
      </c>
      <c r="FWK72" s="169">
        <v>85</v>
      </c>
      <c r="FWL72" s="170">
        <v>215</v>
      </c>
      <c r="FWM72" s="170">
        <v>75</v>
      </c>
      <c r="FWN72" s="169">
        <v>150</v>
      </c>
      <c r="FWO72" s="171">
        <f>SUM(FWJ72:FWN72)</f>
        <v>8675</v>
      </c>
      <c r="FWP72" s="169">
        <v>200</v>
      </c>
      <c r="FWQ72" s="171">
        <f>SUM(FWO72:FWP72)</f>
        <v>8875</v>
      </c>
      <c r="FWR72" s="163" t="s">
        <v>114</v>
      </c>
      <c r="FWS72" s="164">
        <v>45845</v>
      </c>
      <c r="FWT72" s="159" t="s">
        <v>42</v>
      </c>
      <c r="FWU72" s="354"/>
      <c r="FWV72" s="165" t="s">
        <v>124</v>
      </c>
      <c r="FWW72" s="352"/>
      <c r="FWX72" s="353"/>
      <c r="FWY72" s="159" t="s">
        <v>24</v>
      </c>
      <c r="FWZ72" s="160">
        <v>8150</v>
      </c>
      <c r="FXA72" s="169">
        <v>85</v>
      </c>
      <c r="FXB72" s="170">
        <v>215</v>
      </c>
      <c r="FXC72" s="170">
        <v>75</v>
      </c>
      <c r="FXD72" s="169">
        <v>150</v>
      </c>
      <c r="FXE72" s="171">
        <f>SUM(FWZ72:FXD72)</f>
        <v>8675</v>
      </c>
      <c r="FXF72" s="169">
        <v>200</v>
      </c>
      <c r="FXG72" s="171">
        <f>SUM(FXE72:FXF72)</f>
        <v>8875</v>
      </c>
      <c r="FXH72" s="163" t="s">
        <v>114</v>
      </c>
      <c r="FXI72" s="164">
        <v>45845</v>
      </c>
      <c r="FXJ72" s="159" t="s">
        <v>42</v>
      </c>
      <c r="FXK72" s="354"/>
      <c r="FXL72" s="165" t="s">
        <v>124</v>
      </c>
      <c r="FXM72" s="352"/>
      <c r="FXN72" s="353"/>
      <c r="FXO72" s="159" t="s">
        <v>24</v>
      </c>
      <c r="FXP72" s="160">
        <v>8150</v>
      </c>
      <c r="FXQ72" s="169">
        <v>85</v>
      </c>
      <c r="FXR72" s="170">
        <v>215</v>
      </c>
      <c r="FXS72" s="170">
        <v>75</v>
      </c>
      <c r="FXT72" s="169">
        <v>150</v>
      </c>
      <c r="FXU72" s="171">
        <f>SUM(FXP72:FXT72)</f>
        <v>8675</v>
      </c>
      <c r="FXV72" s="169">
        <v>200</v>
      </c>
      <c r="FXW72" s="171">
        <f>SUM(FXU72:FXV72)</f>
        <v>8875</v>
      </c>
      <c r="FXX72" s="163" t="s">
        <v>114</v>
      </c>
      <c r="FXY72" s="164">
        <v>45845</v>
      </c>
      <c r="FXZ72" s="159" t="s">
        <v>42</v>
      </c>
      <c r="FYA72" s="354"/>
      <c r="FYB72" s="165" t="s">
        <v>124</v>
      </c>
      <c r="FYC72" s="352"/>
      <c r="FYD72" s="353"/>
      <c r="FYE72" s="159" t="s">
        <v>24</v>
      </c>
      <c r="FYF72" s="160">
        <v>8150</v>
      </c>
      <c r="FYG72" s="169">
        <v>85</v>
      </c>
      <c r="FYH72" s="170">
        <v>215</v>
      </c>
      <c r="FYI72" s="170">
        <v>75</v>
      </c>
      <c r="FYJ72" s="169">
        <v>150</v>
      </c>
      <c r="FYK72" s="171">
        <f>SUM(FYF72:FYJ72)</f>
        <v>8675</v>
      </c>
      <c r="FYL72" s="169">
        <v>200</v>
      </c>
      <c r="FYM72" s="171">
        <f>SUM(FYK72:FYL72)</f>
        <v>8875</v>
      </c>
      <c r="FYN72" s="163" t="s">
        <v>114</v>
      </c>
      <c r="FYO72" s="164">
        <v>45845</v>
      </c>
      <c r="FYP72" s="159" t="s">
        <v>42</v>
      </c>
      <c r="FYQ72" s="354"/>
      <c r="FYR72" s="165" t="s">
        <v>124</v>
      </c>
      <c r="FYS72" s="352"/>
      <c r="FYT72" s="353"/>
      <c r="FYU72" s="159" t="s">
        <v>24</v>
      </c>
      <c r="FYV72" s="160">
        <v>8150</v>
      </c>
      <c r="FYW72" s="169">
        <v>85</v>
      </c>
      <c r="FYX72" s="170">
        <v>215</v>
      </c>
      <c r="FYY72" s="170">
        <v>75</v>
      </c>
      <c r="FYZ72" s="169">
        <v>150</v>
      </c>
      <c r="FZA72" s="171">
        <f>SUM(FYV72:FYZ72)</f>
        <v>8675</v>
      </c>
      <c r="FZB72" s="169">
        <v>200</v>
      </c>
      <c r="FZC72" s="171">
        <f>SUM(FZA72:FZB72)</f>
        <v>8875</v>
      </c>
      <c r="FZD72" s="163" t="s">
        <v>114</v>
      </c>
      <c r="FZE72" s="164">
        <v>45845</v>
      </c>
      <c r="FZF72" s="159" t="s">
        <v>42</v>
      </c>
      <c r="FZG72" s="354"/>
      <c r="FZH72" s="165" t="s">
        <v>124</v>
      </c>
      <c r="FZI72" s="352"/>
      <c r="FZJ72" s="353"/>
      <c r="FZK72" s="159" t="s">
        <v>24</v>
      </c>
      <c r="FZL72" s="160">
        <v>8150</v>
      </c>
      <c r="FZM72" s="169">
        <v>85</v>
      </c>
      <c r="FZN72" s="170">
        <v>215</v>
      </c>
      <c r="FZO72" s="170">
        <v>75</v>
      </c>
      <c r="FZP72" s="169">
        <v>150</v>
      </c>
      <c r="FZQ72" s="171">
        <f>SUM(FZL72:FZP72)</f>
        <v>8675</v>
      </c>
      <c r="FZR72" s="169">
        <v>200</v>
      </c>
      <c r="FZS72" s="171">
        <f>SUM(FZQ72:FZR72)</f>
        <v>8875</v>
      </c>
      <c r="FZT72" s="163" t="s">
        <v>114</v>
      </c>
      <c r="FZU72" s="164">
        <v>45845</v>
      </c>
      <c r="FZV72" s="159" t="s">
        <v>42</v>
      </c>
      <c r="FZW72" s="354"/>
      <c r="FZX72" s="165" t="s">
        <v>124</v>
      </c>
      <c r="FZY72" s="352"/>
      <c r="FZZ72" s="353"/>
      <c r="GAA72" s="159" t="s">
        <v>24</v>
      </c>
      <c r="GAB72" s="160">
        <v>8150</v>
      </c>
      <c r="GAC72" s="169">
        <v>85</v>
      </c>
      <c r="GAD72" s="170">
        <v>215</v>
      </c>
      <c r="GAE72" s="170">
        <v>75</v>
      </c>
      <c r="GAF72" s="169">
        <v>150</v>
      </c>
      <c r="GAG72" s="171">
        <f>SUM(GAB72:GAF72)</f>
        <v>8675</v>
      </c>
      <c r="GAH72" s="169">
        <v>200</v>
      </c>
      <c r="GAI72" s="171">
        <f>SUM(GAG72:GAH72)</f>
        <v>8875</v>
      </c>
      <c r="GAJ72" s="163" t="s">
        <v>114</v>
      </c>
      <c r="GAK72" s="164">
        <v>45845</v>
      </c>
      <c r="GAL72" s="159" t="s">
        <v>42</v>
      </c>
      <c r="GAM72" s="354"/>
      <c r="GAN72" s="165" t="s">
        <v>124</v>
      </c>
      <c r="GAO72" s="352"/>
      <c r="GAP72" s="353"/>
      <c r="GAQ72" s="159" t="s">
        <v>24</v>
      </c>
      <c r="GAR72" s="160">
        <v>8150</v>
      </c>
      <c r="GAS72" s="169">
        <v>85</v>
      </c>
      <c r="GAT72" s="170">
        <v>215</v>
      </c>
      <c r="GAU72" s="170">
        <v>75</v>
      </c>
      <c r="GAV72" s="169">
        <v>150</v>
      </c>
      <c r="GAW72" s="171">
        <f>SUM(GAR72:GAV72)</f>
        <v>8675</v>
      </c>
      <c r="GAX72" s="169">
        <v>200</v>
      </c>
      <c r="GAY72" s="171">
        <f>SUM(GAW72:GAX72)</f>
        <v>8875</v>
      </c>
      <c r="GAZ72" s="163" t="s">
        <v>114</v>
      </c>
      <c r="GBA72" s="164">
        <v>45845</v>
      </c>
      <c r="GBB72" s="159" t="s">
        <v>42</v>
      </c>
      <c r="GBC72" s="354"/>
      <c r="GBD72" s="165" t="s">
        <v>124</v>
      </c>
      <c r="GBE72" s="352"/>
      <c r="GBF72" s="353"/>
      <c r="GBG72" s="159" t="s">
        <v>24</v>
      </c>
      <c r="GBH72" s="160">
        <v>8150</v>
      </c>
      <c r="GBI72" s="169">
        <v>85</v>
      </c>
      <c r="GBJ72" s="170">
        <v>215</v>
      </c>
      <c r="GBK72" s="170">
        <v>75</v>
      </c>
      <c r="GBL72" s="169">
        <v>150</v>
      </c>
      <c r="GBM72" s="171">
        <f>SUM(GBH72:GBL72)</f>
        <v>8675</v>
      </c>
      <c r="GBN72" s="169">
        <v>200</v>
      </c>
      <c r="GBO72" s="171">
        <f>SUM(GBM72:GBN72)</f>
        <v>8875</v>
      </c>
      <c r="GBP72" s="163" t="s">
        <v>114</v>
      </c>
      <c r="GBQ72" s="164">
        <v>45845</v>
      </c>
      <c r="GBR72" s="159" t="s">
        <v>42</v>
      </c>
      <c r="GBS72" s="354"/>
      <c r="GBT72" s="165" t="s">
        <v>124</v>
      </c>
      <c r="GBU72" s="352"/>
      <c r="GBV72" s="353"/>
      <c r="GBW72" s="159" t="s">
        <v>24</v>
      </c>
      <c r="GBX72" s="160">
        <v>8150</v>
      </c>
      <c r="GBY72" s="169">
        <v>85</v>
      </c>
      <c r="GBZ72" s="170">
        <v>215</v>
      </c>
      <c r="GCA72" s="170">
        <v>75</v>
      </c>
      <c r="GCB72" s="169">
        <v>150</v>
      </c>
      <c r="GCC72" s="171">
        <f>SUM(GBX72:GCB72)</f>
        <v>8675</v>
      </c>
      <c r="GCD72" s="169">
        <v>200</v>
      </c>
      <c r="GCE72" s="171">
        <f>SUM(GCC72:GCD72)</f>
        <v>8875</v>
      </c>
      <c r="GCF72" s="163" t="s">
        <v>114</v>
      </c>
      <c r="GCG72" s="164">
        <v>45845</v>
      </c>
      <c r="GCH72" s="159" t="s">
        <v>42</v>
      </c>
      <c r="GCI72" s="354"/>
      <c r="GCJ72" s="165" t="s">
        <v>124</v>
      </c>
      <c r="GCK72" s="352"/>
      <c r="GCL72" s="353"/>
      <c r="GCM72" s="159" t="s">
        <v>24</v>
      </c>
      <c r="GCN72" s="160">
        <v>8150</v>
      </c>
      <c r="GCO72" s="169">
        <v>85</v>
      </c>
      <c r="GCP72" s="170">
        <v>215</v>
      </c>
      <c r="GCQ72" s="170">
        <v>75</v>
      </c>
      <c r="GCR72" s="169">
        <v>150</v>
      </c>
      <c r="GCS72" s="171">
        <f>SUM(GCN72:GCR72)</f>
        <v>8675</v>
      </c>
      <c r="GCT72" s="169">
        <v>200</v>
      </c>
      <c r="GCU72" s="171">
        <f>SUM(GCS72:GCT72)</f>
        <v>8875</v>
      </c>
      <c r="GCV72" s="163" t="s">
        <v>114</v>
      </c>
      <c r="GCW72" s="164">
        <v>45845</v>
      </c>
      <c r="GCX72" s="159" t="s">
        <v>42</v>
      </c>
      <c r="GCY72" s="354"/>
      <c r="GCZ72" s="165" t="s">
        <v>124</v>
      </c>
      <c r="GDA72" s="352"/>
      <c r="GDB72" s="353"/>
      <c r="GDC72" s="159" t="s">
        <v>24</v>
      </c>
      <c r="GDD72" s="160">
        <v>8150</v>
      </c>
      <c r="GDE72" s="169">
        <v>85</v>
      </c>
      <c r="GDF72" s="170">
        <v>215</v>
      </c>
      <c r="GDG72" s="170">
        <v>75</v>
      </c>
      <c r="GDH72" s="169">
        <v>150</v>
      </c>
      <c r="GDI72" s="171">
        <f>SUM(GDD72:GDH72)</f>
        <v>8675</v>
      </c>
      <c r="GDJ72" s="169">
        <v>200</v>
      </c>
      <c r="GDK72" s="171">
        <f>SUM(GDI72:GDJ72)</f>
        <v>8875</v>
      </c>
      <c r="GDL72" s="163" t="s">
        <v>114</v>
      </c>
      <c r="GDM72" s="164">
        <v>45845</v>
      </c>
      <c r="GDN72" s="159" t="s">
        <v>42</v>
      </c>
      <c r="GDO72" s="354"/>
      <c r="GDP72" s="165" t="s">
        <v>124</v>
      </c>
      <c r="GDQ72" s="352"/>
      <c r="GDR72" s="353"/>
      <c r="GDS72" s="159" t="s">
        <v>24</v>
      </c>
      <c r="GDT72" s="160">
        <v>8150</v>
      </c>
      <c r="GDU72" s="169">
        <v>85</v>
      </c>
      <c r="GDV72" s="170">
        <v>215</v>
      </c>
      <c r="GDW72" s="170">
        <v>75</v>
      </c>
      <c r="GDX72" s="169">
        <v>150</v>
      </c>
      <c r="GDY72" s="171">
        <f>SUM(GDT72:GDX72)</f>
        <v>8675</v>
      </c>
      <c r="GDZ72" s="169">
        <v>200</v>
      </c>
      <c r="GEA72" s="171">
        <f>SUM(GDY72:GDZ72)</f>
        <v>8875</v>
      </c>
      <c r="GEB72" s="163" t="s">
        <v>114</v>
      </c>
      <c r="GEC72" s="164">
        <v>45845</v>
      </c>
      <c r="GED72" s="159" t="s">
        <v>42</v>
      </c>
      <c r="GEE72" s="354"/>
      <c r="GEF72" s="165" t="s">
        <v>124</v>
      </c>
      <c r="GEG72" s="352"/>
      <c r="GEH72" s="353"/>
      <c r="GEI72" s="159" t="s">
        <v>24</v>
      </c>
      <c r="GEJ72" s="160">
        <v>8150</v>
      </c>
      <c r="GEK72" s="169">
        <v>85</v>
      </c>
      <c r="GEL72" s="170">
        <v>215</v>
      </c>
      <c r="GEM72" s="170">
        <v>75</v>
      </c>
      <c r="GEN72" s="169">
        <v>150</v>
      </c>
      <c r="GEO72" s="171">
        <f>SUM(GEJ72:GEN72)</f>
        <v>8675</v>
      </c>
      <c r="GEP72" s="169">
        <v>200</v>
      </c>
      <c r="GEQ72" s="171">
        <f>SUM(GEO72:GEP72)</f>
        <v>8875</v>
      </c>
      <c r="GER72" s="163" t="s">
        <v>114</v>
      </c>
      <c r="GES72" s="164">
        <v>45845</v>
      </c>
      <c r="GET72" s="159" t="s">
        <v>42</v>
      </c>
      <c r="GEU72" s="354"/>
      <c r="GEV72" s="165" t="s">
        <v>124</v>
      </c>
      <c r="GEW72" s="352"/>
      <c r="GEX72" s="353"/>
      <c r="GEY72" s="159" t="s">
        <v>24</v>
      </c>
      <c r="GEZ72" s="160">
        <v>8150</v>
      </c>
      <c r="GFA72" s="169">
        <v>85</v>
      </c>
      <c r="GFB72" s="170">
        <v>215</v>
      </c>
      <c r="GFC72" s="170">
        <v>75</v>
      </c>
      <c r="GFD72" s="169">
        <v>150</v>
      </c>
      <c r="GFE72" s="171">
        <f>SUM(GEZ72:GFD72)</f>
        <v>8675</v>
      </c>
      <c r="GFF72" s="169">
        <v>200</v>
      </c>
      <c r="GFG72" s="171">
        <f>SUM(GFE72:GFF72)</f>
        <v>8875</v>
      </c>
      <c r="GFH72" s="163" t="s">
        <v>114</v>
      </c>
      <c r="GFI72" s="164">
        <v>45845</v>
      </c>
      <c r="GFJ72" s="159" t="s">
        <v>42</v>
      </c>
      <c r="GFK72" s="354"/>
      <c r="GFL72" s="165" t="s">
        <v>124</v>
      </c>
      <c r="GFM72" s="352"/>
      <c r="GFN72" s="353"/>
      <c r="GFO72" s="159" t="s">
        <v>24</v>
      </c>
      <c r="GFP72" s="160">
        <v>8150</v>
      </c>
      <c r="GFQ72" s="169">
        <v>85</v>
      </c>
      <c r="GFR72" s="170">
        <v>215</v>
      </c>
      <c r="GFS72" s="170">
        <v>75</v>
      </c>
      <c r="GFT72" s="169">
        <v>150</v>
      </c>
      <c r="GFU72" s="171">
        <f>SUM(GFP72:GFT72)</f>
        <v>8675</v>
      </c>
      <c r="GFV72" s="169">
        <v>200</v>
      </c>
      <c r="GFW72" s="171">
        <f>SUM(GFU72:GFV72)</f>
        <v>8875</v>
      </c>
      <c r="GFX72" s="163" t="s">
        <v>114</v>
      </c>
      <c r="GFY72" s="164">
        <v>45845</v>
      </c>
      <c r="GFZ72" s="159" t="s">
        <v>42</v>
      </c>
      <c r="GGA72" s="354"/>
      <c r="GGB72" s="165" t="s">
        <v>124</v>
      </c>
      <c r="GGC72" s="352"/>
      <c r="GGD72" s="353"/>
      <c r="GGE72" s="159" t="s">
        <v>24</v>
      </c>
      <c r="GGF72" s="160">
        <v>8150</v>
      </c>
      <c r="GGG72" s="169">
        <v>85</v>
      </c>
      <c r="GGH72" s="170">
        <v>215</v>
      </c>
      <c r="GGI72" s="170">
        <v>75</v>
      </c>
      <c r="GGJ72" s="169">
        <v>150</v>
      </c>
      <c r="GGK72" s="171">
        <f>SUM(GGF72:GGJ72)</f>
        <v>8675</v>
      </c>
      <c r="GGL72" s="169">
        <v>200</v>
      </c>
      <c r="GGM72" s="171">
        <f>SUM(GGK72:GGL72)</f>
        <v>8875</v>
      </c>
      <c r="GGN72" s="163" t="s">
        <v>114</v>
      </c>
      <c r="GGO72" s="164">
        <v>45845</v>
      </c>
      <c r="GGP72" s="159" t="s">
        <v>42</v>
      </c>
      <c r="GGQ72" s="354"/>
      <c r="GGR72" s="165" t="s">
        <v>124</v>
      </c>
      <c r="GGS72" s="352"/>
      <c r="GGT72" s="353"/>
      <c r="GGU72" s="159" t="s">
        <v>24</v>
      </c>
      <c r="GGV72" s="160">
        <v>8150</v>
      </c>
      <c r="GGW72" s="169">
        <v>85</v>
      </c>
      <c r="GGX72" s="170">
        <v>215</v>
      </c>
      <c r="GGY72" s="170">
        <v>75</v>
      </c>
      <c r="GGZ72" s="169">
        <v>150</v>
      </c>
      <c r="GHA72" s="171">
        <f>SUM(GGV72:GGZ72)</f>
        <v>8675</v>
      </c>
      <c r="GHB72" s="169">
        <v>200</v>
      </c>
      <c r="GHC72" s="171">
        <f>SUM(GHA72:GHB72)</f>
        <v>8875</v>
      </c>
      <c r="GHD72" s="163" t="s">
        <v>114</v>
      </c>
      <c r="GHE72" s="164">
        <v>45845</v>
      </c>
      <c r="GHF72" s="159" t="s">
        <v>42</v>
      </c>
      <c r="GHG72" s="354"/>
      <c r="GHH72" s="165" t="s">
        <v>124</v>
      </c>
      <c r="GHI72" s="352"/>
      <c r="GHJ72" s="353"/>
      <c r="GHK72" s="159" t="s">
        <v>24</v>
      </c>
      <c r="GHL72" s="160">
        <v>8150</v>
      </c>
      <c r="GHM72" s="169">
        <v>85</v>
      </c>
      <c r="GHN72" s="170">
        <v>215</v>
      </c>
      <c r="GHO72" s="170">
        <v>75</v>
      </c>
      <c r="GHP72" s="169">
        <v>150</v>
      </c>
      <c r="GHQ72" s="171">
        <f>SUM(GHL72:GHP72)</f>
        <v>8675</v>
      </c>
      <c r="GHR72" s="169">
        <v>200</v>
      </c>
      <c r="GHS72" s="171">
        <f>SUM(GHQ72:GHR72)</f>
        <v>8875</v>
      </c>
      <c r="GHT72" s="163" t="s">
        <v>114</v>
      </c>
      <c r="GHU72" s="164">
        <v>45845</v>
      </c>
      <c r="GHV72" s="159" t="s">
        <v>42</v>
      </c>
      <c r="GHW72" s="354"/>
      <c r="GHX72" s="165" t="s">
        <v>124</v>
      </c>
      <c r="GHY72" s="352"/>
      <c r="GHZ72" s="353"/>
      <c r="GIA72" s="159" t="s">
        <v>24</v>
      </c>
      <c r="GIB72" s="160">
        <v>8150</v>
      </c>
      <c r="GIC72" s="169">
        <v>85</v>
      </c>
      <c r="GID72" s="170">
        <v>215</v>
      </c>
      <c r="GIE72" s="170">
        <v>75</v>
      </c>
      <c r="GIF72" s="169">
        <v>150</v>
      </c>
      <c r="GIG72" s="171">
        <f>SUM(GIB72:GIF72)</f>
        <v>8675</v>
      </c>
      <c r="GIH72" s="169">
        <v>200</v>
      </c>
      <c r="GII72" s="171">
        <f>SUM(GIG72:GIH72)</f>
        <v>8875</v>
      </c>
      <c r="GIJ72" s="163" t="s">
        <v>114</v>
      </c>
      <c r="GIK72" s="164">
        <v>45845</v>
      </c>
      <c r="GIL72" s="159" t="s">
        <v>42</v>
      </c>
      <c r="GIM72" s="354"/>
      <c r="GIN72" s="165" t="s">
        <v>124</v>
      </c>
      <c r="GIO72" s="352"/>
      <c r="GIP72" s="353"/>
      <c r="GIQ72" s="159" t="s">
        <v>24</v>
      </c>
      <c r="GIR72" s="160">
        <v>8150</v>
      </c>
      <c r="GIS72" s="169">
        <v>85</v>
      </c>
      <c r="GIT72" s="170">
        <v>215</v>
      </c>
      <c r="GIU72" s="170">
        <v>75</v>
      </c>
      <c r="GIV72" s="169">
        <v>150</v>
      </c>
      <c r="GIW72" s="171">
        <f>SUM(GIR72:GIV72)</f>
        <v>8675</v>
      </c>
      <c r="GIX72" s="169">
        <v>200</v>
      </c>
      <c r="GIY72" s="171">
        <f>SUM(GIW72:GIX72)</f>
        <v>8875</v>
      </c>
      <c r="GIZ72" s="163" t="s">
        <v>114</v>
      </c>
      <c r="GJA72" s="164">
        <v>45845</v>
      </c>
      <c r="GJB72" s="159" t="s">
        <v>42</v>
      </c>
      <c r="GJC72" s="354"/>
      <c r="GJD72" s="165" t="s">
        <v>124</v>
      </c>
      <c r="GJE72" s="352"/>
      <c r="GJF72" s="353"/>
      <c r="GJG72" s="159" t="s">
        <v>24</v>
      </c>
      <c r="GJH72" s="160">
        <v>8150</v>
      </c>
      <c r="GJI72" s="169">
        <v>85</v>
      </c>
      <c r="GJJ72" s="170">
        <v>215</v>
      </c>
      <c r="GJK72" s="170">
        <v>75</v>
      </c>
      <c r="GJL72" s="169">
        <v>150</v>
      </c>
      <c r="GJM72" s="171">
        <f>SUM(GJH72:GJL72)</f>
        <v>8675</v>
      </c>
      <c r="GJN72" s="169">
        <v>200</v>
      </c>
      <c r="GJO72" s="171">
        <f>SUM(GJM72:GJN72)</f>
        <v>8875</v>
      </c>
      <c r="GJP72" s="163" t="s">
        <v>114</v>
      </c>
      <c r="GJQ72" s="164">
        <v>45845</v>
      </c>
      <c r="GJR72" s="159" t="s">
        <v>42</v>
      </c>
      <c r="GJS72" s="354"/>
      <c r="GJT72" s="165" t="s">
        <v>124</v>
      </c>
      <c r="GJU72" s="352"/>
      <c r="GJV72" s="353"/>
      <c r="GJW72" s="159" t="s">
        <v>24</v>
      </c>
      <c r="GJX72" s="160">
        <v>8150</v>
      </c>
      <c r="GJY72" s="169">
        <v>85</v>
      </c>
      <c r="GJZ72" s="170">
        <v>215</v>
      </c>
      <c r="GKA72" s="170">
        <v>75</v>
      </c>
      <c r="GKB72" s="169">
        <v>150</v>
      </c>
      <c r="GKC72" s="171">
        <f>SUM(GJX72:GKB72)</f>
        <v>8675</v>
      </c>
      <c r="GKD72" s="169">
        <v>200</v>
      </c>
      <c r="GKE72" s="171">
        <f>SUM(GKC72:GKD72)</f>
        <v>8875</v>
      </c>
      <c r="GKF72" s="163" t="s">
        <v>114</v>
      </c>
      <c r="GKG72" s="164">
        <v>45845</v>
      </c>
      <c r="GKH72" s="159" t="s">
        <v>42</v>
      </c>
      <c r="GKI72" s="354"/>
      <c r="GKJ72" s="165" t="s">
        <v>124</v>
      </c>
      <c r="GKK72" s="352"/>
      <c r="GKL72" s="353"/>
      <c r="GKM72" s="159" t="s">
        <v>24</v>
      </c>
      <c r="GKN72" s="160">
        <v>8150</v>
      </c>
      <c r="GKO72" s="169">
        <v>85</v>
      </c>
      <c r="GKP72" s="170">
        <v>215</v>
      </c>
      <c r="GKQ72" s="170">
        <v>75</v>
      </c>
      <c r="GKR72" s="169">
        <v>150</v>
      </c>
      <c r="GKS72" s="171">
        <f>SUM(GKN72:GKR72)</f>
        <v>8675</v>
      </c>
      <c r="GKT72" s="169">
        <v>200</v>
      </c>
      <c r="GKU72" s="171">
        <f>SUM(GKS72:GKT72)</f>
        <v>8875</v>
      </c>
      <c r="GKV72" s="163" t="s">
        <v>114</v>
      </c>
      <c r="GKW72" s="164">
        <v>45845</v>
      </c>
      <c r="GKX72" s="159" t="s">
        <v>42</v>
      </c>
      <c r="GKY72" s="354"/>
      <c r="GKZ72" s="165" t="s">
        <v>124</v>
      </c>
      <c r="GLA72" s="352"/>
      <c r="GLB72" s="353"/>
      <c r="GLC72" s="159" t="s">
        <v>24</v>
      </c>
      <c r="GLD72" s="160">
        <v>8150</v>
      </c>
      <c r="GLE72" s="169">
        <v>85</v>
      </c>
      <c r="GLF72" s="170">
        <v>215</v>
      </c>
      <c r="GLG72" s="170">
        <v>75</v>
      </c>
      <c r="GLH72" s="169">
        <v>150</v>
      </c>
      <c r="GLI72" s="171">
        <f>SUM(GLD72:GLH72)</f>
        <v>8675</v>
      </c>
      <c r="GLJ72" s="169">
        <v>200</v>
      </c>
      <c r="GLK72" s="171">
        <f>SUM(GLI72:GLJ72)</f>
        <v>8875</v>
      </c>
      <c r="GLL72" s="163" t="s">
        <v>114</v>
      </c>
      <c r="GLM72" s="164">
        <v>45845</v>
      </c>
      <c r="GLN72" s="159" t="s">
        <v>42</v>
      </c>
      <c r="GLO72" s="354"/>
      <c r="GLP72" s="165" t="s">
        <v>124</v>
      </c>
      <c r="GLQ72" s="352"/>
      <c r="GLR72" s="353"/>
      <c r="GLS72" s="159" t="s">
        <v>24</v>
      </c>
      <c r="GLT72" s="160">
        <v>8150</v>
      </c>
      <c r="GLU72" s="169">
        <v>85</v>
      </c>
      <c r="GLV72" s="170">
        <v>215</v>
      </c>
      <c r="GLW72" s="170">
        <v>75</v>
      </c>
      <c r="GLX72" s="169">
        <v>150</v>
      </c>
      <c r="GLY72" s="171">
        <f>SUM(GLT72:GLX72)</f>
        <v>8675</v>
      </c>
      <c r="GLZ72" s="169">
        <v>200</v>
      </c>
      <c r="GMA72" s="171">
        <f>SUM(GLY72:GLZ72)</f>
        <v>8875</v>
      </c>
      <c r="GMB72" s="163" t="s">
        <v>114</v>
      </c>
      <c r="GMC72" s="164">
        <v>45845</v>
      </c>
      <c r="GMD72" s="159" t="s">
        <v>42</v>
      </c>
      <c r="GME72" s="354"/>
      <c r="GMF72" s="165" t="s">
        <v>124</v>
      </c>
      <c r="GMG72" s="352"/>
      <c r="GMH72" s="353"/>
      <c r="GMI72" s="159" t="s">
        <v>24</v>
      </c>
      <c r="GMJ72" s="160">
        <v>8150</v>
      </c>
      <c r="GMK72" s="169">
        <v>85</v>
      </c>
      <c r="GML72" s="170">
        <v>215</v>
      </c>
      <c r="GMM72" s="170">
        <v>75</v>
      </c>
      <c r="GMN72" s="169">
        <v>150</v>
      </c>
      <c r="GMO72" s="171">
        <f>SUM(GMJ72:GMN72)</f>
        <v>8675</v>
      </c>
      <c r="GMP72" s="169">
        <v>200</v>
      </c>
      <c r="GMQ72" s="171">
        <f>SUM(GMO72:GMP72)</f>
        <v>8875</v>
      </c>
      <c r="GMR72" s="163" t="s">
        <v>114</v>
      </c>
      <c r="GMS72" s="164">
        <v>45845</v>
      </c>
      <c r="GMT72" s="159" t="s">
        <v>42</v>
      </c>
      <c r="GMU72" s="354"/>
      <c r="GMV72" s="165" t="s">
        <v>124</v>
      </c>
      <c r="GMW72" s="352"/>
      <c r="GMX72" s="353"/>
      <c r="GMY72" s="159" t="s">
        <v>24</v>
      </c>
      <c r="GMZ72" s="160">
        <v>8150</v>
      </c>
      <c r="GNA72" s="169">
        <v>85</v>
      </c>
      <c r="GNB72" s="170">
        <v>215</v>
      </c>
      <c r="GNC72" s="170">
        <v>75</v>
      </c>
      <c r="GND72" s="169">
        <v>150</v>
      </c>
      <c r="GNE72" s="171">
        <f>SUM(GMZ72:GND72)</f>
        <v>8675</v>
      </c>
      <c r="GNF72" s="169">
        <v>200</v>
      </c>
      <c r="GNG72" s="171">
        <f>SUM(GNE72:GNF72)</f>
        <v>8875</v>
      </c>
      <c r="GNH72" s="163" t="s">
        <v>114</v>
      </c>
      <c r="GNI72" s="164">
        <v>45845</v>
      </c>
      <c r="GNJ72" s="159" t="s">
        <v>42</v>
      </c>
      <c r="GNK72" s="354"/>
      <c r="GNL72" s="165" t="s">
        <v>124</v>
      </c>
      <c r="GNM72" s="352"/>
      <c r="GNN72" s="353"/>
      <c r="GNO72" s="159" t="s">
        <v>24</v>
      </c>
      <c r="GNP72" s="160">
        <v>8150</v>
      </c>
      <c r="GNQ72" s="169">
        <v>85</v>
      </c>
      <c r="GNR72" s="170">
        <v>215</v>
      </c>
      <c r="GNS72" s="170">
        <v>75</v>
      </c>
      <c r="GNT72" s="169">
        <v>150</v>
      </c>
      <c r="GNU72" s="171">
        <f>SUM(GNP72:GNT72)</f>
        <v>8675</v>
      </c>
      <c r="GNV72" s="169">
        <v>200</v>
      </c>
      <c r="GNW72" s="171">
        <f>SUM(GNU72:GNV72)</f>
        <v>8875</v>
      </c>
      <c r="GNX72" s="163" t="s">
        <v>114</v>
      </c>
      <c r="GNY72" s="164">
        <v>45845</v>
      </c>
      <c r="GNZ72" s="159" t="s">
        <v>42</v>
      </c>
      <c r="GOA72" s="354"/>
      <c r="GOB72" s="165" t="s">
        <v>124</v>
      </c>
      <c r="GOC72" s="352"/>
      <c r="GOD72" s="353"/>
      <c r="GOE72" s="159" t="s">
        <v>24</v>
      </c>
      <c r="GOF72" s="160">
        <v>8150</v>
      </c>
      <c r="GOG72" s="169">
        <v>85</v>
      </c>
      <c r="GOH72" s="170">
        <v>215</v>
      </c>
      <c r="GOI72" s="170">
        <v>75</v>
      </c>
      <c r="GOJ72" s="169">
        <v>150</v>
      </c>
      <c r="GOK72" s="171">
        <f>SUM(GOF72:GOJ72)</f>
        <v>8675</v>
      </c>
      <c r="GOL72" s="169">
        <v>200</v>
      </c>
      <c r="GOM72" s="171">
        <f>SUM(GOK72:GOL72)</f>
        <v>8875</v>
      </c>
      <c r="GON72" s="163" t="s">
        <v>114</v>
      </c>
      <c r="GOO72" s="164">
        <v>45845</v>
      </c>
      <c r="GOP72" s="159" t="s">
        <v>42</v>
      </c>
      <c r="GOQ72" s="354"/>
      <c r="GOR72" s="165" t="s">
        <v>124</v>
      </c>
      <c r="GOS72" s="352"/>
      <c r="GOT72" s="353"/>
      <c r="GOU72" s="159" t="s">
        <v>24</v>
      </c>
      <c r="GOV72" s="160">
        <v>8150</v>
      </c>
      <c r="GOW72" s="169">
        <v>85</v>
      </c>
      <c r="GOX72" s="170">
        <v>215</v>
      </c>
      <c r="GOY72" s="170">
        <v>75</v>
      </c>
      <c r="GOZ72" s="169">
        <v>150</v>
      </c>
      <c r="GPA72" s="171">
        <f>SUM(GOV72:GOZ72)</f>
        <v>8675</v>
      </c>
      <c r="GPB72" s="169">
        <v>200</v>
      </c>
      <c r="GPC72" s="171">
        <f>SUM(GPA72:GPB72)</f>
        <v>8875</v>
      </c>
      <c r="GPD72" s="163" t="s">
        <v>114</v>
      </c>
      <c r="GPE72" s="164">
        <v>45845</v>
      </c>
      <c r="GPF72" s="159" t="s">
        <v>42</v>
      </c>
      <c r="GPG72" s="354"/>
      <c r="GPH72" s="165" t="s">
        <v>124</v>
      </c>
      <c r="GPI72" s="352"/>
      <c r="GPJ72" s="353"/>
      <c r="GPK72" s="159" t="s">
        <v>24</v>
      </c>
      <c r="GPL72" s="160">
        <v>8150</v>
      </c>
      <c r="GPM72" s="169">
        <v>85</v>
      </c>
      <c r="GPN72" s="170">
        <v>215</v>
      </c>
      <c r="GPO72" s="170">
        <v>75</v>
      </c>
      <c r="GPP72" s="169">
        <v>150</v>
      </c>
      <c r="GPQ72" s="171">
        <f>SUM(GPL72:GPP72)</f>
        <v>8675</v>
      </c>
      <c r="GPR72" s="169">
        <v>200</v>
      </c>
      <c r="GPS72" s="171">
        <f>SUM(GPQ72:GPR72)</f>
        <v>8875</v>
      </c>
      <c r="GPT72" s="163" t="s">
        <v>114</v>
      </c>
      <c r="GPU72" s="164">
        <v>45845</v>
      </c>
      <c r="GPV72" s="159" t="s">
        <v>42</v>
      </c>
      <c r="GPW72" s="354"/>
      <c r="GPX72" s="165" t="s">
        <v>124</v>
      </c>
      <c r="GPY72" s="352"/>
      <c r="GPZ72" s="353"/>
      <c r="GQA72" s="159" t="s">
        <v>24</v>
      </c>
      <c r="GQB72" s="160">
        <v>8150</v>
      </c>
      <c r="GQC72" s="169">
        <v>85</v>
      </c>
      <c r="GQD72" s="170">
        <v>215</v>
      </c>
      <c r="GQE72" s="170">
        <v>75</v>
      </c>
      <c r="GQF72" s="169">
        <v>150</v>
      </c>
      <c r="GQG72" s="171">
        <f>SUM(GQB72:GQF72)</f>
        <v>8675</v>
      </c>
      <c r="GQH72" s="169">
        <v>200</v>
      </c>
      <c r="GQI72" s="171">
        <f>SUM(GQG72:GQH72)</f>
        <v>8875</v>
      </c>
      <c r="GQJ72" s="163" t="s">
        <v>114</v>
      </c>
      <c r="GQK72" s="164">
        <v>45845</v>
      </c>
      <c r="GQL72" s="159" t="s">
        <v>42</v>
      </c>
      <c r="GQM72" s="354"/>
      <c r="GQN72" s="165" t="s">
        <v>124</v>
      </c>
      <c r="GQO72" s="352"/>
      <c r="GQP72" s="353"/>
      <c r="GQQ72" s="159" t="s">
        <v>24</v>
      </c>
      <c r="GQR72" s="160">
        <v>8150</v>
      </c>
      <c r="GQS72" s="169">
        <v>85</v>
      </c>
      <c r="GQT72" s="170">
        <v>215</v>
      </c>
      <c r="GQU72" s="170">
        <v>75</v>
      </c>
      <c r="GQV72" s="169">
        <v>150</v>
      </c>
      <c r="GQW72" s="171">
        <f>SUM(GQR72:GQV72)</f>
        <v>8675</v>
      </c>
      <c r="GQX72" s="169">
        <v>200</v>
      </c>
      <c r="GQY72" s="171">
        <f>SUM(GQW72:GQX72)</f>
        <v>8875</v>
      </c>
      <c r="GQZ72" s="163" t="s">
        <v>114</v>
      </c>
      <c r="GRA72" s="164">
        <v>45845</v>
      </c>
      <c r="GRB72" s="159" t="s">
        <v>42</v>
      </c>
      <c r="GRC72" s="354"/>
      <c r="GRD72" s="165" t="s">
        <v>124</v>
      </c>
      <c r="GRE72" s="352"/>
      <c r="GRF72" s="353"/>
      <c r="GRG72" s="159" t="s">
        <v>24</v>
      </c>
      <c r="GRH72" s="160">
        <v>8150</v>
      </c>
      <c r="GRI72" s="169">
        <v>85</v>
      </c>
      <c r="GRJ72" s="170">
        <v>215</v>
      </c>
      <c r="GRK72" s="170">
        <v>75</v>
      </c>
      <c r="GRL72" s="169">
        <v>150</v>
      </c>
      <c r="GRM72" s="171">
        <f>SUM(GRH72:GRL72)</f>
        <v>8675</v>
      </c>
      <c r="GRN72" s="169">
        <v>200</v>
      </c>
      <c r="GRO72" s="171">
        <f>SUM(GRM72:GRN72)</f>
        <v>8875</v>
      </c>
      <c r="GRP72" s="163" t="s">
        <v>114</v>
      </c>
      <c r="GRQ72" s="164">
        <v>45845</v>
      </c>
      <c r="GRR72" s="159" t="s">
        <v>42</v>
      </c>
      <c r="GRS72" s="354"/>
      <c r="GRT72" s="165" t="s">
        <v>124</v>
      </c>
      <c r="GRU72" s="352"/>
      <c r="GRV72" s="353"/>
      <c r="GRW72" s="159" t="s">
        <v>24</v>
      </c>
      <c r="GRX72" s="160">
        <v>8150</v>
      </c>
      <c r="GRY72" s="169">
        <v>85</v>
      </c>
      <c r="GRZ72" s="170">
        <v>215</v>
      </c>
      <c r="GSA72" s="170">
        <v>75</v>
      </c>
      <c r="GSB72" s="169">
        <v>150</v>
      </c>
      <c r="GSC72" s="171">
        <f>SUM(GRX72:GSB72)</f>
        <v>8675</v>
      </c>
      <c r="GSD72" s="169">
        <v>200</v>
      </c>
      <c r="GSE72" s="171">
        <f>SUM(GSC72:GSD72)</f>
        <v>8875</v>
      </c>
      <c r="GSF72" s="163" t="s">
        <v>114</v>
      </c>
      <c r="GSG72" s="164">
        <v>45845</v>
      </c>
      <c r="GSH72" s="159" t="s">
        <v>42</v>
      </c>
      <c r="GSI72" s="354"/>
      <c r="GSJ72" s="165" t="s">
        <v>124</v>
      </c>
      <c r="GSK72" s="352"/>
      <c r="GSL72" s="353"/>
      <c r="GSM72" s="159" t="s">
        <v>24</v>
      </c>
      <c r="GSN72" s="160">
        <v>8150</v>
      </c>
      <c r="GSO72" s="169">
        <v>85</v>
      </c>
      <c r="GSP72" s="170">
        <v>215</v>
      </c>
      <c r="GSQ72" s="170">
        <v>75</v>
      </c>
      <c r="GSR72" s="169">
        <v>150</v>
      </c>
      <c r="GSS72" s="171">
        <f>SUM(GSN72:GSR72)</f>
        <v>8675</v>
      </c>
      <c r="GST72" s="169">
        <v>200</v>
      </c>
      <c r="GSU72" s="171">
        <f>SUM(GSS72:GST72)</f>
        <v>8875</v>
      </c>
      <c r="GSV72" s="163" t="s">
        <v>114</v>
      </c>
      <c r="GSW72" s="164">
        <v>45845</v>
      </c>
      <c r="GSX72" s="159" t="s">
        <v>42</v>
      </c>
      <c r="GSY72" s="354"/>
      <c r="GSZ72" s="165" t="s">
        <v>124</v>
      </c>
      <c r="GTA72" s="352"/>
      <c r="GTB72" s="353"/>
      <c r="GTC72" s="159" t="s">
        <v>24</v>
      </c>
      <c r="GTD72" s="160">
        <v>8150</v>
      </c>
      <c r="GTE72" s="169">
        <v>85</v>
      </c>
      <c r="GTF72" s="170">
        <v>215</v>
      </c>
      <c r="GTG72" s="170">
        <v>75</v>
      </c>
      <c r="GTH72" s="169">
        <v>150</v>
      </c>
      <c r="GTI72" s="171">
        <f>SUM(GTD72:GTH72)</f>
        <v>8675</v>
      </c>
      <c r="GTJ72" s="169">
        <v>200</v>
      </c>
      <c r="GTK72" s="171">
        <f>SUM(GTI72:GTJ72)</f>
        <v>8875</v>
      </c>
      <c r="GTL72" s="163" t="s">
        <v>114</v>
      </c>
      <c r="GTM72" s="164">
        <v>45845</v>
      </c>
      <c r="GTN72" s="159" t="s">
        <v>42</v>
      </c>
      <c r="GTO72" s="354"/>
      <c r="GTP72" s="165" t="s">
        <v>124</v>
      </c>
      <c r="GTQ72" s="352"/>
      <c r="GTR72" s="353"/>
      <c r="GTS72" s="159" t="s">
        <v>24</v>
      </c>
      <c r="GTT72" s="160">
        <v>8150</v>
      </c>
      <c r="GTU72" s="169">
        <v>85</v>
      </c>
      <c r="GTV72" s="170">
        <v>215</v>
      </c>
      <c r="GTW72" s="170">
        <v>75</v>
      </c>
      <c r="GTX72" s="169">
        <v>150</v>
      </c>
      <c r="GTY72" s="171">
        <f>SUM(GTT72:GTX72)</f>
        <v>8675</v>
      </c>
      <c r="GTZ72" s="169">
        <v>200</v>
      </c>
      <c r="GUA72" s="171">
        <f>SUM(GTY72:GTZ72)</f>
        <v>8875</v>
      </c>
      <c r="GUB72" s="163" t="s">
        <v>114</v>
      </c>
      <c r="GUC72" s="164">
        <v>45845</v>
      </c>
      <c r="GUD72" s="159" t="s">
        <v>42</v>
      </c>
      <c r="GUE72" s="354"/>
      <c r="GUF72" s="165" t="s">
        <v>124</v>
      </c>
      <c r="GUG72" s="352"/>
      <c r="GUH72" s="353"/>
      <c r="GUI72" s="159" t="s">
        <v>24</v>
      </c>
      <c r="GUJ72" s="160">
        <v>8150</v>
      </c>
      <c r="GUK72" s="169">
        <v>85</v>
      </c>
      <c r="GUL72" s="170">
        <v>215</v>
      </c>
      <c r="GUM72" s="170">
        <v>75</v>
      </c>
      <c r="GUN72" s="169">
        <v>150</v>
      </c>
      <c r="GUO72" s="171">
        <f>SUM(GUJ72:GUN72)</f>
        <v>8675</v>
      </c>
      <c r="GUP72" s="169">
        <v>200</v>
      </c>
      <c r="GUQ72" s="171">
        <f>SUM(GUO72:GUP72)</f>
        <v>8875</v>
      </c>
      <c r="GUR72" s="163" t="s">
        <v>114</v>
      </c>
      <c r="GUS72" s="164">
        <v>45845</v>
      </c>
      <c r="GUT72" s="159" t="s">
        <v>42</v>
      </c>
      <c r="GUU72" s="354"/>
      <c r="GUV72" s="165" t="s">
        <v>124</v>
      </c>
      <c r="GUW72" s="352"/>
      <c r="GUX72" s="353"/>
      <c r="GUY72" s="159" t="s">
        <v>24</v>
      </c>
      <c r="GUZ72" s="160">
        <v>8150</v>
      </c>
      <c r="GVA72" s="169">
        <v>85</v>
      </c>
      <c r="GVB72" s="170">
        <v>215</v>
      </c>
      <c r="GVC72" s="170">
        <v>75</v>
      </c>
      <c r="GVD72" s="169">
        <v>150</v>
      </c>
      <c r="GVE72" s="171">
        <f>SUM(GUZ72:GVD72)</f>
        <v>8675</v>
      </c>
      <c r="GVF72" s="169">
        <v>200</v>
      </c>
      <c r="GVG72" s="171">
        <f>SUM(GVE72:GVF72)</f>
        <v>8875</v>
      </c>
      <c r="GVH72" s="163" t="s">
        <v>114</v>
      </c>
      <c r="GVI72" s="164">
        <v>45845</v>
      </c>
      <c r="GVJ72" s="159" t="s">
        <v>42</v>
      </c>
      <c r="GVK72" s="354"/>
      <c r="GVL72" s="165" t="s">
        <v>124</v>
      </c>
      <c r="GVM72" s="352"/>
      <c r="GVN72" s="353"/>
      <c r="GVO72" s="159" t="s">
        <v>24</v>
      </c>
      <c r="GVP72" s="160">
        <v>8150</v>
      </c>
      <c r="GVQ72" s="169">
        <v>85</v>
      </c>
      <c r="GVR72" s="170">
        <v>215</v>
      </c>
      <c r="GVS72" s="170">
        <v>75</v>
      </c>
      <c r="GVT72" s="169">
        <v>150</v>
      </c>
      <c r="GVU72" s="171">
        <f>SUM(GVP72:GVT72)</f>
        <v>8675</v>
      </c>
      <c r="GVV72" s="169">
        <v>200</v>
      </c>
      <c r="GVW72" s="171">
        <f>SUM(GVU72:GVV72)</f>
        <v>8875</v>
      </c>
      <c r="GVX72" s="163" t="s">
        <v>114</v>
      </c>
      <c r="GVY72" s="164">
        <v>45845</v>
      </c>
      <c r="GVZ72" s="159" t="s">
        <v>42</v>
      </c>
      <c r="GWA72" s="354"/>
      <c r="GWB72" s="165" t="s">
        <v>124</v>
      </c>
      <c r="GWC72" s="352"/>
      <c r="GWD72" s="353"/>
      <c r="GWE72" s="159" t="s">
        <v>24</v>
      </c>
      <c r="GWF72" s="160">
        <v>8150</v>
      </c>
      <c r="GWG72" s="169">
        <v>85</v>
      </c>
      <c r="GWH72" s="170">
        <v>215</v>
      </c>
      <c r="GWI72" s="170">
        <v>75</v>
      </c>
      <c r="GWJ72" s="169">
        <v>150</v>
      </c>
      <c r="GWK72" s="171">
        <f>SUM(GWF72:GWJ72)</f>
        <v>8675</v>
      </c>
      <c r="GWL72" s="169">
        <v>200</v>
      </c>
      <c r="GWM72" s="171">
        <f>SUM(GWK72:GWL72)</f>
        <v>8875</v>
      </c>
      <c r="GWN72" s="163" t="s">
        <v>114</v>
      </c>
      <c r="GWO72" s="164">
        <v>45845</v>
      </c>
      <c r="GWP72" s="159" t="s">
        <v>42</v>
      </c>
      <c r="GWQ72" s="354"/>
      <c r="GWR72" s="165" t="s">
        <v>124</v>
      </c>
      <c r="GWS72" s="352"/>
      <c r="GWT72" s="353"/>
      <c r="GWU72" s="159" t="s">
        <v>24</v>
      </c>
      <c r="GWV72" s="160">
        <v>8150</v>
      </c>
      <c r="GWW72" s="169">
        <v>85</v>
      </c>
      <c r="GWX72" s="170">
        <v>215</v>
      </c>
      <c r="GWY72" s="170">
        <v>75</v>
      </c>
      <c r="GWZ72" s="169">
        <v>150</v>
      </c>
      <c r="GXA72" s="171">
        <f>SUM(GWV72:GWZ72)</f>
        <v>8675</v>
      </c>
      <c r="GXB72" s="169">
        <v>200</v>
      </c>
      <c r="GXC72" s="171">
        <f>SUM(GXA72:GXB72)</f>
        <v>8875</v>
      </c>
      <c r="GXD72" s="163" t="s">
        <v>114</v>
      </c>
      <c r="GXE72" s="164">
        <v>45845</v>
      </c>
      <c r="GXF72" s="159" t="s">
        <v>42</v>
      </c>
      <c r="GXG72" s="354"/>
      <c r="GXH72" s="165" t="s">
        <v>124</v>
      </c>
      <c r="GXI72" s="352"/>
      <c r="GXJ72" s="353"/>
      <c r="GXK72" s="159" t="s">
        <v>24</v>
      </c>
      <c r="GXL72" s="160">
        <v>8150</v>
      </c>
      <c r="GXM72" s="169">
        <v>85</v>
      </c>
      <c r="GXN72" s="170">
        <v>215</v>
      </c>
      <c r="GXO72" s="170">
        <v>75</v>
      </c>
      <c r="GXP72" s="169">
        <v>150</v>
      </c>
      <c r="GXQ72" s="171">
        <f>SUM(GXL72:GXP72)</f>
        <v>8675</v>
      </c>
      <c r="GXR72" s="169">
        <v>200</v>
      </c>
      <c r="GXS72" s="171">
        <f>SUM(GXQ72:GXR72)</f>
        <v>8875</v>
      </c>
      <c r="GXT72" s="163" t="s">
        <v>114</v>
      </c>
      <c r="GXU72" s="164">
        <v>45845</v>
      </c>
      <c r="GXV72" s="159" t="s">
        <v>42</v>
      </c>
      <c r="GXW72" s="354"/>
      <c r="GXX72" s="165" t="s">
        <v>124</v>
      </c>
      <c r="GXY72" s="352"/>
      <c r="GXZ72" s="353"/>
      <c r="GYA72" s="159" t="s">
        <v>24</v>
      </c>
      <c r="GYB72" s="160">
        <v>8150</v>
      </c>
      <c r="GYC72" s="169">
        <v>85</v>
      </c>
      <c r="GYD72" s="170">
        <v>215</v>
      </c>
      <c r="GYE72" s="170">
        <v>75</v>
      </c>
      <c r="GYF72" s="169">
        <v>150</v>
      </c>
      <c r="GYG72" s="171">
        <f>SUM(GYB72:GYF72)</f>
        <v>8675</v>
      </c>
      <c r="GYH72" s="169">
        <v>200</v>
      </c>
      <c r="GYI72" s="171">
        <f>SUM(GYG72:GYH72)</f>
        <v>8875</v>
      </c>
      <c r="GYJ72" s="163" t="s">
        <v>114</v>
      </c>
      <c r="GYK72" s="164">
        <v>45845</v>
      </c>
      <c r="GYL72" s="159" t="s">
        <v>42</v>
      </c>
      <c r="GYM72" s="354"/>
      <c r="GYN72" s="165" t="s">
        <v>124</v>
      </c>
      <c r="GYO72" s="352"/>
      <c r="GYP72" s="353"/>
      <c r="GYQ72" s="159" t="s">
        <v>24</v>
      </c>
      <c r="GYR72" s="160">
        <v>8150</v>
      </c>
      <c r="GYS72" s="169">
        <v>85</v>
      </c>
      <c r="GYT72" s="170">
        <v>215</v>
      </c>
      <c r="GYU72" s="170">
        <v>75</v>
      </c>
      <c r="GYV72" s="169">
        <v>150</v>
      </c>
      <c r="GYW72" s="171">
        <f>SUM(GYR72:GYV72)</f>
        <v>8675</v>
      </c>
      <c r="GYX72" s="169">
        <v>200</v>
      </c>
      <c r="GYY72" s="171">
        <f>SUM(GYW72:GYX72)</f>
        <v>8875</v>
      </c>
      <c r="GYZ72" s="163" t="s">
        <v>114</v>
      </c>
      <c r="GZA72" s="164">
        <v>45845</v>
      </c>
      <c r="GZB72" s="159" t="s">
        <v>42</v>
      </c>
      <c r="GZC72" s="354"/>
      <c r="GZD72" s="165" t="s">
        <v>124</v>
      </c>
      <c r="GZE72" s="352"/>
      <c r="GZF72" s="353"/>
      <c r="GZG72" s="159" t="s">
        <v>24</v>
      </c>
      <c r="GZH72" s="160">
        <v>8150</v>
      </c>
      <c r="GZI72" s="169">
        <v>85</v>
      </c>
      <c r="GZJ72" s="170">
        <v>215</v>
      </c>
      <c r="GZK72" s="170">
        <v>75</v>
      </c>
      <c r="GZL72" s="169">
        <v>150</v>
      </c>
      <c r="GZM72" s="171">
        <f>SUM(GZH72:GZL72)</f>
        <v>8675</v>
      </c>
      <c r="GZN72" s="169">
        <v>200</v>
      </c>
      <c r="GZO72" s="171">
        <f>SUM(GZM72:GZN72)</f>
        <v>8875</v>
      </c>
      <c r="GZP72" s="163" t="s">
        <v>114</v>
      </c>
      <c r="GZQ72" s="164">
        <v>45845</v>
      </c>
      <c r="GZR72" s="159" t="s">
        <v>42</v>
      </c>
      <c r="GZS72" s="354"/>
      <c r="GZT72" s="165" t="s">
        <v>124</v>
      </c>
      <c r="GZU72" s="352"/>
      <c r="GZV72" s="353"/>
      <c r="GZW72" s="159" t="s">
        <v>24</v>
      </c>
      <c r="GZX72" s="160">
        <v>8150</v>
      </c>
      <c r="GZY72" s="169">
        <v>85</v>
      </c>
      <c r="GZZ72" s="170">
        <v>215</v>
      </c>
      <c r="HAA72" s="170">
        <v>75</v>
      </c>
      <c r="HAB72" s="169">
        <v>150</v>
      </c>
      <c r="HAC72" s="171">
        <f>SUM(GZX72:HAB72)</f>
        <v>8675</v>
      </c>
      <c r="HAD72" s="169">
        <v>200</v>
      </c>
      <c r="HAE72" s="171">
        <f>SUM(HAC72:HAD72)</f>
        <v>8875</v>
      </c>
      <c r="HAF72" s="163" t="s">
        <v>114</v>
      </c>
      <c r="HAG72" s="164">
        <v>45845</v>
      </c>
      <c r="HAH72" s="159" t="s">
        <v>42</v>
      </c>
      <c r="HAI72" s="354"/>
      <c r="HAJ72" s="165" t="s">
        <v>124</v>
      </c>
      <c r="HAK72" s="352"/>
      <c r="HAL72" s="353"/>
      <c r="HAM72" s="159" t="s">
        <v>24</v>
      </c>
      <c r="HAN72" s="160">
        <v>8150</v>
      </c>
      <c r="HAO72" s="169">
        <v>85</v>
      </c>
      <c r="HAP72" s="170">
        <v>215</v>
      </c>
      <c r="HAQ72" s="170">
        <v>75</v>
      </c>
      <c r="HAR72" s="169">
        <v>150</v>
      </c>
      <c r="HAS72" s="171">
        <f>SUM(HAN72:HAR72)</f>
        <v>8675</v>
      </c>
      <c r="HAT72" s="169">
        <v>200</v>
      </c>
      <c r="HAU72" s="171">
        <f>SUM(HAS72:HAT72)</f>
        <v>8875</v>
      </c>
      <c r="HAV72" s="163" t="s">
        <v>114</v>
      </c>
      <c r="HAW72" s="164">
        <v>45845</v>
      </c>
      <c r="HAX72" s="159" t="s">
        <v>42</v>
      </c>
      <c r="HAY72" s="354"/>
      <c r="HAZ72" s="165" t="s">
        <v>124</v>
      </c>
      <c r="HBA72" s="352"/>
      <c r="HBB72" s="353"/>
      <c r="HBC72" s="159" t="s">
        <v>24</v>
      </c>
      <c r="HBD72" s="160">
        <v>8150</v>
      </c>
      <c r="HBE72" s="169">
        <v>85</v>
      </c>
      <c r="HBF72" s="170">
        <v>215</v>
      </c>
      <c r="HBG72" s="170">
        <v>75</v>
      </c>
      <c r="HBH72" s="169">
        <v>150</v>
      </c>
      <c r="HBI72" s="171">
        <f>SUM(HBD72:HBH72)</f>
        <v>8675</v>
      </c>
      <c r="HBJ72" s="169">
        <v>200</v>
      </c>
      <c r="HBK72" s="171">
        <f>SUM(HBI72:HBJ72)</f>
        <v>8875</v>
      </c>
      <c r="HBL72" s="163" t="s">
        <v>114</v>
      </c>
      <c r="HBM72" s="164">
        <v>45845</v>
      </c>
      <c r="HBN72" s="159" t="s">
        <v>42</v>
      </c>
      <c r="HBO72" s="354"/>
      <c r="HBP72" s="165" t="s">
        <v>124</v>
      </c>
      <c r="HBQ72" s="352"/>
      <c r="HBR72" s="353"/>
      <c r="HBS72" s="159" t="s">
        <v>24</v>
      </c>
      <c r="HBT72" s="160">
        <v>8150</v>
      </c>
      <c r="HBU72" s="169">
        <v>85</v>
      </c>
      <c r="HBV72" s="170">
        <v>215</v>
      </c>
      <c r="HBW72" s="170">
        <v>75</v>
      </c>
      <c r="HBX72" s="169">
        <v>150</v>
      </c>
      <c r="HBY72" s="171">
        <f>SUM(HBT72:HBX72)</f>
        <v>8675</v>
      </c>
      <c r="HBZ72" s="169">
        <v>200</v>
      </c>
      <c r="HCA72" s="171">
        <f>SUM(HBY72:HBZ72)</f>
        <v>8875</v>
      </c>
      <c r="HCB72" s="163" t="s">
        <v>114</v>
      </c>
      <c r="HCC72" s="164">
        <v>45845</v>
      </c>
      <c r="HCD72" s="159" t="s">
        <v>42</v>
      </c>
      <c r="HCE72" s="354"/>
      <c r="HCF72" s="165" t="s">
        <v>124</v>
      </c>
      <c r="HCG72" s="352"/>
      <c r="HCH72" s="353"/>
      <c r="HCI72" s="159" t="s">
        <v>24</v>
      </c>
      <c r="HCJ72" s="160">
        <v>8150</v>
      </c>
      <c r="HCK72" s="169">
        <v>85</v>
      </c>
      <c r="HCL72" s="170">
        <v>215</v>
      </c>
      <c r="HCM72" s="170">
        <v>75</v>
      </c>
      <c r="HCN72" s="169">
        <v>150</v>
      </c>
      <c r="HCO72" s="171">
        <f>SUM(HCJ72:HCN72)</f>
        <v>8675</v>
      </c>
      <c r="HCP72" s="169">
        <v>200</v>
      </c>
      <c r="HCQ72" s="171">
        <f>SUM(HCO72:HCP72)</f>
        <v>8875</v>
      </c>
      <c r="HCR72" s="163" t="s">
        <v>114</v>
      </c>
      <c r="HCS72" s="164">
        <v>45845</v>
      </c>
      <c r="HCT72" s="159" t="s">
        <v>42</v>
      </c>
      <c r="HCU72" s="354"/>
      <c r="HCV72" s="165" t="s">
        <v>124</v>
      </c>
      <c r="HCW72" s="352"/>
      <c r="HCX72" s="353"/>
      <c r="HCY72" s="159" t="s">
        <v>24</v>
      </c>
      <c r="HCZ72" s="160">
        <v>8150</v>
      </c>
      <c r="HDA72" s="169">
        <v>85</v>
      </c>
      <c r="HDB72" s="170">
        <v>215</v>
      </c>
      <c r="HDC72" s="170">
        <v>75</v>
      </c>
      <c r="HDD72" s="169">
        <v>150</v>
      </c>
      <c r="HDE72" s="171">
        <f>SUM(HCZ72:HDD72)</f>
        <v>8675</v>
      </c>
      <c r="HDF72" s="169">
        <v>200</v>
      </c>
      <c r="HDG72" s="171">
        <f>SUM(HDE72:HDF72)</f>
        <v>8875</v>
      </c>
      <c r="HDH72" s="163" t="s">
        <v>114</v>
      </c>
      <c r="HDI72" s="164">
        <v>45845</v>
      </c>
      <c r="HDJ72" s="159" t="s">
        <v>42</v>
      </c>
      <c r="HDK72" s="354"/>
      <c r="HDL72" s="165" t="s">
        <v>124</v>
      </c>
      <c r="HDM72" s="352"/>
      <c r="HDN72" s="353"/>
      <c r="HDO72" s="159" t="s">
        <v>24</v>
      </c>
      <c r="HDP72" s="160">
        <v>8150</v>
      </c>
      <c r="HDQ72" s="169">
        <v>85</v>
      </c>
      <c r="HDR72" s="170">
        <v>215</v>
      </c>
      <c r="HDS72" s="170">
        <v>75</v>
      </c>
      <c r="HDT72" s="169">
        <v>150</v>
      </c>
      <c r="HDU72" s="171">
        <f>SUM(HDP72:HDT72)</f>
        <v>8675</v>
      </c>
      <c r="HDV72" s="169">
        <v>200</v>
      </c>
      <c r="HDW72" s="171">
        <f>SUM(HDU72:HDV72)</f>
        <v>8875</v>
      </c>
      <c r="HDX72" s="163" t="s">
        <v>114</v>
      </c>
      <c r="HDY72" s="164">
        <v>45845</v>
      </c>
      <c r="HDZ72" s="159" t="s">
        <v>42</v>
      </c>
      <c r="HEA72" s="354"/>
      <c r="HEB72" s="165" t="s">
        <v>124</v>
      </c>
      <c r="HEC72" s="352"/>
      <c r="HED72" s="353"/>
      <c r="HEE72" s="159" t="s">
        <v>24</v>
      </c>
      <c r="HEF72" s="160">
        <v>8150</v>
      </c>
      <c r="HEG72" s="169">
        <v>85</v>
      </c>
      <c r="HEH72" s="170">
        <v>215</v>
      </c>
      <c r="HEI72" s="170">
        <v>75</v>
      </c>
      <c r="HEJ72" s="169">
        <v>150</v>
      </c>
      <c r="HEK72" s="171">
        <f>SUM(HEF72:HEJ72)</f>
        <v>8675</v>
      </c>
      <c r="HEL72" s="169">
        <v>200</v>
      </c>
      <c r="HEM72" s="171">
        <f>SUM(HEK72:HEL72)</f>
        <v>8875</v>
      </c>
      <c r="HEN72" s="163" t="s">
        <v>114</v>
      </c>
      <c r="HEO72" s="164">
        <v>45845</v>
      </c>
      <c r="HEP72" s="159" t="s">
        <v>42</v>
      </c>
      <c r="HEQ72" s="354"/>
      <c r="HER72" s="165" t="s">
        <v>124</v>
      </c>
      <c r="HES72" s="352"/>
      <c r="HET72" s="353"/>
      <c r="HEU72" s="159" t="s">
        <v>24</v>
      </c>
      <c r="HEV72" s="160">
        <v>8150</v>
      </c>
      <c r="HEW72" s="169">
        <v>85</v>
      </c>
      <c r="HEX72" s="170">
        <v>215</v>
      </c>
      <c r="HEY72" s="170">
        <v>75</v>
      </c>
      <c r="HEZ72" s="169">
        <v>150</v>
      </c>
      <c r="HFA72" s="171">
        <f>SUM(HEV72:HEZ72)</f>
        <v>8675</v>
      </c>
      <c r="HFB72" s="169">
        <v>200</v>
      </c>
      <c r="HFC72" s="171">
        <f>SUM(HFA72:HFB72)</f>
        <v>8875</v>
      </c>
      <c r="HFD72" s="163" t="s">
        <v>114</v>
      </c>
      <c r="HFE72" s="164">
        <v>45845</v>
      </c>
      <c r="HFF72" s="159" t="s">
        <v>42</v>
      </c>
      <c r="HFG72" s="354"/>
      <c r="HFH72" s="165" t="s">
        <v>124</v>
      </c>
      <c r="HFI72" s="352"/>
      <c r="HFJ72" s="353"/>
      <c r="HFK72" s="159" t="s">
        <v>24</v>
      </c>
      <c r="HFL72" s="160">
        <v>8150</v>
      </c>
      <c r="HFM72" s="169">
        <v>85</v>
      </c>
      <c r="HFN72" s="170">
        <v>215</v>
      </c>
      <c r="HFO72" s="170">
        <v>75</v>
      </c>
      <c r="HFP72" s="169">
        <v>150</v>
      </c>
      <c r="HFQ72" s="171">
        <f>SUM(HFL72:HFP72)</f>
        <v>8675</v>
      </c>
      <c r="HFR72" s="169">
        <v>200</v>
      </c>
      <c r="HFS72" s="171">
        <f>SUM(HFQ72:HFR72)</f>
        <v>8875</v>
      </c>
      <c r="HFT72" s="163" t="s">
        <v>114</v>
      </c>
      <c r="HFU72" s="164">
        <v>45845</v>
      </c>
      <c r="HFV72" s="159" t="s">
        <v>42</v>
      </c>
      <c r="HFW72" s="354"/>
      <c r="HFX72" s="165" t="s">
        <v>124</v>
      </c>
      <c r="HFY72" s="352"/>
      <c r="HFZ72" s="353"/>
      <c r="HGA72" s="159" t="s">
        <v>24</v>
      </c>
      <c r="HGB72" s="160">
        <v>8150</v>
      </c>
      <c r="HGC72" s="169">
        <v>85</v>
      </c>
      <c r="HGD72" s="170">
        <v>215</v>
      </c>
      <c r="HGE72" s="170">
        <v>75</v>
      </c>
      <c r="HGF72" s="169">
        <v>150</v>
      </c>
      <c r="HGG72" s="171">
        <f>SUM(HGB72:HGF72)</f>
        <v>8675</v>
      </c>
      <c r="HGH72" s="169">
        <v>200</v>
      </c>
      <c r="HGI72" s="171">
        <f>SUM(HGG72:HGH72)</f>
        <v>8875</v>
      </c>
      <c r="HGJ72" s="163" t="s">
        <v>114</v>
      </c>
      <c r="HGK72" s="164">
        <v>45845</v>
      </c>
      <c r="HGL72" s="159" t="s">
        <v>42</v>
      </c>
      <c r="HGM72" s="354"/>
      <c r="HGN72" s="165" t="s">
        <v>124</v>
      </c>
      <c r="HGO72" s="352"/>
      <c r="HGP72" s="353"/>
      <c r="HGQ72" s="159" t="s">
        <v>24</v>
      </c>
      <c r="HGR72" s="160">
        <v>8150</v>
      </c>
      <c r="HGS72" s="169">
        <v>85</v>
      </c>
      <c r="HGT72" s="170">
        <v>215</v>
      </c>
      <c r="HGU72" s="170">
        <v>75</v>
      </c>
      <c r="HGV72" s="169">
        <v>150</v>
      </c>
      <c r="HGW72" s="171">
        <f>SUM(HGR72:HGV72)</f>
        <v>8675</v>
      </c>
      <c r="HGX72" s="169">
        <v>200</v>
      </c>
      <c r="HGY72" s="171">
        <f>SUM(HGW72:HGX72)</f>
        <v>8875</v>
      </c>
      <c r="HGZ72" s="163" t="s">
        <v>114</v>
      </c>
      <c r="HHA72" s="164">
        <v>45845</v>
      </c>
      <c r="HHB72" s="159" t="s">
        <v>42</v>
      </c>
      <c r="HHC72" s="354"/>
      <c r="HHD72" s="165" t="s">
        <v>124</v>
      </c>
      <c r="HHE72" s="352"/>
      <c r="HHF72" s="353"/>
      <c r="HHG72" s="159" t="s">
        <v>24</v>
      </c>
      <c r="HHH72" s="160">
        <v>8150</v>
      </c>
      <c r="HHI72" s="169">
        <v>85</v>
      </c>
      <c r="HHJ72" s="170">
        <v>215</v>
      </c>
      <c r="HHK72" s="170">
        <v>75</v>
      </c>
      <c r="HHL72" s="169">
        <v>150</v>
      </c>
      <c r="HHM72" s="171">
        <f>SUM(HHH72:HHL72)</f>
        <v>8675</v>
      </c>
      <c r="HHN72" s="169">
        <v>200</v>
      </c>
      <c r="HHO72" s="171">
        <f>SUM(HHM72:HHN72)</f>
        <v>8875</v>
      </c>
      <c r="HHP72" s="163" t="s">
        <v>114</v>
      </c>
      <c r="HHQ72" s="164">
        <v>45845</v>
      </c>
      <c r="HHR72" s="159" t="s">
        <v>42</v>
      </c>
      <c r="HHS72" s="354"/>
      <c r="HHT72" s="165" t="s">
        <v>124</v>
      </c>
      <c r="HHU72" s="352"/>
      <c r="HHV72" s="353"/>
      <c r="HHW72" s="159" t="s">
        <v>24</v>
      </c>
      <c r="HHX72" s="160">
        <v>8150</v>
      </c>
      <c r="HHY72" s="169">
        <v>85</v>
      </c>
      <c r="HHZ72" s="170">
        <v>215</v>
      </c>
      <c r="HIA72" s="170">
        <v>75</v>
      </c>
      <c r="HIB72" s="169">
        <v>150</v>
      </c>
      <c r="HIC72" s="171">
        <f>SUM(HHX72:HIB72)</f>
        <v>8675</v>
      </c>
      <c r="HID72" s="169">
        <v>200</v>
      </c>
      <c r="HIE72" s="171">
        <f>SUM(HIC72:HID72)</f>
        <v>8875</v>
      </c>
      <c r="HIF72" s="163" t="s">
        <v>114</v>
      </c>
      <c r="HIG72" s="164">
        <v>45845</v>
      </c>
      <c r="HIH72" s="159" t="s">
        <v>42</v>
      </c>
      <c r="HII72" s="354"/>
      <c r="HIJ72" s="165" t="s">
        <v>124</v>
      </c>
      <c r="HIK72" s="352"/>
      <c r="HIL72" s="353"/>
      <c r="HIM72" s="159" t="s">
        <v>24</v>
      </c>
      <c r="HIN72" s="160">
        <v>8150</v>
      </c>
      <c r="HIO72" s="169">
        <v>85</v>
      </c>
      <c r="HIP72" s="170">
        <v>215</v>
      </c>
      <c r="HIQ72" s="170">
        <v>75</v>
      </c>
      <c r="HIR72" s="169">
        <v>150</v>
      </c>
      <c r="HIS72" s="171">
        <f>SUM(HIN72:HIR72)</f>
        <v>8675</v>
      </c>
      <c r="HIT72" s="169">
        <v>200</v>
      </c>
      <c r="HIU72" s="171">
        <f>SUM(HIS72:HIT72)</f>
        <v>8875</v>
      </c>
      <c r="HIV72" s="163" t="s">
        <v>114</v>
      </c>
      <c r="HIW72" s="164">
        <v>45845</v>
      </c>
      <c r="HIX72" s="159" t="s">
        <v>42</v>
      </c>
      <c r="HIY72" s="354"/>
      <c r="HIZ72" s="165" t="s">
        <v>124</v>
      </c>
      <c r="HJA72" s="352"/>
      <c r="HJB72" s="353"/>
      <c r="HJC72" s="159" t="s">
        <v>24</v>
      </c>
      <c r="HJD72" s="160">
        <v>8150</v>
      </c>
      <c r="HJE72" s="169">
        <v>85</v>
      </c>
      <c r="HJF72" s="170">
        <v>215</v>
      </c>
      <c r="HJG72" s="170">
        <v>75</v>
      </c>
      <c r="HJH72" s="169">
        <v>150</v>
      </c>
      <c r="HJI72" s="171">
        <f>SUM(HJD72:HJH72)</f>
        <v>8675</v>
      </c>
      <c r="HJJ72" s="169">
        <v>200</v>
      </c>
      <c r="HJK72" s="171">
        <f>SUM(HJI72:HJJ72)</f>
        <v>8875</v>
      </c>
      <c r="HJL72" s="163" t="s">
        <v>114</v>
      </c>
      <c r="HJM72" s="164">
        <v>45845</v>
      </c>
      <c r="HJN72" s="159" t="s">
        <v>42</v>
      </c>
      <c r="HJO72" s="354"/>
      <c r="HJP72" s="165" t="s">
        <v>124</v>
      </c>
      <c r="HJQ72" s="352"/>
      <c r="HJR72" s="353"/>
      <c r="HJS72" s="159" t="s">
        <v>24</v>
      </c>
      <c r="HJT72" s="160">
        <v>8150</v>
      </c>
      <c r="HJU72" s="169">
        <v>85</v>
      </c>
      <c r="HJV72" s="170">
        <v>215</v>
      </c>
      <c r="HJW72" s="170">
        <v>75</v>
      </c>
      <c r="HJX72" s="169">
        <v>150</v>
      </c>
      <c r="HJY72" s="171">
        <f>SUM(HJT72:HJX72)</f>
        <v>8675</v>
      </c>
      <c r="HJZ72" s="169">
        <v>200</v>
      </c>
      <c r="HKA72" s="171">
        <f>SUM(HJY72:HJZ72)</f>
        <v>8875</v>
      </c>
      <c r="HKB72" s="163" t="s">
        <v>114</v>
      </c>
      <c r="HKC72" s="164">
        <v>45845</v>
      </c>
      <c r="HKD72" s="159" t="s">
        <v>42</v>
      </c>
      <c r="HKE72" s="354"/>
      <c r="HKF72" s="165" t="s">
        <v>124</v>
      </c>
      <c r="HKG72" s="352"/>
      <c r="HKH72" s="353"/>
      <c r="HKI72" s="159" t="s">
        <v>24</v>
      </c>
      <c r="HKJ72" s="160">
        <v>8150</v>
      </c>
      <c r="HKK72" s="169">
        <v>85</v>
      </c>
      <c r="HKL72" s="170">
        <v>215</v>
      </c>
      <c r="HKM72" s="170">
        <v>75</v>
      </c>
      <c r="HKN72" s="169">
        <v>150</v>
      </c>
      <c r="HKO72" s="171">
        <f>SUM(HKJ72:HKN72)</f>
        <v>8675</v>
      </c>
      <c r="HKP72" s="169">
        <v>200</v>
      </c>
      <c r="HKQ72" s="171">
        <f>SUM(HKO72:HKP72)</f>
        <v>8875</v>
      </c>
      <c r="HKR72" s="163" t="s">
        <v>114</v>
      </c>
      <c r="HKS72" s="164">
        <v>45845</v>
      </c>
      <c r="HKT72" s="159" t="s">
        <v>42</v>
      </c>
      <c r="HKU72" s="354"/>
      <c r="HKV72" s="165" t="s">
        <v>124</v>
      </c>
      <c r="HKW72" s="352"/>
      <c r="HKX72" s="353"/>
      <c r="HKY72" s="159" t="s">
        <v>24</v>
      </c>
      <c r="HKZ72" s="160">
        <v>8150</v>
      </c>
      <c r="HLA72" s="169">
        <v>85</v>
      </c>
      <c r="HLB72" s="170">
        <v>215</v>
      </c>
      <c r="HLC72" s="170">
        <v>75</v>
      </c>
      <c r="HLD72" s="169">
        <v>150</v>
      </c>
      <c r="HLE72" s="171">
        <f>SUM(HKZ72:HLD72)</f>
        <v>8675</v>
      </c>
      <c r="HLF72" s="169">
        <v>200</v>
      </c>
      <c r="HLG72" s="171">
        <f>SUM(HLE72:HLF72)</f>
        <v>8875</v>
      </c>
      <c r="HLH72" s="163" t="s">
        <v>114</v>
      </c>
      <c r="HLI72" s="164">
        <v>45845</v>
      </c>
      <c r="HLJ72" s="159" t="s">
        <v>42</v>
      </c>
      <c r="HLK72" s="354"/>
      <c r="HLL72" s="165" t="s">
        <v>124</v>
      </c>
      <c r="HLM72" s="352"/>
      <c r="HLN72" s="353"/>
      <c r="HLO72" s="159" t="s">
        <v>24</v>
      </c>
      <c r="HLP72" s="160">
        <v>8150</v>
      </c>
      <c r="HLQ72" s="169">
        <v>85</v>
      </c>
      <c r="HLR72" s="170">
        <v>215</v>
      </c>
      <c r="HLS72" s="170">
        <v>75</v>
      </c>
      <c r="HLT72" s="169">
        <v>150</v>
      </c>
      <c r="HLU72" s="171">
        <f>SUM(HLP72:HLT72)</f>
        <v>8675</v>
      </c>
      <c r="HLV72" s="169">
        <v>200</v>
      </c>
      <c r="HLW72" s="171">
        <f>SUM(HLU72:HLV72)</f>
        <v>8875</v>
      </c>
      <c r="HLX72" s="163" t="s">
        <v>114</v>
      </c>
      <c r="HLY72" s="164">
        <v>45845</v>
      </c>
      <c r="HLZ72" s="159" t="s">
        <v>42</v>
      </c>
      <c r="HMA72" s="354"/>
      <c r="HMB72" s="165" t="s">
        <v>124</v>
      </c>
      <c r="HMC72" s="352"/>
      <c r="HMD72" s="353"/>
      <c r="HME72" s="159" t="s">
        <v>24</v>
      </c>
      <c r="HMF72" s="160">
        <v>8150</v>
      </c>
      <c r="HMG72" s="169">
        <v>85</v>
      </c>
      <c r="HMH72" s="170">
        <v>215</v>
      </c>
      <c r="HMI72" s="170">
        <v>75</v>
      </c>
      <c r="HMJ72" s="169">
        <v>150</v>
      </c>
      <c r="HMK72" s="171">
        <f>SUM(HMF72:HMJ72)</f>
        <v>8675</v>
      </c>
      <c r="HML72" s="169">
        <v>200</v>
      </c>
      <c r="HMM72" s="171">
        <f>SUM(HMK72:HML72)</f>
        <v>8875</v>
      </c>
      <c r="HMN72" s="163" t="s">
        <v>114</v>
      </c>
      <c r="HMO72" s="164">
        <v>45845</v>
      </c>
      <c r="HMP72" s="159" t="s">
        <v>42</v>
      </c>
      <c r="HMQ72" s="354"/>
      <c r="HMR72" s="165" t="s">
        <v>124</v>
      </c>
      <c r="HMS72" s="352"/>
      <c r="HMT72" s="353"/>
      <c r="HMU72" s="159" t="s">
        <v>24</v>
      </c>
      <c r="HMV72" s="160">
        <v>8150</v>
      </c>
      <c r="HMW72" s="169">
        <v>85</v>
      </c>
      <c r="HMX72" s="170">
        <v>215</v>
      </c>
      <c r="HMY72" s="170">
        <v>75</v>
      </c>
      <c r="HMZ72" s="169">
        <v>150</v>
      </c>
      <c r="HNA72" s="171">
        <f>SUM(HMV72:HMZ72)</f>
        <v>8675</v>
      </c>
      <c r="HNB72" s="169">
        <v>200</v>
      </c>
      <c r="HNC72" s="171">
        <f>SUM(HNA72:HNB72)</f>
        <v>8875</v>
      </c>
      <c r="HND72" s="163" t="s">
        <v>114</v>
      </c>
      <c r="HNE72" s="164">
        <v>45845</v>
      </c>
      <c r="HNF72" s="159" t="s">
        <v>42</v>
      </c>
      <c r="HNG72" s="354"/>
      <c r="HNH72" s="165" t="s">
        <v>124</v>
      </c>
      <c r="HNI72" s="352"/>
      <c r="HNJ72" s="353"/>
      <c r="HNK72" s="159" t="s">
        <v>24</v>
      </c>
      <c r="HNL72" s="160">
        <v>8150</v>
      </c>
      <c r="HNM72" s="169">
        <v>85</v>
      </c>
      <c r="HNN72" s="170">
        <v>215</v>
      </c>
      <c r="HNO72" s="170">
        <v>75</v>
      </c>
      <c r="HNP72" s="169">
        <v>150</v>
      </c>
      <c r="HNQ72" s="171">
        <f>SUM(HNL72:HNP72)</f>
        <v>8675</v>
      </c>
      <c r="HNR72" s="169">
        <v>200</v>
      </c>
      <c r="HNS72" s="171">
        <f>SUM(HNQ72:HNR72)</f>
        <v>8875</v>
      </c>
      <c r="HNT72" s="163" t="s">
        <v>114</v>
      </c>
      <c r="HNU72" s="164">
        <v>45845</v>
      </c>
      <c r="HNV72" s="159" t="s">
        <v>42</v>
      </c>
      <c r="HNW72" s="354"/>
      <c r="HNX72" s="165" t="s">
        <v>124</v>
      </c>
      <c r="HNY72" s="352"/>
      <c r="HNZ72" s="353"/>
      <c r="HOA72" s="159" t="s">
        <v>24</v>
      </c>
      <c r="HOB72" s="160">
        <v>8150</v>
      </c>
      <c r="HOC72" s="169">
        <v>85</v>
      </c>
      <c r="HOD72" s="170">
        <v>215</v>
      </c>
      <c r="HOE72" s="170">
        <v>75</v>
      </c>
      <c r="HOF72" s="169">
        <v>150</v>
      </c>
      <c r="HOG72" s="171">
        <f>SUM(HOB72:HOF72)</f>
        <v>8675</v>
      </c>
      <c r="HOH72" s="169">
        <v>200</v>
      </c>
      <c r="HOI72" s="171">
        <f>SUM(HOG72:HOH72)</f>
        <v>8875</v>
      </c>
      <c r="HOJ72" s="163" t="s">
        <v>114</v>
      </c>
      <c r="HOK72" s="164">
        <v>45845</v>
      </c>
      <c r="HOL72" s="159" t="s">
        <v>42</v>
      </c>
      <c r="HOM72" s="354"/>
      <c r="HON72" s="165" t="s">
        <v>124</v>
      </c>
      <c r="HOO72" s="352"/>
      <c r="HOP72" s="353"/>
      <c r="HOQ72" s="159" t="s">
        <v>24</v>
      </c>
      <c r="HOR72" s="160">
        <v>8150</v>
      </c>
      <c r="HOS72" s="169">
        <v>85</v>
      </c>
      <c r="HOT72" s="170">
        <v>215</v>
      </c>
      <c r="HOU72" s="170">
        <v>75</v>
      </c>
      <c r="HOV72" s="169">
        <v>150</v>
      </c>
      <c r="HOW72" s="171">
        <f>SUM(HOR72:HOV72)</f>
        <v>8675</v>
      </c>
      <c r="HOX72" s="169">
        <v>200</v>
      </c>
      <c r="HOY72" s="171">
        <f>SUM(HOW72:HOX72)</f>
        <v>8875</v>
      </c>
      <c r="HOZ72" s="163" t="s">
        <v>114</v>
      </c>
      <c r="HPA72" s="164">
        <v>45845</v>
      </c>
      <c r="HPB72" s="159" t="s">
        <v>42</v>
      </c>
      <c r="HPC72" s="354"/>
      <c r="HPD72" s="165" t="s">
        <v>124</v>
      </c>
      <c r="HPE72" s="352"/>
      <c r="HPF72" s="353"/>
      <c r="HPG72" s="159" t="s">
        <v>24</v>
      </c>
      <c r="HPH72" s="160">
        <v>8150</v>
      </c>
      <c r="HPI72" s="169">
        <v>85</v>
      </c>
      <c r="HPJ72" s="170">
        <v>215</v>
      </c>
      <c r="HPK72" s="170">
        <v>75</v>
      </c>
      <c r="HPL72" s="169">
        <v>150</v>
      </c>
      <c r="HPM72" s="171">
        <f>SUM(HPH72:HPL72)</f>
        <v>8675</v>
      </c>
      <c r="HPN72" s="169">
        <v>200</v>
      </c>
      <c r="HPO72" s="171">
        <f>SUM(HPM72:HPN72)</f>
        <v>8875</v>
      </c>
      <c r="HPP72" s="163" t="s">
        <v>114</v>
      </c>
      <c r="HPQ72" s="164">
        <v>45845</v>
      </c>
      <c r="HPR72" s="159" t="s">
        <v>42</v>
      </c>
      <c r="HPS72" s="354"/>
      <c r="HPT72" s="165" t="s">
        <v>124</v>
      </c>
      <c r="HPU72" s="352"/>
      <c r="HPV72" s="353"/>
      <c r="HPW72" s="159" t="s">
        <v>24</v>
      </c>
      <c r="HPX72" s="160">
        <v>8150</v>
      </c>
      <c r="HPY72" s="169">
        <v>85</v>
      </c>
      <c r="HPZ72" s="170">
        <v>215</v>
      </c>
      <c r="HQA72" s="170">
        <v>75</v>
      </c>
      <c r="HQB72" s="169">
        <v>150</v>
      </c>
      <c r="HQC72" s="171">
        <f>SUM(HPX72:HQB72)</f>
        <v>8675</v>
      </c>
      <c r="HQD72" s="169">
        <v>200</v>
      </c>
      <c r="HQE72" s="171">
        <f>SUM(HQC72:HQD72)</f>
        <v>8875</v>
      </c>
      <c r="HQF72" s="163" t="s">
        <v>114</v>
      </c>
      <c r="HQG72" s="164">
        <v>45845</v>
      </c>
      <c r="HQH72" s="159" t="s">
        <v>42</v>
      </c>
      <c r="HQI72" s="354"/>
      <c r="HQJ72" s="165" t="s">
        <v>124</v>
      </c>
      <c r="HQK72" s="352"/>
      <c r="HQL72" s="353"/>
      <c r="HQM72" s="159" t="s">
        <v>24</v>
      </c>
      <c r="HQN72" s="160">
        <v>8150</v>
      </c>
      <c r="HQO72" s="169">
        <v>85</v>
      </c>
      <c r="HQP72" s="170">
        <v>215</v>
      </c>
      <c r="HQQ72" s="170">
        <v>75</v>
      </c>
      <c r="HQR72" s="169">
        <v>150</v>
      </c>
      <c r="HQS72" s="171">
        <f>SUM(HQN72:HQR72)</f>
        <v>8675</v>
      </c>
      <c r="HQT72" s="169">
        <v>200</v>
      </c>
      <c r="HQU72" s="171">
        <f>SUM(HQS72:HQT72)</f>
        <v>8875</v>
      </c>
      <c r="HQV72" s="163" t="s">
        <v>114</v>
      </c>
      <c r="HQW72" s="164">
        <v>45845</v>
      </c>
      <c r="HQX72" s="159" t="s">
        <v>42</v>
      </c>
      <c r="HQY72" s="354"/>
      <c r="HQZ72" s="165" t="s">
        <v>124</v>
      </c>
      <c r="HRA72" s="352"/>
      <c r="HRB72" s="353"/>
      <c r="HRC72" s="159" t="s">
        <v>24</v>
      </c>
      <c r="HRD72" s="160">
        <v>8150</v>
      </c>
      <c r="HRE72" s="169">
        <v>85</v>
      </c>
      <c r="HRF72" s="170">
        <v>215</v>
      </c>
      <c r="HRG72" s="170">
        <v>75</v>
      </c>
      <c r="HRH72" s="169">
        <v>150</v>
      </c>
      <c r="HRI72" s="171">
        <f>SUM(HRD72:HRH72)</f>
        <v>8675</v>
      </c>
      <c r="HRJ72" s="169">
        <v>200</v>
      </c>
      <c r="HRK72" s="171">
        <f>SUM(HRI72:HRJ72)</f>
        <v>8875</v>
      </c>
      <c r="HRL72" s="163" t="s">
        <v>114</v>
      </c>
      <c r="HRM72" s="164">
        <v>45845</v>
      </c>
      <c r="HRN72" s="159" t="s">
        <v>42</v>
      </c>
      <c r="HRO72" s="354"/>
      <c r="HRP72" s="165" t="s">
        <v>124</v>
      </c>
      <c r="HRQ72" s="352"/>
      <c r="HRR72" s="353"/>
      <c r="HRS72" s="159" t="s">
        <v>24</v>
      </c>
      <c r="HRT72" s="160">
        <v>8150</v>
      </c>
      <c r="HRU72" s="169">
        <v>85</v>
      </c>
      <c r="HRV72" s="170">
        <v>215</v>
      </c>
      <c r="HRW72" s="170">
        <v>75</v>
      </c>
      <c r="HRX72" s="169">
        <v>150</v>
      </c>
      <c r="HRY72" s="171">
        <f>SUM(HRT72:HRX72)</f>
        <v>8675</v>
      </c>
      <c r="HRZ72" s="169">
        <v>200</v>
      </c>
      <c r="HSA72" s="171">
        <f>SUM(HRY72:HRZ72)</f>
        <v>8875</v>
      </c>
      <c r="HSB72" s="163" t="s">
        <v>114</v>
      </c>
      <c r="HSC72" s="164">
        <v>45845</v>
      </c>
      <c r="HSD72" s="159" t="s">
        <v>42</v>
      </c>
      <c r="HSE72" s="354"/>
      <c r="HSF72" s="165" t="s">
        <v>124</v>
      </c>
      <c r="HSG72" s="352"/>
      <c r="HSH72" s="353"/>
      <c r="HSI72" s="159" t="s">
        <v>24</v>
      </c>
      <c r="HSJ72" s="160">
        <v>8150</v>
      </c>
      <c r="HSK72" s="169">
        <v>85</v>
      </c>
      <c r="HSL72" s="170">
        <v>215</v>
      </c>
      <c r="HSM72" s="170">
        <v>75</v>
      </c>
      <c r="HSN72" s="169">
        <v>150</v>
      </c>
      <c r="HSO72" s="171">
        <f>SUM(HSJ72:HSN72)</f>
        <v>8675</v>
      </c>
      <c r="HSP72" s="169">
        <v>200</v>
      </c>
      <c r="HSQ72" s="171">
        <f>SUM(HSO72:HSP72)</f>
        <v>8875</v>
      </c>
      <c r="HSR72" s="163" t="s">
        <v>114</v>
      </c>
      <c r="HSS72" s="164">
        <v>45845</v>
      </c>
      <c r="HST72" s="159" t="s">
        <v>42</v>
      </c>
      <c r="HSU72" s="354"/>
      <c r="HSV72" s="165" t="s">
        <v>124</v>
      </c>
      <c r="HSW72" s="352"/>
      <c r="HSX72" s="353"/>
      <c r="HSY72" s="159" t="s">
        <v>24</v>
      </c>
      <c r="HSZ72" s="160">
        <v>8150</v>
      </c>
      <c r="HTA72" s="169">
        <v>85</v>
      </c>
      <c r="HTB72" s="170">
        <v>215</v>
      </c>
      <c r="HTC72" s="170">
        <v>75</v>
      </c>
      <c r="HTD72" s="169">
        <v>150</v>
      </c>
      <c r="HTE72" s="171">
        <f>SUM(HSZ72:HTD72)</f>
        <v>8675</v>
      </c>
      <c r="HTF72" s="169">
        <v>200</v>
      </c>
      <c r="HTG72" s="171">
        <f>SUM(HTE72:HTF72)</f>
        <v>8875</v>
      </c>
      <c r="HTH72" s="163" t="s">
        <v>114</v>
      </c>
      <c r="HTI72" s="164">
        <v>45845</v>
      </c>
      <c r="HTJ72" s="159" t="s">
        <v>42</v>
      </c>
      <c r="HTK72" s="354"/>
      <c r="HTL72" s="165" t="s">
        <v>124</v>
      </c>
      <c r="HTM72" s="352"/>
      <c r="HTN72" s="353"/>
      <c r="HTO72" s="159" t="s">
        <v>24</v>
      </c>
      <c r="HTP72" s="160">
        <v>8150</v>
      </c>
      <c r="HTQ72" s="169">
        <v>85</v>
      </c>
      <c r="HTR72" s="170">
        <v>215</v>
      </c>
      <c r="HTS72" s="170">
        <v>75</v>
      </c>
      <c r="HTT72" s="169">
        <v>150</v>
      </c>
      <c r="HTU72" s="171">
        <f>SUM(HTP72:HTT72)</f>
        <v>8675</v>
      </c>
      <c r="HTV72" s="169">
        <v>200</v>
      </c>
      <c r="HTW72" s="171">
        <f>SUM(HTU72:HTV72)</f>
        <v>8875</v>
      </c>
      <c r="HTX72" s="163" t="s">
        <v>114</v>
      </c>
      <c r="HTY72" s="164">
        <v>45845</v>
      </c>
      <c r="HTZ72" s="159" t="s">
        <v>42</v>
      </c>
      <c r="HUA72" s="354"/>
      <c r="HUB72" s="165" t="s">
        <v>124</v>
      </c>
      <c r="HUC72" s="352"/>
      <c r="HUD72" s="353"/>
      <c r="HUE72" s="159" t="s">
        <v>24</v>
      </c>
      <c r="HUF72" s="160">
        <v>8150</v>
      </c>
      <c r="HUG72" s="169">
        <v>85</v>
      </c>
      <c r="HUH72" s="170">
        <v>215</v>
      </c>
      <c r="HUI72" s="170">
        <v>75</v>
      </c>
      <c r="HUJ72" s="169">
        <v>150</v>
      </c>
      <c r="HUK72" s="171">
        <f>SUM(HUF72:HUJ72)</f>
        <v>8675</v>
      </c>
      <c r="HUL72" s="169">
        <v>200</v>
      </c>
      <c r="HUM72" s="171">
        <f>SUM(HUK72:HUL72)</f>
        <v>8875</v>
      </c>
      <c r="HUN72" s="163" t="s">
        <v>114</v>
      </c>
      <c r="HUO72" s="164">
        <v>45845</v>
      </c>
      <c r="HUP72" s="159" t="s">
        <v>42</v>
      </c>
      <c r="HUQ72" s="354"/>
      <c r="HUR72" s="165" t="s">
        <v>124</v>
      </c>
      <c r="HUS72" s="352"/>
      <c r="HUT72" s="353"/>
      <c r="HUU72" s="159" t="s">
        <v>24</v>
      </c>
      <c r="HUV72" s="160">
        <v>8150</v>
      </c>
      <c r="HUW72" s="169">
        <v>85</v>
      </c>
      <c r="HUX72" s="170">
        <v>215</v>
      </c>
      <c r="HUY72" s="170">
        <v>75</v>
      </c>
      <c r="HUZ72" s="169">
        <v>150</v>
      </c>
      <c r="HVA72" s="171">
        <f>SUM(HUV72:HUZ72)</f>
        <v>8675</v>
      </c>
      <c r="HVB72" s="169">
        <v>200</v>
      </c>
      <c r="HVC72" s="171">
        <f>SUM(HVA72:HVB72)</f>
        <v>8875</v>
      </c>
      <c r="HVD72" s="163" t="s">
        <v>114</v>
      </c>
      <c r="HVE72" s="164">
        <v>45845</v>
      </c>
      <c r="HVF72" s="159" t="s">
        <v>42</v>
      </c>
      <c r="HVG72" s="354"/>
      <c r="HVH72" s="165" t="s">
        <v>124</v>
      </c>
      <c r="HVI72" s="352"/>
      <c r="HVJ72" s="353"/>
      <c r="HVK72" s="159" t="s">
        <v>24</v>
      </c>
      <c r="HVL72" s="160">
        <v>8150</v>
      </c>
      <c r="HVM72" s="169">
        <v>85</v>
      </c>
      <c r="HVN72" s="170">
        <v>215</v>
      </c>
      <c r="HVO72" s="170">
        <v>75</v>
      </c>
      <c r="HVP72" s="169">
        <v>150</v>
      </c>
      <c r="HVQ72" s="171">
        <f>SUM(HVL72:HVP72)</f>
        <v>8675</v>
      </c>
      <c r="HVR72" s="169">
        <v>200</v>
      </c>
      <c r="HVS72" s="171">
        <f>SUM(HVQ72:HVR72)</f>
        <v>8875</v>
      </c>
      <c r="HVT72" s="163" t="s">
        <v>114</v>
      </c>
      <c r="HVU72" s="164">
        <v>45845</v>
      </c>
      <c r="HVV72" s="159" t="s">
        <v>42</v>
      </c>
      <c r="HVW72" s="354"/>
      <c r="HVX72" s="165" t="s">
        <v>124</v>
      </c>
      <c r="HVY72" s="352"/>
      <c r="HVZ72" s="353"/>
      <c r="HWA72" s="159" t="s">
        <v>24</v>
      </c>
      <c r="HWB72" s="160">
        <v>8150</v>
      </c>
      <c r="HWC72" s="169">
        <v>85</v>
      </c>
      <c r="HWD72" s="170">
        <v>215</v>
      </c>
      <c r="HWE72" s="170">
        <v>75</v>
      </c>
      <c r="HWF72" s="169">
        <v>150</v>
      </c>
      <c r="HWG72" s="171">
        <f>SUM(HWB72:HWF72)</f>
        <v>8675</v>
      </c>
      <c r="HWH72" s="169">
        <v>200</v>
      </c>
      <c r="HWI72" s="171">
        <f>SUM(HWG72:HWH72)</f>
        <v>8875</v>
      </c>
      <c r="HWJ72" s="163" t="s">
        <v>114</v>
      </c>
      <c r="HWK72" s="164">
        <v>45845</v>
      </c>
      <c r="HWL72" s="159" t="s">
        <v>42</v>
      </c>
      <c r="HWM72" s="354"/>
      <c r="HWN72" s="165" t="s">
        <v>124</v>
      </c>
      <c r="HWO72" s="352"/>
      <c r="HWP72" s="353"/>
      <c r="HWQ72" s="159" t="s">
        <v>24</v>
      </c>
      <c r="HWR72" s="160">
        <v>8150</v>
      </c>
      <c r="HWS72" s="169">
        <v>85</v>
      </c>
      <c r="HWT72" s="170">
        <v>215</v>
      </c>
      <c r="HWU72" s="170">
        <v>75</v>
      </c>
      <c r="HWV72" s="169">
        <v>150</v>
      </c>
      <c r="HWW72" s="171">
        <f>SUM(HWR72:HWV72)</f>
        <v>8675</v>
      </c>
      <c r="HWX72" s="169">
        <v>200</v>
      </c>
      <c r="HWY72" s="171">
        <f>SUM(HWW72:HWX72)</f>
        <v>8875</v>
      </c>
      <c r="HWZ72" s="163" t="s">
        <v>114</v>
      </c>
      <c r="HXA72" s="164">
        <v>45845</v>
      </c>
      <c r="HXB72" s="159" t="s">
        <v>42</v>
      </c>
      <c r="HXC72" s="354"/>
      <c r="HXD72" s="165" t="s">
        <v>124</v>
      </c>
      <c r="HXE72" s="352"/>
      <c r="HXF72" s="353"/>
      <c r="HXG72" s="159" t="s">
        <v>24</v>
      </c>
      <c r="HXH72" s="160">
        <v>8150</v>
      </c>
      <c r="HXI72" s="169">
        <v>85</v>
      </c>
      <c r="HXJ72" s="170">
        <v>215</v>
      </c>
      <c r="HXK72" s="170">
        <v>75</v>
      </c>
      <c r="HXL72" s="169">
        <v>150</v>
      </c>
      <c r="HXM72" s="171">
        <f>SUM(HXH72:HXL72)</f>
        <v>8675</v>
      </c>
      <c r="HXN72" s="169">
        <v>200</v>
      </c>
      <c r="HXO72" s="171">
        <f>SUM(HXM72:HXN72)</f>
        <v>8875</v>
      </c>
      <c r="HXP72" s="163" t="s">
        <v>114</v>
      </c>
      <c r="HXQ72" s="164">
        <v>45845</v>
      </c>
      <c r="HXR72" s="159" t="s">
        <v>42</v>
      </c>
      <c r="HXS72" s="354"/>
      <c r="HXT72" s="165" t="s">
        <v>124</v>
      </c>
      <c r="HXU72" s="352"/>
      <c r="HXV72" s="353"/>
      <c r="HXW72" s="159" t="s">
        <v>24</v>
      </c>
      <c r="HXX72" s="160">
        <v>8150</v>
      </c>
      <c r="HXY72" s="169">
        <v>85</v>
      </c>
      <c r="HXZ72" s="170">
        <v>215</v>
      </c>
      <c r="HYA72" s="170">
        <v>75</v>
      </c>
      <c r="HYB72" s="169">
        <v>150</v>
      </c>
      <c r="HYC72" s="171">
        <f>SUM(HXX72:HYB72)</f>
        <v>8675</v>
      </c>
      <c r="HYD72" s="169">
        <v>200</v>
      </c>
      <c r="HYE72" s="171">
        <f>SUM(HYC72:HYD72)</f>
        <v>8875</v>
      </c>
      <c r="HYF72" s="163" t="s">
        <v>114</v>
      </c>
      <c r="HYG72" s="164">
        <v>45845</v>
      </c>
      <c r="HYH72" s="159" t="s">
        <v>42</v>
      </c>
      <c r="HYI72" s="354"/>
      <c r="HYJ72" s="165" t="s">
        <v>124</v>
      </c>
      <c r="HYK72" s="352"/>
      <c r="HYL72" s="353"/>
      <c r="HYM72" s="159" t="s">
        <v>24</v>
      </c>
      <c r="HYN72" s="160">
        <v>8150</v>
      </c>
      <c r="HYO72" s="169">
        <v>85</v>
      </c>
      <c r="HYP72" s="170">
        <v>215</v>
      </c>
      <c r="HYQ72" s="170">
        <v>75</v>
      </c>
      <c r="HYR72" s="169">
        <v>150</v>
      </c>
      <c r="HYS72" s="171">
        <f>SUM(HYN72:HYR72)</f>
        <v>8675</v>
      </c>
      <c r="HYT72" s="169">
        <v>200</v>
      </c>
      <c r="HYU72" s="171">
        <f>SUM(HYS72:HYT72)</f>
        <v>8875</v>
      </c>
      <c r="HYV72" s="163" t="s">
        <v>114</v>
      </c>
      <c r="HYW72" s="164">
        <v>45845</v>
      </c>
      <c r="HYX72" s="159" t="s">
        <v>42</v>
      </c>
      <c r="HYY72" s="354"/>
      <c r="HYZ72" s="165" t="s">
        <v>124</v>
      </c>
      <c r="HZA72" s="352"/>
      <c r="HZB72" s="353"/>
      <c r="HZC72" s="159" t="s">
        <v>24</v>
      </c>
      <c r="HZD72" s="160">
        <v>8150</v>
      </c>
      <c r="HZE72" s="169">
        <v>85</v>
      </c>
      <c r="HZF72" s="170">
        <v>215</v>
      </c>
      <c r="HZG72" s="170">
        <v>75</v>
      </c>
      <c r="HZH72" s="169">
        <v>150</v>
      </c>
      <c r="HZI72" s="171">
        <f>SUM(HZD72:HZH72)</f>
        <v>8675</v>
      </c>
      <c r="HZJ72" s="169">
        <v>200</v>
      </c>
      <c r="HZK72" s="171">
        <f>SUM(HZI72:HZJ72)</f>
        <v>8875</v>
      </c>
      <c r="HZL72" s="163" t="s">
        <v>114</v>
      </c>
      <c r="HZM72" s="164">
        <v>45845</v>
      </c>
      <c r="HZN72" s="159" t="s">
        <v>42</v>
      </c>
      <c r="HZO72" s="354"/>
      <c r="HZP72" s="165" t="s">
        <v>124</v>
      </c>
      <c r="HZQ72" s="352"/>
      <c r="HZR72" s="353"/>
      <c r="HZS72" s="159" t="s">
        <v>24</v>
      </c>
      <c r="HZT72" s="160">
        <v>8150</v>
      </c>
      <c r="HZU72" s="169">
        <v>85</v>
      </c>
      <c r="HZV72" s="170">
        <v>215</v>
      </c>
      <c r="HZW72" s="170">
        <v>75</v>
      </c>
      <c r="HZX72" s="169">
        <v>150</v>
      </c>
      <c r="HZY72" s="171">
        <f>SUM(HZT72:HZX72)</f>
        <v>8675</v>
      </c>
      <c r="HZZ72" s="169">
        <v>200</v>
      </c>
      <c r="IAA72" s="171">
        <f>SUM(HZY72:HZZ72)</f>
        <v>8875</v>
      </c>
      <c r="IAB72" s="163" t="s">
        <v>114</v>
      </c>
      <c r="IAC72" s="164">
        <v>45845</v>
      </c>
      <c r="IAD72" s="159" t="s">
        <v>42</v>
      </c>
      <c r="IAE72" s="354"/>
      <c r="IAF72" s="165" t="s">
        <v>124</v>
      </c>
      <c r="IAG72" s="352"/>
      <c r="IAH72" s="353"/>
      <c r="IAI72" s="159" t="s">
        <v>24</v>
      </c>
      <c r="IAJ72" s="160">
        <v>8150</v>
      </c>
      <c r="IAK72" s="169">
        <v>85</v>
      </c>
      <c r="IAL72" s="170">
        <v>215</v>
      </c>
      <c r="IAM72" s="170">
        <v>75</v>
      </c>
      <c r="IAN72" s="169">
        <v>150</v>
      </c>
      <c r="IAO72" s="171">
        <f>SUM(IAJ72:IAN72)</f>
        <v>8675</v>
      </c>
      <c r="IAP72" s="169">
        <v>200</v>
      </c>
      <c r="IAQ72" s="171">
        <f>SUM(IAO72:IAP72)</f>
        <v>8875</v>
      </c>
      <c r="IAR72" s="163" t="s">
        <v>114</v>
      </c>
      <c r="IAS72" s="164">
        <v>45845</v>
      </c>
      <c r="IAT72" s="159" t="s">
        <v>42</v>
      </c>
      <c r="IAU72" s="354"/>
      <c r="IAV72" s="165" t="s">
        <v>124</v>
      </c>
      <c r="IAW72" s="352"/>
      <c r="IAX72" s="353"/>
      <c r="IAY72" s="159" t="s">
        <v>24</v>
      </c>
      <c r="IAZ72" s="160">
        <v>8150</v>
      </c>
      <c r="IBA72" s="169">
        <v>85</v>
      </c>
      <c r="IBB72" s="170">
        <v>215</v>
      </c>
      <c r="IBC72" s="170">
        <v>75</v>
      </c>
      <c r="IBD72" s="169">
        <v>150</v>
      </c>
      <c r="IBE72" s="171">
        <f>SUM(IAZ72:IBD72)</f>
        <v>8675</v>
      </c>
      <c r="IBF72" s="169">
        <v>200</v>
      </c>
      <c r="IBG72" s="171">
        <f>SUM(IBE72:IBF72)</f>
        <v>8875</v>
      </c>
      <c r="IBH72" s="163" t="s">
        <v>114</v>
      </c>
      <c r="IBI72" s="164">
        <v>45845</v>
      </c>
      <c r="IBJ72" s="159" t="s">
        <v>42</v>
      </c>
      <c r="IBK72" s="354"/>
      <c r="IBL72" s="165" t="s">
        <v>124</v>
      </c>
      <c r="IBM72" s="352"/>
      <c r="IBN72" s="353"/>
      <c r="IBO72" s="159" t="s">
        <v>24</v>
      </c>
      <c r="IBP72" s="160">
        <v>8150</v>
      </c>
      <c r="IBQ72" s="169">
        <v>85</v>
      </c>
      <c r="IBR72" s="170">
        <v>215</v>
      </c>
      <c r="IBS72" s="170">
        <v>75</v>
      </c>
      <c r="IBT72" s="169">
        <v>150</v>
      </c>
      <c r="IBU72" s="171">
        <f>SUM(IBP72:IBT72)</f>
        <v>8675</v>
      </c>
      <c r="IBV72" s="169">
        <v>200</v>
      </c>
      <c r="IBW72" s="171">
        <f>SUM(IBU72:IBV72)</f>
        <v>8875</v>
      </c>
      <c r="IBX72" s="163" t="s">
        <v>114</v>
      </c>
      <c r="IBY72" s="164">
        <v>45845</v>
      </c>
      <c r="IBZ72" s="159" t="s">
        <v>42</v>
      </c>
      <c r="ICA72" s="354"/>
      <c r="ICB72" s="165" t="s">
        <v>124</v>
      </c>
      <c r="ICC72" s="352"/>
      <c r="ICD72" s="353"/>
      <c r="ICE72" s="159" t="s">
        <v>24</v>
      </c>
      <c r="ICF72" s="160">
        <v>8150</v>
      </c>
      <c r="ICG72" s="169">
        <v>85</v>
      </c>
      <c r="ICH72" s="170">
        <v>215</v>
      </c>
      <c r="ICI72" s="170">
        <v>75</v>
      </c>
      <c r="ICJ72" s="169">
        <v>150</v>
      </c>
      <c r="ICK72" s="171">
        <f>SUM(ICF72:ICJ72)</f>
        <v>8675</v>
      </c>
      <c r="ICL72" s="169">
        <v>200</v>
      </c>
      <c r="ICM72" s="171">
        <f>SUM(ICK72:ICL72)</f>
        <v>8875</v>
      </c>
      <c r="ICN72" s="163" t="s">
        <v>114</v>
      </c>
      <c r="ICO72" s="164">
        <v>45845</v>
      </c>
      <c r="ICP72" s="159" t="s">
        <v>42</v>
      </c>
      <c r="ICQ72" s="354"/>
      <c r="ICR72" s="165" t="s">
        <v>124</v>
      </c>
      <c r="ICS72" s="352"/>
      <c r="ICT72" s="353"/>
      <c r="ICU72" s="159" t="s">
        <v>24</v>
      </c>
      <c r="ICV72" s="160">
        <v>8150</v>
      </c>
      <c r="ICW72" s="169">
        <v>85</v>
      </c>
      <c r="ICX72" s="170">
        <v>215</v>
      </c>
      <c r="ICY72" s="170">
        <v>75</v>
      </c>
      <c r="ICZ72" s="169">
        <v>150</v>
      </c>
      <c r="IDA72" s="171">
        <f>SUM(ICV72:ICZ72)</f>
        <v>8675</v>
      </c>
      <c r="IDB72" s="169">
        <v>200</v>
      </c>
      <c r="IDC72" s="171">
        <f>SUM(IDA72:IDB72)</f>
        <v>8875</v>
      </c>
      <c r="IDD72" s="163" t="s">
        <v>114</v>
      </c>
      <c r="IDE72" s="164">
        <v>45845</v>
      </c>
      <c r="IDF72" s="159" t="s">
        <v>42</v>
      </c>
      <c r="IDG72" s="354"/>
      <c r="IDH72" s="165" t="s">
        <v>124</v>
      </c>
      <c r="IDI72" s="352"/>
      <c r="IDJ72" s="353"/>
      <c r="IDK72" s="159" t="s">
        <v>24</v>
      </c>
      <c r="IDL72" s="160">
        <v>8150</v>
      </c>
      <c r="IDM72" s="169">
        <v>85</v>
      </c>
      <c r="IDN72" s="170">
        <v>215</v>
      </c>
      <c r="IDO72" s="170">
        <v>75</v>
      </c>
      <c r="IDP72" s="169">
        <v>150</v>
      </c>
      <c r="IDQ72" s="171">
        <f>SUM(IDL72:IDP72)</f>
        <v>8675</v>
      </c>
      <c r="IDR72" s="169">
        <v>200</v>
      </c>
      <c r="IDS72" s="171">
        <f>SUM(IDQ72:IDR72)</f>
        <v>8875</v>
      </c>
      <c r="IDT72" s="163" t="s">
        <v>114</v>
      </c>
      <c r="IDU72" s="164">
        <v>45845</v>
      </c>
      <c r="IDV72" s="159" t="s">
        <v>42</v>
      </c>
      <c r="IDW72" s="354"/>
      <c r="IDX72" s="165" t="s">
        <v>124</v>
      </c>
      <c r="IDY72" s="352"/>
      <c r="IDZ72" s="353"/>
      <c r="IEA72" s="159" t="s">
        <v>24</v>
      </c>
      <c r="IEB72" s="160">
        <v>8150</v>
      </c>
      <c r="IEC72" s="169">
        <v>85</v>
      </c>
      <c r="IED72" s="170">
        <v>215</v>
      </c>
      <c r="IEE72" s="170">
        <v>75</v>
      </c>
      <c r="IEF72" s="169">
        <v>150</v>
      </c>
      <c r="IEG72" s="171">
        <f>SUM(IEB72:IEF72)</f>
        <v>8675</v>
      </c>
      <c r="IEH72" s="169">
        <v>200</v>
      </c>
      <c r="IEI72" s="171">
        <f>SUM(IEG72:IEH72)</f>
        <v>8875</v>
      </c>
      <c r="IEJ72" s="163" t="s">
        <v>114</v>
      </c>
      <c r="IEK72" s="164">
        <v>45845</v>
      </c>
      <c r="IEL72" s="159" t="s">
        <v>42</v>
      </c>
      <c r="IEM72" s="354"/>
      <c r="IEN72" s="165" t="s">
        <v>124</v>
      </c>
      <c r="IEO72" s="352"/>
      <c r="IEP72" s="353"/>
      <c r="IEQ72" s="159" t="s">
        <v>24</v>
      </c>
      <c r="IER72" s="160">
        <v>8150</v>
      </c>
      <c r="IES72" s="169">
        <v>85</v>
      </c>
      <c r="IET72" s="170">
        <v>215</v>
      </c>
      <c r="IEU72" s="170">
        <v>75</v>
      </c>
      <c r="IEV72" s="169">
        <v>150</v>
      </c>
      <c r="IEW72" s="171">
        <f>SUM(IER72:IEV72)</f>
        <v>8675</v>
      </c>
      <c r="IEX72" s="169">
        <v>200</v>
      </c>
      <c r="IEY72" s="171">
        <f>SUM(IEW72:IEX72)</f>
        <v>8875</v>
      </c>
      <c r="IEZ72" s="163" t="s">
        <v>114</v>
      </c>
      <c r="IFA72" s="164">
        <v>45845</v>
      </c>
      <c r="IFB72" s="159" t="s">
        <v>42</v>
      </c>
      <c r="IFC72" s="354"/>
      <c r="IFD72" s="165" t="s">
        <v>124</v>
      </c>
      <c r="IFE72" s="352"/>
      <c r="IFF72" s="353"/>
      <c r="IFG72" s="159" t="s">
        <v>24</v>
      </c>
      <c r="IFH72" s="160">
        <v>8150</v>
      </c>
      <c r="IFI72" s="169">
        <v>85</v>
      </c>
      <c r="IFJ72" s="170">
        <v>215</v>
      </c>
      <c r="IFK72" s="170">
        <v>75</v>
      </c>
      <c r="IFL72" s="169">
        <v>150</v>
      </c>
      <c r="IFM72" s="171">
        <f>SUM(IFH72:IFL72)</f>
        <v>8675</v>
      </c>
      <c r="IFN72" s="169">
        <v>200</v>
      </c>
      <c r="IFO72" s="171">
        <f>SUM(IFM72:IFN72)</f>
        <v>8875</v>
      </c>
      <c r="IFP72" s="163" t="s">
        <v>114</v>
      </c>
      <c r="IFQ72" s="164">
        <v>45845</v>
      </c>
      <c r="IFR72" s="159" t="s">
        <v>42</v>
      </c>
      <c r="IFS72" s="354"/>
      <c r="IFT72" s="165" t="s">
        <v>124</v>
      </c>
      <c r="IFU72" s="352"/>
      <c r="IFV72" s="353"/>
      <c r="IFW72" s="159" t="s">
        <v>24</v>
      </c>
      <c r="IFX72" s="160">
        <v>8150</v>
      </c>
      <c r="IFY72" s="169">
        <v>85</v>
      </c>
      <c r="IFZ72" s="170">
        <v>215</v>
      </c>
      <c r="IGA72" s="170">
        <v>75</v>
      </c>
      <c r="IGB72" s="169">
        <v>150</v>
      </c>
      <c r="IGC72" s="171">
        <f>SUM(IFX72:IGB72)</f>
        <v>8675</v>
      </c>
      <c r="IGD72" s="169">
        <v>200</v>
      </c>
      <c r="IGE72" s="171">
        <f>SUM(IGC72:IGD72)</f>
        <v>8875</v>
      </c>
      <c r="IGF72" s="163" t="s">
        <v>114</v>
      </c>
      <c r="IGG72" s="164">
        <v>45845</v>
      </c>
      <c r="IGH72" s="159" t="s">
        <v>42</v>
      </c>
      <c r="IGI72" s="354"/>
      <c r="IGJ72" s="165" t="s">
        <v>124</v>
      </c>
      <c r="IGK72" s="352"/>
      <c r="IGL72" s="353"/>
      <c r="IGM72" s="159" t="s">
        <v>24</v>
      </c>
      <c r="IGN72" s="160">
        <v>8150</v>
      </c>
      <c r="IGO72" s="169">
        <v>85</v>
      </c>
      <c r="IGP72" s="170">
        <v>215</v>
      </c>
      <c r="IGQ72" s="170">
        <v>75</v>
      </c>
      <c r="IGR72" s="169">
        <v>150</v>
      </c>
      <c r="IGS72" s="171">
        <f>SUM(IGN72:IGR72)</f>
        <v>8675</v>
      </c>
      <c r="IGT72" s="169">
        <v>200</v>
      </c>
      <c r="IGU72" s="171">
        <f>SUM(IGS72:IGT72)</f>
        <v>8875</v>
      </c>
      <c r="IGV72" s="163" t="s">
        <v>114</v>
      </c>
      <c r="IGW72" s="164">
        <v>45845</v>
      </c>
      <c r="IGX72" s="159" t="s">
        <v>42</v>
      </c>
      <c r="IGY72" s="354"/>
      <c r="IGZ72" s="165" t="s">
        <v>124</v>
      </c>
      <c r="IHA72" s="352"/>
      <c r="IHB72" s="353"/>
      <c r="IHC72" s="159" t="s">
        <v>24</v>
      </c>
      <c r="IHD72" s="160">
        <v>8150</v>
      </c>
      <c r="IHE72" s="169">
        <v>85</v>
      </c>
      <c r="IHF72" s="170">
        <v>215</v>
      </c>
      <c r="IHG72" s="170">
        <v>75</v>
      </c>
      <c r="IHH72" s="169">
        <v>150</v>
      </c>
      <c r="IHI72" s="171">
        <f>SUM(IHD72:IHH72)</f>
        <v>8675</v>
      </c>
      <c r="IHJ72" s="169">
        <v>200</v>
      </c>
      <c r="IHK72" s="171">
        <f>SUM(IHI72:IHJ72)</f>
        <v>8875</v>
      </c>
      <c r="IHL72" s="163" t="s">
        <v>114</v>
      </c>
      <c r="IHM72" s="164">
        <v>45845</v>
      </c>
      <c r="IHN72" s="159" t="s">
        <v>42</v>
      </c>
      <c r="IHO72" s="354"/>
      <c r="IHP72" s="165" t="s">
        <v>124</v>
      </c>
      <c r="IHQ72" s="352"/>
      <c r="IHR72" s="353"/>
      <c r="IHS72" s="159" t="s">
        <v>24</v>
      </c>
      <c r="IHT72" s="160">
        <v>8150</v>
      </c>
      <c r="IHU72" s="169">
        <v>85</v>
      </c>
      <c r="IHV72" s="170">
        <v>215</v>
      </c>
      <c r="IHW72" s="170">
        <v>75</v>
      </c>
      <c r="IHX72" s="169">
        <v>150</v>
      </c>
      <c r="IHY72" s="171">
        <f>SUM(IHT72:IHX72)</f>
        <v>8675</v>
      </c>
      <c r="IHZ72" s="169">
        <v>200</v>
      </c>
      <c r="IIA72" s="171">
        <f>SUM(IHY72:IHZ72)</f>
        <v>8875</v>
      </c>
      <c r="IIB72" s="163" t="s">
        <v>114</v>
      </c>
      <c r="IIC72" s="164">
        <v>45845</v>
      </c>
      <c r="IID72" s="159" t="s">
        <v>42</v>
      </c>
      <c r="IIE72" s="354"/>
      <c r="IIF72" s="165" t="s">
        <v>124</v>
      </c>
      <c r="IIG72" s="352"/>
      <c r="IIH72" s="353"/>
      <c r="III72" s="159" t="s">
        <v>24</v>
      </c>
      <c r="IIJ72" s="160">
        <v>8150</v>
      </c>
      <c r="IIK72" s="169">
        <v>85</v>
      </c>
      <c r="IIL72" s="170">
        <v>215</v>
      </c>
      <c r="IIM72" s="170">
        <v>75</v>
      </c>
      <c r="IIN72" s="169">
        <v>150</v>
      </c>
      <c r="IIO72" s="171">
        <f>SUM(IIJ72:IIN72)</f>
        <v>8675</v>
      </c>
      <c r="IIP72" s="169">
        <v>200</v>
      </c>
      <c r="IIQ72" s="171">
        <f>SUM(IIO72:IIP72)</f>
        <v>8875</v>
      </c>
      <c r="IIR72" s="163" t="s">
        <v>114</v>
      </c>
      <c r="IIS72" s="164">
        <v>45845</v>
      </c>
      <c r="IIT72" s="159" t="s">
        <v>42</v>
      </c>
      <c r="IIU72" s="354"/>
      <c r="IIV72" s="165" t="s">
        <v>124</v>
      </c>
      <c r="IIW72" s="352"/>
      <c r="IIX72" s="353"/>
      <c r="IIY72" s="159" t="s">
        <v>24</v>
      </c>
      <c r="IIZ72" s="160">
        <v>8150</v>
      </c>
      <c r="IJA72" s="169">
        <v>85</v>
      </c>
      <c r="IJB72" s="170">
        <v>215</v>
      </c>
      <c r="IJC72" s="170">
        <v>75</v>
      </c>
      <c r="IJD72" s="169">
        <v>150</v>
      </c>
      <c r="IJE72" s="171">
        <f>SUM(IIZ72:IJD72)</f>
        <v>8675</v>
      </c>
      <c r="IJF72" s="169">
        <v>200</v>
      </c>
      <c r="IJG72" s="171">
        <f>SUM(IJE72:IJF72)</f>
        <v>8875</v>
      </c>
      <c r="IJH72" s="163" t="s">
        <v>114</v>
      </c>
      <c r="IJI72" s="164">
        <v>45845</v>
      </c>
      <c r="IJJ72" s="159" t="s">
        <v>42</v>
      </c>
      <c r="IJK72" s="354"/>
      <c r="IJL72" s="165" t="s">
        <v>124</v>
      </c>
      <c r="IJM72" s="352"/>
      <c r="IJN72" s="353"/>
      <c r="IJO72" s="159" t="s">
        <v>24</v>
      </c>
      <c r="IJP72" s="160">
        <v>8150</v>
      </c>
      <c r="IJQ72" s="169">
        <v>85</v>
      </c>
      <c r="IJR72" s="170">
        <v>215</v>
      </c>
      <c r="IJS72" s="170">
        <v>75</v>
      </c>
      <c r="IJT72" s="169">
        <v>150</v>
      </c>
      <c r="IJU72" s="171">
        <f>SUM(IJP72:IJT72)</f>
        <v>8675</v>
      </c>
      <c r="IJV72" s="169">
        <v>200</v>
      </c>
      <c r="IJW72" s="171">
        <f>SUM(IJU72:IJV72)</f>
        <v>8875</v>
      </c>
      <c r="IJX72" s="163" t="s">
        <v>114</v>
      </c>
      <c r="IJY72" s="164">
        <v>45845</v>
      </c>
      <c r="IJZ72" s="159" t="s">
        <v>42</v>
      </c>
      <c r="IKA72" s="354"/>
      <c r="IKB72" s="165" t="s">
        <v>124</v>
      </c>
      <c r="IKC72" s="352"/>
      <c r="IKD72" s="353"/>
      <c r="IKE72" s="159" t="s">
        <v>24</v>
      </c>
      <c r="IKF72" s="160">
        <v>8150</v>
      </c>
      <c r="IKG72" s="169">
        <v>85</v>
      </c>
      <c r="IKH72" s="170">
        <v>215</v>
      </c>
      <c r="IKI72" s="170">
        <v>75</v>
      </c>
      <c r="IKJ72" s="169">
        <v>150</v>
      </c>
      <c r="IKK72" s="171">
        <f>SUM(IKF72:IKJ72)</f>
        <v>8675</v>
      </c>
      <c r="IKL72" s="169">
        <v>200</v>
      </c>
      <c r="IKM72" s="171">
        <f>SUM(IKK72:IKL72)</f>
        <v>8875</v>
      </c>
      <c r="IKN72" s="163" t="s">
        <v>114</v>
      </c>
      <c r="IKO72" s="164">
        <v>45845</v>
      </c>
      <c r="IKP72" s="159" t="s">
        <v>42</v>
      </c>
      <c r="IKQ72" s="354"/>
      <c r="IKR72" s="165" t="s">
        <v>124</v>
      </c>
      <c r="IKS72" s="352"/>
      <c r="IKT72" s="353"/>
      <c r="IKU72" s="159" t="s">
        <v>24</v>
      </c>
      <c r="IKV72" s="160">
        <v>8150</v>
      </c>
      <c r="IKW72" s="169">
        <v>85</v>
      </c>
      <c r="IKX72" s="170">
        <v>215</v>
      </c>
      <c r="IKY72" s="170">
        <v>75</v>
      </c>
      <c r="IKZ72" s="169">
        <v>150</v>
      </c>
      <c r="ILA72" s="171">
        <f>SUM(IKV72:IKZ72)</f>
        <v>8675</v>
      </c>
      <c r="ILB72" s="169">
        <v>200</v>
      </c>
      <c r="ILC72" s="171">
        <f>SUM(ILA72:ILB72)</f>
        <v>8875</v>
      </c>
      <c r="ILD72" s="163" t="s">
        <v>114</v>
      </c>
      <c r="ILE72" s="164">
        <v>45845</v>
      </c>
      <c r="ILF72" s="159" t="s">
        <v>42</v>
      </c>
      <c r="ILG72" s="354"/>
      <c r="ILH72" s="165" t="s">
        <v>124</v>
      </c>
      <c r="ILI72" s="352"/>
      <c r="ILJ72" s="353"/>
      <c r="ILK72" s="159" t="s">
        <v>24</v>
      </c>
      <c r="ILL72" s="160">
        <v>8150</v>
      </c>
      <c r="ILM72" s="169">
        <v>85</v>
      </c>
      <c r="ILN72" s="170">
        <v>215</v>
      </c>
      <c r="ILO72" s="170">
        <v>75</v>
      </c>
      <c r="ILP72" s="169">
        <v>150</v>
      </c>
      <c r="ILQ72" s="171">
        <f>SUM(ILL72:ILP72)</f>
        <v>8675</v>
      </c>
      <c r="ILR72" s="169">
        <v>200</v>
      </c>
      <c r="ILS72" s="171">
        <f>SUM(ILQ72:ILR72)</f>
        <v>8875</v>
      </c>
      <c r="ILT72" s="163" t="s">
        <v>114</v>
      </c>
      <c r="ILU72" s="164">
        <v>45845</v>
      </c>
      <c r="ILV72" s="159" t="s">
        <v>42</v>
      </c>
      <c r="ILW72" s="354"/>
      <c r="ILX72" s="165" t="s">
        <v>124</v>
      </c>
      <c r="ILY72" s="352"/>
      <c r="ILZ72" s="353"/>
      <c r="IMA72" s="159" t="s">
        <v>24</v>
      </c>
      <c r="IMB72" s="160">
        <v>8150</v>
      </c>
      <c r="IMC72" s="169">
        <v>85</v>
      </c>
      <c r="IMD72" s="170">
        <v>215</v>
      </c>
      <c r="IME72" s="170">
        <v>75</v>
      </c>
      <c r="IMF72" s="169">
        <v>150</v>
      </c>
      <c r="IMG72" s="171">
        <f>SUM(IMB72:IMF72)</f>
        <v>8675</v>
      </c>
      <c r="IMH72" s="169">
        <v>200</v>
      </c>
      <c r="IMI72" s="171">
        <f>SUM(IMG72:IMH72)</f>
        <v>8875</v>
      </c>
      <c r="IMJ72" s="163" t="s">
        <v>114</v>
      </c>
      <c r="IMK72" s="164">
        <v>45845</v>
      </c>
      <c r="IML72" s="159" t="s">
        <v>42</v>
      </c>
      <c r="IMM72" s="354"/>
      <c r="IMN72" s="165" t="s">
        <v>124</v>
      </c>
      <c r="IMO72" s="352"/>
      <c r="IMP72" s="353"/>
      <c r="IMQ72" s="159" t="s">
        <v>24</v>
      </c>
      <c r="IMR72" s="160">
        <v>8150</v>
      </c>
      <c r="IMS72" s="169">
        <v>85</v>
      </c>
      <c r="IMT72" s="170">
        <v>215</v>
      </c>
      <c r="IMU72" s="170">
        <v>75</v>
      </c>
      <c r="IMV72" s="169">
        <v>150</v>
      </c>
      <c r="IMW72" s="171">
        <f>SUM(IMR72:IMV72)</f>
        <v>8675</v>
      </c>
      <c r="IMX72" s="169">
        <v>200</v>
      </c>
      <c r="IMY72" s="171">
        <f>SUM(IMW72:IMX72)</f>
        <v>8875</v>
      </c>
      <c r="IMZ72" s="163" t="s">
        <v>114</v>
      </c>
      <c r="INA72" s="164">
        <v>45845</v>
      </c>
      <c r="INB72" s="159" t="s">
        <v>42</v>
      </c>
      <c r="INC72" s="354"/>
      <c r="IND72" s="165" t="s">
        <v>124</v>
      </c>
      <c r="INE72" s="352"/>
      <c r="INF72" s="353"/>
      <c r="ING72" s="159" t="s">
        <v>24</v>
      </c>
      <c r="INH72" s="160">
        <v>8150</v>
      </c>
      <c r="INI72" s="169">
        <v>85</v>
      </c>
      <c r="INJ72" s="170">
        <v>215</v>
      </c>
      <c r="INK72" s="170">
        <v>75</v>
      </c>
      <c r="INL72" s="169">
        <v>150</v>
      </c>
      <c r="INM72" s="171">
        <f>SUM(INH72:INL72)</f>
        <v>8675</v>
      </c>
      <c r="INN72" s="169">
        <v>200</v>
      </c>
      <c r="INO72" s="171">
        <f>SUM(INM72:INN72)</f>
        <v>8875</v>
      </c>
      <c r="INP72" s="163" t="s">
        <v>114</v>
      </c>
      <c r="INQ72" s="164">
        <v>45845</v>
      </c>
      <c r="INR72" s="159" t="s">
        <v>42</v>
      </c>
      <c r="INS72" s="354"/>
      <c r="INT72" s="165" t="s">
        <v>124</v>
      </c>
      <c r="INU72" s="352"/>
      <c r="INV72" s="353"/>
      <c r="INW72" s="159" t="s">
        <v>24</v>
      </c>
      <c r="INX72" s="160">
        <v>8150</v>
      </c>
      <c r="INY72" s="169">
        <v>85</v>
      </c>
      <c r="INZ72" s="170">
        <v>215</v>
      </c>
      <c r="IOA72" s="170">
        <v>75</v>
      </c>
      <c r="IOB72" s="169">
        <v>150</v>
      </c>
      <c r="IOC72" s="171">
        <f>SUM(INX72:IOB72)</f>
        <v>8675</v>
      </c>
      <c r="IOD72" s="169">
        <v>200</v>
      </c>
      <c r="IOE72" s="171">
        <f>SUM(IOC72:IOD72)</f>
        <v>8875</v>
      </c>
      <c r="IOF72" s="163" t="s">
        <v>114</v>
      </c>
      <c r="IOG72" s="164">
        <v>45845</v>
      </c>
      <c r="IOH72" s="159" t="s">
        <v>42</v>
      </c>
      <c r="IOI72" s="354"/>
      <c r="IOJ72" s="165" t="s">
        <v>124</v>
      </c>
      <c r="IOK72" s="352"/>
      <c r="IOL72" s="353"/>
      <c r="IOM72" s="159" t="s">
        <v>24</v>
      </c>
      <c r="ION72" s="160">
        <v>8150</v>
      </c>
      <c r="IOO72" s="169">
        <v>85</v>
      </c>
      <c r="IOP72" s="170">
        <v>215</v>
      </c>
      <c r="IOQ72" s="170">
        <v>75</v>
      </c>
      <c r="IOR72" s="169">
        <v>150</v>
      </c>
      <c r="IOS72" s="171">
        <f>SUM(ION72:IOR72)</f>
        <v>8675</v>
      </c>
      <c r="IOT72" s="169">
        <v>200</v>
      </c>
      <c r="IOU72" s="171">
        <f>SUM(IOS72:IOT72)</f>
        <v>8875</v>
      </c>
      <c r="IOV72" s="163" t="s">
        <v>114</v>
      </c>
      <c r="IOW72" s="164">
        <v>45845</v>
      </c>
      <c r="IOX72" s="159" t="s">
        <v>42</v>
      </c>
      <c r="IOY72" s="354"/>
      <c r="IOZ72" s="165" t="s">
        <v>124</v>
      </c>
      <c r="IPA72" s="352"/>
      <c r="IPB72" s="353"/>
      <c r="IPC72" s="159" t="s">
        <v>24</v>
      </c>
      <c r="IPD72" s="160">
        <v>8150</v>
      </c>
      <c r="IPE72" s="169">
        <v>85</v>
      </c>
      <c r="IPF72" s="170">
        <v>215</v>
      </c>
      <c r="IPG72" s="170">
        <v>75</v>
      </c>
      <c r="IPH72" s="169">
        <v>150</v>
      </c>
      <c r="IPI72" s="171">
        <f>SUM(IPD72:IPH72)</f>
        <v>8675</v>
      </c>
      <c r="IPJ72" s="169">
        <v>200</v>
      </c>
      <c r="IPK72" s="171">
        <f>SUM(IPI72:IPJ72)</f>
        <v>8875</v>
      </c>
      <c r="IPL72" s="163" t="s">
        <v>114</v>
      </c>
      <c r="IPM72" s="164">
        <v>45845</v>
      </c>
      <c r="IPN72" s="159" t="s">
        <v>42</v>
      </c>
      <c r="IPO72" s="354"/>
      <c r="IPP72" s="165" t="s">
        <v>124</v>
      </c>
      <c r="IPQ72" s="352"/>
      <c r="IPR72" s="353"/>
      <c r="IPS72" s="159" t="s">
        <v>24</v>
      </c>
      <c r="IPT72" s="160">
        <v>8150</v>
      </c>
      <c r="IPU72" s="169">
        <v>85</v>
      </c>
      <c r="IPV72" s="170">
        <v>215</v>
      </c>
      <c r="IPW72" s="170">
        <v>75</v>
      </c>
      <c r="IPX72" s="169">
        <v>150</v>
      </c>
      <c r="IPY72" s="171">
        <f>SUM(IPT72:IPX72)</f>
        <v>8675</v>
      </c>
      <c r="IPZ72" s="169">
        <v>200</v>
      </c>
      <c r="IQA72" s="171">
        <f>SUM(IPY72:IPZ72)</f>
        <v>8875</v>
      </c>
      <c r="IQB72" s="163" t="s">
        <v>114</v>
      </c>
      <c r="IQC72" s="164">
        <v>45845</v>
      </c>
      <c r="IQD72" s="159" t="s">
        <v>42</v>
      </c>
      <c r="IQE72" s="354"/>
      <c r="IQF72" s="165" t="s">
        <v>124</v>
      </c>
      <c r="IQG72" s="352"/>
      <c r="IQH72" s="353"/>
      <c r="IQI72" s="159" t="s">
        <v>24</v>
      </c>
      <c r="IQJ72" s="160">
        <v>8150</v>
      </c>
      <c r="IQK72" s="169">
        <v>85</v>
      </c>
      <c r="IQL72" s="170">
        <v>215</v>
      </c>
      <c r="IQM72" s="170">
        <v>75</v>
      </c>
      <c r="IQN72" s="169">
        <v>150</v>
      </c>
      <c r="IQO72" s="171">
        <f>SUM(IQJ72:IQN72)</f>
        <v>8675</v>
      </c>
      <c r="IQP72" s="169">
        <v>200</v>
      </c>
      <c r="IQQ72" s="171">
        <f>SUM(IQO72:IQP72)</f>
        <v>8875</v>
      </c>
      <c r="IQR72" s="163" t="s">
        <v>114</v>
      </c>
      <c r="IQS72" s="164">
        <v>45845</v>
      </c>
      <c r="IQT72" s="159" t="s">
        <v>42</v>
      </c>
      <c r="IQU72" s="354"/>
      <c r="IQV72" s="165" t="s">
        <v>124</v>
      </c>
      <c r="IQW72" s="352"/>
      <c r="IQX72" s="353"/>
      <c r="IQY72" s="159" t="s">
        <v>24</v>
      </c>
      <c r="IQZ72" s="160">
        <v>8150</v>
      </c>
      <c r="IRA72" s="169">
        <v>85</v>
      </c>
      <c r="IRB72" s="170">
        <v>215</v>
      </c>
      <c r="IRC72" s="170">
        <v>75</v>
      </c>
      <c r="IRD72" s="169">
        <v>150</v>
      </c>
      <c r="IRE72" s="171">
        <f>SUM(IQZ72:IRD72)</f>
        <v>8675</v>
      </c>
      <c r="IRF72" s="169">
        <v>200</v>
      </c>
      <c r="IRG72" s="171">
        <f>SUM(IRE72:IRF72)</f>
        <v>8875</v>
      </c>
      <c r="IRH72" s="163" t="s">
        <v>114</v>
      </c>
      <c r="IRI72" s="164">
        <v>45845</v>
      </c>
      <c r="IRJ72" s="159" t="s">
        <v>42</v>
      </c>
      <c r="IRK72" s="354"/>
      <c r="IRL72" s="165" t="s">
        <v>124</v>
      </c>
      <c r="IRM72" s="352"/>
      <c r="IRN72" s="353"/>
      <c r="IRO72" s="159" t="s">
        <v>24</v>
      </c>
      <c r="IRP72" s="160">
        <v>8150</v>
      </c>
      <c r="IRQ72" s="169">
        <v>85</v>
      </c>
      <c r="IRR72" s="170">
        <v>215</v>
      </c>
      <c r="IRS72" s="170">
        <v>75</v>
      </c>
      <c r="IRT72" s="169">
        <v>150</v>
      </c>
      <c r="IRU72" s="171">
        <f>SUM(IRP72:IRT72)</f>
        <v>8675</v>
      </c>
      <c r="IRV72" s="169">
        <v>200</v>
      </c>
      <c r="IRW72" s="171">
        <f>SUM(IRU72:IRV72)</f>
        <v>8875</v>
      </c>
      <c r="IRX72" s="163" t="s">
        <v>114</v>
      </c>
      <c r="IRY72" s="164">
        <v>45845</v>
      </c>
      <c r="IRZ72" s="159" t="s">
        <v>42</v>
      </c>
      <c r="ISA72" s="354"/>
      <c r="ISB72" s="165" t="s">
        <v>124</v>
      </c>
      <c r="ISC72" s="352"/>
      <c r="ISD72" s="353"/>
      <c r="ISE72" s="159" t="s">
        <v>24</v>
      </c>
      <c r="ISF72" s="160">
        <v>8150</v>
      </c>
      <c r="ISG72" s="169">
        <v>85</v>
      </c>
      <c r="ISH72" s="170">
        <v>215</v>
      </c>
      <c r="ISI72" s="170">
        <v>75</v>
      </c>
      <c r="ISJ72" s="169">
        <v>150</v>
      </c>
      <c r="ISK72" s="171">
        <f>SUM(ISF72:ISJ72)</f>
        <v>8675</v>
      </c>
      <c r="ISL72" s="169">
        <v>200</v>
      </c>
      <c r="ISM72" s="171">
        <f>SUM(ISK72:ISL72)</f>
        <v>8875</v>
      </c>
      <c r="ISN72" s="163" t="s">
        <v>114</v>
      </c>
      <c r="ISO72" s="164">
        <v>45845</v>
      </c>
      <c r="ISP72" s="159" t="s">
        <v>42</v>
      </c>
      <c r="ISQ72" s="354"/>
      <c r="ISR72" s="165" t="s">
        <v>124</v>
      </c>
      <c r="ISS72" s="352"/>
      <c r="IST72" s="353"/>
      <c r="ISU72" s="159" t="s">
        <v>24</v>
      </c>
      <c r="ISV72" s="160">
        <v>8150</v>
      </c>
      <c r="ISW72" s="169">
        <v>85</v>
      </c>
      <c r="ISX72" s="170">
        <v>215</v>
      </c>
      <c r="ISY72" s="170">
        <v>75</v>
      </c>
      <c r="ISZ72" s="169">
        <v>150</v>
      </c>
      <c r="ITA72" s="171">
        <f>SUM(ISV72:ISZ72)</f>
        <v>8675</v>
      </c>
      <c r="ITB72" s="169">
        <v>200</v>
      </c>
      <c r="ITC72" s="171">
        <f>SUM(ITA72:ITB72)</f>
        <v>8875</v>
      </c>
      <c r="ITD72" s="163" t="s">
        <v>114</v>
      </c>
      <c r="ITE72" s="164">
        <v>45845</v>
      </c>
      <c r="ITF72" s="159" t="s">
        <v>42</v>
      </c>
      <c r="ITG72" s="354"/>
      <c r="ITH72" s="165" t="s">
        <v>124</v>
      </c>
      <c r="ITI72" s="352"/>
      <c r="ITJ72" s="353"/>
      <c r="ITK72" s="159" t="s">
        <v>24</v>
      </c>
      <c r="ITL72" s="160">
        <v>8150</v>
      </c>
      <c r="ITM72" s="169">
        <v>85</v>
      </c>
      <c r="ITN72" s="170">
        <v>215</v>
      </c>
      <c r="ITO72" s="170">
        <v>75</v>
      </c>
      <c r="ITP72" s="169">
        <v>150</v>
      </c>
      <c r="ITQ72" s="171">
        <f>SUM(ITL72:ITP72)</f>
        <v>8675</v>
      </c>
      <c r="ITR72" s="169">
        <v>200</v>
      </c>
      <c r="ITS72" s="171">
        <f>SUM(ITQ72:ITR72)</f>
        <v>8875</v>
      </c>
      <c r="ITT72" s="163" t="s">
        <v>114</v>
      </c>
      <c r="ITU72" s="164">
        <v>45845</v>
      </c>
      <c r="ITV72" s="159" t="s">
        <v>42</v>
      </c>
      <c r="ITW72" s="354"/>
      <c r="ITX72" s="165" t="s">
        <v>124</v>
      </c>
      <c r="ITY72" s="352"/>
      <c r="ITZ72" s="353"/>
      <c r="IUA72" s="159" t="s">
        <v>24</v>
      </c>
      <c r="IUB72" s="160">
        <v>8150</v>
      </c>
      <c r="IUC72" s="169">
        <v>85</v>
      </c>
      <c r="IUD72" s="170">
        <v>215</v>
      </c>
      <c r="IUE72" s="170">
        <v>75</v>
      </c>
      <c r="IUF72" s="169">
        <v>150</v>
      </c>
      <c r="IUG72" s="171">
        <f>SUM(IUB72:IUF72)</f>
        <v>8675</v>
      </c>
      <c r="IUH72" s="169">
        <v>200</v>
      </c>
      <c r="IUI72" s="171">
        <f>SUM(IUG72:IUH72)</f>
        <v>8875</v>
      </c>
      <c r="IUJ72" s="163" t="s">
        <v>114</v>
      </c>
      <c r="IUK72" s="164">
        <v>45845</v>
      </c>
      <c r="IUL72" s="159" t="s">
        <v>42</v>
      </c>
      <c r="IUM72" s="354"/>
      <c r="IUN72" s="165" t="s">
        <v>124</v>
      </c>
      <c r="IUO72" s="352"/>
      <c r="IUP72" s="353"/>
      <c r="IUQ72" s="159" t="s">
        <v>24</v>
      </c>
      <c r="IUR72" s="160">
        <v>8150</v>
      </c>
      <c r="IUS72" s="169">
        <v>85</v>
      </c>
      <c r="IUT72" s="170">
        <v>215</v>
      </c>
      <c r="IUU72" s="170">
        <v>75</v>
      </c>
      <c r="IUV72" s="169">
        <v>150</v>
      </c>
      <c r="IUW72" s="171">
        <f>SUM(IUR72:IUV72)</f>
        <v>8675</v>
      </c>
      <c r="IUX72" s="169">
        <v>200</v>
      </c>
      <c r="IUY72" s="171">
        <f>SUM(IUW72:IUX72)</f>
        <v>8875</v>
      </c>
      <c r="IUZ72" s="163" t="s">
        <v>114</v>
      </c>
      <c r="IVA72" s="164">
        <v>45845</v>
      </c>
      <c r="IVB72" s="159" t="s">
        <v>42</v>
      </c>
      <c r="IVC72" s="354"/>
      <c r="IVD72" s="165" t="s">
        <v>124</v>
      </c>
      <c r="IVE72" s="352"/>
      <c r="IVF72" s="353"/>
      <c r="IVG72" s="159" t="s">
        <v>24</v>
      </c>
      <c r="IVH72" s="160">
        <v>8150</v>
      </c>
      <c r="IVI72" s="169">
        <v>85</v>
      </c>
      <c r="IVJ72" s="170">
        <v>215</v>
      </c>
      <c r="IVK72" s="170">
        <v>75</v>
      </c>
      <c r="IVL72" s="169">
        <v>150</v>
      </c>
      <c r="IVM72" s="171">
        <f>SUM(IVH72:IVL72)</f>
        <v>8675</v>
      </c>
      <c r="IVN72" s="169">
        <v>200</v>
      </c>
      <c r="IVO72" s="171">
        <f>SUM(IVM72:IVN72)</f>
        <v>8875</v>
      </c>
      <c r="IVP72" s="163" t="s">
        <v>114</v>
      </c>
      <c r="IVQ72" s="164">
        <v>45845</v>
      </c>
      <c r="IVR72" s="159" t="s">
        <v>42</v>
      </c>
      <c r="IVS72" s="354"/>
      <c r="IVT72" s="165" t="s">
        <v>124</v>
      </c>
      <c r="IVU72" s="352"/>
      <c r="IVV72" s="353"/>
      <c r="IVW72" s="159" t="s">
        <v>24</v>
      </c>
      <c r="IVX72" s="160">
        <v>8150</v>
      </c>
      <c r="IVY72" s="169">
        <v>85</v>
      </c>
      <c r="IVZ72" s="170">
        <v>215</v>
      </c>
      <c r="IWA72" s="170">
        <v>75</v>
      </c>
      <c r="IWB72" s="169">
        <v>150</v>
      </c>
      <c r="IWC72" s="171">
        <f>SUM(IVX72:IWB72)</f>
        <v>8675</v>
      </c>
      <c r="IWD72" s="169">
        <v>200</v>
      </c>
      <c r="IWE72" s="171">
        <f>SUM(IWC72:IWD72)</f>
        <v>8875</v>
      </c>
      <c r="IWF72" s="163" t="s">
        <v>114</v>
      </c>
      <c r="IWG72" s="164">
        <v>45845</v>
      </c>
      <c r="IWH72" s="159" t="s">
        <v>42</v>
      </c>
      <c r="IWI72" s="354"/>
      <c r="IWJ72" s="165" t="s">
        <v>124</v>
      </c>
      <c r="IWK72" s="352"/>
      <c r="IWL72" s="353"/>
      <c r="IWM72" s="159" t="s">
        <v>24</v>
      </c>
      <c r="IWN72" s="160">
        <v>8150</v>
      </c>
      <c r="IWO72" s="169">
        <v>85</v>
      </c>
      <c r="IWP72" s="170">
        <v>215</v>
      </c>
      <c r="IWQ72" s="170">
        <v>75</v>
      </c>
      <c r="IWR72" s="169">
        <v>150</v>
      </c>
      <c r="IWS72" s="171">
        <f>SUM(IWN72:IWR72)</f>
        <v>8675</v>
      </c>
      <c r="IWT72" s="169">
        <v>200</v>
      </c>
      <c r="IWU72" s="171">
        <f>SUM(IWS72:IWT72)</f>
        <v>8875</v>
      </c>
      <c r="IWV72" s="163" t="s">
        <v>114</v>
      </c>
      <c r="IWW72" s="164">
        <v>45845</v>
      </c>
      <c r="IWX72" s="159" t="s">
        <v>42</v>
      </c>
      <c r="IWY72" s="354"/>
      <c r="IWZ72" s="165" t="s">
        <v>124</v>
      </c>
      <c r="IXA72" s="352"/>
      <c r="IXB72" s="353"/>
      <c r="IXC72" s="159" t="s">
        <v>24</v>
      </c>
      <c r="IXD72" s="160">
        <v>8150</v>
      </c>
      <c r="IXE72" s="169">
        <v>85</v>
      </c>
      <c r="IXF72" s="170">
        <v>215</v>
      </c>
      <c r="IXG72" s="170">
        <v>75</v>
      </c>
      <c r="IXH72" s="169">
        <v>150</v>
      </c>
      <c r="IXI72" s="171">
        <f>SUM(IXD72:IXH72)</f>
        <v>8675</v>
      </c>
      <c r="IXJ72" s="169">
        <v>200</v>
      </c>
      <c r="IXK72" s="171">
        <f>SUM(IXI72:IXJ72)</f>
        <v>8875</v>
      </c>
      <c r="IXL72" s="163" t="s">
        <v>114</v>
      </c>
      <c r="IXM72" s="164">
        <v>45845</v>
      </c>
      <c r="IXN72" s="159" t="s">
        <v>42</v>
      </c>
      <c r="IXO72" s="354"/>
      <c r="IXP72" s="165" t="s">
        <v>124</v>
      </c>
      <c r="IXQ72" s="352"/>
      <c r="IXR72" s="353"/>
      <c r="IXS72" s="159" t="s">
        <v>24</v>
      </c>
      <c r="IXT72" s="160">
        <v>8150</v>
      </c>
      <c r="IXU72" s="169">
        <v>85</v>
      </c>
      <c r="IXV72" s="170">
        <v>215</v>
      </c>
      <c r="IXW72" s="170">
        <v>75</v>
      </c>
      <c r="IXX72" s="169">
        <v>150</v>
      </c>
      <c r="IXY72" s="171">
        <f>SUM(IXT72:IXX72)</f>
        <v>8675</v>
      </c>
      <c r="IXZ72" s="169">
        <v>200</v>
      </c>
      <c r="IYA72" s="171">
        <f>SUM(IXY72:IXZ72)</f>
        <v>8875</v>
      </c>
      <c r="IYB72" s="163" t="s">
        <v>114</v>
      </c>
      <c r="IYC72" s="164">
        <v>45845</v>
      </c>
      <c r="IYD72" s="159" t="s">
        <v>42</v>
      </c>
      <c r="IYE72" s="354"/>
      <c r="IYF72" s="165" t="s">
        <v>124</v>
      </c>
      <c r="IYG72" s="352"/>
      <c r="IYH72" s="353"/>
      <c r="IYI72" s="159" t="s">
        <v>24</v>
      </c>
      <c r="IYJ72" s="160">
        <v>8150</v>
      </c>
      <c r="IYK72" s="169">
        <v>85</v>
      </c>
      <c r="IYL72" s="170">
        <v>215</v>
      </c>
      <c r="IYM72" s="170">
        <v>75</v>
      </c>
      <c r="IYN72" s="169">
        <v>150</v>
      </c>
      <c r="IYO72" s="171">
        <f>SUM(IYJ72:IYN72)</f>
        <v>8675</v>
      </c>
      <c r="IYP72" s="169">
        <v>200</v>
      </c>
      <c r="IYQ72" s="171">
        <f>SUM(IYO72:IYP72)</f>
        <v>8875</v>
      </c>
      <c r="IYR72" s="163" t="s">
        <v>114</v>
      </c>
      <c r="IYS72" s="164">
        <v>45845</v>
      </c>
      <c r="IYT72" s="159" t="s">
        <v>42</v>
      </c>
      <c r="IYU72" s="354"/>
      <c r="IYV72" s="165" t="s">
        <v>124</v>
      </c>
      <c r="IYW72" s="352"/>
      <c r="IYX72" s="353"/>
      <c r="IYY72" s="159" t="s">
        <v>24</v>
      </c>
      <c r="IYZ72" s="160">
        <v>8150</v>
      </c>
      <c r="IZA72" s="169">
        <v>85</v>
      </c>
      <c r="IZB72" s="170">
        <v>215</v>
      </c>
      <c r="IZC72" s="170">
        <v>75</v>
      </c>
      <c r="IZD72" s="169">
        <v>150</v>
      </c>
      <c r="IZE72" s="171">
        <f>SUM(IYZ72:IZD72)</f>
        <v>8675</v>
      </c>
      <c r="IZF72" s="169">
        <v>200</v>
      </c>
      <c r="IZG72" s="171">
        <f>SUM(IZE72:IZF72)</f>
        <v>8875</v>
      </c>
      <c r="IZH72" s="163" t="s">
        <v>114</v>
      </c>
      <c r="IZI72" s="164">
        <v>45845</v>
      </c>
      <c r="IZJ72" s="159" t="s">
        <v>42</v>
      </c>
      <c r="IZK72" s="354"/>
      <c r="IZL72" s="165" t="s">
        <v>124</v>
      </c>
      <c r="IZM72" s="352"/>
      <c r="IZN72" s="353"/>
      <c r="IZO72" s="159" t="s">
        <v>24</v>
      </c>
      <c r="IZP72" s="160">
        <v>8150</v>
      </c>
      <c r="IZQ72" s="169">
        <v>85</v>
      </c>
      <c r="IZR72" s="170">
        <v>215</v>
      </c>
      <c r="IZS72" s="170">
        <v>75</v>
      </c>
      <c r="IZT72" s="169">
        <v>150</v>
      </c>
      <c r="IZU72" s="171">
        <f>SUM(IZP72:IZT72)</f>
        <v>8675</v>
      </c>
      <c r="IZV72" s="169">
        <v>200</v>
      </c>
      <c r="IZW72" s="171">
        <f>SUM(IZU72:IZV72)</f>
        <v>8875</v>
      </c>
      <c r="IZX72" s="163" t="s">
        <v>114</v>
      </c>
      <c r="IZY72" s="164">
        <v>45845</v>
      </c>
      <c r="IZZ72" s="159" t="s">
        <v>42</v>
      </c>
      <c r="JAA72" s="354"/>
      <c r="JAB72" s="165" t="s">
        <v>124</v>
      </c>
      <c r="JAC72" s="352"/>
      <c r="JAD72" s="353"/>
      <c r="JAE72" s="159" t="s">
        <v>24</v>
      </c>
      <c r="JAF72" s="160">
        <v>8150</v>
      </c>
      <c r="JAG72" s="169">
        <v>85</v>
      </c>
      <c r="JAH72" s="170">
        <v>215</v>
      </c>
      <c r="JAI72" s="170">
        <v>75</v>
      </c>
      <c r="JAJ72" s="169">
        <v>150</v>
      </c>
      <c r="JAK72" s="171">
        <f>SUM(JAF72:JAJ72)</f>
        <v>8675</v>
      </c>
      <c r="JAL72" s="169">
        <v>200</v>
      </c>
      <c r="JAM72" s="171">
        <f>SUM(JAK72:JAL72)</f>
        <v>8875</v>
      </c>
      <c r="JAN72" s="163" t="s">
        <v>114</v>
      </c>
      <c r="JAO72" s="164">
        <v>45845</v>
      </c>
      <c r="JAP72" s="159" t="s">
        <v>42</v>
      </c>
      <c r="JAQ72" s="354"/>
      <c r="JAR72" s="165" t="s">
        <v>124</v>
      </c>
      <c r="JAS72" s="352"/>
      <c r="JAT72" s="353"/>
      <c r="JAU72" s="159" t="s">
        <v>24</v>
      </c>
      <c r="JAV72" s="160">
        <v>8150</v>
      </c>
      <c r="JAW72" s="169">
        <v>85</v>
      </c>
      <c r="JAX72" s="170">
        <v>215</v>
      </c>
      <c r="JAY72" s="170">
        <v>75</v>
      </c>
      <c r="JAZ72" s="169">
        <v>150</v>
      </c>
      <c r="JBA72" s="171">
        <f>SUM(JAV72:JAZ72)</f>
        <v>8675</v>
      </c>
      <c r="JBB72" s="169">
        <v>200</v>
      </c>
      <c r="JBC72" s="171">
        <f>SUM(JBA72:JBB72)</f>
        <v>8875</v>
      </c>
      <c r="JBD72" s="163" t="s">
        <v>114</v>
      </c>
      <c r="JBE72" s="164">
        <v>45845</v>
      </c>
      <c r="JBF72" s="159" t="s">
        <v>42</v>
      </c>
      <c r="JBG72" s="354"/>
      <c r="JBH72" s="165" t="s">
        <v>124</v>
      </c>
      <c r="JBI72" s="352"/>
      <c r="JBJ72" s="353"/>
      <c r="JBK72" s="159" t="s">
        <v>24</v>
      </c>
      <c r="JBL72" s="160">
        <v>8150</v>
      </c>
      <c r="JBM72" s="169">
        <v>85</v>
      </c>
      <c r="JBN72" s="170">
        <v>215</v>
      </c>
      <c r="JBO72" s="170">
        <v>75</v>
      </c>
      <c r="JBP72" s="169">
        <v>150</v>
      </c>
      <c r="JBQ72" s="171">
        <f>SUM(JBL72:JBP72)</f>
        <v>8675</v>
      </c>
      <c r="JBR72" s="169">
        <v>200</v>
      </c>
      <c r="JBS72" s="171">
        <f>SUM(JBQ72:JBR72)</f>
        <v>8875</v>
      </c>
      <c r="JBT72" s="163" t="s">
        <v>114</v>
      </c>
      <c r="JBU72" s="164">
        <v>45845</v>
      </c>
      <c r="JBV72" s="159" t="s">
        <v>42</v>
      </c>
      <c r="JBW72" s="354"/>
      <c r="JBX72" s="165" t="s">
        <v>124</v>
      </c>
      <c r="JBY72" s="352"/>
      <c r="JBZ72" s="353"/>
      <c r="JCA72" s="159" t="s">
        <v>24</v>
      </c>
      <c r="JCB72" s="160">
        <v>8150</v>
      </c>
      <c r="JCC72" s="169">
        <v>85</v>
      </c>
      <c r="JCD72" s="170">
        <v>215</v>
      </c>
      <c r="JCE72" s="170">
        <v>75</v>
      </c>
      <c r="JCF72" s="169">
        <v>150</v>
      </c>
      <c r="JCG72" s="171">
        <f>SUM(JCB72:JCF72)</f>
        <v>8675</v>
      </c>
      <c r="JCH72" s="169">
        <v>200</v>
      </c>
      <c r="JCI72" s="171">
        <f>SUM(JCG72:JCH72)</f>
        <v>8875</v>
      </c>
      <c r="JCJ72" s="163" t="s">
        <v>114</v>
      </c>
      <c r="JCK72" s="164">
        <v>45845</v>
      </c>
      <c r="JCL72" s="159" t="s">
        <v>42</v>
      </c>
      <c r="JCM72" s="354"/>
      <c r="JCN72" s="165" t="s">
        <v>124</v>
      </c>
      <c r="JCO72" s="352"/>
      <c r="JCP72" s="353"/>
      <c r="JCQ72" s="159" t="s">
        <v>24</v>
      </c>
      <c r="JCR72" s="160">
        <v>8150</v>
      </c>
      <c r="JCS72" s="169">
        <v>85</v>
      </c>
      <c r="JCT72" s="170">
        <v>215</v>
      </c>
      <c r="JCU72" s="170">
        <v>75</v>
      </c>
      <c r="JCV72" s="169">
        <v>150</v>
      </c>
      <c r="JCW72" s="171">
        <f>SUM(JCR72:JCV72)</f>
        <v>8675</v>
      </c>
      <c r="JCX72" s="169">
        <v>200</v>
      </c>
      <c r="JCY72" s="171">
        <f>SUM(JCW72:JCX72)</f>
        <v>8875</v>
      </c>
      <c r="JCZ72" s="163" t="s">
        <v>114</v>
      </c>
      <c r="JDA72" s="164">
        <v>45845</v>
      </c>
      <c r="JDB72" s="159" t="s">
        <v>42</v>
      </c>
      <c r="JDC72" s="354"/>
      <c r="JDD72" s="165" t="s">
        <v>124</v>
      </c>
      <c r="JDE72" s="352"/>
      <c r="JDF72" s="353"/>
      <c r="JDG72" s="159" t="s">
        <v>24</v>
      </c>
      <c r="JDH72" s="160">
        <v>8150</v>
      </c>
      <c r="JDI72" s="169">
        <v>85</v>
      </c>
      <c r="JDJ72" s="170">
        <v>215</v>
      </c>
      <c r="JDK72" s="170">
        <v>75</v>
      </c>
      <c r="JDL72" s="169">
        <v>150</v>
      </c>
      <c r="JDM72" s="171">
        <f>SUM(JDH72:JDL72)</f>
        <v>8675</v>
      </c>
      <c r="JDN72" s="169">
        <v>200</v>
      </c>
      <c r="JDO72" s="171">
        <f>SUM(JDM72:JDN72)</f>
        <v>8875</v>
      </c>
      <c r="JDP72" s="163" t="s">
        <v>114</v>
      </c>
      <c r="JDQ72" s="164">
        <v>45845</v>
      </c>
      <c r="JDR72" s="159" t="s">
        <v>42</v>
      </c>
      <c r="JDS72" s="354"/>
      <c r="JDT72" s="165" t="s">
        <v>124</v>
      </c>
      <c r="JDU72" s="352"/>
      <c r="JDV72" s="353"/>
      <c r="JDW72" s="159" t="s">
        <v>24</v>
      </c>
      <c r="JDX72" s="160">
        <v>8150</v>
      </c>
      <c r="JDY72" s="169">
        <v>85</v>
      </c>
      <c r="JDZ72" s="170">
        <v>215</v>
      </c>
      <c r="JEA72" s="170">
        <v>75</v>
      </c>
      <c r="JEB72" s="169">
        <v>150</v>
      </c>
      <c r="JEC72" s="171">
        <f>SUM(JDX72:JEB72)</f>
        <v>8675</v>
      </c>
      <c r="JED72" s="169">
        <v>200</v>
      </c>
      <c r="JEE72" s="171">
        <f>SUM(JEC72:JED72)</f>
        <v>8875</v>
      </c>
      <c r="JEF72" s="163" t="s">
        <v>114</v>
      </c>
      <c r="JEG72" s="164">
        <v>45845</v>
      </c>
      <c r="JEH72" s="159" t="s">
        <v>42</v>
      </c>
      <c r="JEI72" s="354"/>
      <c r="JEJ72" s="165" t="s">
        <v>124</v>
      </c>
      <c r="JEK72" s="352"/>
      <c r="JEL72" s="353"/>
      <c r="JEM72" s="159" t="s">
        <v>24</v>
      </c>
      <c r="JEN72" s="160">
        <v>8150</v>
      </c>
      <c r="JEO72" s="169">
        <v>85</v>
      </c>
      <c r="JEP72" s="170">
        <v>215</v>
      </c>
      <c r="JEQ72" s="170">
        <v>75</v>
      </c>
      <c r="JER72" s="169">
        <v>150</v>
      </c>
      <c r="JES72" s="171">
        <f>SUM(JEN72:JER72)</f>
        <v>8675</v>
      </c>
      <c r="JET72" s="169">
        <v>200</v>
      </c>
      <c r="JEU72" s="171">
        <f>SUM(JES72:JET72)</f>
        <v>8875</v>
      </c>
      <c r="JEV72" s="163" t="s">
        <v>114</v>
      </c>
      <c r="JEW72" s="164">
        <v>45845</v>
      </c>
      <c r="JEX72" s="159" t="s">
        <v>42</v>
      </c>
      <c r="JEY72" s="354"/>
      <c r="JEZ72" s="165" t="s">
        <v>124</v>
      </c>
      <c r="JFA72" s="352"/>
      <c r="JFB72" s="353"/>
      <c r="JFC72" s="159" t="s">
        <v>24</v>
      </c>
      <c r="JFD72" s="160">
        <v>8150</v>
      </c>
      <c r="JFE72" s="169">
        <v>85</v>
      </c>
      <c r="JFF72" s="170">
        <v>215</v>
      </c>
      <c r="JFG72" s="170">
        <v>75</v>
      </c>
      <c r="JFH72" s="169">
        <v>150</v>
      </c>
      <c r="JFI72" s="171">
        <f>SUM(JFD72:JFH72)</f>
        <v>8675</v>
      </c>
      <c r="JFJ72" s="169">
        <v>200</v>
      </c>
      <c r="JFK72" s="171">
        <f>SUM(JFI72:JFJ72)</f>
        <v>8875</v>
      </c>
      <c r="JFL72" s="163" t="s">
        <v>114</v>
      </c>
      <c r="JFM72" s="164">
        <v>45845</v>
      </c>
      <c r="JFN72" s="159" t="s">
        <v>42</v>
      </c>
      <c r="JFO72" s="354"/>
      <c r="JFP72" s="165" t="s">
        <v>124</v>
      </c>
      <c r="JFQ72" s="352"/>
      <c r="JFR72" s="353"/>
      <c r="JFS72" s="159" t="s">
        <v>24</v>
      </c>
      <c r="JFT72" s="160">
        <v>8150</v>
      </c>
      <c r="JFU72" s="169">
        <v>85</v>
      </c>
      <c r="JFV72" s="170">
        <v>215</v>
      </c>
      <c r="JFW72" s="170">
        <v>75</v>
      </c>
      <c r="JFX72" s="169">
        <v>150</v>
      </c>
      <c r="JFY72" s="171">
        <f>SUM(JFT72:JFX72)</f>
        <v>8675</v>
      </c>
      <c r="JFZ72" s="169">
        <v>200</v>
      </c>
      <c r="JGA72" s="171">
        <f>SUM(JFY72:JFZ72)</f>
        <v>8875</v>
      </c>
      <c r="JGB72" s="163" t="s">
        <v>114</v>
      </c>
      <c r="JGC72" s="164">
        <v>45845</v>
      </c>
      <c r="JGD72" s="159" t="s">
        <v>42</v>
      </c>
      <c r="JGE72" s="354"/>
      <c r="JGF72" s="165" t="s">
        <v>124</v>
      </c>
      <c r="JGG72" s="352"/>
      <c r="JGH72" s="353"/>
      <c r="JGI72" s="159" t="s">
        <v>24</v>
      </c>
      <c r="JGJ72" s="160">
        <v>8150</v>
      </c>
      <c r="JGK72" s="169">
        <v>85</v>
      </c>
      <c r="JGL72" s="170">
        <v>215</v>
      </c>
      <c r="JGM72" s="170">
        <v>75</v>
      </c>
      <c r="JGN72" s="169">
        <v>150</v>
      </c>
      <c r="JGO72" s="171">
        <f>SUM(JGJ72:JGN72)</f>
        <v>8675</v>
      </c>
      <c r="JGP72" s="169">
        <v>200</v>
      </c>
      <c r="JGQ72" s="171">
        <f>SUM(JGO72:JGP72)</f>
        <v>8875</v>
      </c>
      <c r="JGR72" s="163" t="s">
        <v>114</v>
      </c>
      <c r="JGS72" s="164">
        <v>45845</v>
      </c>
      <c r="JGT72" s="159" t="s">
        <v>42</v>
      </c>
      <c r="JGU72" s="354"/>
      <c r="JGV72" s="165" t="s">
        <v>124</v>
      </c>
      <c r="JGW72" s="352"/>
      <c r="JGX72" s="353"/>
      <c r="JGY72" s="159" t="s">
        <v>24</v>
      </c>
      <c r="JGZ72" s="160">
        <v>8150</v>
      </c>
      <c r="JHA72" s="169">
        <v>85</v>
      </c>
      <c r="JHB72" s="170">
        <v>215</v>
      </c>
      <c r="JHC72" s="170">
        <v>75</v>
      </c>
      <c r="JHD72" s="169">
        <v>150</v>
      </c>
      <c r="JHE72" s="171">
        <f>SUM(JGZ72:JHD72)</f>
        <v>8675</v>
      </c>
      <c r="JHF72" s="169">
        <v>200</v>
      </c>
      <c r="JHG72" s="171">
        <f>SUM(JHE72:JHF72)</f>
        <v>8875</v>
      </c>
      <c r="JHH72" s="163" t="s">
        <v>114</v>
      </c>
      <c r="JHI72" s="164">
        <v>45845</v>
      </c>
      <c r="JHJ72" s="159" t="s">
        <v>42</v>
      </c>
      <c r="JHK72" s="354"/>
      <c r="JHL72" s="165" t="s">
        <v>124</v>
      </c>
      <c r="JHM72" s="352"/>
      <c r="JHN72" s="353"/>
      <c r="JHO72" s="159" t="s">
        <v>24</v>
      </c>
      <c r="JHP72" s="160">
        <v>8150</v>
      </c>
      <c r="JHQ72" s="169">
        <v>85</v>
      </c>
      <c r="JHR72" s="170">
        <v>215</v>
      </c>
      <c r="JHS72" s="170">
        <v>75</v>
      </c>
      <c r="JHT72" s="169">
        <v>150</v>
      </c>
      <c r="JHU72" s="171">
        <f>SUM(JHP72:JHT72)</f>
        <v>8675</v>
      </c>
      <c r="JHV72" s="169">
        <v>200</v>
      </c>
      <c r="JHW72" s="171">
        <f>SUM(JHU72:JHV72)</f>
        <v>8875</v>
      </c>
      <c r="JHX72" s="163" t="s">
        <v>114</v>
      </c>
      <c r="JHY72" s="164">
        <v>45845</v>
      </c>
      <c r="JHZ72" s="159" t="s">
        <v>42</v>
      </c>
      <c r="JIA72" s="354"/>
      <c r="JIB72" s="165" t="s">
        <v>124</v>
      </c>
      <c r="JIC72" s="352"/>
      <c r="JID72" s="353"/>
      <c r="JIE72" s="159" t="s">
        <v>24</v>
      </c>
      <c r="JIF72" s="160">
        <v>8150</v>
      </c>
      <c r="JIG72" s="169">
        <v>85</v>
      </c>
      <c r="JIH72" s="170">
        <v>215</v>
      </c>
      <c r="JII72" s="170">
        <v>75</v>
      </c>
      <c r="JIJ72" s="169">
        <v>150</v>
      </c>
      <c r="JIK72" s="171">
        <f>SUM(JIF72:JIJ72)</f>
        <v>8675</v>
      </c>
      <c r="JIL72" s="169">
        <v>200</v>
      </c>
      <c r="JIM72" s="171">
        <f>SUM(JIK72:JIL72)</f>
        <v>8875</v>
      </c>
      <c r="JIN72" s="163" t="s">
        <v>114</v>
      </c>
      <c r="JIO72" s="164">
        <v>45845</v>
      </c>
      <c r="JIP72" s="159" t="s">
        <v>42</v>
      </c>
      <c r="JIQ72" s="354"/>
      <c r="JIR72" s="165" t="s">
        <v>124</v>
      </c>
      <c r="JIS72" s="352"/>
      <c r="JIT72" s="353"/>
      <c r="JIU72" s="159" t="s">
        <v>24</v>
      </c>
      <c r="JIV72" s="160">
        <v>8150</v>
      </c>
      <c r="JIW72" s="169">
        <v>85</v>
      </c>
      <c r="JIX72" s="170">
        <v>215</v>
      </c>
      <c r="JIY72" s="170">
        <v>75</v>
      </c>
      <c r="JIZ72" s="169">
        <v>150</v>
      </c>
      <c r="JJA72" s="171">
        <f>SUM(JIV72:JIZ72)</f>
        <v>8675</v>
      </c>
      <c r="JJB72" s="169">
        <v>200</v>
      </c>
      <c r="JJC72" s="171">
        <f>SUM(JJA72:JJB72)</f>
        <v>8875</v>
      </c>
      <c r="JJD72" s="163" t="s">
        <v>114</v>
      </c>
      <c r="JJE72" s="164">
        <v>45845</v>
      </c>
      <c r="JJF72" s="159" t="s">
        <v>42</v>
      </c>
      <c r="JJG72" s="354"/>
      <c r="JJH72" s="165" t="s">
        <v>124</v>
      </c>
      <c r="JJI72" s="352"/>
      <c r="JJJ72" s="353"/>
      <c r="JJK72" s="159" t="s">
        <v>24</v>
      </c>
      <c r="JJL72" s="160">
        <v>8150</v>
      </c>
      <c r="JJM72" s="169">
        <v>85</v>
      </c>
      <c r="JJN72" s="170">
        <v>215</v>
      </c>
      <c r="JJO72" s="170">
        <v>75</v>
      </c>
      <c r="JJP72" s="169">
        <v>150</v>
      </c>
      <c r="JJQ72" s="171">
        <f>SUM(JJL72:JJP72)</f>
        <v>8675</v>
      </c>
      <c r="JJR72" s="169">
        <v>200</v>
      </c>
      <c r="JJS72" s="171">
        <f>SUM(JJQ72:JJR72)</f>
        <v>8875</v>
      </c>
      <c r="JJT72" s="163" t="s">
        <v>114</v>
      </c>
      <c r="JJU72" s="164">
        <v>45845</v>
      </c>
      <c r="JJV72" s="159" t="s">
        <v>42</v>
      </c>
      <c r="JJW72" s="354"/>
      <c r="JJX72" s="165" t="s">
        <v>124</v>
      </c>
      <c r="JJY72" s="352"/>
      <c r="JJZ72" s="353"/>
      <c r="JKA72" s="159" t="s">
        <v>24</v>
      </c>
      <c r="JKB72" s="160">
        <v>8150</v>
      </c>
      <c r="JKC72" s="169">
        <v>85</v>
      </c>
      <c r="JKD72" s="170">
        <v>215</v>
      </c>
      <c r="JKE72" s="170">
        <v>75</v>
      </c>
      <c r="JKF72" s="169">
        <v>150</v>
      </c>
      <c r="JKG72" s="171">
        <f>SUM(JKB72:JKF72)</f>
        <v>8675</v>
      </c>
      <c r="JKH72" s="169">
        <v>200</v>
      </c>
      <c r="JKI72" s="171">
        <f>SUM(JKG72:JKH72)</f>
        <v>8875</v>
      </c>
      <c r="JKJ72" s="163" t="s">
        <v>114</v>
      </c>
      <c r="JKK72" s="164">
        <v>45845</v>
      </c>
      <c r="JKL72" s="159" t="s">
        <v>42</v>
      </c>
      <c r="JKM72" s="354"/>
      <c r="JKN72" s="165" t="s">
        <v>124</v>
      </c>
      <c r="JKO72" s="352"/>
      <c r="JKP72" s="353"/>
      <c r="JKQ72" s="159" t="s">
        <v>24</v>
      </c>
      <c r="JKR72" s="160">
        <v>8150</v>
      </c>
      <c r="JKS72" s="169">
        <v>85</v>
      </c>
      <c r="JKT72" s="170">
        <v>215</v>
      </c>
      <c r="JKU72" s="170">
        <v>75</v>
      </c>
      <c r="JKV72" s="169">
        <v>150</v>
      </c>
      <c r="JKW72" s="171">
        <f>SUM(JKR72:JKV72)</f>
        <v>8675</v>
      </c>
      <c r="JKX72" s="169">
        <v>200</v>
      </c>
      <c r="JKY72" s="171">
        <f>SUM(JKW72:JKX72)</f>
        <v>8875</v>
      </c>
      <c r="JKZ72" s="163" t="s">
        <v>114</v>
      </c>
      <c r="JLA72" s="164">
        <v>45845</v>
      </c>
      <c r="JLB72" s="159" t="s">
        <v>42</v>
      </c>
      <c r="JLC72" s="354"/>
      <c r="JLD72" s="165" t="s">
        <v>124</v>
      </c>
      <c r="JLE72" s="352"/>
      <c r="JLF72" s="353"/>
      <c r="JLG72" s="159" t="s">
        <v>24</v>
      </c>
      <c r="JLH72" s="160">
        <v>8150</v>
      </c>
      <c r="JLI72" s="169">
        <v>85</v>
      </c>
      <c r="JLJ72" s="170">
        <v>215</v>
      </c>
      <c r="JLK72" s="170">
        <v>75</v>
      </c>
      <c r="JLL72" s="169">
        <v>150</v>
      </c>
      <c r="JLM72" s="171">
        <f>SUM(JLH72:JLL72)</f>
        <v>8675</v>
      </c>
      <c r="JLN72" s="169">
        <v>200</v>
      </c>
      <c r="JLO72" s="171">
        <f>SUM(JLM72:JLN72)</f>
        <v>8875</v>
      </c>
      <c r="JLP72" s="163" t="s">
        <v>114</v>
      </c>
      <c r="JLQ72" s="164">
        <v>45845</v>
      </c>
      <c r="JLR72" s="159" t="s">
        <v>42</v>
      </c>
      <c r="JLS72" s="354"/>
      <c r="JLT72" s="165" t="s">
        <v>124</v>
      </c>
      <c r="JLU72" s="352"/>
      <c r="JLV72" s="353"/>
      <c r="JLW72" s="159" t="s">
        <v>24</v>
      </c>
      <c r="JLX72" s="160">
        <v>8150</v>
      </c>
      <c r="JLY72" s="169">
        <v>85</v>
      </c>
      <c r="JLZ72" s="170">
        <v>215</v>
      </c>
      <c r="JMA72" s="170">
        <v>75</v>
      </c>
      <c r="JMB72" s="169">
        <v>150</v>
      </c>
      <c r="JMC72" s="171">
        <f>SUM(JLX72:JMB72)</f>
        <v>8675</v>
      </c>
      <c r="JMD72" s="169">
        <v>200</v>
      </c>
      <c r="JME72" s="171">
        <f>SUM(JMC72:JMD72)</f>
        <v>8875</v>
      </c>
      <c r="JMF72" s="163" t="s">
        <v>114</v>
      </c>
      <c r="JMG72" s="164">
        <v>45845</v>
      </c>
      <c r="JMH72" s="159" t="s">
        <v>42</v>
      </c>
      <c r="JMI72" s="354"/>
      <c r="JMJ72" s="165" t="s">
        <v>124</v>
      </c>
      <c r="JMK72" s="352"/>
      <c r="JML72" s="353"/>
      <c r="JMM72" s="159" t="s">
        <v>24</v>
      </c>
      <c r="JMN72" s="160">
        <v>8150</v>
      </c>
      <c r="JMO72" s="169">
        <v>85</v>
      </c>
      <c r="JMP72" s="170">
        <v>215</v>
      </c>
      <c r="JMQ72" s="170">
        <v>75</v>
      </c>
      <c r="JMR72" s="169">
        <v>150</v>
      </c>
      <c r="JMS72" s="171">
        <f>SUM(JMN72:JMR72)</f>
        <v>8675</v>
      </c>
      <c r="JMT72" s="169">
        <v>200</v>
      </c>
      <c r="JMU72" s="171">
        <f>SUM(JMS72:JMT72)</f>
        <v>8875</v>
      </c>
      <c r="JMV72" s="163" t="s">
        <v>114</v>
      </c>
      <c r="JMW72" s="164">
        <v>45845</v>
      </c>
      <c r="JMX72" s="159" t="s">
        <v>42</v>
      </c>
      <c r="JMY72" s="354"/>
      <c r="JMZ72" s="165" t="s">
        <v>124</v>
      </c>
      <c r="JNA72" s="352"/>
      <c r="JNB72" s="353"/>
      <c r="JNC72" s="159" t="s">
        <v>24</v>
      </c>
      <c r="JND72" s="160">
        <v>8150</v>
      </c>
      <c r="JNE72" s="169">
        <v>85</v>
      </c>
      <c r="JNF72" s="170">
        <v>215</v>
      </c>
      <c r="JNG72" s="170">
        <v>75</v>
      </c>
      <c r="JNH72" s="169">
        <v>150</v>
      </c>
      <c r="JNI72" s="171">
        <f>SUM(JND72:JNH72)</f>
        <v>8675</v>
      </c>
      <c r="JNJ72" s="169">
        <v>200</v>
      </c>
      <c r="JNK72" s="171">
        <f>SUM(JNI72:JNJ72)</f>
        <v>8875</v>
      </c>
      <c r="JNL72" s="163" t="s">
        <v>114</v>
      </c>
      <c r="JNM72" s="164">
        <v>45845</v>
      </c>
      <c r="JNN72" s="159" t="s">
        <v>42</v>
      </c>
      <c r="JNO72" s="354"/>
      <c r="JNP72" s="165" t="s">
        <v>124</v>
      </c>
      <c r="JNQ72" s="352"/>
      <c r="JNR72" s="353"/>
      <c r="JNS72" s="159" t="s">
        <v>24</v>
      </c>
      <c r="JNT72" s="160">
        <v>8150</v>
      </c>
      <c r="JNU72" s="169">
        <v>85</v>
      </c>
      <c r="JNV72" s="170">
        <v>215</v>
      </c>
      <c r="JNW72" s="170">
        <v>75</v>
      </c>
      <c r="JNX72" s="169">
        <v>150</v>
      </c>
      <c r="JNY72" s="171">
        <f>SUM(JNT72:JNX72)</f>
        <v>8675</v>
      </c>
      <c r="JNZ72" s="169">
        <v>200</v>
      </c>
      <c r="JOA72" s="171">
        <f>SUM(JNY72:JNZ72)</f>
        <v>8875</v>
      </c>
      <c r="JOB72" s="163" t="s">
        <v>114</v>
      </c>
      <c r="JOC72" s="164">
        <v>45845</v>
      </c>
      <c r="JOD72" s="159" t="s">
        <v>42</v>
      </c>
      <c r="JOE72" s="354"/>
      <c r="JOF72" s="165" t="s">
        <v>124</v>
      </c>
      <c r="JOG72" s="352"/>
      <c r="JOH72" s="353"/>
      <c r="JOI72" s="159" t="s">
        <v>24</v>
      </c>
      <c r="JOJ72" s="160">
        <v>8150</v>
      </c>
      <c r="JOK72" s="169">
        <v>85</v>
      </c>
      <c r="JOL72" s="170">
        <v>215</v>
      </c>
      <c r="JOM72" s="170">
        <v>75</v>
      </c>
      <c r="JON72" s="169">
        <v>150</v>
      </c>
      <c r="JOO72" s="171">
        <f>SUM(JOJ72:JON72)</f>
        <v>8675</v>
      </c>
      <c r="JOP72" s="169">
        <v>200</v>
      </c>
      <c r="JOQ72" s="171">
        <f>SUM(JOO72:JOP72)</f>
        <v>8875</v>
      </c>
      <c r="JOR72" s="163" t="s">
        <v>114</v>
      </c>
      <c r="JOS72" s="164">
        <v>45845</v>
      </c>
      <c r="JOT72" s="159" t="s">
        <v>42</v>
      </c>
      <c r="JOU72" s="354"/>
      <c r="JOV72" s="165" t="s">
        <v>124</v>
      </c>
      <c r="JOW72" s="352"/>
      <c r="JOX72" s="353"/>
      <c r="JOY72" s="159" t="s">
        <v>24</v>
      </c>
      <c r="JOZ72" s="160">
        <v>8150</v>
      </c>
      <c r="JPA72" s="169">
        <v>85</v>
      </c>
      <c r="JPB72" s="170">
        <v>215</v>
      </c>
      <c r="JPC72" s="170">
        <v>75</v>
      </c>
      <c r="JPD72" s="169">
        <v>150</v>
      </c>
      <c r="JPE72" s="171">
        <f>SUM(JOZ72:JPD72)</f>
        <v>8675</v>
      </c>
      <c r="JPF72" s="169">
        <v>200</v>
      </c>
      <c r="JPG72" s="171">
        <f>SUM(JPE72:JPF72)</f>
        <v>8875</v>
      </c>
      <c r="JPH72" s="163" t="s">
        <v>114</v>
      </c>
      <c r="JPI72" s="164">
        <v>45845</v>
      </c>
      <c r="JPJ72" s="159" t="s">
        <v>42</v>
      </c>
      <c r="JPK72" s="354"/>
      <c r="JPL72" s="165" t="s">
        <v>124</v>
      </c>
      <c r="JPM72" s="352"/>
      <c r="JPN72" s="353"/>
      <c r="JPO72" s="159" t="s">
        <v>24</v>
      </c>
      <c r="JPP72" s="160">
        <v>8150</v>
      </c>
      <c r="JPQ72" s="169">
        <v>85</v>
      </c>
      <c r="JPR72" s="170">
        <v>215</v>
      </c>
      <c r="JPS72" s="170">
        <v>75</v>
      </c>
      <c r="JPT72" s="169">
        <v>150</v>
      </c>
      <c r="JPU72" s="171">
        <f>SUM(JPP72:JPT72)</f>
        <v>8675</v>
      </c>
      <c r="JPV72" s="169">
        <v>200</v>
      </c>
      <c r="JPW72" s="171">
        <f>SUM(JPU72:JPV72)</f>
        <v>8875</v>
      </c>
      <c r="JPX72" s="163" t="s">
        <v>114</v>
      </c>
      <c r="JPY72" s="164">
        <v>45845</v>
      </c>
      <c r="JPZ72" s="159" t="s">
        <v>42</v>
      </c>
      <c r="JQA72" s="354"/>
      <c r="JQB72" s="165" t="s">
        <v>124</v>
      </c>
      <c r="JQC72" s="352"/>
      <c r="JQD72" s="353"/>
      <c r="JQE72" s="159" t="s">
        <v>24</v>
      </c>
      <c r="JQF72" s="160">
        <v>8150</v>
      </c>
      <c r="JQG72" s="169">
        <v>85</v>
      </c>
      <c r="JQH72" s="170">
        <v>215</v>
      </c>
      <c r="JQI72" s="170">
        <v>75</v>
      </c>
      <c r="JQJ72" s="169">
        <v>150</v>
      </c>
      <c r="JQK72" s="171">
        <f>SUM(JQF72:JQJ72)</f>
        <v>8675</v>
      </c>
      <c r="JQL72" s="169">
        <v>200</v>
      </c>
      <c r="JQM72" s="171">
        <f>SUM(JQK72:JQL72)</f>
        <v>8875</v>
      </c>
      <c r="JQN72" s="163" t="s">
        <v>114</v>
      </c>
      <c r="JQO72" s="164">
        <v>45845</v>
      </c>
      <c r="JQP72" s="159" t="s">
        <v>42</v>
      </c>
      <c r="JQQ72" s="354"/>
      <c r="JQR72" s="165" t="s">
        <v>124</v>
      </c>
      <c r="JQS72" s="352"/>
      <c r="JQT72" s="353"/>
      <c r="JQU72" s="159" t="s">
        <v>24</v>
      </c>
      <c r="JQV72" s="160">
        <v>8150</v>
      </c>
      <c r="JQW72" s="169">
        <v>85</v>
      </c>
      <c r="JQX72" s="170">
        <v>215</v>
      </c>
      <c r="JQY72" s="170">
        <v>75</v>
      </c>
      <c r="JQZ72" s="169">
        <v>150</v>
      </c>
      <c r="JRA72" s="171">
        <f>SUM(JQV72:JQZ72)</f>
        <v>8675</v>
      </c>
      <c r="JRB72" s="169">
        <v>200</v>
      </c>
      <c r="JRC72" s="171">
        <f>SUM(JRA72:JRB72)</f>
        <v>8875</v>
      </c>
      <c r="JRD72" s="163" t="s">
        <v>114</v>
      </c>
      <c r="JRE72" s="164">
        <v>45845</v>
      </c>
      <c r="JRF72" s="159" t="s">
        <v>42</v>
      </c>
      <c r="JRG72" s="354"/>
      <c r="JRH72" s="165" t="s">
        <v>124</v>
      </c>
      <c r="JRI72" s="352"/>
      <c r="JRJ72" s="353"/>
      <c r="JRK72" s="159" t="s">
        <v>24</v>
      </c>
      <c r="JRL72" s="160">
        <v>8150</v>
      </c>
      <c r="JRM72" s="169">
        <v>85</v>
      </c>
      <c r="JRN72" s="170">
        <v>215</v>
      </c>
      <c r="JRO72" s="170">
        <v>75</v>
      </c>
      <c r="JRP72" s="169">
        <v>150</v>
      </c>
      <c r="JRQ72" s="171">
        <f>SUM(JRL72:JRP72)</f>
        <v>8675</v>
      </c>
      <c r="JRR72" s="169">
        <v>200</v>
      </c>
      <c r="JRS72" s="171">
        <f>SUM(JRQ72:JRR72)</f>
        <v>8875</v>
      </c>
      <c r="JRT72" s="163" t="s">
        <v>114</v>
      </c>
      <c r="JRU72" s="164">
        <v>45845</v>
      </c>
      <c r="JRV72" s="159" t="s">
        <v>42</v>
      </c>
      <c r="JRW72" s="354"/>
      <c r="JRX72" s="165" t="s">
        <v>124</v>
      </c>
      <c r="JRY72" s="352"/>
      <c r="JRZ72" s="353"/>
      <c r="JSA72" s="159" t="s">
        <v>24</v>
      </c>
      <c r="JSB72" s="160">
        <v>8150</v>
      </c>
      <c r="JSC72" s="169">
        <v>85</v>
      </c>
      <c r="JSD72" s="170">
        <v>215</v>
      </c>
      <c r="JSE72" s="170">
        <v>75</v>
      </c>
      <c r="JSF72" s="169">
        <v>150</v>
      </c>
      <c r="JSG72" s="171">
        <f>SUM(JSB72:JSF72)</f>
        <v>8675</v>
      </c>
      <c r="JSH72" s="169">
        <v>200</v>
      </c>
      <c r="JSI72" s="171">
        <f>SUM(JSG72:JSH72)</f>
        <v>8875</v>
      </c>
      <c r="JSJ72" s="163" t="s">
        <v>114</v>
      </c>
      <c r="JSK72" s="164">
        <v>45845</v>
      </c>
      <c r="JSL72" s="159" t="s">
        <v>42</v>
      </c>
      <c r="JSM72" s="354"/>
      <c r="JSN72" s="165" t="s">
        <v>124</v>
      </c>
      <c r="JSO72" s="352"/>
      <c r="JSP72" s="353"/>
      <c r="JSQ72" s="159" t="s">
        <v>24</v>
      </c>
      <c r="JSR72" s="160">
        <v>8150</v>
      </c>
      <c r="JSS72" s="169">
        <v>85</v>
      </c>
      <c r="JST72" s="170">
        <v>215</v>
      </c>
      <c r="JSU72" s="170">
        <v>75</v>
      </c>
      <c r="JSV72" s="169">
        <v>150</v>
      </c>
      <c r="JSW72" s="171">
        <f>SUM(JSR72:JSV72)</f>
        <v>8675</v>
      </c>
      <c r="JSX72" s="169">
        <v>200</v>
      </c>
      <c r="JSY72" s="171">
        <f>SUM(JSW72:JSX72)</f>
        <v>8875</v>
      </c>
      <c r="JSZ72" s="163" t="s">
        <v>114</v>
      </c>
      <c r="JTA72" s="164">
        <v>45845</v>
      </c>
      <c r="JTB72" s="159" t="s">
        <v>42</v>
      </c>
      <c r="JTC72" s="354"/>
      <c r="JTD72" s="165" t="s">
        <v>124</v>
      </c>
      <c r="JTE72" s="352"/>
      <c r="JTF72" s="353"/>
      <c r="JTG72" s="159" t="s">
        <v>24</v>
      </c>
      <c r="JTH72" s="160">
        <v>8150</v>
      </c>
      <c r="JTI72" s="169">
        <v>85</v>
      </c>
      <c r="JTJ72" s="170">
        <v>215</v>
      </c>
      <c r="JTK72" s="170">
        <v>75</v>
      </c>
      <c r="JTL72" s="169">
        <v>150</v>
      </c>
      <c r="JTM72" s="171">
        <f>SUM(JTH72:JTL72)</f>
        <v>8675</v>
      </c>
      <c r="JTN72" s="169">
        <v>200</v>
      </c>
      <c r="JTO72" s="171">
        <f>SUM(JTM72:JTN72)</f>
        <v>8875</v>
      </c>
      <c r="JTP72" s="163" t="s">
        <v>114</v>
      </c>
      <c r="JTQ72" s="164">
        <v>45845</v>
      </c>
      <c r="JTR72" s="159" t="s">
        <v>42</v>
      </c>
      <c r="JTS72" s="354"/>
      <c r="JTT72" s="165" t="s">
        <v>124</v>
      </c>
      <c r="JTU72" s="352"/>
      <c r="JTV72" s="353"/>
      <c r="JTW72" s="159" t="s">
        <v>24</v>
      </c>
      <c r="JTX72" s="160">
        <v>8150</v>
      </c>
      <c r="JTY72" s="169">
        <v>85</v>
      </c>
      <c r="JTZ72" s="170">
        <v>215</v>
      </c>
      <c r="JUA72" s="170">
        <v>75</v>
      </c>
      <c r="JUB72" s="169">
        <v>150</v>
      </c>
      <c r="JUC72" s="171">
        <f>SUM(JTX72:JUB72)</f>
        <v>8675</v>
      </c>
      <c r="JUD72" s="169">
        <v>200</v>
      </c>
      <c r="JUE72" s="171">
        <f>SUM(JUC72:JUD72)</f>
        <v>8875</v>
      </c>
      <c r="JUF72" s="163" t="s">
        <v>114</v>
      </c>
      <c r="JUG72" s="164">
        <v>45845</v>
      </c>
      <c r="JUH72" s="159" t="s">
        <v>42</v>
      </c>
      <c r="JUI72" s="354"/>
      <c r="JUJ72" s="165" t="s">
        <v>124</v>
      </c>
      <c r="JUK72" s="352"/>
      <c r="JUL72" s="353"/>
      <c r="JUM72" s="159" t="s">
        <v>24</v>
      </c>
      <c r="JUN72" s="160">
        <v>8150</v>
      </c>
      <c r="JUO72" s="169">
        <v>85</v>
      </c>
      <c r="JUP72" s="170">
        <v>215</v>
      </c>
      <c r="JUQ72" s="170">
        <v>75</v>
      </c>
      <c r="JUR72" s="169">
        <v>150</v>
      </c>
      <c r="JUS72" s="171">
        <f>SUM(JUN72:JUR72)</f>
        <v>8675</v>
      </c>
      <c r="JUT72" s="169">
        <v>200</v>
      </c>
      <c r="JUU72" s="171">
        <f>SUM(JUS72:JUT72)</f>
        <v>8875</v>
      </c>
      <c r="JUV72" s="163" t="s">
        <v>114</v>
      </c>
      <c r="JUW72" s="164">
        <v>45845</v>
      </c>
      <c r="JUX72" s="159" t="s">
        <v>42</v>
      </c>
      <c r="JUY72" s="354"/>
      <c r="JUZ72" s="165" t="s">
        <v>124</v>
      </c>
      <c r="JVA72" s="352"/>
      <c r="JVB72" s="353"/>
      <c r="JVC72" s="159" t="s">
        <v>24</v>
      </c>
      <c r="JVD72" s="160">
        <v>8150</v>
      </c>
      <c r="JVE72" s="169">
        <v>85</v>
      </c>
      <c r="JVF72" s="170">
        <v>215</v>
      </c>
      <c r="JVG72" s="170">
        <v>75</v>
      </c>
      <c r="JVH72" s="169">
        <v>150</v>
      </c>
      <c r="JVI72" s="171">
        <f>SUM(JVD72:JVH72)</f>
        <v>8675</v>
      </c>
      <c r="JVJ72" s="169">
        <v>200</v>
      </c>
      <c r="JVK72" s="171">
        <f>SUM(JVI72:JVJ72)</f>
        <v>8875</v>
      </c>
      <c r="JVL72" s="163" t="s">
        <v>114</v>
      </c>
      <c r="JVM72" s="164">
        <v>45845</v>
      </c>
      <c r="JVN72" s="159" t="s">
        <v>42</v>
      </c>
      <c r="JVO72" s="354"/>
      <c r="JVP72" s="165" t="s">
        <v>124</v>
      </c>
      <c r="JVQ72" s="352"/>
      <c r="JVR72" s="353"/>
      <c r="JVS72" s="159" t="s">
        <v>24</v>
      </c>
      <c r="JVT72" s="160">
        <v>8150</v>
      </c>
      <c r="JVU72" s="169">
        <v>85</v>
      </c>
      <c r="JVV72" s="170">
        <v>215</v>
      </c>
      <c r="JVW72" s="170">
        <v>75</v>
      </c>
      <c r="JVX72" s="169">
        <v>150</v>
      </c>
      <c r="JVY72" s="171">
        <f>SUM(JVT72:JVX72)</f>
        <v>8675</v>
      </c>
      <c r="JVZ72" s="169">
        <v>200</v>
      </c>
      <c r="JWA72" s="171">
        <f>SUM(JVY72:JVZ72)</f>
        <v>8875</v>
      </c>
      <c r="JWB72" s="163" t="s">
        <v>114</v>
      </c>
      <c r="JWC72" s="164">
        <v>45845</v>
      </c>
      <c r="JWD72" s="159" t="s">
        <v>42</v>
      </c>
      <c r="JWE72" s="354"/>
      <c r="JWF72" s="165" t="s">
        <v>124</v>
      </c>
      <c r="JWG72" s="352"/>
      <c r="JWH72" s="353"/>
      <c r="JWI72" s="159" t="s">
        <v>24</v>
      </c>
      <c r="JWJ72" s="160">
        <v>8150</v>
      </c>
      <c r="JWK72" s="169">
        <v>85</v>
      </c>
      <c r="JWL72" s="170">
        <v>215</v>
      </c>
      <c r="JWM72" s="170">
        <v>75</v>
      </c>
      <c r="JWN72" s="169">
        <v>150</v>
      </c>
      <c r="JWO72" s="171">
        <f>SUM(JWJ72:JWN72)</f>
        <v>8675</v>
      </c>
      <c r="JWP72" s="169">
        <v>200</v>
      </c>
      <c r="JWQ72" s="171">
        <f>SUM(JWO72:JWP72)</f>
        <v>8875</v>
      </c>
      <c r="JWR72" s="163" t="s">
        <v>114</v>
      </c>
      <c r="JWS72" s="164">
        <v>45845</v>
      </c>
      <c r="JWT72" s="159" t="s">
        <v>42</v>
      </c>
      <c r="JWU72" s="354"/>
      <c r="JWV72" s="165" t="s">
        <v>124</v>
      </c>
      <c r="JWW72" s="352"/>
      <c r="JWX72" s="353"/>
      <c r="JWY72" s="159" t="s">
        <v>24</v>
      </c>
      <c r="JWZ72" s="160">
        <v>8150</v>
      </c>
      <c r="JXA72" s="169">
        <v>85</v>
      </c>
      <c r="JXB72" s="170">
        <v>215</v>
      </c>
      <c r="JXC72" s="170">
        <v>75</v>
      </c>
      <c r="JXD72" s="169">
        <v>150</v>
      </c>
      <c r="JXE72" s="171">
        <f>SUM(JWZ72:JXD72)</f>
        <v>8675</v>
      </c>
      <c r="JXF72" s="169">
        <v>200</v>
      </c>
      <c r="JXG72" s="171">
        <f>SUM(JXE72:JXF72)</f>
        <v>8875</v>
      </c>
      <c r="JXH72" s="163" t="s">
        <v>114</v>
      </c>
      <c r="JXI72" s="164">
        <v>45845</v>
      </c>
      <c r="JXJ72" s="159" t="s">
        <v>42</v>
      </c>
      <c r="JXK72" s="354"/>
      <c r="JXL72" s="165" t="s">
        <v>124</v>
      </c>
      <c r="JXM72" s="352"/>
      <c r="JXN72" s="353"/>
      <c r="JXO72" s="159" t="s">
        <v>24</v>
      </c>
      <c r="JXP72" s="160">
        <v>8150</v>
      </c>
      <c r="JXQ72" s="169">
        <v>85</v>
      </c>
      <c r="JXR72" s="170">
        <v>215</v>
      </c>
      <c r="JXS72" s="170">
        <v>75</v>
      </c>
      <c r="JXT72" s="169">
        <v>150</v>
      </c>
      <c r="JXU72" s="171">
        <f>SUM(JXP72:JXT72)</f>
        <v>8675</v>
      </c>
      <c r="JXV72" s="169">
        <v>200</v>
      </c>
      <c r="JXW72" s="171">
        <f>SUM(JXU72:JXV72)</f>
        <v>8875</v>
      </c>
      <c r="JXX72" s="163" t="s">
        <v>114</v>
      </c>
      <c r="JXY72" s="164">
        <v>45845</v>
      </c>
      <c r="JXZ72" s="159" t="s">
        <v>42</v>
      </c>
      <c r="JYA72" s="354"/>
      <c r="JYB72" s="165" t="s">
        <v>124</v>
      </c>
      <c r="JYC72" s="352"/>
      <c r="JYD72" s="353"/>
      <c r="JYE72" s="159" t="s">
        <v>24</v>
      </c>
      <c r="JYF72" s="160">
        <v>8150</v>
      </c>
      <c r="JYG72" s="169">
        <v>85</v>
      </c>
      <c r="JYH72" s="170">
        <v>215</v>
      </c>
      <c r="JYI72" s="170">
        <v>75</v>
      </c>
      <c r="JYJ72" s="169">
        <v>150</v>
      </c>
      <c r="JYK72" s="171">
        <f>SUM(JYF72:JYJ72)</f>
        <v>8675</v>
      </c>
      <c r="JYL72" s="169">
        <v>200</v>
      </c>
      <c r="JYM72" s="171">
        <f>SUM(JYK72:JYL72)</f>
        <v>8875</v>
      </c>
      <c r="JYN72" s="163" t="s">
        <v>114</v>
      </c>
      <c r="JYO72" s="164">
        <v>45845</v>
      </c>
      <c r="JYP72" s="159" t="s">
        <v>42</v>
      </c>
      <c r="JYQ72" s="354"/>
      <c r="JYR72" s="165" t="s">
        <v>124</v>
      </c>
      <c r="JYS72" s="352"/>
      <c r="JYT72" s="353"/>
      <c r="JYU72" s="159" t="s">
        <v>24</v>
      </c>
      <c r="JYV72" s="160">
        <v>8150</v>
      </c>
      <c r="JYW72" s="169">
        <v>85</v>
      </c>
      <c r="JYX72" s="170">
        <v>215</v>
      </c>
      <c r="JYY72" s="170">
        <v>75</v>
      </c>
      <c r="JYZ72" s="169">
        <v>150</v>
      </c>
      <c r="JZA72" s="171">
        <f>SUM(JYV72:JYZ72)</f>
        <v>8675</v>
      </c>
      <c r="JZB72" s="169">
        <v>200</v>
      </c>
      <c r="JZC72" s="171">
        <f>SUM(JZA72:JZB72)</f>
        <v>8875</v>
      </c>
      <c r="JZD72" s="163" t="s">
        <v>114</v>
      </c>
      <c r="JZE72" s="164">
        <v>45845</v>
      </c>
      <c r="JZF72" s="159" t="s">
        <v>42</v>
      </c>
      <c r="JZG72" s="354"/>
      <c r="JZH72" s="165" t="s">
        <v>124</v>
      </c>
      <c r="JZI72" s="352"/>
      <c r="JZJ72" s="353"/>
      <c r="JZK72" s="159" t="s">
        <v>24</v>
      </c>
      <c r="JZL72" s="160">
        <v>8150</v>
      </c>
      <c r="JZM72" s="169">
        <v>85</v>
      </c>
      <c r="JZN72" s="170">
        <v>215</v>
      </c>
      <c r="JZO72" s="170">
        <v>75</v>
      </c>
      <c r="JZP72" s="169">
        <v>150</v>
      </c>
      <c r="JZQ72" s="171">
        <f>SUM(JZL72:JZP72)</f>
        <v>8675</v>
      </c>
      <c r="JZR72" s="169">
        <v>200</v>
      </c>
      <c r="JZS72" s="171">
        <f>SUM(JZQ72:JZR72)</f>
        <v>8875</v>
      </c>
      <c r="JZT72" s="163" t="s">
        <v>114</v>
      </c>
      <c r="JZU72" s="164">
        <v>45845</v>
      </c>
      <c r="JZV72" s="159" t="s">
        <v>42</v>
      </c>
      <c r="JZW72" s="354"/>
      <c r="JZX72" s="165" t="s">
        <v>124</v>
      </c>
      <c r="JZY72" s="352"/>
      <c r="JZZ72" s="353"/>
      <c r="KAA72" s="159" t="s">
        <v>24</v>
      </c>
      <c r="KAB72" s="160">
        <v>8150</v>
      </c>
      <c r="KAC72" s="169">
        <v>85</v>
      </c>
      <c r="KAD72" s="170">
        <v>215</v>
      </c>
      <c r="KAE72" s="170">
        <v>75</v>
      </c>
      <c r="KAF72" s="169">
        <v>150</v>
      </c>
      <c r="KAG72" s="171">
        <f>SUM(KAB72:KAF72)</f>
        <v>8675</v>
      </c>
      <c r="KAH72" s="169">
        <v>200</v>
      </c>
      <c r="KAI72" s="171">
        <f>SUM(KAG72:KAH72)</f>
        <v>8875</v>
      </c>
      <c r="KAJ72" s="163" t="s">
        <v>114</v>
      </c>
      <c r="KAK72" s="164">
        <v>45845</v>
      </c>
      <c r="KAL72" s="159" t="s">
        <v>42</v>
      </c>
      <c r="KAM72" s="354"/>
      <c r="KAN72" s="165" t="s">
        <v>124</v>
      </c>
      <c r="KAO72" s="352"/>
      <c r="KAP72" s="353"/>
      <c r="KAQ72" s="159" t="s">
        <v>24</v>
      </c>
      <c r="KAR72" s="160">
        <v>8150</v>
      </c>
      <c r="KAS72" s="169">
        <v>85</v>
      </c>
      <c r="KAT72" s="170">
        <v>215</v>
      </c>
      <c r="KAU72" s="170">
        <v>75</v>
      </c>
      <c r="KAV72" s="169">
        <v>150</v>
      </c>
      <c r="KAW72" s="171">
        <f>SUM(KAR72:KAV72)</f>
        <v>8675</v>
      </c>
      <c r="KAX72" s="169">
        <v>200</v>
      </c>
      <c r="KAY72" s="171">
        <f>SUM(KAW72:KAX72)</f>
        <v>8875</v>
      </c>
      <c r="KAZ72" s="163" t="s">
        <v>114</v>
      </c>
      <c r="KBA72" s="164">
        <v>45845</v>
      </c>
      <c r="KBB72" s="159" t="s">
        <v>42</v>
      </c>
      <c r="KBC72" s="354"/>
      <c r="KBD72" s="165" t="s">
        <v>124</v>
      </c>
      <c r="KBE72" s="352"/>
      <c r="KBF72" s="353"/>
      <c r="KBG72" s="159" t="s">
        <v>24</v>
      </c>
      <c r="KBH72" s="160">
        <v>8150</v>
      </c>
      <c r="KBI72" s="169">
        <v>85</v>
      </c>
      <c r="KBJ72" s="170">
        <v>215</v>
      </c>
      <c r="KBK72" s="170">
        <v>75</v>
      </c>
      <c r="KBL72" s="169">
        <v>150</v>
      </c>
      <c r="KBM72" s="171">
        <f>SUM(KBH72:KBL72)</f>
        <v>8675</v>
      </c>
      <c r="KBN72" s="169">
        <v>200</v>
      </c>
      <c r="KBO72" s="171">
        <f>SUM(KBM72:KBN72)</f>
        <v>8875</v>
      </c>
      <c r="KBP72" s="163" t="s">
        <v>114</v>
      </c>
      <c r="KBQ72" s="164">
        <v>45845</v>
      </c>
      <c r="KBR72" s="159" t="s">
        <v>42</v>
      </c>
      <c r="KBS72" s="354"/>
      <c r="KBT72" s="165" t="s">
        <v>124</v>
      </c>
      <c r="KBU72" s="352"/>
      <c r="KBV72" s="353"/>
      <c r="KBW72" s="159" t="s">
        <v>24</v>
      </c>
      <c r="KBX72" s="160">
        <v>8150</v>
      </c>
      <c r="KBY72" s="169">
        <v>85</v>
      </c>
      <c r="KBZ72" s="170">
        <v>215</v>
      </c>
      <c r="KCA72" s="170">
        <v>75</v>
      </c>
      <c r="KCB72" s="169">
        <v>150</v>
      </c>
      <c r="KCC72" s="171">
        <f>SUM(KBX72:KCB72)</f>
        <v>8675</v>
      </c>
      <c r="KCD72" s="169">
        <v>200</v>
      </c>
      <c r="KCE72" s="171">
        <f>SUM(KCC72:KCD72)</f>
        <v>8875</v>
      </c>
      <c r="KCF72" s="163" t="s">
        <v>114</v>
      </c>
      <c r="KCG72" s="164">
        <v>45845</v>
      </c>
      <c r="KCH72" s="159" t="s">
        <v>42</v>
      </c>
      <c r="KCI72" s="354"/>
      <c r="KCJ72" s="165" t="s">
        <v>124</v>
      </c>
      <c r="KCK72" s="352"/>
      <c r="KCL72" s="353"/>
      <c r="KCM72" s="159" t="s">
        <v>24</v>
      </c>
      <c r="KCN72" s="160">
        <v>8150</v>
      </c>
      <c r="KCO72" s="169">
        <v>85</v>
      </c>
      <c r="KCP72" s="170">
        <v>215</v>
      </c>
      <c r="KCQ72" s="170">
        <v>75</v>
      </c>
      <c r="KCR72" s="169">
        <v>150</v>
      </c>
      <c r="KCS72" s="171">
        <f>SUM(KCN72:KCR72)</f>
        <v>8675</v>
      </c>
      <c r="KCT72" s="169">
        <v>200</v>
      </c>
      <c r="KCU72" s="171">
        <f>SUM(KCS72:KCT72)</f>
        <v>8875</v>
      </c>
      <c r="KCV72" s="163" t="s">
        <v>114</v>
      </c>
      <c r="KCW72" s="164">
        <v>45845</v>
      </c>
      <c r="KCX72" s="159" t="s">
        <v>42</v>
      </c>
      <c r="KCY72" s="354"/>
      <c r="KCZ72" s="165" t="s">
        <v>124</v>
      </c>
      <c r="KDA72" s="352"/>
      <c r="KDB72" s="353"/>
      <c r="KDC72" s="159" t="s">
        <v>24</v>
      </c>
      <c r="KDD72" s="160">
        <v>8150</v>
      </c>
      <c r="KDE72" s="169">
        <v>85</v>
      </c>
      <c r="KDF72" s="170">
        <v>215</v>
      </c>
      <c r="KDG72" s="170">
        <v>75</v>
      </c>
      <c r="KDH72" s="169">
        <v>150</v>
      </c>
      <c r="KDI72" s="171">
        <f>SUM(KDD72:KDH72)</f>
        <v>8675</v>
      </c>
      <c r="KDJ72" s="169">
        <v>200</v>
      </c>
      <c r="KDK72" s="171">
        <f>SUM(KDI72:KDJ72)</f>
        <v>8875</v>
      </c>
      <c r="KDL72" s="163" t="s">
        <v>114</v>
      </c>
      <c r="KDM72" s="164">
        <v>45845</v>
      </c>
      <c r="KDN72" s="159" t="s">
        <v>42</v>
      </c>
      <c r="KDO72" s="354"/>
      <c r="KDP72" s="165" t="s">
        <v>124</v>
      </c>
      <c r="KDQ72" s="352"/>
      <c r="KDR72" s="353"/>
      <c r="KDS72" s="159" t="s">
        <v>24</v>
      </c>
      <c r="KDT72" s="160">
        <v>8150</v>
      </c>
      <c r="KDU72" s="169">
        <v>85</v>
      </c>
      <c r="KDV72" s="170">
        <v>215</v>
      </c>
      <c r="KDW72" s="170">
        <v>75</v>
      </c>
      <c r="KDX72" s="169">
        <v>150</v>
      </c>
      <c r="KDY72" s="171">
        <f>SUM(KDT72:KDX72)</f>
        <v>8675</v>
      </c>
      <c r="KDZ72" s="169">
        <v>200</v>
      </c>
      <c r="KEA72" s="171">
        <f>SUM(KDY72:KDZ72)</f>
        <v>8875</v>
      </c>
      <c r="KEB72" s="163" t="s">
        <v>114</v>
      </c>
      <c r="KEC72" s="164">
        <v>45845</v>
      </c>
      <c r="KED72" s="159" t="s">
        <v>42</v>
      </c>
      <c r="KEE72" s="354"/>
      <c r="KEF72" s="165" t="s">
        <v>124</v>
      </c>
      <c r="KEG72" s="352"/>
      <c r="KEH72" s="353"/>
      <c r="KEI72" s="159" t="s">
        <v>24</v>
      </c>
      <c r="KEJ72" s="160">
        <v>8150</v>
      </c>
      <c r="KEK72" s="169">
        <v>85</v>
      </c>
      <c r="KEL72" s="170">
        <v>215</v>
      </c>
      <c r="KEM72" s="170">
        <v>75</v>
      </c>
      <c r="KEN72" s="169">
        <v>150</v>
      </c>
      <c r="KEO72" s="171">
        <f>SUM(KEJ72:KEN72)</f>
        <v>8675</v>
      </c>
      <c r="KEP72" s="169">
        <v>200</v>
      </c>
      <c r="KEQ72" s="171">
        <f>SUM(KEO72:KEP72)</f>
        <v>8875</v>
      </c>
      <c r="KER72" s="163" t="s">
        <v>114</v>
      </c>
      <c r="KES72" s="164">
        <v>45845</v>
      </c>
      <c r="KET72" s="159" t="s">
        <v>42</v>
      </c>
      <c r="KEU72" s="354"/>
      <c r="KEV72" s="165" t="s">
        <v>124</v>
      </c>
      <c r="KEW72" s="352"/>
      <c r="KEX72" s="353"/>
      <c r="KEY72" s="159" t="s">
        <v>24</v>
      </c>
      <c r="KEZ72" s="160">
        <v>8150</v>
      </c>
      <c r="KFA72" s="169">
        <v>85</v>
      </c>
      <c r="KFB72" s="170">
        <v>215</v>
      </c>
      <c r="KFC72" s="170">
        <v>75</v>
      </c>
      <c r="KFD72" s="169">
        <v>150</v>
      </c>
      <c r="KFE72" s="171">
        <f>SUM(KEZ72:KFD72)</f>
        <v>8675</v>
      </c>
      <c r="KFF72" s="169">
        <v>200</v>
      </c>
      <c r="KFG72" s="171">
        <f>SUM(KFE72:KFF72)</f>
        <v>8875</v>
      </c>
      <c r="KFH72" s="163" t="s">
        <v>114</v>
      </c>
      <c r="KFI72" s="164">
        <v>45845</v>
      </c>
      <c r="KFJ72" s="159" t="s">
        <v>42</v>
      </c>
      <c r="KFK72" s="354"/>
      <c r="KFL72" s="165" t="s">
        <v>124</v>
      </c>
      <c r="KFM72" s="352"/>
      <c r="KFN72" s="353"/>
      <c r="KFO72" s="159" t="s">
        <v>24</v>
      </c>
      <c r="KFP72" s="160">
        <v>8150</v>
      </c>
      <c r="KFQ72" s="169">
        <v>85</v>
      </c>
      <c r="KFR72" s="170">
        <v>215</v>
      </c>
      <c r="KFS72" s="170">
        <v>75</v>
      </c>
      <c r="KFT72" s="169">
        <v>150</v>
      </c>
      <c r="KFU72" s="171">
        <f>SUM(KFP72:KFT72)</f>
        <v>8675</v>
      </c>
      <c r="KFV72" s="169">
        <v>200</v>
      </c>
      <c r="KFW72" s="171">
        <f>SUM(KFU72:KFV72)</f>
        <v>8875</v>
      </c>
      <c r="KFX72" s="163" t="s">
        <v>114</v>
      </c>
      <c r="KFY72" s="164">
        <v>45845</v>
      </c>
      <c r="KFZ72" s="159" t="s">
        <v>42</v>
      </c>
      <c r="KGA72" s="354"/>
      <c r="KGB72" s="165" t="s">
        <v>124</v>
      </c>
      <c r="KGC72" s="352"/>
      <c r="KGD72" s="353"/>
      <c r="KGE72" s="159" t="s">
        <v>24</v>
      </c>
      <c r="KGF72" s="160">
        <v>8150</v>
      </c>
      <c r="KGG72" s="169">
        <v>85</v>
      </c>
      <c r="KGH72" s="170">
        <v>215</v>
      </c>
      <c r="KGI72" s="170">
        <v>75</v>
      </c>
      <c r="KGJ72" s="169">
        <v>150</v>
      </c>
      <c r="KGK72" s="171">
        <f>SUM(KGF72:KGJ72)</f>
        <v>8675</v>
      </c>
      <c r="KGL72" s="169">
        <v>200</v>
      </c>
      <c r="KGM72" s="171">
        <f>SUM(KGK72:KGL72)</f>
        <v>8875</v>
      </c>
      <c r="KGN72" s="163" t="s">
        <v>114</v>
      </c>
      <c r="KGO72" s="164">
        <v>45845</v>
      </c>
      <c r="KGP72" s="159" t="s">
        <v>42</v>
      </c>
      <c r="KGQ72" s="354"/>
      <c r="KGR72" s="165" t="s">
        <v>124</v>
      </c>
      <c r="KGS72" s="352"/>
      <c r="KGT72" s="353"/>
      <c r="KGU72" s="159" t="s">
        <v>24</v>
      </c>
      <c r="KGV72" s="160">
        <v>8150</v>
      </c>
      <c r="KGW72" s="169">
        <v>85</v>
      </c>
      <c r="KGX72" s="170">
        <v>215</v>
      </c>
      <c r="KGY72" s="170">
        <v>75</v>
      </c>
      <c r="KGZ72" s="169">
        <v>150</v>
      </c>
      <c r="KHA72" s="171">
        <f>SUM(KGV72:KGZ72)</f>
        <v>8675</v>
      </c>
      <c r="KHB72" s="169">
        <v>200</v>
      </c>
      <c r="KHC72" s="171">
        <f>SUM(KHA72:KHB72)</f>
        <v>8875</v>
      </c>
      <c r="KHD72" s="163" t="s">
        <v>114</v>
      </c>
      <c r="KHE72" s="164">
        <v>45845</v>
      </c>
      <c r="KHF72" s="159" t="s">
        <v>42</v>
      </c>
      <c r="KHG72" s="354"/>
      <c r="KHH72" s="165" t="s">
        <v>124</v>
      </c>
      <c r="KHI72" s="352"/>
      <c r="KHJ72" s="353"/>
      <c r="KHK72" s="159" t="s">
        <v>24</v>
      </c>
      <c r="KHL72" s="160">
        <v>8150</v>
      </c>
      <c r="KHM72" s="169">
        <v>85</v>
      </c>
      <c r="KHN72" s="170">
        <v>215</v>
      </c>
      <c r="KHO72" s="170">
        <v>75</v>
      </c>
      <c r="KHP72" s="169">
        <v>150</v>
      </c>
      <c r="KHQ72" s="171">
        <f>SUM(KHL72:KHP72)</f>
        <v>8675</v>
      </c>
      <c r="KHR72" s="169">
        <v>200</v>
      </c>
      <c r="KHS72" s="171">
        <f>SUM(KHQ72:KHR72)</f>
        <v>8875</v>
      </c>
      <c r="KHT72" s="163" t="s">
        <v>114</v>
      </c>
      <c r="KHU72" s="164">
        <v>45845</v>
      </c>
      <c r="KHV72" s="159" t="s">
        <v>42</v>
      </c>
      <c r="KHW72" s="354"/>
      <c r="KHX72" s="165" t="s">
        <v>124</v>
      </c>
      <c r="KHY72" s="352"/>
      <c r="KHZ72" s="353"/>
      <c r="KIA72" s="159" t="s">
        <v>24</v>
      </c>
      <c r="KIB72" s="160">
        <v>8150</v>
      </c>
      <c r="KIC72" s="169">
        <v>85</v>
      </c>
      <c r="KID72" s="170">
        <v>215</v>
      </c>
      <c r="KIE72" s="170">
        <v>75</v>
      </c>
      <c r="KIF72" s="169">
        <v>150</v>
      </c>
      <c r="KIG72" s="171">
        <f>SUM(KIB72:KIF72)</f>
        <v>8675</v>
      </c>
      <c r="KIH72" s="169">
        <v>200</v>
      </c>
      <c r="KII72" s="171">
        <f>SUM(KIG72:KIH72)</f>
        <v>8875</v>
      </c>
      <c r="KIJ72" s="163" t="s">
        <v>114</v>
      </c>
      <c r="KIK72" s="164">
        <v>45845</v>
      </c>
      <c r="KIL72" s="159" t="s">
        <v>42</v>
      </c>
      <c r="KIM72" s="354"/>
      <c r="KIN72" s="165" t="s">
        <v>124</v>
      </c>
      <c r="KIO72" s="352"/>
      <c r="KIP72" s="353"/>
      <c r="KIQ72" s="159" t="s">
        <v>24</v>
      </c>
      <c r="KIR72" s="160">
        <v>8150</v>
      </c>
      <c r="KIS72" s="169">
        <v>85</v>
      </c>
      <c r="KIT72" s="170">
        <v>215</v>
      </c>
      <c r="KIU72" s="170">
        <v>75</v>
      </c>
      <c r="KIV72" s="169">
        <v>150</v>
      </c>
      <c r="KIW72" s="171">
        <f>SUM(KIR72:KIV72)</f>
        <v>8675</v>
      </c>
      <c r="KIX72" s="169">
        <v>200</v>
      </c>
      <c r="KIY72" s="171">
        <f>SUM(KIW72:KIX72)</f>
        <v>8875</v>
      </c>
      <c r="KIZ72" s="163" t="s">
        <v>114</v>
      </c>
      <c r="KJA72" s="164">
        <v>45845</v>
      </c>
      <c r="KJB72" s="159" t="s">
        <v>42</v>
      </c>
      <c r="KJC72" s="354"/>
      <c r="KJD72" s="165" t="s">
        <v>124</v>
      </c>
      <c r="KJE72" s="352"/>
      <c r="KJF72" s="353"/>
      <c r="KJG72" s="159" t="s">
        <v>24</v>
      </c>
      <c r="KJH72" s="160">
        <v>8150</v>
      </c>
      <c r="KJI72" s="169">
        <v>85</v>
      </c>
      <c r="KJJ72" s="170">
        <v>215</v>
      </c>
      <c r="KJK72" s="170">
        <v>75</v>
      </c>
      <c r="KJL72" s="169">
        <v>150</v>
      </c>
      <c r="KJM72" s="171">
        <f>SUM(KJH72:KJL72)</f>
        <v>8675</v>
      </c>
      <c r="KJN72" s="169">
        <v>200</v>
      </c>
      <c r="KJO72" s="171">
        <f>SUM(KJM72:KJN72)</f>
        <v>8875</v>
      </c>
      <c r="KJP72" s="163" t="s">
        <v>114</v>
      </c>
      <c r="KJQ72" s="164">
        <v>45845</v>
      </c>
      <c r="KJR72" s="159" t="s">
        <v>42</v>
      </c>
      <c r="KJS72" s="354"/>
      <c r="KJT72" s="165" t="s">
        <v>124</v>
      </c>
      <c r="KJU72" s="352"/>
      <c r="KJV72" s="353"/>
      <c r="KJW72" s="159" t="s">
        <v>24</v>
      </c>
      <c r="KJX72" s="160">
        <v>8150</v>
      </c>
      <c r="KJY72" s="169">
        <v>85</v>
      </c>
      <c r="KJZ72" s="170">
        <v>215</v>
      </c>
      <c r="KKA72" s="170">
        <v>75</v>
      </c>
      <c r="KKB72" s="169">
        <v>150</v>
      </c>
      <c r="KKC72" s="171">
        <f>SUM(KJX72:KKB72)</f>
        <v>8675</v>
      </c>
      <c r="KKD72" s="169">
        <v>200</v>
      </c>
      <c r="KKE72" s="171">
        <f>SUM(KKC72:KKD72)</f>
        <v>8875</v>
      </c>
      <c r="KKF72" s="163" t="s">
        <v>114</v>
      </c>
      <c r="KKG72" s="164">
        <v>45845</v>
      </c>
      <c r="KKH72" s="159" t="s">
        <v>42</v>
      </c>
      <c r="KKI72" s="354"/>
      <c r="KKJ72" s="165" t="s">
        <v>124</v>
      </c>
      <c r="KKK72" s="352"/>
      <c r="KKL72" s="353"/>
      <c r="KKM72" s="159" t="s">
        <v>24</v>
      </c>
      <c r="KKN72" s="160">
        <v>8150</v>
      </c>
      <c r="KKO72" s="169">
        <v>85</v>
      </c>
      <c r="KKP72" s="170">
        <v>215</v>
      </c>
      <c r="KKQ72" s="170">
        <v>75</v>
      </c>
      <c r="KKR72" s="169">
        <v>150</v>
      </c>
      <c r="KKS72" s="171">
        <f>SUM(KKN72:KKR72)</f>
        <v>8675</v>
      </c>
      <c r="KKT72" s="169">
        <v>200</v>
      </c>
      <c r="KKU72" s="171">
        <f>SUM(KKS72:KKT72)</f>
        <v>8875</v>
      </c>
      <c r="KKV72" s="163" t="s">
        <v>114</v>
      </c>
      <c r="KKW72" s="164">
        <v>45845</v>
      </c>
      <c r="KKX72" s="159" t="s">
        <v>42</v>
      </c>
      <c r="KKY72" s="354"/>
      <c r="KKZ72" s="165" t="s">
        <v>124</v>
      </c>
      <c r="KLA72" s="352"/>
      <c r="KLB72" s="353"/>
      <c r="KLC72" s="159" t="s">
        <v>24</v>
      </c>
      <c r="KLD72" s="160">
        <v>8150</v>
      </c>
      <c r="KLE72" s="169">
        <v>85</v>
      </c>
      <c r="KLF72" s="170">
        <v>215</v>
      </c>
      <c r="KLG72" s="170">
        <v>75</v>
      </c>
      <c r="KLH72" s="169">
        <v>150</v>
      </c>
      <c r="KLI72" s="171">
        <f>SUM(KLD72:KLH72)</f>
        <v>8675</v>
      </c>
      <c r="KLJ72" s="169">
        <v>200</v>
      </c>
      <c r="KLK72" s="171">
        <f>SUM(KLI72:KLJ72)</f>
        <v>8875</v>
      </c>
      <c r="KLL72" s="163" t="s">
        <v>114</v>
      </c>
      <c r="KLM72" s="164">
        <v>45845</v>
      </c>
      <c r="KLN72" s="159" t="s">
        <v>42</v>
      </c>
      <c r="KLO72" s="354"/>
      <c r="KLP72" s="165" t="s">
        <v>124</v>
      </c>
      <c r="KLQ72" s="352"/>
      <c r="KLR72" s="353"/>
      <c r="KLS72" s="159" t="s">
        <v>24</v>
      </c>
      <c r="KLT72" s="160">
        <v>8150</v>
      </c>
      <c r="KLU72" s="169">
        <v>85</v>
      </c>
      <c r="KLV72" s="170">
        <v>215</v>
      </c>
      <c r="KLW72" s="170">
        <v>75</v>
      </c>
      <c r="KLX72" s="169">
        <v>150</v>
      </c>
      <c r="KLY72" s="171">
        <f>SUM(KLT72:KLX72)</f>
        <v>8675</v>
      </c>
      <c r="KLZ72" s="169">
        <v>200</v>
      </c>
      <c r="KMA72" s="171">
        <f>SUM(KLY72:KLZ72)</f>
        <v>8875</v>
      </c>
      <c r="KMB72" s="163" t="s">
        <v>114</v>
      </c>
      <c r="KMC72" s="164">
        <v>45845</v>
      </c>
      <c r="KMD72" s="159" t="s">
        <v>42</v>
      </c>
      <c r="KME72" s="354"/>
      <c r="KMF72" s="165" t="s">
        <v>124</v>
      </c>
      <c r="KMG72" s="352"/>
      <c r="KMH72" s="353"/>
      <c r="KMI72" s="159" t="s">
        <v>24</v>
      </c>
      <c r="KMJ72" s="160">
        <v>8150</v>
      </c>
      <c r="KMK72" s="169">
        <v>85</v>
      </c>
      <c r="KML72" s="170">
        <v>215</v>
      </c>
      <c r="KMM72" s="170">
        <v>75</v>
      </c>
      <c r="KMN72" s="169">
        <v>150</v>
      </c>
      <c r="KMO72" s="171">
        <f>SUM(KMJ72:KMN72)</f>
        <v>8675</v>
      </c>
      <c r="KMP72" s="169">
        <v>200</v>
      </c>
      <c r="KMQ72" s="171">
        <f>SUM(KMO72:KMP72)</f>
        <v>8875</v>
      </c>
      <c r="KMR72" s="163" t="s">
        <v>114</v>
      </c>
      <c r="KMS72" s="164">
        <v>45845</v>
      </c>
      <c r="KMT72" s="159" t="s">
        <v>42</v>
      </c>
      <c r="KMU72" s="354"/>
      <c r="KMV72" s="165" t="s">
        <v>124</v>
      </c>
      <c r="KMW72" s="352"/>
      <c r="KMX72" s="353"/>
      <c r="KMY72" s="159" t="s">
        <v>24</v>
      </c>
      <c r="KMZ72" s="160">
        <v>8150</v>
      </c>
      <c r="KNA72" s="169">
        <v>85</v>
      </c>
      <c r="KNB72" s="170">
        <v>215</v>
      </c>
      <c r="KNC72" s="170">
        <v>75</v>
      </c>
      <c r="KND72" s="169">
        <v>150</v>
      </c>
      <c r="KNE72" s="171">
        <f>SUM(KMZ72:KND72)</f>
        <v>8675</v>
      </c>
      <c r="KNF72" s="169">
        <v>200</v>
      </c>
      <c r="KNG72" s="171">
        <f>SUM(KNE72:KNF72)</f>
        <v>8875</v>
      </c>
      <c r="KNH72" s="163" t="s">
        <v>114</v>
      </c>
      <c r="KNI72" s="164">
        <v>45845</v>
      </c>
      <c r="KNJ72" s="159" t="s">
        <v>42</v>
      </c>
      <c r="KNK72" s="354"/>
      <c r="KNL72" s="165" t="s">
        <v>124</v>
      </c>
      <c r="KNM72" s="352"/>
      <c r="KNN72" s="353"/>
      <c r="KNO72" s="159" t="s">
        <v>24</v>
      </c>
      <c r="KNP72" s="160">
        <v>8150</v>
      </c>
      <c r="KNQ72" s="169">
        <v>85</v>
      </c>
      <c r="KNR72" s="170">
        <v>215</v>
      </c>
      <c r="KNS72" s="170">
        <v>75</v>
      </c>
      <c r="KNT72" s="169">
        <v>150</v>
      </c>
      <c r="KNU72" s="171">
        <f>SUM(KNP72:KNT72)</f>
        <v>8675</v>
      </c>
      <c r="KNV72" s="169">
        <v>200</v>
      </c>
      <c r="KNW72" s="171">
        <f>SUM(KNU72:KNV72)</f>
        <v>8875</v>
      </c>
      <c r="KNX72" s="163" t="s">
        <v>114</v>
      </c>
      <c r="KNY72" s="164">
        <v>45845</v>
      </c>
      <c r="KNZ72" s="159" t="s">
        <v>42</v>
      </c>
      <c r="KOA72" s="354"/>
      <c r="KOB72" s="165" t="s">
        <v>124</v>
      </c>
      <c r="KOC72" s="352"/>
      <c r="KOD72" s="353"/>
      <c r="KOE72" s="159" t="s">
        <v>24</v>
      </c>
      <c r="KOF72" s="160">
        <v>8150</v>
      </c>
      <c r="KOG72" s="169">
        <v>85</v>
      </c>
      <c r="KOH72" s="170">
        <v>215</v>
      </c>
      <c r="KOI72" s="170">
        <v>75</v>
      </c>
      <c r="KOJ72" s="169">
        <v>150</v>
      </c>
      <c r="KOK72" s="171">
        <f>SUM(KOF72:KOJ72)</f>
        <v>8675</v>
      </c>
      <c r="KOL72" s="169">
        <v>200</v>
      </c>
      <c r="KOM72" s="171">
        <f>SUM(KOK72:KOL72)</f>
        <v>8875</v>
      </c>
      <c r="KON72" s="163" t="s">
        <v>114</v>
      </c>
      <c r="KOO72" s="164">
        <v>45845</v>
      </c>
      <c r="KOP72" s="159" t="s">
        <v>42</v>
      </c>
      <c r="KOQ72" s="354"/>
      <c r="KOR72" s="165" t="s">
        <v>124</v>
      </c>
      <c r="KOS72" s="352"/>
      <c r="KOT72" s="353"/>
      <c r="KOU72" s="159" t="s">
        <v>24</v>
      </c>
      <c r="KOV72" s="160">
        <v>8150</v>
      </c>
      <c r="KOW72" s="169">
        <v>85</v>
      </c>
      <c r="KOX72" s="170">
        <v>215</v>
      </c>
      <c r="KOY72" s="170">
        <v>75</v>
      </c>
      <c r="KOZ72" s="169">
        <v>150</v>
      </c>
      <c r="KPA72" s="171">
        <f>SUM(KOV72:KOZ72)</f>
        <v>8675</v>
      </c>
      <c r="KPB72" s="169">
        <v>200</v>
      </c>
      <c r="KPC72" s="171">
        <f>SUM(KPA72:KPB72)</f>
        <v>8875</v>
      </c>
      <c r="KPD72" s="163" t="s">
        <v>114</v>
      </c>
      <c r="KPE72" s="164">
        <v>45845</v>
      </c>
      <c r="KPF72" s="159" t="s">
        <v>42</v>
      </c>
      <c r="KPG72" s="354"/>
      <c r="KPH72" s="165" t="s">
        <v>124</v>
      </c>
      <c r="KPI72" s="352"/>
      <c r="KPJ72" s="353"/>
      <c r="KPK72" s="159" t="s">
        <v>24</v>
      </c>
      <c r="KPL72" s="160">
        <v>8150</v>
      </c>
      <c r="KPM72" s="169">
        <v>85</v>
      </c>
      <c r="KPN72" s="170">
        <v>215</v>
      </c>
      <c r="KPO72" s="170">
        <v>75</v>
      </c>
      <c r="KPP72" s="169">
        <v>150</v>
      </c>
      <c r="KPQ72" s="171">
        <f>SUM(KPL72:KPP72)</f>
        <v>8675</v>
      </c>
      <c r="KPR72" s="169">
        <v>200</v>
      </c>
      <c r="KPS72" s="171">
        <f>SUM(KPQ72:KPR72)</f>
        <v>8875</v>
      </c>
      <c r="KPT72" s="163" t="s">
        <v>114</v>
      </c>
      <c r="KPU72" s="164">
        <v>45845</v>
      </c>
      <c r="KPV72" s="159" t="s">
        <v>42</v>
      </c>
      <c r="KPW72" s="354"/>
      <c r="KPX72" s="165" t="s">
        <v>124</v>
      </c>
      <c r="KPY72" s="352"/>
      <c r="KPZ72" s="353"/>
      <c r="KQA72" s="159" t="s">
        <v>24</v>
      </c>
      <c r="KQB72" s="160">
        <v>8150</v>
      </c>
      <c r="KQC72" s="169">
        <v>85</v>
      </c>
      <c r="KQD72" s="170">
        <v>215</v>
      </c>
      <c r="KQE72" s="170">
        <v>75</v>
      </c>
      <c r="KQF72" s="169">
        <v>150</v>
      </c>
      <c r="KQG72" s="171">
        <f>SUM(KQB72:KQF72)</f>
        <v>8675</v>
      </c>
      <c r="KQH72" s="169">
        <v>200</v>
      </c>
      <c r="KQI72" s="171">
        <f>SUM(KQG72:KQH72)</f>
        <v>8875</v>
      </c>
      <c r="KQJ72" s="163" t="s">
        <v>114</v>
      </c>
      <c r="KQK72" s="164">
        <v>45845</v>
      </c>
      <c r="KQL72" s="159" t="s">
        <v>42</v>
      </c>
      <c r="KQM72" s="354"/>
      <c r="KQN72" s="165" t="s">
        <v>124</v>
      </c>
      <c r="KQO72" s="352"/>
      <c r="KQP72" s="353"/>
      <c r="KQQ72" s="159" t="s">
        <v>24</v>
      </c>
      <c r="KQR72" s="160">
        <v>8150</v>
      </c>
      <c r="KQS72" s="169">
        <v>85</v>
      </c>
      <c r="KQT72" s="170">
        <v>215</v>
      </c>
      <c r="KQU72" s="170">
        <v>75</v>
      </c>
      <c r="KQV72" s="169">
        <v>150</v>
      </c>
      <c r="KQW72" s="171">
        <f>SUM(KQR72:KQV72)</f>
        <v>8675</v>
      </c>
      <c r="KQX72" s="169">
        <v>200</v>
      </c>
      <c r="KQY72" s="171">
        <f>SUM(KQW72:KQX72)</f>
        <v>8875</v>
      </c>
      <c r="KQZ72" s="163" t="s">
        <v>114</v>
      </c>
      <c r="KRA72" s="164">
        <v>45845</v>
      </c>
      <c r="KRB72" s="159" t="s">
        <v>42</v>
      </c>
      <c r="KRC72" s="354"/>
      <c r="KRD72" s="165" t="s">
        <v>124</v>
      </c>
      <c r="KRE72" s="352"/>
      <c r="KRF72" s="353"/>
      <c r="KRG72" s="159" t="s">
        <v>24</v>
      </c>
      <c r="KRH72" s="160">
        <v>8150</v>
      </c>
      <c r="KRI72" s="169">
        <v>85</v>
      </c>
      <c r="KRJ72" s="170">
        <v>215</v>
      </c>
      <c r="KRK72" s="170">
        <v>75</v>
      </c>
      <c r="KRL72" s="169">
        <v>150</v>
      </c>
      <c r="KRM72" s="171">
        <f>SUM(KRH72:KRL72)</f>
        <v>8675</v>
      </c>
      <c r="KRN72" s="169">
        <v>200</v>
      </c>
      <c r="KRO72" s="171">
        <f>SUM(KRM72:KRN72)</f>
        <v>8875</v>
      </c>
      <c r="KRP72" s="163" t="s">
        <v>114</v>
      </c>
      <c r="KRQ72" s="164">
        <v>45845</v>
      </c>
      <c r="KRR72" s="159" t="s">
        <v>42</v>
      </c>
      <c r="KRS72" s="354"/>
      <c r="KRT72" s="165" t="s">
        <v>124</v>
      </c>
      <c r="KRU72" s="352"/>
      <c r="KRV72" s="353"/>
      <c r="KRW72" s="159" t="s">
        <v>24</v>
      </c>
      <c r="KRX72" s="160">
        <v>8150</v>
      </c>
      <c r="KRY72" s="169">
        <v>85</v>
      </c>
      <c r="KRZ72" s="170">
        <v>215</v>
      </c>
      <c r="KSA72" s="170">
        <v>75</v>
      </c>
      <c r="KSB72" s="169">
        <v>150</v>
      </c>
      <c r="KSC72" s="171">
        <f>SUM(KRX72:KSB72)</f>
        <v>8675</v>
      </c>
      <c r="KSD72" s="169">
        <v>200</v>
      </c>
      <c r="KSE72" s="171">
        <f>SUM(KSC72:KSD72)</f>
        <v>8875</v>
      </c>
      <c r="KSF72" s="163" t="s">
        <v>114</v>
      </c>
      <c r="KSG72" s="164">
        <v>45845</v>
      </c>
      <c r="KSH72" s="159" t="s">
        <v>42</v>
      </c>
      <c r="KSI72" s="354"/>
      <c r="KSJ72" s="165" t="s">
        <v>124</v>
      </c>
      <c r="KSK72" s="352"/>
      <c r="KSL72" s="353"/>
      <c r="KSM72" s="159" t="s">
        <v>24</v>
      </c>
      <c r="KSN72" s="160">
        <v>8150</v>
      </c>
      <c r="KSO72" s="169">
        <v>85</v>
      </c>
      <c r="KSP72" s="170">
        <v>215</v>
      </c>
      <c r="KSQ72" s="170">
        <v>75</v>
      </c>
      <c r="KSR72" s="169">
        <v>150</v>
      </c>
      <c r="KSS72" s="171">
        <f>SUM(KSN72:KSR72)</f>
        <v>8675</v>
      </c>
      <c r="KST72" s="169">
        <v>200</v>
      </c>
      <c r="KSU72" s="171">
        <f>SUM(KSS72:KST72)</f>
        <v>8875</v>
      </c>
      <c r="KSV72" s="163" t="s">
        <v>114</v>
      </c>
      <c r="KSW72" s="164">
        <v>45845</v>
      </c>
      <c r="KSX72" s="159" t="s">
        <v>42</v>
      </c>
      <c r="KSY72" s="354"/>
      <c r="KSZ72" s="165" t="s">
        <v>124</v>
      </c>
      <c r="KTA72" s="352"/>
      <c r="KTB72" s="353"/>
      <c r="KTC72" s="159" t="s">
        <v>24</v>
      </c>
      <c r="KTD72" s="160">
        <v>8150</v>
      </c>
      <c r="KTE72" s="169">
        <v>85</v>
      </c>
      <c r="KTF72" s="170">
        <v>215</v>
      </c>
      <c r="KTG72" s="170">
        <v>75</v>
      </c>
      <c r="KTH72" s="169">
        <v>150</v>
      </c>
      <c r="KTI72" s="171">
        <f>SUM(KTD72:KTH72)</f>
        <v>8675</v>
      </c>
      <c r="KTJ72" s="169">
        <v>200</v>
      </c>
      <c r="KTK72" s="171">
        <f>SUM(KTI72:KTJ72)</f>
        <v>8875</v>
      </c>
      <c r="KTL72" s="163" t="s">
        <v>114</v>
      </c>
      <c r="KTM72" s="164">
        <v>45845</v>
      </c>
      <c r="KTN72" s="159" t="s">
        <v>42</v>
      </c>
      <c r="KTO72" s="354"/>
      <c r="KTP72" s="165" t="s">
        <v>124</v>
      </c>
      <c r="KTQ72" s="352"/>
      <c r="KTR72" s="353"/>
      <c r="KTS72" s="159" t="s">
        <v>24</v>
      </c>
      <c r="KTT72" s="160">
        <v>8150</v>
      </c>
      <c r="KTU72" s="169">
        <v>85</v>
      </c>
      <c r="KTV72" s="170">
        <v>215</v>
      </c>
      <c r="KTW72" s="170">
        <v>75</v>
      </c>
      <c r="KTX72" s="169">
        <v>150</v>
      </c>
      <c r="KTY72" s="171">
        <f>SUM(KTT72:KTX72)</f>
        <v>8675</v>
      </c>
      <c r="KTZ72" s="169">
        <v>200</v>
      </c>
      <c r="KUA72" s="171">
        <f>SUM(KTY72:KTZ72)</f>
        <v>8875</v>
      </c>
      <c r="KUB72" s="163" t="s">
        <v>114</v>
      </c>
      <c r="KUC72" s="164">
        <v>45845</v>
      </c>
      <c r="KUD72" s="159" t="s">
        <v>42</v>
      </c>
      <c r="KUE72" s="354"/>
      <c r="KUF72" s="165" t="s">
        <v>124</v>
      </c>
      <c r="KUG72" s="352"/>
      <c r="KUH72" s="353"/>
      <c r="KUI72" s="159" t="s">
        <v>24</v>
      </c>
      <c r="KUJ72" s="160">
        <v>8150</v>
      </c>
      <c r="KUK72" s="169">
        <v>85</v>
      </c>
      <c r="KUL72" s="170">
        <v>215</v>
      </c>
      <c r="KUM72" s="170">
        <v>75</v>
      </c>
      <c r="KUN72" s="169">
        <v>150</v>
      </c>
      <c r="KUO72" s="171">
        <f>SUM(KUJ72:KUN72)</f>
        <v>8675</v>
      </c>
      <c r="KUP72" s="169">
        <v>200</v>
      </c>
      <c r="KUQ72" s="171">
        <f>SUM(KUO72:KUP72)</f>
        <v>8875</v>
      </c>
      <c r="KUR72" s="163" t="s">
        <v>114</v>
      </c>
      <c r="KUS72" s="164">
        <v>45845</v>
      </c>
      <c r="KUT72" s="159" t="s">
        <v>42</v>
      </c>
      <c r="KUU72" s="354"/>
      <c r="KUV72" s="165" t="s">
        <v>124</v>
      </c>
      <c r="KUW72" s="352"/>
      <c r="KUX72" s="353"/>
      <c r="KUY72" s="159" t="s">
        <v>24</v>
      </c>
      <c r="KUZ72" s="160">
        <v>8150</v>
      </c>
      <c r="KVA72" s="169">
        <v>85</v>
      </c>
      <c r="KVB72" s="170">
        <v>215</v>
      </c>
      <c r="KVC72" s="170">
        <v>75</v>
      </c>
      <c r="KVD72" s="169">
        <v>150</v>
      </c>
      <c r="KVE72" s="171">
        <f>SUM(KUZ72:KVD72)</f>
        <v>8675</v>
      </c>
      <c r="KVF72" s="169">
        <v>200</v>
      </c>
      <c r="KVG72" s="171">
        <f>SUM(KVE72:KVF72)</f>
        <v>8875</v>
      </c>
      <c r="KVH72" s="163" t="s">
        <v>114</v>
      </c>
      <c r="KVI72" s="164">
        <v>45845</v>
      </c>
      <c r="KVJ72" s="159" t="s">
        <v>42</v>
      </c>
      <c r="KVK72" s="354"/>
      <c r="KVL72" s="165" t="s">
        <v>124</v>
      </c>
      <c r="KVM72" s="352"/>
      <c r="KVN72" s="353"/>
      <c r="KVO72" s="159" t="s">
        <v>24</v>
      </c>
      <c r="KVP72" s="160">
        <v>8150</v>
      </c>
      <c r="KVQ72" s="169">
        <v>85</v>
      </c>
      <c r="KVR72" s="170">
        <v>215</v>
      </c>
      <c r="KVS72" s="170">
        <v>75</v>
      </c>
      <c r="KVT72" s="169">
        <v>150</v>
      </c>
      <c r="KVU72" s="171">
        <f>SUM(KVP72:KVT72)</f>
        <v>8675</v>
      </c>
      <c r="KVV72" s="169">
        <v>200</v>
      </c>
      <c r="KVW72" s="171">
        <f>SUM(KVU72:KVV72)</f>
        <v>8875</v>
      </c>
      <c r="KVX72" s="163" t="s">
        <v>114</v>
      </c>
      <c r="KVY72" s="164">
        <v>45845</v>
      </c>
      <c r="KVZ72" s="159" t="s">
        <v>42</v>
      </c>
      <c r="KWA72" s="354"/>
      <c r="KWB72" s="165" t="s">
        <v>124</v>
      </c>
      <c r="KWC72" s="352"/>
      <c r="KWD72" s="353"/>
      <c r="KWE72" s="159" t="s">
        <v>24</v>
      </c>
      <c r="KWF72" s="160">
        <v>8150</v>
      </c>
      <c r="KWG72" s="169">
        <v>85</v>
      </c>
      <c r="KWH72" s="170">
        <v>215</v>
      </c>
      <c r="KWI72" s="170">
        <v>75</v>
      </c>
      <c r="KWJ72" s="169">
        <v>150</v>
      </c>
      <c r="KWK72" s="171">
        <f>SUM(KWF72:KWJ72)</f>
        <v>8675</v>
      </c>
      <c r="KWL72" s="169">
        <v>200</v>
      </c>
      <c r="KWM72" s="171">
        <f>SUM(KWK72:KWL72)</f>
        <v>8875</v>
      </c>
      <c r="KWN72" s="163" t="s">
        <v>114</v>
      </c>
      <c r="KWO72" s="164">
        <v>45845</v>
      </c>
      <c r="KWP72" s="159" t="s">
        <v>42</v>
      </c>
      <c r="KWQ72" s="354"/>
      <c r="KWR72" s="165" t="s">
        <v>124</v>
      </c>
      <c r="KWS72" s="352"/>
      <c r="KWT72" s="353"/>
      <c r="KWU72" s="159" t="s">
        <v>24</v>
      </c>
      <c r="KWV72" s="160">
        <v>8150</v>
      </c>
      <c r="KWW72" s="169">
        <v>85</v>
      </c>
      <c r="KWX72" s="170">
        <v>215</v>
      </c>
      <c r="KWY72" s="170">
        <v>75</v>
      </c>
      <c r="KWZ72" s="169">
        <v>150</v>
      </c>
      <c r="KXA72" s="171">
        <f>SUM(KWV72:KWZ72)</f>
        <v>8675</v>
      </c>
      <c r="KXB72" s="169">
        <v>200</v>
      </c>
      <c r="KXC72" s="171">
        <f>SUM(KXA72:KXB72)</f>
        <v>8875</v>
      </c>
      <c r="KXD72" s="163" t="s">
        <v>114</v>
      </c>
      <c r="KXE72" s="164">
        <v>45845</v>
      </c>
      <c r="KXF72" s="159" t="s">
        <v>42</v>
      </c>
      <c r="KXG72" s="354"/>
      <c r="KXH72" s="165" t="s">
        <v>124</v>
      </c>
      <c r="KXI72" s="352"/>
      <c r="KXJ72" s="353"/>
      <c r="KXK72" s="159" t="s">
        <v>24</v>
      </c>
      <c r="KXL72" s="160">
        <v>8150</v>
      </c>
      <c r="KXM72" s="169">
        <v>85</v>
      </c>
      <c r="KXN72" s="170">
        <v>215</v>
      </c>
      <c r="KXO72" s="170">
        <v>75</v>
      </c>
      <c r="KXP72" s="169">
        <v>150</v>
      </c>
      <c r="KXQ72" s="171">
        <f>SUM(KXL72:KXP72)</f>
        <v>8675</v>
      </c>
      <c r="KXR72" s="169">
        <v>200</v>
      </c>
      <c r="KXS72" s="171">
        <f>SUM(KXQ72:KXR72)</f>
        <v>8875</v>
      </c>
      <c r="KXT72" s="163" t="s">
        <v>114</v>
      </c>
      <c r="KXU72" s="164">
        <v>45845</v>
      </c>
      <c r="KXV72" s="159" t="s">
        <v>42</v>
      </c>
      <c r="KXW72" s="354"/>
      <c r="KXX72" s="165" t="s">
        <v>124</v>
      </c>
      <c r="KXY72" s="352"/>
      <c r="KXZ72" s="353"/>
      <c r="KYA72" s="159" t="s">
        <v>24</v>
      </c>
      <c r="KYB72" s="160">
        <v>8150</v>
      </c>
      <c r="KYC72" s="169">
        <v>85</v>
      </c>
      <c r="KYD72" s="170">
        <v>215</v>
      </c>
      <c r="KYE72" s="170">
        <v>75</v>
      </c>
      <c r="KYF72" s="169">
        <v>150</v>
      </c>
      <c r="KYG72" s="171">
        <f>SUM(KYB72:KYF72)</f>
        <v>8675</v>
      </c>
      <c r="KYH72" s="169">
        <v>200</v>
      </c>
      <c r="KYI72" s="171">
        <f>SUM(KYG72:KYH72)</f>
        <v>8875</v>
      </c>
      <c r="KYJ72" s="163" t="s">
        <v>114</v>
      </c>
      <c r="KYK72" s="164">
        <v>45845</v>
      </c>
      <c r="KYL72" s="159" t="s">
        <v>42</v>
      </c>
      <c r="KYM72" s="354"/>
      <c r="KYN72" s="165" t="s">
        <v>124</v>
      </c>
      <c r="KYO72" s="352"/>
      <c r="KYP72" s="353"/>
      <c r="KYQ72" s="159" t="s">
        <v>24</v>
      </c>
      <c r="KYR72" s="160">
        <v>8150</v>
      </c>
      <c r="KYS72" s="169">
        <v>85</v>
      </c>
      <c r="KYT72" s="170">
        <v>215</v>
      </c>
      <c r="KYU72" s="170">
        <v>75</v>
      </c>
      <c r="KYV72" s="169">
        <v>150</v>
      </c>
      <c r="KYW72" s="171">
        <f>SUM(KYR72:KYV72)</f>
        <v>8675</v>
      </c>
      <c r="KYX72" s="169">
        <v>200</v>
      </c>
      <c r="KYY72" s="171">
        <f>SUM(KYW72:KYX72)</f>
        <v>8875</v>
      </c>
      <c r="KYZ72" s="163" t="s">
        <v>114</v>
      </c>
      <c r="KZA72" s="164">
        <v>45845</v>
      </c>
      <c r="KZB72" s="159" t="s">
        <v>42</v>
      </c>
      <c r="KZC72" s="354"/>
      <c r="KZD72" s="165" t="s">
        <v>124</v>
      </c>
      <c r="KZE72" s="352"/>
      <c r="KZF72" s="353"/>
      <c r="KZG72" s="159" t="s">
        <v>24</v>
      </c>
      <c r="KZH72" s="160">
        <v>8150</v>
      </c>
      <c r="KZI72" s="169">
        <v>85</v>
      </c>
      <c r="KZJ72" s="170">
        <v>215</v>
      </c>
      <c r="KZK72" s="170">
        <v>75</v>
      </c>
      <c r="KZL72" s="169">
        <v>150</v>
      </c>
      <c r="KZM72" s="171">
        <f>SUM(KZH72:KZL72)</f>
        <v>8675</v>
      </c>
      <c r="KZN72" s="169">
        <v>200</v>
      </c>
      <c r="KZO72" s="171">
        <f>SUM(KZM72:KZN72)</f>
        <v>8875</v>
      </c>
      <c r="KZP72" s="163" t="s">
        <v>114</v>
      </c>
      <c r="KZQ72" s="164">
        <v>45845</v>
      </c>
      <c r="KZR72" s="159" t="s">
        <v>42</v>
      </c>
      <c r="KZS72" s="354"/>
      <c r="KZT72" s="165" t="s">
        <v>124</v>
      </c>
      <c r="KZU72" s="352"/>
      <c r="KZV72" s="353"/>
      <c r="KZW72" s="159" t="s">
        <v>24</v>
      </c>
      <c r="KZX72" s="160">
        <v>8150</v>
      </c>
      <c r="KZY72" s="169">
        <v>85</v>
      </c>
      <c r="KZZ72" s="170">
        <v>215</v>
      </c>
      <c r="LAA72" s="170">
        <v>75</v>
      </c>
      <c r="LAB72" s="169">
        <v>150</v>
      </c>
      <c r="LAC72" s="171">
        <f>SUM(KZX72:LAB72)</f>
        <v>8675</v>
      </c>
      <c r="LAD72" s="169">
        <v>200</v>
      </c>
      <c r="LAE72" s="171">
        <f>SUM(LAC72:LAD72)</f>
        <v>8875</v>
      </c>
      <c r="LAF72" s="163" t="s">
        <v>114</v>
      </c>
      <c r="LAG72" s="164">
        <v>45845</v>
      </c>
      <c r="LAH72" s="159" t="s">
        <v>42</v>
      </c>
      <c r="LAI72" s="354"/>
      <c r="LAJ72" s="165" t="s">
        <v>124</v>
      </c>
      <c r="LAK72" s="352"/>
      <c r="LAL72" s="353"/>
      <c r="LAM72" s="159" t="s">
        <v>24</v>
      </c>
      <c r="LAN72" s="160">
        <v>8150</v>
      </c>
      <c r="LAO72" s="169">
        <v>85</v>
      </c>
      <c r="LAP72" s="170">
        <v>215</v>
      </c>
      <c r="LAQ72" s="170">
        <v>75</v>
      </c>
      <c r="LAR72" s="169">
        <v>150</v>
      </c>
      <c r="LAS72" s="171">
        <f>SUM(LAN72:LAR72)</f>
        <v>8675</v>
      </c>
      <c r="LAT72" s="169">
        <v>200</v>
      </c>
      <c r="LAU72" s="171">
        <f>SUM(LAS72:LAT72)</f>
        <v>8875</v>
      </c>
      <c r="LAV72" s="163" t="s">
        <v>114</v>
      </c>
      <c r="LAW72" s="164">
        <v>45845</v>
      </c>
      <c r="LAX72" s="159" t="s">
        <v>42</v>
      </c>
      <c r="LAY72" s="354"/>
      <c r="LAZ72" s="165" t="s">
        <v>124</v>
      </c>
      <c r="LBA72" s="352"/>
      <c r="LBB72" s="353"/>
      <c r="LBC72" s="159" t="s">
        <v>24</v>
      </c>
      <c r="LBD72" s="160">
        <v>8150</v>
      </c>
      <c r="LBE72" s="169">
        <v>85</v>
      </c>
      <c r="LBF72" s="170">
        <v>215</v>
      </c>
      <c r="LBG72" s="170">
        <v>75</v>
      </c>
      <c r="LBH72" s="169">
        <v>150</v>
      </c>
      <c r="LBI72" s="171">
        <f>SUM(LBD72:LBH72)</f>
        <v>8675</v>
      </c>
      <c r="LBJ72" s="169">
        <v>200</v>
      </c>
      <c r="LBK72" s="171">
        <f>SUM(LBI72:LBJ72)</f>
        <v>8875</v>
      </c>
      <c r="LBL72" s="163" t="s">
        <v>114</v>
      </c>
      <c r="LBM72" s="164">
        <v>45845</v>
      </c>
      <c r="LBN72" s="159" t="s">
        <v>42</v>
      </c>
      <c r="LBO72" s="354"/>
      <c r="LBP72" s="165" t="s">
        <v>124</v>
      </c>
      <c r="LBQ72" s="352"/>
      <c r="LBR72" s="353"/>
      <c r="LBS72" s="159" t="s">
        <v>24</v>
      </c>
      <c r="LBT72" s="160">
        <v>8150</v>
      </c>
      <c r="LBU72" s="169">
        <v>85</v>
      </c>
      <c r="LBV72" s="170">
        <v>215</v>
      </c>
      <c r="LBW72" s="170">
        <v>75</v>
      </c>
      <c r="LBX72" s="169">
        <v>150</v>
      </c>
      <c r="LBY72" s="171">
        <f>SUM(LBT72:LBX72)</f>
        <v>8675</v>
      </c>
      <c r="LBZ72" s="169">
        <v>200</v>
      </c>
      <c r="LCA72" s="171">
        <f>SUM(LBY72:LBZ72)</f>
        <v>8875</v>
      </c>
      <c r="LCB72" s="163" t="s">
        <v>114</v>
      </c>
      <c r="LCC72" s="164">
        <v>45845</v>
      </c>
      <c r="LCD72" s="159" t="s">
        <v>42</v>
      </c>
      <c r="LCE72" s="354"/>
      <c r="LCF72" s="165" t="s">
        <v>124</v>
      </c>
      <c r="LCG72" s="352"/>
      <c r="LCH72" s="353"/>
      <c r="LCI72" s="159" t="s">
        <v>24</v>
      </c>
      <c r="LCJ72" s="160">
        <v>8150</v>
      </c>
      <c r="LCK72" s="169">
        <v>85</v>
      </c>
      <c r="LCL72" s="170">
        <v>215</v>
      </c>
      <c r="LCM72" s="170">
        <v>75</v>
      </c>
      <c r="LCN72" s="169">
        <v>150</v>
      </c>
      <c r="LCO72" s="171">
        <f>SUM(LCJ72:LCN72)</f>
        <v>8675</v>
      </c>
      <c r="LCP72" s="169">
        <v>200</v>
      </c>
      <c r="LCQ72" s="171">
        <f>SUM(LCO72:LCP72)</f>
        <v>8875</v>
      </c>
      <c r="LCR72" s="163" t="s">
        <v>114</v>
      </c>
      <c r="LCS72" s="164">
        <v>45845</v>
      </c>
      <c r="LCT72" s="159" t="s">
        <v>42</v>
      </c>
      <c r="LCU72" s="354"/>
      <c r="LCV72" s="165" t="s">
        <v>124</v>
      </c>
      <c r="LCW72" s="352"/>
      <c r="LCX72" s="353"/>
      <c r="LCY72" s="159" t="s">
        <v>24</v>
      </c>
      <c r="LCZ72" s="160">
        <v>8150</v>
      </c>
      <c r="LDA72" s="169">
        <v>85</v>
      </c>
      <c r="LDB72" s="170">
        <v>215</v>
      </c>
      <c r="LDC72" s="170">
        <v>75</v>
      </c>
      <c r="LDD72" s="169">
        <v>150</v>
      </c>
      <c r="LDE72" s="171">
        <f>SUM(LCZ72:LDD72)</f>
        <v>8675</v>
      </c>
      <c r="LDF72" s="169">
        <v>200</v>
      </c>
      <c r="LDG72" s="171">
        <f>SUM(LDE72:LDF72)</f>
        <v>8875</v>
      </c>
      <c r="LDH72" s="163" t="s">
        <v>114</v>
      </c>
      <c r="LDI72" s="164">
        <v>45845</v>
      </c>
      <c r="LDJ72" s="159" t="s">
        <v>42</v>
      </c>
      <c r="LDK72" s="354"/>
      <c r="LDL72" s="165" t="s">
        <v>124</v>
      </c>
      <c r="LDM72" s="352"/>
      <c r="LDN72" s="353"/>
      <c r="LDO72" s="159" t="s">
        <v>24</v>
      </c>
      <c r="LDP72" s="160">
        <v>8150</v>
      </c>
      <c r="LDQ72" s="169">
        <v>85</v>
      </c>
      <c r="LDR72" s="170">
        <v>215</v>
      </c>
      <c r="LDS72" s="170">
        <v>75</v>
      </c>
      <c r="LDT72" s="169">
        <v>150</v>
      </c>
      <c r="LDU72" s="171">
        <f>SUM(LDP72:LDT72)</f>
        <v>8675</v>
      </c>
      <c r="LDV72" s="169">
        <v>200</v>
      </c>
      <c r="LDW72" s="171">
        <f>SUM(LDU72:LDV72)</f>
        <v>8875</v>
      </c>
      <c r="LDX72" s="163" t="s">
        <v>114</v>
      </c>
      <c r="LDY72" s="164">
        <v>45845</v>
      </c>
      <c r="LDZ72" s="159" t="s">
        <v>42</v>
      </c>
      <c r="LEA72" s="354"/>
      <c r="LEB72" s="165" t="s">
        <v>124</v>
      </c>
      <c r="LEC72" s="352"/>
      <c r="LED72" s="353"/>
      <c r="LEE72" s="159" t="s">
        <v>24</v>
      </c>
      <c r="LEF72" s="160">
        <v>8150</v>
      </c>
      <c r="LEG72" s="169">
        <v>85</v>
      </c>
      <c r="LEH72" s="170">
        <v>215</v>
      </c>
      <c r="LEI72" s="170">
        <v>75</v>
      </c>
      <c r="LEJ72" s="169">
        <v>150</v>
      </c>
      <c r="LEK72" s="171">
        <f>SUM(LEF72:LEJ72)</f>
        <v>8675</v>
      </c>
      <c r="LEL72" s="169">
        <v>200</v>
      </c>
      <c r="LEM72" s="171">
        <f>SUM(LEK72:LEL72)</f>
        <v>8875</v>
      </c>
      <c r="LEN72" s="163" t="s">
        <v>114</v>
      </c>
      <c r="LEO72" s="164">
        <v>45845</v>
      </c>
      <c r="LEP72" s="159" t="s">
        <v>42</v>
      </c>
      <c r="LEQ72" s="354"/>
      <c r="LER72" s="165" t="s">
        <v>124</v>
      </c>
      <c r="LES72" s="352"/>
      <c r="LET72" s="353"/>
      <c r="LEU72" s="159" t="s">
        <v>24</v>
      </c>
      <c r="LEV72" s="160">
        <v>8150</v>
      </c>
      <c r="LEW72" s="169">
        <v>85</v>
      </c>
      <c r="LEX72" s="170">
        <v>215</v>
      </c>
      <c r="LEY72" s="170">
        <v>75</v>
      </c>
      <c r="LEZ72" s="169">
        <v>150</v>
      </c>
      <c r="LFA72" s="171">
        <f>SUM(LEV72:LEZ72)</f>
        <v>8675</v>
      </c>
      <c r="LFB72" s="169">
        <v>200</v>
      </c>
      <c r="LFC72" s="171">
        <f>SUM(LFA72:LFB72)</f>
        <v>8875</v>
      </c>
      <c r="LFD72" s="163" t="s">
        <v>114</v>
      </c>
      <c r="LFE72" s="164">
        <v>45845</v>
      </c>
      <c r="LFF72" s="159" t="s">
        <v>42</v>
      </c>
      <c r="LFG72" s="354"/>
      <c r="LFH72" s="165" t="s">
        <v>124</v>
      </c>
      <c r="LFI72" s="352"/>
      <c r="LFJ72" s="353"/>
      <c r="LFK72" s="159" t="s">
        <v>24</v>
      </c>
      <c r="LFL72" s="160">
        <v>8150</v>
      </c>
      <c r="LFM72" s="169">
        <v>85</v>
      </c>
      <c r="LFN72" s="170">
        <v>215</v>
      </c>
      <c r="LFO72" s="170">
        <v>75</v>
      </c>
      <c r="LFP72" s="169">
        <v>150</v>
      </c>
      <c r="LFQ72" s="171">
        <f>SUM(LFL72:LFP72)</f>
        <v>8675</v>
      </c>
      <c r="LFR72" s="169">
        <v>200</v>
      </c>
      <c r="LFS72" s="171">
        <f>SUM(LFQ72:LFR72)</f>
        <v>8875</v>
      </c>
      <c r="LFT72" s="163" t="s">
        <v>114</v>
      </c>
      <c r="LFU72" s="164">
        <v>45845</v>
      </c>
      <c r="LFV72" s="159" t="s">
        <v>42</v>
      </c>
      <c r="LFW72" s="354"/>
      <c r="LFX72" s="165" t="s">
        <v>124</v>
      </c>
      <c r="LFY72" s="352"/>
      <c r="LFZ72" s="353"/>
      <c r="LGA72" s="159" t="s">
        <v>24</v>
      </c>
      <c r="LGB72" s="160">
        <v>8150</v>
      </c>
      <c r="LGC72" s="169">
        <v>85</v>
      </c>
      <c r="LGD72" s="170">
        <v>215</v>
      </c>
      <c r="LGE72" s="170">
        <v>75</v>
      </c>
      <c r="LGF72" s="169">
        <v>150</v>
      </c>
      <c r="LGG72" s="171">
        <f>SUM(LGB72:LGF72)</f>
        <v>8675</v>
      </c>
      <c r="LGH72" s="169">
        <v>200</v>
      </c>
      <c r="LGI72" s="171">
        <f>SUM(LGG72:LGH72)</f>
        <v>8875</v>
      </c>
      <c r="LGJ72" s="163" t="s">
        <v>114</v>
      </c>
      <c r="LGK72" s="164">
        <v>45845</v>
      </c>
      <c r="LGL72" s="159" t="s">
        <v>42</v>
      </c>
      <c r="LGM72" s="354"/>
      <c r="LGN72" s="165" t="s">
        <v>124</v>
      </c>
      <c r="LGO72" s="352"/>
      <c r="LGP72" s="353"/>
      <c r="LGQ72" s="159" t="s">
        <v>24</v>
      </c>
      <c r="LGR72" s="160">
        <v>8150</v>
      </c>
      <c r="LGS72" s="169">
        <v>85</v>
      </c>
      <c r="LGT72" s="170">
        <v>215</v>
      </c>
      <c r="LGU72" s="170">
        <v>75</v>
      </c>
      <c r="LGV72" s="169">
        <v>150</v>
      </c>
      <c r="LGW72" s="171">
        <f>SUM(LGR72:LGV72)</f>
        <v>8675</v>
      </c>
      <c r="LGX72" s="169">
        <v>200</v>
      </c>
      <c r="LGY72" s="171">
        <f>SUM(LGW72:LGX72)</f>
        <v>8875</v>
      </c>
      <c r="LGZ72" s="163" t="s">
        <v>114</v>
      </c>
      <c r="LHA72" s="164">
        <v>45845</v>
      </c>
      <c r="LHB72" s="159" t="s">
        <v>42</v>
      </c>
      <c r="LHC72" s="354"/>
      <c r="LHD72" s="165" t="s">
        <v>124</v>
      </c>
      <c r="LHE72" s="352"/>
      <c r="LHF72" s="353"/>
      <c r="LHG72" s="159" t="s">
        <v>24</v>
      </c>
      <c r="LHH72" s="160">
        <v>8150</v>
      </c>
      <c r="LHI72" s="169">
        <v>85</v>
      </c>
      <c r="LHJ72" s="170">
        <v>215</v>
      </c>
      <c r="LHK72" s="170">
        <v>75</v>
      </c>
      <c r="LHL72" s="169">
        <v>150</v>
      </c>
      <c r="LHM72" s="171">
        <f>SUM(LHH72:LHL72)</f>
        <v>8675</v>
      </c>
      <c r="LHN72" s="169">
        <v>200</v>
      </c>
      <c r="LHO72" s="171">
        <f>SUM(LHM72:LHN72)</f>
        <v>8875</v>
      </c>
      <c r="LHP72" s="163" t="s">
        <v>114</v>
      </c>
      <c r="LHQ72" s="164">
        <v>45845</v>
      </c>
      <c r="LHR72" s="159" t="s">
        <v>42</v>
      </c>
      <c r="LHS72" s="354"/>
      <c r="LHT72" s="165" t="s">
        <v>124</v>
      </c>
      <c r="LHU72" s="352"/>
      <c r="LHV72" s="353"/>
      <c r="LHW72" s="159" t="s">
        <v>24</v>
      </c>
      <c r="LHX72" s="160">
        <v>8150</v>
      </c>
      <c r="LHY72" s="169">
        <v>85</v>
      </c>
      <c r="LHZ72" s="170">
        <v>215</v>
      </c>
      <c r="LIA72" s="170">
        <v>75</v>
      </c>
      <c r="LIB72" s="169">
        <v>150</v>
      </c>
      <c r="LIC72" s="171">
        <f>SUM(LHX72:LIB72)</f>
        <v>8675</v>
      </c>
      <c r="LID72" s="169">
        <v>200</v>
      </c>
      <c r="LIE72" s="171">
        <f>SUM(LIC72:LID72)</f>
        <v>8875</v>
      </c>
      <c r="LIF72" s="163" t="s">
        <v>114</v>
      </c>
      <c r="LIG72" s="164">
        <v>45845</v>
      </c>
      <c r="LIH72" s="159" t="s">
        <v>42</v>
      </c>
      <c r="LII72" s="354"/>
      <c r="LIJ72" s="165" t="s">
        <v>124</v>
      </c>
      <c r="LIK72" s="352"/>
      <c r="LIL72" s="353"/>
      <c r="LIM72" s="159" t="s">
        <v>24</v>
      </c>
      <c r="LIN72" s="160">
        <v>8150</v>
      </c>
      <c r="LIO72" s="169">
        <v>85</v>
      </c>
      <c r="LIP72" s="170">
        <v>215</v>
      </c>
      <c r="LIQ72" s="170">
        <v>75</v>
      </c>
      <c r="LIR72" s="169">
        <v>150</v>
      </c>
      <c r="LIS72" s="171">
        <f>SUM(LIN72:LIR72)</f>
        <v>8675</v>
      </c>
      <c r="LIT72" s="169">
        <v>200</v>
      </c>
      <c r="LIU72" s="171">
        <f>SUM(LIS72:LIT72)</f>
        <v>8875</v>
      </c>
      <c r="LIV72" s="163" t="s">
        <v>114</v>
      </c>
      <c r="LIW72" s="164">
        <v>45845</v>
      </c>
      <c r="LIX72" s="159" t="s">
        <v>42</v>
      </c>
      <c r="LIY72" s="354"/>
      <c r="LIZ72" s="165" t="s">
        <v>124</v>
      </c>
      <c r="LJA72" s="352"/>
      <c r="LJB72" s="353"/>
      <c r="LJC72" s="159" t="s">
        <v>24</v>
      </c>
      <c r="LJD72" s="160">
        <v>8150</v>
      </c>
      <c r="LJE72" s="169">
        <v>85</v>
      </c>
      <c r="LJF72" s="170">
        <v>215</v>
      </c>
      <c r="LJG72" s="170">
        <v>75</v>
      </c>
      <c r="LJH72" s="169">
        <v>150</v>
      </c>
      <c r="LJI72" s="171">
        <f>SUM(LJD72:LJH72)</f>
        <v>8675</v>
      </c>
      <c r="LJJ72" s="169">
        <v>200</v>
      </c>
      <c r="LJK72" s="171">
        <f>SUM(LJI72:LJJ72)</f>
        <v>8875</v>
      </c>
      <c r="LJL72" s="163" t="s">
        <v>114</v>
      </c>
      <c r="LJM72" s="164">
        <v>45845</v>
      </c>
      <c r="LJN72" s="159" t="s">
        <v>42</v>
      </c>
      <c r="LJO72" s="354"/>
      <c r="LJP72" s="165" t="s">
        <v>124</v>
      </c>
      <c r="LJQ72" s="352"/>
      <c r="LJR72" s="353"/>
      <c r="LJS72" s="159" t="s">
        <v>24</v>
      </c>
      <c r="LJT72" s="160">
        <v>8150</v>
      </c>
      <c r="LJU72" s="169">
        <v>85</v>
      </c>
      <c r="LJV72" s="170">
        <v>215</v>
      </c>
      <c r="LJW72" s="170">
        <v>75</v>
      </c>
      <c r="LJX72" s="169">
        <v>150</v>
      </c>
      <c r="LJY72" s="171">
        <f>SUM(LJT72:LJX72)</f>
        <v>8675</v>
      </c>
      <c r="LJZ72" s="169">
        <v>200</v>
      </c>
      <c r="LKA72" s="171">
        <f>SUM(LJY72:LJZ72)</f>
        <v>8875</v>
      </c>
      <c r="LKB72" s="163" t="s">
        <v>114</v>
      </c>
      <c r="LKC72" s="164">
        <v>45845</v>
      </c>
      <c r="LKD72" s="159" t="s">
        <v>42</v>
      </c>
      <c r="LKE72" s="354"/>
      <c r="LKF72" s="165" t="s">
        <v>124</v>
      </c>
      <c r="LKG72" s="352"/>
      <c r="LKH72" s="353"/>
      <c r="LKI72" s="159" t="s">
        <v>24</v>
      </c>
      <c r="LKJ72" s="160">
        <v>8150</v>
      </c>
      <c r="LKK72" s="169">
        <v>85</v>
      </c>
      <c r="LKL72" s="170">
        <v>215</v>
      </c>
      <c r="LKM72" s="170">
        <v>75</v>
      </c>
      <c r="LKN72" s="169">
        <v>150</v>
      </c>
      <c r="LKO72" s="171">
        <f>SUM(LKJ72:LKN72)</f>
        <v>8675</v>
      </c>
      <c r="LKP72" s="169">
        <v>200</v>
      </c>
      <c r="LKQ72" s="171">
        <f>SUM(LKO72:LKP72)</f>
        <v>8875</v>
      </c>
      <c r="LKR72" s="163" t="s">
        <v>114</v>
      </c>
      <c r="LKS72" s="164">
        <v>45845</v>
      </c>
      <c r="LKT72" s="159" t="s">
        <v>42</v>
      </c>
      <c r="LKU72" s="354"/>
      <c r="LKV72" s="165" t="s">
        <v>124</v>
      </c>
      <c r="LKW72" s="352"/>
      <c r="LKX72" s="353"/>
      <c r="LKY72" s="159" t="s">
        <v>24</v>
      </c>
      <c r="LKZ72" s="160">
        <v>8150</v>
      </c>
      <c r="LLA72" s="169">
        <v>85</v>
      </c>
      <c r="LLB72" s="170">
        <v>215</v>
      </c>
      <c r="LLC72" s="170">
        <v>75</v>
      </c>
      <c r="LLD72" s="169">
        <v>150</v>
      </c>
      <c r="LLE72" s="171">
        <f>SUM(LKZ72:LLD72)</f>
        <v>8675</v>
      </c>
      <c r="LLF72" s="169">
        <v>200</v>
      </c>
      <c r="LLG72" s="171">
        <f>SUM(LLE72:LLF72)</f>
        <v>8875</v>
      </c>
      <c r="LLH72" s="163" t="s">
        <v>114</v>
      </c>
      <c r="LLI72" s="164">
        <v>45845</v>
      </c>
      <c r="LLJ72" s="159" t="s">
        <v>42</v>
      </c>
      <c r="LLK72" s="354"/>
      <c r="LLL72" s="165" t="s">
        <v>124</v>
      </c>
      <c r="LLM72" s="352"/>
      <c r="LLN72" s="353"/>
      <c r="LLO72" s="159" t="s">
        <v>24</v>
      </c>
      <c r="LLP72" s="160">
        <v>8150</v>
      </c>
      <c r="LLQ72" s="169">
        <v>85</v>
      </c>
      <c r="LLR72" s="170">
        <v>215</v>
      </c>
      <c r="LLS72" s="170">
        <v>75</v>
      </c>
      <c r="LLT72" s="169">
        <v>150</v>
      </c>
      <c r="LLU72" s="171">
        <f>SUM(LLP72:LLT72)</f>
        <v>8675</v>
      </c>
      <c r="LLV72" s="169">
        <v>200</v>
      </c>
      <c r="LLW72" s="171">
        <f>SUM(LLU72:LLV72)</f>
        <v>8875</v>
      </c>
      <c r="LLX72" s="163" t="s">
        <v>114</v>
      </c>
      <c r="LLY72" s="164">
        <v>45845</v>
      </c>
      <c r="LLZ72" s="159" t="s">
        <v>42</v>
      </c>
      <c r="LMA72" s="354"/>
      <c r="LMB72" s="165" t="s">
        <v>124</v>
      </c>
      <c r="LMC72" s="352"/>
      <c r="LMD72" s="353"/>
      <c r="LME72" s="159" t="s">
        <v>24</v>
      </c>
      <c r="LMF72" s="160">
        <v>8150</v>
      </c>
      <c r="LMG72" s="169">
        <v>85</v>
      </c>
      <c r="LMH72" s="170">
        <v>215</v>
      </c>
      <c r="LMI72" s="170">
        <v>75</v>
      </c>
      <c r="LMJ72" s="169">
        <v>150</v>
      </c>
      <c r="LMK72" s="171">
        <f>SUM(LMF72:LMJ72)</f>
        <v>8675</v>
      </c>
      <c r="LML72" s="169">
        <v>200</v>
      </c>
      <c r="LMM72" s="171">
        <f>SUM(LMK72:LML72)</f>
        <v>8875</v>
      </c>
      <c r="LMN72" s="163" t="s">
        <v>114</v>
      </c>
      <c r="LMO72" s="164">
        <v>45845</v>
      </c>
      <c r="LMP72" s="159" t="s">
        <v>42</v>
      </c>
      <c r="LMQ72" s="354"/>
      <c r="LMR72" s="165" t="s">
        <v>124</v>
      </c>
      <c r="LMS72" s="352"/>
      <c r="LMT72" s="353"/>
      <c r="LMU72" s="159" t="s">
        <v>24</v>
      </c>
      <c r="LMV72" s="160">
        <v>8150</v>
      </c>
      <c r="LMW72" s="169">
        <v>85</v>
      </c>
      <c r="LMX72" s="170">
        <v>215</v>
      </c>
      <c r="LMY72" s="170">
        <v>75</v>
      </c>
      <c r="LMZ72" s="169">
        <v>150</v>
      </c>
      <c r="LNA72" s="171">
        <f>SUM(LMV72:LMZ72)</f>
        <v>8675</v>
      </c>
      <c r="LNB72" s="169">
        <v>200</v>
      </c>
      <c r="LNC72" s="171">
        <f>SUM(LNA72:LNB72)</f>
        <v>8875</v>
      </c>
      <c r="LND72" s="163" t="s">
        <v>114</v>
      </c>
      <c r="LNE72" s="164">
        <v>45845</v>
      </c>
      <c r="LNF72" s="159" t="s">
        <v>42</v>
      </c>
      <c r="LNG72" s="354"/>
      <c r="LNH72" s="165" t="s">
        <v>124</v>
      </c>
      <c r="LNI72" s="352"/>
      <c r="LNJ72" s="353"/>
      <c r="LNK72" s="159" t="s">
        <v>24</v>
      </c>
      <c r="LNL72" s="160">
        <v>8150</v>
      </c>
      <c r="LNM72" s="169">
        <v>85</v>
      </c>
      <c r="LNN72" s="170">
        <v>215</v>
      </c>
      <c r="LNO72" s="170">
        <v>75</v>
      </c>
      <c r="LNP72" s="169">
        <v>150</v>
      </c>
      <c r="LNQ72" s="171">
        <f>SUM(LNL72:LNP72)</f>
        <v>8675</v>
      </c>
      <c r="LNR72" s="169">
        <v>200</v>
      </c>
      <c r="LNS72" s="171">
        <f>SUM(LNQ72:LNR72)</f>
        <v>8875</v>
      </c>
      <c r="LNT72" s="163" t="s">
        <v>114</v>
      </c>
      <c r="LNU72" s="164">
        <v>45845</v>
      </c>
      <c r="LNV72" s="159" t="s">
        <v>42</v>
      </c>
      <c r="LNW72" s="354"/>
      <c r="LNX72" s="165" t="s">
        <v>124</v>
      </c>
      <c r="LNY72" s="352"/>
      <c r="LNZ72" s="353"/>
      <c r="LOA72" s="159" t="s">
        <v>24</v>
      </c>
      <c r="LOB72" s="160">
        <v>8150</v>
      </c>
      <c r="LOC72" s="169">
        <v>85</v>
      </c>
      <c r="LOD72" s="170">
        <v>215</v>
      </c>
      <c r="LOE72" s="170">
        <v>75</v>
      </c>
      <c r="LOF72" s="169">
        <v>150</v>
      </c>
      <c r="LOG72" s="171">
        <f>SUM(LOB72:LOF72)</f>
        <v>8675</v>
      </c>
      <c r="LOH72" s="169">
        <v>200</v>
      </c>
      <c r="LOI72" s="171">
        <f>SUM(LOG72:LOH72)</f>
        <v>8875</v>
      </c>
      <c r="LOJ72" s="163" t="s">
        <v>114</v>
      </c>
      <c r="LOK72" s="164">
        <v>45845</v>
      </c>
      <c r="LOL72" s="159" t="s">
        <v>42</v>
      </c>
      <c r="LOM72" s="354"/>
      <c r="LON72" s="165" t="s">
        <v>124</v>
      </c>
      <c r="LOO72" s="352"/>
      <c r="LOP72" s="353"/>
      <c r="LOQ72" s="159" t="s">
        <v>24</v>
      </c>
      <c r="LOR72" s="160">
        <v>8150</v>
      </c>
      <c r="LOS72" s="169">
        <v>85</v>
      </c>
      <c r="LOT72" s="170">
        <v>215</v>
      </c>
      <c r="LOU72" s="170">
        <v>75</v>
      </c>
      <c r="LOV72" s="169">
        <v>150</v>
      </c>
      <c r="LOW72" s="171">
        <f>SUM(LOR72:LOV72)</f>
        <v>8675</v>
      </c>
      <c r="LOX72" s="169">
        <v>200</v>
      </c>
      <c r="LOY72" s="171">
        <f>SUM(LOW72:LOX72)</f>
        <v>8875</v>
      </c>
      <c r="LOZ72" s="163" t="s">
        <v>114</v>
      </c>
      <c r="LPA72" s="164">
        <v>45845</v>
      </c>
      <c r="LPB72" s="159" t="s">
        <v>42</v>
      </c>
      <c r="LPC72" s="354"/>
      <c r="LPD72" s="165" t="s">
        <v>124</v>
      </c>
      <c r="LPE72" s="352"/>
      <c r="LPF72" s="353"/>
      <c r="LPG72" s="159" t="s">
        <v>24</v>
      </c>
      <c r="LPH72" s="160">
        <v>8150</v>
      </c>
      <c r="LPI72" s="169">
        <v>85</v>
      </c>
      <c r="LPJ72" s="170">
        <v>215</v>
      </c>
      <c r="LPK72" s="170">
        <v>75</v>
      </c>
      <c r="LPL72" s="169">
        <v>150</v>
      </c>
      <c r="LPM72" s="171">
        <f>SUM(LPH72:LPL72)</f>
        <v>8675</v>
      </c>
      <c r="LPN72" s="169">
        <v>200</v>
      </c>
      <c r="LPO72" s="171">
        <f>SUM(LPM72:LPN72)</f>
        <v>8875</v>
      </c>
      <c r="LPP72" s="163" t="s">
        <v>114</v>
      </c>
      <c r="LPQ72" s="164">
        <v>45845</v>
      </c>
      <c r="LPR72" s="159" t="s">
        <v>42</v>
      </c>
      <c r="LPS72" s="354"/>
      <c r="LPT72" s="165" t="s">
        <v>124</v>
      </c>
      <c r="LPU72" s="352"/>
      <c r="LPV72" s="353"/>
      <c r="LPW72" s="159" t="s">
        <v>24</v>
      </c>
      <c r="LPX72" s="160">
        <v>8150</v>
      </c>
      <c r="LPY72" s="169">
        <v>85</v>
      </c>
      <c r="LPZ72" s="170">
        <v>215</v>
      </c>
      <c r="LQA72" s="170">
        <v>75</v>
      </c>
      <c r="LQB72" s="169">
        <v>150</v>
      </c>
      <c r="LQC72" s="171">
        <f>SUM(LPX72:LQB72)</f>
        <v>8675</v>
      </c>
      <c r="LQD72" s="169">
        <v>200</v>
      </c>
      <c r="LQE72" s="171">
        <f>SUM(LQC72:LQD72)</f>
        <v>8875</v>
      </c>
      <c r="LQF72" s="163" t="s">
        <v>114</v>
      </c>
      <c r="LQG72" s="164">
        <v>45845</v>
      </c>
      <c r="LQH72" s="159" t="s">
        <v>42</v>
      </c>
      <c r="LQI72" s="354"/>
      <c r="LQJ72" s="165" t="s">
        <v>124</v>
      </c>
      <c r="LQK72" s="352"/>
      <c r="LQL72" s="353"/>
      <c r="LQM72" s="159" t="s">
        <v>24</v>
      </c>
      <c r="LQN72" s="160">
        <v>8150</v>
      </c>
      <c r="LQO72" s="169">
        <v>85</v>
      </c>
      <c r="LQP72" s="170">
        <v>215</v>
      </c>
      <c r="LQQ72" s="170">
        <v>75</v>
      </c>
      <c r="LQR72" s="169">
        <v>150</v>
      </c>
      <c r="LQS72" s="171">
        <f>SUM(LQN72:LQR72)</f>
        <v>8675</v>
      </c>
      <c r="LQT72" s="169">
        <v>200</v>
      </c>
      <c r="LQU72" s="171">
        <f>SUM(LQS72:LQT72)</f>
        <v>8875</v>
      </c>
      <c r="LQV72" s="163" t="s">
        <v>114</v>
      </c>
      <c r="LQW72" s="164">
        <v>45845</v>
      </c>
      <c r="LQX72" s="159" t="s">
        <v>42</v>
      </c>
      <c r="LQY72" s="354"/>
      <c r="LQZ72" s="165" t="s">
        <v>124</v>
      </c>
      <c r="LRA72" s="352"/>
      <c r="LRB72" s="353"/>
      <c r="LRC72" s="159" t="s">
        <v>24</v>
      </c>
      <c r="LRD72" s="160">
        <v>8150</v>
      </c>
      <c r="LRE72" s="169">
        <v>85</v>
      </c>
      <c r="LRF72" s="170">
        <v>215</v>
      </c>
      <c r="LRG72" s="170">
        <v>75</v>
      </c>
      <c r="LRH72" s="169">
        <v>150</v>
      </c>
      <c r="LRI72" s="171">
        <f>SUM(LRD72:LRH72)</f>
        <v>8675</v>
      </c>
      <c r="LRJ72" s="169">
        <v>200</v>
      </c>
      <c r="LRK72" s="171">
        <f>SUM(LRI72:LRJ72)</f>
        <v>8875</v>
      </c>
      <c r="LRL72" s="163" t="s">
        <v>114</v>
      </c>
      <c r="LRM72" s="164">
        <v>45845</v>
      </c>
      <c r="LRN72" s="159" t="s">
        <v>42</v>
      </c>
      <c r="LRO72" s="354"/>
      <c r="LRP72" s="165" t="s">
        <v>124</v>
      </c>
      <c r="LRQ72" s="352"/>
      <c r="LRR72" s="353"/>
      <c r="LRS72" s="159" t="s">
        <v>24</v>
      </c>
      <c r="LRT72" s="160">
        <v>8150</v>
      </c>
      <c r="LRU72" s="169">
        <v>85</v>
      </c>
      <c r="LRV72" s="170">
        <v>215</v>
      </c>
      <c r="LRW72" s="170">
        <v>75</v>
      </c>
      <c r="LRX72" s="169">
        <v>150</v>
      </c>
      <c r="LRY72" s="171">
        <f>SUM(LRT72:LRX72)</f>
        <v>8675</v>
      </c>
      <c r="LRZ72" s="169">
        <v>200</v>
      </c>
      <c r="LSA72" s="171">
        <f>SUM(LRY72:LRZ72)</f>
        <v>8875</v>
      </c>
      <c r="LSB72" s="163" t="s">
        <v>114</v>
      </c>
      <c r="LSC72" s="164">
        <v>45845</v>
      </c>
      <c r="LSD72" s="159" t="s">
        <v>42</v>
      </c>
      <c r="LSE72" s="354"/>
      <c r="LSF72" s="165" t="s">
        <v>124</v>
      </c>
      <c r="LSG72" s="352"/>
      <c r="LSH72" s="353"/>
      <c r="LSI72" s="159" t="s">
        <v>24</v>
      </c>
      <c r="LSJ72" s="160">
        <v>8150</v>
      </c>
      <c r="LSK72" s="169">
        <v>85</v>
      </c>
      <c r="LSL72" s="170">
        <v>215</v>
      </c>
      <c r="LSM72" s="170">
        <v>75</v>
      </c>
      <c r="LSN72" s="169">
        <v>150</v>
      </c>
      <c r="LSO72" s="171">
        <f>SUM(LSJ72:LSN72)</f>
        <v>8675</v>
      </c>
      <c r="LSP72" s="169">
        <v>200</v>
      </c>
      <c r="LSQ72" s="171">
        <f>SUM(LSO72:LSP72)</f>
        <v>8875</v>
      </c>
      <c r="LSR72" s="163" t="s">
        <v>114</v>
      </c>
      <c r="LSS72" s="164">
        <v>45845</v>
      </c>
      <c r="LST72" s="159" t="s">
        <v>42</v>
      </c>
      <c r="LSU72" s="354"/>
      <c r="LSV72" s="165" t="s">
        <v>124</v>
      </c>
      <c r="LSW72" s="352"/>
      <c r="LSX72" s="353"/>
      <c r="LSY72" s="159" t="s">
        <v>24</v>
      </c>
      <c r="LSZ72" s="160">
        <v>8150</v>
      </c>
      <c r="LTA72" s="169">
        <v>85</v>
      </c>
      <c r="LTB72" s="170">
        <v>215</v>
      </c>
      <c r="LTC72" s="170">
        <v>75</v>
      </c>
      <c r="LTD72" s="169">
        <v>150</v>
      </c>
      <c r="LTE72" s="171">
        <f>SUM(LSZ72:LTD72)</f>
        <v>8675</v>
      </c>
      <c r="LTF72" s="169">
        <v>200</v>
      </c>
      <c r="LTG72" s="171">
        <f>SUM(LTE72:LTF72)</f>
        <v>8875</v>
      </c>
      <c r="LTH72" s="163" t="s">
        <v>114</v>
      </c>
      <c r="LTI72" s="164">
        <v>45845</v>
      </c>
      <c r="LTJ72" s="159" t="s">
        <v>42</v>
      </c>
      <c r="LTK72" s="354"/>
      <c r="LTL72" s="165" t="s">
        <v>124</v>
      </c>
      <c r="LTM72" s="352"/>
      <c r="LTN72" s="353"/>
      <c r="LTO72" s="159" t="s">
        <v>24</v>
      </c>
      <c r="LTP72" s="160">
        <v>8150</v>
      </c>
      <c r="LTQ72" s="169">
        <v>85</v>
      </c>
      <c r="LTR72" s="170">
        <v>215</v>
      </c>
      <c r="LTS72" s="170">
        <v>75</v>
      </c>
      <c r="LTT72" s="169">
        <v>150</v>
      </c>
      <c r="LTU72" s="171">
        <f>SUM(LTP72:LTT72)</f>
        <v>8675</v>
      </c>
      <c r="LTV72" s="169">
        <v>200</v>
      </c>
      <c r="LTW72" s="171">
        <f>SUM(LTU72:LTV72)</f>
        <v>8875</v>
      </c>
      <c r="LTX72" s="163" t="s">
        <v>114</v>
      </c>
      <c r="LTY72" s="164">
        <v>45845</v>
      </c>
      <c r="LTZ72" s="159" t="s">
        <v>42</v>
      </c>
      <c r="LUA72" s="354"/>
      <c r="LUB72" s="165" t="s">
        <v>124</v>
      </c>
      <c r="LUC72" s="352"/>
      <c r="LUD72" s="353"/>
      <c r="LUE72" s="159" t="s">
        <v>24</v>
      </c>
      <c r="LUF72" s="160">
        <v>8150</v>
      </c>
      <c r="LUG72" s="169">
        <v>85</v>
      </c>
      <c r="LUH72" s="170">
        <v>215</v>
      </c>
      <c r="LUI72" s="170">
        <v>75</v>
      </c>
      <c r="LUJ72" s="169">
        <v>150</v>
      </c>
      <c r="LUK72" s="171">
        <f>SUM(LUF72:LUJ72)</f>
        <v>8675</v>
      </c>
      <c r="LUL72" s="169">
        <v>200</v>
      </c>
      <c r="LUM72" s="171">
        <f>SUM(LUK72:LUL72)</f>
        <v>8875</v>
      </c>
      <c r="LUN72" s="163" t="s">
        <v>114</v>
      </c>
      <c r="LUO72" s="164">
        <v>45845</v>
      </c>
      <c r="LUP72" s="159" t="s">
        <v>42</v>
      </c>
      <c r="LUQ72" s="354"/>
      <c r="LUR72" s="165" t="s">
        <v>124</v>
      </c>
      <c r="LUS72" s="352"/>
      <c r="LUT72" s="353"/>
      <c r="LUU72" s="159" t="s">
        <v>24</v>
      </c>
      <c r="LUV72" s="160">
        <v>8150</v>
      </c>
      <c r="LUW72" s="169">
        <v>85</v>
      </c>
      <c r="LUX72" s="170">
        <v>215</v>
      </c>
      <c r="LUY72" s="170">
        <v>75</v>
      </c>
      <c r="LUZ72" s="169">
        <v>150</v>
      </c>
      <c r="LVA72" s="171">
        <f>SUM(LUV72:LUZ72)</f>
        <v>8675</v>
      </c>
      <c r="LVB72" s="169">
        <v>200</v>
      </c>
      <c r="LVC72" s="171">
        <f>SUM(LVA72:LVB72)</f>
        <v>8875</v>
      </c>
      <c r="LVD72" s="163" t="s">
        <v>114</v>
      </c>
      <c r="LVE72" s="164">
        <v>45845</v>
      </c>
      <c r="LVF72" s="159" t="s">
        <v>42</v>
      </c>
      <c r="LVG72" s="354"/>
      <c r="LVH72" s="165" t="s">
        <v>124</v>
      </c>
      <c r="LVI72" s="352"/>
      <c r="LVJ72" s="353"/>
      <c r="LVK72" s="159" t="s">
        <v>24</v>
      </c>
      <c r="LVL72" s="160">
        <v>8150</v>
      </c>
      <c r="LVM72" s="169">
        <v>85</v>
      </c>
      <c r="LVN72" s="170">
        <v>215</v>
      </c>
      <c r="LVO72" s="170">
        <v>75</v>
      </c>
      <c r="LVP72" s="169">
        <v>150</v>
      </c>
      <c r="LVQ72" s="171">
        <f>SUM(LVL72:LVP72)</f>
        <v>8675</v>
      </c>
      <c r="LVR72" s="169">
        <v>200</v>
      </c>
      <c r="LVS72" s="171">
        <f>SUM(LVQ72:LVR72)</f>
        <v>8875</v>
      </c>
      <c r="LVT72" s="163" t="s">
        <v>114</v>
      </c>
      <c r="LVU72" s="164">
        <v>45845</v>
      </c>
      <c r="LVV72" s="159" t="s">
        <v>42</v>
      </c>
      <c r="LVW72" s="354"/>
      <c r="LVX72" s="165" t="s">
        <v>124</v>
      </c>
      <c r="LVY72" s="352"/>
      <c r="LVZ72" s="353"/>
      <c r="LWA72" s="159" t="s">
        <v>24</v>
      </c>
      <c r="LWB72" s="160">
        <v>8150</v>
      </c>
      <c r="LWC72" s="169">
        <v>85</v>
      </c>
      <c r="LWD72" s="170">
        <v>215</v>
      </c>
      <c r="LWE72" s="170">
        <v>75</v>
      </c>
      <c r="LWF72" s="169">
        <v>150</v>
      </c>
      <c r="LWG72" s="171">
        <f>SUM(LWB72:LWF72)</f>
        <v>8675</v>
      </c>
      <c r="LWH72" s="169">
        <v>200</v>
      </c>
      <c r="LWI72" s="171">
        <f>SUM(LWG72:LWH72)</f>
        <v>8875</v>
      </c>
      <c r="LWJ72" s="163" t="s">
        <v>114</v>
      </c>
      <c r="LWK72" s="164">
        <v>45845</v>
      </c>
      <c r="LWL72" s="159" t="s">
        <v>42</v>
      </c>
      <c r="LWM72" s="354"/>
      <c r="LWN72" s="165" t="s">
        <v>124</v>
      </c>
      <c r="LWO72" s="352"/>
      <c r="LWP72" s="353"/>
      <c r="LWQ72" s="159" t="s">
        <v>24</v>
      </c>
      <c r="LWR72" s="160">
        <v>8150</v>
      </c>
      <c r="LWS72" s="169">
        <v>85</v>
      </c>
      <c r="LWT72" s="170">
        <v>215</v>
      </c>
      <c r="LWU72" s="170">
        <v>75</v>
      </c>
      <c r="LWV72" s="169">
        <v>150</v>
      </c>
      <c r="LWW72" s="171">
        <f>SUM(LWR72:LWV72)</f>
        <v>8675</v>
      </c>
      <c r="LWX72" s="169">
        <v>200</v>
      </c>
      <c r="LWY72" s="171">
        <f>SUM(LWW72:LWX72)</f>
        <v>8875</v>
      </c>
      <c r="LWZ72" s="163" t="s">
        <v>114</v>
      </c>
      <c r="LXA72" s="164">
        <v>45845</v>
      </c>
      <c r="LXB72" s="159" t="s">
        <v>42</v>
      </c>
      <c r="LXC72" s="354"/>
      <c r="LXD72" s="165" t="s">
        <v>124</v>
      </c>
      <c r="LXE72" s="352"/>
      <c r="LXF72" s="353"/>
      <c r="LXG72" s="159" t="s">
        <v>24</v>
      </c>
      <c r="LXH72" s="160">
        <v>8150</v>
      </c>
      <c r="LXI72" s="169">
        <v>85</v>
      </c>
      <c r="LXJ72" s="170">
        <v>215</v>
      </c>
      <c r="LXK72" s="170">
        <v>75</v>
      </c>
      <c r="LXL72" s="169">
        <v>150</v>
      </c>
      <c r="LXM72" s="171">
        <f>SUM(LXH72:LXL72)</f>
        <v>8675</v>
      </c>
      <c r="LXN72" s="169">
        <v>200</v>
      </c>
      <c r="LXO72" s="171">
        <f>SUM(LXM72:LXN72)</f>
        <v>8875</v>
      </c>
      <c r="LXP72" s="163" t="s">
        <v>114</v>
      </c>
      <c r="LXQ72" s="164">
        <v>45845</v>
      </c>
      <c r="LXR72" s="159" t="s">
        <v>42</v>
      </c>
      <c r="LXS72" s="354"/>
      <c r="LXT72" s="165" t="s">
        <v>124</v>
      </c>
      <c r="LXU72" s="352"/>
      <c r="LXV72" s="353"/>
      <c r="LXW72" s="159" t="s">
        <v>24</v>
      </c>
      <c r="LXX72" s="160">
        <v>8150</v>
      </c>
      <c r="LXY72" s="169">
        <v>85</v>
      </c>
      <c r="LXZ72" s="170">
        <v>215</v>
      </c>
      <c r="LYA72" s="170">
        <v>75</v>
      </c>
      <c r="LYB72" s="169">
        <v>150</v>
      </c>
      <c r="LYC72" s="171">
        <f>SUM(LXX72:LYB72)</f>
        <v>8675</v>
      </c>
      <c r="LYD72" s="169">
        <v>200</v>
      </c>
      <c r="LYE72" s="171">
        <f>SUM(LYC72:LYD72)</f>
        <v>8875</v>
      </c>
      <c r="LYF72" s="163" t="s">
        <v>114</v>
      </c>
      <c r="LYG72" s="164">
        <v>45845</v>
      </c>
      <c r="LYH72" s="159" t="s">
        <v>42</v>
      </c>
      <c r="LYI72" s="354"/>
      <c r="LYJ72" s="165" t="s">
        <v>124</v>
      </c>
      <c r="LYK72" s="352"/>
      <c r="LYL72" s="353"/>
      <c r="LYM72" s="159" t="s">
        <v>24</v>
      </c>
      <c r="LYN72" s="160">
        <v>8150</v>
      </c>
      <c r="LYO72" s="169">
        <v>85</v>
      </c>
      <c r="LYP72" s="170">
        <v>215</v>
      </c>
      <c r="LYQ72" s="170">
        <v>75</v>
      </c>
      <c r="LYR72" s="169">
        <v>150</v>
      </c>
      <c r="LYS72" s="171">
        <f>SUM(LYN72:LYR72)</f>
        <v>8675</v>
      </c>
      <c r="LYT72" s="169">
        <v>200</v>
      </c>
      <c r="LYU72" s="171">
        <f>SUM(LYS72:LYT72)</f>
        <v>8875</v>
      </c>
      <c r="LYV72" s="163" t="s">
        <v>114</v>
      </c>
      <c r="LYW72" s="164">
        <v>45845</v>
      </c>
      <c r="LYX72" s="159" t="s">
        <v>42</v>
      </c>
      <c r="LYY72" s="354"/>
      <c r="LYZ72" s="165" t="s">
        <v>124</v>
      </c>
      <c r="LZA72" s="352"/>
      <c r="LZB72" s="353"/>
      <c r="LZC72" s="159" t="s">
        <v>24</v>
      </c>
      <c r="LZD72" s="160">
        <v>8150</v>
      </c>
      <c r="LZE72" s="169">
        <v>85</v>
      </c>
      <c r="LZF72" s="170">
        <v>215</v>
      </c>
      <c r="LZG72" s="170">
        <v>75</v>
      </c>
      <c r="LZH72" s="169">
        <v>150</v>
      </c>
      <c r="LZI72" s="171">
        <f>SUM(LZD72:LZH72)</f>
        <v>8675</v>
      </c>
      <c r="LZJ72" s="169">
        <v>200</v>
      </c>
      <c r="LZK72" s="171">
        <f>SUM(LZI72:LZJ72)</f>
        <v>8875</v>
      </c>
      <c r="LZL72" s="163" t="s">
        <v>114</v>
      </c>
      <c r="LZM72" s="164">
        <v>45845</v>
      </c>
      <c r="LZN72" s="159" t="s">
        <v>42</v>
      </c>
      <c r="LZO72" s="354"/>
      <c r="LZP72" s="165" t="s">
        <v>124</v>
      </c>
      <c r="LZQ72" s="352"/>
      <c r="LZR72" s="353"/>
      <c r="LZS72" s="159" t="s">
        <v>24</v>
      </c>
      <c r="LZT72" s="160">
        <v>8150</v>
      </c>
      <c r="LZU72" s="169">
        <v>85</v>
      </c>
      <c r="LZV72" s="170">
        <v>215</v>
      </c>
      <c r="LZW72" s="170">
        <v>75</v>
      </c>
      <c r="LZX72" s="169">
        <v>150</v>
      </c>
      <c r="LZY72" s="171">
        <f>SUM(LZT72:LZX72)</f>
        <v>8675</v>
      </c>
      <c r="LZZ72" s="169">
        <v>200</v>
      </c>
      <c r="MAA72" s="171">
        <f>SUM(LZY72:LZZ72)</f>
        <v>8875</v>
      </c>
      <c r="MAB72" s="163" t="s">
        <v>114</v>
      </c>
      <c r="MAC72" s="164">
        <v>45845</v>
      </c>
      <c r="MAD72" s="159" t="s">
        <v>42</v>
      </c>
      <c r="MAE72" s="354"/>
      <c r="MAF72" s="165" t="s">
        <v>124</v>
      </c>
      <c r="MAG72" s="352"/>
      <c r="MAH72" s="353"/>
      <c r="MAI72" s="159" t="s">
        <v>24</v>
      </c>
      <c r="MAJ72" s="160">
        <v>8150</v>
      </c>
      <c r="MAK72" s="169">
        <v>85</v>
      </c>
      <c r="MAL72" s="170">
        <v>215</v>
      </c>
      <c r="MAM72" s="170">
        <v>75</v>
      </c>
      <c r="MAN72" s="169">
        <v>150</v>
      </c>
      <c r="MAO72" s="171">
        <f>SUM(MAJ72:MAN72)</f>
        <v>8675</v>
      </c>
      <c r="MAP72" s="169">
        <v>200</v>
      </c>
      <c r="MAQ72" s="171">
        <f>SUM(MAO72:MAP72)</f>
        <v>8875</v>
      </c>
      <c r="MAR72" s="163" t="s">
        <v>114</v>
      </c>
      <c r="MAS72" s="164">
        <v>45845</v>
      </c>
      <c r="MAT72" s="159" t="s">
        <v>42</v>
      </c>
      <c r="MAU72" s="354"/>
      <c r="MAV72" s="165" t="s">
        <v>124</v>
      </c>
      <c r="MAW72" s="352"/>
      <c r="MAX72" s="353"/>
      <c r="MAY72" s="159" t="s">
        <v>24</v>
      </c>
      <c r="MAZ72" s="160">
        <v>8150</v>
      </c>
      <c r="MBA72" s="169">
        <v>85</v>
      </c>
      <c r="MBB72" s="170">
        <v>215</v>
      </c>
      <c r="MBC72" s="170">
        <v>75</v>
      </c>
      <c r="MBD72" s="169">
        <v>150</v>
      </c>
      <c r="MBE72" s="171">
        <f>SUM(MAZ72:MBD72)</f>
        <v>8675</v>
      </c>
      <c r="MBF72" s="169">
        <v>200</v>
      </c>
      <c r="MBG72" s="171">
        <f>SUM(MBE72:MBF72)</f>
        <v>8875</v>
      </c>
      <c r="MBH72" s="163" t="s">
        <v>114</v>
      </c>
      <c r="MBI72" s="164">
        <v>45845</v>
      </c>
      <c r="MBJ72" s="159" t="s">
        <v>42</v>
      </c>
      <c r="MBK72" s="354"/>
      <c r="MBL72" s="165" t="s">
        <v>124</v>
      </c>
      <c r="MBM72" s="352"/>
      <c r="MBN72" s="353"/>
      <c r="MBO72" s="159" t="s">
        <v>24</v>
      </c>
      <c r="MBP72" s="160">
        <v>8150</v>
      </c>
      <c r="MBQ72" s="169">
        <v>85</v>
      </c>
      <c r="MBR72" s="170">
        <v>215</v>
      </c>
      <c r="MBS72" s="170">
        <v>75</v>
      </c>
      <c r="MBT72" s="169">
        <v>150</v>
      </c>
      <c r="MBU72" s="171">
        <f>SUM(MBP72:MBT72)</f>
        <v>8675</v>
      </c>
      <c r="MBV72" s="169">
        <v>200</v>
      </c>
      <c r="MBW72" s="171">
        <f>SUM(MBU72:MBV72)</f>
        <v>8875</v>
      </c>
      <c r="MBX72" s="163" t="s">
        <v>114</v>
      </c>
      <c r="MBY72" s="164">
        <v>45845</v>
      </c>
      <c r="MBZ72" s="159" t="s">
        <v>42</v>
      </c>
      <c r="MCA72" s="354"/>
      <c r="MCB72" s="165" t="s">
        <v>124</v>
      </c>
      <c r="MCC72" s="352"/>
      <c r="MCD72" s="353"/>
      <c r="MCE72" s="159" t="s">
        <v>24</v>
      </c>
      <c r="MCF72" s="160">
        <v>8150</v>
      </c>
      <c r="MCG72" s="169">
        <v>85</v>
      </c>
      <c r="MCH72" s="170">
        <v>215</v>
      </c>
      <c r="MCI72" s="170">
        <v>75</v>
      </c>
      <c r="MCJ72" s="169">
        <v>150</v>
      </c>
      <c r="MCK72" s="171">
        <f>SUM(MCF72:MCJ72)</f>
        <v>8675</v>
      </c>
      <c r="MCL72" s="169">
        <v>200</v>
      </c>
      <c r="MCM72" s="171">
        <f>SUM(MCK72:MCL72)</f>
        <v>8875</v>
      </c>
      <c r="MCN72" s="163" t="s">
        <v>114</v>
      </c>
      <c r="MCO72" s="164">
        <v>45845</v>
      </c>
      <c r="MCP72" s="159" t="s">
        <v>42</v>
      </c>
      <c r="MCQ72" s="354"/>
      <c r="MCR72" s="165" t="s">
        <v>124</v>
      </c>
      <c r="MCS72" s="352"/>
      <c r="MCT72" s="353"/>
      <c r="MCU72" s="159" t="s">
        <v>24</v>
      </c>
      <c r="MCV72" s="160">
        <v>8150</v>
      </c>
      <c r="MCW72" s="169">
        <v>85</v>
      </c>
      <c r="MCX72" s="170">
        <v>215</v>
      </c>
      <c r="MCY72" s="170">
        <v>75</v>
      </c>
      <c r="MCZ72" s="169">
        <v>150</v>
      </c>
      <c r="MDA72" s="171">
        <f>SUM(MCV72:MCZ72)</f>
        <v>8675</v>
      </c>
      <c r="MDB72" s="169">
        <v>200</v>
      </c>
      <c r="MDC72" s="171">
        <f>SUM(MDA72:MDB72)</f>
        <v>8875</v>
      </c>
      <c r="MDD72" s="163" t="s">
        <v>114</v>
      </c>
      <c r="MDE72" s="164">
        <v>45845</v>
      </c>
      <c r="MDF72" s="159" t="s">
        <v>42</v>
      </c>
      <c r="MDG72" s="354"/>
      <c r="MDH72" s="165" t="s">
        <v>124</v>
      </c>
      <c r="MDI72" s="352"/>
      <c r="MDJ72" s="353"/>
      <c r="MDK72" s="159" t="s">
        <v>24</v>
      </c>
      <c r="MDL72" s="160">
        <v>8150</v>
      </c>
      <c r="MDM72" s="169">
        <v>85</v>
      </c>
      <c r="MDN72" s="170">
        <v>215</v>
      </c>
      <c r="MDO72" s="170">
        <v>75</v>
      </c>
      <c r="MDP72" s="169">
        <v>150</v>
      </c>
      <c r="MDQ72" s="171">
        <f>SUM(MDL72:MDP72)</f>
        <v>8675</v>
      </c>
      <c r="MDR72" s="169">
        <v>200</v>
      </c>
      <c r="MDS72" s="171">
        <f>SUM(MDQ72:MDR72)</f>
        <v>8875</v>
      </c>
      <c r="MDT72" s="163" t="s">
        <v>114</v>
      </c>
      <c r="MDU72" s="164">
        <v>45845</v>
      </c>
      <c r="MDV72" s="159" t="s">
        <v>42</v>
      </c>
      <c r="MDW72" s="354"/>
      <c r="MDX72" s="165" t="s">
        <v>124</v>
      </c>
      <c r="MDY72" s="352"/>
      <c r="MDZ72" s="353"/>
      <c r="MEA72" s="159" t="s">
        <v>24</v>
      </c>
      <c r="MEB72" s="160">
        <v>8150</v>
      </c>
      <c r="MEC72" s="169">
        <v>85</v>
      </c>
      <c r="MED72" s="170">
        <v>215</v>
      </c>
      <c r="MEE72" s="170">
        <v>75</v>
      </c>
      <c r="MEF72" s="169">
        <v>150</v>
      </c>
      <c r="MEG72" s="171">
        <f>SUM(MEB72:MEF72)</f>
        <v>8675</v>
      </c>
      <c r="MEH72" s="169">
        <v>200</v>
      </c>
      <c r="MEI72" s="171">
        <f>SUM(MEG72:MEH72)</f>
        <v>8875</v>
      </c>
      <c r="MEJ72" s="163" t="s">
        <v>114</v>
      </c>
      <c r="MEK72" s="164">
        <v>45845</v>
      </c>
      <c r="MEL72" s="159" t="s">
        <v>42</v>
      </c>
      <c r="MEM72" s="354"/>
      <c r="MEN72" s="165" t="s">
        <v>124</v>
      </c>
      <c r="MEO72" s="352"/>
      <c r="MEP72" s="353"/>
      <c r="MEQ72" s="159" t="s">
        <v>24</v>
      </c>
      <c r="MER72" s="160">
        <v>8150</v>
      </c>
      <c r="MES72" s="169">
        <v>85</v>
      </c>
      <c r="MET72" s="170">
        <v>215</v>
      </c>
      <c r="MEU72" s="170">
        <v>75</v>
      </c>
      <c r="MEV72" s="169">
        <v>150</v>
      </c>
      <c r="MEW72" s="171">
        <f>SUM(MER72:MEV72)</f>
        <v>8675</v>
      </c>
      <c r="MEX72" s="169">
        <v>200</v>
      </c>
      <c r="MEY72" s="171">
        <f>SUM(MEW72:MEX72)</f>
        <v>8875</v>
      </c>
      <c r="MEZ72" s="163" t="s">
        <v>114</v>
      </c>
      <c r="MFA72" s="164">
        <v>45845</v>
      </c>
      <c r="MFB72" s="159" t="s">
        <v>42</v>
      </c>
      <c r="MFC72" s="354"/>
      <c r="MFD72" s="165" t="s">
        <v>124</v>
      </c>
      <c r="MFE72" s="352"/>
      <c r="MFF72" s="353"/>
      <c r="MFG72" s="159" t="s">
        <v>24</v>
      </c>
      <c r="MFH72" s="160">
        <v>8150</v>
      </c>
      <c r="MFI72" s="169">
        <v>85</v>
      </c>
      <c r="MFJ72" s="170">
        <v>215</v>
      </c>
      <c r="MFK72" s="170">
        <v>75</v>
      </c>
      <c r="MFL72" s="169">
        <v>150</v>
      </c>
      <c r="MFM72" s="171">
        <f>SUM(MFH72:MFL72)</f>
        <v>8675</v>
      </c>
      <c r="MFN72" s="169">
        <v>200</v>
      </c>
      <c r="MFO72" s="171">
        <f>SUM(MFM72:MFN72)</f>
        <v>8875</v>
      </c>
      <c r="MFP72" s="163" t="s">
        <v>114</v>
      </c>
      <c r="MFQ72" s="164">
        <v>45845</v>
      </c>
      <c r="MFR72" s="159" t="s">
        <v>42</v>
      </c>
      <c r="MFS72" s="354"/>
      <c r="MFT72" s="165" t="s">
        <v>124</v>
      </c>
      <c r="MFU72" s="352"/>
      <c r="MFV72" s="353"/>
      <c r="MFW72" s="159" t="s">
        <v>24</v>
      </c>
      <c r="MFX72" s="160">
        <v>8150</v>
      </c>
      <c r="MFY72" s="169">
        <v>85</v>
      </c>
      <c r="MFZ72" s="170">
        <v>215</v>
      </c>
      <c r="MGA72" s="170">
        <v>75</v>
      </c>
      <c r="MGB72" s="169">
        <v>150</v>
      </c>
      <c r="MGC72" s="171">
        <f>SUM(MFX72:MGB72)</f>
        <v>8675</v>
      </c>
      <c r="MGD72" s="169">
        <v>200</v>
      </c>
      <c r="MGE72" s="171">
        <f>SUM(MGC72:MGD72)</f>
        <v>8875</v>
      </c>
      <c r="MGF72" s="163" t="s">
        <v>114</v>
      </c>
      <c r="MGG72" s="164">
        <v>45845</v>
      </c>
      <c r="MGH72" s="159" t="s">
        <v>42</v>
      </c>
      <c r="MGI72" s="354"/>
      <c r="MGJ72" s="165" t="s">
        <v>124</v>
      </c>
      <c r="MGK72" s="352"/>
      <c r="MGL72" s="353"/>
      <c r="MGM72" s="159" t="s">
        <v>24</v>
      </c>
      <c r="MGN72" s="160">
        <v>8150</v>
      </c>
      <c r="MGO72" s="169">
        <v>85</v>
      </c>
      <c r="MGP72" s="170">
        <v>215</v>
      </c>
      <c r="MGQ72" s="170">
        <v>75</v>
      </c>
      <c r="MGR72" s="169">
        <v>150</v>
      </c>
      <c r="MGS72" s="171">
        <f>SUM(MGN72:MGR72)</f>
        <v>8675</v>
      </c>
      <c r="MGT72" s="169">
        <v>200</v>
      </c>
      <c r="MGU72" s="171">
        <f>SUM(MGS72:MGT72)</f>
        <v>8875</v>
      </c>
      <c r="MGV72" s="163" t="s">
        <v>114</v>
      </c>
      <c r="MGW72" s="164">
        <v>45845</v>
      </c>
      <c r="MGX72" s="159" t="s">
        <v>42</v>
      </c>
      <c r="MGY72" s="354"/>
      <c r="MGZ72" s="165" t="s">
        <v>124</v>
      </c>
      <c r="MHA72" s="352"/>
      <c r="MHB72" s="353"/>
      <c r="MHC72" s="159" t="s">
        <v>24</v>
      </c>
      <c r="MHD72" s="160">
        <v>8150</v>
      </c>
      <c r="MHE72" s="169">
        <v>85</v>
      </c>
      <c r="MHF72" s="170">
        <v>215</v>
      </c>
      <c r="MHG72" s="170">
        <v>75</v>
      </c>
      <c r="MHH72" s="169">
        <v>150</v>
      </c>
      <c r="MHI72" s="171">
        <f>SUM(MHD72:MHH72)</f>
        <v>8675</v>
      </c>
      <c r="MHJ72" s="169">
        <v>200</v>
      </c>
      <c r="MHK72" s="171">
        <f>SUM(MHI72:MHJ72)</f>
        <v>8875</v>
      </c>
      <c r="MHL72" s="163" t="s">
        <v>114</v>
      </c>
      <c r="MHM72" s="164">
        <v>45845</v>
      </c>
      <c r="MHN72" s="159" t="s">
        <v>42</v>
      </c>
      <c r="MHO72" s="354"/>
      <c r="MHP72" s="165" t="s">
        <v>124</v>
      </c>
      <c r="MHQ72" s="352"/>
      <c r="MHR72" s="353"/>
      <c r="MHS72" s="159" t="s">
        <v>24</v>
      </c>
      <c r="MHT72" s="160">
        <v>8150</v>
      </c>
      <c r="MHU72" s="169">
        <v>85</v>
      </c>
      <c r="MHV72" s="170">
        <v>215</v>
      </c>
      <c r="MHW72" s="170">
        <v>75</v>
      </c>
      <c r="MHX72" s="169">
        <v>150</v>
      </c>
      <c r="MHY72" s="171">
        <f>SUM(MHT72:MHX72)</f>
        <v>8675</v>
      </c>
      <c r="MHZ72" s="169">
        <v>200</v>
      </c>
      <c r="MIA72" s="171">
        <f>SUM(MHY72:MHZ72)</f>
        <v>8875</v>
      </c>
      <c r="MIB72" s="163" t="s">
        <v>114</v>
      </c>
      <c r="MIC72" s="164">
        <v>45845</v>
      </c>
      <c r="MID72" s="159" t="s">
        <v>42</v>
      </c>
      <c r="MIE72" s="354"/>
      <c r="MIF72" s="165" t="s">
        <v>124</v>
      </c>
      <c r="MIG72" s="352"/>
      <c r="MIH72" s="353"/>
      <c r="MII72" s="159" t="s">
        <v>24</v>
      </c>
      <c r="MIJ72" s="160">
        <v>8150</v>
      </c>
      <c r="MIK72" s="169">
        <v>85</v>
      </c>
      <c r="MIL72" s="170">
        <v>215</v>
      </c>
      <c r="MIM72" s="170">
        <v>75</v>
      </c>
      <c r="MIN72" s="169">
        <v>150</v>
      </c>
      <c r="MIO72" s="171">
        <f>SUM(MIJ72:MIN72)</f>
        <v>8675</v>
      </c>
      <c r="MIP72" s="169">
        <v>200</v>
      </c>
      <c r="MIQ72" s="171">
        <f>SUM(MIO72:MIP72)</f>
        <v>8875</v>
      </c>
      <c r="MIR72" s="163" t="s">
        <v>114</v>
      </c>
      <c r="MIS72" s="164">
        <v>45845</v>
      </c>
      <c r="MIT72" s="159" t="s">
        <v>42</v>
      </c>
      <c r="MIU72" s="354"/>
      <c r="MIV72" s="165" t="s">
        <v>124</v>
      </c>
      <c r="MIW72" s="352"/>
      <c r="MIX72" s="353"/>
      <c r="MIY72" s="159" t="s">
        <v>24</v>
      </c>
      <c r="MIZ72" s="160">
        <v>8150</v>
      </c>
      <c r="MJA72" s="169">
        <v>85</v>
      </c>
      <c r="MJB72" s="170">
        <v>215</v>
      </c>
      <c r="MJC72" s="170">
        <v>75</v>
      </c>
      <c r="MJD72" s="169">
        <v>150</v>
      </c>
      <c r="MJE72" s="171">
        <f>SUM(MIZ72:MJD72)</f>
        <v>8675</v>
      </c>
      <c r="MJF72" s="169">
        <v>200</v>
      </c>
      <c r="MJG72" s="171">
        <f>SUM(MJE72:MJF72)</f>
        <v>8875</v>
      </c>
      <c r="MJH72" s="163" t="s">
        <v>114</v>
      </c>
      <c r="MJI72" s="164">
        <v>45845</v>
      </c>
      <c r="MJJ72" s="159" t="s">
        <v>42</v>
      </c>
      <c r="MJK72" s="354"/>
      <c r="MJL72" s="165" t="s">
        <v>124</v>
      </c>
      <c r="MJM72" s="352"/>
      <c r="MJN72" s="353"/>
      <c r="MJO72" s="159" t="s">
        <v>24</v>
      </c>
      <c r="MJP72" s="160">
        <v>8150</v>
      </c>
      <c r="MJQ72" s="169">
        <v>85</v>
      </c>
      <c r="MJR72" s="170">
        <v>215</v>
      </c>
      <c r="MJS72" s="170">
        <v>75</v>
      </c>
      <c r="MJT72" s="169">
        <v>150</v>
      </c>
      <c r="MJU72" s="171">
        <f>SUM(MJP72:MJT72)</f>
        <v>8675</v>
      </c>
      <c r="MJV72" s="169">
        <v>200</v>
      </c>
      <c r="MJW72" s="171">
        <f>SUM(MJU72:MJV72)</f>
        <v>8875</v>
      </c>
      <c r="MJX72" s="163" t="s">
        <v>114</v>
      </c>
      <c r="MJY72" s="164">
        <v>45845</v>
      </c>
      <c r="MJZ72" s="159" t="s">
        <v>42</v>
      </c>
      <c r="MKA72" s="354"/>
      <c r="MKB72" s="165" t="s">
        <v>124</v>
      </c>
      <c r="MKC72" s="352"/>
      <c r="MKD72" s="353"/>
      <c r="MKE72" s="159" t="s">
        <v>24</v>
      </c>
      <c r="MKF72" s="160">
        <v>8150</v>
      </c>
      <c r="MKG72" s="169">
        <v>85</v>
      </c>
      <c r="MKH72" s="170">
        <v>215</v>
      </c>
      <c r="MKI72" s="170">
        <v>75</v>
      </c>
      <c r="MKJ72" s="169">
        <v>150</v>
      </c>
      <c r="MKK72" s="171">
        <f>SUM(MKF72:MKJ72)</f>
        <v>8675</v>
      </c>
      <c r="MKL72" s="169">
        <v>200</v>
      </c>
      <c r="MKM72" s="171">
        <f>SUM(MKK72:MKL72)</f>
        <v>8875</v>
      </c>
      <c r="MKN72" s="163" t="s">
        <v>114</v>
      </c>
      <c r="MKO72" s="164">
        <v>45845</v>
      </c>
      <c r="MKP72" s="159" t="s">
        <v>42</v>
      </c>
      <c r="MKQ72" s="354"/>
      <c r="MKR72" s="165" t="s">
        <v>124</v>
      </c>
      <c r="MKS72" s="352"/>
      <c r="MKT72" s="353"/>
      <c r="MKU72" s="159" t="s">
        <v>24</v>
      </c>
      <c r="MKV72" s="160">
        <v>8150</v>
      </c>
      <c r="MKW72" s="169">
        <v>85</v>
      </c>
      <c r="MKX72" s="170">
        <v>215</v>
      </c>
      <c r="MKY72" s="170">
        <v>75</v>
      </c>
      <c r="MKZ72" s="169">
        <v>150</v>
      </c>
      <c r="MLA72" s="171">
        <f>SUM(MKV72:MKZ72)</f>
        <v>8675</v>
      </c>
      <c r="MLB72" s="169">
        <v>200</v>
      </c>
      <c r="MLC72" s="171">
        <f>SUM(MLA72:MLB72)</f>
        <v>8875</v>
      </c>
      <c r="MLD72" s="163" t="s">
        <v>114</v>
      </c>
      <c r="MLE72" s="164">
        <v>45845</v>
      </c>
      <c r="MLF72" s="159" t="s">
        <v>42</v>
      </c>
      <c r="MLG72" s="354"/>
      <c r="MLH72" s="165" t="s">
        <v>124</v>
      </c>
      <c r="MLI72" s="352"/>
      <c r="MLJ72" s="353"/>
      <c r="MLK72" s="159" t="s">
        <v>24</v>
      </c>
      <c r="MLL72" s="160">
        <v>8150</v>
      </c>
      <c r="MLM72" s="169">
        <v>85</v>
      </c>
      <c r="MLN72" s="170">
        <v>215</v>
      </c>
      <c r="MLO72" s="170">
        <v>75</v>
      </c>
      <c r="MLP72" s="169">
        <v>150</v>
      </c>
      <c r="MLQ72" s="171">
        <f>SUM(MLL72:MLP72)</f>
        <v>8675</v>
      </c>
      <c r="MLR72" s="169">
        <v>200</v>
      </c>
      <c r="MLS72" s="171">
        <f>SUM(MLQ72:MLR72)</f>
        <v>8875</v>
      </c>
      <c r="MLT72" s="163" t="s">
        <v>114</v>
      </c>
      <c r="MLU72" s="164">
        <v>45845</v>
      </c>
      <c r="MLV72" s="159" t="s">
        <v>42</v>
      </c>
      <c r="MLW72" s="354"/>
      <c r="MLX72" s="165" t="s">
        <v>124</v>
      </c>
      <c r="MLY72" s="352"/>
      <c r="MLZ72" s="353"/>
      <c r="MMA72" s="159" t="s">
        <v>24</v>
      </c>
      <c r="MMB72" s="160">
        <v>8150</v>
      </c>
      <c r="MMC72" s="169">
        <v>85</v>
      </c>
      <c r="MMD72" s="170">
        <v>215</v>
      </c>
      <c r="MME72" s="170">
        <v>75</v>
      </c>
      <c r="MMF72" s="169">
        <v>150</v>
      </c>
      <c r="MMG72" s="171">
        <f>SUM(MMB72:MMF72)</f>
        <v>8675</v>
      </c>
      <c r="MMH72" s="169">
        <v>200</v>
      </c>
      <c r="MMI72" s="171">
        <f>SUM(MMG72:MMH72)</f>
        <v>8875</v>
      </c>
      <c r="MMJ72" s="163" t="s">
        <v>114</v>
      </c>
      <c r="MMK72" s="164">
        <v>45845</v>
      </c>
      <c r="MML72" s="159" t="s">
        <v>42</v>
      </c>
      <c r="MMM72" s="354"/>
      <c r="MMN72" s="165" t="s">
        <v>124</v>
      </c>
      <c r="MMO72" s="352"/>
      <c r="MMP72" s="353"/>
      <c r="MMQ72" s="159" t="s">
        <v>24</v>
      </c>
      <c r="MMR72" s="160">
        <v>8150</v>
      </c>
      <c r="MMS72" s="169">
        <v>85</v>
      </c>
      <c r="MMT72" s="170">
        <v>215</v>
      </c>
      <c r="MMU72" s="170">
        <v>75</v>
      </c>
      <c r="MMV72" s="169">
        <v>150</v>
      </c>
      <c r="MMW72" s="171">
        <f>SUM(MMR72:MMV72)</f>
        <v>8675</v>
      </c>
      <c r="MMX72" s="169">
        <v>200</v>
      </c>
      <c r="MMY72" s="171">
        <f>SUM(MMW72:MMX72)</f>
        <v>8875</v>
      </c>
      <c r="MMZ72" s="163" t="s">
        <v>114</v>
      </c>
      <c r="MNA72" s="164">
        <v>45845</v>
      </c>
      <c r="MNB72" s="159" t="s">
        <v>42</v>
      </c>
      <c r="MNC72" s="354"/>
      <c r="MND72" s="165" t="s">
        <v>124</v>
      </c>
      <c r="MNE72" s="352"/>
      <c r="MNF72" s="353"/>
      <c r="MNG72" s="159" t="s">
        <v>24</v>
      </c>
      <c r="MNH72" s="160">
        <v>8150</v>
      </c>
      <c r="MNI72" s="169">
        <v>85</v>
      </c>
      <c r="MNJ72" s="170">
        <v>215</v>
      </c>
      <c r="MNK72" s="170">
        <v>75</v>
      </c>
      <c r="MNL72" s="169">
        <v>150</v>
      </c>
      <c r="MNM72" s="171">
        <f>SUM(MNH72:MNL72)</f>
        <v>8675</v>
      </c>
      <c r="MNN72" s="169">
        <v>200</v>
      </c>
      <c r="MNO72" s="171">
        <f>SUM(MNM72:MNN72)</f>
        <v>8875</v>
      </c>
      <c r="MNP72" s="163" t="s">
        <v>114</v>
      </c>
      <c r="MNQ72" s="164">
        <v>45845</v>
      </c>
      <c r="MNR72" s="159" t="s">
        <v>42</v>
      </c>
      <c r="MNS72" s="354"/>
      <c r="MNT72" s="165" t="s">
        <v>124</v>
      </c>
      <c r="MNU72" s="352"/>
      <c r="MNV72" s="353"/>
      <c r="MNW72" s="159" t="s">
        <v>24</v>
      </c>
      <c r="MNX72" s="160">
        <v>8150</v>
      </c>
      <c r="MNY72" s="169">
        <v>85</v>
      </c>
      <c r="MNZ72" s="170">
        <v>215</v>
      </c>
      <c r="MOA72" s="170">
        <v>75</v>
      </c>
      <c r="MOB72" s="169">
        <v>150</v>
      </c>
      <c r="MOC72" s="171">
        <f>SUM(MNX72:MOB72)</f>
        <v>8675</v>
      </c>
      <c r="MOD72" s="169">
        <v>200</v>
      </c>
      <c r="MOE72" s="171">
        <f>SUM(MOC72:MOD72)</f>
        <v>8875</v>
      </c>
      <c r="MOF72" s="163" t="s">
        <v>114</v>
      </c>
      <c r="MOG72" s="164">
        <v>45845</v>
      </c>
      <c r="MOH72" s="159" t="s">
        <v>42</v>
      </c>
      <c r="MOI72" s="354"/>
      <c r="MOJ72" s="165" t="s">
        <v>124</v>
      </c>
      <c r="MOK72" s="352"/>
      <c r="MOL72" s="353"/>
      <c r="MOM72" s="159" t="s">
        <v>24</v>
      </c>
      <c r="MON72" s="160">
        <v>8150</v>
      </c>
      <c r="MOO72" s="169">
        <v>85</v>
      </c>
      <c r="MOP72" s="170">
        <v>215</v>
      </c>
      <c r="MOQ72" s="170">
        <v>75</v>
      </c>
      <c r="MOR72" s="169">
        <v>150</v>
      </c>
      <c r="MOS72" s="171">
        <f>SUM(MON72:MOR72)</f>
        <v>8675</v>
      </c>
      <c r="MOT72" s="169">
        <v>200</v>
      </c>
      <c r="MOU72" s="171">
        <f>SUM(MOS72:MOT72)</f>
        <v>8875</v>
      </c>
      <c r="MOV72" s="163" t="s">
        <v>114</v>
      </c>
      <c r="MOW72" s="164">
        <v>45845</v>
      </c>
      <c r="MOX72" s="159" t="s">
        <v>42</v>
      </c>
      <c r="MOY72" s="354"/>
      <c r="MOZ72" s="165" t="s">
        <v>124</v>
      </c>
      <c r="MPA72" s="352"/>
      <c r="MPB72" s="353"/>
      <c r="MPC72" s="159" t="s">
        <v>24</v>
      </c>
      <c r="MPD72" s="160">
        <v>8150</v>
      </c>
      <c r="MPE72" s="169">
        <v>85</v>
      </c>
      <c r="MPF72" s="170">
        <v>215</v>
      </c>
      <c r="MPG72" s="170">
        <v>75</v>
      </c>
      <c r="MPH72" s="169">
        <v>150</v>
      </c>
      <c r="MPI72" s="171">
        <f>SUM(MPD72:MPH72)</f>
        <v>8675</v>
      </c>
      <c r="MPJ72" s="169">
        <v>200</v>
      </c>
      <c r="MPK72" s="171">
        <f>SUM(MPI72:MPJ72)</f>
        <v>8875</v>
      </c>
      <c r="MPL72" s="163" t="s">
        <v>114</v>
      </c>
      <c r="MPM72" s="164">
        <v>45845</v>
      </c>
      <c r="MPN72" s="159" t="s">
        <v>42</v>
      </c>
      <c r="MPO72" s="354"/>
      <c r="MPP72" s="165" t="s">
        <v>124</v>
      </c>
      <c r="MPQ72" s="352"/>
      <c r="MPR72" s="353"/>
      <c r="MPS72" s="159" t="s">
        <v>24</v>
      </c>
      <c r="MPT72" s="160">
        <v>8150</v>
      </c>
      <c r="MPU72" s="169">
        <v>85</v>
      </c>
      <c r="MPV72" s="170">
        <v>215</v>
      </c>
      <c r="MPW72" s="170">
        <v>75</v>
      </c>
      <c r="MPX72" s="169">
        <v>150</v>
      </c>
      <c r="MPY72" s="171">
        <f>SUM(MPT72:MPX72)</f>
        <v>8675</v>
      </c>
      <c r="MPZ72" s="169">
        <v>200</v>
      </c>
      <c r="MQA72" s="171">
        <f>SUM(MPY72:MPZ72)</f>
        <v>8875</v>
      </c>
      <c r="MQB72" s="163" t="s">
        <v>114</v>
      </c>
      <c r="MQC72" s="164">
        <v>45845</v>
      </c>
      <c r="MQD72" s="159" t="s">
        <v>42</v>
      </c>
      <c r="MQE72" s="354"/>
      <c r="MQF72" s="165" t="s">
        <v>124</v>
      </c>
      <c r="MQG72" s="352"/>
      <c r="MQH72" s="353"/>
      <c r="MQI72" s="159" t="s">
        <v>24</v>
      </c>
      <c r="MQJ72" s="160">
        <v>8150</v>
      </c>
      <c r="MQK72" s="169">
        <v>85</v>
      </c>
      <c r="MQL72" s="170">
        <v>215</v>
      </c>
      <c r="MQM72" s="170">
        <v>75</v>
      </c>
      <c r="MQN72" s="169">
        <v>150</v>
      </c>
      <c r="MQO72" s="171">
        <f>SUM(MQJ72:MQN72)</f>
        <v>8675</v>
      </c>
      <c r="MQP72" s="169">
        <v>200</v>
      </c>
      <c r="MQQ72" s="171">
        <f>SUM(MQO72:MQP72)</f>
        <v>8875</v>
      </c>
      <c r="MQR72" s="163" t="s">
        <v>114</v>
      </c>
      <c r="MQS72" s="164">
        <v>45845</v>
      </c>
      <c r="MQT72" s="159" t="s">
        <v>42</v>
      </c>
      <c r="MQU72" s="354"/>
      <c r="MQV72" s="165" t="s">
        <v>124</v>
      </c>
      <c r="MQW72" s="352"/>
      <c r="MQX72" s="353"/>
      <c r="MQY72" s="159" t="s">
        <v>24</v>
      </c>
      <c r="MQZ72" s="160">
        <v>8150</v>
      </c>
      <c r="MRA72" s="169">
        <v>85</v>
      </c>
      <c r="MRB72" s="170">
        <v>215</v>
      </c>
      <c r="MRC72" s="170">
        <v>75</v>
      </c>
      <c r="MRD72" s="169">
        <v>150</v>
      </c>
      <c r="MRE72" s="171">
        <f>SUM(MQZ72:MRD72)</f>
        <v>8675</v>
      </c>
      <c r="MRF72" s="169">
        <v>200</v>
      </c>
      <c r="MRG72" s="171">
        <f>SUM(MRE72:MRF72)</f>
        <v>8875</v>
      </c>
      <c r="MRH72" s="163" t="s">
        <v>114</v>
      </c>
      <c r="MRI72" s="164">
        <v>45845</v>
      </c>
      <c r="MRJ72" s="159" t="s">
        <v>42</v>
      </c>
      <c r="MRK72" s="354"/>
      <c r="MRL72" s="165" t="s">
        <v>124</v>
      </c>
      <c r="MRM72" s="352"/>
      <c r="MRN72" s="353"/>
      <c r="MRO72" s="159" t="s">
        <v>24</v>
      </c>
      <c r="MRP72" s="160">
        <v>8150</v>
      </c>
      <c r="MRQ72" s="169">
        <v>85</v>
      </c>
      <c r="MRR72" s="170">
        <v>215</v>
      </c>
      <c r="MRS72" s="170">
        <v>75</v>
      </c>
      <c r="MRT72" s="169">
        <v>150</v>
      </c>
      <c r="MRU72" s="171">
        <f>SUM(MRP72:MRT72)</f>
        <v>8675</v>
      </c>
      <c r="MRV72" s="169">
        <v>200</v>
      </c>
      <c r="MRW72" s="171">
        <f>SUM(MRU72:MRV72)</f>
        <v>8875</v>
      </c>
      <c r="MRX72" s="163" t="s">
        <v>114</v>
      </c>
      <c r="MRY72" s="164">
        <v>45845</v>
      </c>
      <c r="MRZ72" s="159" t="s">
        <v>42</v>
      </c>
      <c r="MSA72" s="354"/>
      <c r="MSB72" s="165" t="s">
        <v>124</v>
      </c>
      <c r="MSC72" s="352"/>
      <c r="MSD72" s="353"/>
      <c r="MSE72" s="159" t="s">
        <v>24</v>
      </c>
      <c r="MSF72" s="160">
        <v>8150</v>
      </c>
      <c r="MSG72" s="169">
        <v>85</v>
      </c>
      <c r="MSH72" s="170">
        <v>215</v>
      </c>
      <c r="MSI72" s="170">
        <v>75</v>
      </c>
      <c r="MSJ72" s="169">
        <v>150</v>
      </c>
      <c r="MSK72" s="171">
        <f>SUM(MSF72:MSJ72)</f>
        <v>8675</v>
      </c>
      <c r="MSL72" s="169">
        <v>200</v>
      </c>
      <c r="MSM72" s="171">
        <f>SUM(MSK72:MSL72)</f>
        <v>8875</v>
      </c>
      <c r="MSN72" s="163" t="s">
        <v>114</v>
      </c>
      <c r="MSO72" s="164">
        <v>45845</v>
      </c>
      <c r="MSP72" s="159" t="s">
        <v>42</v>
      </c>
      <c r="MSQ72" s="354"/>
      <c r="MSR72" s="165" t="s">
        <v>124</v>
      </c>
      <c r="MSS72" s="352"/>
      <c r="MST72" s="353"/>
      <c r="MSU72" s="159" t="s">
        <v>24</v>
      </c>
      <c r="MSV72" s="160">
        <v>8150</v>
      </c>
      <c r="MSW72" s="169">
        <v>85</v>
      </c>
      <c r="MSX72" s="170">
        <v>215</v>
      </c>
      <c r="MSY72" s="170">
        <v>75</v>
      </c>
      <c r="MSZ72" s="169">
        <v>150</v>
      </c>
      <c r="MTA72" s="171">
        <f>SUM(MSV72:MSZ72)</f>
        <v>8675</v>
      </c>
      <c r="MTB72" s="169">
        <v>200</v>
      </c>
      <c r="MTC72" s="171">
        <f>SUM(MTA72:MTB72)</f>
        <v>8875</v>
      </c>
      <c r="MTD72" s="163" t="s">
        <v>114</v>
      </c>
      <c r="MTE72" s="164">
        <v>45845</v>
      </c>
      <c r="MTF72" s="159" t="s">
        <v>42</v>
      </c>
      <c r="MTG72" s="354"/>
      <c r="MTH72" s="165" t="s">
        <v>124</v>
      </c>
      <c r="MTI72" s="352"/>
      <c r="MTJ72" s="353"/>
      <c r="MTK72" s="159" t="s">
        <v>24</v>
      </c>
      <c r="MTL72" s="160">
        <v>8150</v>
      </c>
      <c r="MTM72" s="169">
        <v>85</v>
      </c>
      <c r="MTN72" s="170">
        <v>215</v>
      </c>
      <c r="MTO72" s="170">
        <v>75</v>
      </c>
      <c r="MTP72" s="169">
        <v>150</v>
      </c>
      <c r="MTQ72" s="171">
        <f>SUM(MTL72:MTP72)</f>
        <v>8675</v>
      </c>
      <c r="MTR72" s="169">
        <v>200</v>
      </c>
      <c r="MTS72" s="171">
        <f>SUM(MTQ72:MTR72)</f>
        <v>8875</v>
      </c>
      <c r="MTT72" s="163" t="s">
        <v>114</v>
      </c>
      <c r="MTU72" s="164">
        <v>45845</v>
      </c>
      <c r="MTV72" s="159" t="s">
        <v>42</v>
      </c>
      <c r="MTW72" s="354"/>
      <c r="MTX72" s="165" t="s">
        <v>124</v>
      </c>
      <c r="MTY72" s="352"/>
      <c r="MTZ72" s="353"/>
      <c r="MUA72" s="159" t="s">
        <v>24</v>
      </c>
      <c r="MUB72" s="160">
        <v>8150</v>
      </c>
      <c r="MUC72" s="169">
        <v>85</v>
      </c>
      <c r="MUD72" s="170">
        <v>215</v>
      </c>
      <c r="MUE72" s="170">
        <v>75</v>
      </c>
      <c r="MUF72" s="169">
        <v>150</v>
      </c>
      <c r="MUG72" s="171">
        <f>SUM(MUB72:MUF72)</f>
        <v>8675</v>
      </c>
      <c r="MUH72" s="169">
        <v>200</v>
      </c>
      <c r="MUI72" s="171">
        <f>SUM(MUG72:MUH72)</f>
        <v>8875</v>
      </c>
      <c r="MUJ72" s="163" t="s">
        <v>114</v>
      </c>
      <c r="MUK72" s="164">
        <v>45845</v>
      </c>
      <c r="MUL72" s="159" t="s">
        <v>42</v>
      </c>
      <c r="MUM72" s="354"/>
      <c r="MUN72" s="165" t="s">
        <v>124</v>
      </c>
      <c r="MUO72" s="352"/>
      <c r="MUP72" s="353"/>
      <c r="MUQ72" s="159" t="s">
        <v>24</v>
      </c>
      <c r="MUR72" s="160">
        <v>8150</v>
      </c>
      <c r="MUS72" s="169">
        <v>85</v>
      </c>
      <c r="MUT72" s="170">
        <v>215</v>
      </c>
      <c r="MUU72" s="170">
        <v>75</v>
      </c>
      <c r="MUV72" s="169">
        <v>150</v>
      </c>
      <c r="MUW72" s="171">
        <f>SUM(MUR72:MUV72)</f>
        <v>8675</v>
      </c>
      <c r="MUX72" s="169">
        <v>200</v>
      </c>
      <c r="MUY72" s="171">
        <f>SUM(MUW72:MUX72)</f>
        <v>8875</v>
      </c>
      <c r="MUZ72" s="163" t="s">
        <v>114</v>
      </c>
      <c r="MVA72" s="164">
        <v>45845</v>
      </c>
      <c r="MVB72" s="159" t="s">
        <v>42</v>
      </c>
      <c r="MVC72" s="354"/>
      <c r="MVD72" s="165" t="s">
        <v>124</v>
      </c>
      <c r="MVE72" s="352"/>
      <c r="MVF72" s="353"/>
      <c r="MVG72" s="159" t="s">
        <v>24</v>
      </c>
      <c r="MVH72" s="160">
        <v>8150</v>
      </c>
      <c r="MVI72" s="169">
        <v>85</v>
      </c>
      <c r="MVJ72" s="170">
        <v>215</v>
      </c>
      <c r="MVK72" s="170">
        <v>75</v>
      </c>
      <c r="MVL72" s="169">
        <v>150</v>
      </c>
      <c r="MVM72" s="171">
        <f>SUM(MVH72:MVL72)</f>
        <v>8675</v>
      </c>
      <c r="MVN72" s="169">
        <v>200</v>
      </c>
      <c r="MVO72" s="171">
        <f>SUM(MVM72:MVN72)</f>
        <v>8875</v>
      </c>
      <c r="MVP72" s="163" t="s">
        <v>114</v>
      </c>
      <c r="MVQ72" s="164">
        <v>45845</v>
      </c>
      <c r="MVR72" s="159" t="s">
        <v>42</v>
      </c>
      <c r="MVS72" s="354"/>
      <c r="MVT72" s="165" t="s">
        <v>124</v>
      </c>
      <c r="MVU72" s="352"/>
      <c r="MVV72" s="353"/>
      <c r="MVW72" s="159" t="s">
        <v>24</v>
      </c>
      <c r="MVX72" s="160">
        <v>8150</v>
      </c>
      <c r="MVY72" s="169">
        <v>85</v>
      </c>
      <c r="MVZ72" s="170">
        <v>215</v>
      </c>
      <c r="MWA72" s="170">
        <v>75</v>
      </c>
      <c r="MWB72" s="169">
        <v>150</v>
      </c>
      <c r="MWC72" s="171">
        <f>SUM(MVX72:MWB72)</f>
        <v>8675</v>
      </c>
      <c r="MWD72" s="169">
        <v>200</v>
      </c>
      <c r="MWE72" s="171">
        <f>SUM(MWC72:MWD72)</f>
        <v>8875</v>
      </c>
      <c r="MWF72" s="163" t="s">
        <v>114</v>
      </c>
      <c r="MWG72" s="164">
        <v>45845</v>
      </c>
      <c r="MWH72" s="159" t="s">
        <v>42</v>
      </c>
      <c r="MWI72" s="354"/>
      <c r="MWJ72" s="165" t="s">
        <v>124</v>
      </c>
      <c r="MWK72" s="352"/>
      <c r="MWL72" s="353"/>
      <c r="MWM72" s="159" t="s">
        <v>24</v>
      </c>
      <c r="MWN72" s="160">
        <v>8150</v>
      </c>
      <c r="MWO72" s="169">
        <v>85</v>
      </c>
      <c r="MWP72" s="170">
        <v>215</v>
      </c>
      <c r="MWQ72" s="170">
        <v>75</v>
      </c>
      <c r="MWR72" s="169">
        <v>150</v>
      </c>
      <c r="MWS72" s="171">
        <f>SUM(MWN72:MWR72)</f>
        <v>8675</v>
      </c>
      <c r="MWT72" s="169">
        <v>200</v>
      </c>
      <c r="MWU72" s="171">
        <f>SUM(MWS72:MWT72)</f>
        <v>8875</v>
      </c>
      <c r="MWV72" s="163" t="s">
        <v>114</v>
      </c>
      <c r="MWW72" s="164">
        <v>45845</v>
      </c>
      <c r="MWX72" s="159" t="s">
        <v>42</v>
      </c>
      <c r="MWY72" s="354"/>
      <c r="MWZ72" s="165" t="s">
        <v>124</v>
      </c>
      <c r="MXA72" s="352"/>
      <c r="MXB72" s="353"/>
      <c r="MXC72" s="159" t="s">
        <v>24</v>
      </c>
      <c r="MXD72" s="160">
        <v>8150</v>
      </c>
      <c r="MXE72" s="169">
        <v>85</v>
      </c>
      <c r="MXF72" s="170">
        <v>215</v>
      </c>
      <c r="MXG72" s="170">
        <v>75</v>
      </c>
      <c r="MXH72" s="169">
        <v>150</v>
      </c>
      <c r="MXI72" s="171">
        <f>SUM(MXD72:MXH72)</f>
        <v>8675</v>
      </c>
      <c r="MXJ72" s="169">
        <v>200</v>
      </c>
      <c r="MXK72" s="171">
        <f>SUM(MXI72:MXJ72)</f>
        <v>8875</v>
      </c>
      <c r="MXL72" s="163" t="s">
        <v>114</v>
      </c>
      <c r="MXM72" s="164">
        <v>45845</v>
      </c>
      <c r="MXN72" s="159" t="s">
        <v>42</v>
      </c>
      <c r="MXO72" s="354"/>
      <c r="MXP72" s="165" t="s">
        <v>124</v>
      </c>
      <c r="MXQ72" s="352"/>
      <c r="MXR72" s="353"/>
      <c r="MXS72" s="159" t="s">
        <v>24</v>
      </c>
      <c r="MXT72" s="160">
        <v>8150</v>
      </c>
      <c r="MXU72" s="169">
        <v>85</v>
      </c>
      <c r="MXV72" s="170">
        <v>215</v>
      </c>
      <c r="MXW72" s="170">
        <v>75</v>
      </c>
      <c r="MXX72" s="169">
        <v>150</v>
      </c>
      <c r="MXY72" s="171">
        <f>SUM(MXT72:MXX72)</f>
        <v>8675</v>
      </c>
      <c r="MXZ72" s="169">
        <v>200</v>
      </c>
      <c r="MYA72" s="171">
        <f>SUM(MXY72:MXZ72)</f>
        <v>8875</v>
      </c>
      <c r="MYB72" s="163" t="s">
        <v>114</v>
      </c>
      <c r="MYC72" s="164">
        <v>45845</v>
      </c>
      <c r="MYD72" s="159" t="s">
        <v>42</v>
      </c>
      <c r="MYE72" s="354"/>
      <c r="MYF72" s="165" t="s">
        <v>124</v>
      </c>
      <c r="MYG72" s="352"/>
      <c r="MYH72" s="353"/>
      <c r="MYI72" s="159" t="s">
        <v>24</v>
      </c>
      <c r="MYJ72" s="160">
        <v>8150</v>
      </c>
      <c r="MYK72" s="169">
        <v>85</v>
      </c>
      <c r="MYL72" s="170">
        <v>215</v>
      </c>
      <c r="MYM72" s="170">
        <v>75</v>
      </c>
      <c r="MYN72" s="169">
        <v>150</v>
      </c>
      <c r="MYO72" s="171">
        <f>SUM(MYJ72:MYN72)</f>
        <v>8675</v>
      </c>
      <c r="MYP72" s="169">
        <v>200</v>
      </c>
      <c r="MYQ72" s="171">
        <f>SUM(MYO72:MYP72)</f>
        <v>8875</v>
      </c>
      <c r="MYR72" s="163" t="s">
        <v>114</v>
      </c>
      <c r="MYS72" s="164">
        <v>45845</v>
      </c>
      <c r="MYT72" s="159" t="s">
        <v>42</v>
      </c>
      <c r="MYU72" s="354"/>
      <c r="MYV72" s="165" t="s">
        <v>124</v>
      </c>
      <c r="MYW72" s="352"/>
      <c r="MYX72" s="353"/>
      <c r="MYY72" s="159" t="s">
        <v>24</v>
      </c>
      <c r="MYZ72" s="160">
        <v>8150</v>
      </c>
      <c r="MZA72" s="169">
        <v>85</v>
      </c>
      <c r="MZB72" s="170">
        <v>215</v>
      </c>
      <c r="MZC72" s="170">
        <v>75</v>
      </c>
      <c r="MZD72" s="169">
        <v>150</v>
      </c>
      <c r="MZE72" s="171">
        <f>SUM(MYZ72:MZD72)</f>
        <v>8675</v>
      </c>
      <c r="MZF72" s="169">
        <v>200</v>
      </c>
      <c r="MZG72" s="171">
        <f>SUM(MZE72:MZF72)</f>
        <v>8875</v>
      </c>
      <c r="MZH72" s="163" t="s">
        <v>114</v>
      </c>
      <c r="MZI72" s="164">
        <v>45845</v>
      </c>
      <c r="MZJ72" s="159" t="s">
        <v>42</v>
      </c>
      <c r="MZK72" s="354"/>
      <c r="MZL72" s="165" t="s">
        <v>124</v>
      </c>
      <c r="MZM72" s="352"/>
      <c r="MZN72" s="353"/>
      <c r="MZO72" s="159" t="s">
        <v>24</v>
      </c>
      <c r="MZP72" s="160">
        <v>8150</v>
      </c>
      <c r="MZQ72" s="169">
        <v>85</v>
      </c>
      <c r="MZR72" s="170">
        <v>215</v>
      </c>
      <c r="MZS72" s="170">
        <v>75</v>
      </c>
      <c r="MZT72" s="169">
        <v>150</v>
      </c>
      <c r="MZU72" s="171">
        <f>SUM(MZP72:MZT72)</f>
        <v>8675</v>
      </c>
      <c r="MZV72" s="169">
        <v>200</v>
      </c>
      <c r="MZW72" s="171">
        <f>SUM(MZU72:MZV72)</f>
        <v>8875</v>
      </c>
      <c r="MZX72" s="163" t="s">
        <v>114</v>
      </c>
      <c r="MZY72" s="164">
        <v>45845</v>
      </c>
      <c r="MZZ72" s="159" t="s">
        <v>42</v>
      </c>
      <c r="NAA72" s="354"/>
      <c r="NAB72" s="165" t="s">
        <v>124</v>
      </c>
      <c r="NAC72" s="352"/>
      <c r="NAD72" s="353"/>
      <c r="NAE72" s="159" t="s">
        <v>24</v>
      </c>
      <c r="NAF72" s="160">
        <v>8150</v>
      </c>
      <c r="NAG72" s="169">
        <v>85</v>
      </c>
      <c r="NAH72" s="170">
        <v>215</v>
      </c>
      <c r="NAI72" s="170">
        <v>75</v>
      </c>
      <c r="NAJ72" s="169">
        <v>150</v>
      </c>
      <c r="NAK72" s="171">
        <f>SUM(NAF72:NAJ72)</f>
        <v>8675</v>
      </c>
      <c r="NAL72" s="169">
        <v>200</v>
      </c>
      <c r="NAM72" s="171">
        <f>SUM(NAK72:NAL72)</f>
        <v>8875</v>
      </c>
      <c r="NAN72" s="163" t="s">
        <v>114</v>
      </c>
      <c r="NAO72" s="164">
        <v>45845</v>
      </c>
      <c r="NAP72" s="159" t="s">
        <v>42</v>
      </c>
      <c r="NAQ72" s="354"/>
      <c r="NAR72" s="165" t="s">
        <v>124</v>
      </c>
      <c r="NAS72" s="352"/>
      <c r="NAT72" s="353"/>
      <c r="NAU72" s="159" t="s">
        <v>24</v>
      </c>
      <c r="NAV72" s="160">
        <v>8150</v>
      </c>
      <c r="NAW72" s="169">
        <v>85</v>
      </c>
      <c r="NAX72" s="170">
        <v>215</v>
      </c>
      <c r="NAY72" s="170">
        <v>75</v>
      </c>
      <c r="NAZ72" s="169">
        <v>150</v>
      </c>
      <c r="NBA72" s="171">
        <f>SUM(NAV72:NAZ72)</f>
        <v>8675</v>
      </c>
      <c r="NBB72" s="169">
        <v>200</v>
      </c>
      <c r="NBC72" s="171">
        <f>SUM(NBA72:NBB72)</f>
        <v>8875</v>
      </c>
      <c r="NBD72" s="163" t="s">
        <v>114</v>
      </c>
      <c r="NBE72" s="164">
        <v>45845</v>
      </c>
      <c r="NBF72" s="159" t="s">
        <v>42</v>
      </c>
      <c r="NBG72" s="354"/>
      <c r="NBH72" s="165" t="s">
        <v>124</v>
      </c>
      <c r="NBI72" s="352"/>
      <c r="NBJ72" s="353"/>
      <c r="NBK72" s="159" t="s">
        <v>24</v>
      </c>
      <c r="NBL72" s="160">
        <v>8150</v>
      </c>
      <c r="NBM72" s="169">
        <v>85</v>
      </c>
      <c r="NBN72" s="170">
        <v>215</v>
      </c>
      <c r="NBO72" s="170">
        <v>75</v>
      </c>
      <c r="NBP72" s="169">
        <v>150</v>
      </c>
      <c r="NBQ72" s="171">
        <f>SUM(NBL72:NBP72)</f>
        <v>8675</v>
      </c>
      <c r="NBR72" s="169">
        <v>200</v>
      </c>
      <c r="NBS72" s="171">
        <f>SUM(NBQ72:NBR72)</f>
        <v>8875</v>
      </c>
      <c r="NBT72" s="163" t="s">
        <v>114</v>
      </c>
      <c r="NBU72" s="164">
        <v>45845</v>
      </c>
      <c r="NBV72" s="159" t="s">
        <v>42</v>
      </c>
      <c r="NBW72" s="354"/>
      <c r="NBX72" s="165" t="s">
        <v>124</v>
      </c>
      <c r="NBY72" s="352"/>
      <c r="NBZ72" s="353"/>
      <c r="NCA72" s="159" t="s">
        <v>24</v>
      </c>
      <c r="NCB72" s="160">
        <v>8150</v>
      </c>
      <c r="NCC72" s="169">
        <v>85</v>
      </c>
      <c r="NCD72" s="170">
        <v>215</v>
      </c>
      <c r="NCE72" s="170">
        <v>75</v>
      </c>
      <c r="NCF72" s="169">
        <v>150</v>
      </c>
      <c r="NCG72" s="171">
        <f>SUM(NCB72:NCF72)</f>
        <v>8675</v>
      </c>
      <c r="NCH72" s="169">
        <v>200</v>
      </c>
      <c r="NCI72" s="171">
        <f>SUM(NCG72:NCH72)</f>
        <v>8875</v>
      </c>
      <c r="NCJ72" s="163" t="s">
        <v>114</v>
      </c>
      <c r="NCK72" s="164">
        <v>45845</v>
      </c>
      <c r="NCL72" s="159" t="s">
        <v>42</v>
      </c>
      <c r="NCM72" s="354"/>
      <c r="NCN72" s="165" t="s">
        <v>124</v>
      </c>
      <c r="NCO72" s="352"/>
      <c r="NCP72" s="353"/>
      <c r="NCQ72" s="159" t="s">
        <v>24</v>
      </c>
      <c r="NCR72" s="160">
        <v>8150</v>
      </c>
      <c r="NCS72" s="169">
        <v>85</v>
      </c>
      <c r="NCT72" s="170">
        <v>215</v>
      </c>
      <c r="NCU72" s="170">
        <v>75</v>
      </c>
      <c r="NCV72" s="169">
        <v>150</v>
      </c>
      <c r="NCW72" s="171">
        <f>SUM(NCR72:NCV72)</f>
        <v>8675</v>
      </c>
      <c r="NCX72" s="169">
        <v>200</v>
      </c>
      <c r="NCY72" s="171">
        <f>SUM(NCW72:NCX72)</f>
        <v>8875</v>
      </c>
      <c r="NCZ72" s="163" t="s">
        <v>114</v>
      </c>
      <c r="NDA72" s="164">
        <v>45845</v>
      </c>
      <c r="NDB72" s="159" t="s">
        <v>42</v>
      </c>
      <c r="NDC72" s="354"/>
      <c r="NDD72" s="165" t="s">
        <v>124</v>
      </c>
      <c r="NDE72" s="352"/>
      <c r="NDF72" s="353"/>
      <c r="NDG72" s="159" t="s">
        <v>24</v>
      </c>
      <c r="NDH72" s="160">
        <v>8150</v>
      </c>
      <c r="NDI72" s="169">
        <v>85</v>
      </c>
      <c r="NDJ72" s="170">
        <v>215</v>
      </c>
      <c r="NDK72" s="170">
        <v>75</v>
      </c>
      <c r="NDL72" s="169">
        <v>150</v>
      </c>
      <c r="NDM72" s="171">
        <f>SUM(NDH72:NDL72)</f>
        <v>8675</v>
      </c>
      <c r="NDN72" s="169">
        <v>200</v>
      </c>
      <c r="NDO72" s="171">
        <f>SUM(NDM72:NDN72)</f>
        <v>8875</v>
      </c>
      <c r="NDP72" s="163" t="s">
        <v>114</v>
      </c>
      <c r="NDQ72" s="164">
        <v>45845</v>
      </c>
      <c r="NDR72" s="159" t="s">
        <v>42</v>
      </c>
      <c r="NDS72" s="354"/>
      <c r="NDT72" s="165" t="s">
        <v>124</v>
      </c>
      <c r="NDU72" s="352"/>
      <c r="NDV72" s="353"/>
      <c r="NDW72" s="159" t="s">
        <v>24</v>
      </c>
      <c r="NDX72" s="160">
        <v>8150</v>
      </c>
      <c r="NDY72" s="169">
        <v>85</v>
      </c>
      <c r="NDZ72" s="170">
        <v>215</v>
      </c>
      <c r="NEA72" s="170">
        <v>75</v>
      </c>
      <c r="NEB72" s="169">
        <v>150</v>
      </c>
      <c r="NEC72" s="171">
        <f>SUM(NDX72:NEB72)</f>
        <v>8675</v>
      </c>
      <c r="NED72" s="169">
        <v>200</v>
      </c>
      <c r="NEE72" s="171">
        <f>SUM(NEC72:NED72)</f>
        <v>8875</v>
      </c>
      <c r="NEF72" s="163" t="s">
        <v>114</v>
      </c>
      <c r="NEG72" s="164">
        <v>45845</v>
      </c>
      <c r="NEH72" s="159" t="s">
        <v>42</v>
      </c>
      <c r="NEI72" s="354"/>
      <c r="NEJ72" s="165" t="s">
        <v>124</v>
      </c>
      <c r="NEK72" s="352"/>
      <c r="NEL72" s="353"/>
      <c r="NEM72" s="159" t="s">
        <v>24</v>
      </c>
      <c r="NEN72" s="160">
        <v>8150</v>
      </c>
      <c r="NEO72" s="169">
        <v>85</v>
      </c>
      <c r="NEP72" s="170">
        <v>215</v>
      </c>
      <c r="NEQ72" s="170">
        <v>75</v>
      </c>
      <c r="NER72" s="169">
        <v>150</v>
      </c>
      <c r="NES72" s="171">
        <f>SUM(NEN72:NER72)</f>
        <v>8675</v>
      </c>
      <c r="NET72" s="169">
        <v>200</v>
      </c>
      <c r="NEU72" s="171">
        <f>SUM(NES72:NET72)</f>
        <v>8875</v>
      </c>
      <c r="NEV72" s="163" t="s">
        <v>114</v>
      </c>
      <c r="NEW72" s="164">
        <v>45845</v>
      </c>
      <c r="NEX72" s="159" t="s">
        <v>42</v>
      </c>
      <c r="NEY72" s="354"/>
      <c r="NEZ72" s="165" t="s">
        <v>124</v>
      </c>
      <c r="NFA72" s="352"/>
      <c r="NFB72" s="353"/>
      <c r="NFC72" s="159" t="s">
        <v>24</v>
      </c>
      <c r="NFD72" s="160">
        <v>8150</v>
      </c>
      <c r="NFE72" s="169">
        <v>85</v>
      </c>
      <c r="NFF72" s="170">
        <v>215</v>
      </c>
      <c r="NFG72" s="170">
        <v>75</v>
      </c>
      <c r="NFH72" s="169">
        <v>150</v>
      </c>
      <c r="NFI72" s="171">
        <f>SUM(NFD72:NFH72)</f>
        <v>8675</v>
      </c>
      <c r="NFJ72" s="169">
        <v>200</v>
      </c>
      <c r="NFK72" s="171">
        <f>SUM(NFI72:NFJ72)</f>
        <v>8875</v>
      </c>
      <c r="NFL72" s="163" t="s">
        <v>114</v>
      </c>
      <c r="NFM72" s="164">
        <v>45845</v>
      </c>
      <c r="NFN72" s="159" t="s">
        <v>42</v>
      </c>
      <c r="NFO72" s="354"/>
      <c r="NFP72" s="165" t="s">
        <v>124</v>
      </c>
      <c r="NFQ72" s="352"/>
      <c r="NFR72" s="353"/>
      <c r="NFS72" s="159" t="s">
        <v>24</v>
      </c>
      <c r="NFT72" s="160">
        <v>8150</v>
      </c>
      <c r="NFU72" s="169">
        <v>85</v>
      </c>
      <c r="NFV72" s="170">
        <v>215</v>
      </c>
      <c r="NFW72" s="170">
        <v>75</v>
      </c>
      <c r="NFX72" s="169">
        <v>150</v>
      </c>
      <c r="NFY72" s="171">
        <f>SUM(NFT72:NFX72)</f>
        <v>8675</v>
      </c>
      <c r="NFZ72" s="169">
        <v>200</v>
      </c>
      <c r="NGA72" s="171">
        <f>SUM(NFY72:NFZ72)</f>
        <v>8875</v>
      </c>
      <c r="NGB72" s="163" t="s">
        <v>114</v>
      </c>
      <c r="NGC72" s="164">
        <v>45845</v>
      </c>
      <c r="NGD72" s="159" t="s">
        <v>42</v>
      </c>
      <c r="NGE72" s="354"/>
      <c r="NGF72" s="165" t="s">
        <v>124</v>
      </c>
      <c r="NGG72" s="352"/>
      <c r="NGH72" s="353"/>
      <c r="NGI72" s="159" t="s">
        <v>24</v>
      </c>
      <c r="NGJ72" s="160">
        <v>8150</v>
      </c>
      <c r="NGK72" s="169">
        <v>85</v>
      </c>
      <c r="NGL72" s="170">
        <v>215</v>
      </c>
      <c r="NGM72" s="170">
        <v>75</v>
      </c>
      <c r="NGN72" s="169">
        <v>150</v>
      </c>
      <c r="NGO72" s="171">
        <f>SUM(NGJ72:NGN72)</f>
        <v>8675</v>
      </c>
      <c r="NGP72" s="169">
        <v>200</v>
      </c>
      <c r="NGQ72" s="171">
        <f>SUM(NGO72:NGP72)</f>
        <v>8875</v>
      </c>
      <c r="NGR72" s="163" t="s">
        <v>114</v>
      </c>
      <c r="NGS72" s="164">
        <v>45845</v>
      </c>
      <c r="NGT72" s="159" t="s">
        <v>42</v>
      </c>
      <c r="NGU72" s="354"/>
      <c r="NGV72" s="165" t="s">
        <v>124</v>
      </c>
      <c r="NGW72" s="352"/>
      <c r="NGX72" s="353"/>
      <c r="NGY72" s="159" t="s">
        <v>24</v>
      </c>
      <c r="NGZ72" s="160">
        <v>8150</v>
      </c>
      <c r="NHA72" s="169">
        <v>85</v>
      </c>
      <c r="NHB72" s="170">
        <v>215</v>
      </c>
      <c r="NHC72" s="170">
        <v>75</v>
      </c>
      <c r="NHD72" s="169">
        <v>150</v>
      </c>
      <c r="NHE72" s="171">
        <f>SUM(NGZ72:NHD72)</f>
        <v>8675</v>
      </c>
      <c r="NHF72" s="169">
        <v>200</v>
      </c>
      <c r="NHG72" s="171">
        <f>SUM(NHE72:NHF72)</f>
        <v>8875</v>
      </c>
      <c r="NHH72" s="163" t="s">
        <v>114</v>
      </c>
      <c r="NHI72" s="164">
        <v>45845</v>
      </c>
      <c r="NHJ72" s="159" t="s">
        <v>42</v>
      </c>
      <c r="NHK72" s="354"/>
      <c r="NHL72" s="165" t="s">
        <v>124</v>
      </c>
      <c r="NHM72" s="352"/>
      <c r="NHN72" s="353"/>
      <c r="NHO72" s="159" t="s">
        <v>24</v>
      </c>
      <c r="NHP72" s="160">
        <v>8150</v>
      </c>
      <c r="NHQ72" s="169">
        <v>85</v>
      </c>
      <c r="NHR72" s="170">
        <v>215</v>
      </c>
      <c r="NHS72" s="170">
        <v>75</v>
      </c>
      <c r="NHT72" s="169">
        <v>150</v>
      </c>
      <c r="NHU72" s="171">
        <f>SUM(NHP72:NHT72)</f>
        <v>8675</v>
      </c>
      <c r="NHV72" s="169">
        <v>200</v>
      </c>
      <c r="NHW72" s="171">
        <f>SUM(NHU72:NHV72)</f>
        <v>8875</v>
      </c>
      <c r="NHX72" s="163" t="s">
        <v>114</v>
      </c>
      <c r="NHY72" s="164">
        <v>45845</v>
      </c>
      <c r="NHZ72" s="159" t="s">
        <v>42</v>
      </c>
      <c r="NIA72" s="354"/>
      <c r="NIB72" s="165" t="s">
        <v>124</v>
      </c>
      <c r="NIC72" s="352"/>
      <c r="NID72" s="353"/>
      <c r="NIE72" s="159" t="s">
        <v>24</v>
      </c>
      <c r="NIF72" s="160">
        <v>8150</v>
      </c>
      <c r="NIG72" s="169">
        <v>85</v>
      </c>
      <c r="NIH72" s="170">
        <v>215</v>
      </c>
      <c r="NII72" s="170">
        <v>75</v>
      </c>
      <c r="NIJ72" s="169">
        <v>150</v>
      </c>
      <c r="NIK72" s="171">
        <f>SUM(NIF72:NIJ72)</f>
        <v>8675</v>
      </c>
      <c r="NIL72" s="169">
        <v>200</v>
      </c>
      <c r="NIM72" s="171">
        <f>SUM(NIK72:NIL72)</f>
        <v>8875</v>
      </c>
      <c r="NIN72" s="163" t="s">
        <v>114</v>
      </c>
      <c r="NIO72" s="164">
        <v>45845</v>
      </c>
      <c r="NIP72" s="159" t="s">
        <v>42</v>
      </c>
      <c r="NIQ72" s="354"/>
      <c r="NIR72" s="165" t="s">
        <v>124</v>
      </c>
      <c r="NIS72" s="352"/>
      <c r="NIT72" s="353"/>
      <c r="NIU72" s="159" t="s">
        <v>24</v>
      </c>
      <c r="NIV72" s="160">
        <v>8150</v>
      </c>
      <c r="NIW72" s="169">
        <v>85</v>
      </c>
      <c r="NIX72" s="170">
        <v>215</v>
      </c>
      <c r="NIY72" s="170">
        <v>75</v>
      </c>
      <c r="NIZ72" s="169">
        <v>150</v>
      </c>
      <c r="NJA72" s="171">
        <f>SUM(NIV72:NIZ72)</f>
        <v>8675</v>
      </c>
      <c r="NJB72" s="169">
        <v>200</v>
      </c>
      <c r="NJC72" s="171">
        <f>SUM(NJA72:NJB72)</f>
        <v>8875</v>
      </c>
      <c r="NJD72" s="163" t="s">
        <v>114</v>
      </c>
      <c r="NJE72" s="164">
        <v>45845</v>
      </c>
      <c r="NJF72" s="159" t="s">
        <v>42</v>
      </c>
      <c r="NJG72" s="354"/>
      <c r="NJH72" s="165" t="s">
        <v>124</v>
      </c>
      <c r="NJI72" s="352"/>
      <c r="NJJ72" s="353"/>
      <c r="NJK72" s="159" t="s">
        <v>24</v>
      </c>
      <c r="NJL72" s="160">
        <v>8150</v>
      </c>
      <c r="NJM72" s="169">
        <v>85</v>
      </c>
      <c r="NJN72" s="170">
        <v>215</v>
      </c>
      <c r="NJO72" s="170">
        <v>75</v>
      </c>
      <c r="NJP72" s="169">
        <v>150</v>
      </c>
      <c r="NJQ72" s="171">
        <f>SUM(NJL72:NJP72)</f>
        <v>8675</v>
      </c>
      <c r="NJR72" s="169">
        <v>200</v>
      </c>
      <c r="NJS72" s="171">
        <f>SUM(NJQ72:NJR72)</f>
        <v>8875</v>
      </c>
      <c r="NJT72" s="163" t="s">
        <v>114</v>
      </c>
      <c r="NJU72" s="164">
        <v>45845</v>
      </c>
      <c r="NJV72" s="159" t="s">
        <v>42</v>
      </c>
      <c r="NJW72" s="354"/>
      <c r="NJX72" s="165" t="s">
        <v>124</v>
      </c>
      <c r="NJY72" s="352"/>
      <c r="NJZ72" s="353"/>
      <c r="NKA72" s="159" t="s">
        <v>24</v>
      </c>
      <c r="NKB72" s="160">
        <v>8150</v>
      </c>
      <c r="NKC72" s="169">
        <v>85</v>
      </c>
      <c r="NKD72" s="170">
        <v>215</v>
      </c>
      <c r="NKE72" s="170">
        <v>75</v>
      </c>
      <c r="NKF72" s="169">
        <v>150</v>
      </c>
      <c r="NKG72" s="171">
        <f>SUM(NKB72:NKF72)</f>
        <v>8675</v>
      </c>
      <c r="NKH72" s="169">
        <v>200</v>
      </c>
      <c r="NKI72" s="171">
        <f>SUM(NKG72:NKH72)</f>
        <v>8875</v>
      </c>
      <c r="NKJ72" s="163" t="s">
        <v>114</v>
      </c>
      <c r="NKK72" s="164">
        <v>45845</v>
      </c>
      <c r="NKL72" s="159" t="s">
        <v>42</v>
      </c>
      <c r="NKM72" s="354"/>
      <c r="NKN72" s="165" t="s">
        <v>124</v>
      </c>
      <c r="NKO72" s="352"/>
      <c r="NKP72" s="353"/>
      <c r="NKQ72" s="159" t="s">
        <v>24</v>
      </c>
      <c r="NKR72" s="160">
        <v>8150</v>
      </c>
      <c r="NKS72" s="169">
        <v>85</v>
      </c>
      <c r="NKT72" s="170">
        <v>215</v>
      </c>
      <c r="NKU72" s="170">
        <v>75</v>
      </c>
      <c r="NKV72" s="169">
        <v>150</v>
      </c>
      <c r="NKW72" s="171">
        <f>SUM(NKR72:NKV72)</f>
        <v>8675</v>
      </c>
      <c r="NKX72" s="169">
        <v>200</v>
      </c>
      <c r="NKY72" s="171">
        <f>SUM(NKW72:NKX72)</f>
        <v>8875</v>
      </c>
      <c r="NKZ72" s="163" t="s">
        <v>114</v>
      </c>
      <c r="NLA72" s="164">
        <v>45845</v>
      </c>
      <c r="NLB72" s="159" t="s">
        <v>42</v>
      </c>
      <c r="NLC72" s="354"/>
      <c r="NLD72" s="165" t="s">
        <v>124</v>
      </c>
      <c r="NLE72" s="352"/>
      <c r="NLF72" s="353"/>
      <c r="NLG72" s="159" t="s">
        <v>24</v>
      </c>
      <c r="NLH72" s="160">
        <v>8150</v>
      </c>
      <c r="NLI72" s="169">
        <v>85</v>
      </c>
      <c r="NLJ72" s="170">
        <v>215</v>
      </c>
      <c r="NLK72" s="170">
        <v>75</v>
      </c>
      <c r="NLL72" s="169">
        <v>150</v>
      </c>
      <c r="NLM72" s="171">
        <f>SUM(NLH72:NLL72)</f>
        <v>8675</v>
      </c>
      <c r="NLN72" s="169">
        <v>200</v>
      </c>
      <c r="NLO72" s="171">
        <f>SUM(NLM72:NLN72)</f>
        <v>8875</v>
      </c>
      <c r="NLP72" s="163" t="s">
        <v>114</v>
      </c>
      <c r="NLQ72" s="164">
        <v>45845</v>
      </c>
      <c r="NLR72" s="159" t="s">
        <v>42</v>
      </c>
      <c r="NLS72" s="354"/>
      <c r="NLT72" s="165" t="s">
        <v>124</v>
      </c>
      <c r="NLU72" s="352"/>
      <c r="NLV72" s="353"/>
      <c r="NLW72" s="159" t="s">
        <v>24</v>
      </c>
      <c r="NLX72" s="160">
        <v>8150</v>
      </c>
      <c r="NLY72" s="169">
        <v>85</v>
      </c>
      <c r="NLZ72" s="170">
        <v>215</v>
      </c>
      <c r="NMA72" s="170">
        <v>75</v>
      </c>
      <c r="NMB72" s="169">
        <v>150</v>
      </c>
      <c r="NMC72" s="171">
        <f>SUM(NLX72:NMB72)</f>
        <v>8675</v>
      </c>
      <c r="NMD72" s="169">
        <v>200</v>
      </c>
      <c r="NME72" s="171">
        <f>SUM(NMC72:NMD72)</f>
        <v>8875</v>
      </c>
      <c r="NMF72" s="163" t="s">
        <v>114</v>
      </c>
      <c r="NMG72" s="164">
        <v>45845</v>
      </c>
      <c r="NMH72" s="159" t="s">
        <v>42</v>
      </c>
      <c r="NMI72" s="354"/>
      <c r="NMJ72" s="165" t="s">
        <v>124</v>
      </c>
      <c r="NMK72" s="352"/>
      <c r="NML72" s="353"/>
      <c r="NMM72" s="159" t="s">
        <v>24</v>
      </c>
      <c r="NMN72" s="160">
        <v>8150</v>
      </c>
      <c r="NMO72" s="169">
        <v>85</v>
      </c>
      <c r="NMP72" s="170">
        <v>215</v>
      </c>
      <c r="NMQ72" s="170">
        <v>75</v>
      </c>
      <c r="NMR72" s="169">
        <v>150</v>
      </c>
      <c r="NMS72" s="171">
        <f>SUM(NMN72:NMR72)</f>
        <v>8675</v>
      </c>
      <c r="NMT72" s="169">
        <v>200</v>
      </c>
      <c r="NMU72" s="171">
        <f>SUM(NMS72:NMT72)</f>
        <v>8875</v>
      </c>
      <c r="NMV72" s="163" t="s">
        <v>114</v>
      </c>
      <c r="NMW72" s="164">
        <v>45845</v>
      </c>
      <c r="NMX72" s="159" t="s">
        <v>42</v>
      </c>
      <c r="NMY72" s="354"/>
      <c r="NMZ72" s="165" t="s">
        <v>124</v>
      </c>
      <c r="NNA72" s="352"/>
      <c r="NNB72" s="353"/>
      <c r="NNC72" s="159" t="s">
        <v>24</v>
      </c>
      <c r="NND72" s="160">
        <v>8150</v>
      </c>
      <c r="NNE72" s="169">
        <v>85</v>
      </c>
      <c r="NNF72" s="170">
        <v>215</v>
      </c>
      <c r="NNG72" s="170">
        <v>75</v>
      </c>
      <c r="NNH72" s="169">
        <v>150</v>
      </c>
      <c r="NNI72" s="171">
        <f>SUM(NND72:NNH72)</f>
        <v>8675</v>
      </c>
      <c r="NNJ72" s="169">
        <v>200</v>
      </c>
      <c r="NNK72" s="171">
        <f>SUM(NNI72:NNJ72)</f>
        <v>8875</v>
      </c>
      <c r="NNL72" s="163" t="s">
        <v>114</v>
      </c>
      <c r="NNM72" s="164">
        <v>45845</v>
      </c>
      <c r="NNN72" s="159" t="s">
        <v>42</v>
      </c>
      <c r="NNO72" s="354"/>
      <c r="NNP72" s="165" t="s">
        <v>124</v>
      </c>
      <c r="NNQ72" s="352"/>
      <c r="NNR72" s="353"/>
      <c r="NNS72" s="159" t="s">
        <v>24</v>
      </c>
      <c r="NNT72" s="160">
        <v>8150</v>
      </c>
      <c r="NNU72" s="169">
        <v>85</v>
      </c>
      <c r="NNV72" s="170">
        <v>215</v>
      </c>
      <c r="NNW72" s="170">
        <v>75</v>
      </c>
      <c r="NNX72" s="169">
        <v>150</v>
      </c>
      <c r="NNY72" s="171">
        <f>SUM(NNT72:NNX72)</f>
        <v>8675</v>
      </c>
      <c r="NNZ72" s="169">
        <v>200</v>
      </c>
      <c r="NOA72" s="171">
        <f>SUM(NNY72:NNZ72)</f>
        <v>8875</v>
      </c>
      <c r="NOB72" s="163" t="s">
        <v>114</v>
      </c>
      <c r="NOC72" s="164">
        <v>45845</v>
      </c>
      <c r="NOD72" s="159" t="s">
        <v>42</v>
      </c>
      <c r="NOE72" s="354"/>
      <c r="NOF72" s="165" t="s">
        <v>124</v>
      </c>
      <c r="NOG72" s="352"/>
      <c r="NOH72" s="353"/>
      <c r="NOI72" s="159" t="s">
        <v>24</v>
      </c>
      <c r="NOJ72" s="160">
        <v>8150</v>
      </c>
      <c r="NOK72" s="169">
        <v>85</v>
      </c>
      <c r="NOL72" s="170">
        <v>215</v>
      </c>
      <c r="NOM72" s="170">
        <v>75</v>
      </c>
      <c r="NON72" s="169">
        <v>150</v>
      </c>
      <c r="NOO72" s="171">
        <f>SUM(NOJ72:NON72)</f>
        <v>8675</v>
      </c>
      <c r="NOP72" s="169">
        <v>200</v>
      </c>
      <c r="NOQ72" s="171">
        <f>SUM(NOO72:NOP72)</f>
        <v>8875</v>
      </c>
      <c r="NOR72" s="163" t="s">
        <v>114</v>
      </c>
      <c r="NOS72" s="164">
        <v>45845</v>
      </c>
      <c r="NOT72" s="159" t="s">
        <v>42</v>
      </c>
      <c r="NOU72" s="354"/>
      <c r="NOV72" s="165" t="s">
        <v>124</v>
      </c>
      <c r="NOW72" s="352"/>
      <c r="NOX72" s="353"/>
      <c r="NOY72" s="159" t="s">
        <v>24</v>
      </c>
      <c r="NOZ72" s="160">
        <v>8150</v>
      </c>
      <c r="NPA72" s="169">
        <v>85</v>
      </c>
      <c r="NPB72" s="170">
        <v>215</v>
      </c>
      <c r="NPC72" s="170">
        <v>75</v>
      </c>
      <c r="NPD72" s="169">
        <v>150</v>
      </c>
      <c r="NPE72" s="171">
        <f>SUM(NOZ72:NPD72)</f>
        <v>8675</v>
      </c>
      <c r="NPF72" s="169">
        <v>200</v>
      </c>
      <c r="NPG72" s="171">
        <f>SUM(NPE72:NPF72)</f>
        <v>8875</v>
      </c>
      <c r="NPH72" s="163" t="s">
        <v>114</v>
      </c>
      <c r="NPI72" s="164">
        <v>45845</v>
      </c>
      <c r="NPJ72" s="159" t="s">
        <v>42</v>
      </c>
      <c r="NPK72" s="354"/>
      <c r="NPL72" s="165" t="s">
        <v>124</v>
      </c>
      <c r="NPM72" s="352"/>
      <c r="NPN72" s="353"/>
      <c r="NPO72" s="159" t="s">
        <v>24</v>
      </c>
      <c r="NPP72" s="160">
        <v>8150</v>
      </c>
      <c r="NPQ72" s="169">
        <v>85</v>
      </c>
      <c r="NPR72" s="170">
        <v>215</v>
      </c>
      <c r="NPS72" s="170">
        <v>75</v>
      </c>
      <c r="NPT72" s="169">
        <v>150</v>
      </c>
      <c r="NPU72" s="171">
        <f>SUM(NPP72:NPT72)</f>
        <v>8675</v>
      </c>
      <c r="NPV72" s="169">
        <v>200</v>
      </c>
      <c r="NPW72" s="171">
        <f>SUM(NPU72:NPV72)</f>
        <v>8875</v>
      </c>
      <c r="NPX72" s="163" t="s">
        <v>114</v>
      </c>
      <c r="NPY72" s="164">
        <v>45845</v>
      </c>
      <c r="NPZ72" s="159" t="s">
        <v>42</v>
      </c>
      <c r="NQA72" s="354"/>
      <c r="NQB72" s="165" t="s">
        <v>124</v>
      </c>
      <c r="NQC72" s="352"/>
      <c r="NQD72" s="353"/>
      <c r="NQE72" s="159" t="s">
        <v>24</v>
      </c>
      <c r="NQF72" s="160">
        <v>8150</v>
      </c>
      <c r="NQG72" s="169">
        <v>85</v>
      </c>
      <c r="NQH72" s="170">
        <v>215</v>
      </c>
      <c r="NQI72" s="170">
        <v>75</v>
      </c>
      <c r="NQJ72" s="169">
        <v>150</v>
      </c>
      <c r="NQK72" s="171">
        <f>SUM(NQF72:NQJ72)</f>
        <v>8675</v>
      </c>
      <c r="NQL72" s="169">
        <v>200</v>
      </c>
      <c r="NQM72" s="171">
        <f>SUM(NQK72:NQL72)</f>
        <v>8875</v>
      </c>
      <c r="NQN72" s="163" t="s">
        <v>114</v>
      </c>
      <c r="NQO72" s="164">
        <v>45845</v>
      </c>
      <c r="NQP72" s="159" t="s">
        <v>42</v>
      </c>
      <c r="NQQ72" s="354"/>
      <c r="NQR72" s="165" t="s">
        <v>124</v>
      </c>
      <c r="NQS72" s="352"/>
      <c r="NQT72" s="353"/>
      <c r="NQU72" s="159" t="s">
        <v>24</v>
      </c>
      <c r="NQV72" s="160">
        <v>8150</v>
      </c>
      <c r="NQW72" s="169">
        <v>85</v>
      </c>
      <c r="NQX72" s="170">
        <v>215</v>
      </c>
      <c r="NQY72" s="170">
        <v>75</v>
      </c>
      <c r="NQZ72" s="169">
        <v>150</v>
      </c>
      <c r="NRA72" s="171">
        <f>SUM(NQV72:NQZ72)</f>
        <v>8675</v>
      </c>
      <c r="NRB72" s="169">
        <v>200</v>
      </c>
      <c r="NRC72" s="171">
        <f>SUM(NRA72:NRB72)</f>
        <v>8875</v>
      </c>
      <c r="NRD72" s="163" t="s">
        <v>114</v>
      </c>
      <c r="NRE72" s="164">
        <v>45845</v>
      </c>
      <c r="NRF72" s="159" t="s">
        <v>42</v>
      </c>
      <c r="NRG72" s="354"/>
      <c r="NRH72" s="165" t="s">
        <v>124</v>
      </c>
      <c r="NRI72" s="352"/>
      <c r="NRJ72" s="353"/>
      <c r="NRK72" s="159" t="s">
        <v>24</v>
      </c>
      <c r="NRL72" s="160">
        <v>8150</v>
      </c>
      <c r="NRM72" s="169">
        <v>85</v>
      </c>
      <c r="NRN72" s="170">
        <v>215</v>
      </c>
      <c r="NRO72" s="170">
        <v>75</v>
      </c>
      <c r="NRP72" s="169">
        <v>150</v>
      </c>
      <c r="NRQ72" s="171">
        <f>SUM(NRL72:NRP72)</f>
        <v>8675</v>
      </c>
      <c r="NRR72" s="169">
        <v>200</v>
      </c>
      <c r="NRS72" s="171">
        <f>SUM(NRQ72:NRR72)</f>
        <v>8875</v>
      </c>
      <c r="NRT72" s="163" t="s">
        <v>114</v>
      </c>
      <c r="NRU72" s="164">
        <v>45845</v>
      </c>
      <c r="NRV72" s="159" t="s">
        <v>42</v>
      </c>
      <c r="NRW72" s="354"/>
      <c r="NRX72" s="165" t="s">
        <v>124</v>
      </c>
      <c r="NRY72" s="352"/>
      <c r="NRZ72" s="353"/>
      <c r="NSA72" s="159" t="s">
        <v>24</v>
      </c>
      <c r="NSB72" s="160">
        <v>8150</v>
      </c>
      <c r="NSC72" s="169">
        <v>85</v>
      </c>
      <c r="NSD72" s="170">
        <v>215</v>
      </c>
      <c r="NSE72" s="170">
        <v>75</v>
      </c>
      <c r="NSF72" s="169">
        <v>150</v>
      </c>
      <c r="NSG72" s="171">
        <f>SUM(NSB72:NSF72)</f>
        <v>8675</v>
      </c>
      <c r="NSH72" s="169">
        <v>200</v>
      </c>
      <c r="NSI72" s="171">
        <f>SUM(NSG72:NSH72)</f>
        <v>8875</v>
      </c>
      <c r="NSJ72" s="163" t="s">
        <v>114</v>
      </c>
      <c r="NSK72" s="164">
        <v>45845</v>
      </c>
      <c r="NSL72" s="159" t="s">
        <v>42</v>
      </c>
      <c r="NSM72" s="354"/>
      <c r="NSN72" s="165" t="s">
        <v>124</v>
      </c>
      <c r="NSO72" s="352"/>
      <c r="NSP72" s="353"/>
      <c r="NSQ72" s="159" t="s">
        <v>24</v>
      </c>
      <c r="NSR72" s="160">
        <v>8150</v>
      </c>
      <c r="NSS72" s="169">
        <v>85</v>
      </c>
      <c r="NST72" s="170">
        <v>215</v>
      </c>
      <c r="NSU72" s="170">
        <v>75</v>
      </c>
      <c r="NSV72" s="169">
        <v>150</v>
      </c>
      <c r="NSW72" s="171">
        <f>SUM(NSR72:NSV72)</f>
        <v>8675</v>
      </c>
      <c r="NSX72" s="169">
        <v>200</v>
      </c>
      <c r="NSY72" s="171">
        <f>SUM(NSW72:NSX72)</f>
        <v>8875</v>
      </c>
      <c r="NSZ72" s="163" t="s">
        <v>114</v>
      </c>
      <c r="NTA72" s="164">
        <v>45845</v>
      </c>
      <c r="NTB72" s="159" t="s">
        <v>42</v>
      </c>
      <c r="NTC72" s="354"/>
      <c r="NTD72" s="165" t="s">
        <v>124</v>
      </c>
      <c r="NTE72" s="352"/>
      <c r="NTF72" s="353"/>
      <c r="NTG72" s="159" t="s">
        <v>24</v>
      </c>
      <c r="NTH72" s="160">
        <v>8150</v>
      </c>
      <c r="NTI72" s="169">
        <v>85</v>
      </c>
      <c r="NTJ72" s="170">
        <v>215</v>
      </c>
      <c r="NTK72" s="170">
        <v>75</v>
      </c>
      <c r="NTL72" s="169">
        <v>150</v>
      </c>
      <c r="NTM72" s="171">
        <f>SUM(NTH72:NTL72)</f>
        <v>8675</v>
      </c>
      <c r="NTN72" s="169">
        <v>200</v>
      </c>
      <c r="NTO72" s="171">
        <f>SUM(NTM72:NTN72)</f>
        <v>8875</v>
      </c>
      <c r="NTP72" s="163" t="s">
        <v>114</v>
      </c>
      <c r="NTQ72" s="164">
        <v>45845</v>
      </c>
      <c r="NTR72" s="159" t="s">
        <v>42</v>
      </c>
      <c r="NTS72" s="354"/>
      <c r="NTT72" s="165" t="s">
        <v>124</v>
      </c>
      <c r="NTU72" s="352"/>
      <c r="NTV72" s="353"/>
      <c r="NTW72" s="159" t="s">
        <v>24</v>
      </c>
      <c r="NTX72" s="160">
        <v>8150</v>
      </c>
      <c r="NTY72" s="169">
        <v>85</v>
      </c>
      <c r="NTZ72" s="170">
        <v>215</v>
      </c>
      <c r="NUA72" s="170">
        <v>75</v>
      </c>
      <c r="NUB72" s="169">
        <v>150</v>
      </c>
      <c r="NUC72" s="171">
        <f>SUM(NTX72:NUB72)</f>
        <v>8675</v>
      </c>
      <c r="NUD72" s="169">
        <v>200</v>
      </c>
      <c r="NUE72" s="171">
        <f>SUM(NUC72:NUD72)</f>
        <v>8875</v>
      </c>
      <c r="NUF72" s="163" t="s">
        <v>114</v>
      </c>
      <c r="NUG72" s="164">
        <v>45845</v>
      </c>
      <c r="NUH72" s="159" t="s">
        <v>42</v>
      </c>
      <c r="NUI72" s="354"/>
      <c r="NUJ72" s="165" t="s">
        <v>124</v>
      </c>
      <c r="NUK72" s="352"/>
      <c r="NUL72" s="353"/>
      <c r="NUM72" s="159" t="s">
        <v>24</v>
      </c>
      <c r="NUN72" s="160">
        <v>8150</v>
      </c>
      <c r="NUO72" s="169">
        <v>85</v>
      </c>
      <c r="NUP72" s="170">
        <v>215</v>
      </c>
      <c r="NUQ72" s="170">
        <v>75</v>
      </c>
      <c r="NUR72" s="169">
        <v>150</v>
      </c>
      <c r="NUS72" s="171">
        <f>SUM(NUN72:NUR72)</f>
        <v>8675</v>
      </c>
      <c r="NUT72" s="169">
        <v>200</v>
      </c>
      <c r="NUU72" s="171">
        <f>SUM(NUS72:NUT72)</f>
        <v>8875</v>
      </c>
      <c r="NUV72" s="163" t="s">
        <v>114</v>
      </c>
      <c r="NUW72" s="164">
        <v>45845</v>
      </c>
      <c r="NUX72" s="159" t="s">
        <v>42</v>
      </c>
      <c r="NUY72" s="354"/>
      <c r="NUZ72" s="165" t="s">
        <v>124</v>
      </c>
      <c r="NVA72" s="352"/>
      <c r="NVB72" s="353"/>
      <c r="NVC72" s="159" t="s">
        <v>24</v>
      </c>
      <c r="NVD72" s="160">
        <v>8150</v>
      </c>
      <c r="NVE72" s="169">
        <v>85</v>
      </c>
      <c r="NVF72" s="170">
        <v>215</v>
      </c>
      <c r="NVG72" s="170">
        <v>75</v>
      </c>
      <c r="NVH72" s="169">
        <v>150</v>
      </c>
      <c r="NVI72" s="171">
        <f>SUM(NVD72:NVH72)</f>
        <v>8675</v>
      </c>
      <c r="NVJ72" s="169">
        <v>200</v>
      </c>
      <c r="NVK72" s="171">
        <f>SUM(NVI72:NVJ72)</f>
        <v>8875</v>
      </c>
      <c r="NVL72" s="163" t="s">
        <v>114</v>
      </c>
      <c r="NVM72" s="164">
        <v>45845</v>
      </c>
      <c r="NVN72" s="159" t="s">
        <v>42</v>
      </c>
      <c r="NVO72" s="354"/>
      <c r="NVP72" s="165" t="s">
        <v>124</v>
      </c>
      <c r="NVQ72" s="352"/>
      <c r="NVR72" s="353"/>
      <c r="NVS72" s="159" t="s">
        <v>24</v>
      </c>
      <c r="NVT72" s="160">
        <v>8150</v>
      </c>
      <c r="NVU72" s="169">
        <v>85</v>
      </c>
      <c r="NVV72" s="170">
        <v>215</v>
      </c>
      <c r="NVW72" s="170">
        <v>75</v>
      </c>
      <c r="NVX72" s="169">
        <v>150</v>
      </c>
      <c r="NVY72" s="171">
        <f>SUM(NVT72:NVX72)</f>
        <v>8675</v>
      </c>
      <c r="NVZ72" s="169">
        <v>200</v>
      </c>
      <c r="NWA72" s="171">
        <f>SUM(NVY72:NVZ72)</f>
        <v>8875</v>
      </c>
      <c r="NWB72" s="163" t="s">
        <v>114</v>
      </c>
      <c r="NWC72" s="164">
        <v>45845</v>
      </c>
      <c r="NWD72" s="159" t="s">
        <v>42</v>
      </c>
      <c r="NWE72" s="354"/>
      <c r="NWF72" s="165" t="s">
        <v>124</v>
      </c>
      <c r="NWG72" s="352"/>
      <c r="NWH72" s="353"/>
      <c r="NWI72" s="159" t="s">
        <v>24</v>
      </c>
      <c r="NWJ72" s="160">
        <v>8150</v>
      </c>
      <c r="NWK72" s="169">
        <v>85</v>
      </c>
      <c r="NWL72" s="170">
        <v>215</v>
      </c>
      <c r="NWM72" s="170">
        <v>75</v>
      </c>
      <c r="NWN72" s="169">
        <v>150</v>
      </c>
      <c r="NWO72" s="171">
        <f>SUM(NWJ72:NWN72)</f>
        <v>8675</v>
      </c>
      <c r="NWP72" s="169">
        <v>200</v>
      </c>
      <c r="NWQ72" s="171">
        <f>SUM(NWO72:NWP72)</f>
        <v>8875</v>
      </c>
      <c r="NWR72" s="163" t="s">
        <v>114</v>
      </c>
      <c r="NWS72" s="164">
        <v>45845</v>
      </c>
      <c r="NWT72" s="159" t="s">
        <v>42</v>
      </c>
      <c r="NWU72" s="354"/>
      <c r="NWV72" s="165" t="s">
        <v>124</v>
      </c>
      <c r="NWW72" s="352"/>
      <c r="NWX72" s="353"/>
      <c r="NWY72" s="159" t="s">
        <v>24</v>
      </c>
      <c r="NWZ72" s="160">
        <v>8150</v>
      </c>
      <c r="NXA72" s="169">
        <v>85</v>
      </c>
      <c r="NXB72" s="170">
        <v>215</v>
      </c>
      <c r="NXC72" s="170">
        <v>75</v>
      </c>
      <c r="NXD72" s="169">
        <v>150</v>
      </c>
      <c r="NXE72" s="171">
        <f>SUM(NWZ72:NXD72)</f>
        <v>8675</v>
      </c>
      <c r="NXF72" s="169">
        <v>200</v>
      </c>
      <c r="NXG72" s="171">
        <f>SUM(NXE72:NXF72)</f>
        <v>8875</v>
      </c>
      <c r="NXH72" s="163" t="s">
        <v>114</v>
      </c>
      <c r="NXI72" s="164">
        <v>45845</v>
      </c>
      <c r="NXJ72" s="159" t="s">
        <v>42</v>
      </c>
      <c r="NXK72" s="354"/>
      <c r="NXL72" s="165" t="s">
        <v>124</v>
      </c>
      <c r="NXM72" s="352"/>
      <c r="NXN72" s="353"/>
      <c r="NXO72" s="159" t="s">
        <v>24</v>
      </c>
      <c r="NXP72" s="160">
        <v>8150</v>
      </c>
      <c r="NXQ72" s="169">
        <v>85</v>
      </c>
      <c r="NXR72" s="170">
        <v>215</v>
      </c>
      <c r="NXS72" s="170">
        <v>75</v>
      </c>
      <c r="NXT72" s="169">
        <v>150</v>
      </c>
      <c r="NXU72" s="171">
        <f>SUM(NXP72:NXT72)</f>
        <v>8675</v>
      </c>
      <c r="NXV72" s="169">
        <v>200</v>
      </c>
      <c r="NXW72" s="171">
        <f>SUM(NXU72:NXV72)</f>
        <v>8875</v>
      </c>
      <c r="NXX72" s="163" t="s">
        <v>114</v>
      </c>
      <c r="NXY72" s="164">
        <v>45845</v>
      </c>
      <c r="NXZ72" s="159" t="s">
        <v>42</v>
      </c>
      <c r="NYA72" s="354"/>
      <c r="NYB72" s="165" t="s">
        <v>124</v>
      </c>
      <c r="NYC72" s="352"/>
      <c r="NYD72" s="353"/>
      <c r="NYE72" s="159" t="s">
        <v>24</v>
      </c>
      <c r="NYF72" s="160">
        <v>8150</v>
      </c>
      <c r="NYG72" s="169">
        <v>85</v>
      </c>
      <c r="NYH72" s="170">
        <v>215</v>
      </c>
      <c r="NYI72" s="170">
        <v>75</v>
      </c>
      <c r="NYJ72" s="169">
        <v>150</v>
      </c>
      <c r="NYK72" s="171">
        <f>SUM(NYF72:NYJ72)</f>
        <v>8675</v>
      </c>
      <c r="NYL72" s="169">
        <v>200</v>
      </c>
      <c r="NYM72" s="171">
        <f>SUM(NYK72:NYL72)</f>
        <v>8875</v>
      </c>
      <c r="NYN72" s="163" t="s">
        <v>114</v>
      </c>
      <c r="NYO72" s="164">
        <v>45845</v>
      </c>
      <c r="NYP72" s="159" t="s">
        <v>42</v>
      </c>
      <c r="NYQ72" s="354"/>
      <c r="NYR72" s="165" t="s">
        <v>124</v>
      </c>
      <c r="NYS72" s="352"/>
      <c r="NYT72" s="353"/>
      <c r="NYU72" s="159" t="s">
        <v>24</v>
      </c>
      <c r="NYV72" s="160">
        <v>8150</v>
      </c>
      <c r="NYW72" s="169">
        <v>85</v>
      </c>
      <c r="NYX72" s="170">
        <v>215</v>
      </c>
      <c r="NYY72" s="170">
        <v>75</v>
      </c>
      <c r="NYZ72" s="169">
        <v>150</v>
      </c>
      <c r="NZA72" s="171">
        <f>SUM(NYV72:NYZ72)</f>
        <v>8675</v>
      </c>
      <c r="NZB72" s="169">
        <v>200</v>
      </c>
      <c r="NZC72" s="171">
        <f>SUM(NZA72:NZB72)</f>
        <v>8875</v>
      </c>
      <c r="NZD72" s="163" t="s">
        <v>114</v>
      </c>
      <c r="NZE72" s="164">
        <v>45845</v>
      </c>
      <c r="NZF72" s="159" t="s">
        <v>42</v>
      </c>
      <c r="NZG72" s="354"/>
      <c r="NZH72" s="165" t="s">
        <v>124</v>
      </c>
      <c r="NZI72" s="352"/>
      <c r="NZJ72" s="353"/>
      <c r="NZK72" s="159" t="s">
        <v>24</v>
      </c>
      <c r="NZL72" s="160">
        <v>8150</v>
      </c>
      <c r="NZM72" s="169">
        <v>85</v>
      </c>
      <c r="NZN72" s="170">
        <v>215</v>
      </c>
      <c r="NZO72" s="170">
        <v>75</v>
      </c>
      <c r="NZP72" s="169">
        <v>150</v>
      </c>
      <c r="NZQ72" s="171">
        <f>SUM(NZL72:NZP72)</f>
        <v>8675</v>
      </c>
      <c r="NZR72" s="169">
        <v>200</v>
      </c>
      <c r="NZS72" s="171">
        <f>SUM(NZQ72:NZR72)</f>
        <v>8875</v>
      </c>
      <c r="NZT72" s="163" t="s">
        <v>114</v>
      </c>
      <c r="NZU72" s="164">
        <v>45845</v>
      </c>
      <c r="NZV72" s="159" t="s">
        <v>42</v>
      </c>
      <c r="NZW72" s="354"/>
      <c r="NZX72" s="165" t="s">
        <v>124</v>
      </c>
      <c r="NZY72" s="352"/>
      <c r="NZZ72" s="353"/>
      <c r="OAA72" s="159" t="s">
        <v>24</v>
      </c>
      <c r="OAB72" s="160">
        <v>8150</v>
      </c>
      <c r="OAC72" s="169">
        <v>85</v>
      </c>
      <c r="OAD72" s="170">
        <v>215</v>
      </c>
      <c r="OAE72" s="170">
        <v>75</v>
      </c>
      <c r="OAF72" s="169">
        <v>150</v>
      </c>
      <c r="OAG72" s="171">
        <f>SUM(OAB72:OAF72)</f>
        <v>8675</v>
      </c>
      <c r="OAH72" s="169">
        <v>200</v>
      </c>
      <c r="OAI72" s="171">
        <f>SUM(OAG72:OAH72)</f>
        <v>8875</v>
      </c>
      <c r="OAJ72" s="163" t="s">
        <v>114</v>
      </c>
      <c r="OAK72" s="164">
        <v>45845</v>
      </c>
      <c r="OAL72" s="159" t="s">
        <v>42</v>
      </c>
      <c r="OAM72" s="354"/>
      <c r="OAN72" s="165" t="s">
        <v>124</v>
      </c>
      <c r="OAO72" s="352"/>
      <c r="OAP72" s="353"/>
      <c r="OAQ72" s="159" t="s">
        <v>24</v>
      </c>
      <c r="OAR72" s="160">
        <v>8150</v>
      </c>
      <c r="OAS72" s="169">
        <v>85</v>
      </c>
      <c r="OAT72" s="170">
        <v>215</v>
      </c>
      <c r="OAU72" s="170">
        <v>75</v>
      </c>
      <c r="OAV72" s="169">
        <v>150</v>
      </c>
      <c r="OAW72" s="171">
        <f>SUM(OAR72:OAV72)</f>
        <v>8675</v>
      </c>
      <c r="OAX72" s="169">
        <v>200</v>
      </c>
      <c r="OAY72" s="171">
        <f>SUM(OAW72:OAX72)</f>
        <v>8875</v>
      </c>
      <c r="OAZ72" s="163" t="s">
        <v>114</v>
      </c>
      <c r="OBA72" s="164">
        <v>45845</v>
      </c>
      <c r="OBB72" s="159" t="s">
        <v>42</v>
      </c>
      <c r="OBC72" s="354"/>
      <c r="OBD72" s="165" t="s">
        <v>124</v>
      </c>
      <c r="OBE72" s="352"/>
      <c r="OBF72" s="353"/>
      <c r="OBG72" s="159" t="s">
        <v>24</v>
      </c>
      <c r="OBH72" s="160">
        <v>8150</v>
      </c>
      <c r="OBI72" s="169">
        <v>85</v>
      </c>
      <c r="OBJ72" s="170">
        <v>215</v>
      </c>
      <c r="OBK72" s="170">
        <v>75</v>
      </c>
      <c r="OBL72" s="169">
        <v>150</v>
      </c>
      <c r="OBM72" s="171">
        <f>SUM(OBH72:OBL72)</f>
        <v>8675</v>
      </c>
      <c r="OBN72" s="169">
        <v>200</v>
      </c>
      <c r="OBO72" s="171">
        <f>SUM(OBM72:OBN72)</f>
        <v>8875</v>
      </c>
      <c r="OBP72" s="163" t="s">
        <v>114</v>
      </c>
      <c r="OBQ72" s="164">
        <v>45845</v>
      </c>
      <c r="OBR72" s="159" t="s">
        <v>42</v>
      </c>
      <c r="OBS72" s="354"/>
      <c r="OBT72" s="165" t="s">
        <v>124</v>
      </c>
      <c r="OBU72" s="352"/>
      <c r="OBV72" s="353"/>
      <c r="OBW72" s="159" t="s">
        <v>24</v>
      </c>
      <c r="OBX72" s="160">
        <v>8150</v>
      </c>
      <c r="OBY72" s="169">
        <v>85</v>
      </c>
      <c r="OBZ72" s="170">
        <v>215</v>
      </c>
      <c r="OCA72" s="170">
        <v>75</v>
      </c>
      <c r="OCB72" s="169">
        <v>150</v>
      </c>
      <c r="OCC72" s="171">
        <f>SUM(OBX72:OCB72)</f>
        <v>8675</v>
      </c>
      <c r="OCD72" s="169">
        <v>200</v>
      </c>
      <c r="OCE72" s="171">
        <f>SUM(OCC72:OCD72)</f>
        <v>8875</v>
      </c>
      <c r="OCF72" s="163" t="s">
        <v>114</v>
      </c>
      <c r="OCG72" s="164">
        <v>45845</v>
      </c>
      <c r="OCH72" s="159" t="s">
        <v>42</v>
      </c>
      <c r="OCI72" s="354"/>
      <c r="OCJ72" s="165" t="s">
        <v>124</v>
      </c>
      <c r="OCK72" s="352"/>
      <c r="OCL72" s="353"/>
      <c r="OCM72" s="159" t="s">
        <v>24</v>
      </c>
      <c r="OCN72" s="160">
        <v>8150</v>
      </c>
      <c r="OCO72" s="169">
        <v>85</v>
      </c>
      <c r="OCP72" s="170">
        <v>215</v>
      </c>
      <c r="OCQ72" s="170">
        <v>75</v>
      </c>
      <c r="OCR72" s="169">
        <v>150</v>
      </c>
      <c r="OCS72" s="171">
        <f>SUM(OCN72:OCR72)</f>
        <v>8675</v>
      </c>
      <c r="OCT72" s="169">
        <v>200</v>
      </c>
      <c r="OCU72" s="171">
        <f>SUM(OCS72:OCT72)</f>
        <v>8875</v>
      </c>
      <c r="OCV72" s="163" t="s">
        <v>114</v>
      </c>
      <c r="OCW72" s="164">
        <v>45845</v>
      </c>
      <c r="OCX72" s="159" t="s">
        <v>42</v>
      </c>
      <c r="OCY72" s="354"/>
      <c r="OCZ72" s="165" t="s">
        <v>124</v>
      </c>
      <c r="ODA72" s="352"/>
      <c r="ODB72" s="353"/>
      <c r="ODC72" s="159" t="s">
        <v>24</v>
      </c>
      <c r="ODD72" s="160">
        <v>8150</v>
      </c>
      <c r="ODE72" s="169">
        <v>85</v>
      </c>
      <c r="ODF72" s="170">
        <v>215</v>
      </c>
      <c r="ODG72" s="170">
        <v>75</v>
      </c>
      <c r="ODH72" s="169">
        <v>150</v>
      </c>
      <c r="ODI72" s="171">
        <f>SUM(ODD72:ODH72)</f>
        <v>8675</v>
      </c>
      <c r="ODJ72" s="169">
        <v>200</v>
      </c>
      <c r="ODK72" s="171">
        <f>SUM(ODI72:ODJ72)</f>
        <v>8875</v>
      </c>
      <c r="ODL72" s="163" t="s">
        <v>114</v>
      </c>
      <c r="ODM72" s="164">
        <v>45845</v>
      </c>
      <c r="ODN72" s="159" t="s">
        <v>42</v>
      </c>
      <c r="ODO72" s="354"/>
      <c r="ODP72" s="165" t="s">
        <v>124</v>
      </c>
      <c r="ODQ72" s="352"/>
      <c r="ODR72" s="353"/>
      <c r="ODS72" s="159" t="s">
        <v>24</v>
      </c>
      <c r="ODT72" s="160">
        <v>8150</v>
      </c>
      <c r="ODU72" s="169">
        <v>85</v>
      </c>
      <c r="ODV72" s="170">
        <v>215</v>
      </c>
      <c r="ODW72" s="170">
        <v>75</v>
      </c>
      <c r="ODX72" s="169">
        <v>150</v>
      </c>
      <c r="ODY72" s="171">
        <f>SUM(ODT72:ODX72)</f>
        <v>8675</v>
      </c>
      <c r="ODZ72" s="169">
        <v>200</v>
      </c>
      <c r="OEA72" s="171">
        <f>SUM(ODY72:ODZ72)</f>
        <v>8875</v>
      </c>
      <c r="OEB72" s="163" t="s">
        <v>114</v>
      </c>
      <c r="OEC72" s="164">
        <v>45845</v>
      </c>
      <c r="OED72" s="159" t="s">
        <v>42</v>
      </c>
      <c r="OEE72" s="354"/>
      <c r="OEF72" s="165" t="s">
        <v>124</v>
      </c>
      <c r="OEG72" s="352"/>
      <c r="OEH72" s="353"/>
      <c r="OEI72" s="159" t="s">
        <v>24</v>
      </c>
      <c r="OEJ72" s="160">
        <v>8150</v>
      </c>
      <c r="OEK72" s="169">
        <v>85</v>
      </c>
      <c r="OEL72" s="170">
        <v>215</v>
      </c>
      <c r="OEM72" s="170">
        <v>75</v>
      </c>
      <c r="OEN72" s="169">
        <v>150</v>
      </c>
      <c r="OEO72" s="171">
        <f>SUM(OEJ72:OEN72)</f>
        <v>8675</v>
      </c>
      <c r="OEP72" s="169">
        <v>200</v>
      </c>
      <c r="OEQ72" s="171">
        <f>SUM(OEO72:OEP72)</f>
        <v>8875</v>
      </c>
      <c r="OER72" s="163" t="s">
        <v>114</v>
      </c>
      <c r="OES72" s="164">
        <v>45845</v>
      </c>
      <c r="OET72" s="159" t="s">
        <v>42</v>
      </c>
      <c r="OEU72" s="354"/>
      <c r="OEV72" s="165" t="s">
        <v>124</v>
      </c>
      <c r="OEW72" s="352"/>
      <c r="OEX72" s="353"/>
      <c r="OEY72" s="159" t="s">
        <v>24</v>
      </c>
      <c r="OEZ72" s="160">
        <v>8150</v>
      </c>
      <c r="OFA72" s="169">
        <v>85</v>
      </c>
      <c r="OFB72" s="170">
        <v>215</v>
      </c>
      <c r="OFC72" s="170">
        <v>75</v>
      </c>
      <c r="OFD72" s="169">
        <v>150</v>
      </c>
      <c r="OFE72" s="171">
        <f>SUM(OEZ72:OFD72)</f>
        <v>8675</v>
      </c>
      <c r="OFF72" s="169">
        <v>200</v>
      </c>
      <c r="OFG72" s="171">
        <f>SUM(OFE72:OFF72)</f>
        <v>8875</v>
      </c>
      <c r="OFH72" s="163" t="s">
        <v>114</v>
      </c>
      <c r="OFI72" s="164">
        <v>45845</v>
      </c>
      <c r="OFJ72" s="159" t="s">
        <v>42</v>
      </c>
      <c r="OFK72" s="354"/>
      <c r="OFL72" s="165" t="s">
        <v>124</v>
      </c>
      <c r="OFM72" s="352"/>
      <c r="OFN72" s="353"/>
      <c r="OFO72" s="159" t="s">
        <v>24</v>
      </c>
      <c r="OFP72" s="160">
        <v>8150</v>
      </c>
      <c r="OFQ72" s="169">
        <v>85</v>
      </c>
      <c r="OFR72" s="170">
        <v>215</v>
      </c>
      <c r="OFS72" s="170">
        <v>75</v>
      </c>
      <c r="OFT72" s="169">
        <v>150</v>
      </c>
      <c r="OFU72" s="171">
        <f>SUM(OFP72:OFT72)</f>
        <v>8675</v>
      </c>
      <c r="OFV72" s="169">
        <v>200</v>
      </c>
      <c r="OFW72" s="171">
        <f>SUM(OFU72:OFV72)</f>
        <v>8875</v>
      </c>
      <c r="OFX72" s="163" t="s">
        <v>114</v>
      </c>
      <c r="OFY72" s="164">
        <v>45845</v>
      </c>
      <c r="OFZ72" s="159" t="s">
        <v>42</v>
      </c>
      <c r="OGA72" s="354"/>
      <c r="OGB72" s="165" t="s">
        <v>124</v>
      </c>
      <c r="OGC72" s="352"/>
      <c r="OGD72" s="353"/>
      <c r="OGE72" s="159" t="s">
        <v>24</v>
      </c>
      <c r="OGF72" s="160">
        <v>8150</v>
      </c>
      <c r="OGG72" s="169">
        <v>85</v>
      </c>
      <c r="OGH72" s="170">
        <v>215</v>
      </c>
      <c r="OGI72" s="170">
        <v>75</v>
      </c>
      <c r="OGJ72" s="169">
        <v>150</v>
      </c>
      <c r="OGK72" s="171">
        <f>SUM(OGF72:OGJ72)</f>
        <v>8675</v>
      </c>
      <c r="OGL72" s="169">
        <v>200</v>
      </c>
      <c r="OGM72" s="171">
        <f>SUM(OGK72:OGL72)</f>
        <v>8875</v>
      </c>
      <c r="OGN72" s="163" t="s">
        <v>114</v>
      </c>
      <c r="OGO72" s="164">
        <v>45845</v>
      </c>
      <c r="OGP72" s="159" t="s">
        <v>42</v>
      </c>
      <c r="OGQ72" s="354"/>
      <c r="OGR72" s="165" t="s">
        <v>124</v>
      </c>
      <c r="OGS72" s="352"/>
      <c r="OGT72" s="353"/>
      <c r="OGU72" s="159" t="s">
        <v>24</v>
      </c>
      <c r="OGV72" s="160">
        <v>8150</v>
      </c>
      <c r="OGW72" s="169">
        <v>85</v>
      </c>
      <c r="OGX72" s="170">
        <v>215</v>
      </c>
      <c r="OGY72" s="170">
        <v>75</v>
      </c>
      <c r="OGZ72" s="169">
        <v>150</v>
      </c>
      <c r="OHA72" s="171">
        <f>SUM(OGV72:OGZ72)</f>
        <v>8675</v>
      </c>
      <c r="OHB72" s="169">
        <v>200</v>
      </c>
      <c r="OHC72" s="171">
        <f>SUM(OHA72:OHB72)</f>
        <v>8875</v>
      </c>
      <c r="OHD72" s="163" t="s">
        <v>114</v>
      </c>
      <c r="OHE72" s="164">
        <v>45845</v>
      </c>
      <c r="OHF72" s="159" t="s">
        <v>42</v>
      </c>
      <c r="OHG72" s="354"/>
      <c r="OHH72" s="165" t="s">
        <v>124</v>
      </c>
      <c r="OHI72" s="352"/>
      <c r="OHJ72" s="353"/>
      <c r="OHK72" s="159" t="s">
        <v>24</v>
      </c>
      <c r="OHL72" s="160">
        <v>8150</v>
      </c>
      <c r="OHM72" s="169">
        <v>85</v>
      </c>
      <c r="OHN72" s="170">
        <v>215</v>
      </c>
      <c r="OHO72" s="170">
        <v>75</v>
      </c>
      <c r="OHP72" s="169">
        <v>150</v>
      </c>
      <c r="OHQ72" s="171">
        <f>SUM(OHL72:OHP72)</f>
        <v>8675</v>
      </c>
      <c r="OHR72" s="169">
        <v>200</v>
      </c>
      <c r="OHS72" s="171">
        <f>SUM(OHQ72:OHR72)</f>
        <v>8875</v>
      </c>
      <c r="OHT72" s="163" t="s">
        <v>114</v>
      </c>
      <c r="OHU72" s="164">
        <v>45845</v>
      </c>
      <c r="OHV72" s="159" t="s">
        <v>42</v>
      </c>
      <c r="OHW72" s="354"/>
      <c r="OHX72" s="165" t="s">
        <v>124</v>
      </c>
      <c r="OHY72" s="352"/>
      <c r="OHZ72" s="353"/>
      <c r="OIA72" s="159" t="s">
        <v>24</v>
      </c>
      <c r="OIB72" s="160">
        <v>8150</v>
      </c>
      <c r="OIC72" s="169">
        <v>85</v>
      </c>
      <c r="OID72" s="170">
        <v>215</v>
      </c>
      <c r="OIE72" s="170">
        <v>75</v>
      </c>
      <c r="OIF72" s="169">
        <v>150</v>
      </c>
      <c r="OIG72" s="171">
        <f>SUM(OIB72:OIF72)</f>
        <v>8675</v>
      </c>
      <c r="OIH72" s="169">
        <v>200</v>
      </c>
      <c r="OII72" s="171">
        <f>SUM(OIG72:OIH72)</f>
        <v>8875</v>
      </c>
      <c r="OIJ72" s="163" t="s">
        <v>114</v>
      </c>
      <c r="OIK72" s="164">
        <v>45845</v>
      </c>
      <c r="OIL72" s="159" t="s">
        <v>42</v>
      </c>
      <c r="OIM72" s="354"/>
      <c r="OIN72" s="165" t="s">
        <v>124</v>
      </c>
      <c r="OIO72" s="352"/>
      <c r="OIP72" s="353"/>
      <c r="OIQ72" s="159" t="s">
        <v>24</v>
      </c>
      <c r="OIR72" s="160">
        <v>8150</v>
      </c>
      <c r="OIS72" s="169">
        <v>85</v>
      </c>
      <c r="OIT72" s="170">
        <v>215</v>
      </c>
      <c r="OIU72" s="170">
        <v>75</v>
      </c>
      <c r="OIV72" s="169">
        <v>150</v>
      </c>
      <c r="OIW72" s="171">
        <f>SUM(OIR72:OIV72)</f>
        <v>8675</v>
      </c>
      <c r="OIX72" s="169">
        <v>200</v>
      </c>
      <c r="OIY72" s="171">
        <f>SUM(OIW72:OIX72)</f>
        <v>8875</v>
      </c>
      <c r="OIZ72" s="163" t="s">
        <v>114</v>
      </c>
      <c r="OJA72" s="164">
        <v>45845</v>
      </c>
      <c r="OJB72" s="159" t="s">
        <v>42</v>
      </c>
      <c r="OJC72" s="354"/>
      <c r="OJD72" s="165" t="s">
        <v>124</v>
      </c>
      <c r="OJE72" s="352"/>
      <c r="OJF72" s="353"/>
      <c r="OJG72" s="159" t="s">
        <v>24</v>
      </c>
      <c r="OJH72" s="160">
        <v>8150</v>
      </c>
      <c r="OJI72" s="169">
        <v>85</v>
      </c>
      <c r="OJJ72" s="170">
        <v>215</v>
      </c>
      <c r="OJK72" s="170">
        <v>75</v>
      </c>
      <c r="OJL72" s="169">
        <v>150</v>
      </c>
      <c r="OJM72" s="171">
        <f>SUM(OJH72:OJL72)</f>
        <v>8675</v>
      </c>
      <c r="OJN72" s="169">
        <v>200</v>
      </c>
      <c r="OJO72" s="171">
        <f>SUM(OJM72:OJN72)</f>
        <v>8875</v>
      </c>
      <c r="OJP72" s="163" t="s">
        <v>114</v>
      </c>
      <c r="OJQ72" s="164">
        <v>45845</v>
      </c>
      <c r="OJR72" s="159" t="s">
        <v>42</v>
      </c>
      <c r="OJS72" s="354"/>
      <c r="OJT72" s="165" t="s">
        <v>124</v>
      </c>
      <c r="OJU72" s="352"/>
      <c r="OJV72" s="353"/>
      <c r="OJW72" s="159" t="s">
        <v>24</v>
      </c>
      <c r="OJX72" s="160">
        <v>8150</v>
      </c>
      <c r="OJY72" s="169">
        <v>85</v>
      </c>
      <c r="OJZ72" s="170">
        <v>215</v>
      </c>
      <c r="OKA72" s="170">
        <v>75</v>
      </c>
      <c r="OKB72" s="169">
        <v>150</v>
      </c>
      <c r="OKC72" s="171">
        <f>SUM(OJX72:OKB72)</f>
        <v>8675</v>
      </c>
      <c r="OKD72" s="169">
        <v>200</v>
      </c>
      <c r="OKE72" s="171">
        <f>SUM(OKC72:OKD72)</f>
        <v>8875</v>
      </c>
      <c r="OKF72" s="163" t="s">
        <v>114</v>
      </c>
      <c r="OKG72" s="164">
        <v>45845</v>
      </c>
      <c r="OKH72" s="159" t="s">
        <v>42</v>
      </c>
      <c r="OKI72" s="354"/>
      <c r="OKJ72" s="165" t="s">
        <v>124</v>
      </c>
      <c r="OKK72" s="352"/>
      <c r="OKL72" s="353"/>
      <c r="OKM72" s="159" t="s">
        <v>24</v>
      </c>
      <c r="OKN72" s="160">
        <v>8150</v>
      </c>
      <c r="OKO72" s="169">
        <v>85</v>
      </c>
      <c r="OKP72" s="170">
        <v>215</v>
      </c>
      <c r="OKQ72" s="170">
        <v>75</v>
      </c>
      <c r="OKR72" s="169">
        <v>150</v>
      </c>
      <c r="OKS72" s="171">
        <f>SUM(OKN72:OKR72)</f>
        <v>8675</v>
      </c>
      <c r="OKT72" s="169">
        <v>200</v>
      </c>
      <c r="OKU72" s="171">
        <f>SUM(OKS72:OKT72)</f>
        <v>8875</v>
      </c>
      <c r="OKV72" s="163" t="s">
        <v>114</v>
      </c>
      <c r="OKW72" s="164">
        <v>45845</v>
      </c>
      <c r="OKX72" s="159" t="s">
        <v>42</v>
      </c>
      <c r="OKY72" s="354"/>
      <c r="OKZ72" s="165" t="s">
        <v>124</v>
      </c>
      <c r="OLA72" s="352"/>
      <c r="OLB72" s="353"/>
      <c r="OLC72" s="159" t="s">
        <v>24</v>
      </c>
      <c r="OLD72" s="160">
        <v>8150</v>
      </c>
      <c r="OLE72" s="169">
        <v>85</v>
      </c>
      <c r="OLF72" s="170">
        <v>215</v>
      </c>
      <c r="OLG72" s="170">
        <v>75</v>
      </c>
      <c r="OLH72" s="169">
        <v>150</v>
      </c>
      <c r="OLI72" s="171">
        <f>SUM(OLD72:OLH72)</f>
        <v>8675</v>
      </c>
      <c r="OLJ72" s="169">
        <v>200</v>
      </c>
      <c r="OLK72" s="171">
        <f>SUM(OLI72:OLJ72)</f>
        <v>8875</v>
      </c>
      <c r="OLL72" s="163" t="s">
        <v>114</v>
      </c>
      <c r="OLM72" s="164">
        <v>45845</v>
      </c>
      <c r="OLN72" s="159" t="s">
        <v>42</v>
      </c>
      <c r="OLO72" s="354"/>
      <c r="OLP72" s="165" t="s">
        <v>124</v>
      </c>
      <c r="OLQ72" s="352"/>
      <c r="OLR72" s="353"/>
      <c r="OLS72" s="159" t="s">
        <v>24</v>
      </c>
      <c r="OLT72" s="160">
        <v>8150</v>
      </c>
      <c r="OLU72" s="169">
        <v>85</v>
      </c>
      <c r="OLV72" s="170">
        <v>215</v>
      </c>
      <c r="OLW72" s="170">
        <v>75</v>
      </c>
      <c r="OLX72" s="169">
        <v>150</v>
      </c>
      <c r="OLY72" s="171">
        <f>SUM(OLT72:OLX72)</f>
        <v>8675</v>
      </c>
      <c r="OLZ72" s="169">
        <v>200</v>
      </c>
      <c r="OMA72" s="171">
        <f>SUM(OLY72:OLZ72)</f>
        <v>8875</v>
      </c>
      <c r="OMB72" s="163" t="s">
        <v>114</v>
      </c>
      <c r="OMC72" s="164">
        <v>45845</v>
      </c>
      <c r="OMD72" s="159" t="s">
        <v>42</v>
      </c>
      <c r="OME72" s="354"/>
      <c r="OMF72" s="165" t="s">
        <v>124</v>
      </c>
      <c r="OMG72" s="352"/>
      <c r="OMH72" s="353"/>
      <c r="OMI72" s="159" t="s">
        <v>24</v>
      </c>
      <c r="OMJ72" s="160">
        <v>8150</v>
      </c>
      <c r="OMK72" s="169">
        <v>85</v>
      </c>
      <c r="OML72" s="170">
        <v>215</v>
      </c>
      <c r="OMM72" s="170">
        <v>75</v>
      </c>
      <c r="OMN72" s="169">
        <v>150</v>
      </c>
      <c r="OMO72" s="171">
        <f>SUM(OMJ72:OMN72)</f>
        <v>8675</v>
      </c>
      <c r="OMP72" s="169">
        <v>200</v>
      </c>
      <c r="OMQ72" s="171">
        <f>SUM(OMO72:OMP72)</f>
        <v>8875</v>
      </c>
      <c r="OMR72" s="163" t="s">
        <v>114</v>
      </c>
      <c r="OMS72" s="164">
        <v>45845</v>
      </c>
      <c r="OMT72" s="159" t="s">
        <v>42</v>
      </c>
      <c r="OMU72" s="354"/>
      <c r="OMV72" s="165" t="s">
        <v>124</v>
      </c>
      <c r="OMW72" s="352"/>
      <c r="OMX72" s="353"/>
      <c r="OMY72" s="159" t="s">
        <v>24</v>
      </c>
      <c r="OMZ72" s="160">
        <v>8150</v>
      </c>
      <c r="ONA72" s="169">
        <v>85</v>
      </c>
      <c r="ONB72" s="170">
        <v>215</v>
      </c>
      <c r="ONC72" s="170">
        <v>75</v>
      </c>
      <c r="OND72" s="169">
        <v>150</v>
      </c>
      <c r="ONE72" s="171">
        <f>SUM(OMZ72:OND72)</f>
        <v>8675</v>
      </c>
      <c r="ONF72" s="169">
        <v>200</v>
      </c>
      <c r="ONG72" s="171">
        <f>SUM(ONE72:ONF72)</f>
        <v>8875</v>
      </c>
      <c r="ONH72" s="163" t="s">
        <v>114</v>
      </c>
      <c r="ONI72" s="164">
        <v>45845</v>
      </c>
      <c r="ONJ72" s="159" t="s">
        <v>42</v>
      </c>
      <c r="ONK72" s="354"/>
      <c r="ONL72" s="165" t="s">
        <v>124</v>
      </c>
      <c r="ONM72" s="352"/>
      <c r="ONN72" s="353"/>
      <c r="ONO72" s="159" t="s">
        <v>24</v>
      </c>
      <c r="ONP72" s="160">
        <v>8150</v>
      </c>
      <c r="ONQ72" s="169">
        <v>85</v>
      </c>
      <c r="ONR72" s="170">
        <v>215</v>
      </c>
      <c r="ONS72" s="170">
        <v>75</v>
      </c>
      <c r="ONT72" s="169">
        <v>150</v>
      </c>
      <c r="ONU72" s="171">
        <f>SUM(ONP72:ONT72)</f>
        <v>8675</v>
      </c>
      <c r="ONV72" s="169">
        <v>200</v>
      </c>
      <c r="ONW72" s="171">
        <f>SUM(ONU72:ONV72)</f>
        <v>8875</v>
      </c>
      <c r="ONX72" s="163" t="s">
        <v>114</v>
      </c>
      <c r="ONY72" s="164">
        <v>45845</v>
      </c>
      <c r="ONZ72" s="159" t="s">
        <v>42</v>
      </c>
      <c r="OOA72" s="354"/>
      <c r="OOB72" s="165" t="s">
        <v>124</v>
      </c>
      <c r="OOC72" s="352"/>
      <c r="OOD72" s="353"/>
      <c r="OOE72" s="159" t="s">
        <v>24</v>
      </c>
      <c r="OOF72" s="160">
        <v>8150</v>
      </c>
      <c r="OOG72" s="169">
        <v>85</v>
      </c>
      <c r="OOH72" s="170">
        <v>215</v>
      </c>
      <c r="OOI72" s="170">
        <v>75</v>
      </c>
      <c r="OOJ72" s="169">
        <v>150</v>
      </c>
      <c r="OOK72" s="171">
        <f>SUM(OOF72:OOJ72)</f>
        <v>8675</v>
      </c>
      <c r="OOL72" s="169">
        <v>200</v>
      </c>
      <c r="OOM72" s="171">
        <f>SUM(OOK72:OOL72)</f>
        <v>8875</v>
      </c>
      <c r="OON72" s="163" t="s">
        <v>114</v>
      </c>
      <c r="OOO72" s="164">
        <v>45845</v>
      </c>
      <c r="OOP72" s="159" t="s">
        <v>42</v>
      </c>
      <c r="OOQ72" s="354"/>
      <c r="OOR72" s="165" t="s">
        <v>124</v>
      </c>
      <c r="OOS72" s="352"/>
      <c r="OOT72" s="353"/>
      <c r="OOU72" s="159" t="s">
        <v>24</v>
      </c>
      <c r="OOV72" s="160">
        <v>8150</v>
      </c>
      <c r="OOW72" s="169">
        <v>85</v>
      </c>
      <c r="OOX72" s="170">
        <v>215</v>
      </c>
      <c r="OOY72" s="170">
        <v>75</v>
      </c>
      <c r="OOZ72" s="169">
        <v>150</v>
      </c>
      <c r="OPA72" s="171">
        <f>SUM(OOV72:OOZ72)</f>
        <v>8675</v>
      </c>
      <c r="OPB72" s="169">
        <v>200</v>
      </c>
      <c r="OPC72" s="171">
        <f>SUM(OPA72:OPB72)</f>
        <v>8875</v>
      </c>
      <c r="OPD72" s="163" t="s">
        <v>114</v>
      </c>
      <c r="OPE72" s="164">
        <v>45845</v>
      </c>
      <c r="OPF72" s="159" t="s">
        <v>42</v>
      </c>
      <c r="OPG72" s="354"/>
      <c r="OPH72" s="165" t="s">
        <v>124</v>
      </c>
      <c r="OPI72" s="352"/>
      <c r="OPJ72" s="353"/>
      <c r="OPK72" s="159" t="s">
        <v>24</v>
      </c>
      <c r="OPL72" s="160">
        <v>8150</v>
      </c>
      <c r="OPM72" s="169">
        <v>85</v>
      </c>
      <c r="OPN72" s="170">
        <v>215</v>
      </c>
      <c r="OPO72" s="170">
        <v>75</v>
      </c>
      <c r="OPP72" s="169">
        <v>150</v>
      </c>
      <c r="OPQ72" s="171">
        <f>SUM(OPL72:OPP72)</f>
        <v>8675</v>
      </c>
      <c r="OPR72" s="169">
        <v>200</v>
      </c>
      <c r="OPS72" s="171">
        <f>SUM(OPQ72:OPR72)</f>
        <v>8875</v>
      </c>
      <c r="OPT72" s="163" t="s">
        <v>114</v>
      </c>
      <c r="OPU72" s="164">
        <v>45845</v>
      </c>
      <c r="OPV72" s="159" t="s">
        <v>42</v>
      </c>
      <c r="OPW72" s="354"/>
      <c r="OPX72" s="165" t="s">
        <v>124</v>
      </c>
      <c r="OPY72" s="352"/>
      <c r="OPZ72" s="353"/>
      <c r="OQA72" s="159" t="s">
        <v>24</v>
      </c>
      <c r="OQB72" s="160">
        <v>8150</v>
      </c>
      <c r="OQC72" s="169">
        <v>85</v>
      </c>
      <c r="OQD72" s="170">
        <v>215</v>
      </c>
      <c r="OQE72" s="170">
        <v>75</v>
      </c>
      <c r="OQF72" s="169">
        <v>150</v>
      </c>
      <c r="OQG72" s="171">
        <f>SUM(OQB72:OQF72)</f>
        <v>8675</v>
      </c>
      <c r="OQH72" s="169">
        <v>200</v>
      </c>
      <c r="OQI72" s="171">
        <f>SUM(OQG72:OQH72)</f>
        <v>8875</v>
      </c>
      <c r="OQJ72" s="163" t="s">
        <v>114</v>
      </c>
      <c r="OQK72" s="164">
        <v>45845</v>
      </c>
      <c r="OQL72" s="159" t="s">
        <v>42</v>
      </c>
      <c r="OQM72" s="354"/>
      <c r="OQN72" s="165" t="s">
        <v>124</v>
      </c>
      <c r="OQO72" s="352"/>
      <c r="OQP72" s="353"/>
      <c r="OQQ72" s="159" t="s">
        <v>24</v>
      </c>
      <c r="OQR72" s="160">
        <v>8150</v>
      </c>
      <c r="OQS72" s="169">
        <v>85</v>
      </c>
      <c r="OQT72" s="170">
        <v>215</v>
      </c>
      <c r="OQU72" s="170">
        <v>75</v>
      </c>
      <c r="OQV72" s="169">
        <v>150</v>
      </c>
      <c r="OQW72" s="171">
        <f>SUM(OQR72:OQV72)</f>
        <v>8675</v>
      </c>
      <c r="OQX72" s="169">
        <v>200</v>
      </c>
      <c r="OQY72" s="171">
        <f>SUM(OQW72:OQX72)</f>
        <v>8875</v>
      </c>
      <c r="OQZ72" s="163" t="s">
        <v>114</v>
      </c>
      <c r="ORA72" s="164">
        <v>45845</v>
      </c>
      <c r="ORB72" s="159" t="s">
        <v>42</v>
      </c>
      <c r="ORC72" s="354"/>
      <c r="ORD72" s="165" t="s">
        <v>124</v>
      </c>
      <c r="ORE72" s="352"/>
      <c r="ORF72" s="353"/>
      <c r="ORG72" s="159" t="s">
        <v>24</v>
      </c>
      <c r="ORH72" s="160">
        <v>8150</v>
      </c>
      <c r="ORI72" s="169">
        <v>85</v>
      </c>
      <c r="ORJ72" s="170">
        <v>215</v>
      </c>
      <c r="ORK72" s="170">
        <v>75</v>
      </c>
      <c r="ORL72" s="169">
        <v>150</v>
      </c>
      <c r="ORM72" s="171">
        <f>SUM(ORH72:ORL72)</f>
        <v>8675</v>
      </c>
      <c r="ORN72" s="169">
        <v>200</v>
      </c>
      <c r="ORO72" s="171">
        <f>SUM(ORM72:ORN72)</f>
        <v>8875</v>
      </c>
      <c r="ORP72" s="163" t="s">
        <v>114</v>
      </c>
      <c r="ORQ72" s="164">
        <v>45845</v>
      </c>
      <c r="ORR72" s="159" t="s">
        <v>42</v>
      </c>
      <c r="ORS72" s="354"/>
      <c r="ORT72" s="165" t="s">
        <v>124</v>
      </c>
      <c r="ORU72" s="352"/>
      <c r="ORV72" s="353"/>
      <c r="ORW72" s="159" t="s">
        <v>24</v>
      </c>
      <c r="ORX72" s="160">
        <v>8150</v>
      </c>
      <c r="ORY72" s="169">
        <v>85</v>
      </c>
      <c r="ORZ72" s="170">
        <v>215</v>
      </c>
      <c r="OSA72" s="170">
        <v>75</v>
      </c>
      <c r="OSB72" s="169">
        <v>150</v>
      </c>
      <c r="OSC72" s="171">
        <f>SUM(ORX72:OSB72)</f>
        <v>8675</v>
      </c>
      <c r="OSD72" s="169">
        <v>200</v>
      </c>
      <c r="OSE72" s="171">
        <f>SUM(OSC72:OSD72)</f>
        <v>8875</v>
      </c>
      <c r="OSF72" s="163" t="s">
        <v>114</v>
      </c>
      <c r="OSG72" s="164">
        <v>45845</v>
      </c>
      <c r="OSH72" s="159" t="s">
        <v>42</v>
      </c>
      <c r="OSI72" s="354"/>
      <c r="OSJ72" s="165" t="s">
        <v>124</v>
      </c>
      <c r="OSK72" s="352"/>
      <c r="OSL72" s="353"/>
      <c r="OSM72" s="159" t="s">
        <v>24</v>
      </c>
      <c r="OSN72" s="160">
        <v>8150</v>
      </c>
      <c r="OSO72" s="169">
        <v>85</v>
      </c>
      <c r="OSP72" s="170">
        <v>215</v>
      </c>
      <c r="OSQ72" s="170">
        <v>75</v>
      </c>
      <c r="OSR72" s="169">
        <v>150</v>
      </c>
      <c r="OSS72" s="171">
        <f>SUM(OSN72:OSR72)</f>
        <v>8675</v>
      </c>
      <c r="OST72" s="169">
        <v>200</v>
      </c>
      <c r="OSU72" s="171">
        <f>SUM(OSS72:OST72)</f>
        <v>8875</v>
      </c>
      <c r="OSV72" s="163" t="s">
        <v>114</v>
      </c>
      <c r="OSW72" s="164">
        <v>45845</v>
      </c>
      <c r="OSX72" s="159" t="s">
        <v>42</v>
      </c>
      <c r="OSY72" s="354"/>
      <c r="OSZ72" s="165" t="s">
        <v>124</v>
      </c>
      <c r="OTA72" s="352"/>
      <c r="OTB72" s="353"/>
      <c r="OTC72" s="159" t="s">
        <v>24</v>
      </c>
      <c r="OTD72" s="160">
        <v>8150</v>
      </c>
      <c r="OTE72" s="169">
        <v>85</v>
      </c>
      <c r="OTF72" s="170">
        <v>215</v>
      </c>
      <c r="OTG72" s="170">
        <v>75</v>
      </c>
      <c r="OTH72" s="169">
        <v>150</v>
      </c>
      <c r="OTI72" s="171">
        <f>SUM(OTD72:OTH72)</f>
        <v>8675</v>
      </c>
      <c r="OTJ72" s="169">
        <v>200</v>
      </c>
      <c r="OTK72" s="171">
        <f>SUM(OTI72:OTJ72)</f>
        <v>8875</v>
      </c>
      <c r="OTL72" s="163" t="s">
        <v>114</v>
      </c>
      <c r="OTM72" s="164">
        <v>45845</v>
      </c>
      <c r="OTN72" s="159" t="s">
        <v>42</v>
      </c>
      <c r="OTO72" s="354"/>
      <c r="OTP72" s="165" t="s">
        <v>124</v>
      </c>
      <c r="OTQ72" s="352"/>
      <c r="OTR72" s="353"/>
      <c r="OTS72" s="159" t="s">
        <v>24</v>
      </c>
      <c r="OTT72" s="160">
        <v>8150</v>
      </c>
      <c r="OTU72" s="169">
        <v>85</v>
      </c>
      <c r="OTV72" s="170">
        <v>215</v>
      </c>
      <c r="OTW72" s="170">
        <v>75</v>
      </c>
      <c r="OTX72" s="169">
        <v>150</v>
      </c>
      <c r="OTY72" s="171">
        <f>SUM(OTT72:OTX72)</f>
        <v>8675</v>
      </c>
      <c r="OTZ72" s="169">
        <v>200</v>
      </c>
      <c r="OUA72" s="171">
        <f>SUM(OTY72:OTZ72)</f>
        <v>8875</v>
      </c>
      <c r="OUB72" s="163" t="s">
        <v>114</v>
      </c>
      <c r="OUC72" s="164">
        <v>45845</v>
      </c>
      <c r="OUD72" s="159" t="s">
        <v>42</v>
      </c>
      <c r="OUE72" s="354"/>
      <c r="OUF72" s="165" t="s">
        <v>124</v>
      </c>
      <c r="OUG72" s="352"/>
      <c r="OUH72" s="353"/>
      <c r="OUI72" s="159" t="s">
        <v>24</v>
      </c>
      <c r="OUJ72" s="160">
        <v>8150</v>
      </c>
      <c r="OUK72" s="169">
        <v>85</v>
      </c>
      <c r="OUL72" s="170">
        <v>215</v>
      </c>
      <c r="OUM72" s="170">
        <v>75</v>
      </c>
      <c r="OUN72" s="169">
        <v>150</v>
      </c>
      <c r="OUO72" s="171">
        <f>SUM(OUJ72:OUN72)</f>
        <v>8675</v>
      </c>
      <c r="OUP72" s="169">
        <v>200</v>
      </c>
      <c r="OUQ72" s="171">
        <f>SUM(OUO72:OUP72)</f>
        <v>8875</v>
      </c>
      <c r="OUR72" s="163" t="s">
        <v>114</v>
      </c>
      <c r="OUS72" s="164">
        <v>45845</v>
      </c>
      <c r="OUT72" s="159" t="s">
        <v>42</v>
      </c>
      <c r="OUU72" s="354"/>
      <c r="OUV72" s="165" t="s">
        <v>124</v>
      </c>
      <c r="OUW72" s="352"/>
      <c r="OUX72" s="353"/>
      <c r="OUY72" s="159" t="s">
        <v>24</v>
      </c>
      <c r="OUZ72" s="160">
        <v>8150</v>
      </c>
      <c r="OVA72" s="169">
        <v>85</v>
      </c>
      <c r="OVB72" s="170">
        <v>215</v>
      </c>
      <c r="OVC72" s="170">
        <v>75</v>
      </c>
      <c r="OVD72" s="169">
        <v>150</v>
      </c>
      <c r="OVE72" s="171">
        <f>SUM(OUZ72:OVD72)</f>
        <v>8675</v>
      </c>
      <c r="OVF72" s="169">
        <v>200</v>
      </c>
      <c r="OVG72" s="171">
        <f>SUM(OVE72:OVF72)</f>
        <v>8875</v>
      </c>
      <c r="OVH72" s="163" t="s">
        <v>114</v>
      </c>
      <c r="OVI72" s="164">
        <v>45845</v>
      </c>
      <c r="OVJ72" s="159" t="s">
        <v>42</v>
      </c>
      <c r="OVK72" s="354"/>
      <c r="OVL72" s="165" t="s">
        <v>124</v>
      </c>
      <c r="OVM72" s="352"/>
      <c r="OVN72" s="353"/>
      <c r="OVO72" s="159" t="s">
        <v>24</v>
      </c>
      <c r="OVP72" s="160">
        <v>8150</v>
      </c>
      <c r="OVQ72" s="169">
        <v>85</v>
      </c>
      <c r="OVR72" s="170">
        <v>215</v>
      </c>
      <c r="OVS72" s="170">
        <v>75</v>
      </c>
      <c r="OVT72" s="169">
        <v>150</v>
      </c>
      <c r="OVU72" s="171">
        <f>SUM(OVP72:OVT72)</f>
        <v>8675</v>
      </c>
      <c r="OVV72" s="169">
        <v>200</v>
      </c>
      <c r="OVW72" s="171">
        <f>SUM(OVU72:OVV72)</f>
        <v>8875</v>
      </c>
      <c r="OVX72" s="163" t="s">
        <v>114</v>
      </c>
      <c r="OVY72" s="164">
        <v>45845</v>
      </c>
      <c r="OVZ72" s="159" t="s">
        <v>42</v>
      </c>
      <c r="OWA72" s="354"/>
      <c r="OWB72" s="165" t="s">
        <v>124</v>
      </c>
      <c r="OWC72" s="352"/>
      <c r="OWD72" s="353"/>
      <c r="OWE72" s="159" t="s">
        <v>24</v>
      </c>
      <c r="OWF72" s="160">
        <v>8150</v>
      </c>
      <c r="OWG72" s="169">
        <v>85</v>
      </c>
      <c r="OWH72" s="170">
        <v>215</v>
      </c>
      <c r="OWI72" s="170">
        <v>75</v>
      </c>
      <c r="OWJ72" s="169">
        <v>150</v>
      </c>
      <c r="OWK72" s="171">
        <f>SUM(OWF72:OWJ72)</f>
        <v>8675</v>
      </c>
      <c r="OWL72" s="169">
        <v>200</v>
      </c>
      <c r="OWM72" s="171">
        <f>SUM(OWK72:OWL72)</f>
        <v>8875</v>
      </c>
      <c r="OWN72" s="163" t="s">
        <v>114</v>
      </c>
      <c r="OWO72" s="164">
        <v>45845</v>
      </c>
      <c r="OWP72" s="159" t="s">
        <v>42</v>
      </c>
      <c r="OWQ72" s="354"/>
      <c r="OWR72" s="165" t="s">
        <v>124</v>
      </c>
      <c r="OWS72" s="352"/>
      <c r="OWT72" s="353"/>
      <c r="OWU72" s="159" t="s">
        <v>24</v>
      </c>
      <c r="OWV72" s="160">
        <v>8150</v>
      </c>
      <c r="OWW72" s="169">
        <v>85</v>
      </c>
      <c r="OWX72" s="170">
        <v>215</v>
      </c>
      <c r="OWY72" s="170">
        <v>75</v>
      </c>
      <c r="OWZ72" s="169">
        <v>150</v>
      </c>
      <c r="OXA72" s="171">
        <f>SUM(OWV72:OWZ72)</f>
        <v>8675</v>
      </c>
      <c r="OXB72" s="169">
        <v>200</v>
      </c>
      <c r="OXC72" s="171">
        <f>SUM(OXA72:OXB72)</f>
        <v>8875</v>
      </c>
      <c r="OXD72" s="163" t="s">
        <v>114</v>
      </c>
      <c r="OXE72" s="164">
        <v>45845</v>
      </c>
      <c r="OXF72" s="159" t="s">
        <v>42</v>
      </c>
      <c r="OXG72" s="354"/>
      <c r="OXH72" s="165" t="s">
        <v>124</v>
      </c>
      <c r="OXI72" s="352"/>
      <c r="OXJ72" s="353"/>
      <c r="OXK72" s="159" t="s">
        <v>24</v>
      </c>
      <c r="OXL72" s="160">
        <v>8150</v>
      </c>
      <c r="OXM72" s="169">
        <v>85</v>
      </c>
      <c r="OXN72" s="170">
        <v>215</v>
      </c>
      <c r="OXO72" s="170">
        <v>75</v>
      </c>
      <c r="OXP72" s="169">
        <v>150</v>
      </c>
      <c r="OXQ72" s="171">
        <f>SUM(OXL72:OXP72)</f>
        <v>8675</v>
      </c>
      <c r="OXR72" s="169">
        <v>200</v>
      </c>
      <c r="OXS72" s="171">
        <f>SUM(OXQ72:OXR72)</f>
        <v>8875</v>
      </c>
      <c r="OXT72" s="163" t="s">
        <v>114</v>
      </c>
      <c r="OXU72" s="164">
        <v>45845</v>
      </c>
      <c r="OXV72" s="159" t="s">
        <v>42</v>
      </c>
      <c r="OXW72" s="354"/>
      <c r="OXX72" s="165" t="s">
        <v>124</v>
      </c>
      <c r="OXY72" s="352"/>
      <c r="OXZ72" s="353"/>
      <c r="OYA72" s="159" t="s">
        <v>24</v>
      </c>
      <c r="OYB72" s="160">
        <v>8150</v>
      </c>
      <c r="OYC72" s="169">
        <v>85</v>
      </c>
      <c r="OYD72" s="170">
        <v>215</v>
      </c>
      <c r="OYE72" s="170">
        <v>75</v>
      </c>
      <c r="OYF72" s="169">
        <v>150</v>
      </c>
      <c r="OYG72" s="171">
        <f>SUM(OYB72:OYF72)</f>
        <v>8675</v>
      </c>
      <c r="OYH72" s="169">
        <v>200</v>
      </c>
      <c r="OYI72" s="171">
        <f>SUM(OYG72:OYH72)</f>
        <v>8875</v>
      </c>
      <c r="OYJ72" s="163" t="s">
        <v>114</v>
      </c>
      <c r="OYK72" s="164">
        <v>45845</v>
      </c>
      <c r="OYL72" s="159" t="s">
        <v>42</v>
      </c>
      <c r="OYM72" s="354"/>
      <c r="OYN72" s="165" t="s">
        <v>124</v>
      </c>
      <c r="OYO72" s="352"/>
      <c r="OYP72" s="353"/>
      <c r="OYQ72" s="159" t="s">
        <v>24</v>
      </c>
      <c r="OYR72" s="160">
        <v>8150</v>
      </c>
      <c r="OYS72" s="169">
        <v>85</v>
      </c>
      <c r="OYT72" s="170">
        <v>215</v>
      </c>
      <c r="OYU72" s="170">
        <v>75</v>
      </c>
      <c r="OYV72" s="169">
        <v>150</v>
      </c>
      <c r="OYW72" s="171">
        <f>SUM(OYR72:OYV72)</f>
        <v>8675</v>
      </c>
      <c r="OYX72" s="169">
        <v>200</v>
      </c>
      <c r="OYY72" s="171">
        <f>SUM(OYW72:OYX72)</f>
        <v>8875</v>
      </c>
      <c r="OYZ72" s="163" t="s">
        <v>114</v>
      </c>
      <c r="OZA72" s="164">
        <v>45845</v>
      </c>
      <c r="OZB72" s="159" t="s">
        <v>42</v>
      </c>
      <c r="OZC72" s="354"/>
      <c r="OZD72" s="165" t="s">
        <v>124</v>
      </c>
      <c r="OZE72" s="352"/>
      <c r="OZF72" s="353"/>
      <c r="OZG72" s="159" t="s">
        <v>24</v>
      </c>
      <c r="OZH72" s="160">
        <v>8150</v>
      </c>
      <c r="OZI72" s="169">
        <v>85</v>
      </c>
      <c r="OZJ72" s="170">
        <v>215</v>
      </c>
      <c r="OZK72" s="170">
        <v>75</v>
      </c>
      <c r="OZL72" s="169">
        <v>150</v>
      </c>
      <c r="OZM72" s="171">
        <f>SUM(OZH72:OZL72)</f>
        <v>8675</v>
      </c>
      <c r="OZN72" s="169">
        <v>200</v>
      </c>
      <c r="OZO72" s="171">
        <f>SUM(OZM72:OZN72)</f>
        <v>8875</v>
      </c>
      <c r="OZP72" s="163" t="s">
        <v>114</v>
      </c>
      <c r="OZQ72" s="164">
        <v>45845</v>
      </c>
      <c r="OZR72" s="159" t="s">
        <v>42</v>
      </c>
      <c r="OZS72" s="354"/>
      <c r="OZT72" s="165" t="s">
        <v>124</v>
      </c>
      <c r="OZU72" s="352"/>
      <c r="OZV72" s="353"/>
      <c r="OZW72" s="159" t="s">
        <v>24</v>
      </c>
      <c r="OZX72" s="160">
        <v>8150</v>
      </c>
      <c r="OZY72" s="169">
        <v>85</v>
      </c>
      <c r="OZZ72" s="170">
        <v>215</v>
      </c>
      <c r="PAA72" s="170">
        <v>75</v>
      </c>
      <c r="PAB72" s="169">
        <v>150</v>
      </c>
      <c r="PAC72" s="171">
        <f>SUM(OZX72:PAB72)</f>
        <v>8675</v>
      </c>
      <c r="PAD72" s="169">
        <v>200</v>
      </c>
      <c r="PAE72" s="171">
        <f>SUM(PAC72:PAD72)</f>
        <v>8875</v>
      </c>
      <c r="PAF72" s="163" t="s">
        <v>114</v>
      </c>
      <c r="PAG72" s="164">
        <v>45845</v>
      </c>
      <c r="PAH72" s="159" t="s">
        <v>42</v>
      </c>
      <c r="PAI72" s="354"/>
      <c r="PAJ72" s="165" t="s">
        <v>124</v>
      </c>
      <c r="PAK72" s="352"/>
      <c r="PAL72" s="353"/>
      <c r="PAM72" s="159" t="s">
        <v>24</v>
      </c>
      <c r="PAN72" s="160">
        <v>8150</v>
      </c>
      <c r="PAO72" s="169">
        <v>85</v>
      </c>
      <c r="PAP72" s="170">
        <v>215</v>
      </c>
      <c r="PAQ72" s="170">
        <v>75</v>
      </c>
      <c r="PAR72" s="169">
        <v>150</v>
      </c>
      <c r="PAS72" s="171">
        <f>SUM(PAN72:PAR72)</f>
        <v>8675</v>
      </c>
      <c r="PAT72" s="169">
        <v>200</v>
      </c>
      <c r="PAU72" s="171">
        <f>SUM(PAS72:PAT72)</f>
        <v>8875</v>
      </c>
      <c r="PAV72" s="163" t="s">
        <v>114</v>
      </c>
      <c r="PAW72" s="164">
        <v>45845</v>
      </c>
      <c r="PAX72" s="159" t="s">
        <v>42</v>
      </c>
      <c r="PAY72" s="354"/>
      <c r="PAZ72" s="165" t="s">
        <v>124</v>
      </c>
      <c r="PBA72" s="352"/>
      <c r="PBB72" s="353"/>
      <c r="PBC72" s="159" t="s">
        <v>24</v>
      </c>
      <c r="PBD72" s="160">
        <v>8150</v>
      </c>
      <c r="PBE72" s="169">
        <v>85</v>
      </c>
      <c r="PBF72" s="170">
        <v>215</v>
      </c>
      <c r="PBG72" s="170">
        <v>75</v>
      </c>
      <c r="PBH72" s="169">
        <v>150</v>
      </c>
      <c r="PBI72" s="171">
        <f>SUM(PBD72:PBH72)</f>
        <v>8675</v>
      </c>
      <c r="PBJ72" s="169">
        <v>200</v>
      </c>
      <c r="PBK72" s="171">
        <f>SUM(PBI72:PBJ72)</f>
        <v>8875</v>
      </c>
      <c r="PBL72" s="163" t="s">
        <v>114</v>
      </c>
      <c r="PBM72" s="164">
        <v>45845</v>
      </c>
      <c r="PBN72" s="159" t="s">
        <v>42</v>
      </c>
      <c r="PBO72" s="354"/>
      <c r="PBP72" s="165" t="s">
        <v>124</v>
      </c>
      <c r="PBQ72" s="352"/>
      <c r="PBR72" s="353"/>
      <c r="PBS72" s="159" t="s">
        <v>24</v>
      </c>
      <c r="PBT72" s="160">
        <v>8150</v>
      </c>
      <c r="PBU72" s="169">
        <v>85</v>
      </c>
      <c r="PBV72" s="170">
        <v>215</v>
      </c>
      <c r="PBW72" s="170">
        <v>75</v>
      </c>
      <c r="PBX72" s="169">
        <v>150</v>
      </c>
      <c r="PBY72" s="171">
        <f>SUM(PBT72:PBX72)</f>
        <v>8675</v>
      </c>
      <c r="PBZ72" s="169">
        <v>200</v>
      </c>
      <c r="PCA72" s="171">
        <f>SUM(PBY72:PBZ72)</f>
        <v>8875</v>
      </c>
      <c r="PCB72" s="163" t="s">
        <v>114</v>
      </c>
      <c r="PCC72" s="164">
        <v>45845</v>
      </c>
      <c r="PCD72" s="159" t="s">
        <v>42</v>
      </c>
      <c r="PCE72" s="354"/>
      <c r="PCF72" s="165" t="s">
        <v>124</v>
      </c>
      <c r="PCG72" s="352"/>
      <c r="PCH72" s="353"/>
      <c r="PCI72" s="159" t="s">
        <v>24</v>
      </c>
      <c r="PCJ72" s="160">
        <v>8150</v>
      </c>
      <c r="PCK72" s="169">
        <v>85</v>
      </c>
      <c r="PCL72" s="170">
        <v>215</v>
      </c>
      <c r="PCM72" s="170">
        <v>75</v>
      </c>
      <c r="PCN72" s="169">
        <v>150</v>
      </c>
      <c r="PCO72" s="171">
        <f>SUM(PCJ72:PCN72)</f>
        <v>8675</v>
      </c>
      <c r="PCP72" s="169">
        <v>200</v>
      </c>
      <c r="PCQ72" s="171">
        <f>SUM(PCO72:PCP72)</f>
        <v>8875</v>
      </c>
      <c r="PCR72" s="163" t="s">
        <v>114</v>
      </c>
      <c r="PCS72" s="164">
        <v>45845</v>
      </c>
      <c r="PCT72" s="159" t="s">
        <v>42</v>
      </c>
      <c r="PCU72" s="354"/>
      <c r="PCV72" s="165" t="s">
        <v>124</v>
      </c>
      <c r="PCW72" s="352"/>
      <c r="PCX72" s="353"/>
      <c r="PCY72" s="159" t="s">
        <v>24</v>
      </c>
      <c r="PCZ72" s="160">
        <v>8150</v>
      </c>
      <c r="PDA72" s="169">
        <v>85</v>
      </c>
      <c r="PDB72" s="170">
        <v>215</v>
      </c>
      <c r="PDC72" s="170">
        <v>75</v>
      </c>
      <c r="PDD72" s="169">
        <v>150</v>
      </c>
      <c r="PDE72" s="171">
        <f>SUM(PCZ72:PDD72)</f>
        <v>8675</v>
      </c>
      <c r="PDF72" s="169">
        <v>200</v>
      </c>
      <c r="PDG72" s="171">
        <f>SUM(PDE72:PDF72)</f>
        <v>8875</v>
      </c>
      <c r="PDH72" s="163" t="s">
        <v>114</v>
      </c>
      <c r="PDI72" s="164">
        <v>45845</v>
      </c>
      <c r="PDJ72" s="159" t="s">
        <v>42</v>
      </c>
      <c r="PDK72" s="354"/>
      <c r="PDL72" s="165" t="s">
        <v>124</v>
      </c>
      <c r="PDM72" s="352"/>
      <c r="PDN72" s="353"/>
      <c r="PDO72" s="159" t="s">
        <v>24</v>
      </c>
      <c r="PDP72" s="160">
        <v>8150</v>
      </c>
      <c r="PDQ72" s="169">
        <v>85</v>
      </c>
      <c r="PDR72" s="170">
        <v>215</v>
      </c>
      <c r="PDS72" s="170">
        <v>75</v>
      </c>
      <c r="PDT72" s="169">
        <v>150</v>
      </c>
      <c r="PDU72" s="171">
        <f>SUM(PDP72:PDT72)</f>
        <v>8675</v>
      </c>
      <c r="PDV72" s="169">
        <v>200</v>
      </c>
      <c r="PDW72" s="171">
        <f>SUM(PDU72:PDV72)</f>
        <v>8875</v>
      </c>
      <c r="PDX72" s="163" t="s">
        <v>114</v>
      </c>
      <c r="PDY72" s="164">
        <v>45845</v>
      </c>
      <c r="PDZ72" s="159" t="s">
        <v>42</v>
      </c>
      <c r="PEA72" s="354"/>
      <c r="PEB72" s="165" t="s">
        <v>124</v>
      </c>
      <c r="PEC72" s="352"/>
      <c r="PED72" s="353"/>
      <c r="PEE72" s="159" t="s">
        <v>24</v>
      </c>
      <c r="PEF72" s="160">
        <v>8150</v>
      </c>
      <c r="PEG72" s="169">
        <v>85</v>
      </c>
      <c r="PEH72" s="170">
        <v>215</v>
      </c>
      <c r="PEI72" s="170">
        <v>75</v>
      </c>
      <c r="PEJ72" s="169">
        <v>150</v>
      </c>
      <c r="PEK72" s="171">
        <f>SUM(PEF72:PEJ72)</f>
        <v>8675</v>
      </c>
      <c r="PEL72" s="169">
        <v>200</v>
      </c>
      <c r="PEM72" s="171">
        <f>SUM(PEK72:PEL72)</f>
        <v>8875</v>
      </c>
      <c r="PEN72" s="163" t="s">
        <v>114</v>
      </c>
      <c r="PEO72" s="164">
        <v>45845</v>
      </c>
      <c r="PEP72" s="159" t="s">
        <v>42</v>
      </c>
      <c r="PEQ72" s="354"/>
      <c r="PER72" s="165" t="s">
        <v>124</v>
      </c>
      <c r="PES72" s="352"/>
      <c r="PET72" s="353"/>
      <c r="PEU72" s="159" t="s">
        <v>24</v>
      </c>
      <c r="PEV72" s="160">
        <v>8150</v>
      </c>
      <c r="PEW72" s="169">
        <v>85</v>
      </c>
      <c r="PEX72" s="170">
        <v>215</v>
      </c>
      <c r="PEY72" s="170">
        <v>75</v>
      </c>
      <c r="PEZ72" s="169">
        <v>150</v>
      </c>
      <c r="PFA72" s="171">
        <f>SUM(PEV72:PEZ72)</f>
        <v>8675</v>
      </c>
      <c r="PFB72" s="169">
        <v>200</v>
      </c>
      <c r="PFC72" s="171">
        <f>SUM(PFA72:PFB72)</f>
        <v>8875</v>
      </c>
      <c r="PFD72" s="163" t="s">
        <v>114</v>
      </c>
      <c r="PFE72" s="164">
        <v>45845</v>
      </c>
      <c r="PFF72" s="159" t="s">
        <v>42</v>
      </c>
      <c r="PFG72" s="354"/>
      <c r="PFH72" s="165" t="s">
        <v>124</v>
      </c>
      <c r="PFI72" s="352"/>
      <c r="PFJ72" s="353"/>
      <c r="PFK72" s="159" t="s">
        <v>24</v>
      </c>
      <c r="PFL72" s="160">
        <v>8150</v>
      </c>
      <c r="PFM72" s="169">
        <v>85</v>
      </c>
      <c r="PFN72" s="170">
        <v>215</v>
      </c>
      <c r="PFO72" s="170">
        <v>75</v>
      </c>
      <c r="PFP72" s="169">
        <v>150</v>
      </c>
      <c r="PFQ72" s="171">
        <f>SUM(PFL72:PFP72)</f>
        <v>8675</v>
      </c>
      <c r="PFR72" s="169">
        <v>200</v>
      </c>
      <c r="PFS72" s="171">
        <f>SUM(PFQ72:PFR72)</f>
        <v>8875</v>
      </c>
      <c r="PFT72" s="163" t="s">
        <v>114</v>
      </c>
      <c r="PFU72" s="164">
        <v>45845</v>
      </c>
      <c r="PFV72" s="159" t="s">
        <v>42</v>
      </c>
      <c r="PFW72" s="354"/>
      <c r="PFX72" s="165" t="s">
        <v>124</v>
      </c>
      <c r="PFY72" s="352"/>
      <c r="PFZ72" s="353"/>
      <c r="PGA72" s="159" t="s">
        <v>24</v>
      </c>
      <c r="PGB72" s="160">
        <v>8150</v>
      </c>
      <c r="PGC72" s="169">
        <v>85</v>
      </c>
      <c r="PGD72" s="170">
        <v>215</v>
      </c>
      <c r="PGE72" s="170">
        <v>75</v>
      </c>
      <c r="PGF72" s="169">
        <v>150</v>
      </c>
      <c r="PGG72" s="171">
        <f>SUM(PGB72:PGF72)</f>
        <v>8675</v>
      </c>
      <c r="PGH72" s="169">
        <v>200</v>
      </c>
      <c r="PGI72" s="171">
        <f>SUM(PGG72:PGH72)</f>
        <v>8875</v>
      </c>
      <c r="PGJ72" s="163" t="s">
        <v>114</v>
      </c>
      <c r="PGK72" s="164">
        <v>45845</v>
      </c>
      <c r="PGL72" s="159" t="s">
        <v>42</v>
      </c>
      <c r="PGM72" s="354"/>
      <c r="PGN72" s="165" t="s">
        <v>124</v>
      </c>
      <c r="PGO72" s="352"/>
      <c r="PGP72" s="353"/>
      <c r="PGQ72" s="159" t="s">
        <v>24</v>
      </c>
      <c r="PGR72" s="160">
        <v>8150</v>
      </c>
      <c r="PGS72" s="169">
        <v>85</v>
      </c>
      <c r="PGT72" s="170">
        <v>215</v>
      </c>
      <c r="PGU72" s="170">
        <v>75</v>
      </c>
      <c r="PGV72" s="169">
        <v>150</v>
      </c>
      <c r="PGW72" s="171">
        <f>SUM(PGR72:PGV72)</f>
        <v>8675</v>
      </c>
      <c r="PGX72" s="169">
        <v>200</v>
      </c>
      <c r="PGY72" s="171">
        <f>SUM(PGW72:PGX72)</f>
        <v>8875</v>
      </c>
      <c r="PGZ72" s="163" t="s">
        <v>114</v>
      </c>
      <c r="PHA72" s="164">
        <v>45845</v>
      </c>
      <c r="PHB72" s="159" t="s">
        <v>42</v>
      </c>
      <c r="PHC72" s="354"/>
      <c r="PHD72" s="165" t="s">
        <v>124</v>
      </c>
      <c r="PHE72" s="352"/>
      <c r="PHF72" s="353"/>
      <c r="PHG72" s="159" t="s">
        <v>24</v>
      </c>
      <c r="PHH72" s="160">
        <v>8150</v>
      </c>
      <c r="PHI72" s="169">
        <v>85</v>
      </c>
      <c r="PHJ72" s="170">
        <v>215</v>
      </c>
      <c r="PHK72" s="170">
        <v>75</v>
      </c>
      <c r="PHL72" s="169">
        <v>150</v>
      </c>
      <c r="PHM72" s="171">
        <f>SUM(PHH72:PHL72)</f>
        <v>8675</v>
      </c>
      <c r="PHN72" s="169">
        <v>200</v>
      </c>
      <c r="PHO72" s="171">
        <f>SUM(PHM72:PHN72)</f>
        <v>8875</v>
      </c>
      <c r="PHP72" s="163" t="s">
        <v>114</v>
      </c>
      <c r="PHQ72" s="164">
        <v>45845</v>
      </c>
      <c r="PHR72" s="159" t="s">
        <v>42</v>
      </c>
      <c r="PHS72" s="354"/>
      <c r="PHT72" s="165" t="s">
        <v>124</v>
      </c>
      <c r="PHU72" s="352"/>
      <c r="PHV72" s="353"/>
      <c r="PHW72" s="159" t="s">
        <v>24</v>
      </c>
      <c r="PHX72" s="160">
        <v>8150</v>
      </c>
      <c r="PHY72" s="169">
        <v>85</v>
      </c>
      <c r="PHZ72" s="170">
        <v>215</v>
      </c>
      <c r="PIA72" s="170">
        <v>75</v>
      </c>
      <c r="PIB72" s="169">
        <v>150</v>
      </c>
      <c r="PIC72" s="171">
        <f>SUM(PHX72:PIB72)</f>
        <v>8675</v>
      </c>
      <c r="PID72" s="169">
        <v>200</v>
      </c>
      <c r="PIE72" s="171">
        <f>SUM(PIC72:PID72)</f>
        <v>8875</v>
      </c>
      <c r="PIF72" s="163" t="s">
        <v>114</v>
      </c>
      <c r="PIG72" s="164">
        <v>45845</v>
      </c>
      <c r="PIH72" s="159" t="s">
        <v>42</v>
      </c>
      <c r="PII72" s="354"/>
      <c r="PIJ72" s="165" t="s">
        <v>124</v>
      </c>
      <c r="PIK72" s="352"/>
      <c r="PIL72" s="353"/>
      <c r="PIM72" s="159" t="s">
        <v>24</v>
      </c>
      <c r="PIN72" s="160">
        <v>8150</v>
      </c>
      <c r="PIO72" s="169">
        <v>85</v>
      </c>
      <c r="PIP72" s="170">
        <v>215</v>
      </c>
      <c r="PIQ72" s="170">
        <v>75</v>
      </c>
      <c r="PIR72" s="169">
        <v>150</v>
      </c>
      <c r="PIS72" s="171">
        <f>SUM(PIN72:PIR72)</f>
        <v>8675</v>
      </c>
      <c r="PIT72" s="169">
        <v>200</v>
      </c>
      <c r="PIU72" s="171">
        <f>SUM(PIS72:PIT72)</f>
        <v>8875</v>
      </c>
      <c r="PIV72" s="163" t="s">
        <v>114</v>
      </c>
      <c r="PIW72" s="164">
        <v>45845</v>
      </c>
      <c r="PIX72" s="159" t="s">
        <v>42</v>
      </c>
      <c r="PIY72" s="354"/>
      <c r="PIZ72" s="165" t="s">
        <v>124</v>
      </c>
      <c r="PJA72" s="352"/>
      <c r="PJB72" s="353"/>
      <c r="PJC72" s="159" t="s">
        <v>24</v>
      </c>
      <c r="PJD72" s="160">
        <v>8150</v>
      </c>
      <c r="PJE72" s="169">
        <v>85</v>
      </c>
      <c r="PJF72" s="170">
        <v>215</v>
      </c>
      <c r="PJG72" s="170">
        <v>75</v>
      </c>
      <c r="PJH72" s="169">
        <v>150</v>
      </c>
      <c r="PJI72" s="171">
        <f>SUM(PJD72:PJH72)</f>
        <v>8675</v>
      </c>
      <c r="PJJ72" s="169">
        <v>200</v>
      </c>
      <c r="PJK72" s="171">
        <f>SUM(PJI72:PJJ72)</f>
        <v>8875</v>
      </c>
      <c r="PJL72" s="163" t="s">
        <v>114</v>
      </c>
      <c r="PJM72" s="164">
        <v>45845</v>
      </c>
      <c r="PJN72" s="159" t="s">
        <v>42</v>
      </c>
      <c r="PJO72" s="354"/>
      <c r="PJP72" s="165" t="s">
        <v>124</v>
      </c>
      <c r="PJQ72" s="352"/>
      <c r="PJR72" s="353"/>
      <c r="PJS72" s="159" t="s">
        <v>24</v>
      </c>
      <c r="PJT72" s="160">
        <v>8150</v>
      </c>
      <c r="PJU72" s="169">
        <v>85</v>
      </c>
      <c r="PJV72" s="170">
        <v>215</v>
      </c>
      <c r="PJW72" s="170">
        <v>75</v>
      </c>
      <c r="PJX72" s="169">
        <v>150</v>
      </c>
      <c r="PJY72" s="171">
        <f>SUM(PJT72:PJX72)</f>
        <v>8675</v>
      </c>
      <c r="PJZ72" s="169">
        <v>200</v>
      </c>
      <c r="PKA72" s="171">
        <f>SUM(PJY72:PJZ72)</f>
        <v>8875</v>
      </c>
      <c r="PKB72" s="163" t="s">
        <v>114</v>
      </c>
      <c r="PKC72" s="164">
        <v>45845</v>
      </c>
      <c r="PKD72" s="159" t="s">
        <v>42</v>
      </c>
      <c r="PKE72" s="354"/>
      <c r="PKF72" s="165" t="s">
        <v>124</v>
      </c>
      <c r="PKG72" s="352"/>
      <c r="PKH72" s="353"/>
      <c r="PKI72" s="159" t="s">
        <v>24</v>
      </c>
      <c r="PKJ72" s="160">
        <v>8150</v>
      </c>
      <c r="PKK72" s="169">
        <v>85</v>
      </c>
      <c r="PKL72" s="170">
        <v>215</v>
      </c>
      <c r="PKM72" s="170">
        <v>75</v>
      </c>
      <c r="PKN72" s="169">
        <v>150</v>
      </c>
      <c r="PKO72" s="171">
        <f>SUM(PKJ72:PKN72)</f>
        <v>8675</v>
      </c>
      <c r="PKP72" s="169">
        <v>200</v>
      </c>
      <c r="PKQ72" s="171">
        <f>SUM(PKO72:PKP72)</f>
        <v>8875</v>
      </c>
      <c r="PKR72" s="163" t="s">
        <v>114</v>
      </c>
      <c r="PKS72" s="164">
        <v>45845</v>
      </c>
      <c r="PKT72" s="159" t="s">
        <v>42</v>
      </c>
      <c r="PKU72" s="354"/>
      <c r="PKV72" s="165" t="s">
        <v>124</v>
      </c>
      <c r="PKW72" s="352"/>
      <c r="PKX72" s="353"/>
      <c r="PKY72" s="159" t="s">
        <v>24</v>
      </c>
      <c r="PKZ72" s="160">
        <v>8150</v>
      </c>
      <c r="PLA72" s="169">
        <v>85</v>
      </c>
      <c r="PLB72" s="170">
        <v>215</v>
      </c>
      <c r="PLC72" s="170">
        <v>75</v>
      </c>
      <c r="PLD72" s="169">
        <v>150</v>
      </c>
      <c r="PLE72" s="171">
        <f>SUM(PKZ72:PLD72)</f>
        <v>8675</v>
      </c>
      <c r="PLF72" s="169">
        <v>200</v>
      </c>
      <c r="PLG72" s="171">
        <f>SUM(PLE72:PLF72)</f>
        <v>8875</v>
      </c>
      <c r="PLH72" s="163" t="s">
        <v>114</v>
      </c>
      <c r="PLI72" s="164">
        <v>45845</v>
      </c>
      <c r="PLJ72" s="159" t="s">
        <v>42</v>
      </c>
      <c r="PLK72" s="354"/>
      <c r="PLL72" s="165" t="s">
        <v>124</v>
      </c>
      <c r="PLM72" s="352"/>
      <c r="PLN72" s="353"/>
      <c r="PLO72" s="159" t="s">
        <v>24</v>
      </c>
      <c r="PLP72" s="160">
        <v>8150</v>
      </c>
      <c r="PLQ72" s="169">
        <v>85</v>
      </c>
      <c r="PLR72" s="170">
        <v>215</v>
      </c>
      <c r="PLS72" s="170">
        <v>75</v>
      </c>
      <c r="PLT72" s="169">
        <v>150</v>
      </c>
      <c r="PLU72" s="171">
        <f>SUM(PLP72:PLT72)</f>
        <v>8675</v>
      </c>
      <c r="PLV72" s="169">
        <v>200</v>
      </c>
      <c r="PLW72" s="171">
        <f>SUM(PLU72:PLV72)</f>
        <v>8875</v>
      </c>
      <c r="PLX72" s="163" t="s">
        <v>114</v>
      </c>
      <c r="PLY72" s="164">
        <v>45845</v>
      </c>
      <c r="PLZ72" s="159" t="s">
        <v>42</v>
      </c>
      <c r="PMA72" s="354"/>
      <c r="PMB72" s="165" t="s">
        <v>124</v>
      </c>
      <c r="PMC72" s="352"/>
      <c r="PMD72" s="353"/>
      <c r="PME72" s="159" t="s">
        <v>24</v>
      </c>
      <c r="PMF72" s="160">
        <v>8150</v>
      </c>
      <c r="PMG72" s="169">
        <v>85</v>
      </c>
      <c r="PMH72" s="170">
        <v>215</v>
      </c>
      <c r="PMI72" s="170">
        <v>75</v>
      </c>
      <c r="PMJ72" s="169">
        <v>150</v>
      </c>
      <c r="PMK72" s="171">
        <f>SUM(PMF72:PMJ72)</f>
        <v>8675</v>
      </c>
      <c r="PML72" s="169">
        <v>200</v>
      </c>
      <c r="PMM72" s="171">
        <f>SUM(PMK72:PML72)</f>
        <v>8875</v>
      </c>
      <c r="PMN72" s="163" t="s">
        <v>114</v>
      </c>
      <c r="PMO72" s="164">
        <v>45845</v>
      </c>
      <c r="PMP72" s="159" t="s">
        <v>42</v>
      </c>
      <c r="PMQ72" s="354"/>
      <c r="PMR72" s="165" t="s">
        <v>124</v>
      </c>
      <c r="PMS72" s="352"/>
      <c r="PMT72" s="353"/>
      <c r="PMU72" s="159" t="s">
        <v>24</v>
      </c>
      <c r="PMV72" s="160">
        <v>8150</v>
      </c>
      <c r="PMW72" s="169">
        <v>85</v>
      </c>
      <c r="PMX72" s="170">
        <v>215</v>
      </c>
      <c r="PMY72" s="170">
        <v>75</v>
      </c>
      <c r="PMZ72" s="169">
        <v>150</v>
      </c>
      <c r="PNA72" s="171">
        <f>SUM(PMV72:PMZ72)</f>
        <v>8675</v>
      </c>
      <c r="PNB72" s="169">
        <v>200</v>
      </c>
      <c r="PNC72" s="171">
        <f>SUM(PNA72:PNB72)</f>
        <v>8875</v>
      </c>
      <c r="PND72" s="163" t="s">
        <v>114</v>
      </c>
      <c r="PNE72" s="164">
        <v>45845</v>
      </c>
      <c r="PNF72" s="159" t="s">
        <v>42</v>
      </c>
      <c r="PNG72" s="354"/>
      <c r="PNH72" s="165" t="s">
        <v>124</v>
      </c>
      <c r="PNI72" s="352"/>
      <c r="PNJ72" s="353"/>
      <c r="PNK72" s="159" t="s">
        <v>24</v>
      </c>
      <c r="PNL72" s="160">
        <v>8150</v>
      </c>
      <c r="PNM72" s="169">
        <v>85</v>
      </c>
      <c r="PNN72" s="170">
        <v>215</v>
      </c>
      <c r="PNO72" s="170">
        <v>75</v>
      </c>
      <c r="PNP72" s="169">
        <v>150</v>
      </c>
      <c r="PNQ72" s="171">
        <f>SUM(PNL72:PNP72)</f>
        <v>8675</v>
      </c>
      <c r="PNR72" s="169">
        <v>200</v>
      </c>
      <c r="PNS72" s="171">
        <f>SUM(PNQ72:PNR72)</f>
        <v>8875</v>
      </c>
      <c r="PNT72" s="163" t="s">
        <v>114</v>
      </c>
      <c r="PNU72" s="164">
        <v>45845</v>
      </c>
      <c r="PNV72" s="159" t="s">
        <v>42</v>
      </c>
      <c r="PNW72" s="354"/>
      <c r="PNX72" s="165" t="s">
        <v>124</v>
      </c>
      <c r="PNY72" s="352"/>
      <c r="PNZ72" s="353"/>
      <c r="POA72" s="159" t="s">
        <v>24</v>
      </c>
      <c r="POB72" s="160">
        <v>8150</v>
      </c>
      <c r="POC72" s="169">
        <v>85</v>
      </c>
      <c r="POD72" s="170">
        <v>215</v>
      </c>
      <c r="POE72" s="170">
        <v>75</v>
      </c>
      <c r="POF72" s="169">
        <v>150</v>
      </c>
      <c r="POG72" s="171">
        <f>SUM(POB72:POF72)</f>
        <v>8675</v>
      </c>
      <c r="POH72" s="169">
        <v>200</v>
      </c>
      <c r="POI72" s="171">
        <f>SUM(POG72:POH72)</f>
        <v>8875</v>
      </c>
      <c r="POJ72" s="163" t="s">
        <v>114</v>
      </c>
      <c r="POK72" s="164">
        <v>45845</v>
      </c>
      <c r="POL72" s="159" t="s">
        <v>42</v>
      </c>
      <c r="POM72" s="354"/>
      <c r="PON72" s="165" t="s">
        <v>124</v>
      </c>
      <c r="POO72" s="352"/>
      <c r="POP72" s="353"/>
      <c r="POQ72" s="159" t="s">
        <v>24</v>
      </c>
      <c r="POR72" s="160">
        <v>8150</v>
      </c>
      <c r="POS72" s="169">
        <v>85</v>
      </c>
      <c r="POT72" s="170">
        <v>215</v>
      </c>
      <c r="POU72" s="170">
        <v>75</v>
      </c>
      <c r="POV72" s="169">
        <v>150</v>
      </c>
      <c r="POW72" s="171">
        <f>SUM(POR72:POV72)</f>
        <v>8675</v>
      </c>
      <c r="POX72" s="169">
        <v>200</v>
      </c>
      <c r="POY72" s="171">
        <f>SUM(POW72:POX72)</f>
        <v>8875</v>
      </c>
      <c r="POZ72" s="163" t="s">
        <v>114</v>
      </c>
      <c r="PPA72" s="164">
        <v>45845</v>
      </c>
      <c r="PPB72" s="159" t="s">
        <v>42</v>
      </c>
      <c r="PPC72" s="354"/>
      <c r="PPD72" s="165" t="s">
        <v>124</v>
      </c>
      <c r="PPE72" s="352"/>
      <c r="PPF72" s="353"/>
      <c r="PPG72" s="159" t="s">
        <v>24</v>
      </c>
      <c r="PPH72" s="160">
        <v>8150</v>
      </c>
      <c r="PPI72" s="169">
        <v>85</v>
      </c>
      <c r="PPJ72" s="170">
        <v>215</v>
      </c>
      <c r="PPK72" s="170">
        <v>75</v>
      </c>
      <c r="PPL72" s="169">
        <v>150</v>
      </c>
      <c r="PPM72" s="171">
        <f>SUM(PPH72:PPL72)</f>
        <v>8675</v>
      </c>
      <c r="PPN72" s="169">
        <v>200</v>
      </c>
      <c r="PPO72" s="171">
        <f>SUM(PPM72:PPN72)</f>
        <v>8875</v>
      </c>
      <c r="PPP72" s="163" t="s">
        <v>114</v>
      </c>
      <c r="PPQ72" s="164">
        <v>45845</v>
      </c>
      <c r="PPR72" s="159" t="s">
        <v>42</v>
      </c>
      <c r="PPS72" s="354"/>
      <c r="PPT72" s="165" t="s">
        <v>124</v>
      </c>
      <c r="PPU72" s="352"/>
      <c r="PPV72" s="353"/>
      <c r="PPW72" s="159" t="s">
        <v>24</v>
      </c>
      <c r="PPX72" s="160">
        <v>8150</v>
      </c>
      <c r="PPY72" s="169">
        <v>85</v>
      </c>
      <c r="PPZ72" s="170">
        <v>215</v>
      </c>
      <c r="PQA72" s="170">
        <v>75</v>
      </c>
      <c r="PQB72" s="169">
        <v>150</v>
      </c>
      <c r="PQC72" s="171">
        <f>SUM(PPX72:PQB72)</f>
        <v>8675</v>
      </c>
      <c r="PQD72" s="169">
        <v>200</v>
      </c>
      <c r="PQE72" s="171">
        <f>SUM(PQC72:PQD72)</f>
        <v>8875</v>
      </c>
      <c r="PQF72" s="163" t="s">
        <v>114</v>
      </c>
      <c r="PQG72" s="164">
        <v>45845</v>
      </c>
      <c r="PQH72" s="159" t="s">
        <v>42</v>
      </c>
      <c r="PQI72" s="354"/>
      <c r="PQJ72" s="165" t="s">
        <v>124</v>
      </c>
      <c r="PQK72" s="352"/>
      <c r="PQL72" s="353"/>
      <c r="PQM72" s="159" t="s">
        <v>24</v>
      </c>
      <c r="PQN72" s="160">
        <v>8150</v>
      </c>
      <c r="PQO72" s="169">
        <v>85</v>
      </c>
      <c r="PQP72" s="170">
        <v>215</v>
      </c>
      <c r="PQQ72" s="170">
        <v>75</v>
      </c>
      <c r="PQR72" s="169">
        <v>150</v>
      </c>
      <c r="PQS72" s="171">
        <f>SUM(PQN72:PQR72)</f>
        <v>8675</v>
      </c>
      <c r="PQT72" s="169">
        <v>200</v>
      </c>
      <c r="PQU72" s="171">
        <f>SUM(PQS72:PQT72)</f>
        <v>8875</v>
      </c>
      <c r="PQV72" s="163" t="s">
        <v>114</v>
      </c>
      <c r="PQW72" s="164">
        <v>45845</v>
      </c>
      <c r="PQX72" s="159" t="s">
        <v>42</v>
      </c>
      <c r="PQY72" s="354"/>
      <c r="PQZ72" s="165" t="s">
        <v>124</v>
      </c>
      <c r="PRA72" s="352"/>
      <c r="PRB72" s="353"/>
      <c r="PRC72" s="159" t="s">
        <v>24</v>
      </c>
      <c r="PRD72" s="160">
        <v>8150</v>
      </c>
      <c r="PRE72" s="169">
        <v>85</v>
      </c>
      <c r="PRF72" s="170">
        <v>215</v>
      </c>
      <c r="PRG72" s="170">
        <v>75</v>
      </c>
      <c r="PRH72" s="169">
        <v>150</v>
      </c>
      <c r="PRI72" s="171">
        <f>SUM(PRD72:PRH72)</f>
        <v>8675</v>
      </c>
      <c r="PRJ72" s="169">
        <v>200</v>
      </c>
      <c r="PRK72" s="171">
        <f>SUM(PRI72:PRJ72)</f>
        <v>8875</v>
      </c>
      <c r="PRL72" s="163" t="s">
        <v>114</v>
      </c>
      <c r="PRM72" s="164">
        <v>45845</v>
      </c>
      <c r="PRN72" s="159" t="s">
        <v>42</v>
      </c>
      <c r="PRO72" s="354"/>
      <c r="PRP72" s="165" t="s">
        <v>124</v>
      </c>
      <c r="PRQ72" s="352"/>
      <c r="PRR72" s="353"/>
      <c r="PRS72" s="159" t="s">
        <v>24</v>
      </c>
      <c r="PRT72" s="160">
        <v>8150</v>
      </c>
      <c r="PRU72" s="169">
        <v>85</v>
      </c>
      <c r="PRV72" s="170">
        <v>215</v>
      </c>
      <c r="PRW72" s="170">
        <v>75</v>
      </c>
      <c r="PRX72" s="169">
        <v>150</v>
      </c>
      <c r="PRY72" s="171">
        <f>SUM(PRT72:PRX72)</f>
        <v>8675</v>
      </c>
      <c r="PRZ72" s="169">
        <v>200</v>
      </c>
      <c r="PSA72" s="171">
        <f>SUM(PRY72:PRZ72)</f>
        <v>8875</v>
      </c>
      <c r="PSB72" s="163" t="s">
        <v>114</v>
      </c>
      <c r="PSC72" s="164">
        <v>45845</v>
      </c>
      <c r="PSD72" s="159" t="s">
        <v>42</v>
      </c>
      <c r="PSE72" s="354"/>
      <c r="PSF72" s="165" t="s">
        <v>124</v>
      </c>
      <c r="PSG72" s="352"/>
      <c r="PSH72" s="353"/>
      <c r="PSI72" s="159" t="s">
        <v>24</v>
      </c>
      <c r="PSJ72" s="160">
        <v>8150</v>
      </c>
      <c r="PSK72" s="169">
        <v>85</v>
      </c>
      <c r="PSL72" s="170">
        <v>215</v>
      </c>
      <c r="PSM72" s="170">
        <v>75</v>
      </c>
      <c r="PSN72" s="169">
        <v>150</v>
      </c>
      <c r="PSO72" s="171">
        <f>SUM(PSJ72:PSN72)</f>
        <v>8675</v>
      </c>
      <c r="PSP72" s="169">
        <v>200</v>
      </c>
      <c r="PSQ72" s="171">
        <f>SUM(PSO72:PSP72)</f>
        <v>8875</v>
      </c>
      <c r="PSR72" s="163" t="s">
        <v>114</v>
      </c>
      <c r="PSS72" s="164">
        <v>45845</v>
      </c>
      <c r="PST72" s="159" t="s">
        <v>42</v>
      </c>
      <c r="PSU72" s="354"/>
      <c r="PSV72" s="165" t="s">
        <v>124</v>
      </c>
      <c r="PSW72" s="352"/>
      <c r="PSX72" s="353"/>
      <c r="PSY72" s="159" t="s">
        <v>24</v>
      </c>
      <c r="PSZ72" s="160">
        <v>8150</v>
      </c>
      <c r="PTA72" s="169">
        <v>85</v>
      </c>
      <c r="PTB72" s="170">
        <v>215</v>
      </c>
      <c r="PTC72" s="170">
        <v>75</v>
      </c>
      <c r="PTD72" s="169">
        <v>150</v>
      </c>
      <c r="PTE72" s="171">
        <f>SUM(PSZ72:PTD72)</f>
        <v>8675</v>
      </c>
      <c r="PTF72" s="169">
        <v>200</v>
      </c>
      <c r="PTG72" s="171">
        <f>SUM(PTE72:PTF72)</f>
        <v>8875</v>
      </c>
      <c r="PTH72" s="163" t="s">
        <v>114</v>
      </c>
      <c r="PTI72" s="164">
        <v>45845</v>
      </c>
      <c r="PTJ72" s="159" t="s">
        <v>42</v>
      </c>
      <c r="PTK72" s="354"/>
      <c r="PTL72" s="165" t="s">
        <v>124</v>
      </c>
      <c r="PTM72" s="352"/>
      <c r="PTN72" s="353"/>
      <c r="PTO72" s="159" t="s">
        <v>24</v>
      </c>
      <c r="PTP72" s="160">
        <v>8150</v>
      </c>
      <c r="PTQ72" s="169">
        <v>85</v>
      </c>
      <c r="PTR72" s="170">
        <v>215</v>
      </c>
      <c r="PTS72" s="170">
        <v>75</v>
      </c>
      <c r="PTT72" s="169">
        <v>150</v>
      </c>
      <c r="PTU72" s="171">
        <f>SUM(PTP72:PTT72)</f>
        <v>8675</v>
      </c>
      <c r="PTV72" s="169">
        <v>200</v>
      </c>
      <c r="PTW72" s="171">
        <f>SUM(PTU72:PTV72)</f>
        <v>8875</v>
      </c>
      <c r="PTX72" s="163" t="s">
        <v>114</v>
      </c>
      <c r="PTY72" s="164">
        <v>45845</v>
      </c>
      <c r="PTZ72" s="159" t="s">
        <v>42</v>
      </c>
      <c r="PUA72" s="354"/>
      <c r="PUB72" s="165" t="s">
        <v>124</v>
      </c>
      <c r="PUC72" s="352"/>
      <c r="PUD72" s="353"/>
      <c r="PUE72" s="159" t="s">
        <v>24</v>
      </c>
      <c r="PUF72" s="160">
        <v>8150</v>
      </c>
      <c r="PUG72" s="169">
        <v>85</v>
      </c>
      <c r="PUH72" s="170">
        <v>215</v>
      </c>
      <c r="PUI72" s="170">
        <v>75</v>
      </c>
      <c r="PUJ72" s="169">
        <v>150</v>
      </c>
      <c r="PUK72" s="171">
        <f>SUM(PUF72:PUJ72)</f>
        <v>8675</v>
      </c>
      <c r="PUL72" s="169">
        <v>200</v>
      </c>
      <c r="PUM72" s="171">
        <f>SUM(PUK72:PUL72)</f>
        <v>8875</v>
      </c>
      <c r="PUN72" s="163" t="s">
        <v>114</v>
      </c>
      <c r="PUO72" s="164">
        <v>45845</v>
      </c>
      <c r="PUP72" s="159" t="s">
        <v>42</v>
      </c>
      <c r="PUQ72" s="354"/>
      <c r="PUR72" s="165" t="s">
        <v>124</v>
      </c>
      <c r="PUS72" s="352"/>
      <c r="PUT72" s="353"/>
      <c r="PUU72" s="159" t="s">
        <v>24</v>
      </c>
      <c r="PUV72" s="160">
        <v>8150</v>
      </c>
      <c r="PUW72" s="169">
        <v>85</v>
      </c>
      <c r="PUX72" s="170">
        <v>215</v>
      </c>
      <c r="PUY72" s="170">
        <v>75</v>
      </c>
      <c r="PUZ72" s="169">
        <v>150</v>
      </c>
      <c r="PVA72" s="171">
        <f>SUM(PUV72:PUZ72)</f>
        <v>8675</v>
      </c>
      <c r="PVB72" s="169">
        <v>200</v>
      </c>
      <c r="PVC72" s="171">
        <f>SUM(PVA72:PVB72)</f>
        <v>8875</v>
      </c>
      <c r="PVD72" s="163" t="s">
        <v>114</v>
      </c>
      <c r="PVE72" s="164">
        <v>45845</v>
      </c>
      <c r="PVF72" s="159" t="s">
        <v>42</v>
      </c>
      <c r="PVG72" s="354"/>
      <c r="PVH72" s="165" t="s">
        <v>124</v>
      </c>
      <c r="PVI72" s="352"/>
      <c r="PVJ72" s="353"/>
      <c r="PVK72" s="159" t="s">
        <v>24</v>
      </c>
      <c r="PVL72" s="160">
        <v>8150</v>
      </c>
      <c r="PVM72" s="169">
        <v>85</v>
      </c>
      <c r="PVN72" s="170">
        <v>215</v>
      </c>
      <c r="PVO72" s="170">
        <v>75</v>
      </c>
      <c r="PVP72" s="169">
        <v>150</v>
      </c>
      <c r="PVQ72" s="171">
        <f>SUM(PVL72:PVP72)</f>
        <v>8675</v>
      </c>
      <c r="PVR72" s="169">
        <v>200</v>
      </c>
      <c r="PVS72" s="171">
        <f>SUM(PVQ72:PVR72)</f>
        <v>8875</v>
      </c>
      <c r="PVT72" s="163" t="s">
        <v>114</v>
      </c>
      <c r="PVU72" s="164">
        <v>45845</v>
      </c>
      <c r="PVV72" s="159" t="s">
        <v>42</v>
      </c>
      <c r="PVW72" s="354"/>
      <c r="PVX72" s="165" t="s">
        <v>124</v>
      </c>
      <c r="PVY72" s="352"/>
      <c r="PVZ72" s="353"/>
      <c r="PWA72" s="159" t="s">
        <v>24</v>
      </c>
      <c r="PWB72" s="160">
        <v>8150</v>
      </c>
      <c r="PWC72" s="169">
        <v>85</v>
      </c>
      <c r="PWD72" s="170">
        <v>215</v>
      </c>
      <c r="PWE72" s="170">
        <v>75</v>
      </c>
      <c r="PWF72" s="169">
        <v>150</v>
      </c>
      <c r="PWG72" s="171">
        <f>SUM(PWB72:PWF72)</f>
        <v>8675</v>
      </c>
      <c r="PWH72" s="169">
        <v>200</v>
      </c>
      <c r="PWI72" s="171">
        <f>SUM(PWG72:PWH72)</f>
        <v>8875</v>
      </c>
      <c r="PWJ72" s="163" t="s">
        <v>114</v>
      </c>
      <c r="PWK72" s="164">
        <v>45845</v>
      </c>
      <c r="PWL72" s="159" t="s">
        <v>42</v>
      </c>
      <c r="PWM72" s="354"/>
      <c r="PWN72" s="165" t="s">
        <v>124</v>
      </c>
      <c r="PWO72" s="352"/>
      <c r="PWP72" s="353"/>
      <c r="PWQ72" s="159" t="s">
        <v>24</v>
      </c>
      <c r="PWR72" s="160">
        <v>8150</v>
      </c>
      <c r="PWS72" s="169">
        <v>85</v>
      </c>
      <c r="PWT72" s="170">
        <v>215</v>
      </c>
      <c r="PWU72" s="170">
        <v>75</v>
      </c>
      <c r="PWV72" s="169">
        <v>150</v>
      </c>
      <c r="PWW72" s="171">
        <f>SUM(PWR72:PWV72)</f>
        <v>8675</v>
      </c>
      <c r="PWX72" s="169">
        <v>200</v>
      </c>
      <c r="PWY72" s="171">
        <f>SUM(PWW72:PWX72)</f>
        <v>8875</v>
      </c>
      <c r="PWZ72" s="163" t="s">
        <v>114</v>
      </c>
      <c r="PXA72" s="164">
        <v>45845</v>
      </c>
      <c r="PXB72" s="159" t="s">
        <v>42</v>
      </c>
      <c r="PXC72" s="354"/>
      <c r="PXD72" s="165" t="s">
        <v>124</v>
      </c>
      <c r="PXE72" s="352"/>
      <c r="PXF72" s="353"/>
      <c r="PXG72" s="159" t="s">
        <v>24</v>
      </c>
      <c r="PXH72" s="160">
        <v>8150</v>
      </c>
      <c r="PXI72" s="169">
        <v>85</v>
      </c>
      <c r="PXJ72" s="170">
        <v>215</v>
      </c>
      <c r="PXK72" s="170">
        <v>75</v>
      </c>
      <c r="PXL72" s="169">
        <v>150</v>
      </c>
      <c r="PXM72" s="171">
        <f>SUM(PXH72:PXL72)</f>
        <v>8675</v>
      </c>
      <c r="PXN72" s="169">
        <v>200</v>
      </c>
      <c r="PXO72" s="171">
        <f>SUM(PXM72:PXN72)</f>
        <v>8875</v>
      </c>
      <c r="PXP72" s="163" t="s">
        <v>114</v>
      </c>
      <c r="PXQ72" s="164">
        <v>45845</v>
      </c>
      <c r="PXR72" s="159" t="s">
        <v>42</v>
      </c>
      <c r="PXS72" s="354"/>
      <c r="PXT72" s="165" t="s">
        <v>124</v>
      </c>
      <c r="PXU72" s="352"/>
      <c r="PXV72" s="353"/>
      <c r="PXW72" s="159" t="s">
        <v>24</v>
      </c>
      <c r="PXX72" s="160">
        <v>8150</v>
      </c>
      <c r="PXY72" s="169">
        <v>85</v>
      </c>
      <c r="PXZ72" s="170">
        <v>215</v>
      </c>
      <c r="PYA72" s="170">
        <v>75</v>
      </c>
      <c r="PYB72" s="169">
        <v>150</v>
      </c>
      <c r="PYC72" s="171">
        <f>SUM(PXX72:PYB72)</f>
        <v>8675</v>
      </c>
      <c r="PYD72" s="169">
        <v>200</v>
      </c>
      <c r="PYE72" s="171">
        <f>SUM(PYC72:PYD72)</f>
        <v>8875</v>
      </c>
      <c r="PYF72" s="163" t="s">
        <v>114</v>
      </c>
      <c r="PYG72" s="164">
        <v>45845</v>
      </c>
      <c r="PYH72" s="159" t="s">
        <v>42</v>
      </c>
      <c r="PYI72" s="354"/>
      <c r="PYJ72" s="165" t="s">
        <v>124</v>
      </c>
      <c r="PYK72" s="352"/>
      <c r="PYL72" s="353"/>
      <c r="PYM72" s="159" t="s">
        <v>24</v>
      </c>
      <c r="PYN72" s="160">
        <v>8150</v>
      </c>
      <c r="PYO72" s="169">
        <v>85</v>
      </c>
      <c r="PYP72" s="170">
        <v>215</v>
      </c>
      <c r="PYQ72" s="170">
        <v>75</v>
      </c>
      <c r="PYR72" s="169">
        <v>150</v>
      </c>
      <c r="PYS72" s="171">
        <f>SUM(PYN72:PYR72)</f>
        <v>8675</v>
      </c>
      <c r="PYT72" s="169">
        <v>200</v>
      </c>
      <c r="PYU72" s="171">
        <f>SUM(PYS72:PYT72)</f>
        <v>8875</v>
      </c>
      <c r="PYV72" s="163" t="s">
        <v>114</v>
      </c>
      <c r="PYW72" s="164">
        <v>45845</v>
      </c>
      <c r="PYX72" s="159" t="s">
        <v>42</v>
      </c>
      <c r="PYY72" s="354"/>
      <c r="PYZ72" s="165" t="s">
        <v>124</v>
      </c>
      <c r="PZA72" s="352"/>
      <c r="PZB72" s="353"/>
      <c r="PZC72" s="159" t="s">
        <v>24</v>
      </c>
      <c r="PZD72" s="160">
        <v>8150</v>
      </c>
      <c r="PZE72" s="169">
        <v>85</v>
      </c>
      <c r="PZF72" s="170">
        <v>215</v>
      </c>
      <c r="PZG72" s="170">
        <v>75</v>
      </c>
      <c r="PZH72" s="169">
        <v>150</v>
      </c>
      <c r="PZI72" s="171">
        <f>SUM(PZD72:PZH72)</f>
        <v>8675</v>
      </c>
      <c r="PZJ72" s="169">
        <v>200</v>
      </c>
      <c r="PZK72" s="171">
        <f>SUM(PZI72:PZJ72)</f>
        <v>8875</v>
      </c>
      <c r="PZL72" s="163" t="s">
        <v>114</v>
      </c>
      <c r="PZM72" s="164">
        <v>45845</v>
      </c>
      <c r="PZN72" s="159" t="s">
        <v>42</v>
      </c>
      <c r="PZO72" s="354"/>
      <c r="PZP72" s="165" t="s">
        <v>124</v>
      </c>
      <c r="PZQ72" s="352"/>
      <c r="PZR72" s="353"/>
      <c r="PZS72" s="159" t="s">
        <v>24</v>
      </c>
      <c r="PZT72" s="160">
        <v>8150</v>
      </c>
      <c r="PZU72" s="169">
        <v>85</v>
      </c>
      <c r="PZV72" s="170">
        <v>215</v>
      </c>
      <c r="PZW72" s="170">
        <v>75</v>
      </c>
      <c r="PZX72" s="169">
        <v>150</v>
      </c>
      <c r="PZY72" s="171">
        <f>SUM(PZT72:PZX72)</f>
        <v>8675</v>
      </c>
      <c r="PZZ72" s="169">
        <v>200</v>
      </c>
      <c r="QAA72" s="171">
        <f>SUM(PZY72:PZZ72)</f>
        <v>8875</v>
      </c>
      <c r="QAB72" s="163" t="s">
        <v>114</v>
      </c>
      <c r="QAC72" s="164">
        <v>45845</v>
      </c>
      <c r="QAD72" s="159" t="s">
        <v>42</v>
      </c>
      <c r="QAE72" s="354"/>
      <c r="QAF72" s="165" t="s">
        <v>124</v>
      </c>
      <c r="QAG72" s="352"/>
      <c r="QAH72" s="353"/>
      <c r="QAI72" s="159" t="s">
        <v>24</v>
      </c>
      <c r="QAJ72" s="160">
        <v>8150</v>
      </c>
      <c r="QAK72" s="169">
        <v>85</v>
      </c>
      <c r="QAL72" s="170">
        <v>215</v>
      </c>
      <c r="QAM72" s="170">
        <v>75</v>
      </c>
      <c r="QAN72" s="169">
        <v>150</v>
      </c>
      <c r="QAO72" s="171">
        <f>SUM(QAJ72:QAN72)</f>
        <v>8675</v>
      </c>
      <c r="QAP72" s="169">
        <v>200</v>
      </c>
      <c r="QAQ72" s="171">
        <f>SUM(QAO72:QAP72)</f>
        <v>8875</v>
      </c>
      <c r="QAR72" s="163" t="s">
        <v>114</v>
      </c>
      <c r="QAS72" s="164">
        <v>45845</v>
      </c>
      <c r="QAT72" s="159" t="s">
        <v>42</v>
      </c>
      <c r="QAU72" s="354"/>
      <c r="QAV72" s="165" t="s">
        <v>124</v>
      </c>
      <c r="QAW72" s="352"/>
      <c r="QAX72" s="353"/>
      <c r="QAY72" s="159" t="s">
        <v>24</v>
      </c>
      <c r="QAZ72" s="160">
        <v>8150</v>
      </c>
      <c r="QBA72" s="169">
        <v>85</v>
      </c>
      <c r="QBB72" s="170">
        <v>215</v>
      </c>
      <c r="QBC72" s="170">
        <v>75</v>
      </c>
      <c r="QBD72" s="169">
        <v>150</v>
      </c>
      <c r="QBE72" s="171">
        <f>SUM(QAZ72:QBD72)</f>
        <v>8675</v>
      </c>
      <c r="QBF72" s="169">
        <v>200</v>
      </c>
      <c r="QBG72" s="171">
        <f>SUM(QBE72:QBF72)</f>
        <v>8875</v>
      </c>
      <c r="QBH72" s="163" t="s">
        <v>114</v>
      </c>
      <c r="QBI72" s="164">
        <v>45845</v>
      </c>
      <c r="QBJ72" s="159" t="s">
        <v>42</v>
      </c>
      <c r="QBK72" s="354"/>
      <c r="QBL72" s="165" t="s">
        <v>124</v>
      </c>
      <c r="QBM72" s="352"/>
      <c r="QBN72" s="353"/>
      <c r="QBO72" s="159" t="s">
        <v>24</v>
      </c>
      <c r="QBP72" s="160">
        <v>8150</v>
      </c>
      <c r="QBQ72" s="169">
        <v>85</v>
      </c>
      <c r="QBR72" s="170">
        <v>215</v>
      </c>
      <c r="QBS72" s="170">
        <v>75</v>
      </c>
      <c r="QBT72" s="169">
        <v>150</v>
      </c>
      <c r="QBU72" s="171">
        <f>SUM(QBP72:QBT72)</f>
        <v>8675</v>
      </c>
      <c r="QBV72" s="169">
        <v>200</v>
      </c>
      <c r="QBW72" s="171">
        <f>SUM(QBU72:QBV72)</f>
        <v>8875</v>
      </c>
      <c r="QBX72" s="163" t="s">
        <v>114</v>
      </c>
      <c r="QBY72" s="164">
        <v>45845</v>
      </c>
      <c r="QBZ72" s="159" t="s">
        <v>42</v>
      </c>
      <c r="QCA72" s="354"/>
      <c r="QCB72" s="165" t="s">
        <v>124</v>
      </c>
      <c r="QCC72" s="352"/>
      <c r="QCD72" s="353"/>
      <c r="QCE72" s="159" t="s">
        <v>24</v>
      </c>
      <c r="QCF72" s="160">
        <v>8150</v>
      </c>
      <c r="QCG72" s="169">
        <v>85</v>
      </c>
      <c r="QCH72" s="170">
        <v>215</v>
      </c>
      <c r="QCI72" s="170">
        <v>75</v>
      </c>
      <c r="QCJ72" s="169">
        <v>150</v>
      </c>
      <c r="QCK72" s="171">
        <f>SUM(QCF72:QCJ72)</f>
        <v>8675</v>
      </c>
      <c r="QCL72" s="169">
        <v>200</v>
      </c>
      <c r="QCM72" s="171">
        <f>SUM(QCK72:QCL72)</f>
        <v>8875</v>
      </c>
      <c r="QCN72" s="163" t="s">
        <v>114</v>
      </c>
      <c r="QCO72" s="164">
        <v>45845</v>
      </c>
      <c r="QCP72" s="159" t="s">
        <v>42</v>
      </c>
      <c r="QCQ72" s="354"/>
      <c r="QCR72" s="165" t="s">
        <v>124</v>
      </c>
      <c r="QCS72" s="352"/>
      <c r="QCT72" s="353"/>
      <c r="QCU72" s="159" t="s">
        <v>24</v>
      </c>
      <c r="QCV72" s="160">
        <v>8150</v>
      </c>
      <c r="QCW72" s="169">
        <v>85</v>
      </c>
      <c r="QCX72" s="170">
        <v>215</v>
      </c>
      <c r="QCY72" s="170">
        <v>75</v>
      </c>
      <c r="QCZ72" s="169">
        <v>150</v>
      </c>
      <c r="QDA72" s="171">
        <f>SUM(QCV72:QCZ72)</f>
        <v>8675</v>
      </c>
      <c r="QDB72" s="169">
        <v>200</v>
      </c>
      <c r="QDC72" s="171">
        <f>SUM(QDA72:QDB72)</f>
        <v>8875</v>
      </c>
      <c r="QDD72" s="163" t="s">
        <v>114</v>
      </c>
      <c r="QDE72" s="164">
        <v>45845</v>
      </c>
      <c r="QDF72" s="159" t="s">
        <v>42</v>
      </c>
      <c r="QDG72" s="354"/>
      <c r="QDH72" s="165" t="s">
        <v>124</v>
      </c>
      <c r="QDI72" s="352"/>
      <c r="QDJ72" s="353"/>
      <c r="QDK72" s="159" t="s">
        <v>24</v>
      </c>
      <c r="QDL72" s="160">
        <v>8150</v>
      </c>
      <c r="QDM72" s="169">
        <v>85</v>
      </c>
      <c r="QDN72" s="170">
        <v>215</v>
      </c>
      <c r="QDO72" s="170">
        <v>75</v>
      </c>
      <c r="QDP72" s="169">
        <v>150</v>
      </c>
      <c r="QDQ72" s="171">
        <f>SUM(QDL72:QDP72)</f>
        <v>8675</v>
      </c>
      <c r="QDR72" s="169">
        <v>200</v>
      </c>
      <c r="QDS72" s="171">
        <f>SUM(QDQ72:QDR72)</f>
        <v>8875</v>
      </c>
      <c r="QDT72" s="163" t="s">
        <v>114</v>
      </c>
      <c r="QDU72" s="164">
        <v>45845</v>
      </c>
      <c r="QDV72" s="159" t="s">
        <v>42</v>
      </c>
      <c r="QDW72" s="354"/>
      <c r="QDX72" s="165" t="s">
        <v>124</v>
      </c>
      <c r="QDY72" s="352"/>
      <c r="QDZ72" s="353"/>
      <c r="QEA72" s="159" t="s">
        <v>24</v>
      </c>
      <c r="QEB72" s="160">
        <v>8150</v>
      </c>
      <c r="QEC72" s="169">
        <v>85</v>
      </c>
      <c r="QED72" s="170">
        <v>215</v>
      </c>
      <c r="QEE72" s="170">
        <v>75</v>
      </c>
      <c r="QEF72" s="169">
        <v>150</v>
      </c>
      <c r="QEG72" s="171">
        <f>SUM(QEB72:QEF72)</f>
        <v>8675</v>
      </c>
      <c r="QEH72" s="169">
        <v>200</v>
      </c>
      <c r="QEI72" s="171">
        <f>SUM(QEG72:QEH72)</f>
        <v>8875</v>
      </c>
      <c r="QEJ72" s="163" t="s">
        <v>114</v>
      </c>
      <c r="QEK72" s="164">
        <v>45845</v>
      </c>
      <c r="QEL72" s="159" t="s">
        <v>42</v>
      </c>
      <c r="QEM72" s="354"/>
      <c r="QEN72" s="165" t="s">
        <v>124</v>
      </c>
      <c r="QEO72" s="352"/>
      <c r="QEP72" s="353"/>
      <c r="QEQ72" s="159" t="s">
        <v>24</v>
      </c>
      <c r="QER72" s="160">
        <v>8150</v>
      </c>
      <c r="QES72" s="169">
        <v>85</v>
      </c>
      <c r="QET72" s="170">
        <v>215</v>
      </c>
      <c r="QEU72" s="170">
        <v>75</v>
      </c>
      <c r="QEV72" s="169">
        <v>150</v>
      </c>
      <c r="QEW72" s="171">
        <f>SUM(QER72:QEV72)</f>
        <v>8675</v>
      </c>
      <c r="QEX72" s="169">
        <v>200</v>
      </c>
      <c r="QEY72" s="171">
        <f>SUM(QEW72:QEX72)</f>
        <v>8875</v>
      </c>
      <c r="QEZ72" s="163" t="s">
        <v>114</v>
      </c>
      <c r="QFA72" s="164">
        <v>45845</v>
      </c>
      <c r="QFB72" s="159" t="s">
        <v>42</v>
      </c>
      <c r="QFC72" s="354"/>
      <c r="QFD72" s="165" t="s">
        <v>124</v>
      </c>
      <c r="QFE72" s="352"/>
      <c r="QFF72" s="353"/>
      <c r="QFG72" s="159" t="s">
        <v>24</v>
      </c>
      <c r="QFH72" s="160">
        <v>8150</v>
      </c>
      <c r="QFI72" s="169">
        <v>85</v>
      </c>
      <c r="QFJ72" s="170">
        <v>215</v>
      </c>
      <c r="QFK72" s="170">
        <v>75</v>
      </c>
      <c r="QFL72" s="169">
        <v>150</v>
      </c>
      <c r="QFM72" s="171">
        <f>SUM(QFH72:QFL72)</f>
        <v>8675</v>
      </c>
      <c r="QFN72" s="169">
        <v>200</v>
      </c>
      <c r="QFO72" s="171">
        <f>SUM(QFM72:QFN72)</f>
        <v>8875</v>
      </c>
      <c r="QFP72" s="163" t="s">
        <v>114</v>
      </c>
      <c r="QFQ72" s="164">
        <v>45845</v>
      </c>
      <c r="QFR72" s="159" t="s">
        <v>42</v>
      </c>
      <c r="QFS72" s="354"/>
      <c r="QFT72" s="165" t="s">
        <v>124</v>
      </c>
      <c r="QFU72" s="352"/>
      <c r="QFV72" s="353"/>
      <c r="QFW72" s="159" t="s">
        <v>24</v>
      </c>
      <c r="QFX72" s="160">
        <v>8150</v>
      </c>
      <c r="QFY72" s="169">
        <v>85</v>
      </c>
      <c r="QFZ72" s="170">
        <v>215</v>
      </c>
      <c r="QGA72" s="170">
        <v>75</v>
      </c>
      <c r="QGB72" s="169">
        <v>150</v>
      </c>
      <c r="QGC72" s="171">
        <f>SUM(QFX72:QGB72)</f>
        <v>8675</v>
      </c>
      <c r="QGD72" s="169">
        <v>200</v>
      </c>
      <c r="QGE72" s="171">
        <f>SUM(QGC72:QGD72)</f>
        <v>8875</v>
      </c>
      <c r="QGF72" s="163" t="s">
        <v>114</v>
      </c>
      <c r="QGG72" s="164">
        <v>45845</v>
      </c>
      <c r="QGH72" s="159" t="s">
        <v>42</v>
      </c>
      <c r="QGI72" s="354"/>
      <c r="QGJ72" s="165" t="s">
        <v>124</v>
      </c>
      <c r="QGK72" s="352"/>
      <c r="QGL72" s="353"/>
      <c r="QGM72" s="159" t="s">
        <v>24</v>
      </c>
      <c r="QGN72" s="160">
        <v>8150</v>
      </c>
      <c r="QGO72" s="169">
        <v>85</v>
      </c>
      <c r="QGP72" s="170">
        <v>215</v>
      </c>
      <c r="QGQ72" s="170">
        <v>75</v>
      </c>
      <c r="QGR72" s="169">
        <v>150</v>
      </c>
      <c r="QGS72" s="171">
        <f>SUM(QGN72:QGR72)</f>
        <v>8675</v>
      </c>
      <c r="QGT72" s="169">
        <v>200</v>
      </c>
      <c r="QGU72" s="171">
        <f>SUM(QGS72:QGT72)</f>
        <v>8875</v>
      </c>
      <c r="QGV72" s="163" t="s">
        <v>114</v>
      </c>
      <c r="QGW72" s="164">
        <v>45845</v>
      </c>
      <c r="QGX72" s="159" t="s">
        <v>42</v>
      </c>
      <c r="QGY72" s="354"/>
      <c r="QGZ72" s="165" t="s">
        <v>124</v>
      </c>
      <c r="QHA72" s="352"/>
      <c r="QHB72" s="353"/>
      <c r="QHC72" s="159" t="s">
        <v>24</v>
      </c>
      <c r="QHD72" s="160">
        <v>8150</v>
      </c>
      <c r="QHE72" s="169">
        <v>85</v>
      </c>
      <c r="QHF72" s="170">
        <v>215</v>
      </c>
      <c r="QHG72" s="170">
        <v>75</v>
      </c>
      <c r="QHH72" s="169">
        <v>150</v>
      </c>
      <c r="QHI72" s="171">
        <f>SUM(QHD72:QHH72)</f>
        <v>8675</v>
      </c>
      <c r="QHJ72" s="169">
        <v>200</v>
      </c>
      <c r="QHK72" s="171">
        <f>SUM(QHI72:QHJ72)</f>
        <v>8875</v>
      </c>
      <c r="QHL72" s="163" t="s">
        <v>114</v>
      </c>
      <c r="QHM72" s="164">
        <v>45845</v>
      </c>
      <c r="QHN72" s="159" t="s">
        <v>42</v>
      </c>
      <c r="QHO72" s="354"/>
      <c r="QHP72" s="165" t="s">
        <v>124</v>
      </c>
      <c r="QHQ72" s="352"/>
      <c r="QHR72" s="353"/>
      <c r="QHS72" s="159" t="s">
        <v>24</v>
      </c>
      <c r="QHT72" s="160">
        <v>8150</v>
      </c>
      <c r="QHU72" s="169">
        <v>85</v>
      </c>
      <c r="QHV72" s="170">
        <v>215</v>
      </c>
      <c r="QHW72" s="170">
        <v>75</v>
      </c>
      <c r="QHX72" s="169">
        <v>150</v>
      </c>
      <c r="QHY72" s="171">
        <f>SUM(QHT72:QHX72)</f>
        <v>8675</v>
      </c>
      <c r="QHZ72" s="169">
        <v>200</v>
      </c>
      <c r="QIA72" s="171">
        <f>SUM(QHY72:QHZ72)</f>
        <v>8875</v>
      </c>
      <c r="QIB72" s="163" t="s">
        <v>114</v>
      </c>
      <c r="QIC72" s="164">
        <v>45845</v>
      </c>
      <c r="QID72" s="159" t="s">
        <v>42</v>
      </c>
      <c r="QIE72" s="354"/>
      <c r="QIF72" s="165" t="s">
        <v>124</v>
      </c>
      <c r="QIG72" s="352"/>
      <c r="QIH72" s="353"/>
      <c r="QII72" s="159" t="s">
        <v>24</v>
      </c>
      <c r="QIJ72" s="160">
        <v>8150</v>
      </c>
      <c r="QIK72" s="169">
        <v>85</v>
      </c>
      <c r="QIL72" s="170">
        <v>215</v>
      </c>
      <c r="QIM72" s="170">
        <v>75</v>
      </c>
      <c r="QIN72" s="169">
        <v>150</v>
      </c>
      <c r="QIO72" s="171">
        <f>SUM(QIJ72:QIN72)</f>
        <v>8675</v>
      </c>
      <c r="QIP72" s="169">
        <v>200</v>
      </c>
      <c r="QIQ72" s="171">
        <f>SUM(QIO72:QIP72)</f>
        <v>8875</v>
      </c>
      <c r="QIR72" s="163" t="s">
        <v>114</v>
      </c>
      <c r="QIS72" s="164">
        <v>45845</v>
      </c>
      <c r="QIT72" s="159" t="s">
        <v>42</v>
      </c>
      <c r="QIU72" s="354"/>
      <c r="QIV72" s="165" t="s">
        <v>124</v>
      </c>
      <c r="QIW72" s="352"/>
      <c r="QIX72" s="353"/>
      <c r="QIY72" s="159" t="s">
        <v>24</v>
      </c>
      <c r="QIZ72" s="160">
        <v>8150</v>
      </c>
      <c r="QJA72" s="169">
        <v>85</v>
      </c>
      <c r="QJB72" s="170">
        <v>215</v>
      </c>
      <c r="QJC72" s="170">
        <v>75</v>
      </c>
      <c r="QJD72" s="169">
        <v>150</v>
      </c>
      <c r="QJE72" s="171">
        <f>SUM(QIZ72:QJD72)</f>
        <v>8675</v>
      </c>
      <c r="QJF72" s="169">
        <v>200</v>
      </c>
      <c r="QJG72" s="171">
        <f>SUM(QJE72:QJF72)</f>
        <v>8875</v>
      </c>
      <c r="QJH72" s="163" t="s">
        <v>114</v>
      </c>
      <c r="QJI72" s="164">
        <v>45845</v>
      </c>
      <c r="QJJ72" s="159" t="s">
        <v>42</v>
      </c>
      <c r="QJK72" s="354"/>
      <c r="QJL72" s="165" t="s">
        <v>124</v>
      </c>
      <c r="QJM72" s="352"/>
      <c r="QJN72" s="353"/>
      <c r="QJO72" s="159" t="s">
        <v>24</v>
      </c>
      <c r="QJP72" s="160">
        <v>8150</v>
      </c>
      <c r="QJQ72" s="169">
        <v>85</v>
      </c>
      <c r="QJR72" s="170">
        <v>215</v>
      </c>
      <c r="QJS72" s="170">
        <v>75</v>
      </c>
      <c r="QJT72" s="169">
        <v>150</v>
      </c>
      <c r="QJU72" s="171">
        <f>SUM(QJP72:QJT72)</f>
        <v>8675</v>
      </c>
      <c r="QJV72" s="169">
        <v>200</v>
      </c>
      <c r="QJW72" s="171">
        <f>SUM(QJU72:QJV72)</f>
        <v>8875</v>
      </c>
      <c r="QJX72" s="163" t="s">
        <v>114</v>
      </c>
      <c r="QJY72" s="164">
        <v>45845</v>
      </c>
      <c r="QJZ72" s="159" t="s">
        <v>42</v>
      </c>
      <c r="QKA72" s="354"/>
      <c r="QKB72" s="165" t="s">
        <v>124</v>
      </c>
      <c r="QKC72" s="352"/>
      <c r="QKD72" s="353"/>
      <c r="QKE72" s="159" t="s">
        <v>24</v>
      </c>
      <c r="QKF72" s="160">
        <v>8150</v>
      </c>
      <c r="QKG72" s="169">
        <v>85</v>
      </c>
      <c r="QKH72" s="170">
        <v>215</v>
      </c>
      <c r="QKI72" s="170">
        <v>75</v>
      </c>
      <c r="QKJ72" s="169">
        <v>150</v>
      </c>
      <c r="QKK72" s="171">
        <f>SUM(QKF72:QKJ72)</f>
        <v>8675</v>
      </c>
      <c r="QKL72" s="169">
        <v>200</v>
      </c>
      <c r="QKM72" s="171">
        <f>SUM(QKK72:QKL72)</f>
        <v>8875</v>
      </c>
      <c r="QKN72" s="163" t="s">
        <v>114</v>
      </c>
      <c r="QKO72" s="164">
        <v>45845</v>
      </c>
      <c r="QKP72" s="159" t="s">
        <v>42</v>
      </c>
      <c r="QKQ72" s="354"/>
      <c r="QKR72" s="165" t="s">
        <v>124</v>
      </c>
      <c r="QKS72" s="352"/>
      <c r="QKT72" s="353"/>
      <c r="QKU72" s="159" t="s">
        <v>24</v>
      </c>
      <c r="QKV72" s="160">
        <v>8150</v>
      </c>
      <c r="QKW72" s="169">
        <v>85</v>
      </c>
      <c r="QKX72" s="170">
        <v>215</v>
      </c>
      <c r="QKY72" s="170">
        <v>75</v>
      </c>
      <c r="QKZ72" s="169">
        <v>150</v>
      </c>
      <c r="QLA72" s="171">
        <f>SUM(QKV72:QKZ72)</f>
        <v>8675</v>
      </c>
      <c r="QLB72" s="169">
        <v>200</v>
      </c>
      <c r="QLC72" s="171">
        <f>SUM(QLA72:QLB72)</f>
        <v>8875</v>
      </c>
      <c r="QLD72" s="163" t="s">
        <v>114</v>
      </c>
      <c r="QLE72" s="164">
        <v>45845</v>
      </c>
      <c r="QLF72" s="159" t="s">
        <v>42</v>
      </c>
      <c r="QLG72" s="354"/>
      <c r="QLH72" s="165" t="s">
        <v>124</v>
      </c>
      <c r="QLI72" s="352"/>
      <c r="QLJ72" s="353"/>
      <c r="QLK72" s="159" t="s">
        <v>24</v>
      </c>
      <c r="QLL72" s="160">
        <v>8150</v>
      </c>
      <c r="QLM72" s="169">
        <v>85</v>
      </c>
      <c r="QLN72" s="170">
        <v>215</v>
      </c>
      <c r="QLO72" s="170">
        <v>75</v>
      </c>
      <c r="QLP72" s="169">
        <v>150</v>
      </c>
      <c r="QLQ72" s="171">
        <f>SUM(QLL72:QLP72)</f>
        <v>8675</v>
      </c>
      <c r="QLR72" s="169">
        <v>200</v>
      </c>
      <c r="QLS72" s="171">
        <f>SUM(QLQ72:QLR72)</f>
        <v>8875</v>
      </c>
      <c r="QLT72" s="163" t="s">
        <v>114</v>
      </c>
      <c r="QLU72" s="164">
        <v>45845</v>
      </c>
      <c r="QLV72" s="159" t="s">
        <v>42</v>
      </c>
      <c r="QLW72" s="354"/>
      <c r="QLX72" s="165" t="s">
        <v>124</v>
      </c>
      <c r="QLY72" s="352"/>
      <c r="QLZ72" s="353"/>
      <c r="QMA72" s="159" t="s">
        <v>24</v>
      </c>
      <c r="QMB72" s="160">
        <v>8150</v>
      </c>
      <c r="QMC72" s="169">
        <v>85</v>
      </c>
      <c r="QMD72" s="170">
        <v>215</v>
      </c>
      <c r="QME72" s="170">
        <v>75</v>
      </c>
      <c r="QMF72" s="169">
        <v>150</v>
      </c>
      <c r="QMG72" s="171">
        <f>SUM(QMB72:QMF72)</f>
        <v>8675</v>
      </c>
      <c r="QMH72" s="169">
        <v>200</v>
      </c>
      <c r="QMI72" s="171">
        <f>SUM(QMG72:QMH72)</f>
        <v>8875</v>
      </c>
      <c r="QMJ72" s="163" t="s">
        <v>114</v>
      </c>
      <c r="QMK72" s="164">
        <v>45845</v>
      </c>
      <c r="QML72" s="159" t="s">
        <v>42</v>
      </c>
      <c r="QMM72" s="354"/>
      <c r="QMN72" s="165" t="s">
        <v>124</v>
      </c>
      <c r="QMO72" s="352"/>
      <c r="QMP72" s="353"/>
      <c r="QMQ72" s="159" t="s">
        <v>24</v>
      </c>
      <c r="QMR72" s="160">
        <v>8150</v>
      </c>
      <c r="QMS72" s="169">
        <v>85</v>
      </c>
      <c r="QMT72" s="170">
        <v>215</v>
      </c>
      <c r="QMU72" s="170">
        <v>75</v>
      </c>
      <c r="QMV72" s="169">
        <v>150</v>
      </c>
      <c r="QMW72" s="171">
        <f>SUM(QMR72:QMV72)</f>
        <v>8675</v>
      </c>
      <c r="QMX72" s="169">
        <v>200</v>
      </c>
      <c r="QMY72" s="171">
        <f>SUM(QMW72:QMX72)</f>
        <v>8875</v>
      </c>
      <c r="QMZ72" s="163" t="s">
        <v>114</v>
      </c>
      <c r="QNA72" s="164">
        <v>45845</v>
      </c>
      <c r="QNB72" s="159" t="s">
        <v>42</v>
      </c>
      <c r="QNC72" s="354"/>
      <c r="QND72" s="165" t="s">
        <v>124</v>
      </c>
      <c r="QNE72" s="352"/>
      <c r="QNF72" s="353"/>
      <c r="QNG72" s="159" t="s">
        <v>24</v>
      </c>
      <c r="QNH72" s="160">
        <v>8150</v>
      </c>
      <c r="QNI72" s="169">
        <v>85</v>
      </c>
      <c r="QNJ72" s="170">
        <v>215</v>
      </c>
      <c r="QNK72" s="170">
        <v>75</v>
      </c>
      <c r="QNL72" s="169">
        <v>150</v>
      </c>
      <c r="QNM72" s="171">
        <f>SUM(QNH72:QNL72)</f>
        <v>8675</v>
      </c>
      <c r="QNN72" s="169">
        <v>200</v>
      </c>
      <c r="QNO72" s="171">
        <f>SUM(QNM72:QNN72)</f>
        <v>8875</v>
      </c>
      <c r="QNP72" s="163" t="s">
        <v>114</v>
      </c>
      <c r="QNQ72" s="164">
        <v>45845</v>
      </c>
      <c r="QNR72" s="159" t="s">
        <v>42</v>
      </c>
      <c r="QNS72" s="354"/>
      <c r="QNT72" s="165" t="s">
        <v>124</v>
      </c>
      <c r="QNU72" s="352"/>
      <c r="QNV72" s="353"/>
      <c r="QNW72" s="159" t="s">
        <v>24</v>
      </c>
      <c r="QNX72" s="160">
        <v>8150</v>
      </c>
      <c r="QNY72" s="169">
        <v>85</v>
      </c>
      <c r="QNZ72" s="170">
        <v>215</v>
      </c>
      <c r="QOA72" s="170">
        <v>75</v>
      </c>
      <c r="QOB72" s="169">
        <v>150</v>
      </c>
      <c r="QOC72" s="171">
        <f>SUM(QNX72:QOB72)</f>
        <v>8675</v>
      </c>
      <c r="QOD72" s="169">
        <v>200</v>
      </c>
      <c r="QOE72" s="171">
        <f>SUM(QOC72:QOD72)</f>
        <v>8875</v>
      </c>
      <c r="QOF72" s="163" t="s">
        <v>114</v>
      </c>
      <c r="QOG72" s="164">
        <v>45845</v>
      </c>
      <c r="QOH72" s="159" t="s">
        <v>42</v>
      </c>
      <c r="QOI72" s="354"/>
      <c r="QOJ72" s="165" t="s">
        <v>124</v>
      </c>
      <c r="QOK72" s="352"/>
      <c r="QOL72" s="353"/>
      <c r="QOM72" s="159" t="s">
        <v>24</v>
      </c>
      <c r="QON72" s="160">
        <v>8150</v>
      </c>
      <c r="QOO72" s="169">
        <v>85</v>
      </c>
      <c r="QOP72" s="170">
        <v>215</v>
      </c>
      <c r="QOQ72" s="170">
        <v>75</v>
      </c>
      <c r="QOR72" s="169">
        <v>150</v>
      </c>
      <c r="QOS72" s="171">
        <f>SUM(QON72:QOR72)</f>
        <v>8675</v>
      </c>
      <c r="QOT72" s="169">
        <v>200</v>
      </c>
      <c r="QOU72" s="171">
        <f>SUM(QOS72:QOT72)</f>
        <v>8875</v>
      </c>
      <c r="QOV72" s="163" t="s">
        <v>114</v>
      </c>
      <c r="QOW72" s="164">
        <v>45845</v>
      </c>
      <c r="QOX72" s="159" t="s">
        <v>42</v>
      </c>
      <c r="QOY72" s="354"/>
      <c r="QOZ72" s="165" t="s">
        <v>124</v>
      </c>
      <c r="QPA72" s="352"/>
      <c r="QPB72" s="353"/>
      <c r="QPC72" s="159" t="s">
        <v>24</v>
      </c>
      <c r="QPD72" s="160">
        <v>8150</v>
      </c>
      <c r="QPE72" s="169">
        <v>85</v>
      </c>
      <c r="QPF72" s="170">
        <v>215</v>
      </c>
      <c r="QPG72" s="170">
        <v>75</v>
      </c>
      <c r="QPH72" s="169">
        <v>150</v>
      </c>
      <c r="QPI72" s="171">
        <f>SUM(QPD72:QPH72)</f>
        <v>8675</v>
      </c>
      <c r="QPJ72" s="169">
        <v>200</v>
      </c>
      <c r="QPK72" s="171">
        <f>SUM(QPI72:QPJ72)</f>
        <v>8875</v>
      </c>
      <c r="QPL72" s="163" t="s">
        <v>114</v>
      </c>
      <c r="QPM72" s="164">
        <v>45845</v>
      </c>
      <c r="QPN72" s="159" t="s">
        <v>42</v>
      </c>
      <c r="QPO72" s="354"/>
      <c r="QPP72" s="165" t="s">
        <v>124</v>
      </c>
      <c r="QPQ72" s="352"/>
      <c r="QPR72" s="353"/>
      <c r="QPS72" s="159" t="s">
        <v>24</v>
      </c>
      <c r="QPT72" s="160">
        <v>8150</v>
      </c>
      <c r="QPU72" s="169">
        <v>85</v>
      </c>
      <c r="QPV72" s="170">
        <v>215</v>
      </c>
      <c r="QPW72" s="170">
        <v>75</v>
      </c>
      <c r="QPX72" s="169">
        <v>150</v>
      </c>
      <c r="QPY72" s="171">
        <f>SUM(QPT72:QPX72)</f>
        <v>8675</v>
      </c>
      <c r="QPZ72" s="169">
        <v>200</v>
      </c>
      <c r="QQA72" s="171">
        <f>SUM(QPY72:QPZ72)</f>
        <v>8875</v>
      </c>
      <c r="QQB72" s="163" t="s">
        <v>114</v>
      </c>
      <c r="QQC72" s="164">
        <v>45845</v>
      </c>
      <c r="QQD72" s="159" t="s">
        <v>42</v>
      </c>
      <c r="QQE72" s="354"/>
      <c r="QQF72" s="165" t="s">
        <v>124</v>
      </c>
      <c r="QQG72" s="352"/>
      <c r="QQH72" s="353"/>
      <c r="QQI72" s="159" t="s">
        <v>24</v>
      </c>
      <c r="QQJ72" s="160">
        <v>8150</v>
      </c>
      <c r="QQK72" s="169">
        <v>85</v>
      </c>
      <c r="QQL72" s="170">
        <v>215</v>
      </c>
      <c r="QQM72" s="170">
        <v>75</v>
      </c>
      <c r="QQN72" s="169">
        <v>150</v>
      </c>
      <c r="QQO72" s="171">
        <f>SUM(QQJ72:QQN72)</f>
        <v>8675</v>
      </c>
      <c r="QQP72" s="169">
        <v>200</v>
      </c>
      <c r="QQQ72" s="171">
        <f>SUM(QQO72:QQP72)</f>
        <v>8875</v>
      </c>
      <c r="QQR72" s="163" t="s">
        <v>114</v>
      </c>
      <c r="QQS72" s="164">
        <v>45845</v>
      </c>
      <c r="QQT72" s="159" t="s">
        <v>42</v>
      </c>
      <c r="QQU72" s="354"/>
      <c r="QQV72" s="165" t="s">
        <v>124</v>
      </c>
      <c r="QQW72" s="352"/>
      <c r="QQX72" s="353"/>
      <c r="QQY72" s="159" t="s">
        <v>24</v>
      </c>
      <c r="QQZ72" s="160">
        <v>8150</v>
      </c>
      <c r="QRA72" s="169">
        <v>85</v>
      </c>
      <c r="QRB72" s="170">
        <v>215</v>
      </c>
      <c r="QRC72" s="170">
        <v>75</v>
      </c>
      <c r="QRD72" s="169">
        <v>150</v>
      </c>
      <c r="QRE72" s="171">
        <f>SUM(QQZ72:QRD72)</f>
        <v>8675</v>
      </c>
      <c r="QRF72" s="169">
        <v>200</v>
      </c>
      <c r="QRG72" s="171">
        <f>SUM(QRE72:QRF72)</f>
        <v>8875</v>
      </c>
      <c r="QRH72" s="163" t="s">
        <v>114</v>
      </c>
      <c r="QRI72" s="164">
        <v>45845</v>
      </c>
      <c r="QRJ72" s="159" t="s">
        <v>42</v>
      </c>
      <c r="QRK72" s="354"/>
      <c r="QRL72" s="165" t="s">
        <v>124</v>
      </c>
      <c r="QRM72" s="352"/>
      <c r="QRN72" s="353"/>
      <c r="QRO72" s="159" t="s">
        <v>24</v>
      </c>
      <c r="QRP72" s="160">
        <v>8150</v>
      </c>
      <c r="QRQ72" s="169">
        <v>85</v>
      </c>
      <c r="QRR72" s="170">
        <v>215</v>
      </c>
      <c r="QRS72" s="170">
        <v>75</v>
      </c>
      <c r="QRT72" s="169">
        <v>150</v>
      </c>
      <c r="QRU72" s="171">
        <f>SUM(QRP72:QRT72)</f>
        <v>8675</v>
      </c>
      <c r="QRV72" s="169">
        <v>200</v>
      </c>
      <c r="QRW72" s="171">
        <f>SUM(QRU72:QRV72)</f>
        <v>8875</v>
      </c>
      <c r="QRX72" s="163" t="s">
        <v>114</v>
      </c>
      <c r="QRY72" s="164">
        <v>45845</v>
      </c>
      <c r="QRZ72" s="159" t="s">
        <v>42</v>
      </c>
      <c r="QSA72" s="354"/>
      <c r="QSB72" s="165" t="s">
        <v>124</v>
      </c>
      <c r="QSC72" s="352"/>
      <c r="QSD72" s="353"/>
      <c r="QSE72" s="159" t="s">
        <v>24</v>
      </c>
      <c r="QSF72" s="160">
        <v>8150</v>
      </c>
      <c r="QSG72" s="169">
        <v>85</v>
      </c>
      <c r="QSH72" s="170">
        <v>215</v>
      </c>
      <c r="QSI72" s="170">
        <v>75</v>
      </c>
      <c r="QSJ72" s="169">
        <v>150</v>
      </c>
      <c r="QSK72" s="171">
        <f>SUM(QSF72:QSJ72)</f>
        <v>8675</v>
      </c>
      <c r="QSL72" s="169">
        <v>200</v>
      </c>
      <c r="QSM72" s="171">
        <f>SUM(QSK72:QSL72)</f>
        <v>8875</v>
      </c>
      <c r="QSN72" s="163" t="s">
        <v>114</v>
      </c>
      <c r="QSO72" s="164">
        <v>45845</v>
      </c>
      <c r="QSP72" s="159" t="s">
        <v>42</v>
      </c>
      <c r="QSQ72" s="354"/>
      <c r="QSR72" s="165" t="s">
        <v>124</v>
      </c>
      <c r="QSS72" s="352"/>
      <c r="QST72" s="353"/>
      <c r="QSU72" s="159" t="s">
        <v>24</v>
      </c>
      <c r="QSV72" s="160">
        <v>8150</v>
      </c>
      <c r="QSW72" s="169">
        <v>85</v>
      </c>
      <c r="QSX72" s="170">
        <v>215</v>
      </c>
      <c r="QSY72" s="170">
        <v>75</v>
      </c>
      <c r="QSZ72" s="169">
        <v>150</v>
      </c>
      <c r="QTA72" s="171">
        <f>SUM(QSV72:QSZ72)</f>
        <v>8675</v>
      </c>
      <c r="QTB72" s="169">
        <v>200</v>
      </c>
      <c r="QTC72" s="171">
        <f>SUM(QTA72:QTB72)</f>
        <v>8875</v>
      </c>
      <c r="QTD72" s="163" t="s">
        <v>114</v>
      </c>
      <c r="QTE72" s="164">
        <v>45845</v>
      </c>
      <c r="QTF72" s="159" t="s">
        <v>42</v>
      </c>
      <c r="QTG72" s="354"/>
      <c r="QTH72" s="165" t="s">
        <v>124</v>
      </c>
      <c r="QTI72" s="352"/>
      <c r="QTJ72" s="353"/>
      <c r="QTK72" s="159" t="s">
        <v>24</v>
      </c>
      <c r="QTL72" s="160">
        <v>8150</v>
      </c>
      <c r="QTM72" s="169">
        <v>85</v>
      </c>
      <c r="QTN72" s="170">
        <v>215</v>
      </c>
      <c r="QTO72" s="170">
        <v>75</v>
      </c>
      <c r="QTP72" s="169">
        <v>150</v>
      </c>
      <c r="QTQ72" s="171">
        <f>SUM(QTL72:QTP72)</f>
        <v>8675</v>
      </c>
      <c r="QTR72" s="169">
        <v>200</v>
      </c>
      <c r="QTS72" s="171">
        <f>SUM(QTQ72:QTR72)</f>
        <v>8875</v>
      </c>
      <c r="QTT72" s="163" t="s">
        <v>114</v>
      </c>
      <c r="QTU72" s="164">
        <v>45845</v>
      </c>
      <c r="QTV72" s="159" t="s">
        <v>42</v>
      </c>
      <c r="QTW72" s="354"/>
      <c r="QTX72" s="165" t="s">
        <v>124</v>
      </c>
      <c r="QTY72" s="352"/>
      <c r="QTZ72" s="353"/>
      <c r="QUA72" s="159" t="s">
        <v>24</v>
      </c>
      <c r="QUB72" s="160">
        <v>8150</v>
      </c>
      <c r="QUC72" s="169">
        <v>85</v>
      </c>
      <c r="QUD72" s="170">
        <v>215</v>
      </c>
      <c r="QUE72" s="170">
        <v>75</v>
      </c>
      <c r="QUF72" s="169">
        <v>150</v>
      </c>
      <c r="QUG72" s="171">
        <f>SUM(QUB72:QUF72)</f>
        <v>8675</v>
      </c>
      <c r="QUH72" s="169">
        <v>200</v>
      </c>
      <c r="QUI72" s="171">
        <f>SUM(QUG72:QUH72)</f>
        <v>8875</v>
      </c>
      <c r="QUJ72" s="163" t="s">
        <v>114</v>
      </c>
      <c r="QUK72" s="164">
        <v>45845</v>
      </c>
      <c r="QUL72" s="159" t="s">
        <v>42</v>
      </c>
      <c r="QUM72" s="354"/>
      <c r="QUN72" s="165" t="s">
        <v>124</v>
      </c>
      <c r="QUO72" s="352"/>
      <c r="QUP72" s="353"/>
      <c r="QUQ72" s="159" t="s">
        <v>24</v>
      </c>
      <c r="QUR72" s="160">
        <v>8150</v>
      </c>
      <c r="QUS72" s="169">
        <v>85</v>
      </c>
      <c r="QUT72" s="170">
        <v>215</v>
      </c>
      <c r="QUU72" s="170">
        <v>75</v>
      </c>
      <c r="QUV72" s="169">
        <v>150</v>
      </c>
      <c r="QUW72" s="171">
        <f>SUM(QUR72:QUV72)</f>
        <v>8675</v>
      </c>
      <c r="QUX72" s="169">
        <v>200</v>
      </c>
      <c r="QUY72" s="171">
        <f>SUM(QUW72:QUX72)</f>
        <v>8875</v>
      </c>
      <c r="QUZ72" s="163" t="s">
        <v>114</v>
      </c>
      <c r="QVA72" s="164">
        <v>45845</v>
      </c>
      <c r="QVB72" s="159" t="s">
        <v>42</v>
      </c>
      <c r="QVC72" s="354"/>
      <c r="QVD72" s="165" t="s">
        <v>124</v>
      </c>
      <c r="QVE72" s="352"/>
      <c r="QVF72" s="353"/>
      <c r="QVG72" s="159" t="s">
        <v>24</v>
      </c>
      <c r="QVH72" s="160">
        <v>8150</v>
      </c>
      <c r="QVI72" s="169">
        <v>85</v>
      </c>
      <c r="QVJ72" s="170">
        <v>215</v>
      </c>
      <c r="QVK72" s="170">
        <v>75</v>
      </c>
      <c r="QVL72" s="169">
        <v>150</v>
      </c>
      <c r="QVM72" s="171">
        <f>SUM(QVH72:QVL72)</f>
        <v>8675</v>
      </c>
      <c r="QVN72" s="169">
        <v>200</v>
      </c>
      <c r="QVO72" s="171">
        <f>SUM(QVM72:QVN72)</f>
        <v>8875</v>
      </c>
      <c r="QVP72" s="163" t="s">
        <v>114</v>
      </c>
      <c r="QVQ72" s="164">
        <v>45845</v>
      </c>
      <c r="QVR72" s="159" t="s">
        <v>42</v>
      </c>
      <c r="QVS72" s="354"/>
      <c r="QVT72" s="165" t="s">
        <v>124</v>
      </c>
      <c r="QVU72" s="352"/>
      <c r="QVV72" s="353"/>
      <c r="QVW72" s="159" t="s">
        <v>24</v>
      </c>
      <c r="QVX72" s="160">
        <v>8150</v>
      </c>
      <c r="QVY72" s="169">
        <v>85</v>
      </c>
      <c r="QVZ72" s="170">
        <v>215</v>
      </c>
      <c r="QWA72" s="170">
        <v>75</v>
      </c>
      <c r="QWB72" s="169">
        <v>150</v>
      </c>
      <c r="QWC72" s="171">
        <f>SUM(QVX72:QWB72)</f>
        <v>8675</v>
      </c>
      <c r="QWD72" s="169">
        <v>200</v>
      </c>
      <c r="QWE72" s="171">
        <f>SUM(QWC72:QWD72)</f>
        <v>8875</v>
      </c>
      <c r="QWF72" s="163" t="s">
        <v>114</v>
      </c>
      <c r="QWG72" s="164">
        <v>45845</v>
      </c>
      <c r="QWH72" s="159" t="s">
        <v>42</v>
      </c>
      <c r="QWI72" s="354"/>
      <c r="QWJ72" s="165" t="s">
        <v>124</v>
      </c>
      <c r="QWK72" s="352"/>
      <c r="QWL72" s="353"/>
      <c r="QWM72" s="159" t="s">
        <v>24</v>
      </c>
      <c r="QWN72" s="160">
        <v>8150</v>
      </c>
      <c r="QWO72" s="169">
        <v>85</v>
      </c>
      <c r="QWP72" s="170">
        <v>215</v>
      </c>
      <c r="QWQ72" s="170">
        <v>75</v>
      </c>
      <c r="QWR72" s="169">
        <v>150</v>
      </c>
      <c r="QWS72" s="171">
        <f>SUM(QWN72:QWR72)</f>
        <v>8675</v>
      </c>
      <c r="QWT72" s="169">
        <v>200</v>
      </c>
      <c r="QWU72" s="171">
        <f>SUM(QWS72:QWT72)</f>
        <v>8875</v>
      </c>
      <c r="QWV72" s="163" t="s">
        <v>114</v>
      </c>
      <c r="QWW72" s="164">
        <v>45845</v>
      </c>
      <c r="QWX72" s="159" t="s">
        <v>42</v>
      </c>
      <c r="QWY72" s="354"/>
      <c r="QWZ72" s="165" t="s">
        <v>124</v>
      </c>
      <c r="QXA72" s="352"/>
      <c r="QXB72" s="353"/>
      <c r="QXC72" s="159" t="s">
        <v>24</v>
      </c>
      <c r="QXD72" s="160">
        <v>8150</v>
      </c>
      <c r="QXE72" s="169">
        <v>85</v>
      </c>
      <c r="QXF72" s="170">
        <v>215</v>
      </c>
      <c r="QXG72" s="170">
        <v>75</v>
      </c>
      <c r="QXH72" s="169">
        <v>150</v>
      </c>
      <c r="QXI72" s="171">
        <f>SUM(QXD72:QXH72)</f>
        <v>8675</v>
      </c>
      <c r="QXJ72" s="169">
        <v>200</v>
      </c>
      <c r="QXK72" s="171">
        <f>SUM(QXI72:QXJ72)</f>
        <v>8875</v>
      </c>
      <c r="QXL72" s="163" t="s">
        <v>114</v>
      </c>
      <c r="QXM72" s="164">
        <v>45845</v>
      </c>
      <c r="QXN72" s="159" t="s">
        <v>42</v>
      </c>
      <c r="QXO72" s="354"/>
      <c r="QXP72" s="165" t="s">
        <v>124</v>
      </c>
      <c r="QXQ72" s="352"/>
      <c r="QXR72" s="353"/>
      <c r="QXS72" s="159" t="s">
        <v>24</v>
      </c>
      <c r="QXT72" s="160">
        <v>8150</v>
      </c>
      <c r="QXU72" s="169">
        <v>85</v>
      </c>
      <c r="QXV72" s="170">
        <v>215</v>
      </c>
      <c r="QXW72" s="170">
        <v>75</v>
      </c>
      <c r="QXX72" s="169">
        <v>150</v>
      </c>
      <c r="QXY72" s="171">
        <f>SUM(QXT72:QXX72)</f>
        <v>8675</v>
      </c>
      <c r="QXZ72" s="169">
        <v>200</v>
      </c>
      <c r="QYA72" s="171">
        <f>SUM(QXY72:QXZ72)</f>
        <v>8875</v>
      </c>
      <c r="QYB72" s="163" t="s">
        <v>114</v>
      </c>
      <c r="QYC72" s="164">
        <v>45845</v>
      </c>
      <c r="QYD72" s="159" t="s">
        <v>42</v>
      </c>
      <c r="QYE72" s="354"/>
      <c r="QYF72" s="165" t="s">
        <v>124</v>
      </c>
      <c r="QYG72" s="352"/>
      <c r="QYH72" s="353"/>
      <c r="QYI72" s="159" t="s">
        <v>24</v>
      </c>
      <c r="QYJ72" s="160">
        <v>8150</v>
      </c>
      <c r="QYK72" s="169">
        <v>85</v>
      </c>
      <c r="QYL72" s="170">
        <v>215</v>
      </c>
      <c r="QYM72" s="170">
        <v>75</v>
      </c>
      <c r="QYN72" s="169">
        <v>150</v>
      </c>
      <c r="QYO72" s="171">
        <f>SUM(QYJ72:QYN72)</f>
        <v>8675</v>
      </c>
      <c r="QYP72" s="169">
        <v>200</v>
      </c>
      <c r="QYQ72" s="171">
        <f>SUM(QYO72:QYP72)</f>
        <v>8875</v>
      </c>
      <c r="QYR72" s="163" t="s">
        <v>114</v>
      </c>
      <c r="QYS72" s="164">
        <v>45845</v>
      </c>
      <c r="QYT72" s="159" t="s">
        <v>42</v>
      </c>
      <c r="QYU72" s="354"/>
      <c r="QYV72" s="165" t="s">
        <v>124</v>
      </c>
      <c r="QYW72" s="352"/>
      <c r="QYX72" s="353"/>
      <c r="QYY72" s="159" t="s">
        <v>24</v>
      </c>
      <c r="QYZ72" s="160">
        <v>8150</v>
      </c>
      <c r="QZA72" s="169">
        <v>85</v>
      </c>
      <c r="QZB72" s="170">
        <v>215</v>
      </c>
      <c r="QZC72" s="170">
        <v>75</v>
      </c>
      <c r="QZD72" s="169">
        <v>150</v>
      </c>
      <c r="QZE72" s="171">
        <f>SUM(QYZ72:QZD72)</f>
        <v>8675</v>
      </c>
      <c r="QZF72" s="169">
        <v>200</v>
      </c>
      <c r="QZG72" s="171">
        <f>SUM(QZE72:QZF72)</f>
        <v>8875</v>
      </c>
      <c r="QZH72" s="163" t="s">
        <v>114</v>
      </c>
      <c r="QZI72" s="164">
        <v>45845</v>
      </c>
      <c r="QZJ72" s="159" t="s">
        <v>42</v>
      </c>
      <c r="QZK72" s="354"/>
      <c r="QZL72" s="165" t="s">
        <v>124</v>
      </c>
      <c r="QZM72" s="352"/>
      <c r="QZN72" s="353"/>
      <c r="QZO72" s="159" t="s">
        <v>24</v>
      </c>
      <c r="QZP72" s="160">
        <v>8150</v>
      </c>
      <c r="QZQ72" s="169">
        <v>85</v>
      </c>
      <c r="QZR72" s="170">
        <v>215</v>
      </c>
      <c r="QZS72" s="170">
        <v>75</v>
      </c>
      <c r="QZT72" s="169">
        <v>150</v>
      </c>
      <c r="QZU72" s="171">
        <f>SUM(QZP72:QZT72)</f>
        <v>8675</v>
      </c>
      <c r="QZV72" s="169">
        <v>200</v>
      </c>
      <c r="QZW72" s="171">
        <f>SUM(QZU72:QZV72)</f>
        <v>8875</v>
      </c>
      <c r="QZX72" s="163" t="s">
        <v>114</v>
      </c>
      <c r="QZY72" s="164">
        <v>45845</v>
      </c>
      <c r="QZZ72" s="159" t="s">
        <v>42</v>
      </c>
      <c r="RAA72" s="354"/>
      <c r="RAB72" s="165" t="s">
        <v>124</v>
      </c>
      <c r="RAC72" s="352"/>
      <c r="RAD72" s="353"/>
      <c r="RAE72" s="159" t="s">
        <v>24</v>
      </c>
      <c r="RWX72" s="353"/>
      <c r="RWY72" s="159" t="s">
        <v>24</v>
      </c>
      <c r="RWZ72" s="160">
        <v>8150</v>
      </c>
      <c r="RXA72" s="169">
        <v>85</v>
      </c>
      <c r="RXB72" s="170">
        <v>215</v>
      </c>
      <c r="RXC72" s="170">
        <v>75</v>
      </c>
      <c r="RXD72" s="169">
        <v>150</v>
      </c>
      <c r="RXE72" s="171">
        <f>SUM(RWZ72:RXD72)</f>
        <v>8675</v>
      </c>
      <c r="RXF72" s="169">
        <v>200</v>
      </c>
      <c r="RXG72" s="171">
        <f>SUM(RXE72:RXF72)</f>
        <v>8875</v>
      </c>
      <c r="RXH72" s="163" t="s">
        <v>114</v>
      </c>
      <c r="RXI72" s="164">
        <v>45845</v>
      </c>
      <c r="RXJ72" s="159" t="s">
        <v>42</v>
      </c>
      <c r="RXK72" s="354"/>
      <c r="RXL72" s="165" t="s">
        <v>124</v>
      </c>
      <c r="RXM72" s="352"/>
      <c r="RXN72" s="353"/>
      <c r="RXO72" s="159" t="s">
        <v>24</v>
      </c>
      <c r="RXP72" s="160">
        <v>8150</v>
      </c>
      <c r="RXQ72" s="169">
        <v>85</v>
      </c>
      <c r="RXR72" s="170">
        <v>215</v>
      </c>
      <c r="RXS72" s="170">
        <v>75</v>
      </c>
      <c r="RXT72" s="169">
        <v>150</v>
      </c>
      <c r="RXU72" s="171">
        <f>SUM(RXP72:RXT72)</f>
        <v>8675</v>
      </c>
      <c r="RXV72" s="169">
        <v>200</v>
      </c>
      <c r="RXW72" s="171">
        <f>SUM(RXU72:RXV72)</f>
        <v>8875</v>
      </c>
      <c r="RXX72" s="163" t="s">
        <v>114</v>
      </c>
      <c r="RXY72" s="164">
        <v>45845</v>
      </c>
      <c r="RXZ72" s="159" t="s">
        <v>42</v>
      </c>
      <c r="RYA72" s="354"/>
      <c r="RYB72" s="165" t="s">
        <v>124</v>
      </c>
      <c r="RYC72" s="352"/>
      <c r="RYD72" s="353"/>
      <c r="RYE72" s="159" t="s">
        <v>24</v>
      </c>
      <c r="RYF72" s="160">
        <v>8150</v>
      </c>
      <c r="RYG72" s="169">
        <v>85</v>
      </c>
      <c r="RYH72" s="170">
        <v>215</v>
      </c>
      <c r="RYI72" s="170">
        <v>75</v>
      </c>
      <c r="RYJ72" s="169">
        <v>150</v>
      </c>
      <c r="RYK72" s="171">
        <f>SUM(RYF72:RYJ72)</f>
        <v>8675</v>
      </c>
      <c r="RYL72" s="169">
        <v>200</v>
      </c>
      <c r="RYM72" s="171">
        <f>SUM(RYK72:RYL72)</f>
        <v>8875</v>
      </c>
      <c r="RYN72" s="163" t="s">
        <v>114</v>
      </c>
      <c r="RYO72" s="164">
        <v>45845</v>
      </c>
      <c r="RYP72" s="159" t="s">
        <v>42</v>
      </c>
      <c r="RYQ72" s="354"/>
      <c r="RYR72" s="165" t="s">
        <v>124</v>
      </c>
      <c r="RYS72" s="352"/>
      <c r="RYT72" s="353"/>
      <c r="RYU72" s="159" t="s">
        <v>24</v>
      </c>
      <c r="RYV72" s="160">
        <v>8150</v>
      </c>
      <c r="RYW72" s="169">
        <v>85</v>
      </c>
      <c r="RYX72" s="170">
        <v>215</v>
      </c>
      <c r="RYY72" s="170">
        <v>75</v>
      </c>
      <c r="RYZ72" s="169">
        <v>150</v>
      </c>
      <c r="RZA72" s="171">
        <f>SUM(RYV72:RYZ72)</f>
        <v>8675</v>
      </c>
      <c r="RZB72" s="169">
        <v>200</v>
      </c>
      <c r="RZC72" s="171">
        <f>SUM(RZA72:RZB72)</f>
        <v>8875</v>
      </c>
      <c r="RZD72" s="163" t="s">
        <v>114</v>
      </c>
      <c r="RZE72" s="164">
        <v>45845</v>
      </c>
      <c r="RZF72" s="159" t="s">
        <v>42</v>
      </c>
      <c r="RZG72" s="354"/>
      <c r="RZH72" s="165" t="s">
        <v>124</v>
      </c>
      <c r="RZI72" s="352"/>
      <c r="RZJ72" s="353"/>
      <c r="RZK72" s="159" t="s">
        <v>24</v>
      </c>
      <c r="RZL72" s="160">
        <v>8150</v>
      </c>
      <c r="RZM72" s="169">
        <v>85</v>
      </c>
      <c r="RZN72" s="170">
        <v>215</v>
      </c>
      <c r="RZO72" s="170">
        <v>75</v>
      </c>
      <c r="RZP72" s="169">
        <v>150</v>
      </c>
      <c r="RZQ72" s="171">
        <f>SUM(RZL72:RZP72)</f>
        <v>8675</v>
      </c>
      <c r="RZR72" s="169">
        <v>200</v>
      </c>
      <c r="RZS72" s="171">
        <f>SUM(RZQ72:RZR72)</f>
        <v>8875</v>
      </c>
      <c r="RZT72" s="163" t="s">
        <v>114</v>
      </c>
      <c r="RZU72" s="164">
        <v>45845</v>
      </c>
      <c r="RZV72" s="159" t="s">
        <v>42</v>
      </c>
      <c r="RZW72" s="354"/>
      <c r="RZX72" s="165" t="s">
        <v>124</v>
      </c>
      <c r="RZY72" s="352"/>
      <c r="RZZ72" s="353"/>
      <c r="SAA72" s="159" t="s">
        <v>24</v>
      </c>
      <c r="SAB72" s="160">
        <v>8150</v>
      </c>
      <c r="SAC72" s="169">
        <v>85</v>
      </c>
      <c r="SAD72" s="170">
        <v>215</v>
      </c>
      <c r="SAE72" s="170">
        <v>75</v>
      </c>
      <c r="SAF72" s="169">
        <v>150</v>
      </c>
      <c r="SAG72" s="171">
        <f>SUM(SAB72:SAF72)</f>
        <v>8675</v>
      </c>
      <c r="SAH72" s="169">
        <v>200</v>
      </c>
      <c r="SAI72" s="171">
        <f>SUM(SAG72:SAH72)</f>
        <v>8875</v>
      </c>
      <c r="SAJ72" s="163" t="s">
        <v>114</v>
      </c>
      <c r="SAK72" s="164">
        <v>45845</v>
      </c>
      <c r="SAL72" s="159" t="s">
        <v>42</v>
      </c>
      <c r="SAM72" s="354"/>
      <c r="SAN72" s="165" t="s">
        <v>124</v>
      </c>
      <c r="SAO72" s="352"/>
      <c r="SAP72" s="353"/>
      <c r="SAQ72" s="159" t="s">
        <v>24</v>
      </c>
      <c r="SAR72" s="160">
        <v>8150</v>
      </c>
      <c r="SAS72" s="169">
        <v>85</v>
      </c>
      <c r="SAT72" s="170">
        <v>215</v>
      </c>
      <c r="SAU72" s="170">
        <v>75</v>
      </c>
      <c r="SAV72" s="169">
        <v>150</v>
      </c>
      <c r="SAW72" s="171">
        <f>SUM(SAR72:SAV72)</f>
        <v>8675</v>
      </c>
      <c r="SAX72" s="169">
        <v>200</v>
      </c>
      <c r="SAY72" s="171">
        <f>SUM(SAW72:SAX72)</f>
        <v>8875</v>
      </c>
      <c r="SAZ72" s="163" t="s">
        <v>114</v>
      </c>
      <c r="SBA72" s="164">
        <v>45845</v>
      </c>
      <c r="SBB72" s="159" t="s">
        <v>42</v>
      </c>
      <c r="SBC72" s="354"/>
      <c r="SBD72" s="165" t="s">
        <v>124</v>
      </c>
      <c r="SBE72" s="352"/>
      <c r="SBF72" s="353"/>
      <c r="SBG72" s="159" t="s">
        <v>24</v>
      </c>
      <c r="SBH72" s="160">
        <v>8150</v>
      </c>
      <c r="SBI72" s="169">
        <v>85</v>
      </c>
      <c r="SBJ72" s="170">
        <v>215</v>
      </c>
      <c r="SBK72" s="170">
        <v>75</v>
      </c>
      <c r="SBL72" s="169">
        <v>150</v>
      </c>
      <c r="SBM72" s="171">
        <f>SUM(SBH72:SBL72)</f>
        <v>8675</v>
      </c>
      <c r="SBN72" s="169">
        <v>200</v>
      </c>
      <c r="SBO72" s="171">
        <f>SUM(SBM72:SBN72)</f>
        <v>8875</v>
      </c>
      <c r="SBP72" s="163" t="s">
        <v>114</v>
      </c>
      <c r="SBQ72" s="164">
        <v>45845</v>
      </c>
      <c r="SBR72" s="159" t="s">
        <v>42</v>
      </c>
      <c r="SBS72" s="354"/>
      <c r="SBT72" s="165" t="s">
        <v>124</v>
      </c>
      <c r="SBU72" s="352"/>
      <c r="SBV72" s="353"/>
      <c r="SBW72" s="159" t="s">
        <v>24</v>
      </c>
      <c r="SBX72" s="160">
        <v>8150</v>
      </c>
      <c r="SBY72" s="169">
        <v>85</v>
      </c>
      <c r="SBZ72" s="170">
        <v>215</v>
      </c>
      <c r="SCA72" s="170">
        <v>75</v>
      </c>
      <c r="SCB72" s="169">
        <v>150</v>
      </c>
      <c r="SCC72" s="171">
        <f>SUM(SBX72:SCB72)</f>
        <v>8675</v>
      </c>
      <c r="SCD72" s="169">
        <v>200</v>
      </c>
      <c r="SCE72" s="171">
        <f>SUM(SCC72:SCD72)</f>
        <v>8875</v>
      </c>
      <c r="SCF72" s="163" t="s">
        <v>114</v>
      </c>
      <c r="SCG72" s="164">
        <v>45845</v>
      </c>
      <c r="SCH72" s="159" t="s">
        <v>42</v>
      </c>
      <c r="SCI72" s="354"/>
      <c r="SCJ72" s="165" t="s">
        <v>124</v>
      </c>
      <c r="SCK72" s="352"/>
      <c r="SCL72" s="353"/>
      <c r="SCM72" s="159" t="s">
        <v>24</v>
      </c>
      <c r="SCN72" s="160">
        <v>8150</v>
      </c>
      <c r="SCO72" s="169">
        <v>85</v>
      </c>
      <c r="SCP72" s="170">
        <v>215</v>
      </c>
      <c r="SCQ72" s="170">
        <v>75</v>
      </c>
      <c r="SCR72" s="169">
        <v>150</v>
      </c>
      <c r="SCS72" s="171">
        <f>SUM(SCN72:SCR72)</f>
        <v>8675</v>
      </c>
      <c r="SCT72" s="169">
        <v>200</v>
      </c>
      <c r="SCU72" s="171">
        <f>SUM(SCS72:SCT72)</f>
        <v>8875</v>
      </c>
      <c r="SCV72" s="163" t="s">
        <v>114</v>
      </c>
      <c r="SCW72" s="164">
        <v>45845</v>
      </c>
      <c r="SCX72" s="159" t="s">
        <v>42</v>
      </c>
      <c r="SCY72" s="354"/>
      <c r="SCZ72" s="165" t="s">
        <v>124</v>
      </c>
      <c r="SDA72" s="352"/>
      <c r="SDB72" s="353"/>
      <c r="SDC72" s="159" t="s">
        <v>24</v>
      </c>
      <c r="SDD72" s="160">
        <v>8150</v>
      </c>
      <c r="SDE72" s="169">
        <v>85</v>
      </c>
      <c r="SDF72" s="170">
        <v>215</v>
      </c>
      <c r="SDG72" s="170">
        <v>75</v>
      </c>
      <c r="SDH72" s="169">
        <v>150</v>
      </c>
      <c r="SDI72" s="171">
        <f>SUM(SDD72:SDH72)</f>
        <v>8675</v>
      </c>
      <c r="SDJ72" s="169">
        <v>200</v>
      </c>
      <c r="SDK72" s="171">
        <f>SUM(SDI72:SDJ72)</f>
        <v>8875</v>
      </c>
      <c r="SDL72" s="163" t="s">
        <v>114</v>
      </c>
      <c r="SDM72" s="164">
        <v>45845</v>
      </c>
      <c r="SDN72" s="159" t="s">
        <v>42</v>
      </c>
      <c r="SDO72" s="354"/>
      <c r="SDP72" s="165" t="s">
        <v>124</v>
      </c>
      <c r="SDQ72" s="352"/>
      <c r="SDR72" s="353"/>
      <c r="SDS72" s="159" t="s">
        <v>24</v>
      </c>
      <c r="SDT72" s="160">
        <v>8150</v>
      </c>
      <c r="SDU72" s="169">
        <v>85</v>
      </c>
      <c r="SDV72" s="170">
        <v>215</v>
      </c>
      <c r="SDW72" s="170">
        <v>75</v>
      </c>
      <c r="SDX72" s="169">
        <v>150</v>
      </c>
      <c r="SDY72" s="171">
        <f>SUM(SDT72:SDX72)</f>
        <v>8675</v>
      </c>
      <c r="SDZ72" s="169">
        <v>200</v>
      </c>
      <c r="SEA72" s="171">
        <f>SUM(SDY72:SDZ72)</f>
        <v>8875</v>
      </c>
      <c r="SEB72" s="163" t="s">
        <v>114</v>
      </c>
      <c r="SEC72" s="164">
        <v>45845</v>
      </c>
      <c r="SED72" s="159" t="s">
        <v>42</v>
      </c>
      <c r="SEE72" s="354"/>
      <c r="SEF72" s="165" t="s">
        <v>124</v>
      </c>
      <c r="SEG72" s="352"/>
      <c r="SEH72" s="353"/>
      <c r="SEI72" s="159" t="s">
        <v>24</v>
      </c>
      <c r="SEJ72" s="160">
        <v>8150</v>
      </c>
      <c r="SEK72" s="169">
        <v>85</v>
      </c>
      <c r="SEL72" s="170">
        <v>215</v>
      </c>
      <c r="SEM72" s="170">
        <v>75</v>
      </c>
      <c r="SEN72" s="169">
        <v>150</v>
      </c>
      <c r="SEO72" s="171">
        <f>SUM(SEJ72:SEN72)</f>
        <v>8675</v>
      </c>
      <c r="SEP72" s="169">
        <v>200</v>
      </c>
      <c r="SEQ72" s="171">
        <f>SUM(SEO72:SEP72)</f>
        <v>8875</v>
      </c>
      <c r="SER72" s="163" t="s">
        <v>114</v>
      </c>
      <c r="SES72" s="164">
        <v>45845</v>
      </c>
      <c r="SET72" s="159" t="s">
        <v>42</v>
      </c>
      <c r="SEU72" s="354"/>
      <c r="SEV72" s="165" t="s">
        <v>124</v>
      </c>
      <c r="SEW72" s="352"/>
      <c r="SEX72" s="353"/>
      <c r="SEY72" s="159" t="s">
        <v>24</v>
      </c>
      <c r="SEZ72" s="160">
        <v>8150</v>
      </c>
      <c r="SFA72" s="169">
        <v>85</v>
      </c>
      <c r="SFB72" s="170">
        <v>215</v>
      </c>
      <c r="SFC72" s="170">
        <v>75</v>
      </c>
      <c r="SFD72" s="169">
        <v>150</v>
      </c>
      <c r="SFE72" s="171">
        <f>SUM(SEZ72:SFD72)</f>
        <v>8675</v>
      </c>
      <c r="SFF72" s="169">
        <v>200</v>
      </c>
      <c r="SFG72" s="171">
        <f>SUM(SFE72:SFF72)</f>
        <v>8875</v>
      </c>
      <c r="SFH72" s="163" t="s">
        <v>114</v>
      </c>
      <c r="SFI72" s="164">
        <v>45845</v>
      </c>
      <c r="SFJ72" s="159" t="s">
        <v>42</v>
      </c>
      <c r="SFK72" s="354"/>
      <c r="SFL72" s="165" t="s">
        <v>124</v>
      </c>
      <c r="SFM72" s="352"/>
      <c r="SFN72" s="353"/>
      <c r="SFO72" s="159" t="s">
        <v>24</v>
      </c>
      <c r="SFP72" s="160">
        <v>8150</v>
      </c>
      <c r="SFQ72" s="169">
        <v>85</v>
      </c>
      <c r="SFR72" s="170">
        <v>215</v>
      </c>
      <c r="SFS72" s="170">
        <v>75</v>
      </c>
      <c r="SFT72" s="169">
        <v>150</v>
      </c>
      <c r="SFU72" s="171">
        <f>SUM(SFP72:SFT72)</f>
        <v>8675</v>
      </c>
      <c r="SFV72" s="169">
        <v>200</v>
      </c>
      <c r="SFW72" s="171">
        <f>SUM(SFU72:SFV72)</f>
        <v>8875</v>
      </c>
      <c r="SFX72" s="163" t="s">
        <v>114</v>
      </c>
      <c r="SFY72" s="164">
        <v>45845</v>
      </c>
      <c r="SFZ72" s="159" t="s">
        <v>42</v>
      </c>
      <c r="SGA72" s="354"/>
      <c r="SGB72" s="165" t="s">
        <v>124</v>
      </c>
      <c r="SGC72" s="352"/>
      <c r="SGD72" s="353"/>
      <c r="SGE72" s="159" t="s">
        <v>24</v>
      </c>
      <c r="SGF72" s="160">
        <v>8150</v>
      </c>
      <c r="SGG72" s="169">
        <v>85</v>
      </c>
      <c r="SGH72" s="170">
        <v>215</v>
      </c>
      <c r="SGI72" s="170">
        <v>75</v>
      </c>
      <c r="SGJ72" s="169">
        <v>150</v>
      </c>
      <c r="SGK72" s="171">
        <f>SUM(SGF72:SGJ72)</f>
        <v>8675</v>
      </c>
      <c r="SGL72" s="169">
        <v>200</v>
      </c>
      <c r="SGM72" s="171">
        <f>SUM(SGK72:SGL72)</f>
        <v>8875</v>
      </c>
      <c r="SGN72" s="163" t="s">
        <v>114</v>
      </c>
      <c r="SGO72" s="164">
        <v>45845</v>
      </c>
      <c r="SGP72" s="159" t="s">
        <v>42</v>
      </c>
      <c r="SGQ72" s="354"/>
      <c r="SGR72" s="165" t="s">
        <v>124</v>
      </c>
      <c r="SGS72" s="352"/>
      <c r="SGT72" s="353"/>
      <c r="SGU72" s="159" t="s">
        <v>24</v>
      </c>
      <c r="SGV72" s="160">
        <v>8150</v>
      </c>
      <c r="SGW72" s="169">
        <v>85</v>
      </c>
      <c r="SGX72" s="170">
        <v>215</v>
      </c>
      <c r="SGY72" s="170">
        <v>75</v>
      </c>
      <c r="SGZ72" s="169">
        <v>150</v>
      </c>
      <c r="SHA72" s="171">
        <f>SUM(SGV72:SGZ72)</f>
        <v>8675</v>
      </c>
      <c r="SHB72" s="169">
        <v>200</v>
      </c>
      <c r="SHC72" s="171">
        <f>SUM(SHA72:SHB72)</f>
        <v>8875</v>
      </c>
      <c r="SHD72" s="163" t="s">
        <v>114</v>
      </c>
      <c r="SHE72" s="164">
        <v>45845</v>
      </c>
      <c r="SHF72" s="159" t="s">
        <v>42</v>
      </c>
      <c r="SHG72" s="354"/>
      <c r="SHH72" s="165" t="s">
        <v>124</v>
      </c>
      <c r="SHI72" s="352"/>
      <c r="SHJ72" s="353"/>
      <c r="SHK72" s="159" t="s">
        <v>24</v>
      </c>
      <c r="SHL72" s="160">
        <v>8150</v>
      </c>
      <c r="SHM72" s="169">
        <v>85</v>
      </c>
      <c r="SHN72" s="170">
        <v>215</v>
      </c>
      <c r="SHO72" s="170">
        <v>75</v>
      </c>
      <c r="SHP72" s="169">
        <v>150</v>
      </c>
      <c r="SHQ72" s="171">
        <f>SUM(SHL72:SHP72)</f>
        <v>8675</v>
      </c>
      <c r="SHR72" s="169">
        <v>200</v>
      </c>
      <c r="SHS72" s="171">
        <f>SUM(SHQ72:SHR72)</f>
        <v>8875</v>
      </c>
      <c r="SHT72" s="163" t="s">
        <v>114</v>
      </c>
      <c r="SHU72" s="164">
        <v>45845</v>
      </c>
      <c r="SHV72" s="159" t="s">
        <v>42</v>
      </c>
      <c r="SHW72" s="354"/>
      <c r="SHX72" s="165" t="s">
        <v>124</v>
      </c>
      <c r="SHY72" s="352"/>
      <c r="SHZ72" s="353"/>
      <c r="SIA72" s="159" t="s">
        <v>24</v>
      </c>
      <c r="SIB72" s="160">
        <v>8150</v>
      </c>
      <c r="SIC72" s="169">
        <v>85</v>
      </c>
      <c r="SID72" s="170">
        <v>215</v>
      </c>
      <c r="SIE72" s="170">
        <v>75</v>
      </c>
      <c r="SIF72" s="169">
        <v>150</v>
      </c>
      <c r="SIG72" s="171">
        <f>SUM(SIB72:SIF72)</f>
        <v>8675</v>
      </c>
      <c r="SIH72" s="169">
        <v>200</v>
      </c>
      <c r="SII72" s="171">
        <f>SUM(SIG72:SIH72)</f>
        <v>8875</v>
      </c>
      <c r="SIJ72" s="163" t="s">
        <v>114</v>
      </c>
      <c r="SIK72" s="164">
        <v>45845</v>
      </c>
      <c r="SIL72" s="159" t="s">
        <v>42</v>
      </c>
      <c r="SIM72" s="354"/>
      <c r="SIN72" s="165" t="s">
        <v>124</v>
      </c>
      <c r="SIO72" s="352"/>
      <c r="SIP72" s="353"/>
      <c r="SIQ72" s="159" t="s">
        <v>24</v>
      </c>
      <c r="SIR72" s="160">
        <v>8150</v>
      </c>
      <c r="SIS72" s="169">
        <v>85</v>
      </c>
      <c r="SIT72" s="170">
        <v>215</v>
      </c>
      <c r="SIU72" s="170">
        <v>75</v>
      </c>
      <c r="SIV72" s="169">
        <v>150</v>
      </c>
      <c r="SIW72" s="171">
        <f>SUM(SIR72:SIV72)</f>
        <v>8675</v>
      </c>
      <c r="SIX72" s="169">
        <v>200</v>
      </c>
      <c r="SIY72" s="171">
        <f>SUM(SIW72:SIX72)</f>
        <v>8875</v>
      </c>
      <c r="SIZ72" s="163" t="s">
        <v>114</v>
      </c>
      <c r="SJA72" s="164">
        <v>45845</v>
      </c>
      <c r="SJB72" s="159" t="s">
        <v>42</v>
      </c>
      <c r="SJC72" s="354"/>
      <c r="SJD72" s="165" t="s">
        <v>124</v>
      </c>
      <c r="SJE72" s="352"/>
      <c r="SJF72" s="353"/>
      <c r="SJG72" s="159" t="s">
        <v>24</v>
      </c>
      <c r="SJH72" s="160">
        <v>8150</v>
      </c>
      <c r="SJI72" s="169">
        <v>85</v>
      </c>
      <c r="SJJ72" s="170">
        <v>215</v>
      </c>
      <c r="SJK72" s="170">
        <v>75</v>
      </c>
      <c r="SJL72" s="169">
        <v>150</v>
      </c>
      <c r="SJM72" s="171">
        <f>SUM(SJH72:SJL72)</f>
        <v>8675</v>
      </c>
      <c r="SJN72" s="169">
        <v>200</v>
      </c>
      <c r="SJO72" s="171">
        <f>SUM(SJM72:SJN72)</f>
        <v>8875</v>
      </c>
      <c r="SJP72" s="163" t="s">
        <v>114</v>
      </c>
      <c r="SJQ72" s="164">
        <v>45845</v>
      </c>
      <c r="SJR72" s="159" t="s">
        <v>42</v>
      </c>
      <c r="SJS72" s="354"/>
      <c r="SJT72" s="165" t="s">
        <v>124</v>
      </c>
      <c r="SJU72" s="352"/>
      <c r="SJV72" s="353"/>
      <c r="SJW72" s="159" t="s">
        <v>24</v>
      </c>
      <c r="SJX72" s="160">
        <v>8150</v>
      </c>
      <c r="SJY72" s="169">
        <v>85</v>
      </c>
      <c r="SJZ72" s="170">
        <v>215</v>
      </c>
      <c r="SKA72" s="170">
        <v>75</v>
      </c>
      <c r="SKB72" s="169">
        <v>150</v>
      </c>
      <c r="SKC72" s="171">
        <f>SUM(SJX72:SKB72)</f>
        <v>8675</v>
      </c>
      <c r="SKD72" s="169">
        <v>200</v>
      </c>
      <c r="SKE72" s="171">
        <f>SUM(SKC72:SKD72)</f>
        <v>8875</v>
      </c>
      <c r="SKF72" s="163" t="s">
        <v>114</v>
      </c>
      <c r="SKG72" s="164">
        <v>45845</v>
      </c>
      <c r="SKH72" s="159" t="s">
        <v>42</v>
      </c>
      <c r="SKI72" s="354"/>
      <c r="SKJ72" s="165" t="s">
        <v>124</v>
      </c>
      <c r="SKK72" s="352"/>
      <c r="SKL72" s="353"/>
      <c r="SKM72" s="159" t="s">
        <v>24</v>
      </c>
      <c r="SKN72" s="160">
        <v>8150</v>
      </c>
      <c r="SKO72" s="169">
        <v>85</v>
      </c>
      <c r="SKP72" s="170">
        <v>215</v>
      </c>
      <c r="SKQ72" s="170">
        <v>75</v>
      </c>
      <c r="SKR72" s="169">
        <v>150</v>
      </c>
      <c r="SKS72" s="171">
        <f>SUM(SKN72:SKR72)</f>
        <v>8675</v>
      </c>
      <c r="SKT72" s="169">
        <v>200</v>
      </c>
      <c r="SKU72" s="171">
        <f>SUM(SKS72:SKT72)</f>
        <v>8875</v>
      </c>
      <c r="SKV72" s="163" t="s">
        <v>114</v>
      </c>
      <c r="SKW72" s="164">
        <v>45845</v>
      </c>
      <c r="SKX72" s="159" t="s">
        <v>42</v>
      </c>
      <c r="SKY72" s="354"/>
      <c r="SKZ72" s="165" t="s">
        <v>124</v>
      </c>
      <c r="SLA72" s="352"/>
      <c r="SLB72" s="353"/>
      <c r="SLC72" s="159" t="s">
        <v>24</v>
      </c>
      <c r="SLD72" s="160">
        <v>8150</v>
      </c>
      <c r="SLE72" s="169">
        <v>85</v>
      </c>
      <c r="SLF72" s="170">
        <v>215</v>
      </c>
      <c r="SLG72" s="170">
        <v>75</v>
      </c>
      <c r="SLH72" s="169">
        <v>150</v>
      </c>
      <c r="SLI72" s="171">
        <f>SUM(SLD72:SLH72)</f>
        <v>8675</v>
      </c>
      <c r="SLJ72" s="169">
        <v>200</v>
      </c>
      <c r="SLK72" s="171">
        <f>SUM(SLI72:SLJ72)</f>
        <v>8875</v>
      </c>
      <c r="SLL72" s="163" t="s">
        <v>114</v>
      </c>
      <c r="SLM72" s="164">
        <v>45845</v>
      </c>
      <c r="SLN72" s="159" t="s">
        <v>42</v>
      </c>
      <c r="SLO72" s="354"/>
      <c r="SLP72" s="165" t="s">
        <v>124</v>
      </c>
      <c r="SLQ72" s="352"/>
      <c r="SLR72" s="353"/>
      <c r="SLS72" s="159" t="s">
        <v>24</v>
      </c>
      <c r="SLT72" s="160">
        <v>8150</v>
      </c>
      <c r="SLU72" s="169">
        <v>85</v>
      </c>
      <c r="SLV72" s="170">
        <v>215</v>
      </c>
      <c r="SLW72" s="170">
        <v>75</v>
      </c>
      <c r="SLX72" s="169">
        <v>150</v>
      </c>
      <c r="SLY72" s="171">
        <f>SUM(SLT72:SLX72)</f>
        <v>8675</v>
      </c>
      <c r="SLZ72" s="169">
        <v>200</v>
      </c>
      <c r="SMA72" s="171">
        <f>SUM(SLY72:SLZ72)</f>
        <v>8875</v>
      </c>
      <c r="SMB72" s="163" t="s">
        <v>114</v>
      </c>
      <c r="SMC72" s="164">
        <v>45845</v>
      </c>
      <c r="SMD72" s="159" t="s">
        <v>42</v>
      </c>
      <c r="SME72" s="354"/>
      <c r="SMF72" s="165" t="s">
        <v>124</v>
      </c>
      <c r="SMG72" s="352"/>
      <c r="SMH72" s="353"/>
      <c r="SMI72" s="159" t="s">
        <v>24</v>
      </c>
      <c r="SMJ72" s="160">
        <v>8150</v>
      </c>
      <c r="SMK72" s="169">
        <v>85</v>
      </c>
      <c r="SML72" s="170">
        <v>215</v>
      </c>
      <c r="SMM72" s="170">
        <v>75</v>
      </c>
      <c r="SMN72" s="169">
        <v>150</v>
      </c>
      <c r="SMO72" s="171">
        <f>SUM(SMJ72:SMN72)</f>
        <v>8675</v>
      </c>
      <c r="SMP72" s="169">
        <v>200</v>
      </c>
      <c r="SMQ72" s="171">
        <f>SUM(SMO72:SMP72)</f>
        <v>8875</v>
      </c>
      <c r="SMR72" s="163" t="s">
        <v>114</v>
      </c>
      <c r="SMS72" s="164">
        <v>45845</v>
      </c>
      <c r="SMT72" s="159" t="s">
        <v>42</v>
      </c>
      <c r="SMU72" s="354"/>
      <c r="SMV72" s="165" t="s">
        <v>124</v>
      </c>
      <c r="SMW72" s="352"/>
      <c r="SMX72" s="353"/>
      <c r="SMY72" s="159" t="s">
        <v>24</v>
      </c>
      <c r="SMZ72" s="160">
        <v>8150</v>
      </c>
      <c r="SNA72" s="169">
        <v>85</v>
      </c>
      <c r="SNB72" s="170">
        <v>215</v>
      </c>
      <c r="SNC72" s="170">
        <v>75</v>
      </c>
      <c r="SND72" s="169">
        <v>150</v>
      </c>
      <c r="SNE72" s="171">
        <f>SUM(SMZ72:SND72)</f>
        <v>8675</v>
      </c>
      <c r="SNF72" s="169">
        <v>200</v>
      </c>
      <c r="SNG72" s="171">
        <f>SUM(SNE72:SNF72)</f>
        <v>8875</v>
      </c>
      <c r="SNH72" s="163" t="s">
        <v>114</v>
      </c>
      <c r="SNI72" s="164">
        <v>45845</v>
      </c>
      <c r="SNJ72" s="159" t="s">
        <v>42</v>
      </c>
      <c r="SNK72" s="354"/>
      <c r="SNL72" s="165" t="s">
        <v>124</v>
      </c>
      <c r="SNM72" s="352"/>
      <c r="SNN72" s="353"/>
      <c r="SNO72" s="159" t="s">
        <v>24</v>
      </c>
      <c r="SNP72" s="160">
        <v>8150</v>
      </c>
      <c r="SNQ72" s="169">
        <v>85</v>
      </c>
      <c r="SNR72" s="170">
        <v>215</v>
      </c>
      <c r="SNS72" s="170">
        <v>75</v>
      </c>
      <c r="SNT72" s="169">
        <v>150</v>
      </c>
      <c r="SNU72" s="171">
        <f>SUM(SNP72:SNT72)</f>
        <v>8675</v>
      </c>
      <c r="SNV72" s="169">
        <v>200</v>
      </c>
      <c r="SNW72" s="171">
        <f>SUM(SNU72:SNV72)</f>
        <v>8875</v>
      </c>
      <c r="SNX72" s="163" t="s">
        <v>114</v>
      </c>
      <c r="SNY72" s="164">
        <v>45845</v>
      </c>
      <c r="SNZ72" s="159" t="s">
        <v>42</v>
      </c>
      <c r="SOA72" s="354"/>
      <c r="SOB72" s="165" t="s">
        <v>124</v>
      </c>
      <c r="SOC72" s="352"/>
      <c r="SOD72" s="353"/>
      <c r="SOE72" s="159" t="s">
        <v>24</v>
      </c>
      <c r="SOF72" s="160">
        <v>8150</v>
      </c>
      <c r="SOG72" s="169">
        <v>85</v>
      </c>
      <c r="SOH72" s="170">
        <v>215</v>
      </c>
      <c r="SOI72" s="170">
        <v>75</v>
      </c>
      <c r="SOJ72" s="169">
        <v>150</v>
      </c>
      <c r="SOK72" s="171">
        <f>SUM(SOF72:SOJ72)</f>
        <v>8675</v>
      </c>
      <c r="SOL72" s="169">
        <v>200</v>
      </c>
      <c r="SOM72" s="171">
        <f>SUM(SOK72:SOL72)</f>
        <v>8875</v>
      </c>
      <c r="SON72" s="163" t="s">
        <v>114</v>
      </c>
      <c r="SOO72" s="164">
        <v>45845</v>
      </c>
      <c r="SOP72" s="159" t="s">
        <v>42</v>
      </c>
      <c r="SOQ72" s="354"/>
      <c r="SOR72" s="165" t="s">
        <v>124</v>
      </c>
      <c r="SOS72" s="352"/>
      <c r="SOT72" s="353"/>
      <c r="SOU72" s="159" t="s">
        <v>24</v>
      </c>
      <c r="SOV72" s="160">
        <v>8150</v>
      </c>
      <c r="SOW72" s="169">
        <v>85</v>
      </c>
      <c r="SOX72" s="170">
        <v>215</v>
      </c>
      <c r="SOY72" s="170">
        <v>75</v>
      </c>
      <c r="SOZ72" s="169">
        <v>150</v>
      </c>
      <c r="SPA72" s="171">
        <f>SUM(SOV72:SOZ72)</f>
        <v>8675</v>
      </c>
      <c r="SPB72" s="169">
        <v>200</v>
      </c>
      <c r="SPC72" s="171">
        <f>SUM(SPA72:SPB72)</f>
        <v>8875</v>
      </c>
      <c r="SPD72" s="163" t="s">
        <v>114</v>
      </c>
      <c r="SPE72" s="164">
        <v>45845</v>
      </c>
      <c r="SPF72" s="159" t="s">
        <v>42</v>
      </c>
      <c r="SPG72" s="354"/>
      <c r="SPH72" s="165" t="s">
        <v>124</v>
      </c>
      <c r="SPI72" s="352"/>
      <c r="SPJ72" s="353"/>
      <c r="SPK72" s="159" t="s">
        <v>24</v>
      </c>
      <c r="SPL72" s="160">
        <v>8150</v>
      </c>
      <c r="SPM72" s="169">
        <v>85</v>
      </c>
      <c r="SPN72" s="170">
        <v>215</v>
      </c>
      <c r="SPO72" s="170">
        <v>75</v>
      </c>
      <c r="SPP72" s="169">
        <v>150</v>
      </c>
      <c r="SPQ72" s="171">
        <f>SUM(SPL72:SPP72)</f>
        <v>8675</v>
      </c>
      <c r="SPR72" s="169">
        <v>200</v>
      </c>
      <c r="SPS72" s="171">
        <f>SUM(SPQ72:SPR72)</f>
        <v>8875</v>
      </c>
      <c r="SPT72" s="163" t="s">
        <v>114</v>
      </c>
      <c r="SPU72" s="164">
        <v>45845</v>
      </c>
      <c r="SPV72" s="159" t="s">
        <v>42</v>
      </c>
      <c r="SPW72" s="354"/>
      <c r="SPX72" s="165" t="s">
        <v>124</v>
      </c>
      <c r="SPY72" s="352"/>
      <c r="SPZ72" s="353"/>
      <c r="SQA72" s="159" t="s">
        <v>24</v>
      </c>
      <c r="SQB72" s="160">
        <v>8150</v>
      </c>
      <c r="SQC72" s="169">
        <v>85</v>
      </c>
      <c r="SQD72" s="170">
        <v>215</v>
      </c>
      <c r="SQE72" s="170">
        <v>75</v>
      </c>
      <c r="SQF72" s="169">
        <v>150</v>
      </c>
      <c r="SQG72" s="171">
        <f>SUM(SQB72:SQF72)</f>
        <v>8675</v>
      </c>
      <c r="SQH72" s="169">
        <v>200</v>
      </c>
      <c r="SQI72" s="171">
        <f>SUM(SQG72:SQH72)</f>
        <v>8875</v>
      </c>
      <c r="SQJ72" s="163" t="s">
        <v>114</v>
      </c>
      <c r="SQK72" s="164">
        <v>45845</v>
      </c>
      <c r="SQL72" s="159" t="s">
        <v>42</v>
      </c>
      <c r="SQM72" s="354"/>
      <c r="SQN72" s="165" t="s">
        <v>124</v>
      </c>
      <c r="SQO72" s="352"/>
      <c r="SQP72" s="353"/>
      <c r="SQQ72" s="159" t="s">
        <v>24</v>
      </c>
      <c r="SQR72" s="160">
        <v>8150</v>
      </c>
      <c r="SQS72" s="169">
        <v>85</v>
      </c>
      <c r="SQT72" s="170">
        <v>215</v>
      </c>
      <c r="SQU72" s="170">
        <v>75</v>
      </c>
      <c r="SQV72" s="169">
        <v>150</v>
      </c>
      <c r="SQW72" s="171">
        <f>SUM(SQR72:SQV72)</f>
        <v>8675</v>
      </c>
      <c r="SQX72" s="169">
        <v>200</v>
      </c>
      <c r="SQY72" s="171">
        <f>SUM(SQW72:SQX72)</f>
        <v>8875</v>
      </c>
      <c r="SQZ72" s="163" t="s">
        <v>114</v>
      </c>
      <c r="SRA72" s="164">
        <v>45845</v>
      </c>
      <c r="SRB72" s="159" t="s">
        <v>42</v>
      </c>
      <c r="SRC72" s="354"/>
      <c r="SRD72" s="165" t="s">
        <v>124</v>
      </c>
      <c r="SRE72" s="352"/>
      <c r="SRF72" s="353"/>
      <c r="SRG72" s="159" t="s">
        <v>24</v>
      </c>
      <c r="SRH72" s="160">
        <v>8150</v>
      </c>
      <c r="SRI72" s="169">
        <v>85</v>
      </c>
      <c r="SRJ72" s="170">
        <v>215</v>
      </c>
      <c r="SRK72" s="170">
        <v>75</v>
      </c>
      <c r="SRL72" s="169">
        <v>150</v>
      </c>
      <c r="SRM72" s="171">
        <f>SUM(SRH72:SRL72)</f>
        <v>8675</v>
      </c>
      <c r="SRN72" s="169">
        <v>200</v>
      </c>
      <c r="SRO72" s="171">
        <f>SUM(SRM72:SRN72)</f>
        <v>8875</v>
      </c>
      <c r="SRP72" s="163" t="s">
        <v>114</v>
      </c>
      <c r="SRQ72" s="164">
        <v>45845</v>
      </c>
      <c r="SRR72" s="159" t="s">
        <v>42</v>
      </c>
      <c r="SRS72" s="354"/>
      <c r="SRT72" s="165" t="s">
        <v>124</v>
      </c>
      <c r="SRU72" s="352"/>
      <c r="SRV72" s="353"/>
      <c r="SRW72" s="159" t="s">
        <v>24</v>
      </c>
      <c r="SRX72" s="160">
        <v>8150</v>
      </c>
      <c r="SRY72" s="169">
        <v>85</v>
      </c>
      <c r="SRZ72" s="170">
        <v>215</v>
      </c>
      <c r="SSA72" s="170">
        <v>75</v>
      </c>
      <c r="SSB72" s="169">
        <v>150</v>
      </c>
      <c r="SSC72" s="171">
        <f>SUM(SRX72:SSB72)</f>
        <v>8675</v>
      </c>
      <c r="SSD72" s="169">
        <v>200</v>
      </c>
      <c r="SSE72" s="171">
        <f>SUM(SSC72:SSD72)</f>
        <v>8875</v>
      </c>
      <c r="SSF72" s="163" t="s">
        <v>114</v>
      </c>
      <c r="SSG72" s="164">
        <v>45845</v>
      </c>
      <c r="SSH72" s="159" t="s">
        <v>42</v>
      </c>
      <c r="SSI72" s="354"/>
      <c r="SSJ72" s="165" t="s">
        <v>124</v>
      </c>
      <c r="SSK72" s="352"/>
      <c r="SSL72" s="353"/>
      <c r="SSM72" s="159" t="s">
        <v>24</v>
      </c>
      <c r="SSN72" s="160">
        <v>8150</v>
      </c>
      <c r="SSO72" s="169">
        <v>85</v>
      </c>
      <c r="SSP72" s="170">
        <v>215</v>
      </c>
      <c r="SSQ72" s="170">
        <v>75</v>
      </c>
      <c r="SSR72" s="169">
        <v>150</v>
      </c>
      <c r="SSS72" s="171">
        <f>SUM(SSN72:SSR72)</f>
        <v>8675</v>
      </c>
      <c r="SST72" s="169">
        <v>200</v>
      </c>
      <c r="SSU72" s="171">
        <f>SUM(SSS72:SST72)</f>
        <v>8875</v>
      </c>
      <c r="SSV72" s="163" t="s">
        <v>114</v>
      </c>
      <c r="SSW72" s="164">
        <v>45845</v>
      </c>
      <c r="SSX72" s="159" t="s">
        <v>42</v>
      </c>
      <c r="SSY72" s="354"/>
      <c r="SSZ72" s="165" t="s">
        <v>124</v>
      </c>
      <c r="STA72" s="352"/>
      <c r="STB72" s="353"/>
      <c r="STC72" s="159" t="s">
        <v>24</v>
      </c>
      <c r="STD72" s="160">
        <v>8150</v>
      </c>
      <c r="STE72" s="169">
        <v>85</v>
      </c>
      <c r="STF72" s="170">
        <v>215</v>
      </c>
      <c r="STG72" s="170">
        <v>75</v>
      </c>
      <c r="STH72" s="169">
        <v>150</v>
      </c>
      <c r="STI72" s="171">
        <f>SUM(STD72:STH72)</f>
        <v>8675</v>
      </c>
      <c r="STJ72" s="169">
        <v>200</v>
      </c>
      <c r="STK72" s="171">
        <f>SUM(STI72:STJ72)</f>
        <v>8875</v>
      </c>
      <c r="STL72" s="163" t="s">
        <v>114</v>
      </c>
      <c r="STM72" s="164">
        <v>45845</v>
      </c>
      <c r="STN72" s="159" t="s">
        <v>42</v>
      </c>
      <c r="STO72" s="354"/>
      <c r="STP72" s="165" t="s">
        <v>124</v>
      </c>
      <c r="STQ72" s="352"/>
      <c r="STR72" s="353"/>
      <c r="STS72" s="159" t="s">
        <v>24</v>
      </c>
      <c r="STT72" s="160">
        <v>8150</v>
      </c>
      <c r="STU72" s="169">
        <v>85</v>
      </c>
      <c r="STV72" s="170">
        <v>215</v>
      </c>
      <c r="STW72" s="170">
        <v>75</v>
      </c>
      <c r="STX72" s="169">
        <v>150</v>
      </c>
      <c r="STY72" s="171">
        <f>SUM(STT72:STX72)</f>
        <v>8675</v>
      </c>
      <c r="STZ72" s="169">
        <v>200</v>
      </c>
      <c r="SUA72" s="171">
        <f>SUM(STY72:STZ72)</f>
        <v>8875</v>
      </c>
      <c r="SUB72" s="163" t="s">
        <v>114</v>
      </c>
      <c r="SUC72" s="164">
        <v>45845</v>
      </c>
      <c r="SUD72" s="159" t="s">
        <v>42</v>
      </c>
      <c r="SUE72" s="354"/>
      <c r="SUF72" s="165" t="s">
        <v>124</v>
      </c>
      <c r="SUG72" s="352"/>
      <c r="SUH72" s="353"/>
      <c r="SUI72" s="159" t="s">
        <v>24</v>
      </c>
      <c r="SUJ72" s="160">
        <v>8150</v>
      </c>
      <c r="SUK72" s="169">
        <v>85</v>
      </c>
      <c r="SUL72" s="170">
        <v>215</v>
      </c>
      <c r="SUM72" s="170">
        <v>75</v>
      </c>
      <c r="SUN72" s="169">
        <v>150</v>
      </c>
      <c r="SUO72" s="171">
        <f>SUM(SUJ72:SUN72)</f>
        <v>8675</v>
      </c>
      <c r="SUP72" s="169">
        <v>200</v>
      </c>
      <c r="SUQ72" s="171">
        <f>SUM(SUO72:SUP72)</f>
        <v>8875</v>
      </c>
      <c r="SUR72" s="163" t="s">
        <v>114</v>
      </c>
      <c r="SUS72" s="164">
        <v>45845</v>
      </c>
      <c r="SUT72" s="159" t="s">
        <v>42</v>
      </c>
      <c r="SUU72" s="354"/>
      <c r="SUV72" s="165" t="s">
        <v>124</v>
      </c>
      <c r="SUW72" s="352"/>
      <c r="SUX72" s="353"/>
      <c r="SUY72" s="159" t="s">
        <v>24</v>
      </c>
      <c r="SUZ72" s="160">
        <v>8150</v>
      </c>
      <c r="SVA72" s="169">
        <v>85</v>
      </c>
      <c r="SVB72" s="170">
        <v>215</v>
      </c>
      <c r="SVC72" s="170">
        <v>75</v>
      </c>
      <c r="SVD72" s="169">
        <v>150</v>
      </c>
      <c r="SVE72" s="171">
        <f>SUM(SUZ72:SVD72)</f>
        <v>8675</v>
      </c>
      <c r="SVF72" s="169">
        <v>200</v>
      </c>
      <c r="SVG72" s="171">
        <f>SUM(SVE72:SVF72)</f>
        <v>8875</v>
      </c>
      <c r="SVH72" s="163" t="s">
        <v>114</v>
      </c>
      <c r="SVI72" s="164">
        <v>45845</v>
      </c>
      <c r="SVJ72" s="159" t="s">
        <v>42</v>
      </c>
      <c r="SVK72" s="354"/>
      <c r="SVL72" s="165" t="s">
        <v>124</v>
      </c>
      <c r="SVM72" s="352"/>
      <c r="SVN72" s="353"/>
      <c r="SVO72" s="159" t="s">
        <v>24</v>
      </c>
      <c r="SVP72" s="160">
        <v>8150</v>
      </c>
      <c r="SVQ72" s="169">
        <v>85</v>
      </c>
      <c r="SVR72" s="170">
        <v>215</v>
      </c>
      <c r="SVS72" s="170">
        <v>75</v>
      </c>
      <c r="SVT72" s="169">
        <v>150</v>
      </c>
      <c r="SVU72" s="171">
        <f>SUM(SVP72:SVT72)</f>
        <v>8675</v>
      </c>
      <c r="SVV72" s="169">
        <v>200</v>
      </c>
      <c r="SVW72" s="171">
        <f>SUM(SVU72:SVV72)</f>
        <v>8875</v>
      </c>
      <c r="SVX72" s="163" t="s">
        <v>114</v>
      </c>
      <c r="SVY72" s="164">
        <v>45845</v>
      </c>
      <c r="SVZ72" s="159" t="s">
        <v>42</v>
      </c>
      <c r="SWA72" s="354"/>
      <c r="SWB72" s="165" t="s">
        <v>124</v>
      </c>
      <c r="SWC72" s="352"/>
      <c r="SWD72" s="353"/>
      <c r="SWE72" s="159" t="s">
        <v>24</v>
      </c>
      <c r="SWF72" s="160">
        <v>8150</v>
      </c>
      <c r="SWG72" s="169">
        <v>85</v>
      </c>
      <c r="SWH72" s="170">
        <v>215</v>
      </c>
      <c r="SWI72" s="170">
        <v>75</v>
      </c>
      <c r="SWJ72" s="169">
        <v>150</v>
      </c>
      <c r="SWK72" s="171">
        <f>SUM(SWF72:SWJ72)</f>
        <v>8675</v>
      </c>
      <c r="SWL72" s="169">
        <v>200</v>
      </c>
      <c r="SWM72" s="171">
        <f>SUM(SWK72:SWL72)</f>
        <v>8875</v>
      </c>
      <c r="SWN72" s="163" t="s">
        <v>114</v>
      </c>
      <c r="SWO72" s="164">
        <v>45845</v>
      </c>
      <c r="SWP72" s="159" t="s">
        <v>42</v>
      </c>
      <c r="SWQ72" s="354"/>
      <c r="SWR72" s="165" t="s">
        <v>124</v>
      </c>
      <c r="SWS72" s="352"/>
      <c r="SWT72" s="353"/>
      <c r="SWU72" s="159" t="s">
        <v>24</v>
      </c>
      <c r="SWV72" s="160">
        <v>8150</v>
      </c>
      <c r="SWW72" s="169">
        <v>85</v>
      </c>
      <c r="SWX72" s="170">
        <v>215</v>
      </c>
      <c r="SWY72" s="170">
        <v>75</v>
      </c>
      <c r="SWZ72" s="169">
        <v>150</v>
      </c>
      <c r="SXA72" s="171">
        <f>SUM(SWV72:SWZ72)</f>
        <v>8675</v>
      </c>
      <c r="SXB72" s="169">
        <v>200</v>
      </c>
      <c r="SXC72" s="171">
        <f>SUM(SXA72:SXB72)</f>
        <v>8875</v>
      </c>
      <c r="SXD72" s="163" t="s">
        <v>114</v>
      </c>
      <c r="SXE72" s="164">
        <v>45845</v>
      </c>
      <c r="SXF72" s="159" t="s">
        <v>42</v>
      </c>
      <c r="SXG72" s="354"/>
      <c r="SXH72" s="165" t="s">
        <v>124</v>
      </c>
      <c r="SXI72" s="352"/>
      <c r="SXJ72" s="353"/>
      <c r="SXK72" s="159" t="s">
        <v>24</v>
      </c>
      <c r="SXL72" s="160">
        <v>8150</v>
      </c>
      <c r="SXM72" s="169">
        <v>85</v>
      </c>
      <c r="SXN72" s="170">
        <v>215</v>
      </c>
      <c r="SXO72" s="170">
        <v>75</v>
      </c>
      <c r="SXP72" s="169">
        <v>150</v>
      </c>
      <c r="SXQ72" s="171">
        <f>SUM(SXL72:SXP72)</f>
        <v>8675</v>
      </c>
      <c r="SXR72" s="169">
        <v>200</v>
      </c>
      <c r="SXS72" s="171">
        <f>SUM(SXQ72:SXR72)</f>
        <v>8875</v>
      </c>
      <c r="SXT72" s="163" t="s">
        <v>114</v>
      </c>
      <c r="SXU72" s="164">
        <v>45845</v>
      </c>
      <c r="SXV72" s="159" t="s">
        <v>42</v>
      </c>
      <c r="SXW72" s="354"/>
      <c r="SXX72" s="165" t="s">
        <v>124</v>
      </c>
      <c r="SXY72" s="352"/>
      <c r="SXZ72" s="353"/>
      <c r="SYA72" s="159" t="s">
        <v>24</v>
      </c>
      <c r="SYB72" s="160">
        <v>8150</v>
      </c>
      <c r="SYC72" s="169">
        <v>85</v>
      </c>
      <c r="SYD72" s="170">
        <v>215</v>
      </c>
      <c r="SYE72" s="170">
        <v>75</v>
      </c>
      <c r="SYF72" s="169">
        <v>150</v>
      </c>
      <c r="SYG72" s="171">
        <f>SUM(SYB72:SYF72)</f>
        <v>8675</v>
      </c>
      <c r="SYH72" s="169">
        <v>200</v>
      </c>
      <c r="SYI72" s="171">
        <f>SUM(SYG72:SYH72)</f>
        <v>8875</v>
      </c>
      <c r="SYJ72" s="163" t="s">
        <v>114</v>
      </c>
      <c r="SYK72" s="164">
        <v>45845</v>
      </c>
      <c r="SYL72" s="159" t="s">
        <v>42</v>
      </c>
      <c r="SYM72" s="354"/>
      <c r="SYN72" s="165" t="s">
        <v>124</v>
      </c>
      <c r="SYO72" s="352"/>
      <c r="SYP72" s="353"/>
      <c r="SYQ72" s="159" t="s">
        <v>24</v>
      </c>
      <c r="SYR72" s="160">
        <v>8150</v>
      </c>
      <c r="SYS72" s="169">
        <v>85</v>
      </c>
      <c r="SYT72" s="170">
        <v>215</v>
      </c>
      <c r="SYU72" s="170">
        <v>75</v>
      </c>
      <c r="SYV72" s="169">
        <v>150</v>
      </c>
      <c r="SYW72" s="171">
        <f>SUM(SYR72:SYV72)</f>
        <v>8675</v>
      </c>
      <c r="SYX72" s="169">
        <v>200</v>
      </c>
      <c r="SYY72" s="171">
        <f>SUM(SYW72:SYX72)</f>
        <v>8875</v>
      </c>
      <c r="SYZ72" s="163" t="s">
        <v>114</v>
      </c>
      <c r="SZA72" s="164">
        <v>45845</v>
      </c>
      <c r="SZB72" s="159" t="s">
        <v>42</v>
      </c>
      <c r="SZC72" s="354"/>
      <c r="SZD72" s="165" t="s">
        <v>124</v>
      </c>
      <c r="SZE72" s="352"/>
      <c r="SZF72" s="353"/>
      <c r="SZG72" s="159" t="s">
        <v>24</v>
      </c>
      <c r="SZH72" s="160">
        <v>8150</v>
      </c>
      <c r="SZI72" s="169">
        <v>85</v>
      </c>
      <c r="SZJ72" s="170">
        <v>215</v>
      </c>
      <c r="SZK72" s="170">
        <v>75</v>
      </c>
      <c r="SZL72" s="169">
        <v>150</v>
      </c>
      <c r="SZM72" s="171">
        <f>SUM(SZH72:SZL72)</f>
        <v>8675</v>
      </c>
      <c r="SZN72" s="169">
        <v>200</v>
      </c>
      <c r="SZO72" s="171">
        <f>SUM(SZM72:SZN72)</f>
        <v>8875</v>
      </c>
      <c r="SZP72" s="163" t="s">
        <v>114</v>
      </c>
      <c r="SZQ72" s="164">
        <v>45845</v>
      </c>
      <c r="SZR72" s="159" t="s">
        <v>42</v>
      </c>
      <c r="SZS72" s="354"/>
      <c r="SZT72" s="165" t="s">
        <v>124</v>
      </c>
      <c r="SZU72" s="352"/>
      <c r="SZV72" s="353"/>
      <c r="SZW72" s="159" t="s">
        <v>24</v>
      </c>
      <c r="SZX72" s="160">
        <v>8150</v>
      </c>
      <c r="SZY72" s="169">
        <v>85</v>
      </c>
      <c r="SZZ72" s="170">
        <v>215</v>
      </c>
      <c r="TAA72" s="170">
        <v>75</v>
      </c>
      <c r="TAB72" s="169">
        <v>150</v>
      </c>
      <c r="TAC72" s="171">
        <f>SUM(SZX72:TAB72)</f>
        <v>8675</v>
      </c>
      <c r="TAD72" s="169">
        <v>200</v>
      </c>
      <c r="TAE72" s="171">
        <f>SUM(TAC72:TAD72)</f>
        <v>8875</v>
      </c>
      <c r="TAF72" s="163" t="s">
        <v>114</v>
      </c>
      <c r="TAG72" s="164">
        <v>45845</v>
      </c>
      <c r="TAH72" s="159" t="s">
        <v>42</v>
      </c>
      <c r="TAI72" s="354"/>
      <c r="TAJ72" s="165" t="s">
        <v>124</v>
      </c>
      <c r="TAK72" s="352"/>
      <c r="TAL72" s="353"/>
      <c r="TAM72" s="159" t="s">
        <v>24</v>
      </c>
      <c r="TAN72" s="160">
        <v>8150</v>
      </c>
      <c r="TAO72" s="169">
        <v>85</v>
      </c>
      <c r="TAP72" s="170">
        <v>215</v>
      </c>
      <c r="TAQ72" s="170">
        <v>75</v>
      </c>
      <c r="TAR72" s="169">
        <v>150</v>
      </c>
      <c r="TAS72" s="171">
        <f>SUM(TAN72:TAR72)</f>
        <v>8675</v>
      </c>
      <c r="TAT72" s="169">
        <v>200</v>
      </c>
      <c r="TAU72" s="171">
        <f>SUM(TAS72:TAT72)</f>
        <v>8875</v>
      </c>
      <c r="TAV72" s="163" t="s">
        <v>114</v>
      </c>
      <c r="TAW72" s="164">
        <v>45845</v>
      </c>
      <c r="TAX72" s="159" t="s">
        <v>42</v>
      </c>
      <c r="TAY72" s="354"/>
      <c r="TAZ72" s="165" t="s">
        <v>124</v>
      </c>
      <c r="TBA72" s="352"/>
      <c r="TBB72" s="353"/>
      <c r="TBC72" s="159" t="s">
        <v>24</v>
      </c>
      <c r="TBD72" s="160">
        <v>8150</v>
      </c>
      <c r="TBE72" s="169">
        <v>85</v>
      </c>
      <c r="TBF72" s="170">
        <v>215</v>
      </c>
      <c r="TBG72" s="170">
        <v>75</v>
      </c>
      <c r="TBH72" s="169">
        <v>150</v>
      </c>
      <c r="TBI72" s="171">
        <f>SUM(TBD72:TBH72)</f>
        <v>8675</v>
      </c>
      <c r="TBJ72" s="169">
        <v>200</v>
      </c>
      <c r="TBK72" s="171">
        <f>SUM(TBI72:TBJ72)</f>
        <v>8875</v>
      </c>
      <c r="TBL72" s="163" t="s">
        <v>114</v>
      </c>
      <c r="TBM72" s="164">
        <v>45845</v>
      </c>
      <c r="TBN72" s="159" t="s">
        <v>42</v>
      </c>
      <c r="TBO72" s="354"/>
      <c r="TBP72" s="165" t="s">
        <v>124</v>
      </c>
      <c r="TBQ72" s="352"/>
      <c r="TBR72" s="353"/>
      <c r="TBS72" s="159" t="s">
        <v>24</v>
      </c>
      <c r="TBT72" s="160">
        <v>8150</v>
      </c>
      <c r="TBU72" s="169">
        <v>85</v>
      </c>
      <c r="TBV72" s="170">
        <v>215</v>
      </c>
      <c r="TBW72" s="170">
        <v>75</v>
      </c>
      <c r="TBX72" s="169">
        <v>150</v>
      </c>
      <c r="TBY72" s="171">
        <f>SUM(TBT72:TBX72)</f>
        <v>8675</v>
      </c>
      <c r="TBZ72" s="169">
        <v>200</v>
      </c>
      <c r="TCA72" s="171">
        <f>SUM(TBY72:TBZ72)</f>
        <v>8875</v>
      </c>
      <c r="TCB72" s="163" t="s">
        <v>114</v>
      </c>
      <c r="TCC72" s="164">
        <v>45845</v>
      </c>
      <c r="TCD72" s="159" t="s">
        <v>42</v>
      </c>
      <c r="TCE72" s="354"/>
      <c r="TCF72" s="165" t="s">
        <v>124</v>
      </c>
      <c r="TCG72" s="352"/>
      <c r="TCH72" s="353"/>
      <c r="TCI72" s="159" t="s">
        <v>24</v>
      </c>
      <c r="TCJ72" s="160">
        <v>8150</v>
      </c>
      <c r="TCK72" s="169">
        <v>85</v>
      </c>
      <c r="TCL72" s="170">
        <v>215</v>
      </c>
      <c r="TCM72" s="170">
        <v>75</v>
      </c>
      <c r="TCN72" s="169">
        <v>150</v>
      </c>
      <c r="TCO72" s="171">
        <f>SUM(TCJ72:TCN72)</f>
        <v>8675</v>
      </c>
      <c r="TCP72" s="169">
        <v>200</v>
      </c>
      <c r="TCQ72" s="171">
        <f>SUM(TCO72:TCP72)</f>
        <v>8875</v>
      </c>
      <c r="TCR72" s="163" t="s">
        <v>114</v>
      </c>
      <c r="TCS72" s="164">
        <v>45845</v>
      </c>
      <c r="TCT72" s="159" t="s">
        <v>42</v>
      </c>
      <c r="TCU72" s="354"/>
      <c r="TCV72" s="165" t="s">
        <v>124</v>
      </c>
      <c r="TCW72" s="352"/>
      <c r="TCX72" s="353"/>
      <c r="TCY72" s="159" t="s">
        <v>24</v>
      </c>
      <c r="TCZ72" s="160">
        <v>8150</v>
      </c>
      <c r="TDA72" s="169">
        <v>85</v>
      </c>
      <c r="TDB72" s="170">
        <v>215</v>
      </c>
      <c r="TDC72" s="170">
        <v>75</v>
      </c>
      <c r="TDD72" s="169">
        <v>150</v>
      </c>
      <c r="TDE72" s="171">
        <f>SUM(TCZ72:TDD72)</f>
        <v>8675</v>
      </c>
      <c r="TDF72" s="169">
        <v>200</v>
      </c>
      <c r="TDG72" s="171">
        <f>SUM(TDE72:TDF72)</f>
        <v>8875</v>
      </c>
      <c r="TDH72" s="163" t="s">
        <v>114</v>
      </c>
      <c r="TDI72" s="164">
        <v>45845</v>
      </c>
      <c r="TDJ72" s="159" t="s">
        <v>42</v>
      </c>
      <c r="TDK72" s="354"/>
      <c r="TDL72" s="165" t="s">
        <v>124</v>
      </c>
      <c r="TDM72" s="352"/>
      <c r="TDN72" s="353"/>
      <c r="TDO72" s="159" t="s">
        <v>24</v>
      </c>
      <c r="TDP72" s="160">
        <v>8150</v>
      </c>
      <c r="TDQ72" s="169">
        <v>85</v>
      </c>
      <c r="TDR72" s="170">
        <v>215</v>
      </c>
      <c r="TDS72" s="170">
        <v>75</v>
      </c>
      <c r="TDT72" s="169">
        <v>150</v>
      </c>
      <c r="TDU72" s="171">
        <f>SUM(TDP72:TDT72)</f>
        <v>8675</v>
      </c>
      <c r="TDV72" s="169">
        <v>200</v>
      </c>
      <c r="TDW72" s="171">
        <f>SUM(TDU72:TDV72)</f>
        <v>8875</v>
      </c>
      <c r="TDX72" s="163" t="s">
        <v>114</v>
      </c>
      <c r="TDY72" s="164">
        <v>45845</v>
      </c>
      <c r="TDZ72" s="159" t="s">
        <v>42</v>
      </c>
      <c r="TEA72" s="354"/>
      <c r="TEB72" s="165" t="s">
        <v>124</v>
      </c>
      <c r="TEC72" s="352"/>
      <c r="TED72" s="353"/>
      <c r="TEE72" s="159" t="s">
        <v>24</v>
      </c>
      <c r="TEF72" s="160">
        <v>8150</v>
      </c>
      <c r="TEG72" s="169">
        <v>85</v>
      </c>
      <c r="TEH72" s="170">
        <v>215</v>
      </c>
      <c r="TEI72" s="170">
        <v>75</v>
      </c>
      <c r="TEJ72" s="169">
        <v>150</v>
      </c>
      <c r="TEK72" s="171">
        <f>SUM(TEF72:TEJ72)</f>
        <v>8675</v>
      </c>
      <c r="TEL72" s="169">
        <v>200</v>
      </c>
      <c r="TEM72" s="171">
        <f>SUM(TEK72:TEL72)</f>
        <v>8875</v>
      </c>
      <c r="TEN72" s="163" t="s">
        <v>114</v>
      </c>
      <c r="TEO72" s="164">
        <v>45845</v>
      </c>
      <c r="TEP72" s="159" t="s">
        <v>42</v>
      </c>
      <c r="TEQ72" s="354"/>
      <c r="TER72" s="165" t="s">
        <v>124</v>
      </c>
      <c r="TES72" s="352"/>
      <c r="TET72" s="353"/>
      <c r="TEU72" s="159" t="s">
        <v>24</v>
      </c>
      <c r="TEV72" s="160">
        <v>8150</v>
      </c>
      <c r="TEW72" s="169">
        <v>85</v>
      </c>
      <c r="TEX72" s="170">
        <v>215</v>
      </c>
      <c r="TEY72" s="170">
        <v>75</v>
      </c>
      <c r="TEZ72" s="169">
        <v>150</v>
      </c>
      <c r="TFA72" s="171">
        <f>SUM(TEV72:TEZ72)</f>
        <v>8675</v>
      </c>
      <c r="TFB72" s="169">
        <v>200</v>
      </c>
      <c r="TFC72" s="171">
        <f>SUM(TFA72:TFB72)</f>
        <v>8875</v>
      </c>
      <c r="TFD72" s="163" t="s">
        <v>114</v>
      </c>
      <c r="TFE72" s="164">
        <v>45845</v>
      </c>
      <c r="TFF72" s="159" t="s">
        <v>42</v>
      </c>
      <c r="TFG72" s="354"/>
      <c r="TFH72" s="165" t="s">
        <v>124</v>
      </c>
      <c r="TFI72" s="352"/>
      <c r="TFJ72" s="353"/>
      <c r="TFK72" s="159" t="s">
        <v>24</v>
      </c>
      <c r="TFL72" s="160">
        <v>8150</v>
      </c>
      <c r="TFM72" s="169">
        <v>85</v>
      </c>
      <c r="TFN72" s="170">
        <v>215</v>
      </c>
      <c r="TFO72" s="170">
        <v>75</v>
      </c>
      <c r="TFP72" s="169">
        <v>150</v>
      </c>
      <c r="TFQ72" s="171">
        <f>SUM(TFL72:TFP72)</f>
        <v>8675</v>
      </c>
      <c r="TFR72" s="169">
        <v>200</v>
      </c>
      <c r="TFS72" s="171">
        <f>SUM(TFQ72:TFR72)</f>
        <v>8875</v>
      </c>
      <c r="TFT72" s="163" t="s">
        <v>114</v>
      </c>
      <c r="TFU72" s="164">
        <v>45845</v>
      </c>
      <c r="TFV72" s="159" t="s">
        <v>42</v>
      </c>
      <c r="TFW72" s="354"/>
      <c r="TFX72" s="165" t="s">
        <v>124</v>
      </c>
      <c r="TFY72" s="352"/>
      <c r="TFZ72" s="353"/>
      <c r="TGA72" s="159" t="s">
        <v>24</v>
      </c>
      <c r="TGB72" s="160">
        <v>8150</v>
      </c>
      <c r="TGC72" s="169">
        <v>85</v>
      </c>
      <c r="TGD72" s="170">
        <v>215</v>
      </c>
      <c r="TGE72" s="170">
        <v>75</v>
      </c>
      <c r="TGF72" s="169">
        <v>150</v>
      </c>
      <c r="TGG72" s="171">
        <f>SUM(TGB72:TGF72)</f>
        <v>8675</v>
      </c>
      <c r="TGH72" s="169">
        <v>200</v>
      </c>
      <c r="TGI72" s="171">
        <f>SUM(TGG72:TGH72)</f>
        <v>8875</v>
      </c>
      <c r="TGJ72" s="163" t="s">
        <v>114</v>
      </c>
      <c r="TGK72" s="164">
        <v>45845</v>
      </c>
      <c r="TGL72" s="159" t="s">
        <v>42</v>
      </c>
      <c r="TGM72" s="354"/>
      <c r="TGN72" s="165" t="s">
        <v>124</v>
      </c>
      <c r="TGO72" s="352"/>
      <c r="TGP72" s="353"/>
      <c r="TGQ72" s="159" t="s">
        <v>24</v>
      </c>
      <c r="TGR72" s="160">
        <v>8150</v>
      </c>
      <c r="TGS72" s="169">
        <v>85</v>
      </c>
      <c r="TGT72" s="170">
        <v>215</v>
      </c>
      <c r="TGU72" s="170">
        <v>75</v>
      </c>
      <c r="TGV72" s="169">
        <v>150</v>
      </c>
      <c r="TGW72" s="171">
        <f>SUM(TGR72:TGV72)</f>
        <v>8675</v>
      </c>
      <c r="TGX72" s="169">
        <v>200</v>
      </c>
      <c r="TGY72" s="171">
        <f>SUM(TGW72:TGX72)</f>
        <v>8875</v>
      </c>
      <c r="TGZ72" s="163" t="s">
        <v>114</v>
      </c>
      <c r="THA72" s="164">
        <v>45845</v>
      </c>
      <c r="THB72" s="159" t="s">
        <v>42</v>
      </c>
      <c r="THC72" s="354"/>
      <c r="THD72" s="165" t="s">
        <v>124</v>
      </c>
      <c r="THE72" s="352"/>
      <c r="THF72" s="353"/>
      <c r="THG72" s="159" t="s">
        <v>24</v>
      </c>
      <c r="THH72" s="160">
        <v>8150</v>
      </c>
      <c r="THI72" s="169">
        <v>85</v>
      </c>
      <c r="THJ72" s="170">
        <v>215</v>
      </c>
      <c r="THK72" s="170">
        <v>75</v>
      </c>
      <c r="THL72" s="169">
        <v>150</v>
      </c>
      <c r="THM72" s="171">
        <f>SUM(THH72:THL72)</f>
        <v>8675</v>
      </c>
      <c r="THN72" s="169">
        <v>200</v>
      </c>
      <c r="THO72" s="171">
        <f>SUM(THM72:THN72)</f>
        <v>8875</v>
      </c>
      <c r="THP72" s="163" t="s">
        <v>114</v>
      </c>
      <c r="THQ72" s="164">
        <v>45845</v>
      </c>
      <c r="THR72" s="159" t="s">
        <v>42</v>
      </c>
      <c r="THS72" s="354"/>
      <c r="THT72" s="165" t="s">
        <v>124</v>
      </c>
      <c r="THU72" s="352"/>
      <c r="THV72" s="353"/>
      <c r="THW72" s="159" t="s">
        <v>24</v>
      </c>
      <c r="THX72" s="160">
        <v>8150</v>
      </c>
      <c r="THY72" s="169">
        <v>85</v>
      </c>
      <c r="THZ72" s="170">
        <v>215</v>
      </c>
      <c r="TIA72" s="170">
        <v>75</v>
      </c>
      <c r="TIB72" s="169">
        <v>150</v>
      </c>
      <c r="TIC72" s="171">
        <f>SUM(THX72:TIB72)</f>
        <v>8675</v>
      </c>
      <c r="TID72" s="169">
        <v>200</v>
      </c>
      <c r="TIE72" s="171">
        <f>SUM(TIC72:TID72)</f>
        <v>8875</v>
      </c>
      <c r="TIF72" s="163" t="s">
        <v>114</v>
      </c>
      <c r="TIG72" s="164">
        <v>45845</v>
      </c>
      <c r="TIH72" s="159" t="s">
        <v>42</v>
      </c>
      <c r="TII72" s="354"/>
      <c r="TIJ72" s="165" t="s">
        <v>124</v>
      </c>
      <c r="TIK72" s="352"/>
      <c r="TIL72" s="353"/>
      <c r="TIM72" s="159" t="s">
        <v>24</v>
      </c>
      <c r="TIN72" s="160">
        <v>8150</v>
      </c>
      <c r="TIO72" s="169">
        <v>85</v>
      </c>
      <c r="TIP72" s="170">
        <v>215</v>
      </c>
      <c r="TIQ72" s="170">
        <v>75</v>
      </c>
      <c r="TIR72" s="169">
        <v>150</v>
      </c>
      <c r="TIS72" s="171">
        <f>SUM(TIN72:TIR72)</f>
        <v>8675</v>
      </c>
      <c r="TIT72" s="169">
        <v>200</v>
      </c>
      <c r="TIU72" s="171">
        <f>SUM(TIS72:TIT72)</f>
        <v>8875</v>
      </c>
      <c r="TIV72" s="163" t="s">
        <v>114</v>
      </c>
      <c r="TIW72" s="164">
        <v>45845</v>
      </c>
      <c r="TIX72" s="159" t="s">
        <v>42</v>
      </c>
      <c r="TIY72" s="354"/>
      <c r="TIZ72" s="165" t="s">
        <v>124</v>
      </c>
      <c r="TJA72" s="352"/>
      <c r="TJB72" s="353"/>
      <c r="TJC72" s="159" t="s">
        <v>24</v>
      </c>
      <c r="TJD72" s="160">
        <v>8150</v>
      </c>
      <c r="TJE72" s="169">
        <v>85</v>
      </c>
      <c r="TJF72" s="170">
        <v>215</v>
      </c>
      <c r="TJG72" s="170">
        <v>75</v>
      </c>
      <c r="TJH72" s="169">
        <v>150</v>
      </c>
      <c r="TJI72" s="171">
        <f>SUM(TJD72:TJH72)</f>
        <v>8675</v>
      </c>
      <c r="TJJ72" s="169">
        <v>200</v>
      </c>
      <c r="TJK72" s="171">
        <f>SUM(TJI72:TJJ72)</f>
        <v>8875</v>
      </c>
      <c r="TJL72" s="163" t="s">
        <v>114</v>
      </c>
      <c r="TJM72" s="164">
        <v>45845</v>
      </c>
      <c r="TJN72" s="159" t="s">
        <v>42</v>
      </c>
      <c r="TJO72" s="354"/>
      <c r="TJP72" s="165" t="s">
        <v>124</v>
      </c>
      <c r="TJQ72" s="352"/>
      <c r="TJR72" s="353"/>
      <c r="TJS72" s="159" t="s">
        <v>24</v>
      </c>
      <c r="TJT72" s="160">
        <v>8150</v>
      </c>
      <c r="TJU72" s="169">
        <v>85</v>
      </c>
      <c r="TJV72" s="170">
        <v>215</v>
      </c>
      <c r="TJW72" s="170">
        <v>75</v>
      </c>
      <c r="TJX72" s="169">
        <v>150</v>
      </c>
      <c r="TJY72" s="171">
        <f>SUM(TJT72:TJX72)</f>
        <v>8675</v>
      </c>
      <c r="TJZ72" s="169">
        <v>200</v>
      </c>
      <c r="TKA72" s="171">
        <f>SUM(TJY72:TJZ72)</f>
        <v>8875</v>
      </c>
      <c r="TKB72" s="163" t="s">
        <v>114</v>
      </c>
      <c r="TKC72" s="164">
        <v>45845</v>
      </c>
      <c r="TKD72" s="159" t="s">
        <v>42</v>
      </c>
      <c r="TKE72" s="354"/>
      <c r="TKF72" s="165" t="s">
        <v>124</v>
      </c>
      <c r="TKG72" s="352"/>
      <c r="TKH72" s="353"/>
      <c r="TKI72" s="159" t="s">
        <v>24</v>
      </c>
      <c r="TKJ72" s="160">
        <v>8150</v>
      </c>
      <c r="TKK72" s="169">
        <v>85</v>
      </c>
      <c r="TKL72" s="170">
        <v>215</v>
      </c>
      <c r="TKM72" s="170">
        <v>75</v>
      </c>
      <c r="TKN72" s="169">
        <v>150</v>
      </c>
      <c r="TKO72" s="171">
        <f>SUM(TKJ72:TKN72)</f>
        <v>8675</v>
      </c>
      <c r="TKP72" s="169">
        <v>200</v>
      </c>
      <c r="TKQ72" s="171">
        <f>SUM(TKO72:TKP72)</f>
        <v>8875</v>
      </c>
      <c r="TKR72" s="163" t="s">
        <v>114</v>
      </c>
      <c r="TKS72" s="164">
        <v>45845</v>
      </c>
      <c r="TKT72" s="159" t="s">
        <v>42</v>
      </c>
      <c r="TKU72" s="354"/>
      <c r="TKV72" s="165" t="s">
        <v>124</v>
      </c>
      <c r="TKW72" s="352"/>
      <c r="TKX72" s="353"/>
      <c r="TKY72" s="159" t="s">
        <v>24</v>
      </c>
      <c r="TKZ72" s="160">
        <v>8150</v>
      </c>
      <c r="TLA72" s="169">
        <v>85</v>
      </c>
      <c r="TLB72" s="170">
        <v>215</v>
      </c>
      <c r="TLC72" s="170">
        <v>75</v>
      </c>
      <c r="TLD72" s="169">
        <v>150</v>
      </c>
      <c r="TLE72" s="171">
        <f>SUM(TKZ72:TLD72)</f>
        <v>8675</v>
      </c>
      <c r="TLF72" s="169">
        <v>200</v>
      </c>
      <c r="TLG72" s="171">
        <f>SUM(TLE72:TLF72)</f>
        <v>8875</v>
      </c>
      <c r="TLH72" s="163" t="s">
        <v>114</v>
      </c>
      <c r="TLI72" s="164">
        <v>45845</v>
      </c>
      <c r="TLJ72" s="159" t="s">
        <v>42</v>
      </c>
      <c r="TLK72" s="354"/>
      <c r="TLL72" s="165" t="s">
        <v>124</v>
      </c>
      <c r="TLM72" s="352"/>
      <c r="TLN72" s="353"/>
      <c r="TLO72" s="159" t="s">
        <v>24</v>
      </c>
      <c r="TLP72" s="160">
        <v>8150</v>
      </c>
      <c r="TLQ72" s="169">
        <v>85</v>
      </c>
      <c r="TLR72" s="170">
        <v>215</v>
      </c>
      <c r="TLS72" s="170">
        <v>75</v>
      </c>
      <c r="TLT72" s="169">
        <v>150</v>
      </c>
      <c r="TLU72" s="171">
        <f>SUM(TLP72:TLT72)</f>
        <v>8675</v>
      </c>
      <c r="TLV72" s="169">
        <v>200</v>
      </c>
      <c r="TLW72" s="171">
        <f>SUM(TLU72:TLV72)</f>
        <v>8875</v>
      </c>
      <c r="TLX72" s="163" t="s">
        <v>114</v>
      </c>
      <c r="TLY72" s="164">
        <v>45845</v>
      </c>
      <c r="TLZ72" s="159" t="s">
        <v>42</v>
      </c>
      <c r="TMA72" s="354"/>
      <c r="TMB72" s="165" t="s">
        <v>124</v>
      </c>
      <c r="TMC72" s="352"/>
      <c r="TMD72" s="353"/>
      <c r="TME72" s="159" t="s">
        <v>24</v>
      </c>
      <c r="TMF72" s="160">
        <v>8150</v>
      </c>
      <c r="TMG72" s="169">
        <v>85</v>
      </c>
      <c r="TMH72" s="170">
        <v>215</v>
      </c>
      <c r="TMI72" s="170">
        <v>75</v>
      </c>
      <c r="TMJ72" s="169">
        <v>150</v>
      </c>
      <c r="TMK72" s="171">
        <f>SUM(TMF72:TMJ72)</f>
        <v>8675</v>
      </c>
      <c r="TML72" s="169">
        <v>200</v>
      </c>
      <c r="TMM72" s="171">
        <f>SUM(TMK72:TML72)</f>
        <v>8875</v>
      </c>
      <c r="TMN72" s="163" t="s">
        <v>114</v>
      </c>
      <c r="TMO72" s="164">
        <v>45845</v>
      </c>
      <c r="TMP72" s="159" t="s">
        <v>42</v>
      </c>
      <c r="TMQ72" s="354"/>
      <c r="TMR72" s="165" t="s">
        <v>124</v>
      </c>
      <c r="TMS72" s="352"/>
      <c r="TMT72" s="353"/>
      <c r="TMU72" s="159" t="s">
        <v>24</v>
      </c>
      <c r="TMV72" s="160">
        <v>8150</v>
      </c>
      <c r="TMW72" s="169">
        <v>85</v>
      </c>
      <c r="TMX72" s="170">
        <v>215</v>
      </c>
      <c r="TMY72" s="170">
        <v>75</v>
      </c>
      <c r="TMZ72" s="169">
        <v>150</v>
      </c>
      <c r="TNA72" s="171">
        <f>SUM(TMV72:TMZ72)</f>
        <v>8675</v>
      </c>
      <c r="TNB72" s="169">
        <v>200</v>
      </c>
      <c r="TNC72" s="171">
        <f>SUM(TNA72:TNB72)</f>
        <v>8875</v>
      </c>
      <c r="TND72" s="163" t="s">
        <v>114</v>
      </c>
      <c r="TNE72" s="164">
        <v>45845</v>
      </c>
      <c r="TNF72" s="159" t="s">
        <v>42</v>
      </c>
      <c r="TNG72" s="354"/>
      <c r="TNH72" s="165" t="s">
        <v>124</v>
      </c>
      <c r="TNI72" s="352"/>
      <c r="TNJ72" s="353"/>
      <c r="TNK72" s="159" t="s">
        <v>24</v>
      </c>
      <c r="TNL72" s="160">
        <v>8150</v>
      </c>
      <c r="TNM72" s="169">
        <v>85</v>
      </c>
      <c r="TNN72" s="170">
        <v>215</v>
      </c>
      <c r="TNO72" s="170">
        <v>75</v>
      </c>
      <c r="TNP72" s="169">
        <v>150</v>
      </c>
      <c r="TNQ72" s="171">
        <f>SUM(TNL72:TNP72)</f>
        <v>8675</v>
      </c>
      <c r="TNR72" s="169">
        <v>200</v>
      </c>
      <c r="TNS72" s="171">
        <f>SUM(TNQ72:TNR72)</f>
        <v>8875</v>
      </c>
      <c r="TNT72" s="163" t="s">
        <v>114</v>
      </c>
      <c r="TNU72" s="164">
        <v>45845</v>
      </c>
      <c r="TNV72" s="159" t="s">
        <v>42</v>
      </c>
      <c r="TNW72" s="354"/>
      <c r="TNX72" s="165" t="s">
        <v>124</v>
      </c>
      <c r="TNY72" s="352"/>
      <c r="TNZ72" s="353"/>
      <c r="TOA72" s="159" t="s">
        <v>24</v>
      </c>
      <c r="TOB72" s="160">
        <v>8150</v>
      </c>
      <c r="TOC72" s="169">
        <v>85</v>
      </c>
      <c r="TOD72" s="170">
        <v>215</v>
      </c>
      <c r="TOE72" s="170">
        <v>75</v>
      </c>
      <c r="TOF72" s="169">
        <v>150</v>
      </c>
      <c r="TOG72" s="171">
        <f>SUM(TOB72:TOF72)</f>
        <v>8675</v>
      </c>
      <c r="TOH72" s="169">
        <v>200</v>
      </c>
      <c r="TOI72" s="171">
        <f>SUM(TOG72:TOH72)</f>
        <v>8875</v>
      </c>
      <c r="TOJ72" s="163" t="s">
        <v>114</v>
      </c>
      <c r="TOK72" s="164">
        <v>45845</v>
      </c>
      <c r="TOL72" s="159" t="s">
        <v>42</v>
      </c>
      <c r="TOM72" s="354"/>
      <c r="TON72" s="165" t="s">
        <v>124</v>
      </c>
      <c r="TOO72" s="352"/>
      <c r="TOP72" s="353"/>
      <c r="TOQ72" s="159" t="s">
        <v>24</v>
      </c>
      <c r="TOR72" s="160">
        <v>8150</v>
      </c>
      <c r="TOS72" s="169">
        <v>85</v>
      </c>
      <c r="TOT72" s="170">
        <v>215</v>
      </c>
      <c r="TOU72" s="170">
        <v>75</v>
      </c>
      <c r="TOV72" s="169">
        <v>150</v>
      </c>
      <c r="TOW72" s="171">
        <f>SUM(TOR72:TOV72)</f>
        <v>8675</v>
      </c>
      <c r="TOX72" s="169">
        <v>200</v>
      </c>
      <c r="TOY72" s="171">
        <f>SUM(TOW72:TOX72)</f>
        <v>8875</v>
      </c>
      <c r="TOZ72" s="163" t="s">
        <v>114</v>
      </c>
      <c r="TPA72" s="164">
        <v>45845</v>
      </c>
      <c r="TPB72" s="159" t="s">
        <v>42</v>
      </c>
      <c r="TPC72" s="354"/>
      <c r="TPD72" s="165" t="s">
        <v>124</v>
      </c>
      <c r="TPE72" s="352"/>
      <c r="TPF72" s="353"/>
      <c r="TPG72" s="159" t="s">
        <v>24</v>
      </c>
      <c r="TPH72" s="160">
        <v>8150</v>
      </c>
      <c r="TPI72" s="169">
        <v>85</v>
      </c>
      <c r="TPJ72" s="170">
        <v>215</v>
      </c>
      <c r="TPK72" s="170">
        <v>75</v>
      </c>
      <c r="TPL72" s="169">
        <v>150</v>
      </c>
      <c r="TPM72" s="171">
        <f>SUM(TPH72:TPL72)</f>
        <v>8675</v>
      </c>
      <c r="TPN72" s="169">
        <v>200</v>
      </c>
      <c r="TPO72" s="171">
        <f>SUM(TPM72:TPN72)</f>
        <v>8875</v>
      </c>
      <c r="TPP72" s="163" t="s">
        <v>114</v>
      </c>
      <c r="TPQ72" s="164">
        <v>45845</v>
      </c>
      <c r="TPR72" s="159" t="s">
        <v>42</v>
      </c>
      <c r="TPS72" s="354"/>
      <c r="TPT72" s="165" t="s">
        <v>124</v>
      </c>
      <c r="TPU72" s="352"/>
      <c r="TPV72" s="353"/>
      <c r="TPW72" s="159" t="s">
        <v>24</v>
      </c>
      <c r="TPX72" s="160">
        <v>8150</v>
      </c>
      <c r="TPY72" s="169">
        <v>85</v>
      </c>
      <c r="TPZ72" s="170">
        <v>215</v>
      </c>
      <c r="TQA72" s="170">
        <v>75</v>
      </c>
      <c r="TQB72" s="169">
        <v>150</v>
      </c>
      <c r="TQC72" s="171">
        <f>SUM(TPX72:TQB72)</f>
        <v>8675</v>
      </c>
      <c r="TQD72" s="169">
        <v>200</v>
      </c>
      <c r="TQE72" s="171">
        <f>SUM(TQC72:TQD72)</f>
        <v>8875</v>
      </c>
      <c r="TQF72" s="163" t="s">
        <v>114</v>
      </c>
      <c r="TQG72" s="164">
        <v>45845</v>
      </c>
      <c r="TQH72" s="159" t="s">
        <v>42</v>
      </c>
      <c r="TQI72" s="354"/>
      <c r="TQJ72" s="165" t="s">
        <v>124</v>
      </c>
      <c r="TQK72" s="352"/>
      <c r="TQL72" s="353"/>
      <c r="TQM72" s="159" t="s">
        <v>24</v>
      </c>
      <c r="TQN72" s="160">
        <v>8150</v>
      </c>
      <c r="TQO72" s="169">
        <v>85</v>
      </c>
      <c r="TQP72" s="170">
        <v>215</v>
      </c>
      <c r="TQQ72" s="170">
        <v>75</v>
      </c>
      <c r="TQR72" s="169">
        <v>150</v>
      </c>
      <c r="TQS72" s="171">
        <f>SUM(TQN72:TQR72)</f>
        <v>8675</v>
      </c>
      <c r="TQT72" s="169">
        <v>200</v>
      </c>
      <c r="TQU72" s="171">
        <f>SUM(TQS72:TQT72)</f>
        <v>8875</v>
      </c>
      <c r="TQV72" s="163" t="s">
        <v>114</v>
      </c>
      <c r="TQW72" s="164">
        <v>45845</v>
      </c>
      <c r="TQX72" s="159" t="s">
        <v>42</v>
      </c>
      <c r="TQY72" s="354"/>
      <c r="TQZ72" s="165" t="s">
        <v>124</v>
      </c>
      <c r="TRA72" s="352"/>
      <c r="TRB72" s="353"/>
      <c r="TRC72" s="159" t="s">
        <v>24</v>
      </c>
      <c r="TRD72" s="160">
        <v>8150</v>
      </c>
      <c r="TRE72" s="169">
        <v>85</v>
      </c>
      <c r="TRF72" s="170">
        <v>215</v>
      </c>
      <c r="TRG72" s="170">
        <v>75</v>
      </c>
      <c r="TRH72" s="169">
        <v>150</v>
      </c>
      <c r="TRI72" s="171">
        <f>SUM(TRD72:TRH72)</f>
        <v>8675</v>
      </c>
      <c r="TRJ72" s="169">
        <v>200</v>
      </c>
      <c r="TRK72" s="171">
        <f>SUM(TRI72:TRJ72)</f>
        <v>8875</v>
      </c>
      <c r="TRL72" s="163" t="s">
        <v>114</v>
      </c>
      <c r="TRM72" s="164">
        <v>45845</v>
      </c>
      <c r="TRN72" s="159" t="s">
        <v>42</v>
      </c>
      <c r="TRO72" s="354"/>
      <c r="TRP72" s="165" t="s">
        <v>124</v>
      </c>
      <c r="TRQ72" s="352"/>
      <c r="TRR72" s="353"/>
      <c r="TRS72" s="159" t="s">
        <v>24</v>
      </c>
      <c r="TRT72" s="160">
        <v>8150</v>
      </c>
      <c r="TRU72" s="169">
        <v>85</v>
      </c>
      <c r="TRV72" s="170">
        <v>215</v>
      </c>
      <c r="TRW72" s="170">
        <v>75</v>
      </c>
      <c r="TRX72" s="169">
        <v>150</v>
      </c>
      <c r="TRY72" s="171">
        <f>SUM(TRT72:TRX72)</f>
        <v>8675</v>
      </c>
      <c r="TRZ72" s="169">
        <v>200</v>
      </c>
      <c r="TSA72" s="171">
        <f>SUM(TRY72:TRZ72)</f>
        <v>8875</v>
      </c>
      <c r="TSB72" s="163" t="s">
        <v>114</v>
      </c>
      <c r="TSC72" s="164">
        <v>45845</v>
      </c>
      <c r="TSD72" s="159" t="s">
        <v>42</v>
      </c>
      <c r="TSE72" s="354"/>
      <c r="TSF72" s="165" t="s">
        <v>124</v>
      </c>
      <c r="TSG72" s="352"/>
      <c r="TSH72" s="353"/>
      <c r="TSI72" s="159" t="s">
        <v>24</v>
      </c>
      <c r="TSJ72" s="160">
        <v>8150</v>
      </c>
      <c r="TSK72" s="169">
        <v>85</v>
      </c>
      <c r="TSL72" s="170">
        <v>215</v>
      </c>
      <c r="TSM72" s="170">
        <v>75</v>
      </c>
      <c r="TSN72" s="169">
        <v>150</v>
      </c>
      <c r="TSO72" s="171">
        <f>SUM(TSJ72:TSN72)</f>
        <v>8675</v>
      </c>
      <c r="TSP72" s="169">
        <v>200</v>
      </c>
      <c r="TSQ72" s="171">
        <f>SUM(TSO72:TSP72)</f>
        <v>8875</v>
      </c>
      <c r="TSR72" s="163" t="s">
        <v>114</v>
      </c>
      <c r="TSS72" s="164">
        <v>45845</v>
      </c>
      <c r="TST72" s="159" t="s">
        <v>42</v>
      </c>
      <c r="TSU72" s="354"/>
      <c r="TSV72" s="165" t="s">
        <v>124</v>
      </c>
      <c r="TSW72" s="352"/>
      <c r="TSX72" s="353"/>
      <c r="TSY72" s="159" t="s">
        <v>24</v>
      </c>
      <c r="TSZ72" s="160">
        <v>8150</v>
      </c>
      <c r="TTA72" s="169">
        <v>85</v>
      </c>
      <c r="TTB72" s="170">
        <v>215</v>
      </c>
      <c r="TTC72" s="170">
        <v>75</v>
      </c>
      <c r="TTD72" s="169">
        <v>150</v>
      </c>
      <c r="TTE72" s="171">
        <f>SUM(TSZ72:TTD72)</f>
        <v>8675</v>
      </c>
      <c r="TTF72" s="169">
        <v>200</v>
      </c>
      <c r="TTG72" s="171">
        <f>SUM(TTE72:TTF72)</f>
        <v>8875</v>
      </c>
      <c r="TTH72" s="163" t="s">
        <v>114</v>
      </c>
      <c r="TTI72" s="164">
        <v>45845</v>
      </c>
      <c r="TTJ72" s="159" t="s">
        <v>42</v>
      </c>
      <c r="TTK72" s="354"/>
      <c r="TTL72" s="165" t="s">
        <v>124</v>
      </c>
      <c r="TTM72" s="352"/>
      <c r="TTN72" s="353"/>
      <c r="TTO72" s="159" t="s">
        <v>24</v>
      </c>
      <c r="TTP72" s="160">
        <v>8150</v>
      </c>
      <c r="TTQ72" s="169">
        <v>85</v>
      </c>
      <c r="TTR72" s="170">
        <v>215</v>
      </c>
      <c r="TTS72" s="170">
        <v>75</v>
      </c>
      <c r="TTT72" s="169">
        <v>150</v>
      </c>
      <c r="TTU72" s="171">
        <f>SUM(TTP72:TTT72)</f>
        <v>8675</v>
      </c>
      <c r="TTV72" s="169">
        <v>200</v>
      </c>
      <c r="TTW72" s="171">
        <f>SUM(TTU72:TTV72)</f>
        <v>8875</v>
      </c>
      <c r="TTX72" s="163" t="s">
        <v>114</v>
      </c>
      <c r="TTY72" s="164">
        <v>45845</v>
      </c>
      <c r="TTZ72" s="159" t="s">
        <v>42</v>
      </c>
      <c r="TUA72" s="354"/>
      <c r="TUB72" s="165" t="s">
        <v>124</v>
      </c>
      <c r="TUC72" s="352"/>
      <c r="TUD72" s="353"/>
      <c r="TUE72" s="159" t="s">
        <v>24</v>
      </c>
      <c r="TUF72" s="160">
        <v>8150</v>
      </c>
      <c r="TUG72" s="169">
        <v>85</v>
      </c>
      <c r="TUH72" s="170">
        <v>215</v>
      </c>
      <c r="TUI72" s="170">
        <v>75</v>
      </c>
      <c r="TUJ72" s="169">
        <v>150</v>
      </c>
      <c r="TUK72" s="171">
        <f>SUM(TUF72:TUJ72)</f>
        <v>8675</v>
      </c>
      <c r="TUL72" s="169">
        <v>200</v>
      </c>
      <c r="TUM72" s="171">
        <f>SUM(TUK72:TUL72)</f>
        <v>8875</v>
      </c>
      <c r="TUN72" s="163" t="s">
        <v>114</v>
      </c>
      <c r="TUO72" s="164">
        <v>45845</v>
      </c>
      <c r="TUP72" s="159" t="s">
        <v>42</v>
      </c>
      <c r="TUQ72" s="354"/>
      <c r="TUR72" s="165" t="s">
        <v>124</v>
      </c>
      <c r="TUS72" s="352"/>
      <c r="TUT72" s="353"/>
      <c r="TUU72" s="159" t="s">
        <v>24</v>
      </c>
      <c r="TUV72" s="160">
        <v>8150</v>
      </c>
      <c r="TUW72" s="169">
        <v>85</v>
      </c>
      <c r="TUX72" s="170">
        <v>215</v>
      </c>
      <c r="TUY72" s="170">
        <v>75</v>
      </c>
      <c r="TUZ72" s="169">
        <v>150</v>
      </c>
      <c r="TVA72" s="171">
        <f>SUM(TUV72:TUZ72)</f>
        <v>8675</v>
      </c>
      <c r="TVB72" s="169">
        <v>200</v>
      </c>
      <c r="TVC72" s="171">
        <f>SUM(TVA72:TVB72)</f>
        <v>8875</v>
      </c>
      <c r="TVD72" s="163" t="s">
        <v>114</v>
      </c>
      <c r="TVE72" s="164">
        <v>45845</v>
      </c>
      <c r="TVF72" s="159" t="s">
        <v>42</v>
      </c>
      <c r="TVG72" s="354"/>
      <c r="TVH72" s="165" t="s">
        <v>124</v>
      </c>
      <c r="TVI72" s="352"/>
      <c r="TVJ72" s="353"/>
      <c r="TVK72" s="159" t="s">
        <v>24</v>
      </c>
      <c r="TVL72" s="160">
        <v>8150</v>
      </c>
      <c r="TVM72" s="169">
        <v>85</v>
      </c>
      <c r="TVN72" s="170">
        <v>215</v>
      </c>
      <c r="TVO72" s="170">
        <v>75</v>
      </c>
      <c r="TVP72" s="169">
        <v>150</v>
      </c>
      <c r="TVQ72" s="171">
        <f>SUM(TVL72:TVP72)</f>
        <v>8675</v>
      </c>
      <c r="TVR72" s="169">
        <v>200</v>
      </c>
      <c r="TVS72" s="171">
        <f>SUM(TVQ72:TVR72)</f>
        <v>8875</v>
      </c>
      <c r="TVT72" s="163" t="s">
        <v>114</v>
      </c>
      <c r="TVU72" s="164">
        <v>45845</v>
      </c>
      <c r="TVV72" s="159" t="s">
        <v>42</v>
      </c>
      <c r="TVW72" s="354"/>
      <c r="TVX72" s="165" t="s">
        <v>124</v>
      </c>
      <c r="TVY72" s="352"/>
      <c r="TVZ72" s="353"/>
      <c r="TWA72" s="159" t="s">
        <v>24</v>
      </c>
      <c r="TWB72" s="160">
        <v>8150</v>
      </c>
      <c r="TWC72" s="169">
        <v>85</v>
      </c>
      <c r="TWD72" s="170">
        <v>215</v>
      </c>
      <c r="TWE72" s="170">
        <v>75</v>
      </c>
      <c r="TWF72" s="169">
        <v>150</v>
      </c>
      <c r="TWG72" s="171">
        <f>SUM(TWB72:TWF72)</f>
        <v>8675</v>
      </c>
      <c r="TWH72" s="169">
        <v>200</v>
      </c>
      <c r="TWI72" s="171">
        <f>SUM(TWG72:TWH72)</f>
        <v>8875</v>
      </c>
      <c r="TWJ72" s="163" t="s">
        <v>114</v>
      </c>
      <c r="TWK72" s="164">
        <v>45845</v>
      </c>
      <c r="TWL72" s="159" t="s">
        <v>42</v>
      </c>
      <c r="TWM72" s="354"/>
      <c r="TWN72" s="165" t="s">
        <v>124</v>
      </c>
      <c r="TWO72" s="352"/>
      <c r="TWP72" s="353"/>
      <c r="TWQ72" s="159" t="s">
        <v>24</v>
      </c>
      <c r="TWR72" s="160">
        <v>8150</v>
      </c>
      <c r="TWS72" s="169">
        <v>85</v>
      </c>
      <c r="TWT72" s="170">
        <v>215</v>
      </c>
      <c r="TWU72" s="170">
        <v>75</v>
      </c>
      <c r="TWV72" s="169">
        <v>150</v>
      </c>
      <c r="TWW72" s="171">
        <f>SUM(TWR72:TWV72)</f>
        <v>8675</v>
      </c>
      <c r="TWX72" s="169">
        <v>200</v>
      </c>
      <c r="TWY72" s="171">
        <f>SUM(TWW72:TWX72)</f>
        <v>8875</v>
      </c>
      <c r="TWZ72" s="163" t="s">
        <v>114</v>
      </c>
      <c r="TXA72" s="164">
        <v>45845</v>
      </c>
      <c r="TXB72" s="159" t="s">
        <v>42</v>
      </c>
      <c r="TXC72" s="354"/>
      <c r="TXD72" s="165" t="s">
        <v>124</v>
      </c>
      <c r="TXE72" s="352"/>
      <c r="TXF72" s="353"/>
      <c r="TXG72" s="159" t="s">
        <v>24</v>
      </c>
      <c r="TXH72" s="160">
        <v>8150</v>
      </c>
      <c r="TXI72" s="169">
        <v>85</v>
      </c>
      <c r="TXJ72" s="170">
        <v>215</v>
      </c>
      <c r="TXK72" s="170">
        <v>75</v>
      </c>
      <c r="TXL72" s="169">
        <v>150</v>
      </c>
      <c r="TXM72" s="171">
        <f>SUM(TXH72:TXL72)</f>
        <v>8675</v>
      </c>
      <c r="TXN72" s="169">
        <v>200</v>
      </c>
      <c r="TXO72" s="171">
        <f>SUM(TXM72:TXN72)</f>
        <v>8875</v>
      </c>
      <c r="TXP72" s="163" t="s">
        <v>114</v>
      </c>
      <c r="TXQ72" s="164">
        <v>45845</v>
      </c>
      <c r="TXR72" s="159" t="s">
        <v>42</v>
      </c>
      <c r="TXS72" s="354"/>
      <c r="TXT72" s="165" t="s">
        <v>124</v>
      </c>
      <c r="TXU72" s="352"/>
      <c r="TXV72" s="353"/>
      <c r="TXW72" s="159" t="s">
        <v>24</v>
      </c>
      <c r="TXX72" s="160">
        <v>8150</v>
      </c>
      <c r="TXY72" s="169">
        <v>85</v>
      </c>
      <c r="TXZ72" s="170">
        <v>215</v>
      </c>
      <c r="TYA72" s="170">
        <v>75</v>
      </c>
      <c r="TYB72" s="169">
        <v>150</v>
      </c>
      <c r="TYC72" s="171">
        <f>SUM(TXX72:TYB72)</f>
        <v>8675</v>
      </c>
      <c r="TYD72" s="169">
        <v>200</v>
      </c>
      <c r="TYE72" s="171">
        <f>SUM(TYC72:TYD72)</f>
        <v>8875</v>
      </c>
      <c r="TYF72" s="163" t="s">
        <v>114</v>
      </c>
      <c r="TYG72" s="164">
        <v>45845</v>
      </c>
      <c r="TYH72" s="159" t="s">
        <v>42</v>
      </c>
      <c r="TYI72" s="354"/>
      <c r="TYJ72" s="165" t="s">
        <v>124</v>
      </c>
      <c r="TYK72" s="352"/>
      <c r="TYL72" s="353"/>
      <c r="TYM72" s="159" t="s">
        <v>24</v>
      </c>
      <c r="TYN72" s="160">
        <v>8150</v>
      </c>
      <c r="TYO72" s="169">
        <v>85</v>
      </c>
      <c r="TYP72" s="170">
        <v>215</v>
      </c>
      <c r="TYQ72" s="170">
        <v>75</v>
      </c>
      <c r="TYR72" s="169">
        <v>150</v>
      </c>
      <c r="TYS72" s="171">
        <f>SUM(TYN72:TYR72)</f>
        <v>8675</v>
      </c>
      <c r="TYT72" s="169">
        <v>200</v>
      </c>
      <c r="TYU72" s="171">
        <f>SUM(TYS72:TYT72)</f>
        <v>8875</v>
      </c>
      <c r="TYV72" s="163" t="s">
        <v>114</v>
      </c>
      <c r="TYW72" s="164">
        <v>45845</v>
      </c>
      <c r="TYX72" s="159" t="s">
        <v>42</v>
      </c>
      <c r="TYY72" s="354"/>
      <c r="TYZ72" s="165" t="s">
        <v>124</v>
      </c>
      <c r="TZA72" s="352"/>
      <c r="TZB72" s="353"/>
      <c r="TZC72" s="159" t="s">
        <v>24</v>
      </c>
      <c r="TZD72" s="160">
        <v>8150</v>
      </c>
      <c r="TZE72" s="169">
        <v>85</v>
      </c>
      <c r="TZF72" s="170">
        <v>215</v>
      </c>
      <c r="TZG72" s="170">
        <v>75</v>
      </c>
      <c r="TZH72" s="169">
        <v>150</v>
      </c>
      <c r="TZI72" s="171">
        <f>SUM(TZD72:TZH72)</f>
        <v>8675</v>
      </c>
      <c r="TZJ72" s="169">
        <v>200</v>
      </c>
      <c r="TZK72" s="171">
        <f>SUM(TZI72:TZJ72)</f>
        <v>8875</v>
      </c>
      <c r="TZL72" s="163" t="s">
        <v>114</v>
      </c>
      <c r="TZM72" s="164">
        <v>45845</v>
      </c>
      <c r="TZN72" s="159" t="s">
        <v>42</v>
      </c>
      <c r="TZO72" s="354"/>
      <c r="TZP72" s="165" t="s">
        <v>124</v>
      </c>
      <c r="TZQ72" s="352"/>
      <c r="TZR72" s="353"/>
      <c r="TZS72" s="159" t="s">
        <v>24</v>
      </c>
      <c r="TZT72" s="160">
        <v>8150</v>
      </c>
      <c r="TZU72" s="169">
        <v>85</v>
      </c>
      <c r="TZV72" s="170">
        <v>215</v>
      </c>
      <c r="TZW72" s="170">
        <v>75</v>
      </c>
      <c r="TZX72" s="169">
        <v>150</v>
      </c>
      <c r="TZY72" s="171">
        <f>SUM(TZT72:TZX72)</f>
        <v>8675</v>
      </c>
      <c r="TZZ72" s="169">
        <v>200</v>
      </c>
      <c r="UAA72" s="171">
        <f>SUM(TZY72:TZZ72)</f>
        <v>8875</v>
      </c>
      <c r="UAB72" s="163" t="s">
        <v>114</v>
      </c>
      <c r="UAC72" s="164">
        <v>45845</v>
      </c>
      <c r="UAD72" s="159" t="s">
        <v>42</v>
      </c>
      <c r="UAE72" s="354"/>
      <c r="UAF72" s="165" t="s">
        <v>124</v>
      </c>
      <c r="UAG72" s="352"/>
      <c r="UAH72" s="353"/>
      <c r="UAI72" s="159" t="s">
        <v>24</v>
      </c>
      <c r="UAJ72" s="160">
        <v>8150</v>
      </c>
      <c r="UAK72" s="169">
        <v>85</v>
      </c>
      <c r="UAL72" s="170">
        <v>215</v>
      </c>
      <c r="UAM72" s="170">
        <v>75</v>
      </c>
      <c r="UAN72" s="169">
        <v>150</v>
      </c>
      <c r="UAO72" s="171">
        <f>SUM(UAJ72:UAN72)</f>
        <v>8675</v>
      </c>
      <c r="UAP72" s="169">
        <v>200</v>
      </c>
      <c r="UAQ72" s="171">
        <f>SUM(UAO72:UAP72)</f>
        <v>8875</v>
      </c>
      <c r="UAR72" s="163" t="s">
        <v>114</v>
      </c>
      <c r="UAS72" s="164">
        <v>45845</v>
      </c>
      <c r="UAT72" s="159" t="s">
        <v>42</v>
      </c>
      <c r="UAU72" s="354"/>
      <c r="UAV72" s="165" t="s">
        <v>124</v>
      </c>
      <c r="UAW72" s="352"/>
      <c r="UAX72" s="353"/>
      <c r="UAY72" s="159" t="s">
        <v>24</v>
      </c>
      <c r="UAZ72" s="160">
        <v>8150</v>
      </c>
      <c r="UBA72" s="169">
        <v>85</v>
      </c>
      <c r="UBB72" s="170">
        <v>215</v>
      </c>
      <c r="UBC72" s="170">
        <v>75</v>
      </c>
      <c r="UBD72" s="169">
        <v>150</v>
      </c>
      <c r="UBE72" s="171">
        <f>SUM(UAZ72:UBD72)</f>
        <v>8675</v>
      </c>
      <c r="UBF72" s="169">
        <v>200</v>
      </c>
      <c r="UBG72" s="171">
        <f>SUM(UBE72:UBF72)</f>
        <v>8875</v>
      </c>
      <c r="UBH72" s="163" t="s">
        <v>114</v>
      </c>
      <c r="UBI72" s="164">
        <v>45845</v>
      </c>
      <c r="UBJ72" s="159" t="s">
        <v>42</v>
      </c>
      <c r="UBK72" s="354"/>
      <c r="UBL72" s="165" t="s">
        <v>124</v>
      </c>
      <c r="UBM72" s="352"/>
      <c r="UBN72" s="353"/>
      <c r="UBO72" s="159" t="s">
        <v>24</v>
      </c>
      <c r="UBP72" s="160">
        <v>8150</v>
      </c>
      <c r="UBQ72" s="169">
        <v>85</v>
      </c>
      <c r="UBR72" s="170">
        <v>215</v>
      </c>
      <c r="UBS72" s="170">
        <v>75</v>
      </c>
      <c r="UBT72" s="169">
        <v>150</v>
      </c>
      <c r="UBU72" s="171">
        <f>SUM(UBP72:UBT72)</f>
        <v>8675</v>
      </c>
      <c r="UBV72" s="169">
        <v>200</v>
      </c>
      <c r="UBW72" s="171">
        <f>SUM(UBU72:UBV72)</f>
        <v>8875</v>
      </c>
      <c r="UBX72" s="163" t="s">
        <v>114</v>
      </c>
      <c r="UBY72" s="164">
        <v>45845</v>
      </c>
      <c r="UBZ72" s="159" t="s">
        <v>42</v>
      </c>
      <c r="UCA72" s="354"/>
      <c r="UCB72" s="165" t="s">
        <v>124</v>
      </c>
      <c r="UCC72" s="352"/>
      <c r="UCD72" s="353"/>
      <c r="UCE72" s="159" t="s">
        <v>24</v>
      </c>
      <c r="UCF72" s="160">
        <v>8150</v>
      </c>
      <c r="UCG72" s="169">
        <v>85</v>
      </c>
      <c r="UCH72" s="170">
        <v>215</v>
      </c>
      <c r="UCI72" s="170">
        <v>75</v>
      </c>
      <c r="UCJ72" s="169">
        <v>150</v>
      </c>
      <c r="UCK72" s="171">
        <f>SUM(UCF72:UCJ72)</f>
        <v>8675</v>
      </c>
      <c r="UCL72" s="169">
        <v>200</v>
      </c>
      <c r="UCM72" s="171">
        <f>SUM(UCK72:UCL72)</f>
        <v>8875</v>
      </c>
      <c r="UCN72" s="163" t="s">
        <v>114</v>
      </c>
      <c r="UCO72" s="164">
        <v>45845</v>
      </c>
      <c r="UCP72" s="159" t="s">
        <v>42</v>
      </c>
      <c r="UCQ72" s="354"/>
      <c r="UCR72" s="165" t="s">
        <v>124</v>
      </c>
      <c r="UCS72" s="352"/>
      <c r="UCT72" s="353"/>
      <c r="UCU72" s="159" t="s">
        <v>24</v>
      </c>
      <c r="UCV72" s="160">
        <v>8150</v>
      </c>
      <c r="UCW72" s="169">
        <v>85</v>
      </c>
      <c r="UCX72" s="170">
        <v>215</v>
      </c>
      <c r="UCY72" s="170">
        <v>75</v>
      </c>
      <c r="UCZ72" s="169">
        <v>150</v>
      </c>
      <c r="UDA72" s="171">
        <f>SUM(UCV72:UCZ72)</f>
        <v>8675</v>
      </c>
      <c r="UDB72" s="169">
        <v>200</v>
      </c>
      <c r="UDC72" s="171">
        <f>SUM(UDA72:UDB72)</f>
        <v>8875</v>
      </c>
      <c r="UDD72" s="163" t="s">
        <v>114</v>
      </c>
      <c r="UDE72" s="164">
        <v>45845</v>
      </c>
      <c r="UDF72" s="159" t="s">
        <v>42</v>
      </c>
      <c r="UDG72" s="354"/>
      <c r="UDH72" s="165" t="s">
        <v>124</v>
      </c>
      <c r="UDI72" s="352"/>
      <c r="UDJ72" s="353"/>
      <c r="UDK72" s="159" t="s">
        <v>24</v>
      </c>
      <c r="UDL72" s="160">
        <v>8150</v>
      </c>
      <c r="UDM72" s="169">
        <v>85</v>
      </c>
      <c r="UDN72" s="170">
        <v>215</v>
      </c>
      <c r="UDO72" s="170">
        <v>75</v>
      </c>
      <c r="UDP72" s="169">
        <v>150</v>
      </c>
      <c r="UDQ72" s="171">
        <f>SUM(UDL72:UDP72)</f>
        <v>8675</v>
      </c>
      <c r="UDR72" s="169">
        <v>200</v>
      </c>
      <c r="UDS72" s="171">
        <f>SUM(UDQ72:UDR72)</f>
        <v>8875</v>
      </c>
      <c r="UDT72" s="163" t="s">
        <v>114</v>
      </c>
      <c r="UDU72" s="164">
        <v>45845</v>
      </c>
      <c r="UDV72" s="159" t="s">
        <v>42</v>
      </c>
      <c r="UDW72" s="354"/>
      <c r="UDX72" s="165" t="s">
        <v>124</v>
      </c>
      <c r="UDY72" s="352"/>
      <c r="UDZ72" s="353"/>
      <c r="UEA72" s="159" t="s">
        <v>24</v>
      </c>
      <c r="UEB72" s="160">
        <v>8150</v>
      </c>
      <c r="UEC72" s="169">
        <v>85</v>
      </c>
      <c r="UED72" s="170">
        <v>215</v>
      </c>
      <c r="UEE72" s="170">
        <v>75</v>
      </c>
      <c r="UEF72" s="169">
        <v>150</v>
      </c>
      <c r="UEG72" s="171">
        <f>SUM(UEB72:UEF72)</f>
        <v>8675</v>
      </c>
      <c r="UEH72" s="169">
        <v>200</v>
      </c>
      <c r="UEI72" s="171">
        <f>SUM(UEG72:UEH72)</f>
        <v>8875</v>
      </c>
      <c r="UEJ72" s="163" t="s">
        <v>114</v>
      </c>
      <c r="UEK72" s="164">
        <v>45845</v>
      </c>
      <c r="UEL72" s="159" t="s">
        <v>42</v>
      </c>
      <c r="UEM72" s="354"/>
      <c r="UEN72" s="165" t="s">
        <v>124</v>
      </c>
      <c r="UEO72" s="352"/>
      <c r="UEP72" s="353"/>
      <c r="UEQ72" s="159" t="s">
        <v>24</v>
      </c>
      <c r="UER72" s="160">
        <v>8150</v>
      </c>
      <c r="UES72" s="169">
        <v>85</v>
      </c>
      <c r="UET72" s="170">
        <v>215</v>
      </c>
      <c r="UEU72" s="170">
        <v>75</v>
      </c>
      <c r="UEV72" s="169">
        <v>150</v>
      </c>
      <c r="UEW72" s="171">
        <f>SUM(UER72:UEV72)</f>
        <v>8675</v>
      </c>
      <c r="UEX72" s="169">
        <v>200</v>
      </c>
      <c r="UEY72" s="171">
        <f>SUM(UEW72:UEX72)</f>
        <v>8875</v>
      </c>
      <c r="UEZ72" s="163" t="s">
        <v>114</v>
      </c>
      <c r="UFA72" s="164">
        <v>45845</v>
      </c>
      <c r="UFB72" s="159" t="s">
        <v>42</v>
      </c>
      <c r="UFC72" s="354"/>
      <c r="UFD72" s="165" t="s">
        <v>124</v>
      </c>
      <c r="UFE72" s="352"/>
      <c r="UFF72" s="353"/>
      <c r="UFG72" s="159" t="s">
        <v>24</v>
      </c>
      <c r="UFH72" s="160">
        <v>8150</v>
      </c>
      <c r="UFI72" s="169">
        <v>85</v>
      </c>
      <c r="UFJ72" s="170">
        <v>215</v>
      </c>
      <c r="UFK72" s="170">
        <v>75</v>
      </c>
      <c r="UFL72" s="169">
        <v>150</v>
      </c>
      <c r="UFM72" s="171">
        <f>SUM(UFH72:UFL72)</f>
        <v>8675</v>
      </c>
      <c r="UFN72" s="169">
        <v>200</v>
      </c>
      <c r="UFO72" s="171">
        <f>SUM(UFM72:UFN72)</f>
        <v>8875</v>
      </c>
      <c r="UFP72" s="163" t="s">
        <v>114</v>
      </c>
      <c r="UFQ72" s="164">
        <v>45845</v>
      </c>
      <c r="UFR72" s="159" t="s">
        <v>42</v>
      </c>
      <c r="UFS72" s="354"/>
      <c r="UFT72" s="165" t="s">
        <v>124</v>
      </c>
      <c r="UFU72" s="352"/>
      <c r="UFV72" s="353"/>
      <c r="UFW72" s="159" t="s">
        <v>24</v>
      </c>
      <c r="UFX72" s="160">
        <v>8150</v>
      </c>
      <c r="UFY72" s="169">
        <v>85</v>
      </c>
      <c r="UFZ72" s="170">
        <v>215</v>
      </c>
      <c r="UGA72" s="170">
        <v>75</v>
      </c>
      <c r="UGB72" s="169">
        <v>150</v>
      </c>
      <c r="UGC72" s="171">
        <f>SUM(UFX72:UGB72)</f>
        <v>8675</v>
      </c>
      <c r="UGD72" s="169">
        <v>200</v>
      </c>
      <c r="UGE72" s="171">
        <f>SUM(UGC72:UGD72)</f>
        <v>8875</v>
      </c>
      <c r="UGF72" s="163" t="s">
        <v>114</v>
      </c>
      <c r="UGG72" s="164">
        <v>45845</v>
      </c>
      <c r="UGH72" s="159" t="s">
        <v>42</v>
      </c>
      <c r="UGI72" s="354"/>
      <c r="UGJ72" s="165" t="s">
        <v>124</v>
      </c>
      <c r="UGK72" s="352"/>
      <c r="UGL72" s="353"/>
      <c r="UGM72" s="159" t="s">
        <v>24</v>
      </c>
      <c r="UGN72" s="160">
        <v>8150</v>
      </c>
      <c r="UGO72" s="169">
        <v>85</v>
      </c>
      <c r="UGP72" s="170">
        <v>215</v>
      </c>
      <c r="UGQ72" s="170">
        <v>75</v>
      </c>
      <c r="UGR72" s="169">
        <v>150</v>
      </c>
      <c r="UGS72" s="171">
        <f>SUM(UGN72:UGR72)</f>
        <v>8675</v>
      </c>
      <c r="UGT72" s="169">
        <v>200</v>
      </c>
      <c r="UGU72" s="171">
        <f>SUM(UGS72:UGT72)</f>
        <v>8875</v>
      </c>
      <c r="UGV72" s="163" t="s">
        <v>114</v>
      </c>
      <c r="UGW72" s="164">
        <v>45845</v>
      </c>
      <c r="UGX72" s="159" t="s">
        <v>42</v>
      </c>
      <c r="UGY72" s="354"/>
      <c r="UGZ72" s="165" t="s">
        <v>124</v>
      </c>
      <c r="UHA72" s="352"/>
      <c r="UHB72" s="353"/>
      <c r="UHC72" s="159" t="s">
        <v>24</v>
      </c>
      <c r="UHD72" s="160">
        <v>8150</v>
      </c>
      <c r="UHE72" s="169">
        <v>85</v>
      </c>
      <c r="UHF72" s="170">
        <v>215</v>
      </c>
      <c r="UHG72" s="170">
        <v>75</v>
      </c>
      <c r="UHH72" s="169">
        <v>150</v>
      </c>
      <c r="UHI72" s="171">
        <f>SUM(UHD72:UHH72)</f>
        <v>8675</v>
      </c>
      <c r="UHJ72" s="169">
        <v>200</v>
      </c>
      <c r="UHK72" s="171">
        <f>SUM(UHI72:UHJ72)</f>
        <v>8875</v>
      </c>
      <c r="UHL72" s="163" t="s">
        <v>114</v>
      </c>
      <c r="UHM72" s="164">
        <v>45845</v>
      </c>
      <c r="UHN72" s="159" t="s">
        <v>42</v>
      </c>
      <c r="UHO72" s="354"/>
      <c r="UHP72" s="165" t="s">
        <v>124</v>
      </c>
      <c r="UHQ72" s="352"/>
      <c r="UHR72" s="353"/>
      <c r="UHS72" s="159" t="s">
        <v>24</v>
      </c>
      <c r="UHT72" s="160">
        <v>8150</v>
      </c>
      <c r="UHU72" s="169">
        <v>85</v>
      </c>
      <c r="UHV72" s="170">
        <v>215</v>
      </c>
      <c r="UHW72" s="170">
        <v>75</v>
      </c>
      <c r="UHX72" s="169">
        <v>150</v>
      </c>
      <c r="UHY72" s="171">
        <f>SUM(UHT72:UHX72)</f>
        <v>8675</v>
      </c>
      <c r="UHZ72" s="169">
        <v>200</v>
      </c>
      <c r="UIA72" s="171">
        <f>SUM(UHY72:UHZ72)</f>
        <v>8875</v>
      </c>
      <c r="UIB72" s="163" t="s">
        <v>114</v>
      </c>
      <c r="UIC72" s="164">
        <v>45845</v>
      </c>
      <c r="UID72" s="159" t="s">
        <v>42</v>
      </c>
      <c r="UIE72" s="354"/>
      <c r="UIF72" s="165" t="s">
        <v>124</v>
      </c>
      <c r="UIG72" s="352"/>
      <c r="UIH72" s="353"/>
      <c r="UII72" s="159" t="s">
        <v>24</v>
      </c>
      <c r="UIJ72" s="160">
        <v>8150</v>
      </c>
      <c r="UIK72" s="169">
        <v>85</v>
      </c>
      <c r="UIL72" s="170">
        <v>215</v>
      </c>
      <c r="UIM72" s="170">
        <v>75</v>
      </c>
      <c r="UIN72" s="169">
        <v>150</v>
      </c>
      <c r="UIO72" s="171">
        <f>SUM(UIJ72:UIN72)</f>
        <v>8675</v>
      </c>
      <c r="UIP72" s="169">
        <v>200</v>
      </c>
      <c r="UIQ72" s="171">
        <f>SUM(UIO72:UIP72)</f>
        <v>8875</v>
      </c>
      <c r="UIR72" s="163" t="s">
        <v>114</v>
      </c>
      <c r="UIS72" s="164">
        <v>45845</v>
      </c>
      <c r="UIT72" s="159" t="s">
        <v>42</v>
      </c>
      <c r="UIU72" s="354"/>
      <c r="UIV72" s="165" t="s">
        <v>124</v>
      </c>
      <c r="UIW72" s="352"/>
      <c r="UIX72" s="353"/>
      <c r="UIY72" s="159" t="s">
        <v>24</v>
      </c>
      <c r="UIZ72" s="160">
        <v>8150</v>
      </c>
      <c r="UJA72" s="169">
        <v>85</v>
      </c>
      <c r="UJB72" s="170">
        <v>215</v>
      </c>
      <c r="UJC72" s="170">
        <v>75</v>
      </c>
      <c r="UJD72" s="169">
        <v>150</v>
      </c>
      <c r="UJE72" s="171">
        <f>SUM(UIZ72:UJD72)</f>
        <v>8675</v>
      </c>
      <c r="UJF72" s="169">
        <v>200</v>
      </c>
      <c r="UJG72" s="171">
        <f>SUM(UJE72:UJF72)</f>
        <v>8875</v>
      </c>
      <c r="UJH72" s="163" t="s">
        <v>114</v>
      </c>
      <c r="UJI72" s="164">
        <v>45845</v>
      </c>
      <c r="UJJ72" s="159" t="s">
        <v>42</v>
      </c>
      <c r="UJK72" s="354"/>
      <c r="UJL72" s="165" t="s">
        <v>124</v>
      </c>
      <c r="UJM72" s="352"/>
      <c r="UJN72" s="353"/>
      <c r="UJO72" s="159" t="s">
        <v>24</v>
      </c>
      <c r="UJP72" s="160">
        <v>8150</v>
      </c>
      <c r="UJQ72" s="169">
        <v>85</v>
      </c>
      <c r="UJR72" s="170">
        <v>215</v>
      </c>
      <c r="UJS72" s="170">
        <v>75</v>
      </c>
      <c r="UJT72" s="169">
        <v>150</v>
      </c>
      <c r="UJU72" s="171">
        <f>SUM(UJP72:UJT72)</f>
        <v>8675</v>
      </c>
      <c r="UJV72" s="169">
        <v>200</v>
      </c>
      <c r="UJW72" s="171">
        <f>SUM(UJU72:UJV72)</f>
        <v>8875</v>
      </c>
      <c r="UJX72" s="163" t="s">
        <v>114</v>
      </c>
      <c r="UJY72" s="164">
        <v>45845</v>
      </c>
      <c r="UJZ72" s="159" t="s">
        <v>42</v>
      </c>
      <c r="UKA72" s="354"/>
      <c r="UKB72" s="165" t="s">
        <v>124</v>
      </c>
      <c r="UKC72" s="352"/>
      <c r="UKD72" s="353"/>
      <c r="UKE72" s="159" t="s">
        <v>24</v>
      </c>
      <c r="UKF72" s="160">
        <v>8150</v>
      </c>
      <c r="UKG72" s="169">
        <v>85</v>
      </c>
      <c r="UKH72" s="170">
        <v>215</v>
      </c>
      <c r="UKI72" s="170">
        <v>75</v>
      </c>
      <c r="UKJ72" s="169">
        <v>150</v>
      </c>
      <c r="UKK72" s="171">
        <f>SUM(UKF72:UKJ72)</f>
        <v>8675</v>
      </c>
      <c r="UKL72" s="169">
        <v>200</v>
      </c>
      <c r="UKM72" s="171">
        <f>SUM(UKK72:UKL72)</f>
        <v>8875</v>
      </c>
      <c r="UKN72" s="163" t="s">
        <v>114</v>
      </c>
      <c r="UKO72" s="164">
        <v>45845</v>
      </c>
      <c r="UKP72" s="159" t="s">
        <v>42</v>
      </c>
      <c r="UKQ72" s="354"/>
      <c r="UKR72" s="165" t="s">
        <v>124</v>
      </c>
      <c r="UKS72" s="352"/>
      <c r="UKT72" s="353"/>
      <c r="UKU72" s="159" t="s">
        <v>24</v>
      </c>
      <c r="UKV72" s="160">
        <v>8150</v>
      </c>
      <c r="UKW72" s="169">
        <v>85</v>
      </c>
      <c r="UKX72" s="170">
        <v>215</v>
      </c>
      <c r="UKY72" s="170">
        <v>75</v>
      </c>
      <c r="UKZ72" s="169">
        <v>150</v>
      </c>
      <c r="ULA72" s="171">
        <f>SUM(UKV72:UKZ72)</f>
        <v>8675</v>
      </c>
      <c r="ULB72" s="169">
        <v>200</v>
      </c>
      <c r="ULC72" s="171">
        <f>SUM(ULA72:ULB72)</f>
        <v>8875</v>
      </c>
      <c r="ULD72" s="163" t="s">
        <v>114</v>
      </c>
      <c r="ULE72" s="164">
        <v>45845</v>
      </c>
      <c r="ULF72" s="159" t="s">
        <v>42</v>
      </c>
      <c r="ULG72" s="354"/>
      <c r="ULH72" s="165" t="s">
        <v>124</v>
      </c>
      <c r="ULI72" s="352"/>
      <c r="ULJ72" s="353"/>
      <c r="ULK72" s="159" t="s">
        <v>24</v>
      </c>
      <c r="ULL72" s="160">
        <v>8150</v>
      </c>
      <c r="ULM72" s="169">
        <v>85</v>
      </c>
      <c r="ULN72" s="170">
        <v>215</v>
      </c>
      <c r="ULO72" s="170">
        <v>75</v>
      </c>
      <c r="ULP72" s="169">
        <v>150</v>
      </c>
      <c r="ULQ72" s="171">
        <f>SUM(ULL72:ULP72)</f>
        <v>8675</v>
      </c>
      <c r="ULR72" s="169">
        <v>200</v>
      </c>
      <c r="ULS72" s="171">
        <f>SUM(ULQ72:ULR72)</f>
        <v>8875</v>
      </c>
      <c r="ULT72" s="163" t="s">
        <v>114</v>
      </c>
      <c r="ULU72" s="164">
        <v>45845</v>
      </c>
      <c r="ULV72" s="159" t="s">
        <v>42</v>
      </c>
      <c r="ULW72" s="354"/>
      <c r="ULX72" s="165" t="s">
        <v>124</v>
      </c>
      <c r="ULY72" s="352"/>
      <c r="ULZ72" s="353"/>
      <c r="UMA72" s="159" t="s">
        <v>24</v>
      </c>
      <c r="UMB72" s="160">
        <v>8150</v>
      </c>
      <c r="UMC72" s="169">
        <v>85</v>
      </c>
      <c r="UMD72" s="170">
        <v>215</v>
      </c>
      <c r="UME72" s="170">
        <v>75</v>
      </c>
      <c r="UMF72" s="169">
        <v>150</v>
      </c>
      <c r="UMG72" s="171">
        <f>SUM(UMB72:UMF72)</f>
        <v>8675</v>
      </c>
      <c r="UMH72" s="169">
        <v>200</v>
      </c>
      <c r="UMI72" s="171">
        <f>SUM(UMG72:UMH72)</f>
        <v>8875</v>
      </c>
      <c r="UMJ72" s="163" t="s">
        <v>114</v>
      </c>
      <c r="UMK72" s="164">
        <v>45845</v>
      </c>
      <c r="UML72" s="159" t="s">
        <v>42</v>
      </c>
      <c r="UMM72" s="354"/>
      <c r="UMN72" s="165" t="s">
        <v>124</v>
      </c>
      <c r="UMO72" s="352"/>
      <c r="UMP72" s="353"/>
      <c r="UMQ72" s="159" t="s">
        <v>24</v>
      </c>
      <c r="UMR72" s="160">
        <v>8150</v>
      </c>
      <c r="UMS72" s="169">
        <v>85</v>
      </c>
      <c r="UMT72" s="170">
        <v>215</v>
      </c>
      <c r="UMU72" s="170">
        <v>75</v>
      </c>
      <c r="UMV72" s="169">
        <v>150</v>
      </c>
      <c r="UMW72" s="171">
        <f>SUM(UMR72:UMV72)</f>
        <v>8675</v>
      </c>
      <c r="UMX72" s="169">
        <v>200</v>
      </c>
      <c r="UMY72" s="171">
        <f>SUM(UMW72:UMX72)</f>
        <v>8875</v>
      </c>
      <c r="UMZ72" s="163" t="s">
        <v>114</v>
      </c>
      <c r="UNA72" s="164">
        <v>45845</v>
      </c>
      <c r="UNB72" s="159" t="s">
        <v>42</v>
      </c>
      <c r="UNC72" s="354"/>
      <c r="UND72" s="165" t="s">
        <v>124</v>
      </c>
      <c r="UNE72" s="352"/>
      <c r="UNF72" s="353"/>
      <c r="UNG72" s="159" t="s">
        <v>24</v>
      </c>
      <c r="UNH72" s="160">
        <v>8150</v>
      </c>
      <c r="UNI72" s="169">
        <v>85</v>
      </c>
      <c r="UNJ72" s="170">
        <v>215</v>
      </c>
      <c r="UNK72" s="170">
        <v>75</v>
      </c>
      <c r="UNL72" s="169">
        <v>150</v>
      </c>
      <c r="UNM72" s="171">
        <f>SUM(UNH72:UNL72)</f>
        <v>8675</v>
      </c>
      <c r="UNN72" s="169">
        <v>200</v>
      </c>
      <c r="UNO72" s="171">
        <f>SUM(UNM72:UNN72)</f>
        <v>8875</v>
      </c>
      <c r="UNP72" s="163" t="s">
        <v>114</v>
      </c>
      <c r="UNQ72" s="164">
        <v>45845</v>
      </c>
      <c r="UNR72" s="159" t="s">
        <v>42</v>
      </c>
      <c r="UNS72" s="354"/>
      <c r="UNT72" s="165" t="s">
        <v>124</v>
      </c>
      <c r="UNU72" s="352"/>
      <c r="UNV72" s="353"/>
      <c r="UNW72" s="159" t="s">
        <v>24</v>
      </c>
      <c r="UNX72" s="160">
        <v>8150</v>
      </c>
      <c r="UNY72" s="169">
        <v>85</v>
      </c>
      <c r="UNZ72" s="170">
        <v>215</v>
      </c>
      <c r="UOA72" s="170">
        <v>75</v>
      </c>
      <c r="UOB72" s="169">
        <v>150</v>
      </c>
      <c r="UOC72" s="171">
        <f>SUM(UNX72:UOB72)</f>
        <v>8675</v>
      </c>
      <c r="UOD72" s="169">
        <v>200</v>
      </c>
      <c r="UOE72" s="171">
        <f>SUM(UOC72:UOD72)</f>
        <v>8875</v>
      </c>
      <c r="UOF72" s="163" t="s">
        <v>114</v>
      </c>
      <c r="UOG72" s="164">
        <v>45845</v>
      </c>
      <c r="UOH72" s="159" t="s">
        <v>42</v>
      </c>
      <c r="UOI72" s="354"/>
      <c r="UOJ72" s="165" t="s">
        <v>124</v>
      </c>
      <c r="UOK72" s="352"/>
      <c r="UOL72" s="353"/>
      <c r="UOM72" s="159" t="s">
        <v>24</v>
      </c>
      <c r="UON72" s="160">
        <v>8150</v>
      </c>
      <c r="UOO72" s="169">
        <v>85</v>
      </c>
      <c r="UOP72" s="170">
        <v>215</v>
      </c>
      <c r="UOQ72" s="170">
        <v>75</v>
      </c>
      <c r="UOR72" s="169">
        <v>150</v>
      </c>
      <c r="UOS72" s="171">
        <f>SUM(UON72:UOR72)</f>
        <v>8675</v>
      </c>
      <c r="UOT72" s="169">
        <v>200</v>
      </c>
      <c r="UOU72" s="171">
        <f>SUM(UOS72:UOT72)</f>
        <v>8875</v>
      </c>
      <c r="UOV72" s="163" t="s">
        <v>114</v>
      </c>
      <c r="UOW72" s="164">
        <v>45845</v>
      </c>
      <c r="UOX72" s="159" t="s">
        <v>42</v>
      </c>
      <c r="UOY72" s="354"/>
      <c r="UOZ72" s="165" t="s">
        <v>124</v>
      </c>
      <c r="UPA72" s="352"/>
      <c r="UPB72" s="353"/>
      <c r="UPC72" s="159" t="s">
        <v>24</v>
      </c>
      <c r="UPD72" s="160">
        <v>8150</v>
      </c>
      <c r="UPE72" s="169">
        <v>85</v>
      </c>
      <c r="UPF72" s="170">
        <v>215</v>
      </c>
      <c r="UPG72" s="170">
        <v>75</v>
      </c>
      <c r="UPH72" s="169">
        <v>150</v>
      </c>
      <c r="UPI72" s="171">
        <f>SUM(UPD72:UPH72)</f>
        <v>8675</v>
      </c>
      <c r="UPJ72" s="169">
        <v>200</v>
      </c>
      <c r="UPK72" s="171">
        <f>SUM(UPI72:UPJ72)</f>
        <v>8875</v>
      </c>
      <c r="UPL72" s="163" t="s">
        <v>114</v>
      </c>
      <c r="UPM72" s="164">
        <v>45845</v>
      </c>
      <c r="UPN72" s="159" t="s">
        <v>42</v>
      </c>
      <c r="UPO72" s="354"/>
      <c r="UPP72" s="165" t="s">
        <v>124</v>
      </c>
      <c r="UPQ72" s="352"/>
      <c r="UPR72" s="353"/>
      <c r="UPS72" s="159" t="s">
        <v>24</v>
      </c>
      <c r="UPT72" s="160">
        <v>8150</v>
      </c>
      <c r="UPU72" s="169">
        <v>85</v>
      </c>
      <c r="UPV72" s="170">
        <v>215</v>
      </c>
      <c r="UPW72" s="170">
        <v>75</v>
      </c>
      <c r="UPX72" s="169">
        <v>150</v>
      </c>
      <c r="UPY72" s="171">
        <f>SUM(UPT72:UPX72)</f>
        <v>8675</v>
      </c>
      <c r="UPZ72" s="169">
        <v>200</v>
      </c>
      <c r="UQA72" s="171">
        <f>SUM(UPY72:UPZ72)</f>
        <v>8875</v>
      </c>
      <c r="UQB72" s="163" t="s">
        <v>114</v>
      </c>
      <c r="UQC72" s="164">
        <v>45845</v>
      </c>
      <c r="UQD72" s="159" t="s">
        <v>42</v>
      </c>
      <c r="UQE72" s="354"/>
      <c r="UQF72" s="165" t="s">
        <v>124</v>
      </c>
      <c r="UQG72" s="352"/>
      <c r="UQH72" s="353"/>
      <c r="UQI72" s="159" t="s">
        <v>24</v>
      </c>
      <c r="UQJ72" s="160">
        <v>8150</v>
      </c>
      <c r="UQK72" s="169">
        <v>85</v>
      </c>
      <c r="UQL72" s="170">
        <v>215</v>
      </c>
      <c r="UQM72" s="170">
        <v>75</v>
      </c>
      <c r="UQN72" s="169">
        <v>150</v>
      </c>
      <c r="UQO72" s="171">
        <f>SUM(UQJ72:UQN72)</f>
        <v>8675</v>
      </c>
      <c r="UQP72" s="169">
        <v>200</v>
      </c>
      <c r="UQQ72" s="171">
        <f>SUM(UQO72:UQP72)</f>
        <v>8875</v>
      </c>
      <c r="UQR72" s="163" t="s">
        <v>114</v>
      </c>
      <c r="UQS72" s="164">
        <v>45845</v>
      </c>
      <c r="UQT72" s="159" t="s">
        <v>42</v>
      </c>
      <c r="UQU72" s="354"/>
      <c r="UQV72" s="165" t="s">
        <v>124</v>
      </c>
      <c r="UQW72" s="352"/>
      <c r="UQX72" s="353"/>
      <c r="UQY72" s="159" t="s">
        <v>24</v>
      </c>
      <c r="UQZ72" s="160">
        <v>8150</v>
      </c>
      <c r="URA72" s="169">
        <v>85</v>
      </c>
      <c r="URB72" s="170">
        <v>215</v>
      </c>
      <c r="URC72" s="170">
        <v>75</v>
      </c>
      <c r="URD72" s="169">
        <v>150</v>
      </c>
      <c r="URE72" s="171">
        <f>SUM(UQZ72:URD72)</f>
        <v>8675</v>
      </c>
      <c r="URF72" s="169">
        <v>200</v>
      </c>
      <c r="URG72" s="171">
        <f>SUM(URE72:URF72)</f>
        <v>8875</v>
      </c>
      <c r="URH72" s="163" t="s">
        <v>114</v>
      </c>
      <c r="URI72" s="164">
        <v>45845</v>
      </c>
      <c r="URJ72" s="159" t="s">
        <v>42</v>
      </c>
      <c r="URK72" s="354"/>
      <c r="URL72" s="165" t="s">
        <v>124</v>
      </c>
      <c r="URM72" s="352"/>
      <c r="URN72" s="353"/>
      <c r="URO72" s="159" t="s">
        <v>24</v>
      </c>
      <c r="URP72" s="160">
        <v>8150</v>
      </c>
      <c r="URQ72" s="169">
        <v>85</v>
      </c>
      <c r="URR72" s="170">
        <v>215</v>
      </c>
      <c r="URS72" s="170">
        <v>75</v>
      </c>
      <c r="URT72" s="169">
        <v>150</v>
      </c>
      <c r="URU72" s="171">
        <f>SUM(URP72:URT72)</f>
        <v>8675</v>
      </c>
      <c r="URV72" s="169">
        <v>200</v>
      </c>
      <c r="URW72" s="171">
        <f>SUM(URU72:URV72)</f>
        <v>8875</v>
      </c>
      <c r="URX72" s="163" t="s">
        <v>114</v>
      </c>
      <c r="URY72" s="164">
        <v>45845</v>
      </c>
      <c r="URZ72" s="159" t="s">
        <v>42</v>
      </c>
      <c r="USA72" s="354"/>
      <c r="USB72" s="165" t="s">
        <v>124</v>
      </c>
      <c r="USC72" s="352"/>
      <c r="USD72" s="353"/>
      <c r="USE72" s="159" t="s">
        <v>24</v>
      </c>
      <c r="USF72" s="160">
        <v>8150</v>
      </c>
      <c r="USG72" s="169">
        <v>85</v>
      </c>
      <c r="USH72" s="170">
        <v>215</v>
      </c>
      <c r="USI72" s="170">
        <v>75</v>
      </c>
      <c r="USJ72" s="169">
        <v>150</v>
      </c>
      <c r="USK72" s="171">
        <f>SUM(USF72:USJ72)</f>
        <v>8675</v>
      </c>
      <c r="USL72" s="169">
        <v>200</v>
      </c>
      <c r="USM72" s="171">
        <f>SUM(USK72:USL72)</f>
        <v>8875</v>
      </c>
      <c r="USN72" s="163" t="s">
        <v>114</v>
      </c>
      <c r="USO72" s="164">
        <v>45845</v>
      </c>
      <c r="USP72" s="159" t="s">
        <v>42</v>
      </c>
      <c r="USQ72" s="354"/>
      <c r="USR72" s="165" t="s">
        <v>124</v>
      </c>
      <c r="USS72" s="352"/>
      <c r="UST72" s="353"/>
      <c r="USU72" s="159" t="s">
        <v>24</v>
      </c>
      <c r="USV72" s="160">
        <v>8150</v>
      </c>
      <c r="USW72" s="169">
        <v>85</v>
      </c>
      <c r="USX72" s="170">
        <v>215</v>
      </c>
      <c r="USY72" s="170">
        <v>75</v>
      </c>
      <c r="USZ72" s="169">
        <v>150</v>
      </c>
      <c r="UTA72" s="171">
        <f>SUM(USV72:USZ72)</f>
        <v>8675</v>
      </c>
      <c r="UTB72" s="169">
        <v>200</v>
      </c>
      <c r="UTC72" s="171">
        <f>SUM(UTA72:UTB72)</f>
        <v>8875</v>
      </c>
      <c r="UTD72" s="163" t="s">
        <v>114</v>
      </c>
      <c r="UTE72" s="164">
        <v>45845</v>
      </c>
      <c r="UTF72" s="159" t="s">
        <v>42</v>
      </c>
      <c r="UTG72" s="354"/>
      <c r="UTH72" s="165" t="s">
        <v>124</v>
      </c>
      <c r="UTI72" s="352"/>
      <c r="UTJ72" s="353"/>
      <c r="UTK72" s="159" t="s">
        <v>24</v>
      </c>
      <c r="UTL72" s="160">
        <v>8150</v>
      </c>
      <c r="UTM72" s="169">
        <v>85</v>
      </c>
      <c r="UTN72" s="170">
        <v>215</v>
      </c>
      <c r="UTO72" s="170">
        <v>75</v>
      </c>
      <c r="UTP72" s="169">
        <v>150</v>
      </c>
      <c r="UTQ72" s="171">
        <f>SUM(UTL72:UTP72)</f>
        <v>8675</v>
      </c>
      <c r="UTR72" s="169">
        <v>200</v>
      </c>
      <c r="UTS72" s="171">
        <f>SUM(UTQ72:UTR72)</f>
        <v>8875</v>
      </c>
      <c r="UTT72" s="163" t="s">
        <v>114</v>
      </c>
      <c r="UTU72" s="164">
        <v>45845</v>
      </c>
      <c r="UTV72" s="159" t="s">
        <v>42</v>
      </c>
      <c r="UTW72" s="354"/>
      <c r="UTX72" s="165" t="s">
        <v>124</v>
      </c>
      <c r="UTY72" s="352"/>
      <c r="UTZ72" s="353"/>
      <c r="UUA72" s="159" t="s">
        <v>24</v>
      </c>
      <c r="UUB72" s="160">
        <v>8150</v>
      </c>
      <c r="UUC72" s="169">
        <v>85</v>
      </c>
      <c r="UUD72" s="170">
        <v>215</v>
      </c>
      <c r="UUE72" s="170">
        <v>75</v>
      </c>
      <c r="UUF72" s="169">
        <v>150</v>
      </c>
      <c r="UUG72" s="171">
        <f>SUM(UUB72:UUF72)</f>
        <v>8675</v>
      </c>
      <c r="UUH72" s="169">
        <v>200</v>
      </c>
      <c r="UUI72" s="171">
        <f>SUM(UUG72:UUH72)</f>
        <v>8875</v>
      </c>
      <c r="UUJ72" s="163" t="s">
        <v>114</v>
      </c>
      <c r="UUK72" s="164">
        <v>45845</v>
      </c>
      <c r="UUL72" s="159" t="s">
        <v>42</v>
      </c>
      <c r="UUM72" s="354"/>
      <c r="UUN72" s="165" t="s">
        <v>124</v>
      </c>
      <c r="UUO72" s="352"/>
      <c r="UUP72" s="353"/>
      <c r="UUQ72" s="159" t="s">
        <v>24</v>
      </c>
      <c r="UUR72" s="160">
        <v>8150</v>
      </c>
      <c r="UUS72" s="169">
        <v>85</v>
      </c>
      <c r="UUT72" s="170">
        <v>215</v>
      </c>
      <c r="UUU72" s="170">
        <v>75</v>
      </c>
      <c r="UUV72" s="169">
        <v>150</v>
      </c>
      <c r="UUW72" s="171">
        <f>SUM(UUR72:UUV72)</f>
        <v>8675</v>
      </c>
      <c r="UUX72" s="169">
        <v>200</v>
      </c>
      <c r="UUY72" s="171">
        <f>SUM(UUW72:UUX72)</f>
        <v>8875</v>
      </c>
      <c r="UUZ72" s="163" t="s">
        <v>114</v>
      </c>
      <c r="UVA72" s="164">
        <v>45845</v>
      </c>
      <c r="UVB72" s="159" t="s">
        <v>42</v>
      </c>
      <c r="UVC72" s="354"/>
      <c r="UVD72" s="165" t="s">
        <v>124</v>
      </c>
      <c r="UVE72" s="352"/>
      <c r="UVF72" s="353"/>
      <c r="UVG72" s="159" t="s">
        <v>24</v>
      </c>
      <c r="UVH72" s="160">
        <v>8150</v>
      </c>
      <c r="UVI72" s="169">
        <v>85</v>
      </c>
      <c r="UVJ72" s="170">
        <v>215</v>
      </c>
      <c r="UVK72" s="170">
        <v>75</v>
      </c>
      <c r="UVL72" s="169">
        <v>150</v>
      </c>
      <c r="UVM72" s="171">
        <f>SUM(UVH72:UVL72)</f>
        <v>8675</v>
      </c>
      <c r="UVN72" s="169">
        <v>200</v>
      </c>
      <c r="UVO72" s="171">
        <f>SUM(UVM72:UVN72)</f>
        <v>8875</v>
      </c>
      <c r="UVP72" s="163" t="s">
        <v>114</v>
      </c>
      <c r="UVQ72" s="164">
        <v>45845</v>
      </c>
      <c r="UVR72" s="159" t="s">
        <v>42</v>
      </c>
      <c r="UVS72" s="354"/>
      <c r="UVT72" s="165" t="s">
        <v>124</v>
      </c>
      <c r="UVU72" s="352"/>
      <c r="UVV72" s="353"/>
      <c r="UVW72" s="159" t="s">
        <v>24</v>
      </c>
      <c r="UVX72" s="160">
        <v>8150</v>
      </c>
      <c r="UVY72" s="169">
        <v>85</v>
      </c>
      <c r="UVZ72" s="170">
        <v>215</v>
      </c>
      <c r="UWA72" s="170">
        <v>75</v>
      </c>
      <c r="UWB72" s="169">
        <v>150</v>
      </c>
      <c r="UWC72" s="171">
        <f>SUM(UVX72:UWB72)</f>
        <v>8675</v>
      </c>
      <c r="UWD72" s="169">
        <v>200</v>
      </c>
      <c r="UWE72" s="171">
        <f>SUM(UWC72:UWD72)</f>
        <v>8875</v>
      </c>
      <c r="UWF72" s="163" t="s">
        <v>114</v>
      </c>
      <c r="UWG72" s="164">
        <v>45845</v>
      </c>
      <c r="UWH72" s="159" t="s">
        <v>42</v>
      </c>
      <c r="UWI72" s="354"/>
      <c r="UWJ72" s="165" t="s">
        <v>124</v>
      </c>
      <c r="UWK72" s="352"/>
      <c r="UWL72" s="353"/>
      <c r="UWM72" s="159" t="s">
        <v>24</v>
      </c>
      <c r="UWN72" s="160">
        <v>8150</v>
      </c>
      <c r="UWO72" s="169">
        <v>85</v>
      </c>
      <c r="UWP72" s="170">
        <v>215</v>
      </c>
      <c r="UWQ72" s="170">
        <v>75</v>
      </c>
      <c r="UWR72" s="169">
        <v>150</v>
      </c>
      <c r="UWS72" s="171">
        <f>SUM(UWN72:UWR72)</f>
        <v>8675</v>
      </c>
      <c r="UWT72" s="169">
        <v>200</v>
      </c>
      <c r="UWU72" s="171">
        <f>SUM(UWS72:UWT72)</f>
        <v>8875</v>
      </c>
      <c r="UWV72" s="163" t="s">
        <v>114</v>
      </c>
      <c r="UWW72" s="164">
        <v>45845</v>
      </c>
      <c r="UWX72" s="159" t="s">
        <v>42</v>
      </c>
      <c r="UWY72" s="354"/>
      <c r="UWZ72" s="165" t="s">
        <v>124</v>
      </c>
      <c r="UXA72" s="352"/>
      <c r="UXB72" s="353"/>
      <c r="UXC72" s="159" t="s">
        <v>24</v>
      </c>
      <c r="UXD72" s="160">
        <v>8150</v>
      </c>
      <c r="UXE72" s="169">
        <v>85</v>
      </c>
      <c r="UXF72" s="170">
        <v>215</v>
      </c>
      <c r="UXG72" s="170">
        <v>75</v>
      </c>
      <c r="UXH72" s="169">
        <v>150</v>
      </c>
      <c r="UXI72" s="171">
        <f>SUM(UXD72:UXH72)</f>
        <v>8675</v>
      </c>
      <c r="UXJ72" s="169">
        <v>200</v>
      </c>
      <c r="UXK72" s="171">
        <f>SUM(UXI72:UXJ72)</f>
        <v>8875</v>
      </c>
      <c r="UXL72" s="163" t="s">
        <v>114</v>
      </c>
      <c r="UXM72" s="164">
        <v>45845</v>
      </c>
      <c r="UXN72" s="159" t="s">
        <v>42</v>
      </c>
      <c r="UXO72" s="354"/>
      <c r="UXP72" s="165" t="s">
        <v>124</v>
      </c>
      <c r="UXQ72" s="352"/>
      <c r="UXR72" s="353"/>
      <c r="UXS72" s="159" t="s">
        <v>24</v>
      </c>
      <c r="UXT72" s="160">
        <v>8150</v>
      </c>
      <c r="UXU72" s="169">
        <v>85</v>
      </c>
      <c r="UXV72" s="170">
        <v>215</v>
      </c>
      <c r="UXW72" s="170">
        <v>75</v>
      </c>
      <c r="UXX72" s="169">
        <v>150</v>
      </c>
      <c r="UXY72" s="171">
        <f>SUM(UXT72:UXX72)</f>
        <v>8675</v>
      </c>
      <c r="UXZ72" s="169">
        <v>200</v>
      </c>
      <c r="UYA72" s="171">
        <f>SUM(UXY72:UXZ72)</f>
        <v>8875</v>
      </c>
      <c r="UYB72" s="163" t="s">
        <v>114</v>
      </c>
      <c r="UYC72" s="164">
        <v>45845</v>
      </c>
      <c r="UYD72" s="159" t="s">
        <v>42</v>
      </c>
      <c r="UYE72" s="354"/>
      <c r="UYF72" s="165" t="s">
        <v>124</v>
      </c>
      <c r="UYG72" s="352"/>
      <c r="UYH72" s="353"/>
      <c r="UYI72" s="159" t="s">
        <v>24</v>
      </c>
      <c r="UYJ72" s="160">
        <v>8150</v>
      </c>
      <c r="UYK72" s="169">
        <v>85</v>
      </c>
      <c r="UYL72" s="170">
        <v>215</v>
      </c>
      <c r="UYM72" s="170">
        <v>75</v>
      </c>
      <c r="UYN72" s="169">
        <v>150</v>
      </c>
      <c r="UYO72" s="171">
        <f>SUM(UYJ72:UYN72)</f>
        <v>8675</v>
      </c>
      <c r="UYP72" s="169">
        <v>200</v>
      </c>
      <c r="UYQ72" s="171">
        <f>SUM(UYO72:UYP72)</f>
        <v>8875</v>
      </c>
      <c r="UYR72" s="163" t="s">
        <v>114</v>
      </c>
      <c r="UYS72" s="164">
        <v>45845</v>
      </c>
      <c r="UYT72" s="159" t="s">
        <v>42</v>
      </c>
      <c r="UYU72" s="354"/>
      <c r="UYV72" s="165" t="s">
        <v>124</v>
      </c>
      <c r="UYW72" s="352"/>
      <c r="UYX72" s="353"/>
      <c r="UYY72" s="159" t="s">
        <v>24</v>
      </c>
      <c r="UYZ72" s="160">
        <v>8150</v>
      </c>
      <c r="UZA72" s="169">
        <v>85</v>
      </c>
      <c r="UZB72" s="170">
        <v>215</v>
      </c>
      <c r="UZC72" s="170">
        <v>75</v>
      </c>
      <c r="UZD72" s="169">
        <v>150</v>
      </c>
      <c r="UZE72" s="171">
        <f>SUM(UYZ72:UZD72)</f>
        <v>8675</v>
      </c>
      <c r="UZF72" s="169">
        <v>200</v>
      </c>
      <c r="UZG72" s="171">
        <f>SUM(UZE72:UZF72)</f>
        <v>8875</v>
      </c>
      <c r="UZH72" s="163" t="s">
        <v>114</v>
      </c>
      <c r="UZI72" s="164">
        <v>45845</v>
      </c>
      <c r="UZJ72" s="159" t="s">
        <v>42</v>
      </c>
      <c r="UZK72" s="354"/>
      <c r="UZL72" s="165" t="s">
        <v>124</v>
      </c>
      <c r="UZM72" s="352"/>
      <c r="UZN72" s="353"/>
      <c r="UZO72" s="159" t="s">
        <v>24</v>
      </c>
      <c r="UZP72" s="160">
        <v>8150</v>
      </c>
      <c r="UZQ72" s="169">
        <v>85</v>
      </c>
      <c r="UZR72" s="170">
        <v>215</v>
      </c>
      <c r="UZS72" s="170">
        <v>75</v>
      </c>
      <c r="UZT72" s="169">
        <v>150</v>
      </c>
      <c r="UZU72" s="171">
        <f>SUM(UZP72:UZT72)</f>
        <v>8675</v>
      </c>
      <c r="UZV72" s="169">
        <v>200</v>
      </c>
      <c r="UZW72" s="171">
        <f>SUM(UZU72:UZV72)</f>
        <v>8875</v>
      </c>
      <c r="UZX72" s="163" t="s">
        <v>114</v>
      </c>
      <c r="UZY72" s="164">
        <v>45845</v>
      </c>
      <c r="UZZ72" s="159" t="s">
        <v>42</v>
      </c>
      <c r="VAA72" s="354"/>
      <c r="VAB72" s="165" t="s">
        <v>124</v>
      </c>
      <c r="VAC72" s="352"/>
      <c r="VAD72" s="353"/>
      <c r="VAE72" s="159" t="s">
        <v>24</v>
      </c>
      <c r="VAF72" s="160">
        <v>8150</v>
      </c>
      <c r="VAG72" s="169">
        <v>85</v>
      </c>
      <c r="VAH72" s="170">
        <v>215</v>
      </c>
      <c r="VAI72" s="170">
        <v>75</v>
      </c>
      <c r="VAJ72" s="169">
        <v>150</v>
      </c>
      <c r="VAK72" s="171">
        <f>SUM(VAF72:VAJ72)</f>
        <v>8675</v>
      </c>
      <c r="VAL72" s="169">
        <v>200</v>
      </c>
      <c r="VAM72" s="171">
        <f>SUM(VAK72:VAL72)</f>
        <v>8875</v>
      </c>
      <c r="VAN72" s="163" t="s">
        <v>114</v>
      </c>
      <c r="VAO72" s="164">
        <v>45845</v>
      </c>
      <c r="VAP72" s="159" t="s">
        <v>42</v>
      </c>
      <c r="VAQ72" s="354"/>
      <c r="VAR72" s="165" t="s">
        <v>124</v>
      </c>
      <c r="VAS72" s="352"/>
      <c r="VAT72" s="353"/>
      <c r="VAU72" s="159" t="s">
        <v>24</v>
      </c>
      <c r="VAV72" s="160">
        <v>8150</v>
      </c>
      <c r="VAW72" s="169">
        <v>85</v>
      </c>
      <c r="VAX72" s="170">
        <v>215</v>
      </c>
      <c r="VAY72" s="170">
        <v>75</v>
      </c>
      <c r="VAZ72" s="169">
        <v>150</v>
      </c>
      <c r="VBA72" s="171">
        <f>SUM(VAV72:VAZ72)</f>
        <v>8675</v>
      </c>
      <c r="VBB72" s="169">
        <v>200</v>
      </c>
      <c r="VBC72" s="171">
        <f>SUM(VBA72:VBB72)</f>
        <v>8875</v>
      </c>
      <c r="VBD72" s="163" t="s">
        <v>114</v>
      </c>
      <c r="VBE72" s="164">
        <v>45845</v>
      </c>
      <c r="VBF72" s="159" t="s">
        <v>42</v>
      </c>
      <c r="VBG72" s="354"/>
      <c r="VBH72" s="165" t="s">
        <v>124</v>
      </c>
      <c r="VBI72" s="352"/>
      <c r="VBJ72" s="353"/>
      <c r="VBK72" s="159" t="s">
        <v>24</v>
      </c>
      <c r="VBL72" s="160">
        <v>8150</v>
      </c>
      <c r="VBM72" s="169">
        <v>85</v>
      </c>
      <c r="VBN72" s="170">
        <v>215</v>
      </c>
      <c r="VBO72" s="170">
        <v>75</v>
      </c>
      <c r="VBP72" s="169">
        <v>150</v>
      </c>
      <c r="VBQ72" s="171">
        <f>SUM(VBL72:VBP72)</f>
        <v>8675</v>
      </c>
      <c r="VBR72" s="169">
        <v>200</v>
      </c>
      <c r="VBS72" s="171">
        <f>SUM(VBQ72:VBR72)</f>
        <v>8875</v>
      </c>
      <c r="VBT72" s="163" t="s">
        <v>114</v>
      </c>
      <c r="VBU72" s="164">
        <v>45845</v>
      </c>
      <c r="VBV72" s="159" t="s">
        <v>42</v>
      </c>
      <c r="VBW72" s="354"/>
      <c r="VBX72" s="165" t="s">
        <v>124</v>
      </c>
      <c r="VBY72" s="352"/>
      <c r="VBZ72" s="353"/>
      <c r="VCA72" s="159" t="s">
        <v>24</v>
      </c>
      <c r="VCB72" s="160">
        <v>8150</v>
      </c>
      <c r="VCC72" s="169">
        <v>85</v>
      </c>
      <c r="VCD72" s="170">
        <v>215</v>
      </c>
      <c r="VCE72" s="170">
        <v>75</v>
      </c>
      <c r="VCF72" s="169">
        <v>150</v>
      </c>
      <c r="VCG72" s="171">
        <f>SUM(VCB72:VCF72)</f>
        <v>8675</v>
      </c>
      <c r="VCH72" s="169">
        <v>200</v>
      </c>
      <c r="VCI72" s="171">
        <f>SUM(VCG72:VCH72)</f>
        <v>8875</v>
      </c>
      <c r="VCJ72" s="163" t="s">
        <v>114</v>
      </c>
      <c r="VCK72" s="164">
        <v>45845</v>
      </c>
      <c r="VCL72" s="159" t="s">
        <v>42</v>
      </c>
      <c r="VCM72" s="354"/>
      <c r="VCN72" s="165" t="s">
        <v>124</v>
      </c>
      <c r="VCO72" s="352"/>
      <c r="VCP72" s="353"/>
      <c r="VCQ72" s="159" t="s">
        <v>24</v>
      </c>
      <c r="VCR72" s="160">
        <v>8150</v>
      </c>
      <c r="VCS72" s="169">
        <v>85</v>
      </c>
      <c r="VCT72" s="170">
        <v>215</v>
      </c>
      <c r="VCU72" s="170">
        <v>75</v>
      </c>
      <c r="VCV72" s="169">
        <v>150</v>
      </c>
      <c r="VCW72" s="171">
        <f>SUM(VCR72:VCV72)</f>
        <v>8675</v>
      </c>
      <c r="VCX72" s="169">
        <v>200</v>
      </c>
      <c r="VCY72" s="171">
        <f>SUM(VCW72:VCX72)</f>
        <v>8875</v>
      </c>
      <c r="VCZ72" s="163" t="s">
        <v>114</v>
      </c>
      <c r="VDA72" s="164">
        <v>45845</v>
      </c>
      <c r="VDB72" s="159" t="s">
        <v>42</v>
      </c>
      <c r="VDC72" s="354"/>
      <c r="VDD72" s="165" t="s">
        <v>124</v>
      </c>
      <c r="VDE72" s="352"/>
      <c r="VDF72" s="353"/>
      <c r="VDG72" s="159" t="s">
        <v>24</v>
      </c>
      <c r="VDH72" s="160">
        <v>8150</v>
      </c>
      <c r="VDI72" s="169">
        <v>85</v>
      </c>
      <c r="VDJ72" s="170">
        <v>215</v>
      </c>
      <c r="VDK72" s="170">
        <v>75</v>
      </c>
      <c r="VDL72" s="169">
        <v>150</v>
      </c>
      <c r="VDM72" s="171">
        <f>SUM(VDH72:VDL72)</f>
        <v>8675</v>
      </c>
      <c r="VDN72" s="169">
        <v>200</v>
      </c>
      <c r="VDO72" s="171">
        <f>SUM(VDM72:VDN72)</f>
        <v>8875</v>
      </c>
      <c r="VDP72" s="163" t="s">
        <v>114</v>
      </c>
      <c r="VDQ72" s="164">
        <v>45845</v>
      </c>
      <c r="VDR72" s="159" t="s">
        <v>42</v>
      </c>
      <c r="VDS72" s="354"/>
      <c r="VDT72" s="165" t="s">
        <v>124</v>
      </c>
      <c r="VDU72" s="352"/>
      <c r="VDV72" s="353"/>
      <c r="VDW72" s="159" t="s">
        <v>24</v>
      </c>
      <c r="VDX72" s="160">
        <v>8150</v>
      </c>
      <c r="VDY72" s="169">
        <v>85</v>
      </c>
      <c r="VDZ72" s="170">
        <v>215</v>
      </c>
      <c r="VEA72" s="170">
        <v>75</v>
      </c>
      <c r="VEB72" s="169">
        <v>150</v>
      </c>
      <c r="VEC72" s="171">
        <f>SUM(VDX72:VEB72)</f>
        <v>8675</v>
      </c>
      <c r="VED72" s="169">
        <v>200</v>
      </c>
      <c r="VEE72" s="171">
        <f>SUM(VEC72:VED72)</f>
        <v>8875</v>
      </c>
      <c r="VEF72" s="163" t="s">
        <v>114</v>
      </c>
      <c r="VEG72" s="164">
        <v>45845</v>
      </c>
      <c r="VEH72" s="159" t="s">
        <v>42</v>
      </c>
      <c r="VEI72" s="354"/>
      <c r="VEJ72" s="165" t="s">
        <v>124</v>
      </c>
      <c r="VEK72" s="352"/>
      <c r="VEL72" s="353"/>
      <c r="VEM72" s="159" t="s">
        <v>24</v>
      </c>
      <c r="VEN72" s="160">
        <v>8150</v>
      </c>
      <c r="VEO72" s="169">
        <v>85</v>
      </c>
      <c r="VEP72" s="170">
        <v>215</v>
      </c>
      <c r="VEQ72" s="170">
        <v>75</v>
      </c>
      <c r="VER72" s="169">
        <v>150</v>
      </c>
      <c r="VES72" s="171">
        <f>SUM(VEN72:VER72)</f>
        <v>8675</v>
      </c>
      <c r="VET72" s="169">
        <v>200</v>
      </c>
      <c r="VEU72" s="171">
        <f>SUM(VES72:VET72)</f>
        <v>8875</v>
      </c>
      <c r="VEV72" s="163" t="s">
        <v>114</v>
      </c>
      <c r="VEW72" s="164">
        <v>45845</v>
      </c>
      <c r="VEX72" s="159" t="s">
        <v>42</v>
      </c>
      <c r="VEY72" s="354"/>
      <c r="VEZ72" s="165" t="s">
        <v>124</v>
      </c>
      <c r="VFA72" s="352"/>
      <c r="VFB72" s="353"/>
      <c r="VFC72" s="159" t="s">
        <v>24</v>
      </c>
      <c r="VFD72" s="160">
        <v>8150</v>
      </c>
      <c r="VFE72" s="169">
        <v>85</v>
      </c>
      <c r="VFF72" s="170">
        <v>215</v>
      </c>
      <c r="VFG72" s="170">
        <v>75</v>
      </c>
      <c r="VFH72" s="169">
        <v>150</v>
      </c>
      <c r="VFI72" s="171">
        <f>SUM(VFD72:VFH72)</f>
        <v>8675</v>
      </c>
      <c r="VFJ72" s="169">
        <v>200</v>
      </c>
      <c r="VFK72" s="171">
        <f>SUM(VFI72:VFJ72)</f>
        <v>8875</v>
      </c>
      <c r="VFL72" s="163" t="s">
        <v>114</v>
      </c>
      <c r="VFM72" s="164">
        <v>45845</v>
      </c>
      <c r="VFN72" s="159" t="s">
        <v>42</v>
      </c>
      <c r="VFO72" s="354"/>
      <c r="VFP72" s="165" t="s">
        <v>124</v>
      </c>
      <c r="VFQ72" s="352"/>
      <c r="VFR72" s="353"/>
      <c r="VFS72" s="159" t="s">
        <v>24</v>
      </c>
      <c r="VFT72" s="160">
        <v>8150</v>
      </c>
      <c r="VFU72" s="169">
        <v>85</v>
      </c>
      <c r="VFV72" s="170">
        <v>215</v>
      </c>
      <c r="VFW72" s="170">
        <v>75</v>
      </c>
      <c r="VFX72" s="169">
        <v>150</v>
      </c>
      <c r="VFY72" s="171">
        <f>SUM(VFT72:VFX72)</f>
        <v>8675</v>
      </c>
      <c r="VFZ72" s="169">
        <v>200</v>
      </c>
      <c r="VGA72" s="171">
        <f>SUM(VFY72:VFZ72)</f>
        <v>8875</v>
      </c>
      <c r="VGB72" s="163" t="s">
        <v>114</v>
      </c>
      <c r="VGC72" s="164">
        <v>45845</v>
      </c>
      <c r="VGD72" s="159" t="s">
        <v>42</v>
      </c>
      <c r="VGE72" s="354"/>
      <c r="VGF72" s="165" t="s">
        <v>124</v>
      </c>
      <c r="VGG72" s="352"/>
      <c r="VGH72" s="353"/>
      <c r="VGI72" s="159" t="s">
        <v>24</v>
      </c>
      <c r="VGJ72" s="160">
        <v>8150</v>
      </c>
      <c r="VGK72" s="169">
        <v>85</v>
      </c>
      <c r="VGL72" s="170">
        <v>215</v>
      </c>
      <c r="VGM72" s="170">
        <v>75</v>
      </c>
      <c r="VGN72" s="169">
        <v>150</v>
      </c>
      <c r="VGO72" s="171">
        <f>SUM(VGJ72:VGN72)</f>
        <v>8675</v>
      </c>
      <c r="VGP72" s="169">
        <v>200</v>
      </c>
      <c r="VGQ72" s="171">
        <f>SUM(VGO72:VGP72)</f>
        <v>8875</v>
      </c>
      <c r="VGR72" s="163" t="s">
        <v>114</v>
      </c>
      <c r="VGS72" s="164">
        <v>45845</v>
      </c>
      <c r="VGT72" s="159" t="s">
        <v>42</v>
      </c>
      <c r="VGU72" s="354"/>
      <c r="VGV72" s="165" t="s">
        <v>124</v>
      </c>
      <c r="VGW72" s="352"/>
      <c r="VGX72" s="353"/>
      <c r="VGY72" s="159" t="s">
        <v>24</v>
      </c>
      <c r="VGZ72" s="160">
        <v>8150</v>
      </c>
      <c r="VHA72" s="169">
        <v>85</v>
      </c>
      <c r="VHB72" s="170">
        <v>215</v>
      </c>
      <c r="VHC72" s="170">
        <v>75</v>
      </c>
    </row>
    <row r="73" spans="1:63 3073:12199 12790:15083" ht="28.9" customHeight="1">
      <c r="A73" s="206"/>
      <c r="B73" s="351"/>
      <c r="C73" s="20" t="s">
        <v>121</v>
      </c>
      <c r="D73" s="160" t="s">
        <v>24</v>
      </c>
      <c r="E73" s="86">
        <f>CEILING((((6700+297+115)*1.12)- 85)-150,50)</f>
        <v>7750</v>
      </c>
      <c r="F73" s="182">
        <v>85</v>
      </c>
      <c r="G73" s="183">
        <v>215</v>
      </c>
      <c r="H73" s="183">
        <v>75</v>
      </c>
      <c r="I73" s="182">
        <v>150</v>
      </c>
      <c r="J73" s="171">
        <f t="shared" si="8"/>
        <v>8275</v>
      </c>
      <c r="K73" s="182">
        <v>200</v>
      </c>
      <c r="L73" s="171">
        <f t="shared" si="9"/>
        <v>8475</v>
      </c>
      <c r="M73" s="163" t="s">
        <v>114</v>
      </c>
      <c r="N73" s="218" t="s">
        <v>60</v>
      </c>
      <c r="O73" s="173" t="s">
        <v>42</v>
      </c>
      <c r="P73" s="147" t="s">
        <v>150</v>
      </c>
      <c r="Q73" s="110" t="s">
        <v>124</v>
      </c>
      <c r="R73" s="195"/>
      <c r="S73" s="187"/>
      <c r="T73" s="188"/>
      <c r="U73" s="189"/>
      <c r="V73" s="189"/>
      <c r="W73" s="188"/>
      <c r="X73" s="190"/>
      <c r="Y73" s="188"/>
      <c r="Z73" s="190"/>
      <c r="AA73" s="191"/>
      <c r="AB73" s="192"/>
      <c r="AC73" s="186"/>
      <c r="AD73" s="193"/>
      <c r="AE73" s="205"/>
      <c r="AF73" s="172"/>
      <c r="AG73" s="181"/>
      <c r="AH73"/>
      <c r="AI73" s="174"/>
      <c r="AJ73" s="175"/>
      <c r="AK73" s="176"/>
      <c r="AL73" s="176"/>
      <c r="AM73" s="175"/>
      <c r="AN73" s="177"/>
      <c r="AO73" s="175"/>
      <c r="AP73" s="177"/>
      <c r="AQ73" s="178"/>
      <c r="AR73" s="179"/>
      <c r="AS73"/>
      <c r="AT73" s="180"/>
      <c r="AU73"/>
      <c r="AV73" s="172"/>
      <c r="AW73" s="181"/>
      <c r="AX73"/>
      <c r="AY73" s="174"/>
      <c r="AZ73" s="175"/>
      <c r="BA73" s="176"/>
      <c r="BB73" s="176"/>
      <c r="BC73" s="175"/>
      <c r="BD73" s="177"/>
      <c r="BE73" s="175"/>
      <c r="BF73" s="177"/>
      <c r="BG73" s="178"/>
      <c r="BH73" s="179"/>
      <c r="BI73"/>
      <c r="BJ73" s="180"/>
      <c r="BK73"/>
      <c r="DNE73" s="179"/>
      <c r="DNF73"/>
      <c r="DNG73" s="180"/>
      <c r="DNH73"/>
      <c r="DNI73" s="172"/>
      <c r="DNJ73" s="181"/>
      <c r="DNK73"/>
      <c r="DNL73" s="174"/>
      <c r="DNM73" s="175"/>
      <c r="DNN73" s="176"/>
      <c r="DNO73" s="176"/>
      <c r="DNP73" s="175"/>
      <c r="DNQ73" s="177"/>
      <c r="DNR73" s="175"/>
      <c r="DNS73" s="177"/>
      <c r="DNT73" s="178"/>
      <c r="DNU73" s="179"/>
      <c r="DNV73"/>
      <c r="DNW73" s="180"/>
      <c r="DNX73"/>
      <c r="DNY73" s="172"/>
      <c r="DNZ73" s="181"/>
      <c r="DOA73"/>
      <c r="DOB73" s="174"/>
      <c r="DOC73" s="175"/>
      <c r="DOD73" s="176"/>
      <c r="DOE73" s="176"/>
      <c r="DOF73" s="175"/>
      <c r="DOG73" s="177"/>
      <c r="DOH73" s="175"/>
      <c r="DOI73" s="177"/>
      <c r="DOJ73" s="178"/>
      <c r="DOK73" s="179"/>
      <c r="DOL73"/>
      <c r="DOM73" s="180"/>
      <c r="DON73"/>
      <c r="DOO73" s="172"/>
      <c r="DOP73" s="181"/>
      <c r="DOQ73"/>
      <c r="DOR73" s="174"/>
      <c r="DOS73" s="175"/>
      <c r="DOT73" s="176"/>
      <c r="DOU73" s="176"/>
      <c r="DOV73" s="175"/>
      <c r="DOW73" s="177"/>
      <c r="DOX73" s="175"/>
      <c r="DOY73" s="177"/>
      <c r="DOZ73" s="178"/>
      <c r="DPA73" s="179"/>
      <c r="DPB73"/>
      <c r="DPC73" s="180"/>
      <c r="DPD73"/>
      <c r="DPE73" s="172"/>
      <c r="DPF73" s="181"/>
      <c r="DPG73"/>
      <c r="DPH73" s="174"/>
      <c r="DPI73" s="175"/>
      <c r="DPJ73" s="176"/>
      <c r="DPK73" s="176"/>
      <c r="DPL73" s="175"/>
      <c r="DPM73" s="177"/>
      <c r="DPN73" s="175"/>
      <c r="DPO73" s="177"/>
      <c r="DPP73" s="178"/>
      <c r="DPQ73" s="179"/>
      <c r="DPR73"/>
      <c r="DPS73" s="180"/>
      <c r="DPT73"/>
      <c r="DPU73" s="172"/>
      <c r="DPV73" s="181"/>
      <c r="DPW73"/>
      <c r="DPX73" s="174"/>
      <c r="DPY73" s="175"/>
      <c r="DPZ73" s="176"/>
      <c r="DQA73" s="176"/>
      <c r="DQB73" s="175"/>
      <c r="DQC73" s="177"/>
      <c r="DQD73" s="175"/>
      <c r="DQE73" s="177"/>
      <c r="DQF73" s="178"/>
      <c r="DQG73" s="179"/>
      <c r="DQH73"/>
      <c r="DQI73" s="180"/>
      <c r="DQJ73"/>
      <c r="DQK73" s="172"/>
      <c r="DQL73" s="181"/>
      <c r="DQM73"/>
      <c r="DQN73" s="174"/>
      <c r="DQO73" s="175"/>
      <c r="DQP73" s="176"/>
      <c r="DQQ73" s="176"/>
      <c r="DQR73" s="175"/>
      <c r="DQS73" s="177"/>
      <c r="DQT73" s="175"/>
      <c r="DQU73" s="177"/>
      <c r="DQV73" s="178"/>
      <c r="DQW73" s="179"/>
      <c r="DQX73"/>
      <c r="DQY73" s="180"/>
      <c r="DQZ73"/>
      <c r="DRA73" s="172"/>
      <c r="DRB73" s="181"/>
      <c r="DRC73"/>
      <c r="DRD73" s="174"/>
      <c r="DRE73" s="175"/>
      <c r="DRF73" s="176"/>
      <c r="DRG73" s="176"/>
      <c r="DRH73" s="175"/>
      <c r="DRI73" s="177"/>
      <c r="DRJ73" s="175"/>
      <c r="DRK73" s="177"/>
      <c r="DRL73" s="178"/>
      <c r="DRM73" s="179"/>
      <c r="DRN73"/>
      <c r="DRO73" s="180"/>
      <c r="DRP73"/>
      <c r="DRQ73" s="172"/>
      <c r="DRR73" s="181"/>
      <c r="DRS73"/>
      <c r="DRT73" s="174"/>
      <c r="DRU73" s="175"/>
      <c r="DRV73" s="176"/>
      <c r="DRW73" s="176"/>
      <c r="DRX73" s="175"/>
      <c r="DRY73" s="177"/>
      <c r="DRZ73" s="175"/>
      <c r="DSA73" s="177"/>
      <c r="DSB73" s="178"/>
      <c r="DSC73" s="179"/>
      <c r="DSD73"/>
      <c r="DSE73" s="180"/>
      <c r="DSF73"/>
      <c r="DSG73" s="172"/>
      <c r="DSH73" s="181"/>
      <c r="DSI73"/>
      <c r="DSJ73" s="174"/>
      <c r="DSK73" s="175"/>
      <c r="DSL73" s="176"/>
      <c r="DSM73" s="176"/>
      <c r="DSN73" s="175"/>
      <c r="DSO73" s="177"/>
      <c r="DSP73" s="175"/>
      <c r="DSQ73" s="177"/>
      <c r="DSR73" s="178"/>
      <c r="DSS73" s="179"/>
      <c r="DST73"/>
      <c r="DSU73" s="180"/>
      <c r="DSV73"/>
      <c r="DSW73" s="172"/>
      <c r="DSX73" s="181"/>
      <c r="DSY73"/>
      <c r="DSZ73" s="174"/>
      <c r="DTA73" s="175"/>
      <c r="DTB73" s="176"/>
      <c r="DTC73" s="176"/>
      <c r="DTD73" s="175"/>
      <c r="DTE73" s="177"/>
      <c r="DTF73" s="175"/>
      <c r="DTG73" s="177"/>
      <c r="DTH73" s="178"/>
      <c r="DTI73" s="179"/>
      <c r="DTJ73"/>
      <c r="DTK73" s="180"/>
      <c r="DTL73"/>
      <c r="DTM73" s="172"/>
      <c r="DTN73" s="181"/>
      <c r="DTO73"/>
      <c r="DTP73" s="174"/>
      <c r="DTQ73" s="175"/>
      <c r="DTR73" s="176"/>
      <c r="DTS73" s="176"/>
      <c r="DTT73" s="175"/>
      <c r="DTU73" s="177"/>
      <c r="DTV73" s="175"/>
      <c r="DTW73" s="177"/>
      <c r="DTX73" s="178"/>
      <c r="DTY73" s="179"/>
      <c r="DTZ73"/>
      <c r="DUA73" s="180"/>
      <c r="DUB73"/>
      <c r="DUC73" s="172"/>
      <c r="DUD73" s="181"/>
      <c r="DUE73"/>
      <c r="DUF73" s="174"/>
      <c r="DUG73" s="175"/>
      <c r="DUH73" s="176"/>
      <c r="DUI73" s="176"/>
      <c r="DUJ73" s="175"/>
      <c r="DUK73" s="177"/>
      <c r="DUL73" s="175"/>
      <c r="DUM73" s="177"/>
      <c r="DUN73" s="178"/>
      <c r="DUO73" s="179"/>
      <c r="DUP73"/>
      <c r="DUQ73" s="180"/>
      <c r="DUR73"/>
      <c r="DUS73" s="172"/>
      <c r="DUT73" s="181"/>
      <c r="DUU73"/>
      <c r="DUV73" s="174"/>
      <c r="DUW73" s="175"/>
      <c r="DUX73" s="176"/>
      <c r="DUY73" s="176"/>
      <c r="DUZ73" s="175"/>
      <c r="DVA73" s="177"/>
      <c r="DVB73" s="175"/>
      <c r="DVC73" s="177"/>
      <c r="DVD73" s="178"/>
      <c r="DVE73" s="179"/>
      <c r="DVF73"/>
      <c r="DVG73" s="180"/>
      <c r="DVH73"/>
      <c r="DVI73" s="172"/>
      <c r="DVJ73" s="181"/>
      <c r="DVK73"/>
      <c r="DVL73" s="174"/>
      <c r="DVM73" s="175"/>
      <c r="DVN73" s="176"/>
      <c r="DVO73" s="176"/>
      <c r="DVP73" s="175"/>
      <c r="DVQ73" s="177"/>
      <c r="DVR73" s="175"/>
      <c r="DVS73" s="177"/>
      <c r="DVT73" s="178"/>
      <c r="DVU73" s="179"/>
      <c r="DVV73"/>
      <c r="DVW73" s="180"/>
      <c r="DVX73"/>
      <c r="DVY73" s="172"/>
      <c r="DVZ73" s="181"/>
      <c r="DWA73"/>
      <c r="DWB73" s="174"/>
      <c r="DWC73" s="175"/>
      <c r="DWD73" s="176"/>
      <c r="DWE73" s="176"/>
      <c r="DWF73" s="175"/>
      <c r="DWG73" s="177"/>
      <c r="DWH73" s="175"/>
      <c r="DWI73" s="177"/>
      <c r="DWJ73" s="178"/>
      <c r="DWK73" s="179"/>
      <c r="DWL73"/>
      <c r="DWM73" s="180"/>
      <c r="DWN73"/>
      <c r="DWO73" s="172"/>
      <c r="DWP73" s="181"/>
      <c r="DWQ73"/>
      <c r="DWR73" s="174"/>
      <c r="DWS73" s="175"/>
      <c r="DWT73" s="176"/>
      <c r="DWU73" s="176"/>
      <c r="DWV73" s="175"/>
      <c r="DWW73" s="177"/>
      <c r="DWX73" s="175"/>
      <c r="DWY73" s="177"/>
      <c r="DWZ73" s="178"/>
      <c r="DXA73" s="179"/>
      <c r="DXB73"/>
      <c r="DXC73" s="180"/>
      <c r="DXD73"/>
      <c r="DXE73" s="172"/>
      <c r="DXF73" s="181"/>
      <c r="DXG73"/>
      <c r="DXH73" s="174"/>
      <c r="DXI73" s="175"/>
      <c r="DXJ73" s="176"/>
      <c r="DXK73" s="176"/>
      <c r="DXL73" s="175"/>
      <c r="DXM73" s="177"/>
      <c r="DXN73" s="175"/>
      <c r="DXO73" s="177"/>
      <c r="DXP73" s="178"/>
      <c r="DXQ73" s="179"/>
      <c r="DXR73"/>
      <c r="DXS73" s="180"/>
      <c r="DXT73"/>
      <c r="DXU73" s="172"/>
      <c r="DXV73" s="181"/>
      <c r="DXW73"/>
      <c r="DXX73" s="174"/>
      <c r="DXY73" s="175"/>
      <c r="DXZ73" s="176"/>
      <c r="DYA73" s="176"/>
      <c r="DYB73" s="175"/>
      <c r="DYC73" s="177"/>
      <c r="DYD73" s="175"/>
      <c r="DYE73" s="177"/>
      <c r="DYF73" s="178"/>
      <c r="DYG73" s="179"/>
      <c r="DYH73"/>
      <c r="DYI73" s="180"/>
      <c r="DYJ73"/>
      <c r="DYK73" s="172"/>
      <c r="DYL73" s="181"/>
      <c r="DYM73"/>
      <c r="DYN73" s="174"/>
      <c r="DYO73" s="175"/>
      <c r="DYP73" s="176"/>
      <c r="DYQ73" s="176"/>
      <c r="DYR73" s="175"/>
      <c r="DYS73" s="177"/>
      <c r="DYT73" s="175"/>
      <c r="DYU73" s="177"/>
      <c r="DYV73" s="178"/>
      <c r="DYW73" s="179"/>
      <c r="DYX73"/>
      <c r="DYY73" s="180"/>
      <c r="DYZ73"/>
      <c r="DZA73" s="172"/>
      <c r="DZB73" s="181"/>
      <c r="DZC73"/>
      <c r="DZD73" s="174"/>
      <c r="DZE73" s="175"/>
      <c r="DZF73" s="176"/>
      <c r="DZG73" s="176"/>
      <c r="DZH73" s="175"/>
      <c r="DZI73" s="177"/>
      <c r="DZJ73" s="175"/>
      <c r="DZK73" s="177"/>
      <c r="DZL73" s="178"/>
      <c r="DZM73" s="179"/>
      <c r="DZN73"/>
      <c r="DZO73" s="180"/>
      <c r="DZP73"/>
      <c r="DZQ73" s="172"/>
      <c r="DZR73" s="181"/>
      <c r="DZS73"/>
      <c r="DZT73" s="174"/>
      <c r="DZU73" s="175"/>
      <c r="DZV73" s="176"/>
      <c r="DZW73" s="176"/>
      <c r="DZX73" s="175"/>
      <c r="DZY73" s="177"/>
      <c r="DZZ73" s="175"/>
      <c r="EAA73" s="177"/>
      <c r="EAB73" s="178"/>
      <c r="EAC73" s="179"/>
      <c r="EAD73"/>
      <c r="EAE73" s="180"/>
      <c r="EAF73"/>
      <c r="EAG73" s="172"/>
      <c r="EAH73" s="181"/>
      <c r="EAI73"/>
      <c r="EAJ73" s="174"/>
      <c r="EAK73" s="175"/>
      <c r="EAL73" s="176"/>
      <c r="EAM73" s="176"/>
      <c r="EAN73" s="175"/>
      <c r="EAO73" s="177"/>
      <c r="EAP73" s="175"/>
      <c r="EAQ73" s="177"/>
      <c r="EAR73" s="178"/>
      <c r="EAS73" s="179"/>
      <c r="EAT73"/>
      <c r="EAU73" s="180"/>
      <c r="EAV73"/>
      <c r="EAW73" s="172"/>
      <c r="EAX73" s="181"/>
      <c r="EAY73"/>
      <c r="EAZ73" s="174"/>
      <c r="EBA73" s="175"/>
      <c r="EBB73" s="176"/>
      <c r="EBC73" s="176"/>
      <c r="EBD73" s="175"/>
      <c r="EBE73" s="177"/>
      <c r="EBF73" s="175"/>
      <c r="EBG73" s="177"/>
      <c r="EBH73" s="178"/>
      <c r="EBI73" s="179"/>
      <c r="EBJ73"/>
      <c r="EBK73" s="180"/>
      <c r="EBL73"/>
      <c r="EBM73" s="172"/>
      <c r="EBN73" s="181"/>
      <c r="EBO73"/>
      <c r="EBP73" s="174"/>
      <c r="EBQ73" s="175"/>
      <c r="EBR73" s="176"/>
      <c r="EBS73" s="176"/>
      <c r="EBT73" s="175"/>
      <c r="EBU73" s="177"/>
      <c r="EBV73" s="175"/>
      <c r="EBW73" s="177"/>
      <c r="EBX73" s="178"/>
      <c r="EBY73" s="179"/>
      <c r="EBZ73"/>
      <c r="ECA73" s="180"/>
      <c r="ECB73"/>
      <c r="ECC73" s="172"/>
      <c r="ECD73" s="181"/>
      <c r="ECE73"/>
      <c r="ECF73" s="174"/>
      <c r="ECG73" s="175"/>
      <c r="ECH73" s="176"/>
      <c r="ECI73" s="176"/>
      <c r="ECJ73" s="175"/>
      <c r="ECK73" s="177"/>
      <c r="ECL73" s="175"/>
      <c r="ECM73" s="177"/>
      <c r="ECN73" s="178"/>
      <c r="ECO73" s="179"/>
      <c r="ECP73"/>
      <c r="ECQ73" s="180"/>
      <c r="ECR73"/>
      <c r="ECS73" s="172"/>
      <c r="ECT73" s="181"/>
      <c r="ECU73"/>
      <c r="ECV73" s="174"/>
      <c r="ECW73" s="175"/>
      <c r="ECX73" s="176"/>
      <c r="ECY73" s="176"/>
      <c r="ECZ73" s="175"/>
      <c r="EDA73" s="177"/>
      <c r="EDB73" s="175"/>
      <c r="EDC73" s="177"/>
      <c r="EDD73" s="178"/>
      <c r="EDE73" s="179"/>
      <c r="EDF73"/>
      <c r="EDG73" s="180"/>
      <c r="EDH73"/>
      <c r="EDI73" s="172"/>
      <c r="EDJ73" s="181"/>
      <c r="EDK73"/>
      <c r="EDL73" s="174"/>
      <c r="EDM73" s="175"/>
      <c r="EDN73" s="176"/>
      <c r="EDO73" s="176"/>
      <c r="EDP73" s="175"/>
      <c r="EDQ73" s="177"/>
      <c r="EDR73" s="175"/>
      <c r="EDS73" s="177"/>
      <c r="EDT73" s="178"/>
      <c r="EDU73" s="179"/>
      <c r="EDV73"/>
      <c r="EDW73" s="180"/>
      <c r="EDX73"/>
      <c r="EDY73" s="172"/>
      <c r="EDZ73" s="181"/>
      <c r="EEA73"/>
      <c r="EEB73" s="174"/>
      <c r="EEC73" s="175"/>
      <c r="EED73" s="176"/>
      <c r="EEE73" s="176"/>
      <c r="EEF73" s="175"/>
      <c r="EEG73" s="177"/>
      <c r="EEH73" s="175"/>
      <c r="EEI73" s="177"/>
      <c r="EEJ73" s="178"/>
      <c r="EEK73" s="179"/>
      <c r="EEL73"/>
      <c r="EEM73" s="180"/>
      <c r="EEN73"/>
      <c r="EEO73" s="172"/>
      <c r="EEP73" s="181"/>
      <c r="EEQ73"/>
      <c r="EER73" s="174"/>
      <c r="EES73" s="175"/>
      <c r="EET73" s="176"/>
      <c r="EEU73" s="176"/>
      <c r="EEV73" s="175"/>
      <c r="EEW73" s="177"/>
      <c r="EEX73" s="175"/>
      <c r="EEY73" s="177"/>
      <c r="EEZ73" s="178"/>
      <c r="EFA73" s="179"/>
      <c r="EFB73"/>
      <c r="EFC73" s="180"/>
      <c r="EFD73"/>
      <c r="EFE73" s="172"/>
      <c r="EFF73" s="181"/>
      <c r="EFG73"/>
      <c r="EFH73" s="174"/>
      <c r="EFI73" s="175"/>
      <c r="EFJ73" s="176"/>
      <c r="EFK73" s="176"/>
      <c r="EFL73" s="175"/>
      <c r="EFM73" s="177"/>
      <c r="EFN73" s="175"/>
      <c r="EFO73" s="177"/>
      <c r="EFP73" s="178"/>
      <c r="EFQ73" s="179"/>
      <c r="EFR73"/>
      <c r="EFS73" s="180"/>
      <c r="EFT73"/>
      <c r="EFU73" s="172"/>
      <c r="EFV73" s="181"/>
      <c r="EFW73"/>
      <c r="EFX73" s="174"/>
      <c r="EFY73" s="175"/>
      <c r="EFZ73" s="176"/>
      <c r="EGA73" s="176"/>
      <c r="EGB73" s="175"/>
      <c r="EGC73" s="177"/>
      <c r="EGD73" s="175"/>
      <c r="EGE73" s="177"/>
      <c r="EGF73" s="178"/>
      <c r="EGG73" s="179"/>
      <c r="EGH73"/>
      <c r="EGI73" s="180"/>
      <c r="EGJ73"/>
      <c r="EGK73" s="172"/>
      <c r="EGL73" s="181"/>
      <c r="EGM73"/>
      <c r="EGN73" s="174"/>
      <c r="EGO73" s="175"/>
      <c r="EGP73" s="176"/>
      <c r="EGQ73" s="176"/>
      <c r="EGR73" s="175"/>
      <c r="EGS73" s="177"/>
      <c r="EGT73" s="175"/>
      <c r="EGU73" s="177"/>
      <c r="EGV73" s="178"/>
      <c r="EGW73" s="179"/>
      <c r="EGX73"/>
      <c r="EGY73" s="180"/>
      <c r="EGZ73"/>
      <c r="EHA73" s="172"/>
      <c r="EHB73" s="181"/>
      <c r="EHC73"/>
      <c r="EHD73" s="174"/>
      <c r="EHE73" s="175"/>
      <c r="EHF73" s="176"/>
      <c r="EHG73" s="176"/>
      <c r="EHH73" s="175"/>
      <c r="EHI73" s="177"/>
      <c r="EHJ73" s="175"/>
      <c r="EHK73" s="177"/>
      <c r="EHL73" s="178"/>
      <c r="EHM73" s="179"/>
      <c r="EHN73"/>
      <c r="EHO73" s="180"/>
      <c r="EHP73"/>
      <c r="EHQ73" s="172"/>
      <c r="EHR73" s="181"/>
      <c r="EHS73"/>
      <c r="EHT73" s="174"/>
      <c r="EHU73" s="175"/>
      <c r="EHV73" s="176"/>
      <c r="EHW73" s="176"/>
      <c r="EHX73" s="175"/>
      <c r="EHY73" s="177"/>
      <c r="EHZ73" s="175"/>
      <c r="EIA73" s="177"/>
      <c r="EIB73" s="178"/>
      <c r="EIC73" s="179"/>
      <c r="EID73"/>
      <c r="EIE73" s="180"/>
      <c r="EIF73"/>
      <c r="EIG73" s="172"/>
      <c r="EIH73" s="181"/>
      <c r="EII73"/>
      <c r="EIJ73" s="174"/>
      <c r="EIK73" s="175"/>
      <c r="EIL73" s="176"/>
      <c r="EIM73" s="176"/>
      <c r="EIN73" s="175"/>
      <c r="EIO73" s="177"/>
      <c r="EIP73" s="175"/>
      <c r="EIQ73" s="177"/>
      <c r="EIR73" s="178"/>
      <c r="EIS73" s="179"/>
      <c r="EIT73"/>
      <c r="EIU73" s="180"/>
      <c r="EIV73"/>
      <c r="EIW73" s="172"/>
      <c r="EIX73" s="181"/>
      <c r="EIY73"/>
      <c r="EIZ73" s="174"/>
      <c r="EJA73" s="175"/>
      <c r="EJB73" s="176"/>
      <c r="EJC73" s="176"/>
      <c r="EJD73" s="175"/>
      <c r="EJE73" s="177"/>
      <c r="EJF73" s="175"/>
      <c r="EJG73" s="177"/>
      <c r="EJH73" s="178"/>
      <c r="EJI73" s="179"/>
      <c r="EJJ73"/>
      <c r="EJK73" s="180"/>
      <c r="EJL73"/>
      <c r="EJM73" s="172"/>
      <c r="EJN73" s="181"/>
      <c r="EJO73"/>
      <c r="EJP73" s="174"/>
      <c r="EJQ73" s="175"/>
      <c r="EJR73" s="176"/>
      <c r="EJS73" s="176"/>
      <c r="EJT73" s="175"/>
      <c r="EJU73" s="177"/>
      <c r="EJV73" s="175"/>
      <c r="EJW73" s="177"/>
      <c r="EJX73" s="178"/>
      <c r="EJY73" s="179"/>
      <c r="EJZ73"/>
      <c r="EKA73" s="180"/>
      <c r="EKB73"/>
      <c r="EKC73" s="172"/>
      <c r="EKD73" s="181"/>
      <c r="EKE73"/>
      <c r="EKF73" s="174"/>
      <c r="EKG73" s="175"/>
      <c r="EKH73" s="176"/>
      <c r="EKI73" s="176"/>
      <c r="EKJ73" s="175"/>
      <c r="EKK73" s="177"/>
      <c r="EKL73" s="175"/>
      <c r="EKM73" s="177"/>
      <c r="EKN73" s="178"/>
      <c r="EKO73" s="179"/>
      <c r="EKP73"/>
      <c r="EKQ73" s="180"/>
      <c r="EKR73"/>
      <c r="EKS73" s="172"/>
      <c r="EKT73" s="181"/>
      <c r="EKU73"/>
      <c r="EKV73" s="174"/>
      <c r="EKW73" s="175"/>
      <c r="EKX73" s="176"/>
      <c r="EKY73" s="176"/>
      <c r="EKZ73" s="175"/>
      <c r="ELA73" s="177"/>
      <c r="ELB73" s="175"/>
      <c r="ELC73" s="177"/>
      <c r="ELD73" s="178"/>
      <c r="ELE73" s="179"/>
      <c r="ELF73"/>
      <c r="ELG73" s="180"/>
      <c r="ELH73"/>
      <c r="ELI73" s="172"/>
      <c r="ELJ73" s="181"/>
      <c r="ELK73"/>
      <c r="ELL73" s="174"/>
      <c r="ELM73" s="175"/>
      <c r="ELN73" s="176"/>
      <c r="ELO73" s="176"/>
      <c r="ELP73" s="175"/>
      <c r="ELQ73" s="177"/>
      <c r="ELR73" s="175"/>
      <c r="ELS73" s="177"/>
      <c r="ELT73" s="178"/>
      <c r="ELU73" s="179"/>
      <c r="ELV73"/>
      <c r="ELW73" s="180"/>
      <c r="ELX73"/>
      <c r="ELY73" s="172"/>
      <c r="ELZ73" s="181"/>
      <c r="EMA73"/>
      <c r="EMB73" s="174"/>
      <c r="EMC73" s="175"/>
      <c r="EMD73" s="176"/>
      <c r="EME73" s="176"/>
      <c r="EMF73" s="175"/>
      <c r="EMG73" s="177"/>
      <c r="EMH73" s="175"/>
      <c r="EMI73" s="177"/>
      <c r="EMJ73" s="178"/>
      <c r="EMK73" s="179"/>
      <c r="EML73"/>
      <c r="EMM73" s="180"/>
      <c r="EMN73"/>
      <c r="EMO73" s="172"/>
      <c r="EMP73" s="181"/>
      <c r="EMQ73"/>
      <c r="EMR73" s="174"/>
      <c r="EMS73" s="175"/>
      <c r="EMT73" s="176"/>
      <c r="EMU73" s="176"/>
      <c r="EMV73" s="175"/>
      <c r="EMW73" s="177"/>
      <c r="EMX73" s="175"/>
      <c r="EMY73" s="177"/>
      <c r="EMZ73" s="178"/>
      <c r="ENA73" s="179"/>
      <c r="ENB73"/>
      <c r="ENC73" s="180"/>
      <c r="END73"/>
      <c r="ENE73" s="172"/>
      <c r="ENF73" s="181"/>
      <c r="ENG73"/>
      <c r="ENH73" s="174"/>
      <c r="ENI73" s="175"/>
      <c r="ENJ73" s="176"/>
      <c r="ENK73" s="176"/>
      <c r="ENL73" s="175"/>
      <c r="ENM73" s="177"/>
      <c r="ENN73" s="175"/>
      <c r="ENO73" s="177"/>
      <c r="ENP73" s="178"/>
      <c r="ENQ73" s="179"/>
      <c r="ENR73"/>
      <c r="ENS73" s="180"/>
      <c r="ENT73"/>
      <c r="ENU73" s="172"/>
      <c r="ENV73" s="181"/>
      <c r="ENW73"/>
      <c r="ENX73" s="174"/>
      <c r="ENY73" s="175"/>
      <c r="ENZ73" s="176"/>
      <c r="EOA73" s="176"/>
      <c r="EOB73" s="175"/>
      <c r="EOC73" s="177"/>
      <c r="EOD73" s="175"/>
      <c r="EOE73" s="177"/>
      <c r="EOF73" s="178"/>
      <c r="EOG73" s="179"/>
      <c r="EOH73"/>
      <c r="EOI73" s="180"/>
      <c r="EOJ73"/>
      <c r="EOK73" s="172"/>
      <c r="EOL73" s="181"/>
      <c r="EOM73"/>
      <c r="EON73" s="174"/>
      <c r="EOO73" s="175"/>
      <c r="EOP73" s="176"/>
      <c r="EOQ73" s="176"/>
      <c r="EOR73" s="175"/>
      <c r="EOS73" s="177"/>
      <c r="EOT73" s="175"/>
      <c r="EOU73" s="177"/>
      <c r="EOV73" s="178"/>
      <c r="EOW73" s="179"/>
      <c r="EOX73"/>
      <c r="EOY73" s="180"/>
      <c r="EOZ73"/>
      <c r="EPA73" s="172"/>
      <c r="EPB73" s="181"/>
      <c r="EPC73"/>
      <c r="EPD73" s="174"/>
      <c r="EPE73" s="175"/>
      <c r="EPF73" s="176"/>
      <c r="EPG73" s="176"/>
      <c r="EPH73" s="175"/>
      <c r="EPI73" s="177"/>
      <c r="EPJ73" s="175"/>
      <c r="EPK73" s="177"/>
      <c r="EPL73" s="178"/>
      <c r="EPM73" s="179"/>
      <c r="EPN73"/>
      <c r="EPO73" s="180"/>
      <c r="EPP73"/>
      <c r="EPQ73" s="172"/>
      <c r="EPR73" s="181"/>
      <c r="EPS73"/>
      <c r="EPT73" s="174"/>
      <c r="EPU73" s="175"/>
      <c r="EPV73" s="176"/>
      <c r="EPW73" s="176"/>
      <c r="EPX73" s="175"/>
      <c r="EPY73" s="177"/>
      <c r="EPZ73" s="175"/>
      <c r="EQA73" s="177"/>
      <c r="EQB73" s="178"/>
      <c r="EQC73" s="179"/>
      <c r="EQD73"/>
      <c r="EQE73" s="180"/>
      <c r="EQF73"/>
      <c r="EQG73" s="172"/>
      <c r="EQH73" s="181"/>
      <c r="EQI73"/>
      <c r="EQJ73" s="174"/>
      <c r="EQK73" s="175"/>
      <c r="EQL73" s="176"/>
      <c r="EQM73" s="176"/>
      <c r="EQN73" s="175"/>
      <c r="EQO73" s="177"/>
      <c r="EQP73" s="175"/>
      <c r="EQQ73" s="177"/>
      <c r="EQR73" s="178"/>
      <c r="EQS73" s="179"/>
      <c r="EQT73"/>
      <c r="EQU73" s="180"/>
      <c r="EQV73"/>
      <c r="EQW73" s="172"/>
      <c r="EQX73" s="181"/>
      <c r="EQY73"/>
      <c r="EQZ73" s="174"/>
      <c r="ERA73" s="175"/>
      <c r="ERB73" s="176"/>
      <c r="ERC73" s="176"/>
      <c r="ERD73" s="175"/>
      <c r="ERE73" s="177"/>
      <c r="ERF73" s="175"/>
      <c r="ERG73" s="177"/>
      <c r="ERH73" s="178"/>
      <c r="ERI73" s="179"/>
      <c r="ERJ73"/>
      <c r="ERK73" s="180"/>
      <c r="ERL73"/>
      <c r="ERM73" s="172"/>
      <c r="ERN73" s="181"/>
      <c r="ERO73"/>
      <c r="ERP73" s="174"/>
      <c r="ERQ73" s="175"/>
      <c r="ERR73" s="176"/>
      <c r="ERS73" s="176"/>
      <c r="ERT73" s="175"/>
      <c r="ERU73" s="177"/>
      <c r="ERV73" s="175"/>
      <c r="ERW73" s="177"/>
      <c r="ERX73" s="178"/>
      <c r="ERY73" s="179"/>
      <c r="ERZ73"/>
      <c r="ESA73" s="180"/>
      <c r="ESB73"/>
      <c r="ESC73" s="172"/>
      <c r="ESD73" s="181"/>
      <c r="ESE73"/>
      <c r="ESF73" s="174"/>
      <c r="ESG73" s="175"/>
      <c r="ESH73" s="176"/>
      <c r="ESI73" s="176"/>
      <c r="ESJ73" s="175"/>
      <c r="ESK73" s="177"/>
      <c r="ESL73" s="175"/>
      <c r="ESM73" s="177"/>
      <c r="ESN73" s="178"/>
      <c r="ESO73" s="179"/>
      <c r="ESP73"/>
      <c r="ESQ73" s="180"/>
      <c r="ESR73"/>
      <c r="ESS73" s="172"/>
      <c r="EST73" s="181"/>
      <c r="ESU73"/>
      <c r="ESV73" s="174"/>
      <c r="ESW73" s="175"/>
      <c r="ESX73" s="176"/>
      <c r="ESY73" s="176"/>
      <c r="ESZ73" s="175"/>
      <c r="ETA73" s="177"/>
      <c r="ETB73" s="175"/>
      <c r="ETC73" s="177"/>
      <c r="ETD73" s="178"/>
      <c r="ETE73" s="179"/>
      <c r="ETF73"/>
      <c r="ETG73" s="180"/>
      <c r="ETH73"/>
      <c r="ETI73" s="172"/>
      <c r="ETJ73" s="181"/>
      <c r="ETK73"/>
      <c r="ETL73" s="174"/>
      <c r="ETM73" s="175"/>
      <c r="ETN73" s="176"/>
      <c r="ETO73" s="176"/>
      <c r="ETP73" s="175"/>
      <c r="ETQ73" s="177"/>
      <c r="ETR73" s="175"/>
      <c r="ETS73" s="177"/>
      <c r="ETT73" s="178"/>
      <c r="ETU73" s="179"/>
      <c r="ETV73"/>
      <c r="ETW73" s="180"/>
      <c r="ETX73"/>
      <c r="ETY73" s="172"/>
      <c r="ETZ73" s="181"/>
      <c r="EUA73"/>
      <c r="EUB73" s="174"/>
      <c r="EUC73" s="175"/>
      <c r="EUD73" s="176"/>
      <c r="EUE73" s="176"/>
      <c r="EUF73" s="175"/>
      <c r="EUG73" s="177"/>
      <c r="EUH73" s="175"/>
      <c r="EUI73" s="177"/>
      <c r="EUJ73" s="178"/>
      <c r="EUK73" s="179"/>
      <c r="EUL73"/>
      <c r="EUM73" s="180"/>
      <c r="EUN73"/>
      <c r="EUO73" s="172"/>
      <c r="EUP73" s="181"/>
      <c r="EUQ73"/>
      <c r="EUR73" s="174"/>
      <c r="EUS73" s="175"/>
      <c r="EUT73" s="176"/>
      <c r="EUU73" s="176"/>
      <c r="EUV73" s="175"/>
      <c r="EUW73" s="177"/>
      <c r="EUX73" s="175"/>
      <c r="EUY73" s="177"/>
      <c r="EUZ73" s="178"/>
      <c r="EVA73" s="179"/>
      <c r="EVB73"/>
      <c r="EVC73" s="180"/>
      <c r="EVD73"/>
      <c r="EVE73" s="172"/>
      <c r="EVF73" s="181"/>
      <c r="EVG73"/>
      <c r="EVH73" s="174"/>
      <c r="EVI73" s="175"/>
      <c r="EVJ73" s="176"/>
      <c r="EVK73" s="176"/>
      <c r="EVL73" s="175"/>
      <c r="EVM73" s="177"/>
      <c r="EVN73" s="175"/>
      <c r="EVO73" s="177"/>
      <c r="EVP73" s="178"/>
      <c r="EVQ73" s="179"/>
      <c r="EVR73"/>
      <c r="EVS73" s="180"/>
      <c r="EVT73"/>
      <c r="EVU73" s="172"/>
      <c r="EVV73" s="181"/>
      <c r="EVW73"/>
      <c r="EVX73" s="174"/>
      <c r="EVY73" s="175"/>
      <c r="EVZ73" s="176"/>
      <c r="EWA73" s="176"/>
      <c r="EWB73" s="175"/>
      <c r="EWC73" s="177"/>
      <c r="EWD73" s="175"/>
      <c r="EWE73" s="177"/>
      <c r="EWF73" s="178"/>
      <c r="EWG73" s="179"/>
      <c r="EWH73"/>
      <c r="EWI73" s="180"/>
      <c r="EWJ73"/>
      <c r="EWK73" s="172"/>
      <c r="EWL73" s="181"/>
      <c r="EWM73"/>
      <c r="EWN73" s="174"/>
      <c r="EWO73" s="175"/>
      <c r="EWP73" s="176"/>
      <c r="EWQ73" s="176"/>
      <c r="EWR73" s="175"/>
      <c r="EWS73" s="177"/>
      <c r="EWT73" s="175"/>
      <c r="EWU73" s="177"/>
      <c r="EWV73" s="178"/>
      <c r="EWW73" s="179"/>
      <c r="EWX73"/>
      <c r="EWY73" s="180"/>
      <c r="EWZ73"/>
      <c r="EXA73" s="172"/>
      <c r="EXB73" s="181"/>
      <c r="EXC73"/>
      <c r="EXD73" s="174"/>
      <c r="EXE73" s="175"/>
      <c r="EXF73" s="176"/>
      <c r="EXG73" s="176"/>
      <c r="EXH73" s="175"/>
      <c r="EXI73" s="177"/>
      <c r="EXJ73" s="175"/>
      <c r="EXK73" s="177"/>
      <c r="EXL73" s="178"/>
      <c r="EXM73" s="179"/>
      <c r="EXN73"/>
      <c r="EXO73" s="180"/>
      <c r="EXP73"/>
      <c r="EXQ73" s="172"/>
      <c r="EXR73" s="181"/>
      <c r="EXS73"/>
      <c r="EXT73" s="174"/>
      <c r="EXU73" s="175"/>
      <c r="EXV73" s="176"/>
      <c r="EXW73" s="176"/>
      <c r="EXX73" s="175"/>
      <c r="EXY73" s="177"/>
      <c r="EXZ73" s="175"/>
      <c r="EYA73" s="177"/>
      <c r="EYB73" s="178"/>
      <c r="EYC73" s="179"/>
      <c r="EYD73"/>
      <c r="EYE73" s="180"/>
      <c r="EYF73"/>
      <c r="EYG73" s="172"/>
      <c r="EYH73" s="181"/>
      <c r="EYI73"/>
      <c r="EYJ73" s="174"/>
      <c r="EYK73" s="175"/>
      <c r="EYL73" s="176"/>
      <c r="EYM73" s="176"/>
      <c r="EYN73" s="175"/>
      <c r="EYO73" s="177"/>
      <c r="EYP73" s="175"/>
      <c r="EYQ73" s="177"/>
      <c r="EYR73" s="178"/>
      <c r="EYS73" s="179"/>
      <c r="EYT73"/>
      <c r="EYU73" s="180"/>
      <c r="EYV73"/>
      <c r="EYW73" s="172"/>
      <c r="EYX73" s="181"/>
      <c r="EYY73"/>
      <c r="EYZ73" s="174"/>
      <c r="EZA73" s="175"/>
      <c r="EZB73" s="176"/>
      <c r="EZC73" s="176"/>
      <c r="EZD73" s="175"/>
      <c r="EZE73" s="177"/>
      <c r="EZF73" s="175"/>
      <c r="EZG73" s="177"/>
      <c r="EZH73" s="178"/>
      <c r="EZI73" s="179"/>
      <c r="EZJ73"/>
      <c r="EZK73" s="180"/>
      <c r="EZL73"/>
      <c r="EZM73" s="172"/>
      <c r="EZN73" s="181"/>
      <c r="EZO73"/>
      <c r="EZP73" s="174"/>
      <c r="EZQ73" s="175"/>
      <c r="EZR73" s="176"/>
      <c r="EZS73" s="176"/>
      <c r="EZT73" s="175"/>
      <c r="EZU73" s="177"/>
      <c r="EZV73" s="175"/>
      <c r="EZW73" s="177"/>
      <c r="EZX73" s="178"/>
      <c r="EZY73" s="179"/>
      <c r="EZZ73"/>
      <c r="FAA73" s="180"/>
      <c r="FAB73"/>
      <c r="FAC73" s="172"/>
      <c r="FAD73" s="181"/>
      <c r="FAE73"/>
      <c r="FAF73" s="174"/>
      <c r="FAG73" s="175"/>
      <c r="FAH73" s="176"/>
      <c r="FAI73" s="176"/>
      <c r="FAJ73" s="175"/>
      <c r="FAK73" s="177"/>
      <c r="FAL73" s="175"/>
      <c r="FAM73" s="177"/>
      <c r="FAN73" s="178"/>
      <c r="FAO73" s="179"/>
      <c r="FAP73"/>
      <c r="FAQ73" s="180"/>
      <c r="FAR73"/>
      <c r="FAS73" s="172"/>
      <c r="FAT73" s="181"/>
      <c r="FAU73"/>
      <c r="FAV73" s="174"/>
      <c r="FAW73" s="175"/>
      <c r="FAX73" s="176"/>
      <c r="FAY73" s="176"/>
      <c r="FAZ73" s="175"/>
      <c r="FBA73" s="177"/>
      <c r="FBB73" s="175"/>
      <c r="FBC73" s="177"/>
      <c r="FBD73" s="178"/>
      <c r="FBE73" s="179"/>
      <c r="FBF73"/>
      <c r="FBG73" s="180"/>
      <c r="FBH73"/>
      <c r="FBI73" s="172"/>
      <c r="FBJ73" s="181"/>
      <c r="FBK73"/>
      <c r="FBL73" s="174"/>
      <c r="FBM73" s="175"/>
      <c r="FBN73" s="176"/>
      <c r="FBO73" s="176"/>
      <c r="FBP73" s="175"/>
      <c r="FBQ73" s="177"/>
      <c r="FBR73" s="175"/>
      <c r="FBS73" s="177"/>
      <c r="FBT73" s="178"/>
      <c r="FBU73" s="179"/>
      <c r="FBV73"/>
      <c r="FBW73" s="180"/>
      <c r="FBX73"/>
      <c r="FBY73" s="172"/>
      <c r="FBZ73" s="181"/>
      <c r="FCA73"/>
      <c r="FCB73" s="174"/>
      <c r="FCC73" s="175"/>
      <c r="FCD73" s="176"/>
      <c r="FCE73" s="176"/>
      <c r="FCF73" s="175"/>
      <c r="FCG73" s="177"/>
      <c r="FCH73" s="175"/>
      <c r="FCI73" s="177"/>
      <c r="FCJ73" s="178"/>
      <c r="FCK73" s="179"/>
      <c r="FCL73"/>
      <c r="FCM73" s="180"/>
      <c r="FCN73"/>
      <c r="FCO73" s="172"/>
      <c r="FCP73" s="181"/>
      <c r="FCQ73"/>
      <c r="FCR73" s="174"/>
      <c r="FCS73" s="175"/>
      <c r="FCT73" s="176"/>
      <c r="FCU73" s="176"/>
      <c r="FCV73" s="175"/>
      <c r="FCW73" s="177"/>
      <c r="FCX73" s="175"/>
      <c r="FCY73" s="177"/>
      <c r="FCZ73" s="178"/>
      <c r="FDA73" s="179"/>
      <c r="FDB73"/>
      <c r="FDC73" s="180"/>
      <c r="FDD73"/>
      <c r="FDE73" s="172"/>
      <c r="FDF73" s="181"/>
      <c r="FDG73"/>
      <c r="FDH73" s="174"/>
      <c r="FDI73" s="175"/>
      <c r="FDJ73" s="176"/>
      <c r="FDK73" s="176"/>
      <c r="FDL73" s="175"/>
      <c r="FDM73" s="177"/>
      <c r="FDN73" s="175"/>
      <c r="FDO73" s="177"/>
      <c r="FDP73" s="178"/>
      <c r="FDQ73" s="179"/>
      <c r="FDR73"/>
      <c r="FDS73" s="180"/>
      <c r="FDT73"/>
      <c r="FDU73" s="172"/>
      <c r="FDV73" s="181"/>
      <c r="FDW73"/>
      <c r="FDX73" s="174"/>
      <c r="FDY73" s="175"/>
      <c r="FDZ73" s="176"/>
      <c r="FEA73" s="176"/>
      <c r="FEB73" s="175"/>
      <c r="FEC73" s="177"/>
      <c r="FED73" s="175"/>
      <c r="FEE73" s="177"/>
      <c r="FEF73" s="178"/>
      <c r="FEG73" s="179"/>
      <c r="FEH73"/>
      <c r="FEI73" s="180"/>
      <c r="FEJ73"/>
      <c r="FEK73" s="172"/>
      <c r="FEL73" s="181"/>
      <c r="FEM73"/>
      <c r="FEN73" s="174"/>
      <c r="FEO73" s="175"/>
      <c r="FEP73" s="176"/>
      <c r="FEQ73" s="176"/>
      <c r="FER73" s="175"/>
      <c r="FES73" s="177"/>
      <c r="FET73" s="175"/>
      <c r="FEU73" s="177"/>
      <c r="FEV73" s="178"/>
      <c r="FEW73" s="179"/>
      <c r="FEX73"/>
      <c r="FEY73" s="180"/>
      <c r="FEZ73"/>
      <c r="FFA73" s="172"/>
      <c r="FFB73" s="181"/>
      <c r="FFC73"/>
      <c r="FFD73" s="174"/>
      <c r="FFE73" s="175"/>
      <c r="FFF73" s="176"/>
      <c r="FFG73" s="176"/>
      <c r="FFH73" s="175"/>
      <c r="FFI73" s="177"/>
      <c r="FFJ73" s="175"/>
      <c r="FFK73" s="177"/>
      <c r="FFL73" s="178"/>
      <c r="FFM73" s="179"/>
      <c r="FFN73"/>
      <c r="FFO73" s="180"/>
      <c r="FFP73"/>
      <c r="FFQ73" s="172"/>
      <c r="FFR73" s="181"/>
      <c r="FFS73"/>
      <c r="FFT73" s="174"/>
      <c r="FFU73" s="175"/>
      <c r="FFV73" s="176"/>
      <c r="FFW73" s="176"/>
      <c r="FFX73" s="175"/>
      <c r="FFY73" s="177"/>
      <c r="FFZ73" s="175"/>
      <c r="FGA73" s="177"/>
      <c r="FGB73" s="178"/>
      <c r="FGC73" s="179"/>
      <c r="FGD73"/>
      <c r="FGE73" s="180"/>
      <c r="FGF73"/>
      <c r="FGG73" s="172"/>
      <c r="FGH73" s="181"/>
      <c r="FGI73"/>
      <c r="FGJ73" s="174"/>
      <c r="FGK73" s="175"/>
      <c r="FGL73" s="176"/>
      <c r="FGM73" s="176"/>
      <c r="FGN73" s="175"/>
      <c r="FGO73" s="177"/>
      <c r="FGP73" s="175"/>
      <c r="FGQ73" s="177"/>
      <c r="FGR73" s="178"/>
      <c r="FGS73" s="179"/>
      <c r="FGT73"/>
      <c r="FGU73" s="180"/>
      <c r="FGV73"/>
      <c r="FGW73" s="172"/>
      <c r="FGX73" s="181"/>
      <c r="FGY73"/>
      <c r="FGZ73" s="174"/>
      <c r="FHA73" s="175"/>
      <c r="FHB73" s="176"/>
      <c r="FHC73" s="176"/>
      <c r="FHD73" s="175"/>
      <c r="FHE73" s="177"/>
      <c r="FHF73" s="175"/>
      <c r="FHG73" s="177"/>
      <c r="FHH73" s="178"/>
      <c r="FHI73" s="179"/>
      <c r="FHJ73"/>
      <c r="FHK73" s="180"/>
      <c r="FHL73"/>
      <c r="FHM73" s="172"/>
      <c r="FHN73" s="181"/>
      <c r="FHO73"/>
      <c r="FHP73" s="174"/>
      <c r="FHQ73" s="175"/>
      <c r="FHR73" s="176"/>
      <c r="FHS73" s="176"/>
      <c r="FHT73" s="175"/>
      <c r="FHU73" s="177"/>
      <c r="FHV73" s="175"/>
      <c r="FHW73" s="177"/>
      <c r="FHX73" s="178"/>
      <c r="FHY73" s="179"/>
      <c r="FHZ73"/>
      <c r="FIA73" s="180"/>
      <c r="FIB73"/>
      <c r="FIC73" s="172"/>
      <c r="FID73" s="181"/>
      <c r="FIE73"/>
      <c r="FIF73" s="174"/>
      <c r="FIG73" s="175"/>
      <c r="FIH73" s="176"/>
      <c r="FII73" s="176"/>
      <c r="FIJ73" s="175"/>
      <c r="FIK73" s="177"/>
      <c r="FIL73" s="175"/>
      <c r="FIM73" s="177"/>
      <c r="FIN73" s="178"/>
      <c r="FIO73" s="179"/>
      <c r="FIP73"/>
      <c r="FIQ73" s="180"/>
      <c r="FIR73"/>
      <c r="FIS73" s="172"/>
      <c r="FIT73" s="181"/>
      <c r="FIU73"/>
      <c r="FIV73" s="174"/>
      <c r="FIW73" s="175"/>
      <c r="FIX73" s="176"/>
      <c r="FIY73" s="176"/>
      <c r="FIZ73" s="175"/>
      <c r="FJA73" s="177"/>
      <c r="FJB73" s="175"/>
      <c r="FJC73" s="177"/>
      <c r="FJD73" s="178"/>
      <c r="FJE73" s="179"/>
      <c r="FJF73"/>
      <c r="FJG73" s="180"/>
      <c r="FJH73"/>
      <c r="FJI73" s="172"/>
      <c r="FJJ73" s="181"/>
      <c r="FJK73"/>
      <c r="FJL73" s="174"/>
      <c r="FJM73" s="175"/>
      <c r="FJN73" s="176"/>
      <c r="FJO73" s="176"/>
      <c r="FJP73" s="175"/>
      <c r="FJQ73" s="177"/>
      <c r="FJR73" s="175"/>
      <c r="FJS73" s="177"/>
      <c r="FJT73" s="178"/>
      <c r="FJU73" s="179"/>
      <c r="FJV73"/>
      <c r="FJW73" s="180"/>
      <c r="FJX73"/>
      <c r="FJY73" s="172"/>
      <c r="FJZ73" s="181"/>
      <c r="FKA73"/>
      <c r="FKB73" s="174"/>
      <c r="FKC73" s="175"/>
      <c r="FKD73" s="176"/>
      <c r="FKE73" s="176"/>
      <c r="FKF73" s="175"/>
      <c r="FKG73" s="177"/>
      <c r="FKH73" s="175"/>
      <c r="FKI73" s="177"/>
      <c r="FKJ73" s="178"/>
      <c r="FKK73" s="179"/>
      <c r="FKL73"/>
      <c r="FKM73" s="180"/>
      <c r="FKN73"/>
      <c r="FKO73" s="172"/>
      <c r="FKP73" s="181"/>
      <c r="FKQ73"/>
      <c r="FKR73" s="174"/>
      <c r="FKS73" s="175"/>
      <c r="FKT73" s="176"/>
      <c r="FKU73" s="176"/>
      <c r="FKV73" s="175"/>
      <c r="FKW73" s="177"/>
      <c r="FKX73" s="175"/>
      <c r="FKY73" s="177"/>
      <c r="FKZ73" s="178"/>
      <c r="FLA73" s="179"/>
      <c r="FLB73"/>
      <c r="FLC73" s="180"/>
      <c r="FLD73"/>
      <c r="FLE73" s="172"/>
      <c r="FLF73" s="181"/>
      <c r="FLG73"/>
      <c r="FLH73" s="174"/>
      <c r="FLI73" s="175"/>
      <c r="FLJ73" s="176"/>
      <c r="FLK73" s="176"/>
      <c r="FLL73" s="175"/>
      <c r="FLM73" s="177"/>
      <c r="FLN73" s="175"/>
      <c r="FLO73" s="177"/>
      <c r="FLP73" s="178"/>
      <c r="FLQ73" s="179"/>
      <c r="FLR73"/>
      <c r="FLS73" s="180"/>
      <c r="FLT73"/>
      <c r="FLU73" s="172"/>
      <c r="FLV73" s="181"/>
      <c r="FLW73"/>
      <c r="FLX73" s="174"/>
      <c r="FLY73" s="175"/>
      <c r="FLZ73" s="176"/>
      <c r="FMA73" s="176"/>
      <c r="FMB73" s="175"/>
      <c r="FMC73" s="177"/>
      <c r="FMD73" s="175"/>
      <c r="FME73" s="177"/>
      <c r="FMF73" s="178"/>
      <c r="FMG73" s="179"/>
      <c r="FMH73"/>
      <c r="FMI73" s="180"/>
      <c r="FMJ73"/>
      <c r="FMK73" s="172"/>
      <c r="FML73" s="181"/>
      <c r="FMM73"/>
      <c r="FMN73" s="174"/>
      <c r="FMO73" s="175"/>
      <c r="FMP73" s="176"/>
      <c r="FMQ73" s="176"/>
      <c r="FMR73" s="175"/>
      <c r="FMS73" s="177"/>
      <c r="FMT73" s="175"/>
      <c r="FMU73" s="177"/>
      <c r="FMV73" s="178"/>
      <c r="FMW73" s="179"/>
      <c r="FMX73"/>
      <c r="FMY73" s="180"/>
      <c r="FMZ73"/>
      <c r="FNA73" s="172"/>
      <c r="FNB73" s="181"/>
      <c r="FNC73"/>
      <c r="FND73" s="174"/>
      <c r="FNE73" s="175"/>
      <c r="FNF73" s="176"/>
      <c r="FNG73" s="176"/>
      <c r="FNH73" s="175"/>
      <c r="FNI73" s="177"/>
      <c r="FNJ73" s="175"/>
      <c r="FNK73" s="177"/>
      <c r="FNL73" s="178"/>
      <c r="FNM73" s="179"/>
      <c r="FNN73"/>
      <c r="FNO73" s="180"/>
      <c r="FNP73"/>
      <c r="FNQ73" s="172"/>
      <c r="FNR73" s="181"/>
      <c r="FNS73"/>
      <c r="FNT73" s="174"/>
      <c r="FNU73" s="175"/>
      <c r="FNV73" s="176"/>
      <c r="FNW73" s="176"/>
      <c r="FNX73" s="175"/>
      <c r="FNY73" s="177"/>
      <c r="FNZ73" s="175"/>
      <c r="FOA73" s="177"/>
      <c r="FOB73" s="178"/>
      <c r="FOC73" s="179"/>
      <c r="FOD73"/>
      <c r="FOE73" s="180"/>
      <c r="FOF73"/>
      <c r="FOG73" s="172"/>
      <c r="FOH73" s="181"/>
      <c r="FOI73"/>
      <c r="FOJ73" s="174"/>
      <c r="FOK73" s="175"/>
      <c r="FOL73" s="176"/>
      <c r="FOM73" s="176"/>
      <c r="FON73" s="175"/>
      <c r="FOO73" s="177"/>
      <c r="FOP73" s="175"/>
      <c r="FOQ73" s="177"/>
      <c r="FOR73" s="178"/>
      <c r="FOS73" s="179"/>
      <c r="FOT73"/>
      <c r="FOU73" s="180"/>
      <c r="FOV73"/>
      <c r="FOW73" s="172"/>
      <c r="FOX73" s="181"/>
      <c r="FOY73"/>
      <c r="FOZ73" s="174"/>
      <c r="FPA73" s="175"/>
      <c r="FPB73" s="176"/>
      <c r="FPC73" s="176"/>
      <c r="FPD73" s="175"/>
      <c r="FPE73" s="177"/>
      <c r="FPF73" s="175"/>
      <c r="FPG73" s="177"/>
      <c r="FPH73" s="178"/>
      <c r="FPI73" s="179"/>
      <c r="FPJ73"/>
      <c r="FPK73" s="180"/>
      <c r="FPL73"/>
      <c r="FPM73" s="172"/>
      <c r="FPN73" s="181"/>
      <c r="FPO73"/>
      <c r="FPP73" s="174"/>
      <c r="FPQ73" s="175"/>
      <c r="FPR73" s="176"/>
      <c r="FPS73" s="176"/>
      <c r="FPT73" s="175"/>
      <c r="FPU73" s="177"/>
      <c r="FPV73" s="175"/>
      <c r="FPW73" s="177"/>
      <c r="FPX73" s="178"/>
      <c r="FPY73" s="179"/>
      <c r="FPZ73"/>
      <c r="FQA73" s="180"/>
      <c r="FQB73"/>
      <c r="FQC73" s="172"/>
      <c r="FQD73" s="181"/>
      <c r="FQE73"/>
      <c r="FQF73" s="174"/>
      <c r="FQG73" s="175"/>
      <c r="FQH73" s="176"/>
      <c r="FQI73" s="176"/>
      <c r="FQJ73" s="175"/>
      <c r="FQK73" s="177"/>
      <c r="FQL73" s="175"/>
      <c r="FQM73" s="177"/>
      <c r="FQN73" s="178"/>
      <c r="FQO73" s="179"/>
      <c r="FQP73"/>
      <c r="FQQ73" s="180"/>
      <c r="FQR73"/>
      <c r="FQS73" s="172"/>
      <c r="FQT73" s="181"/>
      <c r="FQU73"/>
      <c r="FQV73" s="174"/>
      <c r="FQW73" s="175"/>
      <c r="FQX73" s="176"/>
      <c r="FQY73" s="176"/>
      <c r="FQZ73" s="175"/>
      <c r="FRA73" s="177"/>
      <c r="FRB73" s="175"/>
      <c r="FRC73" s="177"/>
      <c r="FRD73" s="178"/>
      <c r="FRE73" s="179"/>
      <c r="FRF73"/>
      <c r="FRG73" s="180"/>
      <c r="FRH73"/>
      <c r="FRI73" s="172"/>
      <c r="FRJ73" s="181"/>
      <c r="FRK73"/>
      <c r="FRL73" s="174"/>
      <c r="FRM73" s="175"/>
      <c r="FRN73" s="176"/>
      <c r="FRO73" s="176"/>
      <c r="FRP73" s="175"/>
      <c r="FRQ73" s="177"/>
      <c r="FRR73" s="175"/>
      <c r="FRS73" s="177"/>
      <c r="FRT73" s="178"/>
      <c r="FRU73" s="179"/>
      <c r="FRV73"/>
      <c r="FRW73" s="180"/>
      <c r="FRX73"/>
      <c r="FRY73" s="172"/>
      <c r="FRZ73" s="181"/>
      <c r="FSA73"/>
      <c r="FSB73" s="174"/>
      <c r="FSC73" s="175"/>
      <c r="FSD73" s="176"/>
      <c r="FSE73" s="176"/>
      <c r="FSF73" s="175"/>
      <c r="FSG73" s="177"/>
      <c r="FSH73" s="175"/>
      <c r="FSI73" s="177"/>
      <c r="FSJ73" s="178"/>
      <c r="FSK73" s="179"/>
      <c r="FSL73"/>
      <c r="FSM73" s="180"/>
      <c r="FSN73"/>
      <c r="FSO73" s="172"/>
      <c r="FSP73" s="181"/>
      <c r="FSQ73"/>
      <c r="FSR73" s="174"/>
      <c r="FSS73" s="175"/>
      <c r="FST73" s="176"/>
      <c r="FSU73" s="176"/>
      <c r="FSV73" s="175"/>
      <c r="FSW73" s="177"/>
      <c r="FSX73" s="175"/>
      <c r="FSY73" s="177"/>
      <c r="FSZ73" s="178"/>
      <c r="FTA73" s="179"/>
      <c r="FTB73"/>
      <c r="FTC73" s="180"/>
      <c r="FTD73"/>
      <c r="FTE73" s="172"/>
      <c r="FTF73" s="181"/>
      <c r="FTG73"/>
      <c r="FTH73" s="174"/>
      <c r="FTI73" s="175"/>
      <c r="FTJ73" s="176"/>
      <c r="FTK73" s="176"/>
      <c r="FTL73" s="175"/>
      <c r="FTM73" s="177"/>
      <c r="FTN73" s="175"/>
      <c r="FTO73" s="177"/>
      <c r="FTP73" s="178"/>
      <c r="FTQ73" s="179"/>
      <c r="FTR73"/>
      <c r="FTS73" s="180"/>
      <c r="FTT73"/>
      <c r="FTU73" s="172"/>
      <c r="FTV73" s="181"/>
      <c r="FTW73"/>
      <c r="FTX73" s="174"/>
      <c r="FTY73" s="175"/>
      <c r="FTZ73" s="176"/>
      <c r="FUA73" s="176"/>
      <c r="FUB73" s="175"/>
      <c r="FUC73" s="177"/>
      <c r="FUD73" s="175"/>
      <c r="FUE73" s="177"/>
      <c r="FUF73" s="178"/>
      <c r="FUG73" s="179"/>
      <c r="FUH73"/>
      <c r="FUI73" s="180"/>
      <c r="FUJ73"/>
      <c r="FUK73" s="172"/>
      <c r="FUL73" s="181"/>
      <c r="FUM73"/>
      <c r="FUN73" s="174"/>
      <c r="FUO73" s="175"/>
      <c r="FUP73" s="176"/>
      <c r="FUQ73" s="176"/>
      <c r="FUR73" s="175"/>
      <c r="FUS73" s="177"/>
      <c r="FUT73" s="175"/>
      <c r="FUU73" s="177"/>
      <c r="FUV73" s="178"/>
      <c r="FUW73" s="179"/>
      <c r="FUX73"/>
      <c r="FUY73" s="180"/>
      <c r="FUZ73"/>
      <c r="FVA73" s="172"/>
      <c r="FVB73" s="181"/>
      <c r="FVC73"/>
      <c r="FVD73" s="174"/>
      <c r="FVE73" s="175"/>
      <c r="FVF73" s="176"/>
      <c r="FVG73" s="176"/>
      <c r="FVH73" s="175"/>
      <c r="FVI73" s="177"/>
      <c r="FVJ73" s="175"/>
      <c r="FVK73" s="177"/>
      <c r="FVL73" s="178"/>
      <c r="FVM73" s="179"/>
      <c r="FVN73"/>
      <c r="FVO73" s="180"/>
      <c r="FVP73"/>
      <c r="FVQ73" s="172"/>
      <c r="FVR73" s="181"/>
      <c r="FVS73"/>
      <c r="FVT73" s="174"/>
      <c r="FVU73" s="175"/>
      <c r="FVV73" s="176"/>
      <c r="FVW73" s="176"/>
      <c r="FVX73" s="175"/>
      <c r="FVY73" s="177"/>
      <c r="FVZ73" s="175"/>
      <c r="FWA73" s="177"/>
      <c r="FWB73" s="178"/>
      <c r="FWC73" s="179"/>
      <c r="FWD73"/>
      <c r="FWE73" s="180"/>
      <c r="FWF73"/>
      <c r="FWG73" s="172"/>
      <c r="FWH73" s="181"/>
      <c r="FWI73"/>
      <c r="FWJ73" s="174"/>
      <c r="FWK73" s="175"/>
      <c r="FWL73" s="176"/>
      <c r="FWM73" s="176"/>
      <c r="FWN73" s="175"/>
      <c r="FWO73" s="177"/>
      <c r="FWP73" s="175"/>
      <c r="FWQ73" s="177"/>
      <c r="FWR73" s="178"/>
      <c r="FWS73" s="179"/>
      <c r="FWT73"/>
      <c r="FWU73" s="180"/>
      <c r="FWV73"/>
      <c r="FWW73" s="172"/>
      <c r="FWX73" s="181"/>
      <c r="FWY73"/>
      <c r="FWZ73" s="174"/>
      <c r="FXA73" s="175"/>
      <c r="FXB73" s="176"/>
      <c r="FXC73" s="176"/>
      <c r="FXD73" s="175"/>
      <c r="FXE73" s="177"/>
      <c r="FXF73" s="175"/>
      <c r="FXG73" s="177"/>
      <c r="FXH73" s="178"/>
      <c r="FXI73" s="179"/>
      <c r="FXJ73"/>
      <c r="FXK73" s="180"/>
      <c r="FXL73"/>
      <c r="FXM73" s="172"/>
      <c r="FXN73" s="181"/>
      <c r="FXO73"/>
      <c r="FXP73" s="174"/>
      <c r="FXQ73" s="175"/>
      <c r="FXR73" s="176"/>
      <c r="FXS73" s="176"/>
      <c r="FXT73" s="175"/>
      <c r="FXU73" s="177"/>
      <c r="FXV73" s="175"/>
      <c r="FXW73" s="177"/>
      <c r="FXX73" s="178"/>
      <c r="FXY73" s="179"/>
      <c r="FXZ73"/>
      <c r="FYA73" s="180"/>
      <c r="FYB73"/>
      <c r="FYC73" s="172"/>
      <c r="FYD73" s="181"/>
      <c r="FYE73"/>
      <c r="FYF73" s="174"/>
      <c r="FYG73" s="175"/>
      <c r="FYH73" s="176"/>
      <c r="FYI73" s="176"/>
      <c r="FYJ73" s="175"/>
      <c r="FYK73" s="177"/>
      <c r="FYL73" s="175"/>
      <c r="FYM73" s="177"/>
      <c r="FYN73" s="178"/>
      <c r="FYO73" s="179"/>
      <c r="FYP73"/>
      <c r="FYQ73" s="180"/>
      <c r="FYR73"/>
      <c r="FYS73" s="172"/>
      <c r="FYT73" s="181"/>
      <c r="FYU73"/>
      <c r="FYV73" s="174"/>
      <c r="FYW73" s="175"/>
      <c r="FYX73" s="176"/>
      <c r="FYY73" s="176"/>
      <c r="FYZ73" s="175"/>
      <c r="FZA73" s="177"/>
      <c r="FZB73" s="175"/>
      <c r="FZC73" s="177"/>
      <c r="FZD73" s="178"/>
      <c r="FZE73" s="179"/>
      <c r="FZF73"/>
      <c r="FZG73" s="180"/>
      <c r="FZH73"/>
      <c r="FZI73" s="172"/>
      <c r="FZJ73" s="181"/>
      <c r="FZK73"/>
      <c r="FZL73" s="174"/>
      <c r="FZM73" s="175"/>
      <c r="FZN73" s="176"/>
      <c r="FZO73" s="176"/>
      <c r="FZP73" s="175"/>
      <c r="FZQ73" s="177"/>
      <c r="FZR73" s="175"/>
      <c r="FZS73" s="177"/>
      <c r="FZT73" s="178"/>
      <c r="FZU73" s="179"/>
      <c r="FZV73"/>
      <c r="FZW73" s="180"/>
      <c r="FZX73"/>
      <c r="FZY73" s="172"/>
      <c r="FZZ73" s="181"/>
      <c r="GAA73"/>
      <c r="GAB73" s="174"/>
      <c r="GAC73" s="175"/>
      <c r="GAD73" s="176"/>
      <c r="GAE73" s="176"/>
      <c r="GAF73" s="175"/>
      <c r="GAG73" s="177"/>
      <c r="GAH73" s="175"/>
      <c r="GAI73" s="177"/>
      <c r="GAJ73" s="178"/>
      <c r="GAK73" s="179"/>
      <c r="GAL73"/>
      <c r="GAM73" s="180"/>
      <c r="GAN73"/>
      <c r="GAO73" s="172"/>
      <c r="GAP73" s="181"/>
      <c r="GAQ73"/>
      <c r="GAR73" s="174"/>
      <c r="GAS73" s="175"/>
      <c r="GAT73" s="176"/>
      <c r="GAU73" s="176"/>
      <c r="GAV73" s="175"/>
      <c r="GAW73" s="177"/>
      <c r="GAX73" s="175"/>
      <c r="GAY73" s="177"/>
      <c r="GAZ73" s="178"/>
      <c r="GBA73" s="179"/>
      <c r="GBB73"/>
      <c r="GBC73" s="180"/>
      <c r="GBD73"/>
      <c r="GBE73" s="172"/>
      <c r="GBF73" s="181"/>
      <c r="GBG73"/>
      <c r="GBH73" s="174"/>
      <c r="GBI73" s="175"/>
      <c r="GBJ73" s="176"/>
      <c r="GBK73" s="176"/>
      <c r="GBL73" s="175"/>
      <c r="GBM73" s="177"/>
      <c r="GBN73" s="175"/>
      <c r="GBO73" s="177"/>
      <c r="GBP73" s="178"/>
      <c r="GBQ73" s="179"/>
      <c r="GBR73"/>
      <c r="GBS73" s="180"/>
      <c r="GBT73"/>
      <c r="GBU73" s="172"/>
      <c r="GBV73" s="181"/>
      <c r="GBW73"/>
      <c r="GBX73" s="174"/>
      <c r="GBY73" s="175"/>
      <c r="GBZ73" s="176"/>
      <c r="GCA73" s="176"/>
      <c r="GCB73" s="175"/>
      <c r="GCC73" s="177"/>
      <c r="GCD73" s="175"/>
      <c r="GCE73" s="177"/>
      <c r="GCF73" s="178"/>
      <c r="GCG73" s="179"/>
      <c r="GCH73"/>
      <c r="GCI73" s="180"/>
      <c r="GCJ73"/>
      <c r="GCK73" s="172"/>
      <c r="GCL73" s="181"/>
      <c r="GCM73"/>
      <c r="GCN73" s="174"/>
      <c r="GCO73" s="175"/>
      <c r="GCP73" s="176"/>
      <c r="GCQ73" s="176"/>
      <c r="GCR73" s="175"/>
      <c r="GCS73" s="177"/>
      <c r="GCT73" s="175"/>
      <c r="GCU73" s="177"/>
      <c r="GCV73" s="178"/>
      <c r="GCW73" s="179"/>
      <c r="GCX73"/>
      <c r="GCY73" s="180"/>
      <c r="GCZ73"/>
      <c r="GDA73" s="172"/>
      <c r="GDB73" s="181"/>
      <c r="GDC73"/>
      <c r="GDD73" s="174"/>
      <c r="GDE73" s="175"/>
      <c r="GDF73" s="176"/>
      <c r="GDG73" s="176"/>
      <c r="GDH73" s="175"/>
      <c r="GDI73" s="177"/>
      <c r="GDJ73" s="175"/>
      <c r="GDK73" s="177"/>
      <c r="GDL73" s="178"/>
      <c r="GDM73" s="179"/>
      <c r="GDN73"/>
      <c r="GDO73" s="180"/>
      <c r="GDP73"/>
      <c r="GDQ73" s="172"/>
      <c r="GDR73" s="181"/>
      <c r="GDS73"/>
      <c r="GDT73" s="174"/>
      <c r="GDU73" s="175"/>
      <c r="GDV73" s="176"/>
      <c r="GDW73" s="176"/>
      <c r="GDX73" s="175"/>
      <c r="GDY73" s="177"/>
      <c r="GDZ73" s="175"/>
      <c r="GEA73" s="177"/>
      <c r="GEB73" s="178"/>
      <c r="GEC73" s="179"/>
      <c r="GED73"/>
      <c r="GEE73" s="180"/>
      <c r="GEF73"/>
      <c r="GEG73" s="172"/>
      <c r="GEH73" s="181"/>
      <c r="GEI73"/>
      <c r="GEJ73" s="174"/>
      <c r="GEK73" s="175"/>
      <c r="GEL73" s="176"/>
      <c r="GEM73" s="176"/>
      <c r="GEN73" s="175"/>
      <c r="GEO73" s="177"/>
      <c r="GEP73" s="175"/>
      <c r="GEQ73" s="177"/>
      <c r="GER73" s="178"/>
      <c r="GES73" s="179"/>
      <c r="GET73"/>
      <c r="GEU73" s="180"/>
      <c r="GEV73"/>
      <c r="GEW73" s="172"/>
      <c r="GEX73" s="181"/>
      <c r="GEY73"/>
      <c r="GEZ73" s="174"/>
      <c r="GFA73" s="175"/>
      <c r="GFB73" s="176"/>
      <c r="GFC73" s="176"/>
      <c r="GFD73" s="175"/>
      <c r="GFE73" s="177"/>
      <c r="GFF73" s="175"/>
      <c r="GFG73" s="177"/>
      <c r="GFH73" s="178"/>
      <c r="GFI73" s="179"/>
      <c r="GFJ73"/>
      <c r="GFK73" s="180"/>
      <c r="GFL73"/>
      <c r="GFM73" s="172"/>
      <c r="GFN73" s="181"/>
      <c r="GFO73"/>
      <c r="GFP73" s="174"/>
      <c r="GFQ73" s="175"/>
      <c r="GFR73" s="176"/>
      <c r="GFS73" s="176"/>
      <c r="GFT73" s="175"/>
      <c r="GFU73" s="177"/>
      <c r="GFV73" s="175"/>
      <c r="GFW73" s="177"/>
      <c r="GFX73" s="178"/>
      <c r="GFY73" s="179"/>
      <c r="GFZ73"/>
      <c r="GGA73" s="180"/>
      <c r="GGB73"/>
      <c r="GGC73" s="172"/>
      <c r="GGD73" s="181"/>
      <c r="GGE73"/>
      <c r="GGF73" s="174"/>
      <c r="GGG73" s="175"/>
      <c r="GGH73" s="176"/>
      <c r="GGI73" s="176"/>
      <c r="GGJ73" s="175"/>
      <c r="GGK73" s="177"/>
      <c r="GGL73" s="175"/>
      <c r="GGM73" s="177"/>
      <c r="GGN73" s="178"/>
      <c r="GGO73" s="179"/>
      <c r="GGP73"/>
      <c r="GGQ73" s="180"/>
      <c r="GGR73"/>
      <c r="GGS73" s="172"/>
      <c r="GGT73" s="181"/>
      <c r="GGU73"/>
      <c r="GGV73" s="174"/>
      <c r="GGW73" s="175"/>
      <c r="GGX73" s="176"/>
      <c r="GGY73" s="176"/>
      <c r="GGZ73" s="175"/>
      <c r="GHA73" s="177"/>
      <c r="GHB73" s="175"/>
      <c r="GHC73" s="177"/>
      <c r="GHD73" s="178"/>
      <c r="GHE73" s="179"/>
      <c r="GHF73"/>
      <c r="GHG73" s="180"/>
      <c r="GHH73"/>
      <c r="GHI73" s="172"/>
      <c r="GHJ73" s="181"/>
      <c r="GHK73"/>
      <c r="GHL73" s="174"/>
      <c r="GHM73" s="175"/>
      <c r="GHN73" s="176"/>
      <c r="GHO73" s="176"/>
      <c r="GHP73" s="175"/>
      <c r="GHQ73" s="177"/>
      <c r="GHR73" s="175"/>
      <c r="GHS73" s="177"/>
      <c r="GHT73" s="178"/>
      <c r="GHU73" s="179"/>
      <c r="GHV73"/>
      <c r="GHW73" s="180"/>
      <c r="GHX73"/>
      <c r="GHY73" s="172"/>
      <c r="GHZ73" s="181"/>
      <c r="GIA73"/>
      <c r="GIB73" s="174"/>
      <c r="GIC73" s="175"/>
      <c r="GID73" s="176"/>
      <c r="GIE73" s="176"/>
      <c r="GIF73" s="175"/>
      <c r="GIG73" s="177"/>
      <c r="GIH73" s="175"/>
      <c r="GII73" s="177"/>
      <c r="GIJ73" s="178"/>
      <c r="GIK73" s="179"/>
      <c r="GIL73"/>
      <c r="GIM73" s="180"/>
      <c r="GIN73"/>
      <c r="GIO73" s="172"/>
      <c r="GIP73" s="181"/>
      <c r="GIQ73"/>
      <c r="GIR73" s="174"/>
      <c r="GIS73" s="175"/>
      <c r="GIT73" s="176"/>
      <c r="GIU73" s="176"/>
      <c r="GIV73" s="175"/>
      <c r="GIW73" s="177"/>
      <c r="GIX73" s="175"/>
      <c r="GIY73" s="177"/>
      <c r="GIZ73" s="178"/>
      <c r="GJA73" s="179"/>
      <c r="GJB73"/>
      <c r="GJC73" s="180"/>
      <c r="GJD73"/>
      <c r="GJE73" s="172"/>
      <c r="GJF73" s="181"/>
      <c r="GJG73"/>
      <c r="GJH73" s="174"/>
      <c r="GJI73" s="175"/>
      <c r="GJJ73" s="176"/>
      <c r="GJK73" s="176"/>
      <c r="GJL73" s="175"/>
      <c r="GJM73" s="177"/>
      <c r="GJN73" s="175"/>
      <c r="GJO73" s="177"/>
      <c r="GJP73" s="178"/>
      <c r="GJQ73" s="179"/>
      <c r="GJR73"/>
      <c r="GJS73" s="180"/>
      <c r="GJT73"/>
      <c r="GJU73" s="172"/>
      <c r="GJV73" s="181"/>
      <c r="GJW73"/>
      <c r="GJX73" s="174"/>
      <c r="GJY73" s="175"/>
      <c r="GJZ73" s="176"/>
      <c r="GKA73" s="176"/>
      <c r="GKB73" s="175"/>
      <c r="GKC73" s="177"/>
      <c r="GKD73" s="175"/>
      <c r="GKE73" s="177"/>
      <c r="GKF73" s="178"/>
      <c r="GKG73" s="179"/>
      <c r="GKH73"/>
      <c r="GKI73" s="180"/>
      <c r="GKJ73"/>
      <c r="GKK73" s="172"/>
      <c r="GKL73" s="181"/>
      <c r="GKM73"/>
      <c r="GKN73" s="174"/>
      <c r="GKO73" s="175"/>
      <c r="GKP73" s="176"/>
      <c r="GKQ73" s="176"/>
      <c r="GKR73" s="175"/>
      <c r="GKS73" s="177"/>
      <c r="GKT73" s="175"/>
      <c r="GKU73" s="177"/>
      <c r="GKV73" s="178"/>
      <c r="GKW73" s="179"/>
      <c r="GKX73"/>
      <c r="GKY73" s="180"/>
      <c r="GKZ73"/>
      <c r="GLA73" s="172"/>
      <c r="GLB73" s="181"/>
      <c r="GLC73"/>
      <c r="GLD73" s="174"/>
      <c r="GLE73" s="175"/>
      <c r="GLF73" s="176"/>
      <c r="GLG73" s="176"/>
      <c r="GLH73" s="175"/>
      <c r="GLI73" s="177"/>
      <c r="GLJ73" s="175"/>
      <c r="GLK73" s="177"/>
      <c r="GLL73" s="178"/>
      <c r="GLM73" s="179"/>
      <c r="GLN73"/>
      <c r="GLO73" s="180"/>
      <c r="GLP73"/>
      <c r="GLQ73" s="172"/>
      <c r="GLR73" s="181"/>
      <c r="GLS73"/>
      <c r="GLT73" s="174"/>
      <c r="GLU73" s="175"/>
      <c r="GLV73" s="176"/>
      <c r="GLW73" s="176"/>
      <c r="GLX73" s="175"/>
      <c r="GLY73" s="177"/>
      <c r="GLZ73" s="175"/>
      <c r="GMA73" s="177"/>
      <c r="GMB73" s="178"/>
      <c r="GMC73" s="179"/>
      <c r="GMD73"/>
      <c r="GME73" s="180"/>
      <c r="GMF73"/>
      <c r="GMG73" s="172"/>
      <c r="GMH73" s="181"/>
      <c r="GMI73"/>
      <c r="GMJ73" s="174"/>
      <c r="GMK73" s="175"/>
      <c r="GML73" s="176"/>
      <c r="GMM73" s="176"/>
      <c r="GMN73" s="175"/>
      <c r="GMO73" s="177"/>
      <c r="GMP73" s="175"/>
      <c r="GMQ73" s="177"/>
      <c r="GMR73" s="178"/>
      <c r="GMS73" s="179"/>
      <c r="GMT73"/>
      <c r="GMU73" s="180"/>
      <c r="GMV73"/>
      <c r="GMW73" s="172"/>
      <c r="GMX73" s="181"/>
      <c r="GMY73"/>
      <c r="GMZ73" s="174"/>
      <c r="GNA73" s="175"/>
      <c r="GNB73" s="176"/>
      <c r="GNC73" s="176"/>
      <c r="GND73" s="175"/>
      <c r="GNE73" s="177"/>
      <c r="GNF73" s="175"/>
      <c r="GNG73" s="177"/>
      <c r="GNH73" s="178"/>
      <c r="GNI73" s="179"/>
      <c r="GNJ73"/>
      <c r="GNK73" s="180"/>
      <c r="GNL73"/>
      <c r="GNM73" s="172"/>
      <c r="GNN73" s="181"/>
      <c r="GNO73"/>
      <c r="GNP73" s="174"/>
      <c r="GNQ73" s="175"/>
      <c r="GNR73" s="176"/>
      <c r="GNS73" s="176"/>
      <c r="GNT73" s="175"/>
      <c r="GNU73" s="177"/>
      <c r="GNV73" s="175"/>
      <c r="GNW73" s="177"/>
      <c r="GNX73" s="178"/>
      <c r="GNY73" s="179"/>
      <c r="GNZ73"/>
      <c r="GOA73" s="180"/>
      <c r="GOB73"/>
      <c r="GOC73" s="172"/>
      <c r="GOD73" s="181"/>
      <c r="GOE73"/>
      <c r="GOF73" s="174"/>
      <c r="GOG73" s="175"/>
      <c r="GOH73" s="176"/>
      <c r="GOI73" s="176"/>
      <c r="GOJ73" s="175"/>
      <c r="GOK73" s="177"/>
      <c r="GOL73" s="175"/>
      <c r="GOM73" s="177"/>
      <c r="GON73" s="178"/>
      <c r="GOO73" s="179"/>
      <c r="GOP73"/>
      <c r="GOQ73" s="180"/>
      <c r="GOR73"/>
      <c r="GOS73" s="172"/>
      <c r="GOT73" s="181"/>
      <c r="GOU73"/>
      <c r="GOV73" s="174"/>
      <c r="GOW73" s="175"/>
      <c r="GOX73" s="176"/>
      <c r="GOY73" s="176"/>
      <c r="GOZ73" s="175"/>
      <c r="GPA73" s="177"/>
      <c r="GPB73" s="175"/>
      <c r="GPC73" s="177"/>
      <c r="GPD73" s="178"/>
      <c r="GPE73" s="179"/>
      <c r="GPF73"/>
      <c r="GPG73" s="180"/>
      <c r="GPH73"/>
      <c r="GPI73" s="172"/>
      <c r="GPJ73" s="181"/>
      <c r="GPK73"/>
      <c r="GPL73" s="174"/>
      <c r="GPM73" s="175"/>
      <c r="GPN73" s="176"/>
      <c r="GPO73" s="176"/>
      <c r="GPP73" s="175"/>
      <c r="GPQ73" s="177"/>
      <c r="GPR73" s="175"/>
      <c r="GPS73" s="177"/>
      <c r="GPT73" s="178"/>
      <c r="GPU73" s="179"/>
      <c r="GPV73"/>
      <c r="GPW73" s="180"/>
      <c r="GPX73"/>
      <c r="GPY73" s="172"/>
      <c r="GPZ73" s="181"/>
      <c r="GQA73"/>
      <c r="GQB73" s="174"/>
      <c r="GQC73" s="175"/>
      <c r="GQD73" s="176"/>
      <c r="GQE73" s="176"/>
      <c r="GQF73" s="175"/>
      <c r="GQG73" s="177"/>
      <c r="GQH73" s="175"/>
      <c r="GQI73" s="177"/>
      <c r="GQJ73" s="178"/>
      <c r="GQK73" s="179"/>
      <c r="GQL73"/>
      <c r="GQM73" s="180"/>
      <c r="GQN73"/>
      <c r="GQO73" s="172"/>
      <c r="GQP73" s="181"/>
      <c r="GQQ73"/>
      <c r="GQR73" s="174"/>
      <c r="GQS73" s="175"/>
      <c r="GQT73" s="176"/>
      <c r="GQU73" s="176"/>
      <c r="GQV73" s="175"/>
      <c r="GQW73" s="177"/>
      <c r="GQX73" s="175"/>
      <c r="GQY73" s="177"/>
      <c r="GQZ73" s="178"/>
      <c r="GRA73" s="179"/>
      <c r="GRB73"/>
      <c r="GRC73" s="180"/>
      <c r="GRD73"/>
      <c r="GRE73" s="172"/>
      <c r="GRF73" s="181"/>
      <c r="GRG73"/>
      <c r="GRH73" s="174"/>
      <c r="GRI73" s="175"/>
      <c r="GRJ73" s="176"/>
      <c r="GRK73" s="176"/>
      <c r="GRL73" s="175"/>
      <c r="GRM73" s="177"/>
      <c r="GRN73" s="175"/>
      <c r="GRO73" s="177"/>
      <c r="GRP73" s="178"/>
      <c r="GRQ73" s="179"/>
      <c r="GRR73"/>
      <c r="GRS73" s="180"/>
      <c r="GRT73"/>
      <c r="GRU73" s="172"/>
      <c r="GRV73" s="181"/>
      <c r="GRW73"/>
      <c r="GRX73" s="174"/>
      <c r="GRY73" s="175"/>
      <c r="GRZ73" s="176"/>
      <c r="GSA73" s="176"/>
      <c r="GSB73" s="175"/>
      <c r="GSC73" s="177"/>
      <c r="GSD73" s="175"/>
      <c r="GSE73" s="177"/>
      <c r="GSF73" s="178"/>
      <c r="GSG73" s="179"/>
      <c r="GSH73"/>
      <c r="GSI73" s="180"/>
      <c r="GSJ73"/>
      <c r="GSK73" s="172"/>
      <c r="GSL73" s="181"/>
      <c r="GSM73"/>
      <c r="GSN73" s="174"/>
      <c r="GSO73" s="175"/>
      <c r="GSP73" s="176"/>
      <c r="GSQ73" s="176"/>
      <c r="GSR73" s="175"/>
      <c r="GSS73" s="177"/>
      <c r="GST73" s="175"/>
      <c r="GSU73" s="177"/>
      <c r="GSV73" s="178"/>
      <c r="GSW73" s="179"/>
      <c r="GSX73"/>
      <c r="GSY73" s="180"/>
      <c r="GSZ73"/>
      <c r="GTA73" s="172"/>
      <c r="GTB73" s="181"/>
      <c r="GTC73"/>
      <c r="GTD73" s="174"/>
      <c r="GTE73" s="175"/>
      <c r="GTF73" s="176"/>
      <c r="GTG73" s="176"/>
      <c r="GTH73" s="175"/>
      <c r="GTI73" s="177"/>
      <c r="GTJ73" s="175"/>
      <c r="GTK73" s="177"/>
      <c r="GTL73" s="178"/>
      <c r="GTM73" s="179"/>
      <c r="GTN73"/>
      <c r="GTO73" s="180"/>
      <c r="GTP73"/>
      <c r="GTQ73" s="172"/>
      <c r="GTR73" s="181"/>
      <c r="GTS73"/>
      <c r="GTT73" s="174"/>
      <c r="GTU73" s="175"/>
      <c r="GTV73" s="176"/>
      <c r="GTW73" s="176"/>
      <c r="GTX73" s="175"/>
      <c r="GTY73" s="177"/>
      <c r="GTZ73" s="175"/>
      <c r="GUA73" s="177"/>
      <c r="GUB73" s="178"/>
      <c r="GUC73" s="179"/>
      <c r="GUD73"/>
      <c r="GUE73" s="180"/>
      <c r="GUF73"/>
      <c r="GUG73" s="172"/>
      <c r="GUH73" s="181"/>
      <c r="GUI73"/>
      <c r="GUJ73" s="174"/>
      <c r="GUK73" s="175"/>
      <c r="GUL73" s="176"/>
      <c r="GUM73" s="176"/>
      <c r="GUN73" s="175"/>
      <c r="GUO73" s="177"/>
      <c r="GUP73" s="175"/>
      <c r="GUQ73" s="177"/>
      <c r="GUR73" s="178"/>
      <c r="GUS73" s="179"/>
      <c r="GUT73"/>
      <c r="GUU73" s="180"/>
      <c r="GUV73"/>
      <c r="GUW73" s="172"/>
      <c r="GUX73" s="181"/>
      <c r="GUY73"/>
      <c r="GUZ73" s="174"/>
      <c r="GVA73" s="175"/>
      <c r="GVB73" s="176"/>
      <c r="GVC73" s="176"/>
      <c r="GVD73" s="175"/>
      <c r="GVE73" s="177"/>
      <c r="GVF73" s="175"/>
      <c r="GVG73" s="177"/>
      <c r="GVH73" s="178"/>
      <c r="GVI73" s="179"/>
      <c r="GVJ73"/>
      <c r="GVK73" s="180"/>
      <c r="GVL73"/>
      <c r="GVM73" s="172"/>
      <c r="GVN73" s="181"/>
      <c r="GVO73"/>
      <c r="GVP73" s="174"/>
      <c r="GVQ73" s="175"/>
      <c r="GVR73" s="176"/>
      <c r="GVS73" s="176"/>
      <c r="GVT73" s="175"/>
      <c r="GVU73" s="177"/>
      <c r="GVV73" s="175"/>
      <c r="GVW73" s="177"/>
      <c r="GVX73" s="178"/>
      <c r="GVY73" s="179"/>
      <c r="GVZ73"/>
      <c r="GWA73" s="180"/>
      <c r="GWB73"/>
      <c r="GWC73" s="172"/>
      <c r="GWD73" s="181"/>
      <c r="GWE73"/>
      <c r="GWF73" s="174"/>
      <c r="GWG73" s="175"/>
      <c r="GWH73" s="176"/>
      <c r="GWI73" s="176"/>
      <c r="GWJ73" s="175"/>
      <c r="GWK73" s="177"/>
      <c r="GWL73" s="175"/>
      <c r="GWM73" s="177"/>
      <c r="GWN73" s="178"/>
      <c r="GWO73" s="179"/>
      <c r="GWP73"/>
      <c r="GWQ73" s="180"/>
      <c r="GWR73"/>
      <c r="GWS73" s="172"/>
      <c r="GWT73" s="181"/>
      <c r="GWU73"/>
      <c r="GWV73" s="174"/>
      <c r="GWW73" s="175"/>
      <c r="GWX73" s="176"/>
      <c r="GWY73" s="176"/>
      <c r="GWZ73" s="175"/>
      <c r="GXA73" s="177"/>
      <c r="GXB73" s="175"/>
      <c r="GXC73" s="177"/>
      <c r="GXD73" s="178"/>
      <c r="GXE73" s="179"/>
      <c r="GXF73"/>
      <c r="GXG73" s="180"/>
      <c r="GXH73"/>
      <c r="GXI73" s="172"/>
      <c r="GXJ73" s="181"/>
      <c r="GXK73"/>
      <c r="GXL73" s="174"/>
      <c r="GXM73" s="175"/>
      <c r="GXN73" s="176"/>
      <c r="GXO73" s="176"/>
      <c r="GXP73" s="175"/>
      <c r="GXQ73" s="177"/>
      <c r="GXR73" s="175"/>
      <c r="GXS73" s="177"/>
      <c r="GXT73" s="178"/>
      <c r="GXU73" s="179"/>
      <c r="GXV73"/>
      <c r="GXW73" s="180"/>
      <c r="GXX73"/>
      <c r="GXY73" s="172"/>
      <c r="GXZ73" s="181"/>
      <c r="GYA73"/>
      <c r="GYB73" s="174"/>
      <c r="GYC73" s="175"/>
      <c r="GYD73" s="176"/>
      <c r="GYE73" s="176"/>
      <c r="GYF73" s="175"/>
      <c r="GYG73" s="177"/>
      <c r="GYH73" s="175"/>
      <c r="GYI73" s="177"/>
      <c r="GYJ73" s="178"/>
      <c r="GYK73" s="179"/>
      <c r="GYL73"/>
      <c r="GYM73" s="180"/>
      <c r="GYN73"/>
      <c r="GYO73" s="172"/>
      <c r="GYP73" s="181"/>
      <c r="GYQ73"/>
      <c r="GYR73" s="174"/>
      <c r="GYS73" s="175"/>
      <c r="GYT73" s="176"/>
      <c r="GYU73" s="176"/>
      <c r="GYV73" s="175"/>
      <c r="GYW73" s="177"/>
      <c r="GYX73" s="175"/>
      <c r="GYY73" s="177"/>
      <c r="GYZ73" s="178"/>
      <c r="GZA73" s="179"/>
      <c r="GZB73"/>
      <c r="GZC73" s="180"/>
      <c r="GZD73"/>
      <c r="GZE73" s="172"/>
      <c r="GZF73" s="181"/>
      <c r="GZG73"/>
      <c r="GZH73" s="174"/>
      <c r="GZI73" s="175"/>
      <c r="GZJ73" s="176"/>
      <c r="GZK73" s="176"/>
      <c r="GZL73" s="175"/>
      <c r="GZM73" s="177"/>
      <c r="GZN73" s="175"/>
      <c r="GZO73" s="177"/>
      <c r="GZP73" s="178"/>
      <c r="GZQ73" s="179"/>
      <c r="GZR73"/>
      <c r="GZS73" s="180"/>
      <c r="GZT73"/>
      <c r="GZU73" s="172"/>
      <c r="GZV73" s="181"/>
      <c r="GZW73"/>
      <c r="GZX73" s="174"/>
      <c r="GZY73" s="175"/>
      <c r="GZZ73" s="176"/>
      <c r="HAA73" s="176"/>
      <c r="HAB73" s="175"/>
      <c r="HAC73" s="177"/>
      <c r="HAD73" s="175"/>
      <c r="HAE73" s="177"/>
      <c r="HAF73" s="178"/>
      <c r="HAG73" s="179"/>
      <c r="HAH73"/>
      <c r="HAI73" s="180"/>
      <c r="HAJ73"/>
      <c r="HAK73" s="172"/>
      <c r="HAL73" s="181"/>
      <c r="HAM73"/>
      <c r="HAN73" s="174"/>
      <c r="HAO73" s="175"/>
      <c r="HAP73" s="176"/>
      <c r="HAQ73" s="176"/>
      <c r="HAR73" s="175"/>
      <c r="HAS73" s="177"/>
      <c r="HAT73" s="175"/>
      <c r="HAU73" s="177"/>
      <c r="HAV73" s="178"/>
      <c r="HAW73" s="179"/>
      <c r="HAX73"/>
      <c r="HAY73" s="180"/>
      <c r="HAZ73"/>
      <c r="HBA73" s="172"/>
      <c r="HBB73" s="181"/>
      <c r="HBC73"/>
      <c r="HBD73" s="174"/>
      <c r="HBE73" s="175"/>
      <c r="HBF73" s="176"/>
      <c r="HBG73" s="176"/>
      <c r="HBH73" s="175"/>
      <c r="HBI73" s="177"/>
      <c r="HBJ73" s="175"/>
      <c r="HBK73" s="177"/>
      <c r="HBL73" s="178"/>
      <c r="HBM73" s="179"/>
      <c r="HBN73"/>
      <c r="HBO73" s="180"/>
      <c r="HBP73"/>
      <c r="HBQ73" s="172"/>
      <c r="HBR73" s="181"/>
      <c r="HBS73"/>
      <c r="HBT73" s="174"/>
      <c r="HBU73" s="175"/>
      <c r="HBV73" s="176"/>
      <c r="HBW73" s="176"/>
      <c r="HBX73" s="175"/>
      <c r="HBY73" s="177"/>
      <c r="HBZ73" s="175"/>
      <c r="HCA73" s="177"/>
      <c r="HCB73" s="178"/>
      <c r="HCC73" s="179"/>
      <c r="HCD73"/>
      <c r="HCE73" s="180"/>
      <c r="HCF73"/>
      <c r="HCG73" s="172"/>
      <c r="HCH73" s="181"/>
      <c r="HCI73"/>
      <c r="HCJ73" s="174"/>
      <c r="HCK73" s="175"/>
      <c r="HCL73" s="176"/>
      <c r="HCM73" s="176"/>
      <c r="HCN73" s="175"/>
      <c r="HCO73" s="177"/>
      <c r="HCP73" s="175"/>
      <c r="HCQ73" s="177"/>
      <c r="HCR73" s="178"/>
      <c r="HCS73" s="179"/>
      <c r="HCT73"/>
      <c r="HCU73" s="180"/>
      <c r="HCV73"/>
      <c r="HCW73" s="172"/>
      <c r="HCX73" s="181"/>
      <c r="HCY73"/>
      <c r="HCZ73" s="174"/>
      <c r="HDA73" s="175"/>
      <c r="HDB73" s="176"/>
      <c r="HDC73" s="176"/>
      <c r="HDD73" s="175"/>
      <c r="HDE73" s="177"/>
      <c r="HDF73" s="175"/>
      <c r="HDG73" s="177"/>
      <c r="HDH73" s="178"/>
      <c r="HDI73" s="179"/>
      <c r="HDJ73"/>
      <c r="HDK73" s="180"/>
      <c r="HDL73"/>
      <c r="HDM73" s="172"/>
      <c r="HDN73" s="181"/>
      <c r="HDO73"/>
      <c r="HDP73" s="174"/>
      <c r="HDQ73" s="175"/>
      <c r="HDR73" s="176"/>
      <c r="HDS73" s="176"/>
      <c r="HDT73" s="175"/>
      <c r="HDU73" s="177"/>
      <c r="HDV73" s="175"/>
      <c r="HDW73" s="177"/>
      <c r="HDX73" s="178"/>
      <c r="HDY73" s="179"/>
      <c r="HDZ73"/>
      <c r="HEA73" s="180"/>
      <c r="HEB73"/>
      <c r="HEC73" s="172"/>
      <c r="HED73" s="181"/>
      <c r="HEE73"/>
      <c r="HEF73" s="174"/>
      <c r="HEG73" s="175"/>
      <c r="HEH73" s="176"/>
      <c r="HEI73" s="176"/>
      <c r="HEJ73" s="175"/>
      <c r="HEK73" s="177"/>
      <c r="HEL73" s="175"/>
      <c r="HEM73" s="177"/>
      <c r="HEN73" s="178"/>
      <c r="HEO73" s="179"/>
      <c r="HEP73"/>
      <c r="HEQ73" s="180"/>
      <c r="HER73"/>
      <c r="HES73" s="172"/>
      <c r="HET73" s="181"/>
      <c r="HEU73"/>
      <c r="HEV73" s="174"/>
      <c r="HEW73" s="175"/>
      <c r="HEX73" s="176"/>
      <c r="HEY73" s="176"/>
      <c r="HEZ73" s="175"/>
      <c r="HFA73" s="177"/>
      <c r="HFB73" s="175"/>
      <c r="HFC73" s="177"/>
      <c r="HFD73" s="178"/>
      <c r="HFE73" s="179"/>
      <c r="HFF73"/>
      <c r="HFG73" s="180"/>
      <c r="HFH73"/>
      <c r="HFI73" s="172"/>
      <c r="HFJ73" s="181"/>
      <c r="HFK73"/>
      <c r="HFL73" s="174"/>
      <c r="HFM73" s="175"/>
      <c r="HFN73" s="176"/>
      <c r="HFO73" s="176"/>
      <c r="HFP73" s="175"/>
      <c r="HFQ73" s="177"/>
      <c r="HFR73" s="175"/>
      <c r="HFS73" s="177"/>
      <c r="HFT73" s="178"/>
      <c r="HFU73" s="179"/>
      <c r="HFV73"/>
      <c r="HFW73" s="180"/>
      <c r="HFX73"/>
      <c r="HFY73" s="172"/>
      <c r="HFZ73" s="181"/>
      <c r="HGA73"/>
      <c r="HGB73" s="174"/>
      <c r="HGC73" s="175"/>
      <c r="HGD73" s="176"/>
      <c r="HGE73" s="176"/>
      <c r="HGF73" s="175"/>
      <c r="HGG73" s="177"/>
      <c r="HGH73" s="175"/>
      <c r="HGI73" s="177"/>
      <c r="HGJ73" s="178"/>
      <c r="HGK73" s="179"/>
      <c r="HGL73"/>
      <c r="HGM73" s="180"/>
      <c r="HGN73"/>
      <c r="HGO73" s="172"/>
      <c r="HGP73" s="181"/>
      <c r="HGQ73"/>
      <c r="HGR73" s="174"/>
      <c r="HGS73" s="175"/>
      <c r="HGT73" s="176"/>
      <c r="HGU73" s="176"/>
      <c r="HGV73" s="175"/>
      <c r="HGW73" s="177"/>
      <c r="HGX73" s="175"/>
      <c r="HGY73" s="177"/>
      <c r="HGZ73" s="178"/>
      <c r="HHA73" s="179"/>
      <c r="HHB73"/>
      <c r="HHC73" s="180"/>
      <c r="HHD73"/>
      <c r="HHE73" s="172"/>
      <c r="HHF73" s="181"/>
      <c r="HHG73"/>
      <c r="HHH73" s="174"/>
      <c r="HHI73" s="175"/>
      <c r="HHJ73" s="176"/>
      <c r="HHK73" s="176"/>
      <c r="HHL73" s="175"/>
      <c r="HHM73" s="177"/>
      <c r="HHN73" s="175"/>
      <c r="HHO73" s="177"/>
      <c r="HHP73" s="178"/>
      <c r="HHQ73" s="179"/>
      <c r="HHR73"/>
      <c r="HHS73" s="180"/>
      <c r="HHT73"/>
      <c r="HHU73" s="172"/>
      <c r="HHV73" s="181"/>
      <c r="HHW73"/>
      <c r="HHX73" s="174"/>
      <c r="HHY73" s="175"/>
      <c r="HHZ73" s="176"/>
      <c r="HIA73" s="176"/>
      <c r="HIB73" s="175"/>
      <c r="HIC73" s="177"/>
      <c r="HID73" s="175"/>
      <c r="HIE73" s="177"/>
      <c r="HIF73" s="178"/>
      <c r="HIG73" s="179"/>
      <c r="HIH73"/>
      <c r="HII73" s="180"/>
      <c r="HIJ73"/>
      <c r="HIK73" s="172"/>
      <c r="HIL73" s="181"/>
      <c r="HIM73"/>
      <c r="HIN73" s="174"/>
      <c r="HIO73" s="175"/>
      <c r="HIP73" s="176"/>
      <c r="HIQ73" s="176"/>
      <c r="HIR73" s="175"/>
      <c r="HIS73" s="177"/>
      <c r="HIT73" s="175"/>
      <c r="HIU73" s="177"/>
      <c r="HIV73" s="178"/>
      <c r="HIW73" s="179"/>
      <c r="HIX73"/>
      <c r="HIY73" s="180"/>
      <c r="HIZ73"/>
      <c r="HJA73" s="172"/>
      <c r="HJB73" s="181"/>
      <c r="HJC73"/>
      <c r="HJD73" s="174"/>
      <c r="HJE73" s="175"/>
      <c r="HJF73" s="176"/>
      <c r="HJG73" s="176"/>
      <c r="HJH73" s="175"/>
      <c r="HJI73" s="177"/>
      <c r="HJJ73" s="175"/>
      <c r="HJK73" s="177"/>
      <c r="HJL73" s="178"/>
      <c r="HJM73" s="179"/>
      <c r="HJN73"/>
      <c r="HJO73" s="180"/>
      <c r="HJP73"/>
      <c r="HJQ73" s="172"/>
      <c r="HJR73" s="181"/>
      <c r="HJS73"/>
      <c r="HJT73" s="174"/>
      <c r="HJU73" s="175"/>
      <c r="HJV73" s="176"/>
      <c r="HJW73" s="176"/>
      <c r="HJX73" s="175"/>
      <c r="HJY73" s="177"/>
      <c r="HJZ73" s="175"/>
      <c r="HKA73" s="177"/>
      <c r="HKB73" s="178"/>
      <c r="HKC73" s="179"/>
      <c r="HKD73"/>
      <c r="HKE73" s="180"/>
      <c r="HKF73"/>
      <c r="HKG73" s="172"/>
      <c r="HKH73" s="181"/>
      <c r="HKI73"/>
      <c r="HKJ73" s="174"/>
      <c r="HKK73" s="175"/>
      <c r="HKL73" s="176"/>
      <c r="HKM73" s="176"/>
      <c r="HKN73" s="175"/>
      <c r="HKO73" s="177"/>
      <c r="HKP73" s="175"/>
      <c r="HKQ73" s="177"/>
      <c r="HKR73" s="178"/>
      <c r="HKS73" s="179"/>
      <c r="HKT73"/>
      <c r="HKU73" s="180"/>
      <c r="HKV73"/>
      <c r="HKW73" s="172"/>
      <c r="HKX73" s="181"/>
      <c r="HKY73"/>
      <c r="HKZ73" s="174"/>
      <c r="HLA73" s="175"/>
      <c r="HLB73" s="176"/>
      <c r="HLC73" s="176"/>
      <c r="HLD73" s="175"/>
      <c r="HLE73" s="177"/>
      <c r="HLF73" s="175"/>
      <c r="HLG73" s="177"/>
      <c r="HLH73" s="178"/>
      <c r="HLI73" s="179"/>
      <c r="HLJ73"/>
      <c r="HLK73" s="180"/>
      <c r="HLL73"/>
      <c r="HLM73" s="172"/>
      <c r="HLN73" s="181"/>
      <c r="HLO73"/>
      <c r="HLP73" s="174"/>
      <c r="HLQ73" s="175"/>
      <c r="HLR73" s="176"/>
      <c r="HLS73" s="176"/>
      <c r="HLT73" s="175"/>
      <c r="HLU73" s="177"/>
      <c r="HLV73" s="175"/>
      <c r="HLW73" s="177"/>
      <c r="HLX73" s="178"/>
      <c r="HLY73" s="179"/>
      <c r="HLZ73"/>
      <c r="HMA73" s="180"/>
      <c r="HMB73"/>
      <c r="HMC73" s="172"/>
      <c r="HMD73" s="181"/>
      <c r="HME73"/>
      <c r="HMF73" s="174"/>
      <c r="HMG73" s="175"/>
      <c r="HMH73" s="176"/>
      <c r="HMI73" s="176"/>
      <c r="HMJ73" s="175"/>
      <c r="HMK73" s="177"/>
      <c r="HML73" s="175"/>
      <c r="HMM73" s="177"/>
      <c r="HMN73" s="178"/>
      <c r="HMO73" s="179"/>
      <c r="HMP73"/>
      <c r="HMQ73" s="180"/>
      <c r="HMR73"/>
      <c r="HMS73" s="172"/>
      <c r="HMT73" s="181"/>
      <c r="HMU73"/>
      <c r="HMV73" s="174"/>
      <c r="HMW73" s="175"/>
      <c r="HMX73" s="176"/>
      <c r="HMY73" s="176"/>
      <c r="HMZ73" s="175"/>
      <c r="HNA73" s="177"/>
      <c r="HNB73" s="175"/>
      <c r="HNC73" s="177"/>
      <c r="HND73" s="178"/>
      <c r="HNE73" s="179"/>
      <c r="HNF73"/>
      <c r="HNG73" s="180"/>
      <c r="HNH73"/>
      <c r="HNI73" s="172"/>
      <c r="HNJ73" s="181"/>
      <c r="HNK73"/>
      <c r="HNL73" s="174"/>
      <c r="HNM73" s="175"/>
      <c r="HNN73" s="176"/>
      <c r="HNO73" s="176"/>
      <c r="HNP73" s="175"/>
      <c r="HNQ73" s="177"/>
      <c r="HNR73" s="175"/>
      <c r="HNS73" s="177"/>
      <c r="HNT73" s="178"/>
      <c r="HNU73" s="179"/>
      <c r="HNV73"/>
      <c r="HNW73" s="180"/>
      <c r="HNX73"/>
      <c r="HNY73" s="172"/>
      <c r="HNZ73" s="181"/>
      <c r="HOA73"/>
      <c r="HOB73" s="174"/>
      <c r="HOC73" s="175"/>
      <c r="HOD73" s="176"/>
      <c r="HOE73" s="176"/>
      <c r="HOF73" s="175"/>
      <c r="HOG73" s="177"/>
      <c r="HOH73" s="175"/>
      <c r="HOI73" s="177"/>
      <c r="HOJ73" s="178"/>
      <c r="HOK73" s="179"/>
      <c r="HOL73"/>
      <c r="HOM73" s="180"/>
      <c r="HON73"/>
      <c r="HOO73" s="172"/>
      <c r="HOP73" s="181"/>
      <c r="HOQ73"/>
      <c r="HOR73" s="174"/>
      <c r="HOS73" s="175"/>
      <c r="HOT73" s="176"/>
      <c r="HOU73" s="176"/>
      <c r="HOV73" s="175"/>
      <c r="HOW73" s="177"/>
      <c r="HOX73" s="175"/>
      <c r="HOY73" s="177"/>
      <c r="HOZ73" s="178"/>
      <c r="HPA73" s="179"/>
      <c r="HPB73"/>
      <c r="HPC73" s="180"/>
      <c r="HPD73"/>
      <c r="HPE73" s="172"/>
      <c r="HPF73" s="181"/>
      <c r="HPG73"/>
      <c r="HPH73" s="174"/>
      <c r="HPI73" s="175"/>
      <c r="HPJ73" s="176"/>
      <c r="HPK73" s="176"/>
      <c r="HPL73" s="175"/>
      <c r="HPM73" s="177"/>
      <c r="HPN73" s="175"/>
      <c r="HPO73" s="177"/>
      <c r="HPP73" s="178"/>
      <c r="HPQ73" s="179"/>
      <c r="HPR73"/>
      <c r="HPS73" s="180"/>
      <c r="HPT73"/>
      <c r="HPU73" s="172"/>
      <c r="HPV73" s="181"/>
      <c r="HPW73"/>
      <c r="HPX73" s="174"/>
      <c r="HPY73" s="175"/>
      <c r="HPZ73" s="176"/>
      <c r="HQA73" s="176"/>
      <c r="HQB73" s="175"/>
      <c r="HQC73" s="177"/>
      <c r="HQD73" s="175"/>
      <c r="HQE73" s="177"/>
      <c r="HQF73" s="178"/>
      <c r="HQG73" s="179"/>
      <c r="HQH73"/>
      <c r="HQI73" s="180"/>
      <c r="HQJ73"/>
      <c r="HQK73" s="172"/>
      <c r="HQL73" s="181"/>
      <c r="HQM73"/>
      <c r="HQN73" s="174"/>
      <c r="HQO73" s="175"/>
      <c r="HQP73" s="176"/>
      <c r="HQQ73" s="176"/>
      <c r="HQR73" s="175"/>
      <c r="HQS73" s="177"/>
      <c r="HQT73" s="175"/>
      <c r="HQU73" s="177"/>
      <c r="HQV73" s="178"/>
      <c r="HQW73" s="179"/>
      <c r="HQX73"/>
      <c r="HQY73" s="180"/>
      <c r="HQZ73"/>
      <c r="HRA73" s="172"/>
      <c r="HRB73" s="181"/>
      <c r="HRC73"/>
      <c r="HRD73" s="174"/>
      <c r="HRE73" s="175"/>
      <c r="HRF73" s="176"/>
      <c r="HRG73" s="176"/>
      <c r="HRH73" s="175"/>
      <c r="HRI73" s="177"/>
      <c r="HRJ73" s="175"/>
      <c r="HRK73" s="177"/>
      <c r="HRL73" s="178"/>
      <c r="HRM73" s="179"/>
      <c r="HRN73"/>
      <c r="HRO73" s="180"/>
      <c r="HRP73"/>
      <c r="HRQ73" s="172"/>
      <c r="HRR73" s="181"/>
      <c r="HRS73"/>
      <c r="HRT73" s="174"/>
      <c r="HRU73" s="175"/>
      <c r="HRV73" s="176"/>
      <c r="HRW73" s="176"/>
      <c r="HRX73" s="175"/>
      <c r="HRY73" s="177"/>
      <c r="HRZ73" s="175"/>
      <c r="HSA73" s="177"/>
      <c r="HSB73" s="178"/>
      <c r="HSC73" s="179"/>
      <c r="HSD73"/>
      <c r="HSE73" s="180"/>
      <c r="HSF73"/>
      <c r="HSG73" s="172"/>
      <c r="HSH73" s="181"/>
      <c r="HSI73"/>
      <c r="HSJ73" s="174"/>
      <c r="HSK73" s="175"/>
      <c r="HSL73" s="176"/>
      <c r="HSM73" s="176"/>
      <c r="HSN73" s="175"/>
      <c r="HSO73" s="177"/>
      <c r="HSP73" s="175"/>
      <c r="HSQ73" s="177"/>
      <c r="HSR73" s="178"/>
      <c r="HSS73" s="179"/>
      <c r="HST73"/>
      <c r="HSU73" s="180"/>
      <c r="HSV73"/>
      <c r="HSW73" s="172"/>
      <c r="HSX73" s="181"/>
      <c r="HSY73"/>
      <c r="HSZ73" s="174"/>
      <c r="HTA73" s="175"/>
      <c r="HTB73" s="176"/>
      <c r="HTC73" s="176"/>
      <c r="HTD73" s="175"/>
      <c r="HTE73" s="177"/>
      <c r="HTF73" s="175"/>
      <c r="HTG73" s="177"/>
      <c r="HTH73" s="178"/>
      <c r="HTI73" s="179"/>
      <c r="HTJ73"/>
      <c r="HTK73" s="180"/>
      <c r="HTL73"/>
      <c r="HTM73" s="172"/>
      <c r="HTN73" s="181"/>
      <c r="HTO73"/>
      <c r="HTP73" s="174"/>
      <c r="HTQ73" s="175"/>
      <c r="HTR73" s="176"/>
      <c r="HTS73" s="176"/>
      <c r="HTT73" s="175"/>
      <c r="HTU73" s="177"/>
      <c r="HTV73" s="175"/>
      <c r="HTW73" s="177"/>
      <c r="HTX73" s="178"/>
      <c r="HTY73" s="179"/>
      <c r="HTZ73"/>
      <c r="HUA73" s="180"/>
      <c r="HUB73"/>
      <c r="HUC73" s="172"/>
      <c r="HUD73" s="181"/>
      <c r="HUE73"/>
      <c r="HUF73" s="174"/>
      <c r="HUG73" s="175"/>
      <c r="HUH73" s="176"/>
      <c r="HUI73" s="176"/>
      <c r="HUJ73" s="175"/>
      <c r="HUK73" s="177"/>
      <c r="HUL73" s="175"/>
      <c r="HUM73" s="177"/>
      <c r="HUN73" s="178"/>
      <c r="HUO73" s="179"/>
      <c r="HUP73"/>
      <c r="HUQ73" s="180"/>
      <c r="HUR73"/>
      <c r="HUS73" s="172"/>
      <c r="HUT73" s="181"/>
      <c r="HUU73"/>
      <c r="HUV73" s="174"/>
      <c r="HUW73" s="175"/>
      <c r="HUX73" s="176"/>
      <c r="HUY73" s="176"/>
      <c r="HUZ73" s="175"/>
      <c r="HVA73" s="177"/>
      <c r="HVB73" s="175"/>
      <c r="HVC73" s="177"/>
      <c r="HVD73" s="178"/>
      <c r="HVE73" s="179"/>
      <c r="HVF73"/>
      <c r="HVG73" s="180"/>
      <c r="HVH73"/>
      <c r="HVI73" s="172"/>
      <c r="HVJ73" s="181"/>
      <c r="HVK73"/>
      <c r="HVL73" s="174"/>
      <c r="HVM73" s="175"/>
      <c r="HVN73" s="176"/>
      <c r="HVO73" s="176"/>
      <c r="HVP73" s="175"/>
      <c r="HVQ73" s="177"/>
      <c r="HVR73" s="175"/>
      <c r="HVS73" s="177"/>
      <c r="HVT73" s="178"/>
      <c r="HVU73" s="179"/>
      <c r="HVV73"/>
      <c r="HVW73" s="180"/>
      <c r="HVX73"/>
      <c r="HVY73" s="172"/>
      <c r="HVZ73" s="181"/>
      <c r="HWA73"/>
      <c r="HWB73" s="174"/>
      <c r="HWC73" s="175"/>
      <c r="HWD73" s="176"/>
      <c r="HWE73" s="176"/>
      <c r="HWF73" s="175"/>
      <c r="HWG73" s="177"/>
      <c r="HWH73" s="175"/>
      <c r="HWI73" s="177"/>
      <c r="HWJ73" s="178"/>
      <c r="HWK73" s="179"/>
      <c r="HWL73"/>
      <c r="HWM73" s="180"/>
      <c r="HWN73"/>
      <c r="HWO73" s="172"/>
      <c r="HWP73" s="181"/>
      <c r="HWQ73"/>
      <c r="HWR73" s="174"/>
      <c r="HWS73" s="175"/>
      <c r="HWT73" s="176"/>
      <c r="HWU73" s="176"/>
      <c r="HWV73" s="175"/>
      <c r="HWW73" s="177"/>
      <c r="HWX73" s="175"/>
      <c r="HWY73" s="177"/>
      <c r="HWZ73" s="178"/>
      <c r="HXA73" s="179"/>
      <c r="HXB73"/>
      <c r="HXC73" s="180"/>
      <c r="HXD73"/>
      <c r="HXE73" s="172"/>
      <c r="HXF73" s="181"/>
      <c r="HXG73"/>
      <c r="HXH73" s="174"/>
      <c r="HXI73" s="175"/>
      <c r="HXJ73" s="176"/>
      <c r="HXK73" s="176"/>
      <c r="HXL73" s="175"/>
      <c r="HXM73" s="177"/>
      <c r="HXN73" s="175"/>
      <c r="HXO73" s="177"/>
      <c r="HXP73" s="178"/>
      <c r="HXQ73" s="179"/>
      <c r="HXR73"/>
      <c r="HXS73" s="180"/>
      <c r="HXT73"/>
      <c r="HXU73" s="172"/>
      <c r="HXV73" s="181"/>
      <c r="HXW73"/>
      <c r="HXX73" s="174"/>
      <c r="HXY73" s="175"/>
      <c r="HXZ73" s="176"/>
      <c r="HYA73" s="176"/>
      <c r="HYB73" s="175"/>
      <c r="HYC73" s="177"/>
      <c r="HYD73" s="175"/>
      <c r="HYE73" s="177"/>
      <c r="HYF73" s="178"/>
      <c r="HYG73" s="179"/>
      <c r="HYH73"/>
      <c r="HYI73" s="180"/>
      <c r="HYJ73"/>
      <c r="HYK73" s="172"/>
      <c r="HYL73" s="181"/>
      <c r="HYM73"/>
      <c r="HYN73" s="174"/>
      <c r="HYO73" s="175"/>
      <c r="HYP73" s="176"/>
      <c r="HYQ73" s="176"/>
      <c r="HYR73" s="175"/>
      <c r="HYS73" s="177"/>
      <c r="HYT73" s="175"/>
      <c r="HYU73" s="177"/>
      <c r="HYV73" s="178"/>
      <c r="HYW73" s="179"/>
      <c r="HYX73"/>
      <c r="HYY73" s="180"/>
      <c r="HYZ73"/>
      <c r="HZA73" s="172"/>
      <c r="HZB73" s="181"/>
      <c r="HZC73"/>
      <c r="HZD73" s="174"/>
      <c r="HZE73" s="175"/>
      <c r="HZF73" s="176"/>
      <c r="HZG73" s="176"/>
      <c r="HZH73" s="175"/>
      <c r="HZI73" s="177"/>
      <c r="HZJ73" s="175"/>
      <c r="HZK73" s="177"/>
      <c r="HZL73" s="178"/>
      <c r="HZM73" s="179"/>
      <c r="HZN73"/>
      <c r="HZO73" s="180"/>
      <c r="HZP73"/>
      <c r="HZQ73" s="172"/>
      <c r="HZR73" s="181"/>
      <c r="HZS73"/>
      <c r="HZT73" s="174"/>
      <c r="HZU73" s="175"/>
      <c r="HZV73" s="176"/>
      <c r="HZW73" s="176"/>
      <c r="HZX73" s="175"/>
      <c r="HZY73" s="177"/>
      <c r="HZZ73" s="175"/>
      <c r="IAA73" s="177"/>
      <c r="IAB73" s="178"/>
      <c r="IAC73" s="179"/>
      <c r="IAD73"/>
      <c r="IAE73" s="180"/>
      <c r="IAF73"/>
      <c r="IAG73" s="172"/>
      <c r="IAH73" s="181"/>
      <c r="IAI73"/>
      <c r="IAJ73" s="174"/>
      <c r="IAK73" s="175"/>
      <c r="IAL73" s="176"/>
      <c r="IAM73" s="176"/>
      <c r="IAN73" s="175"/>
      <c r="IAO73" s="177"/>
      <c r="IAP73" s="175"/>
      <c r="IAQ73" s="177"/>
      <c r="IAR73" s="178"/>
      <c r="IAS73" s="179"/>
      <c r="IAT73"/>
      <c r="IAU73" s="180"/>
      <c r="IAV73"/>
      <c r="IAW73" s="172"/>
      <c r="IAX73" s="181"/>
      <c r="IAY73"/>
      <c r="IAZ73" s="174"/>
      <c r="IBA73" s="175"/>
      <c r="IBB73" s="176"/>
      <c r="IBC73" s="176"/>
      <c r="IBD73" s="175"/>
      <c r="IBE73" s="177"/>
      <c r="IBF73" s="175"/>
      <c r="IBG73" s="177"/>
      <c r="IBH73" s="178"/>
      <c r="IBI73" s="179"/>
      <c r="IBJ73"/>
      <c r="IBK73" s="180"/>
      <c r="IBL73"/>
      <c r="IBM73" s="172"/>
      <c r="IBN73" s="181"/>
      <c r="IBO73"/>
      <c r="IBP73" s="174"/>
      <c r="IBQ73" s="175"/>
      <c r="IBR73" s="176"/>
      <c r="IBS73" s="176"/>
      <c r="IBT73" s="175"/>
      <c r="IBU73" s="177"/>
      <c r="IBV73" s="175"/>
      <c r="IBW73" s="177"/>
      <c r="IBX73" s="178"/>
      <c r="IBY73" s="179"/>
      <c r="IBZ73"/>
      <c r="ICA73" s="180"/>
      <c r="ICB73"/>
      <c r="ICC73" s="172"/>
      <c r="ICD73" s="181"/>
      <c r="ICE73"/>
      <c r="ICF73" s="174"/>
      <c r="ICG73" s="175"/>
      <c r="ICH73" s="176"/>
      <c r="ICI73" s="176"/>
      <c r="ICJ73" s="175"/>
      <c r="ICK73" s="177"/>
      <c r="ICL73" s="175"/>
      <c r="ICM73" s="177"/>
      <c r="ICN73" s="178"/>
      <c r="ICO73" s="179"/>
      <c r="ICP73"/>
      <c r="ICQ73" s="180"/>
      <c r="ICR73"/>
      <c r="ICS73" s="172"/>
      <c r="ICT73" s="181"/>
      <c r="ICU73"/>
      <c r="ICV73" s="174"/>
      <c r="ICW73" s="175"/>
      <c r="ICX73" s="176"/>
      <c r="ICY73" s="176"/>
      <c r="ICZ73" s="175"/>
      <c r="IDA73" s="177"/>
      <c r="IDB73" s="175"/>
      <c r="IDC73" s="177"/>
      <c r="IDD73" s="178"/>
      <c r="IDE73" s="179"/>
      <c r="IDF73"/>
      <c r="IDG73" s="180"/>
      <c r="IDH73"/>
      <c r="IDI73" s="172"/>
      <c r="IDJ73" s="181"/>
      <c r="IDK73"/>
      <c r="IDL73" s="174"/>
      <c r="IDM73" s="175"/>
      <c r="IDN73" s="176"/>
      <c r="IDO73" s="176"/>
      <c r="IDP73" s="175"/>
      <c r="IDQ73" s="177"/>
      <c r="IDR73" s="175"/>
      <c r="IDS73" s="177"/>
      <c r="IDT73" s="178"/>
      <c r="IDU73" s="179"/>
      <c r="IDV73"/>
      <c r="IDW73" s="180"/>
      <c r="IDX73"/>
      <c r="IDY73" s="172"/>
      <c r="IDZ73" s="181"/>
      <c r="IEA73"/>
      <c r="IEB73" s="174"/>
      <c r="IEC73" s="175"/>
      <c r="IED73" s="176"/>
      <c r="IEE73" s="176"/>
      <c r="IEF73" s="175"/>
      <c r="IEG73" s="177"/>
      <c r="IEH73" s="175"/>
      <c r="IEI73" s="177"/>
      <c r="IEJ73" s="178"/>
      <c r="IEK73" s="179"/>
      <c r="IEL73"/>
      <c r="IEM73" s="180"/>
      <c r="IEN73"/>
      <c r="IEO73" s="172"/>
      <c r="IEP73" s="181"/>
      <c r="IEQ73"/>
      <c r="IER73" s="174"/>
      <c r="IES73" s="175"/>
      <c r="IET73" s="176"/>
      <c r="IEU73" s="176"/>
      <c r="IEV73" s="175"/>
      <c r="IEW73" s="177"/>
      <c r="IEX73" s="175"/>
      <c r="IEY73" s="177"/>
      <c r="IEZ73" s="178"/>
      <c r="IFA73" s="179"/>
      <c r="IFB73"/>
      <c r="IFC73" s="180"/>
      <c r="IFD73"/>
      <c r="IFE73" s="172"/>
      <c r="IFF73" s="181"/>
      <c r="IFG73"/>
      <c r="IFH73" s="174"/>
      <c r="IFI73" s="175"/>
      <c r="IFJ73" s="176"/>
      <c r="IFK73" s="176"/>
      <c r="IFL73" s="175"/>
      <c r="IFM73" s="177"/>
      <c r="IFN73" s="175"/>
      <c r="IFO73" s="177"/>
      <c r="IFP73" s="178"/>
      <c r="IFQ73" s="179"/>
      <c r="IFR73"/>
      <c r="IFS73" s="180"/>
      <c r="IFT73"/>
      <c r="IFU73" s="172"/>
      <c r="IFV73" s="181"/>
      <c r="IFW73"/>
      <c r="IFX73" s="174"/>
      <c r="IFY73" s="175"/>
      <c r="IFZ73" s="176"/>
      <c r="IGA73" s="176"/>
      <c r="IGB73" s="175"/>
      <c r="IGC73" s="177"/>
      <c r="IGD73" s="175"/>
      <c r="IGE73" s="177"/>
      <c r="IGF73" s="178"/>
      <c r="IGG73" s="179"/>
      <c r="IGH73"/>
      <c r="IGI73" s="180"/>
      <c r="IGJ73"/>
      <c r="IGK73" s="172"/>
      <c r="IGL73" s="181"/>
      <c r="IGM73"/>
      <c r="IGN73" s="174"/>
      <c r="IGO73" s="175"/>
      <c r="IGP73" s="176"/>
      <c r="IGQ73" s="176"/>
      <c r="IGR73" s="175"/>
      <c r="IGS73" s="177"/>
      <c r="IGT73" s="175"/>
      <c r="IGU73" s="177"/>
      <c r="IGV73" s="178"/>
      <c r="IGW73" s="179"/>
      <c r="IGX73"/>
      <c r="IGY73" s="180"/>
      <c r="IGZ73"/>
      <c r="IHA73" s="172"/>
      <c r="IHB73" s="181"/>
      <c r="IHC73"/>
      <c r="IHD73" s="174"/>
      <c r="IHE73" s="175"/>
      <c r="IHF73" s="176"/>
      <c r="IHG73" s="176"/>
      <c r="IHH73" s="175"/>
      <c r="IHI73" s="177"/>
      <c r="IHJ73" s="175"/>
      <c r="IHK73" s="177"/>
      <c r="IHL73" s="178"/>
      <c r="IHM73" s="179"/>
      <c r="IHN73"/>
      <c r="IHO73" s="180"/>
      <c r="IHP73"/>
      <c r="IHQ73" s="172"/>
      <c r="IHR73" s="181"/>
      <c r="IHS73"/>
      <c r="IHT73" s="174"/>
      <c r="IHU73" s="175"/>
      <c r="IHV73" s="176"/>
      <c r="IHW73" s="176"/>
      <c r="IHX73" s="175"/>
      <c r="IHY73" s="177"/>
      <c r="IHZ73" s="175"/>
      <c r="IIA73" s="177"/>
      <c r="IIB73" s="178"/>
      <c r="IIC73" s="179"/>
      <c r="IID73"/>
      <c r="IIE73" s="180"/>
      <c r="IIF73"/>
      <c r="IIG73" s="172"/>
      <c r="IIH73" s="181"/>
      <c r="III73"/>
      <c r="IIJ73" s="174"/>
      <c r="IIK73" s="175"/>
      <c r="IIL73" s="176"/>
      <c r="IIM73" s="176"/>
      <c r="IIN73" s="175"/>
      <c r="IIO73" s="177"/>
      <c r="IIP73" s="175"/>
      <c r="IIQ73" s="177"/>
      <c r="IIR73" s="178"/>
      <c r="IIS73" s="179"/>
      <c r="IIT73"/>
      <c r="IIU73" s="180"/>
      <c r="IIV73"/>
      <c r="IIW73" s="172"/>
      <c r="IIX73" s="181"/>
      <c r="IIY73"/>
      <c r="IIZ73" s="174"/>
      <c r="IJA73" s="175"/>
      <c r="IJB73" s="176"/>
      <c r="IJC73" s="176"/>
      <c r="IJD73" s="175"/>
      <c r="IJE73" s="177"/>
      <c r="IJF73" s="175"/>
      <c r="IJG73" s="177"/>
      <c r="IJH73" s="178"/>
      <c r="IJI73" s="179"/>
      <c r="IJJ73"/>
      <c r="IJK73" s="180"/>
      <c r="IJL73"/>
      <c r="IJM73" s="172"/>
      <c r="IJN73" s="181"/>
      <c r="IJO73"/>
      <c r="IJP73" s="174"/>
      <c r="IJQ73" s="175"/>
      <c r="IJR73" s="176"/>
      <c r="IJS73" s="176"/>
      <c r="IJT73" s="175"/>
      <c r="IJU73" s="177"/>
      <c r="IJV73" s="175"/>
      <c r="IJW73" s="177"/>
      <c r="IJX73" s="178"/>
      <c r="IJY73" s="179"/>
      <c r="IJZ73"/>
      <c r="IKA73" s="180"/>
      <c r="IKB73"/>
      <c r="IKC73" s="172"/>
      <c r="IKD73" s="181"/>
      <c r="IKE73"/>
      <c r="IKF73" s="174"/>
      <c r="IKG73" s="175"/>
      <c r="IKH73" s="176"/>
      <c r="IKI73" s="176"/>
      <c r="IKJ73" s="175"/>
      <c r="IKK73" s="177"/>
      <c r="IKL73" s="175"/>
      <c r="IKM73" s="177"/>
      <c r="IKN73" s="178"/>
      <c r="IKO73" s="179"/>
      <c r="IKP73"/>
      <c r="IKQ73" s="180"/>
      <c r="IKR73"/>
      <c r="IKS73" s="172"/>
      <c r="IKT73" s="181"/>
      <c r="IKU73"/>
      <c r="IKV73" s="174"/>
      <c r="IKW73" s="175"/>
      <c r="IKX73" s="176"/>
      <c r="IKY73" s="176"/>
      <c r="IKZ73" s="175"/>
      <c r="ILA73" s="177"/>
      <c r="ILB73" s="175"/>
      <c r="ILC73" s="177"/>
      <c r="ILD73" s="178"/>
      <c r="ILE73" s="179"/>
      <c r="ILF73"/>
      <c r="ILG73" s="180"/>
      <c r="ILH73"/>
      <c r="ILI73" s="172"/>
      <c r="ILJ73" s="181"/>
      <c r="ILK73"/>
      <c r="ILL73" s="174"/>
      <c r="ILM73" s="175"/>
      <c r="ILN73" s="176"/>
      <c r="ILO73" s="176"/>
      <c r="ILP73" s="175"/>
      <c r="ILQ73" s="177"/>
      <c r="ILR73" s="175"/>
      <c r="ILS73" s="177"/>
      <c r="ILT73" s="178"/>
      <c r="ILU73" s="179"/>
      <c r="ILV73"/>
      <c r="ILW73" s="180"/>
      <c r="ILX73"/>
      <c r="ILY73" s="172"/>
      <c r="ILZ73" s="181"/>
      <c r="IMA73"/>
      <c r="IMB73" s="174"/>
      <c r="IMC73" s="175"/>
      <c r="IMD73" s="176"/>
      <c r="IME73" s="176"/>
      <c r="IMF73" s="175"/>
      <c r="IMG73" s="177"/>
      <c r="IMH73" s="175"/>
      <c r="IMI73" s="177"/>
      <c r="IMJ73" s="178"/>
      <c r="IMK73" s="179"/>
      <c r="IML73"/>
      <c r="IMM73" s="180"/>
      <c r="IMN73"/>
      <c r="IMO73" s="172"/>
      <c r="IMP73" s="181"/>
      <c r="IMQ73"/>
      <c r="IMR73" s="174"/>
      <c r="IMS73" s="175"/>
      <c r="IMT73" s="176"/>
      <c r="IMU73" s="176"/>
      <c r="IMV73" s="175"/>
      <c r="IMW73" s="177"/>
      <c r="IMX73" s="175"/>
      <c r="IMY73" s="177"/>
      <c r="IMZ73" s="178"/>
      <c r="INA73" s="179"/>
      <c r="INB73"/>
      <c r="INC73" s="180"/>
      <c r="IND73"/>
      <c r="INE73" s="172"/>
      <c r="INF73" s="181"/>
      <c r="ING73"/>
      <c r="INH73" s="174"/>
      <c r="INI73" s="175"/>
      <c r="INJ73" s="176"/>
      <c r="INK73" s="176"/>
      <c r="INL73" s="175"/>
      <c r="INM73" s="177"/>
      <c r="INN73" s="175"/>
      <c r="INO73" s="177"/>
      <c r="INP73" s="178"/>
      <c r="INQ73" s="179"/>
      <c r="INR73"/>
      <c r="INS73" s="180"/>
      <c r="INT73"/>
      <c r="INU73" s="172"/>
      <c r="INV73" s="181"/>
      <c r="INW73"/>
      <c r="INX73" s="174"/>
      <c r="INY73" s="175"/>
      <c r="INZ73" s="176"/>
      <c r="IOA73" s="176"/>
      <c r="IOB73" s="175"/>
      <c r="IOC73" s="177"/>
      <c r="IOD73" s="175"/>
      <c r="IOE73" s="177"/>
      <c r="IOF73" s="178"/>
      <c r="IOG73" s="179"/>
      <c r="IOH73"/>
      <c r="IOI73" s="180"/>
      <c r="IOJ73"/>
      <c r="IOK73" s="172"/>
      <c r="IOL73" s="181"/>
      <c r="IOM73"/>
      <c r="ION73" s="174"/>
      <c r="IOO73" s="175"/>
      <c r="IOP73" s="176"/>
      <c r="IOQ73" s="176"/>
      <c r="IOR73" s="175"/>
      <c r="IOS73" s="177"/>
      <c r="IOT73" s="175"/>
      <c r="IOU73" s="177"/>
      <c r="IOV73" s="178"/>
      <c r="IOW73" s="179"/>
      <c r="IOX73"/>
      <c r="IOY73" s="180"/>
      <c r="IOZ73"/>
      <c r="IPA73" s="172"/>
      <c r="IPB73" s="181"/>
      <c r="IPC73"/>
      <c r="IPD73" s="174"/>
      <c r="IPE73" s="175"/>
      <c r="IPF73" s="176"/>
      <c r="IPG73" s="176"/>
      <c r="IPH73" s="175"/>
      <c r="IPI73" s="177"/>
      <c r="IPJ73" s="175"/>
      <c r="IPK73" s="177"/>
      <c r="IPL73" s="178"/>
      <c r="IPM73" s="179"/>
      <c r="IPN73"/>
      <c r="IPO73" s="180"/>
      <c r="IPP73"/>
      <c r="IPQ73" s="172"/>
      <c r="IPR73" s="181"/>
      <c r="IPS73"/>
      <c r="IPT73" s="174"/>
      <c r="IPU73" s="175"/>
      <c r="IPV73" s="176"/>
      <c r="IPW73" s="176"/>
      <c r="IPX73" s="175"/>
      <c r="IPY73" s="177"/>
      <c r="IPZ73" s="175"/>
      <c r="IQA73" s="177"/>
      <c r="IQB73" s="178"/>
      <c r="IQC73" s="179"/>
      <c r="IQD73"/>
      <c r="IQE73" s="180"/>
      <c r="IQF73"/>
      <c r="IQG73" s="172"/>
      <c r="IQH73" s="181"/>
      <c r="IQI73"/>
      <c r="IQJ73" s="174"/>
      <c r="IQK73" s="175"/>
      <c r="IQL73" s="176"/>
      <c r="IQM73" s="176"/>
      <c r="IQN73" s="175"/>
      <c r="IQO73" s="177"/>
      <c r="IQP73" s="175"/>
      <c r="IQQ73" s="177"/>
      <c r="IQR73" s="178"/>
      <c r="IQS73" s="179"/>
      <c r="IQT73"/>
      <c r="IQU73" s="180"/>
      <c r="IQV73"/>
      <c r="IQW73" s="172"/>
      <c r="IQX73" s="181"/>
      <c r="IQY73"/>
      <c r="IQZ73" s="174"/>
      <c r="IRA73" s="175"/>
      <c r="IRB73" s="176"/>
      <c r="IRC73" s="176"/>
      <c r="IRD73" s="175"/>
      <c r="IRE73" s="177"/>
      <c r="IRF73" s="175"/>
      <c r="IRG73" s="177"/>
      <c r="IRH73" s="178"/>
      <c r="IRI73" s="179"/>
      <c r="IRJ73"/>
      <c r="IRK73" s="180"/>
      <c r="IRL73"/>
      <c r="IRM73" s="172"/>
      <c r="IRN73" s="181"/>
      <c r="IRO73"/>
      <c r="IRP73" s="174"/>
      <c r="IRQ73" s="175"/>
      <c r="IRR73" s="176"/>
      <c r="IRS73" s="176"/>
      <c r="IRT73" s="175"/>
      <c r="IRU73" s="177"/>
      <c r="IRV73" s="175"/>
      <c r="IRW73" s="177"/>
      <c r="IRX73" s="178"/>
      <c r="IRY73" s="179"/>
      <c r="IRZ73"/>
      <c r="ISA73" s="180"/>
      <c r="ISB73"/>
      <c r="ISC73" s="172"/>
      <c r="ISD73" s="181"/>
      <c r="ISE73"/>
      <c r="ISF73" s="174"/>
      <c r="ISG73" s="175"/>
      <c r="ISH73" s="176"/>
      <c r="ISI73" s="176"/>
      <c r="ISJ73" s="175"/>
      <c r="ISK73" s="177"/>
      <c r="ISL73" s="175"/>
      <c r="ISM73" s="177"/>
      <c r="ISN73" s="178"/>
      <c r="ISO73" s="179"/>
      <c r="ISP73"/>
      <c r="ISQ73" s="180"/>
      <c r="ISR73"/>
      <c r="ISS73" s="172"/>
      <c r="IST73" s="181"/>
      <c r="ISU73"/>
      <c r="ISV73" s="174"/>
      <c r="ISW73" s="175"/>
      <c r="ISX73" s="176"/>
      <c r="ISY73" s="176"/>
      <c r="ISZ73" s="175"/>
      <c r="ITA73" s="177"/>
      <c r="ITB73" s="175"/>
      <c r="ITC73" s="177"/>
      <c r="ITD73" s="178"/>
      <c r="ITE73" s="179"/>
      <c r="ITF73"/>
      <c r="ITG73" s="180"/>
      <c r="ITH73"/>
      <c r="ITI73" s="172"/>
      <c r="ITJ73" s="181"/>
      <c r="ITK73"/>
      <c r="ITL73" s="174"/>
      <c r="ITM73" s="175"/>
      <c r="ITN73" s="176"/>
      <c r="ITO73" s="176"/>
      <c r="ITP73" s="175"/>
      <c r="ITQ73" s="177"/>
      <c r="ITR73" s="175"/>
      <c r="ITS73" s="177"/>
      <c r="ITT73" s="178"/>
      <c r="ITU73" s="179"/>
      <c r="ITV73"/>
      <c r="ITW73" s="180"/>
      <c r="ITX73"/>
      <c r="ITY73" s="172"/>
      <c r="ITZ73" s="181"/>
      <c r="IUA73"/>
      <c r="IUB73" s="174"/>
      <c r="IUC73" s="175"/>
      <c r="IUD73" s="176"/>
      <c r="IUE73" s="176"/>
      <c r="IUF73" s="175"/>
      <c r="IUG73" s="177"/>
      <c r="IUH73" s="175"/>
      <c r="IUI73" s="177"/>
      <c r="IUJ73" s="178"/>
      <c r="IUK73" s="179"/>
      <c r="IUL73"/>
      <c r="IUM73" s="180"/>
      <c r="IUN73"/>
      <c r="IUO73" s="172"/>
      <c r="IUP73" s="181"/>
      <c r="IUQ73"/>
      <c r="IUR73" s="174"/>
      <c r="IUS73" s="175"/>
      <c r="IUT73" s="176"/>
      <c r="IUU73" s="176"/>
      <c r="IUV73" s="175"/>
      <c r="IUW73" s="177"/>
      <c r="IUX73" s="175"/>
      <c r="IUY73" s="177"/>
      <c r="IUZ73" s="178"/>
      <c r="IVA73" s="179"/>
      <c r="IVB73"/>
      <c r="IVC73" s="180"/>
      <c r="IVD73"/>
      <c r="IVE73" s="172"/>
      <c r="IVF73" s="181"/>
      <c r="IVG73"/>
      <c r="IVH73" s="174"/>
      <c r="IVI73" s="175"/>
      <c r="IVJ73" s="176"/>
      <c r="IVK73" s="176"/>
      <c r="IVL73" s="175"/>
      <c r="IVM73" s="177"/>
      <c r="IVN73" s="175"/>
      <c r="IVO73" s="177"/>
      <c r="IVP73" s="178"/>
      <c r="IVQ73" s="179"/>
      <c r="IVR73"/>
      <c r="IVS73" s="180"/>
      <c r="IVT73"/>
      <c r="IVU73" s="172"/>
      <c r="IVV73" s="181"/>
      <c r="IVW73"/>
      <c r="IVX73" s="174"/>
      <c r="IVY73" s="175"/>
      <c r="IVZ73" s="176"/>
      <c r="IWA73" s="176"/>
      <c r="IWB73" s="175"/>
      <c r="IWC73" s="177"/>
      <c r="IWD73" s="175"/>
      <c r="IWE73" s="177"/>
      <c r="IWF73" s="178"/>
      <c r="IWG73" s="179"/>
      <c r="IWH73"/>
      <c r="IWI73" s="180"/>
      <c r="IWJ73"/>
      <c r="IWK73" s="172"/>
      <c r="IWL73" s="181"/>
      <c r="IWM73"/>
      <c r="IWN73" s="174"/>
      <c r="IWO73" s="175"/>
      <c r="IWP73" s="176"/>
      <c r="IWQ73" s="176"/>
      <c r="IWR73" s="175"/>
      <c r="IWS73" s="177"/>
      <c r="IWT73" s="175"/>
      <c r="IWU73" s="177"/>
      <c r="IWV73" s="178"/>
      <c r="IWW73" s="179"/>
      <c r="IWX73"/>
      <c r="IWY73" s="180"/>
      <c r="IWZ73"/>
      <c r="IXA73" s="172"/>
      <c r="IXB73" s="181"/>
      <c r="IXC73"/>
      <c r="IXD73" s="174"/>
      <c r="IXE73" s="175"/>
      <c r="IXF73" s="176"/>
      <c r="IXG73" s="176"/>
      <c r="IXH73" s="175"/>
      <c r="IXI73" s="177"/>
      <c r="IXJ73" s="175"/>
      <c r="IXK73" s="177"/>
      <c r="IXL73" s="178"/>
      <c r="IXM73" s="179"/>
      <c r="IXN73"/>
      <c r="IXO73" s="180"/>
      <c r="IXP73"/>
      <c r="IXQ73" s="172"/>
      <c r="IXR73" s="181"/>
      <c r="IXS73"/>
      <c r="IXT73" s="174"/>
      <c r="IXU73" s="175"/>
      <c r="IXV73" s="176"/>
      <c r="IXW73" s="176"/>
      <c r="IXX73" s="175"/>
      <c r="IXY73" s="177"/>
      <c r="IXZ73" s="175"/>
      <c r="IYA73" s="177"/>
      <c r="IYB73" s="178"/>
      <c r="IYC73" s="179"/>
      <c r="IYD73"/>
      <c r="IYE73" s="180"/>
      <c r="IYF73"/>
      <c r="IYG73" s="172"/>
      <c r="IYH73" s="181"/>
      <c r="IYI73"/>
      <c r="IYJ73" s="174"/>
      <c r="IYK73" s="175"/>
      <c r="IYL73" s="176"/>
      <c r="IYM73" s="176"/>
      <c r="IYN73" s="175"/>
      <c r="IYO73" s="177"/>
      <c r="IYP73" s="175"/>
      <c r="IYQ73" s="177"/>
      <c r="IYR73" s="178"/>
      <c r="IYS73" s="179"/>
      <c r="IYT73"/>
      <c r="IYU73" s="180"/>
      <c r="IYV73"/>
      <c r="IYW73" s="172"/>
      <c r="IYX73" s="181"/>
      <c r="IYY73"/>
      <c r="IYZ73" s="174"/>
      <c r="IZA73" s="175"/>
      <c r="IZB73" s="176"/>
      <c r="IZC73" s="176"/>
      <c r="IZD73" s="175"/>
      <c r="IZE73" s="177"/>
      <c r="IZF73" s="175"/>
      <c r="IZG73" s="177"/>
      <c r="IZH73" s="178"/>
      <c r="IZI73" s="179"/>
      <c r="IZJ73"/>
      <c r="IZK73" s="180"/>
      <c r="IZL73"/>
      <c r="IZM73" s="172"/>
      <c r="IZN73" s="181"/>
      <c r="IZO73"/>
      <c r="IZP73" s="174"/>
      <c r="IZQ73" s="175"/>
      <c r="IZR73" s="176"/>
      <c r="IZS73" s="176"/>
      <c r="IZT73" s="175"/>
      <c r="IZU73" s="177"/>
      <c r="IZV73" s="175"/>
      <c r="IZW73" s="177"/>
      <c r="IZX73" s="178"/>
      <c r="IZY73" s="179"/>
      <c r="IZZ73"/>
      <c r="JAA73" s="180"/>
      <c r="JAB73"/>
      <c r="JAC73" s="172"/>
      <c r="JAD73" s="181"/>
      <c r="JAE73"/>
      <c r="JAF73" s="174"/>
      <c r="JAG73" s="175"/>
      <c r="JAH73" s="176"/>
      <c r="JAI73" s="176"/>
      <c r="JAJ73" s="175"/>
      <c r="JAK73" s="177"/>
      <c r="JAL73" s="175"/>
      <c r="JAM73" s="177"/>
      <c r="JAN73" s="178"/>
      <c r="JAO73" s="179"/>
      <c r="JAP73"/>
      <c r="JAQ73" s="180"/>
      <c r="JAR73"/>
      <c r="JAS73" s="172"/>
      <c r="JAT73" s="181"/>
      <c r="JAU73"/>
      <c r="JAV73" s="174"/>
      <c r="JAW73" s="175"/>
      <c r="JAX73" s="176"/>
      <c r="JAY73" s="176"/>
      <c r="JAZ73" s="175"/>
      <c r="JBA73" s="177"/>
      <c r="JBB73" s="175"/>
      <c r="JBC73" s="177"/>
      <c r="JBD73" s="178"/>
      <c r="JBE73" s="179"/>
      <c r="JBF73"/>
      <c r="JBG73" s="180"/>
      <c r="JBH73"/>
      <c r="JBI73" s="172"/>
      <c r="JBJ73" s="181"/>
      <c r="JBK73"/>
      <c r="JBL73" s="174"/>
      <c r="JBM73" s="175"/>
      <c r="JBN73" s="176"/>
      <c r="JBO73" s="176"/>
      <c r="JBP73" s="175"/>
      <c r="JBQ73" s="177"/>
      <c r="JBR73" s="175"/>
      <c r="JBS73" s="177"/>
      <c r="JBT73" s="178"/>
      <c r="JBU73" s="179"/>
      <c r="JBV73"/>
      <c r="JBW73" s="180"/>
      <c r="JBX73"/>
      <c r="JBY73" s="172"/>
      <c r="JBZ73" s="181"/>
      <c r="JCA73"/>
      <c r="JCB73" s="174"/>
      <c r="JCC73" s="175"/>
      <c r="JCD73" s="176"/>
      <c r="JCE73" s="176"/>
      <c r="JCF73" s="175"/>
      <c r="JCG73" s="177"/>
      <c r="JCH73" s="175"/>
      <c r="JCI73" s="177"/>
      <c r="JCJ73" s="178"/>
      <c r="JCK73" s="179"/>
      <c r="JCL73"/>
      <c r="JCM73" s="180"/>
      <c r="JCN73"/>
      <c r="JCO73" s="172"/>
      <c r="JCP73" s="181"/>
      <c r="JCQ73"/>
      <c r="JCR73" s="174"/>
      <c r="JCS73" s="175"/>
      <c r="JCT73" s="176"/>
      <c r="JCU73" s="176"/>
      <c r="JCV73" s="175"/>
      <c r="JCW73" s="177"/>
      <c r="JCX73" s="175"/>
      <c r="JCY73" s="177"/>
      <c r="JCZ73" s="178"/>
      <c r="JDA73" s="179"/>
      <c r="JDB73"/>
      <c r="JDC73" s="180"/>
      <c r="JDD73"/>
      <c r="JDE73" s="172"/>
      <c r="JDF73" s="181"/>
      <c r="JDG73"/>
      <c r="JDH73" s="174"/>
      <c r="JDI73" s="175"/>
      <c r="JDJ73" s="176"/>
      <c r="JDK73" s="176"/>
      <c r="JDL73" s="175"/>
      <c r="JDM73" s="177"/>
      <c r="JDN73" s="175"/>
      <c r="JDO73" s="177"/>
      <c r="JDP73" s="178"/>
      <c r="JDQ73" s="179"/>
      <c r="JDR73"/>
      <c r="JDS73" s="180"/>
      <c r="JDT73"/>
      <c r="JDU73" s="172"/>
      <c r="JDV73" s="181"/>
      <c r="JDW73"/>
      <c r="JDX73" s="174"/>
      <c r="JDY73" s="175"/>
      <c r="JDZ73" s="176"/>
      <c r="JEA73" s="176"/>
      <c r="JEB73" s="175"/>
      <c r="JEC73" s="177"/>
      <c r="JED73" s="175"/>
      <c r="JEE73" s="177"/>
      <c r="JEF73" s="178"/>
      <c r="JEG73" s="179"/>
      <c r="JEH73"/>
      <c r="JEI73" s="180"/>
      <c r="JEJ73"/>
      <c r="JEK73" s="172"/>
      <c r="JEL73" s="181"/>
      <c r="JEM73"/>
      <c r="JEN73" s="174"/>
      <c r="JEO73" s="175"/>
      <c r="JEP73" s="176"/>
      <c r="JEQ73" s="176"/>
      <c r="JER73" s="175"/>
      <c r="JES73" s="177"/>
      <c r="JET73" s="175"/>
      <c r="JEU73" s="177"/>
      <c r="JEV73" s="178"/>
      <c r="JEW73" s="179"/>
      <c r="JEX73"/>
      <c r="JEY73" s="180"/>
      <c r="JEZ73"/>
      <c r="JFA73" s="172"/>
      <c r="JFB73" s="181"/>
      <c r="JFC73"/>
      <c r="JFD73" s="174"/>
      <c r="JFE73" s="175"/>
      <c r="JFF73" s="176"/>
      <c r="JFG73" s="176"/>
      <c r="JFH73" s="175"/>
      <c r="JFI73" s="177"/>
      <c r="JFJ73" s="175"/>
      <c r="JFK73" s="177"/>
      <c r="JFL73" s="178"/>
      <c r="JFM73" s="179"/>
      <c r="JFN73"/>
      <c r="JFO73" s="180"/>
      <c r="JFP73"/>
      <c r="JFQ73" s="172"/>
      <c r="JFR73" s="181"/>
      <c r="JFS73"/>
      <c r="JFT73" s="174"/>
      <c r="JFU73" s="175"/>
      <c r="JFV73" s="176"/>
      <c r="JFW73" s="176"/>
      <c r="JFX73" s="175"/>
      <c r="JFY73" s="177"/>
      <c r="JFZ73" s="175"/>
      <c r="JGA73" s="177"/>
      <c r="JGB73" s="178"/>
      <c r="JGC73" s="179"/>
      <c r="JGD73"/>
      <c r="JGE73" s="180"/>
      <c r="JGF73"/>
      <c r="JGG73" s="172"/>
      <c r="JGH73" s="181"/>
      <c r="JGI73"/>
      <c r="JGJ73" s="174"/>
      <c r="JGK73" s="175"/>
      <c r="JGL73" s="176"/>
      <c r="JGM73" s="176"/>
      <c r="JGN73" s="175"/>
      <c r="JGO73" s="177"/>
      <c r="JGP73" s="175"/>
      <c r="JGQ73" s="177"/>
      <c r="JGR73" s="178"/>
      <c r="JGS73" s="179"/>
      <c r="JGT73"/>
      <c r="JGU73" s="180"/>
      <c r="JGV73"/>
      <c r="JGW73" s="172"/>
      <c r="JGX73" s="181"/>
      <c r="JGY73"/>
      <c r="JGZ73" s="174"/>
      <c r="JHA73" s="175"/>
      <c r="JHB73" s="176"/>
      <c r="JHC73" s="176"/>
      <c r="JHD73" s="175"/>
      <c r="JHE73" s="177"/>
      <c r="JHF73" s="175"/>
      <c r="JHG73" s="177"/>
      <c r="JHH73" s="178"/>
      <c r="JHI73" s="179"/>
      <c r="JHJ73"/>
      <c r="JHK73" s="180"/>
      <c r="JHL73"/>
      <c r="JHM73" s="172"/>
      <c r="JHN73" s="181"/>
      <c r="JHO73"/>
      <c r="JHP73" s="174"/>
      <c r="JHQ73" s="175"/>
      <c r="JHR73" s="176"/>
      <c r="JHS73" s="176"/>
      <c r="JHT73" s="175"/>
      <c r="JHU73" s="177"/>
      <c r="JHV73" s="175"/>
      <c r="JHW73" s="177"/>
      <c r="JHX73" s="178"/>
      <c r="JHY73" s="179"/>
      <c r="JHZ73"/>
      <c r="JIA73" s="180"/>
      <c r="JIB73"/>
      <c r="JIC73" s="172"/>
      <c r="JID73" s="181"/>
      <c r="JIE73"/>
      <c r="JIF73" s="174"/>
      <c r="JIG73" s="175"/>
      <c r="JIH73" s="176"/>
      <c r="JII73" s="176"/>
      <c r="JIJ73" s="175"/>
      <c r="JIK73" s="177"/>
      <c r="JIL73" s="175"/>
      <c r="JIM73" s="177"/>
      <c r="JIN73" s="178"/>
      <c r="JIO73" s="179"/>
      <c r="JIP73"/>
      <c r="JIQ73" s="180"/>
      <c r="JIR73"/>
      <c r="JIS73" s="172"/>
      <c r="JIT73" s="181"/>
      <c r="JIU73"/>
      <c r="JIV73" s="174"/>
      <c r="JIW73" s="175"/>
      <c r="JIX73" s="176"/>
      <c r="JIY73" s="176"/>
      <c r="JIZ73" s="175"/>
      <c r="JJA73" s="177"/>
      <c r="JJB73" s="175"/>
      <c r="JJC73" s="177"/>
      <c r="JJD73" s="178"/>
      <c r="JJE73" s="179"/>
      <c r="JJF73"/>
      <c r="JJG73" s="180"/>
      <c r="JJH73"/>
      <c r="JJI73" s="172"/>
      <c r="JJJ73" s="181"/>
      <c r="JJK73"/>
      <c r="JJL73" s="174"/>
      <c r="JJM73" s="175"/>
      <c r="JJN73" s="176"/>
      <c r="JJO73" s="176"/>
      <c r="JJP73" s="175"/>
      <c r="JJQ73" s="177"/>
      <c r="JJR73" s="175"/>
      <c r="JJS73" s="177"/>
      <c r="JJT73" s="178"/>
      <c r="JJU73" s="179"/>
      <c r="JJV73"/>
      <c r="JJW73" s="180"/>
      <c r="JJX73"/>
      <c r="JJY73" s="172"/>
      <c r="JJZ73" s="181"/>
      <c r="JKA73"/>
      <c r="JKB73" s="174"/>
      <c r="JKC73" s="175"/>
      <c r="JKD73" s="176"/>
      <c r="JKE73" s="176"/>
      <c r="JKF73" s="175"/>
      <c r="JKG73" s="177"/>
      <c r="JKH73" s="175"/>
      <c r="JKI73" s="177"/>
      <c r="JKJ73" s="178"/>
      <c r="JKK73" s="179"/>
      <c r="JKL73"/>
      <c r="JKM73" s="180"/>
      <c r="JKN73"/>
      <c r="JKO73" s="172"/>
      <c r="JKP73" s="181"/>
      <c r="JKQ73"/>
      <c r="JKR73" s="174"/>
      <c r="JKS73" s="175"/>
      <c r="JKT73" s="176"/>
      <c r="JKU73" s="176"/>
      <c r="JKV73" s="175"/>
      <c r="JKW73" s="177"/>
      <c r="JKX73" s="175"/>
      <c r="JKY73" s="177"/>
      <c r="JKZ73" s="178"/>
      <c r="JLA73" s="179"/>
      <c r="JLB73"/>
      <c r="JLC73" s="180"/>
      <c r="JLD73"/>
      <c r="JLE73" s="172"/>
      <c r="JLF73" s="181"/>
      <c r="JLG73"/>
      <c r="JLH73" s="174"/>
      <c r="JLI73" s="175"/>
      <c r="JLJ73" s="176"/>
      <c r="JLK73" s="176"/>
      <c r="JLL73" s="175"/>
      <c r="JLM73" s="177"/>
      <c r="JLN73" s="175"/>
      <c r="JLO73" s="177"/>
      <c r="JLP73" s="178"/>
      <c r="JLQ73" s="179"/>
      <c r="JLR73"/>
      <c r="JLS73" s="180"/>
      <c r="JLT73"/>
      <c r="JLU73" s="172"/>
      <c r="JLV73" s="181"/>
      <c r="JLW73"/>
      <c r="JLX73" s="174"/>
      <c r="JLY73" s="175"/>
      <c r="JLZ73" s="176"/>
      <c r="JMA73" s="176"/>
      <c r="JMB73" s="175"/>
      <c r="JMC73" s="177"/>
      <c r="JMD73" s="175"/>
      <c r="JME73" s="177"/>
      <c r="JMF73" s="178"/>
      <c r="JMG73" s="179"/>
      <c r="JMH73"/>
      <c r="JMI73" s="180"/>
      <c r="JMJ73"/>
      <c r="JMK73" s="172"/>
      <c r="JML73" s="181"/>
      <c r="JMM73"/>
      <c r="JMN73" s="174"/>
      <c r="JMO73" s="175"/>
      <c r="JMP73" s="176"/>
      <c r="JMQ73" s="176"/>
      <c r="JMR73" s="175"/>
      <c r="JMS73" s="177"/>
      <c r="JMT73" s="175"/>
      <c r="JMU73" s="177"/>
      <c r="JMV73" s="178"/>
      <c r="JMW73" s="179"/>
      <c r="JMX73"/>
      <c r="JMY73" s="180"/>
      <c r="JMZ73"/>
      <c r="JNA73" s="172"/>
      <c r="JNB73" s="181"/>
      <c r="JNC73"/>
      <c r="JND73" s="174"/>
      <c r="JNE73" s="175"/>
      <c r="JNF73" s="176"/>
      <c r="JNG73" s="176"/>
      <c r="JNH73" s="175"/>
      <c r="JNI73" s="177"/>
      <c r="JNJ73" s="175"/>
      <c r="JNK73" s="177"/>
      <c r="JNL73" s="178"/>
      <c r="JNM73" s="179"/>
      <c r="JNN73"/>
      <c r="JNO73" s="180"/>
      <c r="JNP73"/>
      <c r="JNQ73" s="172"/>
      <c r="JNR73" s="181"/>
      <c r="JNS73"/>
      <c r="JNT73" s="174"/>
      <c r="JNU73" s="175"/>
      <c r="JNV73" s="176"/>
      <c r="JNW73" s="176"/>
      <c r="JNX73" s="175"/>
      <c r="JNY73" s="177"/>
      <c r="JNZ73" s="175"/>
      <c r="JOA73" s="177"/>
      <c r="JOB73" s="178"/>
      <c r="JOC73" s="179"/>
      <c r="JOD73"/>
      <c r="JOE73" s="180"/>
      <c r="JOF73"/>
      <c r="JOG73" s="172"/>
      <c r="JOH73" s="181"/>
      <c r="JOI73"/>
      <c r="JOJ73" s="174"/>
      <c r="JOK73" s="175"/>
      <c r="JOL73" s="176"/>
      <c r="JOM73" s="176"/>
      <c r="JON73" s="175"/>
      <c r="JOO73" s="177"/>
      <c r="JOP73" s="175"/>
      <c r="JOQ73" s="177"/>
      <c r="JOR73" s="178"/>
      <c r="JOS73" s="179"/>
      <c r="JOT73"/>
      <c r="JOU73" s="180"/>
      <c r="JOV73"/>
      <c r="JOW73" s="172"/>
      <c r="JOX73" s="181"/>
      <c r="JOY73"/>
      <c r="JOZ73" s="174"/>
      <c r="JPA73" s="175"/>
      <c r="JPB73" s="176"/>
      <c r="JPC73" s="176"/>
      <c r="JPD73" s="175"/>
      <c r="JPE73" s="177"/>
      <c r="JPF73" s="175"/>
      <c r="JPG73" s="177"/>
      <c r="JPH73" s="178"/>
      <c r="JPI73" s="179"/>
      <c r="JPJ73"/>
      <c r="JPK73" s="180"/>
      <c r="JPL73"/>
      <c r="JPM73" s="172"/>
      <c r="JPN73" s="181"/>
      <c r="JPO73"/>
      <c r="JPP73" s="174"/>
      <c r="JPQ73" s="175"/>
      <c r="JPR73" s="176"/>
      <c r="JPS73" s="176"/>
      <c r="JPT73" s="175"/>
      <c r="JPU73" s="177"/>
      <c r="JPV73" s="175"/>
      <c r="JPW73" s="177"/>
      <c r="JPX73" s="178"/>
      <c r="JPY73" s="179"/>
      <c r="JPZ73"/>
      <c r="JQA73" s="180"/>
      <c r="JQB73"/>
      <c r="JQC73" s="172"/>
      <c r="JQD73" s="181"/>
      <c r="JQE73"/>
      <c r="JQF73" s="174"/>
      <c r="JQG73" s="175"/>
      <c r="JQH73" s="176"/>
      <c r="JQI73" s="176"/>
      <c r="JQJ73" s="175"/>
      <c r="JQK73" s="177"/>
      <c r="JQL73" s="175"/>
      <c r="JQM73" s="177"/>
      <c r="JQN73" s="178"/>
      <c r="JQO73" s="179"/>
      <c r="JQP73"/>
      <c r="JQQ73" s="180"/>
      <c r="JQR73"/>
      <c r="JQS73" s="172"/>
      <c r="JQT73" s="181"/>
      <c r="JQU73"/>
      <c r="JQV73" s="174"/>
      <c r="JQW73" s="175"/>
      <c r="JQX73" s="176"/>
      <c r="JQY73" s="176"/>
      <c r="JQZ73" s="175"/>
      <c r="JRA73" s="177"/>
      <c r="JRB73" s="175"/>
      <c r="JRC73" s="177"/>
      <c r="JRD73" s="178"/>
      <c r="JRE73" s="179"/>
      <c r="JRF73"/>
      <c r="JRG73" s="180"/>
      <c r="JRH73"/>
      <c r="JRI73" s="172"/>
      <c r="JRJ73" s="181"/>
      <c r="JRK73"/>
      <c r="JRL73" s="174"/>
      <c r="JRM73" s="175"/>
      <c r="JRN73" s="176"/>
      <c r="JRO73" s="176"/>
      <c r="JRP73" s="175"/>
      <c r="JRQ73" s="177"/>
      <c r="JRR73" s="175"/>
      <c r="JRS73" s="177"/>
      <c r="JRT73" s="178"/>
      <c r="JRU73" s="179"/>
      <c r="JRV73"/>
      <c r="JRW73" s="180"/>
      <c r="JRX73"/>
      <c r="JRY73" s="172"/>
      <c r="JRZ73" s="181"/>
      <c r="JSA73"/>
      <c r="JSB73" s="174"/>
      <c r="JSC73" s="175"/>
      <c r="JSD73" s="176"/>
      <c r="JSE73" s="176"/>
      <c r="JSF73" s="175"/>
      <c r="JSG73" s="177"/>
      <c r="JSH73" s="175"/>
      <c r="JSI73" s="177"/>
      <c r="JSJ73" s="178"/>
      <c r="JSK73" s="179"/>
      <c r="JSL73"/>
      <c r="JSM73" s="180"/>
      <c r="JSN73"/>
      <c r="JSO73" s="172"/>
      <c r="JSP73" s="181"/>
      <c r="JSQ73"/>
      <c r="JSR73" s="174"/>
      <c r="JSS73" s="175"/>
      <c r="JST73" s="176"/>
      <c r="JSU73" s="176"/>
      <c r="JSV73" s="175"/>
      <c r="JSW73" s="177"/>
      <c r="JSX73" s="175"/>
      <c r="JSY73" s="177"/>
      <c r="JSZ73" s="178"/>
      <c r="JTA73" s="179"/>
      <c r="JTB73"/>
      <c r="JTC73" s="180"/>
      <c r="JTD73"/>
      <c r="JTE73" s="172"/>
      <c r="JTF73" s="181"/>
      <c r="JTG73"/>
      <c r="JTH73" s="174"/>
      <c r="JTI73" s="175"/>
      <c r="JTJ73" s="176"/>
      <c r="JTK73" s="176"/>
      <c r="JTL73" s="175"/>
      <c r="JTM73" s="177"/>
      <c r="JTN73" s="175"/>
      <c r="JTO73" s="177"/>
      <c r="JTP73" s="178"/>
      <c r="JTQ73" s="179"/>
      <c r="JTR73"/>
      <c r="JTS73" s="180"/>
      <c r="JTT73"/>
      <c r="JTU73" s="172"/>
      <c r="JTV73" s="181"/>
      <c r="JTW73"/>
      <c r="JTX73" s="174"/>
      <c r="JTY73" s="175"/>
      <c r="JTZ73" s="176"/>
      <c r="JUA73" s="176"/>
      <c r="JUB73" s="175"/>
      <c r="JUC73" s="177"/>
      <c r="JUD73" s="175"/>
      <c r="JUE73" s="177"/>
      <c r="JUF73" s="178"/>
      <c r="JUG73" s="179"/>
      <c r="JUH73"/>
      <c r="JUI73" s="180"/>
      <c r="JUJ73"/>
      <c r="JUK73" s="172"/>
      <c r="JUL73" s="181"/>
      <c r="JUM73"/>
      <c r="JUN73" s="174"/>
      <c r="JUO73" s="175"/>
      <c r="JUP73" s="176"/>
      <c r="JUQ73" s="176"/>
      <c r="JUR73" s="175"/>
      <c r="JUS73" s="177"/>
      <c r="JUT73" s="175"/>
      <c r="JUU73" s="177"/>
      <c r="JUV73" s="178"/>
      <c r="JUW73" s="179"/>
      <c r="JUX73"/>
      <c r="JUY73" s="180"/>
      <c r="JUZ73"/>
      <c r="JVA73" s="172"/>
      <c r="JVB73" s="181"/>
      <c r="JVC73"/>
      <c r="JVD73" s="174"/>
      <c r="JVE73" s="175"/>
      <c r="JVF73" s="176"/>
      <c r="JVG73" s="176"/>
      <c r="JVH73" s="175"/>
      <c r="JVI73" s="177"/>
      <c r="JVJ73" s="175"/>
      <c r="JVK73" s="177"/>
      <c r="JVL73" s="178"/>
      <c r="JVM73" s="179"/>
      <c r="JVN73"/>
      <c r="JVO73" s="180"/>
      <c r="JVP73"/>
      <c r="JVQ73" s="172"/>
      <c r="JVR73" s="181"/>
      <c r="JVS73"/>
      <c r="JVT73" s="174"/>
      <c r="JVU73" s="175"/>
      <c r="JVV73" s="176"/>
      <c r="JVW73" s="176"/>
      <c r="JVX73" s="175"/>
      <c r="JVY73" s="177"/>
      <c r="JVZ73" s="175"/>
      <c r="JWA73" s="177"/>
      <c r="JWB73" s="178"/>
      <c r="JWC73" s="179"/>
      <c r="JWD73"/>
      <c r="JWE73" s="180"/>
      <c r="JWF73"/>
      <c r="JWG73" s="172"/>
      <c r="JWH73" s="181"/>
      <c r="JWI73"/>
      <c r="JWJ73" s="174"/>
      <c r="JWK73" s="175"/>
      <c r="JWL73" s="176"/>
      <c r="JWM73" s="176"/>
      <c r="JWN73" s="175"/>
      <c r="JWO73" s="177"/>
      <c r="JWP73" s="175"/>
      <c r="JWQ73" s="177"/>
      <c r="JWR73" s="178"/>
      <c r="JWS73" s="179"/>
      <c r="JWT73"/>
      <c r="JWU73" s="180"/>
      <c r="JWV73"/>
      <c r="JWW73" s="172"/>
      <c r="JWX73" s="181"/>
      <c r="JWY73"/>
      <c r="JWZ73" s="174"/>
      <c r="JXA73" s="175"/>
      <c r="JXB73" s="176"/>
      <c r="JXC73" s="176"/>
      <c r="JXD73" s="175"/>
      <c r="JXE73" s="177"/>
      <c r="JXF73" s="175"/>
      <c r="JXG73" s="177"/>
      <c r="JXH73" s="178"/>
      <c r="JXI73" s="179"/>
      <c r="JXJ73"/>
      <c r="JXK73" s="180"/>
      <c r="JXL73"/>
      <c r="JXM73" s="172"/>
      <c r="JXN73" s="181"/>
      <c r="JXO73"/>
      <c r="JXP73" s="174"/>
      <c r="JXQ73" s="175"/>
      <c r="JXR73" s="176"/>
      <c r="JXS73" s="176"/>
      <c r="JXT73" s="175"/>
      <c r="JXU73" s="177"/>
      <c r="JXV73" s="175"/>
      <c r="JXW73" s="177"/>
      <c r="JXX73" s="178"/>
      <c r="JXY73" s="179"/>
      <c r="JXZ73"/>
      <c r="JYA73" s="180"/>
      <c r="JYB73"/>
      <c r="JYC73" s="172"/>
      <c r="JYD73" s="181"/>
      <c r="JYE73"/>
      <c r="JYF73" s="174"/>
      <c r="JYG73" s="175"/>
      <c r="JYH73" s="176"/>
      <c r="JYI73" s="176"/>
      <c r="JYJ73" s="175"/>
      <c r="JYK73" s="177"/>
      <c r="JYL73" s="175"/>
      <c r="JYM73" s="177"/>
      <c r="JYN73" s="178"/>
      <c r="JYO73" s="179"/>
      <c r="JYP73"/>
      <c r="JYQ73" s="180"/>
      <c r="JYR73"/>
      <c r="JYS73" s="172"/>
      <c r="JYT73" s="181"/>
      <c r="JYU73"/>
      <c r="JYV73" s="174"/>
      <c r="JYW73" s="175"/>
      <c r="JYX73" s="176"/>
      <c r="JYY73" s="176"/>
      <c r="JYZ73" s="175"/>
      <c r="JZA73" s="177"/>
      <c r="JZB73" s="175"/>
      <c r="JZC73" s="177"/>
      <c r="JZD73" s="178"/>
      <c r="JZE73" s="179"/>
      <c r="JZF73"/>
      <c r="JZG73" s="180"/>
      <c r="JZH73"/>
      <c r="JZI73" s="172"/>
      <c r="JZJ73" s="181"/>
      <c r="JZK73"/>
      <c r="JZL73" s="174"/>
      <c r="JZM73" s="175"/>
      <c r="JZN73" s="176"/>
      <c r="JZO73" s="176"/>
      <c r="JZP73" s="175"/>
      <c r="JZQ73" s="177"/>
      <c r="JZR73" s="175"/>
      <c r="JZS73" s="177"/>
      <c r="JZT73" s="178"/>
      <c r="JZU73" s="179"/>
      <c r="JZV73"/>
      <c r="JZW73" s="180"/>
      <c r="JZX73"/>
      <c r="JZY73" s="172"/>
      <c r="JZZ73" s="181"/>
      <c r="KAA73"/>
      <c r="KAB73" s="174"/>
      <c r="KAC73" s="175"/>
      <c r="KAD73" s="176"/>
      <c r="KAE73" s="176"/>
      <c r="KAF73" s="175"/>
      <c r="KAG73" s="177"/>
      <c r="KAH73" s="175"/>
      <c r="KAI73" s="177"/>
      <c r="KAJ73" s="178"/>
      <c r="KAK73" s="179"/>
      <c r="KAL73"/>
      <c r="KAM73" s="180"/>
      <c r="KAN73"/>
      <c r="KAO73" s="172"/>
      <c r="KAP73" s="181"/>
      <c r="KAQ73"/>
      <c r="KAR73" s="174"/>
      <c r="KAS73" s="175"/>
      <c r="KAT73" s="176"/>
      <c r="KAU73" s="176"/>
      <c r="KAV73" s="175"/>
      <c r="KAW73" s="177"/>
      <c r="KAX73" s="175"/>
      <c r="KAY73" s="177"/>
      <c r="KAZ73" s="178"/>
      <c r="KBA73" s="179"/>
      <c r="KBB73"/>
      <c r="KBC73" s="180"/>
      <c r="KBD73"/>
      <c r="KBE73" s="172"/>
      <c r="KBF73" s="181"/>
      <c r="KBG73"/>
      <c r="KBH73" s="174"/>
      <c r="KBI73" s="175"/>
      <c r="KBJ73" s="176"/>
      <c r="KBK73" s="176"/>
      <c r="KBL73" s="175"/>
      <c r="KBM73" s="177"/>
      <c r="KBN73" s="175"/>
      <c r="KBO73" s="177"/>
      <c r="KBP73" s="178"/>
      <c r="KBQ73" s="179"/>
      <c r="KBR73"/>
      <c r="KBS73" s="180"/>
      <c r="KBT73"/>
      <c r="KBU73" s="172"/>
      <c r="KBV73" s="181"/>
      <c r="KBW73"/>
      <c r="KBX73" s="174"/>
      <c r="KBY73" s="175"/>
      <c r="KBZ73" s="176"/>
      <c r="KCA73" s="176"/>
      <c r="KCB73" s="175"/>
      <c r="KCC73" s="177"/>
      <c r="KCD73" s="175"/>
      <c r="KCE73" s="177"/>
      <c r="KCF73" s="178"/>
      <c r="KCG73" s="179"/>
      <c r="KCH73"/>
      <c r="KCI73" s="180"/>
      <c r="KCJ73"/>
      <c r="KCK73" s="172"/>
      <c r="KCL73" s="181"/>
      <c r="KCM73"/>
      <c r="KCN73" s="174"/>
      <c r="KCO73" s="175"/>
      <c r="KCP73" s="176"/>
      <c r="KCQ73" s="176"/>
      <c r="KCR73" s="175"/>
      <c r="KCS73" s="177"/>
      <c r="KCT73" s="175"/>
      <c r="KCU73" s="177"/>
      <c r="KCV73" s="178"/>
      <c r="KCW73" s="179"/>
      <c r="KCX73"/>
      <c r="KCY73" s="180"/>
      <c r="KCZ73"/>
      <c r="KDA73" s="172"/>
      <c r="KDB73" s="181"/>
      <c r="KDC73"/>
      <c r="KDD73" s="174"/>
      <c r="KDE73" s="175"/>
      <c r="KDF73" s="176"/>
      <c r="KDG73" s="176"/>
      <c r="KDH73" s="175"/>
      <c r="KDI73" s="177"/>
      <c r="KDJ73" s="175"/>
      <c r="KDK73" s="177"/>
      <c r="KDL73" s="178"/>
      <c r="KDM73" s="179"/>
      <c r="KDN73"/>
      <c r="KDO73" s="180"/>
      <c r="KDP73"/>
      <c r="KDQ73" s="172"/>
      <c r="KDR73" s="181"/>
      <c r="KDS73"/>
      <c r="KDT73" s="174"/>
      <c r="KDU73" s="175"/>
      <c r="KDV73" s="176"/>
      <c r="KDW73" s="176"/>
      <c r="KDX73" s="175"/>
      <c r="KDY73" s="177"/>
      <c r="KDZ73" s="175"/>
      <c r="KEA73" s="177"/>
      <c r="KEB73" s="178"/>
      <c r="KEC73" s="179"/>
      <c r="KED73"/>
      <c r="KEE73" s="180"/>
      <c r="KEF73"/>
      <c r="KEG73" s="172"/>
      <c r="KEH73" s="181"/>
      <c r="KEI73"/>
      <c r="KEJ73" s="174"/>
      <c r="KEK73" s="175"/>
      <c r="KEL73" s="176"/>
      <c r="KEM73" s="176"/>
      <c r="KEN73" s="175"/>
      <c r="KEO73" s="177"/>
      <c r="KEP73" s="175"/>
      <c r="KEQ73" s="177"/>
      <c r="KER73" s="178"/>
      <c r="KES73" s="179"/>
      <c r="KET73"/>
      <c r="KEU73" s="180"/>
      <c r="KEV73"/>
      <c r="KEW73" s="172"/>
      <c r="KEX73" s="181"/>
      <c r="KEY73"/>
      <c r="KEZ73" s="174"/>
      <c r="KFA73" s="175"/>
      <c r="KFB73" s="176"/>
      <c r="KFC73" s="176"/>
      <c r="KFD73" s="175"/>
      <c r="KFE73" s="177"/>
      <c r="KFF73" s="175"/>
      <c r="KFG73" s="177"/>
      <c r="KFH73" s="178"/>
      <c r="KFI73" s="179"/>
      <c r="KFJ73"/>
      <c r="KFK73" s="180"/>
      <c r="KFL73"/>
      <c r="KFM73" s="172"/>
      <c r="KFN73" s="181"/>
      <c r="KFO73"/>
      <c r="KFP73" s="174"/>
      <c r="KFQ73" s="175"/>
      <c r="KFR73" s="176"/>
      <c r="KFS73" s="176"/>
      <c r="KFT73" s="175"/>
      <c r="KFU73" s="177"/>
      <c r="KFV73" s="175"/>
      <c r="KFW73" s="177"/>
      <c r="KFX73" s="178"/>
      <c r="KFY73" s="179"/>
      <c r="KFZ73"/>
      <c r="KGA73" s="180"/>
      <c r="KGB73"/>
      <c r="KGC73" s="172"/>
      <c r="KGD73" s="181"/>
      <c r="KGE73"/>
      <c r="KGF73" s="174"/>
      <c r="KGG73" s="175"/>
      <c r="KGH73" s="176"/>
      <c r="KGI73" s="176"/>
      <c r="KGJ73" s="175"/>
      <c r="KGK73" s="177"/>
      <c r="KGL73" s="175"/>
      <c r="KGM73" s="177"/>
      <c r="KGN73" s="178"/>
      <c r="KGO73" s="179"/>
      <c r="KGP73"/>
      <c r="KGQ73" s="180"/>
      <c r="KGR73"/>
      <c r="KGS73" s="172"/>
      <c r="KGT73" s="181"/>
      <c r="KGU73"/>
      <c r="KGV73" s="174"/>
      <c r="KGW73" s="175"/>
      <c r="KGX73" s="176"/>
      <c r="KGY73" s="176"/>
      <c r="KGZ73" s="175"/>
      <c r="KHA73" s="177"/>
      <c r="KHB73" s="175"/>
      <c r="KHC73" s="177"/>
      <c r="KHD73" s="178"/>
      <c r="KHE73" s="179"/>
      <c r="KHF73"/>
      <c r="KHG73" s="180"/>
      <c r="KHH73"/>
      <c r="KHI73" s="172"/>
      <c r="KHJ73" s="181"/>
      <c r="KHK73"/>
      <c r="KHL73" s="174"/>
      <c r="KHM73" s="175"/>
      <c r="KHN73" s="176"/>
      <c r="KHO73" s="176"/>
      <c r="KHP73" s="175"/>
      <c r="KHQ73" s="177"/>
      <c r="KHR73" s="175"/>
      <c r="KHS73" s="177"/>
      <c r="KHT73" s="178"/>
      <c r="KHU73" s="179"/>
      <c r="KHV73"/>
      <c r="KHW73" s="180"/>
      <c r="KHX73"/>
      <c r="KHY73" s="172"/>
      <c r="KHZ73" s="181"/>
      <c r="KIA73"/>
      <c r="KIB73" s="174"/>
      <c r="KIC73" s="175"/>
      <c r="KID73" s="176"/>
      <c r="KIE73" s="176"/>
      <c r="KIF73" s="175"/>
      <c r="KIG73" s="177"/>
      <c r="KIH73" s="175"/>
      <c r="KII73" s="177"/>
      <c r="KIJ73" s="178"/>
      <c r="KIK73" s="179"/>
      <c r="KIL73"/>
      <c r="KIM73" s="180"/>
      <c r="KIN73"/>
      <c r="KIO73" s="172"/>
      <c r="KIP73" s="181"/>
      <c r="KIQ73"/>
      <c r="KIR73" s="174"/>
      <c r="KIS73" s="175"/>
      <c r="KIT73" s="176"/>
      <c r="KIU73" s="176"/>
      <c r="KIV73" s="175"/>
      <c r="KIW73" s="177"/>
      <c r="KIX73" s="175"/>
      <c r="KIY73" s="177"/>
      <c r="KIZ73" s="178"/>
      <c r="KJA73" s="179"/>
      <c r="KJB73"/>
      <c r="KJC73" s="180"/>
      <c r="KJD73"/>
      <c r="KJE73" s="172"/>
      <c r="KJF73" s="181"/>
      <c r="KJG73"/>
      <c r="KJH73" s="174"/>
      <c r="KJI73" s="175"/>
      <c r="KJJ73" s="176"/>
      <c r="KJK73" s="176"/>
      <c r="KJL73" s="175"/>
      <c r="KJM73" s="177"/>
      <c r="KJN73" s="175"/>
      <c r="KJO73" s="177"/>
      <c r="KJP73" s="178"/>
      <c r="KJQ73" s="179"/>
      <c r="KJR73"/>
      <c r="KJS73" s="180"/>
      <c r="KJT73"/>
      <c r="KJU73" s="172"/>
      <c r="KJV73" s="181"/>
      <c r="KJW73"/>
      <c r="KJX73" s="174"/>
      <c r="KJY73" s="175"/>
      <c r="KJZ73" s="176"/>
      <c r="KKA73" s="176"/>
      <c r="KKB73" s="175"/>
      <c r="KKC73" s="177"/>
      <c r="KKD73" s="175"/>
      <c r="KKE73" s="177"/>
      <c r="KKF73" s="178"/>
      <c r="KKG73" s="179"/>
      <c r="KKH73"/>
      <c r="KKI73" s="180"/>
      <c r="KKJ73"/>
      <c r="KKK73" s="172"/>
      <c r="KKL73" s="181"/>
      <c r="KKM73"/>
      <c r="KKN73" s="174"/>
      <c r="KKO73" s="175"/>
      <c r="KKP73" s="176"/>
      <c r="KKQ73" s="176"/>
      <c r="KKR73" s="175"/>
      <c r="KKS73" s="177"/>
      <c r="KKT73" s="175"/>
      <c r="KKU73" s="177"/>
      <c r="KKV73" s="178"/>
      <c r="KKW73" s="179"/>
      <c r="KKX73"/>
      <c r="KKY73" s="180"/>
      <c r="KKZ73"/>
      <c r="KLA73" s="172"/>
      <c r="KLB73" s="181"/>
      <c r="KLC73"/>
      <c r="KLD73" s="174"/>
      <c r="KLE73" s="175"/>
      <c r="KLF73" s="176"/>
      <c r="KLG73" s="176"/>
      <c r="KLH73" s="175"/>
      <c r="KLI73" s="177"/>
      <c r="KLJ73" s="175"/>
      <c r="KLK73" s="177"/>
      <c r="KLL73" s="178"/>
      <c r="KLM73" s="179"/>
      <c r="KLN73"/>
      <c r="KLO73" s="180"/>
      <c r="KLP73"/>
      <c r="KLQ73" s="172"/>
      <c r="KLR73" s="181"/>
      <c r="KLS73"/>
      <c r="KLT73" s="174"/>
      <c r="KLU73" s="175"/>
      <c r="KLV73" s="176"/>
      <c r="KLW73" s="176"/>
      <c r="KLX73" s="175"/>
      <c r="KLY73" s="177"/>
      <c r="KLZ73" s="175"/>
      <c r="KMA73" s="177"/>
      <c r="KMB73" s="178"/>
      <c r="KMC73" s="179"/>
      <c r="KMD73"/>
      <c r="KME73" s="180"/>
      <c r="KMF73"/>
      <c r="KMG73" s="172"/>
      <c r="KMH73" s="181"/>
      <c r="KMI73"/>
      <c r="KMJ73" s="174"/>
      <c r="KMK73" s="175"/>
      <c r="KML73" s="176"/>
      <c r="KMM73" s="176"/>
      <c r="KMN73" s="175"/>
      <c r="KMO73" s="177"/>
      <c r="KMP73" s="175"/>
      <c r="KMQ73" s="177"/>
      <c r="KMR73" s="178"/>
      <c r="KMS73" s="179"/>
      <c r="KMT73"/>
      <c r="KMU73" s="180"/>
      <c r="KMV73"/>
      <c r="KMW73" s="172"/>
      <c r="KMX73" s="181"/>
      <c r="KMY73"/>
      <c r="KMZ73" s="174"/>
      <c r="KNA73" s="175"/>
      <c r="KNB73" s="176"/>
      <c r="KNC73" s="176"/>
      <c r="KND73" s="175"/>
      <c r="KNE73" s="177"/>
      <c r="KNF73" s="175"/>
      <c r="KNG73" s="177"/>
      <c r="KNH73" s="178"/>
      <c r="KNI73" s="179"/>
      <c r="KNJ73"/>
      <c r="KNK73" s="180"/>
      <c r="KNL73"/>
      <c r="KNM73" s="172"/>
      <c r="KNN73" s="181"/>
      <c r="KNO73"/>
      <c r="KNP73" s="174"/>
      <c r="KNQ73" s="175"/>
      <c r="KNR73" s="176"/>
      <c r="KNS73" s="176"/>
      <c r="KNT73" s="175"/>
      <c r="KNU73" s="177"/>
      <c r="KNV73" s="175"/>
      <c r="KNW73" s="177"/>
      <c r="KNX73" s="178"/>
      <c r="KNY73" s="179"/>
      <c r="KNZ73"/>
      <c r="KOA73" s="180"/>
      <c r="KOB73"/>
      <c r="KOC73" s="172"/>
      <c r="KOD73" s="181"/>
      <c r="KOE73"/>
      <c r="KOF73" s="174"/>
      <c r="KOG73" s="175"/>
      <c r="KOH73" s="176"/>
      <c r="KOI73" s="176"/>
      <c r="KOJ73" s="175"/>
      <c r="KOK73" s="177"/>
      <c r="KOL73" s="175"/>
      <c r="KOM73" s="177"/>
      <c r="KON73" s="178"/>
      <c r="KOO73" s="179"/>
      <c r="KOP73"/>
      <c r="KOQ73" s="180"/>
      <c r="KOR73"/>
      <c r="KOS73" s="172"/>
      <c r="KOT73" s="181"/>
      <c r="KOU73"/>
      <c r="KOV73" s="174"/>
      <c r="KOW73" s="175"/>
      <c r="KOX73" s="176"/>
      <c r="KOY73" s="176"/>
      <c r="KOZ73" s="175"/>
      <c r="KPA73" s="177"/>
      <c r="KPB73" s="175"/>
      <c r="KPC73" s="177"/>
      <c r="KPD73" s="178"/>
      <c r="KPE73" s="179"/>
      <c r="KPF73"/>
      <c r="KPG73" s="180"/>
      <c r="KPH73"/>
      <c r="KPI73" s="172"/>
      <c r="KPJ73" s="181"/>
      <c r="KPK73"/>
      <c r="KPL73" s="174"/>
      <c r="KPM73" s="175"/>
      <c r="KPN73" s="176"/>
      <c r="KPO73" s="176"/>
      <c r="KPP73" s="175"/>
      <c r="KPQ73" s="177"/>
      <c r="KPR73" s="175"/>
      <c r="KPS73" s="177"/>
      <c r="KPT73" s="178"/>
      <c r="KPU73" s="179"/>
      <c r="KPV73"/>
      <c r="KPW73" s="180"/>
      <c r="KPX73"/>
      <c r="KPY73" s="172"/>
      <c r="KPZ73" s="181"/>
      <c r="KQA73"/>
      <c r="KQB73" s="174"/>
      <c r="KQC73" s="175"/>
      <c r="KQD73" s="176"/>
      <c r="KQE73" s="176"/>
      <c r="KQF73" s="175"/>
      <c r="KQG73" s="177"/>
      <c r="KQH73" s="175"/>
      <c r="KQI73" s="177"/>
      <c r="KQJ73" s="178"/>
      <c r="KQK73" s="179"/>
      <c r="KQL73"/>
      <c r="KQM73" s="180"/>
      <c r="KQN73"/>
      <c r="KQO73" s="172"/>
      <c r="KQP73" s="181"/>
      <c r="KQQ73"/>
      <c r="KQR73" s="174"/>
      <c r="KQS73" s="175"/>
      <c r="KQT73" s="176"/>
      <c r="KQU73" s="176"/>
      <c r="KQV73" s="175"/>
      <c r="KQW73" s="177"/>
      <c r="KQX73" s="175"/>
      <c r="KQY73" s="177"/>
      <c r="KQZ73" s="178"/>
      <c r="KRA73" s="179"/>
      <c r="KRB73"/>
      <c r="KRC73" s="180"/>
      <c r="KRD73"/>
      <c r="KRE73" s="172"/>
      <c r="KRF73" s="181"/>
      <c r="KRG73"/>
      <c r="KRH73" s="174"/>
      <c r="KRI73" s="175"/>
      <c r="KRJ73" s="176"/>
      <c r="KRK73" s="176"/>
      <c r="KRL73" s="175"/>
      <c r="KRM73" s="177"/>
      <c r="KRN73" s="175"/>
      <c r="KRO73" s="177"/>
      <c r="KRP73" s="178"/>
      <c r="KRQ73" s="179"/>
      <c r="KRR73"/>
      <c r="KRS73" s="180"/>
      <c r="KRT73"/>
      <c r="KRU73" s="172"/>
      <c r="KRV73" s="181"/>
      <c r="KRW73"/>
      <c r="KRX73" s="174"/>
      <c r="KRY73" s="175"/>
      <c r="KRZ73" s="176"/>
      <c r="KSA73" s="176"/>
      <c r="KSB73" s="175"/>
      <c r="KSC73" s="177"/>
      <c r="KSD73" s="175"/>
      <c r="KSE73" s="177"/>
      <c r="KSF73" s="178"/>
      <c r="KSG73" s="179"/>
      <c r="KSH73"/>
      <c r="KSI73" s="180"/>
      <c r="KSJ73"/>
      <c r="KSK73" s="172"/>
      <c r="KSL73" s="181"/>
      <c r="KSM73"/>
      <c r="KSN73" s="174"/>
      <c r="KSO73" s="175"/>
      <c r="KSP73" s="176"/>
      <c r="KSQ73" s="176"/>
      <c r="KSR73" s="175"/>
      <c r="KSS73" s="177"/>
      <c r="KST73" s="175"/>
      <c r="KSU73" s="177"/>
      <c r="KSV73" s="178"/>
      <c r="KSW73" s="179"/>
      <c r="KSX73"/>
      <c r="KSY73" s="180"/>
      <c r="KSZ73"/>
      <c r="KTA73" s="172"/>
      <c r="KTB73" s="181"/>
      <c r="KTC73"/>
      <c r="KTD73" s="174"/>
      <c r="KTE73" s="175"/>
      <c r="KTF73" s="176"/>
      <c r="KTG73" s="176"/>
      <c r="KTH73" s="175"/>
      <c r="KTI73" s="177"/>
      <c r="KTJ73" s="175"/>
      <c r="KTK73" s="177"/>
      <c r="KTL73" s="178"/>
      <c r="KTM73" s="179"/>
      <c r="KTN73"/>
      <c r="KTO73" s="180"/>
      <c r="KTP73"/>
      <c r="KTQ73" s="172"/>
      <c r="KTR73" s="181"/>
      <c r="KTS73"/>
      <c r="KTT73" s="174"/>
      <c r="KTU73" s="175"/>
      <c r="KTV73" s="176"/>
      <c r="KTW73" s="176"/>
      <c r="KTX73" s="175"/>
      <c r="KTY73" s="177"/>
      <c r="KTZ73" s="175"/>
      <c r="KUA73" s="177"/>
      <c r="KUB73" s="178"/>
      <c r="KUC73" s="179"/>
      <c r="KUD73"/>
      <c r="KUE73" s="180"/>
      <c r="KUF73"/>
      <c r="KUG73" s="172"/>
      <c r="KUH73" s="181"/>
      <c r="KUI73"/>
      <c r="KUJ73" s="174"/>
      <c r="KUK73" s="175"/>
      <c r="KUL73" s="176"/>
      <c r="KUM73" s="176"/>
      <c r="KUN73" s="175"/>
      <c r="KUO73" s="177"/>
      <c r="KUP73" s="175"/>
      <c r="KUQ73" s="177"/>
      <c r="KUR73" s="178"/>
      <c r="KUS73" s="179"/>
      <c r="KUT73"/>
      <c r="KUU73" s="180"/>
      <c r="KUV73"/>
      <c r="KUW73" s="172"/>
      <c r="KUX73" s="181"/>
      <c r="KUY73"/>
      <c r="KUZ73" s="174"/>
      <c r="KVA73" s="175"/>
      <c r="KVB73" s="176"/>
      <c r="KVC73" s="176"/>
      <c r="KVD73" s="175"/>
      <c r="KVE73" s="177"/>
      <c r="KVF73" s="175"/>
      <c r="KVG73" s="177"/>
      <c r="KVH73" s="178"/>
      <c r="KVI73" s="179"/>
      <c r="KVJ73"/>
      <c r="KVK73" s="180"/>
      <c r="KVL73"/>
      <c r="KVM73" s="172"/>
      <c r="KVN73" s="181"/>
      <c r="KVO73"/>
      <c r="KVP73" s="174"/>
      <c r="KVQ73" s="175"/>
      <c r="KVR73" s="176"/>
      <c r="KVS73" s="176"/>
      <c r="KVT73" s="175"/>
      <c r="KVU73" s="177"/>
      <c r="KVV73" s="175"/>
      <c r="KVW73" s="177"/>
      <c r="KVX73" s="178"/>
      <c r="KVY73" s="179"/>
      <c r="KVZ73"/>
      <c r="KWA73" s="180"/>
      <c r="KWB73"/>
      <c r="KWC73" s="172"/>
      <c r="KWD73" s="181"/>
      <c r="KWE73"/>
      <c r="KWF73" s="174"/>
      <c r="KWG73" s="175"/>
      <c r="KWH73" s="176"/>
      <c r="KWI73" s="176"/>
      <c r="KWJ73" s="175"/>
      <c r="KWK73" s="177"/>
      <c r="KWL73" s="175"/>
      <c r="KWM73" s="177"/>
      <c r="KWN73" s="178"/>
      <c r="KWO73" s="179"/>
      <c r="KWP73"/>
      <c r="KWQ73" s="180"/>
      <c r="KWR73"/>
      <c r="KWS73" s="172"/>
      <c r="KWT73" s="181"/>
      <c r="KWU73"/>
      <c r="KWV73" s="174"/>
      <c r="KWW73" s="175"/>
      <c r="KWX73" s="176"/>
      <c r="KWY73" s="176"/>
      <c r="KWZ73" s="175"/>
      <c r="KXA73" s="177"/>
      <c r="KXB73" s="175"/>
      <c r="KXC73" s="177"/>
      <c r="KXD73" s="178"/>
      <c r="KXE73" s="179"/>
      <c r="KXF73"/>
      <c r="KXG73" s="180"/>
      <c r="KXH73"/>
      <c r="KXI73" s="172"/>
      <c r="KXJ73" s="181"/>
      <c r="KXK73"/>
      <c r="KXL73" s="174"/>
      <c r="KXM73" s="175"/>
      <c r="KXN73" s="176"/>
      <c r="KXO73" s="176"/>
      <c r="KXP73" s="175"/>
      <c r="KXQ73" s="177"/>
      <c r="KXR73" s="175"/>
      <c r="KXS73" s="177"/>
      <c r="KXT73" s="178"/>
      <c r="KXU73" s="179"/>
      <c r="KXV73"/>
      <c r="KXW73" s="180"/>
      <c r="KXX73"/>
      <c r="KXY73" s="172"/>
      <c r="KXZ73" s="181"/>
      <c r="KYA73"/>
      <c r="KYB73" s="174"/>
      <c r="KYC73" s="175"/>
      <c r="KYD73" s="176"/>
      <c r="KYE73" s="176"/>
      <c r="KYF73" s="175"/>
      <c r="KYG73" s="177"/>
      <c r="KYH73" s="175"/>
      <c r="KYI73" s="177"/>
      <c r="KYJ73" s="178"/>
      <c r="KYK73" s="179"/>
      <c r="KYL73"/>
      <c r="KYM73" s="180"/>
      <c r="KYN73"/>
      <c r="KYO73" s="172"/>
      <c r="KYP73" s="181"/>
      <c r="KYQ73"/>
      <c r="KYR73" s="174"/>
      <c r="KYS73" s="175"/>
      <c r="KYT73" s="176"/>
      <c r="KYU73" s="176"/>
      <c r="KYV73" s="175"/>
      <c r="KYW73" s="177"/>
      <c r="KYX73" s="175"/>
      <c r="KYY73" s="177"/>
      <c r="KYZ73" s="178"/>
      <c r="KZA73" s="179"/>
      <c r="KZB73"/>
      <c r="KZC73" s="180"/>
      <c r="KZD73"/>
      <c r="KZE73" s="172"/>
      <c r="KZF73" s="181"/>
      <c r="KZG73"/>
      <c r="KZH73" s="174"/>
      <c r="KZI73" s="175"/>
      <c r="KZJ73" s="176"/>
      <c r="KZK73" s="176"/>
      <c r="KZL73" s="175"/>
      <c r="KZM73" s="177"/>
      <c r="KZN73" s="175"/>
      <c r="KZO73" s="177"/>
      <c r="KZP73" s="178"/>
      <c r="KZQ73" s="179"/>
      <c r="KZR73"/>
      <c r="KZS73" s="180"/>
      <c r="KZT73"/>
      <c r="KZU73" s="172"/>
      <c r="KZV73" s="181"/>
      <c r="KZW73"/>
      <c r="KZX73" s="174"/>
      <c r="KZY73" s="175"/>
      <c r="KZZ73" s="176"/>
      <c r="LAA73" s="176"/>
      <c r="LAB73" s="175"/>
      <c r="LAC73" s="177"/>
      <c r="LAD73" s="175"/>
      <c r="LAE73" s="177"/>
      <c r="LAF73" s="178"/>
      <c r="LAG73" s="179"/>
      <c r="LAH73"/>
      <c r="LAI73" s="180"/>
      <c r="LAJ73"/>
      <c r="LAK73" s="172"/>
      <c r="LAL73" s="181"/>
      <c r="LAM73"/>
      <c r="LAN73" s="174"/>
      <c r="LAO73" s="175"/>
      <c r="LAP73" s="176"/>
      <c r="LAQ73" s="176"/>
      <c r="LAR73" s="175"/>
      <c r="LAS73" s="177"/>
      <c r="LAT73" s="175"/>
      <c r="LAU73" s="177"/>
      <c r="LAV73" s="178"/>
      <c r="LAW73" s="179"/>
      <c r="LAX73"/>
      <c r="LAY73" s="180"/>
      <c r="LAZ73"/>
      <c r="LBA73" s="172"/>
      <c r="LBB73" s="181"/>
      <c r="LBC73"/>
      <c r="LBD73" s="174"/>
      <c r="LBE73" s="175"/>
      <c r="LBF73" s="176"/>
      <c r="LBG73" s="176"/>
      <c r="LBH73" s="175"/>
      <c r="LBI73" s="177"/>
      <c r="LBJ73" s="175"/>
      <c r="LBK73" s="177"/>
      <c r="LBL73" s="178"/>
      <c r="LBM73" s="179"/>
      <c r="LBN73"/>
      <c r="LBO73" s="180"/>
      <c r="LBP73"/>
      <c r="LBQ73" s="172"/>
      <c r="LBR73" s="181"/>
      <c r="LBS73"/>
      <c r="LBT73" s="174"/>
      <c r="LBU73" s="175"/>
      <c r="LBV73" s="176"/>
      <c r="LBW73" s="176"/>
      <c r="LBX73" s="175"/>
      <c r="LBY73" s="177"/>
      <c r="LBZ73" s="175"/>
      <c r="LCA73" s="177"/>
      <c r="LCB73" s="178"/>
      <c r="LCC73" s="179"/>
      <c r="LCD73"/>
      <c r="LCE73" s="180"/>
      <c r="LCF73"/>
      <c r="LCG73" s="172"/>
      <c r="LCH73" s="181"/>
      <c r="LCI73"/>
      <c r="LCJ73" s="174"/>
      <c r="LCK73" s="175"/>
      <c r="LCL73" s="176"/>
      <c r="LCM73" s="176"/>
      <c r="LCN73" s="175"/>
      <c r="LCO73" s="177"/>
      <c r="LCP73" s="175"/>
      <c r="LCQ73" s="177"/>
      <c r="LCR73" s="178"/>
      <c r="LCS73" s="179"/>
      <c r="LCT73"/>
      <c r="LCU73" s="180"/>
      <c r="LCV73"/>
      <c r="LCW73" s="172"/>
      <c r="LCX73" s="181"/>
      <c r="LCY73"/>
      <c r="LCZ73" s="174"/>
      <c r="LDA73" s="175"/>
      <c r="LDB73" s="176"/>
      <c r="LDC73" s="176"/>
      <c r="LDD73" s="175"/>
      <c r="LDE73" s="177"/>
      <c r="LDF73" s="175"/>
      <c r="LDG73" s="177"/>
      <c r="LDH73" s="178"/>
      <c r="LDI73" s="179"/>
      <c r="LDJ73"/>
      <c r="LDK73" s="180"/>
      <c r="LDL73"/>
      <c r="LDM73" s="172"/>
      <c r="LDN73" s="181"/>
      <c r="LDO73"/>
      <c r="LDP73" s="174"/>
      <c r="LDQ73" s="175"/>
      <c r="LDR73" s="176"/>
      <c r="LDS73" s="176"/>
      <c r="LDT73" s="175"/>
      <c r="LDU73" s="177"/>
      <c r="LDV73" s="175"/>
      <c r="LDW73" s="177"/>
      <c r="LDX73" s="178"/>
      <c r="LDY73" s="179"/>
      <c r="LDZ73"/>
      <c r="LEA73" s="180"/>
      <c r="LEB73"/>
      <c r="LEC73" s="172"/>
      <c r="LED73" s="181"/>
      <c r="LEE73"/>
      <c r="LEF73" s="174"/>
      <c r="LEG73" s="175"/>
      <c r="LEH73" s="176"/>
      <c r="LEI73" s="176"/>
      <c r="LEJ73" s="175"/>
      <c r="LEK73" s="177"/>
      <c r="LEL73" s="175"/>
      <c r="LEM73" s="177"/>
      <c r="LEN73" s="178"/>
      <c r="LEO73" s="179"/>
      <c r="LEP73"/>
      <c r="LEQ73" s="180"/>
      <c r="LER73"/>
      <c r="LES73" s="172"/>
      <c r="LET73" s="181"/>
      <c r="LEU73"/>
      <c r="LEV73" s="174"/>
      <c r="LEW73" s="175"/>
      <c r="LEX73" s="176"/>
      <c r="LEY73" s="176"/>
      <c r="LEZ73" s="175"/>
      <c r="LFA73" s="177"/>
      <c r="LFB73" s="175"/>
      <c r="LFC73" s="177"/>
      <c r="LFD73" s="178"/>
      <c r="LFE73" s="179"/>
      <c r="LFF73"/>
      <c r="LFG73" s="180"/>
      <c r="LFH73"/>
      <c r="LFI73" s="172"/>
      <c r="LFJ73" s="181"/>
      <c r="LFK73"/>
      <c r="LFL73" s="174"/>
      <c r="LFM73" s="175"/>
      <c r="LFN73" s="176"/>
      <c r="LFO73" s="176"/>
      <c r="LFP73" s="175"/>
      <c r="LFQ73" s="177"/>
      <c r="LFR73" s="175"/>
      <c r="LFS73" s="177"/>
      <c r="LFT73" s="178"/>
      <c r="LFU73" s="179"/>
      <c r="LFV73"/>
      <c r="LFW73" s="180"/>
      <c r="LFX73"/>
      <c r="LFY73" s="172"/>
      <c r="LFZ73" s="181"/>
      <c r="LGA73"/>
      <c r="LGB73" s="174"/>
      <c r="LGC73" s="175"/>
      <c r="LGD73" s="176"/>
      <c r="LGE73" s="176"/>
      <c r="LGF73" s="175"/>
      <c r="LGG73" s="177"/>
      <c r="LGH73" s="175"/>
      <c r="LGI73" s="177"/>
      <c r="LGJ73" s="178"/>
      <c r="LGK73" s="179"/>
      <c r="LGL73"/>
      <c r="LGM73" s="180"/>
      <c r="LGN73"/>
      <c r="LGO73" s="172"/>
      <c r="LGP73" s="181"/>
      <c r="LGQ73"/>
      <c r="LGR73" s="174"/>
      <c r="LGS73" s="175"/>
      <c r="LGT73" s="176"/>
      <c r="LGU73" s="176"/>
      <c r="LGV73" s="175"/>
      <c r="LGW73" s="177"/>
      <c r="LGX73" s="175"/>
      <c r="LGY73" s="177"/>
      <c r="LGZ73" s="178"/>
      <c r="LHA73" s="179"/>
      <c r="LHB73"/>
      <c r="LHC73" s="180"/>
      <c r="LHD73"/>
      <c r="LHE73" s="172"/>
      <c r="LHF73" s="181"/>
      <c r="LHG73"/>
      <c r="LHH73" s="174"/>
      <c r="LHI73" s="175"/>
      <c r="LHJ73" s="176"/>
      <c r="LHK73" s="176"/>
      <c r="LHL73" s="175"/>
      <c r="LHM73" s="177"/>
      <c r="LHN73" s="175"/>
      <c r="LHO73" s="177"/>
      <c r="LHP73" s="178"/>
      <c r="LHQ73" s="179"/>
      <c r="LHR73"/>
      <c r="LHS73" s="180"/>
      <c r="LHT73"/>
      <c r="LHU73" s="172"/>
      <c r="LHV73" s="181"/>
      <c r="LHW73"/>
      <c r="LHX73" s="174"/>
      <c r="LHY73" s="175"/>
      <c r="LHZ73" s="176"/>
      <c r="LIA73" s="176"/>
      <c r="LIB73" s="175"/>
      <c r="LIC73" s="177"/>
      <c r="LID73" s="175"/>
      <c r="LIE73" s="177"/>
      <c r="LIF73" s="178"/>
      <c r="LIG73" s="179"/>
      <c r="LIH73"/>
      <c r="LII73" s="180"/>
      <c r="LIJ73"/>
      <c r="LIK73" s="172"/>
      <c r="LIL73" s="181"/>
      <c r="LIM73"/>
      <c r="LIN73" s="174"/>
      <c r="LIO73" s="175"/>
      <c r="LIP73" s="176"/>
      <c r="LIQ73" s="176"/>
      <c r="LIR73" s="175"/>
      <c r="LIS73" s="177"/>
      <c r="LIT73" s="175"/>
      <c r="LIU73" s="177"/>
      <c r="LIV73" s="178"/>
      <c r="LIW73" s="179"/>
      <c r="LIX73"/>
      <c r="LIY73" s="180"/>
      <c r="LIZ73"/>
      <c r="LJA73" s="172"/>
      <c r="LJB73" s="181"/>
      <c r="LJC73"/>
      <c r="LJD73" s="174"/>
      <c r="LJE73" s="175"/>
      <c r="LJF73" s="176"/>
      <c r="LJG73" s="176"/>
      <c r="LJH73" s="175"/>
      <c r="LJI73" s="177"/>
      <c r="LJJ73" s="175"/>
      <c r="LJK73" s="177"/>
      <c r="LJL73" s="178"/>
      <c r="LJM73" s="179"/>
      <c r="LJN73"/>
      <c r="LJO73" s="180"/>
      <c r="LJP73"/>
      <c r="LJQ73" s="172"/>
      <c r="LJR73" s="181"/>
      <c r="LJS73"/>
      <c r="LJT73" s="174"/>
      <c r="LJU73" s="175"/>
      <c r="LJV73" s="176"/>
      <c r="LJW73" s="176"/>
      <c r="LJX73" s="175"/>
      <c r="LJY73" s="177"/>
      <c r="LJZ73" s="175"/>
      <c r="LKA73" s="177"/>
      <c r="LKB73" s="178"/>
      <c r="LKC73" s="179"/>
      <c r="LKD73"/>
      <c r="LKE73" s="180"/>
      <c r="LKF73"/>
      <c r="LKG73" s="172"/>
      <c r="LKH73" s="181"/>
      <c r="LKI73"/>
      <c r="LKJ73" s="174"/>
      <c r="LKK73" s="175"/>
      <c r="LKL73" s="176"/>
      <c r="LKM73" s="176"/>
      <c r="LKN73" s="175"/>
      <c r="LKO73" s="177"/>
      <c r="LKP73" s="175"/>
      <c r="LKQ73" s="177"/>
      <c r="LKR73" s="178"/>
      <c r="LKS73" s="179"/>
      <c r="LKT73"/>
      <c r="LKU73" s="180"/>
      <c r="LKV73"/>
      <c r="LKW73" s="172"/>
      <c r="LKX73" s="181"/>
      <c r="LKY73"/>
      <c r="LKZ73" s="174"/>
      <c r="LLA73" s="175"/>
      <c r="LLB73" s="176"/>
      <c r="LLC73" s="176"/>
      <c r="LLD73" s="175"/>
      <c r="LLE73" s="177"/>
      <c r="LLF73" s="175"/>
      <c r="LLG73" s="177"/>
      <c r="LLH73" s="178"/>
      <c r="LLI73" s="179"/>
      <c r="LLJ73"/>
      <c r="LLK73" s="180"/>
      <c r="LLL73"/>
      <c r="LLM73" s="172"/>
      <c r="LLN73" s="181"/>
      <c r="LLO73"/>
      <c r="LLP73" s="174"/>
      <c r="LLQ73" s="175"/>
      <c r="LLR73" s="176"/>
      <c r="LLS73" s="176"/>
      <c r="LLT73" s="175"/>
      <c r="LLU73" s="177"/>
      <c r="LLV73" s="175"/>
      <c r="LLW73" s="177"/>
      <c r="LLX73" s="178"/>
      <c r="LLY73" s="179"/>
      <c r="LLZ73"/>
      <c r="LMA73" s="180"/>
      <c r="LMB73"/>
      <c r="LMC73" s="172"/>
      <c r="LMD73" s="181"/>
      <c r="LME73"/>
      <c r="LMF73" s="174"/>
      <c r="LMG73" s="175"/>
      <c r="LMH73" s="176"/>
      <c r="LMI73" s="176"/>
      <c r="LMJ73" s="175"/>
      <c r="LMK73" s="177"/>
      <c r="LML73" s="175"/>
      <c r="LMM73" s="177"/>
      <c r="LMN73" s="178"/>
      <c r="LMO73" s="179"/>
      <c r="LMP73"/>
      <c r="LMQ73" s="180"/>
      <c r="LMR73"/>
      <c r="LMS73" s="172"/>
      <c r="LMT73" s="181"/>
      <c r="LMU73"/>
      <c r="LMV73" s="174"/>
      <c r="LMW73" s="175"/>
      <c r="LMX73" s="176"/>
      <c r="LMY73" s="176"/>
      <c r="LMZ73" s="175"/>
      <c r="LNA73" s="177"/>
      <c r="LNB73" s="175"/>
      <c r="LNC73" s="177"/>
      <c r="LND73" s="178"/>
      <c r="LNE73" s="179"/>
      <c r="LNF73"/>
      <c r="LNG73" s="180"/>
      <c r="LNH73"/>
      <c r="LNI73" s="172"/>
      <c r="LNJ73" s="181"/>
      <c r="LNK73"/>
      <c r="LNL73" s="174"/>
      <c r="LNM73" s="175"/>
      <c r="LNN73" s="176"/>
      <c r="LNO73" s="176"/>
      <c r="LNP73" s="175"/>
      <c r="LNQ73" s="177"/>
      <c r="LNR73" s="175"/>
      <c r="LNS73" s="177"/>
      <c r="LNT73" s="178"/>
      <c r="LNU73" s="179"/>
      <c r="LNV73"/>
      <c r="LNW73" s="180"/>
      <c r="LNX73"/>
      <c r="LNY73" s="172"/>
      <c r="LNZ73" s="181"/>
      <c r="LOA73"/>
      <c r="LOB73" s="174"/>
      <c r="LOC73" s="175"/>
      <c r="LOD73" s="176"/>
      <c r="LOE73" s="176"/>
      <c r="LOF73" s="175"/>
      <c r="LOG73" s="177"/>
      <c r="LOH73" s="175"/>
      <c r="LOI73" s="177"/>
      <c r="LOJ73" s="178"/>
      <c r="LOK73" s="179"/>
      <c r="LOL73"/>
      <c r="LOM73" s="180"/>
      <c r="LON73"/>
      <c r="LOO73" s="172"/>
      <c r="LOP73" s="181"/>
      <c r="LOQ73"/>
      <c r="LOR73" s="174"/>
      <c r="LOS73" s="175"/>
      <c r="LOT73" s="176"/>
      <c r="LOU73" s="176"/>
      <c r="LOV73" s="175"/>
      <c r="LOW73" s="177"/>
      <c r="LOX73" s="175"/>
      <c r="LOY73" s="177"/>
      <c r="LOZ73" s="178"/>
      <c r="LPA73" s="179"/>
      <c r="LPB73"/>
      <c r="LPC73" s="180"/>
      <c r="LPD73"/>
      <c r="LPE73" s="172"/>
      <c r="LPF73" s="181"/>
      <c r="LPG73"/>
      <c r="LPH73" s="174"/>
      <c r="LPI73" s="175"/>
      <c r="LPJ73" s="176"/>
      <c r="LPK73" s="176"/>
      <c r="LPL73" s="175"/>
      <c r="LPM73" s="177"/>
      <c r="LPN73" s="175"/>
      <c r="LPO73" s="177"/>
      <c r="LPP73" s="178"/>
      <c r="LPQ73" s="179"/>
      <c r="LPR73"/>
      <c r="LPS73" s="180"/>
      <c r="LPT73"/>
      <c r="LPU73" s="172"/>
      <c r="LPV73" s="181"/>
      <c r="LPW73"/>
      <c r="LPX73" s="174"/>
      <c r="LPY73" s="175"/>
      <c r="LPZ73" s="176"/>
      <c r="LQA73" s="176"/>
      <c r="LQB73" s="175"/>
      <c r="LQC73" s="177"/>
      <c r="LQD73" s="175"/>
      <c r="LQE73" s="177"/>
      <c r="LQF73" s="178"/>
      <c r="LQG73" s="179"/>
      <c r="LQH73"/>
      <c r="LQI73" s="180"/>
      <c r="LQJ73"/>
      <c r="LQK73" s="172"/>
      <c r="LQL73" s="181"/>
      <c r="LQM73"/>
      <c r="LQN73" s="174"/>
      <c r="LQO73" s="175"/>
      <c r="LQP73" s="176"/>
      <c r="LQQ73" s="176"/>
      <c r="LQR73" s="175"/>
      <c r="LQS73" s="177"/>
      <c r="LQT73" s="175"/>
      <c r="LQU73" s="177"/>
      <c r="LQV73" s="178"/>
      <c r="LQW73" s="179"/>
      <c r="LQX73"/>
      <c r="LQY73" s="180"/>
      <c r="LQZ73"/>
      <c r="LRA73" s="172"/>
      <c r="LRB73" s="181"/>
      <c r="LRC73"/>
      <c r="LRD73" s="174"/>
      <c r="LRE73" s="175"/>
      <c r="LRF73" s="176"/>
      <c r="LRG73" s="176"/>
      <c r="LRH73" s="175"/>
      <c r="LRI73" s="177"/>
      <c r="LRJ73" s="175"/>
      <c r="LRK73" s="177"/>
      <c r="LRL73" s="178"/>
      <c r="LRM73" s="179"/>
      <c r="LRN73"/>
      <c r="LRO73" s="180"/>
      <c r="LRP73"/>
      <c r="LRQ73" s="172"/>
      <c r="LRR73" s="181"/>
      <c r="LRS73"/>
      <c r="LRT73" s="174"/>
      <c r="LRU73" s="175"/>
      <c r="LRV73" s="176"/>
      <c r="LRW73" s="176"/>
      <c r="LRX73" s="175"/>
      <c r="LRY73" s="177"/>
      <c r="LRZ73" s="175"/>
      <c r="LSA73" s="177"/>
      <c r="LSB73" s="178"/>
      <c r="LSC73" s="179"/>
      <c r="LSD73"/>
      <c r="LSE73" s="180"/>
      <c r="LSF73"/>
      <c r="LSG73" s="172"/>
      <c r="LSH73" s="181"/>
      <c r="LSI73"/>
      <c r="LSJ73" s="174"/>
      <c r="LSK73" s="175"/>
      <c r="LSL73" s="176"/>
      <c r="LSM73" s="176"/>
      <c r="LSN73" s="175"/>
      <c r="LSO73" s="177"/>
      <c r="LSP73" s="175"/>
      <c r="LSQ73" s="177"/>
      <c r="LSR73" s="178"/>
      <c r="LSS73" s="179"/>
      <c r="LST73"/>
      <c r="LSU73" s="180"/>
      <c r="LSV73"/>
      <c r="LSW73" s="172"/>
      <c r="LSX73" s="181"/>
      <c r="LSY73"/>
      <c r="LSZ73" s="174"/>
      <c r="LTA73" s="175"/>
      <c r="LTB73" s="176"/>
      <c r="LTC73" s="176"/>
      <c r="LTD73" s="175"/>
      <c r="LTE73" s="177"/>
      <c r="LTF73" s="175"/>
      <c r="LTG73" s="177"/>
      <c r="LTH73" s="178"/>
      <c r="LTI73" s="179"/>
      <c r="LTJ73"/>
      <c r="LTK73" s="180"/>
      <c r="LTL73"/>
      <c r="LTM73" s="172"/>
      <c r="LTN73" s="181"/>
      <c r="LTO73"/>
      <c r="LTP73" s="174"/>
      <c r="LTQ73" s="175"/>
      <c r="LTR73" s="176"/>
      <c r="LTS73" s="176"/>
      <c r="LTT73" s="175"/>
      <c r="LTU73" s="177"/>
      <c r="LTV73" s="175"/>
      <c r="LTW73" s="177"/>
      <c r="LTX73" s="178"/>
      <c r="LTY73" s="179"/>
      <c r="LTZ73"/>
      <c r="LUA73" s="180"/>
      <c r="LUB73"/>
      <c r="LUC73" s="172"/>
      <c r="LUD73" s="181"/>
      <c r="LUE73"/>
      <c r="LUF73" s="174"/>
      <c r="LUG73" s="175"/>
      <c r="LUH73" s="176"/>
      <c r="LUI73" s="176"/>
      <c r="LUJ73" s="175"/>
      <c r="LUK73" s="177"/>
      <c r="LUL73" s="175"/>
      <c r="LUM73" s="177"/>
      <c r="LUN73" s="178"/>
      <c r="LUO73" s="179"/>
      <c r="LUP73"/>
      <c r="LUQ73" s="180"/>
      <c r="LUR73"/>
      <c r="LUS73" s="172"/>
      <c r="LUT73" s="181"/>
      <c r="LUU73"/>
      <c r="LUV73" s="174"/>
      <c r="LUW73" s="175"/>
      <c r="LUX73" s="176"/>
      <c r="LUY73" s="176"/>
      <c r="LUZ73" s="175"/>
      <c r="LVA73" s="177"/>
      <c r="LVB73" s="175"/>
      <c r="LVC73" s="177"/>
      <c r="LVD73" s="178"/>
      <c r="LVE73" s="179"/>
      <c r="LVF73"/>
      <c r="LVG73" s="180"/>
      <c r="LVH73"/>
      <c r="LVI73" s="172"/>
      <c r="LVJ73" s="181"/>
      <c r="LVK73"/>
      <c r="LVL73" s="174"/>
      <c r="LVM73" s="175"/>
      <c r="LVN73" s="176"/>
      <c r="LVO73" s="176"/>
      <c r="LVP73" s="175"/>
      <c r="LVQ73" s="177"/>
      <c r="LVR73" s="175"/>
      <c r="LVS73" s="177"/>
      <c r="LVT73" s="178"/>
      <c r="LVU73" s="179"/>
      <c r="LVV73"/>
      <c r="LVW73" s="180"/>
      <c r="LVX73"/>
      <c r="LVY73" s="172"/>
      <c r="LVZ73" s="181"/>
      <c r="LWA73"/>
      <c r="LWB73" s="174"/>
      <c r="LWC73" s="175"/>
      <c r="LWD73" s="176"/>
      <c r="LWE73" s="176"/>
      <c r="LWF73" s="175"/>
      <c r="LWG73" s="177"/>
      <c r="LWH73" s="175"/>
      <c r="LWI73" s="177"/>
      <c r="LWJ73" s="178"/>
      <c r="LWK73" s="179"/>
      <c r="LWL73"/>
      <c r="LWM73" s="180"/>
      <c r="LWN73"/>
      <c r="LWO73" s="172"/>
      <c r="LWP73" s="181"/>
      <c r="LWQ73"/>
      <c r="LWR73" s="174"/>
      <c r="LWS73" s="175"/>
      <c r="LWT73" s="176"/>
      <c r="LWU73" s="176"/>
      <c r="LWV73" s="175"/>
      <c r="LWW73" s="177"/>
      <c r="LWX73" s="175"/>
      <c r="LWY73" s="177"/>
      <c r="LWZ73" s="178"/>
      <c r="LXA73" s="179"/>
      <c r="LXB73"/>
      <c r="LXC73" s="180"/>
      <c r="LXD73"/>
      <c r="LXE73" s="172"/>
      <c r="LXF73" s="181"/>
      <c r="LXG73"/>
      <c r="LXH73" s="174"/>
      <c r="LXI73" s="175"/>
      <c r="LXJ73" s="176"/>
      <c r="LXK73" s="176"/>
      <c r="LXL73" s="175"/>
      <c r="LXM73" s="177"/>
      <c r="LXN73" s="175"/>
      <c r="LXO73" s="177"/>
      <c r="LXP73" s="178"/>
      <c r="LXQ73" s="179"/>
      <c r="LXR73"/>
      <c r="LXS73" s="180"/>
      <c r="LXT73"/>
      <c r="LXU73" s="172"/>
      <c r="LXV73" s="181"/>
      <c r="LXW73"/>
      <c r="LXX73" s="174"/>
      <c r="LXY73" s="175"/>
      <c r="LXZ73" s="176"/>
      <c r="LYA73" s="176"/>
      <c r="LYB73" s="175"/>
      <c r="LYC73" s="177"/>
      <c r="LYD73" s="175"/>
      <c r="LYE73" s="177"/>
      <c r="LYF73" s="178"/>
      <c r="LYG73" s="179"/>
      <c r="LYH73"/>
      <c r="LYI73" s="180"/>
      <c r="LYJ73"/>
      <c r="LYK73" s="172"/>
      <c r="LYL73" s="181"/>
      <c r="LYM73"/>
      <c r="LYN73" s="174"/>
      <c r="LYO73" s="175"/>
      <c r="LYP73" s="176"/>
      <c r="LYQ73" s="176"/>
      <c r="LYR73" s="175"/>
      <c r="LYS73" s="177"/>
      <c r="LYT73" s="175"/>
      <c r="LYU73" s="177"/>
      <c r="LYV73" s="178"/>
      <c r="LYW73" s="179"/>
      <c r="LYX73"/>
      <c r="LYY73" s="180"/>
      <c r="LYZ73"/>
      <c r="LZA73" s="172"/>
      <c r="LZB73" s="181"/>
      <c r="LZC73"/>
      <c r="LZD73" s="174"/>
      <c r="LZE73" s="175"/>
      <c r="LZF73" s="176"/>
      <c r="LZG73" s="176"/>
      <c r="LZH73" s="175"/>
      <c r="LZI73" s="177"/>
      <c r="LZJ73" s="175"/>
      <c r="LZK73" s="177"/>
      <c r="LZL73" s="178"/>
      <c r="LZM73" s="179"/>
      <c r="LZN73"/>
      <c r="LZO73" s="180"/>
      <c r="LZP73"/>
      <c r="LZQ73" s="172"/>
      <c r="LZR73" s="181"/>
      <c r="LZS73"/>
      <c r="LZT73" s="174"/>
      <c r="LZU73" s="175"/>
      <c r="LZV73" s="176"/>
      <c r="LZW73" s="176"/>
      <c r="LZX73" s="175"/>
      <c r="LZY73" s="177"/>
      <c r="LZZ73" s="175"/>
      <c r="MAA73" s="177"/>
      <c r="MAB73" s="178"/>
      <c r="MAC73" s="179"/>
      <c r="MAD73"/>
      <c r="MAE73" s="180"/>
      <c r="MAF73"/>
      <c r="MAG73" s="172"/>
      <c r="MAH73" s="181"/>
      <c r="MAI73"/>
      <c r="MAJ73" s="174"/>
      <c r="MAK73" s="175"/>
      <c r="MAL73" s="176"/>
      <c r="MAM73" s="176"/>
      <c r="MAN73" s="175"/>
      <c r="MAO73" s="177"/>
      <c r="MAP73" s="175"/>
      <c r="MAQ73" s="177"/>
      <c r="MAR73" s="178"/>
      <c r="MAS73" s="179"/>
      <c r="MAT73"/>
      <c r="MAU73" s="180"/>
      <c r="MAV73"/>
      <c r="MAW73" s="172"/>
      <c r="MAX73" s="181"/>
      <c r="MAY73"/>
      <c r="MAZ73" s="174"/>
      <c r="MBA73" s="175"/>
      <c r="MBB73" s="176"/>
      <c r="MBC73" s="176"/>
      <c r="MBD73" s="175"/>
      <c r="MBE73" s="177"/>
      <c r="MBF73" s="175"/>
      <c r="MBG73" s="177"/>
      <c r="MBH73" s="178"/>
      <c r="MBI73" s="179"/>
      <c r="MBJ73"/>
      <c r="MBK73" s="180"/>
      <c r="MBL73"/>
      <c r="MBM73" s="172"/>
      <c r="MBN73" s="181"/>
      <c r="MBO73"/>
      <c r="MBP73" s="174"/>
      <c r="MBQ73" s="175"/>
      <c r="MBR73" s="176"/>
      <c r="MBS73" s="176"/>
      <c r="MBT73" s="175"/>
      <c r="MBU73" s="177"/>
      <c r="MBV73" s="175"/>
      <c r="MBW73" s="177"/>
      <c r="MBX73" s="178"/>
      <c r="MBY73" s="179"/>
      <c r="MBZ73"/>
      <c r="MCA73" s="180"/>
      <c r="MCB73"/>
      <c r="MCC73" s="172"/>
      <c r="MCD73" s="181"/>
      <c r="MCE73"/>
      <c r="MCF73" s="174"/>
      <c r="MCG73" s="175"/>
      <c r="MCH73" s="176"/>
      <c r="MCI73" s="176"/>
      <c r="MCJ73" s="175"/>
      <c r="MCK73" s="177"/>
      <c r="MCL73" s="175"/>
      <c r="MCM73" s="177"/>
      <c r="MCN73" s="178"/>
      <c r="MCO73" s="179"/>
      <c r="MCP73"/>
      <c r="MCQ73" s="180"/>
      <c r="MCR73"/>
      <c r="MCS73" s="172"/>
      <c r="MCT73" s="181"/>
      <c r="MCU73"/>
      <c r="MCV73" s="174"/>
      <c r="MCW73" s="175"/>
      <c r="MCX73" s="176"/>
      <c r="MCY73" s="176"/>
      <c r="MCZ73" s="175"/>
      <c r="MDA73" s="177"/>
      <c r="MDB73" s="175"/>
      <c r="MDC73" s="177"/>
      <c r="MDD73" s="178"/>
      <c r="MDE73" s="179"/>
      <c r="MDF73"/>
      <c r="MDG73" s="180"/>
      <c r="MDH73"/>
      <c r="MDI73" s="172"/>
      <c r="MDJ73" s="181"/>
      <c r="MDK73"/>
      <c r="MDL73" s="174"/>
      <c r="MDM73" s="175"/>
      <c r="MDN73" s="176"/>
      <c r="MDO73" s="176"/>
      <c r="MDP73" s="175"/>
      <c r="MDQ73" s="177"/>
      <c r="MDR73" s="175"/>
      <c r="MDS73" s="177"/>
      <c r="MDT73" s="178"/>
      <c r="MDU73" s="179"/>
      <c r="MDV73"/>
      <c r="MDW73" s="180"/>
      <c r="MDX73"/>
      <c r="MDY73" s="172"/>
      <c r="MDZ73" s="181"/>
      <c r="MEA73"/>
      <c r="MEB73" s="174"/>
      <c r="MEC73" s="175"/>
      <c r="MED73" s="176"/>
      <c r="MEE73" s="176"/>
      <c r="MEF73" s="175"/>
      <c r="MEG73" s="177"/>
      <c r="MEH73" s="175"/>
      <c r="MEI73" s="177"/>
      <c r="MEJ73" s="178"/>
      <c r="MEK73" s="179"/>
      <c r="MEL73"/>
      <c r="MEM73" s="180"/>
      <c r="MEN73"/>
      <c r="MEO73" s="172"/>
      <c r="MEP73" s="181"/>
      <c r="MEQ73"/>
      <c r="MER73" s="174"/>
      <c r="MES73" s="175"/>
      <c r="MET73" s="176"/>
      <c r="MEU73" s="176"/>
      <c r="MEV73" s="175"/>
      <c r="MEW73" s="177"/>
      <c r="MEX73" s="175"/>
      <c r="MEY73" s="177"/>
      <c r="MEZ73" s="178"/>
      <c r="MFA73" s="179"/>
      <c r="MFB73"/>
      <c r="MFC73" s="180"/>
      <c r="MFD73"/>
      <c r="MFE73" s="172"/>
      <c r="MFF73" s="181"/>
      <c r="MFG73"/>
      <c r="MFH73" s="174"/>
      <c r="MFI73" s="175"/>
      <c r="MFJ73" s="176"/>
      <c r="MFK73" s="176"/>
      <c r="MFL73" s="175"/>
      <c r="MFM73" s="177"/>
      <c r="MFN73" s="175"/>
      <c r="MFO73" s="177"/>
      <c r="MFP73" s="178"/>
      <c r="MFQ73" s="179"/>
      <c r="MFR73"/>
      <c r="MFS73" s="180"/>
      <c r="MFT73"/>
      <c r="MFU73" s="172"/>
      <c r="MFV73" s="181"/>
      <c r="MFW73"/>
      <c r="MFX73" s="174"/>
      <c r="MFY73" s="175"/>
      <c r="MFZ73" s="176"/>
      <c r="MGA73" s="176"/>
      <c r="MGB73" s="175"/>
      <c r="MGC73" s="177"/>
      <c r="MGD73" s="175"/>
      <c r="MGE73" s="177"/>
      <c r="MGF73" s="178"/>
      <c r="MGG73" s="179"/>
      <c r="MGH73"/>
      <c r="MGI73" s="180"/>
      <c r="MGJ73"/>
      <c r="MGK73" s="172"/>
      <c r="MGL73" s="181"/>
      <c r="MGM73"/>
      <c r="MGN73" s="174"/>
      <c r="MGO73" s="175"/>
      <c r="MGP73" s="176"/>
      <c r="MGQ73" s="176"/>
      <c r="MGR73" s="175"/>
      <c r="MGS73" s="177"/>
      <c r="MGT73" s="175"/>
      <c r="MGU73" s="177"/>
      <c r="MGV73" s="178"/>
      <c r="MGW73" s="179"/>
      <c r="MGX73"/>
      <c r="MGY73" s="180"/>
      <c r="MGZ73"/>
      <c r="MHA73" s="172"/>
      <c r="MHB73" s="181"/>
      <c r="MHC73"/>
      <c r="MHD73" s="174"/>
      <c r="MHE73" s="175"/>
      <c r="MHF73" s="176"/>
      <c r="MHG73" s="176"/>
      <c r="MHH73" s="175"/>
      <c r="MHI73" s="177"/>
      <c r="MHJ73" s="175"/>
      <c r="MHK73" s="177"/>
      <c r="MHL73" s="178"/>
      <c r="MHM73" s="179"/>
      <c r="MHN73"/>
      <c r="MHO73" s="180"/>
      <c r="MHP73"/>
      <c r="MHQ73" s="172"/>
      <c r="MHR73" s="181"/>
      <c r="MHS73"/>
      <c r="MHT73" s="174"/>
      <c r="MHU73" s="175"/>
      <c r="MHV73" s="176"/>
      <c r="MHW73" s="176"/>
      <c r="MHX73" s="175"/>
      <c r="MHY73" s="177"/>
      <c r="MHZ73" s="175"/>
      <c r="MIA73" s="177"/>
      <c r="MIB73" s="178"/>
      <c r="MIC73" s="179"/>
      <c r="MID73"/>
      <c r="MIE73" s="180"/>
      <c r="MIF73"/>
      <c r="MIG73" s="172"/>
      <c r="MIH73" s="181"/>
      <c r="MII73"/>
      <c r="MIJ73" s="174"/>
      <c r="MIK73" s="175"/>
      <c r="MIL73" s="176"/>
      <c r="MIM73" s="176"/>
      <c r="MIN73" s="175"/>
      <c r="MIO73" s="177"/>
      <c r="MIP73" s="175"/>
      <c r="MIQ73" s="177"/>
      <c r="MIR73" s="178"/>
      <c r="MIS73" s="179"/>
      <c r="MIT73"/>
      <c r="MIU73" s="180"/>
      <c r="MIV73"/>
      <c r="MIW73" s="172"/>
      <c r="MIX73" s="181"/>
      <c r="MIY73"/>
      <c r="MIZ73" s="174"/>
      <c r="MJA73" s="175"/>
      <c r="MJB73" s="176"/>
      <c r="MJC73" s="176"/>
      <c r="MJD73" s="175"/>
      <c r="MJE73" s="177"/>
      <c r="MJF73" s="175"/>
      <c r="MJG73" s="177"/>
      <c r="MJH73" s="178"/>
      <c r="MJI73" s="179"/>
      <c r="MJJ73"/>
      <c r="MJK73" s="180"/>
      <c r="MJL73"/>
      <c r="MJM73" s="172"/>
      <c r="MJN73" s="181"/>
      <c r="MJO73"/>
      <c r="MJP73" s="174"/>
      <c r="MJQ73" s="175"/>
      <c r="MJR73" s="176"/>
      <c r="MJS73" s="176"/>
      <c r="MJT73" s="175"/>
      <c r="MJU73" s="177"/>
      <c r="MJV73" s="175"/>
      <c r="MJW73" s="177"/>
      <c r="MJX73" s="178"/>
      <c r="MJY73" s="179"/>
      <c r="MJZ73"/>
      <c r="MKA73" s="180"/>
      <c r="MKB73"/>
      <c r="MKC73" s="172"/>
      <c r="MKD73" s="181"/>
      <c r="MKE73"/>
      <c r="MKF73" s="174"/>
      <c r="MKG73" s="175"/>
      <c r="MKH73" s="176"/>
      <c r="MKI73" s="176"/>
      <c r="MKJ73" s="175"/>
      <c r="MKK73" s="177"/>
      <c r="MKL73" s="175"/>
      <c r="MKM73" s="177"/>
      <c r="MKN73" s="178"/>
      <c r="MKO73" s="179"/>
      <c r="MKP73"/>
      <c r="MKQ73" s="180"/>
      <c r="MKR73"/>
      <c r="MKS73" s="172"/>
      <c r="MKT73" s="181"/>
      <c r="MKU73"/>
      <c r="MKV73" s="174"/>
      <c r="MKW73" s="175"/>
      <c r="MKX73" s="176"/>
      <c r="MKY73" s="176"/>
      <c r="MKZ73" s="175"/>
      <c r="MLA73" s="177"/>
      <c r="MLB73" s="175"/>
      <c r="MLC73" s="177"/>
      <c r="MLD73" s="178"/>
      <c r="MLE73" s="179"/>
      <c r="MLF73"/>
      <c r="MLG73" s="180"/>
      <c r="MLH73"/>
      <c r="MLI73" s="172"/>
      <c r="MLJ73" s="181"/>
      <c r="MLK73"/>
      <c r="MLL73" s="174"/>
      <c r="MLM73" s="175"/>
      <c r="MLN73" s="176"/>
      <c r="MLO73" s="176"/>
      <c r="MLP73" s="175"/>
      <c r="MLQ73" s="177"/>
      <c r="MLR73" s="175"/>
      <c r="MLS73" s="177"/>
      <c r="MLT73" s="178"/>
      <c r="MLU73" s="179"/>
      <c r="MLV73"/>
      <c r="MLW73" s="180"/>
      <c r="MLX73"/>
      <c r="MLY73" s="172"/>
      <c r="MLZ73" s="181"/>
      <c r="MMA73"/>
      <c r="MMB73" s="174"/>
      <c r="MMC73" s="175"/>
      <c r="MMD73" s="176"/>
      <c r="MME73" s="176"/>
      <c r="MMF73" s="175"/>
      <c r="MMG73" s="177"/>
      <c r="MMH73" s="175"/>
      <c r="MMI73" s="177"/>
      <c r="MMJ73" s="178"/>
      <c r="MMK73" s="179"/>
      <c r="MML73"/>
      <c r="MMM73" s="180"/>
      <c r="MMN73"/>
      <c r="MMO73" s="172"/>
      <c r="MMP73" s="181"/>
      <c r="MMQ73"/>
      <c r="MMR73" s="174"/>
      <c r="MMS73" s="175"/>
      <c r="MMT73" s="176"/>
      <c r="MMU73" s="176"/>
      <c r="MMV73" s="175"/>
      <c r="MMW73" s="177"/>
      <c r="MMX73" s="175"/>
      <c r="MMY73" s="177"/>
      <c r="MMZ73" s="178"/>
      <c r="MNA73" s="179"/>
      <c r="MNB73"/>
      <c r="MNC73" s="180"/>
      <c r="MND73"/>
      <c r="MNE73" s="172"/>
      <c r="MNF73" s="181"/>
      <c r="MNG73"/>
      <c r="MNH73" s="174"/>
      <c r="MNI73" s="175"/>
      <c r="MNJ73" s="176"/>
      <c r="MNK73" s="176"/>
      <c r="MNL73" s="175"/>
      <c r="MNM73" s="177"/>
      <c r="MNN73" s="175"/>
      <c r="MNO73" s="177"/>
      <c r="MNP73" s="178"/>
      <c r="MNQ73" s="179"/>
      <c r="MNR73"/>
      <c r="MNS73" s="180"/>
      <c r="MNT73"/>
      <c r="MNU73" s="172"/>
      <c r="MNV73" s="181"/>
      <c r="MNW73"/>
      <c r="MNX73" s="174"/>
      <c r="MNY73" s="175"/>
      <c r="MNZ73" s="176"/>
      <c r="MOA73" s="176"/>
      <c r="MOB73" s="175"/>
      <c r="MOC73" s="177"/>
      <c r="MOD73" s="175"/>
      <c r="MOE73" s="177"/>
      <c r="MOF73" s="178"/>
      <c r="MOG73" s="179"/>
      <c r="MOH73"/>
      <c r="MOI73" s="180"/>
      <c r="MOJ73"/>
      <c r="MOK73" s="172"/>
      <c r="MOL73" s="181"/>
      <c r="MOM73"/>
      <c r="MON73" s="174"/>
      <c r="MOO73" s="175"/>
      <c r="MOP73" s="176"/>
      <c r="MOQ73" s="176"/>
      <c r="MOR73" s="175"/>
      <c r="MOS73" s="177"/>
      <c r="MOT73" s="175"/>
      <c r="MOU73" s="177"/>
      <c r="MOV73" s="178"/>
      <c r="MOW73" s="179"/>
      <c r="MOX73"/>
      <c r="MOY73" s="180"/>
      <c r="MOZ73"/>
      <c r="MPA73" s="172"/>
      <c r="MPB73" s="181"/>
      <c r="MPC73"/>
      <c r="MPD73" s="174"/>
      <c r="MPE73" s="175"/>
      <c r="MPF73" s="176"/>
      <c r="MPG73" s="176"/>
      <c r="MPH73" s="175"/>
      <c r="MPI73" s="177"/>
      <c r="MPJ73" s="175"/>
      <c r="MPK73" s="177"/>
      <c r="MPL73" s="178"/>
      <c r="MPM73" s="179"/>
      <c r="MPN73"/>
      <c r="MPO73" s="180"/>
      <c r="MPP73"/>
      <c r="MPQ73" s="172"/>
      <c r="MPR73" s="181"/>
      <c r="MPS73"/>
      <c r="MPT73" s="174"/>
      <c r="MPU73" s="175"/>
      <c r="MPV73" s="176"/>
      <c r="MPW73" s="176"/>
      <c r="MPX73" s="175"/>
      <c r="MPY73" s="177"/>
      <c r="MPZ73" s="175"/>
      <c r="MQA73" s="177"/>
      <c r="MQB73" s="178"/>
      <c r="MQC73" s="179"/>
      <c r="MQD73"/>
      <c r="MQE73" s="180"/>
      <c r="MQF73"/>
      <c r="MQG73" s="172"/>
      <c r="MQH73" s="181"/>
      <c r="MQI73"/>
      <c r="MQJ73" s="174"/>
      <c r="MQK73" s="175"/>
      <c r="MQL73" s="176"/>
      <c r="MQM73" s="176"/>
      <c r="MQN73" s="175"/>
      <c r="MQO73" s="177"/>
      <c r="MQP73" s="175"/>
      <c r="MQQ73" s="177"/>
      <c r="MQR73" s="178"/>
      <c r="MQS73" s="179"/>
      <c r="MQT73"/>
      <c r="MQU73" s="180"/>
      <c r="MQV73"/>
      <c r="MQW73" s="172"/>
      <c r="MQX73" s="181"/>
      <c r="MQY73"/>
      <c r="MQZ73" s="174"/>
      <c r="MRA73" s="175"/>
      <c r="MRB73" s="176"/>
      <c r="MRC73" s="176"/>
      <c r="MRD73" s="175"/>
      <c r="MRE73" s="177"/>
      <c r="MRF73" s="175"/>
      <c r="MRG73" s="177"/>
      <c r="MRH73" s="178"/>
      <c r="MRI73" s="179"/>
      <c r="MRJ73"/>
      <c r="MRK73" s="180"/>
      <c r="MRL73"/>
      <c r="MRM73" s="172"/>
      <c r="MRN73" s="181"/>
      <c r="MRO73"/>
      <c r="MRP73" s="174"/>
      <c r="MRQ73" s="175"/>
      <c r="MRR73" s="176"/>
      <c r="MRS73" s="176"/>
      <c r="MRT73" s="175"/>
      <c r="MRU73" s="177"/>
      <c r="MRV73" s="175"/>
      <c r="MRW73" s="177"/>
      <c r="MRX73" s="178"/>
      <c r="MRY73" s="179"/>
      <c r="MRZ73"/>
      <c r="MSA73" s="180"/>
      <c r="MSB73"/>
      <c r="MSC73" s="172"/>
      <c r="MSD73" s="181"/>
      <c r="MSE73"/>
      <c r="MSF73" s="174"/>
      <c r="MSG73" s="175"/>
      <c r="MSH73" s="176"/>
      <c r="MSI73" s="176"/>
      <c r="MSJ73" s="175"/>
      <c r="MSK73" s="177"/>
      <c r="MSL73" s="175"/>
      <c r="MSM73" s="177"/>
      <c r="MSN73" s="178"/>
      <c r="MSO73" s="179"/>
      <c r="MSP73"/>
      <c r="MSQ73" s="180"/>
      <c r="MSR73"/>
      <c r="MSS73" s="172"/>
      <c r="MST73" s="181"/>
      <c r="MSU73"/>
      <c r="MSV73" s="174"/>
      <c r="MSW73" s="175"/>
      <c r="MSX73" s="176"/>
      <c r="MSY73" s="176"/>
      <c r="MSZ73" s="175"/>
      <c r="MTA73" s="177"/>
      <c r="MTB73" s="175"/>
      <c r="MTC73" s="177"/>
      <c r="MTD73" s="178"/>
      <c r="MTE73" s="179"/>
      <c r="MTF73"/>
      <c r="MTG73" s="180"/>
      <c r="MTH73"/>
      <c r="MTI73" s="172"/>
      <c r="MTJ73" s="181"/>
      <c r="MTK73"/>
      <c r="MTL73" s="174"/>
      <c r="MTM73" s="175"/>
      <c r="MTN73" s="176"/>
      <c r="MTO73" s="176"/>
      <c r="MTP73" s="175"/>
      <c r="MTQ73" s="177"/>
      <c r="MTR73" s="175"/>
      <c r="MTS73" s="177"/>
      <c r="MTT73" s="178"/>
      <c r="MTU73" s="179"/>
      <c r="MTV73"/>
      <c r="MTW73" s="180"/>
      <c r="MTX73"/>
      <c r="MTY73" s="172"/>
      <c r="MTZ73" s="181"/>
      <c r="MUA73"/>
      <c r="MUB73" s="174"/>
      <c r="MUC73" s="175"/>
      <c r="MUD73" s="176"/>
      <c r="MUE73" s="176"/>
      <c r="MUF73" s="175"/>
      <c r="MUG73" s="177"/>
      <c r="MUH73" s="175"/>
      <c r="MUI73" s="177"/>
      <c r="MUJ73" s="178"/>
      <c r="MUK73" s="179"/>
      <c r="MUL73"/>
      <c r="MUM73" s="180"/>
      <c r="MUN73"/>
      <c r="MUO73" s="172"/>
      <c r="MUP73" s="181"/>
      <c r="MUQ73"/>
      <c r="MUR73" s="174"/>
      <c r="MUS73" s="175"/>
      <c r="MUT73" s="176"/>
      <c r="MUU73" s="176"/>
      <c r="MUV73" s="175"/>
      <c r="MUW73" s="177"/>
      <c r="MUX73" s="175"/>
      <c r="MUY73" s="177"/>
      <c r="MUZ73" s="178"/>
      <c r="MVA73" s="179"/>
      <c r="MVB73"/>
      <c r="MVC73" s="180"/>
      <c r="MVD73"/>
      <c r="MVE73" s="172"/>
      <c r="MVF73" s="181"/>
      <c r="MVG73"/>
      <c r="MVH73" s="174"/>
      <c r="MVI73" s="175"/>
      <c r="MVJ73" s="176"/>
      <c r="MVK73" s="176"/>
      <c r="MVL73" s="175"/>
      <c r="MVM73" s="177"/>
      <c r="MVN73" s="175"/>
      <c r="MVO73" s="177"/>
      <c r="MVP73" s="178"/>
      <c r="MVQ73" s="179"/>
      <c r="MVR73"/>
      <c r="MVS73" s="180"/>
      <c r="MVT73"/>
      <c r="MVU73" s="172"/>
      <c r="MVV73" s="181"/>
      <c r="MVW73"/>
      <c r="MVX73" s="174"/>
      <c r="MVY73" s="175"/>
      <c r="MVZ73" s="176"/>
      <c r="MWA73" s="176"/>
      <c r="MWB73" s="175"/>
      <c r="MWC73" s="177"/>
      <c r="MWD73" s="175"/>
      <c r="MWE73" s="177"/>
      <c r="MWF73" s="178"/>
      <c r="MWG73" s="179"/>
      <c r="MWH73"/>
      <c r="MWI73" s="180"/>
      <c r="MWJ73"/>
      <c r="MWK73" s="172"/>
      <c r="MWL73" s="181"/>
      <c r="MWM73"/>
      <c r="MWN73" s="174"/>
      <c r="MWO73" s="175"/>
      <c r="MWP73" s="176"/>
      <c r="MWQ73" s="176"/>
      <c r="MWR73" s="175"/>
      <c r="MWS73" s="177"/>
      <c r="MWT73" s="175"/>
      <c r="MWU73" s="177"/>
      <c r="MWV73" s="178"/>
      <c r="MWW73" s="179"/>
      <c r="MWX73"/>
      <c r="MWY73" s="180"/>
      <c r="MWZ73"/>
      <c r="MXA73" s="172"/>
      <c r="MXB73" s="181"/>
      <c r="MXC73"/>
      <c r="MXD73" s="174"/>
      <c r="MXE73" s="175"/>
      <c r="MXF73" s="176"/>
      <c r="MXG73" s="176"/>
      <c r="MXH73" s="175"/>
      <c r="MXI73" s="177"/>
      <c r="MXJ73" s="175"/>
      <c r="MXK73" s="177"/>
      <c r="MXL73" s="178"/>
      <c r="MXM73" s="179"/>
      <c r="MXN73"/>
      <c r="MXO73" s="180"/>
      <c r="MXP73"/>
      <c r="MXQ73" s="172"/>
      <c r="MXR73" s="181"/>
      <c r="MXS73"/>
      <c r="MXT73" s="174"/>
      <c r="MXU73" s="175"/>
      <c r="MXV73" s="176"/>
      <c r="MXW73" s="176"/>
      <c r="MXX73" s="175"/>
      <c r="MXY73" s="177"/>
      <c r="MXZ73" s="175"/>
      <c r="MYA73" s="177"/>
      <c r="MYB73" s="178"/>
      <c r="MYC73" s="179"/>
      <c r="MYD73"/>
      <c r="MYE73" s="180"/>
      <c r="MYF73"/>
      <c r="MYG73" s="172"/>
      <c r="MYH73" s="181"/>
      <c r="MYI73"/>
      <c r="MYJ73" s="174"/>
      <c r="MYK73" s="175"/>
      <c r="MYL73" s="176"/>
      <c r="MYM73" s="176"/>
      <c r="MYN73" s="175"/>
      <c r="MYO73" s="177"/>
      <c r="MYP73" s="175"/>
      <c r="MYQ73" s="177"/>
      <c r="MYR73" s="178"/>
      <c r="MYS73" s="179"/>
      <c r="MYT73"/>
      <c r="MYU73" s="180"/>
      <c r="MYV73"/>
      <c r="MYW73" s="172"/>
      <c r="MYX73" s="181"/>
      <c r="MYY73"/>
      <c r="MYZ73" s="174"/>
      <c r="MZA73" s="175"/>
      <c r="MZB73" s="176"/>
      <c r="MZC73" s="176"/>
      <c r="MZD73" s="175"/>
      <c r="MZE73" s="177"/>
      <c r="MZF73" s="175"/>
      <c r="MZG73" s="177"/>
      <c r="MZH73" s="178"/>
      <c r="MZI73" s="179"/>
      <c r="MZJ73"/>
      <c r="MZK73" s="180"/>
      <c r="MZL73"/>
      <c r="MZM73" s="172"/>
      <c r="MZN73" s="181"/>
      <c r="MZO73"/>
      <c r="MZP73" s="174"/>
      <c r="MZQ73" s="175"/>
      <c r="MZR73" s="176"/>
      <c r="MZS73" s="176"/>
      <c r="MZT73" s="175"/>
      <c r="MZU73" s="177"/>
      <c r="MZV73" s="175"/>
      <c r="MZW73" s="177"/>
      <c r="MZX73" s="178"/>
      <c r="MZY73" s="179"/>
      <c r="MZZ73"/>
      <c r="NAA73" s="180"/>
      <c r="NAB73"/>
      <c r="NAC73" s="172"/>
      <c r="NAD73" s="181"/>
      <c r="NAE73"/>
      <c r="NAF73" s="174"/>
      <c r="NAG73" s="175"/>
      <c r="NAH73" s="176"/>
      <c r="NAI73" s="176"/>
      <c r="NAJ73" s="175"/>
      <c r="NAK73" s="177"/>
      <c r="NAL73" s="175"/>
      <c r="NAM73" s="177"/>
      <c r="NAN73" s="178"/>
      <c r="NAO73" s="179"/>
      <c r="NAP73"/>
      <c r="NAQ73" s="180"/>
      <c r="NAR73"/>
      <c r="NAS73" s="172"/>
      <c r="NAT73" s="181"/>
      <c r="NAU73"/>
      <c r="NAV73" s="174"/>
      <c r="NAW73" s="175"/>
      <c r="NAX73" s="176"/>
      <c r="NAY73" s="176"/>
      <c r="NAZ73" s="175"/>
      <c r="NBA73" s="177"/>
      <c r="NBB73" s="175"/>
      <c r="NBC73" s="177"/>
      <c r="NBD73" s="178"/>
      <c r="NBE73" s="179"/>
      <c r="NBF73"/>
      <c r="NBG73" s="180"/>
      <c r="NBH73"/>
      <c r="NBI73" s="172"/>
      <c r="NBJ73" s="181"/>
      <c r="NBK73"/>
      <c r="NBL73" s="174"/>
      <c r="NBM73" s="175"/>
      <c r="NBN73" s="176"/>
      <c r="NBO73" s="176"/>
      <c r="NBP73" s="175"/>
      <c r="NBQ73" s="177"/>
      <c r="NBR73" s="175"/>
      <c r="NBS73" s="177"/>
      <c r="NBT73" s="178"/>
      <c r="NBU73" s="179"/>
      <c r="NBV73"/>
      <c r="NBW73" s="180"/>
      <c r="NBX73"/>
      <c r="NBY73" s="172"/>
      <c r="NBZ73" s="181"/>
      <c r="NCA73"/>
      <c r="NCB73" s="174"/>
      <c r="NCC73" s="175"/>
      <c r="NCD73" s="176"/>
      <c r="NCE73" s="176"/>
      <c r="NCF73" s="175"/>
      <c r="NCG73" s="177"/>
      <c r="NCH73" s="175"/>
      <c r="NCI73" s="177"/>
      <c r="NCJ73" s="178"/>
      <c r="NCK73" s="179"/>
      <c r="NCL73"/>
      <c r="NCM73" s="180"/>
      <c r="NCN73"/>
      <c r="NCO73" s="172"/>
      <c r="NCP73" s="181"/>
      <c r="NCQ73"/>
      <c r="NCR73" s="174"/>
      <c r="NCS73" s="175"/>
      <c r="NCT73" s="176"/>
      <c r="NCU73" s="176"/>
      <c r="NCV73" s="175"/>
      <c r="NCW73" s="177"/>
      <c r="NCX73" s="175"/>
      <c r="NCY73" s="177"/>
      <c r="NCZ73" s="178"/>
      <c r="NDA73" s="179"/>
      <c r="NDB73"/>
      <c r="NDC73" s="180"/>
      <c r="NDD73"/>
      <c r="NDE73" s="172"/>
      <c r="NDF73" s="181"/>
      <c r="NDG73"/>
      <c r="NDH73" s="174"/>
      <c r="NDI73" s="175"/>
      <c r="NDJ73" s="176"/>
      <c r="NDK73" s="176"/>
      <c r="NDL73" s="175"/>
      <c r="NDM73" s="177"/>
      <c r="NDN73" s="175"/>
      <c r="NDO73" s="177"/>
      <c r="NDP73" s="178"/>
      <c r="NDQ73" s="179"/>
      <c r="NDR73"/>
      <c r="NDS73" s="180"/>
      <c r="NDT73"/>
      <c r="NDU73" s="172"/>
      <c r="NDV73" s="181"/>
      <c r="NDW73"/>
      <c r="NDX73" s="174"/>
      <c r="NDY73" s="175"/>
      <c r="NDZ73" s="176"/>
      <c r="NEA73" s="176"/>
      <c r="NEB73" s="175"/>
      <c r="NEC73" s="177"/>
      <c r="NED73" s="175"/>
      <c r="NEE73" s="177"/>
      <c r="NEF73" s="178"/>
      <c r="NEG73" s="179"/>
      <c r="NEH73"/>
      <c r="NEI73" s="180"/>
      <c r="NEJ73"/>
      <c r="NEK73" s="172"/>
      <c r="NEL73" s="181"/>
      <c r="NEM73"/>
      <c r="NEN73" s="174"/>
      <c r="NEO73" s="175"/>
      <c r="NEP73" s="176"/>
      <c r="NEQ73" s="176"/>
      <c r="NER73" s="175"/>
      <c r="NES73" s="177"/>
      <c r="NET73" s="175"/>
      <c r="NEU73" s="177"/>
      <c r="NEV73" s="178"/>
      <c r="NEW73" s="179"/>
      <c r="NEX73"/>
      <c r="NEY73" s="180"/>
      <c r="NEZ73"/>
      <c r="NFA73" s="172"/>
      <c r="NFB73" s="181"/>
      <c r="NFC73"/>
      <c r="NFD73" s="174"/>
      <c r="NFE73" s="175"/>
      <c r="NFF73" s="176"/>
      <c r="NFG73" s="176"/>
      <c r="NFH73" s="175"/>
      <c r="NFI73" s="177"/>
      <c r="NFJ73" s="175"/>
      <c r="NFK73" s="177"/>
      <c r="NFL73" s="178"/>
      <c r="NFM73" s="179"/>
      <c r="NFN73"/>
      <c r="NFO73" s="180"/>
      <c r="NFP73"/>
      <c r="NFQ73" s="172"/>
      <c r="NFR73" s="181"/>
      <c r="NFS73"/>
      <c r="NFT73" s="174"/>
      <c r="NFU73" s="175"/>
      <c r="NFV73" s="176"/>
      <c r="NFW73" s="176"/>
      <c r="NFX73" s="175"/>
      <c r="NFY73" s="177"/>
      <c r="NFZ73" s="175"/>
      <c r="NGA73" s="177"/>
      <c r="NGB73" s="178"/>
      <c r="NGC73" s="179"/>
      <c r="NGD73"/>
      <c r="NGE73" s="180"/>
      <c r="NGF73"/>
      <c r="NGG73" s="172"/>
      <c r="NGH73" s="181"/>
      <c r="NGI73"/>
      <c r="NGJ73" s="174"/>
      <c r="NGK73" s="175"/>
      <c r="NGL73" s="176"/>
      <c r="NGM73" s="176"/>
      <c r="NGN73" s="175"/>
      <c r="NGO73" s="177"/>
      <c r="NGP73" s="175"/>
      <c r="NGQ73" s="177"/>
      <c r="NGR73" s="178"/>
      <c r="NGS73" s="179"/>
      <c r="NGT73"/>
      <c r="NGU73" s="180"/>
      <c r="NGV73"/>
      <c r="NGW73" s="172"/>
      <c r="NGX73" s="181"/>
      <c r="NGY73"/>
      <c r="NGZ73" s="174"/>
      <c r="NHA73" s="175"/>
      <c r="NHB73" s="176"/>
      <c r="NHC73" s="176"/>
      <c r="NHD73" s="175"/>
      <c r="NHE73" s="177"/>
      <c r="NHF73" s="175"/>
      <c r="NHG73" s="177"/>
      <c r="NHH73" s="178"/>
      <c r="NHI73" s="179"/>
      <c r="NHJ73"/>
      <c r="NHK73" s="180"/>
      <c r="NHL73"/>
      <c r="NHM73" s="172"/>
      <c r="NHN73" s="181"/>
      <c r="NHO73"/>
      <c r="NHP73" s="174"/>
      <c r="NHQ73" s="175"/>
      <c r="NHR73" s="176"/>
      <c r="NHS73" s="176"/>
      <c r="NHT73" s="175"/>
      <c r="NHU73" s="177"/>
      <c r="NHV73" s="175"/>
      <c r="NHW73" s="177"/>
      <c r="NHX73" s="178"/>
      <c r="NHY73" s="179"/>
      <c r="NHZ73"/>
      <c r="NIA73" s="180"/>
      <c r="NIB73"/>
      <c r="NIC73" s="172"/>
      <c r="NID73" s="181"/>
      <c r="NIE73"/>
      <c r="NIF73" s="174"/>
      <c r="NIG73" s="175"/>
      <c r="NIH73" s="176"/>
      <c r="NII73" s="176"/>
      <c r="NIJ73" s="175"/>
      <c r="NIK73" s="177"/>
      <c r="NIL73" s="175"/>
      <c r="NIM73" s="177"/>
      <c r="NIN73" s="178"/>
      <c r="NIO73" s="179"/>
      <c r="NIP73"/>
      <c r="NIQ73" s="180"/>
      <c r="NIR73"/>
      <c r="NIS73" s="172"/>
      <c r="NIT73" s="181"/>
      <c r="NIU73"/>
      <c r="NIV73" s="174"/>
      <c r="NIW73" s="175"/>
      <c r="NIX73" s="176"/>
      <c r="NIY73" s="176"/>
      <c r="NIZ73" s="175"/>
      <c r="NJA73" s="177"/>
      <c r="NJB73" s="175"/>
      <c r="NJC73" s="177"/>
      <c r="NJD73" s="178"/>
      <c r="NJE73" s="179"/>
      <c r="NJF73"/>
      <c r="NJG73" s="180"/>
      <c r="NJH73"/>
      <c r="NJI73" s="172"/>
      <c r="NJJ73" s="181"/>
      <c r="NJK73"/>
      <c r="NJL73" s="174"/>
      <c r="NJM73" s="175"/>
      <c r="NJN73" s="176"/>
      <c r="NJO73" s="176"/>
      <c r="NJP73" s="175"/>
      <c r="NJQ73" s="177"/>
      <c r="NJR73" s="175"/>
      <c r="NJS73" s="177"/>
      <c r="NJT73" s="178"/>
      <c r="NJU73" s="179"/>
      <c r="NJV73"/>
      <c r="NJW73" s="180"/>
      <c r="NJX73"/>
      <c r="NJY73" s="172"/>
      <c r="NJZ73" s="181"/>
      <c r="NKA73"/>
      <c r="NKB73" s="174"/>
      <c r="NKC73" s="175"/>
      <c r="NKD73" s="176"/>
      <c r="NKE73" s="176"/>
      <c r="NKF73" s="175"/>
      <c r="NKG73" s="177"/>
      <c r="NKH73" s="175"/>
      <c r="NKI73" s="177"/>
      <c r="NKJ73" s="178"/>
      <c r="NKK73" s="179"/>
      <c r="NKL73"/>
      <c r="NKM73" s="180"/>
      <c r="NKN73"/>
      <c r="NKO73" s="172"/>
      <c r="NKP73" s="181"/>
      <c r="NKQ73"/>
      <c r="NKR73" s="174"/>
      <c r="NKS73" s="175"/>
      <c r="NKT73" s="176"/>
      <c r="NKU73" s="176"/>
      <c r="NKV73" s="175"/>
      <c r="NKW73" s="177"/>
      <c r="NKX73" s="175"/>
      <c r="NKY73" s="177"/>
      <c r="NKZ73" s="178"/>
      <c r="NLA73" s="179"/>
      <c r="NLB73"/>
      <c r="NLC73" s="180"/>
      <c r="NLD73"/>
      <c r="NLE73" s="172"/>
      <c r="NLF73" s="181"/>
      <c r="NLG73"/>
      <c r="NLH73" s="174"/>
      <c r="NLI73" s="175"/>
      <c r="NLJ73" s="176"/>
      <c r="NLK73" s="176"/>
      <c r="NLL73" s="175"/>
      <c r="NLM73" s="177"/>
      <c r="NLN73" s="175"/>
      <c r="NLO73" s="177"/>
      <c r="NLP73" s="178"/>
      <c r="NLQ73" s="179"/>
      <c r="NLR73"/>
      <c r="NLS73" s="180"/>
      <c r="NLT73"/>
      <c r="NLU73" s="172"/>
      <c r="NLV73" s="181"/>
      <c r="NLW73"/>
      <c r="NLX73" s="174"/>
      <c r="NLY73" s="175"/>
      <c r="NLZ73" s="176"/>
      <c r="NMA73" s="176"/>
      <c r="NMB73" s="175"/>
      <c r="NMC73" s="177"/>
      <c r="NMD73" s="175"/>
      <c r="NME73" s="177"/>
      <c r="NMF73" s="178"/>
      <c r="NMG73" s="179"/>
      <c r="NMH73"/>
      <c r="NMI73" s="180"/>
      <c r="NMJ73"/>
      <c r="NMK73" s="172"/>
      <c r="NML73" s="181"/>
      <c r="NMM73"/>
      <c r="NMN73" s="174"/>
      <c r="NMO73" s="175"/>
      <c r="NMP73" s="176"/>
      <c r="NMQ73" s="176"/>
      <c r="NMR73" s="175"/>
      <c r="NMS73" s="177"/>
      <c r="NMT73" s="175"/>
      <c r="NMU73" s="177"/>
      <c r="NMV73" s="178"/>
      <c r="NMW73" s="179"/>
      <c r="NMX73"/>
      <c r="NMY73" s="180"/>
      <c r="NMZ73"/>
      <c r="NNA73" s="172"/>
      <c r="NNB73" s="181"/>
      <c r="NNC73"/>
      <c r="NND73" s="174"/>
      <c r="NNE73" s="175"/>
      <c r="NNF73" s="176"/>
      <c r="NNG73" s="176"/>
      <c r="NNH73" s="175"/>
      <c r="NNI73" s="177"/>
      <c r="NNJ73" s="175"/>
      <c r="NNK73" s="177"/>
      <c r="NNL73" s="178"/>
      <c r="NNM73" s="179"/>
      <c r="NNN73"/>
      <c r="NNO73" s="180"/>
      <c r="NNP73"/>
      <c r="NNQ73" s="172"/>
      <c r="NNR73" s="181"/>
      <c r="NNS73"/>
      <c r="NNT73" s="174"/>
      <c r="NNU73" s="175"/>
      <c r="NNV73" s="176"/>
      <c r="NNW73" s="176"/>
      <c r="NNX73" s="175"/>
      <c r="NNY73" s="177"/>
      <c r="NNZ73" s="175"/>
      <c r="NOA73" s="177"/>
      <c r="NOB73" s="178"/>
      <c r="NOC73" s="179"/>
      <c r="NOD73"/>
      <c r="NOE73" s="180"/>
      <c r="NOF73"/>
      <c r="NOG73" s="172"/>
      <c r="NOH73" s="181"/>
      <c r="NOI73"/>
      <c r="NOJ73" s="174"/>
      <c r="NOK73" s="175"/>
      <c r="NOL73" s="176"/>
      <c r="NOM73" s="176"/>
      <c r="NON73" s="175"/>
      <c r="NOO73" s="177"/>
      <c r="NOP73" s="175"/>
      <c r="NOQ73" s="177"/>
      <c r="NOR73" s="178"/>
      <c r="NOS73" s="179"/>
      <c r="NOT73"/>
      <c r="NOU73" s="180"/>
      <c r="NOV73"/>
      <c r="NOW73" s="172"/>
      <c r="NOX73" s="181"/>
      <c r="NOY73"/>
      <c r="NOZ73" s="174"/>
      <c r="NPA73" s="175"/>
      <c r="NPB73" s="176"/>
      <c r="NPC73" s="176"/>
      <c r="NPD73" s="175"/>
      <c r="NPE73" s="177"/>
      <c r="NPF73" s="175"/>
      <c r="NPG73" s="177"/>
      <c r="NPH73" s="178"/>
      <c r="NPI73" s="179"/>
      <c r="NPJ73"/>
      <c r="NPK73" s="180"/>
      <c r="NPL73"/>
      <c r="NPM73" s="172"/>
      <c r="NPN73" s="181"/>
      <c r="NPO73"/>
      <c r="NPP73" s="174"/>
      <c r="NPQ73" s="175"/>
      <c r="NPR73" s="176"/>
      <c r="NPS73" s="176"/>
      <c r="NPT73" s="175"/>
      <c r="NPU73" s="177"/>
      <c r="NPV73" s="175"/>
      <c r="NPW73" s="177"/>
      <c r="NPX73" s="178"/>
      <c r="NPY73" s="179"/>
      <c r="NPZ73"/>
      <c r="NQA73" s="180"/>
      <c r="NQB73"/>
      <c r="NQC73" s="172"/>
      <c r="NQD73" s="181"/>
      <c r="NQE73"/>
      <c r="NQF73" s="174"/>
      <c r="NQG73" s="175"/>
      <c r="NQH73" s="176"/>
      <c r="NQI73" s="176"/>
      <c r="NQJ73" s="175"/>
      <c r="NQK73" s="177"/>
      <c r="NQL73" s="175"/>
      <c r="NQM73" s="177"/>
      <c r="NQN73" s="178"/>
      <c r="NQO73" s="179"/>
      <c r="NQP73"/>
      <c r="NQQ73" s="180"/>
      <c r="NQR73"/>
      <c r="NQS73" s="172"/>
      <c r="NQT73" s="181"/>
      <c r="NQU73"/>
      <c r="NQV73" s="174"/>
      <c r="NQW73" s="175"/>
      <c r="NQX73" s="176"/>
      <c r="NQY73" s="176"/>
      <c r="NQZ73" s="175"/>
      <c r="NRA73" s="177"/>
      <c r="NRB73" s="175"/>
      <c r="NRC73" s="177"/>
      <c r="NRD73" s="178"/>
      <c r="NRE73" s="179"/>
      <c r="NRF73"/>
      <c r="NRG73" s="180"/>
      <c r="NRH73"/>
      <c r="NRI73" s="172"/>
      <c r="NRJ73" s="181"/>
      <c r="NRK73"/>
      <c r="NRL73" s="174"/>
      <c r="NRM73" s="175"/>
      <c r="NRN73" s="176"/>
      <c r="NRO73" s="176"/>
      <c r="NRP73" s="175"/>
      <c r="NRQ73" s="177"/>
      <c r="NRR73" s="175"/>
      <c r="NRS73" s="177"/>
      <c r="NRT73" s="178"/>
      <c r="NRU73" s="179"/>
      <c r="NRV73"/>
      <c r="NRW73" s="180"/>
      <c r="NRX73"/>
      <c r="NRY73" s="172"/>
      <c r="NRZ73" s="181"/>
      <c r="NSA73"/>
      <c r="NSB73" s="174"/>
      <c r="NSC73" s="175"/>
      <c r="NSD73" s="176"/>
      <c r="NSE73" s="176"/>
      <c r="NSF73" s="175"/>
      <c r="NSG73" s="177"/>
      <c r="NSH73" s="175"/>
      <c r="NSI73" s="177"/>
      <c r="NSJ73" s="178"/>
      <c r="NSK73" s="179"/>
      <c r="NSL73"/>
      <c r="NSM73" s="180"/>
      <c r="NSN73"/>
      <c r="NSO73" s="172"/>
      <c r="NSP73" s="181"/>
      <c r="NSQ73"/>
      <c r="NSR73" s="174"/>
      <c r="NSS73" s="175"/>
      <c r="NST73" s="176"/>
      <c r="NSU73" s="176"/>
      <c r="NSV73" s="175"/>
      <c r="NSW73" s="177"/>
      <c r="NSX73" s="175"/>
      <c r="NSY73" s="177"/>
      <c r="NSZ73" s="178"/>
      <c r="NTA73" s="179"/>
      <c r="NTB73"/>
      <c r="NTC73" s="180"/>
      <c r="NTD73"/>
      <c r="NTE73" s="172"/>
      <c r="NTF73" s="181"/>
      <c r="NTG73"/>
      <c r="NTH73" s="174"/>
      <c r="NTI73" s="175"/>
      <c r="NTJ73" s="176"/>
      <c r="NTK73" s="176"/>
      <c r="NTL73" s="175"/>
      <c r="NTM73" s="177"/>
      <c r="NTN73" s="175"/>
      <c r="NTO73" s="177"/>
      <c r="NTP73" s="178"/>
      <c r="NTQ73" s="179"/>
      <c r="NTR73"/>
      <c r="NTS73" s="180"/>
      <c r="NTT73"/>
      <c r="NTU73" s="172"/>
      <c r="NTV73" s="181"/>
      <c r="NTW73"/>
      <c r="NTX73" s="174"/>
      <c r="NTY73" s="175"/>
      <c r="NTZ73" s="176"/>
      <c r="NUA73" s="176"/>
      <c r="NUB73" s="175"/>
      <c r="NUC73" s="177"/>
      <c r="NUD73" s="175"/>
      <c r="NUE73" s="177"/>
      <c r="NUF73" s="178"/>
      <c r="NUG73" s="179"/>
      <c r="NUH73"/>
      <c r="NUI73" s="180"/>
      <c r="NUJ73"/>
      <c r="NUK73" s="172"/>
      <c r="NUL73" s="181"/>
      <c r="NUM73"/>
      <c r="NUN73" s="174"/>
      <c r="NUO73" s="175"/>
      <c r="NUP73" s="176"/>
      <c r="NUQ73" s="176"/>
      <c r="NUR73" s="175"/>
      <c r="NUS73" s="177"/>
      <c r="NUT73" s="175"/>
      <c r="NUU73" s="177"/>
      <c r="NUV73" s="178"/>
      <c r="NUW73" s="179"/>
      <c r="NUX73"/>
      <c r="NUY73" s="180"/>
      <c r="NUZ73"/>
      <c r="NVA73" s="172"/>
      <c r="NVB73" s="181"/>
      <c r="NVC73"/>
      <c r="NVD73" s="174"/>
      <c r="NVE73" s="175"/>
      <c r="NVF73" s="176"/>
      <c r="NVG73" s="176"/>
      <c r="NVH73" s="175"/>
      <c r="NVI73" s="177"/>
      <c r="NVJ73" s="175"/>
      <c r="NVK73" s="177"/>
      <c r="NVL73" s="178"/>
      <c r="NVM73" s="179"/>
      <c r="NVN73"/>
      <c r="NVO73" s="180"/>
      <c r="NVP73"/>
      <c r="NVQ73" s="172"/>
      <c r="NVR73" s="181"/>
      <c r="NVS73"/>
      <c r="NVT73" s="174"/>
      <c r="NVU73" s="175"/>
      <c r="NVV73" s="176"/>
      <c r="NVW73" s="176"/>
      <c r="NVX73" s="175"/>
      <c r="NVY73" s="177"/>
      <c r="NVZ73" s="175"/>
      <c r="NWA73" s="177"/>
      <c r="NWB73" s="178"/>
      <c r="NWC73" s="179"/>
      <c r="NWD73"/>
      <c r="NWE73" s="180"/>
      <c r="NWF73"/>
      <c r="NWG73" s="172"/>
      <c r="NWH73" s="181"/>
      <c r="NWI73"/>
      <c r="NWJ73" s="174"/>
      <c r="NWK73" s="175"/>
      <c r="NWL73" s="176"/>
      <c r="NWM73" s="176"/>
      <c r="NWN73" s="175"/>
      <c r="NWO73" s="177"/>
      <c r="NWP73" s="175"/>
      <c r="NWQ73" s="177"/>
      <c r="NWR73" s="178"/>
      <c r="NWS73" s="179"/>
      <c r="NWT73"/>
      <c r="NWU73" s="180"/>
      <c r="NWV73"/>
      <c r="NWW73" s="172"/>
      <c r="NWX73" s="181"/>
      <c r="NWY73"/>
      <c r="NWZ73" s="174"/>
      <c r="NXA73" s="175"/>
      <c r="NXB73" s="176"/>
      <c r="NXC73" s="176"/>
      <c r="NXD73" s="175"/>
      <c r="NXE73" s="177"/>
      <c r="NXF73" s="175"/>
      <c r="NXG73" s="177"/>
      <c r="NXH73" s="178"/>
      <c r="NXI73" s="179"/>
      <c r="NXJ73"/>
      <c r="NXK73" s="180"/>
      <c r="NXL73"/>
      <c r="NXM73" s="172"/>
      <c r="NXN73" s="181"/>
      <c r="NXO73"/>
      <c r="NXP73" s="174"/>
      <c r="NXQ73" s="175"/>
      <c r="NXR73" s="176"/>
      <c r="NXS73" s="176"/>
      <c r="NXT73" s="175"/>
      <c r="NXU73" s="177"/>
      <c r="NXV73" s="175"/>
      <c r="NXW73" s="177"/>
      <c r="NXX73" s="178"/>
      <c r="NXY73" s="179"/>
      <c r="NXZ73"/>
      <c r="NYA73" s="180"/>
      <c r="NYB73"/>
      <c r="NYC73" s="172"/>
      <c r="NYD73" s="181"/>
      <c r="NYE73"/>
      <c r="NYF73" s="174"/>
      <c r="NYG73" s="175"/>
      <c r="NYH73" s="176"/>
      <c r="NYI73" s="176"/>
      <c r="NYJ73" s="175"/>
      <c r="NYK73" s="177"/>
      <c r="NYL73" s="175"/>
      <c r="NYM73" s="177"/>
      <c r="NYN73" s="178"/>
      <c r="NYO73" s="179"/>
      <c r="NYP73"/>
      <c r="NYQ73" s="180"/>
      <c r="NYR73"/>
      <c r="NYS73" s="172"/>
      <c r="NYT73" s="181"/>
      <c r="NYU73"/>
      <c r="NYV73" s="174"/>
      <c r="NYW73" s="175"/>
      <c r="NYX73" s="176"/>
      <c r="NYY73" s="176"/>
      <c r="NYZ73" s="175"/>
      <c r="NZA73" s="177"/>
      <c r="NZB73" s="175"/>
      <c r="NZC73" s="177"/>
      <c r="NZD73" s="178"/>
      <c r="NZE73" s="179"/>
      <c r="NZF73"/>
      <c r="NZG73" s="180"/>
      <c r="NZH73"/>
      <c r="NZI73" s="172"/>
      <c r="NZJ73" s="181"/>
      <c r="NZK73"/>
      <c r="NZL73" s="174"/>
      <c r="NZM73" s="175"/>
      <c r="NZN73" s="176"/>
      <c r="NZO73" s="176"/>
      <c r="NZP73" s="175"/>
      <c r="NZQ73" s="177"/>
      <c r="NZR73" s="175"/>
      <c r="NZS73" s="177"/>
      <c r="NZT73" s="178"/>
      <c r="NZU73" s="179"/>
      <c r="NZV73"/>
      <c r="NZW73" s="180"/>
      <c r="NZX73"/>
      <c r="NZY73" s="172"/>
      <c r="NZZ73" s="181"/>
      <c r="OAA73"/>
      <c r="OAB73" s="174"/>
      <c r="OAC73" s="175"/>
      <c r="OAD73" s="176"/>
      <c r="OAE73" s="176"/>
      <c r="OAF73" s="175"/>
      <c r="OAG73" s="177"/>
      <c r="OAH73" s="175"/>
      <c r="OAI73" s="177"/>
      <c r="OAJ73" s="178"/>
      <c r="OAK73" s="179"/>
      <c r="OAL73"/>
      <c r="OAM73" s="180"/>
      <c r="OAN73"/>
      <c r="OAO73" s="172"/>
      <c r="OAP73" s="181"/>
      <c r="OAQ73"/>
      <c r="OAR73" s="174"/>
      <c r="OAS73" s="175"/>
      <c r="OAT73" s="176"/>
      <c r="OAU73" s="176"/>
      <c r="OAV73" s="175"/>
      <c r="OAW73" s="177"/>
      <c r="OAX73" s="175"/>
      <c r="OAY73" s="177"/>
      <c r="OAZ73" s="178"/>
      <c r="OBA73" s="179"/>
      <c r="OBB73"/>
      <c r="OBC73" s="180"/>
      <c r="OBD73"/>
      <c r="OBE73" s="172"/>
      <c r="OBF73" s="181"/>
      <c r="OBG73"/>
      <c r="OBH73" s="174"/>
      <c r="OBI73" s="175"/>
      <c r="OBJ73" s="176"/>
      <c r="OBK73" s="176"/>
      <c r="OBL73" s="175"/>
      <c r="OBM73" s="177"/>
      <c r="OBN73" s="175"/>
      <c r="OBO73" s="177"/>
      <c r="OBP73" s="178"/>
      <c r="OBQ73" s="179"/>
      <c r="OBR73"/>
      <c r="OBS73" s="180"/>
      <c r="OBT73"/>
      <c r="OBU73" s="172"/>
      <c r="OBV73" s="181"/>
      <c r="OBW73"/>
      <c r="OBX73" s="174"/>
      <c r="OBY73" s="175"/>
      <c r="OBZ73" s="176"/>
      <c r="OCA73" s="176"/>
      <c r="OCB73" s="175"/>
      <c r="OCC73" s="177"/>
      <c r="OCD73" s="175"/>
      <c r="OCE73" s="177"/>
      <c r="OCF73" s="178"/>
      <c r="OCG73" s="179"/>
      <c r="OCH73"/>
      <c r="OCI73" s="180"/>
      <c r="OCJ73"/>
      <c r="OCK73" s="172"/>
      <c r="OCL73" s="181"/>
      <c r="OCM73"/>
      <c r="OCN73" s="174"/>
      <c r="OCO73" s="175"/>
      <c r="OCP73" s="176"/>
      <c r="OCQ73" s="176"/>
      <c r="OCR73" s="175"/>
      <c r="OCS73" s="177"/>
      <c r="OCT73" s="175"/>
      <c r="OCU73" s="177"/>
      <c r="OCV73" s="178"/>
      <c r="OCW73" s="179"/>
      <c r="OCX73"/>
      <c r="OCY73" s="180"/>
      <c r="OCZ73"/>
      <c r="ODA73" s="172"/>
      <c r="ODB73" s="181"/>
      <c r="ODC73"/>
      <c r="ODD73" s="174"/>
      <c r="ODE73" s="175"/>
      <c r="ODF73" s="176"/>
      <c r="ODG73" s="176"/>
      <c r="ODH73" s="175"/>
      <c r="ODI73" s="177"/>
      <c r="ODJ73" s="175"/>
      <c r="ODK73" s="177"/>
      <c r="ODL73" s="178"/>
      <c r="ODM73" s="179"/>
      <c r="ODN73"/>
      <c r="ODO73" s="180"/>
      <c r="ODP73"/>
      <c r="ODQ73" s="172"/>
      <c r="ODR73" s="181"/>
      <c r="ODS73"/>
      <c r="ODT73" s="174"/>
      <c r="ODU73" s="175"/>
      <c r="ODV73" s="176"/>
      <c r="ODW73" s="176"/>
      <c r="ODX73" s="175"/>
      <c r="ODY73" s="177"/>
      <c r="ODZ73" s="175"/>
      <c r="OEA73" s="177"/>
      <c r="OEB73" s="178"/>
      <c r="OEC73" s="179"/>
      <c r="OED73"/>
      <c r="OEE73" s="180"/>
      <c r="OEF73"/>
      <c r="OEG73" s="172"/>
      <c r="OEH73" s="181"/>
      <c r="OEI73"/>
      <c r="OEJ73" s="174"/>
      <c r="OEK73" s="175"/>
      <c r="OEL73" s="176"/>
      <c r="OEM73" s="176"/>
      <c r="OEN73" s="175"/>
      <c r="OEO73" s="177"/>
      <c r="OEP73" s="175"/>
      <c r="OEQ73" s="177"/>
      <c r="OER73" s="178"/>
      <c r="OES73" s="179"/>
      <c r="OET73"/>
      <c r="OEU73" s="180"/>
      <c r="OEV73"/>
      <c r="OEW73" s="172"/>
      <c r="OEX73" s="181"/>
      <c r="OEY73"/>
      <c r="OEZ73" s="174"/>
      <c r="OFA73" s="175"/>
      <c r="OFB73" s="176"/>
      <c r="OFC73" s="176"/>
      <c r="OFD73" s="175"/>
      <c r="OFE73" s="177"/>
      <c r="OFF73" s="175"/>
      <c r="OFG73" s="177"/>
      <c r="OFH73" s="178"/>
      <c r="OFI73" s="179"/>
      <c r="OFJ73"/>
      <c r="OFK73" s="180"/>
      <c r="OFL73"/>
      <c r="OFM73" s="172"/>
      <c r="OFN73" s="181"/>
      <c r="OFO73"/>
      <c r="OFP73" s="174"/>
      <c r="OFQ73" s="175"/>
      <c r="OFR73" s="176"/>
      <c r="OFS73" s="176"/>
      <c r="OFT73" s="175"/>
      <c r="OFU73" s="177"/>
      <c r="OFV73" s="175"/>
      <c r="OFW73" s="177"/>
      <c r="OFX73" s="178"/>
      <c r="OFY73" s="179"/>
      <c r="OFZ73"/>
      <c r="OGA73" s="180"/>
      <c r="OGB73"/>
      <c r="OGC73" s="172"/>
      <c r="OGD73" s="181"/>
      <c r="OGE73"/>
      <c r="OGF73" s="174"/>
      <c r="OGG73" s="175"/>
      <c r="OGH73" s="176"/>
      <c r="OGI73" s="176"/>
      <c r="OGJ73" s="175"/>
      <c r="OGK73" s="177"/>
      <c r="OGL73" s="175"/>
      <c r="OGM73" s="177"/>
      <c r="OGN73" s="178"/>
      <c r="OGO73" s="179"/>
      <c r="OGP73"/>
      <c r="OGQ73" s="180"/>
      <c r="OGR73"/>
      <c r="OGS73" s="172"/>
      <c r="OGT73" s="181"/>
      <c r="OGU73"/>
      <c r="OGV73" s="174"/>
      <c r="OGW73" s="175"/>
      <c r="OGX73" s="176"/>
      <c r="OGY73" s="176"/>
      <c r="OGZ73" s="175"/>
      <c r="OHA73" s="177"/>
      <c r="OHB73" s="175"/>
      <c r="OHC73" s="177"/>
      <c r="OHD73" s="178"/>
      <c r="OHE73" s="179"/>
      <c r="OHF73"/>
      <c r="OHG73" s="180"/>
      <c r="OHH73"/>
      <c r="OHI73" s="172"/>
      <c r="OHJ73" s="181"/>
      <c r="OHK73"/>
      <c r="OHL73" s="174"/>
      <c r="OHM73" s="175"/>
      <c r="OHN73" s="176"/>
      <c r="OHO73" s="176"/>
      <c r="OHP73" s="175"/>
      <c r="OHQ73" s="177"/>
      <c r="OHR73" s="175"/>
      <c r="OHS73" s="177"/>
      <c r="OHT73" s="178"/>
      <c r="OHU73" s="179"/>
      <c r="OHV73"/>
      <c r="OHW73" s="180"/>
      <c r="OHX73"/>
      <c r="OHY73" s="172"/>
      <c r="OHZ73" s="181"/>
      <c r="OIA73"/>
      <c r="OIB73" s="174"/>
      <c r="OIC73" s="175"/>
      <c r="OID73" s="176"/>
      <c r="OIE73" s="176"/>
      <c r="OIF73" s="175"/>
      <c r="OIG73" s="177"/>
      <c r="OIH73" s="175"/>
      <c r="OII73" s="177"/>
      <c r="OIJ73" s="178"/>
      <c r="OIK73" s="179"/>
      <c r="OIL73"/>
      <c r="OIM73" s="180"/>
      <c r="OIN73"/>
      <c r="OIO73" s="172"/>
      <c r="OIP73" s="181"/>
      <c r="OIQ73"/>
      <c r="OIR73" s="174"/>
      <c r="OIS73" s="175"/>
      <c r="OIT73" s="176"/>
      <c r="OIU73" s="176"/>
      <c r="OIV73" s="175"/>
      <c r="OIW73" s="177"/>
      <c r="OIX73" s="175"/>
      <c r="OIY73" s="177"/>
      <c r="OIZ73" s="178"/>
      <c r="OJA73" s="179"/>
      <c r="OJB73"/>
      <c r="OJC73" s="180"/>
      <c r="OJD73"/>
      <c r="OJE73" s="172"/>
      <c r="OJF73" s="181"/>
      <c r="OJG73"/>
      <c r="OJH73" s="174"/>
      <c r="OJI73" s="175"/>
      <c r="OJJ73" s="176"/>
      <c r="OJK73" s="176"/>
      <c r="OJL73" s="175"/>
      <c r="OJM73" s="177"/>
      <c r="OJN73" s="175"/>
      <c r="OJO73" s="177"/>
      <c r="OJP73" s="178"/>
      <c r="OJQ73" s="179"/>
      <c r="OJR73"/>
      <c r="OJS73" s="180"/>
      <c r="OJT73"/>
      <c r="OJU73" s="172"/>
      <c r="OJV73" s="181"/>
      <c r="OJW73"/>
      <c r="OJX73" s="174"/>
      <c r="OJY73" s="175"/>
      <c r="OJZ73" s="176"/>
      <c r="OKA73" s="176"/>
      <c r="OKB73" s="175"/>
      <c r="OKC73" s="177"/>
      <c r="OKD73" s="175"/>
      <c r="OKE73" s="177"/>
      <c r="OKF73" s="178"/>
      <c r="OKG73" s="179"/>
      <c r="OKH73"/>
      <c r="OKI73" s="180"/>
      <c r="OKJ73"/>
      <c r="OKK73" s="172"/>
      <c r="OKL73" s="181"/>
      <c r="OKM73"/>
      <c r="OKN73" s="174"/>
      <c r="OKO73" s="175"/>
      <c r="OKP73" s="176"/>
      <c r="OKQ73" s="176"/>
      <c r="OKR73" s="175"/>
      <c r="OKS73" s="177"/>
      <c r="OKT73" s="175"/>
      <c r="OKU73" s="177"/>
      <c r="OKV73" s="178"/>
      <c r="OKW73" s="179"/>
      <c r="OKX73"/>
      <c r="OKY73" s="180"/>
      <c r="OKZ73"/>
      <c r="OLA73" s="172"/>
      <c r="OLB73" s="181"/>
      <c r="OLC73"/>
      <c r="OLD73" s="174"/>
      <c r="OLE73" s="175"/>
      <c r="OLF73" s="176"/>
      <c r="OLG73" s="176"/>
      <c r="OLH73" s="175"/>
      <c r="OLI73" s="177"/>
      <c r="OLJ73" s="175"/>
      <c r="OLK73" s="177"/>
      <c r="OLL73" s="178"/>
      <c r="OLM73" s="179"/>
      <c r="OLN73"/>
      <c r="OLO73" s="180"/>
      <c r="OLP73"/>
      <c r="OLQ73" s="172"/>
      <c r="OLR73" s="181"/>
      <c r="OLS73"/>
      <c r="OLT73" s="174"/>
      <c r="OLU73" s="175"/>
      <c r="OLV73" s="176"/>
      <c r="OLW73" s="176"/>
      <c r="OLX73" s="175"/>
      <c r="OLY73" s="177"/>
      <c r="OLZ73" s="175"/>
      <c r="OMA73" s="177"/>
      <c r="OMB73" s="178"/>
      <c r="OMC73" s="179"/>
      <c r="OMD73"/>
      <c r="OME73" s="180"/>
      <c r="OMF73"/>
      <c r="OMG73" s="172"/>
      <c r="OMH73" s="181"/>
      <c r="OMI73"/>
      <c r="OMJ73" s="174"/>
      <c r="OMK73" s="175"/>
      <c r="OML73" s="176"/>
      <c r="OMM73" s="176"/>
      <c r="OMN73" s="175"/>
      <c r="OMO73" s="177"/>
      <c r="OMP73" s="175"/>
      <c r="OMQ73" s="177"/>
      <c r="OMR73" s="178"/>
      <c r="OMS73" s="179"/>
      <c r="OMT73"/>
      <c r="OMU73" s="180"/>
      <c r="OMV73"/>
      <c r="OMW73" s="172"/>
      <c r="OMX73" s="181"/>
      <c r="OMY73"/>
      <c r="OMZ73" s="174"/>
      <c r="ONA73" s="175"/>
      <c r="ONB73" s="176"/>
      <c r="ONC73" s="176"/>
      <c r="OND73" s="175"/>
      <c r="ONE73" s="177"/>
      <c r="ONF73" s="175"/>
      <c r="ONG73" s="177"/>
      <c r="ONH73" s="178"/>
      <c r="ONI73" s="179"/>
      <c r="ONJ73"/>
      <c r="ONK73" s="180"/>
      <c r="ONL73"/>
      <c r="ONM73" s="172"/>
      <c r="ONN73" s="181"/>
      <c r="ONO73"/>
      <c r="ONP73" s="174"/>
      <c r="ONQ73" s="175"/>
      <c r="ONR73" s="176"/>
      <c r="ONS73" s="176"/>
      <c r="ONT73" s="175"/>
      <c r="ONU73" s="177"/>
      <c r="ONV73" s="175"/>
      <c r="ONW73" s="177"/>
      <c r="ONX73" s="178"/>
      <c r="ONY73" s="179"/>
      <c r="ONZ73"/>
      <c r="OOA73" s="180"/>
      <c r="OOB73"/>
      <c r="OOC73" s="172"/>
      <c r="OOD73" s="181"/>
      <c r="OOE73"/>
      <c r="OOF73" s="174"/>
      <c r="OOG73" s="175"/>
      <c r="OOH73" s="176"/>
      <c r="OOI73" s="176"/>
      <c r="OOJ73" s="175"/>
      <c r="OOK73" s="177"/>
      <c r="OOL73" s="175"/>
      <c r="OOM73" s="177"/>
      <c r="OON73" s="178"/>
      <c r="OOO73" s="179"/>
      <c r="OOP73"/>
      <c r="OOQ73" s="180"/>
      <c r="OOR73"/>
      <c r="OOS73" s="172"/>
      <c r="OOT73" s="181"/>
      <c r="OOU73"/>
      <c r="OOV73" s="174"/>
      <c r="OOW73" s="175"/>
      <c r="OOX73" s="176"/>
      <c r="OOY73" s="176"/>
      <c r="OOZ73" s="175"/>
      <c r="OPA73" s="177"/>
      <c r="OPB73" s="175"/>
      <c r="OPC73" s="177"/>
      <c r="OPD73" s="178"/>
      <c r="OPE73" s="179"/>
      <c r="OPF73"/>
      <c r="OPG73" s="180"/>
      <c r="OPH73"/>
      <c r="OPI73" s="172"/>
      <c r="OPJ73" s="181"/>
      <c r="OPK73"/>
      <c r="OPL73" s="174"/>
      <c r="OPM73" s="175"/>
      <c r="OPN73" s="176"/>
      <c r="OPO73" s="176"/>
      <c r="OPP73" s="175"/>
      <c r="OPQ73" s="177"/>
      <c r="OPR73" s="175"/>
      <c r="OPS73" s="177"/>
      <c r="OPT73" s="178"/>
      <c r="OPU73" s="179"/>
      <c r="OPV73"/>
      <c r="OPW73" s="180"/>
      <c r="OPX73"/>
      <c r="OPY73" s="172"/>
      <c r="OPZ73" s="181"/>
      <c r="OQA73"/>
      <c r="OQB73" s="174"/>
      <c r="OQC73" s="175"/>
      <c r="OQD73" s="176"/>
      <c r="OQE73" s="176"/>
      <c r="OQF73" s="175"/>
      <c r="OQG73" s="177"/>
      <c r="OQH73" s="175"/>
      <c r="OQI73" s="177"/>
      <c r="OQJ73" s="178"/>
      <c r="OQK73" s="179"/>
      <c r="OQL73"/>
      <c r="OQM73" s="180"/>
      <c r="OQN73"/>
      <c r="OQO73" s="172"/>
      <c r="OQP73" s="181"/>
      <c r="OQQ73"/>
      <c r="OQR73" s="174"/>
      <c r="OQS73" s="175"/>
      <c r="OQT73" s="176"/>
      <c r="OQU73" s="176"/>
      <c r="OQV73" s="175"/>
      <c r="OQW73" s="177"/>
      <c r="OQX73" s="175"/>
      <c r="OQY73" s="177"/>
      <c r="OQZ73" s="178"/>
      <c r="ORA73" s="179"/>
      <c r="ORB73"/>
      <c r="ORC73" s="180"/>
      <c r="ORD73"/>
      <c r="ORE73" s="172"/>
      <c r="ORF73" s="181"/>
      <c r="ORG73"/>
      <c r="ORH73" s="174"/>
      <c r="ORI73" s="175"/>
      <c r="ORJ73" s="176"/>
      <c r="ORK73" s="176"/>
      <c r="ORL73" s="175"/>
      <c r="ORM73" s="177"/>
      <c r="ORN73" s="175"/>
      <c r="ORO73" s="177"/>
      <c r="ORP73" s="178"/>
      <c r="ORQ73" s="179"/>
      <c r="ORR73"/>
      <c r="ORS73" s="180"/>
      <c r="ORT73"/>
      <c r="ORU73" s="172"/>
      <c r="ORV73" s="181"/>
      <c r="ORW73"/>
      <c r="ORX73" s="174"/>
      <c r="ORY73" s="175"/>
      <c r="ORZ73" s="176"/>
      <c r="OSA73" s="176"/>
      <c r="OSB73" s="175"/>
      <c r="OSC73" s="177"/>
      <c r="OSD73" s="175"/>
      <c r="OSE73" s="177"/>
      <c r="OSF73" s="178"/>
      <c r="OSG73" s="179"/>
      <c r="OSH73"/>
      <c r="OSI73" s="180"/>
      <c r="OSJ73"/>
      <c r="OSK73" s="172"/>
      <c r="OSL73" s="181"/>
      <c r="OSM73"/>
      <c r="OSN73" s="174"/>
      <c r="OSO73" s="175"/>
      <c r="OSP73" s="176"/>
      <c r="OSQ73" s="176"/>
      <c r="OSR73" s="175"/>
      <c r="OSS73" s="177"/>
      <c r="OST73" s="175"/>
      <c r="OSU73" s="177"/>
      <c r="OSV73" s="178"/>
      <c r="OSW73" s="179"/>
      <c r="OSX73"/>
      <c r="OSY73" s="180"/>
      <c r="OSZ73"/>
      <c r="OTA73" s="172"/>
      <c r="OTB73" s="181"/>
      <c r="OTC73"/>
      <c r="OTD73" s="174"/>
      <c r="OTE73" s="175"/>
      <c r="OTF73" s="176"/>
      <c r="OTG73" s="176"/>
      <c r="OTH73" s="175"/>
      <c r="OTI73" s="177"/>
      <c r="OTJ73" s="175"/>
      <c r="OTK73" s="177"/>
      <c r="OTL73" s="178"/>
      <c r="OTM73" s="179"/>
      <c r="OTN73"/>
      <c r="OTO73" s="180"/>
      <c r="OTP73"/>
      <c r="OTQ73" s="172"/>
      <c r="OTR73" s="181"/>
      <c r="OTS73"/>
      <c r="OTT73" s="174"/>
      <c r="OTU73" s="175"/>
      <c r="OTV73" s="176"/>
      <c r="OTW73" s="176"/>
      <c r="OTX73" s="175"/>
      <c r="OTY73" s="177"/>
      <c r="OTZ73" s="175"/>
      <c r="OUA73" s="177"/>
      <c r="OUB73" s="178"/>
      <c r="OUC73" s="179"/>
      <c r="OUD73"/>
      <c r="OUE73" s="180"/>
      <c r="OUF73"/>
      <c r="OUG73" s="172"/>
      <c r="OUH73" s="181"/>
      <c r="OUI73"/>
      <c r="OUJ73" s="174"/>
      <c r="OUK73" s="175"/>
      <c r="OUL73" s="176"/>
      <c r="OUM73" s="176"/>
      <c r="OUN73" s="175"/>
      <c r="OUO73" s="177"/>
      <c r="OUP73" s="175"/>
      <c r="OUQ73" s="177"/>
      <c r="OUR73" s="178"/>
      <c r="OUS73" s="179"/>
      <c r="OUT73"/>
      <c r="OUU73" s="180"/>
      <c r="OUV73"/>
      <c r="OUW73" s="172"/>
      <c r="OUX73" s="181"/>
      <c r="OUY73"/>
      <c r="OUZ73" s="174"/>
      <c r="OVA73" s="175"/>
      <c r="OVB73" s="176"/>
      <c r="OVC73" s="176"/>
      <c r="OVD73" s="175"/>
      <c r="OVE73" s="177"/>
      <c r="OVF73" s="175"/>
      <c r="OVG73" s="177"/>
      <c r="OVH73" s="178"/>
      <c r="OVI73" s="179"/>
      <c r="OVJ73"/>
      <c r="OVK73" s="180"/>
      <c r="OVL73"/>
      <c r="OVM73" s="172"/>
      <c r="OVN73" s="181"/>
      <c r="OVO73"/>
      <c r="OVP73" s="174"/>
      <c r="OVQ73" s="175"/>
      <c r="OVR73" s="176"/>
      <c r="OVS73" s="176"/>
      <c r="OVT73" s="175"/>
      <c r="OVU73" s="177"/>
      <c r="OVV73" s="175"/>
      <c r="OVW73" s="177"/>
      <c r="OVX73" s="178"/>
      <c r="OVY73" s="179"/>
      <c r="OVZ73"/>
      <c r="OWA73" s="180"/>
      <c r="OWB73"/>
      <c r="OWC73" s="172"/>
      <c r="OWD73" s="181"/>
      <c r="OWE73"/>
      <c r="OWF73" s="174"/>
      <c r="OWG73" s="175"/>
      <c r="OWH73" s="176"/>
      <c r="OWI73" s="176"/>
      <c r="OWJ73" s="175"/>
      <c r="OWK73" s="177"/>
      <c r="OWL73" s="175"/>
      <c r="OWM73" s="177"/>
      <c r="OWN73" s="178"/>
      <c r="OWO73" s="179"/>
      <c r="OWP73"/>
      <c r="OWQ73" s="180"/>
      <c r="OWR73"/>
      <c r="OWS73" s="172"/>
      <c r="OWT73" s="181"/>
      <c r="OWU73"/>
      <c r="OWV73" s="174"/>
      <c r="OWW73" s="175"/>
      <c r="OWX73" s="176"/>
      <c r="OWY73" s="176"/>
      <c r="OWZ73" s="175"/>
      <c r="OXA73" s="177"/>
      <c r="OXB73" s="175"/>
      <c r="OXC73" s="177"/>
      <c r="OXD73" s="178"/>
      <c r="OXE73" s="179"/>
      <c r="OXF73"/>
      <c r="OXG73" s="180"/>
      <c r="OXH73"/>
      <c r="OXI73" s="172"/>
      <c r="OXJ73" s="181"/>
      <c r="OXK73"/>
      <c r="OXL73" s="174"/>
      <c r="OXM73" s="175"/>
      <c r="OXN73" s="176"/>
      <c r="OXO73" s="176"/>
      <c r="OXP73" s="175"/>
      <c r="OXQ73" s="177"/>
      <c r="OXR73" s="175"/>
      <c r="OXS73" s="177"/>
      <c r="OXT73" s="178"/>
      <c r="OXU73" s="179"/>
      <c r="OXV73"/>
      <c r="OXW73" s="180"/>
      <c r="OXX73"/>
      <c r="OXY73" s="172"/>
      <c r="OXZ73" s="181"/>
      <c r="OYA73"/>
      <c r="OYB73" s="174"/>
      <c r="OYC73" s="175"/>
      <c r="OYD73" s="176"/>
      <c r="OYE73" s="176"/>
      <c r="OYF73" s="175"/>
      <c r="OYG73" s="177"/>
      <c r="OYH73" s="175"/>
      <c r="OYI73" s="177"/>
      <c r="OYJ73" s="178"/>
      <c r="OYK73" s="179"/>
      <c r="OYL73"/>
      <c r="OYM73" s="180"/>
      <c r="OYN73"/>
      <c r="OYO73" s="172"/>
      <c r="OYP73" s="181"/>
      <c r="OYQ73"/>
      <c r="OYR73" s="174"/>
      <c r="OYS73" s="175"/>
      <c r="OYT73" s="176"/>
      <c r="OYU73" s="176"/>
      <c r="OYV73" s="175"/>
      <c r="OYW73" s="177"/>
      <c r="OYX73" s="175"/>
      <c r="OYY73" s="177"/>
      <c r="OYZ73" s="178"/>
      <c r="OZA73" s="179"/>
      <c r="OZB73"/>
      <c r="OZC73" s="180"/>
      <c r="OZD73"/>
      <c r="OZE73" s="172"/>
      <c r="OZF73" s="181"/>
      <c r="OZG73"/>
      <c r="OZH73" s="174"/>
      <c r="OZI73" s="175"/>
      <c r="OZJ73" s="176"/>
      <c r="OZK73" s="176"/>
      <c r="OZL73" s="175"/>
      <c r="OZM73" s="177"/>
      <c r="OZN73" s="175"/>
      <c r="OZO73" s="177"/>
      <c r="OZP73" s="178"/>
      <c r="OZQ73" s="179"/>
      <c r="OZR73"/>
      <c r="OZS73" s="180"/>
      <c r="OZT73"/>
      <c r="OZU73" s="172"/>
      <c r="OZV73" s="181"/>
      <c r="OZW73"/>
      <c r="OZX73" s="174"/>
      <c r="OZY73" s="175"/>
      <c r="OZZ73" s="176"/>
      <c r="PAA73" s="176"/>
      <c r="PAB73" s="175"/>
      <c r="PAC73" s="177"/>
      <c r="PAD73" s="175"/>
      <c r="PAE73" s="177"/>
      <c r="PAF73" s="178"/>
      <c r="PAG73" s="179"/>
      <c r="PAH73"/>
      <c r="PAI73" s="180"/>
      <c r="PAJ73"/>
      <c r="PAK73" s="172"/>
      <c r="PAL73" s="181"/>
      <c r="PAM73"/>
      <c r="PAN73" s="174"/>
      <c r="PAO73" s="175"/>
      <c r="PAP73" s="176"/>
      <c r="PAQ73" s="176"/>
      <c r="PAR73" s="175"/>
      <c r="PAS73" s="177"/>
      <c r="PAT73" s="175"/>
      <c r="PAU73" s="177"/>
      <c r="PAV73" s="178"/>
      <c r="PAW73" s="179"/>
      <c r="PAX73"/>
      <c r="PAY73" s="180"/>
      <c r="PAZ73"/>
      <c r="PBA73" s="172"/>
      <c r="PBB73" s="181"/>
      <c r="PBC73"/>
      <c r="PBD73" s="174"/>
      <c r="PBE73" s="175"/>
      <c r="PBF73" s="176"/>
      <c r="PBG73" s="176"/>
      <c r="PBH73" s="175"/>
      <c r="PBI73" s="177"/>
      <c r="PBJ73" s="175"/>
      <c r="PBK73" s="177"/>
      <c r="PBL73" s="178"/>
      <c r="PBM73" s="179"/>
      <c r="PBN73"/>
      <c r="PBO73" s="180"/>
      <c r="PBP73"/>
      <c r="PBQ73" s="172"/>
      <c r="PBR73" s="181"/>
      <c r="PBS73"/>
      <c r="PBT73" s="174"/>
      <c r="PBU73" s="175"/>
      <c r="PBV73" s="176"/>
      <c r="PBW73" s="176"/>
      <c r="PBX73" s="175"/>
      <c r="PBY73" s="177"/>
      <c r="PBZ73" s="175"/>
      <c r="PCA73" s="177"/>
      <c r="PCB73" s="178"/>
      <c r="PCC73" s="179"/>
      <c r="PCD73"/>
      <c r="PCE73" s="180"/>
      <c r="PCF73"/>
      <c r="PCG73" s="172"/>
      <c r="PCH73" s="181"/>
      <c r="PCI73"/>
      <c r="PCJ73" s="174"/>
      <c r="PCK73" s="175"/>
      <c r="PCL73" s="176"/>
      <c r="PCM73" s="176"/>
      <c r="PCN73" s="175"/>
      <c r="PCO73" s="177"/>
      <c r="PCP73" s="175"/>
      <c r="PCQ73" s="177"/>
      <c r="PCR73" s="178"/>
      <c r="PCS73" s="179"/>
      <c r="PCT73"/>
      <c r="PCU73" s="180"/>
      <c r="PCV73"/>
      <c r="PCW73" s="172"/>
      <c r="PCX73" s="181"/>
      <c r="PCY73"/>
      <c r="PCZ73" s="174"/>
      <c r="PDA73" s="175"/>
      <c r="PDB73" s="176"/>
      <c r="PDC73" s="176"/>
      <c r="PDD73" s="175"/>
      <c r="PDE73" s="177"/>
      <c r="PDF73" s="175"/>
      <c r="PDG73" s="177"/>
      <c r="PDH73" s="178"/>
      <c r="PDI73" s="179"/>
      <c r="PDJ73"/>
      <c r="PDK73" s="180"/>
      <c r="PDL73"/>
      <c r="PDM73" s="172"/>
      <c r="PDN73" s="181"/>
      <c r="PDO73"/>
      <c r="PDP73" s="174"/>
      <c r="PDQ73" s="175"/>
      <c r="PDR73" s="176"/>
      <c r="PDS73" s="176"/>
      <c r="PDT73" s="175"/>
      <c r="PDU73" s="177"/>
      <c r="PDV73" s="175"/>
      <c r="PDW73" s="177"/>
      <c r="PDX73" s="178"/>
      <c r="PDY73" s="179"/>
      <c r="PDZ73"/>
      <c r="PEA73" s="180"/>
      <c r="PEB73"/>
      <c r="PEC73" s="172"/>
      <c r="PED73" s="181"/>
      <c r="PEE73"/>
      <c r="PEF73" s="174"/>
      <c r="PEG73" s="175"/>
      <c r="PEH73" s="176"/>
      <c r="PEI73" s="176"/>
      <c r="PEJ73" s="175"/>
      <c r="PEK73" s="177"/>
      <c r="PEL73" s="175"/>
      <c r="PEM73" s="177"/>
      <c r="PEN73" s="178"/>
      <c r="PEO73" s="179"/>
      <c r="PEP73"/>
      <c r="PEQ73" s="180"/>
      <c r="PER73"/>
      <c r="PES73" s="172"/>
      <c r="PET73" s="181"/>
      <c r="PEU73"/>
      <c r="PEV73" s="174"/>
      <c r="PEW73" s="175"/>
      <c r="PEX73" s="176"/>
      <c r="PEY73" s="176"/>
      <c r="PEZ73" s="175"/>
      <c r="PFA73" s="177"/>
      <c r="PFB73" s="175"/>
      <c r="PFC73" s="177"/>
      <c r="PFD73" s="178"/>
      <c r="PFE73" s="179"/>
      <c r="PFF73"/>
      <c r="PFG73" s="180"/>
      <c r="PFH73"/>
      <c r="PFI73" s="172"/>
      <c r="PFJ73" s="181"/>
      <c r="PFK73"/>
      <c r="PFL73" s="174"/>
      <c r="PFM73" s="175"/>
      <c r="PFN73" s="176"/>
      <c r="PFO73" s="176"/>
      <c r="PFP73" s="175"/>
      <c r="PFQ73" s="177"/>
      <c r="PFR73" s="175"/>
      <c r="PFS73" s="177"/>
      <c r="PFT73" s="178"/>
      <c r="PFU73" s="179"/>
      <c r="PFV73"/>
      <c r="PFW73" s="180"/>
      <c r="PFX73"/>
      <c r="PFY73" s="172"/>
      <c r="PFZ73" s="181"/>
      <c r="PGA73"/>
      <c r="PGB73" s="174"/>
      <c r="PGC73" s="175"/>
      <c r="PGD73" s="176"/>
      <c r="PGE73" s="176"/>
      <c r="PGF73" s="175"/>
      <c r="PGG73" s="177"/>
      <c r="PGH73" s="175"/>
      <c r="PGI73" s="177"/>
      <c r="PGJ73" s="178"/>
      <c r="PGK73" s="179"/>
      <c r="PGL73"/>
      <c r="PGM73" s="180"/>
      <c r="PGN73"/>
      <c r="PGO73" s="172"/>
      <c r="PGP73" s="181"/>
      <c r="PGQ73"/>
      <c r="PGR73" s="174"/>
      <c r="PGS73" s="175"/>
      <c r="PGT73" s="176"/>
      <c r="PGU73" s="176"/>
      <c r="PGV73" s="175"/>
      <c r="PGW73" s="177"/>
      <c r="PGX73" s="175"/>
      <c r="PGY73" s="177"/>
      <c r="PGZ73" s="178"/>
      <c r="PHA73" s="179"/>
      <c r="PHB73"/>
      <c r="PHC73" s="180"/>
      <c r="PHD73"/>
      <c r="PHE73" s="172"/>
      <c r="PHF73" s="181"/>
      <c r="PHG73"/>
      <c r="PHH73" s="174"/>
      <c r="PHI73" s="175"/>
      <c r="PHJ73" s="176"/>
      <c r="PHK73" s="176"/>
      <c r="PHL73" s="175"/>
      <c r="PHM73" s="177"/>
      <c r="PHN73" s="175"/>
      <c r="PHO73" s="177"/>
      <c r="PHP73" s="178"/>
      <c r="PHQ73" s="179"/>
      <c r="PHR73"/>
      <c r="PHS73" s="180"/>
      <c r="PHT73"/>
      <c r="PHU73" s="172"/>
      <c r="PHV73" s="181"/>
      <c r="PHW73"/>
      <c r="PHX73" s="174"/>
      <c r="PHY73" s="175"/>
      <c r="PHZ73" s="176"/>
      <c r="PIA73" s="176"/>
      <c r="PIB73" s="175"/>
      <c r="PIC73" s="177"/>
      <c r="PID73" s="175"/>
      <c r="PIE73" s="177"/>
      <c r="PIF73" s="178"/>
      <c r="PIG73" s="179"/>
      <c r="PIH73"/>
      <c r="PII73" s="180"/>
      <c r="PIJ73"/>
      <c r="PIK73" s="172"/>
      <c r="PIL73" s="181"/>
      <c r="PIM73"/>
      <c r="PIN73" s="174"/>
      <c r="PIO73" s="175"/>
      <c r="PIP73" s="176"/>
      <c r="PIQ73" s="176"/>
      <c r="PIR73" s="175"/>
      <c r="PIS73" s="177"/>
      <c r="PIT73" s="175"/>
      <c r="PIU73" s="177"/>
      <c r="PIV73" s="178"/>
      <c r="PIW73" s="179"/>
      <c r="PIX73"/>
      <c r="PIY73" s="180"/>
      <c r="PIZ73"/>
      <c r="PJA73" s="172"/>
      <c r="PJB73" s="181"/>
      <c r="PJC73"/>
      <c r="PJD73" s="174"/>
      <c r="PJE73" s="175"/>
      <c r="PJF73" s="176"/>
      <c r="PJG73" s="176"/>
      <c r="PJH73" s="175"/>
      <c r="PJI73" s="177"/>
      <c r="PJJ73" s="175"/>
      <c r="PJK73" s="177"/>
      <c r="PJL73" s="178"/>
      <c r="PJM73" s="179"/>
      <c r="PJN73"/>
      <c r="PJO73" s="180"/>
      <c r="PJP73"/>
      <c r="PJQ73" s="172"/>
      <c r="PJR73" s="181"/>
      <c r="PJS73"/>
      <c r="PJT73" s="174"/>
      <c r="PJU73" s="175"/>
      <c r="PJV73" s="176"/>
      <c r="PJW73" s="176"/>
      <c r="PJX73" s="175"/>
      <c r="PJY73" s="177"/>
      <c r="PJZ73" s="175"/>
      <c r="PKA73" s="177"/>
      <c r="PKB73" s="178"/>
      <c r="PKC73" s="179"/>
      <c r="PKD73"/>
      <c r="PKE73" s="180"/>
      <c r="PKF73"/>
      <c r="PKG73" s="172"/>
      <c r="PKH73" s="181"/>
      <c r="PKI73"/>
      <c r="PKJ73" s="174"/>
      <c r="PKK73" s="175"/>
      <c r="PKL73" s="176"/>
      <c r="PKM73" s="176"/>
      <c r="PKN73" s="175"/>
      <c r="PKO73" s="177"/>
      <c r="PKP73" s="175"/>
      <c r="PKQ73" s="177"/>
      <c r="PKR73" s="178"/>
      <c r="PKS73" s="179"/>
      <c r="PKT73"/>
      <c r="PKU73" s="180"/>
      <c r="PKV73"/>
      <c r="PKW73" s="172"/>
      <c r="PKX73" s="181"/>
      <c r="PKY73"/>
      <c r="PKZ73" s="174"/>
      <c r="PLA73" s="175"/>
      <c r="PLB73" s="176"/>
      <c r="PLC73" s="176"/>
      <c r="PLD73" s="175"/>
      <c r="PLE73" s="177"/>
      <c r="PLF73" s="175"/>
      <c r="PLG73" s="177"/>
      <c r="PLH73" s="178"/>
      <c r="PLI73" s="179"/>
      <c r="PLJ73"/>
      <c r="PLK73" s="180"/>
      <c r="PLL73"/>
      <c r="PLM73" s="172"/>
      <c r="PLN73" s="181"/>
      <c r="PLO73"/>
      <c r="PLP73" s="174"/>
      <c r="PLQ73" s="175"/>
      <c r="PLR73" s="176"/>
      <c r="PLS73" s="176"/>
      <c r="PLT73" s="175"/>
      <c r="PLU73" s="177"/>
      <c r="PLV73" s="175"/>
      <c r="PLW73" s="177"/>
      <c r="PLX73" s="178"/>
      <c r="PLY73" s="179"/>
      <c r="PLZ73"/>
      <c r="PMA73" s="180"/>
      <c r="PMB73"/>
      <c r="PMC73" s="172"/>
      <c r="PMD73" s="181"/>
      <c r="PME73"/>
      <c r="PMF73" s="174"/>
      <c r="PMG73" s="175"/>
      <c r="PMH73" s="176"/>
      <c r="PMI73" s="176"/>
      <c r="PMJ73" s="175"/>
      <c r="PMK73" s="177"/>
      <c r="PML73" s="175"/>
      <c r="PMM73" s="177"/>
      <c r="PMN73" s="178"/>
      <c r="PMO73" s="179"/>
      <c r="PMP73"/>
      <c r="PMQ73" s="180"/>
      <c r="PMR73"/>
      <c r="PMS73" s="172"/>
      <c r="PMT73" s="181"/>
      <c r="PMU73"/>
      <c r="PMV73" s="174"/>
      <c r="PMW73" s="175"/>
      <c r="PMX73" s="176"/>
      <c r="PMY73" s="176"/>
      <c r="PMZ73" s="175"/>
      <c r="PNA73" s="177"/>
      <c r="PNB73" s="175"/>
      <c r="PNC73" s="177"/>
      <c r="PND73" s="178"/>
      <c r="PNE73" s="179"/>
      <c r="PNF73"/>
      <c r="PNG73" s="180"/>
      <c r="PNH73"/>
      <c r="PNI73" s="172"/>
      <c r="PNJ73" s="181"/>
      <c r="PNK73"/>
      <c r="PNL73" s="174"/>
      <c r="PNM73" s="175"/>
      <c r="PNN73" s="176"/>
      <c r="PNO73" s="176"/>
      <c r="PNP73" s="175"/>
      <c r="PNQ73" s="177"/>
      <c r="PNR73" s="175"/>
      <c r="PNS73" s="177"/>
      <c r="PNT73" s="178"/>
      <c r="PNU73" s="179"/>
      <c r="PNV73"/>
      <c r="PNW73" s="180"/>
      <c r="PNX73"/>
      <c r="PNY73" s="172"/>
      <c r="PNZ73" s="181"/>
      <c r="POA73"/>
      <c r="POB73" s="174"/>
      <c r="POC73" s="175"/>
      <c r="POD73" s="176"/>
      <c r="POE73" s="176"/>
      <c r="POF73" s="175"/>
      <c r="POG73" s="177"/>
      <c r="POH73" s="175"/>
      <c r="POI73" s="177"/>
      <c r="POJ73" s="178"/>
      <c r="POK73" s="179"/>
      <c r="POL73"/>
      <c r="POM73" s="180"/>
      <c r="PON73"/>
      <c r="POO73" s="172"/>
      <c r="POP73" s="181"/>
      <c r="POQ73"/>
      <c r="POR73" s="174"/>
      <c r="POS73" s="175"/>
      <c r="POT73" s="176"/>
      <c r="POU73" s="176"/>
      <c r="POV73" s="175"/>
      <c r="POW73" s="177"/>
      <c r="POX73" s="175"/>
      <c r="POY73" s="177"/>
      <c r="POZ73" s="178"/>
      <c r="PPA73" s="179"/>
      <c r="PPB73"/>
      <c r="PPC73" s="180"/>
      <c r="PPD73"/>
      <c r="PPE73" s="172"/>
      <c r="PPF73" s="181"/>
      <c r="PPG73"/>
      <c r="PPH73" s="174"/>
      <c r="PPI73" s="175"/>
      <c r="PPJ73" s="176"/>
      <c r="PPK73" s="176"/>
      <c r="PPL73" s="175"/>
      <c r="PPM73" s="177"/>
      <c r="PPN73" s="175"/>
      <c r="PPO73" s="177"/>
      <c r="PPP73" s="178"/>
      <c r="PPQ73" s="179"/>
      <c r="PPR73"/>
      <c r="PPS73" s="180"/>
      <c r="PPT73"/>
      <c r="PPU73" s="172"/>
      <c r="PPV73" s="181"/>
      <c r="PPW73"/>
      <c r="PPX73" s="174"/>
      <c r="PPY73" s="175"/>
      <c r="PPZ73" s="176"/>
      <c r="PQA73" s="176"/>
      <c r="PQB73" s="175"/>
      <c r="PQC73" s="177"/>
      <c r="PQD73" s="175"/>
      <c r="PQE73" s="177"/>
      <c r="PQF73" s="178"/>
      <c r="PQG73" s="179"/>
      <c r="PQH73"/>
      <c r="PQI73" s="180"/>
      <c r="PQJ73"/>
      <c r="PQK73" s="172"/>
      <c r="PQL73" s="181"/>
      <c r="PQM73"/>
      <c r="PQN73" s="174"/>
      <c r="PQO73" s="175"/>
      <c r="PQP73" s="176"/>
      <c r="PQQ73" s="176"/>
      <c r="PQR73" s="175"/>
      <c r="PQS73" s="177"/>
      <c r="PQT73" s="175"/>
      <c r="PQU73" s="177"/>
      <c r="PQV73" s="178"/>
      <c r="PQW73" s="179"/>
      <c r="PQX73"/>
      <c r="PQY73" s="180"/>
      <c r="PQZ73"/>
      <c r="PRA73" s="172"/>
      <c r="PRB73" s="181"/>
      <c r="PRC73"/>
      <c r="PRD73" s="174"/>
      <c r="PRE73" s="175"/>
      <c r="PRF73" s="176"/>
      <c r="PRG73" s="176"/>
      <c r="PRH73" s="175"/>
      <c r="PRI73" s="177"/>
      <c r="PRJ73" s="175"/>
      <c r="PRK73" s="177"/>
      <c r="PRL73" s="178"/>
      <c r="PRM73" s="179"/>
      <c r="PRN73"/>
      <c r="PRO73" s="180"/>
      <c r="PRP73"/>
      <c r="PRQ73" s="172"/>
      <c r="PRR73" s="181"/>
      <c r="PRS73"/>
      <c r="PRT73" s="174"/>
      <c r="PRU73" s="175"/>
      <c r="PRV73" s="176"/>
      <c r="PRW73" s="176"/>
      <c r="PRX73" s="175"/>
      <c r="PRY73" s="177"/>
      <c r="PRZ73" s="175"/>
      <c r="PSA73" s="177"/>
      <c r="PSB73" s="178"/>
      <c r="PSC73" s="179"/>
      <c r="PSD73"/>
      <c r="PSE73" s="180"/>
      <c r="PSF73"/>
      <c r="PSG73" s="172"/>
      <c r="PSH73" s="181"/>
      <c r="PSI73"/>
      <c r="PSJ73" s="174"/>
      <c r="PSK73" s="175"/>
      <c r="PSL73" s="176"/>
      <c r="PSM73" s="176"/>
      <c r="PSN73" s="175"/>
      <c r="PSO73" s="177"/>
      <c r="PSP73" s="175"/>
      <c r="PSQ73" s="177"/>
      <c r="PSR73" s="178"/>
      <c r="PSS73" s="179"/>
      <c r="PST73"/>
      <c r="PSU73" s="180"/>
      <c r="PSV73"/>
      <c r="PSW73" s="172"/>
      <c r="PSX73" s="181"/>
      <c r="PSY73"/>
      <c r="PSZ73" s="174"/>
      <c r="PTA73" s="175"/>
      <c r="PTB73" s="176"/>
      <c r="PTC73" s="176"/>
      <c r="PTD73" s="175"/>
      <c r="PTE73" s="177"/>
      <c r="PTF73" s="175"/>
      <c r="PTG73" s="177"/>
      <c r="PTH73" s="178"/>
      <c r="PTI73" s="179"/>
      <c r="PTJ73"/>
      <c r="PTK73" s="180"/>
      <c r="PTL73"/>
      <c r="PTM73" s="172"/>
      <c r="PTN73" s="181"/>
      <c r="PTO73"/>
      <c r="PTP73" s="174"/>
      <c r="PTQ73" s="175"/>
      <c r="PTR73" s="176"/>
      <c r="PTS73" s="176"/>
      <c r="PTT73" s="175"/>
      <c r="PTU73" s="177"/>
      <c r="PTV73" s="175"/>
      <c r="PTW73" s="177"/>
      <c r="PTX73" s="178"/>
      <c r="PTY73" s="179"/>
      <c r="PTZ73"/>
      <c r="PUA73" s="180"/>
      <c r="PUB73"/>
      <c r="PUC73" s="172"/>
      <c r="PUD73" s="181"/>
      <c r="PUE73"/>
      <c r="PUF73" s="174"/>
      <c r="PUG73" s="175"/>
      <c r="PUH73" s="176"/>
      <c r="PUI73" s="176"/>
      <c r="PUJ73" s="175"/>
      <c r="PUK73" s="177"/>
      <c r="PUL73" s="175"/>
      <c r="PUM73" s="177"/>
      <c r="PUN73" s="178"/>
      <c r="PUO73" s="179"/>
      <c r="PUP73"/>
      <c r="PUQ73" s="180"/>
      <c r="PUR73"/>
      <c r="PUS73" s="172"/>
      <c r="PUT73" s="181"/>
      <c r="PUU73"/>
      <c r="PUV73" s="174"/>
      <c r="PUW73" s="175"/>
      <c r="PUX73" s="176"/>
      <c r="PUY73" s="176"/>
      <c r="PUZ73" s="175"/>
      <c r="PVA73" s="177"/>
      <c r="PVB73" s="175"/>
      <c r="PVC73" s="177"/>
      <c r="PVD73" s="178"/>
      <c r="PVE73" s="179"/>
      <c r="PVF73"/>
      <c r="PVG73" s="180"/>
      <c r="PVH73"/>
      <c r="PVI73" s="172"/>
      <c r="PVJ73" s="181"/>
      <c r="PVK73"/>
      <c r="PVL73" s="174"/>
      <c r="PVM73" s="175"/>
      <c r="PVN73" s="176"/>
      <c r="PVO73" s="176"/>
      <c r="PVP73" s="175"/>
      <c r="PVQ73" s="177"/>
      <c r="PVR73" s="175"/>
      <c r="PVS73" s="177"/>
      <c r="PVT73" s="178"/>
      <c r="PVU73" s="179"/>
      <c r="PVV73"/>
      <c r="PVW73" s="180"/>
      <c r="PVX73"/>
      <c r="PVY73" s="172"/>
      <c r="PVZ73" s="181"/>
      <c r="PWA73"/>
      <c r="PWB73" s="174"/>
      <c r="PWC73" s="175"/>
      <c r="PWD73" s="176"/>
      <c r="PWE73" s="176"/>
      <c r="PWF73" s="175"/>
      <c r="PWG73" s="177"/>
      <c r="PWH73" s="175"/>
      <c r="PWI73" s="177"/>
      <c r="PWJ73" s="178"/>
      <c r="PWK73" s="179"/>
      <c r="PWL73"/>
      <c r="PWM73" s="180"/>
      <c r="PWN73"/>
      <c r="PWO73" s="172"/>
      <c r="PWP73" s="181"/>
      <c r="PWQ73"/>
      <c r="PWR73" s="174"/>
      <c r="PWS73" s="175"/>
      <c r="PWT73" s="176"/>
      <c r="PWU73" s="176"/>
      <c r="PWV73" s="175"/>
      <c r="PWW73" s="177"/>
      <c r="PWX73" s="175"/>
      <c r="PWY73" s="177"/>
      <c r="PWZ73" s="178"/>
      <c r="PXA73" s="179"/>
      <c r="PXB73"/>
      <c r="PXC73" s="180"/>
      <c r="PXD73"/>
      <c r="PXE73" s="172"/>
      <c r="PXF73" s="181"/>
      <c r="PXG73"/>
      <c r="PXH73" s="174"/>
      <c r="PXI73" s="175"/>
      <c r="PXJ73" s="176"/>
      <c r="PXK73" s="176"/>
      <c r="PXL73" s="175"/>
      <c r="PXM73" s="177"/>
      <c r="PXN73" s="175"/>
      <c r="PXO73" s="177"/>
      <c r="PXP73" s="178"/>
      <c r="PXQ73" s="179"/>
      <c r="PXR73"/>
      <c r="PXS73" s="180"/>
      <c r="PXT73"/>
      <c r="PXU73" s="172"/>
      <c r="PXV73" s="181"/>
      <c r="PXW73"/>
      <c r="PXX73" s="174"/>
      <c r="PXY73" s="175"/>
      <c r="PXZ73" s="176"/>
      <c r="PYA73" s="176"/>
      <c r="PYB73" s="175"/>
      <c r="PYC73" s="177"/>
      <c r="PYD73" s="175"/>
      <c r="PYE73" s="177"/>
      <c r="PYF73" s="178"/>
      <c r="PYG73" s="179"/>
      <c r="PYH73"/>
      <c r="PYI73" s="180"/>
      <c r="PYJ73"/>
      <c r="PYK73" s="172"/>
      <c r="PYL73" s="181"/>
      <c r="PYM73"/>
      <c r="PYN73" s="174"/>
      <c r="PYO73" s="175"/>
      <c r="PYP73" s="176"/>
      <c r="PYQ73" s="176"/>
      <c r="PYR73" s="175"/>
      <c r="PYS73" s="177"/>
      <c r="PYT73" s="175"/>
      <c r="PYU73" s="177"/>
      <c r="PYV73" s="178"/>
      <c r="PYW73" s="179"/>
      <c r="PYX73"/>
      <c r="PYY73" s="180"/>
      <c r="PYZ73"/>
      <c r="PZA73" s="172"/>
      <c r="PZB73" s="181"/>
      <c r="PZC73"/>
      <c r="PZD73" s="174"/>
      <c r="PZE73" s="175"/>
      <c r="PZF73" s="176"/>
      <c r="PZG73" s="176"/>
      <c r="PZH73" s="175"/>
      <c r="PZI73" s="177"/>
      <c r="PZJ73" s="175"/>
      <c r="PZK73" s="177"/>
      <c r="PZL73" s="178"/>
      <c r="PZM73" s="179"/>
      <c r="PZN73"/>
      <c r="PZO73" s="180"/>
      <c r="PZP73"/>
      <c r="PZQ73" s="172"/>
      <c r="PZR73" s="181"/>
      <c r="PZS73"/>
      <c r="PZT73" s="174"/>
      <c r="PZU73" s="175"/>
      <c r="PZV73" s="176"/>
      <c r="PZW73" s="176"/>
      <c r="PZX73" s="175"/>
      <c r="PZY73" s="177"/>
      <c r="PZZ73" s="175"/>
      <c r="QAA73" s="177"/>
      <c r="QAB73" s="178"/>
      <c r="QAC73" s="179"/>
      <c r="QAD73"/>
      <c r="QAE73" s="180"/>
      <c r="QAF73"/>
      <c r="QAG73" s="172"/>
      <c r="QAH73" s="181"/>
      <c r="QAI73"/>
      <c r="QAJ73" s="174"/>
      <c r="QAK73" s="175"/>
      <c r="QAL73" s="176"/>
      <c r="QAM73" s="176"/>
      <c r="QAN73" s="175"/>
      <c r="QAO73" s="177"/>
      <c r="QAP73" s="175"/>
      <c r="QAQ73" s="177"/>
      <c r="QAR73" s="178"/>
      <c r="QAS73" s="179"/>
      <c r="QAT73"/>
      <c r="QAU73" s="180"/>
      <c r="QAV73"/>
      <c r="QAW73" s="172"/>
      <c r="QAX73" s="181"/>
      <c r="QAY73"/>
      <c r="QAZ73" s="174"/>
      <c r="QBA73" s="175"/>
      <c r="QBB73" s="176"/>
      <c r="QBC73" s="176"/>
      <c r="QBD73" s="175"/>
      <c r="QBE73" s="177"/>
      <c r="QBF73" s="175"/>
      <c r="QBG73" s="177"/>
      <c r="QBH73" s="178"/>
      <c r="QBI73" s="179"/>
      <c r="QBJ73"/>
      <c r="QBK73" s="180"/>
      <c r="QBL73"/>
      <c r="QBM73" s="172"/>
      <c r="QBN73" s="181"/>
      <c r="QBO73"/>
      <c r="QBP73" s="174"/>
      <c r="QBQ73" s="175"/>
      <c r="QBR73" s="176"/>
      <c r="QBS73" s="176"/>
      <c r="QBT73" s="175"/>
      <c r="QBU73" s="177"/>
      <c r="QBV73" s="175"/>
      <c r="QBW73" s="177"/>
      <c r="QBX73" s="178"/>
      <c r="QBY73" s="179"/>
      <c r="QBZ73"/>
      <c r="QCA73" s="180"/>
      <c r="QCB73"/>
      <c r="QCC73" s="172"/>
      <c r="QCD73" s="181"/>
      <c r="QCE73"/>
      <c r="QCF73" s="174"/>
      <c r="QCG73" s="175"/>
      <c r="QCH73" s="176"/>
      <c r="QCI73" s="176"/>
      <c r="QCJ73" s="175"/>
      <c r="QCK73" s="177"/>
      <c r="QCL73" s="175"/>
      <c r="QCM73" s="177"/>
      <c r="QCN73" s="178"/>
      <c r="QCO73" s="179"/>
      <c r="QCP73"/>
      <c r="QCQ73" s="180"/>
      <c r="QCR73"/>
      <c r="QCS73" s="172"/>
      <c r="QCT73" s="181"/>
      <c r="QCU73"/>
      <c r="QCV73" s="174"/>
      <c r="QCW73" s="175"/>
      <c r="QCX73" s="176"/>
      <c r="QCY73" s="176"/>
      <c r="QCZ73" s="175"/>
      <c r="QDA73" s="177"/>
      <c r="QDB73" s="175"/>
      <c r="QDC73" s="177"/>
      <c r="QDD73" s="178"/>
      <c r="QDE73" s="179"/>
      <c r="QDF73"/>
      <c r="QDG73" s="180"/>
      <c r="QDH73"/>
      <c r="QDI73" s="172"/>
      <c r="QDJ73" s="181"/>
      <c r="QDK73"/>
      <c r="QDL73" s="174"/>
      <c r="QDM73" s="175"/>
      <c r="QDN73" s="176"/>
      <c r="QDO73" s="176"/>
      <c r="QDP73" s="175"/>
      <c r="QDQ73" s="177"/>
      <c r="QDR73" s="175"/>
      <c r="QDS73" s="177"/>
      <c r="QDT73" s="178"/>
      <c r="QDU73" s="179"/>
      <c r="QDV73"/>
      <c r="QDW73" s="180"/>
      <c r="QDX73"/>
      <c r="QDY73" s="172"/>
      <c r="QDZ73" s="181"/>
      <c r="QEA73"/>
      <c r="QEB73" s="174"/>
      <c r="QEC73" s="175"/>
      <c r="QED73" s="176"/>
      <c r="QEE73" s="176"/>
      <c r="QEF73" s="175"/>
      <c r="QEG73" s="177"/>
      <c r="QEH73" s="175"/>
      <c r="QEI73" s="177"/>
      <c r="QEJ73" s="178"/>
      <c r="QEK73" s="179"/>
      <c r="QEL73"/>
      <c r="QEM73" s="180"/>
      <c r="QEN73"/>
      <c r="QEO73" s="172"/>
      <c r="QEP73" s="181"/>
      <c r="QEQ73"/>
      <c r="QER73" s="174"/>
      <c r="QES73" s="175"/>
      <c r="QET73" s="176"/>
      <c r="QEU73" s="176"/>
      <c r="QEV73" s="175"/>
      <c r="QEW73" s="177"/>
      <c r="QEX73" s="175"/>
      <c r="QEY73" s="177"/>
      <c r="QEZ73" s="178"/>
      <c r="QFA73" s="179"/>
      <c r="QFB73"/>
      <c r="QFC73" s="180"/>
      <c r="QFD73"/>
      <c r="QFE73" s="172"/>
      <c r="QFF73" s="181"/>
      <c r="QFG73"/>
      <c r="QFH73" s="174"/>
      <c r="QFI73" s="175"/>
      <c r="QFJ73" s="176"/>
      <c r="QFK73" s="176"/>
      <c r="QFL73" s="175"/>
      <c r="QFM73" s="177"/>
      <c r="QFN73" s="175"/>
      <c r="QFO73" s="177"/>
      <c r="QFP73" s="178"/>
      <c r="QFQ73" s="179"/>
      <c r="QFR73"/>
      <c r="QFS73" s="180"/>
      <c r="QFT73"/>
      <c r="QFU73" s="172"/>
      <c r="QFV73" s="181"/>
      <c r="QFW73"/>
      <c r="QFX73" s="174"/>
      <c r="QFY73" s="175"/>
      <c r="QFZ73" s="176"/>
      <c r="QGA73" s="176"/>
      <c r="QGB73" s="175"/>
      <c r="QGC73" s="177"/>
      <c r="QGD73" s="175"/>
      <c r="QGE73" s="177"/>
      <c r="QGF73" s="178"/>
      <c r="QGG73" s="179"/>
      <c r="QGH73"/>
      <c r="QGI73" s="180"/>
      <c r="QGJ73"/>
      <c r="QGK73" s="172"/>
      <c r="QGL73" s="181"/>
      <c r="QGM73"/>
      <c r="QGN73" s="174"/>
      <c r="QGO73" s="175"/>
      <c r="QGP73" s="176"/>
      <c r="QGQ73" s="176"/>
      <c r="QGR73" s="175"/>
      <c r="QGS73" s="177"/>
      <c r="QGT73" s="175"/>
      <c r="QGU73" s="177"/>
      <c r="QGV73" s="178"/>
      <c r="QGW73" s="179"/>
      <c r="QGX73"/>
      <c r="QGY73" s="180"/>
      <c r="QGZ73"/>
      <c r="QHA73" s="172"/>
      <c r="QHB73" s="181"/>
      <c r="QHC73"/>
      <c r="QHD73" s="174"/>
      <c r="QHE73" s="175"/>
      <c r="QHF73" s="176"/>
      <c r="QHG73" s="176"/>
      <c r="QHH73" s="175"/>
      <c r="QHI73" s="177"/>
      <c r="QHJ73" s="175"/>
      <c r="QHK73" s="177"/>
      <c r="QHL73" s="178"/>
      <c r="QHM73" s="179"/>
      <c r="QHN73"/>
      <c r="QHO73" s="180"/>
      <c r="QHP73"/>
      <c r="QHQ73" s="172"/>
      <c r="QHR73" s="181"/>
      <c r="QHS73"/>
      <c r="QHT73" s="174"/>
      <c r="QHU73" s="175"/>
      <c r="QHV73" s="176"/>
      <c r="QHW73" s="176"/>
      <c r="QHX73" s="175"/>
      <c r="QHY73" s="177"/>
      <c r="QHZ73" s="175"/>
      <c r="QIA73" s="177"/>
      <c r="QIB73" s="178"/>
      <c r="QIC73" s="179"/>
      <c r="QID73"/>
      <c r="QIE73" s="180"/>
      <c r="QIF73"/>
      <c r="QIG73" s="172"/>
      <c r="QIH73" s="181"/>
      <c r="QII73"/>
      <c r="QIJ73" s="174"/>
      <c r="QIK73" s="175"/>
      <c r="QIL73" s="176"/>
      <c r="QIM73" s="176"/>
      <c r="QIN73" s="175"/>
      <c r="QIO73" s="177"/>
      <c r="QIP73" s="175"/>
      <c r="QIQ73" s="177"/>
      <c r="QIR73" s="178"/>
      <c r="QIS73" s="179"/>
      <c r="QIT73"/>
      <c r="QIU73" s="180"/>
      <c r="QIV73"/>
      <c r="QIW73" s="172"/>
      <c r="QIX73" s="181"/>
      <c r="QIY73"/>
      <c r="QIZ73" s="174"/>
      <c r="QJA73" s="175"/>
      <c r="QJB73" s="176"/>
      <c r="QJC73" s="176"/>
      <c r="QJD73" s="175"/>
      <c r="QJE73" s="177"/>
      <c r="QJF73" s="175"/>
      <c r="QJG73" s="177"/>
      <c r="QJH73" s="178"/>
      <c r="QJI73" s="179"/>
      <c r="QJJ73"/>
      <c r="QJK73" s="180"/>
      <c r="QJL73"/>
      <c r="QJM73" s="172"/>
      <c r="QJN73" s="181"/>
      <c r="QJO73"/>
      <c r="QJP73" s="174"/>
      <c r="QJQ73" s="175"/>
      <c r="QJR73" s="176"/>
      <c r="QJS73" s="176"/>
      <c r="QJT73" s="175"/>
      <c r="QJU73" s="177"/>
      <c r="QJV73" s="175"/>
      <c r="QJW73" s="177"/>
      <c r="QJX73" s="178"/>
      <c r="QJY73" s="179"/>
      <c r="QJZ73"/>
      <c r="QKA73" s="180"/>
      <c r="QKB73"/>
      <c r="QKC73" s="172"/>
      <c r="QKD73" s="181"/>
      <c r="QKE73"/>
      <c r="QKF73" s="174"/>
      <c r="QKG73" s="175"/>
      <c r="QKH73" s="176"/>
      <c r="QKI73" s="176"/>
      <c r="QKJ73" s="175"/>
      <c r="QKK73" s="177"/>
      <c r="QKL73" s="175"/>
      <c r="QKM73" s="177"/>
      <c r="QKN73" s="178"/>
      <c r="QKO73" s="179"/>
      <c r="QKP73"/>
      <c r="QKQ73" s="180"/>
      <c r="QKR73"/>
      <c r="QKS73" s="172"/>
      <c r="QKT73" s="181"/>
      <c r="QKU73"/>
      <c r="QKV73" s="174"/>
      <c r="QKW73" s="175"/>
      <c r="QKX73" s="176"/>
      <c r="QKY73" s="176"/>
      <c r="QKZ73" s="175"/>
      <c r="QLA73" s="177"/>
      <c r="QLB73" s="175"/>
      <c r="QLC73" s="177"/>
      <c r="QLD73" s="178"/>
      <c r="QLE73" s="179"/>
      <c r="QLF73"/>
      <c r="QLG73" s="180"/>
      <c r="QLH73"/>
      <c r="QLI73" s="172"/>
      <c r="QLJ73" s="181"/>
      <c r="QLK73"/>
      <c r="QLL73" s="174"/>
      <c r="QLM73" s="175"/>
      <c r="QLN73" s="176"/>
      <c r="QLO73" s="176"/>
      <c r="QLP73" s="175"/>
      <c r="QLQ73" s="177"/>
      <c r="QLR73" s="175"/>
      <c r="QLS73" s="177"/>
      <c r="QLT73" s="178"/>
      <c r="QLU73" s="179"/>
      <c r="QLV73"/>
      <c r="QLW73" s="180"/>
      <c r="QLX73"/>
      <c r="QLY73" s="172"/>
      <c r="QLZ73" s="181"/>
      <c r="QMA73"/>
      <c r="QMB73" s="174"/>
      <c r="QMC73" s="175"/>
      <c r="QMD73" s="176"/>
      <c r="QME73" s="176"/>
      <c r="QMF73" s="175"/>
      <c r="QMG73" s="177"/>
      <c r="QMH73" s="175"/>
      <c r="QMI73" s="177"/>
      <c r="QMJ73" s="178"/>
      <c r="QMK73" s="179"/>
      <c r="QML73"/>
      <c r="QMM73" s="180"/>
      <c r="QMN73"/>
      <c r="QMO73" s="172"/>
      <c r="QMP73" s="181"/>
      <c r="QMQ73"/>
      <c r="QMR73" s="174"/>
      <c r="QMS73" s="175"/>
      <c r="QMT73" s="176"/>
      <c r="QMU73" s="176"/>
      <c r="QMV73" s="175"/>
      <c r="QMW73" s="177"/>
      <c r="QMX73" s="175"/>
      <c r="QMY73" s="177"/>
      <c r="QMZ73" s="178"/>
      <c r="QNA73" s="179"/>
      <c r="QNB73"/>
      <c r="QNC73" s="180"/>
      <c r="QND73"/>
      <c r="QNE73" s="172"/>
      <c r="QNF73" s="181"/>
      <c r="QNG73"/>
      <c r="QNH73" s="174"/>
      <c r="QNI73" s="175"/>
      <c r="QNJ73" s="176"/>
      <c r="QNK73" s="176"/>
      <c r="QNL73" s="175"/>
      <c r="QNM73" s="177"/>
      <c r="QNN73" s="175"/>
      <c r="QNO73" s="177"/>
      <c r="QNP73" s="178"/>
      <c r="QNQ73" s="179"/>
      <c r="QNR73"/>
      <c r="QNS73" s="180"/>
      <c r="QNT73"/>
      <c r="QNU73" s="172"/>
      <c r="QNV73" s="181"/>
      <c r="QNW73"/>
      <c r="QNX73" s="174"/>
      <c r="QNY73" s="175"/>
      <c r="QNZ73" s="176"/>
      <c r="QOA73" s="176"/>
      <c r="QOB73" s="175"/>
      <c r="QOC73" s="177"/>
      <c r="QOD73" s="175"/>
      <c r="QOE73" s="177"/>
      <c r="QOF73" s="178"/>
      <c r="QOG73" s="179"/>
      <c r="QOH73"/>
      <c r="QOI73" s="180"/>
      <c r="QOJ73"/>
      <c r="QOK73" s="172"/>
      <c r="QOL73" s="181"/>
      <c r="QOM73"/>
      <c r="QON73" s="174"/>
      <c r="QOO73" s="175"/>
      <c r="QOP73" s="176"/>
      <c r="QOQ73" s="176"/>
      <c r="QOR73" s="175"/>
      <c r="QOS73" s="177"/>
      <c r="QOT73" s="175"/>
      <c r="QOU73" s="177"/>
      <c r="QOV73" s="178"/>
      <c r="QOW73" s="179"/>
      <c r="QOX73"/>
      <c r="QOY73" s="180"/>
      <c r="QOZ73"/>
      <c r="QPA73" s="172"/>
      <c r="QPB73" s="181"/>
      <c r="QPC73"/>
      <c r="QPD73" s="174"/>
      <c r="QPE73" s="175"/>
      <c r="QPF73" s="176"/>
      <c r="QPG73" s="176"/>
      <c r="QPH73" s="175"/>
      <c r="QPI73" s="177"/>
      <c r="QPJ73" s="175"/>
      <c r="QPK73" s="177"/>
      <c r="QPL73" s="178"/>
      <c r="QPM73" s="179"/>
      <c r="QPN73"/>
      <c r="QPO73" s="180"/>
      <c r="QPP73"/>
      <c r="QPQ73" s="172"/>
      <c r="QPR73" s="181"/>
      <c r="QPS73"/>
      <c r="QPT73" s="174"/>
      <c r="QPU73" s="175"/>
      <c r="QPV73" s="176"/>
      <c r="QPW73" s="176"/>
      <c r="QPX73" s="175"/>
      <c r="QPY73" s="177"/>
      <c r="QPZ73" s="175"/>
      <c r="QQA73" s="177"/>
      <c r="QQB73" s="178"/>
      <c r="QQC73" s="179"/>
      <c r="QQD73"/>
      <c r="QQE73" s="180"/>
      <c r="QQF73"/>
      <c r="QQG73" s="172"/>
      <c r="QQH73" s="181"/>
      <c r="QQI73"/>
      <c r="QQJ73" s="174"/>
      <c r="QQK73" s="175"/>
      <c r="QQL73" s="176"/>
      <c r="QQM73" s="176"/>
      <c r="QQN73" s="175"/>
      <c r="QQO73" s="177"/>
      <c r="QQP73" s="175"/>
      <c r="QQQ73" s="177"/>
      <c r="QQR73" s="178"/>
      <c r="QQS73" s="179"/>
      <c r="QQT73"/>
      <c r="QQU73" s="180"/>
      <c r="QQV73"/>
      <c r="QQW73" s="172"/>
      <c r="QQX73" s="181"/>
      <c r="QQY73"/>
      <c r="QQZ73" s="174"/>
      <c r="QRA73" s="175"/>
      <c r="QRB73" s="176"/>
      <c r="QRC73" s="176"/>
      <c r="QRD73" s="175"/>
      <c r="QRE73" s="177"/>
      <c r="QRF73" s="175"/>
      <c r="QRG73" s="177"/>
      <c r="QRH73" s="178"/>
      <c r="QRI73" s="179"/>
      <c r="QRJ73"/>
      <c r="QRK73" s="180"/>
      <c r="QRL73"/>
      <c r="QRM73" s="172"/>
      <c r="QRN73" s="181"/>
      <c r="QRO73"/>
      <c r="QRP73" s="174"/>
      <c r="QRQ73" s="175"/>
      <c r="QRR73" s="176"/>
      <c r="QRS73" s="176"/>
      <c r="QRT73" s="175"/>
      <c r="QRU73" s="177"/>
      <c r="QRV73" s="175"/>
      <c r="QRW73" s="177"/>
      <c r="QRX73" s="178"/>
      <c r="QRY73" s="179"/>
      <c r="QRZ73"/>
      <c r="QSA73" s="180"/>
      <c r="QSB73"/>
      <c r="QSC73" s="172"/>
      <c r="QSD73" s="181"/>
      <c r="QSE73"/>
      <c r="QSF73" s="174"/>
      <c r="QSG73" s="175"/>
      <c r="QSH73" s="176"/>
      <c r="QSI73" s="176"/>
      <c r="QSJ73" s="175"/>
      <c r="QSK73" s="177"/>
      <c r="QSL73" s="175"/>
      <c r="QSM73" s="177"/>
      <c r="QSN73" s="178"/>
      <c r="QSO73" s="179"/>
      <c r="QSP73"/>
      <c r="QSQ73" s="180"/>
      <c r="QSR73"/>
      <c r="QSS73" s="172"/>
      <c r="QST73" s="181"/>
      <c r="QSU73"/>
      <c r="QSV73" s="174"/>
      <c r="QSW73" s="175"/>
      <c r="QSX73" s="176"/>
      <c r="QSY73" s="176"/>
      <c r="QSZ73" s="175"/>
      <c r="QTA73" s="177"/>
      <c r="QTB73" s="175"/>
      <c r="QTC73" s="177"/>
      <c r="QTD73" s="178"/>
      <c r="QTE73" s="179"/>
      <c r="QTF73"/>
      <c r="QTG73" s="180"/>
      <c r="QTH73"/>
      <c r="QTI73" s="172"/>
      <c r="QTJ73" s="181"/>
      <c r="QTK73"/>
      <c r="QTL73" s="174"/>
      <c r="QTM73" s="175"/>
      <c r="QTN73" s="176"/>
      <c r="QTO73" s="176"/>
      <c r="QTP73" s="175"/>
      <c r="QTQ73" s="177"/>
      <c r="QTR73" s="175"/>
      <c r="QTS73" s="177"/>
      <c r="QTT73" s="178"/>
      <c r="QTU73" s="179"/>
      <c r="QTV73"/>
      <c r="QTW73" s="180"/>
      <c r="QTX73"/>
      <c r="QTY73" s="172"/>
      <c r="QTZ73" s="181"/>
      <c r="QUA73"/>
      <c r="QUB73" s="174"/>
      <c r="QUC73" s="175"/>
      <c r="QUD73" s="176"/>
      <c r="QUE73" s="176"/>
      <c r="QUF73" s="175"/>
      <c r="QUG73" s="177"/>
      <c r="QUH73" s="175"/>
      <c r="QUI73" s="177"/>
      <c r="QUJ73" s="178"/>
      <c r="QUK73" s="179"/>
      <c r="QUL73"/>
      <c r="QUM73" s="180"/>
      <c r="QUN73"/>
      <c r="QUO73" s="172"/>
      <c r="QUP73" s="181"/>
      <c r="QUQ73"/>
      <c r="QUR73" s="174"/>
      <c r="QUS73" s="175"/>
      <c r="QUT73" s="176"/>
      <c r="QUU73" s="176"/>
      <c r="QUV73" s="175"/>
      <c r="QUW73" s="177"/>
      <c r="QUX73" s="175"/>
      <c r="QUY73" s="177"/>
      <c r="QUZ73" s="178"/>
      <c r="QVA73" s="179"/>
      <c r="QVB73"/>
      <c r="QVC73" s="180"/>
      <c r="QVD73"/>
      <c r="QVE73" s="172"/>
      <c r="QVF73" s="181"/>
      <c r="QVG73"/>
      <c r="QVH73" s="174"/>
      <c r="QVI73" s="175"/>
      <c r="QVJ73" s="176"/>
      <c r="QVK73" s="176"/>
      <c r="QVL73" s="175"/>
      <c r="QVM73" s="177"/>
      <c r="QVN73" s="175"/>
      <c r="QVO73" s="177"/>
      <c r="QVP73" s="178"/>
      <c r="QVQ73" s="179"/>
      <c r="QVR73"/>
      <c r="QVS73" s="180"/>
      <c r="QVT73"/>
      <c r="QVU73" s="172"/>
      <c r="QVV73" s="181"/>
      <c r="QVW73"/>
      <c r="QVX73" s="174"/>
      <c r="QVY73" s="175"/>
      <c r="QVZ73" s="176"/>
      <c r="QWA73" s="176"/>
      <c r="QWB73" s="175"/>
      <c r="QWC73" s="177"/>
      <c r="QWD73" s="175"/>
      <c r="QWE73" s="177"/>
      <c r="QWF73" s="178"/>
      <c r="QWG73" s="179"/>
      <c r="QWH73"/>
      <c r="QWI73" s="180"/>
      <c r="QWJ73"/>
      <c r="QWK73" s="172"/>
      <c r="QWL73" s="181"/>
      <c r="QWM73"/>
      <c r="QWN73" s="174"/>
      <c r="QWO73" s="175"/>
      <c r="QWP73" s="176"/>
      <c r="QWQ73" s="176"/>
      <c r="QWR73" s="175"/>
      <c r="QWS73" s="177"/>
      <c r="QWT73" s="175"/>
      <c r="QWU73" s="177"/>
      <c r="QWV73" s="178"/>
      <c r="QWW73" s="179"/>
      <c r="QWX73"/>
      <c r="QWY73" s="180"/>
      <c r="QWZ73"/>
      <c r="QXA73" s="172"/>
      <c r="QXB73" s="181"/>
      <c r="QXC73"/>
      <c r="QXD73" s="174"/>
      <c r="QXE73" s="175"/>
      <c r="QXF73" s="176"/>
      <c r="QXG73" s="176"/>
      <c r="QXH73" s="175"/>
      <c r="QXI73" s="177"/>
      <c r="QXJ73" s="175"/>
      <c r="QXK73" s="177"/>
      <c r="QXL73" s="178"/>
      <c r="QXM73" s="179"/>
      <c r="QXN73"/>
      <c r="QXO73" s="180"/>
      <c r="QXP73"/>
      <c r="QXQ73" s="172"/>
      <c r="QXR73" s="181"/>
      <c r="QXS73"/>
      <c r="QXT73" s="174"/>
      <c r="QXU73" s="175"/>
      <c r="QXV73" s="176"/>
      <c r="QXW73" s="176"/>
      <c r="QXX73" s="175"/>
      <c r="QXY73" s="177"/>
      <c r="QXZ73" s="175"/>
      <c r="QYA73" s="177"/>
      <c r="QYB73" s="178"/>
      <c r="QYC73" s="179"/>
      <c r="QYD73"/>
      <c r="QYE73" s="180"/>
      <c r="QYF73"/>
      <c r="QYG73" s="172"/>
      <c r="QYH73" s="181"/>
      <c r="QYI73"/>
      <c r="QYJ73" s="174"/>
      <c r="QYK73" s="175"/>
      <c r="QYL73" s="176"/>
      <c r="QYM73" s="176"/>
      <c r="QYN73" s="175"/>
      <c r="QYO73" s="177"/>
      <c r="QYP73" s="175"/>
      <c r="QYQ73" s="177"/>
      <c r="QYR73" s="178"/>
      <c r="QYS73" s="179"/>
      <c r="QYT73"/>
      <c r="QYU73" s="180"/>
      <c r="QYV73"/>
      <c r="QYW73" s="172"/>
      <c r="QYX73" s="181"/>
      <c r="QYY73"/>
      <c r="QYZ73" s="174"/>
      <c r="QZA73" s="175"/>
      <c r="QZB73" s="176"/>
      <c r="QZC73" s="176"/>
      <c r="QZD73" s="175"/>
      <c r="QZE73" s="177"/>
      <c r="QZF73" s="175"/>
      <c r="QZG73" s="177"/>
      <c r="QZH73" s="178"/>
      <c r="QZI73" s="179"/>
      <c r="QZJ73"/>
      <c r="QZK73" s="180"/>
      <c r="QZL73"/>
      <c r="QZM73" s="172"/>
      <c r="QZN73" s="181"/>
      <c r="QZO73"/>
      <c r="QZP73" s="174"/>
      <c r="QZQ73" s="175"/>
      <c r="QZR73" s="176"/>
      <c r="QZS73" s="176"/>
      <c r="QZT73" s="175"/>
      <c r="QZU73" s="177"/>
      <c r="QZV73" s="175"/>
      <c r="QZW73" s="177"/>
      <c r="QZX73" s="178"/>
      <c r="QZY73" s="179"/>
      <c r="QZZ73"/>
      <c r="RAA73" s="180"/>
      <c r="RAB73"/>
      <c r="RAC73" s="172"/>
      <c r="RAD73" s="181"/>
      <c r="RAE73"/>
      <c r="RWX73" s="181"/>
      <c r="RWY73"/>
      <c r="RWZ73" s="174"/>
      <c r="RXA73" s="175"/>
      <c r="RXB73" s="176"/>
      <c r="RXC73" s="176"/>
      <c r="RXD73" s="175"/>
      <c r="RXE73" s="177"/>
      <c r="RXF73" s="175"/>
      <c r="RXG73" s="177"/>
      <c r="RXH73" s="178"/>
      <c r="RXI73" s="179"/>
      <c r="RXJ73"/>
      <c r="RXK73" s="180"/>
      <c r="RXL73"/>
      <c r="RXM73" s="172"/>
      <c r="RXN73" s="181"/>
      <c r="RXO73"/>
      <c r="RXP73" s="174"/>
      <c r="RXQ73" s="175"/>
      <c r="RXR73" s="176"/>
      <c r="RXS73" s="176"/>
      <c r="RXT73" s="175"/>
      <c r="RXU73" s="177"/>
      <c r="RXV73" s="175"/>
      <c r="RXW73" s="177"/>
      <c r="RXX73" s="178"/>
      <c r="RXY73" s="179"/>
      <c r="RXZ73"/>
      <c r="RYA73" s="180"/>
      <c r="RYB73"/>
      <c r="RYC73" s="172"/>
      <c r="RYD73" s="181"/>
      <c r="RYE73"/>
      <c r="RYF73" s="174"/>
      <c r="RYG73" s="175"/>
      <c r="RYH73" s="176"/>
      <c r="RYI73" s="176"/>
      <c r="RYJ73" s="175"/>
      <c r="RYK73" s="177"/>
      <c r="RYL73" s="175"/>
      <c r="RYM73" s="177"/>
      <c r="RYN73" s="178"/>
      <c r="RYO73" s="179"/>
      <c r="RYP73"/>
      <c r="RYQ73" s="180"/>
      <c r="RYR73"/>
      <c r="RYS73" s="172"/>
      <c r="RYT73" s="181"/>
      <c r="RYU73"/>
      <c r="RYV73" s="174"/>
      <c r="RYW73" s="175"/>
      <c r="RYX73" s="176"/>
      <c r="RYY73" s="176"/>
      <c r="RYZ73" s="175"/>
      <c r="RZA73" s="177"/>
      <c r="RZB73" s="175"/>
      <c r="RZC73" s="177"/>
      <c r="RZD73" s="178"/>
      <c r="RZE73" s="179"/>
      <c r="RZF73"/>
      <c r="RZG73" s="180"/>
      <c r="RZH73"/>
      <c r="RZI73" s="172"/>
      <c r="RZJ73" s="181"/>
      <c r="RZK73"/>
      <c r="RZL73" s="174"/>
      <c r="RZM73" s="175"/>
      <c r="RZN73" s="176"/>
      <c r="RZO73" s="176"/>
      <c r="RZP73" s="175"/>
      <c r="RZQ73" s="177"/>
      <c r="RZR73" s="175"/>
      <c r="RZS73" s="177"/>
      <c r="RZT73" s="178"/>
      <c r="RZU73" s="179"/>
      <c r="RZV73"/>
      <c r="RZW73" s="180"/>
      <c r="RZX73"/>
      <c r="RZY73" s="172"/>
      <c r="RZZ73" s="181"/>
      <c r="SAA73"/>
      <c r="SAB73" s="174"/>
      <c r="SAC73" s="175"/>
      <c r="SAD73" s="176"/>
      <c r="SAE73" s="176"/>
      <c r="SAF73" s="175"/>
      <c r="SAG73" s="177"/>
      <c r="SAH73" s="175"/>
      <c r="SAI73" s="177"/>
      <c r="SAJ73" s="178"/>
      <c r="SAK73" s="179"/>
      <c r="SAL73"/>
      <c r="SAM73" s="180"/>
      <c r="SAN73"/>
      <c r="SAO73" s="172"/>
      <c r="SAP73" s="181"/>
      <c r="SAQ73"/>
      <c r="SAR73" s="174"/>
      <c r="SAS73" s="175"/>
      <c r="SAT73" s="176"/>
      <c r="SAU73" s="176"/>
      <c r="SAV73" s="175"/>
      <c r="SAW73" s="177"/>
      <c r="SAX73" s="175"/>
      <c r="SAY73" s="177"/>
      <c r="SAZ73" s="178"/>
      <c r="SBA73" s="179"/>
      <c r="SBB73"/>
      <c r="SBC73" s="180"/>
      <c r="SBD73"/>
      <c r="SBE73" s="172"/>
      <c r="SBF73" s="181"/>
      <c r="SBG73"/>
      <c r="SBH73" s="174"/>
      <c r="SBI73" s="175"/>
      <c r="SBJ73" s="176"/>
      <c r="SBK73" s="176"/>
      <c r="SBL73" s="175"/>
      <c r="SBM73" s="177"/>
      <c r="SBN73" s="175"/>
      <c r="SBO73" s="177"/>
      <c r="SBP73" s="178"/>
      <c r="SBQ73" s="179"/>
      <c r="SBR73"/>
      <c r="SBS73" s="180"/>
      <c r="SBT73"/>
      <c r="SBU73" s="172"/>
      <c r="SBV73" s="181"/>
      <c r="SBW73"/>
      <c r="SBX73" s="174"/>
      <c r="SBY73" s="175"/>
      <c r="SBZ73" s="176"/>
      <c r="SCA73" s="176"/>
      <c r="SCB73" s="175"/>
      <c r="SCC73" s="177"/>
      <c r="SCD73" s="175"/>
      <c r="SCE73" s="177"/>
      <c r="SCF73" s="178"/>
      <c r="SCG73" s="179"/>
      <c r="SCH73"/>
      <c r="SCI73" s="180"/>
      <c r="SCJ73"/>
      <c r="SCK73" s="172"/>
      <c r="SCL73" s="181"/>
      <c r="SCM73"/>
      <c r="SCN73" s="174"/>
      <c r="SCO73" s="175"/>
      <c r="SCP73" s="176"/>
      <c r="SCQ73" s="176"/>
      <c r="SCR73" s="175"/>
      <c r="SCS73" s="177"/>
      <c r="SCT73" s="175"/>
      <c r="SCU73" s="177"/>
      <c r="SCV73" s="178"/>
      <c r="SCW73" s="179"/>
      <c r="SCX73"/>
      <c r="SCY73" s="180"/>
      <c r="SCZ73"/>
      <c r="SDA73" s="172"/>
      <c r="SDB73" s="181"/>
      <c r="SDC73"/>
      <c r="SDD73" s="174"/>
      <c r="SDE73" s="175"/>
      <c r="SDF73" s="176"/>
      <c r="SDG73" s="176"/>
      <c r="SDH73" s="175"/>
      <c r="SDI73" s="177"/>
      <c r="SDJ73" s="175"/>
      <c r="SDK73" s="177"/>
      <c r="SDL73" s="178"/>
      <c r="SDM73" s="179"/>
      <c r="SDN73"/>
      <c r="SDO73" s="180"/>
      <c r="SDP73"/>
      <c r="SDQ73" s="172"/>
      <c r="SDR73" s="181"/>
      <c r="SDS73"/>
      <c r="SDT73" s="174"/>
      <c r="SDU73" s="175"/>
      <c r="SDV73" s="176"/>
      <c r="SDW73" s="176"/>
      <c r="SDX73" s="175"/>
      <c r="SDY73" s="177"/>
      <c r="SDZ73" s="175"/>
      <c r="SEA73" s="177"/>
      <c r="SEB73" s="178"/>
      <c r="SEC73" s="179"/>
      <c r="SED73"/>
      <c r="SEE73" s="180"/>
      <c r="SEF73"/>
      <c r="SEG73" s="172"/>
      <c r="SEH73" s="181"/>
      <c r="SEI73"/>
      <c r="SEJ73" s="174"/>
      <c r="SEK73" s="175"/>
      <c r="SEL73" s="176"/>
      <c r="SEM73" s="176"/>
      <c r="SEN73" s="175"/>
      <c r="SEO73" s="177"/>
      <c r="SEP73" s="175"/>
      <c r="SEQ73" s="177"/>
      <c r="SER73" s="178"/>
      <c r="SES73" s="179"/>
      <c r="SET73"/>
      <c r="SEU73" s="180"/>
      <c r="SEV73"/>
      <c r="SEW73" s="172"/>
      <c r="SEX73" s="181"/>
      <c r="SEY73"/>
      <c r="SEZ73" s="174"/>
      <c r="SFA73" s="175"/>
      <c r="SFB73" s="176"/>
      <c r="SFC73" s="176"/>
      <c r="SFD73" s="175"/>
      <c r="SFE73" s="177"/>
      <c r="SFF73" s="175"/>
      <c r="SFG73" s="177"/>
      <c r="SFH73" s="178"/>
      <c r="SFI73" s="179"/>
      <c r="SFJ73"/>
      <c r="SFK73" s="180"/>
      <c r="SFL73"/>
      <c r="SFM73" s="172"/>
      <c r="SFN73" s="181"/>
      <c r="SFO73"/>
      <c r="SFP73" s="174"/>
      <c r="SFQ73" s="175"/>
      <c r="SFR73" s="176"/>
      <c r="SFS73" s="176"/>
      <c r="SFT73" s="175"/>
      <c r="SFU73" s="177"/>
      <c r="SFV73" s="175"/>
      <c r="SFW73" s="177"/>
      <c r="SFX73" s="178"/>
      <c r="SFY73" s="179"/>
      <c r="SFZ73"/>
      <c r="SGA73" s="180"/>
      <c r="SGB73"/>
      <c r="SGC73" s="172"/>
      <c r="SGD73" s="181"/>
      <c r="SGE73"/>
      <c r="SGF73" s="174"/>
      <c r="SGG73" s="175"/>
      <c r="SGH73" s="176"/>
      <c r="SGI73" s="176"/>
      <c r="SGJ73" s="175"/>
      <c r="SGK73" s="177"/>
      <c r="SGL73" s="175"/>
      <c r="SGM73" s="177"/>
      <c r="SGN73" s="178"/>
      <c r="SGO73" s="179"/>
      <c r="SGP73"/>
      <c r="SGQ73" s="180"/>
      <c r="SGR73"/>
      <c r="SGS73" s="172"/>
      <c r="SGT73" s="181"/>
      <c r="SGU73"/>
      <c r="SGV73" s="174"/>
      <c r="SGW73" s="175"/>
      <c r="SGX73" s="176"/>
      <c r="SGY73" s="176"/>
      <c r="SGZ73" s="175"/>
      <c r="SHA73" s="177"/>
      <c r="SHB73" s="175"/>
      <c r="SHC73" s="177"/>
      <c r="SHD73" s="178"/>
      <c r="SHE73" s="179"/>
      <c r="SHF73"/>
      <c r="SHG73" s="180"/>
      <c r="SHH73"/>
      <c r="SHI73" s="172"/>
      <c r="SHJ73" s="181"/>
      <c r="SHK73"/>
      <c r="SHL73" s="174"/>
      <c r="SHM73" s="175"/>
      <c r="SHN73" s="176"/>
      <c r="SHO73" s="176"/>
      <c r="SHP73" s="175"/>
      <c r="SHQ73" s="177"/>
      <c r="SHR73" s="175"/>
      <c r="SHS73" s="177"/>
      <c r="SHT73" s="178"/>
      <c r="SHU73" s="179"/>
      <c r="SHV73"/>
      <c r="SHW73" s="180"/>
      <c r="SHX73"/>
      <c r="SHY73" s="172"/>
      <c r="SHZ73" s="181"/>
      <c r="SIA73"/>
      <c r="SIB73" s="174"/>
      <c r="SIC73" s="175"/>
      <c r="SID73" s="176"/>
      <c r="SIE73" s="176"/>
      <c r="SIF73" s="175"/>
      <c r="SIG73" s="177"/>
      <c r="SIH73" s="175"/>
      <c r="SII73" s="177"/>
      <c r="SIJ73" s="178"/>
      <c r="SIK73" s="179"/>
      <c r="SIL73"/>
      <c r="SIM73" s="180"/>
      <c r="SIN73"/>
      <c r="SIO73" s="172"/>
      <c r="SIP73" s="181"/>
      <c r="SIQ73"/>
      <c r="SIR73" s="174"/>
      <c r="SIS73" s="175"/>
      <c r="SIT73" s="176"/>
      <c r="SIU73" s="176"/>
      <c r="SIV73" s="175"/>
      <c r="SIW73" s="177"/>
      <c r="SIX73" s="175"/>
      <c r="SIY73" s="177"/>
      <c r="SIZ73" s="178"/>
      <c r="SJA73" s="179"/>
      <c r="SJB73"/>
      <c r="SJC73" s="180"/>
      <c r="SJD73"/>
      <c r="SJE73" s="172"/>
      <c r="SJF73" s="181"/>
      <c r="SJG73"/>
      <c r="SJH73" s="174"/>
      <c r="SJI73" s="175"/>
      <c r="SJJ73" s="176"/>
      <c r="SJK73" s="176"/>
      <c r="SJL73" s="175"/>
      <c r="SJM73" s="177"/>
      <c r="SJN73" s="175"/>
      <c r="SJO73" s="177"/>
      <c r="SJP73" s="178"/>
      <c r="SJQ73" s="179"/>
      <c r="SJR73"/>
      <c r="SJS73" s="180"/>
      <c r="SJT73"/>
      <c r="SJU73" s="172"/>
      <c r="SJV73" s="181"/>
      <c r="SJW73"/>
      <c r="SJX73" s="174"/>
      <c r="SJY73" s="175"/>
      <c r="SJZ73" s="176"/>
      <c r="SKA73" s="176"/>
      <c r="SKB73" s="175"/>
      <c r="SKC73" s="177"/>
      <c r="SKD73" s="175"/>
      <c r="SKE73" s="177"/>
      <c r="SKF73" s="178"/>
      <c r="SKG73" s="179"/>
      <c r="SKH73"/>
      <c r="SKI73" s="180"/>
      <c r="SKJ73"/>
      <c r="SKK73" s="172"/>
      <c r="SKL73" s="181"/>
      <c r="SKM73"/>
      <c r="SKN73" s="174"/>
      <c r="SKO73" s="175"/>
      <c r="SKP73" s="176"/>
      <c r="SKQ73" s="176"/>
      <c r="SKR73" s="175"/>
      <c r="SKS73" s="177"/>
      <c r="SKT73" s="175"/>
      <c r="SKU73" s="177"/>
      <c r="SKV73" s="178"/>
      <c r="SKW73" s="179"/>
      <c r="SKX73"/>
      <c r="SKY73" s="180"/>
      <c r="SKZ73"/>
      <c r="SLA73" s="172"/>
      <c r="SLB73" s="181"/>
      <c r="SLC73"/>
      <c r="SLD73" s="174"/>
      <c r="SLE73" s="175"/>
      <c r="SLF73" s="176"/>
      <c r="SLG73" s="176"/>
      <c r="SLH73" s="175"/>
      <c r="SLI73" s="177"/>
      <c r="SLJ73" s="175"/>
      <c r="SLK73" s="177"/>
      <c r="SLL73" s="178"/>
      <c r="SLM73" s="179"/>
      <c r="SLN73"/>
      <c r="SLO73" s="180"/>
      <c r="SLP73"/>
      <c r="SLQ73" s="172"/>
      <c r="SLR73" s="181"/>
      <c r="SLS73"/>
      <c r="SLT73" s="174"/>
      <c r="SLU73" s="175"/>
      <c r="SLV73" s="176"/>
      <c r="SLW73" s="176"/>
      <c r="SLX73" s="175"/>
      <c r="SLY73" s="177"/>
      <c r="SLZ73" s="175"/>
      <c r="SMA73" s="177"/>
      <c r="SMB73" s="178"/>
      <c r="SMC73" s="179"/>
      <c r="SMD73"/>
      <c r="SME73" s="180"/>
      <c r="SMF73"/>
      <c r="SMG73" s="172"/>
      <c r="SMH73" s="181"/>
      <c r="SMI73"/>
      <c r="SMJ73" s="174"/>
      <c r="SMK73" s="175"/>
      <c r="SML73" s="176"/>
      <c r="SMM73" s="176"/>
      <c r="SMN73" s="175"/>
      <c r="SMO73" s="177"/>
      <c r="SMP73" s="175"/>
      <c r="SMQ73" s="177"/>
      <c r="SMR73" s="178"/>
      <c r="SMS73" s="179"/>
      <c r="SMT73"/>
      <c r="SMU73" s="180"/>
      <c r="SMV73"/>
      <c r="SMW73" s="172"/>
      <c r="SMX73" s="181"/>
      <c r="SMY73"/>
      <c r="SMZ73" s="174"/>
      <c r="SNA73" s="175"/>
      <c r="SNB73" s="176"/>
      <c r="SNC73" s="176"/>
      <c r="SND73" s="175"/>
      <c r="SNE73" s="177"/>
      <c r="SNF73" s="175"/>
      <c r="SNG73" s="177"/>
      <c r="SNH73" s="178"/>
      <c r="SNI73" s="179"/>
      <c r="SNJ73"/>
      <c r="SNK73" s="180"/>
      <c r="SNL73"/>
      <c r="SNM73" s="172"/>
      <c r="SNN73" s="181"/>
      <c r="SNO73"/>
      <c r="SNP73" s="174"/>
      <c r="SNQ73" s="175"/>
      <c r="SNR73" s="176"/>
      <c r="SNS73" s="176"/>
      <c r="SNT73" s="175"/>
      <c r="SNU73" s="177"/>
      <c r="SNV73" s="175"/>
      <c r="SNW73" s="177"/>
      <c r="SNX73" s="178"/>
      <c r="SNY73" s="179"/>
      <c r="SNZ73"/>
      <c r="SOA73" s="180"/>
      <c r="SOB73"/>
      <c r="SOC73" s="172"/>
      <c r="SOD73" s="181"/>
      <c r="SOE73"/>
      <c r="SOF73" s="174"/>
      <c r="SOG73" s="175"/>
      <c r="SOH73" s="176"/>
      <c r="SOI73" s="176"/>
      <c r="SOJ73" s="175"/>
      <c r="SOK73" s="177"/>
      <c r="SOL73" s="175"/>
      <c r="SOM73" s="177"/>
      <c r="SON73" s="178"/>
      <c r="SOO73" s="179"/>
      <c r="SOP73"/>
      <c r="SOQ73" s="180"/>
      <c r="SOR73"/>
      <c r="SOS73" s="172"/>
      <c r="SOT73" s="181"/>
      <c r="SOU73"/>
      <c r="SOV73" s="174"/>
      <c r="SOW73" s="175"/>
      <c r="SOX73" s="176"/>
      <c r="SOY73" s="176"/>
      <c r="SOZ73" s="175"/>
      <c r="SPA73" s="177"/>
      <c r="SPB73" s="175"/>
      <c r="SPC73" s="177"/>
      <c r="SPD73" s="178"/>
      <c r="SPE73" s="179"/>
      <c r="SPF73"/>
      <c r="SPG73" s="180"/>
      <c r="SPH73"/>
      <c r="SPI73" s="172"/>
      <c r="SPJ73" s="181"/>
      <c r="SPK73"/>
      <c r="SPL73" s="174"/>
      <c r="SPM73" s="175"/>
      <c r="SPN73" s="176"/>
      <c r="SPO73" s="176"/>
      <c r="SPP73" s="175"/>
      <c r="SPQ73" s="177"/>
      <c r="SPR73" s="175"/>
      <c r="SPS73" s="177"/>
      <c r="SPT73" s="178"/>
      <c r="SPU73" s="179"/>
      <c r="SPV73"/>
      <c r="SPW73" s="180"/>
      <c r="SPX73"/>
      <c r="SPY73" s="172"/>
      <c r="SPZ73" s="181"/>
      <c r="SQA73"/>
      <c r="SQB73" s="174"/>
      <c r="SQC73" s="175"/>
      <c r="SQD73" s="176"/>
      <c r="SQE73" s="176"/>
      <c r="SQF73" s="175"/>
      <c r="SQG73" s="177"/>
      <c r="SQH73" s="175"/>
      <c r="SQI73" s="177"/>
      <c r="SQJ73" s="178"/>
      <c r="SQK73" s="179"/>
      <c r="SQL73"/>
      <c r="SQM73" s="180"/>
      <c r="SQN73"/>
      <c r="SQO73" s="172"/>
      <c r="SQP73" s="181"/>
      <c r="SQQ73"/>
      <c r="SQR73" s="174"/>
      <c r="SQS73" s="175"/>
      <c r="SQT73" s="176"/>
      <c r="SQU73" s="176"/>
      <c r="SQV73" s="175"/>
      <c r="SQW73" s="177"/>
      <c r="SQX73" s="175"/>
      <c r="SQY73" s="177"/>
      <c r="SQZ73" s="178"/>
      <c r="SRA73" s="179"/>
      <c r="SRB73"/>
      <c r="SRC73" s="180"/>
      <c r="SRD73"/>
      <c r="SRE73" s="172"/>
      <c r="SRF73" s="181"/>
      <c r="SRG73"/>
      <c r="SRH73" s="174"/>
      <c r="SRI73" s="175"/>
      <c r="SRJ73" s="176"/>
      <c r="SRK73" s="176"/>
      <c r="SRL73" s="175"/>
      <c r="SRM73" s="177"/>
      <c r="SRN73" s="175"/>
      <c r="SRO73" s="177"/>
      <c r="SRP73" s="178"/>
      <c r="SRQ73" s="179"/>
      <c r="SRR73"/>
      <c r="SRS73" s="180"/>
      <c r="SRT73"/>
      <c r="SRU73" s="172"/>
      <c r="SRV73" s="181"/>
      <c r="SRW73"/>
      <c r="SRX73" s="174"/>
      <c r="SRY73" s="175"/>
      <c r="SRZ73" s="176"/>
      <c r="SSA73" s="176"/>
      <c r="SSB73" s="175"/>
      <c r="SSC73" s="177"/>
      <c r="SSD73" s="175"/>
      <c r="SSE73" s="177"/>
      <c r="SSF73" s="178"/>
      <c r="SSG73" s="179"/>
      <c r="SSH73"/>
      <c r="SSI73" s="180"/>
      <c r="SSJ73"/>
      <c r="SSK73" s="172"/>
      <c r="SSL73" s="181"/>
      <c r="SSM73"/>
      <c r="SSN73" s="174"/>
      <c r="SSO73" s="175"/>
      <c r="SSP73" s="176"/>
      <c r="SSQ73" s="176"/>
      <c r="SSR73" s="175"/>
      <c r="SSS73" s="177"/>
      <c r="SST73" s="175"/>
      <c r="SSU73" s="177"/>
      <c r="SSV73" s="178"/>
      <c r="SSW73" s="179"/>
      <c r="SSX73"/>
      <c r="SSY73" s="180"/>
      <c r="SSZ73"/>
      <c r="STA73" s="172"/>
      <c r="STB73" s="181"/>
      <c r="STC73"/>
      <c r="STD73" s="174"/>
      <c r="STE73" s="175"/>
      <c r="STF73" s="176"/>
      <c r="STG73" s="176"/>
      <c r="STH73" s="175"/>
      <c r="STI73" s="177"/>
      <c r="STJ73" s="175"/>
      <c r="STK73" s="177"/>
      <c r="STL73" s="178"/>
      <c r="STM73" s="179"/>
      <c r="STN73"/>
      <c r="STO73" s="180"/>
      <c r="STP73"/>
      <c r="STQ73" s="172"/>
      <c r="STR73" s="181"/>
      <c r="STS73"/>
      <c r="STT73" s="174"/>
      <c r="STU73" s="175"/>
      <c r="STV73" s="176"/>
      <c r="STW73" s="176"/>
      <c r="STX73" s="175"/>
      <c r="STY73" s="177"/>
      <c r="STZ73" s="175"/>
      <c r="SUA73" s="177"/>
      <c r="SUB73" s="178"/>
      <c r="SUC73" s="179"/>
      <c r="SUD73"/>
      <c r="SUE73" s="180"/>
      <c r="SUF73"/>
      <c r="SUG73" s="172"/>
      <c r="SUH73" s="181"/>
      <c r="SUI73"/>
      <c r="SUJ73" s="174"/>
      <c r="SUK73" s="175"/>
      <c r="SUL73" s="176"/>
      <c r="SUM73" s="176"/>
      <c r="SUN73" s="175"/>
      <c r="SUO73" s="177"/>
      <c r="SUP73" s="175"/>
      <c r="SUQ73" s="177"/>
      <c r="SUR73" s="178"/>
      <c r="SUS73" s="179"/>
      <c r="SUT73"/>
      <c r="SUU73" s="180"/>
      <c r="SUV73"/>
      <c r="SUW73" s="172"/>
      <c r="SUX73" s="181"/>
      <c r="SUY73"/>
      <c r="SUZ73" s="174"/>
      <c r="SVA73" s="175"/>
      <c r="SVB73" s="176"/>
      <c r="SVC73" s="176"/>
      <c r="SVD73" s="175"/>
      <c r="SVE73" s="177"/>
      <c r="SVF73" s="175"/>
      <c r="SVG73" s="177"/>
      <c r="SVH73" s="178"/>
      <c r="SVI73" s="179"/>
      <c r="SVJ73"/>
      <c r="SVK73" s="180"/>
      <c r="SVL73"/>
      <c r="SVM73" s="172"/>
      <c r="SVN73" s="181"/>
      <c r="SVO73"/>
      <c r="SVP73" s="174"/>
      <c r="SVQ73" s="175"/>
      <c r="SVR73" s="176"/>
      <c r="SVS73" s="176"/>
      <c r="SVT73" s="175"/>
      <c r="SVU73" s="177"/>
      <c r="SVV73" s="175"/>
      <c r="SVW73" s="177"/>
      <c r="SVX73" s="178"/>
      <c r="SVY73" s="179"/>
      <c r="SVZ73"/>
      <c r="SWA73" s="180"/>
      <c r="SWB73"/>
      <c r="SWC73" s="172"/>
      <c r="SWD73" s="181"/>
      <c r="SWE73"/>
      <c r="SWF73" s="174"/>
      <c r="SWG73" s="175"/>
      <c r="SWH73" s="176"/>
      <c r="SWI73" s="176"/>
      <c r="SWJ73" s="175"/>
      <c r="SWK73" s="177"/>
      <c r="SWL73" s="175"/>
      <c r="SWM73" s="177"/>
      <c r="SWN73" s="178"/>
      <c r="SWO73" s="179"/>
      <c r="SWP73"/>
      <c r="SWQ73" s="180"/>
      <c r="SWR73"/>
      <c r="SWS73" s="172"/>
      <c r="SWT73" s="181"/>
      <c r="SWU73"/>
      <c r="SWV73" s="174"/>
      <c r="SWW73" s="175"/>
      <c r="SWX73" s="176"/>
      <c r="SWY73" s="176"/>
      <c r="SWZ73" s="175"/>
      <c r="SXA73" s="177"/>
      <c r="SXB73" s="175"/>
      <c r="SXC73" s="177"/>
      <c r="SXD73" s="178"/>
      <c r="SXE73" s="179"/>
      <c r="SXF73"/>
      <c r="SXG73" s="180"/>
      <c r="SXH73"/>
      <c r="SXI73" s="172"/>
      <c r="SXJ73" s="181"/>
      <c r="SXK73"/>
      <c r="SXL73" s="174"/>
      <c r="SXM73" s="175"/>
      <c r="SXN73" s="176"/>
      <c r="SXO73" s="176"/>
      <c r="SXP73" s="175"/>
      <c r="SXQ73" s="177"/>
      <c r="SXR73" s="175"/>
      <c r="SXS73" s="177"/>
      <c r="SXT73" s="178"/>
      <c r="SXU73" s="179"/>
      <c r="SXV73"/>
      <c r="SXW73" s="180"/>
      <c r="SXX73"/>
      <c r="SXY73" s="172"/>
      <c r="SXZ73" s="181"/>
      <c r="SYA73"/>
      <c r="SYB73" s="174"/>
      <c r="SYC73" s="175"/>
      <c r="SYD73" s="176"/>
      <c r="SYE73" s="176"/>
      <c r="SYF73" s="175"/>
      <c r="SYG73" s="177"/>
      <c r="SYH73" s="175"/>
      <c r="SYI73" s="177"/>
      <c r="SYJ73" s="178"/>
      <c r="SYK73" s="179"/>
      <c r="SYL73"/>
      <c r="SYM73" s="180"/>
      <c r="SYN73"/>
      <c r="SYO73" s="172"/>
      <c r="SYP73" s="181"/>
      <c r="SYQ73"/>
      <c r="SYR73" s="174"/>
      <c r="SYS73" s="175"/>
      <c r="SYT73" s="176"/>
      <c r="SYU73" s="176"/>
      <c r="SYV73" s="175"/>
      <c r="SYW73" s="177"/>
      <c r="SYX73" s="175"/>
      <c r="SYY73" s="177"/>
      <c r="SYZ73" s="178"/>
      <c r="SZA73" s="179"/>
      <c r="SZB73"/>
      <c r="SZC73" s="180"/>
      <c r="SZD73"/>
      <c r="SZE73" s="172"/>
      <c r="SZF73" s="181"/>
      <c r="SZG73"/>
      <c r="SZH73" s="174"/>
      <c r="SZI73" s="175"/>
      <c r="SZJ73" s="176"/>
      <c r="SZK73" s="176"/>
      <c r="SZL73" s="175"/>
      <c r="SZM73" s="177"/>
      <c r="SZN73" s="175"/>
      <c r="SZO73" s="177"/>
      <c r="SZP73" s="178"/>
      <c r="SZQ73" s="179"/>
      <c r="SZR73"/>
      <c r="SZS73" s="180"/>
      <c r="SZT73"/>
      <c r="SZU73" s="172"/>
      <c r="SZV73" s="181"/>
      <c r="SZW73"/>
      <c r="SZX73" s="174"/>
      <c r="SZY73" s="175"/>
      <c r="SZZ73" s="176"/>
      <c r="TAA73" s="176"/>
      <c r="TAB73" s="175"/>
      <c r="TAC73" s="177"/>
      <c r="TAD73" s="175"/>
      <c r="TAE73" s="177"/>
      <c r="TAF73" s="178"/>
      <c r="TAG73" s="179"/>
      <c r="TAH73"/>
      <c r="TAI73" s="180"/>
      <c r="TAJ73"/>
      <c r="TAK73" s="172"/>
      <c r="TAL73" s="181"/>
      <c r="TAM73"/>
      <c r="TAN73" s="174"/>
      <c r="TAO73" s="175"/>
      <c r="TAP73" s="176"/>
      <c r="TAQ73" s="176"/>
      <c r="TAR73" s="175"/>
      <c r="TAS73" s="177"/>
      <c r="TAT73" s="175"/>
      <c r="TAU73" s="177"/>
      <c r="TAV73" s="178"/>
      <c r="TAW73" s="179"/>
      <c r="TAX73"/>
      <c r="TAY73" s="180"/>
      <c r="TAZ73"/>
      <c r="TBA73" s="172"/>
      <c r="TBB73" s="181"/>
      <c r="TBC73"/>
      <c r="TBD73" s="174"/>
      <c r="TBE73" s="175"/>
      <c r="TBF73" s="176"/>
      <c r="TBG73" s="176"/>
      <c r="TBH73" s="175"/>
      <c r="TBI73" s="177"/>
      <c r="TBJ73" s="175"/>
      <c r="TBK73" s="177"/>
      <c r="TBL73" s="178"/>
      <c r="TBM73" s="179"/>
      <c r="TBN73"/>
      <c r="TBO73" s="180"/>
      <c r="TBP73"/>
      <c r="TBQ73" s="172"/>
      <c r="TBR73" s="181"/>
      <c r="TBS73"/>
      <c r="TBT73" s="174"/>
      <c r="TBU73" s="175"/>
      <c r="TBV73" s="176"/>
      <c r="TBW73" s="176"/>
      <c r="TBX73" s="175"/>
      <c r="TBY73" s="177"/>
      <c r="TBZ73" s="175"/>
      <c r="TCA73" s="177"/>
      <c r="TCB73" s="178"/>
      <c r="TCC73" s="179"/>
      <c r="TCD73"/>
      <c r="TCE73" s="180"/>
      <c r="TCF73"/>
      <c r="TCG73" s="172"/>
      <c r="TCH73" s="181"/>
      <c r="TCI73"/>
      <c r="TCJ73" s="174"/>
      <c r="TCK73" s="175"/>
      <c r="TCL73" s="176"/>
      <c r="TCM73" s="176"/>
      <c r="TCN73" s="175"/>
      <c r="TCO73" s="177"/>
      <c r="TCP73" s="175"/>
      <c r="TCQ73" s="177"/>
      <c r="TCR73" s="178"/>
      <c r="TCS73" s="179"/>
      <c r="TCT73"/>
      <c r="TCU73" s="180"/>
      <c r="TCV73"/>
      <c r="TCW73" s="172"/>
      <c r="TCX73" s="181"/>
      <c r="TCY73"/>
      <c r="TCZ73" s="174"/>
      <c r="TDA73" s="175"/>
      <c r="TDB73" s="176"/>
      <c r="TDC73" s="176"/>
      <c r="TDD73" s="175"/>
      <c r="TDE73" s="177"/>
      <c r="TDF73" s="175"/>
      <c r="TDG73" s="177"/>
      <c r="TDH73" s="178"/>
      <c r="TDI73" s="179"/>
      <c r="TDJ73"/>
      <c r="TDK73" s="180"/>
      <c r="TDL73"/>
      <c r="TDM73" s="172"/>
      <c r="TDN73" s="181"/>
      <c r="TDO73"/>
      <c r="TDP73" s="174"/>
      <c r="TDQ73" s="175"/>
      <c r="TDR73" s="176"/>
      <c r="TDS73" s="176"/>
      <c r="TDT73" s="175"/>
      <c r="TDU73" s="177"/>
      <c r="TDV73" s="175"/>
      <c r="TDW73" s="177"/>
      <c r="TDX73" s="178"/>
      <c r="TDY73" s="179"/>
      <c r="TDZ73"/>
      <c r="TEA73" s="180"/>
      <c r="TEB73"/>
      <c r="TEC73" s="172"/>
      <c r="TED73" s="181"/>
      <c r="TEE73"/>
      <c r="TEF73" s="174"/>
      <c r="TEG73" s="175"/>
      <c r="TEH73" s="176"/>
      <c r="TEI73" s="176"/>
      <c r="TEJ73" s="175"/>
      <c r="TEK73" s="177"/>
      <c r="TEL73" s="175"/>
      <c r="TEM73" s="177"/>
      <c r="TEN73" s="178"/>
      <c r="TEO73" s="179"/>
      <c r="TEP73"/>
      <c r="TEQ73" s="180"/>
      <c r="TER73"/>
      <c r="TES73" s="172"/>
      <c r="TET73" s="181"/>
      <c r="TEU73"/>
      <c r="TEV73" s="174"/>
      <c r="TEW73" s="175"/>
      <c r="TEX73" s="176"/>
      <c r="TEY73" s="176"/>
      <c r="TEZ73" s="175"/>
      <c r="TFA73" s="177"/>
      <c r="TFB73" s="175"/>
      <c r="TFC73" s="177"/>
      <c r="TFD73" s="178"/>
      <c r="TFE73" s="179"/>
      <c r="TFF73"/>
      <c r="TFG73" s="180"/>
      <c r="TFH73"/>
      <c r="TFI73" s="172"/>
      <c r="TFJ73" s="181"/>
      <c r="TFK73"/>
      <c r="TFL73" s="174"/>
      <c r="TFM73" s="175"/>
      <c r="TFN73" s="176"/>
      <c r="TFO73" s="176"/>
      <c r="TFP73" s="175"/>
      <c r="TFQ73" s="177"/>
      <c r="TFR73" s="175"/>
      <c r="TFS73" s="177"/>
      <c r="TFT73" s="178"/>
      <c r="TFU73" s="179"/>
      <c r="TFV73"/>
      <c r="TFW73" s="180"/>
      <c r="TFX73"/>
      <c r="TFY73" s="172"/>
      <c r="TFZ73" s="181"/>
      <c r="TGA73"/>
      <c r="TGB73" s="174"/>
      <c r="TGC73" s="175"/>
      <c r="TGD73" s="176"/>
      <c r="TGE73" s="176"/>
      <c r="TGF73" s="175"/>
      <c r="TGG73" s="177"/>
      <c r="TGH73" s="175"/>
      <c r="TGI73" s="177"/>
      <c r="TGJ73" s="178"/>
      <c r="TGK73" s="179"/>
      <c r="TGL73"/>
      <c r="TGM73" s="180"/>
      <c r="TGN73"/>
      <c r="TGO73" s="172"/>
      <c r="TGP73" s="181"/>
      <c r="TGQ73"/>
      <c r="TGR73" s="174"/>
      <c r="TGS73" s="175"/>
      <c r="TGT73" s="176"/>
      <c r="TGU73" s="176"/>
      <c r="TGV73" s="175"/>
      <c r="TGW73" s="177"/>
      <c r="TGX73" s="175"/>
      <c r="TGY73" s="177"/>
      <c r="TGZ73" s="178"/>
      <c r="THA73" s="179"/>
      <c r="THB73"/>
      <c r="THC73" s="180"/>
      <c r="THD73"/>
      <c r="THE73" s="172"/>
      <c r="THF73" s="181"/>
      <c r="THG73"/>
      <c r="THH73" s="174"/>
      <c r="THI73" s="175"/>
      <c r="THJ73" s="176"/>
      <c r="THK73" s="176"/>
      <c r="THL73" s="175"/>
      <c r="THM73" s="177"/>
      <c r="THN73" s="175"/>
      <c r="THO73" s="177"/>
      <c r="THP73" s="178"/>
      <c r="THQ73" s="179"/>
      <c r="THR73"/>
      <c r="THS73" s="180"/>
      <c r="THT73"/>
      <c r="THU73" s="172"/>
      <c r="THV73" s="181"/>
      <c r="THW73"/>
      <c r="THX73" s="174"/>
      <c r="THY73" s="175"/>
      <c r="THZ73" s="176"/>
      <c r="TIA73" s="176"/>
      <c r="TIB73" s="175"/>
      <c r="TIC73" s="177"/>
      <c r="TID73" s="175"/>
      <c r="TIE73" s="177"/>
      <c r="TIF73" s="178"/>
      <c r="TIG73" s="179"/>
      <c r="TIH73"/>
      <c r="TII73" s="180"/>
      <c r="TIJ73"/>
      <c r="TIK73" s="172"/>
      <c r="TIL73" s="181"/>
      <c r="TIM73"/>
      <c r="TIN73" s="174"/>
      <c r="TIO73" s="175"/>
      <c r="TIP73" s="176"/>
      <c r="TIQ73" s="176"/>
      <c r="TIR73" s="175"/>
      <c r="TIS73" s="177"/>
      <c r="TIT73" s="175"/>
      <c r="TIU73" s="177"/>
      <c r="TIV73" s="178"/>
      <c r="TIW73" s="179"/>
      <c r="TIX73"/>
      <c r="TIY73" s="180"/>
      <c r="TIZ73"/>
      <c r="TJA73" s="172"/>
      <c r="TJB73" s="181"/>
      <c r="TJC73"/>
      <c r="TJD73" s="174"/>
      <c r="TJE73" s="175"/>
      <c r="TJF73" s="176"/>
      <c r="TJG73" s="176"/>
      <c r="TJH73" s="175"/>
      <c r="TJI73" s="177"/>
      <c r="TJJ73" s="175"/>
      <c r="TJK73" s="177"/>
      <c r="TJL73" s="178"/>
      <c r="TJM73" s="179"/>
      <c r="TJN73"/>
      <c r="TJO73" s="180"/>
      <c r="TJP73"/>
      <c r="TJQ73" s="172"/>
      <c r="TJR73" s="181"/>
      <c r="TJS73"/>
      <c r="TJT73" s="174"/>
      <c r="TJU73" s="175"/>
      <c r="TJV73" s="176"/>
      <c r="TJW73" s="176"/>
      <c r="TJX73" s="175"/>
      <c r="TJY73" s="177"/>
      <c r="TJZ73" s="175"/>
      <c r="TKA73" s="177"/>
      <c r="TKB73" s="178"/>
      <c r="TKC73" s="179"/>
      <c r="TKD73"/>
      <c r="TKE73" s="180"/>
      <c r="TKF73"/>
      <c r="TKG73" s="172"/>
      <c r="TKH73" s="181"/>
      <c r="TKI73"/>
      <c r="TKJ73" s="174"/>
      <c r="TKK73" s="175"/>
      <c r="TKL73" s="176"/>
      <c r="TKM73" s="176"/>
      <c r="TKN73" s="175"/>
      <c r="TKO73" s="177"/>
      <c r="TKP73" s="175"/>
      <c r="TKQ73" s="177"/>
      <c r="TKR73" s="178"/>
      <c r="TKS73" s="179"/>
      <c r="TKT73"/>
      <c r="TKU73" s="180"/>
      <c r="TKV73"/>
      <c r="TKW73" s="172"/>
      <c r="TKX73" s="181"/>
      <c r="TKY73"/>
      <c r="TKZ73" s="174"/>
      <c r="TLA73" s="175"/>
      <c r="TLB73" s="176"/>
      <c r="TLC73" s="176"/>
      <c r="TLD73" s="175"/>
      <c r="TLE73" s="177"/>
      <c r="TLF73" s="175"/>
      <c r="TLG73" s="177"/>
      <c r="TLH73" s="178"/>
      <c r="TLI73" s="179"/>
      <c r="TLJ73"/>
      <c r="TLK73" s="180"/>
      <c r="TLL73"/>
      <c r="TLM73" s="172"/>
      <c r="TLN73" s="181"/>
      <c r="TLO73"/>
      <c r="TLP73" s="174"/>
      <c r="TLQ73" s="175"/>
      <c r="TLR73" s="176"/>
      <c r="TLS73" s="176"/>
      <c r="TLT73" s="175"/>
      <c r="TLU73" s="177"/>
      <c r="TLV73" s="175"/>
      <c r="TLW73" s="177"/>
      <c r="TLX73" s="178"/>
      <c r="TLY73" s="179"/>
      <c r="TLZ73"/>
      <c r="TMA73" s="180"/>
      <c r="TMB73"/>
      <c r="TMC73" s="172"/>
      <c r="TMD73" s="181"/>
      <c r="TME73"/>
      <c r="TMF73" s="174"/>
      <c r="TMG73" s="175"/>
      <c r="TMH73" s="176"/>
      <c r="TMI73" s="176"/>
      <c r="TMJ73" s="175"/>
      <c r="TMK73" s="177"/>
      <c r="TML73" s="175"/>
      <c r="TMM73" s="177"/>
      <c r="TMN73" s="178"/>
      <c r="TMO73" s="179"/>
      <c r="TMP73"/>
      <c r="TMQ73" s="180"/>
      <c r="TMR73"/>
      <c r="TMS73" s="172"/>
      <c r="TMT73" s="181"/>
      <c r="TMU73"/>
      <c r="TMV73" s="174"/>
      <c r="TMW73" s="175"/>
      <c r="TMX73" s="176"/>
      <c r="TMY73" s="176"/>
      <c r="TMZ73" s="175"/>
      <c r="TNA73" s="177"/>
      <c r="TNB73" s="175"/>
      <c r="TNC73" s="177"/>
      <c r="TND73" s="178"/>
      <c r="TNE73" s="179"/>
      <c r="TNF73"/>
      <c r="TNG73" s="180"/>
      <c r="TNH73"/>
      <c r="TNI73" s="172"/>
      <c r="TNJ73" s="181"/>
      <c r="TNK73"/>
      <c r="TNL73" s="174"/>
      <c r="TNM73" s="175"/>
      <c r="TNN73" s="176"/>
      <c r="TNO73" s="176"/>
      <c r="TNP73" s="175"/>
      <c r="TNQ73" s="177"/>
      <c r="TNR73" s="175"/>
      <c r="TNS73" s="177"/>
      <c r="TNT73" s="178"/>
      <c r="TNU73" s="179"/>
      <c r="TNV73"/>
      <c r="TNW73" s="180"/>
      <c r="TNX73"/>
      <c r="TNY73" s="172"/>
      <c r="TNZ73" s="181"/>
      <c r="TOA73"/>
      <c r="TOB73" s="174"/>
      <c r="TOC73" s="175"/>
      <c r="TOD73" s="176"/>
      <c r="TOE73" s="176"/>
      <c r="TOF73" s="175"/>
      <c r="TOG73" s="177"/>
      <c r="TOH73" s="175"/>
      <c r="TOI73" s="177"/>
      <c r="TOJ73" s="178"/>
      <c r="TOK73" s="179"/>
      <c r="TOL73"/>
      <c r="TOM73" s="180"/>
      <c r="TON73"/>
      <c r="TOO73" s="172"/>
      <c r="TOP73" s="181"/>
      <c r="TOQ73"/>
      <c r="TOR73" s="174"/>
      <c r="TOS73" s="175"/>
      <c r="TOT73" s="176"/>
      <c r="TOU73" s="176"/>
      <c r="TOV73" s="175"/>
      <c r="TOW73" s="177"/>
      <c r="TOX73" s="175"/>
      <c r="TOY73" s="177"/>
      <c r="TOZ73" s="178"/>
      <c r="TPA73" s="179"/>
      <c r="TPB73"/>
      <c r="TPC73" s="180"/>
      <c r="TPD73"/>
      <c r="TPE73" s="172"/>
      <c r="TPF73" s="181"/>
      <c r="TPG73"/>
      <c r="TPH73" s="174"/>
      <c r="TPI73" s="175"/>
      <c r="TPJ73" s="176"/>
      <c r="TPK73" s="176"/>
      <c r="TPL73" s="175"/>
      <c r="TPM73" s="177"/>
      <c r="TPN73" s="175"/>
      <c r="TPO73" s="177"/>
      <c r="TPP73" s="178"/>
      <c r="TPQ73" s="179"/>
      <c r="TPR73"/>
      <c r="TPS73" s="180"/>
      <c r="TPT73"/>
      <c r="TPU73" s="172"/>
      <c r="TPV73" s="181"/>
      <c r="TPW73"/>
      <c r="TPX73" s="174"/>
      <c r="TPY73" s="175"/>
      <c r="TPZ73" s="176"/>
      <c r="TQA73" s="176"/>
      <c r="TQB73" s="175"/>
      <c r="TQC73" s="177"/>
      <c r="TQD73" s="175"/>
      <c r="TQE73" s="177"/>
      <c r="TQF73" s="178"/>
      <c r="TQG73" s="179"/>
      <c r="TQH73"/>
      <c r="TQI73" s="180"/>
      <c r="TQJ73"/>
      <c r="TQK73" s="172"/>
      <c r="TQL73" s="181"/>
      <c r="TQM73"/>
      <c r="TQN73" s="174"/>
      <c r="TQO73" s="175"/>
      <c r="TQP73" s="176"/>
      <c r="TQQ73" s="176"/>
      <c r="TQR73" s="175"/>
      <c r="TQS73" s="177"/>
      <c r="TQT73" s="175"/>
      <c r="TQU73" s="177"/>
      <c r="TQV73" s="178"/>
      <c r="TQW73" s="179"/>
      <c r="TQX73"/>
      <c r="TQY73" s="180"/>
      <c r="TQZ73"/>
      <c r="TRA73" s="172"/>
      <c r="TRB73" s="181"/>
      <c r="TRC73"/>
      <c r="TRD73" s="174"/>
      <c r="TRE73" s="175"/>
      <c r="TRF73" s="176"/>
      <c r="TRG73" s="176"/>
      <c r="TRH73" s="175"/>
      <c r="TRI73" s="177"/>
      <c r="TRJ73" s="175"/>
      <c r="TRK73" s="177"/>
      <c r="TRL73" s="178"/>
      <c r="TRM73" s="179"/>
      <c r="TRN73"/>
      <c r="TRO73" s="180"/>
      <c r="TRP73"/>
      <c r="TRQ73" s="172"/>
      <c r="TRR73" s="181"/>
      <c r="TRS73"/>
      <c r="TRT73" s="174"/>
      <c r="TRU73" s="175"/>
      <c r="TRV73" s="176"/>
      <c r="TRW73" s="176"/>
      <c r="TRX73" s="175"/>
      <c r="TRY73" s="177"/>
      <c r="TRZ73" s="175"/>
      <c r="TSA73" s="177"/>
      <c r="TSB73" s="178"/>
      <c r="TSC73" s="179"/>
      <c r="TSD73"/>
      <c r="TSE73" s="180"/>
      <c r="TSF73"/>
      <c r="TSG73" s="172"/>
      <c r="TSH73" s="181"/>
      <c r="TSI73"/>
      <c r="TSJ73" s="174"/>
      <c r="TSK73" s="175"/>
      <c r="TSL73" s="176"/>
      <c r="TSM73" s="176"/>
      <c r="TSN73" s="175"/>
      <c r="TSO73" s="177"/>
      <c r="TSP73" s="175"/>
      <c r="TSQ73" s="177"/>
      <c r="TSR73" s="178"/>
      <c r="TSS73" s="179"/>
      <c r="TST73"/>
      <c r="TSU73" s="180"/>
      <c r="TSV73"/>
      <c r="TSW73" s="172"/>
      <c r="TSX73" s="181"/>
      <c r="TSY73"/>
      <c r="TSZ73" s="174"/>
      <c r="TTA73" s="175"/>
      <c r="TTB73" s="176"/>
      <c r="TTC73" s="176"/>
      <c r="TTD73" s="175"/>
      <c r="TTE73" s="177"/>
      <c r="TTF73" s="175"/>
      <c r="TTG73" s="177"/>
      <c r="TTH73" s="178"/>
      <c r="TTI73" s="179"/>
      <c r="TTJ73"/>
      <c r="TTK73" s="180"/>
      <c r="TTL73"/>
      <c r="TTM73" s="172"/>
      <c r="TTN73" s="181"/>
      <c r="TTO73"/>
      <c r="TTP73" s="174"/>
      <c r="TTQ73" s="175"/>
      <c r="TTR73" s="176"/>
      <c r="TTS73" s="176"/>
      <c r="TTT73" s="175"/>
      <c r="TTU73" s="177"/>
      <c r="TTV73" s="175"/>
      <c r="TTW73" s="177"/>
      <c r="TTX73" s="178"/>
      <c r="TTY73" s="179"/>
      <c r="TTZ73"/>
      <c r="TUA73" s="180"/>
      <c r="TUB73"/>
      <c r="TUC73" s="172"/>
      <c r="TUD73" s="181"/>
      <c r="TUE73"/>
      <c r="TUF73" s="174"/>
      <c r="TUG73" s="175"/>
      <c r="TUH73" s="176"/>
      <c r="TUI73" s="176"/>
      <c r="TUJ73" s="175"/>
      <c r="TUK73" s="177"/>
      <c r="TUL73" s="175"/>
      <c r="TUM73" s="177"/>
      <c r="TUN73" s="178"/>
      <c r="TUO73" s="179"/>
      <c r="TUP73"/>
      <c r="TUQ73" s="180"/>
      <c r="TUR73"/>
      <c r="TUS73" s="172"/>
      <c r="TUT73" s="181"/>
      <c r="TUU73"/>
      <c r="TUV73" s="174"/>
      <c r="TUW73" s="175"/>
      <c r="TUX73" s="176"/>
      <c r="TUY73" s="176"/>
      <c r="TUZ73" s="175"/>
      <c r="TVA73" s="177"/>
      <c r="TVB73" s="175"/>
      <c r="TVC73" s="177"/>
      <c r="TVD73" s="178"/>
      <c r="TVE73" s="179"/>
      <c r="TVF73"/>
      <c r="TVG73" s="180"/>
      <c r="TVH73"/>
      <c r="TVI73" s="172"/>
      <c r="TVJ73" s="181"/>
      <c r="TVK73"/>
      <c r="TVL73" s="174"/>
      <c r="TVM73" s="175"/>
      <c r="TVN73" s="176"/>
      <c r="TVO73" s="176"/>
      <c r="TVP73" s="175"/>
      <c r="TVQ73" s="177"/>
      <c r="TVR73" s="175"/>
      <c r="TVS73" s="177"/>
      <c r="TVT73" s="178"/>
      <c r="TVU73" s="179"/>
      <c r="TVV73"/>
      <c r="TVW73" s="180"/>
      <c r="TVX73"/>
      <c r="TVY73" s="172"/>
      <c r="TVZ73" s="181"/>
      <c r="TWA73"/>
      <c r="TWB73" s="174"/>
      <c r="TWC73" s="175"/>
      <c r="TWD73" s="176"/>
      <c r="TWE73" s="176"/>
      <c r="TWF73" s="175"/>
      <c r="TWG73" s="177"/>
      <c r="TWH73" s="175"/>
      <c r="TWI73" s="177"/>
      <c r="TWJ73" s="178"/>
      <c r="TWK73" s="179"/>
      <c r="TWL73"/>
      <c r="TWM73" s="180"/>
      <c r="TWN73"/>
      <c r="TWO73" s="172"/>
      <c r="TWP73" s="181"/>
      <c r="TWQ73"/>
      <c r="TWR73" s="174"/>
      <c r="TWS73" s="175"/>
      <c r="TWT73" s="176"/>
      <c r="TWU73" s="176"/>
      <c r="TWV73" s="175"/>
      <c r="TWW73" s="177"/>
      <c r="TWX73" s="175"/>
      <c r="TWY73" s="177"/>
      <c r="TWZ73" s="178"/>
      <c r="TXA73" s="179"/>
      <c r="TXB73"/>
      <c r="TXC73" s="180"/>
      <c r="TXD73"/>
      <c r="TXE73" s="172"/>
      <c r="TXF73" s="181"/>
      <c r="TXG73"/>
      <c r="TXH73" s="174"/>
      <c r="TXI73" s="175"/>
      <c r="TXJ73" s="176"/>
      <c r="TXK73" s="176"/>
      <c r="TXL73" s="175"/>
      <c r="TXM73" s="177"/>
      <c r="TXN73" s="175"/>
      <c r="TXO73" s="177"/>
      <c r="TXP73" s="178"/>
      <c r="TXQ73" s="179"/>
      <c r="TXR73"/>
      <c r="TXS73" s="180"/>
      <c r="TXT73"/>
      <c r="TXU73" s="172"/>
      <c r="TXV73" s="181"/>
      <c r="TXW73"/>
      <c r="TXX73" s="174"/>
      <c r="TXY73" s="175"/>
      <c r="TXZ73" s="176"/>
      <c r="TYA73" s="176"/>
      <c r="TYB73" s="175"/>
      <c r="TYC73" s="177"/>
      <c r="TYD73" s="175"/>
      <c r="TYE73" s="177"/>
      <c r="TYF73" s="178"/>
      <c r="TYG73" s="179"/>
      <c r="TYH73"/>
      <c r="TYI73" s="180"/>
      <c r="TYJ73"/>
      <c r="TYK73" s="172"/>
      <c r="TYL73" s="181"/>
      <c r="TYM73"/>
      <c r="TYN73" s="174"/>
      <c r="TYO73" s="175"/>
      <c r="TYP73" s="176"/>
      <c r="TYQ73" s="176"/>
      <c r="TYR73" s="175"/>
      <c r="TYS73" s="177"/>
      <c r="TYT73" s="175"/>
      <c r="TYU73" s="177"/>
      <c r="TYV73" s="178"/>
      <c r="TYW73" s="179"/>
      <c r="TYX73"/>
      <c r="TYY73" s="180"/>
      <c r="TYZ73"/>
      <c r="TZA73" s="172"/>
      <c r="TZB73" s="181"/>
      <c r="TZC73"/>
      <c r="TZD73" s="174"/>
      <c r="TZE73" s="175"/>
      <c r="TZF73" s="176"/>
      <c r="TZG73" s="176"/>
      <c r="TZH73" s="175"/>
      <c r="TZI73" s="177"/>
      <c r="TZJ73" s="175"/>
      <c r="TZK73" s="177"/>
      <c r="TZL73" s="178"/>
      <c r="TZM73" s="179"/>
      <c r="TZN73"/>
      <c r="TZO73" s="180"/>
      <c r="TZP73"/>
      <c r="TZQ73" s="172"/>
      <c r="TZR73" s="181"/>
      <c r="TZS73"/>
      <c r="TZT73" s="174"/>
      <c r="TZU73" s="175"/>
      <c r="TZV73" s="176"/>
      <c r="TZW73" s="176"/>
      <c r="TZX73" s="175"/>
      <c r="TZY73" s="177"/>
      <c r="TZZ73" s="175"/>
      <c r="UAA73" s="177"/>
      <c r="UAB73" s="178"/>
      <c r="UAC73" s="179"/>
      <c r="UAD73"/>
      <c r="UAE73" s="180"/>
      <c r="UAF73"/>
      <c r="UAG73" s="172"/>
      <c r="UAH73" s="181"/>
      <c r="UAI73"/>
      <c r="UAJ73" s="174"/>
      <c r="UAK73" s="175"/>
      <c r="UAL73" s="176"/>
      <c r="UAM73" s="176"/>
      <c r="UAN73" s="175"/>
      <c r="UAO73" s="177"/>
      <c r="UAP73" s="175"/>
      <c r="UAQ73" s="177"/>
      <c r="UAR73" s="178"/>
      <c r="UAS73" s="179"/>
      <c r="UAT73"/>
      <c r="UAU73" s="180"/>
      <c r="UAV73"/>
      <c r="UAW73" s="172"/>
      <c r="UAX73" s="181"/>
      <c r="UAY73"/>
      <c r="UAZ73" s="174"/>
      <c r="UBA73" s="175"/>
      <c r="UBB73" s="176"/>
      <c r="UBC73" s="176"/>
      <c r="UBD73" s="175"/>
      <c r="UBE73" s="177"/>
      <c r="UBF73" s="175"/>
      <c r="UBG73" s="177"/>
      <c r="UBH73" s="178"/>
      <c r="UBI73" s="179"/>
      <c r="UBJ73"/>
      <c r="UBK73" s="180"/>
      <c r="UBL73"/>
      <c r="UBM73" s="172"/>
      <c r="UBN73" s="181"/>
      <c r="UBO73"/>
      <c r="UBP73" s="174"/>
      <c r="UBQ73" s="175"/>
      <c r="UBR73" s="176"/>
      <c r="UBS73" s="176"/>
      <c r="UBT73" s="175"/>
      <c r="UBU73" s="177"/>
      <c r="UBV73" s="175"/>
      <c r="UBW73" s="177"/>
      <c r="UBX73" s="178"/>
      <c r="UBY73" s="179"/>
      <c r="UBZ73"/>
      <c r="UCA73" s="180"/>
      <c r="UCB73"/>
      <c r="UCC73" s="172"/>
      <c r="UCD73" s="181"/>
      <c r="UCE73"/>
      <c r="UCF73" s="174"/>
      <c r="UCG73" s="175"/>
      <c r="UCH73" s="176"/>
      <c r="UCI73" s="176"/>
      <c r="UCJ73" s="175"/>
      <c r="UCK73" s="177"/>
      <c r="UCL73" s="175"/>
      <c r="UCM73" s="177"/>
      <c r="UCN73" s="178"/>
      <c r="UCO73" s="179"/>
      <c r="UCP73"/>
      <c r="UCQ73" s="180"/>
      <c r="UCR73"/>
      <c r="UCS73" s="172"/>
      <c r="UCT73" s="181"/>
      <c r="UCU73"/>
      <c r="UCV73" s="174"/>
      <c r="UCW73" s="175"/>
      <c r="UCX73" s="176"/>
      <c r="UCY73" s="176"/>
      <c r="UCZ73" s="175"/>
      <c r="UDA73" s="177"/>
      <c r="UDB73" s="175"/>
      <c r="UDC73" s="177"/>
      <c r="UDD73" s="178"/>
      <c r="UDE73" s="179"/>
      <c r="UDF73"/>
      <c r="UDG73" s="180"/>
      <c r="UDH73"/>
      <c r="UDI73" s="172"/>
      <c r="UDJ73" s="181"/>
      <c r="UDK73"/>
      <c r="UDL73" s="174"/>
      <c r="UDM73" s="175"/>
      <c r="UDN73" s="176"/>
      <c r="UDO73" s="176"/>
      <c r="UDP73" s="175"/>
      <c r="UDQ73" s="177"/>
      <c r="UDR73" s="175"/>
      <c r="UDS73" s="177"/>
      <c r="UDT73" s="178"/>
      <c r="UDU73" s="179"/>
      <c r="UDV73"/>
      <c r="UDW73" s="180"/>
      <c r="UDX73"/>
      <c r="UDY73" s="172"/>
      <c r="UDZ73" s="181"/>
      <c r="UEA73"/>
      <c r="UEB73" s="174"/>
      <c r="UEC73" s="175"/>
      <c r="UED73" s="176"/>
      <c r="UEE73" s="176"/>
      <c r="UEF73" s="175"/>
      <c r="UEG73" s="177"/>
      <c r="UEH73" s="175"/>
      <c r="UEI73" s="177"/>
      <c r="UEJ73" s="178"/>
      <c r="UEK73" s="179"/>
      <c r="UEL73"/>
      <c r="UEM73" s="180"/>
      <c r="UEN73"/>
      <c r="UEO73" s="172"/>
      <c r="UEP73" s="181"/>
      <c r="UEQ73"/>
      <c r="UER73" s="174"/>
      <c r="UES73" s="175"/>
      <c r="UET73" s="176"/>
      <c r="UEU73" s="176"/>
      <c r="UEV73" s="175"/>
      <c r="UEW73" s="177"/>
      <c r="UEX73" s="175"/>
      <c r="UEY73" s="177"/>
      <c r="UEZ73" s="178"/>
      <c r="UFA73" s="179"/>
      <c r="UFB73"/>
      <c r="UFC73" s="180"/>
      <c r="UFD73"/>
      <c r="UFE73" s="172"/>
      <c r="UFF73" s="181"/>
      <c r="UFG73"/>
      <c r="UFH73" s="174"/>
      <c r="UFI73" s="175"/>
      <c r="UFJ73" s="176"/>
      <c r="UFK73" s="176"/>
      <c r="UFL73" s="175"/>
      <c r="UFM73" s="177"/>
      <c r="UFN73" s="175"/>
      <c r="UFO73" s="177"/>
      <c r="UFP73" s="178"/>
      <c r="UFQ73" s="179"/>
      <c r="UFR73"/>
      <c r="UFS73" s="180"/>
      <c r="UFT73"/>
      <c r="UFU73" s="172"/>
      <c r="UFV73" s="181"/>
      <c r="UFW73"/>
      <c r="UFX73" s="174"/>
      <c r="UFY73" s="175"/>
      <c r="UFZ73" s="176"/>
      <c r="UGA73" s="176"/>
      <c r="UGB73" s="175"/>
      <c r="UGC73" s="177"/>
      <c r="UGD73" s="175"/>
      <c r="UGE73" s="177"/>
      <c r="UGF73" s="178"/>
      <c r="UGG73" s="179"/>
      <c r="UGH73"/>
      <c r="UGI73" s="180"/>
      <c r="UGJ73"/>
      <c r="UGK73" s="172"/>
      <c r="UGL73" s="181"/>
      <c r="UGM73"/>
      <c r="UGN73" s="174"/>
      <c r="UGO73" s="175"/>
      <c r="UGP73" s="176"/>
      <c r="UGQ73" s="176"/>
      <c r="UGR73" s="175"/>
      <c r="UGS73" s="177"/>
      <c r="UGT73" s="175"/>
      <c r="UGU73" s="177"/>
      <c r="UGV73" s="178"/>
      <c r="UGW73" s="179"/>
      <c r="UGX73"/>
      <c r="UGY73" s="180"/>
      <c r="UGZ73"/>
      <c r="UHA73" s="172"/>
      <c r="UHB73" s="181"/>
      <c r="UHC73"/>
      <c r="UHD73" s="174"/>
      <c r="UHE73" s="175"/>
      <c r="UHF73" s="176"/>
      <c r="UHG73" s="176"/>
      <c r="UHH73" s="175"/>
      <c r="UHI73" s="177"/>
      <c r="UHJ73" s="175"/>
      <c r="UHK73" s="177"/>
      <c r="UHL73" s="178"/>
      <c r="UHM73" s="179"/>
      <c r="UHN73"/>
      <c r="UHO73" s="180"/>
      <c r="UHP73"/>
      <c r="UHQ73" s="172"/>
      <c r="UHR73" s="181"/>
      <c r="UHS73"/>
      <c r="UHT73" s="174"/>
      <c r="UHU73" s="175"/>
      <c r="UHV73" s="176"/>
      <c r="UHW73" s="176"/>
      <c r="UHX73" s="175"/>
      <c r="UHY73" s="177"/>
      <c r="UHZ73" s="175"/>
      <c r="UIA73" s="177"/>
      <c r="UIB73" s="178"/>
      <c r="UIC73" s="179"/>
      <c r="UID73"/>
      <c r="UIE73" s="180"/>
      <c r="UIF73"/>
      <c r="UIG73" s="172"/>
      <c r="UIH73" s="181"/>
      <c r="UII73"/>
      <c r="UIJ73" s="174"/>
      <c r="UIK73" s="175"/>
      <c r="UIL73" s="176"/>
      <c r="UIM73" s="176"/>
      <c r="UIN73" s="175"/>
      <c r="UIO73" s="177"/>
      <c r="UIP73" s="175"/>
      <c r="UIQ73" s="177"/>
      <c r="UIR73" s="178"/>
      <c r="UIS73" s="179"/>
      <c r="UIT73"/>
      <c r="UIU73" s="180"/>
      <c r="UIV73"/>
      <c r="UIW73" s="172"/>
      <c r="UIX73" s="181"/>
      <c r="UIY73"/>
      <c r="UIZ73" s="174"/>
      <c r="UJA73" s="175"/>
      <c r="UJB73" s="176"/>
      <c r="UJC73" s="176"/>
      <c r="UJD73" s="175"/>
      <c r="UJE73" s="177"/>
      <c r="UJF73" s="175"/>
      <c r="UJG73" s="177"/>
      <c r="UJH73" s="178"/>
      <c r="UJI73" s="179"/>
      <c r="UJJ73"/>
      <c r="UJK73" s="180"/>
      <c r="UJL73"/>
      <c r="UJM73" s="172"/>
      <c r="UJN73" s="181"/>
      <c r="UJO73"/>
      <c r="UJP73" s="174"/>
      <c r="UJQ73" s="175"/>
      <c r="UJR73" s="176"/>
      <c r="UJS73" s="176"/>
      <c r="UJT73" s="175"/>
      <c r="UJU73" s="177"/>
      <c r="UJV73" s="175"/>
      <c r="UJW73" s="177"/>
      <c r="UJX73" s="178"/>
      <c r="UJY73" s="179"/>
      <c r="UJZ73"/>
      <c r="UKA73" s="180"/>
      <c r="UKB73"/>
      <c r="UKC73" s="172"/>
      <c r="UKD73" s="181"/>
      <c r="UKE73"/>
      <c r="UKF73" s="174"/>
      <c r="UKG73" s="175"/>
      <c r="UKH73" s="176"/>
      <c r="UKI73" s="176"/>
      <c r="UKJ73" s="175"/>
      <c r="UKK73" s="177"/>
      <c r="UKL73" s="175"/>
      <c r="UKM73" s="177"/>
      <c r="UKN73" s="178"/>
      <c r="UKO73" s="179"/>
      <c r="UKP73"/>
      <c r="UKQ73" s="180"/>
      <c r="UKR73"/>
      <c r="UKS73" s="172"/>
      <c r="UKT73" s="181"/>
      <c r="UKU73"/>
      <c r="UKV73" s="174"/>
      <c r="UKW73" s="175"/>
      <c r="UKX73" s="176"/>
      <c r="UKY73" s="176"/>
      <c r="UKZ73" s="175"/>
      <c r="ULA73" s="177"/>
      <c r="ULB73" s="175"/>
      <c r="ULC73" s="177"/>
      <c r="ULD73" s="178"/>
      <c r="ULE73" s="179"/>
      <c r="ULF73"/>
      <c r="ULG73" s="180"/>
      <c r="ULH73"/>
      <c r="ULI73" s="172"/>
      <c r="ULJ73" s="181"/>
      <c r="ULK73"/>
      <c r="ULL73" s="174"/>
      <c r="ULM73" s="175"/>
      <c r="ULN73" s="176"/>
      <c r="ULO73" s="176"/>
      <c r="ULP73" s="175"/>
      <c r="ULQ73" s="177"/>
      <c r="ULR73" s="175"/>
      <c r="ULS73" s="177"/>
      <c r="ULT73" s="178"/>
      <c r="ULU73" s="179"/>
      <c r="ULV73"/>
      <c r="ULW73" s="180"/>
      <c r="ULX73"/>
      <c r="ULY73" s="172"/>
      <c r="ULZ73" s="181"/>
      <c r="UMA73"/>
      <c r="UMB73" s="174"/>
      <c r="UMC73" s="175"/>
      <c r="UMD73" s="176"/>
      <c r="UME73" s="176"/>
      <c r="UMF73" s="175"/>
      <c r="UMG73" s="177"/>
      <c r="UMH73" s="175"/>
      <c r="UMI73" s="177"/>
      <c r="UMJ73" s="178"/>
      <c r="UMK73" s="179"/>
      <c r="UML73"/>
      <c r="UMM73" s="180"/>
      <c r="UMN73"/>
      <c r="UMO73" s="172"/>
      <c r="UMP73" s="181"/>
      <c r="UMQ73"/>
      <c r="UMR73" s="174"/>
      <c r="UMS73" s="175"/>
      <c r="UMT73" s="176"/>
      <c r="UMU73" s="176"/>
      <c r="UMV73" s="175"/>
      <c r="UMW73" s="177"/>
      <c r="UMX73" s="175"/>
      <c r="UMY73" s="177"/>
      <c r="UMZ73" s="178"/>
      <c r="UNA73" s="179"/>
      <c r="UNB73"/>
      <c r="UNC73" s="180"/>
      <c r="UND73"/>
      <c r="UNE73" s="172"/>
      <c r="UNF73" s="181"/>
      <c r="UNG73"/>
      <c r="UNH73" s="174"/>
      <c r="UNI73" s="175"/>
      <c r="UNJ73" s="176"/>
      <c r="UNK73" s="176"/>
      <c r="UNL73" s="175"/>
      <c r="UNM73" s="177"/>
      <c r="UNN73" s="175"/>
      <c r="UNO73" s="177"/>
      <c r="UNP73" s="178"/>
      <c r="UNQ73" s="179"/>
      <c r="UNR73"/>
      <c r="UNS73" s="180"/>
      <c r="UNT73"/>
      <c r="UNU73" s="172"/>
      <c r="UNV73" s="181"/>
      <c r="UNW73"/>
      <c r="UNX73" s="174"/>
      <c r="UNY73" s="175"/>
      <c r="UNZ73" s="176"/>
      <c r="UOA73" s="176"/>
      <c r="UOB73" s="175"/>
      <c r="UOC73" s="177"/>
      <c r="UOD73" s="175"/>
      <c r="UOE73" s="177"/>
      <c r="UOF73" s="178"/>
      <c r="UOG73" s="179"/>
      <c r="UOH73"/>
      <c r="UOI73" s="180"/>
      <c r="UOJ73"/>
      <c r="UOK73" s="172"/>
      <c r="UOL73" s="181"/>
      <c r="UOM73"/>
      <c r="UON73" s="174"/>
      <c r="UOO73" s="175"/>
      <c r="UOP73" s="176"/>
      <c r="UOQ73" s="176"/>
      <c r="UOR73" s="175"/>
      <c r="UOS73" s="177"/>
      <c r="UOT73" s="175"/>
      <c r="UOU73" s="177"/>
      <c r="UOV73" s="178"/>
      <c r="UOW73" s="179"/>
      <c r="UOX73"/>
      <c r="UOY73" s="180"/>
      <c r="UOZ73"/>
      <c r="UPA73" s="172"/>
      <c r="UPB73" s="181"/>
      <c r="UPC73"/>
      <c r="UPD73" s="174"/>
      <c r="UPE73" s="175"/>
      <c r="UPF73" s="176"/>
      <c r="UPG73" s="176"/>
      <c r="UPH73" s="175"/>
      <c r="UPI73" s="177"/>
      <c r="UPJ73" s="175"/>
      <c r="UPK73" s="177"/>
      <c r="UPL73" s="178"/>
      <c r="UPM73" s="179"/>
      <c r="UPN73"/>
      <c r="UPO73" s="180"/>
      <c r="UPP73"/>
      <c r="UPQ73" s="172"/>
      <c r="UPR73" s="181"/>
      <c r="UPS73"/>
      <c r="UPT73" s="174"/>
      <c r="UPU73" s="175"/>
      <c r="UPV73" s="176"/>
      <c r="UPW73" s="176"/>
      <c r="UPX73" s="175"/>
      <c r="UPY73" s="177"/>
      <c r="UPZ73" s="175"/>
      <c r="UQA73" s="177"/>
      <c r="UQB73" s="178"/>
      <c r="UQC73" s="179"/>
      <c r="UQD73"/>
      <c r="UQE73" s="180"/>
      <c r="UQF73"/>
      <c r="UQG73" s="172"/>
      <c r="UQH73" s="181"/>
      <c r="UQI73"/>
      <c r="UQJ73" s="174"/>
      <c r="UQK73" s="175"/>
      <c r="UQL73" s="176"/>
      <c r="UQM73" s="176"/>
      <c r="UQN73" s="175"/>
      <c r="UQO73" s="177"/>
      <c r="UQP73" s="175"/>
      <c r="UQQ73" s="177"/>
      <c r="UQR73" s="178"/>
      <c r="UQS73" s="179"/>
      <c r="UQT73"/>
      <c r="UQU73" s="180"/>
      <c r="UQV73"/>
      <c r="UQW73" s="172"/>
      <c r="UQX73" s="181"/>
      <c r="UQY73"/>
      <c r="UQZ73" s="174"/>
      <c r="URA73" s="175"/>
      <c r="URB73" s="176"/>
      <c r="URC73" s="176"/>
      <c r="URD73" s="175"/>
      <c r="URE73" s="177"/>
      <c r="URF73" s="175"/>
      <c r="URG73" s="177"/>
      <c r="URH73" s="178"/>
      <c r="URI73" s="179"/>
      <c r="URJ73"/>
      <c r="URK73" s="180"/>
      <c r="URL73"/>
      <c r="URM73" s="172"/>
      <c r="URN73" s="181"/>
      <c r="URO73"/>
      <c r="URP73" s="174"/>
      <c r="URQ73" s="175"/>
      <c r="URR73" s="176"/>
      <c r="URS73" s="176"/>
      <c r="URT73" s="175"/>
      <c r="URU73" s="177"/>
      <c r="URV73" s="175"/>
      <c r="URW73" s="177"/>
      <c r="URX73" s="178"/>
      <c r="URY73" s="179"/>
      <c r="URZ73"/>
      <c r="USA73" s="180"/>
      <c r="USB73"/>
      <c r="USC73" s="172"/>
      <c r="USD73" s="181"/>
      <c r="USE73"/>
      <c r="USF73" s="174"/>
      <c r="USG73" s="175"/>
      <c r="USH73" s="176"/>
      <c r="USI73" s="176"/>
      <c r="USJ73" s="175"/>
      <c r="USK73" s="177"/>
      <c r="USL73" s="175"/>
      <c r="USM73" s="177"/>
      <c r="USN73" s="178"/>
      <c r="USO73" s="179"/>
      <c r="USP73"/>
      <c r="USQ73" s="180"/>
      <c r="USR73"/>
      <c r="USS73" s="172"/>
      <c r="UST73" s="181"/>
      <c r="USU73"/>
      <c r="USV73" s="174"/>
      <c r="USW73" s="175"/>
      <c r="USX73" s="176"/>
      <c r="USY73" s="176"/>
      <c r="USZ73" s="175"/>
      <c r="UTA73" s="177"/>
      <c r="UTB73" s="175"/>
      <c r="UTC73" s="177"/>
      <c r="UTD73" s="178"/>
      <c r="UTE73" s="179"/>
      <c r="UTF73"/>
      <c r="UTG73" s="180"/>
      <c r="UTH73"/>
      <c r="UTI73" s="172"/>
      <c r="UTJ73" s="181"/>
      <c r="UTK73"/>
      <c r="UTL73" s="174"/>
      <c r="UTM73" s="175"/>
      <c r="UTN73" s="176"/>
      <c r="UTO73" s="176"/>
      <c r="UTP73" s="175"/>
      <c r="UTQ73" s="177"/>
      <c r="UTR73" s="175"/>
      <c r="UTS73" s="177"/>
      <c r="UTT73" s="178"/>
      <c r="UTU73" s="179"/>
      <c r="UTV73"/>
      <c r="UTW73" s="180"/>
      <c r="UTX73"/>
      <c r="UTY73" s="172"/>
      <c r="UTZ73" s="181"/>
      <c r="UUA73"/>
      <c r="UUB73" s="174"/>
      <c r="UUC73" s="175"/>
      <c r="UUD73" s="176"/>
      <c r="UUE73" s="176"/>
      <c r="UUF73" s="175"/>
      <c r="UUG73" s="177"/>
      <c r="UUH73" s="175"/>
      <c r="UUI73" s="177"/>
      <c r="UUJ73" s="178"/>
      <c r="UUK73" s="179"/>
      <c r="UUL73"/>
      <c r="UUM73" s="180"/>
      <c r="UUN73"/>
      <c r="UUO73" s="172"/>
      <c r="UUP73" s="181"/>
      <c r="UUQ73"/>
      <c r="UUR73" s="174"/>
      <c r="UUS73" s="175"/>
      <c r="UUT73" s="176"/>
      <c r="UUU73" s="176"/>
      <c r="UUV73" s="175"/>
      <c r="UUW73" s="177"/>
      <c r="UUX73" s="175"/>
      <c r="UUY73" s="177"/>
      <c r="UUZ73" s="178"/>
      <c r="UVA73" s="179"/>
      <c r="UVB73"/>
      <c r="UVC73" s="180"/>
      <c r="UVD73"/>
      <c r="UVE73" s="172"/>
      <c r="UVF73" s="181"/>
      <c r="UVG73"/>
      <c r="UVH73" s="174"/>
      <c r="UVI73" s="175"/>
      <c r="UVJ73" s="176"/>
      <c r="UVK73" s="176"/>
      <c r="UVL73" s="175"/>
      <c r="UVM73" s="177"/>
      <c r="UVN73" s="175"/>
      <c r="UVO73" s="177"/>
      <c r="UVP73" s="178"/>
      <c r="UVQ73" s="179"/>
      <c r="UVR73"/>
      <c r="UVS73" s="180"/>
      <c r="UVT73"/>
      <c r="UVU73" s="172"/>
      <c r="UVV73" s="181"/>
      <c r="UVW73"/>
      <c r="UVX73" s="174"/>
      <c r="UVY73" s="175"/>
      <c r="UVZ73" s="176"/>
      <c r="UWA73" s="176"/>
      <c r="UWB73" s="175"/>
      <c r="UWC73" s="177"/>
      <c r="UWD73" s="175"/>
      <c r="UWE73" s="177"/>
      <c r="UWF73" s="178"/>
      <c r="UWG73" s="179"/>
      <c r="UWH73"/>
      <c r="UWI73" s="180"/>
      <c r="UWJ73"/>
      <c r="UWK73" s="172"/>
      <c r="UWL73" s="181"/>
      <c r="UWM73"/>
      <c r="UWN73" s="174"/>
      <c r="UWO73" s="175"/>
      <c r="UWP73" s="176"/>
      <c r="UWQ73" s="176"/>
      <c r="UWR73" s="175"/>
      <c r="UWS73" s="177"/>
      <c r="UWT73" s="175"/>
      <c r="UWU73" s="177"/>
      <c r="UWV73" s="178"/>
      <c r="UWW73" s="179"/>
      <c r="UWX73"/>
      <c r="UWY73" s="180"/>
      <c r="UWZ73"/>
      <c r="UXA73" s="172"/>
      <c r="UXB73" s="181"/>
      <c r="UXC73"/>
      <c r="UXD73" s="174"/>
      <c r="UXE73" s="175"/>
      <c r="UXF73" s="176"/>
      <c r="UXG73" s="176"/>
      <c r="UXH73" s="175"/>
      <c r="UXI73" s="177"/>
      <c r="UXJ73" s="175"/>
      <c r="UXK73" s="177"/>
      <c r="UXL73" s="178"/>
      <c r="UXM73" s="179"/>
      <c r="UXN73"/>
      <c r="UXO73" s="180"/>
      <c r="UXP73"/>
      <c r="UXQ73" s="172"/>
      <c r="UXR73" s="181"/>
      <c r="UXS73"/>
      <c r="UXT73" s="174"/>
      <c r="UXU73" s="175"/>
      <c r="UXV73" s="176"/>
      <c r="UXW73" s="176"/>
      <c r="UXX73" s="175"/>
      <c r="UXY73" s="177"/>
      <c r="UXZ73" s="175"/>
      <c r="UYA73" s="177"/>
      <c r="UYB73" s="178"/>
      <c r="UYC73" s="179"/>
      <c r="UYD73"/>
      <c r="UYE73" s="180"/>
      <c r="UYF73"/>
      <c r="UYG73" s="172"/>
      <c r="UYH73" s="181"/>
      <c r="UYI73"/>
      <c r="UYJ73" s="174"/>
      <c r="UYK73" s="175"/>
      <c r="UYL73" s="176"/>
      <c r="UYM73" s="176"/>
      <c r="UYN73" s="175"/>
      <c r="UYO73" s="177"/>
      <c r="UYP73" s="175"/>
      <c r="UYQ73" s="177"/>
      <c r="UYR73" s="178"/>
      <c r="UYS73" s="179"/>
      <c r="UYT73"/>
      <c r="UYU73" s="180"/>
      <c r="UYV73"/>
      <c r="UYW73" s="172"/>
      <c r="UYX73" s="181"/>
      <c r="UYY73"/>
      <c r="UYZ73" s="174"/>
      <c r="UZA73" s="175"/>
      <c r="UZB73" s="176"/>
      <c r="UZC73" s="176"/>
      <c r="UZD73" s="175"/>
      <c r="UZE73" s="177"/>
      <c r="UZF73" s="175"/>
      <c r="UZG73" s="177"/>
      <c r="UZH73" s="178"/>
      <c r="UZI73" s="179"/>
      <c r="UZJ73"/>
      <c r="UZK73" s="180"/>
      <c r="UZL73"/>
      <c r="UZM73" s="172"/>
      <c r="UZN73" s="181"/>
      <c r="UZO73"/>
      <c r="UZP73" s="174"/>
      <c r="UZQ73" s="175"/>
      <c r="UZR73" s="176"/>
      <c r="UZS73" s="176"/>
      <c r="UZT73" s="175"/>
      <c r="UZU73" s="177"/>
      <c r="UZV73" s="175"/>
      <c r="UZW73" s="177"/>
      <c r="UZX73" s="178"/>
      <c r="UZY73" s="179"/>
      <c r="UZZ73"/>
      <c r="VAA73" s="180"/>
      <c r="VAB73"/>
      <c r="VAC73" s="172"/>
      <c r="VAD73" s="181"/>
      <c r="VAE73"/>
      <c r="VAF73" s="174"/>
      <c r="VAG73" s="175"/>
      <c r="VAH73" s="176"/>
      <c r="VAI73" s="176"/>
      <c r="VAJ73" s="175"/>
      <c r="VAK73" s="177"/>
      <c r="VAL73" s="175"/>
      <c r="VAM73" s="177"/>
      <c r="VAN73" s="178"/>
      <c r="VAO73" s="179"/>
      <c r="VAP73"/>
      <c r="VAQ73" s="180"/>
      <c r="VAR73"/>
      <c r="VAS73" s="172"/>
      <c r="VAT73" s="181"/>
      <c r="VAU73"/>
      <c r="VAV73" s="174"/>
      <c r="VAW73" s="175"/>
      <c r="VAX73" s="176"/>
      <c r="VAY73" s="176"/>
      <c r="VAZ73" s="175"/>
      <c r="VBA73" s="177"/>
      <c r="VBB73" s="175"/>
      <c r="VBC73" s="177"/>
      <c r="VBD73" s="178"/>
      <c r="VBE73" s="179"/>
      <c r="VBF73"/>
      <c r="VBG73" s="180"/>
      <c r="VBH73"/>
      <c r="VBI73" s="172"/>
      <c r="VBJ73" s="181"/>
      <c r="VBK73"/>
      <c r="VBL73" s="174"/>
      <c r="VBM73" s="175"/>
      <c r="VBN73" s="176"/>
      <c r="VBO73" s="176"/>
      <c r="VBP73" s="175"/>
      <c r="VBQ73" s="177"/>
      <c r="VBR73" s="175"/>
      <c r="VBS73" s="177"/>
      <c r="VBT73" s="178"/>
      <c r="VBU73" s="179"/>
      <c r="VBV73"/>
      <c r="VBW73" s="180"/>
      <c r="VBX73"/>
      <c r="VBY73" s="172"/>
      <c r="VBZ73" s="181"/>
      <c r="VCA73"/>
      <c r="VCB73" s="174"/>
      <c r="VCC73" s="175"/>
      <c r="VCD73" s="176"/>
      <c r="VCE73" s="176"/>
      <c r="VCF73" s="175"/>
      <c r="VCG73" s="177"/>
      <c r="VCH73" s="175"/>
      <c r="VCI73" s="177"/>
      <c r="VCJ73" s="178"/>
      <c r="VCK73" s="179"/>
      <c r="VCL73"/>
      <c r="VCM73" s="180"/>
      <c r="VCN73"/>
      <c r="VCO73" s="172"/>
      <c r="VCP73" s="181"/>
      <c r="VCQ73"/>
      <c r="VCR73" s="174"/>
      <c r="VCS73" s="175"/>
      <c r="VCT73" s="176"/>
      <c r="VCU73" s="176"/>
      <c r="VCV73" s="175"/>
      <c r="VCW73" s="177"/>
      <c r="VCX73" s="175"/>
      <c r="VCY73" s="177"/>
      <c r="VCZ73" s="178"/>
      <c r="VDA73" s="179"/>
      <c r="VDB73"/>
      <c r="VDC73" s="180"/>
      <c r="VDD73"/>
      <c r="VDE73" s="172"/>
      <c r="VDF73" s="181"/>
      <c r="VDG73"/>
      <c r="VDH73" s="174"/>
      <c r="VDI73" s="175"/>
      <c r="VDJ73" s="176"/>
      <c r="VDK73" s="176"/>
      <c r="VDL73" s="175"/>
      <c r="VDM73" s="177"/>
      <c r="VDN73" s="175"/>
      <c r="VDO73" s="177"/>
      <c r="VDP73" s="178"/>
      <c r="VDQ73" s="179"/>
      <c r="VDR73"/>
      <c r="VDS73" s="180"/>
      <c r="VDT73"/>
      <c r="VDU73" s="172"/>
      <c r="VDV73" s="181"/>
      <c r="VDW73"/>
      <c r="VDX73" s="174"/>
      <c r="VDY73" s="175"/>
      <c r="VDZ73" s="176"/>
      <c r="VEA73" s="176"/>
      <c r="VEB73" s="175"/>
      <c r="VEC73" s="177"/>
      <c r="VED73" s="175"/>
      <c r="VEE73" s="177"/>
      <c r="VEF73" s="178"/>
      <c r="VEG73" s="179"/>
      <c r="VEH73"/>
      <c r="VEI73" s="180"/>
      <c r="VEJ73"/>
      <c r="VEK73" s="172"/>
      <c r="VEL73" s="181"/>
      <c r="VEM73"/>
      <c r="VEN73" s="174"/>
      <c r="VEO73" s="175"/>
      <c r="VEP73" s="176"/>
      <c r="VEQ73" s="176"/>
      <c r="VER73" s="175"/>
      <c r="VES73" s="177"/>
      <c r="VET73" s="175"/>
      <c r="VEU73" s="177"/>
      <c r="VEV73" s="178"/>
      <c r="VEW73" s="179"/>
      <c r="VEX73"/>
      <c r="VEY73" s="180"/>
      <c r="VEZ73"/>
      <c r="VFA73" s="172"/>
      <c r="VFB73" s="181"/>
      <c r="VFC73"/>
      <c r="VFD73" s="174"/>
      <c r="VFE73" s="175"/>
      <c r="VFF73" s="176"/>
      <c r="VFG73" s="176"/>
      <c r="VFH73" s="175"/>
      <c r="VFI73" s="177"/>
      <c r="VFJ73" s="175"/>
      <c r="VFK73" s="177"/>
      <c r="VFL73" s="178"/>
      <c r="VFM73" s="179"/>
      <c r="VFN73"/>
      <c r="VFO73" s="180"/>
      <c r="VFP73"/>
      <c r="VFQ73" s="172"/>
      <c r="VFR73" s="181"/>
      <c r="VFS73"/>
      <c r="VFT73" s="174"/>
      <c r="VFU73" s="175"/>
      <c r="VFV73" s="176"/>
      <c r="VFW73" s="176"/>
      <c r="VFX73" s="175"/>
      <c r="VFY73" s="177"/>
      <c r="VFZ73" s="175"/>
      <c r="VGA73" s="177"/>
      <c r="VGB73" s="178"/>
      <c r="VGC73" s="179"/>
      <c r="VGD73"/>
      <c r="VGE73" s="180"/>
      <c r="VGF73"/>
      <c r="VGG73" s="172"/>
      <c r="VGH73" s="181"/>
      <c r="VGI73"/>
      <c r="VGJ73" s="174"/>
      <c r="VGK73" s="175"/>
      <c r="VGL73" s="176"/>
      <c r="VGM73" s="176"/>
      <c r="VGN73" s="175"/>
      <c r="VGO73" s="177"/>
      <c r="VGP73" s="175"/>
      <c r="VGQ73" s="177"/>
      <c r="VGR73" s="178"/>
      <c r="VGS73" s="179"/>
      <c r="VGT73"/>
      <c r="VGU73" s="180"/>
      <c r="VGV73"/>
      <c r="VGW73" s="172"/>
      <c r="VGX73" s="181"/>
      <c r="VGY73"/>
      <c r="VGZ73" s="174"/>
      <c r="VHA73" s="175"/>
      <c r="VHB73" s="176"/>
      <c r="VHC73" s="176"/>
    </row>
    <row r="74" spans="1:63 3073:12199 12790:15083" ht="28.9" customHeight="1">
      <c r="A74" s="172"/>
      <c r="B74" s="281" t="s">
        <v>165</v>
      </c>
      <c r="C74" s="20" t="s">
        <v>121</v>
      </c>
      <c r="D74" s="160" t="s">
        <v>18</v>
      </c>
      <c r="E74" s="86">
        <f>CEILING((((6450+297+115)*1.12)- 85)-150,50)</f>
        <v>7500</v>
      </c>
      <c r="F74" s="182">
        <v>85</v>
      </c>
      <c r="G74" s="183">
        <v>215</v>
      </c>
      <c r="H74" s="183">
        <v>75</v>
      </c>
      <c r="I74" s="182">
        <v>150</v>
      </c>
      <c r="J74" s="171">
        <f t="shared" ref="J74:J75" si="10">SUM(E74:I74)</f>
        <v>8025</v>
      </c>
      <c r="K74" s="182">
        <v>200</v>
      </c>
      <c r="L74" s="171">
        <f t="shared" ref="L74:L75" si="11">SUM(J74:K74)</f>
        <v>8225</v>
      </c>
      <c r="M74" s="163" t="s">
        <v>114</v>
      </c>
      <c r="N74" s="218" t="s">
        <v>60</v>
      </c>
      <c r="O74" s="173" t="s">
        <v>42</v>
      </c>
      <c r="P74" s="199" t="s">
        <v>150</v>
      </c>
      <c r="Q74" s="110" t="s">
        <v>124</v>
      </c>
      <c r="R74"/>
      <c r="S74" s="174"/>
      <c r="T74" s="175"/>
      <c r="U74" s="176"/>
      <c r="V74" s="176"/>
      <c r="W74" s="175"/>
      <c r="X74" s="177"/>
      <c r="Y74" s="175"/>
      <c r="Z74" s="177"/>
      <c r="AA74" s="178"/>
      <c r="AB74" s="179"/>
      <c r="AC74"/>
      <c r="AD74" s="180"/>
      <c r="AE74"/>
      <c r="AF74" s="172"/>
      <c r="AG74" s="181"/>
      <c r="AH74"/>
      <c r="AI74" s="174"/>
      <c r="AJ74" s="175"/>
      <c r="AK74" s="176"/>
      <c r="AL74" s="176"/>
      <c r="AM74" s="175"/>
      <c r="AN74" s="177"/>
      <c r="AO74" s="175"/>
      <c r="AP74" s="177"/>
      <c r="AQ74" s="178"/>
      <c r="AR74" s="179"/>
      <c r="AS74"/>
      <c r="AT74" s="180"/>
      <c r="AU74"/>
      <c r="AV74" s="172"/>
      <c r="AW74" s="181"/>
      <c r="AX74"/>
      <c r="AY74" s="174"/>
      <c r="AZ74" s="175"/>
      <c r="BA74" s="176"/>
      <c r="BB74" s="176"/>
      <c r="BC74" s="175"/>
      <c r="BD74" s="177"/>
      <c r="BE74" s="175"/>
      <c r="BF74" s="177"/>
      <c r="BG74" s="178"/>
      <c r="BH74" s="179"/>
      <c r="BI74"/>
      <c r="BJ74" s="180"/>
      <c r="BK74"/>
      <c r="DNE74" s="179"/>
      <c r="DNF74"/>
      <c r="DNG74" s="180"/>
      <c r="DNH74"/>
      <c r="DNI74" s="172"/>
      <c r="DNJ74" s="181"/>
      <c r="DNK74"/>
      <c r="DNL74" s="174"/>
      <c r="DNM74" s="175"/>
      <c r="DNN74" s="176"/>
      <c r="DNO74" s="176"/>
      <c r="DNP74" s="175"/>
      <c r="DNQ74" s="177"/>
      <c r="DNR74" s="175"/>
      <c r="DNS74" s="177"/>
      <c r="DNT74" s="178"/>
      <c r="DNU74" s="179"/>
      <c r="DNV74"/>
      <c r="DNW74" s="180"/>
      <c r="DNX74"/>
      <c r="DNY74" s="172"/>
      <c r="DNZ74" s="181"/>
      <c r="DOA74"/>
      <c r="DOB74" s="174"/>
      <c r="DOC74" s="175"/>
      <c r="DOD74" s="176"/>
      <c r="DOE74" s="176"/>
      <c r="DOF74" s="175"/>
      <c r="DOG74" s="177"/>
      <c r="DOH74" s="175"/>
      <c r="DOI74" s="177"/>
      <c r="DOJ74" s="178"/>
      <c r="DOK74" s="179"/>
      <c r="DOL74"/>
      <c r="DOM74" s="180"/>
      <c r="DON74"/>
      <c r="DOO74" s="172"/>
      <c r="DOP74" s="181"/>
      <c r="DOQ74"/>
      <c r="DOR74" s="174"/>
      <c r="DOS74" s="175"/>
      <c r="DOT74" s="176"/>
      <c r="DOU74" s="176"/>
      <c r="DOV74" s="175"/>
      <c r="DOW74" s="177"/>
      <c r="DOX74" s="175"/>
      <c r="DOY74" s="177"/>
      <c r="DOZ74" s="178"/>
      <c r="DPA74" s="179"/>
      <c r="DPB74"/>
      <c r="DPC74" s="180"/>
      <c r="DPD74"/>
      <c r="DPE74" s="172"/>
      <c r="DPF74" s="181"/>
      <c r="DPG74"/>
      <c r="DPH74" s="174"/>
      <c r="DPI74" s="175"/>
      <c r="DPJ74" s="176"/>
      <c r="DPK74" s="176"/>
      <c r="DPL74" s="175"/>
      <c r="DPM74" s="177"/>
      <c r="DPN74" s="175"/>
      <c r="DPO74" s="177"/>
      <c r="DPP74" s="178"/>
      <c r="DPQ74" s="179"/>
      <c r="DPR74"/>
      <c r="DPS74" s="180"/>
      <c r="DPT74"/>
      <c r="DPU74" s="172"/>
      <c r="DPV74" s="181"/>
      <c r="DPW74"/>
      <c r="DPX74" s="174"/>
      <c r="DPY74" s="175"/>
      <c r="DPZ74" s="176"/>
      <c r="DQA74" s="176"/>
      <c r="DQB74" s="175"/>
      <c r="DQC74" s="177"/>
      <c r="DQD74" s="175"/>
      <c r="DQE74" s="177"/>
      <c r="DQF74" s="178"/>
      <c r="DQG74" s="179"/>
      <c r="DQH74"/>
      <c r="DQI74" s="180"/>
      <c r="DQJ74"/>
      <c r="DQK74" s="172"/>
      <c r="DQL74" s="181"/>
      <c r="DQM74"/>
      <c r="DQN74" s="174"/>
      <c r="DQO74" s="175"/>
      <c r="DQP74" s="176"/>
      <c r="DQQ74" s="176"/>
      <c r="DQR74" s="175"/>
      <c r="DQS74" s="177"/>
      <c r="DQT74" s="175"/>
      <c r="DQU74" s="177"/>
      <c r="DQV74" s="178"/>
      <c r="DQW74" s="179"/>
      <c r="DQX74"/>
      <c r="DQY74" s="180"/>
      <c r="DQZ74"/>
      <c r="DRA74" s="172"/>
      <c r="DRB74" s="181"/>
      <c r="DRC74"/>
      <c r="DRD74" s="174"/>
      <c r="DRE74" s="175"/>
      <c r="DRF74" s="176"/>
      <c r="DRG74" s="176"/>
      <c r="DRH74" s="175"/>
      <c r="DRI74" s="177"/>
      <c r="DRJ74" s="175"/>
      <c r="DRK74" s="177"/>
      <c r="DRL74" s="178"/>
      <c r="DRM74" s="179"/>
      <c r="DRN74"/>
      <c r="DRO74" s="180"/>
      <c r="DRP74"/>
      <c r="DRQ74" s="172"/>
      <c r="DRR74" s="181"/>
      <c r="DRS74"/>
      <c r="DRT74" s="174"/>
      <c r="DRU74" s="175"/>
      <c r="DRV74" s="176"/>
      <c r="DRW74" s="176"/>
      <c r="DRX74" s="175"/>
      <c r="DRY74" s="177"/>
      <c r="DRZ74" s="175"/>
      <c r="DSA74" s="177"/>
      <c r="DSB74" s="178"/>
      <c r="DSC74" s="179"/>
      <c r="DSD74"/>
      <c r="DSE74" s="180"/>
      <c r="DSF74"/>
      <c r="DSG74" s="172"/>
      <c r="DSH74" s="181"/>
      <c r="DSI74"/>
      <c r="DSJ74" s="174"/>
      <c r="DSK74" s="175"/>
      <c r="DSL74" s="176"/>
      <c r="DSM74" s="176"/>
      <c r="DSN74" s="175"/>
      <c r="DSO74" s="177"/>
      <c r="DSP74" s="175"/>
      <c r="DSQ74" s="177"/>
      <c r="DSR74" s="178"/>
      <c r="DSS74" s="179"/>
      <c r="DST74"/>
      <c r="DSU74" s="180"/>
      <c r="DSV74"/>
      <c r="DSW74" s="172"/>
      <c r="DSX74" s="181"/>
      <c r="DSY74"/>
      <c r="DSZ74" s="174"/>
      <c r="DTA74" s="175"/>
      <c r="DTB74" s="176"/>
      <c r="DTC74" s="176"/>
      <c r="DTD74" s="175"/>
      <c r="DTE74" s="177"/>
      <c r="DTF74" s="175"/>
      <c r="DTG74" s="177"/>
      <c r="DTH74" s="178"/>
      <c r="DTI74" s="179"/>
      <c r="DTJ74"/>
      <c r="DTK74" s="180"/>
      <c r="DTL74"/>
      <c r="DTM74" s="172"/>
      <c r="DTN74" s="181"/>
      <c r="DTO74"/>
      <c r="DTP74" s="174"/>
      <c r="DTQ74" s="175"/>
      <c r="DTR74" s="176"/>
      <c r="DTS74" s="176"/>
      <c r="DTT74" s="175"/>
      <c r="DTU74" s="177"/>
      <c r="DTV74" s="175"/>
      <c r="DTW74" s="177"/>
      <c r="DTX74" s="178"/>
      <c r="DTY74" s="179"/>
      <c r="DTZ74"/>
      <c r="DUA74" s="180"/>
      <c r="DUB74"/>
      <c r="DUC74" s="172"/>
      <c r="DUD74" s="181"/>
      <c r="DUE74"/>
      <c r="DUF74" s="174"/>
      <c r="DUG74" s="175"/>
      <c r="DUH74" s="176"/>
      <c r="DUI74" s="176"/>
      <c r="DUJ74" s="175"/>
      <c r="DUK74" s="177"/>
      <c r="DUL74" s="175"/>
      <c r="DUM74" s="177"/>
      <c r="DUN74" s="178"/>
      <c r="DUO74" s="179"/>
      <c r="DUP74"/>
      <c r="DUQ74" s="180"/>
      <c r="DUR74"/>
      <c r="DUS74" s="172"/>
      <c r="DUT74" s="181"/>
      <c r="DUU74"/>
      <c r="DUV74" s="174"/>
      <c r="DUW74" s="175"/>
      <c r="DUX74" s="176"/>
      <c r="DUY74" s="176"/>
      <c r="DUZ74" s="175"/>
      <c r="DVA74" s="177"/>
      <c r="DVB74" s="175"/>
      <c r="DVC74" s="177"/>
      <c r="DVD74" s="178"/>
      <c r="DVE74" s="179"/>
      <c r="DVF74"/>
      <c r="DVG74" s="180"/>
      <c r="DVH74"/>
      <c r="DVI74" s="172"/>
      <c r="DVJ74" s="181"/>
      <c r="DVK74"/>
      <c r="DVL74" s="174"/>
      <c r="DVM74" s="175"/>
      <c r="DVN74" s="176"/>
      <c r="DVO74" s="176"/>
      <c r="DVP74" s="175"/>
      <c r="DVQ74" s="177"/>
      <c r="DVR74" s="175"/>
      <c r="DVS74" s="177"/>
      <c r="DVT74" s="178"/>
      <c r="DVU74" s="179"/>
      <c r="DVV74"/>
      <c r="DVW74" s="180"/>
      <c r="DVX74"/>
      <c r="DVY74" s="172"/>
      <c r="DVZ74" s="181"/>
      <c r="DWA74"/>
      <c r="DWB74" s="174"/>
      <c r="DWC74" s="175"/>
      <c r="DWD74" s="176"/>
      <c r="DWE74" s="176"/>
      <c r="DWF74" s="175"/>
      <c r="DWG74" s="177"/>
      <c r="DWH74" s="175"/>
      <c r="DWI74" s="177"/>
      <c r="DWJ74" s="178"/>
      <c r="DWK74" s="179"/>
      <c r="DWL74"/>
      <c r="DWM74" s="180"/>
      <c r="DWN74"/>
      <c r="DWO74" s="172"/>
      <c r="DWP74" s="181"/>
      <c r="DWQ74"/>
      <c r="DWR74" s="174"/>
      <c r="DWS74" s="175"/>
      <c r="DWT74" s="176"/>
      <c r="DWU74" s="176"/>
      <c r="DWV74" s="175"/>
      <c r="DWW74" s="177"/>
      <c r="DWX74" s="175"/>
      <c r="DWY74" s="177"/>
      <c r="DWZ74" s="178"/>
      <c r="DXA74" s="179"/>
      <c r="DXB74"/>
      <c r="DXC74" s="180"/>
      <c r="DXD74"/>
      <c r="DXE74" s="172"/>
      <c r="DXF74" s="181"/>
      <c r="DXG74"/>
      <c r="DXH74" s="174"/>
      <c r="DXI74" s="175"/>
      <c r="DXJ74" s="176"/>
      <c r="DXK74" s="176"/>
      <c r="DXL74" s="175"/>
      <c r="DXM74" s="177"/>
      <c r="DXN74" s="175"/>
      <c r="DXO74" s="177"/>
      <c r="DXP74" s="178"/>
      <c r="DXQ74" s="179"/>
      <c r="DXR74"/>
      <c r="DXS74" s="180"/>
      <c r="DXT74"/>
      <c r="DXU74" s="172"/>
      <c r="DXV74" s="181"/>
      <c r="DXW74"/>
      <c r="DXX74" s="174"/>
      <c r="DXY74" s="175"/>
      <c r="DXZ74" s="176"/>
      <c r="DYA74" s="176"/>
      <c r="DYB74" s="175"/>
      <c r="DYC74" s="177"/>
      <c r="DYD74" s="175"/>
      <c r="DYE74" s="177"/>
      <c r="DYF74" s="178"/>
      <c r="DYG74" s="179"/>
      <c r="DYH74"/>
      <c r="DYI74" s="180"/>
      <c r="DYJ74"/>
      <c r="DYK74" s="172"/>
      <c r="DYL74" s="181"/>
      <c r="DYM74"/>
      <c r="DYN74" s="174"/>
      <c r="DYO74" s="175"/>
      <c r="DYP74" s="176"/>
      <c r="DYQ74" s="176"/>
      <c r="DYR74" s="175"/>
      <c r="DYS74" s="177"/>
      <c r="DYT74" s="175"/>
      <c r="DYU74" s="177"/>
      <c r="DYV74" s="178"/>
      <c r="DYW74" s="179"/>
      <c r="DYX74"/>
      <c r="DYY74" s="180"/>
      <c r="DYZ74"/>
      <c r="DZA74" s="172"/>
      <c r="DZB74" s="181"/>
      <c r="DZC74"/>
      <c r="DZD74" s="174"/>
      <c r="DZE74" s="175"/>
      <c r="DZF74" s="176"/>
      <c r="DZG74" s="176"/>
      <c r="DZH74" s="175"/>
      <c r="DZI74" s="177"/>
      <c r="DZJ74" s="175"/>
      <c r="DZK74" s="177"/>
      <c r="DZL74" s="178"/>
      <c r="DZM74" s="179"/>
      <c r="DZN74"/>
      <c r="DZO74" s="180"/>
      <c r="DZP74"/>
      <c r="DZQ74" s="172"/>
      <c r="DZR74" s="181"/>
      <c r="DZS74"/>
      <c r="DZT74" s="174"/>
      <c r="DZU74" s="175"/>
      <c r="DZV74" s="176"/>
      <c r="DZW74" s="176"/>
      <c r="DZX74" s="175"/>
      <c r="DZY74" s="177"/>
      <c r="DZZ74" s="175"/>
      <c r="EAA74" s="177"/>
      <c r="EAB74" s="178"/>
      <c r="EAC74" s="179"/>
      <c r="EAD74"/>
      <c r="EAE74" s="180"/>
      <c r="EAF74"/>
      <c r="EAG74" s="172"/>
      <c r="EAH74" s="181"/>
      <c r="EAI74"/>
      <c r="EAJ74" s="174"/>
      <c r="EAK74" s="175"/>
      <c r="EAL74" s="176"/>
      <c r="EAM74" s="176"/>
      <c r="EAN74" s="175"/>
      <c r="EAO74" s="177"/>
      <c r="EAP74" s="175"/>
      <c r="EAQ74" s="177"/>
      <c r="EAR74" s="178"/>
      <c r="EAS74" s="179"/>
      <c r="EAT74"/>
      <c r="EAU74" s="180"/>
      <c r="EAV74"/>
      <c r="EAW74" s="172"/>
      <c r="EAX74" s="181"/>
      <c r="EAY74"/>
      <c r="EAZ74" s="174"/>
      <c r="EBA74" s="175"/>
      <c r="EBB74" s="176"/>
      <c r="EBC74" s="176"/>
      <c r="EBD74" s="175"/>
      <c r="EBE74" s="177"/>
      <c r="EBF74" s="175"/>
      <c r="EBG74" s="177"/>
      <c r="EBH74" s="178"/>
      <c r="EBI74" s="179"/>
      <c r="EBJ74"/>
      <c r="EBK74" s="180"/>
      <c r="EBL74"/>
      <c r="EBM74" s="172"/>
      <c r="EBN74" s="181"/>
      <c r="EBO74"/>
      <c r="EBP74" s="174"/>
      <c r="EBQ74" s="175"/>
      <c r="EBR74" s="176"/>
      <c r="EBS74" s="176"/>
      <c r="EBT74" s="175"/>
      <c r="EBU74" s="177"/>
      <c r="EBV74" s="175"/>
      <c r="EBW74" s="177"/>
      <c r="EBX74" s="178"/>
      <c r="EBY74" s="179"/>
      <c r="EBZ74"/>
      <c r="ECA74" s="180"/>
      <c r="ECB74"/>
      <c r="ECC74" s="172"/>
      <c r="ECD74" s="181"/>
      <c r="ECE74"/>
      <c r="ECF74" s="174"/>
      <c r="ECG74" s="175"/>
      <c r="ECH74" s="176"/>
      <c r="ECI74" s="176"/>
      <c r="ECJ74" s="175"/>
      <c r="ECK74" s="177"/>
      <c r="ECL74" s="175"/>
      <c r="ECM74" s="177"/>
      <c r="ECN74" s="178"/>
      <c r="ECO74" s="179"/>
      <c r="ECP74"/>
      <c r="ECQ74" s="180"/>
      <c r="ECR74"/>
      <c r="ECS74" s="172"/>
      <c r="ECT74" s="181"/>
      <c r="ECU74"/>
      <c r="ECV74" s="174"/>
      <c r="ECW74" s="175"/>
      <c r="ECX74" s="176"/>
      <c r="ECY74" s="176"/>
      <c r="ECZ74" s="175"/>
      <c r="EDA74" s="177"/>
      <c r="EDB74" s="175"/>
      <c r="EDC74" s="177"/>
      <c r="EDD74" s="178"/>
      <c r="EDE74" s="179"/>
      <c r="EDF74"/>
      <c r="EDG74" s="180"/>
      <c r="EDH74"/>
      <c r="EDI74" s="172"/>
      <c r="EDJ74" s="181"/>
      <c r="EDK74"/>
      <c r="EDL74" s="174"/>
      <c r="EDM74" s="175"/>
      <c r="EDN74" s="176"/>
      <c r="EDO74" s="176"/>
      <c r="EDP74" s="175"/>
      <c r="EDQ74" s="177"/>
      <c r="EDR74" s="175"/>
      <c r="EDS74" s="177"/>
      <c r="EDT74" s="178"/>
      <c r="EDU74" s="179"/>
      <c r="EDV74"/>
      <c r="EDW74" s="180"/>
      <c r="EDX74"/>
      <c r="EDY74" s="172"/>
      <c r="EDZ74" s="181"/>
      <c r="EEA74"/>
      <c r="EEB74" s="174"/>
      <c r="EEC74" s="175"/>
      <c r="EED74" s="176"/>
      <c r="EEE74" s="176"/>
      <c r="EEF74" s="175"/>
      <c r="EEG74" s="177"/>
      <c r="EEH74" s="175"/>
      <c r="EEI74" s="177"/>
      <c r="EEJ74" s="178"/>
      <c r="EEK74" s="179"/>
      <c r="EEL74"/>
      <c r="EEM74" s="180"/>
      <c r="EEN74"/>
      <c r="EEO74" s="172"/>
      <c r="EEP74" s="181"/>
      <c r="EEQ74"/>
      <c r="EER74" s="174"/>
      <c r="EES74" s="175"/>
      <c r="EET74" s="176"/>
      <c r="EEU74" s="176"/>
      <c r="EEV74" s="175"/>
      <c r="EEW74" s="177"/>
      <c r="EEX74" s="175"/>
      <c r="EEY74" s="177"/>
      <c r="EEZ74" s="178"/>
      <c r="EFA74" s="179"/>
      <c r="EFB74"/>
      <c r="EFC74" s="180"/>
      <c r="EFD74"/>
      <c r="EFE74" s="172"/>
      <c r="EFF74" s="181"/>
      <c r="EFG74"/>
      <c r="EFH74" s="174"/>
      <c r="EFI74" s="175"/>
      <c r="EFJ74" s="176"/>
      <c r="EFK74" s="176"/>
      <c r="EFL74" s="175"/>
      <c r="EFM74" s="177"/>
      <c r="EFN74" s="175"/>
      <c r="EFO74" s="177"/>
      <c r="EFP74" s="178"/>
      <c r="EFQ74" s="179"/>
      <c r="EFR74"/>
      <c r="EFS74" s="180"/>
      <c r="EFT74"/>
      <c r="EFU74" s="172"/>
      <c r="EFV74" s="181"/>
      <c r="EFW74"/>
      <c r="EFX74" s="174"/>
      <c r="EFY74" s="175"/>
      <c r="EFZ74" s="176"/>
      <c r="EGA74" s="176"/>
      <c r="EGB74" s="175"/>
      <c r="EGC74" s="177"/>
      <c r="EGD74" s="175"/>
      <c r="EGE74" s="177"/>
      <c r="EGF74" s="178"/>
      <c r="EGG74" s="179"/>
      <c r="EGH74"/>
      <c r="EGI74" s="180"/>
      <c r="EGJ74"/>
      <c r="EGK74" s="172"/>
      <c r="EGL74" s="181"/>
      <c r="EGM74"/>
      <c r="EGN74" s="174"/>
      <c r="EGO74" s="175"/>
      <c r="EGP74" s="176"/>
      <c r="EGQ74" s="176"/>
      <c r="EGR74" s="175"/>
      <c r="EGS74" s="177"/>
      <c r="EGT74" s="175"/>
      <c r="EGU74" s="177"/>
      <c r="EGV74" s="178"/>
      <c r="EGW74" s="179"/>
      <c r="EGX74"/>
      <c r="EGY74" s="180"/>
      <c r="EGZ74"/>
      <c r="EHA74" s="172"/>
      <c r="EHB74" s="181"/>
      <c r="EHC74"/>
      <c r="EHD74" s="174"/>
      <c r="EHE74" s="175"/>
      <c r="EHF74" s="176"/>
      <c r="EHG74" s="176"/>
      <c r="EHH74" s="175"/>
      <c r="EHI74" s="177"/>
      <c r="EHJ74" s="175"/>
      <c r="EHK74" s="177"/>
      <c r="EHL74" s="178"/>
      <c r="EHM74" s="179"/>
      <c r="EHN74"/>
      <c r="EHO74" s="180"/>
      <c r="EHP74"/>
      <c r="EHQ74" s="172"/>
      <c r="EHR74" s="181"/>
      <c r="EHS74"/>
      <c r="EHT74" s="174"/>
      <c r="EHU74" s="175"/>
      <c r="EHV74" s="176"/>
      <c r="EHW74" s="176"/>
      <c r="EHX74" s="175"/>
      <c r="EHY74" s="177"/>
      <c r="EHZ74" s="175"/>
      <c r="EIA74" s="177"/>
      <c r="EIB74" s="178"/>
      <c r="EIC74" s="179"/>
      <c r="EID74"/>
      <c r="EIE74" s="180"/>
      <c r="EIF74"/>
      <c r="EIG74" s="172"/>
      <c r="EIH74" s="181"/>
      <c r="EII74"/>
      <c r="EIJ74" s="174"/>
      <c r="EIK74" s="175"/>
      <c r="EIL74" s="176"/>
      <c r="EIM74" s="176"/>
      <c r="EIN74" s="175"/>
      <c r="EIO74" s="177"/>
      <c r="EIP74" s="175"/>
      <c r="EIQ74" s="177"/>
      <c r="EIR74" s="178"/>
      <c r="EIS74" s="179"/>
      <c r="EIT74"/>
      <c r="EIU74" s="180"/>
      <c r="EIV74"/>
      <c r="EIW74" s="172"/>
      <c r="EIX74" s="181"/>
      <c r="EIY74"/>
      <c r="EIZ74" s="174"/>
      <c r="EJA74" s="175"/>
      <c r="EJB74" s="176"/>
      <c r="EJC74" s="176"/>
      <c r="EJD74" s="175"/>
      <c r="EJE74" s="177"/>
      <c r="EJF74" s="175"/>
      <c r="EJG74" s="177"/>
      <c r="EJH74" s="178"/>
      <c r="EJI74" s="179"/>
      <c r="EJJ74"/>
      <c r="EJK74" s="180"/>
      <c r="EJL74"/>
      <c r="EJM74" s="172"/>
      <c r="EJN74" s="181"/>
      <c r="EJO74"/>
      <c r="EJP74" s="174"/>
      <c r="EJQ74" s="175"/>
      <c r="EJR74" s="176"/>
      <c r="EJS74" s="176"/>
      <c r="EJT74" s="175"/>
      <c r="EJU74" s="177"/>
      <c r="EJV74" s="175"/>
      <c r="EJW74" s="177"/>
      <c r="EJX74" s="178"/>
      <c r="EJY74" s="179"/>
      <c r="EJZ74"/>
      <c r="EKA74" s="180"/>
      <c r="EKB74"/>
      <c r="EKC74" s="172"/>
      <c r="EKD74" s="181"/>
      <c r="EKE74"/>
      <c r="EKF74" s="174"/>
      <c r="EKG74" s="175"/>
      <c r="EKH74" s="176"/>
      <c r="EKI74" s="176"/>
      <c r="EKJ74" s="175"/>
      <c r="EKK74" s="177"/>
      <c r="EKL74" s="175"/>
      <c r="EKM74" s="177"/>
      <c r="EKN74" s="178"/>
      <c r="EKO74" s="179"/>
      <c r="EKP74"/>
      <c r="EKQ74" s="180"/>
      <c r="EKR74"/>
      <c r="EKS74" s="172"/>
      <c r="EKT74" s="181"/>
      <c r="EKU74"/>
      <c r="EKV74" s="174"/>
      <c r="EKW74" s="175"/>
      <c r="EKX74" s="176"/>
      <c r="EKY74" s="176"/>
      <c r="EKZ74" s="175"/>
      <c r="ELA74" s="177"/>
      <c r="ELB74" s="175"/>
      <c r="ELC74" s="177"/>
      <c r="ELD74" s="178"/>
      <c r="ELE74" s="179"/>
      <c r="ELF74"/>
      <c r="ELG74" s="180"/>
      <c r="ELH74"/>
      <c r="ELI74" s="172"/>
      <c r="ELJ74" s="181"/>
      <c r="ELK74"/>
      <c r="ELL74" s="174"/>
      <c r="ELM74" s="175"/>
      <c r="ELN74" s="176"/>
      <c r="ELO74" s="176"/>
      <c r="ELP74" s="175"/>
      <c r="ELQ74" s="177"/>
      <c r="ELR74" s="175"/>
      <c r="ELS74" s="177"/>
      <c r="ELT74" s="178"/>
      <c r="ELU74" s="179"/>
      <c r="ELV74"/>
      <c r="ELW74" s="180"/>
      <c r="ELX74"/>
      <c r="ELY74" s="172"/>
      <c r="ELZ74" s="181"/>
      <c r="EMA74"/>
      <c r="EMB74" s="174"/>
      <c r="EMC74" s="175"/>
      <c r="EMD74" s="176"/>
      <c r="EME74" s="176"/>
      <c r="EMF74" s="175"/>
      <c r="EMG74" s="177"/>
      <c r="EMH74" s="175"/>
      <c r="EMI74" s="177"/>
      <c r="EMJ74" s="178"/>
      <c r="EMK74" s="179"/>
      <c r="EML74"/>
      <c r="EMM74" s="180"/>
      <c r="EMN74"/>
      <c r="EMO74" s="172"/>
      <c r="EMP74" s="181"/>
      <c r="EMQ74"/>
      <c r="EMR74" s="174"/>
      <c r="EMS74" s="175"/>
      <c r="EMT74" s="176"/>
      <c r="EMU74" s="176"/>
      <c r="EMV74" s="175"/>
      <c r="EMW74" s="177"/>
      <c r="EMX74" s="175"/>
      <c r="EMY74" s="177"/>
      <c r="EMZ74" s="178"/>
      <c r="ENA74" s="179"/>
      <c r="ENB74"/>
      <c r="ENC74" s="180"/>
      <c r="END74"/>
      <c r="ENE74" s="172"/>
      <c r="ENF74" s="181"/>
      <c r="ENG74"/>
      <c r="ENH74" s="174"/>
      <c r="ENI74" s="175"/>
      <c r="ENJ74" s="176"/>
      <c r="ENK74" s="176"/>
      <c r="ENL74" s="175"/>
      <c r="ENM74" s="177"/>
      <c r="ENN74" s="175"/>
      <c r="ENO74" s="177"/>
      <c r="ENP74" s="178"/>
      <c r="ENQ74" s="179"/>
      <c r="ENR74"/>
      <c r="ENS74" s="180"/>
      <c r="ENT74"/>
      <c r="ENU74" s="172"/>
      <c r="ENV74" s="181"/>
      <c r="ENW74"/>
      <c r="ENX74" s="174"/>
      <c r="ENY74" s="175"/>
      <c r="ENZ74" s="176"/>
      <c r="EOA74" s="176"/>
      <c r="EOB74" s="175"/>
      <c r="EOC74" s="177"/>
      <c r="EOD74" s="175"/>
      <c r="EOE74" s="177"/>
      <c r="EOF74" s="178"/>
      <c r="EOG74" s="179"/>
      <c r="EOH74"/>
      <c r="EOI74" s="180"/>
      <c r="EOJ74"/>
      <c r="EOK74" s="172"/>
      <c r="EOL74" s="181"/>
      <c r="EOM74"/>
      <c r="EON74" s="174"/>
      <c r="EOO74" s="175"/>
      <c r="EOP74" s="176"/>
      <c r="EOQ74" s="176"/>
      <c r="EOR74" s="175"/>
      <c r="EOS74" s="177"/>
      <c r="EOT74" s="175"/>
      <c r="EOU74" s="177"/>
      <c r="EOV74" s="178"/>
      <c r="EOW74" s="179"/>
      <c r="EOX74"/>
      <c r="EOY74" s="180"/>
      <c r="EOZ74"/>
      <c r="EPA74" s="172"/>
      <c r="EPB74" s="181"/>
      <c r="EPC74"/>
      <c r="EPD74" s="174"/>
      <c r="EPE74" s="175"/>
      <c r="EPF74" s="176"/>
      <c r="EPG74" s="176"/>
      <c r="EPH74" s="175"/>
      <c r="EPI74" s="177"/>
      <c r="EPJ74" s="175"/>
      <c r="EPK74" s="177"/>
      <c r="EPL74" s="178"/>
      <c r="EPM74" s="179"/>
      <c r="EPN74"/>
      <c r="EPO74" s="180"/>
      <c r="EPP74"/>
      <c r="EPQ74" s="172"/>
      <c r="EPR74" s="181"/>
      <c r="EPS74"/>
      <c r="EPT74" s="174"/>
      <c r="EPU74" s="175"/>
      <c r="EPV74" s="176"/>
      <c r="EPW74" s="176"/>
      <c r="EPX74" s="175"/>
      <c r="EPY74" s="177"/>
      <c r="EPZ74" s="175"/>
      <c r="EQA74" s="177"/>
      <c r="EQB74" s="178"/>
      <c r="EQC74" s="179"/>
      <c r="EQD74"/>
      <c r="EQE74" s="180"/>
      <c r="EQF74"/>
      <c r="EQG74" s="172"/>
      <c r="EQH74" s="181"/>
      <c r="EQI74"/>
      <c r="EQJ74" s="174"/>
      <c r="EQK74" s="175"/>
      <c r="EQL74" s="176"/>
      <c r="EQM74" s="176"/>
      <c r="EQN74" s="175"/>
      <c r="EQO74" s="177"/>
      <c r="EQP74" s="175"/>
      <c r="EQQ74" s="177"/>
      <c r="EQR74" s="178"/>
      <c r="EQS74" s="179"/>
      <c r="EQT74"/>
      <c r="EQU74" s="180"/>
      <c r="EQV74"/>
      <c r="EQW74" s="172"/>
      <c r="EQX74" s="181"/>
      <c r="EQY74"/>
      <c r="EQZ74" s="174"/>
      <c r="ERA74" s="175"/>
      <c r="ERB74" s="176"/>
      <c r="ERC74" s="176"/>
      <c r="ERD74" s="175"/>
      <c r="ERE74" s="177"/>
      <c r="ERF74" s="175"/>
      <c r="ERG74" s="177"/>
      <c r="ERH74" s="178"/>
      <c r="ERI74" s="179"/>
      <c r="ERJ74"/>
      <c r="ERK74" s="180"/>
      <c r="ERL74"/>
      <c r="ERM74" s="172"/>
      <c r="ERN74" s="181"/>
      <c r="ERO74"/>
      <c r="ERP74" s="174"/>
      <c r="ERQ74" s="175"/>
      <c r="ERR74" s="176"/>
      <c r="ERS74" s="176"/>
      <c r="ERT74" s="175"/>
      <c r="ERU74" s="177"/>
      <c r="ERV74" s="175"/>
      <c r="ERW74" s="177"/>
      <c r="ERX74" s="178"/>
      <c r="ERY74" s="179"/>
      <c r="ERZ74"/>
      <c r="ESA74" s="180"/>
      <c r="ESB74"/>
      <c r="ESC74" s="172"/>
      <c r="ESD74" s="181"/>
      <c r="ESE74"/>
      <c r="ESF74" s="174"/>
      <c r="ESG74" s="175"/>
      <c r="ESH74" s="176"/>
      <c r="ESI74" s="176"/>
      <c r="ESJ74" s="175"/>
      <c r="ESK74" s="177"/>
      <c r="ESL74" s="175"/>
      <c r="ESM74" s="177"/>
      <c r="ESN74" s="178"/>
      <c r="ESO74" s="179"/>
      <c r="ESP74"/>
      <c r="ESQ74" s="180"/>
      <c r="ESR74"/>
      <c r="ESS74" s="172"/>
      <c r="EST74" s="181"/>
      <c r="ESU74"/>
      <c r="ESV74" s="174"/>
      <c r="ESW74" s="175"/>
      <c r="ESX74" s="176"/>
      <c r="ESY74" s="176"/>
      <c r="ESZ74" s="175"/>
      <c r="ETA74" s="177"/>
      <c r="ETB74" s="175"/>
      <c r="ETC74" s="177"/>
      <c r="ETD74" s="178"/>
      <c r="ETE74" s="179"/>
      <c r="ETF74"/>
      <c r="ETG74" s="180"/>
      <c r="ETH74"/>
      <c r="ETI74" s="172"/>
      <c r="ETJ74" s="181"/>
      <c r="ETK74"/>
      <c r="ETL74" s="174"/>
      <c r="ETM74" s="175"/>
      <c r="ETN74" s="176"/>
      <c r="ETO74" s="176"/>
      <c r="ETP74" s="175"/>
      <c r="ETQ74" s="177"/>
      <c r="ETR74" s="175"/>
      <c r="ETS74" s="177"/>
      <c r="ETT74" s="178"/>
      <c r="ETU74" s="179"/>
      <c r="ETV74"/>
      <c r="ETW74" s="180"/>
      <c r="ETX74"/>
      <c r="ETY74" s="172"/>
      <c r="ETZ74" s="181"/>
      <c r="EUA74"/>
      <c r="EUB74" s="174"/>
      <c r="EUC74" s="175"/>
      <c r="EUD74" s="176"/>
      <c r="EUE74" s="176"/>
      <c r="EUF74" s="175"/>
      <c r="EUG74" s="177"/>
      <c r="EUH74" s="175"/>
      <c r="EUI74" s="177"/>
      <c r="EUJ74" s="178"/>
      <c r="EUK74" s="179"/>
      <c r="EUL74"/>
      <c r="EUM74" s="180"/>
      <c r="EUN74"/>
      <c r="EUO74" s="172"/>
      <c r="EUP74" s="181"/>
      <c r="EUQ74"/>
      <c r="EUR74" s="174"/>
      <c r="EUS74" s="175"/>
      <c r="EUT74" s="176"/>
      <c r="EUU74" s="176"/>
      <c r="EUV74" s="175"/>
      <c r="EUW74" s="177"/>
      <c r="EUX74" s="175"/>
      <c r="EUY74" s="177"/>
      <c r="EUZ74" s="178"/>
      <c r="EVA74" s="179"/>
      <c r="EVB74"/>
      <c r="EVC74" s="180"/>
      <c r="EVD74"/>
      <c r="EVE74" s="172"/>
      <c r="EVF74" s="181"/>
      <c r="EVG74"/>
      <c r="EVH74" s="174"/>
      <c r="EVI74" s="175"/>
      <c r="EVJ74" s="176"/>
      <c r="EVK74" s="176"/>
      <c r="EVL74" s="175"/>
      <c r="EVM74" s="177"/>
      <c r="EVN74" s="175"/>
      <c r="EVO74" s="177"/>
      <c r="EVP74" s="178"/>
      <c r="EVQ74" s="179"/>
      <c r="EVR74"/>
      <c r="EVS74" s="180"/>
      <c r="EVT74"/>
      <c r="EVU74" s="172"/>
      <c r="EVV74" s="181"/>
      <c r="EVW74"/>
      <c r="EVX74" s="174"/>
      <c r="EVY74" s="175"/>
      <c r="EVZ74" s="176"/>
      <c r="EWA74" s="176"/>
      <c r="EWB74" s="175"/>
      <c r="EWC74" s="177"/>
      <c r="EWD74" s="175"/>
      <c r="EWE74" s="177"/>
      <c r="EWF74" s="178"/>
      <c r="EWG74" s="179"/>
      <c r="EWH74"/>
      <c r="EWI74" s="180"/>
      <c r="EWJ74"/>
      <c r="EWK74" s="172"/>
      <c r="EWL74" s="181"/>
      <c r="EWM74"/>
      <c r="EWN74" s="174"/>
      <c r="EWO74" s="175"/>
      <c r="EWP74" s="176"/>
      <c r="EWQ74" s="176"/>
      <c r="EWR74" s="175"/>
      <c r="EWS74" s="177"/>
      <c r="EWT74" s="175"/>
      <c r="EWU74" s="177"/>
      <c r="EWV74" s="178"/>
      <c r="EWW74" s="179"/>
      <c r="EWX74"/>
      <c r="EWY74" s="180"/>
      <c r="EWZ74"/>
      <c r="EXA74" s="172"/>
      <c r="EXB74" s="181"/>
      <c r="EXC74"/>
      <c r="EXD74" s="174"/>
      <c r="EXE74" s="175"/>
      <c r="EXF74" s="176"/>
      <c r="EXG74" s="176"/>
      <c r="EXH74" s="175"/>
      <c r="EXI74" s="177"/>
      <c r="EXJ74" s="175"/>
      <c r="EXK74" s="177"/>
      <c r="EXL74" s="178"/>
      <c r="EXM74" s="179"/>
      <c r="EXN74"/>
      <c r="EXO74" s="180"/>
      <c r="EXP74"/>
      <c r="EXQ74" s="172"/>
      <c r="EXR74" s="181"/>
      <c r="EXS74"/>
      <c r="EXT74" s="174"/>
      <c r="EXU74" s="175"/>
      <c r="EXV74" s="176"/>
      <c r="EXW74" s="176"/>
      <c r="EXX74" s="175"/>
      <c r="EXY74" s="177"/>
      <c r="EXZ74" s="175"/>
      <c r="EYA74" s="177"/>
      <c r="EYB74" s="178"/>
      <c r="EYC74" s="179"/>
      <c r="EYD74"/>
      <c r="EYE74" s="180"/>
      <c r="EYF74"/>
      <c r="EYG74" s="172"/>
      <c r="EYH74" s="181"/>
      <c r="EYI74"/>
      <c r="EYJ74" s="174"/>
      <c r="EYK74" s="175"/>
      <c r="EYL74" s="176"/>
      <c r="EYM74" s="176"/>
      <c r="EYN74" s="175"/>
      <c r="EYO74" s="177"/>
      <c r="EYP74" s="175"/>
      <c r="EYQ74" s="177"/>
      <c r="EYR74" s="178"/>
      <c r="EYS74" s="179"/>
      <c r="EYT74"/>
      <c r="EYU74" s="180"/>
      <c r="EYV74"/>
      <c r="EYW74" s="172"/>
      <c r="EYX74" s="181"/>
      <c r="EYY74"/>
      <c r="EYZ74" s="174"/>
      <c r="EZA74" s="175"/>
      <c r="EZB74" s="176"/>
      <c r="EZC74" s="176"/>
      <c r="EZD74" s="175"/>
      <c r="EZE74" s="177"/>
      <c r="EZF74" s="175"/>
      <c r="EZG74" s="177"/>
      <c r="EZH74" s="178"/>
      <c r="EZI74" s="179"/>
      <c r="EZJ74"/>
      <c r="EZK74" s="180"/>
      <c r="EZL74"/>
      <c r="EZM74" s="172"/>
      <c r="EZN74" s="181"/>
      <c r="EZO74"/>
      <c r="EZP74" s="174"/>
      <c r="EZQ74" s="175"/>
      <c r="EZR74" s="176"/>
      <c r="EZS74" s="176"/>
      <c r="EZT74" s="175"/>
      <c r="EZU74" s="177"/>
      <c r="EZV74" s="175"/>
      <c r="EZW74" s="177"/>
      <c r="EZX74" s="178"/>
      <c r="EZY74" s="179"/>
      <c r="EZZ74"/>
      <c r="FAA74" s="180"/>
      <c r="FAB74"/>
      <c r="FAC74" s="172"/>
      <c r="FAD74" s="181"/>
      <c r="FAE74"/>
      <c r="FAF74" s="174"/>
      <c r="FAG74" s="175"/>
      <c r="FAH74" s="176"/>
      <c r="FAI74" s="176"/>
      <c r="FAJ74" s="175"/>
      <c r="FAK74" s="177"/>
      <c r="FAL74" s="175"/>
      <c r="FAM74" s="177"/>
      <c r="FAN74" s="178"/>
      <c r="FAO74" s="179"/>
      <c r="FAP74"/>
      <c r="FAQ74" s="180"/>
      <c r="FAR74"/>
      <c r="FAS74" s="172"/>
      <c r="FAT74" s="181"/>
      <c r="FAU74"/>
      <c r="FAV74" s="174"/>
      <c r="FAW74" s="175"/>
      <c r="FAX74" s="176"/>
      <c r="FAY74" s="176"/>
      <c r="FAZ74" s="175"/>
      <c r="FBA74" s="177"/>
      <c r="FBB74" s="175"/>
      <c r="FBC74" s="177"/>
      <c r="FBD74" s="178"/>
      <c r="FBE74" s="179"/>
      <c r="FBF74"/>
      <c r="FBG74" s="180"/>
      <c r="FBH74"/>
      <c r="FBI74" s="172"/>
      <c r="FBJ74" s="181"/>
      <c r="FBK74"/>
      <c r="FBL74" s="174"/>
      <c r="FBM74" s="175"/>
      <c r="FBN74" s="176"/>
      <c r="FBO74" s="176"/>
      <c r="FBP74" s="175"/>
      <c r="FBQ74" s="177"/>
      <c r="FBR74" s="175"/>
      <c r="FBS74" s="177"/>
      <c r="FBT74" s="178"/>
      <c r="FBU74" s="179"/>
      <c r="FBV74"/>
      <c r="FBW74" s="180"/>
      <c r="FBX74"/>
      <c r="FBY74" s="172"/>
      <c r="FBZ74" s="181"/>
      <c r="FCA74"/>
      <c r="FCB74" s="174"/>
      <c r="FCC74" s="175"/>
      <c r="FCD74" s="176"/>
      <c r="FCE74" s="176"/>
      <c r="FCF74" s="175"/>
      <c r="FCG74" s="177"/>
      <c r="FCH74" s="175"/>
      <c r="FCI74" s="177"/>
      <c r="FCJ74" s="178"/>
      <c r="FCK74" s="179"/>
      <c r="FCL74"/>
      <c r="FCM74" s="180"/>
      <c r="FCN74"/>
      <c r="FCO74" s="172"/>
      <c r="FCP74" s="181"/>
      <c r="FCQ74"/>
      <c r="FCR74" s="174"/>
      <c r="FCS74" s="175"/>
      <c r="FCT74" s="176"/>
      <c r="FCU74" s="176"/>
      <c r="FCV74" s="175"/>
      <c r="FCW74" s="177"/>
      <c r="FCX74" s="175"/>
      <c r="FCY74" s="177"/>
      <c r="FCZ74" s="178"/>
      <c r="FDA74" s="179"/>
      <c r="FDB74"/>
      <c r="FDC74" s="180"/>
      <c r="FDD74"/>
      <c r="FDE74" s="172"/>
      <c r="FDF74" s="181"/>
      <c r="FDG74"/>
      <c r="FDH74" s="174"/>
      <c r="FDI74" s="175"/>
      <c r="FDJ74" s="176"/>
      <c r="FDK74" s="176"/>
      <c r="FDL74" s="175"/>
      <c r="FDM74" s="177"/>
      <c r="FDN74" s="175"/>
      <c r="FDO74" s="177"/>
      <c r="FDP74" s="178"/>
      <c r="FDQ74" s="179"/>
      <c r="FDR74"/>
      <c r="FDS74" s="180"/>
      <c r="FDT74"/>
      <c r="FDU74" s="172"/>
      <c r="FDV74" s="181"/>
      <c r="FDW74"/>
      <c r="FDX74" s="174"/>
      <c r="FDY74" s="175"/>
      <c r="FDZ74" s="176"/>
      <c r="FEA74" s="176"/>
      <c r="FEB74" s="175"/>
      <c r="FEC74" s="177"/>
      <c r="FED74" s="175"/>
      <c r="FEE74" s="177"/>
      <c r="FEF74" s="178"/>
      <c r="FEG74" s="179"/>
      <c r="FEH74"/>
      <c r="FEI74" s="180"/>
      <c r="FEJ74"/>
      <c r="FEK74" s="172"/>
      <c r="FEL74" s="181"/>
      <c r="FEM74"/>
      <c r="FEN74" s="174"/>
      <c r="FEO74" s="175"/>
      <c r="FEP74" s="176"/>
      <c r="FEQ74" s="176"/>
      <c r="FER74" s="175"/>
      <c r="FES74" s="177"/>
      <c r="FET74" s="175"/>
      <c r="FEU74" s="177"/>
      <c r="FEV74" s="178"/>
      <c r="FEW74" s="179"/>
      <c r="FEX74"/>
      <c r="FEY74" s="180"/>
      <c r="FEZ74"/>
      <c r="FFA74" s="172"/>
      <c r="FFB74" s="181"/>
      <c r="FFC74"/>
      <c r="FFD74" s="174"/>
      <c r="FFE74" s="175"/>
      <c r="FFF74" s="176"/>
      <c r="FFG74" s="176"/>
      <c r="FFH74" s="175"/>
      <c r="FFI74" s="177"/>
      <c r="FFJ74" s="175"/>
      <c r="FFK74" s="177"/>
      <c r="FFL74" s="178"/>
      <c r="FFM74" s="179"/>
      <c r="FFN74"/>
      <c r="FFO74" s="180"/>
      <c r="FFP74"/>
      <c r="FFQ74" s="172"/>
      <c r="FFR74" s="181"/>
      <c r="FFS74"/>
      <c r="FFT74" s="174"/>
      <c r="FFU74" s="175"/>
      <c r="FFV74" s="176"/>
      <c r="FFW74" s="176"/>
      <c r="FFX74" s="175"/>
      <c r="FFY74" s="177"/>
      <c r="FFZ74" s="175"/>
      <c r="FGA74" s="177"/>
      <c r="FGB74" s="178"/>
      <c r="FGC74" s="179"/>
      <c r="FGD74"/>
      <c r="FGE74" s="180"/>
      <c r="FGF74"/>
      <c r="FGG74" s="172"/>
      <c r="FGH74" s="181"/>
      <c r="FGI74"/>
      <c r="FGJ74" s="174"/>
      <c r="FGK74" s="175"/>
      <c r="FGL74" s="176"/>
      <c r="FGM74" s="176"/>
      <c r="FGN74" s="175"/>
      <c r="FGO74" s="177"/>
      <c r="FGP74" s="175"/>
      <c r="FGQ74" s="177"/>
      <c r="FGR74" s="178"/>
      <c r="FGS74" s="179"/>
      <c r="FGT74"/>
      <c r="FGU74" s="180"/>
      <c r="FGV74"/>
      <c r="FGW74" s="172"/>
      <c r="FGX74" s="181"/>
      <c r="FGY74"/>
      <c r="FGZ74" s="174"/>
      <c r="FHA74" s="175"/>
      <c r="FHB74" s="176"/>
      <c r="FHC74" s="176"/>
      <c r="FHD74" s="175"/>
      <c r="FHE74" s="177"/>
      <c r="FHF74" s="175"/>
      <c r="FHG74" s="177"/>
      <c r="FHH74" s="178"/>
      <c r="FHI74" s="179"/>
      <c r="FHJ74"/>
      <c r="FHK74" s="180"/>
      <c r="FHL74"/>
      <c r="FHM74" s="172"/>
      <c r="FHN74" s="181"/>
      <c r="FHO74"/>
      <c r="FHP74" s="174"/>
      <c r="FHQ74" s="175"/>
      <c r="FHR74" s="176"/>
      <c r="FHS74" s="176"/>
      <c r="FHT74" s="175"/>
      <c r="FHU74" s="177"/>
      <c r="FHV74" s="175"/>
      <c r="FHW74" s="177"/>
      <c r="FHX74" s="178"/>
      <c r="FHY74" s="179"/>
      <c r="FHZ74"/>
      <c r="FIA74" s="180"/>
      <c r="FIB74"/>
      <c r="FIC74" s="172"/>
      <c r="FID74" s="181"/>
      <c r="FIE74"/>
      <c r="FIF74" s="174"/>
      <c r="FIG74" s="175"/>
      <c r="FIH74" s="176"/>
      <c r="FII74" s="176"/>
      <c r="FIJ74" s="175"/>
      <c r="FIK74" s="177"/>
      <c r="FIL74" s="175"/>
      <c r="FIM74" s="177"/>
      <c r="FIN74" s="178"/>
      <c r="FIO74" s="179"/>
      <c r="FIP74"/>
      <c r="FIQ74" s="180"/>
      <c r="FIR74"/>
      <c r="FIS74" s="172"/>
      <c r="FIT74" s="181"/>
      <c r="FIU74"/>
      <c r="FIV74" s="174"/>
      <c r="FIW74" s="175"/>
      <c r="FIX74" s="176"/>
      <c r="FIY74" s="176"/>
      <c r="FIZ74" s="175"/>
      <c r="FJA74" s="177"/>
      <c r="FJB74" s="175"/>
      <c r="FJC74" s="177"/>
      <c r="FJD74" s="178"/>
      <c r="FJE74" s="179"/>
      <c r="FJF74"/>
      <c r="FJG74" s="180"/>
      <c r="FJH74"/>
      <c r="FJI74" s="172"/>
      <c r="FJJ74" s="181"/>
      <c r="FJK74"/>
      <c r="FJL74" s="174"/>
      <c r="FJM74" s="175"/>
      <c r="FJN74" s="176"/>
      <c r="FJO74" s="176"/>
      <c r="FJP74" s="175"/>
      <c r="FJQ74" s="177"/>
      <c r="FJR74" s="175"/>
      <c r="FJS74" s="177"/>
      <c r="FJT74" s="178"/>
      <c r="FJU74" s="179"/>
      <c r="FJV74"/>
      <c r="FJW74" s="180"/>
      <c r="FJX74"/>
      <c r="FJY74" s="172"/>
      <c r="FJZ74" s="181"/>
      <c r="FKA74"/>
      <c r="FKB74" s="174"/>
      <c r="FKC74" s="175"/>
      <c r="FKD74" s="176"/>
      <c r="FKE74" s="176"/>
      <c r="FKF74" s="175"/>
      <c r="FKG74" s="177"/>
      <c r="FKH74" s="175"/>
      <c r="FKI74" s="177"/>
      <c r="FKJ74" s="178"/>
      <c r="FKK74" s="179"/>
      <c r="FKL74"/>
      <c r="FKM74" s="180"/>
      <c r="FKN74"/>
      <c r="FKO74" s="172"/>
      <c r="FKP74" s="181"/>
      <c r="FKQ74"/>
      <c r="FKR74" s="174"/>
      <c r="FKS74" s="175"/>
      <c r="FKT74" s="176"/>
      <c r="FKU74" s="176"/>
      <c r="FKV74" s="175"/>
      <c r="FKW74" s="177"/>
      <c r="FKX74" s="175"/>
      <c r="FKY74" s="177"/>
      <c r="FKZ74" s="178"/>
      <c r="FLA74" s="179"/>
      <c r="FLB74"/>
      <c r="FLC74" s="180"/>
      <c r="FLD74"/>
      <c r="FLE74" s="172"/>
      <c r="FLF74" s="181"/>
      <c r="FLG74"/>
      <c r="FLH74" s="174"/>
      <c r="FLI74" s="175"/>
      <c r="FLJ74" s="176"/>
      <c r="FLK74" s="176"/>
      <c r="FLL74" s="175"/>
      <c r="FLM74" s="177"/>
      <c r="FLN74" s="175"/>
      <c r="FLO74" s="177"/>
      <c r="FLP74" s="178"/>
      <c r="FLQ74" s="179"/>
      <c r="FLR74"/>
      <c r="FLS74" s="180"/>
      <c r="FLT74"/>
      <c r="FLU74" s="172"/>
      <c r="FLV74" s="181"/>
      <c r="FLW74"/>
      <c r="FLX74" s="174"/>
      <c r="FLY74" s="175"/>
      <c r="FLZ74" s="176"/>
      <c r="FMA74" s="176"/>
      <c r="FMB74" s="175"/>
      <c r="FMC74" s="177"/>
      <c r="FMD74" s="175"/>
      <c r="FME74" s="177"/>
      <c r="FMF74" s="178"/>
      <c r="FMG74" s="179"/>
      <c r="FMH74"/>
      <c r="FMI74" s="180"/>
      <c r="FMJ74"/>
      <c r="FMK74" s="172"/>
      <c r="FML74" s="181"/>
      <c r="FMM74"/>
      <c r="FMN74" s="174"/>
      <c r="FMO74" s="175"/>
      <c r="FMP74" s="176"/>
      <c r="FMQ74" s="176"/>
      <c r="FMR74" s="175"/>
      <c r="FMS74" s="177"/>
      <c r="FMT74" s="175"/>
      <c r="FMU74" s="177"/>
      <c r="FMV74" s="178"/>
      <c r="FMW74" s="179"/>
      <c r="FMX74"/>
      <c r="FMY74" s="180"/>
      <c r="FMZ74"/>
      <c r="FNA74" s="172"/>
      <c r="FNB74" s="181"/>
      <c r="FNC74"/>
      <c r="FND74" s="174"/>
      <c r="FNE74" s="175"/>
      <c r="FNF74" s="176"/>
      <c r="FNG74" s="176"/>
      <c r="FNH74" s="175"/>
      <c r="FNI74" s="177"/>
      <c r="FNJ74" s="175"/>
      <c r="FNK74" s="177"/>
      <c r="FNL74" s="178"/>
      <c r="FNM74" s="179"/>
      <c r="FNN74"/>
      <c r="FNO74" s="180"/>
      <c r="FNP74"/>
      <c r="FNQ74" s="172"/>
      <c r="FNR74" s="181"/>
      <c r="FNS74"/>
      <c r="FNT74" s="174"/>
      <c r="FNU74" s="175"/>
      <c r="FNV74" s="176"/>
      <c r="FNW74" s="176"/>
      <c r="FNX74" s="175"/>
      <c r="FNY74" s="177"/>
      <c r="FNZ74" s="175"/>
      <c r="FOA74" s="177"/>
      <c r="FOB74" s="178"/>
      <c r="FOC74" s="179"/>
      <c r="FOD74"/>
      <c r="FOE74" s="180"/>
      <c r="FOF74"/>
      <c r="FOG74" s="172"/>
      <c r="FOH74" s="181"/>
      <c r="FOI74"/>
      <c r="FOJ74" s="174"/>
      <c r="FOK74" s="175"/>
      <c r="FOL74" s="176"/>
      <c r="FOM74" s="176"/>
      <c r="FON74" s="175"/>
      <c r="FOO74" s="177"/>
      <c r="FOP74" s="175"/>
      <c r="FOQ74" s="177"/>
      <c r="FOR74" s="178"/>
      <c r="FOS74" s="179"/>
      <c r="FOT74"/>
      <c r="FOU74" s="180"/>
      <c r="FOV74"/>
      <c r="FOW74" s="172"/>
      <c r="FOX74" s="181"/>
      <c r="FOY74"/>
      <c r="FOZ74" s="174"/>
      <c r="FPA74" s="175"/>
      <c r="FPB74" s="176"/>
      <c r="FPC74" s="176"/>
      <c r="FPD74" s="175"/>
      <c r="FPE74" s="177"/>
      <c r="FPF74" s="175"/>
      <c r="FPG74" s="177"/>
      <c r="FPH74" s="178"/>
      <c r="FPI74" s="179"/>
      <c r="FPJ74"/>
      <c r="FPK74" s="180"/>
      <c r="FPL74"/>
      <c r="FPM74" s="172"/>
      <c r="FPN74" s="181"/>
      <c r="FPO74"/>
      <c r="FPP74" s="174"/>
      <c r="FPQ74" s="175"/>
      <c r="FPR74" s="176"/>
      <c r="FPS74" s="176"/>
      <c r="FPT74" s="175"/>
      <c r="FPU74" s="177"/>
      <c r="FPV74" s="175"/>
      <c r="FPW74" s="177"/>
      <c r="FPX74" s="178"/>
      <c r="FPY74" s="179"/>
      <c r="FPZ74"/>
      <c r="FQA74" s="180"/>
      <c r="FQB74"/>
      <c r="FQC74" s="172"/>
      <c r="FQD74" s="181"/>
      <c r="FQE74"/>
      <c r="FQF74" s="174"/>
      <c r="FQG74" s="175"/>
      <c r="FQH74" s="176"/>
      <c r="FQI74" s="176"/>
      <c r="FQJ74" s="175"/>
      <c r="FQK74" s="177"/>
      <c r="FQL74" s="175"/>
      <c r="FQM74" s="177"/>
      <c r="FQN74" s="178"/>
      <c r="FQO74" s="179"/>
      <c r="FQP74"/>
      <c r="FQQ74" s="180"/>
      <c r="FQR74"/>
      <c r="FQS74" s="172"/>
      <c r="FQT74" s="181"/>
      <c r="FQU74"/>
      <c r="FQV74" s="174"/>
      <c r="FQW74" s="175"/>
      <c r="FQX74" s="176"/>
      <c r="FQY74" s="176"/>
      <c r="FQZ74" s="175"/>
      <c r="FRA74" s="177"/>
      <c r="FRB74" s="175"/>
      <c r="FRC74" s="177"/>
      <c r="FRD74" s="178"/>
      <c r="FRE74" s="179"/>
      <c r="FRF74"/>
      <c r="FRG74" s="180"/>
      <c r="FRH74"/>
      <c r="FRI74" s="172"/>
      <c r="FRJ74" s="181"/>
      <c r="FRK74"/>
      <c r="FRL74" s="174"/>
      <c r="FRM74" s="175"/>
      <c r="FRN74" s="176"/>
      <c r="FRO74" s="176"/>
      <c r="FRP74" s="175"/>
      <c r="FRQ74" s="177"/>
      <c r="FRR74" s="175"/>
      <c r="FRS74" s="177"/>
      <c r="FRT74" s="178"/>
      <c r="FRU74" s="179"/>
      <c r="FRV74"/>
      <c r="FRW74" s="180"/>
      <c r="FRX74"/>
      <c r="FRY74" s="172"/>
      <c r="FRZ74" s="181"/>
      <c r="FSA74"/>
      <c r="FSB74" s="174"/>
      <c r="FSC74" s="175"/>
      <c r="FSD74" s="176"/>
      <c r="FSE74" s="176"/>
      <c r="FSF74" s="175"/>
      <c r="FSG74" s="177"/>
      <c r="FSH74" s="175"/>
      <c r="FSI74" s="177"/>
      <c r="FSJ74" s="178"/>
      <c r="FSK74" s="179"/>
      <c r="FSL74"/>
      <c r="FSM74" s="180"/>
      <c r="FSN74"/>
      <c r="FSO74" s="172"/>
      <c r="FSP74" s="181"/>
      <c r="FSQ74"/>
      <c r="FSR74" s="174"/>
      <c r="FSS74" s="175"/>
      <c r="FST74" s="176"/>
      <c r="FSU74" s="176"/>
      <c r="FSV74" s="175"/>
      <c r="FSW74" s="177"/>
      <c r="FSX74" s="175"/>
      <c r="FSY74" s="177"/>
      <c r="FSZ74" s="178"/>
      <c r="FTA74" s="179"/>
      <c r="FTB74"/>
      <c r="FTC74" s="180"/>
      <c r="FTD74"/>
      <c r="FTE74" s="172"/>
      <c r="FTF74" s="181"/>
      <c r="FTG74"/>
      <c r="FTH74" s="174"/>
      <c r="FTI74" s="175"/>
      <c r="FTJ74" s="176"/>
      <c r="FTK74" s="176"/>
      <c r="FTL74" s="175"/>
      <c r="FTM74" s="177"/>
      <c r="FTN74" s="175"/>
      <c r="FTO74" s="177"/>
      <c r="FTP74" s="178"/>
      <c r="FTQ74" s="179"/>
      <c r="FTR74"/>
      <c r="FTS74" s="180"/>
      <c r="FTT74"/>
      <c r="FTU74" s="172"/>
      <c r="FTV74" s="181"/>
      <c r="FTW74"/>
      <c r="FTX74" s="174"/>
      <c r="FTY74" s="175"/>
      <c r="FTZ74" s="176"/>
      <c r="FUA74" s="176"/>
      <c r="FUB74" s="175"/>
      <c r="FUC74" s="177"/>
      <c r="FUD74" s="175"/>
      <c r="FUE74" s="177"/>
      <c r="FUF74" s="178"/>
      <c r="FUG74" s="179"/>
      <c r="FUH74"/>
      <c r="FUI74" s="180"/>
      <c r="FUJ74"/>
      <c r="FUK74" s="172"/>
      <c r="FUL74" s="181"/>
      <c r="FUM74"/>
      <c r="FUN74" s="174"/>
      <c r="FUO74" s="175"/>
      <c r="FUP74" s="176"/>
      <c r="FUQ74" s="176"/>
      <c r="FUR74" s="175"/>
      <c r="FUS74" s="177"/>
      <c r="FUT74" s="175"/>
      <c r="FUU74" s="177"/>
      <c r="FUV74" s="178"/>
      <c r="FUW74" s="179"/>
      <c r="FUX74"/>
      <c r="FUY74" s="180"/>
      <c r="FUZ74"/>
      <c r="FVA74" s="172"/>
      <c r="FVB74" s="181"/>
      <c r="FVC74"/>
      <c r="FVD74" s="174"/>
      <c r="FVE74" s="175"/>
      <c r="FVF74" s="176"/>
      <c r="FVG74" s="176"/>
      <c r="FVH74" s="175"/>
      <c r="FVI74" s="177"/>
      <c r="FVJ74" s="175"/>
      <c r="FVK74" s="177"/>
      <c r="FVL74" s="178"/>
      <c r="FVM74" s="179"/>
      <c r="FVN74"/>
      <c r="FVO74" s="180"/>
      <c r="FVP74"/>
      <c r="FVQ74" s="172"/>
      <c r="FVR74" s="181"/>
      <c r="FVS74"/>
      <c r="FVT74" s="174"/>
      <c r="FVU74" s="175"/>
      <c r="FVV74" s="176"/>
      <c r="FVW74" s="176"/>
      <c r="FVX74" s="175"/>
      <c r="FVY74" s="177"/>
      <c r="FVZ74" s="175"/>
      <c r="FWA74" s="177"/>
      <c r="FWB74" s="178"/>
      <c r="FWC74" s="179"/>
      <c r="FWD74"/>
      <c r="FWE74" s="180"/>
      <c r="FWF74"/>
      <c r="FWG74" s="172"/>
      <c r="FWH74" s="181"/>
      <c r="FWI74"/>
      <c r="FWJ74" s="174"/>
      <c r="FWK74" s="175"/>
      <c r="FWL74" s="176"/>
      <c r="FWM74" s="176"/>
      <c r="FWN74" s="175"/>
      <c r="FWO74" s="177"/>
      <c r="FWP74" s="175"/>
      <c r="FWQ74" s="177"/>
      <c r="FWR74" s="178"/>
      <c r="FWS74" s="179"/>
      <c r="FWT74"/>
      <c r="FWU74" s="180"/>
      <c r="FWV74"/>
      <c r="FWW74" s="172"/>
      <c r="FWX74" s="181"/>
      <c r="FWY74"/>
      <c r="FWZ74" s="174"/>
      <c r="FXA74" s="175"/>
      <c r="FXB74" s="176"/>
      <c r="FXC74" s="176"/>
      <c r="FXD74" s="175"/>
      <c r="FXE74" s="177"/>
      <c r="FXF74" s="175"/>
      <c r="FXG74" s="177"/>
      <c r="FXH74" s="178"/>
      <c r="FXI74" s="179"/>
      <c r="FXJ74"/>
      <c r="FXK74" s="180"/>
      <c r="FXL74"/>
      <c r="FXM74" s="172"/>
      <c r="FXN74" s="181"/>
      <c r="FXO74"/>
      <c r="FXP74" s="174"/>
      <c r="FXQ74" s="175"/>
      <c r="FXR74" s="176"/>
      <c r="FXS74" s="176"/>
      <c r="FXT74" s="175"/>
      <c r="FXU74" s="177"/>
      <c r="FXV74" s="175"/>
      <c r="FXW74" s="177"/>
      <c r="FXX74" s="178"/>
      <c r="FXY74" s="179"/>
      <c r="FXZ74"/>
      <c r="FYA74" s="180"/>
      <c r="FYB74"/>
      <c r="FYC74" s="172"/>
      <c r="FYD74" s="181"/>
      <c r="FYE74"/>
      <c r="FYF74" s="174"/>
      <c r="FYG74" s="175"/>
      <c r="FYH74" s="176"/>
      <c r="FYI74" s="176"/>
      <c r="FYJ74" s="175"/>
      <c r="FYK74" s="177"/>
      <c r="FYL74" s="175"/>
      <c r="FYM74" s="177"/>
      <c r="FYN74" s="178"/>
      <c r="FYO74" s="179"/>
      <c r="FYP74"/>
      <c r="FYQ74" s="180"/>
      <c r="FYR74"/>
      <c r="FYS74" s="172"/>
      <c r="FYT74" s="181"/>
      <c r="FYU74"/>
      <c r="FYV74" s="174"/>
      <c r="FYW74" s="175"/>
      <c r="FYX74" s="176"/>
      <c r="FYY74" s="176"/>
      <c r="FYZ74" s="175"/>
      <c r="FZA74" s="177"/>
      <c r="FZB74" s="175"/>
      <c r="FZC74" s="177"/>
      <c r="FZD74" s="178"/>
      <c r="FZE74" s="179"/>
      <c r="FZF74"/>
      <c r="FZG74" s="180"/>
      <c r="FZH74"/>
      <c r="FZI74" s="172"/>
      <c r="FZJ74" s="181"/>
      <c r="FZK74"/>
      <c r="FZL74" s="174"/>
      <c r="FZM74" s="175"/>
      <c r="FZN74" s="176"/>
      <c r="FZO74" s="176"/>
      <c r="FZP74" s="175"/>
      <c r="FZQ74" s="177"/>
      <c r="FZR74" s="175"/>
      <c r="FZS74" s="177"/>
      <c r="FZT74" s="178"/>
      <c r="FZU74" s="179"/>
      <c r="FZV74"/>
      <c r="FZW74" s="180"/>
      <c r="FZX74"/>
      <c r="FZY74" s="172"/>
      <c r="FZZ74" s="181"/>
      <c r="GAA74"/>
      <c r="GAB74" s="174"/>
      <c r="GAC74" s="175"/>
      <c r="GAD74" s="176"/>
      <c r="GAE74" s="176"/>
      <c r="GAF74" s="175"/>
      <c r="GAG74" s="177"/>
      <c r="GAH74" s="175"/>
      <c r="GAI74" s="177"/>
      <c r="GAJ74" s="178"/>
      <c r="GAK74" s="179"/>
      <c r="GAL74"/>
      <c r="GAM74" s="180"/>
      <c r="GAN74"/>
      <c r="GAO74" s="172"/>
      <c r="GAP74" s="181"/>
      <c r="GAQ74"/>
      <c r="GAR74" s="174"/>
      <c r="GAS74" s="175"/>
      <c r="GAT74" s="176"/>
      <c r="GAU74" s="176"/>
      <c r="GAV74" s="175"/>
      <c r="GAW74" s="177"/>
      <c r="GAX74" s="175"/>
      <c r="GAY74" s="177"/>
      <c r="GAZ74" s="178"/>
      <c r="GBA74" s="179"/>
      <c r="GBB74"/>
      <c r="GBC74" s="180"/>
      <c r="GBD74"/>
      <c r="GBE74" s="172"/>
      <c r="GBF74" s="181"/>
      <c r="GBG74"/>
      <c r="GBH74" s="174"/>
      <c r="GBI74" s="175"/>
      <c r="GBJ74" s="176"/>
      <c r="GBK74" s="176"/>
      <c r="GBL74" s="175"/>
      <c r="GBM74" s="177"/>
      <c r="GBN74" s="175"/>
      <c r="GBO74" s="177"/>
      <c r="GBP74" s="178"/>
      <c r="GBQ74" s="179"/>
      <c r="GBR74"/>
      <c r="GBS74" s="180"/>
      <c r="GBT74"/>
      <c r="GBU74" s="172"/>
      <c r="GBV74" s="181"/>
      <c r="GBW74"/>
      <c r="GBX74" s="174"/>
      <c r="GBY74" s="175"/>
      <c r="GBZ74" s="176"/>
      <c r="GCA74" s="176"/>
      <c r="GCB74" s="175"/>
      <c r="GCC74" s="177"/>
      <c r="GCD74" s="175"/>
      <c r="GCE74" s="177"/>
      <c r="GCF74" s="178"/>
      <c r="GCG74" s="179"/>
      <c r="GCH74"/>
      <c r="GCI74" s="180"/>
      <c r="GCJ74"/>
      <c r="GCK74" s="172"/>
      <c r="GCL74" s="181"/>
      <c r="GCM74"/>
      <c r="GCN74" s="174"/>
      <c r="GCO74" s="175"/>
      <c r="GCP74" s="176"/>
      <c r="GCQ74" s="176"/>
      <c r="GCR74" s="175"/>
      <c r="GCS74" s="177"/>
      <c r="GCT74" s="175"/>
      <c r="GCU74" s="177"/>
      <c r="GCV74" s="178"/>
      <c r="GCW74" s="179"/>
      <c r="GCX74"/>
      <c r="GCY74" s="180"/>
      <c r="GCZ74"/>
      <c r="GDA74" s="172"/>
      <c r="GDB74" s="181"/>
      <c r="GDC74"/>
      <c r="GDD74" s="174"/>
      <c r="GDE74" s="175"/>
      <c r="GDF74" s="176"/>
      <c r="GDG74" s="176"/>
      <c r="GDH74" s="175"/>
      <c r="GDI74" s="177"/>
      <c r="GDJ74" s="175"/>
      <c r="GDK74" s="177"/>
      <c r="GDL74" s="178"/>
      <c r="GDM74" s="179"/>
      <c r="GDN74"/>
      <c r="GDO74" s="180"/>
      <c r="GDP74"/>
      <c r="GDQ74" s="172"/>
      <c r="GDR74" s="181"/>
      <c r="GDS74"/>
      <c r="GDT74" s="174"/>
      <c r="GDU74" s="175"/>
      <c r="GDV74" s="176"/>
      <c r="GDW74" s="176"/>
      <c r="GDX74" s="175"/>
      <c r="GDY74" s="177"/>
      <c r="GDZ74" s="175"/>
      <c r="GEA74" s="177"/>
      <c r="GEB74" s="178"/>
      <c r="GEC74" s="179"/>
      <c r="GED74"/>
      <c r="GEE74" s="180"/>
      <c r="GEF74"/>
      <c r="GEG74" s="172"/>
      <c r="GEH74" s="181"/>
      <c r="GEI74"/>
      <c r="GEJ74" s="174"/>
      <c r="GEK74" s="175"/>
      <c r="GEL74" s="176"/>
      <c r="GEM74" s="176"/>
      <c r="GEN74" s="175"/>
      <c r="GEO74" s="177"/>
      <c r="GEP74" s="175"/>
      <c r="GEQ74" s="177"/>
      <c r="GER74" s="178"/>
      <c r="GES74" s="179"/>
      <c r="GET74"/>
      <c r="GEU74" s="180"/>
      <c r="GEV74"/>
      <c r="GEW74" s="172"/>
      <c r="GEX74" s="181"/>
      <c r="GEY74"/>
      <c r="GEZ74" s="174"/>
      <c r="GFA74" s="175"/>
      <c r="GFB74" s="176"/>
      <c r="GFC74" s="176"/>
      <c r="GFD74" s="175"/>
      <c r="GFE74" s="177"/>
      <c r="GFF74" s="175"/>
      <c r="GFG74" s="177"/>
      <c r="GFH74" s="178"/>
      <c r="GFI74" s="179"/>
      <c r="GFJ74"/>
      <c r="GFK74" s="180"/>
      <c r="GFL74"/>
      <c r="GFM74" s="172"/>
      <c r="GFN74" s="181"/>
      <c r="GFO74"/>
      <c r="GFP74" s="174"/>
      <c r="GFQ74" s="175"/>
      <c r="GFR74" s="176"/>
      <c r="GFS74" s="176"/>
      <c r="GFT74" s="175"/>
      <c r="GFU74" s="177"/>
      <c r="GFV74" s="175"/>
      <c r="GFW74" s="177"/>
      <c r="GFX74" s="178"/>
      <c r="GFY74" s="179"/>
      <c r="GFZ74"/>
      <c r="GGA74" s="180"/>
      <c r="GGB74"/>
      <c r="GGC74" s="172"/>
      <c r="GGD74" s="181"/>
      <c r="GGE74"/>
      <c r="GGF74" s="174"/>
      <c r="GGG74" s="175"/>
      <c r="GGH74" s="176"/>
      <c r="GGI74" s="176"/>
      <c r="GGJ74" s="175"/>
      <c r="GGK74" s="177"/>
      <c r="GGL74" s="175"/>
      <c r="GGM74" s="177"/>
      <c r="GGN74" s="178"/>
      <c r="GGO74" s="179"/>
      <c r="GGP74"/>
      <c r="GGQ74" s="180"/>
      <c r="GGR74"/>
      <c r="GGS74" s="172"/>
      <c r="GGT74" s="181"/>
      <c r="GGU74"/>
      <c r="GGV74" s="174"/>
      <c r="GGW74" s="175"/>
      <c r="GGX74" s="176"/>
      <c r="GGY74" s="176"/>
      <c r="GGZ74" s="175"/>
      <c r="GHA74" s="177"/>
      <c r="GHB74" s="175"/>
      <c r="GHC74" s="177"/>
      <c r="GHD74" s="178"/>
      <c r="GHE74" s="179"/>
      <c r="GHF74"/>
      <c r="GHG74" s="180"/>
      <c r="GHH74"/>
      <c r="GHI74" s="172"/>
      <c r="GHJ74" s="181"/>
      <c r="GHK74"/>
      <c r="GHL74" s="174"/>
      <c r="GHM74" s="175"/>
      <c r="GHN74" s="176"/>
      <c r="GHO74" s="176"/>
      <c r="GHP74" s="175"/>
      <c r="GHQ74" s="177"/>
      <c r="GHR74" s="175"/>
      <c r="GHS74" s="177"/>
      <c r="GHT74" s="178"/>
      <c r="GHU74" s="179"/>
      <c r="GHV74"/>
      <c r="GHW74" s="180"/>
      <c r="GHX74"/>
      <c r="GHY74" s="172"/>
      <c r="GHZ74" s="181"/>
      <c r="GIA74"/>
      <c r="GIB74" s="174"/>
      <c r="GIC74" s="175"/>
      <c r="GID74" s="176"/>
      <c r="GIE74" s="176"/>
      <c r="GIF74" s="175"/>
      <c r="GIG74" s="177"/>
      <c r="GIH74" s="175"/>
      <c r="GII74" s="177"/>
      <c r="GIJ74" s="178"/>
      <c r="GIK74" s="179"/>
      <c r="GIL74"/>
      <c r="GIM74" s="180"/>
      <c r="GIN74"/>
      <c r="GIO74" s="172"/>
      <c r="GIP74" s="181"/>
      <c r="GIQ74"/>
      <c r="GIR74" s="174"/>
      <c r="GIS74" s="175"/>
      <c r="GIT74" s="176"/>
      <c r="GIU74" s="176"/>
      <c r="GIV74" s="175"/>
      <c r="GIW74" s="177"/>
      <c r="GIX74" s="175"/>
      <c r="GIY74" s="177"/>
      <c r="GIZ74" s="178"/>
      <c r="GJA74" s="179"/>
      <c r="GJB74"/>
      <c r="GJC74" s="180"/>
      <c r="GJD74"/>
      <c r="GJE74" s="172"/>
      <c r="GJF74" s="181"/>
      <c r="GJG74"/>
      <c r="GJH74" s="174"/>
      <c r="GJI74" s="175"/>
      <c r="GJJ74" s="176"/>
      <c r="GJK74" s="176"/>
      <c r="GJL74" s="175"/>
      <c r="GJM74" s="177"/>
      <c r="GJN74" s="175"/>
      <c r="GJO74" s="177"/>
      <c r="GJP74" s="178"/>
      <c r="GJQ74" s="179"/>
      <c r="GJR74"/>
      <c r="GJS74" s="180"/>
      <c r="GJT74"/>
      <c r="GJU74" s="172"/>
      <c r="GJV74" s="181"/>
      <c r="GJW74"/>
      <c r="GJX74" s="174"/>
      <c r="GJY74" s="175"/>
      <c r="GJZ74" s="176"/>
      <c r="GKA74" s="176"/>
      <c r="GKB74" s="175"/>
      <c r="GKC74" s="177"/>
      <c r="GKD74" s="175"/>
      <c r="GKE74" s="177"/>
      <c r="GKF74" s="178"/>
      <c r="GKG74" s="179"/>
      <c r="GKH74"/>
      <c r="GKI74" s="180"/>
      <c r="GKJ74"/>
      <c r="GKK74" s="172"/>
      <c r="GKL74" s="181"/>
      <c r="GKM74"/>
      <c r="GKN74" s="174"/>
      <c r="GKO74" s="175"/>
      <c r="GKP74" s="176"/>
      <c r="GKQ74" s="176"/>
      <c r="GKR74" s="175"/>
      <c r="GKS74" s="177"/>
      <c r="GKT74" s="175"/>
      <c r="GKU74" s="177"/>
      <c r="GKV74" s="178"/>
      <c r="GKW74" s="179"/>
      <c r="GKX74"/>
      <c r="GKY74" s="180"/>
      <c r="GKZ74"/>
      <c r="GLA74" s="172"/>
      <c r="GLB74" s="181"/>
      <c r="GLC74"/>
      <c r="GLD74" s="174"/>
      <c r="GLE74" s="175"/>
      <c r="GLF74" s="176"/>
      <c r="GLG74" s="176"/>
      <c r="GLH74" s="175"/>
      <c r="GLI74" s="177"/>
      <c r="GLJ74" s="175"/>
      <c r="GLK74" s="177"/>
      <c r="GLL74" s="178"/>
      <c r="GLM74" s="179"/>
      <c r="GLN74"/>
      <c r="GLO74" s="180"/>
      <c r="GLP74"/>
      <c r="GLQ74" s="172"/>
      <c r="GLR74" s="181"/>
      <c r="GLS74"/>
      <c r="GLT74" s="174"/>
      <c r="GLU74" s="175"/>
      <c r="GLV74" s="176"/>
      <c r="GLW74" s="176"/>
      <c r="GLX74" s="175"/>
      <c r="GLY74" s="177"/>
      <c r="GLZ74" s="175"/>
      <c r="GMA74" s="177"/>
      <c r="GMB74" s="178"/>
      <c r="GMC74" s="179"/>
      <c r="GMD74"/>
      <c r="GME74" s="180"/>
      <c r="GMF74"/>
      <c r="GMG74" s="172"/>
      <c r="GMH74" s="181"/>
      <c r="GMI74"/>
      <c r="GMJ74" s="174"/>
      <c r="GMK74" s="175"/>
      <c r="GML74" s="176"/>
      <c r="GMM74" s="176"/>
      <c r="GMN74" s="175"/>
      <c r="GMO74" s="177"/>
      <c r="GMP74" s="175"/>
      <c r="GMQ74" s="177"/>
      <c r="GMR74" s="178"/>
      <c r="GMS74" s="179"/>
      <c r="GMT74"/>
      <c r="GMU74" s="180"/>
      <c r="GMV74"/>
      <c r="GMW74" s="172"/>
      <c r="GMX74" s="181"/>
      <c r="GMY74"/>
      <c r="GMZ74" s="174"/>
      <c r="GNA74" s="175"/>
      <c r="GNB74" s="176"/>
      <c r="GNC74" s="176"/>
      <c r="GND74" s="175"/>
      <c r="GNE74" s="177"/>
      <c r="GNF74" s="175"/>
      <c r="GNG74" s="177"/>
      <c r="GNH74" s="178"/>
      <c r="GNI74" s="179"/>
      <c r="GNJ74"/>
      <c r="GNK74" s="180"/>
      <c r="GNL74"/>
      <c r="GNM74" s="172"/>
      <c r="GNN74" s="181"/>
      <c r="GNO74"/>
      <c r="GNP74" s="174"/>
      <c r="GNQ74" s="175"/>
      <c r="GNR74" s="176"/>
      <c r="GNS74" s="176"/>
      <c r="GNT74" s="175"/>
      <c r="GNU74" s="177"/>
      <c r="GNV74" s="175"/>
      <c r="GNW74" s="177"/>
      <c r="GNX74" s="178"/>
      <c r="GNY74" s="179"/>
      <c r="GNZ74"/>
      <c r="GOA74" s="180"/>
      <c r="GOB74"/>
      <c r="GOC74" s="172"/>
      <c r="GOD74" s="181"/>
      <c r="GOE74"/>
      <c r="GOF74" s="174"/>
      <c r="GOG74" s="175"/>
      <c r="GOH74" s="176"/>
      <c r="GOI74" s="176"/>
      <c r="GOJ74" s="175"/>
      <c r="GOK74" s="177"/>
      <c r="GOL74" s="175"/>
      <c r="GOM74" s="177"/>
      <c r="GON74" s="178"/>
      <c r="GOO74" s="179"/>
      <c r="GOP74"/>
      <c r="GOQ74" s="180"/>
      <c r="GOR74"/>
      <c r="GOS74" s="172"/>
      <c r="GOT74" s="181"/>
      <c r="GOU74"/>
      <c r="GOV74" s="174"/>
      <c r="GOW74" s="175"/>
      <c r="GOX74" s="176"/>
      <c r="GOY74" s="176"/>
      <c r="GOZ74" s="175"/>
      <c r="GPA74" s="177"/>
      <c r="GPB74" s="175"/>
      <c r="GPC74" s="177"/>
      <c r="GPD74" s="178"/>
      <c r="GPE74" s="179"/>
      <c r="GPF74"/>
      <c r="GPG74" s="180"/>
      <c r="GPH74"/>
      <c r="GPI74" s="172"/>
      <c r="GPJ74" s="181"/>
      <c r="GPK74"/>
      <c r="GPL74" s="174"/>
      <c r="GPM74" s="175"/>
      <c r="GPN74" s="176"/>
      <c r="GPO74" s="176"/>
      <c r="GPP74" s="175"/>
      <c r="GPQ74" s="177"/>
      <c r="GPR74" s="175"/>
      <c r="GPS74" s="177"/>
      <c r="GPT74" s="178"/>
      <c r="GPU74" s="179"/>
      <c r="GPV74"/>
      <c r="GPW74" s="180"/>
      <c r="GPX74"/>
      <c r="GPY74" s="172"/>
      <c r="GPZ74" s="181"/>
      <c r="GQA74"/>
      <c r="GQB74" s="174"/>
      <c r="GQC74" s="175"/>
      <c r="GQD74" s="176"/>
      <c r="GQE74" s="176"/>
      <c r="GQF74" s="175"/>
      <c r="GQG74" s="177"/>
      <c r="GQH74" s="175"/>
      <c r="GQI74" s="177"/>
      <c r="GQJ74" s="178"/>
      <c r="GQK74" s="179"/>
      <c r="GQL74"/>
      <c r="GQM74" s="180"/>
      <c r="GQN74"/>
      <c r="GQO74" s="172"/>
      <c r="GQP74" s="181"/>
      <c r="GQQ74"/>
      <c r="GQR74" s="174"/>
      <c r="GQS74" s="175"/>
      <c r="GQT74" s="176"/>
      <c r="GQU74" s="176"/>
      <c r="GQV74" s="175"/>
      <c r="GQW74" s="177"/>
      <c r="GQX74" s="175"/>
      <c r="GQY74" s="177"/>
      <c r="GQZ74" s="178"/>
      <c r="GRA74" s="179"/>
      <c r="GRB74"/>
      <c r="GRC74" s="180"/>
      <c r="GRD74"/>
      <c r="GRE74" s="172"/>
      <c r="GRF74" s="181"/>
      <c r="GRG74"/>
      <c r="GRH74" s="174"/>
      <c r="GRI74" s="175"/>
      <c r="GRJ74" s="176"/>
      <c r="GRK74" s="176"/>
      <c r="GRL74" s="175"/>
      <c r="GRM74" s="177"/>
      <c r="GRN74" s="175"/>
      <c r="GRO74" s="177"/>
      <c r="GRP74" s="178"/>
      <c r="GRQ74" s="179"/>
      <c r="GRR74"/>
      <c r="GRS74" s="180"/>
      <c r="GRT74"/>
      <c r="GRU74" s="172"/>
      <c r="GRV74" s="181"/>
      <c r="GRW74"/>
      <c r="GRX74" s="174"/>
      <c r="GRY74" s="175"/>
      <c r="GRZ74" s="176"/>
      <c r="GSA74" s="176"/>
      <c r="GSB74" s="175"/>
      <c r="GSC74" s="177"/>
      <c r="GSD74" s="175"/>
      <c r="GSE74" s="177"/>
      <c r="GSF74" s="178"/>
      <c r="GSG74" s="179"/>
      <c r="GSH74"/>
      <c r="GSI74" s="180"/>
      <c r="GSJ74"/>
      <c r="GSK74" s="172"/>
      <c r="GSL74" s="181"/>
      <c r="GSM74"/>
      <c r="GSN74" s="174"/>
      <c r="GSO74" s="175"/>
      <c r="GSP74" s="176"/>
      <c r="GSQ74" s="176"/>
      <c r="GSR74" s="175"/>
      <c r="GSS74" s="177"/>
      <c r="GST74" s="175"/>
      <c r="GSU74" s="177"/>
      <c r="GSV74" s="178"/>
      <c r="GSW74" s="179"/>
      <c r="GSX74"/>
      <c r="GSY74" s="180"/>
      <c r="GSZ74"/>
      <c r="GTA74" s="172"/>
      <c r="GTB74" s="181"/>
      <c r="GTC74"/>
      <c r="GTD74" s="174"/>
      <c r="GTE74" s="175"/>
      <c r="GTF74" s="176"/>
      <c r="GTG74" s="176"/>
      <c r="GTH74" s="175"/>
      <c r="GTI74" s="177"/>
      <c r="GTJ74" s="175"/>
      <c r="GTK74" s="177"/>
      <c r="GTL74" s="178"/>
      <c r="GTM74" s="179"/>
      <c r="GTN74"/>
      <c r="GTO74" s="180"/>
      <c r="GTP74"/>
      <c r="GTQ74" s="172"/>
      <c r="GTR74" s="181"/>
      <c r="GTS74"/>
      <c r="GTT74" s="174"/>
      <c r="GTU74" s="175"/>
      <c r="GTV74" s="176"/>
      <c r="GTW74" s="176"/>
      <c r="GTX74" s="175"/>
      <c r="GTY74" s="177"/>
      <c r="GTZ74" s="175"/>
      <c r="GUA74" s="177"/>
      <c r="GUB74" s="178"/>
      <c r="GUC74" s="179"/>
      <c r="GUD74"/>
      <c r="GUE74" s="180"/>
      <c r="GUF74"/>
      <c r="GUG74" s="172"/>
      <c r="GUH74" s="181"/>
      <c r="GUI74"/>
      <c r="GUJ74" s="174"/>
      <c r="GUK74" s="175"/>
      <c r="GUL74" s="176"/>
      <c r="GUM74" s="176"/>
      <c r="GUN74" s="175"/>
      <c r="GUO74" s="177"/>
      <c r="GUP74" s="175"/>
      <c r="GUQ74" s="177"/>
      <c r="GUR74" s="178"/>
      <c r="GUS74" s="179"/>
      <c r="GUT74"/>
      <c r="GUU74" s="180"/>
      <c r="GUV74"/>
      <c r="GUW74" s="172"/>
      <c r="GUX74" s="181"/>
      <c r="GUY74"/>
      <c r="GUZ74" s="174"/>
      <c r="GVA74" s="175"/>
      <c r="GVB74" s="176"/>
      <c r="GVC74" s="176"/>
      <c r="GVD74" s="175"/>
      <c r="GVE74" s="177"/>
      <c r="GVF74" s="175"/>
      <c r="GVG74" s="177"/>
      <c r="GVH74" s="178"/>
      <c r="GVI74" s="179"/>
      <c r="GVJ74"/>
      <c r="GVK74" s="180"/>
      <c r="GVL74"/>
      <c r="GVM74" s="172"/>
      <c r="GVN74" s="181"/>
      <c r="GVO74"/>
      <c r="GVP74" s="174"/>
      <c r="GVQ74" s="175"/>
      <c r="GVR74" s="176"/>
      <c r="GVS74" s="176"/>
      <c r="GVT74" s="175"/>
      <c r="GVU74" s="177"/>
      <c r="GVV74" s="175"/>
      <c r="GVW74" s="177"/>
      <c r="GVX74" s="178"/>
      <c r="GVY74" s="179"/>
      <c r="GVZ74"/>
      <c r="GWA74" s="180"/>
      <c r="GWB74"/>
      <c r="GWC74" s="172"/>
      <c r="GWD74" s="181"/>
      <c r="GWE74"/>
      <c r="GWF74" s="174"/>
      <c r="GWG74" s="175"/>
      <c r="GWH74" s="176"/>
      <c r="GWI74" s="176"/>
      <c r="GWJ74" s="175"/>
      <c r="GWK74" s="177"/>
      <c r="GWL74" s="175"/>
      <c r="GWM74" s="177"/>
      <c r="GWN74" s="178"/>
      <c r="GWO74" s="179"/>
      <c r="GWP74"/>
      <c r="GWQ74" s="180"/>
      <c r="GWR74"/>
      <c r="GWS74" s="172"/>
      <c r="GWT74" s="181"/>
      <c r="GWU74"/>
      <c r="GWV74" s="174"/>
      <c r="GWW74" s="175"/>
      <c r="GWX74" s="176"/>
      <c r="GWY74" s="176"/>
      <c r="GWZ74" s="175"/>
      <c r="GXA74" s="177"/>
      <c r="GXB74" s="175"/>
      <c r="GXC74" s="177"/>
      <c r="GXD74" s="178"/>
      <c r="GXE74" s="179"/>
      <c r="GXF74"/>
      <c r="GXG74" s="180"/>
      <c r="GXH74"/>
      <c r="GXI74" s="172"/>
      <c r="GXJ74" s="181"/>
      <c r="GXK74"/>
      <c r="GXL74" s="174"/>
      <c r="GXM74" s="175"/>
      <c r="GXN74" s="176"/>
      <c r="GXO74" s="176"/>
      <c r="GXP74" s="175"/>
      <c r="GXQ74" s="177"/>
      <c r="GXR74" s="175"/>
      <c r="GXS74" s="177"/>
      <c r="GXT74" s="178"/>
      <c r="GXU74" s="179"/>
      <c r="GXV74"/>
      <c r="GXW74" s="180"/>
      <c r="GXX74"/>
      <c r="GXY74" s="172"/>
      <c r="GXZ74" s="181"/>
      <c r="GYA74"/>
      <c r="GYB74" s="174"/>
      <c r="GYC74" s="175"/>
      <c r="GYD74" s="176"/>
      <c r="GYE74" s="176"/>
      <c r="GYF74" s="175"/>
      <c r="GYG74" s="177"/>
      <c r="GYH74" s="175"/>
      <c r="GYI74" s="177"/>
      <c r="GYJ74" s="178"/>
      <c r="GYK74" s="179"/>
      <c r="GYL74"/>
      <c r="GYM74" s="180"/>
      <c r="GYN74"/>
      <c r="GYO74" s="172"/>
      <c r="GYP74" s="181"/>
      <c r="GYQ74"/>
      <c r="GYR74" s="174"/>
      <c r="GYS74" s="175"/>
      <c r="GYT74" s="176"/>
      <c r="GYU74" s="176"/>
      <c r="GYV74" s="175"/>
      <c r="GYW74" s="177"/>
      <c r="GYX74" s="175"/>
      <c r="GYY74" s="177"/>
      <c r="GYZ74" s="178"/>
      <c r="GZA74" s="179"/>
      <c r="GZB74"/>
      <c r="GZC74" s="180"/>
      <c r="GZD74"/>
      <c r="GZE74" s="172"/>
      <c r="GZF74" s="181"/>
      <c r="GZG74"/>
      <c r="GZH74" s="174"/>
      <c r="GZI74" s="175"/>
      <c r="GZJ74" s="176"/>
      <c r="GZK74" s="176"/>
      <c r="GZL74" s="175"/>
      <c r="GZM74" s="177"/>
      <c r="GZN74" s="175"/>
      <c r="GZO74" s="177"/>
      <c r="GZP74" s="178"/>
      <c r="GZQ74" s="179"/>
      <c r="GZR74"/>
      <c r="GZS74" s="180"/>
      <c r="GZT74"/>
      <c r="GZU74" s="172"/>
      <c r="GZV74" s="181"/>
      <c r="GZW74"/>
      <c r="GZX74" s="174"/>
      <c r="GZY74" s="175"/>
      <c r="GZZ74" s="176"/>
      <c r="HAA74" s="176"/>
      <c r="HAB74" s="175"/>
      <c r="HAC74" s="177"/>
      <c r="HAD74" s="175"/>
      <c r="HAE74" s="177"/>
      <c r="HAF74" s="178"/>
      <c r="HAG74" s="179"/>
      <c r="HAH74"/>
      <c r="HAI74" s="180"/>
      <c r="HAJ74"/>
      <c r="HAK74" s="172"/>
      <c r="HAL74" s="181"/>
      <c r="HAM74"/>
      <c r="HAN74" s="174"/>
      <c r="HAO74" s="175"/>
      <c r="HAP74" s="176"/>
      <c r="HAQ74" s="176"/>
      <c r="HAR74" s="175"/>
      <c r="HAS74" s="177"/>
      <c r="HAT74" s="175"/>
      <c r="HAU74" s="177"/>
      <c r="HAV74" s="178"/>
      <c r="HAW74" s="179"/>
      <c r="HAX74"/>
      <c r="HAY74" s="180"/>
      <c r="HAZ74"/>
      <c r="HBA74" s="172"/>
      <c r="HBB74" s="181"/>
      <c r="HBC74"/>
      <c r="HBD74" s="174"/>
      <c r="HBE74" s="175"/>
      <c r="HBF74" s="176"/>
      <c r="HBG74" s="176"/>
      <c r="HBH74" s="175"/>
      <c r="HBI74" s="177"/>
      <c r="HBJ74" s="175"/>
      <c r="HBK74" s="177"/>
      <c r="HBL74" s="178"/>
      <c r="HBM74" s="179"/>
      <c r="HBN74"/>
      <c r="HBO74" s="180"/>
      <c r="HBP74"/>
      <c r="HBQ74" s="172"/>
      <c r="HBR74" s="181"/>
      <c r="HBS74"/>
      <c r="HBT74" s="174"/>
      <c r="HBU74" s="175"/>
      <c r="HBV74" s="176"/>
      <c r="HBW74" s="176"/>
      <c r="HBX74" s="175"/>
      <c r="HBY74" s="177"/>
      <c r="HBZ74" s="175"/>
      <c r="HCA74" s="177"/>
      <c r="HCB74" s="178"/>
      <c r="HCC74" s="179"/>
      <c r="HCD74"/>
      <c r="HCE74" s="180"/>
      <c r="HCF74"/>
      <c r="HCG74" s="172"/>
      <c r="HCH74" s="181"/>
      <c r="HCI74"/>
      <c r="HCJ74" s="174"/>
      <c r="HCK74" s="175"/>
      <c r="HCL74" s="176"/>
      <c r="HCM74" s="176"/>
      <c r="HCN74" s="175"/>
      <c r="HCO74" s="177"/>
      <c r="HCP74" s="175"/>
      <c r="HCQ74" s="177"/>
      <c r="HCR74" s="178"/>
      <c r="HCS74" s="179"/>
      <c r="HCT74"/>
      <c r="HCU74" s="180"/>
      <c r="HCV74"/>
      <c r="HCW74" s="172"/>
      <c r="HCX74" s="181"/>
      <c r="HCY74"/>
      <c r="HCZ74" s="174"/>
      <c r="HDA74" s="175"/>
      <c r="HDB74" s="176"/>
      <c r="HDC74" s="176"/>
      <c r="HDD74" s="175"/>
      <c r="HDE74" s="177"/>
      <c r="HDF74" s="175"/>
      <c r="HDG74" s="177"/>
      <c r="HDH74" s="178"/>
      <c r="HDI74" s="179"/>
      <c r="HDJ74"/>
      <c r="HDK74" s="180"/>
      <c r="HDL74"/>
      <c r="HDM74" s="172"/>
      <c r="HDN74" s="181"/>
      <c r="HDO74"/>
      <c r="HDP74" s="174"/>
      <c r="HDQ74" s="175"/>
      <c r="HDR74" s="176"/>
      <c r="HDS74" s="176"/>
      <c r="HDT74" s="175"/>
      <c r="HDU74" s="177"/>
      <c r="HDV74" s="175"/>
      <c r="HDW74" s="177"/>
      <c r="HDX74" s="178"/>
      <c r="HDY74" s="179"/>
      <c r="HDZ74"/>
      <c r="HEA74" s="180"/>
      <c r="HEB74"/>
      <c r="HEC74" s="172"/>
      <c r="HED74" s="181"/>
      <c r="HEE74"/>
      <c r="HEF74" s="174"/>
      <c r="HEG74" s="175"/>
      <c r="HEH74" s="176"/>
      <c r="HEI74" s="176"/>
      <c r="HEJ74" s="175"/>
      <c r="HEK74" s="177"/>
      <c r="HEL74" s="175"/>
      <c r="HEM74" s="177"/>
      <c r="HEN74" s="178"/>
      <c r="HEO74" s="179"/>
      <c r="HEP74"/>
      <c r="HEQ74" s="180"/>
      <c r="HER74"/>
      <c r="HES74" s="172"/>
      <c r="HET74" s="181"/>
      <c r="HEU74"/>
      <c r="HEV74" s="174"/>
      <c r="HEW74" s="175"/>
      <c r="HEX74" s="176"/>
      <c r="HEY74" s="176"/>
      <c r="HEZ74" s="175"/>
      <c r="HFA74" s="177"/>
      <c r="HFB74" s="175"/>
      <c r="HFC74" s="177"/>
      <c r="HFD74" s="178"/>
      <c r="HFE74" s="179"/>
      <c r="HFF74"/>
      <c r="HFG74" s="180"/>
      <c r="HFH74"/>
      <c r="HFI74" s="172"/>
      <c r="HFJ74" s="181"/>
      <c r="HFK74"/>
      <c r="HFL74" s="174"/>
      <c r="HFM74" s="175"/>
      <c r="HFN74" s="176"/>
      <c r="HFO74" s="176"/>
      <c r="HFP74" s="175"/>
      <c r="HFQ74" s="177"/>
      <c r="HFR74" s="175"/>
      <c r="HFS74" s="177"/>
      <c r="HFT74" s="178"/>
      <c r="HFU74" s="179"/>
      <c r="HFV74"/>
      <c r="HFW74" s="180"/>
      <c r="HFX74"/>
      <c r="HFY74" s="172"/>
      <c r="HFZ74" s="181"/>
      <c r="HGA74"/>
      <c r="HGB74" s="174"/>
      <c r="HGC74" s="175"/>
      <c r="HGD74" s="176"/>
      <c r="HGE74" s="176"/>
      <c r="HGF74" s="175"/>
      <c r="HGG74" s="177"/>
      <c r="HGH74" s="175"/>
      <c r="HGI74" s="177"/>
      <c r="HGJ74" s="178"/>
      <c r="HGK74" s="179"/>
      <c r="HGL74"/>
      <c r="HGM74" s="180"/>
      <c r="HGN74"/>
      <c r="HGO74" s="172"/>
      <c r="HGP74" s="181"/>
      <c r="HGQ74"/>
      <c r="HGR74" s="174"/>
      <c r="HGS74" s="175"/>
      <c r="HGT74" s="176"/>
      <c r="HGU74" s="176"/>
      <c r="HGV74" s="175"/>
      <c r="HGW74" s="177"/>
      <c r="HGX74" s="175"/>
      <c r="HGY74" s="177"/>
      <c r="HGZ74" s="178"/>
      <c r="HHA74" s="179"/>
      <c r="HHB74"/>
      <c r="HHC74" s="180"/>
      <c r="HHD74"/>
      <c r="HHE74" s="172"/>
      <c r="HHF74" s="181"/>
      <c r="HHG74"/>
      <c r="HHH74" s="174"/>
      <c r="HHI74" s="175"/>
      <c r="HHJ74" s="176"/>
      <c r="HHK74" s="176"/>
      <c r="HHL74" s="175"/>
      <c r="HHM74" s="177"/>
      <c r="HHN74" s="175"/>
      <c r="HHO74" s="177"/>
      <c r="HHP74" s="178"/>
      <c r="HHQ74" s="179"/>
      <c r="HHR74"/>
      <c r="HHS74" s="180"/>
      <c r="HHT74"/>
      <c r="HHU74" s="172"/>
      <c r="HHV74" s="181"/>
      <c r="HHW74"/>
      <c r="HHX74" s="174"/>
      <c r="HHY74" s="175"/>
      <c r="HHZ74" s="176"/>
      <c r="HIA74" s="176"/>
      <c r="HIB74" s="175"/>
      <c r="HIC74" s="177"/>
      <c r="HID74" s="175"/>
      <c r="HIE74" s="177"/>
      <c r="HIF74" s="178"/>
      <c r="HIG74" s="179"/>
      <c r="HIH74"/>
      <c r="HII74" s="180"/>
      <c r="HIJ74"/>
      <c r="HIK74" s="172"/>
      <c r="HIL74" s="181"/>
      <c r="HIM74"/>
      <c r="HIN74" s="174"/>
      <c r="HIO74" s="175"/>
      <c r="HIP74" s="176"/>
      <c r="HIQ74" s="176"/>
      <c r="HIR74" s="175"/>
      <c r="HIS74" s="177"/>
      <c r="HIT74" s="175"/>
      <c r="HIU74" s="177"/>
      <c r="HIV74" s="178"/>
      <c r="HIW74" s="179"/>
      <c r="HIX74"/>
      <c r="HIY74" s="180"/>
      <c r="HIZ74"/>
      <c r="HJA74" s="172"/>
      <c r="HJB74" s="181"/>
      <c r="HJC74"/>
      <c r="HJD74" s="174"/>
      <c r="HJE74" s="175"/>
      <c r="HJF74" s="176"/>
      <c r="HJG74" s="176"/>
      <c r="HJH74" s="175"/>
      <c r="HJI74" s="177"/>
      <c r="HJJ74" s="175"/>
      <c r="HJK74" s="177"/>
      <c r="HJL74" s="178"/>
      <c r="HJM74" s="179"/>
      <c r="HJN74"/>
      <c r="HJO74" s="180"/>
      <c r="HJP74"/>
      <c r="HJQ74" s="172"/>
      <c r="HJR74" s="181"/>
      <c r="HJS74"/>
      <c r="HJT74" s="174"/>
      <c r="HJU74" s="175"/>
      <c r="HJV74" s="176"/>
      <c r="HJW74" s="176"/>
      <c r="HJX74" s="175"/>
      <c r="HJY74" s="177"/>
      <c r="HJZ74" s="175"/>
      <c r="HKA74" s="177"/>
      <c r="HKB74" s="178"/>
      <c r="HKC74" s="179"/>
      <c r="HKD74"/>
      <c r="HKE74" s="180"/>
      <c r="HKF74"/>
      <c r="HKG74" s="172"/>
      <c r="HKH74" s="181"/>
      <c r="HKI74"/>
      <c r="HKJ74" s="174"/>
      <c r="HKK74" s="175"/>
      <c r="HKL74" s="176"/>
      <c r="HKM74" s="176"/>
      <c r="HKN74" s="175"/>
      <c r="HKO74" s="177"/>
      <c r="HKP74" s="175"/>
      <c r="HKQ74" s="177"/>
      <c r="HKR74" s="178"/>
      <c r="HKS74" s="179"/>
      <c r="HKT74"/>
      <c r="HKU74" s="180"/>
      <c r="HKV74"/>
      <c r="HKW74" s="172"/>
      <c r="HKX74" s="181"/>
      <c r="HKY74"/>
      <c r="HKZ74" s="174"/>
      <c r="HLA74" s="175"/>
      <c r="HLB74" s="176"/>
      <c r="HLC74" s="176"/>
      <c r="HLD74" s="175"/>
      <c r="HLE74" s="177"/>
      <c r="HLF74" s="175"/>
      <c r="HLG74" s="177"/>
      <c r="HLH74" s="178"/>
      <c r="HLI74" s="179"/>
      <c r="HLJ74"/>
      <c r="HLK74" s="180"/>
      <c r="HLL74"/>
      <c r="HLM74" s="172"/>
      <c r="HLN74" s="181"/>
      <c r="HLO74"/>
      <c r="HLP74" s="174"/>
      <c r="HLQ74" s="175"/>
      <c r="HLR74" s="176"/>
      <c r="HLS74" s="176"/>
      <c r="HLT74" s="175"/>
      <c r="HLU74" s="177"/>
      <c r="HLV74" s="175"/>
      <c r="HLW74" s="177"/>
      <c r="HLX74" s="178"/>
      <c r="HLY74" s="179"/>
      <c r="HLZ74"/>
      <c r="HMA74" s="180"/>
      <c r="HMB74"/>
      <c r="HMC74" s="172"/>
      <c r="HMD74" s="181"/>
      <c r="HME74"/>
      <c r="HMF74" s="174"/>
      <c r="HMG74" s="175"/>
      <c r="HMH74" s="176"/>
      <c r="HMI74" s="176"/>
      <c r="HMJ74" s="175"/>
      <c r="HMK74" s="177"/>
      <c r="HML74" s="175"/>
      <c r="HMM74" s="177"/>
      <c r="HMN74" s="178"/>
      <c r="HMO74" s="179"/>
      <c r="HMP74"/>
      <c r="HMQ74" s="180"/>
      <c r="HMR74"/>
      <c r="HMS74" s="172"/>
      <c r="HMT74" s="181"/>
      <c r="HMU74"/>
      <c r="HMV74" s="174"/>
      <c r="HMW74" s="175"/>
      <c r="HMX74" s="176"/>
      <c r="HMY74" s="176"/>
      <c r="HMZ74" s="175"/>
      <c r="HNA74" s="177"/>
      <c r="HNB74" s="175"/>
      <c r="HNC74" s="177"/>
      <c r="HND74" s="178"/>
      <c r="HNE74" s="179"/>
      <c r="HNF74"/>
      <c r="HNG74" s="180"/>
      <c r="HNH74"/>
      <c r="HNI74" s="172"/>
      <c r="HNJ74" s="181"/>
      <c r="HNK74"/>
      <c r="HNL74" s="174"/>
      <c r="HNM74" s="175"/>
      <c r="HNN74" s="176"/>
      <c r="HNO74" s="176"/>
      <c r="HNP74" s="175"/>
      <c r="HNQ74" s="177"/>
      <c r="HNR74" s="175"/>
      <c r="HNS74" s="177"/>
      <c r="HNT74" s="178"/>
      <c r="HNU74" s="179"/>
      <c r="HNV74"/>
      <c r="HNW74" s="180"/>
      <c r="HNX74"/>
      <c r="HNY74" s="172"/>
      <c r="HNZ74" s="181"/>
      <c r="HOA74"/>
      <c r="HOB74" s="174"/>
      <c r="HOC74" s="175"/>
      <c r="HOD74" s="176"/>
      <c r="HOE74" s="176"/>
      <c r="HOF74" s="175"/>
      <c r="HOG74" s="177"/>
      <c r="HOH74" s="175"/>
      <c r="HOI74" s="177"/>
      <c r="HOJ74" s="178"/>
      <c r="HOK74" s="179"/>
      <c r="HOL74"/>
      <c r="HOM74" s="180"/>
      <c r="HON74"/>
      <c r="HOO74" s="172"/>
      <c r="HOP74" s="181"/>
      <c r="HOQ74"/>
      <c r="HOR74" s="174"/>
      <c r="HOS74" s="175"/>
      <c r="HOT74" s="176"/>
      <c r="HOU74" s="176"/>
      <c r="HOV74" s="175"/>
      <c r="HOW74" s="177"/>
      <c r="HOX74" s="175"/>
      <c r="HOY74" s="177"/>
      <c r="HOZ74" s="178"/>
      <c r="HPA74" s="179"/>
      <c r="HPB74"/>
      <c r="HPC74" s="180"/>
      <c r="HPD74"/>
      <c r="HPE74" s="172"/>
      <c r="HPF74" s="181"/>
      <c r="HPG74"/>
      <c r="HPH74" s="174"/>
      <c r="HPI74" s="175"/>
      <c r="HPJ74" s="176"/>
      <c r="HPK74" s="176"/>
      <c r="HPL74" s="175"/>
      <c r="HPM74" s="177"/>
      <c r="HPN74" s="175"/>
      <c r="HPO74" s="177"/>
      <c r="HPP74" s="178"/>
      <c r="HPQ74" s="179"/>
      <c r="HPR74"/>
      <c r="HPS74" s="180"/>
      <c r="HPT74"/>
      <c r="HPU74" s="172"/>
      <c r="HPV74" s="181"/>
      <c r="HPW74"/>
      <c r="HPX74" s="174"/>
      <c r="HPY74" s="175"/>
      <c r="HPZ74" s="176"/>
      <c r="HQA74" s="176"/>
      <c r="HQB74" s="175"/>
      <c r="HQC74" s="177"/>
      <c r="HQD74" s="175"/>
      <c r="HQE74" s="177"/>
      <c r="HQF74" s="178"/>
      <c r="HQG74" s="179"/>
      <c r="HQH74"/>
      <c r="HQI74" s="180"/>
      <c r="HQJ74"/>
      <c r="HQK74" s="172"/>
      <c r="HQL74" s="181"/>
      <c r="HQM74"/>
      <c r="HQN74" s="174"/>
      <c r="HQO74" s="175"/>
      <c r="HQP74" s="176"/>
      <c r="HQQ74" s="176"/>
      <c r="HQR74" s="175"/>
      <c r="HQS74" s="177"/>
      <c r="HQT74" s="175"/>
      <c r="HQU74" s="177"/>
      <c r="HQV74" s="178"/>
      <c r="HQW74" s="179"/>
      <c r="HQX74"/>
      <c r="HQY74" s="180"/>
      <c r="HQZ74"/>
      <c r="HRA74" s="172"/>
      <c r="HRB74" s="181"/>
      <c r="HRC74"/>
      <c r="HRD74" s="174"/>
      <c r="HRE74" s="175"/>
      <c r="HRF74" s="176"/>
      <c r="HRG74" s="176"/>
      <c r="HRH74" s="175"/>
      <c r="HRI74" s="177"/>
      <c r="HRJ74" s="175"/>
      <c r="HRK74" s="177"/>
      <c r="HRL74" s="178"/>
      <c r="HRM74" s="179"/>
      <c r="HRN74"/>
      <c r="HRO74" s="180"/>
      <c r="HRP74"/>
      <c r="HRQ74" s="172"/>
      <c r="HRR74" s="181"/>
      <c r="HRS74"/>
      <c r="HRT74" s="174"/>
      <c r="HRU74" s="175"/>
      <c r="HRV74" s="176"/>
      <c r="HRW74" s="176"/>
      <c r="HRX74" s="175"/>
      <c r="HRY74" s="177"/>
      <c r="HRZ74" s="175"/>
      <c r="HSA74" s="177"/>
      <c r="HSB74" s="178"/>
      <c r="HSC74" s="179"/>
      <c r="HSD74"/>
      <c r="HSE74" s="180"/>
      <c r="HSF74"/>
      <c r="HSG74" s="172"/>
      <c r="HSH74" s="181"/>
      <c r="HSI74"/>
      <c r="HSJ74" s="174"/>
      <c r="HSK74" s="175"/>
      <c r="HSL74" s="176"/>
      <c r="HSM74" s="176"/>
      <c r="HSN74" s="175"/>
      <c r="HSO74" s="177"/>
      <c r="HSP74" s="175"/>
      <c r="HSQ74" s="177"/>
      <c r="HSR74" s="178"/>
      <c r="HSS74" s="179"/>
      <c r="HST74"/>
      <c r="HSU74" s="180"/>
      <c r="HSV74"/>
      <c r="HSW74" s="172"/>
      <c r="HSX74" s="181"/>
      <c r="HSY74"/>
      <c r="HSZ74" s="174"/>
      <c r="HTA74" s="175"/>
      <c r="HTB74" s="176"/>
      <c r="HTC74" s="176"/>
      <c r="HTD74" s="175"/>
      <c r="HTE74" s="177"/>
      <c r="HTF74" s="175"/>
      <c r="HTG74" s="177"/>
      <c r="HTH74" s="178"/>
      <c r="HTI74" s="179"/>
      <c r="HTJ74"/>
      <c r="HTK74" s="180"/>
      <c r="HTL74"/>
      <c r="HTM74" s="172"/>
      <c r="HTN74" s="181"/>
      <c r="HTO74"/>
      <c r="HTP74" s="174"/>
      <c r="HTQ74" s="175"/>
      <c r="HTR74" s="176"/>
      <c r="HTS74" s="176"/>
      <c r="HTT74" s="175"/>
      <c r="HTU74" s="177"/>
      <c r="HTV74" s="175"/>
      <c r="HTW74" s="177"/>
      <c r="HTX74" s="178"/>
      <c r="HTY74" s="179"/>
      <c r="HTZ74"/>
      <c r="HUA74" s="180"/>
      <c r="HUB74"/>
      <c r="HUC74" s="172"/>
      <c r="HUD74" s="181"/>
      <c r="HUE74"/>
      <c r="HUF74" s="174"/>
      <c r="HUG74" s="175"/>
      <c r="HUH74" s="176"/>
      <c r="HUI74" s="176"/>
      <c r="HUJ74" s="175"/>
      <c r="HUK74" s="177"/>
      <c r="HUL74" s="175"/>
      <c r="HUM74" s="177"/>
      <c r="HUN74" s="178"/>
      <c r="HUO74" s="179"/>
      <c r="HUP74"/>
      <c r="HUQ74" s="180"/>
      <c r="HUR74"/>
      <c r="HUS74" s="172"/>
      <c r="HUT74" s="181"/>
      <c r="HUU74"/>
      <c r="HUV74" s="174"/>
      <c r="HUW74" s="175"/>
      <c r="HUX74" s="176"/>
      <c r="HUY74" s="176"/>
      <c r="HUZ74" s="175"/>
      <c r="HVA74" s="177"/>
      <c r="HVB74" s="175"/>
      <c r="HVC74" s="177"/>
      <c r="HVD74" s="178"/>
      <c r="HVE74" s="179"/>
      <c r="HVF74"/>
      <c r="HVG74" s="180"/>
      <c r="HVH74"/>
      <c r="HVI74" s="172"/>
      <c r="HVJ74" s="181"/>
      <c r="HVK74"/>
      <c r="HVL74" s="174"/>
      <c r="HVM74" s="175"/>
      <c r="HVN74" s="176"/>
      <c r="HVO74" s="176"/>
      <c r="HVP74" s="175"/>
      <c r="HVQ74" s="177"/>
      <c r="HVR74" s="175"/>
      <c r="HVS74" s="177"/>
      <c r="HVT74" s="178"/>
      <c r="HVU74" s="179"/>
      <c r="HVV74"/>
      <c r="HVW74" s="180"/>
      <c r="HVX74"/>
      <c r="HVY74" s="172"/>
      <c r="HVZ74" s="181"/>
      <c r="HWA74"/>
      <c r="HWB74" s="174"/>
      <c r="HWC74" s="175"/>
      <c r="HWD74" s="176"/>
      <c r="HWE74" s="176"/>
      <c r="HWF74" s="175"/>
      <c r="HWG74" s="177"/>
      <c r="HWH74" s="175"/>
      <c r="HWI74" s="177"/>
      <c r="HWJ74" s="178"/>
      <c r="HWK74" s="179"/>
      <c r="HWL74"/>
      <c r="HWM74" s="180"/>
      <c r="HWN74"/>
      <c r="HWO74" s="172"/>
      <c r="HWP74" s="181"/>
      <c r="HWQ74"/>
      <c r="HWR74" s="174"/>
      <c r="HWS74" s="175"/>
      <c r="HWT74" s="176"/>
      <c r="HWU74" s="176"/>
      <c r="HWV74" s="175"/>
      <c r="HWW74" s="177"/>
      <c r="HWX74" s="175"/>
      <c r="HWY74" s="177"/>
      <c r="HWZ74" s="178"/>
      <c r="HXA74" s="179"/>
      <c r="HXB74"/>
      <c r="HXC74" s="180"/>
      <c r="HXD74"/>
      <c r="HXE74" s="172"/>
      <c r="HXF74" s="181"/>
      <c r="HXG74"/>
      <c r="HXH74" s="174"/>
      <c r="HXI74" s="175"/>
      <c r="HXJ74" s="176"/>
      <c r="HXK74" s="176"/>
      <c r="HXL74" s="175"/>
      <c r="HXM74" s="177"/>
      <c r="HXN74" s="175"/>
      <c r="HXO74" s="177"/>
      <c r="HXP74" s="178"/>
      <c r="HXQ74" s="179"/>
      <c r="HXR74"/>
      <c r="HXS74" s="180"/>
      <c r="HXT74"/>
      <c r="HXU74" s="172"/>
      <c r="HXV74" s="181"/>
      <c r="HXW74"/>
      <c r="HXX74" s="174"/>
      <c r="HXY74" s="175"/>
      <c r="HXZ74" s="176"/>
      <c r="HYA74" s="176"/>
      <c r="HYB74" s="175"/>
      <c r="HYC74" s="177"/>
      <c r="HYD74" s="175"/>
      <c r="HYE74" s="177"/>
      <c r="HYF74" s="178"/>
      <c r="HYG74" s="179"/>
      <c r="HYH74"/>
      <c r="HYI74" s="180"/>
      <c r="HYJ74"/>
      <c r="HYK74" s="172"/>
      <c r="HYL74" s="181"/>
      <c r="HYM74"/>
      <c r="HYN74" s="174"/>
      <c r="HYO74" s="175"/>
      <c r="HYP74" s="176"/>
      <c r="HYQ74" s="176"/>
      <c r="HYR74" s="175"/>
      <c r="HYS74" s="177"/>
      <c r="HYT74" s="175"/>
      <c r="HYU74" s="177"/>
      <c r="HYV74" s="178"/>
      <c r="HYW74" s="179"/>
      <c r="HYX74"/>
      <c r="HYY74" s="180"/>
      <c r="HYZ74"/>
      <c r="HZA74" s="172"/>
      <c r="HZB74" s="181"/>
      <c r="HZC74"/>
      <c r="HZD74" s="174"/>
      <c r="HZE74" s="175"/>
      <c r="HZF74" s="176"/>
      <c r="HZG74" s="176"/>
      <c r="HZH74" s="175"/>
      <c r="HZI74" s="177"/>
      <c r="HZJ74" s="175"/>
      <c r="HZK74" s="177"/>
      <c r="HZL74" s="178"/>
      <c r="HZM74" s="179"/>
      <c r="HZN74"/>
      <c r="HZO74" s="180"/>
      <c r="HZP74"/>
      <c r="HZQ74" s="172"/>
      <c r="HZR74" s="181"/>
      <c r="HZS74"/>
      <c r="HZT74" s="174"/>
      <c r="HZU74" s="175"/>
      <c r="HZV74" s="176"/>
      <c r="HZW74" s="176"/>
      <c r="HZX74" s="175"/>
      <c r="HZY74" s="177"/>
      <c r="HZZ74" s="175"/>
      <c r="IAA74" s="177"/>
      <c r="IAB74" s="178"/>
      <c r="IAC74" s="179"/>
      <c r="IAD74"/>
      <c r="IAE74" s="180"/>
      <c r="IAF74"/>
      <c r="IAG74" s="172"/>
      <c r="IAH74" s="181"/>
      <c r="IAI74"/>
      <c r="IAJ74" s="174"/>
      <c r="IAK74" s="175"/>
      <c r="IAL74" s="176"/>
      <c r="IAM74" s="176"/>
      <c r="IAN74" s="175"/>
      <c r="IAO74" s="177"/>
      <c r="IAP74" s="175"/>
      <c r="IAQ74" s="177"/>
      <c r="IAR74" s="178"/>
      <c r="IAS74" s="179"/>
      <c r="IAT74"/>
      <c r="IAU74" s="180"/>
      <c r="IAV74"/>
      <c r="IAW74" s="172"/>
      <c r="IAX74" s="181"/>
      <c r="IAY74"/>
      <c r="IAZ74" s="174"/>
      <c r="IBA74" s="175"/>
      <c r="IBB74" s="176"/>
      <c r="IBC74" s="176"/>
      <c r="IBD74" s="175"/>
      <c r="IBE74" s="177"/>
      <c r="IBF74" s="175"/>
      <c r="IBG74" s="177"/>
      <c r="IBH74" s="178"/>
      <c r="IBI74" s="179"/>
      <c r="IBJ74"/>
      <c r="IBK74" s="180"/>
      <c r="IBL74"/>
      <c r="IBM74" s="172"/>
      <c r="IBN74" s="181"/>
      <c r="IBO74"/>
      <c r="IBP74" s="174"/>
      <c r="IBQ74" s="175"/>
      <c r="IBR74" s="176"/>
      <c r="IBS74" s="176"/>
      <c r="IBT74" s="175"/>
      <c r="IBU74" s="177"/>
      <c r="IBV74" s="175"/>
      <c r="IBW74" s="177"/>
      <c r="IBX74" s="178"/>
      <c r="IBY74" s="179"/>
      <c r="IBZ74"/>
      <c r="ICA74" s="180"/>
      <c r="ICB74"/>
      <c r="ICC74" s="172"/>
      <c r="ICD74" s="181"/>
      <c r="ICE74"/>
      <c r="ICF74" s="174"/>
      <c r="ICG74" s="175"/>
      <c r="ICH74" s="176"/>
      <c r="ICI74" s="176"/>
      <c r="ICJ74" s="175"/>
      <c r="ICK74" s="177"/>
      <c r="ICL74" s="175"/>
      <c r="ICM74" s="177"/>
      <c r="ICN74" s="178"/>
      <c r="ICO74" s="179"/>
      <c r="ICP74"/>
      <c r="ICQ74" s="180"/>
      <c r="ICR74"/>
      <c r="ICS74" s="172"/>
      <c r="ICT74" s="181"/>
      <c r="ICU74"/>
      <c r="ICV74" s="174"/>
      <c r="ICW74" s="175"/>
      <c r="ICX74" s="176"/>
      <c r="ICY74" s="176"/>
      <c r="ICZ74" s="175"/>
      <c r="IDA74" s="177"/>
      <c r="IDB74" s="175"/>
      <c r="IDC74" s="177"/>
      <c r="IDD74" s="178"/>
      <c r="IDE74" s="179"/>
      <c r="IDF74"/>
      <c r="IDG74" s="180"/>
      <c r="IDH74"/>
      <c r="IDI74" s="172"/>
      <c r="IDJ74" s="181"/>
      <c r="IDK74"/>
      <c r="IDL74" s="174"/>
      <c r="IDM74" s="175"/>
      <c r="IDN74" s="176"/>
      <c r="IDO74" s="176"/>
      <c r="IDP74" s="175"/>
      <c r="IDQ74" s="177"/>
      <c r="IDR74" s="175"/>
      <c r="IDS74" s="177"/>
      <c r="IDT74" s="178"/>
      <c r="IDU74" s="179"/>
      <c r="IDV74"/>
      <c r="IDW74" s="180"/>
      <c r="IDX74"/>
      <c r="IDY74" s="172"/>
      <c r="IDZ74" s="181"/>
      <c r="IEA74"/>
      <c r="IEB74" s="174"/>
      <c r="IEC74" s="175"/>
      <c r="IED74" s="176"/>
      <c r="IEE74" s="176"/>
      <c r="IEF74" s="175"/>
      <c r="IEG74" s="177"/>
      <c r="IEH74" s="175"/>
      <c r="IEI74" s="177"/>
      <c r="IEJ74" s="178"/>
      <c r="IEK74" s="179"/>
      <c r="IEL74"/>
      <c r="IEM74" s="180"/>
      <c r="IEN74"/>
      <c r="IEO74" s="172"/>
      <c r="IEP74" s="181"/>
      <c r="IEQ74"/>
      <c r="IER74" s="174"/>
      <c r="IES74" s="175"/>
      <c r="IET74" s="176"/>
      <c r="IEU74" s="176"/>
      <c r="IEV74" s="175"/>
      <c r="IEW74" s="177"/>
      <c r="IEX74" s="175"/>
      <c r="IEY74" s="177"/>
      <c r="IEZ74" s="178"/>
      <c r="IFA74" s="179"/>
      <c r="IFB74"/>
      <c r="IFC74" s="180"/>
      <c r="IFD74"/>
      <c r="IFE74" s="172"/>
      <c r="IFF74" s="181"/>
      <c r="IFG74"/>
      <c r="IFH74" s="174"/>
      <c r="IFI74" s="175"/>
      <c r="IFJ74" s="176"/>
      <c r="IFK74" s="176"/>
      <c r="IFL74" s="175"/>
      <c r="IFM74" s="177"/>
      <c r="IFN74" s="175"/>
      <c r="IFO74" s="177"/>
      <c r="IFP74" s="178"/>
      <c r="IFQ74" s="179"/>
      <c r="IFR74"/>
      <c r="IFS74" s="180"/>
      <c r="IFT74"/>
      <c r="IFU74" s="172"/>
      <c r="IFV74" s="181"/>
      <c r="IFW74"/>
      <c r="IFX74" s="174"/>
      <c r="IFY74" s="175"/>
      <c r="IFZ74" s="176"/>
      <c r="IGA74" s="176"/>
      <c r="IGB74" s="175"/>
      <c r="IGC74" s="177"/>
      <c r="IGD74" s="175"/>
      <c r="IGE74" s="177"/>
      <c r="IGF74" s="178"/>
      <c r="IGG74" s="179"/>
      <c r="IGH74"/>
      <c r="IGI74" s="180"/>
      <c r="IGJ74"/>
      <c r="IGK74" s="172"/>
      <c r="IGL74" s="181"/>
      <c r="IGM74"/>
      <c r="IGN74" s="174"/>
      <c r="IGO74" s="175"/>
      <c r="IGP74" s="176"/>
      <c r="IGQ74" s="176"/>
      <c r="IGR74" s="175"/>
      <c r="IGS74" s="177"/>
      <c r="IGT74" s="175"/>
      <c r="IGU74" s="177"/>
      <c r="IGV74" s="178"/>
      <c r="IGW74" s="179"/>
      <c r="IGX74"/>
      <c r="IGY74" s="180"/>
      <c r="IGZ74"/>
      <c r="IHA74" s="172"/>
      <c r="IHB74" s="181"/>
      <c r="IHC74"/>
      <c r="IHD74" s="174"/>
      <c r="IHE74" s="175"/>
      <c r="IHF74" s="176"/>
      <c r="IHG74" s="176"/>
      <c r="IHH74" s="175"/>
      <c r="IHI74" s="177"/>
      <c r="IHJ74" s="175"/>
      <c r="IHK74" s="177"/>
      <c r="IHL74" s="178"/>
      <c r="IHM74" s="179"/>
      <c r="IHN74"/>
      <c r="IHO74" s="180"/>
      <c r="IHP74"/>
      <c r="IHQ74" s="172"/>
      <c r="IHR74" s="181"/>
      <c r="IHS74"/>
      <c r="IHT74" s="174"/>
      <c r="IHU74" s="175"/>
      <c r="IHV74" s="176"/>
      <c r="IHW74" s="176"/>
      <c r="IHX74" s="175"/>
      <c r="IHY74" s="177"/>
      <c r="IHZ74" s="175"/>
      <c r="IIA74" s="177"/>
      <c r="IIB74" s="178"/>
      <c r="IIC74" s="179"/>
      <c r="IID74"/>
      <c r="IIE74" s="180"/>
      <c r="IIF74"/>
      <c r="IIG74" s="172"/>
      <c r="IIH74" s="181"/>
      <c r="III74"/>
      <c r="IIJ74" s="174"/>
      <c r="IIK74" s="175"/>
      <c r="IIL74" s="176"/>
      <c r="IIM74" s="176"/>
      <c r="IIN74" s="175"/>
      <c r="IIO74" s="177"/>
      <c r="IIP74" s="175"/>
      <c r="IIQ74" s="177"/>
      <c r="IIR74" s="178"/>
      <c r="IIS74" s="179"/>
      <c r="IIT74"/>
      <c r="IIU74" s="180"/>
      <c r="IIV74"/>
      <c r="IIW74" s="172"/>
      <c r="IIX74" s="181"/>
      <c r="IIY74"/>
      <c r="IIZ74" s="174"/>
      <c r="IJA74" s="175"/>
      <c r="IJB74" s="176"/>
      <c r="IJC74" s="176"/>
      <c r="IJD74" s="175"/>
      <c r="IJE74" s="177"/>
      <c r="IJF74" s="175"/>
      <c r="IJG74" s="177"/>
      <c r="IJH74" s="178"/>
      <c r="IJI74" s="179"/>
      <c r="IJJ74"/>
      <c r="IJK74" s="180"/>
      <c r="IJL74"/>
      <c r="IJM74" s="172"/>
      <c r="IJN74" s="181"/>
      <c r="IJO74"/>
      <c r="IJP74" s="174"/>
      <c r="IJQ74" s="175"/>
      <c r="IJR74" s="176"/>
      <c r="IJS74" s="176"/>
      <c r="IJT74" s="175"/>
      <c r="IJU74" s="177"/>
      <c r="IJV74" s="175"/>
      <c r="IJW74" s="177"/>
      <c r="IJX74" s="178"/>
      <c r="IJY74" s="179"/>
      <c r="IJZ74"/>
      <c r="IKA74" s="180"/>
      <c r="IKB74"/>
      <c r="IKC74" s="172"/>
      <c r="IKD74" s="181"/>
      <c r="IKE74"/>
      <c r="IKF74" s="174"/>
      <c r="IKG74" s="175"/>
      <c r="IKH74" s="176"/>
      <c r="IKI74" s="176"/>
      <c r="IKJ74" s="175"/>
      <c r="IKK74" s="177"/>
      <c r="IKL74" s="175"/>
      <c r="IKM74" s="177"/>
      <c r="IKN74" s="178"/>
      <c r="IKO74" s="179"/>
      <c r="IKP74"/>
      <c r="IKQ74" s="180"/>
      <c r="IKR74"/>
      <c r="IKS74" s="172"/>
      <c r="IKT74" s="181"/>
      <c r="IKU74"/>
      <c r="IKV74" s="174"/>
      <c r="IKW74" s="175"/>
      <c r="IKX74" s="176"/>
      <c r="IKY74" s="176"/>
      <c r="IKZ74" s="175"/>
      <c r="ILA74" s="177"/>
      <c r="ILB74" s="175"/>
      <c r="ILC74" s="177"/>
      <c r="ILD74" s="178"/>
      <c r="ILE74" s="179"/>
      <c r="ILF74"/>
      <c r="ILG74" s="180"/>
      <c r="ILH74"/>
      <c r="ILI74" s="172"/>
      <c r="ILJ74" s="181"/>
      <c r="ILK74"/>
      <c r="ILL74" s="174"/>
      <c r="ILM74" s="175"/>
      <c r="ILN74" s="176"/>
      <c r="ILO74" s="176"/>
      <c r="ILP74" s="175"/>
      <c r="ILQ74" s="177"/>
      <c r="ILR74" s="175"/>
      <c r="ILS74" s="177"/>
      <c r="ILT74" s="178"/>
      <c r="ILU74" s="179"/>
      <c r="ILV74"/>
      <c r="ILW74" s="180"/>
      <c r="ILX74"/>
      <c r="ILY74" s="172"/>
      <c r="ILZ74" s="181"/>
      <c r="IMA74"/>
      <c r="IMB74" s="174"/>
      <c r="IMC74" s="175"/>
      <c r="IMD74" s="176"/>
      <c r="IME74" s="176"/>
      <c r="IMF74" s="175"/>
      <c r="IMG74" s="177"/>
      <c r="IMH74" s="175"/>
      <c r="IMI74" s="177"/>
      <c r="IMJ74" s="178"/>
      <c r="IMK74" s="179"/>
      <c r="IML74"/>
      <c r="IMM74" s="180"/>
      <c r="IMN74"/>
      <c r="IMO74" s="172"/>
      <c r="IMP74" s="181"/>
      <c r="IMQ74"/>
      <c r="IMR74" s="174"/>
      <c r="IMS74" s="175"/>
      <c r="IMT74" s="176"/>
      <c r="IMU74" s="176"/>
      <c r="IMV74" s="175"/>
      <c r="IMW74" s="177"/>
      <c r="IMX74" s="175"/>
      <c r="IMY74" s="177"/>
      <c r="IMZ74" s="178"/>
      <c r="INA74" s="179"/>
      <c r="INB74"/>
      <c r="INC74" s="180"/>
      <c r="IND74"/>
      <c r="INE74" s="172"/>
      <c r="INF74" s="181"/>
      <c r="ING74"/>
      <c r="INH74" s="174"/>
      <c r="INI74" s="175"/>
      <c r="INJ74" s="176"/>
      <c r="INK74" s="176"/>
      <c r="INL74" s="175"/>
      <c r="INM74" s="177"/>
      <c r="INN74" s="175"/>
      <c r="INO74" s="177"/>
      <c r="INP74" s="178"/>
      <c r="INQ74" s="179"/>
      <c r="INR74"/>
      <c r="INS74" s="180"/>
      <c r="INT74"/>
      <c r="INU74" s="172"/>
      <c r="INV74" s="181"/>
      <c r="INW74"/>
      <c r="INX74" s="174"/>
      <c r="INY74" s="175"/>
      <c r="INZ74" s="176"/>
      <c r="IOA74" s="176"/>
      <c r="IOB74" s="175"/>
      <c r="IOC74" s="177"/>
      <c r="IOD74" s="175"/>
      <c r="IOE74" s="177"/>
      <c r="IOF74" s="178"/>
      <c r="IOG74" s="179"/>
      <c r="IOH74"/>
      <c r="IOI74" s="180"/>
      <c r="IOJ74"/>
      <c r="IOK74" s="172"/>
      <c r="IOL74" s="181"/>
      <c r="IOM74"/>
      <c r="ION74" s="174"/>
      <c r="IOO74" s="175"/>
      <c r="IOP74" s="176"/>
      <c r="IOQ74" s="176"/>
      <c r="IOR74" s="175"/>
      <c r="IOS74" s="177"/>
      <c r="IOT74" s="175"/>
      <c r="IOU74" s="177"/>
      <c r="IOV74" s="178"/>
      <c r="IOW74" s="179"/>
      <c r="IOX74"/>
      <c r="IOY74" s="180"/>
      <c r="IOZ74"/>
      <c r="IPA74" s="172"/>
      <c r="IPB74" s="181"/>
      <c r="IPC74"/>
      <c r="IPD74" s="174"/>
      <c r="IPE74" s="175"/>
      <c r="IPF74" s="176"/>
      <c r="IPG74" s="176"/>
      <c r="IPH74" s="175"/>
      <c r="IPI74" s="177"/>
      <c r="IPJ74" s="175"/>
      <c r="IPK74" s="177"/>
      <c r="IPL74" s="178"/>
      <c r="IPM74" s="179"/>
      <c r="IPN74"/>
      <c r="IPO74" s="180"/>
      <c r="IPP74"/>
      <c r="IPQ74" s="172"/>
      <c r="IPR74" s="181"/>
      <c r="IPS74"/>
      <c r="IPT74" s="174"/>
      <c r="IPU74" s="175"/>
      <c r="IPV74" s="176"/>
      <c r="IPW74" s="176"/>
      <c r="IPX74" s="175"/>
      <c r="IPY74" s="177"/>
      <c r="IPZ74" s="175"/>
      <c r="IQA74" s="177"/>
      <c r="IQB74" s="178"/>
      <c r="IQC74" s="179"/>
      <c r="IQD74"/>
      <c r="IQE74" s="180"/>
      <c r="IQF74"/>
      <c r="IQG74" s="172"/>
      <c r="IQH74" s="181"/>
      <c r="IQI74"/>
      <c r="IQJ74" s="174"/>
      <c r="IQK74" s="175"/>
      <c r="IQL74" s="176"/>
      <c r="IQM74" s="176"/>
      <c r="IQN74" s="175"/>
      <c r="IQO74" s="177"/>
      <c r="IQP74" s="175"/>
      <c r="IQQ74" s="177"/>
      <c r="IQR74" s="178"/>
      <c r="IQS74" s="179"/>
      <c r="IQT74"/>
      <c r="IQU74" s="180"/>
      <c r="IQV74"/>
      <c r="IQW74" s="172"/>
      <c r="IQX74" s="181"/>
      <c r="IQY74"/>
      <c r="IQZ74" s="174"/>
      <c r="IRA74" s="175"/>
      <c r="IRB74" s="176"/>
      <c r="IRC74" s="176"/>
      <c r="IRD74" s="175"/>
      <c r="IRE74" s="177"/>
      <c r="IRF74" s="175"/>
      <c r="IRG74" s="177"/>
      <c r="IRH74" s="178"/>
      <c r="IRI74" s="179"/>
      <c r="IRJ74"/>
      <c r="IRK74" s="180"/>
      <c r="IRL74"/>
      <c r="IRM74" s="172"/>
      <c r="IRN74" s="181"/>
      <c r="IRO74"/>
      <c r="IRP74" s="174"/>
      <c r="IRQ74" s="175"/>
      <c r="IRR74" s="176"/>
      <c r="IRS74" s="176"/>
      <c r="IRT74" s="175"/>
      <c r="IRU74" s="177"/>
      <c r="IRV74" s="175"/>
      <c r="IRW74" s="177"/>
      <c r="IRX74" s="178"/>
      <c r="IRY74" s="179"/>
      <c r="IRZ74"/>
      <c r="ISA74" s="180"/>
      <c r="ISB74"/>
      <c r="ISC74" s="172"/>
      <c r="ISD74" s="181"/>
      <c r="ISE74"/>
      <c r="ISF74" s="174"/>
      <c r="ISG74" s="175"/>
      <c r="ISH74" s="176"/>
      <c r="ISI74" s="176"/>
      <c r="ISJ74" s="175"/>
      <c r="ISK74" s="177"/>
      <c r="ISL74" s="175"/>
      <c r="ISM74" s="177"/>
      <c r="ISN74" s="178"/>
      <c r="ISO74" s="179"/>
      <c r="ISP74"/>
      <c r="ISQ74" s="180"/>
      <c r="ISR74"/>
      <c r="ISS74" s="172"/>
      <c r="IST74" s="181"/>
      <c r="ISU74"/>
      <c r="ISV74" s="174"/>
      <c r="ISW74" s="175"/>
      <c r="ISX74" s="176"/>
      <c r="ISY74" s="176"/>
      <c r="ISZ74" s="175"/>
      <c r="ITA74" s="177"/>
      <c r="ITB74" s="175"/>
      <c r="ITC74" s="177"/>
      <c r="ITD74" s="178"/>
      <c r="ITE74" s="179"/>
      <c r="ITF74"/>
      <c r="ITG74" s="180"/>
      <c r="ITH74"/>
      <c r="ITI74" s="172"/>
      <c r="ITJ74" s="181"/>
      <c r="ITK74"/>
      <c r="ITL74" s="174"/>
      <c r="ITM74" s="175"/>
      <c r="ITN74" s="176"/>
      <c r="ITO74" s="176"/>
      <c r="ITP74" s="175"/>
      <c r="ITQ74" s="177"/>
      <c r="ITR74" s="175"/>
      <c r="ITS74" s="177"/>
      <c r="ITT74" s="178"/>
      <c r="ITU74" s="179"/>
      <c r="ITV74"/>
      <c r="ITW74" s="180"/>
      <c r="ITX74"/>
      <c r="ITY74" s="172"/>
      <c r="ITZ74" s="181"/>
      <c r="IUA74"/>
      <c r="IUB74" s="174"/>
      <c r="IUC74" s="175"/>
      <c r="IUD74" s="176"/>
      <c r="IUE74" s="176"/>
      <c r="IUF74" s="175"/>
      <c r="IUG74" s="177"/>
      <c r="IUH74" s="175"/>
      <c r="IUI74" s="177"/>
      <c r="IUJ74" s="178"/>
      <c r="IUK74" s="179"/>
      <c r="IUL74"/>
      <c r="IUM74" s="180"/>
      <c r="IUN74"/>
      <c r="IUO74" s="172"/>
      <c r="IUP74" s="181"/>
      <c r="IUQ74"/>
      <c r="IUR74" s="174"/>
      <c r="IUS74" s="175"/>
      <c r="IUT74" s="176"/>
      <c r="IUU74" s="176"/>
      <c r="IUV74" s="175"/>
      <c r="IUW74" s="177"/>
      <c r="IUX74" s="175"/>
      <c r="IUY74" s="177"/>
      <c r="IUZ74" s="178"/>
      <c r="IVA74" s="179"/>
      <c r="IVB74"/>
      <c r="IVC74" s="180"/>
      <c r="IVD74"/>
      <c r="IVE74" s="172"/>
      <c r="IVF74" s="181"/>
      <c r="IVG74"/>
      <c r="IVH74" s="174"/>
      <c r="IVI74" s="175"/>
      <c r="IVJ74" s="176"/>
      <c r="IVK74" s="176"/>
      <c r="IVL74" s="175"/>
      <c r="IVM74" s="177"/>
      <c r="IVN74" s="175"/>
      <c r="IVO74" s="177"/>
      <c r="IVP74" s="178"/>
      <c r="IVQ74" s="179"/>
      <c r="IVR74"/>
      <c r="IVS74" s="180"/>
      <c r="IVT74"/>
      <c r="IVU74" s="172"/>
      <c r="IVV74" s="181"/>
      <c r="IVW74"/>
      <c r="IVX74" s="174"/>
      <c r="IVY74" s="175"/>
      <c r="IVZ74" s="176"/>
      <c r="IWA74" s="176"/>
      <c r="IWB74" s="175"/>
      <c r="IWC74" s="177"/>
      <c r="IWD74" s="175"/>
      <c r="IWE74" s="177"/>
      <c r="IWF74" s="178"/>
      <c r="IWG74" s="179"/>
      <c r="IWH74"/>
      <c r="IWI74" s="180"/>
      <c r="IWJ74"/>
      <c r="IWK74" s="172"/>
      <c r="IWL74" s="181"/>
      <c r="IWM74"/>
      <c r="IWN74" s="174"/>
      <c r="IWO74" s="175"/>
      <c r="IWP74" s="176"/>
      <c r="IWQ74" s="176"/>
      <c r="IWR74" s="175"/>
      <c r="IWS74" s="177"/>
      <c r="IWT74" s="175"/>
      <c r="IWU74" s="177"/>
      <c r="IWV74" s="178"/>
      <c r="IWW74" s="179"/>
      <c r="IWX74"/>
      <c r="IWY74" s="180"/>
      <c r="IWZ74"/>
      <c r="IXA74" s="172"/>
      <c r="IXB74" s="181"/>
      <c r="IXC74"/>
      <c r="IXD74" s="174"/>
      <c r="IXE74" s="175"/>
      <c r="IXF74" s="176"/>
      <c r="IXG74" s="176"/>
      <c r="IXH74" s="175"/>
      <c r="IXI74" s="177"/>
      <c r="IXJ74" s="175"/>
      <c r="IXK74" s="177"/>
      <c r="IXL74" s="178"/>
      <c r="IXM74" s="179"/>
      <c r="IXN74"/>
      <c r="IXO74" s="180"/>
      <c r="IXP74"/>
      <c r="IXQ74" s="172"/>
      <c r="IXR74" s="181"/>
      <c r="IXS74"/>
      <c r="IXT74" s="174"/>
      <c r="IXU74" s="175"/>
      <c r="IXV74" s="176"/>
      <c r="IXW74" s="176"/>
      <c r="IXX74" s="175"/>
      <c r="IXY74" s="177"/>
      <c r="IXZ74" s="175"/>
      <c r="IYA74" s="177"/>
      <c r="IYB74" s="178"/>
      <c r="IYC74" s="179"/>
      <c r="IYD74"/>
      <c r="IYE74" s="180"/>
      <c r="IYF74"/>
      <c r="IYG74" s="172"/>
      <c r="IYH74" s="181"/>
      <c r="IYI74"/>
      <c r="IYJ74" s="174"/>
      <c r="IYK74" s="175"/>
      <c r="IYL74" s="176"/>
      <c r="IYM74" s="176"/>
      <c r="IYN74" s="175"/>
      <c r="IYO74" s="177"/>
      <c r="IYP74" s="175"/>
      <c r="IYQ74" s="177"/>
      <c r="IYR74" s="178"/>
      <c r="IYS74" s="179"/>
      <c r="IYT74"/>
      <c r="IYU74" s="180"/>
      <c r="IYV74"/>
      <c r="IYW74" s="172"/>
      <c r="IYX74" s="181"/>
      <c r="IYY74"/>
      <c r="IYZ74" s="174"/>
      <c r="IZA74" s="175"/>
      <c r="IZB74" s="176"/>
      <c r="IZC74" s="176"/>
      <c r="IZD74" s="175"/>
      <c r="IZE74" s="177"/>
      <c r="IZF74" s="175"/>
      <c r="IZG74" s="177"/>
      <c r="IZH74" s="178"/>
      <c r="IZI74" s="179"/>
      <c r="IZJ74"/>
      <c r="IZK74" s="180"/>
      <c r="IZL74"/>
      <c r="IZM74" s="172"/>
      <c r="IZN74" s="181"/>
      <c r="IZO74"/>
      <c r="IZP74" s="174"/>
      <c r="IZQ74" s="175"/>
      <c r="IZR74" s="176"/>
      <c r="IZS74" s="176"/>
      <c r="IZT74" s="175"/>
      <c r="IZU74" s="177"/>
      <c r="IZV74" s="175"/>
      <c r="IZW74" s="177"/>
      <c r="IZX74" s="178"/>
      <c r="IZY74" s="179"/>
      <c r="IZZ74"/>
      <c r="JAA74" s="180"/>
      <c r="JAB74"/>
      <c r="JAC74" s="172"/>
      <c r="JAD74" s="181"/>
      <c r="JAE74"/>
      <c r="JAF74" s="174"/>
      <c r="JAG74" s="175"/>
      <c r="JAH74" s="176"/>
      <c r="JAI74" s="176"/>
      <c r="JAJ74" s="175"/>
      <c r="JAK74" s="177"/>
      <c r="JAL74" s="175"/>
      <c r="JAM74" s="177"/>
      <c r="JAN74" s="178"/>
      <c r="JAO74" s="179"/>
      <c r="JAP74"/>
      <c r="JAQ74" s="180"/>
      <c r="JAR74"/>
      <c r="JAS74" s="172"/>
      <c r="JAT74" s="181"/>
      <c r="JAU74"/>
      <c r="JAV74" s="174"/>
      <c r="JAW74" s="175"/>
      <c r="JAX74" s="176"/>
      <c r="JAY74" s="176"/>
      <c r="JAZ74" s="175"/>
      <c r="JBA74" s="177"/>
      <c r="JBB74" s="175"/>
      <c r="JBC74" s="177"/>
      <c r="JBD74" s="178"/>
      <c r="JBE74" s="179"/>
      <c r="JBF74"/>
      <c r="JBG74" s="180"/>
      <c r="JBH74"/>
      <c r="JBI74" s="172"/>
      <c r="JBJ74" s="181"/>
      <c r="JBK74"/>
      <c r="JBL74" s="174"/>
      <c r="JBM74" s="175"/>
      <c r="JBN74" s="176"/>
      <c r="JBO74" s="176"/>
      <c r="JBP74" s="175"/>
      <c r="JBQ74" s="177"/>
      <c r="JBR74" s="175"/>
      <c r="JBS74" s="177"/>
      <c r="JBT74" s="178"/>
      <c r="JBU74" s="179"/>
      <c r="JBV74"/>
      <c r="JBW74" s="180"/>
      <c r="JBX74"/>
      <c r="JBY74" s="172"/>
      <c r="JBZ74" s="181"/>
      <c r="JCA74"/>
      <c r="JCB74" s="174"/>
      <c r="JCC74" s="175"/>
      <c r="JCD74" s="176"/>
      <c r="JCE74" s="176"/>
      <c r="JCF74" s="175"/>
      <c r="JCG74" s="177"/>
      <c r="JCH74" s="175"/>
      <c r="JCI74" s="177"/>
      <c r="JCJ74" s="178"/>
      <c r="JCK74" s="179"/>
      <c r="JCL74"/>
      <c r="JCM74" s="180"/>
      <c r="JCN74"/>
      <c r="JCO74" s="172"/>
      <c r="JCP74" s="181"/>
      <c r="JCQ74"/>
      <c r="JCR74" s="174"/>
      <c r="JCS74" s="175"/>
      <c r="JCT74" s="176"/>
      <c r="JCU74" s="176"/>
      <c r="JCV74" s="175"/>
      <c r="JCW74" s="177"/>
      <c r="JCX74" s="175"/>
      <c r="JCY74" s="177"/>
      <c r="JCZ74" s="178"/>
      <c r="JDA74" s="179"/>
      <c r="JDB74"/>
      <c r="JDC74" s="180"/>
      <c r="JDD74"/>
      <c r="JDE74" s="172"/>
      <c r="JDF74" s="181"/>
      <c r="JDG74"/>
      <c r="JDH74" s="174"/>
      <c r="JDI74" s="175"/>
      <c r="JDJ74" s="176"/>
      <c r="JDK74" s="176"/>
      <c r="JDL74" s="175"/>
      <c r="JDM74" s="177"/>
      <c r="JDN74" s="175"/>
      <c r="JDO74" s="177"/>
      <c r="JDP74" s="178"/>
      <c r="JDQ74" s="179"/>
      <c r="JDR74"/>
      <c r="JDS74" s="180"/>
      <c r="JDT74"/>
      <c r="JDU74" s="172"/>
      <c r="JDV74" s="181"/>
      <c r="JDW74"/>
      <c r="JDX74" s="174"/>
      <c r="JDY74" s="175"/>
      <c r="JDZ74" s="176"/>
      <c r="JEA74" s="176"/>
      <c r="JEB74" s="175"/>
      <c r="JEC74" s="177"/>
      <c r="JED74" s="175"/>
      <c r="JEE74" s="177"/>
      <c r="JEF74" s="178"/>
      <c r="JEG74" s="179"/>
      <c r="JEH74"/>
      <c r="JEI74" s="180"/>
      <c r="JEJ74"/>
      <c r="JEK74" s="172"/>
      <c r="JEL74" s="181"/>
      <c r="JEM74"/>
      <c r="JEN74" s="174"/>
      <c r="JEO74" s="175"/>
      <c r="JEP74" s="176"/>
      <c r="JEQ74" s="176"/>
      <c r="JER74" s="175"/>
      <c r="JES74" s="177"/>
      <c r="JET74" s="175"/>
      <c r="JEU74" s="177"/>
      <c r="JEV74" s="178"/>
      <c r="JEW74" s="179"/>
      <c r="JEX74"/>
      <c r="JEY74" s="180"/>
      <c r="JEZ74"/>
      <c r="JFA74" s="172"/>
      <c r="JFB74" s="181"/>
      <c r="JFC74"/>
      <c r="JFD74" s="174"/>
      <c r="JFE74" s="175"/>
      <c r="JFF74" s="176"/>
      <c r="JFG74" s="176"/>
      <c r="JFH74" s="175"/>
      <c r="JFI74" s="177"/>
      <c r="JFJ74" s="175"/>
      <c r="JFK74" s="177"/>
      <c r="JFL74" s="178"/>
      <c r="JFM74" s="179"/>
      <c r="JFN74"/>
      <c r="JFO74" s="180"/>
      <c r="JFP74"/>
      <c r="JFQ74" s="172"/>
      <c r="JFR74" s="181"/>
      <c r="JFS74"/>
      <c r="JFT74" s="174"/>
      <c r="JFU74" s="175"/>
      <c r="JFV74" s="176"/>
      <c r="JFW74" s="176"/>
      <c r="JFX74" s="175"/>
      <c r="JFY74" s="177"/>
      <c r="JFZ74" s="175"/>
      <c r="JGA74" s="177"/>
      <c r="JGB74" s="178"/>
      <c r="JGC74" s="179"/>
      <c r="JGD74"/>
      <c r="JGE74" s="180"/>
      <c r="JGF74"/>
      <c r="JGG74" s="172"/>
      <c r="JGH74" s="181"/>
      <c r="JGI74"/>
      <c r="JGJ74" s="174"/>
      <c r="JGK74" s="175"/>
      <c r="JGL74" s="176"/>
      <c r="JGM74" s="176"/>
      <c r="JGN74" s="175"/>
      <c r="JGO74" s="177"/>
      <c r="JGP74" s="175"/>
      <c r="JGQ74" s="177"/>
      <c r="JGR74" s="178"/>
      <c r="JGS74" s="179"/>
      <c r="JGT74"/>
      <c r="JGU74" s="180"/>
      <c r="JGV74"/>
      <c r="JGW74" s="172"/>
      <c r="JGX74" s="181"/>
      <c r="JGY74"/>
      <c r="JGZ74" s="174"/>
      <c r="JHA74" s="175"/>
      <c r="JHB74" s="176"/>
      <c r="JHC74" s="176"/>
      <c r="JHD74" s="175"/>
      <c r="JHE74" s="177"/>
      <c r="JHF74" s="175"/>
      <c r="JHG74" s="177"/>
      <c r="JHH74" s="178"/>
      <c r="JHI74" s="179"/>
      <c r="JHJ74"/>
      <c r="JHK74" s="180"/>
      <c r="JHL74"/>
      <c r="JHM74" s="172"/>
      <c r="JHN74" s="181"/>
      <c r="JHO74"/>
      <c r="JHP74" s="174"/>
      <c r="JHQ74" s="175"/>
      <c r="JHR74" s="176"/>
      <c r="JHS74" s="176"/>
      <c r="JHT74" s="175"/>
      <c r="JHU74" s="177"/>
      <c r="JHV74" s="175"/>
      <c r="JHW74" s="177"/>
      <c r="JHX74" s="178"/>
      <c r="JHY74" s="179"/>
      <c r="JHZ74"/>
      <c r="JIA74" s="180"/>
      <c r="JIB74"/>
      <c r="JIC74" s="172"/>
      <c r="JID74" s="181"/>
      <c r="JIE74"/>
      <c r="JIF74" s="174"/>
      <c r="JIG74" s="175"/>
      <c r="JIH74" s="176"/>
      <c r="JII74" s="176"/>
      <c r="JIJ74" s="175"/>
      <c r="JIK74" s="177"/>
      <c r="JIL74" s="175"/>
      <c r="JIM74" s="177"/>
      <c r="JIN74" s="178"/>
      <c r="JIO74" s="179"/>
      <c r="JIP74"/>
      <c r="JIQ74" s="180"/>
      <c r="JIR74"/>
      <c r="JIS74" s="172"/>
      <c r="JIT74" s="181"/>
      <c r="JIU74"/>
      <c r="JIV74" s="174"/>
      <c r="JIW74" s="175"/>
      <c r="JIX74" s="176"/>
      <c r="JIY74" s="176"/>
      <c r="JIZ74" s="175"/>
      <c r="JJA74" s="177"/>
      <c r="JJB74" s="175"/>
      <c r="JJC74" s="177"/>
      <c r="JJD74" s="178"/>
      <c r="JJE74" s="179"/>
      <c r="JJF74"/>
      <c r="JJG74" s="180"/>
      <c r="JJH74"/>
      <c r="JJI74" s="172"/>
      <c r="JJJ74" s="181"/>
      <c r="JJK74"/>
      <c r="JJL74" s="174"/>
      <c r="JJM74" s="175"/>
      <c r="JJN74" s="176"/>
      <c r="JJO74" s="176"/>
      <c r="JJP74" s="175"/>
      <c r="JJQ74" s="177"/>
      <c r="JJR74" s="175"/>
      <c r="JJS74" s="177"/>
      <c r="JJT74" s="178"/>
      <c r="JJU74" s="179"/>
      <c r="JJV74"/>
      <c r="JJW74" s="180"/>
      <c r="JJX74"/>
      <c r="JJY74" s="172"/>
      <c r="JJZ74" s="181"/>
      <c r="JKA74"/>
      <c r="JKB74" s="174"/>
      <c r="JKC74" s="175"/>
      <c r="JKD74" s="176"/>
      <c r="JKE74" s="176"/>
      <c r="JKF74" s="175"/>
      <c r="JKG74" s="177"/>
      <c r="JKH74" s="175"/>
      <c r="JKI74" s="177"/>
      <c r="JKJ74" s="178"/>
      <c r="JKK74" s="179"/>
      <c r="JKL74"/>
      <c r="JKM74" s="180"/>
      <c r="JKN74"/>
      <c r="JKO74" s="172"/>
      <c r="JKP74" s="181"/>
      <c r="JKQ74"/>
      <c r="JKR74" s="174"/>
      <c r="JKS74" s="175"/>
      <c r="JKT74" s="176"/>
      <c r="JKU74" s="176"/>
      <c r="JKV74" s="175"/>
      <c r="JKW74" s="177"/>
      <c r="JKX74" s="175"/>
      <c r="JKY74" s="177"/>
      <c r="JKZ74" s="178"/>
      <c r="JLA74" s="179"/>
      <c r="JLB74"/>
      <c r="JLC74" s="180"/>
      <c r="JLD74"/>
      <c r="JLE74" s="172"/>
      <c r="JLF74" s="181"/>
      <c r="JLG74"/>
      <c r="JLH74" s="174"/>
      <c r="JLI74" s="175"/>
      <c r="JLJ74" s="176"/>
      <c r="JLK74" s="176"/>
      <c r="JLL74" s="175"/>
      <c r="JLM74" s="177"/>
      <c r="JLN74" s="175"/>
      <c r="JLO74" s="177"/>
      <c r="JLP74" s="178"/>
      <c r="JLQ74" s="179"/>
      <c r="JLR74"/>
      <c r="JLS74" s="180"/>
      <c r="JLT74"/>
      <c r="JLU74" s="172"/>
      <c r="JLV74" s="181"/>
      <c r="JLW74"/>
      <c r="JLX74" s="174"/>
      <c r="JLY74" s="175"/>
      <c r="JLZ74" s="176"/>
      <c r="JMA74" s="176"/>
      <c r="JMB74" s="175"/>
      <c r="JMC74" s="177"/>
      <c r="JMD74" s="175"/>
      <c r="JME74" s="177"/>
      <c r="JMF74" s="178"/>
      <c r="JMG74" s="179"/>
      <c r="JMH74"/>
      <c r="JMI74" s="180"/>
      <c r="JMJ74"/>
      <c r="JMK74" s="172"/>
      <c r="JML74" s="181"/>
      <c r="JMM74"/>
      <c r="JMN74" s="174"/>
      <c r="JMO74" s="175"/>
      <c r="JMP74" s="176"/>
      <c r="JMQ74" s="176"/>
      <c r="JMR74" s="175"/>
      <c r="JMS74" s="177"/>
      <c r="JMT74" s="175"/>
      <c r="JMU74" s="177"/>
      <c r="JMV74" s="178"/>
      <c r="JMW74" s="179"/>
      <c r="JMX74"/>
      <c r="JMY74" s="180"/>
      <c r="JMZ74"/>
      <c r="JNA74" s="172"/>
      <c r="JNB74" s="181"/>
      <c r="JNC74"/>
      <c r="JND74" s="174"/>
      <c r="JNE74" s="175"/>
      <c r="JNF74" s="176"/>
      <c r="JNG74" s="176"/>
      <c r="JNH74" s="175"/>
      <c r="JNI74" s="177"/>
      <c r="JNJ74" s="175"/>
      <c r="JNK74" s="177"/>
      <c r="JNL74" s="178"/>
      <c r="JNM74" s="179"/>
      <c r="JNN74"/>
      <c r="JNO74" s="180"/>
      <c r="JNP74"/>
      <c r="JNQ74" s="172"/>
      <c r="JNR74" s="181"/>
      <c r="JNS74"/>
      <c r="JNT74" s="174"/>
      <c r="JNU74" s="175"/>
      <c r="JNV74" s="176"/>
      <c r="JNW74" s="176"/>
      <c r="JNX74" s="175"/>
      <c r="JNY74" s="177"/>
      <c r="JNZ74" s="175"/>
      <c r="JOA74" s="177"/>
      <c r="JOB74" s="178"/>
      <c r="JOC74" s="179"/>
      <c r="JOD74"/>
      <c r="JOE74" s="180"/>
      <c r="JOF74"/>
      <c r="JOG74" s="172"/>
      <c r="JOH74" s="181"/>
      <c r="JOI74"/>
      <c r="JOJ74" s="174"/>
      <c r="JOK74" s="175"/>
      <c r="JOL74" s="176"/>
      <c r="JOM74" s="176"/>
      <c r="JON74" s="175"/>
      <c r="JOO74" s="177"/>
      <c r="JOP74" s="175"/>
      <c r="JOQ74" s="177"/>
      <c r="JOR74" s="178"/>
      <c r="JOS74" s="179"/>
      <c r="JOT74"/>
      <c r="JOU74" s="180"/>
      <c r="JOV74"/>
      <c r="JOW74" s="172"/>
      <c r="JOX74" s="181"/>
      <c r="JOY74"/>
      <c r="JOZ74" s="174"/>
      <c r="JPA74" s="175"/>
      <c r="JPB74" s="176"/>
      <c r="JPC74" s="176"/>
      <c r="JPD74" s="175"/>
      <c r="JPE74" s="177"/>
      <c r="JPF74" s="175"/>
      <c r="JPG74" s="177"/>
      <c r="JPH74" s="178"/>
      <c r="JPI74" s="179"/>
      <c r="JPJ74"/>
      <c r="JPK74" s="180"/>
      <c r="JPL74"/>
      <c r="JPM74" s="172"/>
      <c r="JPN74" s="181"/>
      <c r="JPO74"/>
      <c r="JPP74" s="174"/>
      <c r="JPQ74" s="175"/>
      <c r="JPR74" s="176"/>
      <c r="JPS74" s="176"/>
      <c r="JPT74" s="175"/>
      <c r="JPU74" s="177"/>
      <c r="JPV74" s="175"/>
      <c r="JPW74" s="177"/>
      <c r="JPX74" s="178"/>
      <c r="JPY74" s="179"/>
      <c r="JPZ74"/>
      <c r="JQA74" s="180"/>
      <c r="JQB74"/>
      <c r="JQC74" s="172"/>
      <c r="JQD74" s="181"/>
      <c r="JQE74"/>
      <c r="JQF74" s="174"/>
      <c r="JQG74" s="175"/>
      <c r="JQH74" s="176"/>
      <c r="JQI74" s="176"/>
      <c r="JQJ74" s="175"/>
      <c r="JQK74" s="177"/>
      <c r="JQL74" s="175"/>
      <c r="JQM74" s="177"/>
      <c r="JQN74" s="178"/>
      <c r="JQO74" s="179"/>
      <c r="JQP74"/>
      <c r="JQQ74" s="180"/>
      <c r="JQR74"/>
      <c r="JQS74" s="172"/>
      <c r="JQT74" s="181"/>
      <c r="JQU74"/>
      <c r="JQV74" s="174"/>
      <c r="JQW74" s="175"/>
      <c r="JQX74" s="176"/>
      <c r="JQY74" s="176"/>
      <c r="JQZ74" s="175"/>
      <c r="JRA74" s="177"/>
      <c r="JRB74" s="175"/>
      <c r="JRC74" s="177"/>
      <c r="JRD74" s="178"/>
      <c r="JRE74" s="179"/>
      <c r="JRF74"/>
      <c r="JRG74" s="180"/>
      <c r="JRH74"/>
      <c r="JRI74" s="172"/>
      <c r="JRJ74" s="181"/>
      <c r="JRK74"/>
      <c r="JRL74" s="174"/>
      <c r="JRM74" s="175"/>
      <c r="JRN74" s="176"/>
      <c r="JRO74" s="176"/>
      <c r="JRP74" s="175"/>
      <c r="JRQ74" s="177"/>
      <c r="JRR74" s="175"/>
      <c r="JRS74" s="177"/>
      <c r="JRT74" s="178"/>
      <c r="JRU74" s="179"/>
      <c r="JRV74"/>
      <c r="JRW74" s="180"/>
      <c r="JRX74"/>
      <c r="JRY74" s="172"/>
      <c r="JRZ74" s="181"/>
      <c r="JSA74"/>
      <c r="JSB74" s="174"/>
      <c r="JSC74" s="175"/>
      <c r="JSD74" s="176"/>
      <c r="JSE74" s="176"/>
      <c r="JSF74" s="175"/>
      <c r="JSG74" s="177"/>
      <c r="JSH74" s="175"/>
      <c r="JSI74" s="177"/>
      <c r="JSJ74" s="178"/>
      <c r="JSK74" s="179"/>
      <c r="JSL74"/>
      <c r="JSM74" s="180"/>
      <c r="JSN74"/>
      <c r="JSO74" s="172"/>
      <c r="JSP74" s="181"/>
      <c r="JSQ74"/>
      <c r="JSR74" s="174"/>
      <c r="JSS74" s="175"/>
      <c r="JST74" s="176"/>
      <c r="JSU74" s="176"/>
      <c r="JSV74" s="175"/>
      <c r="JSW74" s="177"/>
      <c r="JSX74" s="175"/>
      <c r="JSY74" s="177"/>
      <c r="JSZ74" s="178"/>
      <c r="JTA74" s="179"/>
      <c r="JTB74"/>
      <c r="JTC74" s="180"/>
      <c r="JTD74"/>
      <c r="JTE74" s="172"/>
      <c r="JTF74" s="181"/>
      <c r="JTG74"/>
      <c r="JTH74" s="174"/>
      <c r="JTI74" s="175"/>
      <c r="JTJ74" s="176"/>
      <c r="JTK74" s="176"/>
      <c r="JTL74" s="175"/>
      <c r="JTM74" s="177"/>
      <c r="JTN74" s="175"/>
      <c r="JTO74" s="177"/>
      <c r="JTP74" s="178"/>
      <c r="JTQ74" s="179"/>
      <c r="JTR74"/>
      <c r="JTS74" s="180"/>
      <c r="JTT74"/>
      <c r="JTU74" s="172"/>
      <c r="JTV74" s="181"/>
      <c r="JTW74"/>
      <c r="JTX74" s="174"/>
      <c r="JTY74" s="175"/>
      <c r="JTZ74" s="176"/>
      <c r="JUA74" s="176"/>
      <c r="JUB74" s="175"/>
      <c r="JUC74" s="177"/>
      <c r="JUD74" s="175"/>
      <c r="JUE74" s="177"/>
      <c r="JUF74" s="178"/>
      <c r="JUG74" s="179"/>
      <c r="JUH74"/>
      <c r="JUI74" s="180"/>
      <c r="JUJ74"/>
      <c r="JUK74" s="172"/>
      <c r="JUL74" s="181"/>
      <c r="JUM74"/>
      <c r="JUN74" s="174"/>
      <c r="JUO74" s="175"/>
      <c r="JUP74" s="176"/>
      <c r="JUQ74" s="176"/>
      <c r="JUR74" s="175"/>
      <c r="JUS74" s="177"/>
      <c r="JUT74" s="175"/>
      <c r="JUU74" s="177"/>
      <c r="JUV74" s="178"/>
      <c r="JUW74" s="179"/>
      <c r="JUX74"/>
      <c r="JUY74" s="180"/>
      <c r="JUZ74"/>
      <c r="JVA74" s="172"/>
      <c r="JVB74" s="181"/>
      <c r="JVC74"/>
      <c r="JVD74" s="174"/>
      <c r="JVE74" s="175"/>
      <c r="JVF74" s="176"/>
      <c r="JVG74" s="176"/>
      <c r="JVH74" s="175"/>
      <c r="JVI74" s="177"/>
      <c r="JVJ74" s="175"/>
      <c r="JVK74" s="177"/>
      <c r="JVL74" s="178"/>
      <c r="JVM74" s="179"/>
      <c r="JVN74"/>
      <c r="JVO74" s="180"/>
      <c r="JVP74"/>
      <c r="JVQ74" s="172"/>
      <c r="JVR74" s="181"/>
      <c r="JVS74"/>
      <c r="JVT74" s="174"/>
      <c r="JVU74" s="175"/>
      <c r="JVV74" s="176"/>
      <c r="JVW74" s="176"/>
      <c r="JVX74" s="175"/>
      <c r="JVY74" s="177"/>
      <c r="JVZ74" s="175"/>
      <c r="JWA74" s="177"/>
      <c r="JWB74" s="178"/>
      <c r="JWC74" s="179"/>
      <c r="JWD74"/>
      <c r="JWE74" s="180"/>
      <c r="JWF74"/>
      <c r="JWG74" s="172"/>
      <c r="JWH74" s="181"/>
      <c r="JWI74"/>
      <c r="JWJ74" s="174"/>
      <c r="JWK74" s="175"/>
      <c r="JWL74" s="176"/>
      <c r="JWM74" s="176"/>
      <c r="JWN74" s="175"/>
      <c r="JWO74" s="177"/>
      <c r="JWP74" s="175"/>
      <c r="JWQ74" s="177"/>
      <c r="JWR74" s="178"/>
      <c r="JWS74" s="179"/>
      <c r="JWT74"/>
      <c r="JWU74" s="180"/>
      <c r="JWV74"/>
      <c r="JWW74" s="172"/>
      <c r="JWX74" s="181"/>
      <c r="JWY74"/>
      <c r="JWZ74" s="174"/>
      <c r="JXA74" s="175"/>
      <c r="JXB74" s="176"/>
      <c r="JXC74" s="176"/>
      <c r="JXD74" s="175"/>
      <c r="JXE74" s="177"/>
      <c r="JXF74" s="175"/>
      <c r="JXG74" s="177"/>
      <c r="JXH74" s="178"/>
      <c r="JXI74" s="179"/>
      <c r="JXJ74"/>
      <c r="JXK74" s="180"/>
      <c r="JXL74"/>
      <c r="JXM74" s="172"/>
      <c r="JXN74" s="181"/>
      <c r="JXO74"/>
      <c r="JXP74" s="174"/>
      <c r="JXQ74" s="175"/>
      <c r="JXR74" s="176"/>
      <c r="JXS74" s="176"/>
      <c r="JXT74" s="175"/>
      <c r="JXU74" s="177"/>
      <c r="JXV74" s="175"/>
      <c r="JXW74" s="177"/>
      <c r="JXX74" s="178"/>
      <c r="JXY74" s="179"/>
      <c r="JXZ74"/>
      <c r="JYA74" s="180"/>
      <c r="JYB74"/>
      <c r="JYC74" s="172"/>
      <c r="JYD74" s="181"/>
      <c r="JYE74"/>
      <c r="JYF74" s="174"/>
      <c r="JYG74" s="175"/>
      <c r="JYH74" s="176"/>
      <c r="JYI74" s="176"/>
      <c r="JYJ74" s="175"/>
      <c r="JYK74" s="177"/>
      <c r="JYL74" s="175"/>
      <c r="JYM74" s="177"/>
      <c r="JYN74" s="178"/>
      <c r="JYO74" s="179"/>
      <c r="JYP74"/>
      <c r="JYQ74" s="180"/>
      <c r="JYR74"/>
      <c r="JYS74" s="172"/>
      <c r="JYT74" s="181"/>
      <c r="JYU74"/>
      <c r="JYV74" s="174"/>
      <c r="JYW74" s="175"/>
      <c r="JYX74" s="176"/>
      <c r="JYY74" s="176"/>
      <c r="JYZ74" s="175"/>
      <c r="JZA74" s="177"/>
      <c r="JZB74" s="175"/>
      <c r="JZC74" s="177"/>
      <c r="JZD74" s="178"/>
      <c r="JZE74" s="179"/>
      <c r="JZF74"/>
      <c r="JZG74" s="180"/>
      <c r="JZH74"/>
      <c r="JZI74" s="172"/>
      <c r="JZJ74" s="181"/>
      <c r="JZK74"/>
      <c r="JZL74" s="174"/>
      <c r="JZM74" s="175"/>
      <c r="JZN74" s="176"/>
      <c r="JZO74" s="176"/>
      <c r="JZP74" s="175"/>
      <c r="JZQ74" s="177"/>
      <c r="JZR74" s="175"/>
      <c r="JZS74" s="177"/>
      <c r="JZT74" s="178"/>
      <c r="JZU74" s="179"/>
      <c r="JZV74"/>
      <c r="JZW74" s="180"/>
      <c r="JZX74"/>
      <c r="JZY74" s="172"/>
      <c r="JZZ74" s="181"/>
      <c r="KAA74"/>
      <c r="KAB74" s="174"/>
      <c r="KAC74" s="175"/>
      <c r="KAD74" s="176"/>
      <c r="KAE74" s="176"/>
      <c r="KAF74" s="175"/>
      <c r="KAG74" s="177"/>
      <c r="KAH74" s="175"/>
      <c r="KAI74" s="177"/>
      <c r="KAJ74" s="178"/>
      <c r="KAK74" s="179"/>
      <c r="KAL74"/>
      <c r="KAM74" s="180"/>
      <c r="KAN74"/>
      <c r="KAO74" s="172"/>
      <c r="KAP74" s="181"/>
      <c r="KAQ74"/>
      <c r="KAR74" s="174"/>
      <c r="KAS74" s="175"/>
      <c r="KAT74" s="176"/>
      <c r="KAU74" s="176"/>
      <c r="KAV74" s="175"/>
      <c r="KAW74" s="177"/>
      <c r="KAX74" s="175"/>
      <c r="KAY74" s="177"/>
      <c r="KAZ74" s="178"/>
      <c r="KBA74" s="179"/>
      <c r="KBB74"/>
      <c r="KBC74" s="180"/>
      <c r="KBD74"/>
      <c r="KBE74" s="172"/>
      <c r="KBF74" s="181"/>
      <c r="KBG74"/>
      <c r="KBH74" s="174"/>
      <c r="KBI74" s="175"/>
      <c r="KBJ74" s="176"/>
      <c r="KBK74" s="176"/>
      <c r="KBL74" s="175"/>
      <c r="KBM74" s="177"/>
      <c r="KBN74" s="175"/>
      <c r="KBO74" s="177"/>
      <c r="KBP74" s="178"/>
      <c r="KBQ74" s="179"/>
      <c r="KBR74"/>
      <c r="KBS74" s="180"/>
      <c r="KBT74"/>
      <c r="KBU74" s="172"/>
      <c r="KBV74" s="181"/>
      <c r="KBW74"/>
      <c r="KBX74" s="174"/>
      <c r="KBY74" s="175"/>
      <c r="KBZ74" s="176"/>
      <c r="KCA74" s="176"/>
      <c r="KCB74" s="175"/>
      <c r="KCC74" s="177"/>
      <c r="KCD74" s="175"/>
      <c r="KCE74" s="177"/>
      <c r="KCF74" s="178"/>
      <c r="KCG74" s="179"/>
      <c r="KCH74"/>
      <c r="KCI74" s="180"/>
      <c r="KCJ74"/>
      <c r="KCK74" s="172"/>
      <c r="KCL74" s="181"/>
      <c r="KCM74"/>
      <c r="KCN74" s="174"/>
      <c r="KCO74" s="175"/>
      <c r="KCP74" s="176"/>
      <c r="KCQ74" s="176"/>
      <c r="KCR74" s="175"/>
      <c r="KCS74" s="177"/>
      <c r="KCT74" s="175"/>
      <c r="KCU74" s="177"/>
      <c r="KCV74" s="178"/>
      <c r="KCW74" s="179"/>
      <c r="KCX74"/>
      <c r="KCY74" s="180"/>
      <c r="KCZ74"/>
      <c r="KDA74" s="172"/>
      <c r="KDB74" s="181"/>
      <c r="KDC74"/>
      <c r="KDD74" s="174"/>
      <c r="KDE74" s="175"/>
      <c r="KDF74" s="176"/>
      <c r="KDG74" s="176"/>
      <c r="KDH74" s="175"/>
      <c r="KDI74" s="177"/>
      <c r="KDJ74" s="175"/>
      <c r="KDK74" s="177"/>
      <c r="KDL74" s="178"/>
      <c r="KDM74" s="179"/>
      <c r="KDN74"/>
      <c r="KDO74" s="180"/>
      <c r="KDP74"/>
      <c r="KDQ74" s="172"/>
      <c r="KDR74" s="181"/>
      <c r="KDS74"/>
      <c r="KDT74" s="174"/>
      <c r="KDU74" s="175"/>
      <c r="KDV74" s="176"/>
      <c r="KDW74" s="176"/>
      <c r="KDX74" s="175"/>
      <c r="KDY74" s="177"/>
      <c r="KDZ74" s="175"/>
      <c r="KEA74" s="177"/>
      <c r="KEB74" s="178"/>
      <c r="KEC74" s="179"/>
      <c r="KED74"/>
      <c r="KEE74" s="180"/>
      <c r="KEF74"/>
      <c r="KEG74" s="172"/>
      <c r="KEH74" s="181"/>
      <c r="KEI74"/>
      <c r="KEJ74" s="174"/>
      <c r="KEK74" s="175"/>
      <c r="KEL74" s="176"/>
      <c r="KEM74" s="176"/>
      <c r="KEN74" s="175"/>
      <c r="KEO74" s="177"/>
      <c r="KEP74" s="175"/>
      <c r="KEQ74" s="177"/>
      <c r="KER74" s="178"/>
      <c r="KES74" s="179"/>
      <c r="KET74"/>
      <c r="KEU74" s="180"/>
      <c r="KEV74"/>
      <c r="KEW74" s="172"/>
      <c r="KEX74" s="181"/>
      <c r="KEY74"/>
      <c r="KEZ74" s="174"/>
      <c r="KFA74" s="175"/>
      <c r="KFB74" s="176"/>
      <c r="KFC74" s="176"/>
      <c r="KFD74" s="175"/>
      <c r="KFE74" s="177"/>
      <c r="KFF74" s="175"/>
      <c r="KFG74" s="177"/>
      <c r="KFH74" s="178"/>
      <c r="KFI74" s="179"/>
      <c r="KFJ74"/>
      <c r="KFK74" s="180"/>
      <c r="KFL74"/>
      <c r="KFM74" s="172"/>
      <c r="KFN74" s="181"/>
      <c r="KFO74"/>
      <c r="KFP74" s="174"/>
      <c r="KFQ74" s="175"/>
      <c r="KFR74" s="176"/>
      <c r="KFS74" s="176"/>
      <c r="KFT74" s="175"/>
      <c r="KFU74" s="177"/>
      <c r="KFV74" s="175"/>
      <c r="KFW74" s="177"/>
      <c r="KFX74" s="178"/>
      <c r="KFY74" s="179"/>
      <c r="KFZ74"/>
      <c r="KGA74" s="180"/>
      <c r="KGB74"/>
      <c r="KGC74" s="172"/>
      <c r="KGD74" s="181"/>
      <c r="KGE74"/>
      <c r="KGF74" s="174"/>
      <c r="KGG74" s="175"/>
      <c r="KGH74" s="176"/>
      <c r="KGI74" s="176"/>
      <c r="KGJ74" s="175"/>
      <c r="KGK74" s="177"/>
      <c r="KGL74" s="175"/>
      <c r="KGM74" s="177"/>
      <c r="KGN74" s="178"/>
      <c r="KGO74" s="179"/>
      <c r="KGP74"/>
      <c r="KGQ74" s="180"/>
      <c r="KGR74"/>
      <c r="KGS74" s="172"/>
      <c r="KGT74" s="181"/>
      <c r="KGU74"/>
      <c r="KGV74" s="174"/>
      <c r="KGW74" s="175"/>
      <c r="KGX74" s="176"/>
      <c r="KGY74" s="176"/>
      <c r="KGZ74" s="175"/>
      <c r="KHA74" s="177"/>
      <c r="KHB74" s="175"/>
      <c r="KHC74" s="177"/>
      <c r="KHD74" s="178"/>
      <c r="KHE74" s="179"/>
      <c r="KHF74"/>
      <c r="KHG74" s="180"/>
      <c r="KHH74"/>
      <c r="KHI74" s="172"/>
      <c r="KHJ74" s="181"/>
      <c r="KHK74"/>
      <c r="KHL74" s="174"/>
      <c r="KHM74" s="175"/>
      <c r="KHN74" s="176"/>
      <c r="KHO74" s="176"/>
      <c r="KHP74" s="175"/>
      <c r="KHQ74" s="177"/>
      <c r="KHR74" s="175"/>
      <c r="KHS74" s="177"/>
      <c r="KHT74" s="178"/>
      <c r="KHU74" s="179"/>
      <c r="KHV74"/>
      <c r="KHW74" s="180"/>
      <c r="KHX74"/>
      <c r="KHY74" s="172"/>
      <c r="KHZ74" s="181"/>
      <c r="KIA74"/>
      <c r="KIB74" s="174"/>
      <c r="KIC74" s="175"/>
      <c r="KID74" s="176"/>
      <c r="KIE74" s="176"/>
      <c r="KIF74" s="175"/>
      <c r="KIG74" s="177"/>
      <c r="KIH74" s="175"/>
      <c r="KII74" s="177"/>
      <c r="KIJ74" s="178"/>
      <c r="KIK74" s="179"/>
      <c r="KIL74"/>
      <c r="KIM74" s="180"/>
      <c r="KIN74"/>
      <c r="KIO74" s="172"/>
      <c r="KIP74" s="181"/>
      <c r="KIQ74"/>
      <c r="KIR74" s="174"/>
      <c r="KIS74" s="175"/>
      <c r="KIT74" s="176"/>
      <c r="KIU74" s="176"/>
      <c r="KIV74" s="175"/>
      <c r="KIW74" s="177"/>
      <c r="KIX74" s="175"/>
      <c r="KIY74" s="177"/>
      <c r="KIZ74" s="178"/>
      <c r="KJA74" s="179"/>
      <c r="KJB74"/>
      <c r="KJC74" s="180"/>
      <c r="KJD74"/>
      <c r="KJE74" s="172"/>
      <c r="KJF74" s="181"/>
      <c r="KJG74"/>
      <c r="KJH74" s="174"/>
      <c r="KJI74" s="175"/>
      <c r="KJJ74" s="176"/>
      <c r="KJK74" s="176"/>
      <c r="KJL74" s="175"/>
      <c r="KJM74" s="177"/>
      <c r="KJN74" s="175"/>
      <c r="KJO74" s="177"/>
      <c r="KJP74" s="178"/>
      <c r="KJQ74" s="179"/>
      <c r="KJR74"/>
      <c r="KJS74" s="180"/>
      <c r="KJT74"/>
      <c r="KJU74" s="172"/>
      <c r="KJV74" s="181"/>
      <c r="KJW74"/>
      <c r="KJX74" s="174"/>
      <c r="KJY74" s="175"/>
      <c r="KJZ74" s="176"/>
      <c r="KKA74" s="176"/>
      <c r="KKB74" s="175"/>
      <c r="KKC74" s="177"/>
      <c r="KKD74" s="175"/>
      <c r="KKE74" s="177"/>
      <c r="KKF74" s="178"/>
      <c r="KKG74" s="179"/>
      <c r="KKH74"/>
      <c r="KKI74" s="180"/>
      <c r="KKJ74"/>
      <c r="KKK74" s="172"/>
      <c r="KKL74" s="181"/>
      <c r="KKM74"/>
      <c r="KKN74" s="174"/>
      <c r="KKO74" s="175"/>
      <c r="KKP74" s="176"/>
      <c r="KKQ74" s="176"/>
      <c r="KKR74" s="175"/>
      <c r="KKS74" s="177"/>
      <c r="KKT74" s="175"/>
      <c r="KKU74" s="177"/>
      <c r="KKV74" s="178"/>
      <c r="KKW74" s="179"/>
      <c r="KKX74"/>
      <c r="KKY74" s="180"/>
      <c r="KKZ74"/>
      <c r="KLA74" s="172"/>
      <c r="KLB74" s="181"/>
      <c r="KLC74"/>
      <c r="KLD74" s="174"/>
      <c r="KLE74" s="175"/>
      <c r="KLF74" s="176"/>
      <c r="KLG74" s="176"/>
      <c r="KLH74" s="175"/>
      <c r="KLI74" s="177"/>
      <c r="KLJ74" s="175"/>
      <c r="KLK74" s="177"/>
      <c r="KLL74" s="178"/>
      <c r="KLM74" s="179"/>
      <c r="KLN74"/>
      <c r="KLO74" s="180"/>
      <c r="KLP74"/>
      <c r="KLQ74" s="172"/>
      <c r="KLR74" s="181"/>
      <c r="KLS74"/>
      <c r="KLT74" s="174"/>
      <c r="KLU74" s="175"/>
      <c r="KLV74" s="176"/>
      <c r="KLW74" s="176"/>
      <c r="KLX74" s="175"/>
      <c r="KLY74" s="177"/>
      <c r="KLZ74" s="175"/>
      <c r="KMA74" s="177"/>
      <c r="KMB74" s="178"/>
      <c r="KMC74" s="179"/>
      <c r="KMD74"/>
      <c r="KME74" s="180"/>
      <c r="KMF74"/>
      <c r="KMG74" s="172"/>
      <c r="KMH74" s="181"/>
      <c r="KMI74"/>
      <c r="KMJ74" s="174"/>
      <c r="KMK74" s="175"/>
      <c r="KML74" s="176"/>
      <c r="KMM74" s="176"/>
      <c r="KMN74" s="175"/>
      <c r="KMO74" s="177"/>
      <c r="KMP74" s="175"/>
      <c r="KMQ74" s="177"/>
      <c r="KMR74" s="178"/>
      <c r="KMS74" s="179"/>
      <c r="KMT74"/>
      <c r="KMU74" s="180"/>
      <c r="KMV74"/>
      <c r="KMW74" s="172"/>
      <c r="KMX74" s="181"/>
      <c r="KMY74"/>
      <c r="KMZ74" s="174"/>
      <c r="KNA74" s="175"/>
      <c r="KNB74" s="176"/>
      <c r="KNC74" s="176"/>
      <c r="KND74" s="175"/>
      <c r="KNE74" s="177"/>
      <c r="KNF74" s="175"/>
      <c r="KNG74" s="177"/>
      <c r="KNH74" s="178"/>
      <c r="KNI74" s="179"/>
      <c r="KNJ74"/>
      <c r="KNK74" s="180"/>
      <c r="KNL74"/>
      <c r="KNM74" s="172"/>
      <c r="KNN74" s="181"/>
      <c r="KNO74"/>
      <c r="KNP74" s="174"/>
      <c r="KNQ74" s="175"/>
      <c r="KNR74" s="176"/>
      <c r="KNS74" s="176"/>
      <c r="KNT74" s="175"/>
      <c r="KNU74" s="177"/>
      <c r="KNV74" s="175"/>
      <c r="KNW74" s="177"/>
      <c r="KNX74" s="178"/>
      <c r="KNY74" s="179"/>
      <c r="KNZ74"/>
      <c r="KOA74" s="180"/>
      <c r="KOB74"/>
      <c r="KOC74" s="172"/>
      <c r="KOD74" s="181"/>
      <c r="KOE74"/>
      <c r="KOF74" s="174"/>
      <c r="KOG74" s="175"/>
      <c r="KOH74" s="176"/>
      <c r="KOI74" s="176"/>
      <c r="KOJ74" s="175"/>
      <c r="KOK74" s="177"/>
      <c r="KOL74" s="175"/>
      <c r="KOM74" s="177"/>
      <c r="KON74" s="178"/>
      <c r="KOO74" s="179"/>
      <c r="KOP74"/>
      <c r="KOQ74" s="180"/>
      <c r="KOR74"/>
      <c r="KOS74" s="172"/>
      <c r="KOT74" s="181"/>
      <c r="KOU74"/>
      <c r="KOV74" s="174"/>
      <c r="KOW74" s="175"/>
      <c r="KOX74" s="176"/>
      <c r="KOY74" s="176"/>
      <c r="KOZ74" s="175"/>
      <c r="KPA74" s="177"/>
      <c r="KPB74" s="175"/>
      <c r="KPC74" s="177"/>
      <c r="KPD74" s="178"/>
      <c r="KPE74" s="179"/>
      <c r="KPF74"/>
      <c r="KPG74" s="180"/>
      <c r="KPH74"/>
      <c r="KPI74" s="172"/>
      <c r="KPJ74" s="181"/>
      <c r="KPK74"/>
      <c r="KPL74" s="174"/>
      <c r="KPM74" s="175"/>
      <c r="KPN74" s="176"/>
      <c r="KPO74" s="176"/>
      <c r="KPP74" s="175"/>
      <c r="KPQ74" s="177"/>
      <c r="KPR74" s="175"/>
      <c r="KPS74" s="177"/>
      <c r="KPT74" s="178"/>
      <c r="KPU74" s="179"/>
      <c r="KPV74"/>
      <c r="KPW74" s="180"/>
      <c r="KPX74"/>
      <c r="KPY74" s="172"/>
      <c r="KPZ74" s="181"/>
      <c r="KQA74"/>
      <c r="KQB74" s="174"/>
      <c r="KQC74" s="175"/>
      <c r="KQD74" s="176"/>
      <c r="KQE74" s="176"/>
      <c r="KQF74" s="175"/>
      <c r="KQG74" s="177"/>
      <c r="KQH74" s="175"/>
      <c r="KQI74" s="177"/>
      <c r="KQJ74" s="178"/>
      <c r="KQK74" s="179"/>
      <c r="KQL74"/>
      <c r="KQM74" s="180"/>
      <c r="KQN74"/>
      <c r="KQO74" s="172"/>
      <c r="KQP74" s="181"/>
      <c r="KQQ74"/>
      <c r="KQR74" s="174"/>
      <c r="KQS74" s="175"/>
      <c r="KQT74" s="176"/>
      <c r="KQU74" s="176"/>
      <c r="KQV74" s="175"/>
      <c r="KQW74" s="177"/>
      <c r="KQX74" s="175"/>
      <c r="KQY74" s="177"/>
      <c r="KQZ74" s="178"/>
      <c r="KRA74" s="179"/>
      <c r="KRB74"/>
      <c r="KRC74" s="180"/>
      <c r="KRD74"/>
      <c r="KRE74" s="172"/>
      <c r="KRF74" s="181"/>
      <c r="KRG74"/>
      <c r="KRH74" s="174"/>
      <c r="KRI74" s="175"/>
      <c r="KRJ74" s="176"/>
      <c r="KRK74" s="176"/>
      <c r="KRL74" s="175"/>
      <c r="KRM74" s="177"/>
      <c r="KRN74" s="175"/>
      <c r="KRO74" s="177"/>
      <c r="KRP74" s="178"/>
      <c r="KRQ74" s="179"/>
      <c r="KRR74"/>
      <c r="KRS74" s="180"/>
      <c r="KRT74"/>
      <c r="KRU74" s="172"/>
      <c r="KRV74" s="181"/>
      <c r="KRW74"/>
      <c r="KRX74" s="174"/>
      <c r="KRY74" s="175"/>
      <c r="KRZ74" s="176"/>
      <c r="KSA74" s="176"/>
      <c r="KSB74" s="175"/>
      <c r="KSC74" s="177"/>
      <c r="KSD74" s="175"/>
      <c r="KSE74" s="177"/>
      <c r="KSF74" s="178"/>
      <c r="KSG74" s="179"/>
      <c r="KSH74"/>
      <c r="KSI74" s="180"/>
      <c r="KSJ74"/>
      <c r="KSK74" s="172"/>
      <c r="KSL74" s="181"/>
      <c r="KSM74"/>
      <c r="KSN74" s="174"/>
      <c r="KSO74" s="175"/>
      <c r="KSP74" s="176"/>
      <c r="KSQ74" s="176"/>
      <c r="KSR74" s="175"/>
      <c r="KSS74" s="177"/>
      <c r="KST74" s="175"/>
      <c r="KSU74" s="177"/>
      <c r="KSV74" s="178"/>
      <c r="KSW74" s="179"/>
      <c r="KSX74"/>
      <c r="KSY74" s="180"/>
      <c r="KSZ74"/>
      <c r="KTA74" s="172"/>
      <c r="KTB74" s="181"/>
      <c r="KTC74"/>
      <c r="KTD74" s="174"/>
      <c r="KTE74" s="175"/>
      <c r="KTF74" s="176"/>
      <c r="KTG74" s="176"/>
      <c r="KTH74" s="175"/>
      <c r="KTI74" s="177"/>
      <c r="KTJ74" s="175"/>
      <c r="KTK74" s="177"/>
      <c r="KTL74" s="178"/>
      <c r="KTM74" s="179"/>
      <c r="KTN74"/>
      <c r="KTO74" s="180"/>
      <c r="KTP74"/>
      <c r="KTQ74" s="172"/>
      <c r="KTR74" s="181"/>
      <c r="KTS74"/>
      <c r="KTT74" s="174"/>
      <c r="KTU74" s="175"/>
      <c r="KTV74" s="176"/>
      <c r="KTW74" s="176"/>
      <c r="KTX74" s="175"/>
      <c r="KTY74" s="177"/>
      <c r="KTZ74" s="175"/>
      <c r="KUA74" s="177"/>
      <c r="KUB74" s="178"/>
      <c r="KUC74" s="179"/>
      <c r="KUD74"/>
      <c r="KUE74" s="180"/>
      <c r="KUF74"/>
      <c r="KUG74" s="172"/>
      <c r="KUH74" s="181"/>
      <c r="KUI74"/>
      <c r="KUJ74" s="174"/>
      <c r="KUK74" s="175"/>
      <c r="KUL74" s="176"/>
      <c r="KUM74" s="176"/>
      <c r="KUN74" s="175"/>
      <c r="KUO74" s="177"/>
      <c r="KUP74" s="175"/>
      <c r="KUQ74" s="177"/>
      <c r="KUR74" s="178"/>
      <c r="KUS74" s="179"/>
      <c r="KUT74"/>
      <c r="KUU74" s="180"/>
      <c r="KUV74"/>
      <c r="KUW74" s="172"/>
      <c r="KUX74" s="181"/>
      <c r="KUY74"/>
      <c r="KUZ74" s="174"/>
      <c r="KVA74" s="175"/>
      <c r="KVB74" s="176"/>
      <c r="KVC74" s="176"/>
      <c r="KVD74" s="175"/>
      <c r="KVE74" s="177"/>
      <c r="KVF74" s="175"/>
      <c r="KVG74" s="177"/>
      <c r="KVH74" s="178"/>
      <c r="KVI74" s="179"/>
      <c r="KVJ74"/>
      <c r="KVK74" s="180"/>
      <c r="KVL74"/>
      <c r="KVM74" s="172"/>
      <c r="KVN74" s="181"/>
      <c r="KVO74"/>
      <c r="KVP74" s="174"/>
      <c r="KVQ74" s="175"/>
      <c r="KVR74" s="176"/>
      <c r="KVS74" s="176"/>
      <c r="KVT74" s="175"/>
      <c r="KVU74" s="177"/>
      <c r="KVV74" s="175"/>
      <c r="KVW74" s="177"/>
      <c r="KVX74" s="178"/>
      <c r="KVY74" s="179"/>
      <c r="KVZ74"/>
      <c r="KWA74" s="180"/>
      <c r="KWB74"/>
      <c r="KWC74" s="172"/>
      <c r="KWD74" s="181"/>
      <c r="KWE74"/>
      <c r="KWF74" s="174"/>
      <c r="KWG74" s="175"/>
      <c r="KWH74" s="176"/>
      <c r="KWI74" s="176"/>
      <c r="KWJ74" s="175"/>
      <c r="KWK74" s="177"/>
      <c r="KWL74" s="175"/>
      <c r="KWM74" s="177"/>
      <c r="KWN74" s="178"/>
      <c r="KWO74" s="179"/>
      <c r="KWP74"/>
      <c r="KWQ74" s="180"/>
      <c r="KWR74"/>
      <c r="KWS74" s="172"/>
      <c r="KWT74" s="181"/>
      <c r="KWU74"/>
      <c r="KWV74" s="174"/>
      <c r="KWW74" s="175"/>
      <c r="KWX74" s="176"/>
      <c r="KWY74" s="176"/>
      <c r="KWZ74" s="175"/>
      <c r="KXA74" s="177"/>
      <c r="KXB74" s="175"/>
      <c r="KXC74" s="177"/>
      <c r="KXD74" s="178"/>
      <c r="KXE74" s="179"/>
      <c r="KXF74"/>
      <c r="KXG74" s="180"/>
      <c r="KXH74"/>
      <c r="KXI74" s="172"/>
      <c r="KXJ74" s="181"/>
      <c r="KXK74"/>
      <c r="KXL74" s="174"/>
      <c r="KXM74" s="175"/>
      <c r="KXN74" s="176"/>
      <c r="KXO74" s="176"/>
      <c r="KXP74" s="175"/>
      <c r="KXQ74" s="177"/>
      <c r="KXR74" s="175"/>
      <c r="KXS74" s="177"/>
      <c r="KXT74" s="178"/>
      <c r="KXU74" s="179"/>
      <c r="KXV74"/>
      <c r="KXW74" s="180"/>
      <c r="KXX74"/>
      <c r="KXY74" s="172"/>
      <c r="KXZ74" s="181"/>
      <c r="KYA74"/>
      <c r="KYB74" s="174"/>
      <c r="KYC74" s="175"/>
      <c r="KYD74" s="176"/>
      <c r="KYE74" s="176"/>
      <c r="KYF74" s="175"/>
      <c r="KYG74" s="177"/>
      <c r="KYH74" s="175"/>
      <c r="KYI74" s="177"/>
      <c r="KYJ74" s="178"/>
      <c r="KYK74" s="179"/>
      <c r="KYL74"/>
      <c r="KYM74" s="180"/>
      <c r="KYN74"/>
      <c r="KYO74" s="172"/>
      <c r="KYP74" s="181"/>
      <c r="KYQ74"/>
      <c r="KYR74" s="174"/>
      <c r="KYS74" s="175"/>
      <c r="KYT74" s="176"/>
      <c r="KYU74" s="176"/>
      <c r="KYV74" s="175"/>
      <c r="KYW74" s="177"/>
      <c r="KYX74" s="175"/>
      <c r="KYY74" s="177"/>
      <c r="KYZ74" s="178"/>
      <c r="KZA74" s="179"/>
      <c r="KZB74"/>
      <c r="KZC74" s="180"/>
      <c r="KZD74"/>
      <c r="KZE74" s="172"/>
      <c r="KZF74" s="181"/>
      <c r="KZG74"/>
      <c r="KZH74" s="174"/>
      <c r="KZI74" s="175"/>
      <c r="KZJ74" s="176"/>
      <c r="KZK74" s="176"/>
      <c r="KZL74" s="175"/>
      <c r="KZM74" s="177"/>
      <c r="KZN74" s="175"/>
      <c r="KZO74" s="177"/>
      <c r="KZP74" s="178"/>
      <c r="KZQ74" s="179"/>
      <c r="KZR74"/>
      <c r="KZS74" s="180"/>
      <c r="KZT74"/>
      <c r="KZU74" s="172"/>
      <c r="KZV74" s="181"/>
      <c r="KZW74"/>
      <c r="KZX74" s="174"/>
      <c r="KZY74" s="175"/>
      <c r="KZZ74" s="176"/>
      <c r="LAA74" s="176"/>
      <c r="LAB74" s="175"/>
      <c r="LAC74" s="177"/>
      <c r="LAD74" s="175"/>
      <c r="LAE74" s="177"/>
      <c r="LAF74" s="178"/>
      <c r="LAG74" s="179"/>
      <c r="LAH74"/>
      <c r="LAI74" s="180"/>
      <c r="LAJ74"/>
      <c r="LAK74" s="172"/>
      <c r="LAL74" s="181"/>
      <c r="LAM74"/>
      <c r="LAN74" s="174"/>
      <c r="LAO74" s="175"/>
      <c r="LAP74" s="176"/>
      <c r="LAQ74" s="176"/>
      <c r="LAR74" s="175"/>
      <c r="LAS74" s="177"/>
      <c r="LAT74" s="175"/>
      <c r="LAU74" s="177"/>
      <c r="LAV74" s="178"/>
      <c r="LAW74" s="179"/>
      <c r="LAX74"/>
      <c r="LAY74" s="180"/>
      <c r="LAZ74"/>
      <c r="LBA74" s="172"/>
      <c r="LBB74" s="181"/>
      <c r="LBC74"/>
      <c r="LBD74" s="174"/>
      <c r="LBE74" s="175"/>
      <c r="LBF74" s="176"/>
      <c r="LBG74" s="176"/>
      <c r="LBH74" s="175"/>
      <c r="LBI74" s="177"/>
      <c r="LBJ74" s="175"/>
      <c r="LBK74" s="177"/>
      <c r="LBL74" s="178"/>
      <c r="LBM74" s="179"/>
      <c r="LBN74"/>
      <c r="LBO74" s="180"/>
      <c r="LBP74"/>
      <c r="LBQ74" s="172"/>
      <c r="LBR74" s="181"/>
      <c r="LBS74"/>
      <c r="LBT74" s="174"/>
      <c r="LBU74" s="175"/>
      <c r="LBV74" s="176"/>
      <c r="LBW74" s="176"/>
      <c r="LBX74" s="175"/>
      <c r="LBY74" s="177"/>
      <c r="LBZ74" s="175"/>
      <c r="LCA74" s="177"/>
      <c r="LCB74" s="178"/>
      <c r="LCC74" s="179"/>
      <c r="LCD74"/>
      <c r="LCE74" s="180"/>
      <c r="LCF74"/>
      <c r="LCG74" s="172"/>
      <c r="LCH74" s="181"/>
      <c r="LCI74"/>
      <c r="LCJ74" s="174"/>
      <c r="LCK74" s="175"/>
      <c r="LCL74" s="176"/>
      <c r="LCM74" s="176"/>
      <c r="LCN74" s="175"/>
      <c r="LCO74" s="177"/>
      <c r="LCP74" s="175"/>
      <c r="LCQ74" s="177"/>
      <c r="LCR74" s="178"/>
      <c r="LCS74" s="179"/>
      <c r="LCT74"/>
      <c r="LCU74" s="180"/>
      <c r="LCV74"/>
      <c r="LCW74" s="172"/>
      <c r="LCX74" s="181"/>
      <c r="LCY74"/>
      <c r="LCZ74" s="174"/>
      <c r="LDA74" s="175"/>
      <c r="LDB74" s="176"/>
      <c r="LDC74" s="176"/>
      <c r="LDD74" s="175"/>
      <c r="LDE74" s="177"/>
      <c r="LDF74" s="175"/>
      <c r="LDG74" s="177"/>
      <c r="LDH74" s="178"/>
      <c r="LDI74" s="179"/>
      <c r="LDJ74"/>
      <c r="LDK74" s="180"/>
      <c r="LDL74"/>
      <c r="LDM74" s="172"/>
      <c r="LDN74" s="181"/>
      <c r="LDO74"/>
      <c r="LDP74" s="174"/>
      <c r="LDQ74" s="175"/>
      <c r="LDR74" s="176"/>
      <c r="LDS74" s="176"/>
      <c r="LDT74" s="175"/>
      <c r="LDU74" s="177"/>
      <c r="LDV74" s="175"/>
      <c r="LDW74" s="177"/>
      <c r="LDX74" s="178"/>
      <c r="LDY74" s="179"/>
      <c r="LDZ74"/>
      <c r="LEA74" s="180"/>
      <c r="LEB74"/>
      <c r="LEC74" s="172"/>
      <c r="LED74" s="181"/>
      <c r="LEE74"/>
      <c r="LEF74" s="174"/>
      <c r="LEG74" s="175"/>
      <c r="LEH74" s="176"/>
      <c r="LEI74" s="176"/>
      <c r="LEJ74" s="175"/>
      <c r="LEK74" s="177"/>
      <c r="LEL74" s="175"/>
      <c r="LEM74" s="177"/>
      <c r="LEN74" s="178"/>
      <c r="LEO74" s="179"/>
      <c r="LEP74"/>
      <c r="LEQ74" s="180"/>
      <c r="LER74"/>
      <c r="LES74" s="172"/>
      <c r="LET74" s="181"/>
      <c r="LEU74"/>
      <c r="LEV74" s="174"/>
      <c r="LEW74" s="175"/>
      <c r="LEX74" s="176"/>
      <c r="LEY74" s="176"/>
      <c r="LEZ74" s="175"/>
      <c r="LFA74" s="177"/>
      <c r="LFB74" s="175"/>
      <c r="LFC74" s="177"/>
      <c r="LFD74" s="178"/>
      <c r="LFE74" s="179"/>
      <c r="LFF74"/>
      <c r="LFG74" s="180"/>
      <c r="LFH74"/>
      <c r="LFI74" s="172"/>
      <c r="LFJ74" s="181"/>
      <c r="LFK74"/>
      <c r="LFL74" s="174"/>
      <c r="LFM74" s="175"/>
      <c r="LFN74" s="176"/>
      <c r="LFO74" s="176"/>
      <c r="LFP74" s="175"/>
      <c r="LFQ74" s="177"/>
      <c r="LFR74" s="175"/>
      <c r="LFS74" s="177"/>
      <c r="LFT74" s="178"/>
      <c r="LFU74" s="179"/>
      <c r="LFV74"/>
      <c r="LFW74" s="180"/>
      <c r="LFX74"/>
      <c r="LFY74" s="172"/>
      <c r="LFZ74" s="181"/>
      <c r="LGA74"/>
      <c r="LGB74" s="174"/>
      <c r="LGC74" s="175"/>
      <c r="LGD74" s="176"/>
      <c r="LGE74" s="176"/>
      <c r="LGF74" s="175"/>
      <c r="LGG74" s="177"/>
      <c r="LGH74" s="175"/>
      <c r="LGI74" s="177"/>
      <c r="LGJ74" s="178"/>
      <c r="LGK74" s="179"/>
      <c r="LGL74"/>
      <c r="LGM74" s="180"/>
      <c r="LGN74"/>
      <c r="LGO74" s="172"/>
      <c r="LGP74" s="181"/>
      <c r="LGQ74"/>
      <c r="LGR74" s="174"/>
      <c r="LGS74" s="175"/>
      <c r="LGT74" s="176"/>
      <c r="LGU74" s="176"/>
      <c r="LGV74" s="175"/>
      <c r="LGW74" s="177"/>
      <c r="LGX74" s="175"/>
      <c r="LGY74" s="177"/>
      <c r="LGZ74" s="178"/>
      <c r="LHA74" s="179"/>
      <c r="LHB74"/>
      <c r="LHC74" s="180"/>
      <c r="LHD74"/>
      <c r="LHE74" s="172"/>
      <c r="LHF74" s="181"/>
      <c r="LHG74"/>
      <c r="LHH74" s="174"/>
      <c r="LHI74" s="175"/>
      <c r="LHJ74" s="176"/>
      <c r="LHK74" s="176"/>
      <c r="LHL74" s="175"/>
      <c r="LHM74" s="177"/>
      <c r="LHN74" s="175"/>
      <c r="LHO74" s="177"/>
      <c r="LHP74" s="178"/>
      <c r="LHQ74" s="179"/>
      <c r="LHR74"/>
      <c r="LHS74" s="180"/>
      <c r="LHT74"/>
      <c r="LHU74" s="172"/>
      <c r="LHV74" s="181"/>
      <c r="LHW74"/>
      <c r="LHX74" s="174"/>
      <c r="LHY74" s="175"/>
      <c r="LHZ74" s="176"/>
      <c r="LIA74" s="176"/>
      <c r="LIB74" s="175"/>
      <c r="LIC74" s="177"/>
      <c r="LID74" s="175"/>
      <c r="LIE74" s="177"/>
      <c r="LIF74" s="178"/>
      <c r="LIG74" s="179"/>
      <c r="LIH74"/>
      <c r="LII74" s="180"/>
      <c r="LIJ74"/>
      <c r="LIK74" s="172"/>
      <c r="LIL74" s="181"/>
      <c r="LIM74"/>
      <c r="LIN74" s="174"/>
      <c r="LIO74" s="175"/>
      <c r="LIP74" s="176"/>
      <c r="LIQ74" s="176"/>
      <c r="LIR74" s="175"/>
      <c r="LIS74" s="177"/>
      <c r="LIT74" s="175"/>
      <c r="LIU74" s="177"/>
      <c r="LIV74" s="178"/>
      <c r="LIW74" s="179"/>
      <c r="LIX74"/>
      <c r="LIY74" s="180"/>
      <c r="LIZ74"/>
      <c r="LJA74" s="172"/>
      <c r="LJB74" s="181"/>
      <c r="LJC74"/>
      <c r="LJD74" s="174"/>
      <c r="LJE74" s="175"/>
      <c r="LJF74" s="176"/>
      <c r="LJG74" s="176"/>
      <c r="LJH74" s="175"/>
      <c r="LJI74" s="177"/>
      <c r="LJJ74" s="175"/>
      <c r="LJK74" s="177"/>
      <c r="LJL74" s="178"/>
      <c r="LJM74" s="179"/>
      <c r="LJN74"/>
      <c r="LJO74" s="180"/>
      <c r="LJP74"/>
      <c r="LJQ74" s="172"/>
      <c r="LJR74" s="181"/>
      <c r="LJS74"/>
      <c r="LJT74" s="174"/>
      <c r="LJU74" s="175"/>
      <c r="LJV74" s="176"/>
      <c r="LJW74" s="176"/>
      <c r="LJX74" s="175"/>
      <c r="LJY74" s="177"/>
      <c r="LJZ74" s="175"/>
      <c r="LKA74" s="177"/>
      <c r="LKB74" s="178"/>
      <c r="LKC74" s="179"/>
      <c r="LKD74"/>
      <c r="LKE74" s="180"/>
      <c r="LKF74"/>
      <c r="LKG74" s="172"/>
      <c r="LKH74" s="181"/>
      <c r="LKI74"/>
      <c r="LKJ74" s="174"/>
      <c r="LKK74" s="175"/>
      <c r="LKL74" s="176"/>
      <c r="LKM74" s="176"/>
      <c r="LKN74" s="175"/>
      <c r="LKO74" s="177"/>
      <c r="LKP74" s="175"/>
      <c r="LKQ74" s="177"/>
      <c r="LKR74" s="178"/>
      <c r="LKS74" s="179"/>
      <c r="LKT74"/>
      <c r="LKU74" s="180"/>
      <c r="LKV74"/>
      <c r="LKW74" s="172"/>
      <c r="LKX74" s="181"/>
      <c r="LKY74"/>
      <c r="LKZ74" s="174"/>
      <c r="LLA74" s="175"/>
      <c r="LLB74" s="176"/>
      <c r="LLC74" s="176"/>
      <c r="LLD74" s="175"/>
      <c r="LLE74" s="177"/>
      <c r="LLF74" s="175"/>
      <c r="LLG74" s="177"/>
      <c r="LLH74" s="178"/>
      <c r="LLI74" s="179"/>
      <c r="LLJ74"/>
      <c r="LLK74" s="180"/>
      <c r="LLL74"/>
      <c r="LLM74" s="172"/>
      <c r="LLN74" s="181"/>
      <c r="LLO74"/>
      <c r="LLP74" s="174"/>
      <c r="LLQ74" s="175"/>
      <c r="LLR74" s="176"/>
      <c r="LLS74" s="176"/>
      <c r="LLT74" s="175"/>
      <c r="LLU74" s="177"/>
      <c r="LLV74" s="175"/>
      <c r="LLW74" s="177"/>
      <c r="LLX74" s="178"/>
      <c r="LLY74" s="179"/>
      <c r="LLZ74"/>
      <c r="LMA74" s="180"/>
      <c r="LMB74"/>
      <c r="LMC74" s="172"/>
      <c r="LMD74" s="181"/>
      <c r="LME74"/>
      <c r="LMF74" s="174"/>
      <c r="LMG74" s="175"/>
      <c r="LMH74" s="176"/>
      <c r="LMI74" s="176"/>
      <c r="LMJ74" s="175"/>
      <c r="LMK74" s="177"/>
      <c r="LML74" s="175"/>
      <c r="LMM74" s="177"/>
      <c r="LMN74" s="178"/>
      <c r="LMO74" s="179"/>
      <c r="LMP74"/>
      <c r="LMQ74" s="180"/>
      <c r="LMR74"/>
      <c r="LMS74" s="172"/>
      <c r="LMT74" s="181"/>
      <c r="LMU74"/>
      <c r="LMV74" s="174"/>
      <c r="LMW74" s="175"/>
      <c r="LMX74" s="176"/>
      <c r="LMY74" s="176"/>
      <c r="LMZ74" s="175"/>
      <c r="LNA74" s="177"/>
      <c r="LNB74" s="175"/>
      <c r="LNC74" s="177"/>
      <c r="LND74" s="178"/>
      <c r="LNE74" s="179"/>
      <c r="LNF74"/>
      <c r="LNG74" s="180"/>
      <c r="LNH74"/>
      <c r="LNI74" s="172"/>
      <c r="LNJ74" s="181"/>
      <c r="LNK74"/>
      <c r="LNL74" s="174"/>
      <c r="LNM74" s="175"/>
      <c r="LNN74" s="176"/>
      <c r="LNO74" s="176"/>
      <c r="LNP74" s="175"/>
      <c r="LNQ74" s="177"/>
      <c r="LNR74" s="175"/>
      <c r="LNS74" s="177"/>
      <c r="LNT74" s="178"/>
      <c r="LNU74" s="179"/>
      <c r="LNV74"/>
      <c r="LNW74" s="180"/>
      <c r="LNX74"/>
      <c r="LNY74" s="172"/>
      <c r="LNZ74" s="181"/>
      <c r="LOA74"/>
      <c r="LOB74" s="174"/>
      <c r="LOC74" s="175"/>
      <c r="LOD74" s="176"/>
      <c r="LOE74" s="176"/>
      <c r="LOF74" s="175"/>
      <c r="LOG74" s="177"/>
      <c r="LOH74" s="175"/>
      <c r="LOI74" s="177"/>
      <c r="LOJ74" s="178"/>
      <c r="LOK74" s="179"/>
      <c r="LOL74"/>
      <c r="LOM74" s="180"/>
      <c r="LON74"/>
      <c r="LOO74" s="172"/>
      <c r="LOP74" s="181"/>
      <c r="LOQ74"/>
      <c r="LOR74" s="174"/>
      <c r="LOS74" s="175"/>
      <c r="LOT74" s="176"/>
      <c r="LOU74" s="176"/>
      <c r="LOV74" s="175"/>
      <c r="LOW74" s="177"/>
      <c r="LOX74" s="175"/>
      <c r="LOY74" s="177"/>
      <c r="LOZ74" s="178"/>
      <c r="LPA74" s="179"/>
      <c r="LPB74"/>
      <c r="LPC74" s="180"/>
      <c r="LPD74"/>
      <c r="LPE74" s="172"/>
      <c r="LPF74" s="181"/>
      <c r="LPG74"/>
      <c r="LPH74" s="174"/>
      <c r="LPI74" s="175"/>
      <c r="LPJ74" s="176"/>
      <c r="LPK74" s="176"/>
      <c r="LPL74" s="175"/>
      <c r="LPM74" s="177"/>
      <c r="LPN74" s="175"/>
      <c r="LPO74" s="177"/>
      <c r="LPP74" s="178"/>
      <c r="LPQ74" s="179"/>
      <c r="LPR74"/>
      <c r="LPS74" s="180"/>
      <c r="LPT74"/>
      <c r="LPU74" s="172"/>
      <c r="LPV74" s="181"/>
      <c r="LPW74"/>
      <c r="LPX74" s="174"/>
      <c r="LPY74" s="175"/>
      <c r="LPZ74" s="176"/>
      <c r="LQA74" s="176"/>
      <c r="LQB74" s="175"/>
      <c r="LQC74" s="177"/>
      <c r="LQD74" s="175"/>
      <c r="LQE74" s="177"/>
      <c r="LQF74" s="178"/>
      <c r="LQG74" s="179"/>
      <c r="LQH74"/>
      <c r="LQI74" s="180"/>
      <c r="LQJ74"/>
      <c r="LQK74" s="172"/>
      <c r="LQL74" s="181"/>
      <c r="LQM74"/>
      <c r="LQN74" s="174"/>
      <c r="LQO74" s="175"/>
      <c r="LQP74" s="176"/>
      <c r="LQQ74" s="176"/>
      <c r="LQR74" s="175"/>
      <c r="LQS74" s="177"/>
      <c r="LQT74" s="175"/>
      <c r="LQU74" s="177"/>
      <c r="LQV74" s="178"/>
      <c r="LQW74" s="179"/>
      <c r="LQX74"/>
      <c r="LQY74" s="180"/>
      <c r="LQZ74"/>
      <c r="LRA74" s="172"/>
      <c r="LRB74" s="181"/>
      <c r="LRC74"/>
      <c r="LRD74" s="174"/>
      <c r="LRE74" s="175"/>
      <c r="LRF74" s="176"/>
      <c r="LRG74" s="176"/>
      <c r="LRH74" s="175"/>
      <c r="LRI74" s="177"/>
      <c r="LRJ74" s="175"/>
      <c r="LRK74" s="177"/>
      <c r="LRL74" s="178"/>
      <c r="LRM74" s="179"/>
      <c r="LRN74"/>
      <c r="LRO74" s="180"/>
      <c r="LRP74"/>
      <c r="LRQ74" s="172"/>
      <c r="LRR74" s="181"/>
      <c r="LRS74"/>
      <c r="LRT74" s="174"/>
      <c r="LRU74" s="175"/>
      <c r="LRV74" s="176"/>
      <c r="LRW74" s="176"/>
      <c r="LRX74" s="175"/>
      <c r="LRY74" s="177"/>
      <c r="LRZ74" s="175"/>
      <c r="LSA74" s="177"/>
      <c r="LSB74" s="178"/>
      <c r="LSC74" s="179"/>
      <c r="LSD74"/>
      <c r="LSE74" s="180"/>
      <c r="LSF74"/>
      <c r="LSG74" s="172"/>
      <c r="LSH74" s="181"/>
      <c r="LSI74"/>
      <c r="LSJ74" s="174"/>
      <c r="LSK74" s="175"/>
      <c r="LSL74" s="176"/>
      <c r="LSM74" s="176"/>
      <c r="LSN74" s="175"/>
      <c r="LSO74" s="177"/>
      <c r="LSP74" s="175"/>
      <c r="LSQ74" s="177"/>
      <c r="LSR74" s="178"/>
      <c r="LSS74" s="179"/>
      <c r="LST74"/>
      <c r="LSU74" s="180"/>
      <c r="LSV74"/>
      <c r="LSW74" s="172"/>
      <c r="LSX74" s="181"/>
      <c r="LSY74"/>
      <c r="LSZ74" s="174"/>
      <c r="LTA74" s="175"/>
      <c r="LTB74" s="176"/>
      <c r="LTC74" s="176"/>
      <c r="LTD74" s="175"/>
      <c r="LTE74" s="177"/>
      <c r="LTF74" s="175"/>
      <c r="LTG74" s="177"/>
      <c r="LTH74" s="178"/>
      <c r="LTI74" s="179"/>
      <c r="LTJ74"/>
      <c r="LTK74" s="180"/>
      <c r="LTL74"/>
      <c r="LTM74" s="172"/>
      <c r="LTN74" s="181"/>
      <c r="LTO74"/>
      <c r="LTP74" s="174"/>
      <c r="LTQ74" s="175"/>
      <c r="LTR74" s="176"/>
      <c r="LTS74" s="176"/>
      <c r="LTT74" s="175"/>
      <c r="LTU74" s="177"/>
      <c r="LTV74" s="175"/>
      <c r="LTW74" s="177"/>
      <c r="LTX74" s="178"/>
      <c r="LTY74" s="179"/>
      <c r="LTZ74"/>
      <c r="LUA74" s="180"/>
      <c r="LUB74"/>
      <c r="LUC74" s="172"/>
      <c r="LUD74" s="181"/>
      <c r="LUE74"/>
      <c r="LUF74" s="174"/>
      <c r="LUG74" s="175"/>
      <c r="LUH74" s="176"/>
      <c r="LUI74" s="176"/>
      <c r="LUJ74" s="175"/>
      <c r="LUK74" s="177"/>
      <c r="LUL74" s="175"/>
      <c r="LUM74" s="177"/>
      <c r="LUN74" s="178"/>
      <c r="LUO74" s="179"/>
      <c r="LUP74"/>
      <c r="LUQ74" s="180"/>
      <c r="LUR74"/>
      <c r="LUS74" s="172"/>
      <c r="LUT74" s="181"/>
      <c r="LUU74"/>
      <c r="LUV74" s="174"/>
      <c r="LUW74" s="175"/>
      <c r="LUX74" s="176"/>
      <c r="LUY74" s="176"/>
      <c r="LUZ74" s="175"/>
      <c r="LVA74" s="177"/>
      <c r="LVB74" s="175"/>
      <c r="LVC74" s="177"/>
      <c r="LVD74" s="178"/>
      <c r="LVE74" s="179"/>
      <c r="LVF74"/>
      <c r="LVG74" s="180"/>
      <c r="LVH74"/>
      <c r="LVI74" s="172"/>
      <c r="LVJ74" s="181"/>
      <c r="LVK74"/>
      <c r="LVL74" s="174"/>
      <c r="LVM74" s="175"/>
      <c r="LVN74" s="176"/>
      <c r="LVO74" s="176"/>
      <c r="LVP74" s="175"/>
      <c r="LVQ74" s="177"/>
      <c r="LVR74" s="175"/>
      <c r="LVS74" s="177"/>
      <c r="LVT74" s="178"/>
      <c r="LVU74" s="179"/>
      <c r="LVV74"/>
      <c r="LVW74" s="180"/>
      <c r="LVX74"/>
      <c r="LVY74" s="172"/>
      <c r="LVZ74" s="181"/>
      <c r="LWA74"/>
      <c r="LWB74" s="174"/>
      <c r="LWC74" s="175"/>
      <c r="LWD74" s="176"/>
      <c r="LWE74" s="176"/>
      <c r="LWF74" s="175"/>
      <c r="LWG74" s="177"/>
      <c r="LWH74" s="175"/>
      <c r="LWI74" s="177"/>
      <c r="LWJ74" s="178"/>
      <c r="LWK74" s="179"/>
      <c r="LWL74"/>
      <c r="LWM74" s="180"/>
      <c r="LWN74"/>
      <c r="LWO74" s="172"/>
      <c r="LWP74" s="181"/>
      <c r="LWQ74"/>
      <c r="LWR74" s="174"/>
      <c r="LWS74" s="175"/>
      <c r="LWT74" s="176"/>
      <c r="LWU74" s="176"/>
      <c r="LWV74" s="175"/>
      <c r="LWW74" s="177"/>
      <c r="LWX74" s="175"/>
      <c r="LWY74" s="177"/>
      <c r="LWZ74" s="178"/>
      <c r="LXA74" s="179"/>
      <c r="LXB74"/>
      <c r="LXC74" s="180"/>
      <c r="LXD74"/>
      <c r="LXE74" s="172"/>
      <c r="LXF74" s="181"/>
      <c r="LXG74"/>
      <c r="LXH74" s="174"/>
      <c r="LXI74" s="175"/>
      <c r="LXJ74" s="176"/>
      <c r="LXK74" s="176"/>
      <c r="LXL74" s="175"/>
      <c r="LXM74" s="177"/>
      <c r="LXN74" s="175"/>
      <c r="LXO74" s="177"/>
      <c r="LXP74" s="178"/>
      <c r="LXQ74" s="179"/>
      <c r="LXR74"/>
      <c r="LXS74" s="180"/>
      <c r="LXT74"/>
      <c r="LXU74" s="172"/>
      <c r="LXV74" s="181"/>
      <c r="LXW74"/>
      <c r="LXX74" s="174"/>
      <c r="LXY74" s="175"/>
      <c r="LXZ74" s="176"/>
      <c r="LYA74" s="176"/>
      <c r="LYB74" s="175"/>
      <c r="LYC74" s="177"/>
      <c r="LYD74" s="175"/>
      <c r="LYE74" s="177"/>
      <c r="LYF74" s="178"/>
      <c r="LYG74" s="179"/>
      <c r="LYH74"/>
      <c r="LYI74" s="180"/>
      <c r="LYJ74"/>
      <c r="LYK74" s="172"/>
      <c r="LYL74" s="181"/>
      <c r="LYM74"/>
      <c r="LYN74" s="174"/>
      <c r="LYO74" s="175"/>
      <c r="LYP74" s="176"/>
      <c r="LYQ74" s="176"/>
      <c r="LYR74" s="175"/>
      <c r="LYS74" s="177"/>
      <c r="LYT74" s="175"/>
      <c r="LYU74" s="177"/>
      <c r="LYV74" s="178"/>
      <c r="LYW74" s="179"/>
      <c r="LYX74"/>
      <c r="LYY74" s="180"/>
      <c r="LYZ74"/>
      <c r="LZA74" s="172"/>
      <c r="LZB74" s="181"/>
      <c r="LZC74"/>
      <c r="LZD74" s="174"/>
      <c r="LZE74" s="175"/>
      <c r="LZF74" s="176"/>
      <c r="LZG74" s="176"/>
      <c r="LZH74" s="175"/>
      <c r="LZI74" s="177"/>
      <c r="LZJ74" s="175"/>
      <c r="LZK74" s="177"/>
      <c r="LZL74" s="178"/>
      <c r="LZM74" s="179"/>
      <c r="LZN74"/>
      <c r="LZO74" s="180"/>
      <c r="LZP74"/>
      <c r="LZQ74" s="172"/>
      <c r="LZR74" s="181"/>
      <c r="LZS74"/>
      <c r="LZT74" s="174"/>
      <c r="LZU74" s="175"/>
      <c r="LZV74" s="176"/>
      <c r="LZW74" s="176"/>
      <c r="LZX74" s="175"/>
      <c r="LZY74" s="177"/>
      <c r="LZZ74" s="175"/>
      <c r="MAA74" s="177"/>
      <c r="MAB74" s="178"/>
      <c r="MAC74" s="179"/>
      <c r="MAD74"/>
      <c r="MAE74" s="180"/>
      <c r="MAF74"/>
      <c r="MAG74" s="172"/>
      <c r="MAH74" s="181"/>
      <c r="MAI74"/>
      <c r="MAJ74" s="174"/>
      <c r="MAK74" s="175"/>
      <c r="MAL74" s="176"/>
      <c r="MAM74" s="176"/>
      <c r="MAN74" s="175"/>
      <c r="MAO74" s="177"/>
      <c r="MAP74" s="175"/>
      <c r="MAQ74" s="177"/>
      <c r="MAR74" s="178"/>
      <c r="MAS74" s="179"/>
      <c r="MAT74"/>
      <c r="MAU74" s="180"/>
      <c r="MAV74"/>
      <c r="MAW74" s="172"/>
      <c r="MAX74" s="181"/>
      <c r="MAY74"/>
      <c r="MAZ74" s="174"/>
      <c r="MBA74" s="175"/>
      <c r="MBB74" s="176"/>
      <c r="MBC74" s="176"/>
      <c r="MBD74" s="175"/>
      <c r="MBE74" s="177"/>
      <c r="MBF74" s="175"/>
      <c r="MBG74" s="177"/>
      <c r="MBH74" s="178"/>
      <c r="MBI74" s="179"/>
      <c r="MBJ74"/>
      <c r="MBK74" s="180"/>
      <c r="MBL74"/>
      <c r="MBM74" s="172"/>
      <c r="MBN74" s="181"/>
      <c r="MBO74"/>
      <c r="MBP74" s="174"/>
      <c r="MBQ74" s="175"/>
      <c r="MBR74" s="176"/>
      <c r="MBS74" s="176"/>
      <c r="MBT74" s="175"/>
      <c r="MBU74" s="177"/>
      <c r="MBV74" s="175"/>
      <c r="MBW74" s="177"/>
      <c r="MBX74" s="178"/>
      <c r="MBY74" s="179"/>
      <c r="MBZ74"/>
      <c r="MCA74" s="180"/>
      <c r="MCB74"/>
      <c r="MCC74" s="172"/>
      <c r="MCD74" s="181"/>
      <c r="MCE74"/>
      <c r="MCF74" s="174"/>
      <c r="MCG74" s="175"/>
      <c r="MCH74" s="176"/>
      <c r="MCI74" s="176"/>
      <c r="MCJ74" s="175"/>
      <c r="MCK74" s="177"/>
      <c r="MCL74" s="175"/>
      <c r="MCM74" s="177"/>
      <c r="MCN74" s="178"/>
      <c r="MCO74" s="179"/>
      <c r="MCP74"/>
      <c r="MCQ74" s="180"/>
      <c r="MCR74"/>
      <c r="MCS74" s="172"/>
      <c r="MCT74" s="181"/>
      <c r="MCU74"/>
      <c r="MCV74" s="174"/>
      <c r="MCW74" s="175"/>
      <c r="MCX74" s="176"/>
      <c r="MCY74" s="176"/>
      <c r="MCZ74" s="175"/>
      <c r="MDA74" s="177"/>
      <c r="MDB74" s="175"/>
      <c r="MDC74" s="177"/>
      <c r="MDD74" s="178"/>
      <c r="MDE74" s="179"/>
      <c r="MDF74"/>
      <c r="MDG74" s="180"/>
      <c r="MDH74"/>
      <c r="MDI74" s="172"/>
      <c r="MDJ74" s="181"/>
      <c r="MDK74"/>
      <c r="MDL74" s="174"/>
      <c r="MDM74" s="175"/>
      <c r="MDN74" s="176"/>
      <c r="MDO74" s="176"/>
      <c r="MDP74" s="175"/>
      <c r="MDQ74" s="177"/>
      <c r="MDR74" s="175"/>
      <c r="MDS74" s="177"/>
      <c r="MDT74" s="178"/>
      <c r="MDU74" s="179"/>
      <c r="MDV74"/>
      <c r="MDW74" s="180"/>
      <c r="MDX74"/>
      <c r="MDY74" s="172"/>
      <c r="MDZ74" s="181"/>
      <c r="MEA74"/>
      <c r="MEB74" s="174"/>
      <c r="MEC74" s="175"/>
      <c r="MED74" s="176"/>
      <c r="MEE74" s="176"/>
      <c r="MEF74" s="175"/>
      <c r="MEG74" s="177"/>
      <c r="MEH74" s="175"/>
      <c r="MEI74" s="177"/>
      <c r="MEJ74" s="178"/>
      <c r="MEK74" s="179"/>
      <c r="MEL74"/>
      <c r="MEM74" s="180"/>
      <c r="MEN74"/>
      <c r="MEO74" s="172"/>
      <c r="MEP74" s="181"/>
      <c r="MEQ74"/>
      <c r="MER74" s="174"/>
      <c r="MES74" s="175"/>
      <c r="MET74" s="176"/>
      <c r="MEU74" s="176"/>
      <c r="MEV74" s="175"/>
      <c r="MEW74" s="177"/>
      <c r="MEX74" s="175"/>
      <c r="MEY74" s="177"/>
      <c r="MEZ74" s="178"/>
      <c r="MFA74" s="179"/>
      <c r="MFB74"/>
      <c r="MFC74" s="180"/>
      <c r="MFD74"/>
      <c r="MFE74" s="172"/>
      <c r="MFF74" s="181"/>
      <c r="MFG74"/>
      <c r="MFH74" s="174"/>
      <c r="MFI74" s="175"/>
      <c r="MFJ74" s="176"/>
      <c r="MFK74" s="176"/>
      <c r="MFL74" s="175"/>
      <c r="MFM74" s="177"/>
      <c r="MFN74" s="175"/>
      <c r="MFO74" s="177"/>
      <c r="MFP74" s="178"/>
      <c r="MFQ74" s="179"/>
      <c r="MFR74"/>
      <c r="MFS74" s="180"/>
      <c r="MFT74"/>
      <c r="MFU74" s="172"/>
      <c r="MFV74" s="181"/>
      <c r="MFW74"/>
      <c r="MFX74" s="174"/>
      <c r="MFY74" s="175"/>
      <c r="MFZ74" s="176"/>
      <c r="MGA74" s="176"/>
      <c r="MGB74" s="175"/>
      <c r="MGC74" s="177"/>
      <c r="MGD74" s="175"/>
      <c r="MGE74" s="177"/>
      <c r="MGF74" s="178"/>
      <c r="MGG74" s="179"/>
      <c r="MGH74"/>
      <c r="MGI74" s="180"/>
      <c r="MGJ74"/>
      <c r="MGK74" s="172"/>
      <c r="MGL74" s="181"/>
      <c r="MGM74"/>
      <c r="MGN74" s="174"/>
      <c r="MGO74" s="175"/>
      <c r="MGP74" s="176"/>
      <c r="MGQ74" s="176"/>
      <c r="MGR74" s="175"/>
      <c r="MGS74" s="177"/>
      <c r="MGT74" s="175"/>
      <c r="MGU74" s="177"/>
      <c r="MGV74" s="178"/>
      <c r="MGW74" s="179"/>
      <c r="MGX74"/>
      <c r="MGY74" s="180"/>
      <c r="MGZ74"/>
      <c r="MHA74" s="172"/>
      <c r="MHB74" s="181"/>
      <c r="MHC74"/>
      <c r="MHD74" s="174"/>
      <c r="MHE74" s="175"/>
      <c r="MHF74" s="176"/>
      <c r="MHG74" s="176"/>
      <c r="MHH74" s="175"/>
      <c r="MHI74" s="177"/>
      <c r="MHJ74" s="175"/>
      <c r="MHK74" s="177"/>
      <c r="MHL74" s="178"/>
      <c r="MHM74" s="179"/>
      <c r="MHN74"/>
      <c r="MHO74" s="180"/>
      <c r="MHP74"/>
      <c r="MHQ74" s="172"/>
      <c r="MHR74" s="181"/>
      <c r="MHS74"/>
      <c r="MHT74" s="174"/>
      <c r="MHU74" s="175"/>
      <c r="MHV74" s="176"/>
      <c r="MHW74" s="176"/>
      <c r="MHX74" s="175"/>
      <c r="MHY74" s="177"/>
      <c r="MHZ74" s="175"/>
      <c r="MIA74" s="177"/>
      <c r="MIB74" s="178"/>
      <c r="MIC74" s="179"/>
      <c r="MID74"/>
      <c r="MIE74" s="180"/>
      <c r="MIF74"/>
      <c r="MIG74" s="172"/>
      <c r="MIH74" s="181"/>
      <c r="MII74"/>
      <c r="MIJ74" s="174"/>
      <c r="MIK74" s="175"/>
      <c r="MIL74" s="176"/>
      <c r="MIM74" s="176"/>
      <c r="MIN74" s="175"/>
      <c r="MIO74" s="177"/>
      <c r="MIP74" s="175"/>
      <c r="MIQ74" s="177"/>
      <c r="MIR74" s="178"/>
      <c r="MIS74" s="179"/>
      <c r="MIT74"/>
      <c r="MIU74" s="180"/>
      <c r="MIV74"/>
      <c r="MIW74" s="172"/>
      <c r="MIX74" s="181"/>
      <c r="MIY74"/>
      <c r="MIZ74" s="174"/>
      <c r="MJA74" s="175"/>
      <c r="MJB74" s="176"/>
      <c r="MJC74" s="176"/>
      <c r="MJD74" s="175"/>
      <c r="MJE74" s="177"/>
      <c r="MJF74" s="175"/>
      <c r="MJG74" s="177"/>
      <c r="MJH74" s="178"/>
      <c r="MJI74" s="179"/>
      <c r="MJJ74"/>
      <c r="MJK74" s="180"/>
      <c r="MJL74"/>
      <c r="MJM74" s="172"/>
      <c r="MJN74" s="181"/>
      <c r="MJO74"/>
      <c r="MJP74" s="174"/>
      <c r="MJQ74" s="175"/>
      <c r="MJR74" s="176"/>
      <c r="MJS74" s="176"/>
      <c r="MJT74" s="175"/>
      <c r="MJU74" s="177"/>
      <c r="MJV74" s="175"/>
      <c r="MJW74" s="177"/>
      <c r="MJX74" s="178"/>
      <c r="MJY74" s="179"/>
      <c r="MJZ74"/>
      <c r="MKA74" s="180"/>
      <c r="MKB74"/>
      <c r="MKC74" s="172"/>
      <c r="MKD74" s="181"/>
      <c r="MKE74"/>
      <c r="MKF74" s="174"/>
      <c r="MKG74" s="175"/>
      <c r="MKH74" s="176"/>
      <c r="MKI74" s="176"/>
      <c r="MKJ74" s="175"/>
      <c r="MKK74" s="177"/>
      <c r="MKL74" s="175"/>
      <c r="MKM74" s="177"/>
      <c r="MKN74" s="178"/>
      <c r="MKO74" s="179"/>
      <c r="MKP74"/>
      <c r="MKQ74" s="180"/>
      <c r="MKR74"/>
      <c r="MKS74" s="172"/>
      <c r="MKT74" s="181"/>
      <c r="MKU74"/>
      <c r="MKV74" s="174"/>
      <c r="MKW74" s="175"/>
      <c r="MKX74" s="176"/>
      <c r="MKY74" s="176"/>
      <c r="MKZ74" s="175"/>
      <c r="MLA74" s="177"/>
      <c r="MLB74" s="175"/>
      <c r="MLC74" s="177"/>
      <c r="MLD74" s="178"/>
      <c r="MLE74" s="179"/>
      <c r="MLF74"/>
      <c r="MLG74" s="180"/>
      <c r="MLH74"/>
      <c r="MLI74" s="172"/>
      <c r="MLJ74" s="181"/>
      <c r="MLK74"/>
      <c r="MLL74" s="174"/>
      <c r="MLM74" s="175"/>
      <c r="MLN74" s="176"/>
      <c r="MLO74" s="176"/>
      <c r="MLP74" s="175"/>
      <c r="MLQ74" s="177"/>
      <c r="MLR74" s="175"/>
      <c r="MLS74" s="177"/>
      <c r="MLT74" s="178"/>
      <c r="MLU74" s="179"/>
      <c r="MLV74"/>
      <c r="MLW74" s="180"/>
      <c r="MLX74"/>
      <c r="MLY74" s="172"/>
      <c r="MLZ74" s="181"/>
      <c r="MMA74"/>
      <c r="MMB74" s="174"/>
      <c r="MMC74" s="175"/>
      <c r="MMD74" s="176"/>
      <c r="MME74" s="176"/>
      <c r="MMF74" s="175"/>
      <c r="MMG74" s="177"/>
      <c r="MMH74" s="175"/>
      <c r="MMI74" s="177"/>
      <c r="MMJ74" s="178"/>
      <c r="MMK74" s="179"/>
      <c r="MML74"/>
      <c r="MMM74" s="180"/>
      <c r="MMN74"/>
      <c r="MMO74" s="172"/>
      <c r="MMP74" s="181"/>
      <c r="MMQ74"/>
      <c r="MMR74" s="174"/>
      <c r="MMS74" s="175"/>
      <c r="MMT74" s="176"/>
      <c r="MMU74" s="176"/>
      <c r="MMV74" s="175"/>
      <c r="MMW74" s="177"/>
      <c r="MMX74" s="175"/>
      <c r="MMY74" s="177"/>
      <c r="MMZ74" s="178"/>
      <c r="MNA74" s="179"/>
      <c r="MNB74"/>
      <c r="MNC74" s="180"/>
      <c r="MND74"/>
      <c r="MNE74" s="172"/>
      <c r="MNF74" s="181"/>
      <c r="MNG74"/>
      <c r="MNH74" s="174"/>
      <c r="MNI74" s="175"/>
      <c r="MNJ74" s="176"/>
      <c r="MNK74" s="176"/>
      <c r="MNL74" s="175"/>
      <c r="MNM74" s="177"/>
      <c r="MNN74" s="175"/>
      <c r="MNO74" s="177"/>
      <c r="MNP74" s="178"/>
      <c r="MNQ74" s="179"/>
      <c r="MNR74"/>
      <c r="MNS74" s="180"/>
      <c r="MNT74"/>
      <c r="MNU74" s="172"/>
      <c r="MNV74" s="181"/>
      <c r="MNW74"/>
      <c r="MNX74" s="174"/>
      <c r="MNY74" s="175"/>
      <c r="MNZ74" s="176"/>
      <c r="MOA74" s="176"/>
      <c r="MOB74" s="175"/>
      <c r="MOC74" s="177"/>
      <c r="MOD74" s="175"/>
      <c r="MOE74" s="177"/>
      <c r="MOF74" s="178"/>
      <c r="MOG74" s="179"/>
      <c r="MOH74"/>
      <c r="MOI74" s="180"/>
      <c r="MOJ74"/>
      <c r="MOK74" s="172"/>
      <c r="MOL74" s="181"/>
      <c r="MOM74"/>
      <c r="MON74" s="174"/>
      <c r="MOO74" s="175"/>
      <c r="MOP74" s="176"/>
      <c r="MOQ74" s="176"/>
      <c r="MOR74" s="175"/>
      <c r="MOS74" s="177"/>
      <c r="MOT74" s="175"/>
      <c r="MOU74" s="177"/>
      <c r="MOV74" s="178"/>
      <c r="MOW74" s="179"/>
      <c r="MOX74"/>
      <c r="MOY74" s="180"/>
      <c r="MOZ74"/>
      <c r="MPA74" s="172"/>
      <c r="MPB74" s="181"/>
      <c r="MPC74"/>
      <c r="MPD74" s="174"/>
      <c r="MPE74" s="175"/>
      <c r="MPF74" s="176"/>
      <c r="MPG74" s="176"/>
      <c r="MPH74" s="175"/>
      <c r="MPI74" s="177"/>
      <c r="MPJ74" s="175"/>
      <c r="MPK74" s="177"/>
      <c r="MPL74" s="178"/>
      <c r="MPM74" s="179"/>
      <c r="MPN74"/>
      <c r="MPO74" s="180"/>
      <c r="MPP74"/>
      <c r="MPQ74" s="172"/>
      <c r="MPR74" s="181"/>
      <c r="MPS74"/>
      <c r="MPT74" s="174"/>
      <c r="MPU74" s="175"/>
      <c r="MPV74" s="176"/>
      <c r="MPW74" s="176"/>
      <c r="MPX74" s="175"/>
      <c r="MPY74" s="177"/>
      <c r="MPZ74" s="175"/>
      <c r="MQA74" s="177"/>
      <c r="MQB74" s="178"/>
      <c r="MQC74" s="179"/>
      <c r="MQD74"/>
      <c r="MQE74" s="180"/>
      <c r="MQF74"/>
      <c r="MQG74" s="172"/>
      <c r="MQH74" s="181"/>
      <c r="MQI74"/>
      <c r="MQJ74" s="174"/>
      <c r="MQK74" s="175"/>
      <c r="MQL74" s="176"/>
      <c r="MQM74" s="176"/>
      <c r="MQN74" s="175"/>
      <c r="MQO74" s="177"/>
      <c r="MQP74" s="175"/>
      <c r="MQQ74" s="177"/>
      <c r="MQR74" s="178"/>
      <c r="MQS74" s="179"/>
      <c r="MQT74"/>
      <c r="MQU74" s="180"/>
      <c r="MQV74"/>
      <c r="MQW74" s="172"/>
      <c r="MQX74" s="181"/>
      <c r="MQY74"/>
      <c r="MQZ74" s="174"/>
      <c r="MRA74" s="175"/>
      <c r="MRB74" s="176"/>
      <c r="MRC74" s="176"/>
      <c r="MRD74" s="175"/>
      <c r="MRE74" s="177"/>
      <c r="MRF74" s="175"/>
      <c r="MRG74" s="177"/>
      <c r="MRH74" s="178"/>
      <c r="MRI74" s="179"/>
      <c r="MRJ74"/>
      <c r="MRK74" s="180"/>
      <c r="MRL74"/>
      <c r="MRM74" s="172"/>
      <c r="MRN74" s="181"/>
      <c r="MRO74"/>
      <c r="MRP74" s="174"/>
      <c r="MRQ74" s="175"/>
      <c r="MRR74" s="176"/>
      <c r="MRS74" s="176"/>
      <c r="MRT74" s="175"/>
      <c r="MRU74" s="177"/>
      <c r="MRV74" s="175"/>
      <c r="MRW74" s="177"/>
      <c r="MRX74" s="178"/>
      <c r="MRY74" s="179"/>
      <c r="MRZ74"/>
      <c r="MSA74" s="180"/>
      <c r="MSB74"/>
      <c r="MSC74" s="172"/>
      <c r="MSD74" s="181"/>
      <c r="MSE74"/>
      <c r="MSF74" s="174"/>
      <c r="MSG74" s="175"/>
      <c r="MSH74" s="176"/>
      <c r="MSI74" s="176"/>
      <c r="MSJ74" s="175"/>
      <c r="MSK74" s="177"/>
      <c r="MSL74" s="175"/>
      <c r="MSM74" s="177"/>
      <c r="MSN74" s="178"/>
      <c r="MSO74" s="179"/>
      <c r="MSP74"/>
      <c r="MSQ74" s="180"/>
      <c r="MSR74"/>
      <c r="MSS74" s="172"/>
      <c r="MST74" s="181"/>
      <c r="MSU74"/>
      <c r="MSV74" s="174"/>
      <c r="MSW74" s="175"/>
      <c r="MSX74" s="176"/>
      <c r="MSY74" s="176"/>
      <c r="MSZ74" s="175"/>
      <c r="MTA74" s="177"/>
      <c r="MTB74" s="175"/>
      <c r="MTC74" s="177"/>
      <c r="MTD74" s="178"/>
      <c r="MTE74" s="179"/>
      <c r="MTF74"/>
      <c r="MTG74" s="180"/>
      <c r="MTH74"/>
      <c r="MTI74" s="172"/>
      <c r="MTJ74" s="181"/>
      <c r="MTK74"/>
      <c r="MTL74" s="174"/>
      <c r="MTM74" s="175"/>
      <c r="MTN74" s="176"/>
      <c r="MTO74" s="176"/>
      <c r="MTP74" s="175"/>
      <c r="MTQ74" s="177"/>
      <c r="MTR74" s="175"/>
      <c r="MTS74" s="177"/>
      <c r="MTT74" s="178"/>
      <c r="MTU74" s="179"/>
      <c r="MTV74"/>
      <c r="MTW74" s="180"/>
      <c r="MTX74"/>
      <c r="MTY74" s="172"/>
      <c r="MTZ74" s="181"/>
      <c r="MUA74"/>
      <c r="MUB74" s="174"/>
      <c r="MUC74" s="175"/>
      <c r="MUD74" s="176"/>
      <c r="MUE74" s="176"/>
      <c r="MUF74" s="175"/>
      <c r="MUG74" s="177"/>
      <c r="MUH74" s="175"/>
      <c r="MUI74" s="177"/>
      <c r="MUJ74" s="178"/>
      <c r="MUK74" s="179"/>
      <c r="MUL74"/>
      <c r="MUM74" s="180"/>
      <c r="MUN74"/>
      <c r="MUO74" s="172"/>
      <c r="MUP74" s="181"/>
      <c r="MUQ74"/>
      <c r="MUR74" s="174"/>
      <c r="MUS74" s="175"/>
      <c r="MUT74" s="176"/>
      <c r="MUU74" s="176"/>
      <c r="MUV74" s="175"/>
      <c r="MUW74" s="177"/>
      <c r="MUX74" s="175"/>
      <c r="MUY74" s="177"/>
      <c r="MUZ74" s="178"/>
      <c r="MVA74" s="179"/>
      <c r="MVB74"/>
      <c r="MVC74" s="180"/>
      <c r="MVD74"/>
      <c r="MVE74" s="172"/>
      <c r="MVF74" s="181"/>
      <c r="MVG74"/>
      <c r="MVH74" s="174"/>
      <c r="MVI74" s="175"/>
      <c r="MVJ74" s="176"/>
      <c r="MVK74" s="176"/>
      <c r="MVL74" s="175"/>
      <c r="MVM74" s="177"/>
      <c r="MVN74" s="175"/>
      <c r="MVO74" s="177"/>
      <c r="MVP74" s="178"/>
      <c r="MVQ74" s="179"/>
      <c r="MVR74"/>
      <c r="MVS74" s="180"/>
      <c r="MVT74"/>
      <c r="MVU74" s="172"/>
      <c r="MVV74" s="181"/>
      <c r="MVW74"/>
      <c r="MVX74" s="174"/>
      <c r="MVY74" s="175"/>
      <c r="MVZ74" s="176"/>
      <c r="MWA74" s="176"/>
      <c r="MWB74" s="175"/>
      <c r="MWC74" s="177"/>
      <c r="MWD74" s="175"/>
      <c r="MWE74" s="177"/>
      <c r="MWF74" s="178"/>
      <c r="MWG74" s="179"/>
      <c r="MWH74"/>
      <c r="MWI74" s="180"/>
      <c r="MWJ74"/>
      <c r="MWK74" s="172"/>
      <c r="MWL74" s="181"/>
      <c r="MWM74"/>
      <c r="MWN74" s="174"/>
      <c r="MWO74" s="175"/>
      <c r="MWP74" s="176"/>
      <c r="MWQ74" s="176"/>
      <c r="MWR74" s="175"/>
      <c r="MWS74" s="177"/>
      <c r="MWT74" s="175"/>
      <c r="MWU74" s="177"/>
      <c r="MWV74" s="178"/>
      <c r="MWW74" s="179"/>
      <c r="MWX74"/>
      <c r="MWY74" s="180"/>
      <c r="MWZ74"/>
      <c r="MXA74" s="172"/>
      <c r="MXB74" s="181"/>
      <c r="MXC74"/>
      <c r="MXD74" s="174"/>
      <c r="MXE74" s="175"/>
      <c r="MXF74" s="176"/>
      <c r="MXG74" s="176"/>
      <c r="MXH74" s="175"/>
      <c r="MXI74" s="177"/>
      <c r="MXJ74" s="175"/>
      <c r="MXK74" s="177"/>
      <c r="MXL74" s="178"/>
      <c r="MXM74" s="179"/>
      <c r="MXN74"/>
      <c r="MXO74" s="180"/>
      <c r="MXP74"/>
      <c r="MXQ74" s="172"/>
      <c r="MXR74" s="181"/>
      <c r="MXS74"/>
      <c r="MXT74" s="174"/>
      <c r="MXU74" s="175"/>
      <c r="MXV74" s="176"/>
      <c r="MXW74" s="176"/>
      <c r="MXX74" s="175"/>
      <c r="MXY74" s="177"/>
      <c r="MXZ74" s="175"/>
      <c r="MYA74" s="177"/>
      <c r="MYB74" s="178"/>
      <c r="MYC74" s="179"/>
      <c r="MYD74"/>
      <c r="MYE74" s="180"/>
      <c r="MYF74"/>
      <c r="MYG74" s="172"/>
      <c r="MYH74" s="181"/>
      <c r="MYI74"/>
      <c r="MYJ74" s="174"/>
      <c r="MYK74" s="175"/>
      <c r="MYL74" s="176"/>
      <c r="MYM74" s="176"/>
      <c r="MYN74" s="175"/>
      <c r="MYO74" s="177"/>
      <c r="MYP74" s="175"/>
      <c r="MYQ74" s="177"/>
      <c r="MYR74" s="178"/>
      <c r="MYS74" s="179"/>
      <c r="MYT74"/>
      <c r="MYU74" s="180"/>
      <c r="MYV74"/>
      <c r="MYW74" s="172"/>
      <c r="MYX74" s="181"/>
      <c r="MYY74"/>
      <c r="MYZ74" s="174"/>
      <c r="MZA74" s="175"/>
      <c r="MZB74" s="176"/>
      <c r="MZC74" s="176"/>
      <c r="MZD74" s="175"/>
      <c r="MZE74" s="177"/>
      <c r="MZF74" s="175"/>
      <c r="MZG74" s="177"/>
      <c r="MZH74" s="178"/>
      <c r="MZI74" s="179"/>
      <c r="MZJ74"/>
      <c r="MZK74" s="180"/>
      <c r="MZL74"/>
      <c r="MZM74" s="172"/>
      <c r="MZN74" s="181"/>
      <c r="MZO74"/>
      <c r="MZP74" s="174"/>
      <c r="MZQ74" s="175"/>
      <c r="MZR74" s="176"/>
      <c r="MZS74" s="176"/>
      <c r="MZT74" s="175"/>
      <c r="MZU74" s="177"/>
      <c r="MZV74" s="175"/>
      <c r="MZW74" s="177"/>
      <c r="MZX74" s="178"/>
      <c r="MZY74" s="179"/>
      <c r="MZZ74"/>
      <c r="NAA74" s="180"/>
      <c r="NAB74"/>
      <c r="NAC74" s="172"/>
      <c r="NAD74" s="181"/>
      <c r="NAE74"/>
      <c r="NAF74" s="174"/>
      <c r="NAG74" s="175"/>
      <c r="NAH74" s="176"/>
      <c r="NAI74" s="176"/>
      <c r="NAJ74" s="175"/>
      <c r="NAK74" s="177"/>
      <c r="NAL74" s="175"/>
      <c r="NAM74" s="177"/>
      <c r="NAN74" s="178"/>
      <c r="NAO74" s="179"/>
      <c r="NAP74"/>
      <c r="NAQ74" s="180"/>
      <c r="NAR74"/>
      <c r="NAS74" s="172"/>
      <c r="NAT74" s="181"/>
      <c r="NAU74"/>
      <c r="NAV74" s="174"/>
      <c r="NAW74" s="175"/>
      <c r="NAX74" s="176"/>
      <c r="NAY74" s="176"/>
      <c r="NAZ74" s="175"/>
      <c r="NBA74" s="177"/>
      <c r="NBB74" s="175"/>
      <c r="NBC74" s="177"/>
      <c r="NBD74" s="178"/>
      <c r="NBE74" s="179"/>
      <c r="NBF74"/>
      <c r="NBG74" s="180"/>
      <c r="NBH74"/>
      <c r="NBI74" s="172"/>
      <c r="NBJ74" s="181"/>
      <c r="NBK74"/>
      <c r="NBL74" s="174"/>
      <c r="NBM74" s="175"/>
      <c r="NBN74" s="176"/>
      <c r="NBO74" s="176"/>
      <c r="NBP74" s="175"/>
      <c r="NBQ74" s="177"/>
      <c r="NBR74" s="175"/>
      <c r="NBS74" s="177"/>
      <c r="NBT74" s="178"/>
      <c r="NBU74" s="179"/>
      <c r="NBV74"/>
      <c r="NBW74" s="180"/>
      <c r="NBX74"/>
      <c r="NBY74" s="172"/>
      <c r="NBZ74" s="181"/>
      <c r="NCA74"/>
      <c r="NCB74" s="174"/>
      <c r="NCC74" s="175"/>
      <c r="NCD74" s="176"/>
      <c r="NCE74" s="176"/>
      <c r="NCF74" s="175"/>
      <c r="NCG74" s="177"/>
      <c r="NCH74" s="175"/>
      <c r="NCI74" s="177"/>
      <c r="NCJ74" s="178"/>
      <c r="NCK74" s="179"/>
      <c r="NCL74"/>
      <c r="NCM74" s="180"/>
      <c r="NCN74"/>
      <c r="NCO74" s="172"/>
      <c r="NCP74" s="181"/>
      <c r="NCQ74"/>
      <c r="NCR74" s="174"/>
      <c r="NCS74" s="175"/>
      <c r="NCT74" s="176"/>
      <c r="NCU74" s="176"/>
      <c r="NCV74" s="175"/>
      <c r="NCW74" s="177"/>
      <c r="NCX74" s="175"/>
      <c r="NCY74" s="177"/>
      <c r="NCZ74" s="178"/>
      <c r="NDA74" s="179"/>
      <c r="NDB74"/>
      <c r="NDC74" s="180"/>
      <c r="NDD74"/>
      <c r="NDE74" s="172"/>
      <c r="NDF74" s="181"/>
      <c r="NDG74"/>
      <c r="NDH74" s="174"/>
      <c r="NDI74" s="175"/>
      <c r="NDJ74" s="176"/>
      <c r="NDK74" s="176"/>
      <c r="NDL74" s="175"/>
      <c r="NDM74" s="177"/>
      <c r="NDN74" s="175"/>
      <c r="NDO74" s="177"/>
      <c r="NDP74" s="178"/>
      <c r="NDQ74" s="179"/>
      <c r="NDR74"/>
      <c r="NDS74" s="180"/>
      <c r="NDT74"/>
      <c r="NDU74" s="172"/>
      <c r="NDV74" s="181"/>
      <c r="NDW74"/>
      <c r="NDX74" s="174"/>
      <c r="NDY74" s="175"/>
      <c r="NDZ74" s="176"/>
      <c r="NEA74" s="176"/>
      <c r="NEB74" s="175"/>
      <c r="NEC74" s="177"/>
      <c r="NED74" s="175"/>
      <c r="NEE74" s="177"/>
      <c r="NEF74" s="178"/>
      <c r="NEG74" s="179"/>
      <c r="NEH74"/>
      <c r="NEI74" s="180"/>
      <c r="NEJ74"/>
      <c r="NEK74" s="172"/>
      <c r="NEL74" s="181"/>
      <c r="NEM74"/>
      <c r="NEN74" s="174"/>
      <c r="NEO74" s="175"/>
      <c r="NEP74" s="176"/>
      <c r="NEQ74" s="176"/>
      <c r="NER74" s="175"/>
      <c r="NES74" s="177"/>
      <c r="NET74" s="175"/>
      <c r="NEU74" s="177"/>
      <c r="NEV74" s="178"/>
      <c r="NEW74" s="179"/>
      <c r="NEX74"/>
      <c r="NEY74" s="180"/>
      <c r="NEZ74"/>
      <c r="NFA74" s="172"/>
      <c r="NFB74" s="181"/>
      <c r="NFC74"/>
      <c r="NFD74" s="174"/>
      <c r="NFE74" s="175"/>
      <c r="NFF74" s="176"/>
      <c r="NFG74" s="176"/>
      <c r="NFH74" s="175"/>
      <c r="NFI74" s="177"/>
      <c r="NFJ74" s="175"/>
      <c r="NFK74" s="177"/>
      <c r="NFL74" s="178"/>
      <c r="NFM74" s="179"/>
      <c r="NFN74"/>
      <c r="NFO74" s="180"/>
      <c r="NFP74"/>
      <c r="NFQ74" s="172"/>
      <c r="NFR74" s="181"/>
      <c r="NFS74"/>
      <c r="NFT74" s="174"/>
      <c r="NFU74" s="175"/>
      <c r="NFV74" s="176"/>
      <c r="NFW74" s="176"/>
      <c r="NFX74" s="175"/>
      <c r="NFY74" s="177"/>
      <c r="NFZ74" s="175"/>
      <c r="NGA74" s="177"/>
      <c r="NGB74" s="178"/>
      <c r="NGC74" s="179"/>
      <c r="NGD74"/>
      <c r="NGE74" s="180"/>
      <c r="NGF74"/>
      <c r="NGG74" s="172"/>
      <c r="NGH74" s="181"/>
      <c r="NGI74"/>
      <c r="NGJ74" s="174"/>
      <c r="NGK74" s="175"/>
      <c r="NGL74" s="176"/>
      <c r="NGM74" s="176"/>
      <c r="NGN74" s="175"/>
      <c r="NGO74" s="177"/>
      <c r="NGP74" s="175"/>
      <c r="NGQ74" s="177"/>
      <c r="NGR74" s="178"/>
      <c r="NGS74" s="179"/>
      <c r="NGT74"/>
      <c r="NGU74" s="180"/>
      <c r="NGV74"/>
      <c r="NGW74" s="172"/>
      <c r="NGX74" s="181"/>
      <c r="NGY74"/>
      <c r="NGZ74" s="174"/>
      <c r="NHA74" s="175"/>
      <c r="NHB74" s="176"/>
      <c r="NHC74" s="176"/>
      <c r="NHD74" s="175"/>
      <c r="NHE74" s="177"/>
      <c r="NHF74" s="175"/>
      <c r="NHG74" s="177"/>
      <c r="NHH74" s="178"/>
      <c r="NHI74" s="179"/>
      <c r="NHJ74"/>
      <c r="NHK74" s="180"/>
      <c r="NHL74"/>
      <c r="NHM74" s="172"/>
      <c r="NHN74" s="181"/>
      <c r="NHO74"/>
      <c r="NHP74" s="174"/>
      <c r="NHQ74" s="175"/>
      <c r="NHR74" s="176"/>
      <c r="NHS74" s="176"/>
      <c r="NHT74" s="175"/>
      <c r="NHU74" s="177"/>
      <c r="NHV74" s="175"/>
      <c r="NHW74" s="177"/>
      <c r="NHX74" s="178"/>
      <c r="NHY74" s="179"/>
      <c r="NHZ74"/>
      <c r="NIA74" s="180"/>
      <c r="NIB74"/>
      <c r="NIC74" s="172"/>
      <c r="NID74" s="181"/>
      <c r="NIE74"/>
      <c r="NIF74" s="174"/>
      <c r="NIG74" s="175"/>
      <c r="NIH74" s="176"/>
      <c r="NII74" s="176"/>
      <c r="NIJ74" s="175"/>
      <c r="NIK74" s="177"/>
      <c r="NIL74" s="175"/>
      <c r="NIM74" s="177"/>
      <c r="NIN74" s="178"/>
      <c r="NIO74" s="179"/>
      <c r="NIP74"/>
      <c r="NIQ74" s="180"/>
      <c r="NIR74"/>
      <c r="NIS74" s="172"/>
      <c r="NIT74" s="181"/>
      <c r="NIU74"/>
      <c r="NIV74" s="174"/>
      <c r="NIW74" s="175"/>
      <c r="NIX74" s="176"/>
      <c r="NIY74" s="176"/>
      <c r="NIZ74" s="175"/>
      <c r="NJA74" s="177"/>
      <c r="NJB74" s="175"/>
      <c r="NJC74" s="177"/>
      <c r="NJD74" s="178"/>
      <c r="NJE74" s="179"/>
      <c r="NJF74"/>
      <c r="NJG74" s="180"/>
      <c r="NJH74"/>
      <c r="NJI74" s="172"/>
      <c r="NJJ74" s="181"/>
      <c r="NJK74"/>
      <c r="NJL74" s="174"/>
      <c r="NJM74" s="175"/>
      <c r="NJN74" s="176"/>
      <c r="NJO74" s="176"/>
      <c r="NJP74" s="175"/>
      <c r="NJQ74" s="177"/>
      <c r="NJR74" s="175"/>
      <c r="NJS74" s="177"/>
      <c r="NJT74" s="178"/>
      <c r="NJU74" s="179"/>
      <c r="NJV74"/>
      <c r="NJW74" s="180"/>
      <c r="NJX74"/>
      <c r="NJY74" s="172"/>
      <c r="NJZ74" s="181"/>
      <c r="NKA74"/>
      <c r="NKB74" s="174"/>
      <c r="NKC74" s="175"/>
      <c r="NKD74" s="176"/>
      <c r="NKE74" s="176"/>
      <c r="NKF74" s="175"/>
      <c r="NKG74" s="177"/>
      <c r="NKH74" s="175"/>
      <c r="NKI74" s="177"/>
      <c r="NKJ74" s="178"/>
      <c r="NKK74" s="179"/>
      <c r="NKL74"/>
      <c r="NKM74" s="180"/>
      <c r="NKN74"/>
      <c r="NKO74" s="172"/>
      <c r="NKP74" s="181"/>
      <c r="NKQ74"/>
      <c r="NKR74" s="174"/>
      <c r="NKS74" s="175"/>
      <c r="NKT74" s="176"/>
      <c r="NKU74" s="176"/>
      <c r="NKV74" s="175"/>
      <c r="NKW74" s="177"/>
      <c r="NKX74" s="175"/>
      <c r="NKY74" s="177"/>
      <c r="NKZ74" s="178"/>
      <c r="NLA74" s="179"/>
      <c r="NLB74"/>
      <c r="NLC74" s="180"/>
      <c r="NLD74"/>
      <c r="NLE74" s="172"/>
      <c r="NLF74" s="181"/>
      <c r="NLG74"/>
      <c r="NLH74" s="174"/>
      <c r="NLI74" s="175"/>
      <c r="NLJ74" s="176"/>
      <c r="NLK74" s="176"/>
      <c r="NLL74" s="175"/>
      <c r="NLM74" s="177"/>
      <c r="NLN74" s="175"/>
      <c r="NLO74" s="177"/>
      <c r="NLP74" s="178"/>
      <c r="NLQ74" s="179"/>
      <c r="NLR74"/>
      <c r="NLS74" s="180"/>
      <c r="NLT74"/>
      <c r="NLU74" s="172"/>
      <c r="NLV74" s="181"/>
      <c r="NLW74"/>
      <c r="NLX74" s="174"/>
      <c r="NLY74" s="175"/>
      <c r="NLZ74" s="176"/>
      <c r="NMA74" s="176"/>
      <c r="NMB74" s="175"/>
      <c r="NMC74" s="177"/>
      <c r="NMD74" s="175"/>
      <c r="NME74" s="177"/>
      <c r="NMF74" s="178"/>
      <c r="NMG74" s="179"/>
      <c r="NMH74"/>
      <c r="NMI74" s="180"/>
      <c r="NMJ74"/>
      <c r="NMK74" s="172"/>
      <c r="NML74" s="181"/>
      <c r="NMM74"/>
      <c r="NMN74" s="174"/>
      <c r="NMO74" s="175"/>
      <c r="NMP74" s="176"/>
      <c r="NMQ74" s="176"/>
      <c r="NMR74" s="175"/>
      <c r="NMS74" s="177"/>
      <c r="NMT74" s="175"/>
      <c r="NMU74" s="177"/>
      <c r="NMV74" s="178"/>
      <c r="NMW74" s="179"/>
      <c r="NMX74"/>
      <c r="NMY74" s="180"/>
      <c r="NMZ74"/>
      <c r="NNA74" s="172"/>
      <c r="NNB74" s="181"/>
      <c r="NNC74"/>
      <c r="NND74" s="174"/>
      <c r="NNE74" s="175"/>
      <c r="NNF74" s="176"/>
      <c r="NNG74" s="176"/>
      <c r="NNH74" s="175"/>
      <c r="NNI74" s="177"/>
      <c r="NNJ74" s="175"/>
      <c r="NNK74" s="177"/>
      <c r="NNL74" s="178"/>
      <c r="NNM74" s="179"/>
      <c r="NNN74"/>
      <c r="NNO74" s="180"/>
      <c r="NNP74"/>
      <c r="NNQ74" s="172"/>
      <c r="NNR74" s="181"/>
      <c r="NNS74"/>
      <c r="NNT74" s="174"/>
      <c r="NNU74" s="175"/>
      <c r="NNV74" s="176"/>
      <c r="NNW74" s="176"/>
      <c r="NNX74" s="175"/>
      <c r="NNY74" s="177"/>
      <c r="NNZ74" s="175"/>
      <c r="NOA74" s="177"/>
      <c r="NOB74" s="178"/>
      <c r="NOC74" s="179"/>
      <c r="NOD74"/>
      <c r="NOE74" s="180"/>
      <c r="NOF74"/>
      <c r="NOG74" s="172"/>
      <c r="NOH74" s="181"/>
      <c r="NOI74"/>
      <c r="NOJ74" s="174"/>
      <c r="NOK74" s="175"/>
      <c r="NOL74" s="176"/>
      <c r="NOM74" s="176"/>
      <c r="NON74" s="175"/>
      <c r="NOO74" s="177"/>
      <c r="NOP74" s="175"/>
      <c r="NOQ74" s="177"/>
      <c r="NOR74" s="178"/>
      <c r="NOS74" s="179"/>
      <c r="NOT74"/>
      <c r="NOU74" s="180"/>
      <c r="NOV74"/>
      <c r="NOW74" s="172"/>
      <c r="NOX74" s="181"/>
      <c r="NOY74"/>
      <c r="NOZ74" s="174"/>
      <c r="NPA74" s="175"/>
      <c r="NPB74" s="176"/>
      <c r="NPC74" s="176"/>
      <c r="NPD74" s="175"/>
      <c r="NPE74" s="177"/>
      <c r="NPF74" s="175"/>
      <c r="NPG74" s="177"/>
      <c r="NPH74" s="178"/>
      <c r="NPI74" s="179"/>
      <c r="NPJ74"/>
      <c r="NPK74" s="180"/>
      <c r="NPL74"/>
      <c r="NPM74" s="172"/>
      <c r="NPN74" s="181"/>
      <c r="NPO74"/>
      <c r="NPP74" s="174"/>
      <c r="NPQ74" s="175"/>
      <c r="NPR74" s="176"/>
      <c r="NPS74" s="176"/>
      <c r="NPT74" s="175"/>
      <c r="NPU74" s="177"/>
      <c r="NPV74" s="175"/>
      <c r="NPW74" s="177"/>
      <c r="NPX74" s="178"/>
      <c r="NPY74" s="179"/>
      <c r="NPZ74"/>
      <c r="NQA74" s="180"/>
      <c r="NQB74"/>
      <c r="NQC74" s="172"/>
      <c r="NQD74" s="181"/>
      <c r="NQE74"/>
      <c r="NQF74" s="174"/>
      <c r="NQG74" s="175"/>
      <c r="NQH74" s="176"/>
      <c r="NQI74" s="176"/>
      <c r="NQJ74" s="175"/>
      <c r="NQK74" s="177"/>
      <c r="NQL74" s="175"/>
      <c r="NQM74" s="177"/>
      <c r="NQN74" s="178"/>
      <c r="NQO74" s="179"/>
      <c r="NQP74"/>
      <c r="NQQ74" s="180"/>
      <c r="NQR74"/>
      <c r="NQS74" s="172"/>
      <c r="NQT74" s="181"/>
      <c r="NQU74"/>
      <c r="NQV74" s="174"/>
      <c r="NQW74" s="175"/>
      <c r="NQX74" s="176"/>
      <c r="NQY74" s="176"/>
      <c r="NQZ74" s="175"/>
      <c r="NRA74" s="177"/>
      <c r="NRB74" s="175"/>
      <c r="NRC74" s="177"/>
      <c r="NRD74" s="178"/>
      <c r="NRE74" s="179"/>
      <c r="NRF74"/>
      <c r="NRG74" s="180"/>
      <c r="NRH74"/>
      <c r="NRI74" s="172"/>
      <c r="NRJ74" s="181"/>
      <c r="NRK74"/>
      <c r="NRL74" s="174"/>
      <c r="NRM74" s="175"/>
      <c r="NRN74" s="176"/>
      <c r="NRO74" s="176"/>
      <c r="NRP74" s="175"/>
      <c r="NRQ74" s="177"/>
      <c r="NRR74" s="175"/>
      <c r="NRS74" s="177"/>
      <c r="NRT74" s="178"/>
      <c r="NRU74" s="179"/>
      <c r="NRV74"/>
      <c r="NRW74" s="180"/>
      <c r="NRX74"/>
      <c r="NRY74" s="172"/>
      <c r="NRZ74" s="181"/>
      <c r="NSA74"/>
      <c r="NSB74" s="174"/>
      <c r="NSC74" s="175"/>
      <c r="NSD74" s="176"/>
      <c r="NSE74" s="176"/>
      <c r="NSF74" s="175"/>
      <c r="NSG74" s="177"/>
      <c r="NSH74" s="175"/>
      <c r="NSI74" s="177"/>
      <c r="NSJ74" s="178"/>
      <c r="NSK74" s="179"/>
      <c r="NSL74"/>
      <c r="NSM74" s="180"/>
      <c r="NSN74"/>
      <c r="NSO74" s="172"/>
      <c r="NSP74" s="181"/>
      <c r="NSQ74"/>
      <c r="NSR74" s="174"/>
      <c r="NSS74" s="175"/>
      <c r="NST74" s="176"/>
      <c r="NSU74" s="176"/>
      <c r="NSV74" s="175"/>
      <c r="NSW74" s="177"/>
      <c r="NSX74" s="175"/>
      <c r="NSY74" s="177"/>
      <c r="NSZ74" s="178"/>
      <c r="NTA74" s="179"/>
      <c r="NTB74"/>
      <c r="NTC74" s="180"/>
      <c r="NTD74"/>
      <c r="NTE74" s="172"/>
      <c r="NTF74" s="181"/>
      <c r="NTG74"/>
      <c r="NTH74" s="174"/>
      <c r="NTI74" s="175"/>
      <c r="NTJ74" s="176"/>
      <c r="NTK74" s="176"/>
      <c r="NTL74" s="175"/>
      <c r="NTM74" s="177"/>
      <c r="NTN74" s="175"/>
      <c r="NTO74" s="177"/>
      <c r="NTP74" s="178"/>
      <c r="NTQ74" s="179"/>
      <c r="NTR74"/>
      <c r="NTS74" s="180"/>
      <c r="NTT74"/>
      <c r="NTU74" s="172"/>
      <c r="NTV74" s="181"/>
      <c r="NTW74"/>
      <c r="NTX74" s="174"/>
      <c r="NTY74" s="175"/>
      <c r="NTZ74" s="176"/>
      <c r="NUA74" s="176"/>
      <c r="NUB74" s="175"/>
      <c r="NUC74" s="177"/>
      <c r="NUD74" s="175"/>
      <c r="NUE74" s="177"/>
      <c r="NUF74" s="178"/>
      <c r="NUG74" s="179"/>
      <c r="NUH74"/>
      <c r="NUI74" s="180"/>
      <c r="NUJ74"/>
      <c r="NUK74" s="172"/>
      <c r="NUL74" s="181"/>
      <c r="NUM74"/>
      <c r="NUN74" s="174"/>
      <c r="NUO74" s="175"/>
      <c r="NUP74" s="176"/>
      <c r="NUQ74" s="176"/>
      <c r="NUR74" s="175"/>
      <c r="NUS74" s="177"/>
      <c r="NUT74" s="175"/>
      <c r="NUU74" s="177"/>
      <c r="NUV74" s="178"/>
      <c r="NUW74" s="179"/>
      <c r="NUX74"/>
      <c r="NUY74" s="180"/>
      <c r="NUZ74"/>
      <c r="NVA74" s="172"/>
      <c r="NVB74" s="181"/>
      <c r="NVC74"/>
      <c r="NVD74" s="174"/>
      <c r="NVE74" s="175"/>
      <c r="NVF74" s="176"/>
      <c r="NVG74" s="176"/>
      <c r="NVH74" s="175"/>
      <c r="NVI74" s="177"/>
      <c r="NVJ74" s="175"/>
      <c r="NVK74" s="177"/>
      <c r="NVL74" s="178"/>
      <c r="NVM74" s="179"/>
      <c r="NVN74"/>
      <c r="NVO74" s="180"/>
      <c r="NVP74"/>
      <c r="NVQ74" s="172"/>
      <c r="NVR74" s="181"/>
      <c r="NVS74"/>
      <c r="NVT74" s="174"/>
      <c r="NVU74" s="175"/>
      <c r="NVV74" s="176"/>
      <c r="NVW74" s="176"/>
      <c r="NVX74" s="175"/>
      <c r="NVY74" s="177"/>
      <c r="NVZ74" s="175"/>
      <c r="NWA74" s="177"/>
      <c r="NWB74" s="178"/>
      <c r="NWC74" s="179"/>
      <c r="NWD74"/>
      <c r="NWE74" s="180"/>
      <c r="NWF74"/>
      <c r="NWG74" s="172"/>
      <c r="NWH74" s="181"/>
      <c r="NWI74"/>
      <c r="NWJ74" s="174"/>
      <c r="NWK74" s="175"/>
      <c r="NWL74" s="176"/>
      <c r="NWM74" s="176"/>
      <c r="NWN74" s="175"/>
      <c r="NWO74" s="177"/>
      <c r="NWP74" s="175"/>
      <c r="NWQ74" s="177"/>
      <c r="NWR74" s="178"/>
      <c r="NWS74" s="179"/>
      <c r="NWT74"/>
      <c r="NWU74" s="180"/>
      <c r="NWV74"/>
      <c r="NWW74" s="172"/>
      <c r="NWX74" s="181"/>
      <c r="NWY74"/>
      <c r="NWZ74" s="174"/>
      <c r="NXA74" s="175"/>
      <c r="NXB74" s="176"/>
      <c r="NXC74" s="176"/>
      <c r="NXD74" s="175"/>
      <c r="NXE74" s="177"/>
      <c r="NXF74" s="175"/>
      <c r="NXG74" s="177"/>
      <c r="NXH74" s="178"/>
      <c r="NXI74" s="179"/>
      <c r="NXJ74"/>
      <c r="NXK74" s="180"/>
      <c r="NXL74"/>
      <c r="NXM74" s="172"/>
      <c r="NXN74" s="181"/>
      <c r="NXO74"/>
      <c r="NXP74" s="174"/>
      <c r="NXQ74" s="175"/>
      <c r="NXR74" s="176"/>
      <c r="NXS74" s="176"/>
      <c r="NXT74" s="175"/>
      <c r="NXU74" s="177"/>
      <c r="NXV74" s="175"/>
      <c r="NXW74" s="177"/>
      <c r="NXX74" s="178"/>
      <c r="NXY74" s="179"/>
      <c r="NXZ74"/>
      <c r="NYA74" s="180"/>
      <c r="NYB74"/>
      <c r="NYC74" s="172"/>
      <c r="NYD74" s="181"/>
      <c r="NYE74"/>
      <c r="NYF74" s="174"/>
      <c r="NYG74" s="175"/>
      <c r="NYH74" s="176"/>
      <c r="NYI74" s="176"/>
      <c r="NYJ74" s="175"/>
      <c r="NYK74" s="177"/>
      <c r="NYL74" s="175"/>
      <c r="NYM74" s="177"/>
      <c r="NYN74" s="178"/>
      <c r="NYO74" s="179"/>
      <c r="NYP74"/>
      <c r="NYQ74" s="180"/>
      <c r="NYR74"/>
      <c r="NYS74" s="172"/>
      <c r="NYT74" s="181"/>
      <c r="NYU74"/>
      <c r="NYV74" s="174"/>
      <c r="NYW74" s="175"/>
      <c r="NYX74" s="176"/>
      <c r="NYY74" s="176"/>
      <c r="NYZ74" s="175"/>
      <c r="NZA74" s="177"/>
      <c r="NZB74" s="175"/>
      <c r="NZC74" s="177"/>
      <c r="NZD74" s="178"/>
      <c r="NZE74" s="179"/>
      <c r="NZF74"/>
      <c r="NZG74" s="180"/>
      <c r="NZH74"/>
      <c r="NZI74" s="172"/>
      <c r="NZJ74" s="181"/>
      <c r="NZK74"/>
      <c r="NZL74" s="174"/>
      <c r="NZM74" s="175"/>
      <c r="NZN74" s="176"/>
      <c r="NZO74" s="176"/>
      <c r="NZP74" s="175"/>
      <c r="NZQ74" s="177"/>
      <c r="NZR74" s="175"/>
      <c r="NZS74" s="177"/>
      <c r="NZT74" s="178"/>
      <c r="NZU74" s="179"/>
      <c r="NZV74"/>
      <c r="NZW74" s="180"/>
      <c r="NZX74"/>
      <c r="NZY74" s="172"/>
      <c r="NZZ74" s="181"/>
      <c r="OAA74"/>
      <c r="OAB74" s="174"/>
      <c r="OAC74" s="175"/>
      <c r="OAD74" s="176"/>
      <c r="OAE74" s="176"/>
      <c r="OAF74" s="175"/>
      <c r="OAG74" s="177"/>
      <c r="OAH74" s="175"/>
      <c r="OAI74" s="177"/>
      <c r="OAJ74" s="178"/>
      <c r="OAK74" s="179"/>
      <c r="OAL74"/>
      <c r="OAM74" s="180"/>
      <c r="OAN74"/>
      <c r="OAO74" s="172"/>
      <c r="OAP74" s="181"/>
      <c r="OAQ74"/>
      <c r="OAR74" s="174"/>
      <c r="OAS74" s="175"/>
      <c r="OAT74" s="176"/>
      <c r="OAU74" s="176"/>
      <c r="OAV74" s="175"/>
      <c r="OAW74" s="177"/>
      <c r="OAX74" s="175"/>
      <c r="OAY74" s="177"/>
      <c r="OAZ74" s="178"/>
      <c r="OBA74" s="179"/>
      <c r="OBB74"/>
      <c r="OBC74" s="180"/>
      <c r="OBD74"/>
      <c r="OBE74" s="172"/>
      <c r="OBF74" s="181"/>
      <c r="OBG74"/>
      <c r="OBH74" s="174"/>
      <c r="OBI74" s="175"/>
      <c r="OBJ74" s="176"/>
      <c r="OBK74" s="176"/>
      <c r="OBL74" s="175"/>
      <c r="OBM74" s="177"/>
      <c r="OBN74" s="175"/>
      <c r="OBO74" s="177"/>
      <c r="OBP74" s="178"/>
      <c r="OBQ74" s="179"/>
      <c r="OBR74"/>
      <c r="OBS74" s="180"/>
      <c r="OBT74"/>
      <c r="OBU74" s="172"/>
      <c r="OBV74" s="181"/>
      <c r="OBW74"/>
      <c r="OBX74" s="174"/>
      <c r="OBY74" s="175"/>
      <c r="OBZ74" s="176"/>
      <c r="OCA74" s="176"/>
      <c r="OCB74" s="175"/>
      <c r="OCC74" s="177"/>
      <c r="OCD74" s="175"/>
      <c r="OCE74" s="177"/>
      <c r="OCF74" s="178"/>
      <c r="OCG74" s="179"/>
      <c r="OCH74"/>
      <c r="OCI74" s="180"/>
      <c r="OCJ74"/>
      <c r="OCK74" s="172"/>
      <c r="OCL74" s="181"/>
      <c r="OCM74"/>
      <c r="OCN74" s="174"/>
      <c r="OCO74" s="175"/>
      <c r="OCP74" s="176"/>
      <c r="OCQ74" s="176"/>
      <c r="OCR74" s="175"/>
      <c r="OCS74" s="177"/>
      <c r="OCT74" s="175"/>
      <c r="OCU74" s="177"/>
      <c r="OCV74" s="178"/>
      <c r="OCW74" s="179"/>
      <c r="OCX74"/>
      <c r="OCY74" s="180"/>
      <c r="OCZ74"/>
      <c r="ODA74" s="172"/>
      <c r="ODB74" s="181"/>
      <c r="ODC74"/>
      <c r="ODD74" s="174"/>
      <c r="ODE74" s="175"/>
      <c r="ODF74" s="176"/>
      <c r="ODG74" s="176"/>
      <c r="ODH74" s="175"/>
      <c r="ODI74" s="177"/>
      <c r="ODJ74" s="175"/>
      <c r="ODK74" s="177"/>
      <c r="ODL74" s="178"/>
      <c r="ODM74" s="179"/>
      <c r="ODN74"/>
      <c r="ODO74" s="180"/>
      <c r="ODP74"/>
      <c r="ODQ74" s="172"/>
      <c r="ODR74" s="181"/>
      <c r="ODS74"/>
      <c r="ODT74" s="174"/>
      <c r="ODU74" s="175"/>
      <c r="ODV74" s="176"/>
      <c r="ODW74" s="176"/>
      <c r="ODX74" s="175"/>
      <c r="ODY74" s="177"/>
      <c r="ODZ74" s="175"/>
      <c r="OEA74" s="177"/>
      <c r="OEB74" s="178"/>
      <c r="OEC74" s="179"/>
      <c r="OED74"/>
      <c r="OEE74" s="180"/>
      <c r="OEF74"/>
      <c r="OEG74" s="172"/>
      <c r="OEH74" s="181"/>
      <c r="OEI74"/>
      <c r="OEJ74" s="174"/>
      <c r="OEK74" s="175"/>
      <c r="OEL74" s="176"/>
      <c r="OEM74" s="176"/>
      <c r="OEN74" s="175"/>
      <c r="OEO74" s="177"/>
      <c r="OEP74" s="175"/>
      <c r="OEQ74" s="177"/>
      <c r="OER74" s="178"/>
      <c r="OES74" s="179"/>
      <c r="OET74"/>
      <c r="OEU74" s="180"/>
      <c r="OEV74"/>
      <c r="OEW74" s="172"/>
      <c r="OEX74" s="181"/>
      <c r="OEY74"/>
      <c r="OEZ74" s="174"/>
      <c r="OFA74" s="175"/>
      <c r="OFB74" s="176"/>
      <c r="OFC74" s="176"/>
      <c r="OFD74" s="175"/>
      <c r="OFE74" s="177"/>
      <c r="OFF74" s="175"/>
      <c r="OFG74" s="177"/>
      <c r="OFH74" s="178"/>
      <c r="OFI74" s="179"/>
      <c r="OFJ74"/>
      <c r="OFK74" s="180"/>
      <c r="OFL74"/>
      <c r="OFM74" s="172"/>
      <c r="OFN74" s="181"/>
      <c r="OFO74"/>
      <c r="OFP74" s="174"/>
      <c r="OFQ74" s="175"/>
      <c r="OFR74" s="176"/>
      <c r="OFS74" s="176"/>
      <c r="OFT74" s="175"/>
      <c r="OFU74" s="177"/>
      <c r="OFV74" s="175"/>
      <c r="OFW74" s="177"/>
      <c r="OFX74" s="178"/>
      <c r="OFY74" s="179"/>
      <c r="OFZ74"/>
      <c r="OGA74" s="180"/>
      <c r="OGB74"/>
      <c r="OGC74" s="172"/>
      <c r="OGD74" s="181"/>
      <c r="OGE74"/>
      <c r="OGF74" s="174"/>
      <c r="OGG74" s="175"/>
      <c r="OGH74" s="176"/>
      <c r="OGI74" s="176"/>
      <c r="OGJ74" s="175"/>
      <c r="OGK74" s="177"/>
      <c r="OGL74" s="175"/>
      <c r="OGM74" s="177"/>
      <c r="OGN74" s="178"/>
      <c r="OGO74" s="179"/>
      <c r="OGP74"/>
      <c r="OGQ74" s="180"/>
      <c r="OGR74"/>
      <c r="OGS74" s="172"/>
      <c r="OGT74" s="181"/>
      <c r="OGU74"/>
      <c r="OGV74" s="174"/>
      <c r="OGW74" s="175"/>
      <c r="OGX74" s="176"/>
      <c r="OGY74" s="176"/>
      <c r="OGZ74" s="175"/>
      <c r="OHA74" s="177"/>
      <c r="OHB74" s="175"/>
      <c r="OHC74" s="177"/>
      <c r="OHD74" s="178"/>
      <c r="OHE74" s="179"/>
      <c r="OHF74"/>
      <c r="OHG74" s="180"/>
      <c r="OHH74"/>
      <c r="OHI74" s="172"/>
      <c r="OHJ74" s="181"/>
      <c r="OHK74"/>
      <c r="OHL74" s="174"/>
      <c r="OHM74" s="175"/>
      <c r="OHN74" s="176"/>
      <c r="OHO74" s="176"/>
      <c r="OHP74" s="175"/>
      <c r="OHQ74" s="177"/>
      <c r="OHR74" s="175"/>
      <c r="OHS74" s="177"/>
      <c r="OHT74" s="178"/>
      <c r="OHU74" s="179"/>
      <c r="OHV74"/>
      <c r="OHW74" s="180"/>
      <c r="OHX74"/>
      <c r="OHY74" s="172"/>
      <c r="OHZ74" s="181"/>
      <c r="OIA74"/>
      <c r="OIB74" s="174"/>
      <c r="OIC74" s="175"/>
      <c r="OID74" s="176"/>
      <c r="OIE74" s="176"/>
      <c r="OIF74" s="175"/>
      <c r="OIG74" s="177"/>
      <c r="OIH74" s="175"/>
      <c r="OII74" s="177"/>
      <c r="OIJ74" s="178"/>
      <c r="OIK74" s="179"/>
      <c r="OIL74"/>
      <c r="OIM74" s="180"/>
      <c r="OIN74"/>
      <c r="OIO74" s="172"/>
      <c r="OIP74" s="181"/>
      <c r="OIQ74"/>
      <c r="OIR74" s="174"/>
      <c r="OIS74" s="175"/>
      <c r="OIT74" s="176"/>
      <c r="OIU74" s="176"/>
      <c r="OIV74" s="175"/>
      <c r="OIW74" s="177"/>
      <c r="OIX74" s="175"/>
      <c r="OIY74" s="177"/>
      <c r="OIZ74" s="178"/>
      <c r="OJA74" s="179"/>
      <c r="OJB74"/>
      <c r="OJC74" s="180"/>
      <c r="OJD74"/>
      <c r="OJE74" s="172"/>
      <c r="OJF74" s="181"/>
      <c r="OJG74"/>
      <c r="OJH74" s="174"/>
      <c r="OJI74" s="175"/>
      <c r="OJJ74" s="176"/>
      <c r="OJK74" s="176"/>
      <c r="OJL74" s="175"/>
      <c r="OJM74" s="177"/>
      <c r="OJN74" s="175"/>
      <c r="OJO74" s="177"/>
      <c r="OJP74" s="178"/>
      <c r="OJQ74" s="179"/>
      <c r="OJR74"/>
      <c r="OJS74" s="180"/>
      <c r="OJT74"/>
      <c r="OJU74" s="172"/>
      <c r="OJV74" s="181"/>
      <c r="OJW74"/>
      <c r="OJX74" s="174"/>
      <c r="OJY74" s="175"/>
      <c r="OJZ74" s="176"/>
      <c r="OKA74" s="176"/>
      <c r="OKB74" s="175"/>
      <c r="OKC74" s="177"/>
      <c r="OKD74" s="175"/>
      <c r="OKE74" s="177"/>
      <c r="OKF74" s="178"/>
      <c r="OKG74" s="179"/>
      <c r="OKH74"/>
      <c r="OKI74" s="180"/>
      <c r="OKJ74"/>
      <c r="OKK74" s="172"/>
      <c r="OKL74" s="181"/>
      <c r="OKM74"/>
      <c r="OKN74" s="174"/>
      <c r="OKO74" s="175"/>
      <c r="OKP74" s="176"/>
      <c r="OKQ74" s="176"/>
      <c r="OKR74" s="175"/>
      <c r="OKS74" s="177"/>
      <c r="OKT74" s="175"/>
      <c r="OKU74" s="177"/>
      <c r="OKV74" s="178"/>
      <c r="OKW74" s="179"/>
      <c r="OKX74"/>
      <c r="OKY74" s="180"/>
      <c r="OKZ74"/>
      <c r="OLA74" s="172"/>
      <c r="OLB74" s="181"/>
      <c r="OLC74"/>
      <c r="OLD74" s="174"/>
      <c r="OLE74" s="175"/>
      <c r="OLF74" s="176"/>
      <c r="OLG74" s="176"/>
      <c r="OLH74" s="175"/>
      <c r="OLI74" s="177"/>
      <c r="OLJ74" s="175"/>
      <c r="OLK74" s="177"/>
      <c r="OLL74" s="178"/>
      <c r="OLM74" s="179"/>
      <c r="OLN74"/>
      <c r="OLO74" s="180"/>
      <c r="OLP74"/>
      <c r="OLQ74" s="172"/>
      <c r="OLR74" s="181"/>
      <c r="OLS74"/>
      <c r="OLT74" s="174"/>
      <c r="OLU74" s="175"/>
      <c r="OLV74" s="176"/>
      <c r="OLW74" s="176"/>
      <c r="OLX74" s="175"/>
      <c r="OLY74" s="177"/>
      <c r="OLZ74" s="175"/>
      <c r="OMA74" s="177"/>
      <c r="OMB74" s="178"/>
      <c r="OMC74" s="179"/>
      <c r="OMD74"/>
      <c r="OME74" s="180"/>
      <c r="OMF74"/>
      <c r="OMG74" s="172"/>
      <c r="OMH74" s="181"/>
      <c r="OMI74"/>
      <c r="OMJ74" s="174"/>
      <c r="OMK74" s="175"/>
      <c r="OML74" s="176"/>
      <c r="OMM74" s="176"/>
      <c r="OMN74" s="175"/>
      <c r="OMO74" s="177"/>
      <c r="OMP74" s="175"/>
      <c r="OMQ74" s="177"/>
      <c r="OMR74" s="178"/>
      <c r="OMS74" s="179"/>
      <c r="OMT74"/>
      <c r="OMU74" s="180"/>
      <c r="OMV74"/>
      <c r="OMW74" s="172"/>
      <c r="OMX74" s="181"/>
      <c r="OMY74"/>
      <c r="OMZ74" s="174"/>
      <c r="ONA74" s="175"/>
      <c r="ONB74" s="176"/>
      <c r="ONC74" s="176"/>
      <c r="OND74" s="175"/>
      <c r="ONE74" s="177"/>
      <c r="ONF74" s="175"/>
      <c r="ONG74" s="177"/>
      <c r="ONH74" s="178"/>
      <c r="ONI74" s="179"/>
      <c r="ONJ74"/>
      <c r="ONK74" s="180"/>
      <c r="ONL74"/>
      <c r="ONM74" s="172"/>
      <c r="ONN74" s="181"/>
      <c r="ONO74"/>
      <c r="ONP74" s="174"/>
      <c r="ONQ74" s="175"/>
      <c r="ONR74" s="176"/>
      <c r="ONS74" s="176"/>
      <c r="ONT74" s="175"/>
      <c r="ONU74" s="177"/>
      <c r="ONV74" s="175"/>
      <c r="ONW74" s="177"/>
      <c r="ONX74" s="178"/>
      <c r="ONY74" s="179"/>
      <c r="ONZ74"/>
      <c r="OOA74" s="180"/>
      <c r="OOB74"/>
      <c r="OOC74" s="172"/>
      <c r="OOD74" s="181"/>
      <c r="OOE74"/>
      <c r="OOF74" s="174"/>
      <c r="OOG74" s="175"/>
      <c r="OOH74" s="176"/>
      <c r="OOI74" s="176"/>
      <c r="OOJ74" s="175"/>
      <c r="OOK74" s="177"/>
      <c r="OOL74" s="175"/>
      <c r="OOM74" s="177"/>
      <c r="OON74" s="178"/>
      <c r="OOO74" s="179"/>
      <c r="OOP74"/>
      <c r="OOQ74" s="180"/>
      <c r="OOR74"/>
      <c r="OOS74" s="172"/>
      <c r="OOT74" s="181"/>
      <c r="OOU74"/>
      <c r="OOV74" s="174"/>
      <c r="OOW74" s="175"/>
      <c r="OOX74" s="176"/>
      <c r="OOY74" s="176"/>
      <c r="OOZ74" s="175"/>
      <c r="OPA74" s="177"/>
      <c r="OPB74" s="175"/>
      <c r="OPC74" s="177"/>
      <c r="OPD74" s="178"/>
      <c r="OPE74" s="179"/>
      <c r="OPF74"/>
      <c r="OPG74" s="180"/>
      <c r="OPH74"/>
      <c r="OPI74" s="172"/>
      <c r="OPJ74" s="181"/>
      <c r="OPK74"/>
      <c r="OPL74" s="174"/>
      <c r="OPM74" s="175"/>
      <c r="OPN74" s="176"/>
      <c r="OPO74" s="176"/>
      <c r="OPP74" s="175"/>
      <c r="OPQ74" s="177"/>
      <c r="OPR74" s="175"/>
      <c r="OPS74" s="177"/>
      <c r="OPT74" s="178"/>
      <c r="OPU74" s="179"/>
      <c r="OPV74"/>
      <c r="OPW74" s="180"/>
      <c r="OPX74"/>
      <c r="OPY74" s="172"/>
      <c r="OPZ74" s="181"/>
      <c r="OQA74"/>
      <c r="OQB74" s="174"/>
      <c r="OQC74" s="175"/>
      <c r="OQD74" s="176"/>
      <c r="OQE74" s="176"/>
      <c r="OQF74" s="175"/>
      <c r="OQG74" s="177"/>
      <c r="OQH74" s="175"/>
      <c r="OQI74" s="177"/>
      <c r="OQJ74" s="178"/>
      <c r="OQK74" s="179"/>
      <c r="OQL74"/>
      <c r="OQM74" s="180"/>
      <c r="OQN74"/>
      <c r="OQO74" s="172"/>
      <c r="OQP74" s="181"/>
      <c r="OQQ74"/>
      <c r="OQR74" s="174"/>
      <c r="OQS74" s="175"/>
      <c r="OQT74" s="176"/>
      <c r="OQU74" s="176"/>
      <c r="OQV74" s="175"/>
      <c r="OQW74" s="177"/>
      <c r="OQX74" s="175"/>
      <c r="OQY74" s="177"/>
      <c r="OQZ74" s="178"/>
      <c r="ORA74" s="179"/>
      <c r="ORB74"/>
      <c r="ORC74" s="180"/>
      <c r="ORD74"/>
      <c r="ORE74" s="172"/>
      <c r="ORF74" s="181"/>
      <c r="ORG74"/>
      <c r="ORH74" s="174"/>
      <c r="ORI74" s="175"/>
      <c r="ORJ74" s="176"/>
      <c r="ORK74" s="176"/>
      <c r="ORL74" s="175"/>
      <c r="ORM74" s="177"/>
      <c r="ORN74" s="175"/>
      <c r="ORO74" s="177"/>
      <c r="ORP74" s="178"/>
      <c r="ORQ74" s="179"/>
      <c r="ORR74"/>
      <c r="ORS74" s="180"/>
      <c r="ORT74"/>
      <c r="ORU74" s="172"/>
      <c r="ORV74" s="181"/>
      <c r="ORW74"/>
      <c r="ORX74" s="174"/>
      <c r="ORY74" s="175"/>
      <c r="ORZ74" s="176"/>
      <c r="OSA74" s="176"/>
      <c r="OSB74" s="175"/>
      <c r="OSC74" s="177"/>
      <c r="OSD74" s="175"/>
      <c r="OSE74" s="177"/>
      <c r="OSF74" s="178"/>
      <c r="OSG74" s="179"/>
      <c r="OSH74"/>
      <c r="OSI74" s="180"/>
      <c r="OSJ74"/>
      <c r="OSK74" s="172"/>
      <c r="OSL74" s="181"/>
      <c r="OSM74"/>
      <c r="OSN74" s="174"/>
      <c r="OSO74" s="175"/>
      <c r="OSP74" s="176"/>
      <c r="OSQ74" s="176"/>
      <c r="OSR74" s="175"/>
      <c r="OSS74" s="177"/>
      <c r="OST74" s="175"/>
      <c r="OSU74" s="177"/>
      <c r="OSV74" s="178"/>
      <c r="OSW74" s="179"/>
      <c r="OSX74"/>
      <c r="OSY74" s="180"/>
      <c r="OSZ74"/>
      <c r="OTA74" s="172"/>
      <c r="OTB74" s="181"/>
      <c r="OTC74"/>
      <c r="OTD74" s="174"/>
      <c r="OTE74" s="175"/>
      <c r="OTF74" s="176"/>
      <c r="OTG74" s="176"/>
      <c r="OTH74" s="175"/>
      <c r="OTI74" s="177"/>
      <c r="OTJ74" s="175"/>
      <c r="OTK74" s="177"/>
      <c r="OTL74" s="178"/>
      <c r="OTM74" s="179"/>
      <c r="OTN74"/>
      <c r="OTO74" s="180"/>
      <c r="OTP74"/>
      <c r="OTQ74" s="172"/>
      <c r="OTR74" s="181"/>
      <c r="OTS74"/>
      <c r="OTT74" s="174"/>
      <c r="OTU74" s="175"/>
      <c r="OTV74" s="176"/>
      <c r="OTW74" s="176"/>
      <c r="OTX74" s="175"/>
      <c r="OTY74" s="177"/>
      <c r="OTZ74" s="175"/>
      <c r="OUA74" s="177"/>
      <c r="OUB74" s="178"/>
      <c r="OUC74" s="179"/>
      <c r="OUD74"/>
      <c r="OUE74" s="180"/>
      <c r="OUF74"/>
      <c r="OUG74" s="172"/>
      <c r="OUH74" s="181"/>
      <c r="OUI74"/>
      <c r="OUJ74" s="174"/>
      <c r="OUK74" s="175"/>
      <c r="OUL74" s="176"/>
      <c r="OUM74" s="176"/>
      <c r="OUN74" s="175"/>
      <c r="OUO74" s="177"/>
      <c r="OUP74" s="175"/>
      <c r="OUQ74" s="177"/>
      <c r="OUR74" s="178"/>
      <c r="OUS74" s="179"/>
      <c r="OUT74"/>
      <c r="OUU74" s="180"/>
      <c r="OUV74"/>
      <c r="OUW74" s="172"/>
      <c r="OUX74" s="181"/>
      <c r="OUY74"/>
      <c r="OUZ74" s="174"/>
      <c r="OVA74" s="175"/>
      <c r="OVB74" s="176"/>
      <c r="OVC74" s="176"/>
      <c r="OVD74" s="175"/>
      <c r="OVE74" s="177"/>
      <c r="OVF74" s="175"/>
      <c r="OVG74" s="177"/>
      <c r="OVH74" s="178"/>
      <c r="OVI74" s="179"/>
      <c r="OVJ74"/>
      <c r="OVK74" s="180"/>
      <c r="OVL74"/>
      <c r="OVM74" s="172"/>
      <c r="OVN74" s="181"/>
      <c r="OVO74"/>
      <c r="OVP74" s="174"/>
      <c r="OVQ74" s="175"/>
      <c r="OVR74" s="176"/>
      <c r="OVS74" s="176"/>
      <c r="OVT74" s="175"/>
      <c r="OVU74" s="177"/>
      <c r="OVV74" s="175"/>
      <c r="OVW74" s="177"/>
      <c r="OVX74" s="178"/>
      <c r="OVY74" s="179"/>
      <c r="OVZ74"/>
      <c r="OWA74" s="180"/>
      <c r="OWB74"/>
      <c r="OWC74" s="172"/>
      <c r="OWD74" s="181"/>
      <c r="OWE74"/>
      <c r="OWF74" s="174"/>
      <c r="OWG74" s="175"/>
      <c r="OWH74" s="176"/>
      <c r="OWI74" s="176"/>
      <c r="OWJ74" s="175"/>
      <c r="OWK74" s="177"/>
      <c r="OWL74" s="175"/>
      <c r="OWM74" s="177"/>
      <c r="OWN74" s="178"/>
      <c r="OWO74" s="179"/>
      <c r="OWP74"/>
      <c r="OWQ74" s="180"/>
      <c r="OWR74"/>
      <c r="OWS74" s="172"/>
      <c r="OWT74" s="181"/>
      <c r="OWU74"/>
      <c r="OWV74" s="174"/>
      <c r="OWW74" s="175"/>
      <c r="OWX74" s="176"/>
      <c r="OWY74" s="176"/>
      <c r="OWZ74" s="175"/>
      <c r="OXA74" s="177"/>
      <c r="OXB74" s="175"/>
      <c r="OXC74" s="177"/>
      <c r="OXD74" s="178"/>
      <c r="OXE74" s="179"/>
      <c r="OXF74"/>
      <c r="OXG74" s="180"/>
      <c r="OXH74"/>
      <c r="OXI74" s="172"/>
      <c r="OXJ74" s="181"/>
      <c r="OXK74"/>
      <c r="OXL74" s="174"/>
      <c r="OXM74" s="175"/>
      <c r="OXN74" s="176"/>
      <c r="OXO74" s="176"/>
      <c r="OXP74" s="175"/>
      <c r="OXQ74" s="177"/>
      <c r="OXR74" s="175"/>
      <c r="OXS74" s="177"/>
      <c r="OXT74" s="178"/>
      <c r="OXU74" s="179"/>
      <c r="OXV74"/>
      <c r="OXW74" s="180"/>
      <c r="OXX74"/>
      <c r="OXY74" s="172"/>
      <c r="OXZ74" s="181"/>
      <c r="OYA74"/>
      <c r="OYB74" s="174"/>
      <c r="OYC74" s="175"/>
      <c r="OYD74" s="176"/>
      <c r="OYE74" s="176"/>
      <c r="OYF74" s="175"/>
      <c r="OYG74" s="177"/>
      <c r="OYH74" s="175"/>
      <c r="OYI74" s="177"/>
      <c r="OYJ74" s="178"/>
      <c r="OYK74" s="179"/>
      <c r="OYL74"/>
      <c r="OYM74" s="180"/>
      <c r="OYN74"/>
      <c r="OYO74" s="172"/>
      <c r="OYP74" s="181"/>
      <c r="OYQ74"/>
      <c r="OYR74" s="174"/>
      <c r="OYS74" s="175"/>
      <c r="OYT74" s="176"/>
      <c r="OYU74" s="176"/>
      <c r="OYV74" s="175"/>
      <c r="OYW74" s="177"/>
      <c r="OYX74" s="175"/>
      <c r="OYY74" s="177"/>
      <c r="OYZ74" s="178"/>
      <c r="OZA74" s="179"/>
      <c r="OZB74"/>
      <c r="OZC74" s="180"/>
      <c r="OZD74"/>
      <c r="OZE74" s="172"/>
      <c r="OZF74" s="181"/>
      <c r="OZG74"/>
      <c r="OZH74" s="174"/>
      <c r="OZI74" s="175"/>
      <c r="OZJ74" s="176"/>
      <c r="OZK74" s="176"/>
      <c r="OZL74" s="175"/>
      <c r="OZM74" s="177"/>
      <c r="OZN74" s="175"/>
      <c r="OZO74" s="177"/>
      <c r="OZP74" s="178"/>
      <c r="OZQ74" s="179"/>
      <c r="OZR74"/>
      <c r="OZS74" s="180"/>
      <c r="OZT74"/>
      <c r="OZU74" s="172"/>
      <c r="OZV74" s="181"/>
      <c r="OZW74"/>
      <c r="OZX74" s="174"/>
      <c r="OZY74" s="175"/>
      <c r="OZZ74" s="176"/>
      <c r="PAA74" s="176"/>
      <c r="PAB74" s="175"/>
      <c r="PAC74" s="177"/>
      <c r="PAD74" s="175"/>
      <c r="PAE74" s="177"/>
      <c r="PAF74" s="178"/>
      <c r="PAG74" s="179"/>
      <c r="PAH74"/>
      <c r="PAI74" s="180"/>
      <c r="PAJ74"/>
      <c r="PAK74" s="172"/>
      <c r="PAL74" s="181"/>
      <c r="PAM74"/>
      <c r="PAN74" s="174"/>
      <c r="PAO74" s="175"/>
      <c r="PAP74" s="176"/>
      <c r="PAQ74" s="176"/>
      <c r="PAR74" s="175"/>
      <c r="PAS74" s="177"/>
      <c r="PAT74" s="175"/>
      <c r="PAU74" s="177"/>
      <c r="PAV74" s="178"/>
      <c r="PAW74" s="179"/>
      <c r="PAX74"/>
      <c r="PAY74" s="180"/>
      <c r="PAZ74"/>
      <c r="PBA74" s="172"/>
      <c r="PBB74" s="181"/>
      <c r="PBC74"/>
      <c r="PBD74" s="174"/>
      <c r="PBE74" s="175"/>
      <c r="PBF74" s="176"/>
      <c r="PBG74" s="176"/>
      <c r="PBH74" s="175"/>
      <c r="PBI74" s="177"/>
      <c r="PBJ74" s="175"/>
      <c r="PBK74" s="177"/>
      <c r="PBL74" s="178"/>
      <c r="PBM74" s="179"/>
      <c r="PBN74"/>
      <c r="PBO74" s="180"/>
      <c r="PBP74"/>
      <c r="PBQ74" s="172"/>
      <c r="PBR74" s="181"/>
      <c r="PBS74"/>
      <c r="PBT74" s="174"/>
      <c r="PBU74" s="175"/>
      <c r="PBV74" s="176"/>
      <c r="PBW74" s="176"/>
      <c r="PBX74" s="175"/>
      <c r="PBY74" s="177"/>
      <c r="PBZ74" s="175"/>
      <c r="PCA74" s="177"/>
      <c r="PCB74" s="178"/>
      <c r="PCC74" s="179"/>
      <c r="PCD74"/>
      <c r="PCE74" s="180"/>
      <c r="PCF74"/>
      <c r="PCG74" s="172"/>
      <c r="PCH74" s="181"/>
      <c r="PCI74"/>
      <c r="PCJ74" s="174"/>
      <c r="PCK74" s="175"/>
      <c r="PCL74" s="176"/>
      <c r="PCM74" s="176"/>
      <c r="PCN74" s="175"/>
      <c r="PCO74" s="177"/>
      <c r="PCP74" s="175"/>
      <c r="PCQ74" s="177"/>
      <c r="PCR74" s="178"/>
      <c r="PCS74" s="179"/>
      <c r="PCT74"/>
      <c r="PCU74" s="180"/>
      <c r="PCV74"/>
      <c r="PCW74" s="172"/>
      <c r="PCX74" s="181"/>
      <c r="PCY74"/>
      <c r="PCZ74" s="174"/>
      <c r="PDA74" s="175"/>
      <c r="PDB74" s="176"/>
      <c r="PDC74" s="176"/>
      <c r="PDD74" s="175"/>
      <c r="PDE74" s="177"/>
      <c r="PDF74" s="175"/>
      <c r="PDG74" s="177"/>
      <c r="PDH74" s="178"/>
      <c r="PDI74" s="179"/>
      <c r="PDJ74"/>
      <c r="PDK74" s="180"/>
      <c r="PDL74"/>
      <c r="PDM74" s="172"/>
      <c r="PDN74" s="181"/>
      <c r="PDO74"/>
      <c r="PDP74" s="174"/>
      <c r="PDQ74" s="175"/>
      <c r="PDR74" s="176"/>
      <c r="PDS74" s="176"/>
      <c r="PDT74" s="175"/>
      <c r="PDU74" s="177"/>
      <c r="PDV74" s="175"/>
      <c r="PDW74" s="177"/>
      <c r="PDX74" s="178"/>
      <c r="PDY74" s="179"/>
      <c r="PDZ74"/>
      <c r="PEA74" s="180"/>
      <c r="PEB74"/>
      <c r="PEC74" s="172"/>
      <c r="PED74" s="181"/>
      <c r="PEE74"/>
      <c r="PEF74" s="174"/>
      <c r="PEG74" s="175"/>
      <c r="PEH74" s="176"/>
      <c r="PEI74" s="176"/>
      <c r="PEJ74" s="175"/>
      <c r="PEK74" s="177"/>
      <c r="PEL74" s="175"/>
      <c r="PEM74" s="177"/>
      <c r="PEN74" s="178"/>
      <c r="PEO74" s="179"/>
      <c r="PEP74"/>
      <c r="PEQ74" s="180"/>
      <c r="PER74"/>
      <c r="PES74" s="172"/>
      <c r="PET74" s="181"/>
      <c r="PEU74"/>
      <c r="PEV74" s="174"/>
      <c r="PEW74" s="175"/>
      <c r="PEX74" s="176"/>
      <c r="PEY74" s="176"/>
      <c r="PEZ74" s="175"/>
      <c r="PFA74" s="177"/>
      <c r="PFB74" s="175"/>
      <c r="PFC74" s="177"/>
      <c r="PFD74" s="178"/>
      <c r="PFE74" s="179"/>
      <c r="PFF74"/>
      <c r="PFG74" s="180"/>
      <c r="PFH74"/>
      <c r="PFI74" s="172"/>
      <c r="PFJ74" s="181"/>
      <c r="PFK74"/>
      <c r="PFL74" s="174"/>
      <c r="PFM74" s="175"/>
      <c r="PFN74" s="176"/>
      <c r="PFO74" s="176"/>
      <c r="PFP74" s="175"/>
      <c r="PFQ74" s="177"/>
      <c r="PFR74" s="175"/>
      <c r="PFS74" s="177"/>
      <c r="PFT74" s="178"/>
      <c r="PFU74" s="179"/>
      <c r="PFV74"/>
      <c r="PFW74" s="180"/>
      <c r="PFX74"/>
      <c r="PFY74" s="172"/>
      <c r="PFZ74" s="181"/>
      <c r="PGA74"/>
      <c r="PGB74" s="174"/>
      <c r="PGC74" s="175"/>
      <c r="PGD74" s="176"/>
      <c r="PGE74" s="176"/>
      <c r="PGF74" s="175"/>
      <c r="PGG74" s="177"/>
      <c r="PGH74" s="175"/>
      <c r="PGI74" s="177"/>
      <c r="PGJ74" s="178"/>
      <c r="PGK74" s="179"/>
      <c r="PGL74"/>
      <c r="PGM74" s="180"/>
      <c r="PGN74"/>
      <c r="PGO74" s="172"/>
      <c r="PGP74" s="181"/>
      <c r="PGQ74"/>
      <c r="PGR74" s="174"/>
      <c r="PGS74" s="175"/>
      <c r="PGT74" s="176"/>
      <c r="PGU74" s="176"/>
      <c r="PGV74" s="175"/>
      <c r="PGW74" s="177"/>
      <c r="PGX74" s="175"/>
      <c r="PGY74" s="177"/>
      <c r="PGZ74" s="178"/>
      <c r="PHA74" s="179"/>
      <c r="PHB74"/>
      <c r="PHC74" s="180"/>
      <c r="PHD74"/>
      <c r="PHE74" s="172"/>
      <c r="PHF74" s="181"/>
      <c r="PHG74"/>
      <c r="PHH74" s="174"/>
      <c r="PHI74" s="175"/>
      <c r="PHJ74" s="176"/>
      <c r="PHK74" s="176"/>
      <c r="PHL74" s="175"/>
      <c r="PHM74" s="177"/>
      <c r="PHN74" s="175"/>
      <c r="PHO74" s="177"/>
      <c r="PHP74" s="178"/>
      <c r="PHQ74" s="179"/>
      <c r="PHR74"/>
      <c r="PHS74" s="180"/>
      <c r="PHT74"/>
      <c r="PHU74" s="172"/>
      <c r="PHV74" s="181"/>
      <c r="PHW74"/>
      <c r="PHX74" s="174"/>
      <c r="PHY74" s="175"/>
      <c r="PHZ74" s="176"/>
      <c r="PIA74" s="176"/>
      <c r="PIB74" s="175"/>
      <c r="PIC74" s="177"/>
      <c r="PID74" s="175"/>
      <c r="PIE74" s="177"/>
      <c r="PIF74" s="178"/>
      <c r="PIG74" s="179"/>
      <c r="PIH74"/>
      <c r="PII74" s="180"/>
      <c r="PIJ74"/>
      <c r="PIK74" s="172"/>
      <c r="PIL74" s="181"/>
      <c r="PIM74"/>
      <c r="PIN74" s="174"/>
      <c r="PIO74" s="175"/>
      <c r="PIP74" s="176"/>
      <c r="PIQ74" s="176"/>
      <c r="PIR74" s="175"/>
      <c r="PIS74" s="177"/>
      <c r="PIT74" s="175"/>
      <c r="PIU74" s="177"/>
      <c r="PIV74" s="178"/>
      <c r="PIW74" s="179"/>
      <c r="PIX74"/>
      <c r="PIY74" s="180"/>
      <c r="PIZ74"/>
      <c r="PJA74" s="172"/>
      <c r="PJB74" s="181"/>
      <c r="PJC74"/>
      <c r="PJD74" s="174"/>
      <c r="PJE74" s="175"/>
      <c r="PJF74" s="176"/>
      <c r="PJG74" s="176"/>
      <c r="PJH74" s="175"/>
      <c r="PJI74" s="177"/>
      <c r="PJJ74" s="175"/>
      <c r="PJK74" s="177"/>
      <c r="PJL74" s="178"/>
      <c r="PJM74" s="179"/>
      <c r="PJN74"/>
      <c r="PJO74" s="180"/>
      <c r="PJP74"/>
      <c r="PJQ74" s="172"/>
      <c r="PJR74" s="181"/>
      <c r="PJS74"/>
      <c r="PJT74" s="174"/>
      <c r="PJU74" s="175"/>
      <c r="PJV74" s="176"/>
      <c r="PJW74" s="176"/>
      <c r="PJX74" s="175"/>
      <c r="PJY74" s="177"/>
      <c r="PJZ74" s="175"/>
      <c r="PKA74" s="177"/>
      <c r="PKB74" s="178"/>
      <c r="PKC74" s="179"/>
      <c r="PKD74"/>
      <c r="PKE74" s="180"/>
      <c r="PKF74"/>
      <c r="PKG74" s="172"/>
      <c r="PKH74" s="181"/>
      <c r="PKI74"/>
      <c r="PKJ74" s="174"/>
      <c r="PKK74" s="175"/>
      <c r="PKL74" s="176"/>
      <c r="PKM74" s="176"/>
      <c r="PKN74" s="175"/>
      <c r="PKO74" s="177"/>
      <c r="PKP74" s="175"/>
      <c r="PKQ74" s="177"/>
      <c r="PKR74" s="178"/>
      <c r="PKS74" s="179"/>
      <c r="PKT74"/>
      <c r="PKU74" s="180"/>
      <c r="PKV74"/>
      <c r="PKW74" s="172"/>
      <c r="PKX74" s="181"/>
      <c r="PKY74"/>
      <c r="PKZ74" s="174"/>
      <c r="PLA74" s="175"/>
      <c r="PLB74" s="176"/>
      <c r="PLC74" s="176"/>
      <c r="PLD74" s="175"/>
      <c r="PLE74" s="177"/>
      <c r="PLF74" s="175"/>
      <c r="PLG74" s="177"/>
      <c r="PLH74" s="178"/>
      <c r="PLI74" s="179"/>
      <c r="PLJ74"/>
      <c r="PLK74" s="180"/>
      <c r="PLL74"/>
      <c r="PLM74" s="172"/>
      <c r="PLN74" s="181"/>
      <c r="PLO74"/>
      <c r="PLP74" s="174"/>
      <c r="PLQ74" s="175"/>
      <c r="PLR74" s="176"/>
      <c r="PLS74" s="176"/>
      <c r="PLT74" s="175"/>
      <c r="PLU74" s="177"/>
      <c r="PLV74" s="175"/>
      <c r="PLW74" s="177"/>
      <c r="PLX74" s="178"/>
      <c r="PLY74" s="179"/>
      <c r="PLZ74"/>
      <c r="PMA74" s="180"/>
      <c r="PMB74"/>
      <c r="PMC74" s="172"/>
      <c r="PMD74" s="181"/>
      <c r="PME74"/>
      <c r="PMF74" s="174"/>
      <c r="PMG74" s="175"/>
      <c r="PMH74" s="176"/>
      <c r="PMI74" s="176"/>
      <c r="PMJ74" s="175"/>
      <c r="PMK74" s="177"/>
      <c r="PML74" s="175"/>
      <c r="PMM74" s="177"/>
      <c r="PMN74" s="178"/>
      <c r="PMO74" s="179"/>
      <c r="PMP74"/>
      <c r="PMQ74" s="180"/>
      <c r="PMR74"/>
      <c r="PMS74" s="172"/>
      <c r="PMT74" s="181"/>
      <c r="PMU74"/>
      <c r="PMV74" s="174"/>
      <c r="PMW74" s="175"/>
      <c r="PMX74" s="176"/>
      <c r="PMY74" s="176"/>
      <c r="PMZ74" s="175"/>
      <c r="PNA74" s="177"/>
      <c r="PNB74" s="175"/>
      <c r="PNC74" s="177"/>
      <c r="PND74" s="178"/>
      <c r="PNE74" s="179"/>
      <c r="PNF74"/>
      <c r="PNG74" s="180"/>
      <c r="PNH74"/>
      <c r="PNI74" s="172"/>
      <c r="PNJ74" s="181"/>
      <c r="PNK74"/>
      <c r="PNL74" s="174"/>
      <c r="PNM74" s="175"/>
      <c r="PNN74" s="176"/>
      <c r="PNO74" s="176"/>
      <c r="PNP74" s="175"/>
      <c r="PNQ74" s="177"/>
      <c r="PNR74" s="175"/>
      <c r="PNS74" s="177"/>
      <c r="PNT74" s="178"/>
      <c r="PNU74" s="179"/>
      <c r="PNV74"/>
      <c r="PNW74" s="180"/>
      <c r="PNX74"/>
      <c r="PNY74" s="172"/>
      <c r="PNZ74" s="181"/>
      <c r="POA74"/>
      <c r="POB74" s="174"/>
      <c r="POC74" s="175"/>
      <c r="POD74" s="176"/>
      <c r="POE74" s="176"/>
      <c r="POF74" s="175"/>
      <c r="POG74" s="177"/>
      <c r="POH74" s="175"/>
      <c r="POI74" s="177"/>
      <c r="POJ74" s="178"/>
      <c r="POK74" s="179"/>
      <c r="POL74"/>
      <c r="POM74" s="180"/>
      <c r="PON74"/>
      <c r="POO74" s="172"/>
      <c r="POP74" s="181"/>
      <c r="POQ74"/>
      <c r="POR74" s="174"/>
      <c r="POS74" s="175"/>
      <c r="POT74" s="176"/>
      <c r="POU74" s="176"/>
      <c r="POV74" s="175"/>
      <c r="POW74" s="177"/>
      <c r="POX74" s="175"/>
      <c r="POY74" s="177"/>
      <c r="POZ74" s="178"/>
      <c r="PPA74" s="179"/>
      <c r="PPB74"/>
      <c r="PPC74" s="180"/>
      <c r="PPD74"/>
      <c r="PPE74" s="172"/>
      <c r="PPF74" s="181"/>
      <c r="PPG74"/>
      <c r="PPH74" s="174"/>
      <c r="PPI74" s="175"/>
      <c r="PPJ74" s="176"/>
      <c r="PPK74" s="176"/>
      <c r="PPL74" s="175"/>
      <c r="PPM74" s="177"/>
      <c r="PPN74" s="175"/>
      <c r="PPO74" s="177"/>
      <c r="PPP74" s="178"/>
      <c r="PPQ74" s="179"/>
      <c r="PPR74"/>
      <c r="PPS74" s="180"/>
      <c r="PPT74"/>
      <c r="PPU74" s="172"/>
      <c r="PPV74" s="181"/>
      <c r="PPW74"/>
      <c r="PPX74" s="174"/>
      <c r="PPY74" s="175"/>
      <c r="PPZ74" s="176"/>
      <c r="PQA74" s="176"/>
      <c r="PQB74" s="175"/>
      <c r="PQC74" s="177"/>
      <c r="PQD74" s="175"/>
      <c r="PQE74" s="177"/>
      <c r="PQF74" s="178"/>
      <c r="PQG74" s="179"/>
      <c r="PQH74"/>
      <c r="PQI74" s="180"/>
      <c r="PQJ74"/>
      <c r="PQK74" s="172"/>
      <c r="PQL74" s="181"/>
      <c r="PQM74"/>
      <c r="PQN74" s="174"/>
      <c r="PQO74" s="175"/>
      <c r="PQP74" s="176"/>
      <c r="PQQ74" s="176"/>
      <c r="PQR74" s="175"/>
      <c r="PQS74" s="177"/>
      <c r="PQT74" s="175"/>
      <c r="PQU74" s="177"/>
      <c r="PQV74" s="178"/>
      <c r="PQW74" s="179"/>
      <c r="PQX74"/>
      <c r="PQY74" s="180"/>
      <c r="PQZ74"/>
      <c r="PRA74" s="172"/>
      <c r="PRB74" s="181"/>
      <c r="PRC74"/>
      <c r="PRD74" s="174"/>
      <c r="PRE74" s="175"/>
      <c r="PRF74" s="176"/>
      <c r="PRG74" s="176"/>
      <c r="PRH74" s="175"/>
      <c r="PRI74" s="177"/>
      <c r="PRJ74" s="175"/>
      <c r="PRK74" s="177"/>
      <c r="PRL74" s="178"/>
      <c r="PRM74" s="179"/>
      <c r="PRN74"/>
      <c r="PRO74" s="180"/>
      <c r="PRP74"/>
      <c r="PRQ74" s="172"/>
      <c r="PRR74" s="181"/>
      <c r="PRS74"/>
      <c r="PRT74" s="174"/>
      <c r="PRU74" s="175"/>
      <c r="PRV74" s="176"/>
      <c r="PRW74" s="176"/>
      <c r="PRX74" s="175"/>
      <c r="PRY74" s="177"/>
      <c r="PRZ74" s="175"/>
      <c r="PSA74" s="177"/>
      <c r="PSB74" s="178"/>
      <c r="PSC74" s="179"/>
      <c r="PSD74"/>
      <c r="PSE74" s="180"/>
      <c r="PSF74"/>
      <c r="PSG74" s="172"/>
      <c r="PSH74" s="181"/>
      <c r="PSI74"/>
      <c r="PSJ74" s="174"/>
      <c r="PSK74" s="175"/>
      <c r="PSL74" s="176"/>
      <c r="PSM74" s="176"/>
      <c r="PSN74" s="175"/>
      <c r="PSO74" s="177"/>
      <c r="PSP74" s="175"/>
      <c r="PSQ74" s="177"/>
      <c r="PSR74" s="178"/>
      <c r="PSS74" s="179"/>
      <c r="PST74"/>
      <c r="PSU74" s="180"/>
      <c r="PSV74"/>
      <c r="PSW74" s="172"/>
      <c r="PSX74" s="181"/>
      <c r="PSY74"/>
      <c r="PSZ74" s="174"/>
      <c r="PTA74" s="175"/>
      <c r="PTB74" s="176"/>
      <c r="PTC74" s="176"/>
      <c r="PTD74" s="175"/>
      <c r="PTE74" s="177"/>
      <c r="PTF74" s="175"/>
      <c r="PTG74" s="177"/>
      <c r="PTH74" s="178"/>
      <c r="PTI74" s="179"/>
      <c r="PTJ74"/>
      <c r="PTK74" s="180"/>
      <c r="PTL74"/>
      <c r="PTM74" s="172"/>
      <c r="PTN74" s="181"/>
      <c r="PTO74"/>
      <c r="PTP74" s="174"/>
      <c r="PTQ74" s="175"/>
      <c r="PTR74" s="176"/>
      <c r="PTS74" s="176"/>
      <c r="PTT74" s="175"/>
      <c r="PTU74" s="177"/>
      <c r="PTV74" s="175"/>
      <c r="PTW74" s="177"/>
      <c r="PTX74" s="178"/>
      <c r="PTY74" s="179"/>
      <c r="PTZ74"/>
      <c r="PUA74" s="180"/>
      <c r="PUB74"/>
      <c r="PUC74" s="172"/>
      <c r="PUD74" s="181"/>
      <c r="PUE74"/>
      <c r="PUF74" s="174"/>
      <c r="PUG74" s="175"/>
      <c r="PUH74" s="176"/>
      <c r="PUI74" s="176"/>
      <c r="PUJ74" s="175"/>
      <c r="PUK74" s="177"/>
      <c r="PUL74" s="175"/>
      <c r="PUM74" s="177"/>
      <c r="PUN74" s="178"/>
      <c r="PUO74" s="179"/>
      <c r="PUP74"/>
      <c r="PUQ74" s="180"/>
      <c r="PUR74"/>
      <c r="PUS74" s="172"/>
      <c r="PUT74" s="181"/>
      <c r="PUU74"/>
      <c r="PUV74" s="174"/>
      <c r="PUW74" s="175"/>
      <c r="PUX74" s="176"/>
      <c r="PUY74" s="176"/>
      <c r="PUZ74" s="175"/>
      <c r="PVA74" s="177"/>
      <c r="PVB74" s="175"/>
      <c r="PVC74" s="177"/>
      <c r="PVD74" s="178"/>
      <c r="PVE74" s="179"/>
      <c r="PVF74"/>
      <c r="PVG74" s="180"/>
      <c r="PVH74"/>
      <c r="PVI74" s="172"/>
      <c r="PVJ74" s="181"/>
      <c r="PVK74"/>
      <c r="PVL74" s="174"/>
      <c r="PVM74" s="175"/>
      <c r="PVN74" s="176"/>
      <c r="PVO74" s="176"/>
      <c r="PVP74" s="175"/>
      <c r="PVQ74" s="177"/>
      <c r="PVR74" s="175"/>
      <c r="PVS74" s="177"/>
      <c r="PVT74" s="178"/>
      <c r="PVU74" s="179"/>
      <c r="PVV74"/>
      <c r="PVW74" s="180"/>
      <c r="PVX74"/>
      <c r="PVY74" s="172"/>
      <c r="PVZ74" s="181"/>
      <c r="PWA74"/>
      <c r="PWB74" s="174"/>
      <c r="PWC74" s="175"/>
      <c r="PWD74" s="176"/>
      <c r="PWE74" s="176"/>
      <c r="PWF74" s="175"/>
      <c r="PWG74" s="177"/>
      <c r="PWH74" s="175"/>
      <c r="PWI74" s="177"/>
      <c r="PWJ74" s="178"/>
      <c r="PWK74" s="179"/>
      <c r="PWL74"/>
      <c r="PWM74" s="180"/>
      <c r="PWN74"/>
      <c r="PWO74" s="172"/>
      <c r="PWP74" s="181"/>
      <c r="PWQ74"/>
      <c r="PWR74" s="174"/>
      <c r="PWS74" s="175"/>
      <c r="PWT74" s="176"/>
      <c r="PWU74" s="176"/>
      <c r="PWV74" s="175"/>
      <c r="PWW74" s="177"/>
      <c r="PWX74" s="175"/>
      <c r="PWY74" s="177"/>
      <c r="PWZ74" s="178"/>
      <c r="PXA74" s="179"/>
      <c r="PXB74"/>
      <c r="PXC74" s="180"/>
      <c r="PXD74"/>
      <c r="PXE74" s="172"/>
      <c r="PXF74" s="181"/>
      <c r="PXG74"/>
      <c r="PXH74" s="174"/>
      <c r="PXI74" s="175"/>
      <c r="PXJ74" s="176"/>
      <c r="PXK74" s="176"/>
      <c r="PXL74" s="175"/>
      <c r="PXM74" s="177"/>
      <c r="PXN74" s="175"/>
      <c r="PXO74" s="177"/>
      <c r="PXP74" s="178"/>
      <c r="PXQ74" s="179"/>
      <c r="PXR74"/>
      <c r="PXS74" s="180"/>
      <c r="PXT74"/>
      <c r="PXU74" s="172"/>
      <c r="PXV74" s="181"/>
      <c r="PXW74"/>
      <c r="PXX74" s="174"/>
      <c r="PXY74" s="175"/>
      <c r="PXZ74" s="176"/>
      <c r="PYA74" s="176"/>
      <c r="PYB74" s="175"/>
      <c r="PYC74" s="177"/>
      <c r="PYD74" s="175"/>
      <c r="PYE74" s="177"/>
      <c r="PYF74" s="178"/>
      <c r="PYG74" s="179"/>
      <c r="PYH74"/>
      <c r="PYI74" s="180"/>
      <c r="PYJ74"/>
      <c r="PYK74" s="172"/>
      <c r="PYL74" s="181"/>
      <c r="PYM74"/>
      <c r="PYN74" s="174"/>
      <c r="PYO74" s="175"/>
      <c r="PYP74" s="176"/>
      <c r="PYQ74" s="176"/>
      <c r="PYR74" s="175"/>
      <c r="PYS74" s="177"/>
      <c r="PYT74" s="175"/>
      <c r="PYU74" s="177"/>
      <c r="PYV74" s="178"/>
      <c r="PYW74" s="179"/>
      <c r="PYX74"/>
      <c r="PYY74" s="180"/>
      <c r="PYZ74"/>
      <c r="PZA74" s="172"/>
      <c r="PZB74" s="181"/>
      <c r="PZC74"/>
      <c r="PZD74" s="174"/>
      <c r="PZE74" s="175"/>
      <c r="PZF74" s="176"/>
      <c r="PZG74" s="176"/>
      <c r="PZH74" s="175"/>
      <c r="PZI74" s="177"/>
      <c r="PZJ74" s="175"/>
      <c r="PZK74" s="177"/>
      <c r="PZL74" s="178"/>
      <c r="PZM74" s="179"/>
      <c r="PZN74"/>
      <c r="PZO74" s="180"/>
      <c r="PZP74"/>
      <c r="PZQ74" s="172"/>
      <c r="PZR74" s="181"/>
      <c r="PZS74"/>
      <c r="PZT74" s="174"/>
      <c r="PZU74" s="175"/>
      <c r="PZV74" s="176"/>
      <c r="PZW74" s="176"/>
      <c r="PZX74" s="175"/>
      <c r="PZY74" s="177"/>
      <c r="PZZ74" s="175"/>
      <c r="QAA74" s="177"/>
      <c r="QAB74" s="178"/>
      <c r="QAC74" s="179"/>
      <c r="QAD74"/>
      <c r="QAE74" s="180"/>
      <c r="QAF74"/>
      <c r="QAG74" s="172"/>
      <c r="QAH74" s="181"/>
      <c r="QAI74"/>
      <c r="QAJ74" s="174"/>
      <c r="QAK74" s="175"/>
      <c r="QAL74" s="176"/>
      <c r="QAM74" s="176"/>
      <c r="QAN74" s="175"/>
      <c r="QAO74" s="177"/>
      <c r="QAP74" s="175"/>
      <c r="QAQ74" s="177"/>
      <c r="QAR74" s="178"/>
      <c r="QAS74" s="179"/>
      <c r="QAT74"/>
      <c r="QAU74" s="180"/>
      <c r="QAV74"/>
      <c r="QAW74" s="172"/>
      <c r="QAX74" s="181"/>
      <c r="QAY74"/>
      <c r="QAZ74" s="174"/>
      <c r="QBA74" s="175"/>
      <c r="QBB74" s="176"/>
      <c r="QBC74" s="176"/>
      <c r="QBD74" s="175"/>
      <c r="QBE74" s="177"/>
      <c r="QBF74" s="175"/>
      <c r="QBG74" s="177"/>
      <c r="QBH74" s="178"/>
      <c r="QBI74" s="179"/>
      <c r="QBJ74"/>
      <c r="QBK74" s="180"/>
      <c r="QBL74"/>
      <c r="QBM74" s="172"/>
      <c r="QBN74" s="181"/>
      <c r="QBO74"/>
      <c r="QBP74" s="174"/>
      <c r="QBQ74" s="175"/>
      <c r="QBR74" s="176"/>
      <c r="QBS74" s="176"/>
      <c r="QBT74" s="175"/>
      <c r="QBU74" s="177"/>
      <c r="QBV74" s="175"/>
      <c r="QBW74" s="177"/>
      <c r="QBX74" s="178"/>
      <c r="QBY74" s="179"/>
      <c r="QBZ74"/>
      <c r="QCA74" s="180"/>
      <c r="QCB74"/>
      <c r="QCC74" s="172"/>
      <c r="QCD74" s="181"/>
      <c r="QCE74"/>
      <c r="QCF74" s="174"/>
      <c r="QCG74" s="175"/>
      <c r="QCH74" s="176"/>
      <c r="QCI74" s="176"/>
      <c r="QCJ74" s="175"/>
      <c r="QCK74" s="177"/>
      <c r="QCL74" s="175"/>
      <c r="QCM74" s="177"/>
      <c r="QCN74" s="178"/>
      <c r="QCO74" s="179"/>
      <c r="QCP74"/>
      <c r="QCQ74" s="180"/>
      <c r="QCR74"/>
      <c r="QCS74" s="172"/>
      <c r="QCT74" s="181"/>
      <c r="QCU74"/>
      <c r="QCV74" s="174"/>
      <c r="QCW74" s="175"/>
      <c r="QCX74" s="176"/>
      <c r="QCY74" s="176"/>
      <c r="QCZ74" s="175"/>
      <c r="QDA74" s="177"/>
      <c r="QDB74" s="175"/>
      <c r="QDC74" s="177"/>
      <c r="QDD74" s="178"/>
      <c r="QDE74" s="179"/>
      <c r="QDF74"/>
      <c r="QDG74" s="180"/>
      <c r="QDH74"/>
      <c r="QDI74" s="172"/>
      <c r="QDJ74" s="181"/>
      <c r="QDK74"/>
      <c r="QDL74" s="174"/>
      <c r="QDM74" s="175"/>
      <c r="QDN74" s="176"/>
      <c r="QDO74" s="176"/>
      <c r="QDP74" s="175"/>
      <c r="QDQ74" s="177"/>
      <c r="QDR74" s="175"/>
      <c r="QDS74" s="177"/>
      <c r="QDT74" s="178"/>
      <c r="QDU74" s="179"/>
      <c r="QDV74"/>
      <c r="QDW74" s="180"/>
      <c r="QDX74"/>
      <c r="QDY74" s="172"/>
      <c r="QDZ74" s="181"/>
      <c r="QEA74"/>
      <c r="QEB74" s="174"/>
      <c r="QEC74" s="175"/>
      <c r="QED74" s="176"/>
      <c r="QEE74" s="176"/>
      <c r="QEF74" s="175"/>
      <c r="QEG74" s="177"/>
      <c r="QEH74" s="175"/>
      <c r="QEI74" s="177"/>
      <c r="QEJ74" s="178"/>
      <c r="QEK74" s="179"/>
      <c r="QEL74"/>
      <c r="QEM74" s="180"/>
      <c r="QEN74"/>
      <c r="QEO74" s="172"/>
      <c r="QEP74" s="181"/>
      <c r="QEQ74"/>
      <c r="QER74" s="174"/>
      <c r="QES74" s="175"/>
      <c r="QET74" s="176"/>
      <c r="QEU74" s="176"/>
      <c r="QEV74" s="175"/>
      <c r="QEW74" s="177"/>
      <c r="QEX74" s="175"/>
      <c r="QEY74" s="177"/>
      <c r="QEZ74" s="178"/>
      <c r="QFA74" s="179"/>
      <c r="QFB74"/>
      <c r="QFC74" s="180"/>
      <c r="QFD74"/>
      <c r="QFE74" s="172"/>
      <c r="QFF74" s="181"/>
      <c r="QFG74"/>
      <c r="QFH74" s="174"/>
      <c r="QFI74" s="175"/>
      <c r="QFJ74" s="176"/>
      <c r="QFK74" s="176"/>
      <c r="QFL74" s="175"/>
      <c r="QFM74" s="177"/>
      <c r="QFN74" s="175"/>
      <c r="QFO74" s="177"/>
      <c r="QFP74" s="178"/>
      <c r="QFQ74" s="179"/>
      <c r="QFR74"/>
      <c r="QFS74" s="180"/>
      <c r="QFT74"/>
      <c r="QFU74" s="172"/>
      <c r="QFV74" s="181"/>
      <c r="QFW74"/>
      <c r="QFX74" s="174"/>
      <c r="QFY74" s="175"/>
      <c r="QFZ74" s="176"/>
      <c r="QGA74" s="176"/>
      <c r="QGB74" s="175"/>
      <c r="QGC74" s="177"/>
      <c r="QGD74" s="175"/>
      <c r="QGE74" s="177"/>
      <c r="QGF74" s="178"/>
      <c r="QGG74" s="179"/>
      <c r="QGH74"/>
      <c r="QGI74" s="180"/>
      <c r="QGJ74"/>
      <c r="QGK74" s="172"/>
      <c r="QGL74" s="181"/>
      <c r="QGM74"/>
      <c r="QGN74" s="174"/>
      <c r="QGO74" s="175"/>
      <c r="QGP74" s="176"/>
      <c r="QGQ74" s="176"/>
      <c r="QGR74" s="175"/>
      <c r="QGS74" s="177"/>
      <c r="QGT74" s="175"/>
      <c r="QGU74" s="177"/>
      <c r="QGV74" s="178"/>
      <c r="QGW74" s="179"/>
      <c r="QGX74"/>
      <c r="QGY74" s="180"/>
      <c r="QGZ74"/>
      <c r="QHA74" s="172"/>
      <c r="QHB74" s="181"/>
      <c r="QHC74"/>
      <c r="QHD74" s="174"/>
      <c r="QHE74" s="175"/>
      <c r="QHF74" s="176"/>
      <c r="QHG74" s="176"/>
      <c r="QHH74" s="175"/>
      <c r="QHI74" s="177"/>
      <c r="QHJ74" s="175"/>
      <c r="QHK74" s="177"/>
      <c r="QHL74" s="178"/>
      <c r="QHM74" s="179"/>
      <c r="QHN74"/>
      <c r="QHO74" s="180"/>
      <c r="QHP74"/>
      <c r="QHQ74" s="172"/>
      <c r="QHR74" s="181"/>
      <c r="QHS74"/>
      <c r="QHT74" s="174"/>
      <c r="QHU74" s="175"/>
      <c r="QHV74" s="176"/>
      <c r="QHW74" s="176"/>
      <c r="QHX74" s="175"/>
      <c r="QHY74" s="177"/>
      <c r="QHZ74" s="175"/>
      <c r="QIA74" s="177"/>
      <c r="QIB74" s="178"/>
      <c r="QIC74" s="179"/>
      <c r="QID74"/>
      <c r="QIE74" s="180"/>
      <c r="QIF74"/>
      <c r="QIG74" s="172"/>
      <c r="QIH74" s="181"/>
      <c r="QII74"/>
      <c r="QIJ74" s="174"/>
      <c r="QIK74" s="175"/>
      <c r="QIL74" s="176"/>
      <c r="QIM74" s="176"/>
      <c r="QIN74" s="175"/>
      <c r="QIO74" s="177"/>
      <c r="QIP74" s="175"/>
      <c r="QIQ74" s="177"/>
      <c r="QIR74" s="178"/>
      <c r="QIS74" s="179"/>
      <c r="QIT74"/>
      <c r="QIU74" s="180"/>
      <c r="QIV74"/>
      <c r="QIW74" s="172"/>
      <c r="QIX74" s="181"/>
      <c r="QIY74"/>
      <c r="QIZ74" s="174"/>
      <c r="QJA74" s="175"/>
      <c r="QJB74" s="176"/>
      <c r="QJC74" s="176"/>
      <c r="QJD74" s="175"/>
      <c r="QJE74" s="177"/>
      <c r="QJF74" s="175"/>
      <c r="QJG74" s="177"/>
      <c r="QJH74" s="178"/>
      <c r="QJI74" s="179"/>
      <c r="QJJ74"/>
      <c r="QJK74" s="180"/>
      <c r="QJL74"/>
      <c r="QJM74" s="172"/>
      <c r="QJN74" s="181"/>
      <c r="QJO74"/>
      <c r="QJP74" s="174"/>
      <c r="QJQ74" s="175"/>
      <c r="QJR74" s="176"/>
      <c r="QJS74" s="176"/>
      <c r="QJT74" s="175"/>
      <c r="QJU74" s="177"/>
      <c r="QJV74" s="175"/>
      <c r="QJW74" s="177"/>
      <c r="QJX74" s="178"/>
      <c r="QJY74" s="179"/>
      <c r="QJZ74"/>
      <c r="QKA74" s="180"/>
      <c r="QKB74"/>
      <c r="QKC74" s="172"/>
      <c r="QKD74" s="181"/>
      <c r="QKE74"/>
      <c r="QKF74" s="174"/>
      <c r="QKG74" s="175"/>
      <c r="QKH74" s="176"/>
      <c r="QKI74" s="176"/>
      <c r="QKJ74" s="175"/>
      <c r="QKK74" s="177"/>
      <c r="QKL74" s="175"/>
      <c r="QKM74" s="177"/>
      <c r="QKN74" s="178"/>
      <c r="QKO74" s="179"/>
      <c r="QKP74"/>
      <c r="QKQ74" s="180"/>
      <c r="QKR74"/>
      <c r="QKS74" s="172"/>
      <c r="QKT74" s="181"/>
      <c r="QKU74"/>
      <c r="QKV74" s="174"/>
      <c r="QKW74" s="175"/>
      <c r="QKX74" s="176"/>
      <c r="QKY74" s="176"/>
      <c r="QKZ74" s="175"/>
      <c r="QLA74" s="177"/>
      <c r="QLB74" s="175"/>
      <c r="QLC74" s="177"/>
      <c r="QLD74" s="178"/>
      <c r="QLE74" s="179"/>
      <c r="QLF74"/>
      <c r="QLG74" s="180"/>
      <c r="QLH74"/>
      <c r="QLI74" s="172"/>
      <c r="QLJ74" s="181"/>
      <c r="QLK74"/>
      <c r="QLL74" s="174"/>
      <c r="QLM74" s="175"/>
      <c r="QLN74" s="176"/>
      <c r="QLO74" s="176"/>
      <c r="QLP74" s="175"/>
      <c r="QLQ74" s="177"/>
      <c r="QLR74" s="175"/>
      <c r="QLS74" s="177"/>
      <c r="QLT74" s="178"/>
      <c r="QLU74" s="179"/>
      <c r="QLV74"/>
      <c r="QLW74" s="180"/>
      <c r="QLX74"/>
      <c r="QLY74" s="172"/>
      <c r="QLZ74" s="181"/>
      <c r="QMA74"/>
      <c r="QMB74" s="174"/>
      <c r="QMC74" s="175"/>
      <c r="QMD74" s="176"/>
      <c r="QME74" s="176"/>
      <c r="QMF74" s="175"/>
      <c r="QMG74" s="177"/>
      <c r="QMH74" s="175"/>
      <c r="QMI74" s="177"/>
      <c r="QMJ74" s="178"/>
      <c r="QMK74" s="179"/>
      <c r="QML74"/>
      <c r="QMM74" s="180"/>
      <c r="QMN74"/>
      <c r="QMO74" s="172"/>
      <c r="QMP74" s="181"/>
      <c r="QMQ74"/>
      <c r="QMR74" s="174"/>
      <c r="QMS74" s="175"/>
      <c r="QMT74" s="176"/>
      <c r="QMU74" s="176"/>
      <c r="QMV74" s="175"/>
      <c r="QMW74" s="177"/>
      <c r="QMX74" s="175"/>
      <c r="QMY74" s="177"/>
      <c r="QMZ74" s="178"/>
      <c r="QNA74" s="179"/>
      <c r="QNB74"/>
      <c r="QNC74" s="180"/>
      <c r="QND74"/>
      <c r="QNE74" s="172"/>
      <c r="QNF74" s="181"/>
      <c r="QNG74"/>
      <c r="QNH74" s="174"/>
      <c r="QNI74" s="175"/>
      <c r="QNJ74" s="176"/>
      <c r="QNK74" s="176"/>
      <c r="QNL74" s="175"/>
      <c r="QNM74" s="177"/>
      <c r="QNN74" s="175"/>
      <c r="QNO74" s="177"/>
      <c r="QNP74" s="178"/>
      <c r="QNQ74" s="179"/>
      <c r="QNR74"/>
      <c r="QNS74" s="180"/>
      <c r="QNT74"/>
      <c r="QNU74" s="172"/>
      <c r="QNV74" s="181"/>
      <c r="QNW74"/>
      <c r="QNX74" s="174"/>
      <c r="QNY74" s="175"/>
      <c r="QNZ74" s="176"/>
      <c r="QOA74" s="176"/>
      <c r="QOB74" s="175"/>
      <c r="QOC74" s="177"/>
      <c r="QOD74" s="175"/>
      <c r="QOE74" s="177"/>
      <c r="QOF74" s="178"/>
      <c r="QOG74" s="179"/>
      <c r="QOH74"/>
      <c r="QOI74" s="180"/>
      <c r="QOJ74"/>
      <c r="QOK74" s="172"/>
      <c r="QOL74" s="181"/>
      <c r="QOM74"/>
      <c r="QON74" s="174"/>
      <c r="QOO74" s="175"/>
      <c r="QOP74" s="176"/>
      <c r="QOQ74" s="176"/>
      <c r="QOR74" s="175"/>
      <c r="QOS74" s="177"/>
      <c r="QOT74" s="175"/>
      <c r="QOU74" s="177"/>
      <c r="QOV74" s="178"/>
      <c r="QOW74" s="179"/>
      <c r="QOX74"/>
      <c r="QOY74" s="180"/>
      <c r="QOZ74"/>
      <c r="QPA74" s="172"/>
      <c r="QPB74" s="181"/>
      <c r="QPC74"/>
      <c r="QPD74" s="174"/>
      <c r="QPE74" s="175"/>
      <c r="QPF74" s="176"/>
      <c r="QPG74" s="176"/>
      <c r="QPH74" s="175"/>
      <c r="QPI74" s="177"/>
      <c r="QPJ74" s="175"/>
      <c r="QPK74" s="177"/>
      <c r="QPL74" s="178"/>
      <c r="QPM74" s="179"/>
      <c r="QPN74"/>
      <c r="QPO74" s="180"/>
      <c r="QPP74"/>
      <c r="QPQ74" s="172"/>
      <c r="QPR74" s="181"/>
      <c r="QPS74"/>
      <c r="QPT74" s="174"/>
      <c r="QPU74" s="175"/>
      <c r="QPV74" s="176"/>
      <c r="QPW74" s="176"/>
      <c r="QPX74" s="175"/>
      <c r="QPY74" s="177"/>
      <c r="QPZ74" s="175"/>
      <c r="QQA74" s="177"/>
      <c r="QQB74" s="178"/>
      <c r="QQC74" s="179"/>
      <c r="QQD74"/>
      <c r="QQE74" s="180"/>
      <c r="QQF74"/>
      <c r="QQG74" s="172"/>
      <c r="QQH74" s="181"/>
      <c r="QQI74"/>
      <c r="QQJ74" s="174"/>
      <c r="QQK74" s="175"/>
      <c r="QQL74" s="176"/>
      <c r="QQM74" s="176"/>
      <c r="QQN74" s="175"/>
      <c r="QQO74" s="177"/>
      <c r="QQP74" s="175"/>
      <c r="QQQ74" s="177"/>
      <c r="QQR74" s="178"/>
      <c r="QQS74" s="179"/>
      <c r="QQT74"/>
      <c r="QQU74" s="180"/>
      <c r="QQV74"/>
      <c r="QQW74" s="172"/>
      <c r="QQX74" s="181"/>
      <c r="QQY74"/>
      <c r="QQZ74" s="174"/>
      <c r="QRA74" s="175"/>
      <c r="QRB74" s="176"/>
      <c r="QRC74" s="176"/>
      <c r="QRD74" s="175"/>
      <c r="QRE74" s="177"/>
      <c r="QRF74" s="175"/>
      <c r="QRG74" s="177"/>
      <c r="QRH74" s="178"/>
      <c r="QRI74" s="179"/>
      <c r="QRJ74"/>
      <c r="QRK74" s="180"/>
      <c r="QRL74"/>
      <c r="QRM74" s="172"/>
      <c r="QRN74" s="181"/>
      <c r="QRO74"/>
      <c r="QRP74" s="174"/>
      <c r="QRQ74" s="175"/>
      <c r="QRR74" s="176"/>
      <c r="QRS74" s="176"/>
      <c r="QRT74" s="175"/>
      <c r="QRU74" s="177"/>
      <c r="QRV74" s="175"/>
      <c r="QRW74" s="177"/>
      <c r="QRX74" s="178"/>
      <c r="QRY74" s="179"/>
      <c r="QRZ74"/>
      <c r="QSA74" s="180"/>
      <c r="QSB74"/>
      <c r="QSC74" s="172"/>
      <c r="QSD74" s="181"/>
      <c r="QSE74"/>
      <c r="QSF74" s="174"/>
      <c r="QSG74" s="175"/>
      <c r="QSH74" s="176"/>
      <c r="QSI74" s="176"/>
      <c r="QSJ74" s="175"/>
      <c r="QSK74" s="177"/>
      <c r="QSL74" s="175"/>
      <c r="QSM74" s="177"/>
      <c r="QSN74" s="178"/>
      <c r="QSO74" s="179"/>
      <c r="QSP74"/>
      <c r="QSQ74" s="180"/>
      <c r="QSR74"/>
      <c r="QSS74" s="172"/>
      <c r="QST74" s="181"/>
      <c r="QSU74"/>
      <c r="QSV74" s="174"/>
      <c r="QSW74" s="175"/>
      <c r="QSX74" s="176"/>
      <c r="QSY74" s="176"/>
      <c r="QSZ74" s="175"/>
      <c r="QTA74" s="177"/>
      <c r="QTB74" s="175"/>
      <c r="QTC74" s="177"/>
      <c r="QTD74" s="178"/>
      <c r="QTE74" s="179"/>
      <c r="QTF74"/>
      <c r="QTG74" s="180"/>
      <c r="QTH74"/>
      <c r="QTI74" s="172"/>
      <c r="QTJ74" s="181"/>
      <c r="QTK74"/>
      <c r="QTL74" s="174"/>
      <c r="QTM74" s="175"/>
      <c r="QTN74" s="176"/>
      <c r="QTO74" s="176"/>
      <c r="QTP74" s="175"/>
      <c r="QTQ74" s="177"/>
      <c r="QTR74" s="175"/>
      <c r="QTS74" s="177"/>
      <c r="QTT74" s="178"/>
      <c r="QTU74" s="179"/>
      <c r="QTV74"/>
      <c r="QTW74" s="180"/>
      <c r="QTX74"/>
      <c r="QTY74" s="172"/>
      <c r="QTZ74" s="181"/>
      <c r="QUA74"/>
      <c r="QUB74" s="174"/>
      <c r="QUC74" s="175"/>
      <c r="QUD74" s="176"/>
      <c r="QUE74" s="176"/>
      <c r="QUF74" s="175"/>
      <c r="QUG74" s="177"/>
      <c r="QUH74" s="175"/>
      <c r="QUI74" s="177"/>
      <c r="QUJ74" s="178"/>
      <c r="QUK74" s="179"/>
      <c r="QUL74"/>
      <c r="QUM74" s="180"/>
      <c r="QUN74"/>
      <c r="QUO74" s="172"/>
      <c r="QUP74" s="181"/>
      <c r="QUQ74"/>
      <c r="QUR74" s="174"/>
      <c r="QUS74" s="175"/>
      <c r="QUT74" s="176"/>
      <c r="QUU74" s="176"/>
      <c r="QUV74" s="175"/>
      <c r="QUW74" s="177"/>
      <c r="QUX74" s="175"/>
      <c r="QUY74" s="177"/>
      <c r="QUZ74" s="178"/>
      <c r="QVA74" s="179"/>
      <c r="QVB74"/>
      <c r="QVC74" s="180"/>
      <c r="QVD74"/>
      <c r="QVE74" s="172"/>
      <c r="QVF74" s="181"/>
      <c r="QVG74"/>
      <c r="QVH74" s="174"/>
      <c r="QVI74" s="175"/>
      <c r="QVJ74" s="176"/>
      <c r="QVK74" s="176"/>
      <c r="QVL74" s="175"/>
      <c r="QVM74" s="177"/>
      <c r="QVN74" s="175"/>
      <c r="QVO74" s="177"/>
      <c r="QVP74" s="178"/>
      <c r="QVQ74" s="179"/>
      <c r="QVR74"/>
      <c r="QVS74" s="180"/>
      <c r="QVT74"/>
      <c r="QVU74" s="172"/>
      <c r="QVV74" s="181"/>
      <c r="QVW74"/>
      <c r="QVX74" s="174"/>
      <c r="QVY74" s="175"/>
      <c r="QVZ74" s="176"/>
      <c r="QWA74" s="176"/>
      <c r="QWB74" s="175"/>
      <c r="QWC74" s="177"/>
      <c r="QWD74" s="175"/>
      <c r="QWE74" s="177"/>
      <c r="QWF74" s="178"/>
      <c r="QWG74" s="179"/>
      <c r="QWH74"/>
      <c r="QWI74" s="180"/>
      <c r="QWJ74"/>
      <c r="QWK74" s="172"/>
      <c r="QWL74" s="181"/>
      <c r="QWM74"/>
      <c r="QWN74" s="174"/>
      <c r="QWO74" s="175"/>
      <c r="QWP74" s="176"/>
      <c r="QWQ74" s="176"/>
      <c r="QWR74" s="175"/>
      <c r="QWS74" s="177"/>
      <c r="QWT74" s="175"/>
      <c r="QWU74" s="177"/>
      <c r="QWV74" s="178"/>
      <c r="QWW74" s="179"/>
      <c r="QWX74"/>
      <c r="QWY74" s="180"/>
      <c r="QWZ74"/>
      <c r="QXA74" s="172"/>
      <c r="QXB74" s="181"/>
      <c r="QXC74"/>
      <c r="QXD74" s="174"/>
      <c r="QXE74" s="175"/>
      <c r="QXF74" s="176"/>
      <c r="QXG74" s="176"/>
      <c r="QXH74" s="175"/>
      <c r="QXI74" s="177"/>
      <c r="QXJ74" s="175"/>
      <c r="QXK74" s="177"/>
      <c r="QXL74" s="178"/>
      <c r="QXM74" s="179"/>
      <c r="QXN74"/>
      <c r="QXO74" s="180"/>
      <c r="QXP74"/>
      <c r="QXQ74" s="172"/>
      <c r="QXR74" s="181"/>
      <c r="QXS74"/>
      <c r="QXT74" s="174"/>
      <c r="QXU74" s="175"/>
      <c r="QXV74" s="176"/>
      <c r="QXW74" s="176"/>
      <c r="QXX74" s="175"/>
      <c r="QXY74" s="177"/>
      <c r="QXZ74" s="175"/>
      <c r="QYA74" s="177"/>
      <c r="QYB74" s="178"/>
      <c r="QYC74" s="179"/>
      <c r="QYD74"/>
      <c r="QYE74" s="180"/>
      <c r="QYF74"/>
      <c r="QYG74" s="172"/>
      <c r="QYH74" s="181"/>
      <c r="QYI74"/>
      <c r="QYJ74" s="174"/>
      <c r="QYK74" s="175"/>
      <c r="QYL74" s="176"/>
      <c r="QYM74" s="176"/>
      <c r="QYN74" s="175"/>
      <c r="QYO74" s="177"/>
      <c r="QYP74" s="175"/>
      <c r="QYQ74" s="177"/>
      <c r="QYR74" s="178"/>
      <c r="QYS74" s="179"/>
      <c r="QYT74"/>
      <c r="QYU74" s="180"/>
      <c r="QYV74"/>
      <c r="QYW74" s="172"/>
      <c r="QYX74" s="181"/>
      <c r="QYY74"/>
      <c r="QYZ74" s="174"/>
      <c r="QZA74" s="175"/>
      <c r="QZB74" s="176"/>
      <c r="QZC74" s="176"/>
      <c r="QZD74" s="175"/>
      <c r="QZE74" s="177"/>
      <c r="QZF74" s="175"/>
      <c r="QZG74" s="177"/>
      <c r="QZH74" s="178"/>
      <c r="QZI74" s="179"/>
      <c r="QZJ74"/>
      <c r="QZK74" s="180"/>
      <c r="QZL74"/>
      <c r="QZM74" s="172"/>
      <c r="QZN74" s="181"/>
      <c r="QZO74"/>
      <c r="QZP74" s="174"/>
      <c r="QZQ74" s="175"/>
      <c r="QZR74" s="176"/>
      <c r="QZS74" s="176"/>
      <c r="QZT74" s="175"/>
      <c r="QZU74" s="177"/>
      <c r="QZV74" s="175"/>
      <c r="QZW74" s="177"/>
      <c r="QZX74" s="178"/>
      <c r="QZY74" s="179"/>
      <c r="QZZ74"/>
      <c r="RAA74" s="180"/>
      <c r="RAB74"/>
      <c r="RAC74" s="172"/>
      <c r="RAD74" s="181"/>
      <c r="RAE74"/>
      <c r="RWX74" s="181"/>
      <c r="RWY74"/>
      <c r="RWZ74" s="174"/>
      <c r="RXA74" s="175"/>
      <c r="RXB74" s="176"/>
      <c r="RXC74" s="176"/>
      <c r="RXD74" s="175"/>
      <c r="RXE74" s="177"/>
      <c r="RXF74" s="175"/>
      <c r="RXG74" s="177"/>
      <c r="RXH74" s="178"/>
      <c r="RXI74" s="179"/>
      <c r="RXJ74"/>
      <c r="RXK74" s="180"/>
      <c r="RXL74"/>
      <c r="RXM74" s="172"/>
      <c r="RXN74" s="181"/>
      <c r="RXO74"/>
      <c r="RXP74" s="174"/>
      <c r="RXQ74" s="175"/>
      <c r="RXR74" s="176"/>
      <c r="RXS74" s="176"/>
      <c r="RXT74" s="175"/>
      <c r="RXU74" s="177"/>
      <c r="RXV74" s="175"/>
      <c r="RXW74" s="177"/>
      <c r="RXX74" s="178"/>
      <c r="RXY74" s="179"/>
      <c r="RXZ74"/>
      <c r="RYA74" s="180"/>
      <c r="RYB74"/>
      <c r="RYC74" s="172"/>
      <c r="RYD74" s="181"/>
      <c r="RYE74"/>
      <c r="RYF74" s="174"/>
      <c r="RYG74" s="175"/>
      <c r="RYH74" s="176"/>
      <c r="RYI74" s="176"/>
      <c r="RYJ74" s="175"/>
      <c r="RYK74" s="177"/>
      <c r="RYL74" s="175"/>
      <c r="RYM74" s="177"/>
      <c r="RYN74" s="178"/>
      <c r="RYO74" s="179"/>
      <c r="RYP74"/>
      <c r="RYQ74" s="180"/>
      <c r="RYR74"/>
      <c r="RYS74" s="172"/>
      <c r="RYT74" s="181"/>
      <c r="RYU74"/>
      <c r="RYV74" s="174"/>
      <c r="RYW74" s="175"/>
      <c r="RYX74" s="176"/>
      <c r="RYY74" s="176"/>
      <c r="RYZ74" s="175"/>
      <c r="RZA74" s="177"/>
      <c r="RZB74" s="175"/>
      <c r="RZC74" s="177"/>
      <c r="RZD74" s="178"/>
      <c r="RZE74" s="179"/>
      <c r="RZF74"/>
      <c r="RZG74" s="180"/>
      <c r="RZH74"/>
      <c r="RZI74" s="172"/>
      <c r="RZJ74" s="181"/>
      <c r="RZK74"/>
      <c r="RZL74" s="174"/>
      <c r="RZM74" s="175"/>
      <c r="RZN74" s="176"/>
      <c r="RZO74" s="176"/>
      <c r="RZP74" s="175"/>
      <c r="RZQ74" s="177"/>
      <c r="RZR74" s="175"/>
      <c r="RZS74" s="177"/>
      <c r="RZT74" s="178"/>
      <c r="RZU74" s="179"/>
      <c r="RZV74"/>
      <c r="RZW74" s="180"/>
      <c r="RZX74"/>
      <c r="RZY74" s="172"/>
      <c r="RZZ74" s="181"/>
      <c r="SAA74"/>
      <c r="SAB74" s="174"/>
      <c r="SAC74" s="175"/>
      <c r="SAD74" s="176"/>
      <c r="SAE74" s="176"/>
      <c r="SAF74" s="175"/>
      <c r="SAG74" s="177"/>
      <c r="SAH74" s="175"/>
      <c r="SAI74" s="177"/>
      <c r="SAJ74" s="178"/>
      <c r="SAK74" s="179"/>
      <c r="SAL74"/>
      <c r="SAM74" s="180"/>
      <c r="SAN74"/>
      <c r="SAO74" s="172"/>
      <c r="SAP74" s="181"/>
      <c r="SAQ74"/>
      <c r="SAR74" s="174"/>
      <c r="SAS74" s="175"/>
      <c r="SAT74" s="176"/>
      <c r="SAU74" s="176"/>
      <c r="SAV74" s="175"/>
      <c r="SAW74" s="177"/>
      <c r="SAX74" s="175"/>
      <c r="SAY74" s="177"/>
      <c r="SAZ74" s="178"/>
      <c r="SBA74" s="179"/>
      <c r="SBB74"/>
      <c r="SBC74" s="180"/>
      <c r="SBD74"/>
      <c r="SBE74" s="172"/>
      <c r="SBF74" s="181"/>
      <c r="SBG74"/>
      <c r="SBH74" s="174"/>
      <c r="SBI74" s="175"/>
      <c r="SBJ74" s="176"/>
      <c r="SBK74" s="176"/>
      <c r="SBL74" s="175"/>
      <c r="SBM74" s="177"/>
      <c r="SBN74" s="175"/>
      <c r="SBO74" s="177"/>
      <c r="SBP74" s="178"/>
      <c r="SBQ74" s="179"/>
      <c r="SBR74"/>
      <c r="SBS74" s="180"/>
      <c r="SBT74"/>
      <c r="SBU74" s="172"/>
      <c r="SBV74" s="181"/>
      <c r="SBW74"/>
      <c r="SBX74" s="174"/>
      <c r="SBY74" s="175"/>
      <c r="SBZ74" s="176"/>
      <c r="SCA74" s="176"/>
      <c r="SCB74" s="175"/>
      <c r="SCC74" s="177"/>
      <c r="SCD74" s="175"/>
      <c r="SCE74" s="177"/>
      <c r="SCF74" s="178"/>
      <c r="SCG74" s="179"/>
      <c r="SCH74"/>
      <c r="SCI74" s="180"/>
      <c r="SCJ74"/>
      <c r="SCK74" s="172"/>
      <c r="SCL74" s="181"/>
      <c r="SCM74"/>
      <c r="SCN74" s="174"/>
      <c r="SCO74" s="175"/>
      <c r="SCP74" s="176"/>
      <c r="SCQ74" s="176"/>
      <c r="SCR74" s="175"/>
      <c r="SCS74" s="177"/>
      <c r="SCT74" s="175"/>
      <c r="SCU74" s="177"/>
      <c r="SCV74" s="178"/>
      <c r="SCW74" s="179"/>
      <c r="SCX74"/>
      <c r="SCY74" s="180"/>
      <c r="SCZ74"/>
      <c r="SDA74" s="172"/>
      <c r="SDB74" s="181"/>
      <c r="SDC74"/>
      <c r="SDD74" s="174"/>
      <c r="SDE74" s="175"/>
      <c r="SDF74" s="176"/>
      <c r="SDG74" s="176"/>
      <c r="SDH74" s="175"/>
      <c r="SDI74" s="177"/>
      <c r="SDJ74" s="175"/>
      <c r="SDK74" s="177"/>
      <c r="SDL74" s="178"/>
      <c r="SDM74" s="179"/>
      <c r="SDN74"/>
      <c r="SDO74" s="180"/>
      <c r="SDP74"/>
      <c r="SDQ74" s="172"/>
      <c r="SDR74" s="181"/>
      <c r="SDS74"/>
      <c r="SDT74" s="174"/>
      <c r="SDU74" s="175"/>
      <c r="SDV74" s="176"/>
      <c r="SDW74" s="176"/>
      <c r="SDX74" s="175"/>
      <c r="SDY74" s="177"/>
      <c r="SDZ74" s="175"/>
      <c r="SEA74" s="177"/>
      <c r="SEB74" s="178"/>
      <c r="SEC74" s="179"/>
      <c r="SED74"/>
      <c r="SEE74" s="180"/>
      <c r="SEF74"/>
      <c r="SEG74" s="172"/>
      <c r="SEH74" s="181"/>
      <c r="SEI74"/>
      <c r="SEJ74" s="174"/>
      <c r="SEK74" s="175"/>
      <c r="SEL74" s="176"/>
      <c r="SEM74" s="176"/>
      <c r="SEN74" s="175"/>
      <c r="SEO74" s="177"/>
      <c r="SEP74" s="175"/>
      <c r="SEQ74" s="177"/>
      <c r="SER74" s="178"/>
      <c r="SES74" s="179"/>
      <c r="SET74"/>
      <c r="SEU74" s="180"/>
      <c r="SEV74"/>
      <c r="SEW74" s="172"/>
      <c r="SEX74" s="181"/>
      <c r="SEY74"/>
      <c r="SEZ74" s="174"/>
      <c r="SFA74" s="175"/>
      <c r="SFB74" s="176"/>
      <c r="SFC74" s="176"/>
      <c r="SFD74" s="175"/>
      <c r="SFE74" s="177"/>
      <c r="SFF74" s="175"/>
      <c r="SFG74" s="177"/>
      <c r="SFH74" s="178"/>
      <c r="SFI74" s="179"/>
      <c r="SFJ74"/>
      <c r="SFK74" s="180"/>
      <c r="SFL74"/>
      <c r="SFM74" s="172"/>
      <c r="SFN74" s="181"/>
      <c r="SFO74"/>
      <c r="SFP74" s="174"/>
      <c r="SFQ74" s="175"/>
      <c r="SFR74" s="176"/>
      <c r="SFS74" s="176"/>
      <c r="SFT74" s="175"/>
      <c r="SFU74" s="177"/>
      <c r="SFV74" s="175"/>
      <c r="SFW74" s="177"/>
      <c r="SFX74" s="178"/>
      <c r="SFY74" s="179"/>
      <c r="SFZ74"/>
      <c r="SGA74" s="180"/>
      <c r="SGB74"/>
      <c r="SGC74" s="172"/>
      <c r="SGD74" s="181"/>
      <c r="SGE74"/>
      <c r="SGF74" s="174"/>
      <c r="SGG74" s="175"/>
      <c r="SGH74" s="176"/>
      <c r="SGI74" s="176"/>
      <c r="SGJ74" s="175"/>
      <c r="SGK74" s="177"/>
      <c r="SGL74" s="175"/>
      <c r="SGM74" s="177"/>
      <c r="SGN74" s="178"/>
      <c r="SGO74" s="179"/>
      <c r="SGP74"/>
      <c r="SGQ74" s="180"/>
      <c r="SGR74"/>
      <c r="SGS74" s="172"/>
      <c r="SGT74" s="181"/>
      <c r="SGU74"/>
      <c r="SGV74" s="174"/>
      <c r="SGW74" s="175"/>
      <c r="SGX74" s="176"/>
      <c r="SGY74" s="176"/>
      <c r="SGZ74" s="175"/>
      <c r="SHA74" s="177"/>
      <c r="SHB74" s="175"/>
      <c r="SHC74" s="177"/>
      <c r="SHD74" s="178"/>
      <c r="SHE74" s="179"/>
      <c r="SHF74"/>
      <c r="SHG74" s="180"/>
      <c r="SHH74"/>
      <c r="SHI74" s="172"/>
      <c r="SHJ74" s="181"/>
      <c r="SHK74"/>
      <c r="SHL74" s="174"/>
      <c r="SHM74" s="175"/>
      <c r="SHN74" s="176"/>
      <c r="SHO74" s="176"/>
      <c r="SHP74" s="175"/>
      <c r="SHQ74" s="177"/>
      <c r="SHR74" s="175"/>
      <c r="SHS74" s="177"/>
      <c r="SHT74" s="178"/>
      <c r="SHU74" s="179"/>
      <c r="SHV74"/>
      <c r="SHW74" s="180"/>
      <c r="SHX74"/>
      <c r="SHY74" s="172"/>
      <c r="SHZ74" s="181"/>
      <c r="SIA74"/>
      <c r="SIB74" s="174"/>
      <c r="SIC74" s="175"/>
      <c r="SID74" s="176"/>
      <c r="SIE74" s="176"/>
      <c r="SIF74" s="175"/>
      <c r="SIG74" s="177"/>
      <c r="SIH74" s="175"/>
      <c r="SII74" s="177"/>
      <c r="SIJ74" s="178"/>
      <c r="SIK74" s="179"/>
      <c r="SIL74"/>
      <c r="SIM74" s="180"/>
      <c r="SIN74"/>
      <c r="SIO74" s="172"/>
      <c r="SIP74" s="181"/>
      <c r="SIQ74"/>
      <c r="SIR74" s="174"/>
      <c r="SIS74" s="175"/>
      <c r="SIT74" s="176"/>
      <c r="SIU74" s="176"/>
      <c r="SIV74" s="175"/>
      <c r="SIW74" s="177"/>
      <c r="SIX74" s="175"/>
      <c r="SIY74" s="177"/>
      <c r="SIZ74" s="178"/>
      <c r="SJA74" s="179"/>
      <c r="SJB74"/>
      <c r="SJC74" s="180"/>
      <c r="SJD74"/>
      <c r="SJE74" s="172"/>
      <c r="SJF74" s="181"/>
      <c r="SJG74"/>
      <c r="SJH74" s="174"/>
      <c r="SJI74" s="175"/>
      <c r="SJJ74" s="176"/>
      <c r="SJK74" s="176"/>
      <c r="SJL74" s="175"/>
      <c r="SJM74" s="177"/>
      <c r="SJN74" s="175"/>
      <c r="SJO74" s="177"/>
      <c r="SJP74" s="178"/>
      <c r="SJQ74" s="179"/>
      <c r="SJR74"/>
      <c r="SJS74" s="180"/>
      <c r="SJT74"/>
      <c r="SJU74" s="172"/>
      <c r="SJV74" s="181"/>
      <c r="SJW74"/>
      <c r="SJX74" s="174"/>
      <c r="SJY74" s="175"/>
      <c r="SJZ74" s="176"/>
      <c r="SKA74" s="176"/>
      <c r="SKB74" s="175"/>
      <c r="SKC74" s="177"/>
      <c r="SKD74" s="175"/>
      <c r="SKE74" s="177"/>
      <c r="SKF74" s="178"/>
      <c r="SKG74" s="179"/>
      <c r="SKH74"/>
      <c r="SKI74" s="180"/>
      <c r="SKJ74"/>
      <c r="SKK74" s="172"/>
      <c r="SKL74" s="181"/>
      <c r="SKM74"/>
      <c r="SKN74" s="174"/>
      <c r="SKO74" s="175"/>
      <c r="SKP74" s="176"/>
      <c r="SKQ74" s="176"/>
      <c r="SKR74" s="175"/>
      <c r="SKS74" s="177"/>
      <c r="SKT74" s="175"/>
      <c r="SKU74" s="177"/>
      <c r="SKV74" s="178"/>
      <c r="SKW74" s="179"/>
      <c r="SKX74"/>
      <c r="SKY74" s="180"/>
      <c r="SKZ74"/>
      <c r="SLA74" s="172"/>
      <c r="SLB74" s="181"/>
      <c r="SLC74"/>
      <c r="SLD74" s="174"/>
      <c r="SLE74" s="175"/>
      <c r="SLF74" s="176"/>
      <c r="SLG74" s="176"/>
      <c r="SLH74" s="175"/>
      <c r="SLI74" s="177"/>
      <c r="SLJ74" s="175"/>
      <c r="SLK74" s="177"/>
      <c r="SLL74" s="178"/>
      <c r="SLM74" s="179"/>
      <c r="SLN74"/>
      <c r="SLO74" s="180"/>
      <c r="SLP74"/>
      <c r="SLQ74" s="172"/>
      <c r="SLR74" s="181"/>
      <c r="SLS74"/>
      <c r="SLT74" s="174"/>
      <c r="SLU74" s="175"/>
      <c r="SLV74" s="176"/>
      <c r="SLW74" s="176"/>
      <c r="SLX74" s="175"/>
      <c r="SLY74" s="177"/>
      <c r="SLZ74" s="175"/>
      <c r="SMA74" s="177"/>
      <c r="SMB74" s="178"/>
      <c r="SMC74" s="179"/>
      <c r="SMD74"/>
      <c r="SME74" s="180"/>
      <c r="SMF74"/>
      <c r="SMG74" s="172"/>
      <c r="SMH74" s="181"/>
      <c r="SMI74"/>
      <c r="SMJ74" s="174"/>
      <c r="SMK74" s="175"/>
      <c r="SML74" s="176"/>
      <c r="SMM74" s="176"/>
      <c r="SMN74" s="175"/>
      <c r="SMO74" s="177"/>
      <c r="SMP74" s="175"/>
      <c r="SMQ74" s="177"/>
      <c r="SMR74" s="178"/>
      <c r="SMS74" s="179"/>
      <c r="SMT74"/>
      <c r="SMU74" s="180"/>
      <c r="SMV74"/>
      <c r="SMW74" s="172"/>
      <c r="SMX74" s="181"/>
      <c r="SMY74"/>
      <c r="SMZ74" s="174"/>
      <c r="SNA74" s="175"/>
      <c r="SNB74" s="176"/>
      <c r="SNC74" s="176"/>
      <c r="SND74" s="175"/>
      <c r="SNE74" s="177"/>
      <c r="SNF74" s="175"/>
      <c r="SNG74" s="177"/>
      <c r="SNH74" s="178"/>
      <c r="SNI74" s="179"/>
      <c r="SNJ74"/>
      <c r="SNK74" s="180"/>
      <c r="SNL74"/>
      <c r="SNM74" s="172"/>
      <c r="SNN74" s="181"/>
      <c r="SNO74"/>
      <c r="SNP74" s="174"/>
      <c r="SNQ74" s="175"/>
      <c r="SNR74" s="176"/>
      <c r="SNS74" s="176"/>
      <c r="SNT74" s="175"/>
      <c r="SNU74" s="177"/>
      <c r="SNV74" s="175"/>
      <c r="SNW74" s="177"/>
      <c r="SNX74" s="178"/>
      <c r="SNY74" s="179"/>
      <c r="SNZ74"/>
      <c r="SOA74" s="180"/>
      <c r="SOB74"/>
      <c r="SOC74" s="172"/>
      <c r="SOD74" s="181"/>
      <c r="SOE74"/>
      <c r="SOF74" s="174"/>
      <c r="SOG74" s="175"/>
      <c r="SOH74" s="176"/>
      <c r="SOI74" s="176"/>
      <c r="SOJ74" s="175"/>
      <c r="SOK74" s="177"/>
      <c r="SOL74" s="175"/>
      <c r="SOM74" s="177"/>
      <c r="SON74" s="178"/>
      <c r="SOO74" s="179"/>
      <c r="SOP74"/>
      <c r="SOQ74" s="180"/>
      <c r="SOR74"/>
      <c r="SOS74" s="172"/>
      <c r="SOT74" s="181"/>
      <c r="SOU74"/>
      <c r="SOV74" s="174"/>
      <c r="SOW74" s="175"/>
      <c r="SOX74" s="176"/>
      <c r="SOY74" s="176"/>
      <c r="SOZ74" s="175"/>
      <c r="SPA74" s="177"/>
      <c r="SPB74" s="175"/>
      <c r="SPC74" s="177"/>
      <c r="SPD74" s="178"/>
      <c r="SPE74" s="179"/>
      <c r="SPF74"/>
      <c r="SPG74" s="180"/>
      <c r="SPH74"/>
      <c r="SPI74" s="172"/>
      <c r="SPJ74" s="181"/>
      <c r="SPK74"/>
      <c r="SPL74" s="174"/>
      <c r="SPM74" s="175"/>
      <c r="SPN74" s="176"/>
      <c r="SPO74" s="176"/>
      <c r="SPP74" s="175"/>
      <c r="SPQ74" s="177"/>
      <c r="SPR74" s="175"/>
      <c r="SPS74" s="177"/>
      <c r="SPT74" s="178"/>
      <c r="SPU74" s="179"/>
      <c r="SPV74"/>
      <c r="SPW74" s="180"/>
      <c r="SPX74"/>
      <c r="SPY74" s="172"/>
      <c r="SPZ74" s="181"/>
      <c r="SQA74"/>
      <c r="SQB74" s="174"/>
      <c r="SQC74" s="175"/>
      <c r="SQD74" s="176"/>
      <c r="SQE74" s="176"/>
      <c r="SQF74" s="175"/>
      <c r="SQG74" s="177"/>
      <c r="SQH74" s="175"/>
      <c r="SQI74" s="177"/>
      <c r="SQJ74" s="178"/>
      <c r="SQK74" s="179"/>
      <c r="SQL74"/>
      <c r="SQM74" s="180"/>
      <c r="SQN74"/>
      <c r="SQO74" s="172"/>
      <c r="SQP74" s="181"/>
      <c r="SQQ74"/>
      <c r="SQR74" s="174"/>
      <c r="SQS74" s="175"/>
      <c r="SQT74" s="176"/>
      <c r="SQU74" s="176"/>
      <c r="SQV74" s="175"/>
      <c r="SQW74" s="177"/>
      <c r="SQX74" s="175"/>
      <c r="SQY74" s="177"/>
      <c r="SQZ74" s="178"/>
      <c r="SRA74" s="179"/>
      <c r="SRB74"/>
      <c r="SRC74" s="180"/>
      <c r="SRD74"/>
      <c r="SRE74" s="172"/>
      <c r="SRF74" s="181"/>
      <c r="SRG74"/>
      <c r="SRH74" s="174"/>
      <c r="SRI74" s="175"/>
      <c r="SRJ74" s="176"/>
      <c r="SRK74" s="176"/>
      <c r="SRL74" s="175"/>
      <c r="SRM74" s="177"/>
      <c r="SRN74" s="175"/>
      <c r="SRO74" s="177"/>
      <c r="SRP74" s="178"/>
      <c r="SRQ74" s="179"/>
      <c r="SRR74"/>
      <c r="SRS74" s="180"/>
      <c r="SRT74"/>
      <c r="SRU74" s="172"/>
      <c r="SRV74" s="181"/>
      <c r="SRW74"/>
      <c r="SRX74" s="174"/>
      <c r="SRY74" s="175"/>
      <c r="SRZ74" s="176"/>
      <c r="SSA74" s="176"/>
      <c r="SSB74" s="175"/>
      <c r="SSC74" s="177"/>
      <c r="SSD74" s="175"/>
      <c r="SSE74" s="177"/>
      <c r="SSF74" s="178"/>
      <c r="SSG74" s="179"/>
      <c r="SSH74"/>
      <c r="SSI74" s="180"/>
      <c r="SSJ74"/>
      <c r="SSK74" s="172"/>
      <c r="SSL74" s="181"/>
      <c r="SSM74"/>
      <c r="SSN74" s="174"/>
      <c r="SSO74" s="175"/>
      <c r="SSP74" s="176"/>
      <c r="SSQ74" s="176"/>
      <c r="SSR74" s="175"/>
      <c r="SSS74" s="177"/>
      <c r="SST74" s="175"/>
      <c r="SSU74" s="177"/>
      <c r="SSV74" s="178"/>
      <c r="SSW74" s="179"/>
      <c r="SSX74"/>
      <c r="SSY74" s="180"/>
      <c r="SSZ74"/>
      <c r="STA74" s="172"/>
      <c r="STB74" s="181"/>
      <c r="STC74"/>
      <c r="STD74" s="174"/>
      <c r="STE74" s="175"/>
      <c r="STF74" s="176"/>
      <c r="STG74" s="176"/>
      <c r="STH74" s="175"/>
      <c r="STI74" s="177"/>
      <c r="STJ74" s="175"/>
      <c r="STK74" s="177"/>
      <c r="STL74" s="178"/>
      <c r="STM74" s="179"/>
      <c r="STN74"/>
      <c r="STO74" s="180"/>
      <c r="STP74"/>
      <c r="STQ74" s="172"/>
      <c r="STR74" s="181"/>
      <c r="STS74"/>
      <c r="STT74" s="174"/>
      <c r="STU74" s="175"/>
      <c r="STV74" s="176"/>
      <c r="STW74" s="176"/>
      <c r="STX74" s="175"/>
      <c r="STY74" s="177"/>
      <c r="STZ74" s="175"/>
      <c r="SUA74" s="177"/>
      <c r="SUB74" s="178"/>
      <c r="SUC74" s="179"/>
      <c r="SUD74"/>
      <c r="SUE74" s="180"/>
      <c r="SUF74"/>
      <c r="SUG74" s="172"/>
      <c r="SUH74" s="181"/>
      <c r="SUI74"/>
      <c r="SUJ74" s="174"/>
      <c r="SUK74" s="175"/>
      <c r="SUL74" s="176"/>
      <c r="SUM74" s="176"/>
      <c r="SUN74" s="175"/>
      <c r="SUO74" s="177"/>
      <c r="SUP74" s="175"/>
      <c r="SUQ74" s="177"/>
      <c r="SUR74" s="178"/>
      <c r="SUS74" s="179"/>
      <c r="SUT74"/>
      <c r="SUU74" s="180"/>
      <c r="SUV74"/>
      <c r="SUW74" s="172"/>
      <c r="SUX74" s="181"/>
      <c r="SUY74"/>
      <c r="SUZ74" s="174"/>
      <c r="SVA74" s="175"/>
      <c r="SVB74" s="176"/>
      <c r="SVC74" s="176"/>
      <c r="SVD74" s="175"/>
      <c r="SVE74" s="177"/>
      <c r="SVF74" s="175"/>
      <c r="SVG74" s="177"/>
      <c r="SVH74" s="178"/>
      <c r="SVI74" s="179"/>
      <c r="SVJ74"/>
      <c r="SVK74" s="180"/>
      <c r="SVL74"/>
      <c r="SVM74" s="172"/>
      <c r="SVN74" s="181"/>
      <c r="SVO74"/>
      <c r="SVP74" s="174"/>
      <c r="SVQ74" s="175"/>
      <c r="SVR74" s="176"/>
      <c r="SVS74" s="176"/>
      <c r="SVT74" s="175"/>
      <c r="SVU74" s="177"/>
      <c r="SVV74" s="175"/>
      <c r="SVW74" s="177"/>
      <c r="SVX74" s="178"/>
      <c r="SVY74" s="179"/>
      <c r="SVZ74"/>
      <c r="SWA74" s="180"/>
      <c r="SWB74"/>
      <c r="SWC74" s="172"/>
      <c r="SWD74" s="181"/>
      <c r="SWE74"/>
      <c r="SWF74" s="174"/>
      <c r="SWG74" s="175"/>
      <c r="SWH74" s="176"/>
      <c r="SWI74" s="176"/>
      <c r="SWJ74" s="175"/>
      <c r="SWK74" s="177"/>
      <c r="SWL74" s="175"/>
      <c r="SWM74" s="177"/>
      <c r="SWN74" s="178"/>
      <c r="SWO74" s="179"/>
      <c r="SWP74"/>
      <c r="SWQ74" s="180"/>
      <c r="SWR74"/>
      <c r="SWS74" s="172"/>
      <c r="SWT74" s="181"/>
      <c r="SWU74"/>
      <c r="SWV74" s="174"/>
      <c r="SWW74" s="175"/>
      <c r="SWX74" s="176"/>
      <c r="SWY74" s="176"/>
      <c r="SWZ74" s="175"/>
      <c r="SXA74" s="177"/>
      <c r="SXB74" s="175"/>
      <c r="SXC74" s="177"/>
      <c r="SXD74" s="178"/>
      <c r="SXE74" s="179"/>
      <c r="SXF74"/>
      <c r="SXG74" s="180"/>
      <c r="SXH74"/>
      <c r="SXI74" s="172"/>
      <c r="SXJ74" s="181"/>
      <c r="SXK74"/>
      <c r="SXL74" s="174"/>
      <c r="SXM74" s="175"/>
      <c r="SXN74" s="176"/>
      <c r="SXO74" s="176"/>
      <c r="SXP74" s="175"/>
      <c r="SXQ74" s="177"/>
      <c r="SXR74" s="175"/>
      <c r="SXS74" s="177"/>
      <c r="SXT74" s="178"/>
      <c r="SXU74" s="179"/>
      <c r="SXV74"/>
      <c r="SXW74" s="180"/>
      <c r="SXX74"/>
      <c r="SXY74" s="172"/>
      <c r="SXZ74" s="181"/>
      <c r="SYA74"/>
      <c r="SYB74" s="174"/>
      <c r="SYC74" s="175"/>
      <c r="SYD74" s="176"/>
      <c r="SYE74" s="176"/>
      <c r="SYF74" s="175"/>
      <c r="SYG74" s="177"/>
      <c r="SYH74" s="175"/>
      <c r="SYI74" s="177"/>
      <c r="SYJ74" s="178"/>
      <c r="SYK74" s="179"/>
      <c r="SYL74"/>
      <c r="SYM74" s="180"/>
      <c r="SYN74"/>
      <c r="SYO74" s="172"/>
      <c r="SYP74" s="181"/>
      <c r="SYQ74"/>
      <c r="SYR74" s="174"/>
      <c r="SYS74" s="175"/>
      <c r="SYT74" s="176"/>
      <c r="SYU74" s="176"/>
      <c r="SYV74" s="175"/>
      <c r="SYW74" s="177"/>
      <c r="SYX74" s="175"/>
      <c r="SYY74" s="177"/>
      <c r="SYZ74" s="178"/>
      <c r="SZA74" s="179"/>
      <c r="SZB74"/>
      <c r="SZC74" s="180"/>
      <c r="SZD74"/>
      <c r="SZE74" s="172"/>
      <c r="SZF74" s="181"/>
      <c r="SZG74"/>
      <c r="SZH74" s="174"/>
      <c r="SZI74" s="175"/>
      <c r="SZJ74" s="176"/>
      <c r="SZK74" s="176"/>
      <c r="SZL74" s="175"/>
      <c r="SZM74" s="177"/>
      <c r="SZN74" s="175"/>
      <c r="SZO74" s="177"/>
      <c r="SZP74" s="178"/>
      <c r="SZQ74" s="179"/>
      <c r="SZR74"/>
      <c r="SZS74" s="180"/>
      <c r="SZT74"/>
      <c r="SZU74" s="172"/>
      <c r="SZV74" s="181"/>
      <c r="SZW74"/>
      <c r="SZX74" s="174"/>
      <c r="SZY74" s="175"/>
      <c r="SZZ74" s="176"/>
      <c r="TAA74" s="176"/>
      <c r="TAB74" s="175"/>
      <c r="TAC74" s="177"/>
      <c r="TAD74" s="175"/>
      <c r="TAE74" s="177"/>
      <c r="TAF74" s="178"/>
      <c r="TAG74" s="179"/>
      <c r="TAH74"/>
      <c r="TAI74" s="180"/>
      <c r="TAJ74"/>
      <c r="TAK74" s="172"/>
      <c r="TAL74" s="181"/>
      <c r="TAM74"/>
      <c r="TAN74" s="174"/>
      <c r="TAO74" s="175"/>
      <c r="TAP74" s="176"/>
      <c r="TAQ74" s="176"/>
      <c r="TAR74" s="175"/>
      <c r="TAS74" s="177"/>
      <c r="TAT74" s="175"/>
      <c r="TAU74" s="177"/>
      <c r="TAV74" s="178"/>
      <c r="TAW74" s="179"/>
      <c r="TAX74"/>
      <c r="TAY74" s="180"/>
      <c r="TAZ74"/>
      <c r="TBA74" s="172"/>
      <c r="TBB74" s="181"/>
      <c r="TBC74"/>
      <c r="TBD74" s="174"/>
      <c r="TBE74" s="175"/>
      <c r="TBF74" s="176"/>
      <c r="TBG74" s="176"/>
      <c r="TBH74" s="175"/>
      <c r="TBI74" s="177"/>
      <c r="TBJ74" s="175"/>
      <c r="TBK74" s="177"/>
      <c r="TBL74" s="178"/>
      <c r="TBM74" s="179"/>
      <c r="TBN74"/>
      <c r="TBO74" s="180"/>
      <c r="TBP74"/>
      <c r="TBQ74" s="172"/>
      <c r="TBR74" s="181"/>
      <c r="TBS74"/>
      <c r="TBT74" s="174"/>
      <c r="TBU74" s="175"/>
      <c r="TBV74" s="176"/>
      <c r="TBW74" s="176"/>
      <c r="TBX74" s="175"/>
      <c r="TBY74" s="177"/>
      <c r="TBZ74" s="175"/>
      <c r="TCA74" s="177"/>
      <c r="TCB74" s="178"/>
      <c r="TCC74" s="179"/>
      <c r="TCD74"/>
      <c r="TCE74" s="180"/>
      <c r="TCF74"/>
      <c r="TCG74" s="172"/>
      <c r="TCH74" s="181"/>
      <c r="TCI74"/>
      <c r="TCJ74" s="174"/>
      <c r="TCK74" s="175"/>
      <c r="TCL74" s="176"/>
      <c r="TCM74" s="176"/>
      <c r="TCN74" s="175"/>
      <c r="TCO74" s="177"/>
      <c r="TCP74" s="175"/>
      <c r="TCQ74" s="177"/>
      <c r="TCR74" s="178"/>
      <c r="TCS74" s="179"/>
      <c r="TCT74"/>
      <c r="TCU74" s="180"/>
      <c r="TCV74"/>
      <c r="TCW74" s="172"/>
      <c r="TCX74" s="181"/>
      <c r="TCY74"/>
      <c r="TCZ74" s="174"/>
      <c r="TDA74" s="175"/>
      <c r="TDB74" s="176"/>
      <c r="TDC74" s="176"/>
      <c r="TDD74" s="175"/>
      <c r="TDE74" s="177"/>
      <c r="TDF74" s="175"/>
      <c r="TDG74" s="177"/>
      <c r="TDH74" s="178"/>
      <c r="TDI74" s="179"/>
      <c r="TDJ74"/>
      <c r="TDK74" s="180"/>
      <c r="TDL74"/>
      <c r="TDM74" s="172"/>
      <c r="TDN74" s="181"/>
      <c r="TDO74"/>
      <c r="TDP74" s="174"/>
      <c r="TDQ74" s="175"/>
      <c r="TDR74" s="176"/>
      <c r="TDS74" s="176"/>
      <c r="TDT74" s="175"/>
      <c r="TDU74" s="177"/>
      <c r="TDV74" s="175"/>
      <c r="TDW74" s="177"/>
      <c r="TDX74" s="178"/>
      <c r="TDY74" s="179"/>
      <c r="TDZ74"/>
      <c r="TEA74" s="180"/>
      <c r="TEB74"/>
      <c r="TEC74" s="172"/>
      <c r="TED74" s="181"/>
      <c r="TEE74"/>
      <c r="TEF74" s="174"/>
      <c r="TEG74" s="175"/>
      <c r="TEH74" s="176"/>
      <c r="TEI74" s="176"/>
      <c r="TEJ74" s="175"/>
      <c r="TEK74" s="177"/>
      <c r="TEL74" s="175"/>
      <c r="TEM74" s="177"/>
      <c r="TEN74" s="178"/>
      <c r="TEO74" s="179"/>
      <c r="TEP74"/>
      <c r="TEQ74" s="180"/>
      <c r="TER74"/>
      <c r="TES74" s="172"/>
      <c r="TET74" s="181"/>
      <c r="TEU74"/>
      <c r="TEV74" s="174"/>
      <c r="TEW74" s="175"/>
      <c r="TEX74" s="176"/>
      <c r="TEY74" s="176"/>
      <c r="TEZ74" s="175"/>
      <c r="TFA74" s="177"/>
      <c r="TFB74" s="175"/>
      <c r="TFC74" s="177"/>
      <c r="TFD74" s="178"/>
      <c r="TFE74" s="179"/>
      <c r="TFF74"/>
      <c r="TFG74" s="180"/>
      <c r="TFH74"/>
      <c r="TFI74" s="172"/>
      <c r="TFJ74" s="181"/>
      <c r="TFK74"/>
      <c r="TFL74" s="174"/>
      <c r="TFM74" s="175"/>
      <c r="TFN74" s="176"/>
      <c r="TFO74" s="176"/>
      <c r="TFP74" s="175"/>
      <c r="TFQ74" s="177"/>
      <c r="TFR74" s="175"/>
      <c r="TFS74" s="177"/>
      <c r="TFT74" s="178"/>
      <c r="TFU74" s="179"/>
      <c r="TFV74"/>
      <c r="TFW74" s="180"/>
      <c r="TFX74"/>
      <c r="TFY74" s="172"/>
      <c r="TFZ74" s="181"/>
      <c r="TGA74"/>
      <c r="TGB74" s="174"/>
      <c r="TGC74" s="175"/>
      <c r="TGD74" s="176"/>
      <c r="TGE74" s="176"/>
      <c r="TGF74" s="175"/>
      <c r="TGG74" s="177"/>
      <c r="TGH74" s="175"/>
      <c r="TGI74" s="177"/>
      <c r="TGJ74" s="178"/>
      <c r="TGK74" s="179"/>
      <c r="TGL74"/>
      <c r="TGM74" s="180"/>
      <c r="TGN74"/>
      <c r="TGO74" s="172"/>
      <c r="TGP74" s="181"/>
      <c r="TGQ74"/>
      <c r="TGR74" s="174"/>
      <c r="TGS74" s="175"/>
      <c r="TGT74" s="176"/>
      <c r="TGU74" s="176"/>
      <c r="TGV74" s="175"/>
      <c r="TGW74" s="177"/>
      <c r="TGX74" s="175"/>
      <c r="TGY74" s="177"/>
      <c r="TGZ74" s="178"/>
      <c r="THA74" s="179"/>
      <c r="THB74"/>
      <c r="THC74" s="180"/>
      <c r="THD74"/>
      <c r="THE74" s="172"/>
      <c r="THF74" s="181"/>
      <c r="THG74"/>
      <c r="THH74" s="174"/>
      <c r="THI74" s="175"/>
      <c r="THJ74" s="176"/>
      <c r="THK74" s="176"/>
      <c r="THL74" s="175"/>
      <c r="THM74" s="177"/>
      <c r="THN74" s="175"/>
      <c r="THO74" s="177"/>
      <c r="THP74" s="178"/>
      <c r="THQ74" s="179"/>
      <c r="THR74"/>
      <c r="THS74" s="180"/>
      <c r="THT74"/>
      <c r="THU74" s="172"/>
      <c r="THV74" s="181"/>
      <c r="THW74"/>
      <c r="THX74" s="174"/>
      <c r="THY74" s="175"/>
      <c r="THZ74" s="176"/>
      <c r="TIA74" s="176"/>
      <c r="TIB74" s="175"/>
      <c r="TIC74" s="177"/>
      <c r="TID74" s="175"/>
      <c r="TIE74" s="177"/>
      <c r="TIF74" s="178"/>
      <c r="TIG74" s="179"/>
      <c r="TIH74"/>
      <c r="TII74" s="180"/>
      <c r="TIJ74"/>
      <c r="TIK74" s="172"/>
      <c r="TIL74" s="181"/>
      <c r="TIM74"/>
      <c r="TIN74" s="174"/>
      <c r="TIO74" s="175"/>
      <c r="TIP74" s="176"/>
      <c r="TIQ74" s="176"/>
      <c r="TIR74" s="175"/>
      <c r="TIS74" s="177"/>
      <c r="TIT74" s="175"/>
      <c r="TIU74" s="177"/>
      <c r="TIV74" s="178"/>
      <c r="TIW74" s="179"/>
      <c r="TIX74"/>
      <c r="TIY74" s="180"/>
      <c r="TIZ74"/>
      <c r="TJA74" s="172"/>
      <c r="TJB74" s="181"/>
      <c r="TJC74"/>
      <c r="TJD74" s="174"/>
      <c r="TJE74" s="175"/>
      <c r="TJF74" s="176"/>
      <c r="TJG74" s="176"/>
      <c r="TJH74" s="175"/>
      <c r="TJI74" s="177"/>
      <c r="TJJ74" s="175"/>
      <c r="TJK74" s="177"/>
      <c r="TJL74" s="178"/>
      <c r="TJM74" s="179"/>
      <c r="TJN74"/>
      <c r="TJO74" s="180"/>
      <c r="TJP74"/>
      <c r="TJQ74" s="172"/>
      <c r="TJR74" s="181"/>
      <c r="TJS74"/>
      <c r="TJT74" s="174"/>
      <c r="TJU74" s="175"/>
      <c r="TJV74" s="176"/>
      <c r="TJW74" s="176"/>
      <c r="TJX74" s="175"/>
      <c r="TJY74" s="177"/>
      <c r="TJZ74" s="175"/>
      <c r="TKA74" s="177"/>
      <c r="TKB74" s="178"/>
      <c r="TKC74" s="179"/>
      <c r="TKD74"/>
      <c r="TKE74" s="180"/>
      <c r="TKF74"/>
      <c r="TKG74" s="172"/>
      <c r="TKH74" s="181"/>
      <c r="TKI74"/>
      <c r="TKJ74" s="174"/>
      <c r="TKK74" s="175"/>
      <c r="TKL74" s="176"/>
      <c r="TKM74" s="176"/>
      <c r="TKN74" s="175"/>
      <c r="TKO74" s="177"/>
      <c r="TKP74" s="175"/>
      <c r="TKQ74" s="177"/>
      <c r="TKR74" s="178"/>
      <c r="TKS74" s="179"/>
      <c r="TKT74"/>
      <c r="TKU74" s="180"/>
      <c r="TKV74"/>
      <c r="TKW74" s="172"/>
      <c r="TKX74" s="181"/>
      <c r="TKY74"/>
      <c r="TKZ74" s="174"/>
      <c r="TLA74" s="175"/>
      <c r="TLB74" s="176"/>
      <c r="TLC74" s="176"/>
      <c r="TLD74" s="175"/>
      <c r="TLE74" s="177"/>
      <c r="TLF74" s="175"/>
      <c r="TLG74" s="177"/>
      <c r="TLH74" s="178"/>
      <c r="TLI74" s="179"/>
      <c r="TLJ74"/>
      <c r="TLK74" s="180"/>
      <c r="TLL74"/>
      <c r="TLM74" s="172"/>
      <c r="TLN74" s="181"/>
      <c r="TLO74"/>
      <c r="TLP74" s="174"/>
      <c r="TLQ74" s="175"/>
      <c r="TLR74" s="176"/>
      <c r="TLS74" s="176"/>
      <c r="TLT74" s="175"/>
      <c r="TLU74" s="177"/>
      <c r="TLV74" s="175"/>
      <c r="TLW74" s="177"/>
      <c r="TLX74" s="178"/>
      <c r="TLY74" s="179"/>
      <c r="TLZ74"/>
      <c r="TMA74" s="180"/>
      <c r="TMB74"/>
      <c r="TMC74" s="172"/>
      <c r="TMD74" s="181"/>
      <c r="TME74"/>
      <c r="TMF74" s="174"/>
      <c r="TMG74" s="175"/>
      <c r="TMH74" s="176"/>
      <c r="TMI74" s="176"/>
      <c r="TMJ74" s="175"/>
      <c r="TMK74" s="177"/>
      <c r="TML74" s="175"/>
      <c r="TMM74" s="177"/>
      <c r="TMN74" s="178"/>
      <c r="TMO74" s="179"/>
      <c r="TMP74"/>
      <c r="TMQ74" s="180"/>
      <c r="TMR74"/>
      <c r="TMS74" s="172"/>
      <c r="TMT74" s="181"/>
      <c r="TMU74"/>
      <c r="TMV74" s="174"/>
      <c r="TMW74" s="175"/>
      <c r="TMX74" s="176"/>
      <c r="TMY74" s="176"/>
      <c r="TMZ74" s="175"/>
      <c r="TNA74" s="177"/>
      <c r="TNB74" s="175"/>
      <c r="TNC74" s="177"/>
      <c r="TND74" s="178"/>
      <c r="TNE74" s="179"/>
      <c r="TNF74"/>
      <c r="TNG74" s="180"/>
      <c r="TNH74"/>
      <c r="TNI74" s="172"/>
      <c r="TNJ74" s="181"/>
      <c r="TNK74"/>
      <c r="TNL74" s="174"/>
      <c r="TNM74" s="175"/>
      <c r="TNN74" s="176"/>
      <c r="TNO74" s="176"/>
      <c r="TNP74" s="175"/>
      <c r="TNQ74" s="177"/>
      <c r="TNR74" s="175"/>
      <c r="TNS74" s="177"/>
      <c r="TNT74" s="178"/>
      <c r="TNU74" s="179"/>
      <c r="TNV74"/>
      <c r="TNW74" s="180"/>
      <c r="TNX74"/>
      <c r="TNY74" s="172"/>
      <c r="TNZ74" s="181"/>
      <c r="TOA74"/>
      <c r="TOB74" s="174"/>
      <c r="TOC74" s="175"/>
      <c r="TOD74" s="176"/>
      <c r="TOE74" s="176"/>
      <c r="TOF74" s="175"/>
      <c r="TOG74" s="177"/>
      <c r="TOH74" s="175"/>
      <c r="TOI74" s="177"/>
      <c r="TOJ74" s="178"/>
      <c r="TOK74" s="179"/>
      <c r="TOL74"/>
      <c r="TOM74" s="180"/>
      <c r="TON74"/>
      <c r="TOO74" s="172"/>
      <c r="TOP74" s="181"/>
      <c r="TOQ74"/>
      <c r="TOR74" s="174"/>
      <c r="TOS74" s="175"/>
      <c r="TOT74" s="176"/>
      <c r="TOU74" s="176"/>
      <c r="TOV74" s="175"/>
      <c r="TOW74" s="177"/>
      <c r="TOX74" s="175"/>
      <c r="TOY74" s="177"/>
      <c r="TOZ74" s="178"/>
      <c r="TPA74" s="179"/>
      <c r="TPB74"/>
      <c r="TPC74" s="180"/>
      <c r="TPD74"/>
      <c r="TPE74" s="172"/>
      <c r="TPF74" s="181"/>
      <c r="TPG74"/>
      <c r="TPH74" s="174"/>
      <c r="TPI74" s="175"/>
      <c r="TPJ74" s="176"/>
      <c r="TPK74" s="176"/>
      <c r="TPL74" s="175"/>
      <c r="TPM74" s="177"/>
      <c r="TPN74" s="175"/>
      <c r="TPO74" s="177"/>
      <c r="TPP74" s="178"/>
      <c r="TPQ74" s="179"/>
      <c r="TPR74"/>
      <c r="TPS74" s="180"/>
      <c r="TPT74"/>
      <c r="TPU74" s="172"/>
      <c r="TPV74" s="181"/>
      <c r="TPW74"/>
      <c r="TPX74" s="174"/>
      <c r="TPY74" s="175"/>
      <c r="TPZ74" s="176"/>
      <c r="TQA74" s="176"/>
      <c r="TQB74" s="175"/>
      <c r="TQC74" s="177"/>
      <c r="TQD74" s="175"/>
      <c r="TQE74" s="177"/>
      <c r="TQF74" s="178"/>
      <c r="TQG74" s="179"/>
      <c r="TQH74"/>
      <c r="TQI74" s="180"/>
      <c r="TQJ74"/>
      <c r="TQK74" s="172"/>
      <c r="TQL74" s="181"/>
      <c r="TQM74"/>
      <c r="TQN74" s="174"/>
      <c r="TQO74" s="175"/>
      <c r="TQP74" s="176"/>
      <c r="TQQ74" s="176"/>
      <c r="TQR74" s="175"/>
      <c r="TQS74" s="177"/>
      <c r="TQT74" s="175"/>
      <c r="TQU74" s="177"/>
      <c r="TQV74" s="178"/>
      <c r="TQW74" s="179"/>
      <c r="TQX74"/>
      <c r="TQY74" s="180"/>
      <c r="TQZ74"/>
      <c r="TRA74" s="172"/>
      <c r="TRB74" s="181"/>
      <c r="TRC74"/>
      <c r="TRD74" s="174"/>
      <c r="TRE74" s="175"/>
      <c r="TRF74" s="176"/>
      <c r="TRG74" s="176"/>
      <c r="TRH74" s="175"/>
      <c r="TRI74" s="177"/>
      <c r="TRJ74" s="175"/>
      <c r="TRK74" s="177"/>
      <c r="TRL74" s="178"/>
      <c r="TRM74" s="179"/>
      <c r="TRN74"/>
      <c r="TRO74" s="180"/>
      <c r="TRP74"/>
      <c r="TRQ74" s="172"/>
      <c r="TRR74" s="181"/>
      <c r="TRS74"/>
      <c r="TRT74" s="174"/>
      <c r="TRU74" s="175"/>
      <c r="TRV74" s="176"/>
      <c r="TRW74" s="176"/>
      <c r="TRX74" s="175"/>
      <c r="TRY74" s="177"/>
      <c r="TRZ74" s="175"/>
      <c r="TSA74" s="177"/>
      <c r="TSB74" s="178"/>
      <c r="TSC74" s="179"/>
      <c r="TSD74"/>
      <c r="TSE74" s="180"/>
      <c r="TSF74"/>
      <c r="TSG74" s="172"/>
      <c r="TSH74" s="181"/>
      <c r="TSI74"/>
      <c r="TSJ74" s="174"/>
      <c r="TSK74" s="175"/>
      <c r="TSL74" s="176"/>
      <c r="TSM74" s="176"/>
      <c r="TSN74" s="175"/>
      <c r="TSO74" s="177"/>
      <c r="TSP74" s="175"/>
      <c r="TSQ74" s="177"/>
      <c r="TSR74" s="178"/>
      <c r="TSS74" s="179"/>
      <c r="TST74"/>
      <c r="TSU74" s="180"/>
      <c r="TSV74"/>
      <c r="TSW74" s="172"/>
      <c r="TSX74" s="181"/>
      <c r="TSY74"/>
      <c r="TSZ74" s="174"/>
      <c r="TTA74" s="175"/>
      <c r="TTB74" s="176"/>
      <c r="TTC74" s="176"/>
      <c r="TTD74" s="175"/>
      <c r="TTE74" s="177"/>
      <c r="TTF74" s="175"/>
      <c r="TTG74" s="177"/>
      <c r="TTH74" s="178"/>
      <c r="TTI74" s="179"/>
      <c r="TTJ74"/>
      <c r="TTK74" s="180"/>
      <c r="TTL74"/>
      <c r="TTM74" s="172"/>
      <c r="TTN74" s="181"/>
      <c r="TTO74"/>
      <c r="TTP74" s="174"/>
      <c r="TTQ74" s="175"/>
      <c r="TTR74" s="176"/>
      <c r="TTS74" s="176"/>
      <c r="TTT74" s="175"/>
      <c r="TTU74" s="177"/>
      <c r="TTV74" s="175"/>
      <c r="TTW74" s="177"/>
      <c r="TTX74" s="178"/>
      <c r="TTY74" s="179"/>
      <c r="TTZ74"/>
      <c r="TUA74" s="180"/>
      <c r="TUB74"/>
      <c r="TUC74" s="172"/>
      <c r="TUD74" s="181"/>
      <c r="TUE74"/>
      <c r="TUF74" s="174"/>
      <c r="TUG74" s="175"/>
      <c r="TUH74" s="176"/>
      <c r="TUI74" s="176"/>
      <c r="TUJ74" s="175"/>
      <c r="TUK74" s="177"/>
      <c r="TUL74" s="175"/>
      <c r="TUM74" s="177"/>
      <c r="TUN74" s="178"/>
      <c r="TUO74" s="179"/>
      <c r="TUP74"/>
      <c r="TUQ74" s="180"/>
      <c r="TUR74"/>
      <c r="TUS74" s="172"/>
      <c r="TUT74" s="181"/>
      <c r="TUU74"/>
      <c r="TUV74" s="174"/>
      <c r="TUW74" s="175"/>
      <c r="TUX74" s="176"/>
      <c r="TUY74" s="176"/>
      <c r="TUZ74" s="175"/>
      <c r="TVA74" s="177"/>
      <c r="TVB74" s="175"/>
      <c r="TVC74" s="177"/>
      <c r="TVD74" s="178"/>
      <c r="TVE74" s="179"/>
      <c r="TVF74"/>
      <c r="TVG74" s="180"/>
      <c r="TVH74"/>
      <c r="TVI74" s="172"/>
      <c r="TVJ74" s="181"/>
      <c r="TVK74"/>
      <c r="TVL74" s="174"/>
      <c r="TVM74" s="175"/>
      <c r="TVN74" s="176"/>
      <c r="TVO74" s="176"/>
      <c r="TVP74" s="175"/>
      <c r="TVQ74" s="177"/>
      <c r="TVR74" s="175"/>
      <c r="TVS74" s="177"/>
      <c r="TVT74" s="178"/>
      <c r="TVU74" s="179"/>
      <c r="TVV74"/>
      <c r="TVW74" s="180"/>
      <c r="TVX74"/>
      <c r="TVY74" s="172"/>
      <c r="TVZ74" s="181"/>
      <c r="TWA74"/>
      <c r="TWB74" s="174"/>
      <c r="TWC74" s="175"/>
      <c r="TWD74" s="176"/>
      <c r="TWE74" s="176"/>
      <c r="TWF74" s="175"/>
      <c r="TWG74" s="177"/>
      <c r="TWH74" s="175"/>
      <c r="TWI74" s="177"/>
      <c r="TWJ74" s="178"/>
      <c r="TWK74" s="179"/>
      <c r="TWL74"/>
      <c r="TWM74" s="180"/>
      <c r="TWN74"/>
      <c r="TWO74" s="172"/>
      <c r="TWP74" s="181"/>
      <c r="TWQ74"/>
      <c r="TWR74" s="174"/>
      <c r="TWS74" s="175"/>
      <c r="TWT74" s="176"/>
      <c r="TWU74" s="176"/>
      <c r="TWV74" s="175"/>
      <c r="TWW74" s="177"/>
      <c r="TWX74" s="175"/>
      <c r="TWY74" s="177"/>
      <c r="TWZ74" s="178"/>
      <c r="TXA74" s="179"/>
      <c r="TXB74"/>
      <c r="TXC74" s="180"/>
      <c r="TXD74"/>
      <c r="TXE74" s="172"/>
      <c r="TXF74" s="181"/>
      <c r="TXG74"/>
      <c r="TXH74" s="174"/>
      <c r="TXI74" s="175"/>
      <c r="TXJ74" s="176"/>
      <c r="TXK74" s="176"/>
      <c r="TXL74" s="175"/>
      <c r="TXM74" s="177"/>
      <c r="TXN74" s="175"/>
      <c r="TXO74" s="177"/>
      <c r="TXP74" s="178"/>
      <c r="TXQ74" s="179"/>
      <c r="TXR74"/>
      <c r="TXS74" s="180"/>
      <c r="TXT74"/>
      <c r="TXU74" s="172"/>
      <c r="TXV74" s="181"/>
      <c r="TXW74"/>
      <c r="TXX74" s="174"/>
      <c r="TXY74" s="175"/>
      <c r="TXZ74" s="176"/>
      <c r="TYA74" s="176"/>
      <c r="TYB74" s="175"/>
      <c r="TYC74" s="177"/>
      <c r="TYD74" s="175"/>
      <c r="TYE74" s="177"/>
      <c r="TYF74" s="178"/>
      <c r="TYG74" s="179"/>
      <c r="TYH74"/>
      <c r="TYI74" s="180"/>
      <c r="TYJ74"/>
      <c r="TYK74" s="172"/>
      <c r="TYL74" s="181"/>
      <c r="TYM74"/>
      <c r="TYN74" s="174"/>
      <c r="TYO74" s="175"/>
      <c r="TYP74" s="176"/>
      <c r="TYQ74" s="176"/>
      <c r="TYR74" s="175"/>
      <c r="TYS74" s="177"/>
      <c r="TYT74" s="175"/>
      <c r="TYU74" s="177"/>
      <c r="TYV74" s="178"/>
      <c r="TYW74" s="179"/>
      <c r="TYX74"/>
      <c r="TYY74" s="180"/>
      <c r="TYZ74"/>
      <c r="TZA74" s="172"/>
      <c r="TZB74" s="181"/>
      <c r="TZC74"/>
      <c r="TZD74" s="174"/>
      <c r="TZE74" s="175"/>
      <c r="TZF74" s="176"/>
      <c r="TZG74" s="176"/>
      <c r="TZH74" s="175"/>
      <c r="TZI74" s="177"/>
      <c r="TZJ74" s="175"/>
      <c r="TZK74" s="177"/>
      <c r="TZL74" s="178"/>
      <c r="TZM74" s="179"/>
      <c r="TZN74"/>
      <c r="TZO74" s="180"/>
      <c r="TZP74"/>
      <c r="TZQ74" s="172"/>
      <c r="TZR74" s="181"/>
      <c r="TZS74"/>
      <c r="TZT74" s="174"/>
      <c r="TZU74" s="175"/>
      <c r="TZV74" s="176"/>
      <c r="TZW74" s="176"/>
      <c r="TZX74" s="175"/>
      <c r="TZY74" s="177"/>
      <c r="TZZ74" s="175"/>
      <c r="UAA74" s="177"/>
      <c r="UAB74" s="178"/>
      <c r="UAC74" s="179"/>
      <c r="UAD74"/>
      <c r="UAE74" s="180"/>
      <c r="UAF74"/>
      <c r="UAG74" s="172"/>
      <c r="UAH74" s="181"/>
      <c r="UAI74"/>
      <c r="UAJ74" s="174"/>
      <c r="UAK74" s="175"/>
      <c r="UAL74" s="176"/>
      <c r="UAM74" s="176"/>
      <c r="UAN74" s="175"/>
      <c r="UAO74" s="177"/>
      <c r="UAP74" s="175"/>
      <c r="UAQ74" s="177"/>
      <c r="UAR74" s="178"/>
      <c r="UAS74" s="179"/>
      <c r="UAT74"/>
      <c r="UAU74" s="180"/>
      <c r="UAV74"/>
      <c r="UAW74" s="172"/>
      <c r="UAX74" s="181"/>
      <c r="UAY74"/>
      <c r="UAZ74" s="174"/>
      <c r="UBA74" s="175"/>
      <c r="UBB74" s="176"/>
      <c r="UBC74" s="176"/>
      <c r="UBD74" s="175"/>
      <c r="UBE74" s="177"/>
      <c r="UBF74" s="175"/>
      <c r="UBG74" s="177"/>
      <c r="UBH74" s="178"/>
      <c r="UBI74" s="179"/>
      <c r="UBJ74"/>
      <c r="UBK74" s="180"/>
      <c r="UBL74"/>
      <c r="UBM74" s="172"/>
      <c r="UBN74" s="181"/>
      <c r="UBO74"/>
      <c r="UBP74" s="174"/>
      <c r="UBQ74" s="175"/>
      <c r="UBR74" s="176"/>
      <c r="UBS74" s="176"/>
      <c r="UBT74" s="175"/>
      <c r="UBU74" s="177"/>
      <c r="UBV74" s="175"/>
      <c r="UBW74" s="177"/>
      <c r="UBX74" s="178"/>
      <c r="UBY74" s="179"/>
      <c r="UBZ74"/>
      <c r="UCA74" s="180"/>
      <c r="UCB74"/>
      <c r="UCC74" s="172"/>
      <c r="UCD74" s="181"/>
      <c r="UCE74"/>
      <c r="UCF74" s="174"/>
      <c r="UCG74" s="175"/>
      <c r="UCH74" s="176"/>
      <c r="UCI74" s="176"/>
      <c r="UCJ74" s="175"/>
      <c r="UCK74" s="177"/>
      <c r="UCL74" s="175"/>
      <c r="UCM74" s="177"/>
      <c r="UCN74" s="178"/>
      <c r="UCO74" s="179"/>
      <c r="UCP74"/>
      <c r="UCQ74" s="180"/>
      <c r="UCR74"/>
      <c r="UCS74" s="172"/>
      <c r="UCT74" s="181"/>
      <c r="UCU74"/>
      <c r="UCV74" s="174"/>
      <c r="UCW74" s="175"/>
      <c r="UCX74" s="176"/>
      <c r="UCY74" s="176"/>
      <c r="UCZ74" s="175"/>
      <c r="UDA74" s="177"/>
      <c r="UDB74" s="175"/>
      <c r="UDC74" s="177"/>
      <c r="UDD74" s="178"/>
      <c r="UDE74" s="179"/>
      <c r="UDF74"/>
      <c r="UDG74" s="180"/>
      <c r="UDH74"/>
      <c r="UDI74" s="172"/>
      <c r="UDJ74" s="181"/>
      <c r="UDK74"/>
      <c r="UDL74" s="174"/>
      <c r="UDM74" s="175"/>
      <c r="UDN74" s="176"/>
      <c r="UDO74" s="176"/>
      <c r="UDP74" s="175"/>
      <c r="UDQ74" s="177"/>
      <c r="UDR74" s="175"/>
      <c r="UDS74" s="177"/>
      <c r="UDT74" s="178"/>
      <c r="UDU74" s="179"/>
      <c r="UDV74"/>
      <c r="UDW74" s="180"/>
      <c r="UDX74"/>
      <c r="UDY74" s="172"/>
      <c r="UDZ74" s="181"/>
      <c r="UEA74"/>
      <c r="UEB74" s="174"/>
      <c r="UEC74" s="175"/>
      <c r="UED74" s="176"/>
      <c r="UEE74" s="176"/>
      <c r="UEF74" s="175"/>
      <c r="UEG74" s="177"/>
      <c r="UEH74" s="175"/>
      <c r="UEI74" s="177"/>
      <c r="UEJ74" s="178"/>
      <c r="UEK74" s="179"/>
      <c r="UEL74"/>
      <c r="UEM74" s="180"/>
      <c r="UEN74"/>
      <c r="UEO74" s="172"/>
      <c r="UEP74" s="181"/>
      <c r="UEQ74"/>
      <c r="UER74" s="174"/>
      <c r="UES74" s="175"/>
      <c r="UET74" s="176"/>
      <c r="UEU74" s="176"/>
      <c r="UEV74" s="175"/>
      <c r="UEW74" s="177"/>
      <c r="UEX74" s="175"/>
      <c r="UEY74" s="177"/>
      <c r="UEZ74" s="178"/>
      <c r="UFA74" s="179"/>
      <c r="UFB74"/>
      <c r="UFC74" s="180"/>
      <c r="UFD74"/>
      <c r="UFE74" s="172"/>
      <c r="UFF74" s="181"/>
      <c r="UFG74"/>
      <c r="UFH74" s="174"/>
      <c r="UFI74" s="175"/>
      <c r="UFJ74" s="176"/>
      <c r="UFK74" s="176"/>
      <c r="UFL74" s="175"/>
      <c r="UFM74" s="177"/>
      <c r="UFN74" s="175"/>
      <c r="UFO74" s="177"/>
      <c r="UFP74" s="178"/>
      <c r="UFQ74" s="179"/>
      <c r="UFR74"/>
      <c r="UFS74" s="180"/>
      <c r="UFT74"/>
      <c r="UFU74" s="172"/>
      <c r="UFV74" s="181"/>
      <c r="UFW74"/>
      <c r="UFX74" s="174"/>
      <c r="UFY74" s="175"/>
      <c r="UFZ74" s="176"/>
      <c r="UGA74" s="176"/>
      <c r="UGB74" s="175"/>
      <c r="UGC74" s="177"/>
      <c r="UGD74" s="175"/>
      <c r="UGE74" s="177"/>
      <c r="UGF74" s="178"/>
      <c r="UGG74" s="179"/>
      <c r="UGH74"/>
      <c r="UGI74" s="180"/>
      <c r="UGJ74"/>
      <c r="UGK74" s="172"/>
      <c r="UGL74" s="181"/>
      <c r="UGM74"/>
      <c r="UGN74" s="174"/>
      <c r="UGO74" s="175"/>
      <c r="UGP74" s="176"/>
      <c r="UGQ74" s="176"/>
      <c r="UGR74" s="175"/>
      <c r="UGS74" s="177"/>
      <c r="UGT74" s="175"/>
      <c r="UGU74" s="177"/>
      <c r="UGV74" s="178"/>
      <c r="UGW74" s="179"/>
      <c r="UGX74"/>
      <c r="UGY74" s="180"/>
      <c r="UGZ74"/>
      <c r="UHA74" s="172"/>
      <c r="UHB74" s="181"/>
      <c r="UHC74"/>
      <c r="UHD74" s="174"/>
      <c r="UHE74" s="175"/>
      <c r="UHF74" s="176"/>
      <c r="UHG74" s="176"/>
      <c r="UHH74" s="175"/>
      <c r="UHI74" s="177"/>
      <c r="UHJ74" s="175"/>
      <c r="UHK74" s="177"/>
      <c r="UHL74" s="178"/>
      <c r="UHM74" s="179"/>
      <c r="UHN74"/>
      <c r="UHO74" s="180"/>
      <c r="UHP74"/>
      <c r="UHQ74" s="172"/>
      <c r="UHR74" s="181"/>
      <c r="UHS74"/>
      <c r="UHT74" s="174"/>
      <c r="UHU74" s="175"/>
      <c r="UHV74" s="176"/>
      <c r="UHW74" s="176"/>
      <c r="UHX74" s="175"/>
      <c r="UHY74" s="177"/>
      <c r="UHZ74" s="175"/>
      <c r="UIA74" s="177"/>
      <c r="UIB74" s="178"/>
      <c r="UIC74" s="179"/>
      <c r="UID74"/>
      <c r="UIE74" s="180"/>
      <c r="UIF74"/>
      <c r="UIG74" s="172"/>
      <c r="UIH74" s="181"/>
      <c r="UII74"/>
      <c r="UIJ74" s="174"/>
      <c r="UIK74" s="175"/>
      <c r="UIL74" s="176"/>
      <c r="UIM74" s="176"/>
      <c r="UIN74" s="175"/>
      <c r="UIO74" s="177"/>
      <c r="UIP74" s="175"/>
      <c r="UIQ74" s="177"/>
      <c r="UIR74" s="178"/>
      <c r="UIS74" s="179"/>
      <c r="UIT74"/>
      <c r="UIU74" s="180"/>
      <c r="UIV74"/>
      <c r="UIW74" s="172"/>
      <c r="UIX74" s="181"/>
      <c r="UIY74"/>
      <c r="UIZ74" s="174"/>
      <c r="UJA74" s="175"/>
      <c r="UJB74" s="176"/>
      <c r="UJC74" s="176"/>
      <c r="UJD74" s="175"/>
      <c r="UJE74" s="177"/>
      <c r="UJF74" s="175"/>
      <c r="UJG74" s="177"/>
      <c r="UJH74" s="178"/>
      <c r="UJI74" s="179"/>
      <c r="UJJ74"/>
      <c r="UJK74" s="180"/>
      <c r="UJL74"/>
      <c r="UJM74" s="172"/>
      <c r="UJN74" s="181"/>
      <c r="UJO74"/>
      <c r="UJP74" s="174"/>
      <c r="UJQ74" s="175"/>
      <c r="UJR74" s="176"/>
      <c r="UJS74" s="176"/>
      <c r="UJT74" s="175"/>
      <c r="UJU74" s="177"/>
      <c r="UJV74" s="175"/>
      <c r="UJW74" s="177"/>
      <c r="UJX74" s="178"/>
      <c r="UJY74" s="179"/>
      <c r="UJZ74"/>
      <c r="UKA74" s="180"/>
      <c r="UKB74"/>
      <c r="UKC74" s="172"/>
      <c r="UKD74" s="181"/>
      <c r="UKE74"/>
      <c r="UKF74" s="174"/>
      <c r="UKG74" s="175"/>
      <c r="UKH74" s="176"/>
      <c r="UKI74" s="176"/>
      <c r="UKJ74" s="175"/>
      <c r="UKK74" s="177"/>
      <c r="UKL74" s="175"/>
      <c r="UKM74" s="177"/>
      <c r="UKN74" s="178"/>
      <c r="UKO74" s="179"/>
      <c r="UKP74"/>
      <c r="UKQ74" s="180"/>
      <c r="UKR74"/>
      <c r="UKS74" s="172"/>
      <c r="UKT74" s="181"/>
      <c r="UKU74"/>
      <c r="UKV74" s="174"/>
      <c r="UKW74" s="175"/>
      <c r="UKX74" s="176"/>
      <c r="UKY74" s="176"/>
      <c r="UKZ74" s="175"/>
      <c r="ULA74" s="177"/>
      <c r="ULB74" s="175"/>
      <c r="ULC74" s="177"/>
      <c r="ULD74" s="178"/>
      <c r="ULE74" s="179"/>
      <c r="ULF74"/>
      <c r="ULG74" s="180"/>
      <c r="ULH74"/>
      <c r="ULI74" s="172"/>
      <c r="ULJ74" s="181"/>
      <c r="ULK74"/>
      <c r="ULL74" s="174"/>
      <c r="ULM74" s="175"/>
      <c r="ULN74" s="176"/>
      <c r="ULO74" s="176"/>
      <c r="ULP74" s="175"/>
      <c r="ULQ74" s="177"/>
      <c r="ULR74" s="175"/>
      <c r="ULS74" s="177"/>
      <c r="ULT74" s="178"/>
      <c r="ULU74" s="179"/>
      <c r="ULV74"/>
      <c r="ULW74" s="180"/>
      <c r="ULX74"/>
      <c r="ULY74" s="172"/>
      <c r="ULZ74" s="181"/>
      <c r="UMA74"/>
      <c r="UMB74" s="174"/>
      <c r="UMC74" s="175"/>
      <c r="UMD74" s="176"/>
      <c r="UME74" s="176"/>
      <c r="UMF74" s="175"/>
      <c r="UMG74" s="177"/>
      <c r="UMH74" s="175"/>
      <c r="UMI74" s="177"/>
      <c r="UMJ74" s="178"/>
      <c r="UMK74" s="179"/>
      <c r="UML74"/>
      <c r="UMM74" s="180"/>
      <c r="UMN74"/>
      <c r="UMO74" s="172"/>
      <c r="UMP74" s="181"/>
      <c r="UMQ74"/>
      <c r="UMR74" s="174"/>
      <c r="UMS74" s="175"/>
      <c r="UMT74" s="176"/>
      <c r="UMU74" s="176"/>
      <c r="UMV74" s="175"/>
      <c r="UMW74" s="177"/>
      <c r="UMX74" s="175"/>
      <c r="UMY74" s="177"/>
      <c r="UMZ74" s="178"/>
      <c r="UNA74" s="179"/>
      <c r="UNB74"/>
      <c r="UNC74" s="180"/>
      <c r="UND74"/>
      <c r="UNE74" s="172"/>
      <c r="UNF74" s="181"/>
      <c r="UNG74"/>
      <c r="UNH74" s="174"/>
      <c r="UNI74" s="175"/>
      <c r="UNJ74" s="176"/>
      <c r="UNK74" s="176"/>
      <c r="UNL74" s="175"/>
      <c r="UNM74" s="177"/>
      <c r="UNN74" s="175"/>
      <c r="UNO74" s="177"/>
      <c r="UNP74" s="178"/>
      <c r="UNQ74" s="179"/>
      <c r="UNR74"/>
      <c r="UNS74" s="180"/>
      <c r="UNT74"/>
      <c r="UNU74" s="172"/>
      <c r="UNV74" s="181"/>
      <c r="UNW74"/>
      <c r="UNX74" s="174"/>
      <c r="UNY74" s="175"/>
      <c r="UNZ74" s="176"/>
      <c r="UOA74" s="176"/>
      <c r="UOB74" s="175"/>
      <c r="UOC74" s="177"/>
      <c r="UOD74" s="175"/>
      <c r="UOE74" s="177"/>
      <c r="UOF74" s="178"/>
      <c r="UOG74" s="179"/>
      <c r="UOH74"/>
      <c r="UOI74" s="180"/>
      <c r="UOJ74"/>
      <c r="UOK74" s="172"/>
      <c r="UOL74" s="181"/>
      <c r="UOM74"/>
      <c r="UON74" s="174"/>
      <c r="UOO74" s="175"/>
      <c r="UOP74" s="176"/>
      <c r="UOQ74" s="176"/>
      <c r="UOR74" s="175"/>
      <c r="UOS74" s="177"/>
      <c r="UOT74" s="175"/>
      <c r="UOU74" s="177"/>
      <c r="UOV74" s="178"/>
      <c r="UOW74" s="179"/>
      <c r="UOX74"/>
      <c r="UOY74" s="180"/>
      <c r="UOZ74"/>
      <c r="UPA74" s="172"/>
      <c r="UPB74" s="181"/>
      <c r="UPC74"/>
      <c r="UPD74" s="174"/>
      <c r="UPE74" s="175"/>
      <c r="UPF74" s="176"/>
      <c r="UPG74" s="176"/>
      <c r="UPH74" s="175"/>
      <c r="UPI74" s="177"/>
      <c r="UPJ74" s="175"/>
      <c r="UPK74" s="177"/>
      <c r="UPL74" s="178"/>
      <c r="UPM74" s="179"/>
      <c r="UPN74"/>
      <c r="UPO74" s="180"/>
      <c r="UPP74"/>
      <c r="UPQ74" s="172"/>
      <c r="UPR74" s="181"/>
      <c r="UPS74"/>
      <c r="UPT74" s="174"/>
      <c r="UPU74" s="175"/>
      <c r="UPV74" s="176"/>
      <c r="UPW74" s="176"/>
      <c r="UPX74" s="175"/>
      <c r="UPY74" s="177"/>
      <c r="UPZ74" s="175"/>
      <c r="UQA74" s="177"/>
      <c r="UQB74" s="178"/>
      <c r="UQC74" s="179"/>
      <c r="UQD74"/>
      <c r="UQE74" s="180"/>
      <c r="UQF74"/>
      <c r="UQG74" s="172"/>
      <c r="UQH74" s="181"/>
      <c r="UQI74"/>
      <c r="UQJ74" s="174"/>
      <c r="UQK74" s="175"/>
      <c r="UQL74" s="176"/>
      <c r="UQM74" s="176"/>
      <c r="UQN74" s="175"/>
      <c r="UQO74" s="177"/>
      <c r="UQP74" s="175"/>
      <c r="UQQ74" s="177"/>
      <c r="UQR74" s="178"/>
      <c r="UQS74" s="179"/>
      <c r="UQT74"/>
      <c r="UQU74" s="180"/>
      <c r="UQV74"/>
      <c r="UQW74" s="172"/>
      <c r="UQX74" s="181"/>
      <c r="UQY74"/>
      <c r="UQZ74" s="174"/>
      <c r="URA74" s="175"/>
      <c r="URB74" s="176"/>
      <c r="URC74" s="176"/>
      <c r="URD74" s="175"/>
      <c r="URE74" s="177"/>
      <c r="URF74" s="175"/>
      <c r="URG74" s="177"/>
      <c r="URH74" s="178"/>
      <c r="URI74" s="179"/>
      <c r="URJ74"/>
      <c r="URK74" s="180"/>
      <c r="URL74"/>
      <c r="URM74" s="172"/>
      <c r="URN74" s="181"/>
      <c r="URO74"/>
      <c r="URP74" s="174"/>
      <c r="URQ74" s="175"/>
      <c r="URR74" s="176"/>
      <c r="URS74" s="176"/>
      <c r="URT74" s="175"/>
      <c r="URU74" s="177"/>
      <c r="URV74" s="175"/>
      <c r="URW74" s="177"/>
      <c r="URX74" s="178"/>
      <c r="URY74" s="179"/>
      <c r="URZ74"/>
      <c r="USA74" s="180"/>
      <c r="USB74"/>
      <c r="USC74" s="172"/>
      <c r="USD74" s="181"/>
      <c r="USE74"/>
      <c r="USF74" s="174"/>
      <c r="USG74" s="175"/>
      <c r="USH74" s="176"/>
      <c r="USI74" s="176"/>
      <c r="USJ74" s="175"/>
      <c r="USK74" s="177"/>
      <c r="USL74" s="175"/>
      <c r="USM74" s="177"/>
      <c r="USN74" s="178"/>
      <c r="USO74" s="179"/>
      <c r="USP74"/>
      <c r="USQ74" s="180"/>
      <c r="USR74"/>
      <c r="USS74" s="172"/>
      <c r="UST74" s="181"/>
      <c r="USU74"/>
      <c r="USV74" s="174"/>
      <c r="USW74" s="175"/>
      <c r="USX74" s="176"/>
      <c r="USY74" s="176"/>
      <c r="USZ74" s="175"/>
      <c r="UTA74" s="177"/>
      <c r="UTB74" s="175"/>
      <c r="UTC74" s="177"/>
      <c r="UTD74" s="178"/>
      <c r="UTE74" s="179"/>
      <c r="UTF74"/>
      <c r="UTG74" s="180"/>
      <c r="UTH74"/>
      <c r="UTI74" s="172"/>
      <c r="UTJ74" s="181"/>
      <c r="UTK74"/>
      <c r="UTL74" s="174"/>
      <c r="UTM74" s="175"/>
      <c r="UTN74" s="176"/>
      <c r="UTO74" s="176"/>
      <c r="UTP74" s="175"/>
      <c r="UTQ74" s="177"/>
      <c r="UTR74" s="175"/>
      <c r="UTS74" s="177"/>
      <c r="UTT74" s="178"/>
      <c r="UTU74" s="179"/>
      <c r="UTV74"/>
      <c r="UTW74" s="180"/>
      <c r="UTX74"/>
      <c r="UTY74" s="172"/>
      <c r="UTZ74" s="181"/>
      <c r="UUA74"/>
      <c r="UUB74" s="174"/>
      <c r="UUC74" s="175"/>
      <c r="UUD74" s="176"/>
      <c r="UUE74" s="176"/>
      <c r="UUF74" s="175"/>
      <c r="UUG74" s="177"/>
      <c r="UUH74" s="175"/>
      <c r="UUI74" s="177"/>
      <c r="UUJ74" s="178"/>
      <c r="UUK74" s="179"/>
      <c r="UUL74"/>
      <c r="UUM74" s="180"/>
      <c r="UUN74"/>
      <c r="UUO74" s="172"/>
      <c r="UUP74" s="181"/>
      <c r="UUQ74"/>
      <c r="UUR74" s="174"/>
      <c r="UUS74" s="175"/>
      <c r="UUT74" s="176"/>
      <c r="UUU74" s="176"/>
      <c r="UUV74" s="175"/>
      <c r="UUW74" s="177"/>
      <c r="UUX74" s="175"/>
      <c r="UUY74" s="177"/>
      <c r="UUZ74" s="178"/>
      <c r="UVA74" s="179"/>
      <c r="UVB74"/>
      <c r="UVC74" s="180"/>
      <c r="UVD74"/>
      <c r="UVE74" s="172"/>
      <c r="UVF74" s="181"/>
      <c r="UVG74"/>
      <c r="UVH74" s="174"/>
      <c r="UVI74" s="175"/>
      <c r="UVJ74" s="176"/>
      <c r="UVK74" s="176"/>
      <c r="UVL74" s="175"/>
      <c r="UVM74" s="177"/>
      <c r="UVN74" s="175"/>
      <c r="UVO74" s="177"/>
      <c r="UVP74" s="178"/>
      <c r="UVQ74" s="179"/>
      <c r="UVR74"/>
      <c r="UVS74" s="180"/>
      <c r="UVT74"/>
      <c r="UVU74" s="172"/>
      <c r="UVV74" s="181"/>
      <c r="UVW74"/>
      <c r="UVX74" s="174"/>
      <c r="UVY74" s="175"/>
      <c r="UVZ74" s="176"/>
      <c r="UWA74" s="176"/>
      <c r="UWB74" s="175"/>
      <c r="UWC74" s="177"/>
      <c r="UWD74" s="175"/>
      <c r="UWE74" s="177"/>
      <c r="UWF74" s="178"/>
      <c r="UWG74" s="179"/>
      <c r="UWH74"/>
      <c r="UWI74" s="180"/>
      <c r="UWJ74"/>
      <c r="UWK74" s="172"/>
      <c r="UWL74" s="181"/>
      <c r="UWM74"/>
      <c r="UWN74" s="174"/>
      <c r="UWO74" s="175"/>
      <c r="UWP74" s="176"/>
      <c r="UWQ74" s="176"/>
      <c r="UWR74" s="175"/>
      <c r="UWS74" s="177"/>
      <c r="UWT74" s="175"/>
      <c r="UWU74" s="177"/>
      <c r="UWV74" s="178"/>
      <c r="UWW74" s="179"/>
      <c r="UWX74"/>
      <c r="UWY74" s="180"/>
      <c r="UWZ74"/>
      <c r="UXA74" s="172"/>
      <c r="UXB74" s="181"/>
      <c r="UXC74"/>
      <c r="UXD74" s="174"/>
      <c r="UXE74" s="175"/>
      <c r="UXF74" s="176"/>
      <c r="UXG74" s="176"/>
      <c r="UXH74" s="175"/>
      <c r="UXI74" s="177"/>
      <c r="UXJ74" s="175"/>
      <c r="UXK74" s="177"/>
      <c r="UXL74" s="178"/>
      <c r="UXM74" s="179"/>
      <c r="UXN74"/>
      <c r="UXO74" s="180"/>
      <c r="UXP74"/>
      <c r="UXQ74" s="172"/>
      <c r="UXR74" s="181"/>
      <c r="UXS74"/>
      <c r="UXT74" s="174"/>
      <c r="UXU74" s="175"/>
      <c r="UXV74" s="176"/>
      <c r="UXW74" s="176"/>
      <c r="UXX74" s="175"/>
      <c r="UXY74" s="177"/>
      <c r="UXZ74" s="175"/>
      <c r="UYA74" s="177"/>
      <c r="UYB74" s="178"/>
      <c r="UYC74" s="179"/>
      <c r="UYD74"/>
      <c r="UYE74" s="180"/>
      <c r="UYF74"/>
      <c r="UYG74" s="172"/>
      <c r="UYH74" s="181"/>
      <c r="UYI74"/>
      <c r="UYJ74" s="174"/>
      <c r="UYK74" s="175"/>
      <c r="UYL74" s="176"/>
      <c r="UYM74" s="176"/>
      <c r="UYN74" s="175"/>
      <c r="UYO74" s="177"/>
      <c r="UYP74" s="175"/>
      <c r="UYQ74" s="177"/>
      <c r="UYR74" s="178"/>
      <c r="UYS74" s="179"/>
      <c r="UYT74"/>
      <c r="UYU74" s="180"/>
      <c r="UYV74"/>
      <c r="UYW74" s="172"/>
      <c r="UYX74" s="181"/>
      <c r="UYY74"/>
      <c r="UYZ74" s="174"/>
      <c r="UZA74" s="175"/>
      <c r="UZB74" s="176"/>
      <c r="UZC74" s="176"/>
      <c r="UZD74" s="175"/>
      <c r="UZE74" s="177"/>
      <c r="UZF74" s="175"/>
      <c r="UZG74" s="177"/>
      <c r="UZH74" s="178"/>
      <c r="UZI74" s="179"/>
      <c r="UZJ74"/>
      <c r="UZK74" s="180"/>
      <c r="UZL74"/>
      <c r="UZM74" s="172"/>
      <c r="UZN74" s="181"/>
      <c r="UZO74"/>
      <c r="UZP74" s="174"/>
      <c r="UZQ74" s="175"/>
      <c r="UZR74" s="176"/>
      <c r="UZS74" s="176"/>
      <c r="UZT74" s="175"/>
      <c r="UZU74" s="177"/>
      <c r="UZV74" s="175"/>
      <c r="UZW74" s="177"/>
      <c r="UZX74" s="178"/>
      <c r="UZY74" s="179"/>
      <c r="UZZ74"/>
      <c r="VAA74" s="180"/>
      <c r="VAB74"/>
      <c r="VAC74" s="172"/>
      <c r="VAD74" s="181"/>
      <c r="VAE74"/>
      <c r="VAF74" s="174"/>
      <c r="VAG74" s="175"/>
      <c r="VAH74" s="176"/>
      <c r="VAI74" s="176"/>
      <c r="VAJ74" s="175"/>
      <c r="VAK74" s="177"/>
      <c r="VAL74" s="175"/>
      <c r="VAM74" s="177"/>
      <c r="VAN74" s="178"/>
      <c r="VAO74" s="179"/>
      <c r="VAP74"/>
      <c r="VAQ74" s="180"/>
      <c r="VAR74"/>
      <c r="VAS74" s="172"/>
      <c r="VAT74" s="181"/>
      <c r="VAU74"/>
      <c r="VAV74" s="174"/>
      <c r="VAW74" s="175"/>
      <c r="VAX74" s="176"/>
      <c r="VAY74" s="176"/>
      <c r="VAZ74" s="175"/>
      <c r="VBA74" s="177"/>
      <c r="VBB74" s="175"/>
      <c r="VBC74" s="177"/>
      <c r="VBD74" s="178"/>
      <c r="VBE74" s="179"/>
      <c r="VBF74"/>
      <c r="VBG74" s="180"/>
      <c r="VBH74"/>
      <c r="VBI74" s="172"/>
      <c r="VBJ74" s="181"/>
      <c r="VBK74"/>
      <c r="VBL74" s="174"/>
      <c r="VBM74" s="175"/>
      <c r="VBN74" s="176"/>
      <c r="VBO74" s="176"/>
      <c r="VBP74" s="175"/>
      <c r="VBQ74" s="177"/>
      <c r="VBR74" s="175"/>
      <c r="VBS74" s="177"/>
      <c r="VBT74" s="178"/>
      <c r="VBU74" s="179"/>
      <c r="VBV74"/>
      <c r="VBW74" s="180"/>
      <c r="VBX74"/>
      <c r="VBY74" s="172"/>
      <c r="VBZ74" s="181"/>
      <c r="VCA74"/>
      <c r="VCB74" s="174"/>
      <c r="VCC74" s="175"/>
      <c r="VCD74" s="176"/>
      <c r="VCE74" s="176"/>
      <c r="VCF74" s="175"/>
      <c r="VCG74" s="177"/>
      <c r="VCH74" s="175"/>
      <c r="VCI74" s="177"/>
      <c r="VCJ74" s="178"/>
      <c r="VCK74" s="179"/>
      <c r="VCL74"/>
      <c r="VCM74" s="180"/>
      <c r="VCN74"/>
      <c r="VCO74" s="172"/>
      <c r="VCP74" s="181"/>
      <c r="VCQ74"/>
      <c r="VCR74" s="174"/>
      <c r="VCS74" s="175"/>
      <c r="VCT74" s="176"/>
      <c r="VCU74" s="176"/>
      <c r="VCV74" s="175"/>
      <c r="VCW74" s="177"/>
      <c r="VCX74" s="175"/>
      <c r="VCY74" s="177"/>
      <c r="VCZ74" s="178"/>
      <c r="VDA74" s="179"/>
      <c r="VDB74"/>
      <c r="VDC74" s="180"/>
      <c r="VDD74"/>
      <c r="VDE74" s="172"/>
      <c r="VDF74" s="181"/>
      <c r="VDG74"/>
      <c r="VDH74" s="174"/>
      <c r="VDI74" s="175"/>
      <c r="VDJ74" s="176"/>
      <c r="VDK74" s="176"/>
      <c r="VDL74" s="175"/>
      <c r="VDM74" s="177"/>
      <c r="VDN74" s="175"/>
      <c r="VDO74" s="177"/>
      <c r="VDP74" s="178"/>
      <c r="VDQ74" s="179"/>
      <c r="VDR74"/>
      <c r="VDS74" s="180"/>
      <c r="VDT74"/>
      <c r="VDU74" s="172"/>
      <c r="VDV74" s="181"/>
      <c r="VDW74"/>
      <c r="VDX74" s="174"/>
      <c r="VDY74" s="175"/>
      <c r="VDZ74" s="176"/>
      <c r="VEA74" s="176"/>
      <c r="VEB74" s="175"/>
      <c r="VEC74" s="177"/>
      <c r="VED74" s="175"/>
      <c r="VEE74" s="177"/>
      <c r="VEF74" s="178"/>
      <c r="VEG74" s="179"/>
      <c r="VEH74"/>
      <c r="VEI74" s="180"/>
      <c r="VEJ74"/>
      <c r="VEK74" s="172"/>
      <c r="VEL74" s="181"/>
      <c r="VEM74"/>
      <c r="VEN74" s="174"/>
      <c r="VEO74" s="175"/>
      <c r="VEP74" s="176"/>
      <c r="VEQ74" s="176"/>
      <c r="VER74" s="175"/>
      <c r="VES74" s="177"/>
      <c r="VET74" s="175"/>
      <c r="VEU74" s="177"/>
      <c r="VEV74" s="178"/>
      <c r="VEW74" s="179"/>
      <c r="VEX74"/>
      <c r="VEY74" s="180"/>
      <c r="VEZ74"/>
      <c r="VFA74" s="172"/>
      <c r="VFB74" s="181"/>
      <c r="VFC74"/>
      <c r="VFD74" s="174"/>
      <c r="VFE74" s="175"/>
      <c r="VFF74" s="176"/>
      <c r="VFG74" s="176"/>
      <c r="VFH74" s="175"/>
      <c r="VFI74" s="177"/>
      <c r="VFJ74" s="175"/>
      <c r="VFK74" s="177"/>
      <c r="VFL74" s="178"/>
      <c r="VFM74" s="179"/>
      <c r="VFN74"/>
      <c r="VFO74" s="180"/>
      <c r="VFP74"/>
      <c r="VFQ74" s="172"/>
      <c r="VFR74" s="181"/>
      <c r="VFS74"/>
      <c r="VFT74" s="174"/>
      <c r="VFU74" s="175"/>
      <c r="VFV74" s="176"/>
      <c r="VFW74" s="176"/>
      <c r="VFX74" s="175"/>
      <c r="VFY74" s="177"/>
      <c r="VFZ74" s="175"/>
      <c r="VGA74" s="177"/>
      <c r="VGB74" s="178"/>
      <c r="VGC74" s="179"/>
      <c r="VGD74"/>
      <c r="VGE74" s="180"/>
      <c r="VGF74"/>
      <c r="VGG74" s="172"/>
      <c r="VGH74" s="181"/>
      <c r="VGI74"/>
      <c r="VGJ74" s="174"/>
      <c r="VGK74" s="175"/>
      <c r="VGL74" s="176"/>
      <c r="VGM74" s="176"/>
      <c r="VGN74" s="175"/>
      <c r="VGO74" s="177"/>
      <c r="VGP74" s="175"/>
      <c r="VGQ74" s="177"/>
      <c r="VGR74" s="178"/>
      <c r="VGS74" s="179"/>
      <c r="VGT74"/>
      <c r="VGU74" s="180"/>
      <c r="VGV74"/>
      <c r="VGW74" s="172"/>
      <c r="VGX74" s="181"/>
      <c r="VGY74"/>
      <c r="VGZ74" s="174"/>
      <c r="VHA74" s="175"/>
      <c r="VHB74" s="176"/>
      <c r="VHC74" s="176"/>
    </row>
    <row r="75" spans="1:63 3073:12199 12790:15083" ht="28.9" customHeight="1" thickBot="1">
      <c r="A75" s="172"/>
      <c r="B75" s="351"/>
      <c r="C75" s="20" t="s">
        <v>121</v>
      </c>
      <c r="D75" s="160" t="s">
        <v>24</v>
      </c>
      <c r="E75" s="86">
        <f>CEILING((((7200+297+115)*1.12)- 85)-150,50)</f>
        <v>8300</v>
      </c>
      <c r="F75" s="182">
        <v>85</v>
      </c>
      <c r="G75" s="183">
        <v>215</v>
      </c>
      <c r="H75" s="183">
        <v>75</v>
      </c>
      <c r="I75" s="182">
        <v>150</v>
      </c>
      <c r="J75" s="171">
        <f t="shared" si="10"/>
        <v>8825</v>
      </c>
      <c r="K75" s="182">
        <v>200</v>
      </c>
      <c r="L75" s="171">
        <f t="shared" si="11"/>
        <v>9025</v>
      </c>
      <c r="M75" s="163" t="s">
        <v>114</v>
      </c>
      <c r="N75" s="218" t="s">
        <v>60</v>
      </c>
      <c r="O75" s="173" t="s">
        <v>42</v>
      </c>
      <c r="P75" s="147" t="s">
        <v>150</v>
      </c>
      <c r="Q75" s="110" t="s">
        <v>124</v>
      </c>
      <c r="R75"/>
      <c r="S75" s="174"/>
      <c r="T75" s="175"/>
      <c r="U75" s="176"/>
      <c r="V75" s="176"/>
      <c r="W75" s="175"/>
      <c r="X75" s="177"/>
      <c r="Y75" s="175"/>
      <c r="Z75" s="177"/>
      <c r="AA75" s="178"/>
      <c r="AB75" s="179"/>
      <c r="AC75"/>
      <c r="AD75" s="180"/>
      <c r="AE75"/>
      <c r="AF75" s="172"/>
      <c r="AG75" s="181"/>
      <c r="AH75"/>
      <c r="AI75" s="174"/>
      <c r="AJ75" s="175"/>
      <c r="AK75" s="176"/>
      <c r="AL75" s="176"/>
      <c r="AM75" s="175"/>
      <c r="AN75" s="177"/>
      <c r="AO75" s="175"/>
      <c r="AP75" s="177"/>
      <c r="AQ75" s="178"/>
      <c r="AR75" s="179"/>
      <c r="AS75"/>
      <c r="AT75" s="180"/>
      <c r="AU75"/>
      <c r="AV75" s="172"/>
      <c r="AW75" s="181"/>
      <c r="AX75"/>
      <c r="AY75" s="174"/>
      <c r="AZ75" s="175"/>
      <c r="BA75" s="176"/>
      <c r="BB75" s="176"/>
      <c r="BC75" s="175"/>
      <c r="BD75" s="177"/>
      <c r="BE75" s="175"/>
      <c r="BF75" s="177"/>
      <c r="BG75" s="178"/>
      <c r="BH75" s="179"/>
      <c r="BI75"/>
      <c r="BJ75" s="180"/>
      <c r="BK75"/>
      <c r="DNE75" s="179"/>
      <c r="DNF75"/>
      <c r="DNG75" s="180"/>
      <c r="DNH75"/>
      <c r="DNI75" s="172"/>
      <c r="DNJ75" s="181"/>
      <c r="DNK75"/>
      <c r="DNL75" s="174"/>
      <c r="DNM75" s="175"/>
      <c r="DNN75" s="176"/>
      <c r="DNO75" s="176"/>
      <c r="DNP75" s="175"/>
      <c r="DNQ75" s="177"/>
      <c r="DNR75" s="175"/>
      <c r="DNS75" s="177"/>
      <c r="DNT75" s="178"/>
      <c r="DNU75" s="179"/>
      <c r="DNV75"/>
      <c r="DNW75" s="180"/>
      <c r="DNX75"/>
      <c r="DNY75" s="172"/>
      <c r="DNZ75" s="181"/>
      <c r="DOA75"/>
      <c r="DOB75" s="174"/>
      <c r="DOC75" s="175"/>
      <c r="DOD75" s="176"/>
      <c r="DOE75" s="176"/>
      <c r="DOF75" s="175"/>
      <c r="DOG75" s="177"/>
      <c r="DOH75" s="175"/>
      <c r="DOI75" s="177"/>
      <c r="DOJ75" s="178"/>
      <c r="DOK75" s="179"/>
      <c r="DOL75"/>
      <c r="DOM75" s="180"/>
      <c r="DON75"/>
      <c r="DOO75" s="172"/>
      <c r="DOP75" s="181"/>
      <c r="DOQ75"/>
      <c r="DOR75" s="174"/>
      <c r="DOS75" s="175"/>
      <c r="DOT75" s="176"/>
      <c r="DOU75" s="176"/>
      <c r="DOV75" s="175"/>
      <c r="DOW75" s="177"/>
      <c r="DOX75" s="175"/>
      <c r="DOY75" s="177"/>
      <c r="DOZ75" s="178"/>
      <c r="DPA75" s="179"/>
      <c r="DPB75"/>
      <c r="DPC75" s="180"/>
      <c r="DPD75"/>
      <c r="DPE75" s="172"/>
      <c r="DPF75" s="181"/>
      <c r="DPG75"/>
      <c r="DPH75" s="174"/>
      <c r="DPI75" s="175"/>
      <c r="DPJ75" s="176"/>
      <c r="DPK75" s="176"/>
      <c r="DPL75" s="175"/>
      <c r="DPM75" s="177"/>
      <c r="DPN75" s="175"/>
      <c r="DPO75" s="177"/>
      <c r="DPP75" s="178"/>
      <c r="DPQ75" s="179"/>
      <c r="DPR75"/>
      <c r="DPS75" s="180"/>
      <c r="DPT75"/>
      <c r="DPU75" s="172"/>
      <c r="DPV75" s="181"/>
      <c r="DPW75"/>
      <c r="DPX75" s="174"/>
      <c r="DPY75" s="175"/>
      <c r="DPZ75" s="176"/>
      <c r="DQA75" s="176"/>
      <c r="DQB75" s="175"/>
      <c r="DQC75" s="177"/>
      <c r="DQD75" s="175"/>
      <c r="DQE75" s="177"/>
      <c r="DQF75" s="178"/>
      <c r="DQG75" s="179"/>
      <c r="DQH75"/>
      <c r="DQI75" s="180"/>
      <c r="DQJ75"/>
      <c r="DQK75" s="172"/>
      <c r="DQL75" s="181"/>
      <c r="DQM75"/>
      <c r="DQN75" s="174"/>
      <c r="DQO75" s="175"/>
      <c r="DQP75" s="176"/>
      <c r="DQQ75" s="176"/>
      <c r="DQR75" s="175"/>
      <c r="DQS75" s="177"/>
      <c r="DQT75" s="175"/>
      <c r="DQU75" s="177"/>
      <c r="DQV75" s="178"/>
      <c r="DQW75" s="179"/>
      <c r="DQX75"/>
      <c r="DQY75" s="180"/>
      <c r="DQZ75"/>
      <c r="DRA75" s="172"/>
      <c r="DRB75" s="181"/>
      <c r="DRC75"/>
      <c r="DRD75" s="174"/>
      <c r="DRE75" s="175"/>
      <c r="DRF75" s="176"/>
      <c r="DRG75" s="176"/>
      <c r="DRH75" s="175"/>
      <c r="DRI75" s="177"/>
      <c r="DRJ75" s="175"/>
      <c r="DRK75" s="177"/>
      <c r="DRL75" s="178"/>
      <c r="DRM75" s="179"/>
      <c r="DRN75"/>
      <c r="DRO75" s="180"/>
      <c r="DRP75"/>
      <c r="DRQ75" s="172"/>
      <c r="DRR75" s="181"/>
      <c r="DRS75"/>
      <c r="DRT75" s="174"/>
      <c r="DRU75" s="175"/>
      <c r="DRV75" s="176"/>
      <c r="DRW75" s="176"/>
      <c r="DRX75" s="175"/>
      <c r="DRY75" s="177"/>
      <c r="DRZ75" s="175"/>
      <c r="DSA75" s="177"/>
      <c r="DSB75" s="178"/>
      <c r="DSC75" s="179"/>
      <c r="DSD75"/>
      <c r="DSE75" s="180"/>
      <c r="DSF75"/>
      <c r="DSG75" s="172"/>
      <c r="DSH75" s="181"/>
      <c r="DSI75"/>
      <c r="DSJ75" s="174"/>
      <c r="DSK75" s="175"/>
      <c r="DSL75" s="176"/>
      <c r="DSM75" s="176"/>
      <c r="DSN75" s="175"/>
      <c r="DSO75" s="177"/>
      <c r="DSP75" s="175"/>
      <c r="DSQ75" s="177"/>
      <c r="DSR75" s="178"/>
      <c r="DSS75" s="179"/>
      <c r="DST75"/>
      <c r="DSU75" s="180"/>
      <c r="DSV75"/>
      <c r="DSW75" s="172"/>
      <c r="DSX75" s="181"/>
      <c r="DSY75"/>
      <c r="DSZ75" s="174"/>
      <c r="DTA75" s="175"/>
      <c r="DTB75" s="176"/>
      <c r="DTC75" s="176"/>
      <c r="DTD75" s="175"/>
      <c r="DTE75" s="177"/>
      <c r="DTF75" s="175"/>
      <c r="DTG75" s="177"/>
      <c r="DTH75" s="178"/>
      <c r="DTI75" s="179"/>
      <c r="DTJ75"/>
      <c r="DTK75" s="180"/>
      <c r="DTL75"/>
      <c r="DTM75" s="172"/>
      <c r="DTN75" s="181"/>
      <c r="DTO75"/>
      <c r="DTP75" s="174"/>
      <c r="DTQ75" s="175"/>
      <c r="DTR75" s="176"/>
      <c r="DTS75" s="176"/>
      <c r="DTT75" s="175"/>
      <c r="DTU75" s="177"/>
      <c r="DTV75" s="175"/>
      <c r="DTW75" s="177"/>
      <c r="DTX75" s="178"/>
      <c r="DTY75" s="179"/>
      <c r="DTZ75"/>
      <c r="DUA75" s="180"/>
      <c r="DUB75"/>
      <c r="DUC75" s="172"/>
      <c r="DUD75" s="181"/>
      <c r="DUE75"/>
      <c r="DUF75" s="174"/>
      <c r="DUG75" s="175"/>
      <c r="DUH75" s="176"/>
      <c r="DUI75" s="176"/>
      <c r="DUJ75" s="175"/>
      <c r="DUK75" s="177"/>
      <c r="DUL75" s="175"/>
      <c r="DUM75" s="177"/>
      <c r="DUN75" s="178"/>
      <c r="DUO75" s="179"/>
      <c r="DUP75"/>
      <c r="DUQ75" s="180"/>
      <c r="DUR75"/>
      <c r="DUS75" s="172"/>
      <c r="DUT75" s="181"/>
      <c r="DUU75"/>
      <c r="DUV75" s="174"/>
      <c r="DUW75" s="175"/>
      <c r="DUX75" s="176"/>
      <c r="DUY75" s="176"/>
      <c r="DUZ75" s="175"/>
      <c r="DVA75" s="177"/>
      <c r="DVB75" s="175"/>
      <c r="DVC75" s="177"/>
      <c r="DVD75" s="178"/>
      <c r="DVE75" s="179"/>
      <c r="DVF75"/>
      <c r="DVG75" s="180"/>
      <c r="DVH75"/>
      <c r="DVI75" s="172"/>
      <c r="DVJ75" s="181"/>
      <c r="DVK75"/>
      <c r="DVL75" s="174"/>
      <c r="DVM75" s="175"/>
      <c r="DVN75" s="176"/>
      <c r="DVO75" s="176"/>
      <c r="DVP75" s="175"/>
      <c r="DVQ75" s="177"/>
      <c r="DVR75" s="175"/>
      <c r="DVS75" s="177"/>
      <c r="DVT75" s="178"/>
      <c r="DVU75" s="179"/>
      <c r="DVV75"/>
      <c r="DVW75" s="180"/>
      <c r="DVX75"/>
      <c r="DVY75" s="172"/>
      <c r="DVZ75" s="181"/>
      <c r="DWA75"/>
      <c r="DWB75" s="174"/>
      <c r="DWC75" s="175"/>
      <c r="DWD75" s="176"/>
      <c r="DWE75" s="176"/>
      <c r="DWF75" s="175"/>
      <c r="DWG75" s="177"/>
      <c r="DWH75" s="175"/>
      <c r="DWI75" s="177"/>
      <c r="DWJ75" s="178"/>
      <c r="DWK75" s="179"/>
      <c r="DWL75"/>
      <c r="DWM75" s="180"/>
      <c r="DWN75"/>
      <c r="DWO75" s="172"/>
      <c r="DWP75" s="181"/>
      <c r="DWQ75"/>
      <c r="DWR75" s="174"/>
      <c r="DWS75" s="175"/>
      <c r="DWT75" s="176"/>
      <c r="DWU75" s="176"/>
      <c r="DWV75" s="175"/>
      <c r="DWW75" s="177"/>
      <c r="DWX75" s="175"/>
      <c r="DWY75" s="177"/>
      <c r="DWZ75" s="178"/>
      <c r="DXA75" s="179"/>
      <c r="DXB75"/>
      <c r="DXC75" s="180"/>
      <c r="DXD75"/>
      <c r="DXE75" s="172"/>
      <c r="DXF75" s="181"/>
      <c r="DXG75"/>
      <c r="DXH75" s="174"/>
      <c r="DXI75" s="175"/>
      <c r="DXJ75" s="176"/>
      <c r="DXK75" s="176"/>
      <c r="DXL75" s="175"/>
      <c r="DXM75" s="177"/>
      <c r="DXN75" s="175"/>
      <c r="DXO75" s="177"/>
      <c r="DXP75" s="178"/>
      <c r="DXQ75" s="179"/>
      <c r="DXR75"/>
      <c r="DXS75" s="180"/>
      <c r="DXT75"/>
      <c r="DXU75" s="172"/>
      <c r="DXV75" s="181"/>
      <c r="DXW75"/>
      <c r="DXX75" s="174"/>
      <c r="DXY75" s="175"/>
      <c r="DXZ75" s="176"/>
      <c r="DYA75" s="176"/>
      <c r="DYB75" s="175"/>
      <c r="DYC75" s="177"/>
      <c r="DYD75" s="175"/>
      <c r="DYE75" s="177"/>
      <c r="DYF75" s="178"/>
      <c r="DYG75" s="179"/>
      <c r="DYH75"/>
      <c r="DYI75" s="180"/>
      <c r="DYJ75"/>
      <c r="DYK75" s="172"/>
      <c r="DYL75" s="181"/>
      <c r="DYM75"/>
      <c r="DYN75" s="174"/>
      <c r="DYO75" s="175"/>
      <c r="DYP75" s="176"/>
      <c r="DYQ75" s="176"/>
      <c r="DYR75" s="175"/>
      <c r="DYS75" s="177"/>
      <c r="DYT75" s="175"/>
      <c r="DYU75" s="177"/>
      <c r="DYV75" s="178"/>
      <c r="DYW75" s="179"/>
      <c r="DYX75"/>
      <c r="DYY75" s="180"/>
      <c r="DYZ75"/>
      <c r="DZA75" s="172"/>
      <c r="DZB75" s="181"/>
      <c r="DZC75"/>
      <c r="DZD75" s="174"/>
      <c r="DZE75" s="175"/>
      <c r="DZF75" s="176"/>
      <c r="DZG75" s="176"/>
      <c r="DZH75" s="175"/>
      <c r="DZI75" s="177"/>
      <c r="DZJ75" s="175"/>
      <c r="DZK75" s="177"/>
      <c r="DZL75" s="178"/>
      <c r="DZM75" s="179"/>
      <c r="DZN75"/>
      <c r="DZO75" s="180"/>
      <c r="DZP75"/>
      <c r="DZQ75" s="172"/>
      <c r="DZR75" s="181"/>
      <c r="DZS75"/>
      <c r="DZT75" s="174"/>
      <c r="DZU75" s="175"/>
      <c r="DZV75" s="176"/>
      <c r="DZW75" s="176"/>
      <c r="DZX75" s="175"/>
      <c r="DZY75" s="177"/>
      <c r="DZZ75" s="175"/>
      <c r="EAA75" s="177"/>
      <c r="EAB75" s="178"/>
      <c r="EAC75" s="179"/>
      <c r="EAD75"/>
      <c r="EAE75" s="180"/>
      <c r="EAF75"/>
      <c r="EAG75" s="172"/>
      <c r="EAH75" s="181"/>
      <c r="EAI75"/>
      <c r="EAJ75" s="174"/>
      <c r="EAK75" s="175"/>
      <c r="EAL75" s="176"/>
      <c r="EAM75" s="176"/>
      <c r="EAN75" s="175"/>
      <c r="EAO75" s="177"/>
      <c r="EAP75" s="175"/>
      <c r="EAQ75" s="177"/>
      <c r="EAR75" s="178"/>
      <c r="EAS75" s="179"/>
      <c r="EAT75"/>
      <c r="EAU75" s="180"/>
      <c r="EAV75"/>
      <c r="EAW75" s="172"/>
      <c r="EAX75" s="181"/>
      <c r="EAY75"/>
      <c r="EAZ75" s="174"/>
      <c r="EBA75" s="175"/>
      <c r="EBB75" s="176"/>
      <c r="EBC75" s="176"/>
      <c r="EBD75" s="175"/>
      <c r="EBE75" s="177"/>
      <c r="EBF75" s="175"/>
      <c r="EBG75" s="177"/>
      <c r="EBH75" s="178"/>
      <c r="EBI75" s="179"/>
      <c r="EBJ75"/>
      <c r="EBK75" s="180"/>
      <c r="EBL75"/>
      <c r="EBM75" s="172"/>
      <c r="EBN75" s="181"/>
      <c r="EBO75"/>
      <c r="EBP75" s="174"/>
      <c r="EBQ75" s="175"/>
      <c r="EBR75" s="176"/>
      <c r="EBS75" s="176"/>
      <c r="EBT75" s="175"/>
      <c r="EBU75" s="177"/>
      <c r="EBV75" s="175"/>
      <c r="EBW75" s="177"/>
      <c r="EBX75" s="178"/>
      <c r="EBY75" s="179"/>
      <c r="EBZ75"/>
      <c r="ECA75" s="180"/>
      <c r="ECB75"/>
      <c r="ECC75" s="172"/>
      <c r="ECD75" s="181"/>
      <c r="ECE75"/>
      <c r="ECF75" s="174"/>
      <c r="ECG75" s="175"/>
      <c r="ECH75" s="176"/>
      <c r="ECI75" s="176"/>
      <c r="ECJ75" s="175"/>
      <c r="ECK75" s="177"/>
      <c r="ECL75" s="175"/>
      <c r="ECM75" s="177"/>
      <c r="ECN75" s="178"/>
      <c r="ECO75" s="179"/>
      <c r="ECP75"/>
      <c r="ECQ75" s="180"/>
      <c r="ECR75"/>
      <c r="ECS75" s="172"/>
      <c r="ECT75" s="181"/>
      <c r="ECU75"/>
      <c r="ECV75" s="174"/>
      <c r="ECW75" s="175"/>
      <c r="ECX75" s="176"/>
      <c r="ECY75" s="176"/>
      <c r="ECZ75" s="175"/>
      <c r="EDA75" s="177"/>
      <c r="EDB75" s="175"/>
      <c r="EDC75" s="177"/>
      <c r="EDD75" s="178"/>
      <c r="EDE75" s="179"/>
      <c r="EDF75"/>
      <c r="EDG75" s="180"/>
      <c r="EDH75"/>
      <c r="EDI75" s="172"/>
      <c r="EDJ75" s="181"/>
      <c r="EDK75"/>
      <c r="EDL75" s="174"/>
      <c r="EDM75" s="175"/>
      <c r="EDN75" s="176"/>
      <c r="EDO75" s="176"/>
      <c r="EDP75" s="175"/>
      <c r="EDQ75" s="177"/>
      <c r="EDR75" s="175"/>
      <c r="EDS75" s="177"/>
      <c r="EDT75" s="178"/>
      <c r="EDU75" s="179"/>
      <c r="EDV75"/>
      <c r="EDW75" s="180"/>
      <c r="EDX75"/>
      <c r="EDY75" s="172"/>
      <c r="EDZ75" s="181"/>
      <c r="EEA75"/>
      <c r="EEB75" s="174"/>
      <c r="EEC75" s="175"/>
      <c r="EED75" s="176"/>
      <c r="EEE75" s="176"/>
      <c r="EEF75" s="175"/>
      <c r="EEG75" s="177"/>
      <c r="EEH75" s="175"/>
      <c r="EEI75" s="177"/>
      <c r="EEJ75" s="178"/>
      <c r="EEK75" s="179"/>
      <c r="EEL75"/>
      <c r="EEM75" s="180"/>
      <c r="EEN75"/>
      <c r="EEO75" s="172"/>
      <c r="EEP75" s="181"/>
      <c r="EEQ75"/>
      <c r="EER75" s="174"/>
      <c r="EES75" s="175"/>
      <c r="EET75" s="176"/>
      <c r="EEU75" s="176"/>
      <c r="EEV75" s="175"/>
      <c r="EEW75" s="177"/>
      <c r="EEX75" s="175"/>
      <c r="EEY75" s="177"/>
      <c r="EEZ75" s="178"/>
      <c r="EFA75" s="179"/>
      <c r="EFB75"/>
      <c r="EFC75" s="180"/>
      <c r="EFD75"/>
      <c r="EFE75" s="172"/>
      <c r="EFF75" s="181"/>
      <c r="EFG75"/>
      <c r="EFH75" s="174"/>
      <c r="EFI75" s="175"/>
      <c r="EFJ75" s="176"/>
      <c r="EFK75" s="176"/>
      <c r="EFL75" s="175"/>
      <c r="EFM75" s="177"/>
      <c r="EFN75" s="175"/>
      <c r="EFO75" s="177"/>
      <c r="EFP75" s="178"/>
      <c r="EFQ75" s="179"/>
      <c r="EFR75"/>
      <c r="EFS75" s="180"/>
      <c r="EFT75"/>
      <c r="EFU75" s="172"/>
      <c r="EFV75" s="181"/>
      <c r="EFW75"/>
      <c r="EFX75" s="174"/>
      <c r="EFY75" s="175"/>
      <c r="EFZ75" s="176"/>
      <c r="EGA75" s="176"/>
      <c r="EGB75" s="175"/>
      <c r="EGC75" s="177"/>
      <c r="EGD75" s="175"/>
      <c r="EGE75" s="177"/>
      <c r="EGF75" s="178"/>
      <c r="EGG75" s="179"/>
      <c r="EGH75"/>
      <c r="EGI75" s="180"/>
      <c r="EGJ75"/>
      <c r="EGK75" s="172"/>
      <c r="EGL75" s="181"/>
      <c r="EGM75"/>
      <c r="EGN75" s="174"/>
      <c r="EGO75" s="175"/>
      <c r="EGP75" s="176"/>
      <c r="EGQ75" s="176"/>
      <c r="EGR75" s="175"/>
      <c r="EGS75" s="177"/>
      <c r="EGT75" s="175"/>
      <c r="EGU75" s="177"/>
      <c r="EGV75" s="178"/>
      <c r="EGW75" s="179"/>
      <c r="EGX75"/>
      <c r="EGY75" s="180"/>
      <c r="EGZ75"/>
      <c r="EHA75" s="172"/>
      <c r="EHB75" s="181"/>
      <c r="EHC75"/>
      <c r="EHD75" s="174"/>
      <c r="EHE75" s="175"/>
      <c r="EHF75" s="176"/>
      <c r="EHG75" s="176"/>
      <c r="EHH75" s="175"/>
      <c r="EHI75" s="177"/>
      <c r="EHJ75" s="175"/>
      <c r="EHK75" s="177"/>
      <c r="EHL75" s="178"/>
      <c r="EHM75" s="179"/>
      <c r="EHN75"/>
      <c r="EHO75" s="180"/>
      <c r="EHP75"/>
      <c r="EHQ75" s="172"/>
      <c r="EHR75" s="181"/>
      <c r="EHS75"/>
      <c r="EHT75" s="174"/>
      <c r="EHU75" s="175"/>
      <c r="EHV75" s="176"/>
      <c r="EHW75" s="176"/>
      <c r="EHX75" s="175"/>
      <c r="EHY75" s="177"/>
      <c r="EHZ75" s="175"/>
      <c r="EIA75" s="177"/>
      <c r="EIB75" s="178"/>
      <c r="EIC75" s="179"/>
      <c r="EID75"/>
      <c r="EIE75" s="180"/>
      <c r="EIF75"/>
      <c r="EIG75" s="172"/>
      <c r="EIH75" s="181"/>
      <c r="EII75"/>
      <c r="EIJ75" s="174"/>
      <c r="EIK75" s="175"/>
      <c r="EIL75" s="176"/>
      <c r="EIM75" s="176"/>
      <c r="EIN75" s="175"/>
      <c r="EIO75" s="177"/>
      <c r="EIP75" s="175"/>
      <c r="EIQ75" s="177"/>
      <c r="EIR75" s="178"/>
      <c r="EIS75" s="179"/>
      <c r="EIT75"/>
      <c r="EIU75" s="180"/>
      <c r="EIV75"/>
      <c r="EIW75" s="172"/>
      <c r="EIX75" s="181"/>
      <c r="EIY75"/>
      <c r="EIZ75" s="174"/>
      <c r="EJA75" s="175"/>
      <c r="EJB75" s="176"/>
      <c r="EJC75" s="176"/>
      <c r="EJD75" s="175"/>
      <c r="EJE75" s="177"/>
      <c r="EJF75" s="175"/>
      <c r="EJG75" s="177"/>
      <c r="EJH75" s="178"/>
      <c r="EJI75" s="179"/>
      <c r="EJJ75"/>
      <c r="EJK75" s="180"/>
      <c r="EJL75"/>
      <c r="EJM75" s="172"/>
      <c r="EJN75" s="181"/>
      <c r="EJO75"/>
      <c r="EJP75" s="174"/>
      <c r="EJQ75" s="175"/>
      <c r="EJR75" s="176"/>
      <c r="EJS75" s="176"/>
      <c r="EJT75" s="175"/>
      <c r="EJU75" s="177"/>
      <c r="EJV75" s="175"/>
      <c r="EJW75" s="177"/>
      <c r="EJX75" s="178"/>
      <c r="EJY75" s="179"/>
      <c r="EJZ75"/>
      <c r="EKA75" s="180"/>
      <c r="EKB75"/>
      <c r="EKC75" s="172"/>
      <c r="EKD75" s="181"/>
      <c r="EKE75"/>
      <c r="EKF75" s="174"/>
      <c r="EKG75" s="175"/>
      <c r="EKH75" s="176"/>
      <c r="EKI75" s="176"/>
      <c r="EKJ75" s="175"/>
      <c r="EKK75" s="177"/>
      <c r="EKL75" s="175"/>
      <c r="EKM75" s="177"/>
      <c r="EKN75" s="178"/>
      <c r="EKO75" s="179"/>
      <c r="EKP75"/>
      <c r="EKQ75" s="180"/>
      <c r="EKR75"/>
      <c r="EKS75" s="172"/>
      <c r="EKT75" s="181"/>
      <c r="EKU75"/>
      <c r="EKV75" s="174"/>
      <c r="EKW75" s="175"/>
      <c r="EKX75" s="176"/>
      <c r="EKY75" s="176"/>
      <c r="EKZ75" s="175"/>
      <c r="ELA75" s="177"/>
      <c r="ELB75" s="175"/>
      <c r="ELC75" s="177"/>
      <c r="ELD75" s="178"/>
      <c r="ELE75" s="179"/>
      <c r="ELF75"/>
      <c r="ELG75" s="180"/>
      <c r="ELH75"/>
      <c r="ELI75" s="172"/>
      <c r="ELJ75" s="181"/>
      <c r="ELK75"/>
      <c r="ELL75" s="174"/>
      <c r="ELM75" s="175"/>
      <c r="ELN75" s="176"/>
      <c r="ELO75" s="176"/>
      <c r="ELP75" s="175"/>
      <c r="ELQ75" s="177"/>
      <c r="ELR75" s="175"/>
      <c r="ELS75" s="177"/>
      <c r="ELT75" s="178"/>
      <c r="ELU75" s="179"/>
      <c r="ELV75"/>
      <c r="ELW75" s="180"/>
      <c r="ELX75"/>
      <c r="ELY75" s="172"/>
      <c r="ELZ75" s="181"/>
      <c r="EMA75"/>
      <c r="EMB75" s="174"/>
      <c r="EMC75" s="175"/>
      <c r="EMD75" s="176"/>
      <c r="EME75" s="176"/>
      <c r="EMF75" s="175"/>
      <c r="EMG75" s="177"/>
      <c r="EMH75" s="175"/>
      <c r="EMI75" s="177"/>
      <c r="EMJ75" s="178"/>
      <c r="EMK75" s="179"/>
      <c r="EML75"/>
      <c r="EMM75" s="180"/>
      <c r="EMN75"/>
      <c r="EMO75" s="172"/>
      <c r="EMP75" s="181"/>
      <c r="EMQ75"/>
      <c r="EMR75" s="174"/>
      <c r="EMS75" s="175"/>
      <c r="EMT75" s="176"/>
      <c r="EMU75" s="176"/>
      <c r="EMV75" s="175"/>
      <c r="EMW75" s="177"/>
      <c r="EMX75" s="175"/>
      <c r="EMY75" s="177"/>
      <c r="EMZ75" s="178"/>
      <c r="ENA75" s="179"/>
      <c r="ENB75"/>
      <c r="ENC75" s="180"/>
      <c r="END75"/>
      <c r="ENE75" s="172"/>
      <c r="ENF75" s="181"/>
      <c r="ENG75"/>
      <c r="ENH75" s="174"/>
      <c r="ENI75" s="175"/>
      <c r="ENJ75" s="176"/>
      <c r="ENK75" s="176"/>
      <c r="ENL75" s="175"/>
      <c r="ENM75" s="177"/>
      <c r="ENN75" s="175"/>
      <c r="ENO75" s="177"/>
      <c r="ENP75" s="178"/>
      <c r="ENQ75" s="179"/>
      <c r="ENR75"/>
      <c r="ENS75" s="180"/>
      <c r="ENT75"/>
      <c r="ENU75" s="172"/>
      <c r="ENV75" s="181"/>
      <c r="ENW75"/>
      <c r="ENX75" s="174"/>
      <c r="ENY75" s="175"/>
      <c r="ENZ75" s="176"/>
      <c r="EOA75" s="176"/>
      <c r="EOB75" s="175"/>
      <c r="EOC75" s="177"/>
      <c r="EOD75" s="175"/>
      <c r="EOE75" s="177"/>
      <c r="EOF75" s="178"/>
      <c r="EOG75" s="179"/>
      <c r="EOH75"/>
      <c r="EOI75" s="180"/>
      <c r="EOJ75"/>
      <c r="EOK75" s="172"/>
      <c r="EOL75" s="181"/>
      <c r="EOM75"/>
      <c r="EON75" s="174"/>
      <c r="EOO75" s="175"/>
      <c r="EOP75" s="176"/>
      <c r="EOQ75" s="176"/>
      <c r="EOR75" s="175"/>
      <c r="EOS75" s="177"/>
      <c r="EOT75" s="175"/>
      <c r="EOU75" s="177"/>
      <c r="EOV75" s="178"/>
      <c r="EOW75" s="179"/>
      <c r="EOX75"/>
      <c r="EOY75" s="180"/>
      <c r="EOZ75"/>
      <c r="EPA75" s="172"/>
      <c r="EPB75" s="181"/>
      <c r="EPC75"/>
      <c r="EPD75" s="174"/>
      <c r="EPE75" s="175"/>
      <c r="EPF75" s="176"/>
      <c r="EPG75" s="176"/>
      <c r="EPH75" s="175"/>
      <c r="EPI75" s="177"/>
      <c r="EPJ75" s="175"/>
      <c r="EPK75" s="177"/>
      <c r="EPL75" s="178"/>
      <c r="EPM75" s="179"/>
      <c r="EPN75"/>
      <c r="EPO75" s="180"/>
      <c r="EPP75"/>
      <c r="EPQ75" s="172"/>
      <c r="EPR75" s="181"/>
      <c r="EPS75"/>
      <c r="EPT75" s="174"/>
      <c r="EPU75" s="175"/>
      <c r="EPV75" s="176"/>
      <c r="EPW75" s="176"/>
      <c r="EPX75" s="175"/>
      <c r="EPY75" s="177"/>
      <c r="EPZ75" s="175"/>
      <c r="EQA75" s="177"/>
      <c r="EQB75" s="178"/>
      <c r="EQC75" s="179"/>
      <c r="EQD75"/>
      <c r="EQE75" s="180"/>
      <c r="EQF75"/>
      <c r="EQG75" s="172"/>
      <c r="EQH75" s="181"/>
      <c r="EQI75"/>
      <c r="EQJ75" s="174"/>
      <c r="EQK75" s="175"/>
      <c r="EQL75" s="176"/>
      <c r="EQM75" s="176"/>
      <c r="EQN75" s="175"/>
      <c r="EQO75" s="177"/>
      <c r="EQP75" s="175"/>
      <c r="EQQ75" s="177"/>
      <c r="EQR75" s="178"/>
      <c r="EQS75" s="179"/>
      <c r="EQT75"/>
      <c r="EQU75" s="180"/>
      <c r="EQV75"/>
      <c r="EQW75" s="172"/>
      <c r="EQX75" s="181"/>
      <c r="EQY75"/>
      <c r="EQZ75" s="174"/>
      <c r="ERA75" s="175"/>
      <c r="ERB75" s="176"/>
      <c r="ERC75" s="176"/>
      <c r="ERD75" s="175"/>
      <c r="ERE75" s="177"/>
      <c r="ERF75" s="175"/>
      <c r="ERG75" s="177"/>
      <c r="ERH75" s="178"/>
      <c r="ERI75" s="179"/>
      <c r="ERJ75"/>
      <c r="ERK75" s="180"/>
      <c r="ERL75"/>
      <c r="ERM75" s="172"/>
      <c r="ERN75" s="181"/>
      <c r="ERO75"/>
      <c r="ERP75" s="174"/>
      <c r="ERQ75" s="175"/>
      <c r="ERR75" s="176"/>
      <c r="ERS75" s="176"/>
      <c r="ERT75" s="175"/>
      <c r="ERU75" s="177"/>
      <c r="ERV75" s="175"/>
      <c r="ERW75" s="177"/>
      <c r="ERX75" s="178"/>
      <c r="ERY75" s="179"/>
      <c r="ERZ75"/>
      <c r="ESA75" s="180"/>
      <c r="ESB75"/>
      <c r="ESC75" s="172"/>
      <c r="ESD75" s="181"/>
      <c r="ESE75"/>
      <c r="ESF75" s="174"/>
      <c r="ESG75" s="175"/>
      <c r="ESH75" s="176"/>
      <c r="ESI75" s="176"/>
      <c r="ESJ75" s="175"/>
      <c r="ESK75" s="177"/>
      <c r="ESL75" s="175"/>
      <c r="ESM75" s="177"/>
      <c r="ESN75" s="178"/>
      <c r="ESO75" s="179"/>
      <c r="ESP75"/>
      <c r="ESQ75" s="180"/>
      <c r="ESR75"/>
      <c r="ESS75" s="172"/>
      <c r="EST75" s="181"/>
      <c r="ESU75"/>
      <c r="ESV75" s="174"/>
      <c r="ESW75" s="175"/>
      <c r="ESX75" s="176"/>
      <c r="ESY75" s="176"/>
      <c r="ESZ75" s="175"/>
      <c r="ETA75" s="177"/>
      <c r="ETB75" s="175"/>
      <c r="ETC75" s="177"/>
      <c r="ETD75" s="178"/>
      <c r="ETE75" s="179"/>
      <c r="ETF75"/>
      <c r="ETG75" s="180"/>
      <c r="ETH75"/>
      <c r="ETI75" s="172"/>
      <c r="ETJ75" s="181"/>
      <c r="ETK75"/>
      <c r="ETL75" s="174"/>
      <c r="ETM75" s="175"/>
      <c r="ETN75" s="176"/>
      <c r="ETO75" s="176"/>
      <c r="ETP75" s="175"/>
      <c r="ETQ75" s="177"/>
      <c r="ETR75" s="175"/>
      <c r="ETS75" s="177"/>
      <c r="ETT75" s="178"/>
      <c r="ETU75" s="179"/>
      <c r="ETV75"/>
      <c r="ETW75" s="180"/>
      <c r="ETX75"/>
      <c r="ETY75" s="172"/>
      <c r="ETZ75" s="181"/>
      <c r="EUA75"/>
      <c r="EUB75" s="174"/>
      <c r="EUC75" s="175"/>
      <c r="EUD75" s="176"/>
      <c r="EUE75" s="176"/>
      <c r="EUF75" s="175"/>
      <c r="EUG75" s="177"/>
      <c r="EUH75" s="175"/>
      <c r="EUI75" s="177"/>
      <c r="EUJ75" s="178"/>
      <c r="EUK75" s="179"/>
      <c r="EUL75"/>
      <c r="EUM75" s="180"/>
      <c r="EUN75"/>
      <c r="EUO75" s="172"/>
      <c r="EUP75" s="181"/>
      <c r="EUQ75"/>
      <c r="EUR75" s="174"/>
      <c r="EUS75" s="175"/>
      <c r="EUT75" s="176"/>
      <c r="EUU75" s="176"/>
      <c r="EUV75" s="175"/>
      <c r="EUW75" s="177"/>
      <c r="EUX75" s="175"/>
      <c r="EUY75" s="177"/>
      <c r="EUZ75" s="178"/>
      <c r="EVA75" s="179"/>
      <c r="EVB75"/>
      <c r="EVC75" s="180"/>
      <c r="EVD75"/>
      <c r="EVE75" s="172"/>
      <c r="EVF75" s="181"/>
      <c r="EVG75"/>
      <c r="EVH75" s="174"/>
      <c r="EVI75" s="175"/>
      <c r="EVJ75" s="176"/>
      <c r="EVK75" s="176"/>
      <c r="EVL75" s="175"/>
      <c r="EVM75" s="177"/>
      <c r="EVN75" s="175"/>
      <c r="EVO75" s="177"/>
      <c r="EVP75" s="178"/>
      <c r="EVQ75" s="179"/>
      <c r="EVR75"/>
      <c r="EVS75" s="180"/>
      <c r="EVT75"/>
      <c r="EVU75" s="172"/>
      <c r="EVV75" s="181"/>
      <c r="EVW75"/>
      <c r="EVX75" s="174"/>
      <c r="EVY75" s="175"/>
      <c r="EVZ75" s="176"/>
      <c r="EWA75" s="176"/>
      <c r="EWB75" s="175"/>
      <c r="EWC75" s="177"/>
      <c r="EWD75" s="175"/>
      <c r="EWE75" s="177"/>
      <c r="EWF75" s="178"/>
      <c r="EWG75" s="179"/>
      <c r="EWH75"/>
      <c r="EWI75" s="180"/>
      <c r="EWJ75"/>
      <c r="EWK75" s="172"/>
      <c r="EWL75" s="181"/>
      <c r="EWM75"/>
      <c r="EWN75" s="174"/>
      <c r="EWO75" s="175"/>
      <c r="EWP75" s="176"/>
      <c r="EWQ75" s="176"/>
      <c r="EWR75" s="175"/>
      <c r="EWS75" s="177"/>
      <c r="EWT75" s="175"/>
      <c r="EWU75" s="177"/>
      <c r="EWV75" s="178"/>
      <c r="EWW75" s="179"/>
      <c r="EWX75"/>
      <c r="EWY75" s="180"/>
      <c r="EWZ75"/>
      <c r="EXA75" s="172"/>
      <c r="EXB75" s="181"/>
      <c r="EXC75"/>
      <c r="EXD75" s="174"/>
      <c r="EXE75" s="175"/>
      <c r="EXF75" s="176"/>
      <c r="EXG75" s="176"/>
      <c r="EXH75" s="175"/>
      <c r="EXI75" s="177"/>
      <c r="EXJ75" s="175"/>
      <c r="EXK75" s="177"/>
      <c r="EXL75" s="178"/>
      <c r="EXM75" s="179"/>
      <c r="EXN75"/>
      <c r="EXO75" s="180"/>
      <c r="EXP75"/>
      <c r="EXQ75" s="172"/>
      <c r="EXR75" s="181"/>
      <c r="EXS75"/>
      <c r="EXT75" s="174"/>
      <c r="EXU75" s="175"/>
      <c r="EXV75" s="176"/>
      <c r="EXW75" s="176"/>
      <c r="EXX75" s="175"/>
      <c r="EXY75" s="177"/>
      <c r="EXZ75" s="175"/>
      <c r="EYA75" s="177"/>
      <c r="EYB75" s="178"/>
      <c r="EYC75" s="179"/>
      <c r="EYD75"/>
      <c r="EYE75" s="180"/>
      <c r="EYF75"/>
      <c r="EYG75" s="172"/>
      <c r="EYH75" s="181"/>
      <c r="EYI75"/>
      <c r="EYJ75" s="174"/>
      <c r="EYK75" s="175"/>
      <c r="EYL75" s="176"/>
      <c r="EYM75" s="176"/>
      <c r="EYN75" s="175"/>
      <c r="EYO75" s="177"/>
      <c r="EYP75" s="175"/>
      <c r="EYQ75" s="177"/>
      <c r="EYR75" s="178"/>
      <c r="EYS75" s="179"/>
      <c r="EYT75"/>
      <c r="EYU75" s="180"/>
      <c r="EYV75"/>
      <c r="EYW75" s="172"/>
      <c r="EYX75" s="181"/>
      <c r="EYY75"/>
      <c r="EYZ75" s="174"/>
      <c r="EZA75" s="175"/>
      <c r="EZB75" s="176"/>
      <c r="EZC75" s="176"/>
      <c r="EZD75" s="175"/>
      <c r="EZE75" s="177"/>
      <c r="EZF75" s="175"/>
      <c r="EZG75" s="177"/>
      <c r="EZH75" s="178"/>
      <c r="EZI75" s="179"/>
      <c r="EZJ75"/>
      <c r="EZK75" s="180"/>
      <c r="EZL75"/>
      <c r="EZM75" s="172"/>
      <c r="EZN75" s="181"/>
      <c r="EZO75"/>
      <c r="EZP75" s="174"/>
      <c r="EZQ75" s="175"/>
      <c r="EZR75" s="176"/>
      <c r="EZS75" s="176"/>
      <c r="EZT75" s="175"/>
      <c r="EZU75" s="177"/>
      <c r="EZV75" s="175"/>
      <c r="EZW75" s="177"/>
      <c r="EZX75" s="178"/>
      <c r="EZY75" s="179"/>
      <c r="EZZ75"/>
      <c r="FAA75" s="180"/>
      <c r="FAB75"/>
      <c r="FAC75" s="172"/>
      <c r="FAD75" s="181"/>
      <c r="FAE75"/>
      <c r="FAF75" s="174"/>
      <c r="FAG75" s="175"/>
      <c r="FAH75" s="176"/>
      <c r="FAI75" s="176"/>
      <c r="FAJ75" s="175"/>
      <c r="FAK75" s="177"/>
      <c r="FAL75" s="175"/>
      <c r="FAM75" s="177"/>
      <c r="FAN75" s="178"/>
      <c r="FAO75" s="179"/>
      <c r="FAP75"/>
      <c r="FAQ75" s="180"/>
      <c r="FAR75"/>
      <c r="FAS75" s="172"/>
      <c r="FAT75" s="181"/>
      <c r="FAU75"/>
      <c r="FAV75" s="174"/>
      <c r="FAW75" s="175"/>
      <c r="FAX75" s="176"/>
      <c r="FAY75" s="176"/>
      <c r="FAZ75" s="175"/>
      <c r="FBA75" s="177"/>
      <c r="FBB75" s="175"/>
      <c r="FBC75" s="177"/>
      <c r="FBD75" s="178"/>
      <c r="FBE75" s="179"/>
      <c r="FBF75"/>
      <c r="FBG75" s="180"/>
      <c r="FBH75"/>
      <c r="FBI75" s="172"/>
      <c r="FBJ75" s="181"/>
      <c r="FBK75"/>
      <c r="FBL75" s="174"/>
      <c r="FBM75" s="175"/>
      <c r="FBN75" s="176"/>
      <c r="FBO75" s="176"/>
      <c r="FBP75" s="175"/>
      <c r="FBQ75" s="177"/>
      <c r="FBR75" s="175"/>
      <c r="FBS75" s="177"/>
      <c r="FBT75" s="178"/>
      <c r="FBU75" s="179"/>
      <c r="FBV75"/>
      <c r="FBW75" s="180"/>
      <c r="FBX75"/>
      <c r="FBY75" s="172"/>
      <c r="FBZ75" s="181"/>
      <c r="FCA75"/>
      <c r="FCB75" s="174"/>
      <c r="FCC75" s="175"/>
      <c r="FCD75" s="176"/>
      <c r="FCE75" s="176"/>
      <c r="FCF75" s="175"/>
      <c r="FCG75" s="177"/>
      <c r="FCH75" s="175"/>
      <c r="FCI75" s="177"/>
      <c r="FCJ75" s="178"/>
      <c r="FCK75" s="179"/>
      <c r="FCL75"/>
      <c r="FCM75" s="180"/>
      <c r="FCN75"/>
      <c r="FCO75" s="172"/>
      <c r="FCP75" s="181"/>
      <c r="FCQ75"/>
      <c r="FCR75" s="174"/>
      <c r="FCS75" s="175"/>
      <c r="FCT75" s="176"/>
      <c r="FCU75" s="176"/>
      <c r="FCV75" s="175"/>
      <c r="FCW75" s="177"/>
      <c r="FCX75" s="175"/>
      <c r="FCY75" s="177"/>
      <c r="FCZ75" s="178"/>
      <c r="FDA75" s="179"/>
      <c r="FDB75"/>
      <c r="FDC75" s="180"/>
      <c r="FDD75"/>
      <c r="FDE75" s="172"/>
      <c r="FDF75" s="181"/>
      <c r="FDG75"/>
      <c r="FDH75" s="174"/>
      <c r="FDI75" s="175"/>
      <c r="FDJ75" s="176"/>
      <c r="FDK75" s="176"/>
      <c r="FDL75" s="175"/>
      <c r="FDM75" s="177"/>
      <c r="FDN75" s="175"/>
      <c r="FDO75" s="177"/>
      <c r="FDP75" s="178"/>
      <c r="FDQ75" s="179"/>
      <c r="FDR75"/>
      <c r="FDS75" s="180"/>
      <c r="FDT75"/>
      <c r="FDU75" s="172"/>
      <c r="FDV75" s="181"/>
      <c r="FDW75"/>
      <c r="FDX75" s="174"/>
      <c r="FDY75" s="175"/>
      <c r="FDZ75" s="176"/>
      <c r="FEA75" s="176"/>
      <c r="FEB75" s="175"/>
      <c r="FEC75" s="177"/>
      <c r="FED75" s="175"/>
      <c r="FEE75" s="177"/>
      <c r="FEF75" s="178"/>
      <c r="FEG75" s="179"/>
      <c r="FEH75"/>
      <c r="FEI75" s="180"/>
      <c r="FEJ75"/>
      <c r="FEK75" s="172"/>
      <c r="FEL75" s="181"/>
      <c r="FEM75"/>
      <c r="FEN75" s="174"/>
      <c r="FEO75" s="175"/>
      <c r="FEP75" s="176"/>
      <c r="FEQ75" s="176"/>
      <c r="FER75" s="175"/>
      <c r="FES75" s="177"/>
      <c r="FET75" s="175"/>
      <c r="FEU75" s="177"/>
      <c r="FEV75" s="178"/>
      <c r="FEW75" s="179"/>
      <c r="FEX75"/>
      <c r="FEY75" s="180"/>
      <c r="FEZ75"/>
      <c r="FFA75" s="172"/>
      <c r="FFB75" s="181"/>
      <c r="FFC75"/>
      <c r="FFD75" s="174"/>
      <c r="FFE75" s="175"/>
      <c r="FFF75" s="176"/>
      <c r="FFG75" s="176"/>
      <c r="FFH75" s="175"/>
      <c r="FFI75" s="177"/>
      <c r="FFJ75" s="175"/>
      <c r="FFK75" s="177"/>
      <c r="FFL75" s="178"/>
      <c r="FFM75" s="179"/>
      <c r="FFN75"/>
      <c r="FFO75" s="180"/>
      <c r="FFP75"/>
      <c r="FFQ75" s="172"/>
      <c r="FFR75" s="181"/>
      <c r="FFS75"/>
      <c r="FFT75" s="174"/>
      <c r="FFU75" s="175"/>
      <c r="FFV75" s="176"/>
      <c r="FFW75" s="176"/>
      <c r="FFX75" s="175"/>
      <c r="FFY75" s="177"/>
      <c r="FFZ75" s="175"/>
      <c r="FGA75" s="177"/>
      <c r="FGB75" s="178"/>
      <c r="FGC75" s="179"/>
      <c r="FGD75"/>
      <c r="FGE75" s="180"/>
      <c r="FGF75"/>
      <c r="FGG75" s="172"/>
      <c r="FGH75" s="181"/>
      <c r="FGI75"/>
      <c r="FGJ75" s="174"/>
      <c r="FGK75" s="175"/>
      <c r="FGL75" s="176"/>
      <c r="FGM75" s="176"/>
      <c r="FGN75" s="175"/>
      <c r="FGO75" s="177"/>
      <c r="FGP75" s="175"/>
      <c r="FGQ75" s="177"/>
      <c r="FGR75" s="178"/>
      <c r="FGS75" s="179"/>
      <c r="FGT75"/>
      <c r="FGU75" s="180"/>
      <c r="FGV75"/>
      <c r="FGW75" s="172"/>
      <c r="FGX75" s="181"/>
      <c r="FGY75"/>
      <c r="FGZ75" s="174"/>
      <c r="FHA75" s="175"/>
      <c r="FHB75" s="176"/>
      <c r="FHC75" s="176"/>
      <c r="FHD75" s="175"/>
      <c r="FHE75" s="177"/>
      <c r="FHF75" s="175"/>
      <c r="FHG75" s="177"/>
      <c r="FHH75" s="178"/>
      <c r="FHI75" s="179"/>
      <c r="FHJ75"/>
      <c r="FHK75" s="180"/>
      <c r="FHL75"/>
      <c r="FHM75" s="172"/>
      <c r="FHN75" s="181"/>
      <c r="FHO75"/>
      <c r="FHP75" s="174"/>
      <c r="FHQ75" s="175"/>
      <c r="FHR75" s="176"/>
      <c r="FHS75" s="176"/>
      <c r="FHT75" s="175"/>
      <c r="FHU75" s="177"/>
      <c r="FHV75" s="175"/>
      <c r="FHW75" s="177"/>
      <c r="FHX75" s="178"/>
      <c r="FHY75" s="179"/>
      <c r="FHZ75"/>
      <c r="FIA75" s="180"/>
      <c r="FIB75"/>
      <c r="FIC75" s="172"/>
      <c r="FID75" s="181"/>
      <c r="FIE75"/>
      <c r="FIF75" s="174"/>
      <c r="FIG75" s="175"/>
      <c r="FIH75" s="176"/>
      <c r="FII75" s="176"/>
      <c r="FIJ75" s="175"/>
      <c r="FIK75" s="177"/>
      <c r="FIL75" s="175"/>
      <c r="FIM75" s="177"/>
      <c r="FIN75" s="178"/>
      <c r="FIO75" s="179"/>
      <c r="FIP75"/>
      <c r="FIQ75" s="180"/>
      <c r="FIR75"/>
      <c r="FIS75" s="172"/>
      <c r="FIT75" s="181"/>
      <c r="FIU75"/>
      <c r="FIV75" s="174"/>
      <c r="FIW75" s="175"/>
      <c r="FIX75" s="176"/>
      <c r="FIY75" s="176"/>
      <c r="FIZ75" s="175"/>
      <c r="FJA75" s="177"/>
      <c r="FJB75" s="175"/>
      <c r="FJC75" s="177"/>
      <c r="FJD75" s="178"/>
      <c r="FJE75" s="179"/>
      <c r="FJF75"/>
      <c r="FJG75" s="180"/>
      <c r="FJH75"/>
      <c r="FJI75" s="172"/>
      <c r="FJJ75" s="181"/>
      <c r="FJK75"/>
      <c r="FJL75" s="174"/>
      <c r="FJM75" s="175"/>
      <c r="FJN75" s="176"/>
      <c r="FJO75" s="176"/>
      <c r="FJP75" s="175"/>
      <c r="FJQ75" s="177"/>
      <c r="FJR75" s="175"/>
      <c r="FJS75" s="177"/>
      <c r="FJT75" s="178"/>
      <c r="FJU75" s="179"/>
      <c r="FJV75"/>
      <c r="FJW75" s="180"/>
      <c r="FJX75"/>
      <c r="FJY75" s="172"/>
      <c r="FJZ75" s="181"/>
      <c r="FKA75"/>
      <c r="FKB75" s="174"/>
      <c r="FKC75" s="175"/>
      <c r="FKD75" s="176"/>
      <c r="FKE75" s="176"/>
      <c r="FKF75" s="175"/>
      <c r="FKG75" s="177"/>
      <c r="FKH75" s="175"/>
      <c r="FKI75" s="177"/>
      <c r="FKJ75" s="178"/>
      <c r="FKK75" s="179"/>
      <c r="FKL75"/>
      <c r="FKM75" s="180"/>
      <c r="FKN75"/>
      <c r="FKO75" s="172"/>
      <c r="FKP75" s="181"/>
      <c r="FKQ75"/>
      <c r="FKR75" s="174"/>
      <c r="FKS75" s="175"/>
      <c r="FKT75" s="176"/>
      <c r="FKU75" s="176"/>
      <c r="FKV75" s="175"/>
      <c r="FKW75" s="177"/>
      <c r="FKX75" s="175"/>
      <c r="FKY75" s="177"/>
      <c r="FKZ75" s="178"/>
      <c r="FLA75" s="179"/>
      <c r="FLB75"/>
      <c r="FLC75" s="180"/>
      <c r="FLD75"/>
      <c r="FLE75" s="172"/>
      <c r="FLF75" s="181"/>
      <c r="FLG75"/>
      <c r="FLH75" s="174"/>
      <c r="FLI75" s="175"/>
      <c r="FLJ75" s="176"/>
      <c r="FLK75" s="176"/>
      <c r="FLL75" s="175"/>
      <c r="FLM75" s="177"/>
      <c r="FLN75" s="175"/>
      <c r="FLO75" s="177"/>
      <c r="FLP75" s="178"/>
      <c r="FLQ75" s="179"/>
      <c r="FLR75"/>
      <c r="FLS75" s="180"/>
      <c r="FLT75"/>
      <c r="FLU75" s="172"/>
      <c r="FLV75" s="181"/>
      <c r="FLW75"/>
      <c r="FLX75" s="174"/>
      <c r="FLY75" s="175"/>
      <c r="FLZ75" s="176"/>
      <c r="FMA75" s="176"/>
      <c r="FMB75" s="175"/>
      <c r="FMC75" s="177"/>
      <c r="FMD75" s="175"/>
      <c r="FME75" s="177"/>
      <c r="FMF75" s="178"/>
      <c r="FMG75" s="179"/>
      <c r="FMH75"/>
      <c r="FMI75" s="180"/>
      <c r="FMJ75"/>
      <c r="FMK75" s="172"/>
      <c r="FML75" s="181"/>
      <c r="FMM75"/>
      <c r="FMN75" s="174"/>
      <c r="FMO75" s="175"/>
      <c r="FMP75" s="176"/>
      <c r="FMQ75" s="176"/>
      <c r="FMR75" s="175"/>
      <c r="FMS75" s="177"/>
      <c r="FMT75" s="175"/>
      <c r="FMU75" s="177"/>
      <c r="FMV75" s="178"/>
      <c r="FMW75" s="179"/>
      <c r="FMX75"/>
      <c r="FMY75" s="180"/>
      <c r="FMZ75"/>
      <c r="FNA75" s="172"/>
      <c r="FNB75" s="181"/>
      <c r="FNC75"/>
      <c r="FND75" s="174"/>
      <c r="FNE75" s="175"/>
      <c r="FNF75" s="176"/>
      <c r="FNG75" s="176"/>
      <c r="FNH75" s="175"/>
      <c r="FNI75" s="177"/>
      <c r="FNJ75" s="175"/>
      <c r="FNK75" s="177"/>
      <c r="FNL75" s="178"/>
      <c r="FNM75" s="179"/>
      <c r="FNN75"/>
      <c r="FNO75" s="180"/>
      <c r="FNP75"/>
      <c r="FNQ75" s="172"/>
      <c r="FNR75" s="181"/>
      <c r="FNS75"/>
      <c r="FNT75" s="174"/>
      <c r="FNU75" s="175"/>
      <c r="FNV75" s="176"/>
      <c r="FNW75" s="176"/>
      <c r="FNX75" s="175"/>
      <c r="FNY75" s="177"/>
      <c r="FNZ75" s="175"/>
      <c r="FOA75" s="177"/>
      <c r="FOB75" s="178"/>
      <c r="FOC75" s="179"/>
      <c r="FOD75"/>
      <c r="FOE75" s="180"/>
      <c r="FOF75"/>
      <c r="FOG75" s="172"/>
      <c r="FOH75" s="181"/>
      <c r="FOI75"/>
      <c r="FOJ75" s="174"/>
      <c r="FOK75" s="175"/>
      <c r="FOL75" s="176"/>
      <c r="FOM75" s="176"/>
      <c r="FON75" s="175"/>
      <c r="FOO75" s="177"/>
      <c r="FOP75" s="175"/>
      <c r="FOQ75" s="177"/>
      <c r="FOR75" s="178"/>
      <c r="FOS75" s="179"/>
      <c r="FOT75"/>
      <c r="FOU75" s="180"/>
      <c r="FOV75"/>
      <c r="FOW75" s="172"/>
      <c r="FOX75" s="181"/>
      <c r="FOY75"/>
      <c r="FOZ75" s="174"/>
      <c r="FPA75" s="175"/>
      <c r="FPB75" s="176"/>
      <c r="FPC75" s="176"/>
      <c r="FPD75" s="175"/>
      <c r="FPE75" s="177"/>
      <c r="FPF75" s="175"/>
      <c r="FPG75" s="177"/>
      <c r="FPH75" s="178"/>
      <c r="FPI75" s="179"/>
      <c r="FPJ75"/>
      <c r="FPK75" s="180"/>
      <c r="FPL75"/>
      <c r="FPM75" s="172"/>
      <c r="FPN75" s="181"/>
      <c r="FPO75"/>
      <c r="FPP75" s="174"/>
      <c r="FPQ75" s="175"/>
      <c r="FPR75" s="176"/>
      <c r="FPS75" s="176"/>
      <c r="FPT75" s="175"/>
      <c r="FPU75" s="177"/>
      <c r="FPV75" s="175"/>
      <c r="FPW75" s="177"/>
      <c r="FPX75" s="178"/>
      <c r="FPY75" s="179"/>
      <c r="FPZ75"/>
      <c r="FQA75" s="180"/>
      <c r="FQB75"/>
      <c r="FQC75" s="172"/>
      <c r="FQD75" s="181"/>
      <c r="FQE75"/>
      <c r="FQF75" s="174"/>
      <c r="FQG75" s="175"/>
      <c r="FQH75" s="176"/>
      <c r="FQI75" s="176"/>
      <c r="FQJ75" s="175"/>
      <c r="FQK75" s="177"/>
      <c r="FQL75" s="175"/>
      <c r="FQM75" s="177"/>
      <c r="FQN75" s="178"/>
      <c r="FQO75" s="179"/>
      <c r="FQP75"/>
      <c r="FQQ75" s="180"/>
      <c r="FQR75"/>
      <c r="FQS75" s="172"/>
      <c r="FQT75" s="181"/>
      <c r="FQU75"/>
      <c r="FQV75" s="174"/>
      <c r="FQW75" s="175"/>
      <c r="FQX75" s="176"/>
      <c r="FQY75" s="176"/>
      <c r="FQZ75" s="175"/>
      <c r="FRA75" s="177"/>
      <c r="FRB75" s="175"/>
      <c r="FRC75" s="177"/>
      <c r="FRD75" s="178"/>
      <c r="FRE75" s="179"/>
      <c r="FRF75"/>
      <c r="FRG75" s="180"/>
      <c r="FRH75"/>
      <c r="FRI75" s="172"/>
      <c r="FRJ75" s="181"/>
      <c r="FRK75"/>
      <c r="FRL75" s="174"/>
      <c r="FRM75" s="175"/>
      <c r="FRN75" s="176"/>
      <c r="FRO75" s="176"/>
      <c r="FRP75" s="175"/>
      <c r="FRQ75" s="177"/>
      <c r="FRR75" s="175"/>
      <c r="FRS75" s="177"/>
      <c r="FRT75" s="178"/>
      <c r="FRU75" s="179"/>
      <c r="FRV75"/>
      <c r="FRW75" s="180"/>
      <c r="FRX75"/>
      <c r="FRY75" s="172"/>
      <c r="FRZ75" s="181"/>
      <c r="FSA75"/>
      <c r="FSB75" s="174"/>
      <c r="FSC75" s="175"/>
      <c r="FSD75" s="176"/>
      <c r="FSE75" s="176"/>
      <c r="FSF75" s="175"/>
      <c r="FSG75" s="177"/>
      <c r="FSH75" s="175"/>
      <c r="FSI75" s="177"/>
      <c r="FSJ75" s="178"/>
      <c r="FSK75" s="179"/>
      <c r="FSL75"/>
      <c r="FSM75" s="180"/>
      <c r="FSN75"/>
      <c r="FSO75" s="172"/>
      <c r="FSP75" s="181"/>
      <c r="FSQ75"/>
      <c r="FSR75" s="174"/>
      <c r="FSS75" s="175"/>
      <c r="FST75" s="176"/>
      <c r="FSU75" s="176"/>
      <c r="FSV75" s="175"/>
      <c r="FSW75" s="177"/>
      <c r="FSX75" s="175"/>
      <c r="FSY75" s="177"/>
      <c r="FSZ75" s="178"/>
      <c r="FTA75" s="179"/>
      <c r="FTB75"/>
      <c r="FTC75" s="180"/>
      <c r="FTD75"/>
      <c r="FTE75" s="172"/>
      <c r="FTF75" s="181"/>
      <c r="FTG75"/>
      <c r="FTH75" s="174"/>
      <c r="FTI75" s="175"/>
      <c r="FTJ75" s="176"/>
      <c r="FTK75" s="176"/>
      <c r="FTL75" s="175"/>
      <c r="FTM75" s="177"/>
      <c r="FTN75" s="175"/>
      <c r="FTO75" s="177"/>
      <c r="FTP75" s="178"/>
      <c r="FTQ75" s="179"/>
      <c r="FTR75"/>
      <c r="FTS75" s="180"/>
      <c r="FTT75"/>
      <c r="FTU75" s="172"/>
      <c r="FTV75" s="181"/>
      <c r="FTW75"/>
      <c r="FTX75" s="174"/>
      <c r="FTY75" s="175"/>
      <c r="FTZ75" s="176"/>
      <c r="FUA75" s="176"/>
      <c r="FUB75" s="175"/>
      <c r="FUC75" s="177"/>
      <c r="FUD75" s="175"/>
      <c r="FUE75" s="177"/>
      <c r="FUF75" s="178"/>
      <c r="FUG75" s="179"/>
      <c r="FUH75"/>
      <c r="FUI75" s="180"/>
      <c r="FUJ75"/>
      <c r="FUK75" s="172"/>
      <c r="FUL75" s="181"/>
      <c r="FUM75"/>
      <c r="FUN75" s="174"/>
      <c r="FUO75" s="175"/>
      <c r="FUP75" s="176"/>
      <c r="FUQ75" s="176"/>
      <c r="FUR75" s="175"/>
      <c r="FUS75" s="177"/>
      <c r="FUT75" s="175"/>
      <c r="FUU75" s="177"/>
      <c r="FUV75" s="178"/>
      <c r="FUW75" s="179"/>
      <c r="FUX75"/>
      <c r="FUY75" s="180"/>
      <c r="FUZ75"/>
      <c r="FVA75" s="172"/>
      <c r="FVB75" s="181"/>
      <c r="FVC75"/>
      <c r="FVD75" s="174"/>
      <c r="FVE75" s="175"/>
      <c r="FVF75" s="176"/>
      <c r="FVG75" s="176"/>
      <c r="FVH75" s="175"/>
      <c r="FVI75" s="177"/>
      <c r="FVJ75" s="175"/>
      <c r="FVK75" s="177"/>
      <c r="FVL75" s="178"/>
      <c r="FVM75" s="179"/>
      <c r="FVN75"/>
      <c r="FVO75" s="180"/>
      <c r="FVP75"/>
      <c r="FVQ75" s="172"/>
      <c r="FVR75" s="181"/>
      <c r="FVS75"/>
      <c r="FVT75" s="174"/>
      <c r="FVU75" s="175"/>
      <c r="FVV75" s="176"/>
      <c r="FVW75" s="176"/>
      <c r="FVX75" s="175"/>
      <c r="FVY75" s="177"/>
      <c r="FVZ75" s="175"/>
      <c r="FWA75" s="177"/>
      <c r="FWB75" s="178"/>
      <c r="FWC75" s="179"/>
      <c r="FWD75"/>
      <c r="FWE75" s="180"/>
      <c r="FWF75"/>
      <c r="FWG75" s="172"/>
      <c r="FWH75" s="181"/>
      <c r="FWI75"/>
      <c r="FWJ75" s="174"/>
      <c r="FWK75" s="175"/>
      <c r="FWL75" s="176"/>
      <c r="FWM75" s="176"/>
      <c r="FWN75" s="175"/>
      <c r="FWO75" s="177"/>
      <c r="FWP75" s="175"/>
      <c r="FWQ75" s="177"/>
      <c r="FWR75" s="178"/>
      <c r="FWS75" s="179"/>
      <c r="FWT75"/>
      <c r="FWU75" s="180"/>
      <c r="FWV75"/>
      <c r="FWW75" s="172"/>
      <c r="FWX75" s="181"/>
      <c r="FWY75"/>
      <c r="FWZ75" s="174"/>
      <c r="FXA75" s="175"/>
      <c r="FXB75" s="176"/>
      <c r="FXC75" s="176"/>
      <c r="FXD75" s="175"/>
      <c r="FXE75" s="177"/>
      <c r="FXF75" s="175"/>
      <c r="FXG75" s="177"/>
      <c r="FXH75" s="178"/>
      <c r="FXI75" s="179"/>
      <c r="FXJ75"/>
      <c r="FXK75" s="180"/>
      <c r="FXL75"/>
      <c r="FXM75" s="172"/>
      <c r="FXN75" s="181"/>
      <c r="FXO75"/>
      <c r="FXP75" s="174"/>
      <c r="FXQ75" s="175"/>
      <c r="FXR75" s="176"/>
      <c r="FXS75" s="176"/>
      <c r="FXT75" s="175"/>
      <c r="FXU75" s="177"/>
      <c r="FXV75" s="175"/>
      <c r="FXW75" s="177"/>
      <c r="FXX75" s="178"/>
      <c r="FXY75" s="179"/>
      <c r="FXZ75"/>
      <c r="FYA75" s="180"/>
      <c r="FYB75"/>
      <c r="FYC75" s="172"/>
      <c r="FYD75" s="181"/>
      <c r="FYE75"/>
      <c r="FYF75" s="174"/>
      <c r="FYG75" s="175"/>
      <c r="FYH75" s="176"/>
      <c r="FYI75" s="176"/>
      <c r="FYJ75" s="175"/>
      <c r="FYK75" s="177"/>
      <c r="FYL75" s="175"/>
      <c r="FYM75" s="177"/>
      <c r="FYN75" s="178"/>
      <c r="FYO75" s="179"/>
      <c r="FYP75"/>
      <c r="FYQ75" s="180"/>
      <c r="FYR75"/>
      <c r="FYS75" s="172"/>
      <c r="FYT75" s="181"/>
      <c r="FYU75"/>
      <c r="FYV75" s="174"/>
      <c r="FYW75" s="175"/>
      <c r="FYX75" s="176"/>
      <c r="FYY75" s="176"/>
      <c r="FYZ75" s="175"/>
      <c r="FZA75" s="177"/>
      <c r="FZB75" s="175"/>
      <c r="FZC75" s="177"/>
      <c r="FZD75" s="178"/>
      <c r="FZE75" s="179"/>
      <c r="FZF75"/>
      <c r="FZG75" s="180"/>
      <c r="FZH75"/>
      <c r="FZI75" s="172"/>
      <c r="FZJ75" s="181"/>
      <c r="FZK75"/>
      <c r="FZL75" s="174"/>
      <c r="FZM75" s="175"/>
      <c r="FZN75" s="176"/>
      <c r="FZO75" s="176"/>
      <c r="FZP75" s="175"/>
      <c r="FZQ75" s="177"/>
      <c r="FZR75" s="175"/>
      <c r="FZS75" s="177"/>
      <c r="FZT75" s="178"/>
      <c r="FZU75" s="179"/>
      <c r="FZV75"/>
      <c r="FZW75" s="180"/>
      <c r="FZX75"/>
      <c r="FZY75" s="172"/>
      <c r="FZZ75" s="181"/>
      <c r="GAA75"/>
      <c r="GAB75" s="174"/>
      <c r="GAC75" s="175"/>
      <c r="GAD75" s="176"/>
      <c r="GAE75" s="176"/>
      <c r="GAF75" s="175"/>
      <c r="GAG75" s="177"/>
      <c r="GAH75" s="175"/>
      <c r="GAI75" s="177"/>
      <c r="GAJ75" s="178"/>
      <c r="GAK75" s="179"/>
      <c r="GAL75"/>
      <c r="GAM75" s="180"/>
      <c r="GAN75"/>
      <c r="GAO75" s="172"/>
      <c r="GAP75" s="181"/>
      <c r="GAQ75"/>
      <c r="GAR75" s="174"/>
      <c r="GAS75" s="175"/>
      <c r="GAT75" s="176"/>
      <c r="GAU75" s="176"/>
      <c r="GAV75" s="175"/>
      <c r="GAW75" s="177"/>
      <c r="GAX75" s="175"/>
      <c r="GAY75" s="177"/>
      <c r="GAZ75" s="178"/>
      <c r="GBA75" s="179"/>
      <c r="GBB75"/>
      <c r="GBC75" s="180"/>
      <c r="GBD75"/>
      <c r="GBE75" s="172"/>
      <c r="GBF75" s="181"/>
      <c r="GBG75"/>
      <c r="GBH75" s="174"/>
      <c r="GBI75" s="175"/>
      <c r="GBJ75" s="176"/>
      <c r="GBK75" s="176"/>
      <c r="GBL75" s="175"/>
      <c r="GBM75" s="177"/>
      <c r="GBN75" s="175"/>
      <c r="GBO75" s="177"/>
      <c r="GBP75" s="178"/>
      <c r="GBQ75" s="179"/>
      <c r="GBR75"/>
      <c r="GBS75" s="180"/>
      <c r="GBT75"/>
      <c r="GBU75" s="172"/>
      <c r="GBV75" s="181"/>
      <c r="GBW75"/>
      <c r="GBX75" s="174"/>
      <c r="GBY75" s="175"/>
      <c r="GBZ75" s="176"/>
      <c r="GCA75" s="176"/>
      <c r="GCB75" s="175"/>
      <c r="GCC75" s="177"/>
      <c r="GCD75" s="175"/>
      <c r="GCE75" s="177"/>
      <c r="GCF75" s="178"/>
      <c r="GCG75" s="179"/>
      <c r="GCH75"/>
      <c r="GCI75" s="180"/>
      <c r="GCJ75"/>
      <c r="GCK75" s="172"/>
      <c r="GCL75" s="181"/>
      <c r="GCM75"/>
      <c r="GCN75" s="174"/>
      <c r="GCO75" s="175"/>
      <c r="GCP75" s="176"/>
      <c r="GCQ75" s="176"/>
      <c r="GCR75" s="175"/>
      <c r="GCS75" s="177"/>
      <c r="GCT75" s="175"/>
      <c r="GCU75" s="177"/>
      <c r="GCV75" s="178"/>
      <c r="GCW75" s="179"/>
      <c r="GCX75"/>
      <c r="GCY75" s="180"/>
      <c r="GCZ75"/>
      <c r="GDA75" s="172"/>
      <c r="GDB75" s="181"/>
      <c r="GDC75"/>
      <c r="GDD75" s="174"/>
      <c r="GDE75" s="175"/>
      <c r="GDF75" s="176"/>
      <c r="GDG75" s="176"/>
      <c r="GDH75" s="175"/>
      <c r="GDI75" s="177"/>
      <c r="GDJ75" s="175"/>
      <c r="GDK75" s="177"/>
      <c r="GDL75" s="178"/>
      <c r="GDM75" s="179"/>
      <c r="GDN75"/>
      <c r="GDO75" s="180"/>
      <c r="GDP75"/>
      <c r="GDQ75" s="172"/>
      <c r="GDR75" s="181"/>
      <c r="GDS75"/>
      <c r="GDT75" s="174"/>
      <c r="GDU75" s="175"/>
      <c r="GDV75" s="176"/>
      <c r="GDW75" s="176"/>
      <c r="GDX75" s="175"/>
      <c r="GDY75" s="177"/>
      <c r="GDZ75" s="175"/>
      <c r="GEA75" s="177"/>
      <c r="GEB75" s="178"/>
      <c r="GEC75" s="179"/>
      <c r="GED75"/>
      <c r="GEE75" s="180"/>
      <c r="GEF75"/>
      <c r="GEG75" s="172"/>
      <c r="GEH75" s="181"/>
      <c r="GEI75"/>
      <c r="GEJ75" s="174"/>
      <c r="GEK75" s="175"/>
      <c r="GEL75" s="176"/>
      <c r="GEM75" s="176"/>
      <c r="GEN75" s="175"/>
      <c r="GEO75" s="177"/>
      <c r="GEP75" s="175"/>
      <c r="GEQ75" s="177"/>
      <c r="GER75" s="178"/>
      <c r="GES75" s="179"/>
      <c r="GET75"/>
      <c r="GEU75" s="180"/>
      <c r="GEV75"/>
      <c r="GEW75" s="172"/>
      <c r="GEX75" s="181"/>
      <c r="GEY75"/>
      <c r="GEZ75" s="174"/>
      <c r="GFA75" s="175"/>
      <c r="GFB75" s="176"/>
      <c r="GFC75" s="176"/>
      <c r="GFD75" s="175"/>
      <c r="GFE75" s="177"/>
      <c r="GFF75" s="175"/>
      <c r="GFG75" s="177"/>
      <c r="GFH75" s="178"/>
      <c r="GFI75" s="179"/>
      <c r="GFJ75"/>
      <c r="GFK75" s="180"/>
      <c r="GFL75"/>
      <c r="GFM75" s="172"/>
      <c r="GFN75" s="181"/>
      <c r="GFO75"/>
      <c r="GFP75" s="174"/>
      <c r="GFQ75" s="175"/>
      <c r="GFR75" s="176"/>
      <c r="GFS75" s="176"/>
      <c r="GFT75" s="175"/>
      <c r="GFU75" s="177"/>
      <c r="GFV75" s="175"/>
      <c r="GFW75" s="177"/>
      <c r="GFX75" s="178"/>
      <c r="GFY75" s="179"/>
      <c r="GFZ75"/>
      <c r="GGA75" s="180"/>
      <c r="GGB75"/>
      <c r="GGC75" s="172"/>
      <c r="GGD75" s="181"/>
      <c r="GGE75"/>
      <c r="GGF75" s="174"/>
      <c r="GGG75" s="175"/>
      <c r="GGH75" s="176"/>
      <c r="GGI75" s="176"/>
      <c r="GGJ75" s="175"/>
      <c r="GGK75" s="177"/>
      <c r="GGL75" s="175"/>
      <c r="GGM75" s="177"/>
      <c r="GGN75" s="178"/>
      <c r="GGO75" s="179"/>
      <c r="GGP75"/>
      <c r="GGQ75" s="180"/>
      <c r="GGR75"/>
      <c r="GGS75" s="172"/>
      <c r="GGT75" s="181"/>
      <c r="GGU75"/>
      <c r="GGV75" s="174"/>
      <c r="GGW75" s="175"/>
      <c r="GGX75" s="176"/>
      <c r="GGY75" s="176"/>
      <c r="GGZ75" s="175"/>
      <c r="GHA75" s="177"/>
      <c r="GHB75" s="175"/>
      <c r="GHC75" s="177"/>
      <c r="GHD75" s="178"/>
      <c r="GHE75" s="179"/>
      <c r="GHF75"/>
      <c r="GHG75" s="180"/>
      <c r="GHH75"/>
      <c r="GHI75" s="172"/>
      <c r="GHJ75" s="181"/>
      <c r="GHK75"/>
      <c r="GHL75" s="174"/>
      <c r="GHM75" s="175"/>
      <c r="GHN75" s="176"/>
      <c r="GHO75" s="176"/>
      <c r="GHP75" s="175"/>
      <c r="GHQ75" s="177"/>
      <c r="GHR75" s="175"/>
      <c r="GHS75" s="177"/>
      <c r="GHT75" s="178"/>
      <c r="GHU75" s="179"/>
      <c r="GHV75"/>
      <c r="GHW75" s="180"/>
      <c r="GHX75"/>
      <c r="GHY75" s="172"/>
      <c r="GHZ75" s="181"/>
      <c r="GIA75"/>
      <c r="GIB75" s="174"/>
      <c r="GIC75" s="175"/>
      <c r="GID75" s="176"/>
      <c r="GIE75" s="176"/>
      <c r="GIF75" s="175"/>
      <c r="GIG75" s="177"/>
      <c r="GIH75" s="175"/>
      <c r="GII75" s="177"/>
      <c r="GIJ75" s="178"/>
      <c r="GIK75" s="179"/>
      <c r="GIL75"/>
      <c r="GIM75" s="180"/>
      <c r="GIN75"/>
      <c r="GIO75" s="172"/>
      <c r="GIP75" s="181"/>
      <c r="GIQ75"/>
      <c r="GIR75" s="174"/>
      <c r="GIS75" s="175"/>
      <c r="GIT75" s="176"/>
      <c r="GIU75" s="176"/>
      <c r="GIV75" s="175"/>
      <c r="GIW75" s="177"/>
      <c r="GIX75" s="175"/>
      <c r="GIY75" s="177"/>
      <c r="GIZ75" s="178"/>
      <c r="GJA75" s="179"/>
      <c r="GJB75"/>
      <c r="GJC75" s="180"/>
      <c r="GJD75"/>
      <c r="GJE75" s="172"/>
      <c r="GJF75" s="181"/>
      <c r="GJG75"/>
      <c r="GJH75" s="174"/>
      <c r="GJI75" s="175"/>
      <c r="GJJ75" s="176"/>
      <c r="GJK75" s="176"/>
      <c r="GJL75" s="175"/>
      <c r="GJM75" s="177"/>
      <c r="GJN75" s="175"/>
      <c r="GJO75" s="177"/>
      <c r="GJP75" s="178"/>
      <c r="GJQ75" s="179"/>
      <c r="GJR75"/>
      <c r="GJS75" s="180"/>
      <c r="GJT75"/>
      <c r="GJU75" s="172"/>
      <c r="GJV75" s="181"/>
      <c r="GJW75"/>
      <c r="GJX75" s="174"/>
      <c r="GJY75" s="175"/>
      <c r="GJZ75" s="176"/>
      <c r="GKA75" s="176"/>
      <c r="GKB75" s="175"/>
      <c r="GKC75" s="177"/>
      <c r="GKD75" s="175"/>
      <c r="GKE75" s="177"/>
      <c r="GKF75" s="178"/>
      <c r="GKG75" s="179"/>
      <c r="GKH75"/>
      <c r="GKI75" s="180"/>
      <c r="GKJ75"/>
      <c r="GKK75" s="172"/>
      <c r="GKL75" s="181"/>
      <c r="GKM75"/>
      <c r="GKN75" s="174"/>
      <c r="GKO75" s="175"/>
      <c r="GKP75" s="176"/>
      <c r="GKQ75" s="176"/>
      <c r="GKR75" s="175"/>
      <c r="GKS75" s="177"/>
      <c r="GKT75" s="175"/>
      <c r="GKU75" s="177"/>
      <c r="GKV75" s="178"/>
      <c r="GKW75" s="179"/>
      <c r="GKX75"/>
      <c r="GKY75" s="180"/>
      <c r="GKZ75"/>
      <c r="GLA75" s="172"/>
      <c r="GLB75" s="181"/>
      <c r="GLC75"/>
      <c r="GLD75" s="174"/>
      <c r="GLE75" s="175"/>
      <c r="GLF75" s="176"/>
      <c r="GLG75" s="176"/>
      <c r="GLH75" s="175"/>
      <c r="GLI75" s="177"/>
      <c r="GLJ75" s="175"/>
      <c r="GLK75" s="177"/>
      <c r="GLL75" s="178"/>
      <c r="GLM75" s="179"/>
      <c r="GLN75"/>
      <c r="GLO75" s="180"/>
      <c r="GLP75"/>
      <c r="GLQ75" s="172"/>
      <c r="GLR75" s="181"/>
      <c r="GLS75"/>
      <c r="GLT75" s="174"/>
      <c r="GLU75" s="175"/>
      <c r="GLV75" s="176"/>
      <c r="GLW75" s="176"/>
      <c r="GLX75" s="175"/>
      <c r="GLY75" s="177"/>
      <c r="GLZ75" s="175"/>
      <c r="GMA75" s="177"/>
      <c r="GMB75" s="178"/>
      <c r="GMC75" s="179"/>
      <c r="GMD75"/>
      <c r="GME75" s="180"/>
      <c r="GMF75"/>
      <c r="GMG75" s="172"/>
      <c r="GMH75" s="181"/>
      <c r="GMI75"/>
      <c r="GMJ75" s="174"/>
      <c r="GMK75" s="175"/>
      <c r="GML75" s="176"/>
      <c r="GMM75" s="176"/>
      <c r="GMN75" s="175"/>
      <c r="GMO75" s="177"/>
      <c r="GMP75" s="175"/>
      <c r="GMQ75" s="177"/>
      <c r="GMR75" s="178"/>
      <c r="GMS75" s="179"/>
      <c r="GMT75"/>
      <c r="GMU75" s="180"/>
      <c r="GMV75"/>
      <c r="GMW75" s="172"/>
      <c r="GMX75" s="181"/>
      <c r="GMY75"/>
      <c r="GMZ75" s="174"/>
      <c r="GNA75" s="175"/>
      <c r="GNB75" s="176"/>
      <c r="GNC75" s="176"/>
      <c r="GND75" s="175"/>
      <c r="GNE75" s="177"/>
      <c r="GNF75" s="175"/>
      <c r="GNG75" s="177"/>
      <c r="GNH75" s="178"/>
      <c r="GNI75" s="179"/>
      <c r="GNJ75"/>
      <c r="GNK75" s="180"/>
      <c r="GNL75"/>
      <c r="GNM75" s="172"/>
      <c r="GNN75" s="181"/>
      <c r="GNO75"/>
      <c r="GNP75" s="174"/>
      <c r="GNQ75" s="175"/>
      <c r="GNR75" s="176"/>
      <c r="GNS75" s="176"/>
      <c r="GNT75" s="175"/>
      <c r="GNU75" s="177"/>
      <c r="GNV75" s="175"/>
      <c r="GNW75" s="177"/>
      <c r="GNX75" s="178"/>
      <c r="GNY75" s="179"/>
      <c r="GNZ75"/>
      <c r="GOA75" s="180"/>
      <c r="GOB75"/>
      <c r="GOC75" s="172"/>
      <c r="GOD75" s="181"/>
      <c r="GOE75"/>
      <c r="GOF75" s="174"/>
      <c r="GOG75" s="175"/>
      <c r="GOH75" s="176"/>
      <c r="GOI75" s="176"/>
      <c r="GOJ75" s="175"/>
      <c r="GOK75" s="177"/>
      <c r="GOL75" s="175"/>
      <c r="GOM75" s="177"/>
      <c r="GON75" s="178"/>
      <c r="GOO75" s="179"/>
      <c r="GOP75"/>
      <c r="GOQ75" s="180"/>
      <c r="GOR75"/>
      <c r="GOS75" s="172"/>
      <c r="GOT75" s="181"/>
      <c r="GOU75"/>
      <c r="GOV75" s="174"/>
      <c r="GOW75" s="175"/>
      <c r="GOX75" s="176"/>
      <c r="GOY75" s="176"/>
      <c r="GOZ75" s="175"/>
      <c r="GPA75" s="177"/>
      <c r="GPB75" s="175"/>
      <c r="GPC75" s="177"/>
      <c r="GPD75" s="178"/>
      <c r="GPE75" s="179"/>
      <c r="GPF75"/>
      <c r="GPG75" s="180"/>
      <c r="GPH75"/>
      <c r="GPI75" s="172"/>
      <c r="GPJ75" s="181"/>
      <c r="GPK75"/>
      <c r="GPL75" s="174"/>
      <c r="GPM75" s="175"/>
      <c r="GPN75" s="176"/>
      <c r="GPO75" s="176"/>
      <c r="GPP75" s="175"/>
      <c r="GPQ75" s="177"/>
      <c r="GPR75" s="175"/>
      <c r="GPS75" s="177"/>
      <c r="GPT75" s="178"/>
      <c r="GPU75" s="179"/>
      <c r="GPV75"/>
      <c r="GPW75" s="180"/>
      <c r="GPX75"/>
      <c r="GPY75" s="172"/>
      <c r="GPZ75" s="181"/>
      <c r="GQA75"/>
      <c r="GQB75" s="174"/>
      <c r="GQC75" s="175"/>
      <c r="GQD75" s="176"/>
      <c r="GQE75" s="176"/>
      <c r="GQF75" s="175"/>
      <c r="GQG75" s="177"/>
      <c r="GQH75" s="175"/>
      <c r="GQI75" s="177"/>
      <c r="GQJ75" s="178"/>
      <c r="GQK75" s="179"/>
      <c r="GQL75"/>
      <c r="GQM75" s="180"/>
      <c r="GQN75"/>
      <c r="GQO75" s="172"/>
      <c r="GQP75" s="181"/>
      <c r="GQQ75"/>
      <c r="GQR75" s="174"/>
      <c r="GQS75" s="175"/>
      <c r="GQT75" s="176"/>
      <c r="GQU75" s="176"/>
      <c r="GQV75" s="175"/>
      <c r="GQW75" s="177"/>
      <c r="GQX75" s="175"/>
      <c r="GQY75" s="177"/>
      <c r="GQZ75" s="178"/>
      <c r="GRA75" s="179"/>
      <c r="GRB75"/>
      <c r="GRC75" s="180"/>
      <c r="GRD75"/>
      <c r="GRE75" s="172"/>
      <c r="GRF75" s="181"/>
      <c r="GRG75"/>
      <c r="GRH75" s="174"/>
      <c r="GRI75" s="175"/>
      <c r="GRJ75" s="176"/>
      <c r="GRK75" s="176"/>
      <c r="GRL75" s="175"/>
      <c r="GRM75" s="177"/>
      <c r="GRN75" s="175"/>
      <c r="GRO75" s="177"/>
      <c r="GRP75" s="178"/>
      <c r="GRQ75" s="179"/>
      <c r="GRR75"/>
      <c r="GRS75" s="180"/>
      <c r="GRT75"/>
      <c r="GRU75" s="172"/>
      <c r="GRV75" s="181"/>
      <c r="GRW75"/>
      <c r="GRX75" s="174"/>
      <c r="GRY75" s="175"/>
      <c r="GRZ75" s="176"/>
      <c r="GSA75" s="176"/>
      <c r="GSB75" s="175"/>
      <c r="GSC75" s="177"/>
      <c r="GSD75" s="175"/>
      <c r="GSE75" s="177"/>
      <c r="GSF75" s="178"/>
      <c r="GSG75" s="179"/>
      <c r="GSH75"/>
      <c r="GSI75" s="180"/>
      <c r="GSJ75"/>
      <c r="GSK75" s="172"/>
      <c r="GSL75" s="181"/>
      <c r="GSM75"/>
      <c r="GSN75" s="174"/>
      <c r="GSO75" s="175"/>
      <c r="GSP75" s="176"/>
      <c r="GSQ75" s="176"/>
      <c r="GSR75" s="175"/>
      <c r="GSS75" s="177"/>
      <c r="GST75" s="175"/>
      <c r="GSU75" s="177"/>
      <c r="GSV75" s="178"/>
      <c r="GSW75" s="179"/>
      <c r="GSX75"/>
      <c r="GSY75" s="180"/>
      <c r="GSZ75"/>
      <c r="GTA75" s="172"/>
      <c r="GTB75" s="181"/>
      <c r="GTC75"/>
      <c r="GTD75" s="174"/>
      <c r="GTE75" s="175"/>
      <c r="GTF75" s="176"/>
      <c r="GTG75" s="176"/>
      <c r="GTH75" s="175"/>
      <c r="GTI75" s="177"/>
      <c r="GTJ75" s="175"/>
      <c r="GTK75" s="177"/>
      <c r="GTL75" s="178"/>
      <c r="GTM75" s="179"/>
      <c r="GTN75"/>
      <c r="GTO75" s="180"/>
      <c r="GTP75"/>
      <c r="GTQ75" s="172"/>
      <c r="GTR75" s="181"/>
      <c r="GTS75"/>
      <c r="GTT75" s="174"/>
      <c r="GTU75" s="175"/>
      <c r="GTV75" s="176"/>
      <c r="GTW75" s="176"/>
      <c r="GTX75" s="175"/>
      <c r="GTY75" s="177"/>
      <c r="GTZ75" s="175"/>
      <c r="GUA75" s="177"/>
      <c r="GUB75" s="178"/>
      <c r="GUC75" s="179"/>
      <c r="GUD75"/>
      <c r="GUE75" s="180"/>
      <c r="GUF75"/>
      <c r="GUG75" s="172"/>
      <c r="GUH75" s="181"/>
      <c r="GUI75"/>
      <c r="GUJ75" s="174"/>
      <c r="GUK75" s="175"/>
      <c r="GUL75" s="176"/>
      <c r="GUM75" s="176"/>
      <c r="GUN75" s="175"/>
      <c r="GUO75" s="177"/>
      <c r="GUP75" s="175"/>
      <c r="GUQ75" s="177"/>
      <c r="GUR75" s="178"/>
      <c r="GUS75" s="179"/>
      <c r="GUT75"/>
      <c r="GUU75" s="180"/>
      <c r="GUV75"/>
      <c r="GUW75" s="172"/>
      <c r="GUX75" s="181"/>
      <c r="GUY75"/>
      <c r="GUZ75" s="174"/>
      <c r="GVA75" s="175"/>
      <c r="GVB75" s="176"/>
      <c r="GVC75" s="176"/>
      <c r="GVD75" s="175"/>
      <c r="GVE75" s="177"/>
      <c r="GVF75" s="175"/>
      <c r="GVG75" s="177"/>
      <c r="GVH75" s="178"/>
      <c r="GVI75" s="179"/>
      <c r="GVJ75"/>
      <c r="GVK75" s="180"/>
      <c r="GVL75"/>
      <c r="GVM75" s="172"/>
      <c r="GVN75" s="181"/>
      <c r="GVO75"/>
      <c r="GVP75" s="174"/>
      <c r="GVQ75" s="175"/>
      <c r="GVR75" s="176"/>
      <c r="GVS75" s="176"/>
      <c r="GVT75" s="175"/>
      <c r="GVU75" s="177"/>
      <c r="GVV75" s="175"/>
      <c r="GVW75" s="177"/>
      <c r="GVX75" s="178"/>
      <c r="GVY75" s="179"/>
      <c r="GVZ75"/>
      <c r="GWA75" s="180"/>
      <c r="GWB75"/>
      <c r="GWC75" s="172"/>
      <c r="GWD75" s="181"/>
      <c r="GWE75"/>
      <c r="GWF75" s="174"/>
      <c r="GWG75" s="175"/>
      <c r="GWH75" s="176"/>
      <c r="GWI75" s="176"/>
      <c r="GWJ75" s="175"/>
      <c r="GWK75" s="177"/>
      <c r="GWL75" s="175"/>
      <c r="GWM75" s="177"/>
      <c r="GWN75" s="178"/>
      <c r="GWO75" s="179"/>
      <c r="GWP75"/>
      <c r="GWQ75" s="180"/>
      <c r="GWR75"/>
      <c r="GWS75" s="172"/>
      <c r="GWT75" s="181"/>
      <c r="GWU75"/>
      <c r="GWV75" s="174"/>
      <c r="GWW75" s="175"/>
      <c r="GWX75" s="176"/>
      <c r="GWY75" s="176"/>
      <c r="GWZ75" s="175"/>
      <c r="GXA75" s="177"/>
      <c r="GXB75" s="175"/>
      <c r="GXC75" s="177"/>
      <c r="GXD75" s="178"/>
      <c r="GXE75" s="179"/>
      <c r="GXF75"/>
      <c r="GXG75" s="180"/>
      <c r="GXH75"/>
      <c r="GXI75" s="172"/>
      <c r="GXJ75" s="181"/>
      <c r="GXK75"/>
      <c r="GXL75" s="174"/>
      <c r="GXM75" s="175"/>
      <c r="GXN75" s="176"/>
      <c r="GXO75" s="176"/>
      <c r="GXP75" s="175"/>
      <c r="GXQ75" s="177"/>
      <c r="GXR75" s="175"/>
      <c r="GXS75" s="177"/>
      <c r="GXT75" s="178"/>
      <c r="GXU75" s="179"/>
      <c r="GXV75"/>
      <c r="GXW75" s="180"/>
      <c r="GXX75"/>
      <c r="GXY75" s="172"/>
      <c r="GXZ75" s="181"/>
      <c r="GYA75"/>
      <c r="GYB75" s="174"/>
      <c r="GYC75" s="175"/>
      <c r="GYD75" s="176"/>
      <c r="GYE75" s="176"/>
      <c r="GYF75" s="175"/>
      <c r="GYG75" s="177"/>
      <c r="GYH75" s="175"/>
      <c r="GYI75" s="177"/>
      <c r="GYJ75" s="178"/>
      <c r="GYK75" s="179"/>
      <c r="GYL75"/>
      <c r="GYM75" s="180"/>
      <c r="GYN75"/>
      <c r="GYO75" s="172"/>
      <c r="GYP75" s="181"/>
      <c r="GYQ75"/>
      <c r="GYR75" s="174"/>
      <c r="GYS75" s="175"/>
      <c r="GYT75" s="176"/>
      <c r="GYU75" s="176"/>
      <c r="GYV75" s="175"/>
      <c r="GYW75" s="177"/>
      <c r="GYX75" s="175"/>
      <c r="GYY75" s="177"/>
      <c r="GYZ75" s="178"/>
      <c r="GZA75" s="179"/>
      <c r="GZB75"/>
      <c r="GZC75" s="180"/>
      <c r="GZD75"/>
      <c r="GZE75" s="172"/>
      <c r="GZF75" s="181"/>
      <c r="GZG75"/>
      <c r="GZH75" s="174"/>
      <c r="GZI75" s="175"/>
      <c r="GZJ75" s="176"/>
      <c r="GZK75" s="176"/>
      <c r="GZL75" s="175"/>
      <c r="GZM75" s="177"/>
      <c r="GZN75" s="175"/>
      <c r="GZO75" s="177"/>
      <c r="GZP75" s="178"/>
      <c r="GZQ75" s="179"/>
      <c r="GZR75"/>
      <c r="GZS75" s="180"/>
      <c r="GZT75"/>
      <c r="GZU75" s="172"/>
      <c r="GZV75" s="181"/>
      <c r="GZW75"/>
      <c r="GZX75" s="174"/>
      <c r="GZY75" s="175"/>
      <c r="GZZ75" s="176"/>
      <c r="HAA75" s="176"/>
      <c r="HAB75" s="175"/>
      <c r="HAC75" s="177"/>
      <c r="HAD75" s="175"/>
      <c r="HAE75" s="177"/>
      <c r="HAF75" s="178"/>
      <c r="HAG75" s="179"/>
      <c r="HAH75"/>
      <c r="HAI75" s="180"/>
      <c r="HAJ75"/>
      <c r="HAK75" s="172"/>
      <c r="HAL75" s="181"/>
      <c r="HAM75"/>
      <c r="HAN75" s="174"/>
      <c r="HAO75" s="175"/>
      <c r="HAP75" s="176"/>
      <c r="HAQ75" s="176"/>
      <c r="HAR75" s="175"/>
      <c r="HAS75" s="177"/>
      <c r="HAT75" s="175"/>
      <c r="HAU75" s="177"/>
      <c r="HAV75" s="178"/>
      <c r="HAW75" s="179"/>
      <c r="HAX75"/>
      <c r="HAY75" s="180"/>
      <c r="HAZ75"/>
      <c r="HBA75" s="172"/>
      <c r="HBB75" s="181"/>
      <c r="HBC75"/>
      <c r="HBD75" s="174"/>
      <c r="HBE75" s="175"/>
      <c r="HBF75" s="176"/>
      <c r="HBG75" s="176"/>
      <c r="HBH75" s="175"/>
      <c r="HBI75" s="177"/>
      <c r="HBJ75" s="175"/>
      <c r="HBK75" s="177"/>
      <c r="HBL75" s="178"/>
      <c r="HBM75" s="179"/>
      <c r="HBN75"/>
      <c r="HBO75" s="180"/>
      <c r="HBP75"/>
      <c r="HBQ75" s="172"/>
      <c r="HBR75" s="181"/>
      <c r="HBS75"/>
      <c r="HBT75" s="174"/>
      <c r="HBU75" s="175"/>
      <c r="HBV75" s="176"/>
      <c r="HBW75" s="176"/>
      <c r="HBX75" s="175"/>
      <c r="HBY75" s="177"/>
      <c r="HBZ75" s="175"/>
      <c r="HCA75" s="177"/>
      <c r="HCB75" s="178"/>
      <c r="HCC75" s="179"/>
      <c r="HCD75"/>
      <c r="HCE75" s="180"/>
      <c r="HCF75"/>
      <c r="HCG75" s="172"/>
      <c r="HCH75" s="181"/>
      <c r="HCI75"/>
      <c r="HCJ75" s="174"/>
      <c r="HCK75" s="175"/>
      <c r="HCL75" s="176"/>
      <c r="HCM75" s="176"/>
      <c r="HCN75" s="175"/>
      <c r="HCO75" s="177"/>
      <c r="HCP75" s="175"/>
      <c r="HCQ75" s="177"/>
      <c r="HCR75" s="178"/>
      <c r="HCS75" s="179"/>
      <c r="HCT75"/>
      <c r="HCU75" s="180"/>
      <c r="HCV75"/>
      <c r="HCW75" s="172"/>
      <c r="HCX75" s="181"/>
      <c r="HCY75"/>
      <c r="HCZ75" s="174"/>
      <c r="HDA75" s="175"/>
      <c r="HDB75" s="176"/>
      <c r="HDC75" s="176"/>
      <c r="HDD75" s="175"/>
      <c r="HDE75" s="177"/>
      <c r="HDF75" s="175"/>
      <c r="HDG75" s="177"/>
      <c r="HDH75" s="178"/>
      <c r="HDI75" s="179"/>
      <c r="HDJ75"/>
      <c r="HDK75" s="180"/>
      <c r="HDL75"/>
      <c r="HDM75" s="172"/>
      <c r="HDN75" s="181"/>
      <c r="HDO75"/>
      <c r="HDP75" s="174"/>
      <c r="HDQ75" s="175"/>
      <c r="HDR75" s="176"/>
      <c r="HDS75" s="176"/>
      <c r="HDT75" s="175"/>
      <c r="HDU75" s="177"/>
      <c r="HDV75" s="175"/>
      <c r="HDW75" s="177"/>
      <c r="HDX75" s="178"/>
      <c r="HDY75" s="179"/>
      <c r="HDZ75"/>
      <c r="HEA75" s="180"/>
      <c r="HEB75"/>
      <c r="HEC75" s="172"/>
      <c r="HED75" s="181"/>
      <c r="HEE75"/>
      <c r="HEF75" s="174"/>
      <c r="HEG75" s="175"/>
      <c r="HEH75" s="176"/>
      <c r="HEI75" s="176"/>
      <c r="HEJ75" s="175"/>
      <c r="HEK75" s="177"/>
      <c r="HEL75" s="175"/>
      <c r="HEM75" s="177"/>
      <c r="HEN75" s="178"/>
      <c r="HEO75" s="179"/>
      <c r="HEP75"/>
      <c r="HEQ75" s="180"/>
      <c r="HER75"/>
      <c r="HES75" s="172"/>
      <c r="HET75" s="181"/>
      <c r="HEU75"/>
      <c r="HEV75" s="174"/>
      <c r="HEW75" s="175"/>
      <c r="HEX75" s="176"/>
      <c r="HEY75" s="176"/>
      <c r="HEZ75" s="175"/>
      <c r="HFA75" s="177"/>
      <c r="HFB75" s="175"/>
      <c r="HFC75" s="177"/>
      <c r="HFD75" s="178"/>
      <c r="HFE75" s="179"/>
      <c r="HFF75"/>
      <c r="HFG75" s="180"/>
      <c r="HFH75"/>
      <c r="HFI75" s="172"/>
      <c r="HFJ75" s="181"/>
      <c r="HFK75"/>
      <c r="HFL75" s="174"/>
      <c r="HFM75" s="175"/>
      <c r="HFN75" s="176"/>
      <c r="HFO75" s="176"/>
      <c r="HFP75" s="175"/>
      <c r="HFQ75" s="177"/>
      <c r="HFR75" s="175"/>
      <c r="HFS75" s="177"/>
      <c r="HFT75" s="178"/>
      <c r="HFU75" s="179"/>
      <c r="HFV75"/>
      <c r="HFW75" s="180"/>
      <c r="HFX75"/>
      <c r="HFY75" s="172"/>
      <c r="HFZ75" s="181"/>
      <c r="HGA75"/>
      <c r="HGB75" s="174"/>
      <c r="HGC75" s="175"/>
      <c r="HGD75" s="176"/>
      <c r="HGE75" s="176"/>
      <c r="HGF75" s="175"/>
      <c r="HGG75" s="177"/>
      <c r="HGH75" s="175"/>
      <c r="HGI75" s="177"/>
      <c r="HGJ75" s="178"/>
      <c r="HGK75" s="179"/>
      <c r="HGL75"/>
      <c r="HGM75" s="180"/>
      <c r="HGN75"/>
      <c r="HGO75" s="172"/>
      <c r="HGP75" s="181"/>
      <c r="HGQ75"/>
      <c r="HGR75" s="174"/>
      <c r="HGS75" s="175"/>
      <c r="HGT75" s="176"/>
      <c r="HGU75" s="176"/>
      <c r="HGV75" s="175"/>
      <c r="HGW75" s="177"/>
      <c r="HGX75" s="175"/>
      <c r="HGY75" s="177"/>
      <c r="HGZ75" s="178"/>
      <c r="HHA75" s="179"/>
      <c r="HHB75"/>
      <c r="HHC75" s="180"/>
      <c r="HHD75"/>
      <c r="HHE75" s="172"/>
      <c r="HHF75" s="181"/>
      <c r="HHG75"/>
      <c r="HHH75" s="174"/>
      <c r="HHI75" s="175"/>
      <c r="HHJ75" s="176"/>
      <c r="HHK75" s="176"/>
      <c r="HHL75" s="175"/>
      <c r="HHM75" s="177"/>
      <c r="HHN75" s="175"/>
      <c r="HHO75" s="177"/>
      <c r="HHP75" s="178"/>
      <c r="HHQ75" s="179"/>
      <c r="HHR75"/>
      <c r="HHS75" s="180"/>
      <c r="HHT75"/>
      <c r="HHU75" s="172"/>
      <c r="HHV75" s="181"/>
      <c r="HHW75"/>
      <c r="HHX75" s="174"/>
      <c r="HHY75" s="175"/>
      <c r="HHZ75" s="176"/>
      <c r="HIA75" s="176"/>
      <c r="HIB75" s="175"/>
      <c r="HIC75" s="177"/>
      <c r="HID75" s="175"/>
      <c r="HIE75" s="177"/>
      <c r="HIF75" s="178"/>
      <c r="HIG75" s="179"/>
      <c r="HIH75"/>
      <c r="HII75" s="180"/>
      <c r="HIJ75"/>
      <c r="HIK75" s="172"/>
      <c r="HIL75" s="181"/>
      <c r="HIM75"/>
      <c r="HIN75" s="174"/>
      <c r="HIO75" s="175"/>
      <c r="HIP75" s="176"/>
      <c r="HIQ75" s="176"/>
      <c r="HIR75" s="175"/>
      <c r="HIS75" s="177"/>
      <c r="HIT75" s="175"/>
      <c r="HIU75" s="177"/>
      <c r="HIV75" s="178"/>
      <c r="HIW75" s="179"/>
      <c r="HIX75"/>
      <c r="HIY75" s="180"/>
      <c r="HIZ75"/>
      <c r="HJA75" s="172"/>
      <c r="HJB75" s="181"/>
      <c r="HJC75"/>
      <c r="HJD75" s="174"/>
      <c r="HJE75" s="175"/>
      <c r="HJF75" s="176"/>
      <c r="HJG75" s="176"/>
      <c r="HJH75" s="175"/>
      <c r="HJI75" s="177"/>
      <c r="HJJ75" s="175"/>
      <c r="HJK75" s="177"/>
      <c r="HJL75" s="178"/>
      <c r="HJM75" s="179"/>
      <c r="HJN75"/>
      <c r="HJO75" s="180"/>
      <c r="HJP75"/>
      <c r="HJQ75" s="172"/>
      <c r="HJR75" s="181"/>
      <c r="HJS75"/>
      <c r="HJT75" s="174"/>
      <c r="HJU75" s="175"/>
      <c r="HJV75" s="176"/>
      <c r="HJW75" s="176"/>
      <c r="HJX75" s="175"/>
      <c r="HJY75" s="177"/>
      <c r="HJZ75" s="175"/>
      <c r="HKA75" s="177"/>
      <c r="HKB75" s="178"/>
      <c r="HKC75" s="179"/>
      <c r="HKD75"/>
      <c r="HKE75" s="180"/>
      <c r="HKF75"/>
      <c r="HKG75" s="172"/>
      <c r="HKH75" s="181"/>
      <c r="HKI75"/>
      <c r="HKJ75" s="174"/>
      <c r="HKK75" s="175"/>
      <c r="HKL75" s="176"/>
      <c r="HKM75" s="176"/>
      <c r="HKN75" s="175"/>
      <c r="HKO75" s="177"/>
      <c r="HKP75" s="175"/>
      <c r="HKQ75" s="177"/>
      <c r="HKR75" s="178"/>
      <c r="HKS75" s="179"/>
      <c r="HKT75"/>
      <c r="HKU75" s="180"/>
      <c r="HKV75"/>
      <c r="HKW75" s="172"/>
      <c r="HKX75" s="181"/>
      <c r="HKY75"/>
      <c r="HKZ75" s="174"/>
      <c r="HLA75" s="175"/>
      <c r="HLB75" s="176"/>
      <c r="HLC75" s="176"/>
      <c r="HLD75" s="175"/>
      <c r="HLE75" s="177"/>
      <c r="HLF75" s="175"/>
      <c r="HLG75" s="177"/>
      <c r="HLH75" s="178"/>
      <c r="HLI75" s="179"/>
      <c r="HLJ75"/>
      <c r="HLK75" s="180"/>
      <c r="HLL75"/>
      <c r="HLM75" s="172"/>
      <c r="HLN75" s="181"/>
      <c r="HLO75"/>
      <c r="HLP75" s="174"/>
      <c r="HLQ75" s="175"/>
      <c r="HLR75" s="176"/>
      <c r="HLS75" s="176"/>
      <c r="HLT75" s="175"/>
      <c r="HLU75" s="177"/>
      <c r="HLV75" s="175"/>
      <c r="HLW75" s="177"/>
      <c r="HLX75" s="178"/>
      <c r="HLY75" s="179"/>
      <c r="HLZ75"/>
      <c r="HMA75" s="180"/>
      <c r="HMB75"/>
      <c r="HMC75" s="172"/>
      <c r="HMD75" s="181"/>
      <c r="HME75"/>
      <c r="HMF75" s="174"/>
      <c r="HMG75" s="175"/>
      <c r="HMH75" s="176"/>
      <c r="HMI75" s="176"/>
      <c r="HMJ75" s="175"/>
      <c r="HMK75" s="177"/>
      <c r="HML75" s="175"/>
      <c r="HMM75" s="177"/>
      <c r="HMN75" s="178"/>
      <c r="HMO75" s="179"/>
      <c r="HMP75"/>
      <c r="HMQ75" s="180"/>
      <c r="HMR75"/>
      <c r="HMS75" s="172"/>
      <c r="HMT75" s="181"/>
      <c r="HMU75"/>
      <c r="HMV75" s="174"/>
      <c r="HMW75" s="175"/>
      <c r="HMX75" s="176"/>
      <c r="HMY75" s="176"/>
      <c r="HMZ75" s="175"/>
      <c r="HNA75" s="177"/>
      <c r="HNB75" s="175"/>
      <c r="HNC75" s="177"/>
      <c r="HND75" s="178"/>
      <c r="HNE75" s="179"/>
      <c r="HNF75"/>
      <c r="HNG75" s="180"/>
      <c r="HNH75"/>
      <c r="HNI75" s="172"/>
      <c r="HNJ75" s="181"/>
      <c r="HNK75"/>
      <c r="HNL75" s="174"/>
      <c r="HNM75" s="175"/>
      <c r="HNN75" s="176"/>
      <c r="HNO75" s="176"/>
      <c r="HNP75" s="175"/>
      <c r="HNQ75" s="177"/>
      <c r="HNR75" s="175"/>
      <c r="HNS75" s="177"/>
      <c r="HNT75" s="178"/>
      <c r="HNU75" s="179"/>
      <c r="HNV75"/>
      <c r="HNW75" s="180"/>
      <c r="HNX75"/>
      <c r="HNY75" s="172"/>
      <c r="HNZ75" s="181"/>
      <c r="HOA75"/>
      <c r="HOB75" s="174"/>
      <c r="HOC75" s="175"/>
      <c r="HOD75" s="176"/>
      <c r="HOE75" s="176"/>
      <c r="HOF75" s="175"/>
      <c r="HOG75" s="177"/>
      <c r="HOH75" s="175"/>
      <c r="HOI75" s="177"/>
      <c r="HOJ75" s="178"/>
      <c r="HOK75" s="179"/>
      <c r="HOL75"/>
      <c r="HOM75" s="180"/>
      <c r="HON75"/>
      <c r="HOO75" s="172"/>
      <c r="HOP75" s="181"/>
      <c r="HOQ75"/>
      <c r="HOR75" s="174"/>
      <c r="HOS75" s="175"/>
      <c r="HOT75" s="176"/>
      <c r="HOU75" s="176"/>
      <c r="HOV75" s="175"/>
      <c r="HOW75" s="177"/>
      <c r="HOX75" s="175"/>
      <c r="HOY75" s="177"/>
      <c r="HOZ75" s="178"/>
      <c r="HPA75" s="179"/>
      <c r="HPB75"/>
      <c r="HPC75" s="180"/>
      <c r="HPD75"/>
      <c r="HPE75" s="172"/>
      <c r="HPF75" s="181"/>
      <c r="HPG75"/>
      <c r="HPH75" s="174"/>
      <c r="HPI75" s="175"/>
      <c r="HPJ75" s="176"/>
      <c r="HPK75" s="176"/>
      <c r="HPL75" s="175"/>
      <c r="HPM75" s="177"/>
      <c r="HPN75" s="175"/>
      <c r="HPO75" s="177"/>
      <c r="HPP75" s="178"/>
      <c r="HPQ75" s="179"/>
      <c r="HPR75"/>
      <c r="HPS75" s="180"/>
      <c r="HPT75"/>
      <c r="HPU75" s="172"/>
      <c r="HPV75" s="181"/>
      <c r="HPW75"/>
      <c r="HPX75" s="174"/>
      <c r="HPY75" s="175"/>
      <c r="HPZ75" s="176"/>
      <c r="HQA75" s="176"/>
      <c r="HQB75" s="175"/>
      <c r="HQC75" s="177"/>
      <c r="HQD75" s="175"/>
      <c r="HQE75" s="177"/>
      <c r="HQF75" s="178"/>
      <c r="HQG75" s="179"/>
      <c r="HQH75"/>
      <c r="HQI75" s="180"/>
      <c r="HQJ75"/>
      <c r="HQK75" s="172"/>
      <c r="HQL75" s="181"/>
      <c r="HQM75"/>
      <c r="HQN75" s="174"/>
      <c r="HQO75" s="175"/>
      <c r="HQP75" s="176"/>
      <c r="HQQ75" s="176"/>
      <c r="HQR75" s="175"/>
      <c r="HQS75" s="177"/>
      <c r="HQT75" s="175"/>
      <c r="HQU75" s="177"/>
      <c r="HQV75" s="178"/>
      <c r="HQW75" s="179"/>
      <c r="HQX75"/>
      <c r="HQY75" s="180"/>
      <c r="HQZ75"/>
      <c r="HRA75" s="172"/>
      <c r="HRB75" s="181"/>
      <c r="HRC75"/>
      <c r="HRD75" s="174"/>
      <c r="HRE75" s="175"/>
      <c r="HRF75" s="176"/>
      <c r="HRG75" s="176"/>
      <c r="HRH75" s="175"/>
      <c r="HRI75" s="177"/>
      <c r="HRJ75" s="175"/>
      <c r="HRK75" s="177"/>
      <c r="HRL75" s="178"/>
      <c r="HRM75" s="179"/>
      <c r="HRN75"/>
      <c r="HRO75" s="180"/>
      <c r="HRP75"/>
      <c r="HRQ75" s="172"/>
      <c r="HRR75" s="181"/>
      <c r="HRS75"/>
      <c r="HRT75" s="174"/>
      <c r="HRU75" s="175"/>
      <c r="HRV75" s="176"/>
      <c r="HRW75" s="176"/>
      <c r="HRX75" s="175"/>
      <c r="HRY75" s="177"/>
      <c r="HRZ75" s="175"/>
      <c r="HSA75" s="177"/>
      <c r="HSB75" s="178"/>
      <c r="HSC75" s="179"/>
      <c r="HSD75"/>
      <c r="HSE75" s="180"/>
      <c r="HSF75"/>
      <c r="HSG75" s="172"/>
      <c r="HSH75" s="181"/>
      <c r="HSI75"/>
      <c r="HSJ75" s="174"/>
      <c r="HSK75" s="175"/>
      <c r="HSL75" s="176"/>
      <c r="HSM75" s="176"/>
      <c r="HSN75" s="175"/>
      <c r="HSO75" s="177"/>
      <c r="HSP75" s="175"/>
      <c r="HSQ75" s="177"/>
      <c r="HSR75" s="178"/>
      <c r="HSS75" s="179"/>
      <c r="HST75"/>
      <c r="HSU75" s="180"/>
      <c r="HSV75"/>
      <c r="HSW75" s="172"/>
      <c r="HSX75" s="181"/>
      <c r="HSY75"/>
      <c r="HSZ75" s="174"/>
      <c r="HTA75" s="175"/>
      <c r="HTB75" s="176"/>
      <c r="HTC75" s="176"/>
      <c r="HTD75" s="175"/>
      <c r="HTE75" s="177"/>
      <c r="HTF75" s="175"/>
      <c r="HTG75" s="177"/>
      <c r="HTH75" s="178"/>
      <c r="HTI75" s="179"/>
      <c r="HTJ75"/>
      <c r="HTK75" s="180"/>
      <c r="HTL75"/>
      <c r="HTM75" s="172"/>
      <c r="HTN75" s="181"/>
      <c r="HTO75"/>
      <c r="HTP75" s="174"/>
      <c r="HTQ75" s="175"/>
      <c r="HTR75" s="176"/>
      <c r="HTS75" s="176"/>
      <c r="HTT75" s="175"/>
      <c r="HTU75" s="177"/>
      <c r="HTV75" s="175"/>
      <c r="HTW75" s="177"/>
      <c r="HTX75" s="178"/>
      <c r="HTY75" s="179"/>
      <c r="HTZ75"/>
      <c r="HUA75" s="180"/>
      <c r="HUB75"/>
      <c r="HUC75" s="172"/>
      <c r="HUD75" s="181"/>
      <c r="HUE75"/>
      <c r="HUF75" s="174"/>
      <c r="HUG75" s="175"/>
      <c r="HUH75" s="176"/>
      <c r="HUI75" s="176"/>
      <c r="HUJ75" s="175"/>
      <c r="HUK75" s="177"/>
      <c r="HUL75" s="175"/>
      <c r="HUM75" s="177"/>
      <c r="HUN75" s="178"/>
      <c r="HUO75" s="179"/>
      <c r="HUP75"/>
      <c r="HUQ75" s="180"/>
      <c r="HUR75"/>
      <c r="HUS75" s="172"/>
      <c r="HUT75" s="181"/>
      <c r="HUU75"/>
      <c r="HUV75" s="174"/>
      <c r="HUW75" s="175"/>
      <c r="HUX75" s="176"/>
      <c r="HUY75" s="176"/>
      <c r="HUZ75" s="175"/>
      <c r="HVA75" s="177"/>
      <c r="HVB75" s="175"/>
      <c r="HVC75" s="177"/>
      <c r="HVD75" s="178"/>
      <c r="HVE75" s="179"/>
      <c r="HVF75"/>
      <c r="HVG75" s="180"/>
      <c r="HVH75"/>
      <c r="HVI75" s="172"/>
      <c r="HVJ75" s="181"/>
      <c r="HVK75"/>
      <c r="HVL75" s="174"/>
      <c r="HVM75" s="175"/>
      <c r="HVN75" s="176"/>
      <c r="HVO75" s="176"/>
      <c r="HVP75" s="175"/>
      <c r="HVQ75" s="177"/>
      <c r="HVR75" s="175"/>
      <c r="HVS75" s="177"/>
      <c r="HVT75" s="178"/>
      <c r="HVU75" s="179"/>
      <c r="HVV75"/>
      <c r="HVW75" s="180"/>
      <c r="HVX75"/>
      <c r="HVY75" s="172"/>
      <c r="HVZ75" s="181"/>
      <c r="HWA75"/>
      <c r="HWB75" s="174"/>
      <c r="HWC75" s="175"/>
      <c r="HWD75" s="176"/>
      <c r="HWE75" s="176"/>
      <c r="HWF75" s="175"/>
      <c r="HWG75" s="177"/>
      <c r="HWH75" s="175"/>
      <c r="HWI75" s="177"/>
      <c r="HWJ75" s="178"/>
      <c r="HWK75" s="179"/>
      <c r="HWL75"/>
      <c r="HWM75" s="180"/>
      <c r="HWN75"/>
      <c r="HWO75" s="172"/>
      <c r="HWP75" s="181"/>
      <c r="HWQ75"/>
      <c r="HWR75" s="174"/>
      <c r="HWS75" s="175"/>
      <c r="HWT75" s="176"/>
      <c r="HWU75" s="176"/>
      <c r="HWV75" s="175"/>
      <c r="HWW75" s="177"/>
      <c r="HWX75" s="175"/>
      <c r="HWY75" s="177"/>
      <c r="HWZ75" s="178"/>
      <c r="HXA75" s="179"/>
      <c r="HXB75"/>
      <c r="HXC75" s="180"/>
      <c r="HXD75"/>
      <c r="HXE75" s="172"/>
      <c r="HXF75" s="181"/>
      <c r="HXG75"/>
      <c r="HXH75" s="174"/>
      <c r="HXI75" s="175"/>
      <c r="HXJ75" s="176"/>
      <c r="HXK75" s="176"/>
      <c r="HXL75" s="175"/>
      <c r="HXM75" s="177"/>
      <c r="HXN75" s="175"/>
      <c r="HXO75" s="177"/>
      <c r="HXP75" s="178"/>
      <c r="HXQ75" s="179"/>
      <c r="HXR75"/>
      <c r="HXS75" s="180"/>
      <c r="HXT75"/>
      <c r="HXU75" s="172"/>
      <c r="HXV75" s="181"/>
      <c r="HXW75"/>
      <c r="HXX75" s="174"/>
      <c r="HXY75" s="175"/>
      <c r="HXZ75" s="176"/>
      <c r="HYA75" s="176"/>
      <c r="HYB75" s="175"/>
      <c r="HYC75" s="177"/>
      <c r="HYD75" s="175"/>
      <c r="HYE75" s="177"/>
      <c r="HYF75" s="178"/>
      <c r="HYG75" s="179"/>
      <c r="HYH75"/>
      <c r="HYI75" s="180"/>
      <c r="HYJ75"/>
      <c r="HYK75" s="172"/>
      <c r="HYL75" s="181"/>
      <c r="HYM75"/>
      <c r="HYN75" s="174"/>
      <c r="HYO75" s="175"/>
      <c r="HYP75" s="176"/>
      <c r="HYQ75" s="176"/>
      <c r="HYR75" s="175"/>
      <c r="HYS75" s="177"/>
      <c r="HYT75" s="175"/>
      <c r="HYU75" s="177"/>
      <c r="HYV75" s="178"/>
      <c r="HYW75" s="179"/>
      <c r="HYX75"/>
      <c r="HYY75" s="180"/>
      <c r="HYZ75"/>
      <c r="HZA75" s="172"/>
      <c r="HZB75" s="181"/>
      <c r="HZC75"/>
      <c r="HZD75" s="174"/>
      <c r="HZE75" s="175"/>
      <c r="HZF75" s="176"/>
      <c r="HZG75" s="176"/>
      <c r="HZH75" s="175"/>
      <c r="HZI75" s="177"/>
      <c r="HZJ75" s="175"/>
      <c r="HZK75" s="177"/>
      <c r="HZL75" s="178"/>
      <c r="HZM75" s="179"/>
      <c r="HZN75"/>
      <c r="HZO75" s="180"/>
      <c r="HZP75"/>
      <c r="HZQ75" s="172"/>
      <c r="HZR75" s="181"/>
      <c r="HZS75"/>
      <c r="HZT75" s="174"/>
      <c r="HZU75" s="175"/>
      <c r="HZV75" s="176"/>
      <c r="HZW75" s="176"/>
      <c r="HZX75" s="175"/>
      <c r="HZY75" s="177"/>
      <c r="HZZ75" s="175"/>
      <c r="IAA75" s="177"/>
      <c r="IAB75" s="178"/>
      <c r="IAC75" s="179"/>
      <c r="IAD75"/>
      <c r="IAE75" s="180"/>
      <c r="IAF75"/>
      <c r="IAG75" s="172"/>
      <c r="IAH75" s="181"/>
      <c r="IAI75"/>
      <c r="IAJ75" s="174"/>
      <c r="IAK75" s="175"/>
      <c r="IAL75" s="176"/>
      <c r="IAM75" s="176"/>
      <c r="IAN75" s="175"/>
      <c r="IAO75" s="177"/>
      <c r="IAP75" s="175"/>
      <c r="IAQ75" s="177"/>
      <c r="IAR75" s="178"/>
      <c r="IAS75" s="179"/>
      <c r="IAT75"/>
      <c r="IAU75" s="180"/>
      <c r="IAV75"/>
      <c r="IAW75" s="172"/>
      <c r="IAX75" s="181"/>
      <c r="IAY75"/>
      <c r="IAZ75" s="174"/>
      <c r="IBA75" s="175"/>
      <c r="IBB75" s="176"/>
      <c r="IBC75" s="176"/>
      <c r="IBD75" s="175"/>
      <c r="IBE75" s="177"/>
      <c r="IBF75" s="175"/>
      <c r="IBG75" s="177"/>
      <c r="IBH75" s="178"/>
      <c r="IBI75" s="179"/>
      <c r="IBJ75"/>
      <c r="IBK75" s="180"/>
      <c r="IBL75"/>
      <c r="IBM75" s="172"/>
      <c r="IBN75" s="181"/>
      <c r="IBO75"/>
      <c r="IBP75" s="174"/>
      <c r="IBQ75" s="175"/>
      <c r="IBR75" s="176"/>
      <c r="IBS75" s="176"/>
      <c r="IBT75" s="175"/>
      <c r="IBU75" s="177"/>
      <c r="IBV75" s="175"/>
      <c r="IBW75" s="177"/>
      <c r="IBX75" s="178"/>
      <c r="IBY75" s="179"/>
      <c r="IBZ75"/>
      <c r="ICA75" s="180"/>
      <c r="ICB75"/>
      <c r="ICC75" s="172"/>
      <c r="ICD75" s="181"/>
      <c r="ICE75"/>
      <c r="ICF75" s="174"/>
      <c r="ICG75" s="175"/>
      <c r="ICH75" s="176"/>
      <c r="ICI75" s="176"/>
      <c r="ICJ75" s="175"/>
      <c r="ICK75" s="177"/>
      <c r="ICL75" s="175"/>
      <c r="ICM75" s="177"/>
      <c r="ICN75" s="178"/>
      <c r="ICO75" s="179"/>
      <c r="ICP75"/>
      <c r="ICQ75" s="180"/>
      <c r="ICR75"/>
      <c r="ICS75" s="172"/>
      <c r="ICT75" s="181"/>
      <c r="ICU75"/>
      <c r="ICV75" s="174"/>
      <c r="ICW75" s="175"/>
      <c r="ICX75" s="176"/>
      <c r="ICY75" s="176"/>
      <c r="ICZ75" s="175"/>
      <c r="IDA75" s="177"/>
      <c r="IDB75" s="175"/>
      <c r="IDC75" s="177"/>
      <c r="IDD75" s="178"/>
      <c r="IDE75" s="179"/>
      <c r="IDF75"/>
      <c r="IDG75" s="180"/>
      <c r="IDH75"/>
      <c r="IDI75" s="172"/>
      <c r="IDJ75" s="181"/>
      <c r="IDK75"/>
      <c r="IDL75" s="174"/>
      <c r="IDM75" s="175"/>
      <c r="IDN75" s="176"/>
      <c r="IDO75" s="176"/>
      <c r="IDP75" s="175"/>
      <c r="IDQ75" s="177"/>
      <c r="IDR75" s="175"/>
      <c r="IDS75" s="177"/>
      <c r="IDT75" s="178"/>
      <c r="IDU75" s="179"/>
      <c r="IDV75"/>
      <c r="IDW75" s="180"/>
      <c r="IDX75"/>
      <c r="IDY75" s="172"/>
      <c r="IDZ75" s="181"/>
      <c r="IEA75"/>
      <c r="IEB75" s="174"/>
      <c r="IEC75" s="175"/>
      <c r="IED75" s="176"/>
      <c r="IEE75" s="176"/>
      <c r="IEF75" s="175"/>
      <c r="IEG75" s="177"/>
      <c r="IEH75" s="175"/>
      <c r="IEI75" s="177"/>
      <c r="IEJ75" s="178"/>
      <c r="IEK75" s="179"/>
      <c r="IEL75"/>
      <c r="IEM75" s="180"/>
      <c r="IEN75"/>
      <c r="IEO75" s="172"/>
      <c r="IEP75" s="181"/>
      <c r="IEQ75"/>
      <c r="IER75" s="174"/>
      <c r="IES75" s="175"/>
      <c r="IET75" s="176"/>
      <c r="IEU75" s="176"/>
      <c r="IEV75" s="175"/>
      <c r="IEW75" s="177"/>
      <c r="IEX75" s="175"/>
      <c r="IEY75" s="177"/>
      <c r="IEZ75" s="178"/>
      <c r="IFA75" s="179"/>
      <c r="IFB75"/>
      <c r="IFC75" s="180"/>
      <c r="IFD75"/>
      <c r="IFE75" s="172"/>
      <c r="IFF75" s="181"/>
      <c r="IFG75"/>
      <c r="IFH75" s="174"/>
      <c r="IFI75" s="175"/>
      <c r="IFJ75" s="176"/>
      <c r="IFK75" s="176"/>
      <c r="IFL75" s="175"/>
      <c r="IFM75" s="177"/>
      <c r="IFN75" s="175"/>
      <c r="IFO75" s="177"/>
      <c r="IFP75" s="178"/>
      <c r="IFQ75" s="179"/>
      <c r="IFR75"/>
      <c r="IFS75" s="180"/>
      <c r="IFT75"/>
      <c r="IFU75" s="172"/>
      <c r="IFV75" s="181"/>
      <c r="IFW75"/>
      <c r="IFX75" s="174"/>
      <c r="IFY75" s="175"/>
      <c r="IFZ75" s="176"/>
      <c r="IGA75" s="176"/>
      <c r="IGB75" s="175"/>
      <c r="IGC75" s="177"/>
      <c r="IGD75" s="175"/>
      <c r="IGE75" s="177"/>
      <c r="IGF75" s="178"/>
      <c r="IGG75" s="179"/>
      <c r="IGH75"/>
      <c r="IGI75" s="180"/>
      <c r="IGJ75"/>
      <c r="IGK75" s="172"/>
      <c r="IGL75" s="181"/>
      <c r="IGM75"/>
      <c r="IGN75" s="174"/>
      <c r="IGO75" s="175"/>
      <c r="IGP75" s="176"/>
      <c r="IGQ75" s="176"/>
      <c r="IGR75" s="175"/>
      <c r="IGS75" s="177"/>
      <c r="IGT75" s="175"/>
      <c r="IGU75" s="177"/>
      <c r="IGV75" s="178"/>
      <c r="IGW75" s="179"/>
      <c r="IGX75"/>
      <c r="IGY75" s="180"/>
      <c r="IGZ75"/>
      <c r="IHA75" s="172"/>
      <c r="IHB75" s="181"/>
      <c r="IHC75"/>
      <c r="IHD75" s="174"/>
      <c r="IHE75" s="175"/>
      <c r="IHF75" s="176"/>
      <c r="IHG75" s="176"/>
      <c r="IHH75" s="175"/>
      <c r="IHI75" s="177"/>
      <c r="IHJ75" s="175"/>
      <c r="IHK75" s="177"/>
      <c r="IHL75" s="178"/>
      <c r="IHM75" s="179"/>
      <c r="IHN75"/>
      <c r="IHO75" s="180"/>
      <c r="IHP75"/>
      <c r="IHQ75" s="172"/>
      <c r="IHR75" s="181"/>
      <c r="IHS75"/>
      <c r="IHT75" s="174"/>
      <c r="IHU75" s="175"/>
      <c r="IHV75" s="176"/>
      <c r="IHW75" s="176"/>
      <c r="IHX75" s="175"/>
      <c r="IHY75" s="177"/>
      <c r="IHZ75" s="175"/>
      <c r="IIA75" s="177"/>
      <c r="IIB75" s="178"/>
      <c r="IIC75" s="179"/>
      <c r="IID75"/>
      <c r="IIE75" s="180"/>
      <c r="IIF75"/>
      <c r="IIG75" s="172"/>
      <c r="IIH75" s="181"/>
      <c r="III75"/>
      <c r="IIJ75" s="174"/>
      <c r="IIK75" s="175"/>
      <c r="IIL75" s="176"/>
      <c r="IIM75" s="176"/>
      <c r="IIN75" s="175"/>
      <c r="IIO75" s="177"/>
      <c r="IIP75" s="175"/>
      <c r="IIQ75" s="177"/>
      <c r="IIR75" s="178"/>
      <c r="IIS75" s="179"/>
      <c r="IIT75"/>
      <c r="IIU75" s="180"/>
      <c r="IIV75"/>
      <c r="IIW75" s="172"/>
      <c r="IIX75" s="181"/>
      <c r="IIY75"/>
      <c r="IIZ75" s="174"/>
      <c r="IJA75" s="175"/>
      <c r="IJB75" s="176"/>
      <c r="IJC75" s="176"/>
      <c r="IJD75" s="175"/>
      <c r="IJE75" s="177"/>
      <c r="IJF75" s="175"/>
      <c r="IJG75" s="177"/>
      <c r="IJH75" s="178"/>
      <c r="IJI75" s="179"/>
      <c r="IJJ75"/>
      <c r="IJK75" s="180"/>
      <c r="IJL75"/>
      <c r="IJM75" s="172"/>
      <c r="IJN75" s="181"/>
      <c r="IJO75"/>
      <c r="IJP75" s="174"/>
      <c r="IJQ75" s="175"/>
      <c r="IJR75" s="176"/>
      <c r="IJS75" s="176"/>
      <c r="IJT75" s="175"/>
      <c r="IJU75" s="177"/>
      <c r="IJV75" s="175"/>
      <c r="IJW75" s="177"/>
      <c r="IJX75" s="178"/>
      <c r="IJY75" s="179"/>
      <c r="IJZ75"/>
      <c r="IKA75" s="180"/>
      <c r="IKB75"/>
      <c r="IKC75" s="172"/>
      <c r="IKD75" s="181"/>
      <c r="IKE75"/>
      <c r="IKF75" s="174"/>
      <c r="IKG75" s="175"/>
      <c r="IKH75" s="176"/>
      <c r="IKI75" s="176"/>
      <c r="IKJ75" s="175"/>
      <c r="IKK75" s="177"/>
      <c r="IKL75" s="175"/>
      <c r="IKM75" s="177"/>
      <c r="IKN75" s="178"/>
      <c r="IKO75" s="179"/>
      <c r="IKP75"/>
      <c r="IKQ75" s="180"/>
      <c r="IKR75"/>
      <c r="IKS75" s="172"/>
      <c r="IKT75" s="181"/>
      <c r="IKU75"/>
      <c r="IKV75" s="174"/>
      <c r="IKW75" s="175"/>
      <c r="IKX75" s="176"/>
      <c r="IKY75" s="176"/>
      <c r="IKZ75" s="175"/>
      <c r="ILA75" s="177"/>
      <c r="ILB75" s="175"/>
      <c r="ILC75" s="177"/>
      <c r="ILD75" s="178"/>
      <c r="ILE75" s="179"/>
      <c r="ILF75"/>
      <c r="ILG75" s="180"/>
      <c r="ILH75"/>
      <c r="ILI75" s="172"/>
      <c r="ILJ75" s="181"/>
      <c r="ILK75"/>
      <c r="ILL75" s="174"/>
      <c r="ILM75" s="175"/>
      <c r="ILN75" s="176"/>
      <c r="ILO75" s="176"/>
      <c r="ILP75" s="175"/>
      <c r="ILQ75" s="177"/>
      <c r="ILR75" s="175"/>
      <c r="ILS75" s="177"/>
      <c r="ILT75" s="178"/>
      <c r="ILU75" s="179"/>
      <c r="ILV75"/>
      <c r="ILW75" s="180"/>
      <c r="ILX75"/>
      <c r="ILY75" s="172"/>
      <c r="ILZ75" s="181"/>
      <c r="IMA75"/>
      <c r="IMB75" s="174"/>
      <c r="IMC75" s="175"/>
      <c r="IMD75" s="176"/>
      <c r="IME75" s="176"/>
      <c r="IMF75" s="175"/>
      <c r="IMG75" s="177"/>
      <c r="IMH75" s="175"/>
      <c r="IMI75" s="177"/>
      <c r="IMJ75" s="178"/>
      <c r="IMK75" s="179"/>
      <c r="IML75"/>
      <c r="IMM75" s="180"/>
      <c r="IMN75"/>
      <c r="IMO75" s="172"/>
      <c r="IMP75" s="181"/>
      <c r="IMQ75"/>
      <c r="IMR75" s="174"/>
      <c r="IMS75" s="175"/>
      <c r="IMT75" s="176"/>
      <c r="IMU75" s="176"/>
      <c r="IMV75" s="175"/>
      <c r="IMW75" s="177"/>
      <c r="IMX75" s="175"/>
      <c r="IMY75" s="177"/>
      <c r="IMZ75" s="178"/>
      <c r="INA75" s="179"/>
      <c r="INB75"/>
      <c r="INC75" s="180"/>
      <c r="IND75"/>
      <c r="INE75" s="172"/>
      <c r="INF75" s="181"/>
      <c r="ING75"/>
      <c r="INH75" s="174"/>
      <c r="INI75" s="175"/>
      <c r="INJ75" s="176"/>
      <c r="INK75" s="176"/>
      <c r="INL75" s="175"/>
      <c r="INM75" s="177"/>
      <c r="INN75" s="175"/>
      <c r="INO75" s="177"/>
      <c r="INP75" s="178"/>
      <c r="INQ75" s="179"/>
      <c r="INR75"/>
      <c r="INS75" s="180"/>
      <c r="INT75"/>
      <c r="INU75" s="172"/>
      <c r="INV75" s="181"/>
      <c r="INW75"/>
      <c r="INX75" s="174"/>
      <c r="INY75" s="175"/>
      <c r="INZ75" s="176"/>
      <c r="IOA75" s="176"/>
      <c r="IOB75" s="175"/>
      <c r="IOC75" s="177"/>
      <c r="IOD75" s="175"/>
      <c r="IOE75" s="177"/>
      <c r="IOF75" s="178"/>
      <c r="IOG75" s="179"/>
      <c r="IOH75"/>
      <c r="IOI75" s="180"/>
      <c r="IOJ75"/>
      <c r="IOK75" s="172"/>
      <c r="IOL75" s="181"/>
      <c r="IOM75"/>
      <c r="ION75" s="174"/>
      <c r="IOO75" s="175"/>
      <c r="IOP75" s="176"/>
      <c r="IOQ75" s="176"/>
      <c r="IOR75" s="175"/>
      <c r="IOS75" s="177"/>
      <c r="IOT75" s="175"/>
      <c r="IOU75" s="177"/>
      <c r="IOV75" s="178"/>
      <c r="IOW75" s="179"/>
      <c r="IOX75"/>
      <c r="IOY75" s="180"/>
      <c r="IOZ75"/>
      <c r="IPA75" s="172"/>
      <c r="IPB75" s="181"/>
      <c r="IPC75"/>
      <c r="IPD75" s="174"/>
      <c r="IPE75" s="175"/>
      <c r="IPF75" s="176"/>
      <c r="IPG75" s="176"/>
      <c r="IPH75" s="175"/>
      <c r="IPI75" s="177"/>
      <c r="IPJ75" s="175"/>
      <c r="IPK75" s="177"/>
      <c r="IPL75" s="178"/>
      <c r="IPM75" s="179"/>
      <c r="IPN75"/>
      <c r="IPO75" s="180"/>
      <c r="IPP75"/>
      <c r="IPQ75" s="172"/>
      <c r="IPR75" s="181"/>
      <c r="IPS75"/>
      <c r="IPT75" s="174"/>
      <c r="IPU75" s="175"/>
      <c r="IPV75" s="176"/>
      <c r="IPW75" s="176"/>
      <c r="IPX75" s="175"/>
      <c r="IPY75" s="177"/>
      <c r="IPZ75" s="175"/>
      <c r="IQA75" s="177"/>
      <c r="IQB75" s="178"/>
      <c r="IQC75" s="179"/>
      <c r="IQD75"/>
      <c r="IQE75" s="180"/>
      <c r="IQF75"/>
      <c r="IQG75" s="172"/>
      <c r="IQH75" s="181"/>
      <c r="IQI75"/>
      <c r="IQJ75" s="174"/>
      <c r="IQK75" s="175"/>
      <c r="IQL75" s="176"/>
      <c r="IQM75" s="176"/>
      <c r="IQN75" s="175"/>
      <c r="IQO75" s="177"/>
      <c r="IQP75" s="175"/>
      <c r="IQQ75" s="177"/>
      <c r="IQR75" s="178"/>
      <c r="IQS75" s="179"/>
      <c r="IQT75"/>
      <c r="IQU75" s="180"/>
      <c r="IQV75"/>
      <c r="IQW75" s="172"/>
      <c r="IQX75" s="181"/>
      <c r="IQY75"/>
      <c r="IQZ75" s="174"/>
      <c r="IRA75" s="175"/>
      <c r="IRB75" s="176"/>
      <c r="IRC75" s="176"/>
      <c r="IRD75" s="175"/>
      <c r="IRE75" s="177"/>
      <c r="IRF75" s="175"/>
      <c r="IRG75" s="177"/>
      <c r="IRH75" s="178"/>
      <c r="IRI75" s="179"/>
      <c r="IRJ75"/>
      <c r="IRK75" s="180"/>
      <c r="IRL75"/>
      <c r="IRM75" s="172"/>
      <c r="IRN75" s="181"/>
      <c r="IRO75"/>
      <c r="IRP75" s="174"/>
      <c r="IRQ75" s="175"/>
      <c r="IRR75" s="176"/>
      <c r="IRS75" s="176"/>
      <c r="IRT75" s="175"/>
      <c r="IRU75" s="177"/>
      <c r="IRV75" s="175"/>
      <c r="IRW75" s="177"/>
      <c r="IRX75" s="178"/>
      <c r="IRY75" s="179"/>
      <c r="IRZ75"/>
      <c r="ISA75" s="180"/>
      <c r="ISB75"/>
      <c r="ISC75" s="172"/>
      <c r="ISD75" s="181"/>
      <c r="ISE75"/>
      <c r="ISF75" s="174"/>
      <c r="ISG75" s="175"/>
      <c r="ISH75" s="176"/>
      <c r="ISI75" s="176"/>
      <c r="ISJ75" s="175"/>
      <c r="ISK75" s="177"/>
      <c r="ISL75" s="175"/>
      <c r="ISM75" s="177"/>
      <c r="ISN75" s="178"/>
      <c r="ISO75" s="179"/>
      <c r="ISP75"/>
      <c r="ISQ75" s="180"/>
      <c r="ISR75"/>
      <c r="ISS75" s="172"/>
      <c r="IST75" s="181"/>
      <c r="ISU75"/>
      <c r="ISV75" s="174"/>
      <c r="ISW75" s="175"/>
      <c r="ISX75" s="176"/>
      <c r="ISY75" s="176"/>
      <c r="ISZ75" s="175"/>
      <c r="ITA75" s="177"/>
      <c r="ITB75" s="175"/>
      <c r="ITC75" s="177"/>
      <c r="ITD75" s="178"/>
      <c r="ITE75" s="179"/>
      <c r="ITF75"/>
      <c r="ITG75" s="180"/>
      <c r="ITH75"/>
      <c r="ITI75" s="172"/>
      <c r="ITJ75" s="181"/>
      <c r="ITK75"/>
      <c r="ITL75" s="174"/>
      <c r="ITM75" s="175"/>
      <c r="ITN75" s="176"/>
      <c r="ITO75" s="176"/>
      <c r="ITP75" s="175"/>
      <c r="ITQ75" s="177"/>
      <c r="ITR75" s="175"/>
      <c r="ITS75" s="177"/>
      <c r="ITT75" s="178"/>
      <c r="ITU75" s="179"/>
      <c r="ITV75"/>
      <c r="ITW75" s="180"/>
      <c r="ITX75"/>
      <c r="ITY75" s="172"/>
      <c r="ITZ75" s="181"/>
      <c r="IUA75"/>
      <c r="IUB75" s="174"/>
      <c r="IUC75" s="175"/>
      <c r="IUD75" s="176"/>
      <c r="IUE75" s="176"/>
      <c r="IUF75" s="175"/>
      <c r="IUG75" s="177"/>
      <c r="IUH75" s="175"/>
      <c r="IUI75" s="177"/>
      <c r="IUJ75" s="178"/>
      <c r="IUK75" s="179"/>
      <c r="IUL75"/>
      <c r="IUM75" s="180"/>
      <c r="IUN75"/>
      <c r="IUO75" s="172"/>
      <c r="IUP75" s="181"/>
      <c r="IUQ75"/>
      <c r="IUR75" s="174"/>
      <c r="IUS75" s="175"/>
      <c r="IUT75" s="176"/>
      <c r="IUU75" s="176"/>
      <c r="IUV75" s="175"/>
      <c r="IUW75" s="177"/>
      <c r="IUX75" s="175"/>
      <c r="IUY75" s="177"/>
      <c r="IUZ75" s="178"/>
      <c r="IVA75" s="179"/>
      <c r="IVB75"/>
      <c r="IVC75" s="180"/>
      <c r="IVD75"/>
      <c r="IVE75" s="172"/>
      <c r="IVF75" s="181"/>
      <c r="IVG75"/>
      <c r="IVH75" s="174"/>
      <c r="IVI75" s="175"/>
      <c r="IVJ75" s="176"/>
      <c r="IVK75" s="176"/>
      <c r="IVL75" s="175"/>
      <c r="IVM75" s="177"/>
      <c r="IVN75" s="175"/>
      <c r="IVO75" s="177"/>
      <c r="IVP75" s="178"/>
      <c r="IVQ75" s="179"/>
      <c r="IVR75"/>
      <c r="IVS75" s="180"/>
      <c r="IVT75"/>
      <c r="IVU75" s="172"/>
      <c r="IVV75" s="181"/>
      <c r="IVW75"/>
      <c r="IVX75" s="174"/>
      <c r="IVY75" s="175"/>
      <c r="IVZ75" s="176"/>
      <c r="IWA75" s="176"/>
      <c r="IWB75" s="175"/>
      <c r="IWC75" s="177"/>
      <c r="IWD75" s="175"/>
      <c r="IWE75" s="177"/>
      <c r="IWF75" s="178"/>
      <c r="IWG75" s="179"/>
      <c r="IWH75"/>
      <c r="IWI75" s="180"/>
      <c r="IWJ75"/>
      <c r="IWK75" s="172"/>
      <c r="IWL75" s="181"/>
      <c r="IWM75"/>
      <c r="IWN75" s="174"/>
      <c r="IWO75" s="175"/>
      <c r="IWP75" s="176"/>
      <c r="IWQ75" s="176"/>
      <c r="IWR75" s="175"/>
      <c r="IWS75" s="177"/>
      <c r="IWT75" s="175"/>
      <c r="IWU75" s="177"/>
      <c r="IWV75" s="178"/>
      <c r="IWW75" s="179"/>
      <c r="IWX75"/>
      <c r="IWY75" s="180"/>
      <c r="IWZ75"/>
      <c r="IXA75" s="172"/>
      <c r="IXB75" s="181"/>
      <c r="IXC75"/>
      <c r="IXD75" s="174"/>
      <c r="IXE75" s="175"/>
      <c r="IXF75" s="176"/>
      <c r="IXG75" s="176"/>
      <c r="IXH75" s="175"/>
      <c r="IXI75" s="177"/>
      <c r="IXJ75" s="175"/>
      <c r="IXK75" s="177"/>
      <c r="IXL75" s="178"/>
      <c r="IXM75" s="179"/>
      <c r="IXN75"/>
      <c r="IXO75" s="180"/>
      <c r="IXP75"/>
      <c r="IXQ75" s="172"/>
      <c r="IXR75" s="181"/>
      <c r="IXS75"/>
      <c r="IXT75" s="174"/>
      <c r="IXU75" s="175"/>
      <c r="IXV75" s="176"/>
      <c r="IXW75" s="176"/>
      <c r="IXX75" s="175"/>
      <c r="IXY75" s="177"/>
      <c r="IXZ75" s="175"/>
      <c r="IYA75" s="177"/>
      <c r="IYB75" s="178"/>
      <c r="IYC75" s="179"/>
      <c r="IYD75"/>
      <c r="IYE75" s="180"/>
      <c r="IYF75"/>
      <c r="IYG75" s="172"/>
      <c r="IYH75" s="181"/>
      <c r="IYI75"/>
      <c r="IYJ75" s="174"/>
      <c r="IYK75" s="175"/>
      <c r="IYL75" s="176"/>
      <c r="IYM75" s="176"/>
      <c r="IYN75" s="175"/>
      <c r="IYO75" s="177"/>
      <c r="IYP75" s="175"/>
      <c r="IYQ75" s="177"/>
      <c r="IYR75" s="178"/>
      <c r="IYS75" s="179"/>
      <c r="IYT75"/>
      <c r="IYU75" s="180"/>
      <c r="IYV75"/>
      <c r="IYW75" s="172"/>
      <c r="IYX75" s="181"/>
      <c r="IYY75"/>
      <c r="IYZ75" s="174"/>
      <c r="IZA75" s="175"/>
      <c r="IZB75" s="176"/>
      <c r="IZC75" s="176"/>
      <c r="IZD75" s="175"/>
      <c r="IZE75" s="177"/>
      <c r="IZF75" s="175"/>
      <c r="IZG75" s="177"/>
      <c r="IZH75" s="178"/>
      <c r="IZI75" s="179"/>
      <c r="IZJ75"/>
      <c r="IZK75" s="180"/>
      <c r="IZL75"/>
      <c r="IZM75" s="172"/>
      <c r="IZN75" s="181"/>
      <c r="IZO75"/>
      <c r="IZP75" s="174"/>
      <c r="IZQ75" s="175"/>
      <c r="IZR75" s="176"/>
      <c r="IZS75" s="176"/>
      <c r="IZT75" s="175"/>
      <c r="IZU75" s="177"/>
      <c r="IZV75" s="175"/>
      <c r="IZW75" s="177"/>
      <c r="IZX75" s="178"/>
      <c r="IZY75" s="179"/>
      <c r="IZZ75"/>
      <c r="JAA75" s="180"/>
      <c r="JAB75"/>
      <c r="JAC75" s="172"/>
      <c r="JAD75" s="181"/>
      <c r="JAE75"/>
      <c r="JAF75" s="174"/>
      <c r="JAG75" s="175"/>
      <c r="JAH75" s="176"/>
      <c r="JAI75" s="176"/>
      <c r="JAJ75" s="175"/>
      <c r="JAK75" s="177"/>
      <c r="JAL75" s="175"/>
      <c r="JAM75" s="177"/>
      <c r="JAN75" s="178"/>
      <c r="JAO75" s="179"/>
      <c r="JAP75"/>
      <c r="JAQ75" s="180"/>
      <c r="JAR75"/>
      <c r="JAS75" s="172"/>
      <c r="JAT75" s="181"/>
      <c r="JAU75"/>
      <c r="JAV75" s="174"/>
      <c r="JAW75" s="175"/>
      <c r="JAX75" s="176"/>
      <c r="JAY75" s="176"/>
      <c r="JAZ75" s="175"/>
      <c r="JBA75" s="177"/>
      <c r="JBB75" s="175"/>
      <c r="JBC75" s="177"/>
      <c r="JBD75" s="178"/>
      <c r="JBE75" s="179"/>
      <c r="JBF75"/>
      <c r="JBG75" s="180"/>
      <c r="JBH75"/>
      <c r="JBI75" s="172"/>
      <c r="JBJ75" s="181"/>
      <c r="JBK75"/>
      <c r="JBL75" s="174"/>
      <c r="JBM75" s="175"/>
      <c r="JBN75" s="176"/>
      <c r="JBO75" s="176"/>
      <c r="JBP75" s="175"/>
      <c r="JBQ75" s="177"/>
      <c r="JBR75" s="175"/>
      <c r="JBS75" s="177"/>
      <c r="JBT75" s="178"/>
      <c r="JBU75" s="179"/>
      <c r="JBV75"/>
      <c r="JBW75" s="180"/>
      <c r="JBX75"/>
      <c r="JBY75" s="172"/>
      <c r="JBZ75" s="181"/>
      <c r="JCA75"/>
      <c r="JCB75" s="174"/>
      <c r="JCC75" s="175"/>
      <c r="JCD75" s="176"/>
      <c r="JCE75" s="176"/>
      <c r="JCF75" s="175"/>
      <c r="JCG75" s="177"/>
      <c r="JCH75" s="175"/>
      <c r="JCI75" s="177"/>
      <c r="JCJ75" s="178"/>
      <c r="JCK75" s="179"/>
      <c r="JCL75"/>
      <c r="JCM75" s="180"/>
      <c r="JCN75"/>
      <c r="JCO75" s="172"/>
      <c r="JCP75" s="181"/>
      <c r="JCQ75"/>
      <c r="JCR75" s="174"/>
      <c r="JCS75" s="175"/>
      <c r="JCT75" s="176"/>
      <c r="JCU75" s="176"/>
      <c r="JCV75" s="175"/>
      <c r="JCW75" s="177"/>
      <c r="JCX75" s="175"/>
      <c r="JCY75" s="177"/>
      <c r="JCZ75" s="178"/>
      <c r="JDA75" s="179"/>
      <c r="JDB75"/>
      <c r="JDC75" s="180"/>
      <c r="JDD75"/>
      <c r="JDE75" s="172"/>
      <c r="JDF75" s="181"/>
      <c r="JDG75"/>
      <c r="JDH75" s="174"/>
      <c r="JDI75" s="175"/>
      <c r="JDJ75" s="176"/>
      <c r="JDK75" s="176"/>
      <c r="JDL75" s="175"/>
      <c r="JDM75" s="177"/>
      <c r="JDN75" s="175"/>
      <c r="JDO75" s="177"/>
      <c r="JDP75" s="178"/>
      <c r="JDQ75" s="179"/>
      <c r="JDR75"/>
      <c r="JDS75" s="180"/>
      <c r="JDT75"/>
      <c r="JDU75" s="172"/>
      <c r="JDV75" s="181"/>
      <c r="JDW75"/>
      <c r="JDX75" s="174"/>
      <c r="JDY75" s="175"/>
      <c r="JDZ75" s="176"/>
      <c r="JEA75" s="176"/>
      <c r="JEB75" s="175"/>
      <c r="JEC75" s="177"/>
      <c r="JED75" s="175"/>
      <c r="JEE75" s="177"/>
      <c r="JEF75" s="178"/>
      <c r="JEG75" s="179"/>
      <c r="JEH75"/>
      <c r="JEI75" s="180"/>
      <c r="JEJ75"/>
      <c r="JEK75" s="172"/>
      <c r="JEL75" s="181"/>
      <c r="JEM75"/>
      <c r="JEN75" s="174"/>
      <c r="JEO75" s="175"/>
      <c r="JEP75" s="176"/>
      <c r="JEQ75" s="176"/>
      <c r="JER75" s="175"/>
      <c r="JES75" s="177"/>
      <c r="JET75" s="175"/>
      <c r="JEU75" s="177"/>
      <c r="JEV75" s="178"/>
      <c r="JEW75" s="179"/>
      <c r="JEX75"/>
      <c r="JEY75" s="180"/>
      <c r="JEZ75"/>
      <c r="JFA75" s="172"/>
      <c r="JFB75" s="181"/>
      <c r="JFC75"/>
      <c r="JFD75" s="174"/>
      <c r="JFE75" s="175"/>
      <c r="JFF75" s="176"/>
      <c r="JFG75" s="176"/>
      <c r="JFH75" s="175"/>
      <c r="JFI75" s="177"/>
      <c r="JFJ75" s="175"/>
      <c r="JFK75" s="177"/>
      <c r="JFL75" s="178"/>
      <c r="JFM75" s="179"/>
      <c r="JFN75"/>
      <c r="JFO75" s="180"/>
      <c r="JFP75"/>
      <c r="JFQ75" s="172"/>
      <c r="JFR75" s="181"/>
      <c r="JFS75"/>
      <c r="JFT75" s="174"/>
      <c r="JFU75" s="175"/>
      <c r="JFV75" s="176"/>
      <c r="JFW75" s="176"/>
      <c r="JFX75" s="175"/>
      <c r="JFY75" s="177"/>
      <c r="JFZ75" s="175"/>
      <c r="JGA75" s="177"/>
      <c r="JGB75" s="178"/>
      <c r="JGC75" s="179"/>
      <c r="JGD75"/>
      <c r="JGE75" s="180"/>
      <c r="JGF75"/>
      <c r="JGG75" s="172"/>
      <c r="JGH75" s="181"/>
      <c r="JGI75"/>
      <c r="JGJ75" s="174"/>
      <c r="JGK75" s="175"/>
      <c r="JGL75" s="176"/>
      <c r="JGM75" s="176"/>
      <c r="JGN75" s="175"/>
      <c r="JGO75" s="177"/>
      <c r="JGP75" s="175"/>
      <c r="JGQ75" s="177"/>
      <c r="JGR75" s="178"/>
      <c r="JGS75" s="179"/>
      <c r="JGT75"/>
      <c r="JGU75" s="180"/>
      <c r="JGV75"/>
      <c r="JGW75" s="172"/>
      <c r="JGX75" s="181"/>
      <c r="JGY75"/>
      <c r="JGZ75" s="174"/>
      <c r="JHA75" s="175"/>
      <c r="JHB75" s="176"/>
      <c r="JHC75" s="176"/>
      <c r="JHD75" s="175"/>
      <c r="JHE75" s="177"/>
      <c r="JHF75" s="175"/>
      <c r="JHG75" s="177"/>
      <c r="JHH75" s="178"/>
      <c r="JHI75" s="179"/>
      <c r="JHJ75"/>
      <c r="JHK75" s="180"/>
      <c r="JHL75"/>
      <c r="JHM75" s="172"/>
      <c r="JHN75" s="181"/>
      <c r="JHO75"/>
      <c r="JHP75" s="174"/>
      <c r="JHQ75" s="175"/>
      <c r="JHR75" s="176"/>
      <c r="JHS75" s="176"/>
      <c r="JHT75" s="175"/>
      <c r="JHU75" s="177"/>
      <c r="JHV75" s="175"/>
      <c r="JHW75" s="177"/>
      <c r="JHX75" s="178"/>
      <c r="JHY75" s="179"/>
      <c r="JHZ75"/>
      <c r="JIA75" s="180"/>
      <c r="JIB75"/>
      <c r="JIC75" s="172"/>
      <c r="JID75" s="181"/>
      <c r="JIE75"/>
      <c r="JIF75" s="174"/>
      <c r="JIG75" s="175"/>
      <c r="JIH75" s="176"/>
      <c r="JII75" s="176"/>
      <c r="JIJ75" s="175"/>
      <c r="JIK75" s="177"/>
      <c r="JIL75" s="175"/>
      <c r="JIM75" s="177"/>
      <c r="JIN75" s="178"/>
      <c r="JIO75" s="179"/>
      <c r="JIP75"/>
      <c r="JIQ75" s="180"/>
      <c r="JIR75"/>
      <c r="JIS75" s="172"/>
      <c r="JIT75" s="181"/>
      <c r="JIU75"/>
      <c r="JIV75" s="174"/>
      <c r="JIW75" s="175"/>
      <c r="JIX75" s="176"/>
      <c r="JIY75" s="176"/>
      <c r="JIZ75" s="175"/>
      <c r="JJA75" s="177"/>
      <c r="JJB75" s="175"/>
      <c r="JJC75" s="177"/>
      <c r="JJD75" s="178"/>
      <c r="JJE75" s="179"/>
      <c r="JJF75"/>
      <c r="JJG75" s="180"/>
      <c r="JJH75"/>
      <c r="JJI75" s="172"/>
      <c r="JJJ75" s="181"/>
      <c r="JJK75"/>
      <c r="JJL75" s="174"/>
      <c r="JJM75" s="175"/>
      <c r="JJN75" s="176"/>
      <c r="JJO75" s="176"/>
      <c r="JJP75" s="175"/>
      <c r="JJQ75" s="177"/>
      <c r="JJR75" s="175"/>
      <c r="JJS75" s="177"/>
      <c r="JJT75" s="178"/>
      <c r="JJU75" s="179"/>
      <c r="JJV75"/>
      <c r="JJW75" s="180"/>
      <c r="JJX75"/>
      <c r="JJY75" s="172"/>
      <c r="JJZ75" s="181"/>
      <c r="JKA75"/>
      <c r="JKB75" s="174"/>
      <c r="JKC75" s="175"/>
      <c r="JKD75" s="176"/>
      <c r="JKE75" s="176"/>
      <c r="JKF75" s="175"/>
      <c r="JKG75" s="177"/>
      <c r="JKH75" s="175"/>
      <c r="JKI75" s="177"/>
      <c r="JKJ75" s="178"/>
      <c r="JKK75" s="179"/>
      <c r="JKL75"/>
      <c r="JKM75" s="180"/>
      <c r="JKN75"/>
      <c r="JKO75" s="172"/>
      <c r="JKP75" s="181"/>
      <c r="JKQ75"/>
      <c r="JKR75" s="174"/>
      <c r="JKS75" s="175"/>
      <c r="JKT75" s="176"/>
      <c r="JKU75" s="176"/>
      <c r="JKV75" s="175"/>
      <c r="JKW75" s="177"/>
      <c r="JKX75" s="175"/>
      <c r="JKY75" s="177"/>
      <c r="JKZ75" s="178"/>
      <c r="JLA75" s="179"/>
      <c r="JLB75"/>
      <c r="JLC75" s="180"/>
      <c r="JLD75"/>
      <c r="JLE75" s="172"/>
      <c r="JLF75" s="181"/>
      <c r="JLG75"/>
      <c r="JLH75" s="174"/>
      <c r="JLI75" s="175"/>
      <c r="JLJ75" s="176"/>
      <c r="JLK75" s="176"/>
      <c r="JLL75" s="175"/>
      <c r="JLM75" s="177"/>
      <c r="JLN75" s="175"/>
      <c r="JLO75" s="177"/>
      <c r="JLP75" s="178"/>
      <c r="JLQ75" s="179"/>
      <c r="JLR75"/>
      <c r="JLS75" s="180"/>
      <c r="JLT75"/>
      <c r="JLU75" s="172"/>
      <c r="JLV75" s="181"/>
      <c r="JLW75"/>
      <c r="JLX75" s="174"/>
      <c r="JLY75" s="175"/>
      <c r="JLZ75" s="176"/>
      <c r="JMA75" s="176"/>
      <c r="JMB75" s="175"/>
      <c r="JMC75" s="177"/>
      <c r="JMD75" s="175"/>
      <c r="JME75" s="177"/>
      <c r="JMF75" s="178"/>
      <c r="JMG75" s="179"/>
      <c r="JMH75"/>
      <c r="JMI75" s="180"/>
      <c r="JMJ75"/>
      <c r="JMK75" s="172"/>
      <c r="JML75" s="181"/>
      <c r="JMM75"/>
      <c r="JMN75" s="174"/>
      <c r="JMO75" s="175"/>
      <c r="JMP75" s="176"/>
      <c r="JMQ75" s="176"/>
      <c r="JMR75" s="175"/>
      <c r="JMS75" s="177"/>
      <c r="JMT75" s="175"/>
      <c r="JMU75" s="177"/>
      <c r="JMV75" s="178"/>
      <c r="JMW75" s="179"/>
      <c r="JMX75"/>
      <c r="JMY75" s="180"/>
      <c r="JMZ75"/>
      <c r="JNA75" s="172"/>
      <c r="JNB75" s="181"/>
      <c r="JNC75"/>
      <c r="JND75" s="174"/>
      <c r="JNE75" s="175"/>
      <c r="JNF75" s="176"/>
      <c r="JNG75" s="176"/>
      <c r="JNH75" s="175"/>
      <c r="JNI75" s="177"/>
      <c r="JNJ75" s="175"/>
      <c r="JNK75" s="177"/>
      <c r="JNL75" s="178"/>
      <c r="JNM75" s="179"/>
      <c r="JNN75"/>
      <c r="JNO75" s="180"/>
      <c r="JNP75"/>
      <c r="JNQ75" s="172"/>
      <c r="JNR75" s="181"/>
      <c r="JNS75"/>
      <c r="JNT75" s="174"/>
      <c r="JNU75" s="175"/>
      <c r="JNV75" s="176"/>
      <c r="JNW75" s="176"/>
      <c r="JNX75" s="175"/>
      <c r="JNY75" s="177"/>
      <c r="JNZ75" s="175"/>
      <c r="JOA75" s="177"/>
      <c r="JOB75" s="178"/>
      <c r="JOC75" s="179"/>
      <c r="JOD75"/>
      <c r="JOE75" s="180"/>
      <c r="JOF75"/>
      <c r="JOG75" s="172"/>
      <c r="JOH75" s="181"/>
      <c r="JOI75"/>
      <c r="JOJ75" s="174"/>
      <c r="JOK75" s="175"/>
      <c r="JOL75" s="176"/>
      <c r="JOM75" s="176"/>
      <c r="JON75" s="175"/>
      <c r="JOO75" s="177"/>
      <c r="JOP75" s="175"/>
      <c r="JOQ75" s="177"/>
      <c r="JOR75" s="178"/>
      <c r="JOS75" s="179"/>
      <c r="JOT75"/>
      <c r="JOU75" s="180"/>
      <c r="JOV75"/>
      <c r="JOW75" s="172"/>
      <c r="JOX75" s="181"/>
      <c r="JOY75"/>
      <c r="JOZ75" s="174"/>
      <c r="JPA75" s="175"/>
      <c r="JPB75" s="176"/>
      <c r="JPC75" s="176"/>
      <c r="JPD75" s="175"/>
      <c r="JPE75" s="177"/>
      <c r="JPF75" s="175"/>
      <c r="JPG75" s="177"/>
      <c r="JPH75" s="178"/>
      <c r="JPI75" s="179"/>
      <c r="JPJ75"/>
      <c r="JPK75" s="180"/>
      <c r="JPL75"/>
      <c r="JPM75" s="172"/>
      <c r="JPN75" s="181"/>
      <c r="JPO75"/>
      <c r="JPP75" s="174"/>
      <c r="JPQ75" s="175"/>
      <c r="JPR75" s="176"/>
      <c r="JPS75" s="176"/>
      <c r="JPT75" s="175"/>
      <c r="JPU75" s="177"/>
      <c r="JPV75" s="175"/>
      <c r="JPW75" s="177"/>
      <c r="JPX75" s="178"/>
      <c r="JPY75" s="179"/>
      <c r="JPZ75"/>
      <c r="JQA75" s="180"/>
      <c r="JQB75"/>
      <c r="JQC75" s="172"/>
      <c r="JQD75" s="181"/>
      <c r="JQE75"/>
      <c r="JQF75" s="174"/>
      <c r="JQG75" s="175"/>
      <c r="JQH75" s="176"/>
      <c r="JQI75" s="176"/>
      <c r="JQJ75" s="175"/>
      <c r="JQK75" s="177"/>
      <c r="JQL75" s="175"/>
      <c r="JQM75" s="177"/>
      <c r="JQN75" s="178"/>
      <c r="JQO75" s="179"/>
      <c r="JQP75"/>
      <c r="JQQ75" s="180"/>
      <c r="JQR75"/>
      <c r="JQS75" s="172"/>
      <c r="JQT75" s="181"/>
      <c r="JQU75"/>
      <c r="JQV75" s="174"/>
      <c r="JQW75" s="175"/>
      <c r="JQX75" s="176"/>
      <c r="JQY75" s="176"/>
      <c r="JQZ75" s="175"/>
      <c r="JRA75" s="177"/>
      <c r="JRB75" s="175"/>
      <c r="JRC75" s="177"/>
      <c r="JRD75" s="178"/>
      <c r="JRE75" s="179"/>
      <c r="JRF75"/>
      <c r="JRG75" s="180"/>
      <c r="JRH75"/>
      <c r="JRI75" s="172"/>
      <c r="JRJ75" s="181"/>
      <c r="JRK75"/>
      <c r="JRL75" s="174"/>
      <c r="JRM75" s="175"/>
      <c r="JRN75" s="176"/>
      <c r="JRO75" s="176"/>
      <c r="JRP75" s="175"/>
      <c r="JRQ75" s="177"/>
      <c r="JRR75" s="175"/>
      <c r="JRS75" s="177"/>
      <c r="JRT75" s="178"/>
      <c r="JRU75" s="179"/>
      <c r="JRV75"/>
      <c r="JRW75" s="180"/>
      <c r="JRX75"/>
      <c r="JRY75" s="172"/>
      <c r="JRZ75" s="181"/>
      <c r="JSA75"/>
      <c r="JSB75" s="174"/>
      <c r="JSC75" s="175"/>
      <c r="JSD75" s="176"/>
      <c r="JSE75" s="176"/>
      <c r="JSF75" s="175"/>
      <c r="JSG75" s="177"/>
      <c r="JSH75" s="175"/>
      <c r="JSI75" s="177"/>
      <c r="JSJ75" s="178"/>
      <c r="JSK75" s="179"/>
      <c r="JSL75"/>
      <c r="JSM75" s="180"/>
      <c r="JSN75"/>
      <c r="JSO75" s="172"/>
      <c r="JSP75" s="181"/>
      <c r="JSQ75"/>
      <c r="JSR75" s="174"/>
      <c r="JSS75" s="175"/>
      <c r="JST75" s="176"/>
      <c r="JSU75" s="176"/>
      <c r="JSV75" s="175"/>
      <c r="JSW75" s="177"/>
      <c r="JSX75" s="175"/>
      <c r="JSY75" s="177"/>
      <c r="JSZ75" s="178"/>
      <c r="JTA75" s="179"/>
      <c r="JTB75"/>
      <c r="JTC75" s="180"/>
      <c r="JTD75"/>
      <c r="JTE75" s="172"/>
      <c r="JTF75" s="181"/>
      <c r="JTG75"/>
      <c r="JTH75" s="174"/>
      <c r="JTI75" s="175"/>
      <c r="JTJ75" s="176"/>
      <c r="JTK75" s="176"/>
      <c r="JTL75" s="175"/>
      <c r="JTM75" s="177"/>
      <c r="JTN75" s="175"/>
      <c r="JTO75" s="177"/>
      <c r="JTP75" s="178"/>
      <c r="JTQ75" s="179"/>
      <c r="JTR75"/>
      <c r="JTS75" s="180"/>
      <c r="JTT75"/>
      <c r="JTU75" s="172"/>
      <c r="JTV75" s="181"/>
      <c r="JTW75"/>
      <c r="JTX75" s="174"/>
      <c r="JTY75" s="175"/>
      <c r="JTZ75" s="176"/>
      <c r="JUA75" s="176"/>
      <c r="JUB75" s="175"/>
      <c r="JUC75" s="177"/>
      <c r="JUD75" s="175"/>
      <c r="JUE75" s="177"/>
      <c r="JUF75" s="178"/>
      <c r="JUG75" s="179"/>
      <c r="JUH75"/>
      <c r="JUI75" s="180"/>
      <c r="JUJ75"/>
      <c r="JUK75" s="172"/>
      <c r="JUL75" s="181"/>
      <c r="JUM75"/>
      <c r="JUN75" s="174"/>
      <c r="JUO75" s="175"/>
      <c r="JUP75" s="176"/>
      <c r="JUQ75" s="176"/>
      <c r="JUR75" s="175"/>
      <c r="JUS75" s="177"/>
      <c r="JUT75" s="175"/>
      <c r="JUU75" s="177"/>
      <c r="JUV75" s="178"/>
      <c r="JUW75" s="179"/>
      <c r="JUX75"/>
      <c r="JUY75" s="180"/>
      <c r="JUZ75"/>
      <c r="JVA75" s="172"/>
      <c r="JVB75" s="181"/>
      <c r="JVC75"/>
      <c r="JVD75" s="174"/>
      <c r="JVE75" s="175"/>
      <c r="JVF75" s="176"/>
      <c r="JVG75" s="176"/>
      <c r="JVH75" s="175"/>
      <c r="JVI75" s="177"/>
      <c r="JVJ75" s="175"/>
      <c r="JVK75" s="177"/>
      <c r="JVL75" s="178"/>
      <c r="JVM75" s="179"/>
      <c r="JVN75"/>
      <c r="JVO75" s="180"/>
      <c r="JVP75"/>
      <c r="JVQ75" s="172"/>
      <c r="JVR75" s="181"/>
      <c r="JVS75"/>
      <c r="JVT75" s="174"/>
      <c r="JVU75" s="175"/>
      <c r="JVV75" s="176"/>
      <c r="JVW75" s="176"/>
      <c r="JVX75" s="175"/>
      <c r="JVY75" s="177"/>
      <c r="JVZ75" s="175"/>
      <c r="JWA75" s="177"/>
      <c r="JWB75" s="178"/>
      <c r="JWC75" s="179"/>
      <c r="JWD75"/>
      <c r="JWE75" s="180"/>
      <c r="JWF75"/>
      <c r="JWG75" s="172"/>
      <c r="JWH75" s="181"/>
      <c r="JWI75"/>
      <c r="JWJ75" s="174"/>
      <c r="JWK75" s="175"/>
      <c r="JWL75" s="176"/>
      <c r="JWM75" s="176"/>
      <c r="JWN75" s="175"/>
      <c r="JWO75" s="177"/>
      <c r="JWP75" s="175"/>
      <c r="JWQ75" s="177"/>
      <c r="JWR75" s="178"/>
      <c r="JWS75" s="179"/>
      <c r="JWT75"/>
      <c r="JWU75" s="180"/>
      <c r="JWV75"/>
      <c r="JWW75" s="172"/>
      <c r="JWX75" s="181"/>
      <c r="JWY75"/>
      <c r="JWZ75" s="174"/>
      <c r="JXA75" s="175"/>
      <c r="JXB75" s="176"/>
      <c r="JXC75" s="176"/>
      <c r="JXD75" s="175"/>
      <c r="JXE75" s="177"/>
      <c r="JXF75" s="175"/>
      <c r="JXG75" s="177"/>
      <c r="JXH75" s="178"/>
      <c r="JXI75" s="179"/>
      <c r="JXJ75"/>
      <c r="JXK75" s="180"/>
      <c r="JXL75"/>
      <c r="JXM75" s="172"/>
      <c r="JXN75" s="181"/>
      <c r="JXO75"/>
      <c r="JXP75" s="174"/>
      <c r="JXQ75" s="175"/>
      <c r="JXR75" s="176"/>
      <c r="JXS75" s="176"/>
      <c r="JXT75" s="175"/>
      <c r="JXU75" s="177"/>
      <c r="JXV75" s="175"/>
      <c r="JXW75" s="177"/>
      <c r="JXX75" s="178"/>
      <c r="JXY75" s="179"/>
      <c r="JXZ75"/>
      <c r="JYA75" s="180"/>
      <c r="JYB75"/>
      <c r="JYC75" s="172"/>
      <c r="JYD75" s="181"/>
      <c r="JYE75"/>
      <c r="JYF75" s="174"/>
      <c r="JYG75" s="175"/>
      <c r="JYH75" s="176"/>
      <c r="JYI75" s="176"/>
      <c r="JYJ75" s="175"/>
      <c r="JYK75" s="177"/>
      <c r="JYL75" s="175"/>
      <c r="JYM75" s="177"/>
      <c r="JYN75" s="178"/>
      <c r="JYO75" s="179"/>
      <c r="JYP75"/>
      <c r="JYQ75" s="180"/>
      <c r="JYR75"/>
      <c r="JYS75" s="172"/>
      <c r="JYT75" s="181"/>
      <c r="JYU75"/>
      <c r="JYV75" s="174"/>
      <c r="JYW75" s="175"/>
      <c r="JYX75" s="176"/>
      <c r="JYY75" s="176"/>
      <c r="JYZ75" s="175"/>
      <c r="JZA75" s="177"/>
      <c r="JZB75" s="175"/>
      <c r="JZC75" s="177"/>
      <c r="JZD75" s="178"/>
      <c r="JZE75" s="179"/>
      <c r="JZF75"/>
      <c r="JZG75" s="180"/>
      <c r="JZH75"/>
      <c r="JZI75" s="172"/>
      <c r="JZJ75" s="181"/>
      <c r="JZK75"/>
      <c r="JZL75" s="174"/>
      <c r="JZM75" s="175"/>
      <c r="JZN75" s="176"/>
      <c r="JZO75" s="176"/>
      <c r="JZP75" s="175"/>
      <c r="JZQ75" s="177"/>
      <c r="JZR75" s="175"/>
      <c r="JZS75" s="177"/>
      <c r="JZT75" s="178"/>
      <c r="JZU75" s="179"/>
      <c r="JZV75"/>
      <c r="JZW75" s="180"/>
      <c r="JZX75"/>
      <c r="JZY75" s="172"/>
      <c r="JZZ75" s="181"/>
      <c r="KAA75"/>
      <c r="KAB75" s="174"/>
      <c r="KAC75" s="175"/>
      <c r="KAD75" s="176"/>
      <c r="KAE75" s="176"/>
      <c r="KAF75" s="175"/>
      <c r="KAG75" s="177"/>
      <c r="KAH75" s="175"/>
      <c r="KAI75" s="177"/>
      <c r="KAJ75" s="178"/>
      <c r="KAK75" s="179"/>
      <c r="KAL75"/>
      <c r="KAM75" s="180"/>
      <c r="KAN75"/>
      <c r="KAO75" s="172"/>
      <c r="KAP75" s="181"/>
      <c r="KAQ75"/>
      <c r="KAR75" s="174"/>
      <c r="KAS75" s="175"/>
      <c r="KAT75" s="176"/>
      <c r="KAU75" s="176"/>
      <c r="KAV75" s="175"/>
      <c r="KAW75" s="177"/>
      <c r="KAX75" s="175"/>
      <c r="KAY75" s="177"/>
      <c r="KAZ75" s="178"/>
      <c r="KBA75" s="179"/>
      <c r="KBB75"/>
      <c r="KBC75" s="180"/>
      <c r="KBD75"/>
      <c r="KBE75" s="172"/>
      <c r="KBF75" s="181"/>
      <c r="KBG75"/>
      <c r="KBH75" s="174"/>
      <c r="KBI75" s="175"/>
      <c r="KBJ75" s="176"/>
      <c r="KBK75" s="176"/>
      <c r="KBL75" s="175"/>
      <c r="KBM75" s="177"/>
      <c r="KBN75" s="175"/>
      <c r="KBO75" s="177"/>
      <c r="KBP75" s="178"/>
      <c r="KBQ75" s="179"/>
      <c r="KBR75"/>
      <c r="KBS75" s="180"/>
      <c r="KBT75"/>
      <c r="KBU75" s="172"/>
      <c r="KBV75" s="181"/>
      <c r="KBW75"/>
      <c r="KBX75" s="174"/>
      <c r="KBY75" s="175"/>
      <c r="KBZ75" s="176"/>
      <c r="KCA75" s="176"/>
      <c r="KCB75" s="175"/>
      <c r="KCC75" s="177"/>
      <c r="KCD75" s="175"/>
      <c r="KCE75" s="177"/>
      <c r="KCF75" s="178"/>
      <c r="KCG75" s="179"/>
      <c r="KCH75"/>
      <c r="KCI75" s="180"/>
      <c r="KCJ75"/>
      <c r="KCK75" s="172"/>
      <c r="KCL75" s="181"/>
      <c r="KCM75"/>
      <c r="KCN75" s="174"/>
      <c r="KCO75" s="175"/>
      <c r="KCP75" s="176"/>
      <c r="KCQ75" s="176"/>
      <c r="KCR75" s="175"/>
      <c r="KCS75" s="177"/>
      <c r="KCT75" s="175"/>
      <c r="KCU75" s="177"/>
      <c r="KCV75" s="178"/>
      <c r="KCW75" s="179"/>
      <c r="KCX75"/>
      <c r="KCY75" s="180"/>
      <c r="KCZ75"/>
      <c r="KDA75" s="172"/>
      <c r="KDB75" s="181"/>
      <c r="KDC75"/>
      <c r="KDD75" s="174"/>
      <c r="KDE75" s="175"/>
      <c r="KDF75" s="176"/>
      <c r="KDG75" s="176"/>
      <c r="KDH75" s="175"/>
      <c r="KDI75" s="177"/>
      <c r="KDJ75" s="175"/>
      <c r="KDK75" s="177"/>
      <c r="KDL75" s="178"/>
      <c r="KDM75" s="179"/>
      <c r="KDN75"/>
      <c r="KDO75" s="180"/>
      <c r="KDP75"/>
      <c r="KDQ75" s="172"/>
      <c r="KDR75" s="181"/>
      <c r="KDS75"/>
      <c r="KDT75" s="174"/>
      <c r="KDU75" s="175"/>
      <c r="KDV75" s="176"/>
      <c r="KDW75" s="176"/>
      <c r="KDX75" s="175"/>
      <c r="KDY75" s="177"/>
      <c r="KDZ75" s="175"/>
      <c r="KEA75" s="177"/>
      <c r="KEB75" s="178"/>
      <c r="KEC75" s="179"/>
      <c r="KED75"/>
      <c r="KEE75" s="180"/>
      <c r="KEF75"/>
      <c r="KEG75" s="172"/>
      <c r="KEH75" s="181"/>
      <c r="KEI75"/>
      <c r="KEJ75" s="174"/>
      <c r="KEK75" s="175"/>
      <c r="KEL75" s="176"/>
      <c r="KEM75" s="176"/>
      <c r="KEN75" s="175"/>
      <c r="KEO75" s="177"/>
      <c r="KEP75" s="175"/>
      <c r="KEQ75" s="177"/>
      <c r="KER75" s="178"/>
      <c r="KES75" s="179"/>
      <c r="KET75"/>
      <c r="KEU75" s="180"/>
      <c r="KEV75"/>
      <c r="KEW75" s="172"/>
      <c r="KEX75" s="181"/>
      <c r="KEY75"/>
      <c r="KEZ75" s="174"/>
      <c r="KFA75" s="175"/>
      <c r="KFB75" s="176"/>
      <c r="KFC75" s="176"/>
      <c r="KFD75" s="175"/>
      <c r="KFE75" s="177"/>
      <c r="KFF75" s="175"/>
      <c r="KFG75" s="177"/>
      <c r="KFH75" s="178"/>
      <c r="KFI75" s="179"/>
      <c r="KFJ75"/>
      <c r="KFK75" s="180"/>
      <c r="KFL75"/>
      <c r="KFM75" s="172"/>
      <c r="KFN75" s="181"/>
      <c r="KFO75"/>
      <c r="KFP75" s="174"/>
      <c r="KFQ75" s="175"/>
      <c r="KFR75" s="176"/>
      <c r="KFS75" s="176"/>
      <c r="KFT75" s="175"/>
      <c r="KFU75" s="177"/>
      <c r="KFV75" s="175"/>
      <c r="KFW75" s="177"/>
      <c r="KFX75" s="178"/>
      <c r="KFY75" s="179"/>
      <c r="KFZ75"/>
      <c r="KGA75" s="180"/>
      <c r="KGB75"/>
      <c r="KGC75" s="172"/>
      <c r="KGD75" s="181"/>
      <c r="KGE75"/>
      <c r="KGF75" s="174"/>
      <c r="KGG75" s="175"/>
      <c r="KGH75" s="176"/>
      <c r="KGI75" s="176"/>
      <c r="KGJ75" s="175"/>
      <c r="KGK75" s="177"/>
      <c r="KGL75" s="175"/>
      <c r="KGM75" s="177"/>
      <c r="KGN75" s="178"/>
      <c r="KGO75" s="179"/>
      <c r="KGP75"/>
      <c r="KGQ75" s="180"/>
      <c r="KGR75"/>
      <c r="KGS75" s="172"/>
      <c r="KGT75" s="181"/>
      <c r="KGU75"/>
      <c r="KGV75" s="174"/>
      <c r="KGW75" s="175"/>
      <c r="KGX75" s="176"/>
      <c r="KGY75" s="176"/>
      <c r="KGZ75" s="175"/>
      <c r="KHA75" s="177"/>
      <c r="KHB75" s="175"/>
      <c r="KHC75" s="177"/>
      <c r="KHD75" s="178"/>
      <c r="KHE75" s="179"/>
      <c r="KHF75"/>
      <c r="KHG75" s="180"/>
      <c r="KHH75"/>
      <c r="KHI75" s="172"/>
      <c r="KHJ75" s="181"/>
      <c r="KHK75"/>
      <c r="KHL75" s="174"/>
      <c r="KHM75" s="175"/>
      <c r="KHN75" s="176"/>
      <c r="KHO75" s="176"/>
      <c r="KHP75" s="175"/>
      <c r="KHQ75" s="177"/>
      <c r="KHR75" s="175"/>
      <c r="KHS75" s="177"/>
      <c r="KHT75" s="178"/>
      <c r="KHU75" s="179"/>
      <c r="KHV75"/>
      <c r="KHW75" s="180"/>
      <c r="KHX75"/>
      <c r="KHY75" s="172"/>
      <c r="KHZ75" s="181"/>
      <c r="KIA75"/>
      <c r="KIB75" s="174"/>
      <c r="KIC75" s="175"/>
      <c r="KID75" s="176"/>
      <c r="KIE75" s="176"/>
      <c r="KIF75" s="175"/>
      <c r="KIG75" s="177"/>
      <c r="KIH75" s="175"/>
      <c r="KII75" s="177"/>
      <c r="KIJ75" s="178"/>
      <c r="KIK75" s="179"/>
      <c r="KIL75"/>
      <c r="KIM75" s="180"/>
      <c r="KIN75"/>
      <c r="KIO75" s="172"/>
      <c r="KIP75" s="181"/>
      <c r="KIQ75"/>
      <c r="KIR75" s="174"/>
      <c r="KIS75" s="175"/>
      <c r="KIT75" s="176"/>
      <c r="KIU75" s="176"/>
      <c r="KIV75" s="175"/>
      <c r="KIW75" s="177"/>
      <c r="KIX75" s="175"/>
      <c r="KIY75" s="177"/>
      <c r="KIZ75" s="178"/>
      <c r="KJA75" s="179"/>
      <c r="KJB75"/>
      <c r="KJC75" s="180"/>
      <c r="KJD75"/>
      <c r="KJE75" s="172"/>
      <c r="KJF75" s="181"/>
      <c r="KJG75"/>
      <c r="KJH75" s="174"/>
      <c r="KJI75" s="175"/>
      <c r="KJJ75" s="176"/>
      <c r="KJK75" s="176"/>
      <c r="KJL75" s="175"/>
      <c r="KJM75" s="177"/>
      <c r="KJN75" s="175"/>
      <c r="KJO75" s="177"/>
      <c r="KJP75" s="178"/>
      <c r="KJQ75" s="179"/>
      <c r="KJR75"/>
      <c r="KJS75" s="180"/>
      <c r="KJT75"/>
      <c r="KJU75" s="172"/>
      <c r="KJV75" s="181"/>
      <c r="KJW75"/>
      <c r="KJX75" s="174"/>
      <c r="KJY75" s="175"/>
      <c r="KJZ75" s="176"/>
      <c r="KKA75" s="176"/>
      <c r="KKB75" s="175"/>
      <c r="KKC75" s="177"/>
      <c r="KKD75" s="175"/>
      <c r="KKE75" s="177"/>
      <c r="KKF75" s="178"/>
      <c r="KKG75" s="179"/>
      <c r="KKH75"/>
      <c r="KKI75" s="180"/>
      <c r="KKJ75"/>
      <c r="KKK75" s="172"/>
      <c r="KKL75" s="181"/>
      <c r="KKM75"/>
      <c r="KKN75" s="174"/>
      <c r="KKO75" s="175"/>
      <c r="KKP75" s="176"/>
      <c r="KKQ75" s="176"/>
      <c r="KKR75" s="175"/>
      <c r="KKS75" s="177"/>
      <c r="KKT75" s="175"/>
      <c r="KKU75" s="177"/>
      <c r="KKV75" s="178"/>
      <c r="KKW75" s="179"/>
      <c r="KKX75"/>
      <c r="KKY75" s="180"/>
      <c r="KKZ75"/>
      <c r="KLA75" s="172"/>
      <c r="KLB75" s="181"/>
      <c r="KLC75"/>
      <c r="KLD75" s="174"/>
      <c r="KLE75" s="175"/>
      <c r="KLF75" s="176"/>
      <c r="KLG75" s="176"/>
      <c r="KLH75" s="175"/>
      <c r="KLI75" s="177"/>
      <c r="KLJ75" s="175"/>
      <c r="KLK75" s="177"/>
      <c r="KLL75" s="178"/>
      <c r="KLM75" s="179"/>
      <c r="KLN75"/>
      <c r="KLO75" s="180"/>
      <c r="KLP75"/>
      <c r="KLQ75" s="172"/>
      <c r="KLR75" s="181"/>
      <c r="KLS75"/>
      <c r="KLT75" s="174"/>
      <c r="KLU75" s="175"/>
      <c r="KLV75" s="176"/>
      <c r="KLW75" s="176"/>
      <c r="KLX75" s="175"/>
      <c r="KLY75" s="177"/>
      <c r="KLZ75" s="175"/>
      <c r="KMA75" s="177"/>
      <c r="KMB75" s="178"/>
      <c r="KMC75" s="179"/>
      <c r="KMD75"/>
      <c r="KME75" s="180"/>
      <c r="KMF75"/>
      <c r="KMG75" s="172"/>
      <c r="KMH75" s="181"/>
      <c r="KMI75"/>
      <c r="KMJ75" s="174"/>
      <c r="KMK75" s="175"/>
      <c r="KML75" s="176"/>
      <c r="KMM75" s="176"/>
      <c r="KMN75" s="175"/>
      <c r="KMO75" s="177"/>
      <c r="KMP75" s="175"/>
      <c r="KMQ75" s="177"/>
      <c r="KMR75" s="178"/>
      <c r="KMS75" s="179"/>
      <c r="KMT75"/>
      <c r="KMU75" s="180"/>
      <c r="KMV75"/>
      <c r="KMW75" s="172"/>
      <c r="KMX75" s="181"/>
      <c r="KMY75"/>
      <c r="KMZ75" s="174"/>
      <c r="KNA75" s="175"/>
      <c r="KNB75" s="176"/>
      <c r="KNC75" s="176"/>
      <c r="KND75" s="175"/>
      <c r="KNE75" s="177"/>
      <c r="KNF75" s="175"/>
      <c r="KNG75" s="177"/>
      <c r="KNH75" s="178"/>
      <c r="KNI75" s="179"/>
      <c r="KNJ75"/>
      <c r="KNK75" s="180"/>
      <c r="KNL75"/>
      <c r="KNM75" s="172"/>
      <c r="KNN75" s="181"/>
      <c r="KNO75"/>
      <c r="KNP75" s="174"/>
      <c r="KNQ75" s="175"/>
      <c r="KNR75" s="176"/>
      <c r="KNS75" s="176"/>
      <c r="KNT75" s="175"/>
      <c r="KNU75" s="177"/>
      <c r="KNV75" s="175"/>
      <c r="KNW75" s="177"/>
      <c r="KNX75" s="178"/>
      <c r="KNY75" s="179"/>
      <c r="KNZ75"/>
      <c r="KOA75" s="180"/>
      <c r="KOB75"/>
      <c r="KOC75" s="172"/>
      <c r="KOD75" s="181"/>
      <c r="KOE75"/>
      <c r="KOF75" s="174"/>
      <c r="KOG75" s="175"/>
      <c r="KOH75" s="176"/>
      <c r="KOI75" s="176"/>
      <c r="KOJ75" s="175"/>
      <c r="KOK75" s="177"/>
      <c r="KOL75" s="175"/>
      <c r="KOM75" s="177"/>
      <c r="KON75" s="178"/>
      <c r="KOO75" s="179"/>
      <c r="KOP75"/>
      <c r="KOQ75" s="180"/>
      <c r="KOR75"/>
      <c r="KOS75" s="172"/>
      <c r="KOT75" s="181"/>
      <c r="KOU75"/>
      <c r="KOV75" s="174"/>
      <c r="KOW75" s="175"/>
      <c r="KOX75" s="176"/>
      <c r="KOY75" s="176"/>
      <c r="KOZ75" s="175"/>
      <c r="KPA75" s="177"/>
      <c r="KPB75" s="175"/>
      <c r="KPC75" s="177"/>
      <c r="KPD75" s="178"/>
      <c r="KPE75" s="179"/>
      <c r="KPF75"/>
      <c r="KPG75" s="180"/>
      <c r="KPH75"/>
      <c r="KPI75" s="172"/>
      <c r="KPJ75" s="181"/>
      <c r="KPK75"/>
      <c r="KPL75" s="174"/>
      <c r="KPM75" s="175"/>
      <c r="KPN75" s="176"/>
      <c r="KPO75" s="176"/>
      <c r="KPP75" s="175"/>
      <c r="KPQ75" s="177"/>
      <c r="KPR75" s="175"/>
      <c r="KPS75" s="177"/>
      <c r="KPT75" s="178"/>
      <c r="KPU75" s="179"/>
      <c r="KPV75"/>
      <c r="KPW75" s="180"/>
      <c r="KPX75"/>
      <c r="KPY75" s="172"/>
      <c r="KPZ75" s="181"/>
      <c r="KQA75"/>
      <c r="KQB75" s="174"/>
      <c r="KQC75" s="175"/>
      <c r="KQD75" s="176"/>
      <c r="KQE75" s="176"/>
      <c r="KQF75" s="175"/>
      <c r="KQG75" s="177"/>
      <c r="KQH75" s="175"/>
      <c r="KQI75" s="177"/>
      <c r="KQJ75" s="178"/>
      <c r="KQK75" s="179"/>
      <c r="KQL75"/>
      <c r="KQM75" s="180"/>
      <c r="KQN75"/>
      <c r="KQO75" s="172"/>
      <c r="KQP75" s="181"/>
      <c r="KQQ75"/>
      <c r="KQR75" s="174"/>
      <c r="KQS75" s="175"/>
      <c r="KQT75" s="176"/>
      <c r="KQU75" s="176"/>
      <c r="KQV75" s="175"/>
      <c r="KQW75" s="177"/>
      <c r="KQX75" s="175"/>
      <c r="KQY75" s="177"/>
      <c r="KQZ75" s="178"/>
      <c r="KRA75" s="179"/>
      <c r="KRB75"/>
      <c r="KRC75" s="180"/>
      <c r="KRD75"/>
      <c r="KRE75" s="172"/>
      <c r="KRF75" s="181"/>
      <c r="KRG75"/>
      <c r="KRH75" s="174"/>
      <c r="KRI75" s="175"/>
      <c r="KRJ75" s="176"/>
      <c r="KRK75" s="176"/>
      <c r="KRL75" s="175"/>
      <c r="KRM75" s="177"/>
      <c r="KRN75" s="175"/>
      <c r="KRO75" s="177"/>
      <c r="KRP75" s="178"/>
      <c r="KRQ75" s="179"/>
      <c r="KRR75"/>
      <c r="KRS75" s="180"/>
      <c r="KRT75"/>
      <c r="KRU75" s="172"/>
      <c r="KRV75" s="181"/>
      <c r="KRW75"/>
      <c r="KRX75" s="174"/>
      <c r="KRY75" s="175"/>
      <c r="KRZ75" s="176"/>
      <c r="KSA75" s="176"/>
      <c r="KSB75" s="175"/>
      <c r="KSC75" s="177"/>
      <c r="KSD75" s="175"/>
      <c r="KSE75" s="177"/>
      <c r="KSF75" s="178"/>
      <c r="KSG75" s="179"/>
      <c r="KSH75"/>
      <c r="KSI75" s="180"/>
      <c r="KSJ75"/>
      <c r="KSK75" s="172"/>
      <c r="KSL75" s="181"/>
      <c r="KSM75"/>
      <c r="KSN75" s="174"/>
      <c r="KSO75" s="175"/>
      <c r="KSP75" s="176"/>
      <c r="KSQ75" s="176"/>
      <c r="KSR75" s="175"/>
      <c r="KSS75" s="177"/>
      <c r="KST75" s="175"/>
      <c r="KSU75" s="177"/>
      <c r="KSV75" s="178"/>
      <c r="KSW75" s="179"/>
      <c r="KSX75"/>
      <c r="KSY75" s="180"/>
      <c r="KSZ75"/>
      <c r="KTA75" s="172"/>
      <c r="KTB75" s="181"/>
      <c r="KTC75"/>
      <c r="KTD75" s="174"/>
      <c r="KTE75" s="175"/>
      <c r="KTF75" s="176"/>
      <c r="KTG75" s="176"/>
      <c r="KTH75" s="175"/>
      <c r="KTI75" s="177"/>
      <c r="KTJ75" s="175"/>
      <c r="KTK75" s="177"/>
      <c r="KTL75" s="178"/>
      <c r="KTM75" s="179"/>
      <c r="KTN75"/>
      <c r="KTO75" s="180"/>
      <c r="KTP75"/>
      <c r="KTQ75" s="172"/>
      <c r="KTR75" s="181"/>
      <c r="KTS75"/>
      <c r="KTT75" s="174"/>
      <c r="KTU75" s="175"/>
      <c r="KTV75" s="176"/>
      <c r="KTW75" s="176"/>
      <c r="KTX75" s="175"/>
      <c r="KTY75" s="177"/>
      <c r="KTZ75" s="175"/>
      <c r="KUA75" s="177"/>
      <c r="KUB75" s="178"/>
      <c r="KUC75" s="179"/>
      <c r="KUD75"/>
      <c r="KUE75" s="180"/>
      <c r="KUF75"/>
      <c r="KUG75" s="172"/>
      <c r="KUH75" s="181"/>
      <c r="KUI75"/>
      <c r="KUJ75" s="174"/>
      <c r="KUK75" s="175"/>
      <c r="KUL75" s="176"/>
      <c r="KUM75" s="176"/>
      <c r="KUN75" s="175"/>
      <c r="KUO75" s="177"/>
      <c r="KUP75" s="175"/>
      <c r="KUQ75" s="177"/>
      <c r="KUR75" s="178"/>
      <c r="KUS75" s="179"/>
      <c r="KUT75"/>
      <c r="KUU75" s="180"/>
      <c r="KUV75"/>
      <c r="KUW75" s="172"/>
      <c r="KUX75" s="181"/>
      <c r="KUY75"/>
      <c r="KUZ75" s="174"/>
      <c r="KVA75" s="175"/>
      <c r="KVB75" s="176"/>
      <c r="KVC75" s="176"/>
      <c r="KVD75" s="175"/>
      <c r="KVE75" s="177"/>
      <c r="KVF75" s="175"/>
      <c r="KVG75" s="177"/>
      <c r="KVH75" s="178"/>
      <c r="KVI75" s="179"/>
      <c r="KVJ75"/>
      <c r="KVK75" s="180"/>
      <c r="KVL75"/>
      <c r="KVM75" s="172"/>
      <c r="KVN75" s="181"/>
      <c r="KVO75"/>
      <c r="KVP75" s="174"/>
      <c r="KVQ75" s="175"/>
      <c r="KVR75" s="176"/>
      <c r="KVS75" s="176"/>
      <c r="KVT75" s="175"/>
      <c r="KVU75" s="177"/>
      <c r="KVV75" s="175"/>
      <c r="KVW75" s="177"/>
      <c r="KVX75" s="178"/>
      <c r="KVY75" s="179"/>
      <c r="KVZ75"/>
      <c r="KWA75" s="180"/>
      <c r="KWB75"/>
      <c r="KWC75" s="172"/>
      <c r="KWD75" s="181"/>
      <c r="KWE75"/>
      <c r="KWF75" s="174"/>
      <c r="KWG75" s="175"/>
      <c r="KWH75" s="176"/>
      <c r="KWI75" s="176"/>
      <c r="KWJ75" s="175"/>
      <c r="KWK75" s="177"/>
      <c r="KWL75" s="175"/>
      <c r="KWM75" s="177"/>
      <c r="KWN75" s="178"/>
      <c r="KWO75" s="179"/>
      <c r="KWP75"/>
      <c r="KWQ75" s="180"/>
      <c r="KWR75"/>
      <c r="KWS75" s="172"/>
      <c r="KWT75" s="181"/>
      <c r="KWU75"/>
      <c r="KWV75" s="174"/>
      <c r="KWW75" s="175"/>
      <c r="KWX75" s="176"/>
      <c r="KWY75" s="176"/>
      <c r="KWZ75" s="175"/>
      <c r="KXA75" s="177"/>
      <c r="KXB75" s="175"/>
      <c r="KXC75" s="177"/>
      <c r="KXD75" s="178"/>
      <c r="KXE75" s="179"/>
      <c r="KXF75"/>
      <c r="KXG75" s="180"/>
      <c r="KXH75"/>
      <c r="KXI75" s="172"/>
      <c r="KXJ75" s="181"/>
      <c r="KXK75"/>
      <c r="KXL75" s="174"/>
      <c r="KXM75" s="175"/>
      <c r="KXN75" s="176"/>
      <c r="KXO75" s="176"/>
      <c r="KXP75" s="175"/>
      <c r="KXQ75" s="177"/>
      <c r="KXR75" s="175"/>
      <c r="KXS75" s="177"/>
      <c r="KXT75" s="178"/>
      <c r="KXU75" s="179"/>
      <c r="KXV75"/>
      <c r="KXW75" s="180"/>
      <c r="KXX75"/>
      <c r="KXY75" s="172"/>
      <c r="KXZ75" s="181"/>
      <c r="KYA75"/>
      <c r="KYB75" s="174"/>
      <c r="KYC75" s="175"/>
      <c r="KYD75" s="176"/>
      <c r="KYE75" s="176"/>
      <c r="KYF75" s="175"/>
      <c r="KYG75" s="177"/>
      <c r="KYH75" s="175"/>
      <c r="KYI75" s="177"/>
      <c r="KYJ75" s="178"/>
      <c r="KYK75" s="179"/>
      <c r="KYL75"/>
      <c r="KYM75" s="180"/>
      <c r="KYN75"/>
      <c r="KYO75" s="172"/>
      <c r="KYP75" s="181"/>
      <c r="KYQ75"/>
      <c r="KYR75" s="174"/>
      <c r="KYS75" s="175"/>
      <c r="KYT75" s="176"/>
      <c r="KYU75" s="176"/>
      <c r="KYV75" s="175"/>
      <c r="KYW75" s="177"/>
      <c r="KYX75" s="175"/>
      <c r="KYY75" s="177"/>
      <c r="KYZ75" s="178"/>
      <c r="KZA75" s="179"/>
      <c r="KZB75"/>
      <c r="KZC75" s="180"/>
      <c r="KZD75"/>
      <c r="KZE75" s="172"/>
      <c r="KZF75" s="181"/>
      <c r="KZG75"/>
      <c r="KZH75" s="174"/>
      <c r="KZI75" s="175"/>
      <c r="KZJ75" s="176"/>
      <c r="KZK75" s="176"/>
      <c r="KZL75" s="175"/>
      <c r="KZM75" s="177"/>
      <c r="KZN75" s="175"/>
      <c r="KZO75" s="177"/>
      <c r="KZP75" s="178"/>
      <c r="KZQ75" s="179"/>
      <c r="KZR75"/>
      <c r="KZS75" s="180"/>
      <c r="KZT75"/>
      <c r="KZU75" s="172"/>
      <c r="KZV75" s="181"/>
      <c r="KZW75"/>
      <c r="KZX75" s="174"/>
      <c r="KZY75" s="175"/>
      <c r="KZZ75" s="176"/>
      <c r="LAA75" s="176"/>
      <c r="LAB75" s="175"/>
      <c r="LAC75" s="177"/>
      <c r="LAD75" s="175"/>
      <c r="LAE75" s="177"/>
      <c r="LAF75" s="178"/>
      <c r="LAG75" s="179"/>
      <c r="LAH75"/>
      <c r="LAI75" s="180"/>
      <c r="LAJ75"/>
      <c r="LAK75" s="172"/>
      <c r="LAL75" s="181"/>
      <c r="LAM75"/>
      <c r="LAN75" s="174"/>
      <c r="LAO75" s="175"/>
      <c r="LAP75" s="176"/>
      <c r="LAQ75" s="176"/>
      <c r="LAR75" s="175"/>
      <c r="LAS75" s="177"/>
      <c r="LAT75" s="175"/>
      <c r="LAU75" s="177"/>
      <c r="LAV75" s="178"/>
      <c r="LAW75" s="179"/>
      <c r="LAX75"/>
      <c r="LAY75" s="180"/>
      <c r="LAZ75"/>
      <c r="LBA75" s="172"/>
      <c r="LBB75" s="181"/>
      <c r="LBC75"/>
      <c r="LBD75" s="174"/>
      <c r="LBE75" s="175"/>
      <c r="LBF75" s="176"/>
      <c r="LBG75" s="176"/>
      <c r="LBH75" s="175"/>
      <c r="LBI75" s="177"/>
      <c r="LBJ75" s="175"/>
      <c r="LBK75" s="177"/>
      <c r="LBL75" s="178"/>
      <c r="LBM75" s="179"/>
      <c r="LBN75"/>
      <c r="LBO75" s="180"/>
      <c r="LBP75"/>
      <c r="LBQ75" s="172"/>
      <c r="LBR75" s="181"/>
      <c r="LBS75"/>
      <c r="LBT75" s="174"/>
      <c r="LBU75" s="175"/>
      <c r="LBV75" s="176"/>
      <c r="LBW75" s="176"/>
      <c r="LBX75" s="175"/>
      <c r="LBY75" s="177"/>
      <c r="LBZ75" s="175"/>
      <c r="LCA75" s="177"/>
      <c r="LCB75" s="178"/>
      <c r="LCC75" s="179"/>
      <c r="LCD75"/>
      <c r="LCE75" s="180"/>
      <c r="LCF75"/>
      <c r="LCG75" s="172"/>
      <c r="LCH75" s="181"/>
      <c r="LCI75"/>
      <c r="LCJ75" s="174"/>
      <c r="LCK75" s="175"/>
      <c r="LCL75" s="176"/>
      <c r="LCM75" s="176"/>
      <c r="LCN75" s="175"/>
      <c r="LCO75" s="177"/>
      <c r="LCP75" s="175"/>
      <c r="LCQ75" s="177"/>
      <c r="LCR75" s="178"/>
      <c r="LCS75" s="179"/>
      <c r="LCT75"/>
      <c r="LCU75" s="180"/>
      <c r="LCV75"/>
      <c r="LCW75" s="172"/>
      <c r="LCX75" s="181"/>
      <c r="LCY75"/>
      <c r="LCZ75" s="174"/>
      <c r="LDA75" s="175"/>
      <c r="LDB75" s="176"/>
      <c r="LDC75" s="176"/>
      <c r="LDD75" s="175"/>
      <c r="LDE75" s="177"/>
      <c r="LDF75" s="175"/>
      <c r="LDG75" s="177"/>
      <c r="LDH75" s="178"/>
      <c r="LDI75" s="179"/>
      <c r="LDJ75"/>
      <c r="LDK75" s="180"/>
      <c r="LDL75"/>
      <c r="LDM75" s="172"/>
      <c r="LDN75" s="181"/>
      <c r="LDO75"/>
      <c r="LDP75" s="174"/>
      <c r="LDQ75" s="175"/>
      <c r="LDR75" s="176"/>
      <c r="LDS75" s="176"/>
      <c r="LDT75" s="175"/>
      <c r="LDU75" s="177"/>
      <c r="LDV75" s="175"/>
      <c r="LDW75" s="177"/>
      <c r="LDX75" s="178"/>
      <c r="LDY75" s="179"/>
      <c r="LDZ75"/>
      <c r="LEA75" s="180"/>
      <c r="LEB75"/>
      <c r="LEC75" s="172"/>
      <c r="LED75" s="181"/>
      <c r="LEE75"/>
      <c r="LEF75" s="174"/>
      <c r="LEG75" s="175"/>
      <c r="LEH75" s="176"/>
      <c r="LEI75" s="176"/>
      <c r="LEJ75" s="175"/>
      <c r="LEK75" s="177"/>
      <c r="LEL75" s="175"/>
      <c r="LEM75" s="177"/>
      <c r="LEN75" s="178"/>
      <c r="LEO75" s="179"/>
      <c r="LEP75"/>
      <c r="LEQ75" s="180"/>
      <c r="LER75"/>
      <c r="LES75" s="172"/>
      <c r="LET75" s="181"/>
      <c r="LEU75"/>
      <c r="LEV75" s="174"/>
      <c r="LEW75" s="175"/>
      <c r="LEX75" s="176"/>
      <c r="LEY75" s="176"/>
      <c r="LEZ75" s="175"/>
      <c r="LFA75" s="177"/>
      <c r="LFB75" s="175"/>
      <c r="LFC75" s="177"/>
      <c r="LFD75" s="178"/>
      <c r="LFE75" s="179"/>
      <c r="LFF75"/>
      <c r="LFG75" s="180"/>
      <c r="LFH75"/>
      <c r="LFI75" s="172"/>
      <c r="LFJ75" s="181"/>
      <c r="LFK75"/>
      <c r="LFL75" s="174"/>
      <c r="LFM75" s="175"/>
      <c r="LFN75" s="176"/>
      <c r="LFO75" s="176"/>
      <c r="LFP75" s="175"/>
      <c r="LFQ75" s="177"/>
      <c r="LFR75" s="175"/>
      <c r="LFS75" s="177"/>
      <c r="LFT75" s="178"/>
      <c r="LFU75" s="179"/>
      <c r="LFV75"/>
      <c r="LFW75" s="180"/>
      <c r="LFX75"/>
      <c r="LFY75" s="172"/>
      <c r="LFZ75" s="181"/>
      <c r="LGA75"/>
      <c r="LGB75" s="174"/>
      <c r="LGC75" s="175"/>
      <c r="LGD75" s="176"/>
      <c r="LGE75" s="176"/>
      <c r="LGF75" s="175"/>
      <c r="LGG75" s="177"/>
      <c r="LGH75" s="175"/>
      <c r="LGI75" s="177"/>
      <c r="LGJ75" s="178"/>
      <c r="LGK75" s="179"/>
      <c r="LGL75"/>
      <c r="LGM75" s="180"/>
      <c r="LGN75"/>
      <c r="LGO75" s="172"/>
      <c r="LGP75" s="181"/>
      <c r="LGQ75"/>
      <c r="LGR75" s="174"/>
      <c r="LGS75" s="175"/>
      <c r="LGT75" s="176"/>
      <c r="LGU75" s="176"/>
      <c r="LGV75" s="175"/>
      <c r="LGW75" s="177"/>
      <c r="LGX75" s="175"/>
      <c r="LGY75" s="177"/>
      <c r="LGZ75" s="178"/>
      <c r="LHA75" s="179"/>
      <c r="LHB75"/>
      <c r="LHC75" s="180"/>
      <c r="LHD75"/>
      <c r="LHE75" s="172"/>
      <c r="LHF75" s="181"/>
      <c r="LHG75"/>
      <c r="LHH75" s="174"/>
      <c r="LHI75" s="175"/>
      <c r="LHJ75" s="176"/>
      <c r="LHK75" s="176"/>
      <c r="LHL75" s="175"/>
      <c r="LHM75" s="177"/>
      <c r="LHN75" s="175"/>
      <c r="LHO75" s="177"/>
      <c r="LHP75" s="178"/>
      <c r="LHQ75" s="179"/>
      <c r="LHR75"/>
      <c r="LHS75" s="180"/>
      <c r="LHT75"/>
      <c r="LHU75" s="172"/>
      <c r="LHV75" s="181"/>
      <c r="LHW75"/>
      <c r="LHX75" s="174"/>
      <c r="LHY75" s="175"/>
      <c r="LHZ75" s="176"/>
      <c r="LIA75" s="176"/>
      <c r="LIB75" s="175"/>
      <c r="LIC75" s="177"/>
      <c r="LID75" s="175"/>
      <c r="LIE75" s="177"/>
      <c r="LIF75" s="178"/>
      <c r="LIG75" s="179"/>
      <c r="LIH75"/>
      <c r="LII75" s="180"/>
      <c r="LIJ75"/>
      <c r="LIK75" s="172"/>
      <c r="LIL75" s="181"/>
      <c r="LIM75"/>
      <c r="LIN75" s="174"/>
      <c r="LIO75" s="175"/>
      <c r="LIP75" s="176"/>
      <c r="LIQ75" s="176"/>
      <c r="LIR75" s="175"/>
      <c r="LIS75" s="177"/>
      <c r="LIT75" s="175"/>
      <c r="LIU75" s="177"/>
      <c r="LIV75" s="178"/>
      <c r="LIW75" s="179"/>
      <c r="LIX75"/>
      <c r="LIY75" s="180"/>
      <c r="LIZ75"/>
      <c r="LJA75" s="172"/>
      <c r="LJB75" s="181"/>
      <c r="LJC75"/>
      <c r="LJD75" s="174"/>
      <c r="LJE75" s="175"/>
      <c r="LJF75" s="176"/>
      <c r="LJG75" s="176"/>
      <c r="LJH75" s="175"/>
      <c r="LJI75" s="177"/>
      <c r="LJJ75" s="175"/>
      <c r="LJK75" s="177"/>
      <c r="LJL75" s="178"/>
      <c r="LJM75" s="179"/>
      <c r="LJN75"/>
      <c r="LJO75" s="180"/>
      <c r="LJP75"/>
      <c r="LJQ75" s="172"/>
      <c r="LJR75" s="181"/>
      <c r="LJS75"/>
      <c r="LJT75" s="174"/>
      <c r="LJU75" s="175"/>
      <c r="LJV75" s="176"/>
      <c r="LJW75" s="176"/>
      <c r="LJX75" s="175"/>
      <c r="LJY75" s="177"/>
      <c r="LJZ75" s="175"/>
      <c r="LKA75" s="177"/>
      <c r="LKB75" s="178"/>
      <c r="LKC75" s="179"/>
      <c r="LKD75"/>
      <c r="LKE75" s="180"/>
      <c r="LKF75"/>
      <c r="LKG75" s="172"/>
      <c r="LKH75" s="181"/>
      <c r="LKI75"/>
      <c r="LKJ75" s="174"/>
      <c r="LKK75" s="175"/>
      <c r="LKL75" s="176"/>
      <c r="LKM75" s="176"/>
      <c r="LKN75" s="175"/>
      <c r="LKO75" s="177"/>
      <c r="LKP75" s="175"/>
      <c r="LKQ75" s="177"/>
      <c r="LKR75" s="178"/>
      <c r="LKS75" s="179"/>
      <c r="LKT75"/>
      <c r="LKU75" s="180"/>
      <c r="LKV75"/>
      <c r="LKW75" s="172"/>
      <c r="LKX75" s="181"/>
      <c r="LKY75"/>
      <c r="LKZ75" s="174"/>
      <c r="LLA75" s="175"/>
      <c r="LLB75" s="176"/>
      <c r="LLC75" s="176"/>
      <c r="LLD75" s="175"/>
      <c r="LLE75" s="177"/>
      <c r="LLF75" s="175"/>
      <c r="LLG75" s="177"/>
      <c r="LLH75" s="178"/>
      <c r="LLI75" s="179"/>
      <c r="LLJ75"/>
      <c r="LLK75" s="180"/>
      <c r="LLL75"/>
      <c r="LLM75" s="172"/>
      <c r="LLN75" s="181"/>
      <c r="LLO75"/>
      <c r="LLP75" s="174"/>
      <c r="LLQ75" s="175"/>
      <c r="LLR75" s="176"/>
      <c r="LLS75" s="176"/>
      <c r="LLT75" s="175"/>
      <c r="LLU75" s="177"/>
      <c r="LLV75" s="175"/>
      <c r="LLW75" s="177"/>
      <c r="LLX75" s="178"/>
      <c r="LLY75" s="179"/>
      <c r="LLZ75"/>
      <c r="LMA75" s="180"/>
      <c r="LMB75"/>
      <c r="LMC75" s="172"/>
      <c r="LMD75" s="181"/>
      <c r="LME75"/>
      <c r="LMF75" s="174"/>
      <c r="LMG75" s="175"/>
      <c r="LMH75" s="176"/>
      <c r="LMI75" s="176"/>
      <c r="LMJ75" s="175"/>
      <c r="LMK75" s="177"/>
      <c r="LML75" s="175"/>
      <c r="LMM75" s="177"/>
      <c r="LMN75" s="178"/>
      <c r="LMO75" s="179"/>
      <c r="LMP75"/>
      <c r="LMQ75" s="180"/>
      <c r="LMR75"/>
      <c r="LMS75" s="172"/>
      <c r="LMT75" s="181"/>
      <c r="LMU75"/>
      <c r="LMV75" s="174"/>
      <c r="LMW75" s="175"/>
      <c r="LMX75" s="176"/>
      <c r="LMY75" s="176"/>
      <c r="LMZ75" s="175"/>
      <c r="LNA75" s="177"/>
      <c r="LNB75" s="175"/>
      <c r="LNC75" s="177"/>
      <c r="LND75" s="178"/>
      <c r="LNE75" s="179"/>
      <c r="LNF75"/>
      <c r="LNG75" s="180"/>
      <c r="LNH75"/>
      <c r="LNI75" s="172"/>
      <c r="LNJ75" s="181"/>
      <c r="LNK75"/>
      <c r="LNL75" s="174"/>
      <c r="LNM75" s="175"/>
      <c r="LNN75" s="176"/>
      <c r="LNO75" s="176"/>
      <c r="LNP75" s="175"/>
      <c r="LNQ75" s="177"/>
      <c r="LNR75" s="175"/>
      <c r="LNS75" s="177"/>
      <c r="LNT75" s="178"/>
      <c r="LNU75" s="179"/>
      <c r="LNV75"/>
      <c r="LNW75" s="180"/>
      <c r="LNX75"/>
      <c r="LNY75" s="172"/>
      <c r="LNZ75" s="181"/>
      <c r="LOA75"/>
      <c r="LOB75" s="174"/>
      <c r="LOC75" s="175"/>
      <c r="LOD75" s="176"/>
      <c r="LOE75" s="176"/>
      <c r="LOF75" s="175"/>
      <c r="LOG75" s="177"/>
      <c r="LOH75" s="175"/>
      <c r="LOI75" s="177"/>
      <c r="LOJ75" s="178"/>
      <c r="LOK75" s="179"/>
      <c r="LOL75"/>
      <c r="LOM75" s="180"/>
      <c r="LON75"/>
      <c r="LOO75" s="172"/>
      <c r="LOP75" s="181"/>
      <c r="LOQ75"/>
      <c r="LOR75" s="174"/>
      <c r="LOS75" s="175"/>
      <c r="LOT75" s="176"/>
      <c r="LOU75" s="176"/>
      <c r="LOV75" s="175"/>
      <c r="LOW75" s="177"/>
      <c r="LOX75" s="175"/>
      <c r="LOY75" s="177"/>
      <c r="LOZ75" s="178"/>
      <c r="LPA75" s="179"/>
      <c r="LPB75"/>
      <c r="LPC75" s="180"/>
      <c r="LPD75"/>
      <c r="LPE75" s="172"/>
      <c r="LPF75" s="181"/>
      <c r="LPG75"/>
      <c r="LPH75" s="174"/>
      <c r="LPI75" s="175"/>
      <c r="LPJ75" s="176"/>
      <c r="LPK75" s="176"/>
      <c r="LPL75" s="175"/>
      <c r="LPM75" s="177"/>
      <c r="LPN75" s="175"/>
      <c r="LPO75" s="177"/>
      <c r="LPP75" s="178"/>
      <c r="LPQ75" s="179"/>
      <c r="LPR75"/>
      <c r="LPS75" s="180"/>
      <c r="LPT75"/>
      <c r="LPU75" s="172"/>
      <c r="LPV75" s="181"/>
      <c r="LPW75"/>
      <c r="LPX75" s="174"/>
      <c r="LPY75" s="175"/>
      <c r="LPZ75" s="176"/>
      <c r="LQA75" s="176"/>
      <c r="LQB75" s="175"/>
      <c r="LQC75" s="177"/>
      <c r="LQD75" s="175"/>
      <c r="LQE75" s="177"/>
      <c r="LQF75" s="178"/>
      <c r="LQG75" s="179"/>
      <c r="LQH75"/>
      <c r="LQI75" s="180"/>
      <c r="LQJ75"/>
      <c r="LQK75" s="172"/>
      <c r="LQL75" s="181"/>
      <c r="LQM75"/>
      <c r="LQN75" s="174"/>
      <c r="LQO75" s="175"/>
      <c r="LQP75" s="176"/>
      <c r="LQQ75" s="176"/>
      <c r="LQR75" s="175"/>
      <c r="LQS75" s="177"/>
      <c r="LQT75" s="175"/>
      <c r="LQU75" s="177"/>
      <c r="LQV75" s="178"/>
      <c r="LQW75" s="179"/>
      <c r="LQX75"/>
      <c r="LQY75" s="180"/>
      <c r="LQZ75"/>
      <c r="LRA75" s="172"/>
      <c r="LRB75" s="181"/>
      <c r="LRC75"/>
      <c r="LRD75" s="174"/>
      <c r="LRE75" s="175"/>
      <c r="LRF75" s="176"/>
      <c r="LRG75" s="176"/>
      <c r="LRH75" s="175"/>
      <c r="LRI75" s="177"/>
      <c r="LRJ75" s="175"/>
      <c r="LRK75" s="177"/>
      <c r="LRL75" s="178"/>
      <c r="LRM75" s="179"/>
      <c r="LRN75"/>
      <c r="LRO75" s="180"/>
      <c r="LRP75"/>
      <c r="LRQ75" s="172"/>
      <c r="LRR75" s="181"/>
      <c r="LRS75"/>
      <c r="LRT75" s="174"/>
      <c r="LRU75" s="175"/>
      <c r="LRV75" s="176"/>
      <c r="LRW75" s="176"/>
      <c r="LRX75" s="175"/>
      <c r="LRY75" s="177"/>
      <c r="LRZ75" s="175"/>
      <c r="LSA75" s="177"/>
      <c r="LSB75" s="178"/>
      <c r="LSC75" s="179"/>
      <c r="LSD75"/>
      <c r="LSE75" s="180"/>
      <c r="LSF75"/>
      <c r="LSG75" s="172"/>
      <c r="LSH75" s="181"/>
      <c r="LSI75"/>
      <c r="LSJ75" s="174"/>
      <c r="LSK75" s="175"/>
      <c r="LSL75" s="176"/>
      <c r="LSM75" s="176"/>
      <c r="LSN75" s="175"/>
      <c r="LSO75" s="177"/>
      <c r="LSP75" s="175"/>
      <c r="LSQ75" s="177"/>
      <c r="LSR75" s="178"/>
      <c r="LSS75" s="179"/>
      <c r="LST75"/>
      <c r="LSU75" s="180"/>
      <c r="LSV75"/>
      <c r="LSW75" s="172"/>
      <c r="LSX75" s="181"/>
      <c r="LSY75"/>
      <c r="LSZ75" s="174"/>
      <c r="LTA75" s="175"/>
      <c r="LTB75" s="176"/>
      <c r="LTC75" s="176"/>
      <c r="LTD75" s="175"/>
      <c r="LTE75" s="177"/>
      <c r="LTF75" s="175"/>
      <c r="LTG75" s="177"/>
      <c r="LTH75" s="178"/>
      <c r="LTI75" s="179"/>
      <c r="LTJ75"/>
      <c r="LTK75" s="180"/>
      <c r="LTL75"/>
      <c r="LTM75" s="172"/>
      <c r="LTN75" s="181"/>
      <c r="LTO75"/>
      <c r="LTP75" s="174"/>
      <c r="LTQ75" s="175"/>
      <c r="LTR75" s="176"/>
      <c r="LTS75" s="176"/>
      <c r="LTT75" s="175"/>
      <c r="LTU75" s="177"/>
      <c r="LTV75" s="175"/>
      <c r="LTW75" s="177"/>
      <c r="LTX75" s="178"/>
      <c r="LTY75" s="179"/>
      <c r="LTZ75"/>
      <c r="LUA75" s="180"/>
      <c r="LUB75"/>
      <c r="LUC75" s="172"/>
      <c r="LUD75" s="181"/>
      <c r="LUE75"/>
      <c r="LUF75" s="174"/>
      <c r="LUG75" s="175"/>
      <c r="LUH75" s="176"/>
      <c r="LUI75" s="176"/>
      <c r="LUJ75" s="175"/>
      <c r="LUK75" s="177"/>
      <c r="LUL75" s="175"/>
      <c r="LUM75" s="177"/>
      <c r="LUN75" s="178"/>
      <c r="LUO75" s="179"/>
      <c r="LUP75"/>
      <c r="LUQ75" s="180"/>
      <c r="LUR75"/>
      <c r="LUS75" s="172"/>
      <c r="LUT75" s="181"/>
      <c r="LUU75"/>
      <c r="LUV75" s="174"/>
      <c r="LUW75" s="175"/>
      <c r="LUX75" s="176"/>
      <c r="LUY75" s="176"/>
      <c r="LUZ75" s="175"/>
      <c r="LVA75" s="177"/>
      <c r="LVB75" s="175"/>
      <c r="LVC75" s="177"/>
      <c r="LVD75" s="178"/>
      <c r="LVE75" s="179"/>
      <c r="LVF75"/>
      <c r="LVG75" s="180"/>
      <c r="LVH75"/>
      <c r="LVI75" s="172"/>
      <c r="LVJ75" s="181"/>
      <c r="LVK75"/>
      <c r="LVL75" s="174"/>
      <c r="LVM75" s="175"/>
      <c r="LVN75" s="176"/>
      <c r="LVO75" s="176"/>
      <c r="LVP75" s="175"/>
      <c r="LVQ75" s="177"/>
      <c r="LVR75" s="175"/>
      <c r="LVS75" s="177"/>
      <c r="LVT75" s="178"/>
      <c r="LVU75" s="179"/>
      <c r="LVV75"/>
      <c r="LVW75" s="180"/>
      <c r="LVX75"/>
      <c r="LVY75" s="172"/>
      <c r="LVZ75" s="181"/>
      <c r="LWA75"/>
      <c r="LWB75" s="174"/>
      <c r="LWC75" s="175"/>
      <c r="LWD75" s="176"/>
      <c r="LWE75" s="176"/>
      <c r="LWF75" s="175"/>
      <c r="LWG75" s="177"/>
      <c r="LWH75" s="175"/>
      <c r="LWI75" s="177"/>
      <c r="LWJ75" s="178"/>
      <c r="LWK75" s="179"/>
      <c r="LWL75"/>
      <c r="LWM75" s="180"/>
      <c r="LWN75"/>
      <c r="LWO75" s="172"/>
      <c r="LWP75" s="181"/>
      <c r="LWQ75"/>
      <c r="LWR75" s="174"/>
      <c r="LWS75" s="175"/>
      <c r="LWT75" s="176"/>
      <c r="LWU75" s="176"/>
      <c r="LWV75" s="175"/>
      <c r="LWW75" s="177"/>
      <c r="LWX75" s="175"/>
      <c r="LWY75" s="177"/>
      <c r="LWZ75" s="178"/>
      <c r="LXA75" s="179"/>
      <c r="LXB75"/>
      <c r="LXC75" s="180"/>
      <c r="LXD75"/>
      <c r="LXE75" s="172"/>
      <c r="LXF75" s="181"/>
      <c r="LXG75"/>
      <c r="LXH75" s="174"/>
      <c r="LXI75" s="175"/>
      <c r="LXJ75" s="176"/>
      <c r="LXK75" s="176"/>
      <c r="LXL75" s="175"/>
      <c r="LXM75" s="177"/>
      <c r="LXN75" s="175"/>
      <c r="LXO75" s="177"/>
      <c r="LXP75" s="178"/>
      <c r="LXQ75" s="179"/>
      <c r="LXR75"/>
      <c r="LXS75" s="180"/>
      <c r="LXT75"/>
      <c r="LXU75" s="172"/>
      <c r="LXV75" s="181"/>
      <c r="LXW75"/>
      <c r="LXX75" s="174"/>
      <c r="LXY75" s="175"/>
      <c r="LXZ75" s="176"/>
      <c r="LYA75" s="176"/>
      <c r="LYB75" s="175"/>
      <c r="LYC75" s="177"/>
      <c r="LYD75" s="175"/>
      <c r="LYE75" s="177"/>
      <c r="LYF75" s="178"/>
      <c r="LYG75" s="179"/>
      <c r="LYH75"/>
      <c r="LYI75" s="180"/>
      <c r="LYJ75"/>
      <c r="LYK75" s="172"/>
      <c r="LYL75" s="181"/>
      <c r="LYM75"/>
      <c r="LYN75" s="174"/>
      <c r="LYO75" s="175"/>
      <c r="LYP75" s="176"/>
      <c r="LYQ75" s="176"/>
      <c r="LYR75" s="175"/>
      <c r="LYS75" s="177"/>
      <c r="LYT75" s="175"/>
      <c r="LYU75" s="177"/>
      <c r="LYV75" s="178"/>
      <c r="LYW75" s="179"/>
      <c r="LYX75"/>
      <c r="LYY75" s="180"/>
      <c r="LYZ75"/>
      <c r="LZA75" s="172"/>
      <c r="LZB75" s="181"/>
      <c r="LZC75"/>
      <c r="LZD75" s="174"/>
      <c r="LZE75" s="175"/>
      <c r="LZF75" s="176"/>
      <c r="LZG75" s="176"/>
      <c r="LZH75" s="175"/>
      <c r="LZI75" s="177"/>
      <c r="LZJ75" s="175"/>
      <c r="LZK75" s="177"/>
      <c r="LZL75" s="178"/>
      <c r="LZM75" s="179"/>
      <c r="LZN75"/>
      <c r="LZO75" s="180"/>
      <c r="LZP75"/>
      <c r="LZQ75" s="172"/>
      <c r="LZR75" s="181"/>
      <c r="LZS75"/>
      <c r="LZT75" s="174"/>
      <c r="LZU75" s="175"/>
      <c r="LZV75" s="176"/>
      <c r="LZW75" s="176"/>
      <c r="LZX75" s="175"/>
      <c r="LZY75" s="177"/>
      <c r="LZZ75" s="175"/>
      <c r="MAA75" s="177"/>
      <c r="MAB75" s="178"/>
      <c r="MAC75" s="179"/>
      <c r="MAD75"/>
      <c r="MAE75" s="180"/>
      <c r="MAF75"/>
      <c r="MAG75" s="172"/>
      <c r="MAH75" s="181"/>
      <c r="MAI75"/>
      <c r="MAJ75" s="174"/>
      <c r="MAK75" s="175"/>
      <c r="MAL75" s="176"/>
      <c r="MAM75" s="176"/>
      <c r="MAN75" s="175"/>
      <c r="MAO75" s="177"/>
      <c r="MAP75" s="175"/>
      <c r="MAQ75" s="177"/>
      <c r="MAR75" s="178"/>
      <c r="MAS75" s="179"/>
      <c r="MAT75"/>
      <c r="MAU75" s="180"/>
      <c r="MAV75"/>
      <c r="MAW75" s="172"/>
      <c r="MAX75" s="181"/>
      <c r="MAY75"/>
      <c r="MAZ75" s="174"/>
      <c r="MBA75" s="175"/>
      <c r="MBB75" s="176"/>
      <c r="MBC75" s="176"/>
      <c r="MBD75" s="175"/>
      <c r="MBE75" s="177"/>
      <c r="MBF75" s="175"/>
      <c r="MBG75" s="177"/>
      <c r="MBH75" s="178"/>
      <c r="MBI75" s="179"/>
      <c r="MBJ75"/>
      <c r="MBK75" s="180"/>
      <c r="MBL75"/>
      <c r="MBM75" s="172"/>
      <c r="MBN75" s="181"/>
      <c r="MBO75"/>
      <c r="MBP75" s="174"/>
      <c r="MBQ75" s="175"/>
      <c r="MBR75" s="176"/>
      <c r="MBS75" s="176"/>
      <c r="MBT75" s="175"/>
      <c r="MBU75" s="177"/>
      <c r="MBV75" s="175"/>
      <c r="MBW75" s="177"/>
      <c r="MBX75" s="178"/>
      <c r="MBY75" s="179"/>
      <c r="MBZ75"/>
      <c r="MCA75" s="180"/>
      <c r="MCB75"/>
      <c r="MCC75" s="172"/>
      <c r="MCD75" s="181"/>
      <c r="MCE75"/>
      <c r="MCF75" s="174"/>
      <c r="MCG75" s="175"/>
      <c r="MCH75" s="176"/>
      <c r="MCI75" s="176"/>
      <c r="MCJ75" s="175"/>
      <c r="MCK75" s="177"/>
      <c r="MCL75" s="175"/>
      <c r="MCM75" s="177"/>
      <c r="MCN75" s="178"/>
      <c r="MCO75" s="179"/>
      <c r="MCP75"/>
      <c r="MCQ75" s="180"/>
      <c r="MCR75"/>
      <c r="MCS75" s="172"/>
      <c r="MCT75" s="181"/>
      <c r="MCU75"/>
      <c r="MCV75" s="174"/>
      <c r="MCW75" s="175"/>
      <c r="MCX75" s="176"/>
      <c r="MCY75" s="176"/>
      <c r="MCZ75" s="175"/>
      <c r="MDA75" s="177"/>
      <c r="MDB75" s="175"/>
      <c r="MDC75" s="177"/>
      <c r="MDD75" s="178"/>
      <c r="MDE75" s="179"/>
      <c r="MDF75"/>
      <c r="MDG75" s="180"/>
      <c r="MDH75"/>
      <c r="MDI75" s="172"/>
      <c r="MDJ75" s="181"/>
      <c r="MDK75"/>
      <c r="MDL75" s="174"/>
      <c r="MDM75" s="175"/>
      <c r="MDN75" s="176"/>
      <c r="MDO75" s="176"/>
      <c r="MDP75" s="175"/>
      <c r="MDQ75" s="177"/>
      <c r="MDR75" s="175"/>
      <c r="MDS75" s="177"/>
      <c r="MDT75" s="178"/>
      <c r="MDU75" s="179"/>
      <c r="MDV75"/>
      <c r="MDW75" s="180"/>
      <c r="MDX75"/>
      <c r="MDY75" s="172"/>
      <c r="MDZ75" s="181"/>
      <c r="MEA75"/>
      <c r="MEB75" s="174"/>
      <c r="MEC75" s="175"/>
      <c r="MED75" s="176"/>
      <c r="MEE75" s="176"/>
      <c r="MEF75" s="175"/>
      <c r="MEG75" s="177"/>
      <c r="MEH75" s="175"/>
      <c r="MEI75" s="177"/>
      <c r="MEJ75" s="178"/>
      <c r="MEK75" s="179"/>
      <c r="MEL75"/>
      <c r="MEM75" s="180"/>
      <c r="MEN75"/>
      <c r="MEO75" s="172"/>
      <c r="MEP75" s="181"/>
      <c r="MEQ75"/>
      <c r="MER75" s="174"/>
      <c r="MES75" s="175"/>
      <c r="MET75" s="176"/>
      <c r="MEU75" s="176"/>
      <c r="MEV75" s="175"/>
      <c r="MEW75" s="177"/>
      <c r="MEX75" s="175"/>
      <c r="MEY75" s="177"/>
      <c r="MEZ75" s="178"/>
      <c r="MFA75" s="179"/>
      <c r="MFB75"/>
      <c r="MFC75" s="180"/>
      <c r="MFD75"/>
      <c r="MFE75" s="172"/>
      <c r="MFF75" s="181"/>
      <c r="MFG75"/>
      <c r="MFH75" s="174"/>
      <c r="MFI75" s="175"/>
      <c r="MFJ75" s="176"/>
      <c r="MFK75" s="176"/>
      <c r="MFL75" s="175"/>
      <c r="MFM75" s="177"/>
      <c r="MFN75" s="175"/>
      <c r="MFO75" s="177"/>
      <c r="MFP75" s="178"/>
      <c r="MFQ75" s="179"/>
      <c r="MFR75"/>
      <c r="MFS75" s="180"/>
      <c r="MFT75"/>
      <c r="MFU75" s="172"/>
      <c r="MFV75" s="181"/>
      <c r="MFW75"/>
      <c r="MFX75" s="174"/>
      <c r="MFY75" s="175"/>
      <c r="MFZ75" s="176"/>
      <c r="MGA75" s="176"/>
      <c r="MGB75" s="175"/>
      <c r="MGC75" s="177"/>
      <c r="MGD75" s="175"/>
      <c r="MGE75" s="177"/>
      <c r="MGF75" s="178"/>
      <c r="MGG75" s="179"/>
      <c r="MGH75"/>
      <c r="MGI75" s="180"/>
      <c r="MGJ75"/>
      <c r="MGK75" s="172"/>
      <c r="MGL75" s="181"/>
      <c r="MGM75"/>
      <c r="MGN75" s="174"/>
      <c r="MGO75" s="175"/>
      <c r="MGP75" s="176"/>
      <c r="MGQ75" s="176"/>
      <c r="MGR75" s="175"/>
      <c r="MGS75" s="177"/>
      <c r="MGT75" s="175"/>
      <c r="MGU75" s="177"/>
      <c r="MGV75" s="178"/>
      <c r="MGW75" s="179"/>
      <c r="MGX75"/>
      <c r="MGY75" s="180"/>
      <c r="MGZ75"/>
      <c r="MHA75" s="172"/>
      <c r="MHB75" s="181"/>
      <c r="MHC75"/>
      <c r="MHD75" s="174"/>
      <c r="MHE75" s="175"/>
      <c r="MHF75" s="176"/>
      <c r="MHG75" s="176"/>
      <c r="MHH75" s="175"/>
      <c r="MHI75" s="177"/>
      <c r="MHJ75" s="175"/>
      <c r="MHK75" s="177"/>
      <c r="MHL75" s="178"/>
      <c r="MHM75" s="179"/>
      <c r="MHN75"/>
      <c r="MHO75" s="180"/>
      <c r="MHP75"/>
      <c r="MHQ75" s="172"/>
      <c r="MHR75" s="181"/>
      <c r="MHS75"/>
      <c r="MHT75" s="174"/>
      <c r="MHU75" s="175"/>
      <c r="MHV75" s="176"/>
      <c r="MHW75" s="176"/>
      <c r="MHX75" s="175"/>
      <c r="MHY75" s="177"/>
      <c r="MHZ75" s="175"/>
      <c r="MIA75" s="177"/>
      <c r="MIB75" s="178"/>
      <c r="MIC75" s="179"/>
      <c r="MID75"/>
      <c r="MIE75" s="180"/>
      <c r="MIF75"/>
      <c r="MIG75" s="172"/>
      <c r="MIH75" s="181"/>
      <c r="MII75"/>
      <c r="MIJ75" s="174"/>
      <c r="MIK75" s="175"/>
      <c r="MIL75" s="176"/>
      <c r="MIM75" s="176"/>
      <c r="MIN75" s="175"/>
      <c r="MIO75" s="177"/>
      <c r="MIP75" s="175"/>
      <c r="MIQ75" s="177"/>
      <c r="MIR75" s="178"/>
      <c r="MIS75" s="179"/>
      <c r="MIT75"/>
      <c r="MIU75" s="180"/>
      <c r="MIV75"/>
      <c r="MIW75" s="172"/>
      <c r="MIX75" s="181"/>
      <c r="MIY75"/>
      <c r="MIZ75" s="174"/>
      <c r="MJA75" s="175"/>
      <c r="MJB75" s="176"/>
      <c r="MJC75" s="176"/>
      <c r="MJD75" s="175"/>
      <c r="MJE75" s="177"/>
      <c r="MJF75" s="175"/>
      <c r="MJG75" s="177"/>
      <c r="MJH75" s="178"/>
      <c r="MJI75" s="179"/>
      <c r="MJJ75"/>
      <c r="MJK75" s="180"/>
      <c r="MJL75"/>
      <c r="MJM75" s="172"/>
      <c r="MJN75" s="181"/>
      <c r="MJO75"/>
      <c r="MJP75" s="174"/>
      <c r="MJQ75" s="175"/>
      <c r="MJR75" s="176"/>
      <c r="MJS75" s="176"/>
      <c r="MJT75" s="175"/>
      <c r="MJU75" s="177"/>
      <c r="MJV75" s="175"/>
      <c r="MJW75" s="177"/>
      <c r="MJX75" s="178"/>
      <c r="MJY75" s="179"/>
      <c r="MJZ75"/>
      <c r="MKA75" s="180"/>
      <c r="MKB75"/>
      <c r="MKC75" s="172"/>
      <c r="MKD75" s="181"/>
      <c r="MKE75"/>
      <c r="MKF75" s="174"/>
      <c r="MKG75" s="175"/>
      <c r="MKH75" s="176"/>
      <c r="MKI75" s="176"/>
      <c r="MKJ75" s="175"/>
      <c r="MKK75" s="177"/>
      <c r="MKL75" s="175"/>
      <c r="MKM75" s="177"/>
      <c r="MKN75" s="178"/>
      <c r="MKO75" s="179"/>
      <c r="MKP75"/>
      <c r="MKQ75" s="180"/>
      <c r="MKR75"/>
      <c r="MKS75" s="172"/>
      <c r="MKT75" s="181"/>
      <c r="MKU75"/>
      <c r="MKV75" s="174"/>
      <c r="MKW75" s="175"/>
      <c r="MKX75" s="176"/>
      <c r="MKY75" s="176"/>
      <c r="MKZ75" s="175"/>
      <c r="MLA75" s="177"/>
      <c r="MLB75" s="175"/>
      <c r="MLC75" s="177"/>
      <c r="MLD75" s="178"/>
      <c r="MLE75" s="179"/>
      <c r="MLF75"/>
      <c r="MLG75" s="180"/>
      <c r="MLH75"/>
      <c r="MLI75" s="172"/>
      <c r="MLJ75" s="181"/>
      <c r="MLK75"/>
      <c r="MLL75" s="174"/>
      <c r="MLM75" s="175"/>
      <c r="MLN75" s="176"/>
      <c r="MLO75" s="176"/>
      <c r="MLP75" s="175"/>
      <c r="MLQ75" s="177"/>
      <c r="MLR75" s="175"/>
      <c r="MLS75" s="177"/>
      <c r="MLT75" s="178"/>
      <c r="MLU75" s="179"/>
      <c r="MLV75"/>
      <c r="MLW75" s="180"/>
      <c r="MLX75"/>
      <c r="MLY75" s="172"/>
      <c r="MLZ75" s="181"/>
      <c r="MMA75"/>
      <c r="MMB75" s="174"/>
      <c r="MMC75" s="175"/>
      <c r="MMD75" s="176"/>
      <c r="MME75" s="176"/>
      <c r="MMF75" s="175"/>
      <c r="MMG75" s="177"/>
      <c r="MMH75" s="175"/>
      <c r="MMI75" s="177"/>
      <c r="MMJ75" s="178"/>
      <c r="MMK75" s="179"/>
      <c r="MML75"/>
      <c r="MMM75" s="180"/>
      <c r="MMN75"/>
      <c r="MMO75" s="172"/>
      <c r="MMP75" s="181"/>
      <c r="MMQ75"/>
      <c r="MMR75" s="174"/>
      <c r="MMS75" s="175"/>
      <c r="MMT75" s="176"/>
      <c r="MMU75" s="176"/>
      <c r="MMV75" s="175"/>
      <c r="MMW75" s="177"/>
      <c r="MMX75" s="175"/>
      <c r="MMY75" s="177"/>
      <c r="MMZ75" s="178"/>
      <c r="MNA75" s="179"/>
      <c r="MNB75"/>
      <c r="MNC75" s="180"/>
      <c r="MND75"/>
      <c r="MNE75" s="172"/>
      <c r="MNF75" s="181"/>
      <c r="MNG75"/>
      <c r="MNH75" s="174"/>
      <c r="MNI75" s="175"/>
      <c r="MNJ75" s="176"/>
      <c r="MNK75" s="176"/>
      <c r="MNL75" s="175"/>
      <c r="MNM75" s="177"/>
      <c r="MNN75" s="175"/>
      <c r="MNO75" s="177"/>
      <c r="MNP75" s="178"/>
      <c r="MNQ75" s="179"/>
      <c r="MNR75"/>
      <c r="MNS75" s="180"/>
      <c r="MNT75"/>
      <c r="MNU75" s="172"/>
      <c r="MNV75" s="181"/>
      <c r="MNW75"/>
      <c r="MNX75" s="174"/>
      <c r="MNY75" s="175"/>
      <c r="MNZ75" s="176"/>
      <c r="MOA75" s="176"/>
      <c r="MOB75" s="175"/>
      <c r="MOC75" s="177"/>
      <c r="MOD75" s="175"/>
      <c r="MOE75" s="177"/>
      <c r="MOF75" s="178"/>
      <c r="MOG75" s="179"/>
      <c r="MOH75"/>
      <c r="MOI75" s="180"/>
      <c r="MOJ75"/>
      <c r="MOK75" s="172"/>
      <c r="MOL75" s="181"/>
      <c r="MOM75"/>
      <c r="MON75" s="174"/>
      <c r="MOO75" s="175"/>
      <c r="MOP75" s="176"/>
      <c r="MOQ75" s="176"/>
      <c r="MOR75" s="175"/>
      <c r="MOS75" s="177"/>
      <c r="MOT75" s="175"/>
      <c r="MOU75" s="177"/>
      <c r="MOV75" s="178"/>
      <c r="MOW75" s="179"/>
      <c r="MOX75"/>
      <c r="MOY75" s="180"/>
      <c r="MOZ75"/>
      <c r="MPA75" s="172"/>
      <c r="MPB75" s="181"/>
      <c r="MPC75"/>
      <c r="MPD75" s="174"/>
      <c r="MPE75" s="175"/>
      <c r="MPF75" s="176"/>
      <c r="MPG75" s="176"/>
      <c r="MPH75" s="175"/>
      <c r="MPI75" s="177"/>
      <c r="MPJ75" s="175"/>
      <c r="MPK75" s="177"/>
      <c r="MPL75" s="178"/>
      <c r="MPM75" s="179"/>
      <c r="MPN75"/>
      <c r="MPO75" s="180"/>
      <c r="MPP75"/>
      <c r="MPQ75" s="172"/>
      <c r="MPR75" s="181"/>
      <c r="MPS75"/>
      <c r="MPT75" s="174"/>
      <c r="MPU75" s="175"/>
      <c r="MPV75" s="176"/>
      <c r="MPW75" s="176"/>
      <c r="MPX75" s="175"/>
      <c r="MPY75" s="177"/>
      <c r="MPZ75" s="175"/>
      <c r="MQA75" s="177"/>
      <c r="MQB75" s="178"/>
      <c r="MQC75" s="179"/>
      <c r="MQD75"/>
      <c r="MQE75" s="180"/>
      <c r="MQF75"/>
      <c r="MQG75" s="172"/>
      <c r="MQH75" s="181"/>
      <c r="MQI75"/>
      <c r="MQJ75" s="174"/>
      <c r="MQK75" s="175"/>
      <c r="MQL75" s="176"/>
      <c r="MQM75" s="176"/>
      <c r="MQN75" s="175"/>
      <c r="MQO75" s="177"/>
      <c r="MQP75" s="175"/>
      <c r="MQQ75" s="177"/>
      <c r="MQR75" s="178"/>
      <c r="MQS75" s="179"/>
      <c r="MQT75"/>
      <c r="MQU75" s="180"/>
      <c r="MQV75"/>
      <c r="MQW75" s="172"/>
      <c r="MQX75" s="181"/>
      <c r="MQY75"/>
      <c r="MQZ75" s="174"/>
      <c r="MRA75" s="175"/>
      <c r="MRB75" s="176"/>
      <c r="MRC75" s="176"/>
      <c r="MRD75" s="175"/>
      <c r="MRE75" s="177"/>
      <c r="MRF75" s="175"/>
      <c r="MRG75" s="177"/>
      <c r="MRH75" s="178"/>
      <c r="MRI75" s="179"/>
      <c r="MRJ75"/>
      <c r="MRK75" s="180"/>
      <c r="MRL75"/>
      <c r="MRM75" s="172"/>
      <c r="MRN75" s="181"/>
      <c r="MRO75"/>
      <c r="MRP75" s="174"/>
      <c r="MRQ75" s="175"/>
      <c r="MRR75" s="176"/>
      <c r="MRS75" s="176"/>
      <c r="MRT75" s="175"/>
      <c r="MRU75" s="177"/>
      <c r="MRV75" s="175"/>
      <c r="MRW75" s="177"/>
      <c r="MRX75" s="178"/>
      <c r="MRY75" s="179"/>
      <c r="MRZ75"/>
      <c r="MSA75" s="180"/>
      <c r="MSB75"/>
      <c r="MSC75" s="172"/>
      <c r="MSD75" s="181"/>
      <c r="MSE75"/>
      <c r="MSF75" s="174"/>
      <c r="MSG75" s="175"/>
      <c r="MSH75" s="176"/>
      <c r="MSI75" s="176"/>
      <c r="MSJ75" s="175"/>
      <c r="MSK75" s="177"/>
      <c r="MSL75" s="175"/>
      <c r="MSM75" s="177"/>
      <c r="MSN75" s="178"/>
      <c r="MSO75" s="179"/>
      <c r="MSP75"/>
      <c r="MSQ75" s="180"/>
      <c r="MSR75"/>
      <c r="MSS75" s="172"/>
      <c r="MST75" s="181"/>
      <c r="MSU75"/>
      <c r="MSV75" s="174"/>
      <c r="MSW75" s="175"/>
      <c r="MSX75" s="176"/>
      <c r="MSY75" s="176"/>
      <c r="MSZ75" s="175"/>
      <c r="MTA75" s="177"/>
      <c r="MTB75" s="175"/>
      <c r="MTC75" s="177"/>
      <c r="MTD75" s="178"/>
      <c r="MTE75" s="179"/>
      <c r="MTF75"/>
      <c r="MTG75" s="180"/>
      <c r="MTH75"/>
      <c r="MTI75" s="172"/>
      <c r="MTJ75" s="181"/>
      <c r="MTK75"/>
      <c r="MTL75" s="174"/>
      <c r="MTM75" s="175"/>
      <c r="MTN75" s="176"/>
      <c r="MTO75" s="176"/>
      <c r="MTP75" s="175"/>
      <c r="MTQ75" s="177"/>
      <c r="MTR75" s="175"/>
      <c r="MTS75" s="177"/>
      <c r="MTT75" s="178"/>
      <c r="MTU75" s="179"/>
      <c r="MTV75"/>
      <c r="MTW75" s="180"/>
      <c r="MTX75"/>
      <c r="MTY75" s="172"/>
      <c r="MTZ75" s="181"/>
      <c r="MUA75"/>
      <c r="MUB75" s="174"/>
      <c r="MUC75" s="175"/>
      <c r="MUD75" s="176"/>
      <c r="MUE75" s="176"/>
      <c r="MUF75" s="175"/>
      <c r="MUG75" s="177"/>
      <c r="MUH75" s="175"/>
      <c r="MUI75" s="177"/>
      <c r="MUJ75" s="178"/>
      <c r="MUK75" s="179"/>
      <c r="MUL75"/>
      <c r="MUM75" s="180"/>
      <c r="MUN75"/>
      <c r="MUO75" s="172"/>
      <c r="MUP75" s="181"/>
      <c r="MUQ75"/>
      <c r="MUR75" s="174"/>
      <c r="MUS75" s="175"/>
      <c r="MUT75" s="176"/>
      <c r="MUU75" s="176"/>
      <c r="MUV75" s="175"/>
      <c r="MUW75" s="177"/>
      <c r="MUX75" s="175"/>
      <c r="MUY75" s="177"/>
      <c r="MUZ75" s="178"/>
      <c r="MVA75" s="179"/>
      <c r="MVB75"/>
      <c r="MVC75" s="180"/>
      <c r="MVD75"/>
      <c r="MVE75" s="172"/>
      <c r="MVF75" s="181"/>
      <c r="MVG75"/>
      <c r="MVH75" s="174"/>
      <c r="MVI75" s="175"/>
      <c r="MVJ75" s="176"/>
      <c r="MVK75" s="176"/>
      <c r="MVL75" s="175"/>
      <c r="MVM75" s="177"/>
      <c r="MVN75" s="175"/>
      <c r="MVO75" s="177"/>
      <c r="MVP75" s="178"/>
      <c r="MVQ75" s="179"/>
      <c r="MVR75"/>
      <c r="MVS75" s="180"/>
      <c r="MVT75"/>
      <c r="MVU75" s="172"/>
      <c r="MVV75" s="181"/>
      <c r="MVW75"/>
      <c r="MVX75" s="174"/>
      <c r="MVY75" s="175"/>
      <c r="MVZ75" s="176"/>
      <c r="MWA75" s="176"/>
      <c r="MWB75" s="175"/>
      <c r="MWC75" s="177"/>
      <c r="MWD75" s="175"/>
      <c r="MWE75" s="177"/>
      <c r="MWF75" s="178"/>
      <c r="MWG75" s="179"/>
      <c r="MWH75"/>
      <c r="MWI75" s="180"/>
      <c r="MWJ75"/>
      <c r="MWK75" s="172"/>
      <c r="MWL75" s="181"/>
      <c r="MWM75"/>
      <c r="MWN75" s="174"/>
      <c r="MWO75" s="175"/>
      <c r="MWP75" s="176"/>
      <c r="MWQ75" s="176"/>
      <c r="MWR75" s="175"/>
      <c r="MWS75" s="177"/>
      <c r="MWT75" s="175"/>
      <c r="MWU75" s="177"/>
      <c r="MWV75" s="178"/>
      <c r="MWW75" s="179"/>
      <c r="MWX75"/>
      <c r="MWY75" s="180"/>
      <c r="MWZ75"/>
      <c r="MXA75" s="172"/>
      <c r="MXB75" s="181"/>
      <c r="MXC75"/>
      <c r="MXD75" s="174"/>
      <c r="MXE75" s="175"/>
      <c r="MXF75" s="176"/>
      <c r="MXG75" s="176"/>
      <c r="MXH75" s="175"/>
      <c r="MXI75" s="177"/>
      <c r="MXJ75" s="175"/>
      <c r="MXK75" s="177"/>
      <c r="MXL75" s="178"/>
      <c r="MXM75" s="179"/>
      <c r="MXN75"/>
      <c r="MXO75" s="180"/>
      <c r="MXP75"/>
      <c r="MXQ75" s="172"/>
      <c r="MXR75" s="181"/>
      <c r="MXS75"/>
      <c r="MXT75" s="174"/>
      <c r="MXU75" s="175"/>
      <c r="MXV75" s="176"/>
      <c r="MXW75" s="176"/>
      <c r="MXX75" s="175"/>
      <c r="MXY75" s="177"/>
      <c r="MXZ75" s="175"/>
      <c r="MYA75" s="177"/>
      <c r="MYB75" s="178"/>
      <c r="MYC75" s="179"/>
      <c r="MYD75"/>
      <c r="MYE75" s="180"/>
      <c r="MYF75"/>
      <c r="MYG75" s="172"/>
      <c r="MYH75" s="181"/>
      <c r="MYI75"/>
      <c r="MYJ75" s="174"/>
      <c r="MYK75" s="175"/>
      <c r="MYL75" s="176"/>
      <c r="MYM75" s="176"/>
      <c r="MYN75" s="175"/>
      <c r="MYO75" s="177"/>
      <c r="MYP75" s="175"/>
      <c r="MYQ75" s="177"/>
      <c r="MYR75" s="178"/>
      <c r="MYS75" s="179"/>
      <c r="MYT75"/>
      <c r="MYU75" s="180"/>
      <c r="MYV75"/>
      <c r="MYW75" s="172"/>
      <c r="MYX75" s="181"/>
      <c r="MYY75"/>
      <c r="MYZ75" s="174"/>
      <c r="MZA75" s="175"/>
      <c r="MZB75" s="176"/>
      <c r="MZC75" s="176"/>
      <c r="MZD75" s="175"/>
      <c r="MZE75" s="177"/>
      <c r="MZF75" s="175"/>
      <c r="MZG75" s="177"/>
      <c r="MZH75" s="178"/>
      <c r="MZI75" s="179"/>
      <c r="MZJ75"/>
      <c r="MZK75" s="180"/>
      <c r="MZL75"/>
      <c r="MZM75" s="172"/>
      <c r="MZN75" s="181"/>
      <c r="MZO75"/>
      <c r="MZP75" s="174"/>
      <c r="MZQ75" s="175"/>
      <c r="MZR75" s="176"/>
      <c r="MZS75" s="176"/>
      <c r="MZT75" s="175"/>
      <c r="MZU75" s="177"/>
      <c r="MZV75" s="175"/>
      <c r="MZW75" s="177"/>
      <c r="MZX75" s="178"/>
      <c r="MZY75" s="179"/>
      <c r="MZZ75"/>
      <c r="NAA75" s="180"/>
      <c r="NAB75"/>
      <c r="NAC75" s="172"/>
      <c r="NAD75" s="181"/>
      <c r="NAE75"/>
      <c r="NAF75" s="174"/>
      <c r="NAG75" s="175"/>
      <c r="NAH75" s="176"/>
      <c r="NAI75" s="176"/>
      <c r="NAJ75" s="175"/>
      <c r="NAK75" s="177"/>
      <c r="NAL75" s="175"/>
      <c r="NAM75" s="177"/>
      <c r="NAN75" s="178"/>
      <c r="NAO75" s="179"/>
      <c r="NAP75"/>
      <c r="NAQ75" s="180"/>
      <c r="NAR75"/>
      <c r="NAS75" s="172"/>
      <c r="NAT75" s="181"/>
      <c r="NAU75"/>
      <c r="NAV75" s="174"/>
      <c r="NAW75" s="175"/>
      <c r="NAX75" s="176"/>
      <c r="NAY75" s="176"/>
      <c r="NAZ75" s="175"/>
      <c r="NBA75" s="177"/>
      <c r="NBB75" s="175"/>
      <c r="NBC75" s="177"/>
      <c r="NBD75" s="178"/>
      <c r="NBE75" s="179"/>
      <c r="NBF75"/>
      <c r="NBG75" s="180"/>
      <c r="NBH75"/>
      <c r="NBI75" s="172"/>
      <c r="NBJ75" s="181"/>
      <c r="NBK75"/>
      <c r="NBL75" s="174"/>
      <c r="NBM75" s="175"/>
      <c r="NBN75" s="176"/>
      <c r="NBO75" s="176"/>
      <c r="NBP75" s="175"/>
      <c r="NBQ75" s="177"/>
      <c r="NBR75" s="175"/>
      <c r="NBS75" s="177"/>
      <c r="NBT75" s="178"/>
      <c r="NBU75" s="179"/>
      <c r="NBV75"/>
      <c r="NBW75" s="180"/>
      <c r="NBX75"/>
      <c r="NBY75" s="172"/>
      <c r="NBZ75" s="181"/>
      <c r="NCA75"/>
      <c r="NCB75" s="174"/>
      <c r="NCC75" s="175"/>
      <c r="NCD75" s="176"/>
      <c r="NCE75" s="176"/>
      <c r="NCF75" s="175"/>
      <c r="NCG75" s="177"/>
      <c r="NCH75" s="175"/>
      <c r="NCI75" s="177"/>
      <c r="NCJ75" s="178"/>
      <c r="NCK75" s="179"/>
      <c r="NCL75"/>
      <c r="NCM75" s="180"/>
      <c r="NCN75"/>
      <c r="NCO75" s="172"/>
      <c r="NCP75" s="181"/>
      <c r="NCQ75"/>
      <c r="NCR75" s="174"/>
      <c r="NCS75" s="175"/>
      <c r="NCT75" s="176"/>
      <c r="NCU75" s="176"/>
      <c r="NCV75" s="175"/>
      <c r="NCW75" s="177"/>
      <c r="NCX75" s="175"/>
      <c r="NCY75" s="177"/>
      <c r="NCZ75" s="178"/>
      <c r="NDA75" s="179"/>
      <c r="NDB75"/>
      <c r="NDC75" s="180"/>
      <c r="NDD75"/>
      <c r="NDE75" s="172"/>
      <c r="NDF75" s="181"/>
      <c r="NDG75"/>
      <c r="NDH75" s="174"/>
      <c r="NDI75" s="175"/>
      <c r="NDJ75" s="176"/>
      <c r="NDK75" s="176"/>
      <c r="NDL75" s="175"/>
      <c r="NDM75" s="177"/>
      <c r="NDN75" s="175"/>
      <c r="NDO75" s="177"/>
      <c r="NDP75" s="178"/>
      <c r="NDQ75" s="179"/>
      <c r="NDR75"/>
      <c r="NDS75" s="180"/>
      <c r="NDT75"/>
      <c r="NDU75" s="172"/>
      <c r="NDV75" s="181"/>
      <c r="NDW75"/>
      <c r="NDX75" s="174"/>
      <c r="NDY75" s="175"/>
      <c r="NDZ75" s="176"/>
      <c r="NEA75" s="176"/>
      <c r="NEB75" s="175"/>
      <c r="NEC75" s="177"/>
      <c r="NED75" s="175"/>
      <c r="NEE75" s="177"/>
      <c r="NEF75" s="178"/>
      <c r="NEG75" s="179"/>
      <c r="NEH75"/>
      <c r="NEI75" s="180"/>
      <c r="NEJ75"/>
      <c r="NEK75" s="172"/>
      <c r="NEL75" s="181"/>
      <c r="NEM75"/>
      <c r="NEN75" s="174"/>
      <c r="NEO75" s="175"/>
      <c r="NEP75" s="176"/>
      <c r="NEQ75" s="176"/>
      <c r="NER75" s="175"/>
      <c r="NES75" s="177"/>
      <c r="NET75" s="175"/>
      <c r="NEU75" s="177"/>
      <c r="NEV75" s="178"/>
      <c r="NEW75" s="179"/>
      <c r="NEX75"/>
      <c r="NEY75" s="180"/>
      <c r="NEZ75"/>
      <c r="NFA75" s="172"/>
      <c r="NFB75" s="181"/>
      <c r="NFC75"/>
      <c r="NFD75" s="174"/>
      <c r="NFE75" s="175"/>
      <c r="NFF75" s="176"/>
      <c r="NFG75" s="176"/>
      <c r="NFH75" s="175"/>
      <c r="NFI75" s="177"/>
      <c r="NFJ75" s="175"/>
      <c r="NFK75" s="177"/>
      <c r="NFL75" s="178"/>
      <c r="NFM75" s="179"/>
      <c r="NFN75"/>
      <c r="NFO75" s="180"/>
      <c r="NFP75"/>
      <c r="NFQ75" s="172"/>
      <c r="NFR75" s="181"/>
      <c r="NFS75"/>
      <c r="NFT75" s="174"/>
      <c r="NFU75" s="175"/>
      <c r="NFV75" s="176"/>
      <c r="NFW75" s="176"/>
      <c r="NFX75" s="175"/>
      <c r="NFY75" s="177"/>
      <c r="NFZ75" s="175"/>
      <c r="NGA75" s="177"/>
      <c r="NGB75" s="178"/>
      <c r="NGC75" s="179"/>
      <c r="NGD75"/>
      <c r="NGE75" s="180"/>
      <c r="NGF75"/>
      <c r="NGG75" s="172"/>
      <c r="NGH75" s="181"/>
      <c r="NGI75"/>
      <c r="NGJ75" s="174"/>
      <c r="NGK75" s="175"/>
      <c r="NGL75" s="176"/>
      <c r="NGM75" s="176"/>
      <c r="NGN75" s="175"/>
      <c r="NGO75" s="177"/>
      <c r="NGP75" s="175"/>
      <c r="NGQ75" s="177"/>
      <c r="NGR75" s="178"/>
      <c r="NGS75" s="179"/>
      <c r="NGT75"/>
      <c r="NGU75" s="180"/>
      <c r="NGV75"/>
      <c r="NGW75" s="172"/>
      <c r="NGX75" s="181"/>
      <c r="NGY75"/>
      <c r="NGZ75" s="174"/>
      <c r="NHA75" s="175"/>
      <c r="NHB75" s="176"/>
      <c r="NHC75" s="176"/>
      <c r="NHD75" s="175"/>
      <c r="NHE75" s="177"/>
      <c r="NHF75" s="175"/>
      <c r="NHG75" s="177"/>
      <c r="NHH75" s="178"/>
      <c r="NHI75" s="179"/>
      <c r="NHJ75"/>
      <c r="NHK75" s="180"/>
      <c r="NHL75"/>
      <c r="NHM75" s="172"/>
      <c r="NHN75" s="181"/>
      <c r="NHO75"/>
      <c r="NHP75" s="174"/>
      <c r="NHQ75" s="175"/>
      <c r="NHR75" s="176"/>
      <c r="NHS75" s="176"/>
      <c r="NHT75" s="175"/>
      <c r="NHU75" s="177"/>
      <c r="NHV75" s="175"/>
      <c r="NHW75" s="177"/>
      <c r="NHX75" s="178"/>
      <c r="NHY75" s="179"/>
      <c r="NHZ75"/>
      <c r="NIA75" s="180"/>
      <c r="NIB75"/>
      <c r="NIC75" s="172"/>
      <c r="NID75" s="181"/>
      <c r="NIE75"/>
      <c r="NIF75" s="174"/>
      <c r="NIG75" s="175"/>
      <c r="NIH75" s="176"/>
      <c r="NII75" s="176"/>
      <c r="NIJ75" s="175"/>
      <c r="NIK75" s="177"/>
      <c r="NIL75" s="175"/>
      <c r="NIM75" s="177"/>
      <c r="NIN75" s="178"/>
      <c r="NIO75" s="179"/>
      <c r="NIP75"/>
      <c r="NIQ75" s="180"/>
      <c r="NIR75"/>
      <c r="NIS75" s="172"/>
      <c r="NIT75" s="181"/>
      <c r="NIU75"/>
      <c r="NIV75" s="174"/>
      <c r="NIW75" s="175"/>
      <c r="NIX75" s="176"/>
      <c r="NIY75" s="176"/>
      <c r="NIZ75" s="175"/>
      <c r="NJA75" s="177"/>
      <c r="NJB75" s="175"/>
      <c r="NJC75" s="177"/>
      <c r="NJD75" s="178"/>
      <c r="NJE75" s="179"/>
      <c r="NJF75"/>
      <c r="NJG75" s="180"/>
      <c r="NJH75"/>
      <c r="NJI75" s="172"/>
      <c r="NJJ75" s="181"/>
      <c r="NJK75"/>
      <c r="NJL75" s="174"/>
      <c r="NJM75" s="175"/>
      <c r="NJN75" s="176"/>
      <c r="NJO75" s="176"/>
      <c r="NJP75" s="175"/>
      <c r="NJQ75" s="177"/>
      <c r="NJR75" s="175"/>
      <c r="NJS75" s="177"/>
      <c r="NJT75" s="178"/>
      <c r="NJU75" s="179"/>
      <c r="NJV75"/>
      <c r="NJW75" s="180"/>
      <c r="NJX75"/>
      <c r="NJY75" s="172"/>
      <c r="NJZ75" s="181"/>
      <c r="NKA75"/>
      <c r="NKB75" s="174"/>
      <c r="NKC75" s="175"/>
      <c r="NKD75" s="176"/>
      <c r="NKE75" s="176"/>
      <c r="NKF75" s="175"/>
      <c r="NKG75" s="177"/>
      <c r="NKH75" s="175"/>
      <c r="NKI75" s="177"/>
      <c r="NKJ75" s="178"/>
      <c r="NKK75" s="179"/>
      <c r="NKL75"/>
      <c r="NKM75" s="180"/>
      <c r="NKN75"/>
      <c r="NKO75" s="172"/>
      <c r="NKP75" s="181"/>
      <c r="NKQ75"/>
      <c r="NKR75" s="174"/>
      <c r="NKS75" s="175"/>
      <c r="NKT75" s="176"/>
      <c r="NKU75" s="176"/>
      <c r="NKV75" s="175"/>
      <c r="NKW75" s="177"/>
      <c r="NKX75" s="175"/>
      <c r="NKY75" s="177"/>
      <c r="NKZ75" s="178"/>
      <c r="NLA75" s="179"/>
      <c r="NLB75"/>
      <c r="NLC75" s="180"/>
      <c r="NLD75"/>
      <c r="NLE75" s="172"/>
      <c r="NLF75" s="181"/>
      <c r="NLG75"/>
      <c r="NLH75" s="174"/>
      <c r="NLI75" s="175"/>
      <c r="NLJ75" s="176"/>
      <c r="NLK75" s="176"/>
      <c r="NLL75" s="175"/>
      <c r="NLM75" s="177"/>
      <c r="NLN75" s="175"/>
      <c r="NLO75" s="177"/>
      <c r="NLP75" s="178"/>
      <c r="NLQ75" s="179"/>
      <c r="NLR75"/>
      <c r="NLS75" s="180"/>
      <c r="NLT75"/>
      <c r="NLU75" s="172"/>
      <c r="NLV75" s="181"/>
      <c r="NLW75"/>
      <c r="NLX75" s="174"/>
      <c r="NLY75" s="175"/>
      <c r="NLZ75" s="176"/>
      <c r="NMA75" s="176"/>
      <c r="NMB75" s="175"/>
      <c r="NMC75" s="177"/>
      <c r="NMD75" s="175"/>
      <c r="NME75" s="177"/>
      <c r="NMF75" s="178"/>
      <c r="NMG75" s="179"/>
      <c r="NMH75"/>
      <c r="NMI75" s="180"/>
      <c r="NMJ75"/>
      <c r="NMK75" s="172"/>
      <c r="NML75" s="181"/>
      <c r="NMM75"/>
      <c r="NMN75" s="174"/>
      <c r="NMO75" s="175"/>
      <c r="NMP75" s="176"/>
      <c r="NMQ75" s="176"/>
      <c r="NMR75" s="175"/>
      <c r="NMS75" s="177"/>
      <c r="NMT75" s="175"/>
      <c r="NMU75" s="177"/>
      <c r="NMV75" s="178"/>
      <c r="NMW75" s="179"/>
      <c r="NMX75"/>
      <c r="NMY75" s="180"/>
      <c r="NMZ75"/>
      <c r="NNA75" s="172"/>
      <c r="NNB75" s="181"/>
      <c r="NNC75"/>
      <c r="NND75" s="174"/>
      <c r="NNE75" s="175"/>
      <c r="NNF75" s="176"/>
      <c r="NNG75" s="176"/>
      <c r="NNH75" s="175"/>
      <c r="NNI75" s="177"/>
      <c r="NNJ75" s="175"/>
      <c r="NNK75" s="177"/>
      <c r="NNL75" s="178"/>
      <c r="NNM75" s="179"/>
      <c r="NNN75"/>
      <c r="NNO75" s="180"/>
      <c r="NNP75"/>
      <c r="NNQ75" s="172"/>
      <c r="NNR75" s="181"/>
      <c r="NNS75"/>
      <c r="NNT75" s="174"/>
      <c r="NNU75" s="175"/>
      <c r="NNV75" s="176"/>
      <c r="NNW75" s="176"/>
      <c r="NNX75" s="175"/>
      <c r="NNY75" s="177"/>
      <c r="NNZ75" s="175"/>
      <c r="NOA75" s="177"/>
      <c r="NOB75" s="178"/>
      <c r="NOC75" s="179"/>
      <c r="NOD75"/>
      <c r="NOE75" s="180"/>
      <c r="NOF75"/>
      <c r="NOG75" s="172"/>
      <c r="NOH75" s="181"/>
      <c r="NOI75"/>
      <c r="NOJ75" s="174"/>
      <c r="NOK75" s="175"/>
      <c r="NOL75" s="176"/>
      <c r="NOM75" s="176"/>
      <c r="NON75" s="175"/>
      <c r="NOO75" s="177"/>
      <c r="NOP75" s="175"/>
      <c r="NOQ75" s="177"/>
      <c r="NOR75" s="178"/>
      <c r="NOS75" s="179"/>
      <c r="NOT75"/>
      <c r="NOU75" s="180"/>
      <c r="NOV75"/>
      <c r="NOW75" s="172"/>
      <c r="NOX75" s="181"/>
      <c r="NOY75"/>
      <c r="NOZ75" s="174"/>
      <c r="NPA75" s="175"/>
      <c r="NPB75" s="176"/>
      <c r="NPC75" s="176"/>
      <c r="NPD75" s="175"/>
      <c r="NPE75" s="177"/>
      <c r="NPF75" s="175"/>
      <c r="NPG75" s="177"/>
      <c r="NPH75" s="178"/>
      <c r="NPI75" s="179"/>
      <c r="NPJ75"/>
      <c r="NPK75" s="180"/>
      <c r="NPL75"/>
      <c r="NPM75" s="172"/>
      <c r="NPN75" s="181"/>
      <c r="NPO75"/>
      <c r="NPP75" s="174"/>
      <c r="NPQ75" s="175"/>
      <c r="NPR75" s="176"/>
      <c r="NPS75" s="176"/>
      <c r="NPT75" s="175"/>
      <c r="NPU75" s="177"/>
      <c r="NPV75" s="175"/>
      <c r="NPW75" s="177"/>
      <c r="NPX75" s="178"/>
      <c r="NPY75" s="179"/>
      <c r="NPZ75"/>
      <c r="NQA75" s="180"/>
      <c r="NQB75"/>
      <c r="NQC75" s="172"/>
      <c r="NQD75" s="181"/>
      <c r="NQE75"/>
      <c r="NQF75" s="174"/>
      <c r="NQG75" s="175"/>
      <c r="NQH75" s="176"/>
      <c r="NQI75" s="176"/>
      <c r="NQJ75" s="175"/>
      <c r="NQK75" s="177"/>
      <c r="NQL75" s="175"/>
      <c r="NQM75" s="177"/>
      <c r="NQN75" s="178"/>
      <c r="NQO75" s="179"/>
      <c r="NQP75"/>
      <c r="NQQ75" s="180"/>
      <c r="NQR75"/>
      <c r="NQS75" s="172"/>
      <c r="NQT75" s="181"/>
      <c r="NQU75"/>
      <c r="NQV75" s="174"/>
      <c r="NQW75" s="175"/>
      <c r="NQX75" s="176"/>
      <c r="NQY75" s="176"/>
      <c r="NQZ75" s="175"/>
      <c r="NRA75" s="177"/>
      <c r="NRB75" s="175"/>
      <c r="NRC75" s="177"/>
      <c r="NRD75" s="178"/>
      <c r="NRE75" s="179"/>
      <c r="NRF75"/>
      <c r="NRG75" s="180"/>
      <c r="NRH75"/>
      <c r="NRI75" s="172"/>
      <c r="NRJ75" s="181"/>
      <c r="NRK75"/>
      <c r="NRL75" s="174"/>
      <c r="NRM75" s="175"/>
      <c r="NRN75" s="176"/>
      <c r="NRO75" s="176"/>
      <c r="NRP75" s="175"/>
      <c r="NRQ75" s="177"/>
      <c r="NRR75" s="175"/>
      <c r="NRS75" s="177"/>
      <c r="NRT75" s="178"/>
      <c r="NRU75" s="179"/>
      <c r="NRV75"/>
      <c r="NRW75" s="180"/>
      <c r="NRX75"/>
      <c r="NRY75" s="172"/>
      <c r="NRZ75" s="181"/>
      <c r="NSA75"/>
      <c r="NSB75" s="174"/>
      <c r="NSC75" s="175"/>
      <c r="NSD75" s="176"/>
      <c r="NSE75" s="176"/>
      <c r="NSF75" s="175"/>
      <c r="NSG75" s="177"/>
      <c r="NSH75" s="175"/>
      <c r="NSI75" s="177"/>
      <c r="NSJ75" s="178"/>
      <c r="NSK75" s="179"/>
      <c r="NSL75"/>
      <c r="NSM75" s="180"/>
      <c r="NSN75"/>
      <c r="NSO75" s="172"/>
      <c r="NSP75" s="181"/>
      <c r="NSQ75"/>
      <c r="NSR75" s="174"/>
      <c r="NSS75" s="175"/>
      <c r="NST75" s="176"/>
      <c r="NSU75" s="176"/>
      <c r="NSV75" s="175"/>
      <c r="NSW75" s="177"/>
      <c r="NSX75" s="175"/>
      <c r="NSY75" s="177"/>
      <c r="NSZ75" s="178"/>
      <c r="NTA75" s="179"/>
      <c r="NTB75"/>
      <c r="NTC75" s="180"/>
      <c r="NTD75"/>
      <c r="NTE75" s="172"/>
      <c r="NTF75" s="181"/>
      <c r="NTG75"/>
      <c r="NTH75" s="174"/>
      <c r="NTI75" s="175"/>
      <c r="NTJ75" s="176"/>
      <c r="NTK75" s="176"/>
      <c r="NTL75" s="175"/>
      <c r="NTM75" s="177"/>
      <c r="NTN75" s="175"/>
      <c r="NTO75" s="177"/>
      <c r="NTP75" s="178"/>
      <c r="NTQ75" s="179"/>
      <c r="NTR75"/>
      <c r="NTS75" s="180"/>
      <c r="NTT75"/>
      <c r="NTU75" s="172"/>
      <c r="NTV75" s="181"/>
      <c r="NTW75"/>
      <c r="NTX75" s="174"/>
      <c r="NTY75" s="175"/>
      <c r="NTZ75" s="176"/>
      <c r="NUA75" s="176"/>
      <c r="NUB75" s="175"/>
      <c r="NUC75" s="177"/>
      <c r="NUD75" s="175"/>
      <c r="NUE75" s="177"/>
      <c r="NUF75" s="178"/>
      <c r="NUG75" s="179"/>
      <c r="NUH75"/>
      <c r="NUI75" s="180"/>
      <c r="NUJ75"/>
      <c r="NUK75" s="172"/>
      <c r="NUL75" s="181"/>
      <c r="NUM75"/>
      <c r="NUN75" s="174"/>
      <c r="NUO75" s="175"/>
      <c r="NUP75" s="176"/>
      <c r="NUQ75" s="176"/>
      <c r="NUR75" s="175"/>
      <c r="NUS75" s="177"/>
      <c r="NUT75" s="175"/>
      <c r="NUU75" s="177"/>
      <c r="NUV75" s="178"/>
      <c r="NUW75" s="179"/>
      <c r="NUX75"/>
      <c r="NUY75" s="180"/>
      <c r="NUZ75"/>
      <c r="NVA75" s="172"/>
      <c r="NVB75" s="181"/>
      <c r="NVC75"/>
      <c r="NVD75" s="174"/>
      <c r="NVE75" s="175"/>
      <c r="NVF75" s="176"/>
      <c r="NVG75" s="176"/>
      <c r="NVH75" s="175"/>
      <c r="NVI75" s="177"/>
      <c r="NVJ75" s="175"/>
      <c r="NVK75" s="177"/>
      <c r="NVL75" s="178"/>
      <c r="NVM75" s="179"/>
      <c r="NVN75"/>
      <c r="NVO75" s="180"/>
      <c r="NVP75"/>
      <c r="NVQ75" s="172"/>
      <c r="NVR75" s="181"/>
      <c r="NVS75"/>
      <c r="NVT75" s="174"/>
      <c r="NVU75" s="175"/>
      <c r="NVV75" s="176"/>
      <c r="NVW75" s="176"/>
      <c r="NVX75" s="175"/>
      <c r="NVY75" s="177"/>
      <c r="NVZ75" s="175"/>
      <c r="NWA75" s="177"/>
      <c r="NWB75" s="178"/>
      <c r="NWC75" s="179"/>
      <c r="NWD75"/>
      <c r="NWE75" s="180"/>
      <c r="NWF75"/>
      <c r="NWG75" s="172"/>
      <c r="NWH75" s="181"/>
      <c r="NWI75"/>
      <c r="NWJ75" s="174"/>
      <c r="NWK75" s="175"/>
      <c r="NWL75" s="176"/>
      <c r="NWM75" s="176"/>
      <c r="NWN75" s="175"/>
      <c r="NWO75" s="177"/>
      <c r="NWP75" s="175"/>
      <c r="NWQ75" s="177"/>
      <c r="NWR75" s="178"/>
      <c r="NWS75" s="179"/>
      <c r="NWT75"/>
      <c r="NWU75" s="180"/>
      <c r="NWV75"/>
      <c r="NWW75" s="172"/>
      <c r="NWX75" s="181"/>
      <c r="NWY75"/>
      <c r="NWZ75" s="174"/>
      <c r="NXA75" s="175"/>
      <c r="NXB75" s="176"/>
      <c r="NXC75" s="176"/>
      <c r="NXD75" s="175"/>
      <c r="NXE75" s="177"/>
      <c r="NXF75" s="175"/>
      <c r="NXG75" s="177"/>
      <c r="NXH75" s="178"/>
      <c r="NXI75" s="179"/>
      <c r="NXJ75"/>
      <c r="NXK75" s="180"/>
      <c r="NXL75"/>
      <c r="NXM75" s="172"/>
      <c r="NXN75" s="181"/>
      <c r="NXO75"/>
      <c r="NXP75" s="174"/>
      <c r="NXQ75" s="175"/>
      <c r="NXR75" s="176"/>
      <c r="NXS75" s="176"/>
      <c r="NXT75" s="175"/>
      <c r="NXU75" s="177"/>
      <c r="NXV75" s="175"/>
      <c r="NXW75" s="177"/>
      <c r="NXX75" s="178"/>
      <c r="NXY75" s="179"/>
      <c r="NXZ75"/>
      <c r="NYA75" s="180"/>
      <c r="NYB75"/>
      <c r="NYC75" s="172"/>
      <c r="NYD75" s="181"/>
      <c r="NYE75"/>
      <c r="NYF75" s="174"/>
      <c r="NYG75" s="175"/>
      <c r="NYH75" s="176"/>
      <c r="NYI75" s="176"/>
      <c r="NYJ75" s="175"/>
      <c r="NYK75" s="177"/>
      <c r="NYL75" s="175"/>
      <c r="NYM75" s="177"/>
      <c r="NYN75" s="178"/>
      <c r="NYO75" s="179"/>
      <c r="NYP75"/>
      <c r="NYQ75" s="180"/>
      <c r="NYR75"/>
      <c r="NYS75" s="172"/>
      <c r="NYT75" s="181"/>
      <c r="NYU75"/>
      <c r="NYV75" s="174"/>
      <c r="NYW75" s="175"/>
      <c r="NYX75" s="176"/>
      <c r="NYY75" s="176"/>
      <c r="NYZ75" s="175"/>
      <c r="NZA75" s="177"/>
      <c r="NZB75" s="175"/>
      <c r="NZC75" s="177"/>
      <c r="NZD75" s="178"/>
      <c r="NZE75" s="179"/>
      <c r="NZF75"/>
      <c r="NZG75" s="180"/>
      <c r="NZH75"/>
      <c r="NZI75" s="172"/>
      <c r="NZJ75" s="181"/>
      <c r="NZK75"/>
      <c r="NZL75" s="174"/>
      <c r="NZM75" s="175"/>
      <c r="NZN75" s="176"/>
      <c r="NZO75" s="176"/>
      <c r="NZP75" s="175"/>
      <c r="NZQ75" s="177"/>
      <c r="NZR75" s="175"/>
      <c r="NZS75" s="177"/>
      <c r="NZT75" s="178"/>
      <c r="NZU75" s="179"/>
      <c r="NZV75"/>
      <c r="NZW75" s="180"/>
      <c r="NZX75"/>
      <c r="NZY75" s="172"/>
      <c r="NZZ75" s="181"/>
      <c r="OAA75"/>
      <c r="OAB75" s="174"/>
      <c r="OAC75" s="175"/>
      <c r="OAD75" s="176"/>
      <c r="OAE75" s="176"/>
      <c r="OAF75" s="175"/>
      <c r="OAG75" s="177"/>
      <c r="OAH75" s="175"/>
      <c r="OAI75" s="177"/>
      <c r="OAJ75" s="178"/>
      <c r="OAK75" s="179"/>
      <c r="OAL75"/>
      <c r="OAM75" s="180"/>
      <c r="OAN75"/>
      <c r="OAO75" s="172"/>
      <c r="OAP75" s="181"/>
      <c r="OAQ75"/>
      <c r="OAR75" s="174"/>
      <c r="OAS75" s="175"/>
      <c r="OAT75" s="176"/>
      <c r="OAU75" s="176"/>
      <c r="OAV75" s="175"/>
      <c r="OAW75" s="177"/>
      <c r="OAX75" s="175"/>
      <c r="OAY75" s="177"/>
      <c r="OAZ75" s="178"/>
      <c r="OBA75" s="179"/>
      <c r="OBB75"/>
      <c r="OBC75" s="180"/>
      <c r="OBD75"/>
      <c r="OBE75" s="172"/>
      <c r="OBF75" s="181"/>
      <c r="OBG75"/>
      <c r="OBH75" s="174"/>
      <c r="OBI75" s="175"/>
      <c r="OBJ75" s="176"/>
      <c r="OBK75" s="176"/>
      <c r="OBL75" s="175"/>
      <c r="OBM75" s="177"/>
      <c r="OBN75" s="175"/>
      <c r="OBO75" s="177"/>
      <c r="OBP75" s="178"/>
      <c r="OBQ75" s="179"/>
      <c r="OBR75"/>
      <c r="OBS75" s="180"/>
      <c r="OBT75"/>
      <c r="OBU75" s="172"/>
      <c r="OBV75" s="181"/>
      <c r="OBW75"/>
      <c r="OBX75" s="174"/>
      <c r="OBY75" s="175"/>
      <c r="OBZ75" s="176"/>
      <c r="OCA75" s="176"/>
      <c r="OCB75" s="175"/>
      <c r="OCC75" s="177"/>
      <c r="OCD75" s="175"/>
      <c r="OCE75" s="177"/>
      <c r="OCF75" s="178"/>
      <c r="OCG75" s="179"/>
      <c r="OCH75"/>
      <c r="OCI75" s="180"/>
      <c r="OCJ75"/>
      <c r="OCK75" s="172"/>
      <c r="OCL75" s="181"/>
      <c r="OCM75"/>
      <c r="OCN75" s="174"/>
      <c r="OCO75" s="175"/>
      <c r="OCP75" s="176"/>
      <c r="OCQ75" s="176"/>
      <c r="OCR75" s="175"/>
      <c r="OCS75" s="177"/>
      <c r="OCT75" s="175"/>
      <c r="OCU75" s="177"/>
      <c r="OCV75" s="178"/>
      <c r="OCW75" s="179"/>
      <c r="OCX75"/>
      <c r="OCY75" s="180"/>
      <c r="OCZ75"/>
      <c r="ODA75" s="172"/>
      <c r="ODB75" s="181"/>
      <c r="ODC75"/>
      <c r="ODD75" s="174"/>
      <c r="ODE75" s="175"/>
      <c r="ODF75" s="176"/>
      <c r="ODG75" s="176"/>
      <c r="ODH75" s="175"/>
      <c r="ODI75" s="177"/>
      <c r="ODJ75" s="175"/>
      <c r="ODK75" s="177"/>
      <c r="ODL75" s="178"/>
      <c r="ODM75" s="179"/>
      <c r="ODN75"/>
      <c r="ODO75" s="180"/>
      <c r="ODP75"/>
      <c r="ODQ75" s="172"/>
      <c r="ODR75" s="181"/>
      <c r="ODS75"/>
      <c r="ODT75" s="174"/>
      <c r="ODU75" s="175"/>
      <c r="ODV75" s="176"/>
      <c r="ODW75" s="176"/>
      <c r="ODX75" s="175"/>
      <c r="ODY75" s="177"/>
      <c r="ODZ75" s="175"/>
      <c r="OEA75" s="177"/>
      <c r="OEB75" s="178"/>
      <c r="OEC75" s="179"/>
      <c r="OED75"/>
      <c r="OEE75" s="180"/>
      <c r="OEF75"/>
      <c r="OEG75" s="172"/>
      <c r="OEH75" s="181"/>
      <c r="OEI75"/>
      <c r="OEJ75" s="174"/>
      <c r="OEK75" s="175"/>
      <c r="OEL75" s="176"/>
      <c r="OEM75" s="176"/>
      <c r="OEN75" s="175"/>
      <c r="OEO75" s="177"/>
      <c r="OEP75" s="175"/>
      <c r="OEQ75" s="177"/>
      <c r="OER75" s="178"/>
      <c r="OES75" s="179"/>
      <c r="OET75"/>
      <c r="OEU75" s="180"/>
      <c r="OEV75"/>
      <c r="OEW75" s="172"/>
      <c r="OEX75" s="181"/>
      <c r="OEY75"/>
      <c r="OEZ75" s="174"/>
      <c r="OFA75" s="175"/>
      <c r="OFB75" s="176"/>
      <c r="OFC75" s="176"/>
      <c r="OFD75" s="175"/>
      <c r="OFE75" s="177"/>
      <c r="OFF75" s="175"/>
      <c r="OFG75" s="177"/>
      <c r="OFH75" s="178"/>
      <c r="OFI75" s="179"/>
      <c r="OFJ75"/>
      <c r="OFK75" s="180"/>
      <c r="OFL75"/>
      <c r="OFM75" s="172"/>
      <c r="OFN75" s="181"/>
      <c r="OFO75"/>
      <c r="OFP75" s="174"/>
      <c r="OFQ75" s="175"/>
      <c r="OFR75" s="176"/>
      <c r="OFS75" s="176"/>
      <c r="OFT75" s="175"/>
      <c r="OFU75" s="177"/>
      <c r="OFV75" s="175"/>
      <c r="OFW75" s="177"/>
      <c r="OFX75" s="178"/>
      <c r="OFY75" s="179"/>
      <c r="OFZ75"/>
      <c r="OGA75" s="180"/>
      <c r="OGB75"/>
      <c r="OGC75" s="172"/>
      <c r="OGD75" s="181"/>
      <c r="OGE75"/>
      <c r="OGF75" s="174"/>
      <c r="OGG75" s="175"/>
      <c r="OGH75" s="176"/>
      <c r="OGI75" s="176"/>
      <c r="OGJ75" s="175"/>
      <c r="OGK75" s="177"/>
      <c r="OGL75" s="175"/>
      <c r="OGM75" s="177"/>
      <c r="OGN75" s="178"/>
      <c r="OGO75" s="179"/>
      <c r="OGP75"/>
      <c r="OGQ75" s="180"/>
      <c r="OGR75"/>
      <c r="OGS75" s="172"/>
      <c r="OGT75" s="181"/>
      <c r="OGU75"/>
      <c r="OGV75" s="174"/>
      <c r="OGW75" s="175"/>
      <c r="OGX75" s="176"/>
      <c r="OGY75" s="176"/>
      <c r="OGZ75" s="175"/>
      <c r="OHA75" s="177"/>
      <c r="OHB75" s="175"/>
      <c r="OHC75" s="177"/>
      <c r="OHD75" s="178"/>
      <c r="OHE75" s="179"/>
      <c r="OHF75"/>
      <c r="OHG75" s="180"/>
      <c r="OHH75"/>
      <c r="OHI75" s="172"/>
      <c r="OHJ75" s="181"/>
      <c r="OHK75"/>
      <c r="OHL75" s="174"/>
      <c r="OHM75" s="175"/>
      <c r="OHN75" s="176"/>
      <c r="OHO75" s="176"/>
      <c r="OHP75" s="175"/>
      <c r="OHQ75" s="177"/>
      <c r="OHR75" s="175"/>
      <c r="OHS75" s="177"/>
      <c r="OHT75" s="178"/>
      <c r="OHU75" s="179"/>
      <c r="OHV75"/>
      <c r="OHW75" s="180"/>
      <c r="OHX75"/>
      <c r="OHY75" s="172"/>
      <c r="OHZ75" s="181"/>
      <c r="OIA75"/>
      <c r="OIB75" s="174"/>
      <c r="OIC75" s="175"/>
      <c r="OID75" s="176"/>
      <c r="OIE75" s="176"/>
      <c r="OIF75" s="175"/>
      <c r="OIG75" s="177"/>
      <c r="OIH75" s="175"/>
      <c r="OII75" s="177"/>
      <c r="OIJ75" s="178"/>
      <c r="OIK75" s="179"/>
      <c r="OIL75"/>
      <c r="OIM75" s="180"/>
      <c r="OIN75"/>
      <c r="OIO75" s="172"/>
      <c r="OIP75" s="181"/>
      <c r="OIQ75"/>
      <c r="OIR75" s="174"/>
      <c r="OIS75" s="175"/>
      <c r="OIT75" s="176"/>
      <c r="OIU75" s="176"/>
      <c r="OIV75" s="175"/>
      <c r="OIW75" s="177"/>
      <c r="OIX75" s="175"/>
      <c r="OIY75" s="177"/>
      <c r="OIZ75" s="178"/>
      <c r="OJA75" s="179"/>
      <c r="OJB75"/>
      <c r="OJC75" s="180"/>
      <c r="OJD75"/>
      <c r="OJE75" s="172"/>
      <c r="OJF75" s="181"/>
      <c r="OJG75"/>
      <c r="OJH75" s="174"/>
      <c r="OJI75" s="175"/>
      <c r="OJJ75" s="176"/>
      <c r="OJK75" s="176"/>
      <c r="OJL75" s="175"/>
      <c r="OJM75" s="177"/>
      <c r="OJN75" s="175"/>
      <c r="OJO75" s="177"/>
      <c r="OJP75" s="178"/>
      <c r="OJQ75" s="179"/>
      <c r="OJR75"/>
      <c r="OJS75" s="180"/>
      <c r="OJT75"/>
      <c r="OJU75" s="172"/>
      <c r="OJV75" s="181"/>
      <c r="OJW75"/>
      <c r="OJX75" s="174"/>
      <c r="OJY75" s="175"/>
      <c r="OJZ75" s="176"/>
      <c r="OKA75" s="176"/>
      <c r="OKB75" s="175"/>
      <c r="OKC75" s="177"/>
      <c r="OKD75" s="175"/>
      <c r="OKE75" s="177"/>
      <c r="OKF75" s="178"/>
      <c r="OKG75" s="179"/>
      <c r="OKH75"/>
      <c r="OKI75" s="180"/>
      <c r="OKJ75"/>
      <c r="OKK75" s="172"/>
      <c r="OKL75" s="181"/>
      <c r="OKM75"/>
      <c r="OKN75" s="174"/>
      <c r="OKO75" s="175"/>
      <c r="OKP75" s="176"/>
      <c r="OKQ75" s="176"/>
      <c r="OKR75" s="175"/>
      <c r="OKS75" s="177"/>
      <c r="OKT75" s="175"/>
      <c r="OKU75" s="177"/>
      <c r="OKV75" s="178"/>
      <c r="OKW75" s="179"/>
      <c r="OKX75"/>
      <c r="OKY75" s="180"/>
      <c r="OKZ75"/>
      <c r="OLA75" s="172"/>
      <c r="OLB75" s="181"/>
      <c r="OLC75"/>
      <c r="OLD75" s="174"/>
      <c r="OLE75" s="175"/>
      <c r="OLF75" s="176"/>
      <c r="OLG75" s="176"/>
      <c r="OLH75" s="175"/>
      <c r="OLI75" s="177"/>
      <c r="OLJ75" s="175"/>
      <c r="OLK75" s="177"/>
      <c r="OLL75" s="178"/>
      <c r="OLM75" s="179"/>
      <c r="OLN75"/>
      <c r="OLO75" s="180"/>
      <c r="OLP75"/>
      <c r="OLQ75" s="172"/>
      <c r="OLR75" s="181"/>
      <c r="OLS75"/>
      <c r="OLT75" s="174"/>
      <c r="OLU75" s="175"/>
      <c r="OLV75" s="176"/>
      <c r="OLW75" s="176"/>
      <c r="OLX75" s="175"/>
      <c r="OLY75" s="177"/>
      <c r="OLZ75" s="175"/>
      <c r="OMA75" s="177"/>
      <c r="OMB75" s="178"/>
      <c r="OMC75" s="179"/>
      <c r="OMD75"/>
      <c r="OME75" s="180"/>
      <c r="OMF75"/>
      <c r="OMG75" s="172"/>
      <c r="OMH75" s="181"/>
      <c r="OMI75"/>
      <c r="OMJ75" s="174"/>
      <c r="OMK75" s="175"/>
      <c r="OML75" s="176"/>
      <c r="OMM75" s="176"/>
      <c r="OMN75" s="175"/>
      <c r="OMO75" s="177"/>
      <c r="OMP75" s="175"/>
      <c r="OMQ75" s="177"/>
      <c r="OMR75" s="178"/>
      <c r="OMS75" s="179"/>
      <c r="OMT75"/>
      <c r="OMU75" s="180"/>
      <c r="OMV75"/>
      <c r="OMW75" s="172"/>
      <c r="OMX75" s="181"/>
      <c r="OMY75"/>
      <c r="OMZ75" s="174"/>
      <c r="ONA75" s="175"/>
      <c r="ONB75" s="176"/>
      <c r="ONC75" s="176"/>
      <c r="OND75" s="175"/>
      <c r="ONE75" s="177"/>
      <c r="ONF75" s="175"/>
      <c r="ONG75" s="177"/>
      <c r="ONH75" s="178"/>
      <c r="ONI75" s="179"/>
      <c r="ONJ75"/>
      <c r="ONK75" s="180"/>
      <c r="ONL75"/>
      <c r="ONM75" s="172"/>
      <c r="ONN75" s="181"/>
      <c r="ONO75"/>
      <c r="ONP75" s="174"/>
      <c r="ONQ75" s="175"/>
      <c r="ONR75" s="176"/>
      <c r="ONS75" s="176"/>
      <c r="ONT75" s="175"/>
      <c r="ONU75" s="177"/>
      <c r="ONV75" s="175"/>
      <c r="ONW75" s="177"/>
      <c r="ONX75" s="178"/>
      <c r="ONY75" s="179"/>
      <c r="ONZ75"/>
      <c r="OOA75" s="180"/>
      <c r="OOB75"/>
      <c r="OOC75" s="172"/>
      <c r="OOD75" s="181"/>
      <c r="OOE75"/>
      <c r="OOF75" s="174"/>
      <c r="OOG75" s="175"/>
      <c r="OOH75" s="176"/>
      <c r="OOI75" s="176"/>
      <c r="OOJ75" s="175"/>
      <c r="OOK75" s="177"/>
      <c r="OOL75" s="175"/>
      <c r="OOM75" s="177"/>
      <c r="OON75" s="178"/>
      <c r="OOO75" s="179"/>
      <c r="OOP75"/>
      <c r="OOQ75" s="180"/>
      <c r="OOR75"/>
      <c r="OOS75" s="172"/>
      <c r="OOT75" s="181"/>
      <c r="OOU75"/>
      <c r="OOV75" s="174"/>
      <c r="OOW75" s="175"/>
      <c r="OOX75" s="176"/>
      <c r="OOY75" s="176"/>
      <c r="OOZ75" s="175"/>
      <c r="OPA75" s="177"/>
      <c r="OPB75" s="175"/>
      <c r="OPC75" s="177"/>
      <c r="OPD75" s="178"/>
      <c r="OPE75" s="179"/>
      <c r="OPF75"/>
      <c r="OPG75" s="180"/>
      <c r="OPH75"/>
      <c r="OPI75" s="172"/>
      <c r="OPJ75" s="181"/>
      <c r="OPK75"/>
      <c r="OPL75" s="174"/>
      <c r="OPM75" s="175"/>
      <c r="OPN75" s="176"/>
      <c r="OPO75" s="176"/>
      <c r="OPP75" s="175"/>
      <c r="OPQ75" s="177"/>
      <c r="OPR75" s="175"/>
      <c r="OPS75" s="177"/>
      <c r="OPT75" s="178"/>
      <c r="OPU75" s="179"/>
      <c r="OPV75"/>
      <c r="OPW75" s="180"/>
      <c r="OPX75"/>
      <c r="OPY75" s="172"/>
      <c r="OPZ75" s="181"/>
      <c r="OQA75"/>
      <c r="OQB75" s="174"/>
      <c r="OQC75" s="175"/>
      <c r="OQD75" s="176"/>
      <c r="OQE75" s="176"/>
      <c r="OQF75" s="175"/>
      <c r="OQG75" s="177"/>
      <c r="OQH75" s="175"/>
      <c r="OQI75" s="177"/>
      <c r="OQJ75" s="178"/>
      <c r="OQK75" s="179"/>
      <c r="OQL75"/>
      <c r="OQM75" s="180"/>
      <c r="OQN75"/>
      <c r="OQO75" s="172"/>
      <c r="OQP75" s="181"/>
      <c r="OQQ75"/>
      <c r="OQR75" s="174"/>
      <c r="OQS75" s="175"/>
      <c r="OQT75" s="176"/>
      <c r="OQU75" s="176"/>
      <c r="OQV75" s="175"/>
      <c r="OQW75" s="177"/>
      <c r="OQX75" s="175"/>
      <c r="OQY75" s="177"/>
      <c r="OQZ75" s="178"/>
      <c r="ORA75" s="179"/>
      <c r="ORB75"/>
      <c r="ORC75" s="180"/>
      <c r="ORD75"/>
      <c r="ORE75" s="172"/>
      <c r="ORF75" s="181"/>
      <c r="ORG75"/>
      <c r="ORH75" s="174"/>
      <c r="ORI75" s="175"/>
      <c r="ORJ75" s="176"/>
      <c r="ORK75" s="176"/>
      <c r="ORL75" s="175"/>
      <c r="ORM75" s="177"/>
      <c r="ORN75" s="175"/>
      <c r="ORO75" s="177"/>
      <c r="ORP75" s="178"/>
      <c r="ORQ75" s="179"/>
      <c r="ORR75"/>
      <c r="ORS75" s="180"/>
      <c r="ORT75"/>
      <c r="ORU75" s="172"/>
      <c r="ORV75" s="181"/>
      <c r="ORW75"/>
      <c r="ORX75" s="174"/>
      <c r="ORY75" s="175"/>
      <c r="ORZ75" s="176"/>
      <c r="OSA75" s="176"/>
      <c r="OSB75" s="175"/>
      <c r="OSC75" s="177"/>
      <c r="OSD75" s="175"/>
      <c r="OSE75" s="177"/>
      <c r="OSF75" s="178"/>
      <c r="OSG75" s="179"/>
      <c r="OSH75"/>
      <c r="OSI75" s="180"/>
      <c r="OSJ75"/>
      <c r="OSK75" s="172"/>
      <c r="OSL75" s="181"/>
      <c r="OSM75"/>
      <c r="OSN75" s="174"/>
      <c r="OSO75" s="175"/>
      <c r="OSP75" s="176"/>
      <c r="OSQ75" s="176"/>
      <c r="OSR75" s="175"/>
      <c r="OSS75" s="177"/>
      <c r="OST75" s="175"/>
      <c r="OSU75" s="177"/>
      <c r="OSV75" s="178"/>
      <c r="OSW75" s="179"/>
      <c r="OSX75"/>
      <c r="OSY75" s="180"/>
      <c r="OSZ75"/>
      <c r="OTA75" s="172"/>
      <c r="OTB75" s="181"/>
      <c r="OTC75"/>
      <c r="OTD75" s="174"/>
      <c r="OTE75" s="175"/>
      <c r="OTF75" s="176"/>
      <c r="OTG75" s="176"/>
      <c r="OTH75" s="175"/>
      <c r="OTI75" s="177"/>
      <c r="OTJ75" s="175"/>
      <c r="OTK75" s="177"/>
      <c r="OTL75" s="178"/>
      <c r="OTM75" s="179"/>
      <c r="OTN75"/>
      <c r="OTO75" s="180"/>
      <c r="OTP75"/>
      <c r="OTQ75" s="172"/>
      <c r="OTR75" s="181"/>
      <c r="OTS75"/>
      <c r="OTT75" s="174"/>
      <c r="OTU75" s="175"/>
      <c r="OTV75" s="176"/>
      <c r="OTW75" s="176"/>
      <c r="OTX75" s="175"/>
      <c r="OTY75" s="177"/>
      <c r="OTZ75" s="175"/>
      <c r="OUA75" s="177"/>
      <c r="OUB75" s="178"/>
      <c r="OUC75" s="179"/>
      <c r="OUD75"/>
      <c r="OUE75" s="180"/>
      <c r="OUF75"/>
      <c r="OUG75" s="172"/>
      <c r="OUH75" s="181"/>
      <c r="OUI75"/>
      <c r="OUJ75" s="174"/>
      <c r="OUK75" s="175"/>
      <c r="OUL75" s="176"/>
      <c r="OUM75" s="176"/>
      <c r="OUN75" s="175"/>
      <c r="OUO75" s="177"/>
      <c r="OUP75" s="175"/>
      <c r="OUQ75" s="177"/>
      <c r="OUR75" s="178"/>
      <c r="OUS75" s="179"/>
      <c r="OUT75"/>
      <c r="OUU75" s="180"/>
      <c r="OUV75"/>
      <c r="OUW75" s="172"/>
      <c r="OUX75" s="181"/>
      <c r="OUY75"/>
      <c r="OUZ75" s="174"/>
      <c r="OVA75" s="175"/>
      <c r="OVB75" s="176"/>
      <c r="OVC75" s="176"/>
      <c r="OVD75" s="175"/>
      <c r="OVE75" s="177"/>
      <c r="OVF75" s="175"/>
      <c r="OVG75" s="177"/>
      <c r="OVH75" s="178"/>
      <c r="OVI75" s="179"/>
      <c r="OVJ75"/>
      <c r="OVK75" s="180"/>
      <c r="OVL75"/>
      <c r="OVM75" s="172"/>
      <c r="OVN75" s="181"/>
      <c r="OVO75"/>
      <c r="OVP75" s="174"/>
      <c r="OVQ75" s="175"/>
      <c r="OVR75" s="176"/>
      <c r="OVS75" s="176"/>
      <c r="OVT75" s="175"/>
      <c r="OVU75" s="177"/>
      <c r="OVV75" s="175"/>
      <c r="OVW75" s="177"/>
      <c r="OVX75" s="178"/>
      <c r="OVY75" s="179"/>
      <c r="OVZ75"/>
      <c r="OWA75" s="180"/>
      <c r="OWB75"/>
      <c r="OWC75" s="172"/>
      <c r="OWD75" s="181"/>
      <c r="OWE75"/>
      <c r="OWF75" s="174"/>
      <c r="OWG75" s="175"/>
      <c r="OWH75" s="176"/>
      <c r="OWI75" s="176"/>
      <c r="OWJ75" s="175"/>
      <c r="OWK75" s="177"/>
      <c r="OWL75" s="175"/>
      <c r="OWM75" s="177"/>
      <c r="OWN75" s="178"/>
      <c r="OWO75" s="179"/>
      <c r="OWP75"/>
      <c r="OWQ75" s="180"/>
      <c r="OWR75"/>
      <c r="OWS75" s="172"/>
      <c r="OWT75" s="181"/>
      <c r="OWU75"/>
      <c r="OWV75" s="174"/>
      <c r="OWW75" s="175"/>
      <c r="OWX75" s="176"/>
      <c r="OWY75" s="176"/>
      <c r="OWZ75" s="175"/>
      <c r="OXA75" s="177"/>
      <c r="OXB75" s="175"/>
      <c r="OXC75" s="177"/>
      <c r="OXD75" s="178"/>
      <c r="OXE75" s="179"/>
      <c r="OXF75"/>
      <c r="OXG75" s="180"/>
      <c r="OXH75"/>
      <c r="OXI75" s="172"/>
      <c r="OXJ75" s="181"/>
      <c r="OXK75"/>
      <c r="OXL75" s="174"/>
      <c r="OXM75" s="175"/>
      <c r="OXN75" s="176"/>
      <c r="OXO75" s="176"/>
      <c r="OXP75" s="175"/>
      <c r="OXQ75" s="177"/>
      <c r="OXR75" s="175"/>
      <c r="OXS75" s="177"/>
      <c r="OXT75" s="178"/>
      <c r="OXU75" s="179"/>
      <c r="OXV75"/>
      <c r="OXW75" s="180"/>
      <c r="OXX75"/>
      <c r="OXY75" s="172"/>
      <c r="OXZ75" s="181"/>
      <c r="OYA75"/>
      <c r="OYB75" s="174"/>
      <c r="OYC75" s="175"/>
      <c r="OYD75" s="176"/>
      <c r="OYE75" s="176"/>
      <c r="OYF75" s="175"/>
      <c r="OYG75" s="177"/>
      <c r="OYH75" s="175"/>
      <c r="OYI75" s="177"/>
      <c r="OYJ75" s="178"/>
      <c r="OYK75" s="179"/>
      <c r="OYL75"/>
      <c r="OYM75" s="180"/>
      <c r="OYN75"/>
      <c r="OYO75" s="172"/>
      <c r="OYP75" s="181"/>
      <c r="OYQ75"/>
      <c r="OYR75" s="174"/>
      <c r="OYS75" s="175"/>
      <c r="OYT75" s="176"/>
      <c r="OYU75" s="176"/>
      <c r="OYV75" s="175"/>
      <c r="OYW75" s="177"/>
      <c r="OYX75" s="175"/>
      <c r="OYY75" s="177"/>
      <c r="OYZ75" s="178"/>
      <c r="OZA75" s="179"/>
      <c r="OZB75"/>
      <c r="OZC75" s="180"/>
      <c r="OZD75"/>
      <c r="OZE75" s="172"/>
      <c r="OZF75" s="181"/>
      <c r="OZG75"/>
      <c r="OZH75" s="174"/>
      <c r="OZI75" s="175"/>
      <c r="OZJ75" s="176"/>
      <c r="OZK75" s="176"/>
      <c r="OZL75" s="175"/>
      <c r="OZM75" s="177"/>
      <c r="OZN75" s="175"/>
      <c r="OZO75" s="177"/>
      <c r="OZP75" s="178"/>
      <c r="OZQ75" s="179"/>
      <c r="OZR75"/>
      <c r="OZS75" s="180"/>
      <c r="OZT75"/>
      <c r="OZU75" s="172"/>
      <c r="OZV75" s="181"/>
      <c r="OZW75"/>
      <c r="OZX75" s="174"/>
      <c r="OZY75" s="175"/>
      <c r="OZZ75" s="176"/>
      <c r="PAA75" s="176"/>
      <c r="PAB75" s="175"/>
      <c r="PAC75" s="177"/>
      <c r="PAD75" s="175"/>
      <c r="PAE75" s="177"/>
      <c r="PAF75" s="178"/>
      <c r="PAG75" s="179"/>
      <c r="PAH75"/>
      <c r="PAI75" s="180"/>
      <c r="PAJ75"/>
      <c r="PAK75" s="172"/>
      <c r="PAL75" s="181"/>
      <c r="PAM75"/>
      <c r="PAN75" s="174"/>
      <c r="PAO75" s="175"/>
      <c r="PAP75" s="176"/>
      <c r="PAQ75" s="176"/>
      <c r="PAR75" s="175"/>
      <c r="PAS75" s="177"/>
      <c r="PAT75" s="175"/>
      <c r="PAU75" s="177"/>
      <c r="PAV75" s="178"/>
      <c r="PAW75" s="179"/>
      <c r="PAX75"/>
      <c r="PAY75" s="180"/>
      <c r="PAZ75"/>
      <c r="PBA75" s="172"/>
      <c r="PBB75" s="181"/>
      <c r="PBC75"/>
      <c r="PBD75" s="174"/>
      <c r="PBE75" s="175"/>
      <c r="PBF75" s="176"/>
      <c r="PBG75" s="176"/>
      <c r="PBH75" s="175"/>
      <c r="PBI75" s="177"/>
      <c r="PBJ75" s="175"/>
      <c r="PBK75" s="177"/>
      <c r="PBL75" s="178"/>
      <c r="PBM75" s="179"/>
      <c r="PBN75"/>
      <c r="PBO75" s="180"/>
      <c r="PBP75"/>
      <c r="PBQ75" s="172"/>
      <c r="PBR75" s="181"/>
      <c r="PBS75"/>
      <c r="PBT75" s="174"/>
      <c r="PBU75" s="175"/>
      <c r="PBV75" s="176"/>
      <c r="PBW75" s="176"/>
      <c r="PBX75" s="175"/>
      <c r="PBY75" s="177"/>
      <c r="PBZ75" s="175"/>
      <c r="PCA75" s="177"/>
      <c r="PCB75" s="178"/>
      <c r="PCC75" s="179"/>
      <c r="PCD75"/>
      <c r="PCE75" s="180"/>
      <c r="PCF75"/>
      <c r="PCG75" s="172"/>
      <c r="PCH75" s="181"/>
      <c r="PCI75"/>
      <c r="PCJ75" s="174"/>
      <c r="PCK75" s="175"/>
      <c r="PCL75" s="176"/>
      <c r="PCM75" s="176"/>
      <c r="PCN75" s="175"/>
      <c r="PCO75" s="177"/>
      <c r="PCP75" s="175"/>
      <c r="PCQ75" s="177"/>
      <c r="PCR75" s="178"/>
      <c r="PCS75" s="179"/>
      <c r="PCT75"/>
      <c r="PCU75" s="180"/>
      <c r="PCV75"/>
      <c r="PCW75" s="172"/>
      <c r="PCX75" s="181"/>
      <c r="PCY75"/>
      <c r="PCZ75" s="174"/>
      <c r="PDA75" s="175"/>
      <c r="PDB75" s="176"/>
      <c r="PDC75" s="176"/>
      <c r="PDD75" s="175"/>
      <c r="PDE75" s="177"/>
      <c r="PDF75" s="175"/>
      <c r="PDG75" s="177"/>
      <c r="PDH75" s="178"/>
      <c r="PDI75" s="179"/>
      <c r="PDJ75"/>
      <c r="PDK75" s="180"/>
      <c r="PDL75"/>
      <c r="PDM75" s="172"/>
      <c r="PDN75" s="181"/>
      <c r="PDO75"/>
      <c r="PDP75" s="174"/>
      <c r="PDQ75" s="175"/>
      <c r="PDR75" s="176"/>
      <c r="PDS75" s="176"/>
      <c r="PDT75" s="175"/>
      <c r="PDU75" s="177"/>
      <c r="PDV75" s="175"/>
      <c r="PDW75" s="177"/>
      <c r="PDX75" s="178"/>
      <c r="PDY75" s="179"/>
      <c r="PDZ75"/>
      <c r="PEA75" s="180"/>
      <c r="PEB75"/>
      <c r="PEC75" s="172"/>
      <c r="PED75" s="181"/>
      <c r="PEE75"/>
      <c r="PEF75" s="174"/>
      <c r="PEG75" s="175"/>
      <c r="PEH75" s="176"/>
      <c r="PEI75" s="176"/>
      <c r="PEJ75" s="175"/>
      <c r="PEK75" s="177"/>
      <c r="PEL75" s="175"/>
      <c r="PEM75" s="177"/>
      <c r="PEN75" s="178"/>
      <c r="PEO75" s="179"/>
      <c r="PEP75"/>
      <c r="PEQ75" s="180"/>
      <c r="PER75"/>
      <c r="PES75" s="172"/>
      <c r="PET75" s="181"/>
      <c r="PEU75"/>
      <c r="PEV75" s="174"/>
      <c r="PEW75" s="175"/>
      <c r="PEX75" s="176"/>
      <c r="PEY75" s="176"/>
      <c r="PEZ75" s="175"/>
      <c r="PFA75" s="177"/>
      <c r="PFB75" s="175"/>
      <c r="PFC75" s="177"/>
      <c r="PFD75" s="178"/>
      <c r="PFE75" s="179"/>
      <c r="PFF75"/>
      <c r="PFG75" s="180"/>
      <c r="PFH75"/>
      <c r="PFI75" s="172"/>
      <c r="PFJ75" s="181"/>
      <c r="PFK75"/>
      <c r="PFL75" s="174"/>
      <c r="PFM75" s="175"/>
      <c r="PFN75" s="176"/>
      <c r="PFO75" s="176"/>
      <c r="PFP75" s="175"/>
      <c r="PFQ75" s="177"/>
      <c r="PFR75" s="175"/>
      <c r="PFS75" s="177"/>
      <c r="PFT75" s="178"/>
      <c r="PFU75" s="179"/>
      <c r="PFV75"/>
      <c r="PFW75" s="180"/>
      <c r="PFX75"/>
      <c r="PFY75" s="172"/>
      <c r="PFZ75" s="181"/>
      <c r="PGA75"/>
      <c r="PGB75" s="174"/>
      <c r="PGC75" s="175"/>
      <c r="PGD75" s="176"/>
      <c r="PGE75" s="176"/>
      <c r="PGF75" s="175"/>
      <c r="PGG75" s="177"/>
      <c r="PGH75" s="175"/>
      <c r="PGI75" s="177"/>
      <c r="PGJ75" s="178"/>
      <c r="PGK75" s="179"/>
      <c r="PGL75"/>
      <c r="PGM75" s="180"/>
      <c r="PGN75"/>
      <c r="PGO75" s="172"/>
      <c r="PGP75" s="181"/>
      <c r="PGQ75"/>
      <c r="PGR75" s="174"/>
      <c r="PGS75" s="175"/>
      <c r="PGT75" s="176"/>
      <c r="PGU75" s="176"/>
      <c r="PGV75" s="175"/>
      <c r="PGW75" s="177"/>
      <c r="PGX75" s="175"/>
      <c r="PGY75" s="177"/>
      <c r="PGZ75" s="178"/>
      <c r="PHA75" s="179"/>
      <c r="PHB75"/>
      <c r="PHC75" s="180"/>
      <c r="PHD75"/>
      <c r="PHE75" s="172"/>
      <c r="PHF75" s="181"/>
      <c r="PHG75"/>
      <c r="PHH75" s="174"/>
      <c r="PHI75" s="175"/>
      <c r="PHJ75" s="176"/>
      <c r="PHK75" s="176"/>
      <c r="PHL75" s="175"/>
      <c r="PHM75" s="177"/>
      <c r="PHN75" s="175"/>
      <c r="PHO75" s="177"/>
      <c r="PHP75" s="178"/>
      <c r="PHQ75" s="179"/>
      <c r="PHR75"/>
      <c r="PHS75" s="180"/>
      <c r="PHT75"/>
      <c r="PHU75" s="172"/>
      <c r="PHV75" s="181"/>
      <c r="PHW75"/>
      <c r="PHX75" s="174"/>
      <c r="PHY75" s="175"/>
      <c r="PHZ75" s="176"/>
      <c r="PIA75" s="176"/>
      <c r="PIB75" s="175"/>
      <c r="PIC75" s="177"/>
      <c r="PID75" s="175"/>
      <c r="PIE75" s="177"/>
      <c r="PIF75" s="178"/>
      <c r="PIG75" s="179"/>
      <c r="PIH75"/>
      <c r="PII75" s="180"/>
      <c r="PIJ75"/>
      <c r="PIK75" s="172"/>
      <c r="PIL75" s="181"/>
      <c r="PIM75"/>
      <c r="PIN75" s="174"/>
      <c r="PIO75" s="175"/>
      <c r="PIP75" s="176"/>
      <c r="PIQ75" s="176"/>
      <c r="PIR75" s="175"/>
      <c r="PIS75" s="177"/>
      <c r="PIT75" s="175"/>
      <c r="PIU75" s="177"/>
      <c r="PIV75" s="178"/>
      <c r="PIW75" s="179"/>
      <c r="PIX75"/>
      <c r="PIY75" s="180"/>
      <c r="PIZ75"/>
      <c r="PJA75" s="172"/>
      <c r="PJB75" s="181"/>
      <c r="PJC75"/>
      <c r="PJD75" s="174"/>
      <c r="PJE75" s="175"/>
      <c r="PJF75" s="176"/>
      <c r="PJG75" s="176"/>
      <c r="PJH75" s="175"/>
      <c r="PJI75" s="177"/>
      <c r="PJJ75" s="175"/>
      <c r="PJK75" s="177"/>
      <c r="PJL75" s="178"/>
      <c r="PJM75" s="179"/>
      <c r="PJN75"/>
      <c r="PJO75" s="180"/>
      <c r="PJP75"/>
      <c r="PJQ75" s="172"/>
      <c r="PJR75" s="181"/>
      <c r="PJS75"/>
      <c r="PJT75" s="174"/>
      <c r="PJU75" s="175"/>
      <c r="PJV75" s="176"/>
      <c r="PJW75" s="176"/>
      <c r="PJX75" s="175"/>
      <c r="PJY75" s="177"/>
      <c r="PJZ75" s="175"/>
      <c r="PKA75" s="177"/>
      <c r="PKB75" s="178"/>
      <c r="PKC75" s="179"/>
      <c r="PKD75"/>
      <c r="PKE75" s="180"/>
      <c r="PKF75"/>
      <c r="PKG75" s="172"/>
      <c r="PKH75" s="181"/>
      <c r="PKI75"/>
      <c r="PKJ75" s="174"/>
      <c r="PKK75" s="175"/>
      <c r="PKL75" s="176"/>
      <c r="PKM75" s="176"/>
      <c r="PKN75" s="175"/>
      <c r="PKO75" s="177"/>
      <c r="PKP75" s="175"/>
      <c r="PKQ75" s="177"/>
      <c r="PKR75" s="178"/>
      <c r="PKS75" s="179"/>
      <c r="PKT75"/>
      <c r="PKU75" s="180"/>
      <c r="PKV75"/>
      <c r="PKW75" s="172"/>
      <c r="PKX75" s="181"/>
      <c r="PKY75"/>
      <c r="PKZ75" s="174"/>
      <c r="PLA75" s="175"/>
      <c r="PLB75" s="176"/>
      <c r="PLC75" s="176"/>
      <c r="PLD75" s="175"/>
      <c r="PLE75" s="177"/>
      <c r="PLF75" s="175"/>
      <c r="PLG75" s="177"/>
      <c r="PLH75" s="178"/>
      <c r="PLI75" s="179"/>
      <c r="PLJ75"/>
      <c r="PLK75" s="180"/>
      <c r="PLL75"/>
      <c r="PLM75" s="172"/>
      <c r="PLN75" s="181"/>
      <c r="PLO75"/>
      <c r="PLP75" s="174"/>
      <c r="PLQ75" s="175"/>
      <c r="PLR75" s="176"/>
      <c r="PLS75" s="176"/>
      <c r="PLT75" s="175"/>
      <c r="PLU75" s="177"/>
      <c r="PLV75" s="175"/>
      <c r="PLW75" s="177"/>
      <c r="PLX75" s="178"/>
      <c r="PLY75" s="179"/>
      <c r="PLZ75"/>
      <c r="PMA75" s="180"/>
      <c r="PMB75"/>
      <c r="PMC75" s="172"/>
      <c r="PMD75" s="181"/>
      <c r="PME75"/>
      <c r="PMF75" s="174"/>
      <c r="PMG75" s="175"/>
      <c r="PMH75" s="176"/>
      <c r="PMI75" s="176"/>
      <c r="PMJ75" s="175"/>
      <c r="PMK75" s="177"/>
      <c r="PML75" s="175"/>
      <c r="PMM75" s="177"/>
      <c r="PMN75" s="178"/>
      <c r="PMO75" s="179"/>
      <c r="PMP75"/>
      <c r="PMQ75" s="180"/>
      <c r="PMR75"/>
      <c r="PMS75" s="172"/>
      <c r="PMT75" s="181"/>
      <c r="PMU75"/>
      <c r="PMV75" s="174"/>
      <c r="PMW75" s="175"/>
      <c r="PMX75" s="176"/>
      <c r="PMY75" s="176"/>
      <c r="PMZ75" s="175"/>
      <c r="PNA75" s="177"/>
      <c r="PNB75" s="175"/>
      <c r="PNC75" s="177"/>
      <c r="PND75" s="178"/>
      <c r="PNE75" s="179"/>
      <c r="PNF75"/>
      <c r="PNG75" s="180"/>
      <c r="PNH75"/>
      <c r="PNI75" s="172"/>
      <c r="PNJ75" s="181"/>
      <c r="PNK75"/>
      <c r="PNL75" s="174"/>
      <c r="PNM75" s="175"/>
      <c r="PNN75" s="176"/>
      <c r="PNO75" s="176"/>
      <c r="PNP75" s="175"/>
      <c r="PNQ75" s="177"/>
      <c r="PNR75" s="175"/>
      <c r="PNS75" s="177"/>
      <c r="PNT75" s="178"/>
      <c r="PNU75" s="179"/>
      <c r="PNV75"/>
      <c r="PNW75" s="180"/>
      <c r="PNX75"/>
      <c r="PNY75" s="172"/>
      <c r="PNZ75" s="181"/>
      <c r="POA75"/>
      <c r="POB75" s="174"/>
      <c r="POC75" s="175"/>
      <c r="POD75" s="176"/>
      <c r="POE75" s="176"/>
      <c r="POF75" s="175"/>
      <c r="POG75" s="177"/>
      <c r="POH75" s="175"/>
      <c r="POI75" s="177"/>
      <c r="POJ75" s="178"/>
      <c r="POK75" s="179"/>
      <c r="POL75"/>
      <c r="POM75" s="180"/>
      <c r="PON75"/>
      <c r="POO75" s="172"/>
      <c r="POP75" s="181"/>
      <c r="POQ75"/>
      <c r="POR75" s="174"/>
      <c r="POS75" s="175"/>
      <c r="POT75" s="176"/>
      <c r="POU75" s="176"/>
      <c r="POV75" s="175"/>
      <c r="POW75" s="177"/>
      <c r="POX75" s="175"/>
      <c r="POY75" s="177"/>
      <c r="POZ75" s="178"/>
      <c r="PPA75" s="179"/>
      <c r="PPB75"/>
      <c r="PPC75" s="180"/>
      <c r="PPD75"/>
      <c r="PPE75" s="172"/>
      <c r="PPF75" s="181"/>
      <c r="PPG75"/>
      <c r="PPH75" s="174"/>
      <c r="PPI75" s="175"/>
      <c r="PPJ75" s="176"/>
      <c r="PPK75" s="176"/>
      <c r="PPL75" s="175"/>
      <c r="PPM75" s="177"/>
      <c r="PPN75" s="175"/>
      <c r="PPO75" s="177"/>
      <c r="PPP75" s="178"/>
      <c r="PPQ75" s="179"/>
      <c r="PPR75"/>
      <c r="PPS75" s="180"/>
      <c r="PPT75"/>
      <c r="PPU75" s="172"/>
      <c r="PPV75" s="181"/>
      <c r="PPW75"/>
      <c r="PPX75" s="174"/>
      <c r="PPY75" s="175"/>
      <c r="PPZ75" s="176"/>
      <c r="PQA75" s="176"/>
      <c r="PQB75" s="175"/>
      <c r="PQC75" s="177"/>
      <c r="PQD75" s="175"/>
      <c r="PQE75" s="177"/>
      <c r="PQF75" s="178"/>
      <c r="PQG75" s="179"/>
      <c r="PQH75"/>
      <c r="PQI75" s="180"/>
      <c r="PQJ75"/>
      <c r="PQK75" s="172"/>
      <c r="PQL75" s="181"/>
      <c r="PQM75"/>
      <c r="PQN75" s="174"/>
      <c r="PQO75" s="175"/>
      <c r="PQP75" s="176"/>
      <c r="PQQ75" s="176"/>
      <c r="PQR75" s="175"/>
      <c r="PQS75" s="177"/>
      <c r="PQT75" s="175"/>
      <c r="PQU75" s="177"/>
      <c r="PQV75" s="178"/>
      <c r="PQW75" s="179"/>
      <c r="PQX75"/>
      <c r="PQY75" s="180"/>
      <c r="PQZ75"/>
      <c r="PRA75" s="172"/>
      <c r="PRB75" s="181"/>
      <c r="PRC75"/>
      <c r="PRD75" s="174"/>
      <c r="PRE75" s="175"/>
      <c r="PRF75" s="176"/>
      <c r="PRG75" s="176"/>
      <c r="PRH75" s="175"/>
      <c r="PRI75" s="177"/>
      <c r="PRJ75" s="175"/>
      <c r="PRK75" s="177"/>
      <c r="PRL75" s="178"/>
      <c r="PRM75" s="179"/>
      <c r="PRN75"/>
      <c r="PRO75" s="180"/>
      <c r="PRP75"/>
      <c r="PRQ75" s="172"/>
      <c r="PRR75" s="181"/>
      <c r="PRS75"/>
      <c r="PRT75" s="174"/>
      <c r="PRU75" s="175"/>
      <c r="PRV75" s="176"/>
      <c r="PRW75" s="176"/>
      <c r="PRX75" s="175"/>
      <c r="PRY75" s="177"/>
      <c r="PRZ75" s="175"/>
      <c r="PSA75" s="177"/>
      <c r="PSB75" s="178"/>
      <c r="PSC75" s="179"/>
      <c r="PSD75"/>
      <c r="PSE75" s="180"/>
      <c r="PSF75"/>
      <c r="PSG75" s="172"/>
      <c r="PSH75" s="181"/>
      <c r="PSI75"/>
      <c r="PSJ75" s="174"/>
      <c r="PSK75" s="175"/>
      <c r="PSL75" s="176"/>
      <c r="PSM75" s="176"/>
      <c r="PSN75" s="175"/>
      <c r="PSO75" s="177"/>
      <c r="PSP75" s="175"/>
      <c r="PSQ75" s="177"/>
      <c r="PSR75" s="178"/>
      <c r="PSS75" s="179"/>
      <c r="PST75"/>
      <c r="PSU75" s="180"/>
      <c r="PSV75"/>
      <c r="PSW75" s="172"/>
      <c r="PSX75" s="181"/>
      <c r="PSY75"/>
      <c r="PSZ75" s="174"/>
      <c r="PTA75" s="175"/>
      <c r="PTB75" s="176"/>
      <c r="PTC75" s="176"/>
      <c r="PTD75" s="175"/>
      <c r="PTE75" s="177"/>
      <c r="PTF75" s="175"/>
      <c r="PTG75" s="177"/>
      <c r="PTH75" s="178"/>
      <c r="PTI75" s="179"/>
      <c r="PTJ75"/>
      <c r="PTK75" s="180"/>
      <c r="PTL75"/>
      <c r="PTM75" s="172"/>
      <c r="PTN75" s="181"/>
      <c r="PTO75"/>
      <c r="PTP75" s="174"/>
      <c r="PTQ75" s="175"/>
      <c r="PTR75" s="176"/>
      <c r="PTS75" s="176"/>
      <c r="PTT75" s="175"/>
      <c r="PTU75" s="177"/>
      <c r="PTV75" s="175"/>
      <c r="PTW75" s="177"/>
      <c r="PTX75" s="178"/>
      <c r="PTY75" s="179"/>
      <c r="PTZ75"/>
      <c r="PUA75" s="180"/>
      <c r="PUB75"/>
      <c r="PUC75" s="172"/>
      <c r="PUD75" s="181"/>
      <c r="PUE75"/>
      <c r="PUF75" s="174"/>
      <c r="PUG75" s="175"/>
      <c r="PUH75" s="176"/>
      <c r="PUI75" s="176"/>
      <c r="PUJ75" s="175"/>
      <c r="PUK75" s="177"/>
      <c r="PUL75" s="175"/>
      <c r="PUM75" s="177"/>
      <c r="PUN75" s="178"/>
      <c r="PUO75" s="179"/>
      <c r="PUP75"/>
      <c r="PUQ75" s="180"/>
      <c r="PUR75"/>
      <c r="PUS75" s="172"/>
      <c r="PUT75" s="181"/>
      <c r="PUU75"/>
      <c r="PUV75" s="174"/>
      <c r="PUW75" s="175"/>
      <c r="PUX75" s="176"/>
      <c r="PUY75" s="176"/>
      <c r="PUZ75" s="175"/>
      <c r="PVA75" s="177"/>
      <c r="PVB75" s="175"/>
      <c r="PVC75" s="177"/>
      <c r="PVD75" s="178"/>
      <c r="PVE75" s="179"/>
      <c r="PVF75"/>
      <c r="PVG75" s="180"/>
      <c r="PVH75"/>
      <c r="PVI75" s="172"/>
      <c r="PVJ75" s="181"/>
      <c r="PVK75"/>
      <c r="PVL75" s="174"/>
      <c r="PVM75" s="175"/>
      <c r="PVN75" s="176"/>
      <c r="PVO75" s="176"/>
      <c r="PVP75" s="175"/>
      <c r="PVQ75" s="177"/>
      <c r="PVR75" s="175"/>
      <c r="PVS75" s="177"/>
      <c r="PVT75" s="178"/>
      <c r="PVU75" s="179"/>
      <c r="PVV75"/>
      <c r="PVW75" s="180"/>
      <c r="PVX75"/>
      <c r="PVY75" s="172"/>
      <c r="PVZ75" s="181"/>
      <c r="PWA75"/>
      <c r="PWB75" s="174"/>
      <c r="PWC75" s="175"/>
      <c r="PWD75" s="176"/>
      <c r="PWE75" s="176"/>
      <c r="PWF75" s="175"/>
      <c r="PWG75" s="177"/>
      <c r="PWH75" s="175"/>
      <c r="PWI75" s="177"/>
      <c r="PWJ75" s="178"/>
      <c r="PWK75" s="179"/>
      <c r="PWL75"/>
      <c r="PWM75" s="180"/>
      <c r="PWN75"/>
      <c r="PWO75" s="172"/>
      <c r="PWP75" s="181"/>
      <c r="PWQ75"/>
      <c r="PWR75" s="174"/>
      <c r="PWS75" s="175"/>
      <c r="PWT75" s="176"/>
      <c r="PWU75" s="176"/>
      <c r="PWV75" s="175"/>
      <c r="PWW75" s="177"/>
      <c r="PWX75" s="175"/>
      <c r="PWY75" s="177"/>
      <c r="PWZ75" s="178"/>
      <c r="PXA75" s="179"/>
      <c r="PXB75"/>
      <c r="PXC75" s="180"/>
      <c r="PXD75"/>
      <c r="PXE75" s="172"/>
      <c r="PXF75" s="181"/>
      <c r="PXG75"/>
      <c r="PXH75" s="174"/>
      <c r="PXI75" s="175"/>
      <c r="PXJ75" s="176"/>
      <c r="PXK75" s="176"/>
      <c r="PXL75" s="175"/>
      <c r="PXM75" s="177"/>
      <c r="PXN75" s="175"/>
      <c r="PXO75" s="177"/>
      <c r="PXP75" s="178"/>
      <c r="PXQ75" s="179"/>
      <c r="PXR75"/>
      <c r="PXS75" s="180"/>
      <c r="PXT75"/>
      <c r="PXU75" s="172"/>
      <c r="PXV75" s="181"/>
      <c r="PXW75"/>
      <c r="PXX75" s="174"/>
      <c r="PXY75" s="175"/>
      <c r="PXZ75" s="176"/>
      <c r="PYA75" s="176"/>
      <c r="PYB75" s="175"/>
      <c r="PYC75" s="177"/>
      <c r="PYD75" s="175"/>
      <c r="PYE75" s="177"/>
      <c r="PYF75" s="178"/>
      <c r="PYG75" s="179"/>
      <c r="PYH75"/>
      <c r="PYI75" s="180"/>
      <c r="PYJ75"/>
      <c r="PYK75" s="172"/>
      <c r="PYL75" s="181"/>
      <c r="PYM75"/>
      <c r="PYN75" s="174"/>
      <c r="PYO75" s="175"/>
      <c r="PYP75" s="176"/>
      <c r="PYQ75" s="176"/>
      <c r="PYR75" s="175"/>
      <c r="PYS75" s="177"/>
      <c r="PYT75" s="175"/>
      <c r="PYU75" s="177"/>
      <c r="PYV75" s="178"/>
      <c r="PYW75" s="179"/>
      <c r="PYX75"/>
      <c r="PYY75" s="180"/>
      <c r="PYZ75"/>
      <c r="PZA75" s="172"/>
      <c r="PZB75" s="181"/>
      <c r="PZC75"/>
      <c r="PZD75" s="174"/>
      <c r="PZE75" s="175"/>
      <c r="PZF75" s="176"/>
      <c r="PZG75" s="176"/>
      <c r="PZH75" s="175"/>
      <c r="PZI75" s="177"/>
      <c r="PZJ75" s="175"/>
      <c r="PZK75" s="177"/>
      <c r="PZL75" s="178"/>
      <c r="PZM75" s="179"/>
      <c r="PZN75"/>
      <c r="PZO75" s="180"/>
      <c r="PZP75"/>
      <c r="PZQ75" s="172"/>
      <c r="PZR75" s="181"/>
      <c r="PZS75"/>
      <c r="PZT75" s="174"/>
      <c r="PZU75" s="175"/>
      <c r="PZV75" s="176"/>
      <c r="PZW75" s="176"/>
      <c r="PZX75" s="175"/>
      <c r="PZY75" s="177"/>
      <c r="PZZ75" s="175"/>
      <c r="QAA75" s="177"/>
      <c r="QAB75" s="178"/>
      <c r="QAC75" s="179"/>
      <c r="QAD75"/>
      <c r="QAE75" s="180"/>
      <c r="QAF75"/>
      <c r="QAG75" s="172"/>
      <c r="QAH75" s="181"/>
      <c r="QAI75"/>
      <c r="QAJ75" s="174"/>
      <c r="QAK75" s="175"/>
      <c r="QAL75" s="176"/>
      <c r="QAM75" s="176"/>
      <c r="QAN75" s="175"/>
      <c r="QAO75" s="177"/>
      <c r="QAP75" s="175"/>
      <c r="QAQ75" s="177"/>
      <c r="QAR75" s="178"/>
      <c r="QAS75" s="179"/>
      <c r="QAT75"/>
      <c r="QAU75" s="180"/>
      <c r="QAV75"/>
      <c r="QAW75" s="172"/>
      <c r="QAX75" s="181"/>
      <c r="QAY75"/>
      <c r="QAZ75" s="174"/>
      <c r="QBA75" s="175"/>
      <c r="QBB75" s="176"/>
      <c r="QBC75" s="176"/>
      <c r="QBD75" s="175"/>
      <c r="QBE75" s="177"/>
      <c r="QBF75" s="175"/>
      <c r="QBG75" s="177"/>
      <c r="QBH75" s="178"/>
      <c r="QBI75" s="179"/>
      <c r="QBJ75"/>
      <c r="QBK75" s="180"/>
      <c r="QBL75"/>
      <c r="QBM75" s="172"/>
      <c r="QBN75" s="181"/>
      <c r="QBO75"/>
      <c r="QBP75" s="174"/>
      <c r="QBQ75" s="175"/>
      <c r="QBR75" s="176"/>
      <c r="QBS75" s="176"/>
      <c r="QBT75" s="175"/>
      <c r="QBU75" s="177"/>
      <c r="QBV75" s="175"/>
      <c r="QBW75" s="177"/>
      <c r="QBX75" s="178"/>
      <c r="QBY75" s="179"/>
      <c r="QBZ75"/>
      <c r="QCA75" s="180"/>
      <c r="QCB75"/>
      <c r="QCC75" s="172"/>
      <c r="QCD75" s="181"/>
      <c r="QCE75"/>
      <c r="QCF75" s="174"/>
      <c r="QCG75" s="175"/>
      <c r="QCH75" s="176"/>
      <c r="QCI75" s="176"/>
      <c r="QCJ75" s="175"/>
      <c r="QCK75" s="177"/>
      <c r="QCL75" s="175"/>
      <c r="QCM75" s="177"/>
      <c r="QCN75" s="178"/>
      <c r="QCO75" s="179"/>
      <c r="QCP75"/>
      <c r="QCQ75" s="180"/>
      <c r="QCR75"/>
      <c r="QCS75" s="172"/>
      <c r="QCT75" s="181"/>
      <c r="QCU75"/>
      <c r="QCV75" s="174"/>
      <c r="QCW75" s="175"/>
      <c r="QCX75" s="176"/>
      <c r="QCY75" s="176"/>
      <c r="QCZ75" s="175"/>
      <c r="QDA75" s="177"/>
      <c r="QDB75" s="175"/>
      <c r="QDC75" s="177"/>
      <c r="QDD75" s="178"/>
      <c r="QDE75" s="179"/>
      <c r="QDF75"/>
      <c r="QDG75" s="180"/>
      <c r="QDH75"/>
      <c r="QDI75" s="172"/>
      <c r="QDJ75" s="181"/>
      <c r="QDK75"/>
      <c r="QDL75" s="174"/>
      <c r="QDM75" s="175"/>
      <c r="QDN75" s="176"/>
      <c r="QDO75" s="176"/>
      <c r="QDP75" s="175"/>
      <c r="QDQ75" s="177"/>
      <c r="QDR75" s="175"/>
      <c r="QDS75" s="177"/>
      <c r="QDT75" s="178"/>
      <c r="QDU75" s="179"/>
      <c r="QDV75"/>
      <c r="QDW75" s="180"/>
      <c r="QDX75"/>
      <c r="QDY75" s="172"/>
      <c r="QDZ75" s="181"/>
      <c r="QEA75"/>
      <c r="QEB75" s="174"/>
      <c r="QEC75" s="175"/>
      <c r="QED75" s="176"/>
      <c r="QEE75" s="176"/>
      <c r="QEF75" s="175"/>
      <c r="QEG75" s="177"/>
      <c r="QEH75" s="175"/>
      <c r="QEI75" s="177"/>
      <c r="QEJ75" s="178"/>
      <c r="QEK75" s="179"/>
      <c r="QEL75"/>
      <c r="QEM75" s="180"/>
      <c r="QEN75"/>
      <c r="QEO75" s="172"/>
      <c r="QEP75" s="181"/>
      <c r="QEQ75"/>
      <c r="QER75" s="174"/>
      <c r="QES75" s="175"/>
      <c r="QET75" s="176"/>
      <c r="QEU75" s="176"/>
      <c r="QEV75" s="175"/>
      <c r="QEW75" s="177"/>
      <c r="QEX75" s="175"/>
      <c r="QEY75" s="177"/>
      <c r="QEZ75" s="178"/>
      <c r="QFA75" s="179"/>
      <c r="QFB75"/>
      <c r="QFC75" s="180"/>
      <c r="QFD75"/>
      <c r="QFE75" s="172"/>
      <c r="QFF75" s="181"/>
      <c r="QFG75"/>
      <c r="QFH75" s="174"/>
      <c r="QFI75" s="175"/>
      <c r="QFJ75" s="176"/>
      <c r="QFK75" s="176"/>
      <c r="QFL75" s="175"/>
      <c r="QFM75" s="177"/>
      <c r="QFN75" s="175"/>
      <c r="QFO75" s="177"/>
      <c r="QFP75" s="178"/>
      <c r="QFQ75" s="179"/>
      <c r="QFR75"/>
      <c r="QFS75" s="180"/>
      <c r="QFT75"/>
      <c r="QFU75" s="172"/>
      <c r="QFV75" s="181"/>
      <c r="QFW75"/>
      <c r="QFX75" s="174"/>
      <c r="QFY75" s="175"/>
      <c r="QFZ75" s="176"/>
      <c r="QGA75" s="176"/>
      <c r="QGB75" s="175"/>
      <c r="QGC75" s="177"/>
      <c r="QGD75" s="175"/>
      <c r="QGE75" s="177"/>
      <c r="QGF75" s="178"/>
      <c r="QGG75" s="179"/>
      <c r="QGH75"/>
      <c r="QGI75" s="180"/>
      <c r="QGJ75"/>
      <c r="QGK75" s="172"/>
      <c r="QGL75" s="181"/>
      <c r="QGM75"/>
      <c r="QGN75" s="174"/>
      <c r="QGO75" s="175"/>
      <c r="QGP75" s="176"/>
      <c r="QGQ75" s="176"/>
      <c r="QGR75" s="175"/>
      <c r="QGS75" s="177"/>
      <c r="QGT75" s="175"/>
      <c r="QGU75" s="177"/>
      <c r="QGV75" s="178"/>
      <c r="QGW75" s="179"/>
      <c r="QGX75"/>
      <c r="QGY75" s="180"/>
      <c r="QGZ75"/>
      <c r="QHA75" s="172"/>
      <c r="QHB75" s="181"/>
      <c r="QHC75"/>
      <c r="QHD75" s="174"/>
      <c r="QHE75" s="175"/>
      <c r="QHF75" s="176"/>
      <c r="QHG75" s="176"/>
      <c r="QHH75" s="175"/>
      <c r="QHI75" s="177"/>
      <c r="QHJ75" s="175"/>
      <c r="QHK75" s="177"/>
      <c r="QHL75" s="178"/>
      <c r="QHM75" s="179"/>
      <c r="QHN75"/>
      <c r="QHO75" s="180"/>
      <c r="QHP75"/>
      <c r="QHQ75" s="172"/>
      <c r="QHR75" s="181"/>
      <c r="QHS75"/>
      <c r="QHT75" s="174"/>
      <c r="QHU75" s="175"/>
      <c r="QHV75" s="176"/>
      <c r="QHW75" s="176"/>
      <c r="QHX75" s="175"/>
      <c r="QHY75" s="177"/>
      <c r="QHZ75" s="175"/>
      <c r="QIA75" s="177"/>
      <c r="QIB75" s="178"/>
      <c r="QIC75" s="179"/>
      <c r="QID75"/>
      <c r="QIE75" s="180"/>
      <c r="QIF75"/>
      <c r="QIG75" s="172"/>
      <c r="QIH75" s="181"/>
      <c r="QII75"/>
      <c r="QIJ75" s="174"/>
      <c r="QIK75" s="175"/>
      <c r="QIL75" s="176"/>
      <c r="QIM75" s="176"/>
      <c r="QIN75" s="175"/>
      <c r="QIO75" s="177"/>
      <c r="QIP75" s="175"/>
      <c r="QIQ75" s="177"/>
      <c r="QIR75" s="178"/>
      <c r="QIS75" s="179"/>
      <c r="QIT75"/>
      <c r="QIU75" s="180"/>
      <c r="QIV75"/>
      <c r="QIW75" s="172"/>
      <c r="QIX75" s="181"/>
      <c r="QIY75"/>
      <c r="QIZ75" s="174"/>
      <c r="QJA75" s="175"/>
      <c r="QJB75" s="176"/>
      <c r="QJC75" s="176"/>
      <c r="QJD75" s="175"/>
      <c r="QJE75" s="177"/>
      <c r="QJF75" s="175"/>
      <c r="QJG75" s="177"/>
      <c r="QJH75" s="178"/>
      <c r="QJI75" s="179"/>
      <c r="QJJ75"/>
      <c r="QJK75" s="180"/>
      <c r="QJL75"/>
      <c r="QJM75" s="172"/>
      <c r="QJN75" s="181"/>
      <c r="QJO75"/>
      <c r="QJP75" s="174"/>
      <c r="QJQ75" s="175"/>
      <c r="QJR75" s="176"/>
      <c r="QJS75" s="176"/>
      <c r="QJT75" s="175"/>
      <c r="QJU75" s="177"/>
      <c r="QJV75" s="175"/>
      <c r="QJW75" s="177"/>
      <c r="QJX75" s="178"/>
      <c r="QJY75" s="179"/>
      <c r="QJZ75"/>
      <c r="QKA75" s="180"/>
      <c r="QKB75"/>
      <c r="QKC75" s="172"/>
      <c r="QKD75" s="181"/>
      <c r="QKE75"/>
      <c r="QKF75" s="174"/>
      <c r="QKG75" s="175"/>
      <c r="QKH75" s="176"/>
      <c r="QKI75" s="176"/>
      <c r="QKJ75" s="175"/>
      <c r="QKK75" s="177"/>
      <c r="QKL75" s="175"/>
      <c r="QKM75" s="177"/>
      <c r="QKN75" s="178"/>
      <c r="QKO75" s="179"/>
      <c r="QKP75"/>
      <c r="QKQ75" s="180"/>
      <c r="QKR75"/>
      <c r="QKS75" s="172"/>
      <c r="QKT75" s="181"/>
      <c r="QKU75"/>
      <c r="QKV75" s="174"/>
      <c r="QKW75" s="175"/>
      <c r="QKX75" s="176"/>
      <c r="QKY75" s="176"/>
      <c r="QKZ75" s="175"/>
      <c r="QLA75" s="177"/>
      <c r="QLB75" s="175"/>
      <c r="QLC75" s="177"/>
      <c r="QLD75" s="178"/>
      <c r="QLE75" s="179"/>
      <c r="QLF75"/>
      <c r="QLG75" s="180"/>
      <c r="QLH75"/>
      <c r="QLI75" s="172"/>
      <c r="QLJ75" s="181"/>
      <c r="QLK75"/>
      <c r="QLL75" s="174"/>
      <c r="QLM75" s="175"/>
      <c r="QLN75" s="176"/>
      <c r="QLO75" s="176"/>
      <c r="QLP75" s="175"/>
      <c r="QLQ75" s="177"/>
      <c r="QLR75" s="175"/>
      <c r="QLS75" s="177"/>
      <c r="QLT75" s="178"/>
      <c r="QLU75" s="179"/>
      <c r="QLV75"/>
      <c r="QLW75" s="180"/>
      <c r="QLX75"/>
      <c r="QLY75" s="172"/>
      <c r="QLZ75" s="181"/>
      <c r="QMA75"/>
      <c r="QMB75" s="174"/>
      <c r="QMC75" s="175"/>
      <c r="QMD75" s="176"/>
      <c r="QME75" s="176"/>
      <c r="QMF75" s="175"/>
      <c r="QMG75" s="177"/>
      <c r="QMH75" s="175"/>
      <c r="QMI75" s="177"/>
      <c r="QMJ75" s="178"/>
      <c r="QMK75" s="179"/>
      <c r="QML75"/>
      <c r="QMM75" s="180"/>
      <c r="QMN75"/>
      <c r="QMO75" s="172"/>
      <c r="QMP75" s="181"/>
      <c r="QMQ75"/>
      <c r="QMR75" s="174"/>
      <c r="QMS75" s="175"/>
      <c r="QMT75" s="176"/>
      <c r="QMU75" s="176"/>
      <c r="QMV75" s="175"/>
      <c r="QMW75" s="177"/>
      <c r="QMX75" s="175"/>
      <c r="QMY75" s="177"/>
      <c r="QMZ75" s="178"/>
      <c r="QNA75" s="179"/>
      <c r="QNB75"/>
      <c r="QNC75" s="180"/>
      <c r="QND75"/>
      <c r="QNE75" s="172"/>
      <c r="QNF75" s="181"/>
      <c r="QNG75"/>
      <c r="QNH75" s="174"/>
      <c r="QNI75" s="175"/>
      <c r="QNJ75" s="176"/>
      <c r="QNK75" s="176"/>
      <c r="QNL75" s="175"/>
      <c r="QNM75" s="177"/>
      <c r="QNN75" s="175"/>
      <c r="QNO75" s="177"/>
      <c r="QNP75" s="178"/>
      <c r="QNQ75" s="179"/>
      <c r="QNR75"/>
      <c r="QNS75" s="180"/>
      <c r="QNT75"/>
      <c r="QNU75" s="172"/>
      <c r="QNV75" s="181"/>
      <c r="QNW75"/>
      <c r="QNX75" s="174"/>
      <c r="QNY75" s="175"/>
      <c r="QNZ75" s="176"/>
      <c r="QOA75" s="176"/>
      <c r="QOB75" s="175"/>
      <c r="QOC75" s="177"/>
      <c r="QOD75" s="175"/>
      <c r="QOE75" s="177"/>
      <c r="QOF75" s="178"/>
      <c r="QOG75" s="179"/>
      <c r="QOH75"/>
      <c r="QOI75" s="180"/>
      <c r="QOJ75"/>
      <c r="QOK75" s="172"/>
      <c r="QOL75" s="181"/>
      <c r="QOM75"/>
      <c r="QON75" s="174"/>
      <c r="QOO75" s="175"/>
      <c r="QOP75" s="176"/>
      <c r="QOQ75" s="176"/>
      <c r="QOR75" s="175"/>
      <c r="QOS75" s="177"/>
      <c r="QOT75" s="175"/>
      <c r="QOU75" s="177"/>
      <c r="QOV75" s="178"/>
      <c r="QOW75" s="179"/>
      <c r="QOX75"/>
      <c r="QOY75" s="180"/>
      <c r="QOZ75"/>
      <c r="QPA75" s="172"/>
      <c r="QPB75" s="181"/>
      <c r="QPC75"/>
      <c r="QPD75" s="174"/>
      <c r="QPE75" s="175"/>
      <c r="QPF75" s="176"/>
      <c r="QPG75" s="176"/>
      <c r="QPH75" s="175"/>
      <c r="QPI75" s="177"/>
      <c r="QPJ75" s="175"/>
      <c r="QPK75" s="177"/>
      <c r="QPL75" s="178"/>
      <c r="QPM75" s="179"/>
      <c r="QPN75"/>
      <c r="QPO75" s="180"/>
      <c r="QPP75"/>
      <c r="QPQ75" s="172"/>
      <c r="QPR75" s="181"/>
      <c r="QPS75"/>
      <c r="QPT75" s="174"/>
      <c r="QPU75" s="175"/>
      <c r="QPV75" s="176"/>
      <c r="QPW75" s="176"/>
      <c r="QPX75" s="175"/>
      <c r="QPY75" s="177"/>
      <c r="QPZ75" s="175"/>
      <c r="QQA75" s="177"/>
      <c r="QQB75" s="178"/>
      <c r="QQC75" s="179"/>
      <c r="QQD75"/>
      <c r="QQE75" s="180"/>
      <c r="QQF75"/>
      <c r="QQG75" s="172"/>
      <c r="QQH75" s="181"/>
      <c r="QQI75"/>
      <c r="QQJ75" s="174"/>
      <c r="QQK75" s="175"/>
      <c r="QQL75" s="176"/>
      <c r="QQM75" s="176"/>
      <c r="QQN75" s="175"/>
      <c r="QQO75" s="177"/>
      <c r="QQP75" s="175"/>
      <c r="QQQ75" s="177"/>
      <c r="QQR75" s="178"/>
      <c r="QQS75" s="179"/>
      <c r="QQT75"/>
      <c r="QQU75" s="180"/>
      <c r="QQV75"/>
      <c r="QQW75" s="172"/>
      <c r="QQX75" s="181"/>
      <c r="QQY75"/>
      <c r="QQZ75" s="174"/>
      <c r="QRA75" s="175"/>
      <c r="QRB75" s="176"/>
      <c r="QRC75" s="176"/>
      <c r="QRD75" s="175"/>
      <c r="QRE75" s="177"/>
      <c r="QRF75" s="175"/>
      <c r="QRG75" s="177"/>
      <c r="QRH75" s="178"/>
      <c r="QRI75" s="179"/>
      <c r="QRJ75"/>
      <c r="QRK75" s="180"/>
      <c r="QRL75"/>
      <c r="QRM75" s="172"/>
      <c r="QRN75" s="181"/>
      <c r="QRO75"/>
      <c r="QRP75" s="174"/>
      <c r="QRQ75" s="175"/>
      <c r="QRR75" s="176"/>
      <c r="QRS75" s="176"/>
      <c r="QRT75" s="175"/>
      <c r="QRU75" s="177"/>
      <c r="QRV75" s="175"/>
      <c r="QRW75" s="177"/>
      <c r="QRX75" s="178"/>
      <c r="QRY75" s="179"/>
      <c r="QRZ75"/>
      <c r="QSA75" s="180"/>
      <c r="QSB75"/>
      <c r="QSC75" s="172"/>
      <c r="QSD75" s="181"/>
      <c r="QSE75"/>
      <c r="QSF75" s="174"/>
      <c r="QSG75" s="175"/>
      <c r="QSH75" s="176"/>
      <c r="QSI75" s="176"/>
      <c r="QSJ75" s="175"/>
      <c r="QSK75" s="177"/>
      <c r="QSL75" s="175"/>
      <c r="QSM75" s="177"/>
      <c r="QSN75" s="178"/>
      <c r="QSO75" s="179"/>
      <c r="QSP75"/>
      <c r="QSQ75" s="180"/>
      <c r="QSR75"/>
      <c r="QSS75" s="172"/>
      <c r="QST75" s="181"/>
      <c r="QSU75"/>
      <c r="QSV75" s="174"/>
      <c r="QSW75" s="175"/>
      <c r="QSX75" s="176"/>
      <c r="QSY75" s="176"/>
      <c r="QSZ75" s="175"/>
      <c r="QTA75" s="177"/>
      <c r="QTB75" s="175"/>
      <c r="QTC75" s="177"/>
      <c r="QTD75" s="178"/>
      <c r="QTE75" s="179"/>
      <c r="QTF75"/>
      <c r="QTG75" s="180"/>
      <c r="QTH75"/>
      <c r="QTI75" s="172"/>
      <c r="QTJ75" s="181"/>
      <c r="QTK75"/>
      <c r="QTL75" s="174"/>
      <c r="QTM75" s="175"/>
      <c r="QTN75" s="176"/>
      <c r="QTO75" s="176"/>
      <c r="QTP75" s="175"/>
      <c r="QTQ75" s="177"/>
      <c r="QTR75" s="175"/>
      <c r="QTS75" s="177"/>
      <c r="QTT75" s="178"/>
      <c r="QTU75" s="179"/>
      <c r="QTV75"/>
      <c r="QTW75" s="180"/>
      <c r="QTX75"/>
      <c r="QTY75" s="172"/>
      <c r="QTZ75" s="181"/>
      <c r="QUA75"/>
      <c r="QUB75" s="174"/>
      <c r="QUC75" s="175"/>
      <c r="QUD75" s="176"/>
      <c r="QUE75" s="176"/>
      <c r="QUF75" s="175"/>
      <c r="QUG75" s="177"/>
      <c r="QUH75" s="175"/>
      <c r="QUI75" s="177"/>
      <c r="QUJ75" s="178"/>
      <c r="QUK75" s="179"/>
      <c r="QUL75"/>
      <c r="QUM75" s="180"/>
      <c r="QUN75"/>
      <c r="QUO75" s="172"/>
      <c r="QUP75" s="181"/>
      <c r="QUQ75"/>
      <c r="QUR75" s="174"/>
      <c r="QUS75" s="175"/>
      <c r="QUT75" s="176"/>
      <c r="QUU75" s="176"/>
      <c r="QUV75" s="175"/>
      <c r="QUW75" s="177"/>
      <c r="QUX75" s="175"/>
      <c r="QUY75" s="177"/>
      <c r="QUZ75" s="178"/>
      <c r="QVA75" s="179"/>
      <c r="QVB75"/>
      <c r="QVC75" s="180"/>
      <c r="QVD75"/>
      <c r="QVE75" s="172"/>
      <c r="QVF75" s="181"/>
      <c r="QVG75"/>
      <c r="QVH75" s="174"/>
      <c r="QVI75" s="175"/>
      <c r="QVJ75" s="176"/>
      <c r="QVK75" s="176"/>
      <c r="QVL75" s="175"/>
      <c r="QVM75" s="177"/>
      <c r="QVN75" s="175"/>
      <c r="QVO75" s="177"/>
      <c r="QVP75" s="178"/>
      <c r="QVQ75" s="179"/>
      <c r="QVR75"/>
      <c r="QVS75" s="180"/>
      <c r="QVT75"/>
      <c r="QVU75" s="172"/>
      <c r="QVV75" s="181"/>
      <c r="QVW75"/>
      <c r="QVX75" s="174"/>
      <c r="QVY75" s="175"/>
      <c r="QVZ75" s="176"/>
      <c r="QWA75" s="176"/>
      <c r="QWB75" s="175"/>
      <c r="QWC75" s="177"/>
      <c r="QWD75" s="175"/>
      <c r="QWE75" s="177"/>
      <c r="QWF75" s="178"/>
      <c r="QWG75" s="179"/>
      <c r="QWH75"/>
      <c r="QWI75" s="180"/>
      <c r="QWJ75"/>
      <c r="QWK75" s="172"/>
      <c r="QWL75" s="181"/>
      <c r="QWM75"/>
      <c r="QWN75" s="174"/>
      <c r="QWO75" s="175"/>
      <c r="QWP75" s="176"/>
      <c r="QWQ75" s="176"/>
      <c r="QWR75" s="175"/>
      <c r="QWS75" s="177"/>
      <c r="QWT75" s="175"/>
      <c r="QWU75" s="177"/>
      <c r="QWV75" s="178"/>
      <c r="QWW75" s="179"/>
      <c r="QWX75"/>
      <c r="QWY75" s="180"/>
      <c r="QWZ75"/>
      <c r="QXA75" s="172"/>
      <c r="QXB75" s="181"/>
      <c r="QXC75"/>
      <c r="QXD75" s="174"/>
      <c r="QXE75" s="175"/>
      <c r="QXF75" s="176"/>
      <c r="QXG75" s="176"/>
      <c r="QXH75" s="175"/>
      <c r="QXI75" s="177"/>
      <c r="QXJ75" s="175"/>
      <c r="QXK75" s="177"/>
      <c r="QXL75" s="178"/>
      <c r="QXM75" s="179"/>
      <c r="QXN75"/>
      <c r="QXO75" s="180"/>
      <c r="QXP75"/>
      <c r="QXQ75" s="172"/>
      <c r="QXR75" s="181"/>
      <c r="QXS75"/>
      <c r="QXT75" s="174"/>
      <c r="QXU75" s="175"/>
      <c r="QXV75" s="176"/>
      <c r="QXW75" s="176"/>
      <c r="QXX75" s="175"/>
      <c r="QXY75" s="177"/>
      <c r="QXZ75" s="175"/>
      <c r="QYA75" s="177"/>
      <c r="QYB75" s="178"/>
      <c r="QYC75" s="179"/>
      <c r="QYD75"/>
      <c r="QYE75" s="180"/>
      <c r="QYF75"/>
      <c r="QYG75" s="172"/>
      <c r="QYH75" s="181"/>
      <c r="QYI75"/>
      <c r="QYJ75" s="174"/>
      <c r="QYK75" s="175"/>
      <c r="QYL75" s="176"/>
      <c r="QYM75" s="176"/>
      <c r="QYN75" s="175"/>
      <c r="QYO75" s="177"/>
      <c r="QYP75" s="175"/>
      <c r="QYQ75" s="177"/>
      <c r="QYR75" s="178"/>
      <c r="QYS75" s="179"/>
      <c r="QYT75"/>
      <c r="QYU75" s="180"/>
      <c r="QYV75"/>
      <c r="QYW75" s="172"/>
      <c r="QYX75" s="181"/>
      <c r="QYY75"/>
      <c r="QYZ75" s="174"/>
      <c r="QZA75" s="175"/>
      <c r="QZB75" s="176"/>
      <c r="QZC75" s="176"/>
      <c r="QZD75" s="175"/>
      <c r="QZE75" s="177"/>
      <c r="QZF75" s="175"/>
      <c r="QZG75" s="177"/>
      <c r="QZH75" s="178"/>
      <c r="QZI75" s="179"/>
      <c r="QZJ75"/>
      <c r="QZK75" s="180"/>
      <c r="QZL75"/>
      <c r="QZM75" s="172"/>
      <c r="QZN75" s="181"/>
      <c r="QZO75"/>
      <c r="QZP75" s="174"/>
      <c r="QZQ75" s="175"/>
      <c r="QZR75" s="176"/>
      <c r="QZS75" s="176"/>
      <c r="QZT75" s="175"/>
      <c r="QZU75" s="177"/>
      <c r="QZV75" s="175"/>
      <c r="QZW75" s="177"/>
      <c r="QZX75" s="178"/>
      <c r="QZY75" s="179"/>
      <c r="QZZ75"/>
      <c r="RAA75" s="180"/>
      <c r="RAB75"/>
      <c r="RAC75" s="172"/>
      <c r="RAD75" s="181"/>
      <c r="RAE75"/>
      <c r="RWX75" s="181"/>
      <c r="RWY75"/>
      <c r="RWZ75" s="174"/>
      <c r="RXA75" s="175"/>
      <c r="RXB75" s="176"/>
      <c r="RXC75" s="176"/>
      <c r="RXD75" s="175"/>
      <c r="RXE75" s="177"/>
      <c r="RXF75" s="175"/>
      <c r="RXG75" s="177"/>
      <c r="RXH75" s="178"/>
      <c r="RXI75" s="179"/>
      <c r="RXJ75"/>
      <c r="RXK75" s="180"/>
      <c r="RXL75"/>
      <c r="RXM75" s="172"/>
      <c r="RXN75" s="181"/>
      <c r="RXO75"/>
      <c r="RXP75" s="174"/>
      <c r="RXQ75" s="175"/>
      <c r="RXR75" s="176"/>
      <c r="RXS75" s="176"/>
      <c r="RXT75" s="175"/>
      <c r="RXU75" s="177"/>
      <c r="RXV75" s="175"/>
      <c r="RXW75" s="177"/>
      <c r="RXX75" s="178"/>
      <c r="RXY75" s="179"/>
      <c r="RXZ75"/>
      <c r="RYA75" s="180"/>
      <c r="RYB75"/>
      <c r="RYC75" s="172"/>
      <c r="RYD75" s="181"/>
      <c r="RYE75"/>
      <c r="RYF75" s="174"/>
      <c r="RYG75" s="175"/>
      <c r="RYH75" s="176"/>
      <c r="RYI75" s="176"/>
      <c r="RYJ75" s="175"/>
      <c r="RYK75" s="177"/>
      <c r="RYL75" s="175"/>
      <c r="RYM75" s="177"/>
      <c r="RYN75" s="178"/>
      <c r="RYO75" s="179"/>
      <c r="RYP75"/>
      <c r="RYQ75" s="180"/>
      <c r="RYR75"/>
      <c r="RYS75" s="172"/>
      <c r="RYT75" s="181"/>
      <c r="RYU75"/>
      <c r="RYV75" s="174"/>
      <c r="RYW75" s="175"/>
      <c r="RYX75" s="176"/>
      <c r="RYY75" s="176"/>
      <c r="RYZ75" s="175"/>
      <c r="RZA75" s="177"/>
      <c r="RZB75" s="175"/>
      <c r="RZC75" s="177"/>
      <c r="RZD75" s="178"/>
      <c r="RZE75" s="179"/>
      <c r="RZF75"/>
      <c r="RZG75" s="180"/>
      <c r="RZH75"/>
      <c r="RZI75" s="172"/>
      <c r="RZJ75" s="181"/>
      <c r="RZK75"/>
      <c r="RZL75" s="174"/>
      <c r="RZM75" s="175"/>
      <c r="RZN75" s="176"/>
      <c r="RZO75" s="176"/>
      <c r="RZP75" s="175"/>
      <c r="RZQ75" s="177"/>
      <c r="RZR75" s="175"/>
      <c r="RZS75" s="177"/>
      <c r="RZT75" s="178"/>
      <c r="RZU75" s="179"/>
      <c r="RZV75"/>
      <c r="RZW75" s="180"/>
      <c r="RZX75"/>
      <c r="RZY75" s="172"/>
      <c r="RZZ75" s="181"/>
      <c r="SAA75"/>
      <c r="SAB75" s="174"/>
      <c r="SAC75" s="175"/>
      <c r="SAD75" s="176"/>
      <c r="SAE75" s="176"/>
      <c r="SAF75" s="175"/>
      <c r="SAG75" s="177"/>
      <c r="SAH75" s="175"/>
      <c r="SAI75" s="177"/>
      <c r="SAJ75" s="178"/>
      <c r="SAK75" s="179"/>
      <c r="SAL75"/>
      <c r="SAM75" s="180"/>
      <c r="SAN75"/>
      <c r="SAO75" s="172"/>
      <c r="SAP75" s="181"/>
      <c r="SAQ75"/>
      <c r="SAR75" s="174"/>
      <c r="SAS75" s="175"/>
      <c r="SAT75" s="176"/>
      <c r="SAU75" s="176"/>
      <c r="SAV75" s="175"/>
      <c r="SAW75" s="177"/>
      <c r="SAX75" s="175"/>
      <c r="SAY75" s="177"/>
      <c r="SAZ75" s="178"/>
      <c r="SBA75" s="179"/>
      <c r="SBB75"/>
      <c r="SBC75" s="180"/>
      <c r="SBD75"/>
      <c r="SBE75" s="172"/>
      <c r="SBF75" s="181"/>
      <c r="SBG75"/>
      <c r="SBH75" s="174"/>
      <c r="SBI75" s="175"/>
      <c r="SBJ75" s="176"/>
      <c r="SBK75" s="176"/>
      <c r="SBL75" s="175"/>
      <c r="SBM75" s="177"/>
      <c r="SBN75" s="175"/>
      <c r="SBO75" s="177"/>
      <c r="SBP75" s="178"/>
      <c r="SBQ75" s="179"/>
      <c r="SBR75"/>
      <c r="SBS75" s="180"/>
      <c r="SBT75"/>
      <c r="SBU75" s="172"/>
      <c r="SBV75" s="181"/>
      <c r="SBW75"/>
      <c r="SBX75" s="174"/>
      <c r="SBY75" s="175"/>
      <c r="SBZ75" s="176"/>
      <c r="SCA75" s="176"/>
      <c r="SCB75" s="175"/>
      <c r="SCC75" s="177"/>
      <c r="SCD75" s="175"/>
      <c r="SCE75" s="177"/>
      <c r="SCF75" s="178"/>
      <c r="SCG75" s="179"/>
      <c r="SCH75"/>
      <c r="SCI75" s="180"/>
      <c r="SCJ75"/>
      <c r="SCK75" s="172"/>
      <c r="SCL75" s="181"/>
      <c r="SCM75"/>
      <c r="SCN75" s="174"/>
      <c r="SCO75" s="175"/>
      <c r="SCP75" s="176"/>
      <c r="SCQ75" s="176"/>
      <c r="SCR75" s="175"/>
      <c r="SCS75" s="177"/>
      <c r="SCT75" s="175"/>
      <c r="SCU75" s="177"/>
      <c r="SCV75" s="178"/>
      <c r="SCW75" s="179"/>
      <c r="SCX75"/>
      <c r="SCY75" s="180"/>
      <c r="SCZ75"/>
      <c r="SDA75" s="172"/>
      <c r="SDB75" s="181"/>
      <c r="SDC75"/>
      <c r="SDD75" s="174"/>
      <c r="SDE75" s="175"/>
      <c r="SDF75" s="176"/>
      <c r="SDG75" s="176"/>
      <c r="SDH75" s="175"/>
      <c r="SDI75" s="177"/>
      <c r="SDJ75" s="175"/>
      <c r="SDK75" s="177"/>
      <c r="SDL75" s="178"/>
      <c r="SDM75" s="179"/>
      <c r="SDN75"/>
      <c r="SDO75" s="180"/>
      <c r="SDP75"/>
      <c r="SDQ75" s="172"/>
      <c r="SDR75" s="181"/>
      <c r="SDS75"/>
      <c r="SDT75" s="174"/>
      <c r="SDU75" s="175"/>
      <c r="SDV75" s="176"/>
      <c r="SDW75" s="176"/>
      <c r="SDX75" s="175"/>
      <c r="SDY75" s="177"/>
      <c r="SDZ75" s="175"/>
      <c r="SEA75" s="177"/>
      <c r="SEB75" s="178"/>
      <c r="SEC75" s="179"/>
      <c r="SED75"/>
      <c r="SEE75" s="180"/>
      <c r="SEF75"/>
      <c r="SEG75" s="172"/>
      <c r="SEH75" s="181"/>
      <c r="SEI75"/>
      <c r="SEJ75" s="174"/>
      <c r="SEK75" s="175"/>
      <c r="SEL75" s="176"/>
      <c r="SEM75" s="176"/>
      <c r="SEN75" s="175"/>
      <c r="SEO75" s="177"/>
      <c r="SEP75" s="175"/>
      <c r="SEQ75" s="177"/>
      <c r="SER75" s="178"/>
      <c r="SES75" s="179"/>
      <c r="SET75"/>
      <c r="SEU75" s="180"/>
      <c r="SEV75"/>
      <c r="SEW75" s="172"/>
      <c r="SEX75" s="181"/>
      <c r="SEY75"/>
      <c r="SEZ75" s="174"/>
      <c r="SFA75" s="175"/>
      <c r="SFB75" s="176"/>
      <c r="SFC75" s="176"/>
      <c r="SFD75" s="175"/>
      <c r="SFE75" s="177"/>
      <c r="SFF75" s="175"/>
      <c r="SFG75" s="177"/>
      <c r="SFH75" s="178"/>
      <c r="SFI75" s="179"/>
      <c r="SFJ75"/>
      <c r="SFK75" s="180"/>
      <c r="SFL75"/>
      <c r="SFM75" s="172"/>
      <c r="SFN75" s="181"/>
      <c r="SFO75"/>
      <c r="SFP75" s="174"/>
      <c r="SFQ75" s="175"/>
      <c r="SFR75" s="176"/>
      <c r="SFS75" s="176"/>
      <c r="SFT75" s="175"/>
      <c r="SFU75" s="177"/>
      <c r="SFV75" s="175"/>
      <c r="SFW75" s="177"/>
      <c r="SFX75" s="178"/>
      <c r="SFY75" s="179"/>
      <c r="SFZ75"/>
      <c r="SGA75" s="180"/>
      <c r="SGB75"/>
      <c r="SGC75" s="172"/>
      <c r="SGD75" s="181"/>
      <c r="SGE75"/>
      <c r="SGF75" s="174"/>
      <c r="SGG75" s="175"/>
      <c r="SGH75" s="176"/>
      <c r="SGI75" s="176"/>
      <c r="SGJ75" s="175"/>
      <c r="SGK75" s="177"/>
      <c r="SGL75" s="175"/>
      <c r="SGM75" s="177"/>
      <c r="SGN75" s="178"/>
      <c r="SGO75" s="179"/>
      <c r="SGP75"/>
      <c r="SGQ75" s="180"/>
      <c r="SGR75"/>
      <c r="SGS75" s="172"/>
      <c r="SGT75" s="181"/>
      <c r="SGU75"/>
      <c r="SGV75" s="174"/>
      <c r="SGW75" s="175"/>
      <c r="SGX75" s="176"/>
      <c r="SGY75" s="176"/>
      <c r="SGZ75" s="175"/>
      <c r="SHA75" s="177"/>
      <c r="SHB75" s="175"/>
      <c r="SHC75" s="177"/>
      <c r="SHD75" s="178"/>
      <c r="SHE75" s="179"/>
      <c r="SHF75"/>
      <c r="SHG75" s="180"/>
      <c r="SHH75"/>
      <c r="SHI75" s="172"/>
      <c r="SHJ75" s="181"/>
      <c r="SHK75"/>
      <c r="SHL75" s="174"/>
      <c r="SHM75" s="175"/>
      <c r="SHN75" s="176"/>
      <c r="SHO75" s="176"/>
      <c r="SHP75" s="175"/>
      <c r="SHQ75" s="177"/>
      <c r="SHR75" s="175"/>
      <c r="SHS75" s="177"/>
      <c r="SHT75" s="178"/>
      <c r="SHU75" s="179"/>
      <c r="SHV75"/>
      <c r="SHW75" s="180"/>
      <c r="SHX75"/>
      <c r="SHY75" s="172"/>
      <c r="SHZ75" s="181"/>
      <c r="SIA75"/>
      <c r="SIB75" s="174"/>
      <c r="SIC75" s="175"/>
      <c r="SID75" s="176"/>
      <c r="SIE75" s="176"/>
      <c r="SIF75" s="175"/>
      <c r="SIG75" s="177"/>
      <c r="SIH75" s="175"/>
      <c r="SII75" s="177"/>
      <c r="SIJ75" s="178"/>
      <c r="SIK75" s="179"/>
      <c r="SIL75"/>
      <c r="SIM75" s="180"/>
      <c r="SIN75"/>
      <c r="SIO75" s="172"/>
      <c r="SIP75" s="181"/>
      <c r="SIQ75"/>
      <c r="SIR75" s="174"/>
      <c r="SIS75" s="175"/>
      <c r="SIT75" s="176"/>
      <c r="SIU75" s="176"/>
      <c r="SIV75" s="175"/>
      <c r="SIW75" s="177"/>
      <c r="SIX75" s="175"/>
      <c r="SIY75" s="177"/>
      <c r="SIZ75" s="178"/>
      <c r="SJA75" s="179"/>
      <c r="SJB75"/>
      <c r="SJC75" s="180"/>
      <c r="SJD75"/>
      <c r="SJE75" s="172"/>
      <c r="SJF75" s="181"/>
      <c r="SJG75"/>
      <c r="SJH75" s="174"/>
      <c r="SJI75" s="175"/>
      <c r="SJJ75" s="176"/>
      <c r="SJK75" s="176"/>
      <c r="SJL75" s="175"/>
      <c r="SJM75" s="177"/>
      <c r="SJN75" s="175"/>
      <c r="SJO75" s="177"/>
      <c r="SJP75" s="178"/>
      <c r="SJQ75" s="179"/>
      <c r="SJR75"/>
      <c r="SJS75" s="180"/>
      <c r="SJT75"/>
      <c r="SJU75" s="172"/>
      <c r="SJV75" s="181"/>
      <c r="SJW75"/>
      <c r="SJX75" s="174"/>
      <c r="SJY75" s="175"/>
      <c r="SJZ75" s="176"/>
      <c r="SKA75" s="176"/>
      <c r="SKB75" s="175"/>
      <c r="SKC75" s="177"/>
      <c r="SKD75" s="175"/>
      <c r="SKE75" s="177"/>
      <c r="SKF75" s="178"/>
      <c r="SKG75" s="179"/>
      <c r="SKH75"/>
      <c r="SKI75" s="180"/>
      <c r="SKJ75"/>
      <c r="SKK75" s="172"/>
      <c r="SKL75" s="181"/>
      <c r="SKM75"/>
      <c r="SKN75" s="174"/>
      <c r="SKO75" s="175"/>
      <c r="SKP75" s="176"/>
      <c r="SKQ75" s="176"/>
      <c r="SKR75" s="175"/>
      <c r="SKS75" s="177"/>
      <c r="SKT75" s="175"/>
      <c r="SKU75" s="177"/>
      <c r="SKV75" s="178"/>
      <c r="SKW75" s="179"/>
      <c r="SKX75"/>
      <c r="SKY75" s="180"/>
      <c r="SKZ75"/>
      <c r="SLA75" s="172"/>
      <c r="SLB75" s="181"/>
      <c r="SLC75"/>
      <c r="SLD75" s="174"/>
      <c r="SLE75" s="175"/>
      <c r="SLF75" s="176"/>
      <c r="SLG75" s="176"/>
      <c r="SLH75" s="175"/>
      <c r="SLI75" s="177"/>
      <c r="SLJ75" s="175"/>
      <c r="SLK75" s="177"/>
      <c r="SLL75" s="178"/>
      <c r="SLM75" s="179"/>
      <c r="SLN75"/>
      <c r="SLO75" s="180"/>
      <c r="SLP75"/>
      <c r="SLQ75" s="172"/>
      <c r="SLR75" s="181"/>
      <c r="SLS75"/>
      <c r="SLT75" s="174"/>
      <c r="SLU75" s="175"/>
      <c r="SLV75" s="176"/>
      <c r="SLW75" s="176"/>
      <c r="SLX75" s="175"/>
      <c r="SLY75" s="177"/>
      <c r="SLZ75" s="175"/>
      <c r="SMA75" s="177"/>
      <c r="SMB75" s="178"/>
      <c r="SMC75" s="179"/>
      <c r="SMD75"/>
      <c r="SME75" s="180"/>
      <c r="SMF75"/>
      <c r="SMG75" s="172"/>
      <c r="SMH75" s="181"/>
      <c r="SMI75"/>
      <c r="SMJ75" s="174"/>
      <c r="SMK75" s="175"/>
      <c r="SML75" s="176"/>
      <c r="SMM75" s="176"/>
      <c r="SMN75" s="175"/>
      <c r="SMO75" s="177"/>
      <c r="SMP75" s="175"/>
      <c r="SMQ75" s="177"/>
      <c r="SMR75" s="178"/>
      <c r="SMS75" s="179"/>
      <c r="SMT75"/>
      <c r="SMU75" s="180"/>
      <c r="SMV75"/>
      <c r="SMW75" s="172"/>
      <c r="SMX75" s="181"/>
      <c r="SMY75"/>
      <c r="SMZ75" s="174"/>
      <c r="SNA75" s="175"/>
      <c r="SNB75" s="176"/>
      <c r="SNC75" s="176"/>
      <c r="SND75" s="175"/>
      <c r="SNE75" s="177"/>
      <c r="SNF75" s="175"/>
      <c r="SNG75" s="177"/>
      <c r="SNH75" s="178"/>
      <c r="SNI75" s="179"/>
      <c r="SNJ75"/>
      <c r="SNK75" s="180"/>
      <c r="SNL75"/>
      <c r="SNM75" s="172"/>
      <c r="SNN75" s="181"/>
      <c r="SNO75"/>
      <c r="SNP75" s="174"/>
      <c r="SNQ75" s="175"/>
      <c r="SNR75" s="176"/>
      <c r="SNS75" s="176"/>
      <c r="SNT75" s="175"/>
      <c r="SNU75" s="177"/>
      <c r="SNV75" s="175"/>
      <c r="SNW75" s="177"/>
      <c r="SNX75" s="178"/>
      <c r="SNY75" s="179"/>
      <c r="SNZ75"/>
      <c r="SOA75" s="180"/>
      <c r="SOB75"/>
      <c r="SOC75" s="172"/>
      <c r="SOD75" s="181"/>
      <c r="SOE75"/>
      <c r="SOF75" s="174"/>
      <c r="SOG75" s="175"/>
      <c r="SOH75" s="176"/>
      <c r="SOI75" s="176"/>
      <c r="SOJ75" s="175"/>
      <c r="SOK75" s="177"/>
      <c r="SOL75" s="175"/>
      <c r="SOM75" s="177"/>
      <c r="SON75" s="178"/>
      <c r="SOO75" s="179"/>
      <c r="SOP75"/>
      <c r="SOQ75" s="180"/>
      <c r="SOR75"/>
      <c r="SOS75" s="172"/>
      <c r="SOT75" s="181"/>
      <c r="SOU75"/>
      <c r="SOV75" s="174"/>
      <c r="SOW75" s="175"/>
      <c r="SOX75" s="176"/>
      <c r="SOY75" s="176"/>
      <c r="SOZ75" s="175"/>
      <c r="SPA75" s="177"/>
      <c r="SPB75" s="175"/>
      <c r="SPC75" s="177"/>
      <c r="SPD75" s="178"/>
      <c r="SPE75" s="179"/>
      <c r="SPF75"/>
      <c r="SPG75" s="180"/>
      <c r="SPH75"/>
      <c r="SPI75" s="172"/>
      <c r="SPJ75" s="181"/>
      <c r="SPK75"/>
      <c r="SPL75" s="174"/>
      <c r="SPM75" s="175"/>
      <c r="SPN75" s="176"/>
      <c r="SPO75" s="176"/>
      <c r="SPP75" s="175"/>
      <c r="SPQ75" s="177"/>
      <c r="SPR75" s="175"/>
      <c r="SPS75" s="177"/>
      <c r="SPT75" s="178"/>
      <c r="SPU75" s="179"/>
      <c r="SPV75"/>
      <c r="SPW75" s="180"/>
      <c r="SPX75"/>
      <c r="SPY75" s="172"/>
      <c r="SPZ75" s="181"/>
      <c r="SQA75"/>
      <c r="SQB75" s="174"/>
      <c r="SQC75" s="175"/>
      <c r="SQD75" s="176"/>
      <c r="SQE75" s="176"/>
      <c r="SQF75" s="175"/>
      <c r="SQG75" s="177"/>
      <c r="SQH75" s="175"/>
      <c r="SQI75" s="177"/>
      <c r="SQJ75" s="178"/>
      <c r="SQK75" s="179"/>
      <c r="SQL75"/>
      <c r="SQM75" s="180"/>
      <c r="SQN75"/>
      <c r="SQO75" s="172"/>
      <c r="SQP75" s="181"/>
      <c r="SQQ75"/>
      <c r="SQR75" s="174"/>
      <c r="SQS75" s="175"/>
      <c r="SQT75" s="176"/>
      <c r="SQU75" s="176"/>
      <c r="SQV75" s="175"/>
      <c r="SQW75" s="177"/>
      <c r="SQX75" s="175"/>
      <c r="SQY75" s="177"/>
      <c r="SQZ75" s="178"/>
      <c r="SRA75" s="179"/>
      <c r="SRB75"/>
      <c r="SRC75" s="180"/>
      <c r="SRD75"/>
      <c r="SRE75" s="172"/>
      <c r="SRF75" s="181"/>
      <c r="SRG75"/>
      <c r="SRH75" s="174"/>
      <c r="SRI75" s="175"/>
      <c r="SRJ75" s="176"/>
      <c r="SRK75" s="176"/>
      <c r="SRL75" s="175"/>
      <c r="SRM75" s="177"/>
      <c r="SRN75" s="175"/>
      <c r="SRO75" s="177"/>
      <c r="SRP75" s="178"/>
      <c r="SRQ75" s="179"/>
      <c r="SRR75"/>
      <c r="SRS75" s="180"/>
      <c r="SRT75"/>
      <c r="SRU75" s="172"/>
      <c r="SRV75" s="181"/>
      <c r="SRW75"/>
      <c r="SRX75" s="174"/>
      <c r="SRY75" s="175"/>
      <c r="SRZ75" s="176"/>
      <c r="SSA75" s="176"/>
      <c r="SSB75" s="175"/>
      <c r="SSC75" s="177"/>
      <c r="SSD75" s="175"/>
      <c r="SSE75" s="177"/>
      <c r="SSF75" s="178"/>
      <c r="SSG75" s="179"/>
      <c r="SSH75"/>
      <c r="SSI75" s="180"/>
      <c r="SSJ75"/>
      <c r="SSK75" s="172"/>
      <c r="SSL75" s="181"/>
      <c r="SSM75"/>
      <c r="SSN75" s="174"/>
      <c r="SSO75" s="175"/>
      <c r="SSP75" s="176"/>
      <c r="SSQ75" s="176"/>
      <c r="SSR75" s="175"/>
      <c r="SSS75" s="177"/>
      <c r="SST75" s="175"/>
      <c r="SSU75" s="177"/>
      <c r="SSV75" s="178"/>
      <c r="SSW75" s="179"/>
      <c r="SSX75"/>
      <c r="SSY75" s="180"/>
      <c r="SSZ75"/>
      <c r="STA75" s="172"/>
      <c r="STB75" s="181"/>
      <c r="STC75"/>
      <c r="STD75" s="174"/>
      <c r="STE75" s="175"/>
      <c r="STF75" s="176"/>
      <c r="STG75" s="176"/>
      <c r="STH75" s="175"/>
      <c r="STI75" s="177"/>
      <c r="STJ75" s="175"/>
      <c r="STK75" s="177"/>
      <c r="STL75" s="178"/>
      <c r="STM75" s="179"/>
      <c r="STN75"/>
      <c r="STO75" s="180"/>
      <c r="STP75"/>
      <c r="STQ75" s="172"/>
      <c r="STR75" s="181"/>
      <c r="STS75"/>
      <c r="STT75" s="174"/>
      <c r="STU75" s="175"/>
      <c r="STV75" s="176"/>
      <c r="STW75" s="176"/>
      <c r="STX75" s="175"/>
      <c r="STY75" s="177"/>
      <c r="STZ75" s="175"/>
      <c r="SUA75" s="177"/>
      <c r="SUB75" s="178"/>
      <c r="SUC75" s="179"/>
      <c r="SUD75"/>
      <c r="SUE75" s="180"/>
      <c r="SUF75"/>
      <c r="SUG75" s="172"/>
      <c r="SUH75" s="181"/>
      <c r="SUI75"/>
      <c r="SUJ75" s="174"/>
      <c r="SUK75" s="175"/>
      <c r="SUL75" s="176"/>
      <c r="SUM75" s="176"/>
      <c r="SUN75" s="175"/>
      <c r="SUO75" s="177"/>
      <c r="SUP75" s="175"/>
      <c r="SUQ75" s="177"/>
      <c r="SUR75" s="178"/>
      <c r="SUS75" s="179"/>
      <c r="SUT75"/>
      <c r="SUU75" s="180"/>
      <c r="SUV75"/>
      <c r="SUW75" s="172"/>
      <c r="SUX75" s="181"/>
      <c r="SUY75"/>
      <c r="SUZ75" s="174"/>
      <c r="SVA75" s="175"/>
      <c r="SVB75" s="176"/>
      <c r="SVC75" s="176"/>
      <c r="SVD75" s="175"/>
      <c r="SVE75" s="177"/>
      <c r="SVF75" s="175"/>
      <c r="SVG75" s="177"/>
      <c r="SVH75" s="178"/>
      <c r="SVI75" s="179"/>
      <c r="SVJ75"/>
      <c r="SVK75" s="180"/>
      <c r="SVL75"/>
      <c r="SVM75" s="172"/>
      <c r="SVN75" s="181"/>
      <c r="SVO75"/>
      <c r="SVP75" s="174"/>
      <c r="SVQ75" s="175"/>
      <c r="SVR75" s="176"/>
      <c r="SVS75" s="176"/>
      <c r="SVT75" s="175"/>
      <c r="SVU75" s="177"/>
      <c r="SVV75" s="175"/>
      <c r="SVW75" s="177"/>
      <c r="SVX75" s="178"/>
      <c r="SVY75" s="179"/>
      <c r="SVZ75"/>
      <c r="SWA75" s="180"/>
      <c r="SWB75"/>
      <c r="SWC75" s="172"/>
      <c r="SWD75" s="181"/>
      <c r="SWE75"/>
      <c r="SWF75" s="174"/>
      <c r="SWG75" s="175"/>
      <c r="SWH75" s="176"/>
      <c r="SWI75" s="176"/>
      <c r="SWJ75" s="175"/>
      <c r="SWK75" s="177"/>
      <c r="SWL75" s="175"/>
      <c r="SWM75" s="177"/>
      <c r="SWN75" s="178"/>
      <c r="SWO75" s="179"/>
      <c r="SWP75"/>
      <c r="SWQ75" s="180"/>
      <c r="SWR75"/>
      <c r="SWS75" s="172"/>
      <c r="SWT75" s="181"/>
      <c r="SWU75"/>
      <c r="SWV75" s="174"/>
      <c r="SWW75" s="175"/>
      <c r="SWX75" s="176"/>
      <c r="SWY75" s="176"/>
      <c r="SWZ75" s="175"/>
      <c r="SXA75" s="177"/>
      <c r="SXB75" s="175"/>
      <c r="SXC75" s="177"/>
      <c r="SXD75" s="178"/>
      <c r="SXE75" s="179"/>
      <c r="SXF75"/>
      <c r="SXG75" s="180"/>
      <c r="SXH75"/>
      <c r="SXI75" s="172"/>
      <c r="SXJ75" s="181"/>
      <c r="SXK75"/>
      <c r="SXL75" s="174"/>
      <c r="SXM75" s="175"/>
      <c r="SXN75" s="176"/>
      <c r="SXO75" s="176"/>
      <c r="SXP75" s="175"/>
      <c r="SXQ75" s="177"/>
      <c r="SXR75" s="175"/>
      <c r="SXS75" s="177"/>
      <c r="SXT75" s="178"/>
      <c r="SXU75" s="179"/>
      <c r="SXV75"/>
      <c r="SXW75" s="180"/>
      <c r="SXX75"/>
      <c r="SXY75" s="172"/>
      <c r="SXZ75" s="181"/>
      <c r="SYA75"/>
      <c r="SYB75" s="174"/>
      <c r="SYC75" s="175"/>
      <c r="SYD75" s="176"/>
      <c r="SYE75" s="176"/>
      <c r="SYF75" s="175"/>
      <c r="SYG75" s="177"/>
      <c r="SYH75" s="175"/>
      <c r="SYI75" s="177"/>
      <c r="SYJ75" s="178"/>
      <c r="SYK75" s="179"/>
      <c r="SYL75"/>
      <c r="SYM75" s="180"/>
      <c r="SYN75"/>
      <c r="SYO75" s="172"/>
      <c r="SYP75" s="181"/>
      <c r="SYQ75"/>
      <c r="SYR75" s="174"/>
      <c r="SYS75" s="175"/>
      <c r="SYT75" s="176"/>
      <c r="SYU75" s="176"/>
      <c r="SYV75" s="175"/>
      <c r="SYW75" s="177"/>
      <c r="SYX75" s="175"/>
      <c r="SYY75" s="177"/>
      <c r="SYZ75" s="178"/>
      <c r="SZA75" s="179"/>
      <c r="SZB75"/>
      <c r="SZC75" s="180"/>
      <c r="SZD75"/>
      <c r="SZE75" s="172"/>
      <c r="SZF75" s="181"/>
      <c r="SZG75"/>
      <c r="SZH75" s="174"/>
      <c r="SZI75" s="175"/>
      <c r="SZJ75" s="176"/>
      <c r="SZK75" s="176"/>
      <c r="SZL75" s="175"/>
      <c r="SZM75" s="177"/>
      <c r="SZN75" s="175"/>
      <c r="SZO75" s="177"/>
      <c r="SZP75" s="178"/>
      <c r="SZQ75" s="179"/>
      <c r="SZR75"/>
      <c r="SZS75" s="180"/>
      <c r="SZT75"/>
      <c r="SZU75" s="172"/>
      <c r="SZV75" s="181"/>
      <c r="SZW75"/>
      <c r="SZX75" s="174"/>
      <c r="SZY75" s="175"/>
      <c r="SZZ75" s="176"/>
      <c r="TAA75" s="176"/>
      <c r="TAB75" s="175"/>
      <c r="TAC75" s="177"/>
      <c r="TAD75" s="175"/>
      <c r="TAE75" s="177"/>
      <c r="TAF75" s="178"/>
      <c r="TAG75" s="179"/>
      <c r="TAH75"/>
      <c r="TAI75" s="180"/>
      <c r="TAJ75"/>
      <c r="TAK75" s="172"/>
      <c r="TAL75" s="181"/>
      <c r="TAM75"/>
      <c r="TAN75" s="174"/>
      <c r="TAO75" s="175"/>
      <c r="TAP75" s="176"/>
      <c r="TAQ75" s="176"/>
      <c r="TAR75" s="175"/>
      <c r="TAS75" s="177"/>
      <c r="TAT75" s="175"/>
      <c r="TAU75" s="177"/>
      <c r="TAV75" s="178"/>
      <c r="TAW75" s="179"/>
      <c r="TAX75"/>
      <c r="TAY75" s="180"/>
      <c r="TAZ75"/>
      <c r="TBA75" s="172"/>
      <c r="TBB75" s="181"/>
      <c r="TBC75"/>
      <c r="TBD75" s="174"/>
      <c r="TBE75" s="175"/>
      <c r="TBF75" s="176"/>
      <c r="TBG75" s="176"/>
      <c r="TBH75" s="175"/>
      <c r="TBI75" s="177"/>
      <c r="TBJ75" s="175"/>
      <c r="TBK75" s="177"/>
      <c r="TBL75" s="178"/>
      <c r="TBM75" s="179"/>
      <c r="TBN75"/>
      <c r="TBO75" s="180"/>
      <c r="TBP75"/>
      <c r="TBQ75" s="172"/>
      <c r="TBR75" s="181"/>
      <c r="TBS75"/>
      <c r="TBT75" s="174"/>
      <c r="TBU75" s="175"/>
      <c r="TBV75" s="176"/>
      <c r="TBW75" s="176"/>
      <c r="TBX75" s="175"/>
      <c r="TBY75" s="177"/>
      <c r="TBZ75" s="175"/>
      <c r="TCA75" s="177"/>
      <c r="TCB75" s="178"/>
      <c r="TCC75" s="179"/>
      <c r="TCD75"/>
      <c r="TCE75" s="180"/>
      <c r="TCF75"/>
      <c r="TCG75" s="172"/>
      <c r="TCH75" s="181"/>
      <c r="TCI75"/>
      <c r="TCJ75" s="174"/>
      <c r="TCK75" s="175"/>
      <c r="TCL75" s="176"/>
      <c r="TCM75" s="176"/>
      <c r="TCN75" s="175"/>
      <c r="TCO75" s="177"/>
      <c r="TCP75" s="175"/>
      <c r="TCQ75" s="177"/>
      <c r="TCR75" s="178"/>
      <c r="TCS75" s="179"/>
      <c r="TCT75"/>
      <c r="TCU75" s="180"/>
      <c r="TCV75"/>
      <c r="TCW75" s="172"/>
      <c r="TCX75" s="181"/>
      <c r="TCY75"/>
      <c r="TCZ75" s="174"/>
      <c r="TDA75" s="175"/>
      <c r="TDB75" s="176"/>
      <c r="TDC75" s="176"/>
      <c r="TDD75" s="175"/>
      <c r="TDE75" s="177"/>
      <c r="TDF75" s="175"/>
      <c r="TDG75" s="177"/>
      <c r="TDH75" s="178"/>
      <c r="TDI75" s="179"/>
      <c r="TDJ75"/>
      <c r="TDK75" s="180"/>
      <c r="TDL75"/>
      <c r="TDM75" s="172"/>
      <c r="TDN75" s="181"/>
      <c r="TDO75"/>
      <c r="TDP75" s="174"/>
      <c r="TDQ75" s="175"/>
      <c r="TDR75" s="176"/>
      <c r="TDS75" s="176"/>
      <c r="TDT75" s="175"/>
      <c r="TDU75" s="177"/>
      <c r="TDV75" s="175"/>
      <c r="TDW75" s="177"/>
      <c r="TDX75" s="178"/>
      <c r="TDY75" s="179"/>
      <c r="TDZ75"/>
      <c r="TEA75" s="180"/>
      <c r="TEB75"/>
      <c r="TEC75" s="172"/>
      <c r="TED75" s="181"/>
      <c r="TEE75"/>
      <c r="TEF75" s="174"/>
      <c r="TEG75" s="175"/>
      <c r="TEH75" s="176"/>
      <c r="TEI75" s="176"/>
      <c r="TEJ75" s="175"/>
      <c r="TEK75" s="177"/>
      <c r="TEL75" s="175"/>
      <c r="TEM75" s="177"/>
      <c r="TEN75" s="178"/>
      <c r="TEO75" s="179"/>
      <c r="TEP75"/>
      <c r="TEQ75" s="180"/>
      <c r="TER75"/>
      <c r="TES75" s="172"/>
      <c r="TET75" s="181"/>
      <c r="TEU75"/>
      <c r="TEV75" s="174"/>
      <c r="TEW75" s="175"/>
      <c r="TEX75" s="176"/>
      <c r="TEY75" s="176"/>
      <c r="TEZ75" s="175"/>
      <c r="TFA75" s="177"/>
      <c r="TFB75" s="175"/>
      <c r="TFC75" s="177"/>
      <c r="TFD75" s="178"/>
      <c r="TFE75" s="179"/>
      <c r="TFF75"/>
      <c r="TFG75" s="180"/>
      <c r="TFH75"/>
      <c r="TFI75" s="172"/>
      <c r="TFJ75" s="181"/>
      <c r="TFK75"/>
      <c r="TFL75" s="174"/>
      <c r="TFM75" s="175"/>
      <c r="TFN75" s="176"/>
      <c r="TFO75" s="176"/>
      <c r="TFP75" s="175"/>
      <c r="TFQ75" s="177"/>
      <c r="TFR75" s="175"/>
      <c r="TFS75" s="177"/>
      <c r="TFT75" s="178"/>
      <c r="TFU75" s="179"/>
      <c r="TFV75"/>
      <c r="TFW75" s="180"/>
      <c r="TFX75"/>
      <c r="TFY75" s="172"/>
      <c r="TFZ75" s="181"/>
      <c r="TGA75"/>
      <c r="TGB75" s="174"/>
      <c r="TGC75" s="175"/>
      <c r="TGD75" s="176"/>
      <c r="TGE75" s="176"/>
      <c r="TGF75" s="175"/>
      <c r="TGG75" s="177"/>
      <c r="TGH75" s="175"/>
      <c r="TGI75" s="177"/>
      <c r="TGJ75" s="178"/>
      <c r="TGK75" s="179"/>
      <c r="TGL75"/>
      <c r="TGM75" s="180"/>
      <c r="TGN75"/>
      <c r="TGO75" s="172"/>
      <c r="TGP75" s="181"/>
      <c r="TGQ75"/>
      <c r="TGR75" s="174"/>
      <c r="TGS75" s="175"/>
      <c r="TGT75" s="176"/>
      <c r="TGU75" s="176"/>
      <c r="TGV75" s="175"/>
      <c r="TGW75" s="177"/>
      <c r="TGX75" s="175"/>
      <c r="TGY75" s="177"/>
      <c r="TGZ75" s="178"/>
      <c r="THA75" s="179"/>
      <c r="THB75"/>
      <c r="THC75" s="180"/>
      <c r="THD75"/>
      <c r="THE75" s="172"/>
      <c r="THF75" s="181"/>
      <c r="THG75"/>
      <c r="THH75" s="174"/>
      <c r="THI75" s="175"/>
      <c r="THJ75" s="176"/>
      <c r="THK75" s="176"/>
      <c r="THL75" s="175"/>
      <c r="THM75" s="177"/>
      <c r="THN75" s="175"/>
      <c r="THO75" s="177"/>
      <c r="THP75" s="178"/>
      <c r="THQ75" s="179"/>
      <c r="THR75"/>
      <c r="THS75" s="180"/>
      <c r="THT75"/>
      <c r="THU75" s="172"/>
      <c r="THV75" s="181"/>
      <c r="THW75"/>
      <c r="THX75" s="174"/>
      <c r="THY75" s="175"/>
      <c r="THZ75" s="176"/>
      <c r="TIA75" s="176"/>
      <c r="TIB75" s="175"/>
      <c r="TIC75" s="177"/>
      <c r="TID75" s="175"/>
      <c r="TIE75" s="177"/>
      <c r="TIF75" s="178"/>
      <c r="TIG75" s="179"/>
      <c r="TIH75"/>
      <c r="TII75" s="180"/>
      <c r="TIJ75"/>
      <c r="TIK75" s="172"/>
      <c r="TIL75" s="181"/>
      <c r="TIM75"/>
      <c r="TIN75" s="174"/>
      <c r="TIO75" s="175"/>
      <c r="TIP75" s="176"/>
      <c r="TIQ75" s="176"/>
      <c r="TIR75" s="175"/>
      <c r="TIS75" s="177"/>
      <c r="TIT75" s="175"/>
      <c r="TIU75" s="177"/>
      <c r="TIV75" s="178"/>
      <c r="TIW75" s="179"/>
      <c r="TIX75"/>
      <c r="TIY75" s="180"/>
      <c r="TIZ75"/>
      <c r="TJA75" s="172"/>
      <c r="TJB75" s="181"/>
      <c r="TJC75"/>
      <c r="TJD75" s="174"/>
      <c r="TJE75" s="175"/>
      <c r="TJF75" s="176"/>
      <c r="TJG75" s="176"/>
      <c r="TJH75" s="175"/>
      <c r="TJI75" s="177"/>
      <c r="TJJ75" s="175"/>
      <c r="TJK75" s="177"/>
      <c r="TJL75" s="178"/>
      <c r="TJM75" s="179"/>
      <c r="TJN75"/>
      <c r="TJO75" s="180"/>
      <c r="TJP75"/>
      <c r="TJQ75" s="172"/>
      <c r="TJR75" s="181"/>
      <c r="TJS75"/>
      <c r="TJT75" s="174"/>
      <c r="TJU75" s="175"/>
      <c r="TJV75" s="176"/>
      <c r="TJW75" s="176"/>
      <c r="TJX75" s="175"/>
      <c r="TJY75" s="177"/>
      <c r="TJZ75" s="175"/>
      <c r="TKA75" s="177"/>
      <c r="TKB75" s="178"/>
      <c r="TKC75" s="179"/>
      <c r="TKD75"/>
      <c r="TKE75" s="180"/>
      <c r="TKF75"/>
      <c r="TKG75" s="172"/>
      <c r="TKH75" s="181"/>
      <c r="TKI75"/>
      <c r="TKJ75" s="174"/>
      <c r="TKK75" s="175"/>
      <c r="TKL75" s="176"/>
      <c r="TKM75" s="176"/>
      <c r="TKN75" s="175"/>
      <c r="TKO75" s="177"/>
      <c r="TKP75" s="175"/>
      <c r="TKQ75" s="177"/>
      <c r="TKR75" s="178"/>
      <c r="TKS75" s="179"/>
      <c r="TKT75"/>
      <c r="TKU75" s="180"/>
      <c r="TKV75"/>
      <c r="TKW75" s="172"/>
      <c r="TKX75" s="181"/>
      <c r="TKY75"/>
      <c r="TKZ75" s="174"/>
      <c r="TLA75" s="175"/>
      <c r="TLB75" s="176"/>
      <c r="TLC75" s="176"/>
      <c r="TLD75" s="175"/>
      <c r="TLE75" s="177"/>
      <c r="TLF75" s="175"/>
      <c r="TLG75" s="177"/>
      <c r="TLH75" s="178"/>
      <c r="TLI75" s="179"/>
      <c r="TLJ75"/>
      <c r="TLK75" s="180"/>
      <c r="TLL75"/>
      <c r="TLM75" s="172"/>
      <c r="TLN75" s="181"/>
      <c r="TLO75"/>
      <c r="TLP75" s="174"/>
      <c r="TLQ75" s="175"/>
      <c r="TLR75" s="176"/>
      <c r="TLS75" s="176"/>
      <c r="TLT75" s="175"/>
      <c r="TLU75" s="177"/>
      <c r="TLV75" s="175"/>
      <c r="TLW75" s="177"/>
      <c r="TLX75" s="178"/>
      <c r="TLY75" s="179"/>
      <c r="TLZ75"/>
      <c r="TMA75" s="180"/>
      <c r="TMB75"/>
      <c r="TMC75" s="172"/>
      <c r="TMD75" s="181"/>
      <c r="TME75"/>
      <c r="TMF75" s="174"/>
      <c r="TMG75" s="175"/>
      <c r="TMH75" s="176"/>
      <c r="TMI75" s="176"/>
      <c r="TMJ75" s="175"/>
      <c r="TMK75" s="177"/>
      <c r="TML75" s="175"/>
      <c r="TMM75" s="177"/>
      <c r="TMN75" s="178"/>
      <c r="TMO75" s="179"/>
      <c r="TMP75"/>
      <c r="TMQ75" s="180"/>
      <c r="TMR75"/>
      <c r="TMS75" s="172"/>
      <c r="TMT75" s="181"/>
      <c r="TMU75"/>
      <c r="TMV75" s="174"/>
      <c r="TMW75" s="175"/>
      <c r="TMX75" s="176"/>
      <c r="TMY75" s="176"/>
      <c r="TMZ75" s="175"/>
      <c r="TNA75" s="177"/>
      <c r="TNB75" s="175"/>
      <c r="TNC75" s="177"/>
      <c r="TND75" s="178"/>
      <c r="TNE75" s="179"/>
      <c r="TNF75"/>
      <c r="TNG75" s="180"/>
      <c r="TNH75"/>
      <c r="TNI75" s="172"/>
      <c r="TNJ75" s="181"/>
      <c r="TNK75"/>
      <c r="TNL75" s="174"/>
      <c r="TNM75" s="175"/>
      <c r="TNN75" s="176"/>
      <c r="TNO75" s="176"/>
      <c r="TNP75" s="175"/>
      <c r="TNQ75" s="177"/>
      <c r="TNR75" s="175"/>
      <c r="TNS75" s="177"/>
      <c r="TNT75" s="178"/>
      <c r="TNU75" s="179"/>
      <c r="TNV75"/>
      <c r="TNW75" s="180"/>
      <c r="TNX75"/>
      <c r="TNY75" s="172"/>
      <c r="TNZ75" s="181"/>
      <c r="TOA75"/>
      <c r="TOB75" s="174"/>
      <c r="TOC75" s="175"/>
      <c r="TOD75" s="176"/>
      <c r="TOE75" s="176"/>
      <c r="TOF75" s="175"/>
      <c r="TOG75" s="177"/>
      <c r="TOH75" s="175"/>
      <c r="TOI75" s="177"/>
      <c r="TOJ75" s="178"/>
      <c r="TOK75" s="179"/>
      <c r="TOL75"/>
      <c r="TOM75" s="180"/>
      <c r="TON75"/>
      <c r="TOO75" s="172"/>
      <c r="TOP75" s="181"/>
      <c r="TOQ75"/>
      <c r="TOR75" s="174"/>
      <c r="TOS75" s="175"/>
      <c r="TOT75" s="176"/>
      <c r="TOU75" s="176"/>
      <c r="TOV75" s="175"/>
      <c r="TOW75" s="177"/>
      <c r="TOX75" s="175"/>
      <c r="TOY75" s="177"/>
      <c r="TOZ75" s="178"/>
      <c r="TPA75" s="179"/>
      <c r="TPB75"/>
      <c r="TPC75" s="180"/>
      <c r="TPD75"/>
      <c r="TPE75" s="172"/>
      <c r="TPF75" s="181"/>
      <c r="TPG75"/>
      <c r="TPH75" s="174"/>
      <c r="TPI75" s="175"/>
      <c r="TPJ75" s="176"/>
      <c r="TPK75" s="176"/>
      <c r="TPL75" s="175"/>
      <c r="TPM75" s="177"/>
      <c r="TPN75" s="175"/>
      <c r="TPO75" s="177"/>
      <c r="TPP75" s="178"/>
      <c r="TPQ75" s="179"/>
      <c r="TPR75"/>
      <c r="TPS75" s="180"/>
      <c r="TPT75"/>
      <c r="TPU75" s="172"/>
      <c r="TPV75" s="181"/>
      <c r="TPW75"/>
      <c r="TPX75" s="174"/>
      <c r="TPY75" s="175"/>
      <c r="TPZ75" s="176"/>
      <c r="TQA75" s="176"/>
      <c r="TQB75" s="175"/>
      <c r="TQC75" s="177"/>
      <c r="TQD75" s="175"/>
      <c r="TQE75" s="177"/>
      <c r="TQF75" s="178"/>
      <c r="TQG75" s="179"/>
      <c r="TQH75"/>
      <c r="TQI75" s="180"/>
      <c r="TQJ75"/>
      <c r="TQK75" s="172"/>
      <c r="TQL75" s="181"/>
      <c r="TQM75"/>
      <c r="TQN75" s="174"/>
      <c r="TQO75" s="175"/>
      <c r="TQP75" s="176"/>
      <c r="TQQ75" s="176"/>
      <c r="TQR75" s="175"/>
      <c r="TQS75" s="177"/>
      <c r="TQT75" s="175"/>
      <c r="TQU75" s="177"/>
      <c r="TQV75" s="178"/>
      <c r="TQW75" s="179"/>
      <c r="TQX75"/>
      <c r="TQY75" s="180"/>
      <c r="TQZ75"/>
      <c r="TRA75" s="172"/>
      <c r="TRB75" s="181"/>
      <c r="TRC75"/>
      <c r="TRD75" s="174"/>
      <c r="TRE75" s="175"/>
      <c r="TRF75" s="176"/>
      <c r="TRG75" s="176"/>
      <c r="TRH75" s="175"/>
      <c r="TRI75" s="177"/>
      <c r="TRJ75" s="175"/>
      <c r="TRK75" s="177"/>
      <c r="TRL75" s="178"/>
      <c r="TRM75" s="179"/>
      <c r="TRN75"/>
      <c r="TRO75" s="180"/>
      <c r="TRP75"/>
      <c r="TRQ75" s="172"/>
      <c r="TRR75" s="181"/>
      <c r="TRS75"/>
      <c r="TRT75" s="174"/>
      <c r="TRU75" s="175"/>
      <c r="TRV75" s="176"/>
      <c r="TRW75" s="176"/>
      <c r="TRX75" s="175"/>
      <c r="TRY75" s="177"/>
      <c r="TRZ75" s="175"/>
      <c r="TSA75" s="177"/>
      <c r="TSB75" s="178"/>
      <c r="TSC75" s="179"/>
      <c r="TSD75"/>
      <c r="TSE75" s="180"/>
      <c r="TSF75"/>
      <c r="TSG75" s="172"/>
      <c r="TSH75" s="181"/>
      <c r="TSI75"/>
      <c r="TSJ75" s="174"/>
      <c r="TSK75" s="175"/>
      <c r="TSL75" s="176"/>
      <c r="TSM75" s="176"/>
      <c r="TSN75" s="175"/>
      <c r="TSO75" s="177"/>
      <c r="TSP75" s="175"/>
      <c r="TSQ75" s="177"/>
      <c r="TSR75" s="178"/>
      <c r="TSS75" s="179"/>
      <c r="TST75"/>
      <c r="TSU75" s="180"/>
      <c r="TSV75"/>
      <c r="TSW75" s="172"/>
      <c r="TSX75" s="181"/>
      <c r="TSY75"/>
      <c r="TSZ75" s="174"/>
      <c r="TTA75" s="175"/>
      <c r="TTB75" s="176"/>
      <c r="TTC75" s="176"/>
      <c r="TTD75" s="175"/>
      <c r="TTE75" s="177"/>
      <c r="TTF75" s="175"/>
      <c r="TTG75" s="177"/>
      <c r="TTH75" s="178"/>
      <c r="TTI75" s="179"/>
      <c r="TTJ75"/>
      <c r="TTK75" s="180"/>
      <c r="TTL75"/>
      <c r="TTM75" s="172"/>
      <c r="TTN75" s="181"/>
      <c r="TTO75"/>
      <c r="TTP75" s="174"/>
      <c r="TTQ75" s="175"/>
      <c r="TTR75" s="176"/>
      <c r="TTS75" s="176"/>
      <c r="TTT75" s="175"/>
      <c r="TTU75" s="177"/>
      <c r="TTV75" s="175"/>
      <c r="TTW75" s="177"/>
      <c r="TTX75" s="178"/>
      <c r="TTY75" s="179"/>
      <c r="TTZ75"/>
      <c r="TUA75" s="180"/>
      <c r="TUB75"/>
      <c r="TUC75" s="172"/>
      <c r="TUD75" s="181"/>
      <c r="TUE75"/>
      <c r="TUF75" s="174"/>
      <c r="TUG75" s="175"/>
      <c r="TUH75" s="176"/>
      <c r="TUI75" s="176"/>
      <c r="TUJ75" s="175"/>
      <c r="TUK75" s="177"/>
      <c r="TUL75" s="175"/>
      <c r="TUM75" s="177"/>
      <c r="TUN75" s="178"/>
      <c r="TUO75" s="179"/>
      <c r="TUP75"/>
      <c r="TUQ75" s="180"/>
      <c r="TUR75"/>
      <c r="TUS75" s="172"/>
      <c r="TUT75" s="181"/>
      <c r="TUU75"/>
      <c r="TUV75" s="174"/>
      <c r="TUW75" s="175"/>
      <c r="TUX75" s="176"/>
      <c r="TUY75" s="176"/>
      <c r="TUZ75" s="175"/>
      <c r="TVA75" s="177"/>
      <c r="TVB75" s="175"/>
      <c r="TVC75" s="177"/>
      <c r="TVD75" s="178"/>
      <c r="TVE75" s="179"/>
      <c r="TVF75"/>
      <c r="TVG75" s="180"/>
      <c r="TVH75"/>
      <c r="TVI75" s="172"/>
      <c r="TVJ75" s="181"/>
      <c r="TVK75"/>
      <c r="TVL75" s="174"/>
      <c r="TVM75" s="175"/>
      <c r="TVN75" s="176"/>
      <c r="TVO75" s="176"/>
      <c r="TVP75" s="175"/>
      <c r="TVQ75" s="177"/>
      <c r="TVR75" s="175"/>
      <c r="TVS75" s="177"/>
      <c r="TVT75" s="178"/>
      <c r="TVU75" s="179"/>
      <c r="TVV75"/>
      <c r="TVW75" s="180"/>
      <c r="TVX75"/>
      <c r="TVY75" s="172"/>
      <c r="TVZ75" s="181"/>
      <c r="TWA75"/>
      <c r="TWB75" s="174"/>
      <c r="TWC75" s="175"/>
      <c r="TWD75" s="176"/>
      <c r="TWE75" s="176"/>
      <c r="TWF75" s="175"/>
      <c r="TWG75" s="177"/>
      <c r="TWH75" s="175"/>
      <c r="TWI75" s="177"/>
      <c r="TWJ75" s="178"/>
      <c r="TWK75" s="179"/>
      <c r="TWL75"/>
      <c r="TWM75" s="180"/>
      <c r="TWN75"/>
      <c r="TWO75" s="172"/>
      <c r="TWP75" s="181"/>
      <c r="TWQ75"/>
      <c r="TWR75" s="174"/>
      <c r="TWS75" s="175"/>
      <c r="TWT75" s="176"/>
      <c r="TWU75" s="176"/>
      <c r="TWV75" s="175"/>
      <c r="TWW75" s="177"/>
      <c r="TWX75" s="175"/>
      <c r="TWY75" s="177"/>
      <c r="TWZ75" s="178"/>
      <c r="TXA75" s="179"/>
      <c r="TXB75"/>
      <c r="TXC75" s="180"/>
      <c r="TXD75"/>
      <c r="TXE75" s="172"/>
      <c r="TXF75" s="181"/>
      <c r="TXG75"/>
      <c r="TXH75" s="174"/>
      <c r="TXI75" s="175"/>
      <c r="TXJ75" s="176"/>
      <c r="TXK75" s="176"/>
      <c r="TXL75" s="175"/>
      <c r="TXM75" s="177"/>
      <c r="TXN75" s="175"/>
      <c r="TXO75" s="177"/>
      <c r="TXP75" s="178"/>
      <c r="TXQ75" s="179"/>
      <c r="TXR75"/>
      <c r="TXS75" s="180"/>
      <c r="TXT75"/>
      <c r="TXU75" s="172"/>
      <c r="TXV75" s="181"/>
      <c r="TXW75"/>
      <c r="TXX75" s="174"/>
      <c r="TXY75" s="175"/>
      <c r="TXZ75" s="176"/>
      <c r="TYA75" s="176"/>
      <c r="TYB75" s="175"/>
      <c r="TYC75" s="177"/>
      <c r="TYD75" s="175"/>
      <c r="TYE75" s="177"/>
      <c r="TYF75" s="178"/>
      <c r="TYG75" s="179"/>
      <c r="TYH75"/>
      <c r="TYI75" s="180"/>
      <c r="TYJ75"/>
      <c r="TYK75" s="172"/>
      <c r="TYL75" s="181"/>
      <c r="TYM75"/>
      <c r="TYN75" s="174"/>
      <c r="TYO75" s="175"/>
      <c r="TYP75" s="176"/>
      <c r="TYQ75" s="176"/>
      <c r="TYR75" s="175"/>
      <c r="TYS75" s="177"/>
      <c r="TYT75" s="175"/>
      <c r="TYU75" s="177"/>
      <c r="TYV75" s="178"/>
      <c r="TYW75" s="179"/>
      <c r="TYX75"/>
      <c r="TYY75" s="180"/>
      <c r="TYZ75"/>
      <c r="TZA75" s="172"/>
      <c r="TZB75" s="181"/>
      <c r="TZC75"/>
      <c r="TZD75" s="174"/>
      <c r="TZE75" s="175"/>
      <c r="TZF75" s="176"/>
      <c r="TZG75" s="176"/>
      <c r="TZH75" s="175"/>
      <c r="TZI75" s="177"/>
      <c r="TZJ75" s="175"/>
      <c r="TZK75" s="177"/>
      <c r="TZL75" s="178"/>
      <c r="TZM75" s="179"/>
      <c r="TZN75"/>
      <c r="TZO75" s="180"/>
      <c r="TZP75"/>
      <c r="TZQ75" s="172"/>
      <c r="TZR75" s="181"/>
      <c r="TZS75"/>
      <c r="TZT75" s="174"/>
      <c r="TZU75" s="175"/>
      <c r="TZV75" s="176"/>
      <c r="TZW75" s="176"/>
      <c r="TZX75" s="175"/>
      <c r="TZY75" s="177"/>
      <c r="TZZ75" s="175"/>
      <c r="UAA75" s="177"/>
      <c r="UAB75" s="178"/>
      <c r="UAC75" s="179"/>
      <c r="UAD75"/>
      <c r="UAE75" s="180"/>
      <c r="UAF75"/>
      <c r="UAG75" s="172"/>
      <c r="UAH75" s="181"/>
      <c r="UAI75"/>
      <c r="UAJ75" s="174"/>
      <c r="UAK75" s="175"/>
      <c r="UAL75" s="176"/>
      <c r="UAM75" s="176"/>
      <c r="UAN75" s="175"/>
      <c r="UAO75" s="177"/>
      <c r="UAP75" s="175"/>
      <c r="UAQ75" s="177"/>
      <c r="UAR75" s="178"/>
      <c r="UAS75" s="179"/>
      <c r="UAT75"/>
      <c r="UAU75" s="180"/>
      <c r="UAV75"/>
      <c r="UAW75" s="172"/>
      <c r="UAX75" s="181"/>
      <c r="UAY75"/>
      <c r="UAZ75" s="174"/>
      <c r="UBA75" s="175"/>
      <c r="UBB75" s="176"/>
      <c r="UBC75" s="176"/>
      <c r="UBD75" s="175"/>
      <c r="UBE75" s="177"/>
      <c r="UBF75" s="175"/>
      <c r="UBG75" s="177"/>
      <c r="UBH75" s="178"/>
      <c r="UBI75" s="179"/>
      <c r="UBJ75"/>
      <c r="UBK75" s="180"/>
      <c r="UBL75"/>
      <c r="UBM75" s="172"/>
      <c r="UBN75" s="181"/>
      <c r="UBO75"/>
      <c r="UBP75" s="174"/>
      <c r="UBQ75" s="175"/>
      <c r="UBR75" s="176"/>
      <c r="UBS75" s="176"/>
      <c r="UBT75" s="175"/>
      <c r="UBU75" s="177"/>
      <c r="UBV75" s="175"/>
      <c r="UBW75" s="177"/>
      <c r="UBX75" s="178"/>
      <c r="UBY75" s="179"/>
      <c r="UBZ75"/>
      <c r="UCA75" s="180"/>
      <c r="UCB75"/>
      <c r="UCC75" s="172"/>
      <c r="UCD75" s="181"/>
      <c r="UCE75"/>
      <c r="UCF75" s="174"/>
      <c r="UCG75" s="175"/>
      <c r="UCH75" s="176"/>
      <c r="UCI75" s="176"/>
      <c r="UCJ75" s="175"/>
      <c r="UCK75" s="177"/>
      <c r="UCL75" s="175"/>
      <c r="UCM75" s="177"/>
      <c r="UCN75" s="178"/>
      <c r="UCO75" s="179"/>
      <c r="UCP75"/>
      <c r="UCQ75" s="180"/>
      <c r="UCR75"/>
      <c r="UCS75" s="172"/>
      <c r="UCT75" s="181"/>
      <c r="UCU75"/>
      <c r="UCV75" s="174"/>
      <c r="UCW75" s="175"/>
      <c r="UCX75" s="176"/>
      <c r="UCY75" s="176"/>
      <c r="UCZ75" s="175"/>
      <c r="UDA75" s="177"/>
      <c r="UDB75" s="175"/>
      <c r="UDC75" s="177"/>
      <c r="UDD75" s="178"/>
      <c r="UDE75" s="179"/>
      <c r="UDF75"/>
      <c r="UDG75" s="180"/>
      <c r="UDH75"/>
      <c r="UDI75" s="172"/>
      <c r="UDJ75" s="181"/>
      <c r="UDK75"/>
      <c r="UDL75" s="174"/>
      <c r="UDM75" s="175"/>
      <c r="UDN75" s="176"/>
      <c r="UDO75" s="176"/>
      <c r="UDP75" s="175"/>
      <c r="UDQ75" s="177"/>
      <c r="UDR75" s="175"/>
      <c r="UDS75" s="177"/>
      <c r="UDT75" s="178"/>
      <c r="UDU75" s="179"/>
      <c r="UDV75"/>
      <c r="UDW75" s="180"/>
      <c r="UDX75"/>
      <c r="UDY75" s="172"/>
      <c r="UDZ75" s="181"/>
      <c r="UEA75"/>
      <c r="UEB75" s="174"/>
      <c r="UEC75" s="175"/>
      <c r="UED75" s="176"/>
      <c r="UEE75" s="176"/>
      <c r="UEF75" s="175"/>
      <c r="UEG75" s="177"/>
      <c r="UEH75" s="175"/>
      <c r="UEI75" s="177"/>
      <c r="UEJ75" s="178"/>
      <c r="UEK75" s="179"/>
      <c r="UEL75"/>
      <c r="UEM75" s="180"/>
      <c r="UEN75"/>
      <c r="UEO75" s="172"/>
      <c r="UEP75" s="181"/>
      <c r="UEQ75"/>
      <c r="UER75" s="174"/>
      <c r="UES75" s="175"/>
      <c r="UET75" s="176"/>
      <c r="UEU75" s="176"/>
      <c r="UEV75" s="175"/>
      <c r="UEW75" s="177"/>
      <c r="UEX75" s="175"/>
      <c r="UEY75" s="177"/>
      <c r="UEZ75" s="178"/>
      <c r="UFA75" s="179"/>
      <c r="UFB75"/>
      <c r="UFC75" s="180"/>
      <c r="UFD75"/>
      <c r="UFE75" s="172"/>
      <c r="UFF75" s="181"/>
      <c r="UFG75"/>
      <c r="UFH75" s="174"/>
      <c r="UFI75" s="175"/>
      <c r="UFJ75" s="176"/>
      <c r="UFK75" s="176"/>
      <c r="UFL75" s="175"/>
      <c r="UFM75" s="177"/>
      <c r="UFN75" s="175"/>
      <c r="UFO75" s="177"/>
      <c r="UFP75" s="178"/>
      <c r="UFQ75" s="179"/>
      <c r="UFR75"/>
      <c r="UFS75" s="180"/>
      <c r="UFT75"/>
      <c r="UFU75" s="172"/>
      <c r="UFV75" s="181"/>
      <c r="UFW75"/>
      <c r="UFX75" s="174"/>
      <c r="UFY75" s="175"/>
      <c r="UFZ75" s="176"/>
      <c r="UGA75" s="176"/>
      <c r="UGB75" s="175"/>
      <c r="UGC75" s="177"/>
      <c r="UGD75" s="175"/>
      <c r="UGE75" s="177"/>
      <c r="UGF75" s="178"/>
      <c r="UGG75" s="179"/>
      <c r="UGH75"/>
      <c r="UGI75" s="180"/>
      <c r="UGJ75"/>
      <c r="UGK75" s="172"/>
      <c r="UGL75" s="181"/>
      <c r="UGM75"/>
      <c r="UGN75" s="174"/>
      <c r="UGO75" s="175"/>
      <c r="UGP75" s="176"/>
      <c r="UGQ75" s="176"/>
      <c r="UGR75" s="175"/>
      <c r="UGS75" s="177"/>
      <c r="UGT75" s="175"/>
      <c r="UGU75" s="177"/>
      <c r="UGV75" s="178"/>
      <c r="UGW75" s="179"/>
      <c r="UGX75"/>
      <c r="UGY75" s="180"/>
      <c r="UGZ75"/>
      <c r="UHA75" s="172"/>
      <c r="UHB75" s="181"/>
      <c r="UHC75"/>
      <c r="UHD75" s="174"/>
      <c r="UHE75" s="175"/>
      <c r="UHF75" s="176"/>
      <c r="UHG75" s="176"/>
      <c r="UHH75" s="175"/>
      <c r="UHI75" s="177"/>
      <c r="UHJ75" s="175"/>
      <c r="UHK75" s="177"/>
      <c r="UHL75" s="178"/>
      <c r="UHM75" s="179"/>
      <c r="UHN75"/>
      <c r="UHO75" s="180"/>
      <c r="UHP75"/>
      <c r="UHQ75" s="172"/>
      <c r="UHR75" s="181"/>
      <c r="UHS75"/>
      <c r="UHT75" s="174"/>
      <c r="UHU75" s="175"/>
      <c r="UHV75" s="176"/>
      <c r="UHW75" s="176"/>
      <c r="UHX75" s="175"/>
      <c r="UHY75" s="177"/>
      <c r="UHZ75" s="175"/>
      <c r="UIA75" s="177"/>
      <c r="UIB75" s="178"/>
      <c r="UIC75" s="179"/>
      <c r="UID75"/>
      <c r="UIE75" s="180"/>
      <c r="UIF75"/>
      <c r="UIG75" s="172"/>
      <c r="UIH75" s="181"/>
      <c r="UII75"/>
      <c r="UIJ75" s="174"/>
      <c r="UIK75" s="175"/>
      <c r="UIL75" s="176"/>
      <c r="UIM75" s="176"/>
      <c r="UIN75" s="175"/>
      <c r="UIO75" s="177"/>
      <c r="UIP75" s="175"/>
      <c r="UIQ75" s="177"/>
      <c r="UIR75" s="178"/>
      <c r="UIS75" s="179"/>
      <c r="UIT75"/>
      <c r="UIU75" s="180"/>
      <c r="UIV75"/>
      <c r="UIW75" s="172"/>
      <c r="UIX75" s="181"/>
      <c r="UIY75"/>
      <c r="UIZ75" s="174"/>
      <c r="UJA75" s="175"/>
      <c r="UJB75" s="176"/>
      <c r="UJC75" s="176"/>
      <c r="UJD75" s="175"/>
      <c r="UJE75" s="177"/>
      <c r="UJF75" s="175"/>
      <c r="UJG75" s="177"/>
      <c r="UJH75" s="178"/>
      <c r="UJI75" s="179"/>
      <c r="UJJ75"/>
      <c r="UJK75" s="180"/>
      <c r="UJL75"/>
      <c r="UJM75" s="172"/>
      <c r="UJN75" s="181"/>
      <c r="UJO75"/>
      <c r="UJP75" s="174"/>
      <c r="UJQ75" s="175"/>
      <c r="UJR75" s="176"/>
      <c r="UJS75" s="176"/>
      <c r="UJT75" s="175"/>
      <c r="UJU75" s="177"/>
      <c r="UJV75" s="175"/>
      <c r="UJW75" s="177"/>
      <c r="UJX75" s="178"/>
      <c r="UJY75" s="179"/>
      <c r="UJZ75"/>
      <c r="UKA75" s="180"/>
      <c r="UKB75"/>
      <c r="UKC75" s="172"/>
      <c r="UKD75" s="181"/>
      <c r="UKE75"/>
      <c r="UKF75" s="174"/>
      <c r="UKG75" s="175"/>
      <c r="UKH75" s="176"/>
      <c r="UKI75" s="176"/>
      <c r="UKJ75" s="175"/>
      <c r="UKK75" s="177"/>
      <c r="UKL75" s="175"/>
      <c r="UKM75" s="177"/>
      <c r="UKN75" s="178"/>
      <c r="UKO75" s="179"/>
      <c r="UKP75"/>
      <c r="UKQ75" s="180"/>
      <c r="UKR75"/>
      <c r="UKS75" s="172"/>
      <c r="UKT75" s="181"/>
      <c r="UKU75"/>
      <c r="UKV75" s="174"/>
      <c r="UKW75" s="175"/>
      <c r="UKX75" s="176"/>
      <c r="UKY75" s="176"/>
      <c r="UKZ75" s="175"/>
      <c r="ULA75" s="177"/>
      <c r="ULB75" s="175"/>
      <c r="ULC75" s="177"/>
      <c r="ULD75" s="178"/>
      <c r="ULE75" s="179"/>
      <c r="ULF75"/>
      <c r="ULG75" s="180"/>
      <c r="ULH75"/>
      <c r="ULI75" s="172"/>
      <c r="ULJ75" s="181"/>
      <c r="ULK75"/>
      <c r="ULL75" s="174"/>
      <c r="ULM75" s="175"/>
      <c r="ULN75" s="176"/>
      <c r="ULO75" s="176"/>
      <c r="ULP75" s="175"/>
      <c r="ULQ75" s="177"/>
      <c r="ULR75" s="175"/>
      <c r="ULS75" s="177"/>
      <c r="ULT75" s="178"/>
      <c r="ULU75" s="179"/>
      <c r="ULV75"/>
      <c r="ULW75" s="180"/>
      <c r="ULX75"/>
      <c r="ULY75" s="172"/>
      <c r="ULZ75" s="181"/>
      <c r="UMA75"/>
      <c r="UMB75" s="174"/>
      <c r="UMC75" s="175"/>
      <c r="UMD75" s="176"/>
      <c r="UME75" s="176"/>
      <c r="UMF75" s="175"/>
      <c r="UMG75" s="177"/>
      <c r="UMH75" s="175"/>
      <c r="UMI75" s="177"/>
      <c r="UMJ75" s="178"/>
      <c r="UMK75" s="179"/>
      <c r="UML75"/>
      <c r="UMM75" s="180"/>
      <c r="UMN75"/>
      <c r="UMO75" s="172"/>
      <c r="UMP75" s="181"/>
      <c r="UMQ75"/>
      <c r="UMR75" s="174"/>
      <c r="UMS75" s="175"/>
      <c r="UMT75" s="176"/>
      <c r="UMU75" s="176"/>
      <c r="UMV75" s="175"/>
      <c r="UMW75" s="177"/>
      <c r="UMX75" s="175"/>
      <c r="UMY75" s="177"/>
      <c r="UMZ75" s="178"/>
      <c r="UNA75" s="179"/>
      <c r="UNB75"/>
      <c r="UNC75" s="180"/>
      <c r="UND75"/>
      <c r="UNE75" s="172"/>
      <c r="UNF75" s="181"/>
      <c r="UNG75"/>
      <c r="UNH75" s="174"/>
      <c r="UNI75" s="175"/>
      <c r="UNJ75" s="176"/>
      <c r="UNK75" s="176"/>
      <c r="UNL75" s="175"/>
      <c r="UNM75" s="177"/>
      <c r="UNN75" s="175"/>
      <c r="UNO75" s="177"/>
      <c r="UNP75" s="178"/>
      <c r="UNQ75" s="179"/>
      <c r="UNR75"/>
      <c r="UNS75" s="180"/>
      <c r="UNT75"/>
      <c r="UNU75" s="172"/>
      <c r="UNV75" s="181"/>
      <c r="UNW75"/>
      <c r="UNX75" s="174"/>
      <c r="UNY75" s="175"/>
      <c r="UNZ75" s="176"/>
      <c r="UOA75" s="176"/>
      <c r="UOB75" s="175"/>
      <c r="UOC75" s="177"/>
      <c r="UOD75" s="175"/>
      <c r="UOE75" s="177"/>
      <c r="UOF75" s="178"/>
      <c r="UOG75" s="179"/>
      <c r="UOH75"/>
      <c r="UOI75" s="180"/>
      <c r="UOJ75"/>
      <c r="UOK75" s="172"/>
      <c r="UOL75" s="181"/>
      <c r="UOM75"/>
      <c r="UON75" s="174"/>
      <c r="UOO75" s="175"/>
      <c r="UOP75" s="176"/>
      <c r="UOQ75" s="176"/>
      <c r="UOR75" s="175"/>
      <c r="UOS75" s="177"/>
      <c r="UOT75" s="175"/>
      <c r="UOU75" s="177"/>
      <c r="UOV75" s="178"/>
      <c r="UOW75" s="179"/>
      <c r="UOX75"/>
      <c r="UOY75" s="180"/>
      <c r="UOZ75"/>
      <c r="UPA75" s="172"/>
      <c r="UPB75" s="181"/>
      <c r="UPC75"/>
      <c r="UPD75" s="174"/>
      <c r="UPE75" s="175"/>
      <c r="UPF75" s="176"/>
      <c r="UPG75" s="176"/>
      <c r="UPH75" s="175"/>
      <c r="UPI75" s="177"/>
      <c r="UPJ75" s="175"/>
      <c r="UPK75" s="177"/>
      <c r="UPL75" s="178"/>
      <c r="UPM75" s="179"/>
      <c r="UPN75"/>
      <c r="UPO75" s="180"/>
      <c r="UPP75"/>
      <c r="UPQ75" s="172"/>
      <c r="UPR75" s="181"/>
      <c r="UPS75"/>
      <c r="UPT75" s="174"/>
      <c r="UPU75" s="175"/>
      <c r="UPV75" s="176"/>
      <c r="UPW75" s="176"/>
      <c r="UPX75" s="175"/>
      <c r="UPY75" s="177"/>
      <c r="UPZ75" s="175"/>
      <c r="UQA75" s="177"/>
      <c r="UQB75" s="178"/>
      <c r="UQC75" s="179"/>
      <c r="UQD75"/>
      <c r="UQE75" s="180"/>
      <c r="UQF75"/>
      <c r="UQG75" s="172"/>
      <c r="UQH75" s="181"/>
      <c r="UQI75"/>
      <c r="UQJ75" s="174"/>
      <c r="UQK75" s="175"/>
      <c r="UQL75" s="176"/>
      <c r="UQM75" s="176"/>
      <c r="UQN75" s="175"/>
      <c r="UQO75" s="177"/>
      <c r="UQP75" s="175"/>
      <c r="UQQ75" s="177"/>
      <c r="UQR75" s="178"/>
      <c r="UQS75" s="179"/>
      <c r="UQT75"/>
      <c r="UQU75" s="180"/>
      <c r="UQV75"/>
      <c r="UQW75" s="172"/>
      <c r="UQX75" s="181"/>
      <c r="UQY75"/>
      <c r="UQZ75" s="174"/>
      <c r="URA75" s="175"/>
      <c r="URB75" s="176"/>
      <c r="URC75" s="176"/>
      <c r="URD75" s="175"/>
      <c r="URE75" s="177"/>
      <c r="URF75" s="175"/>
      <c r="URG75" s="177"/>
      <c r="URH75" s="178"/>
      <c r="URI75" s="179"/>
      <c r="URJ75"/>
      <c r="URK75" s="180"/>
      <c r="URL75"/>
      <c r="URM75" s="172"/>
      <c r="URN75" s="181"/>
      <c r="URO75"/>
      <c r="URP75" s="174"/>
      <c r="URQ75" s="175"/>
      <c r="URR75" s="176"/>
      <c r="URS75" s="176"/>
      <c r="URT75" s="175"/>
      <c r="URU75" s="177"/>
      <c r="URV75" s="175"/>
      <c r="URW75" s="177"/>
      <c r="URX75" s="178"/>
      <c r="URY75" s="179"/>
      <c r="URZ75"/>
      <c r="USA75" s="180"/>
      <c r="USB75"/>
      <c r="USC75" s="172"/>
      <c r="USD75" s="181"/>
      <c r="USE75"/>
      <c r="USF75" s="174"/>
      <c r="USG75" s="175"/>
      <c r="USH75" s="176"/>
      <c r="USI75" s="176"/>
      <c r="USJ75" s="175"/>
      <c r="USK75" s="177"/>
      <c r="USL75" s="175"/>
      <c r="USM75" s="177"/>
      <c r="USN75" s="178"/>
      <c r="USO75" s="179"/>
      <c r="USP75"/>
      <c r="USQ75" s="180"/>
      <c r="USR75"/>
      <c r="USS75" s="172"/>
      <c r="UST75" s="181"/>
      <c r="USU75"/>
      <c r="USV75" s="174"/>
      <c r="USW75" s="175"/>
      <c r="USX75" s="176"/>
      <c r="USY75" s="176"/>
      <c r="USZ75" s="175"/>
      <c r="UTA75" s="177"/>
      <c r="UTB75" s="175"/>
      <c r="UTC75" s="177"/>
      <c r="UTD75" s="178"/>
      <c r="UTE75" s="179"/>
      <c r="UTF75"/>
      <c r="UTG75" s="180"/>
      <c r="UTH75"/>
      <c r="UTI75" s="172"/>
      <c r="UTJ75" s="181"/>
      <c r="UTK75"/>
      <c r="UTL75" s="174"/>
      <c r="UTM75" s="175"/>
      <c r="UTN75" s="176"/>
      <c r="UTO75" s="176"/>
      <c r="UTP75" s="175"/>
      <c r="UTQ75" s="177"/>
      <c r="UTR75" s="175"/>
      <c r="UTS75" s="177"/>
      <c r="UTT75" s="178"/>
      <c r="UTU75" s="179"/>
      <c r="UTV75"/>
      <c r="UTW75" s="180"/>
      <c r="UTX75"/>
      <c r="UTY75" s="172"/>
      <c r="UTZ75" s="181"/>
      <c r="UUA75"/>
      <c r="UUB75" s="174"/>
      <c r="UUC75" s="175"/>
      <c r="UUD75" s="176"/>
      <c r="UUE75" s="176"/>
      <c r="UUF75" s="175"/>
      <c r="UUG75" s="177"/>
      <c r="UUH75" s="175"/>
      <c r="UUI75" s="177"/>
      <c r="UUJ75" s="178"/>
      <c r="UUK75" s="179"/>
      <c r="UUL75"/>
      <c r="UUM75" s="180"/>
      <c r="UUN75"/>
      <c r="UUO75" s="172"/>
      <c r="UUP75" s="181"/>
      <c r="UUQ75"/>
      <c r="UUR75" s="174"/>
      <c r="UUS75" s="175"/>
      <c r="UUT75" s="176"/>
      <c r="UUU75" s="176"/>
      <c r="UUV75" s="175"/>
      <c r="UUW75" s="177"/>
      <c r="UUX75" s="175"/>
      <c r="UUY75" s="177"/>
      <c r="UUZ75" s="178"/>
      <c r="UVA75" s="179"/>
      <c r="UVB75"/>
      <c r="UVC75" s="180"/>
      <c r="UVD75"/>
      <c r="UVE75" s="172"/>
      <c r="UVF75" s="181"/>
      <c r="UVG75"/>
      <c r="UVH75" s="174"/>
      <c r="UVI75" s="175"/>
      <c r="UVJ75" s="176"/>
      <c r="UVK75" s="176"/>
      <c r="UVL75" s="175"/>
      <c r="UVM75" s="177"/>
      <c r="UVN75" s="175"/>
      <c r="UVO75" s="177"/>
      <c r="UVP75" s="178"/>
      <c r="UVQ75" s="179"/>
      <c r="UVR75"/>
      <c r="UVS75" s="180"/>
      <c r="UVT75"/>
      <c r="UVU75" s="172"/>
      <c r="UVV75" s="181"/>
      <c r="UVW75"/>
      <c r="UVX75" s="174"/>
      <c r="UVY75" s="175"/>
      <c r="UVZ75" s="176"/>
      <c r="UWA75" s="176"/>
      <c r="UWB75" s="175"/>
      <c r="UWC75" s="177"/>
      <c r="UWD75" s="175"/>
      <c r="UWE75" s="177"/>
      <c r="UWF75" s="178"/>
      <c r="UWG75" s="179"/>
      <c r="UWH75"/>
      <c r="UWI75" s="180"/>
      <c r="UWJ75"/>
      <c r="UWK75" s="172"/>
      <c r="UWL75" s="181"/>
      <c r="UWM75"/>
      <c r="UWN75" s="174"/>
      <c r="UWO75" s="175"/>
      <c r="UWP75" s="176"/>
      <c r="UWQ75" s="176"/>
      <c r="UWR75" s="175"/>
      <c r="UWS75" s="177"/>
      <c r="UWT75" s="175"/>
      <c r="UWU75" s="177"/>
      <c r="UWV75" s="178"/>
      <c r="UWW75" s="179"/>
      <c r="UWX75"/>
      <c r="UWY75" s="180"/>
      <c r="UWZ75"/>
      <c r="UXA75" s="172"/>
      <c r="UXB75" s="181"/>
      <c r="UXC75"/>
      <c r="UXD75" s="174"/>
      <c r="UXE75" s="175"/>
      <c r="UXF75" s="176"/>
      <c r="UXG75" s="176"/>
      <c r="UXH75" s="175"/>
      <c r="UXI75" s="177"/>
      <c r="UXJ75" s="175"/>
      <c r="UXK75" s="177"/>
      <c r="UXL75" s="178"/>
      <c r="UXM75" s="179"/>
      <c r="UXN75"/>
      <c r="UXO75" s="180"/>
      <c r="UXP75"/>
      <c r="UXQ75" s="172"/>
      <c r="UXR75" s="181"/>
      <c r="UXS75"/>
      <c r="UXT75" s="174"/>
      <c r="UXU75" s="175"/>
      <c r="UXV75" s="176"/>
      <c r="UXW75" s="176"/>
      <c r="UXX75" s="175"/>
      <c r="UXY75" s="177"/>
      <c r="UXZ75" s="175"/>
      <c r="UYA75" s="177"/>
      <c r="UYB75" s="178"/>
      <c r="UYC75" s="179"/>
      <c r="UYD75"/>
      <c r="UYE75" s="180"/>
      <c r="UYF75"/>
      <c r="UYG75" s="172"/>
      <c r="UYH75" s="181"/>
      <c r="UYI75"/>
      <c r="UYJ75" s="174"/>
      <c r="UYK75" s="175"/>
      <c r="UYL75" s="176"/>
      <c r="UYM75" s="176"/>
      <c r="UYN75" s="175"/>
      <c r="UYO75" s="177"/>
      <c r="UYP75" s="175"/>
      <c r="UYQ75" s="177"/>
      <c r="UYR75" s="178"/>
      <c r="UYS75" s="179"/>
      <c r="UYT75"/>
      <c r="UYU75" s="180"/>
      <c r="UYV75"/>
      <c r="UYW75" s="172"/>
      <c r="UYX75" s="181"/>
      <c r="UYY75"/>
      <c r="UYZ75" s="174"/>
      <c r="UZA75" s="175"/>
      <c r="UZB75" s="176"/>
      <c r="UZC75" s="176"/>
      <c r="UZD75" s="175"/>
      <c r="UZE75" s="177"/>
      <c r="UZF75" s="175"/>
      <c r="UZG75" s="177"/>
      <c r="UZH75" s="178"/>
      <c r="UZI75" s="179"/>
      <c r="UZJ75"/>
      <c r="UZK75" s="180"/>
      <c r="UZL75"/>
      <c r="UZM75" s="172"/>
      <c r="UZN75" s="181"/>
      <c r="UZO75"/>
      <c r="UZP75" s="174"/>
      <c r="UZQ75" s="175"/>
      <c r="UZR75" s="176"/>
      <c r="UZS75" s="176"/>
      <c r="UZT75" s="175"/>
      <c r="UZU75" s="177"/>
      <c r="UZV75" s="175"/>
      <c r="UZW75" s="177"/>
      <c r="UZX75" s="178"/>
      <c r="UZY75" s="179"/>
      <c r="UZZ75"/>
      <c r="VAA75" s="180"/>
      <c r="VAB75"/>
      <c r="VAC75" s="172"/>
      <c r="VAD75" s="181"/>
      <c r="VAE75"/>
      <c r="VAF75" s="174"/>
      <c r="VAG75" s="175"/>
      <c r="VAH75" s="176"/>
      <c r="VAI75" s="176"/>
      <c r="VAJ75" s="175"/>
      <c r="VAK75" s="177"/>
      <c r="VAL75" s="175"/>
      <c r="VAM75" s="177"/>
      <c r="VAN75" s="178"/>
      <c r="VAO75" s="179"/>
      <c r="VAP75"/>
      <c r="VAQ75" s="180"/>
      <c r="VAR75"/>
      <c r="VAS75" s="172"/>
      <c r="VAT75" s="181"/>
      <c r="VAU75"/>
      <c r="VAV75" s="174"/>
      <c r="VAW75" s="175"/>
      <c r="VAX75" s="176"/>
      <c r="VAY75" s="176"/>
      <c r="VAZ75" s="175"/>
      <c r="VBA75" s="177"/>
      <c r="VBB75" s="175"/>
      <c r="VBC75" s="177"/>
      <c r="VBD75" s="178"/>
      <c r="VBE75" s="179"/>
      <c r="VBF75"/>
      <c r="VBG75" s="180"/>
      <c r="VBH75"/>
      <c r="VBI75" s="172"/>
      <c r="VBJ75" s="181"/>
      <c r="VBK75"/>
      <c r="VBL75" s="174"/>
      <c r="VBM75" s="175"/>
      <c r="VBN75" s="176"/>
      <c r="VBO75" s="176"/>
      <c r="VBP75" s="175"/>
      <c r="VBQ75" s="177"/>
      <c r="VBR75" s="175"/>
      <c r="VBS75" s="177"/>
      <c r="VBT75" s="178"/>
      <c r="VBU75" s="179"/>
      <c r="VBV75"/>
      <c r="VBW75" s="180"/>
      <c r="VBX75"/>
      <c r="VBY75" s="172"/>
      <c r="VBZ75" s="181"/>
      <c r="VCA75"/>
      <c r="VCB75" s="174"/>
      <c r="VCC75" s="175"/>
      <c r="VCD75" s="176"/>
      <c r="VCE75" s="176"/>
      <c r="VCF75" s="175"/>
      <c r="VCG75" s="177"/>
      <c r="VCH75" s="175"/>
      <c r="VCI75" s="177"/>
      <c r="VCJ75" s="178"/>
      <c r="VCK75" s="179"/>
      <c r="VCL75"/>
      <c r="VCM75" s="180"/>
      <c r="VCN75"/>
      <c r="VCO75" s="172"/>
      <c r="VCP75" s="181"/>
      <c r="VCQ75"/>
      <c r="VCR75" s="174"/>
      <c r="VCS75" s="175"/>
      <c r="VCT75" s="176"/>
      <c r="VCU75" s="176"/>
      <c r="VCV75" s="175"/>
      <c r="VCW75" s="177"/>
      <c r="VCX75" s="175"/>
      <c r="VCY75" s="177"/>
      <c r="VCZ75" s="178"/>
      <c r="VDA75" s="179"/>
      <c r="VDB75"/>
      <c r="VDC75" s="180"/>
      <c r="VDD75"/>
      <c r="VDE75" s="172"/>
      <c r="VDF75" s="181"/>
      <c r="VDG75"/>
      <c r="VDH75" s="174"/>
      <c r="VDI75" s="175"/>
      <c r="VDJ75" s="176"/>
      <c r="VDK75" s="176"/>
      <c r="VDL75" s="175"/>
      <c r="VDM75" s="177"/>
      <c r="VDN75" s="175"/>
      <c r="VDO75" s="177"/>
      <c r="VDP75" s="178"/>
      <c r="VDQ75" s="179"/>
      <c r="VDR75"/>
      <c r="VDS75" s="180"/>
      <c r="VDT75"/>
      <c r="VDU75" s="172"/>
      <c r="VDV75" s="181"/>
      <c r="VDW75"/>
      <c r="VDX75" s="174"/>
      <c r="VDY75" s="175"/>
      <c r="VDZ75" s="176"/>
      <c r="VEA75" s="176"/>
      <c r="VEB75" s="175"/>
      <c r="VEC75" s="177"/>
      <c r="VED75" s="175"/>
      <c r="VEE75" s="177"/>
      <c r="VEF75" s="178"/>
      <c r="VEG75" s="179"/>
      <c r="VEH75"/>
      <c r="VEI75" s="180"/>
      <c r="VEJ75"/>
      <c r="VEK75" s="172"/>
      <c r="VEL75" s="181"/>
      <c r="VEM75"/>
      <c r="VEN75" s="174"/>
      <c r="VEO75" s="175"/>
      <c r="VEP75" s="176"/>
      <c r="VEQ75" s="176"/>
      <c r="VER75" s="175"/>
      <c r="VES75" s="177"/>
      <c r="VET75" s="175"/>
      <c r="VEU75" s="177"/>
      <c r="VEV75" s="178"/>
      <c r="VEW75" s="179"/>
      <c r="VEX75"/>
      <c r="VEY75" s="180"/>
      <c r="VEZ75"/>
      <c r="VFA75" s="172"/>
      <c r="VFB75" s="181"/>
      <c r="VFC75"/>
      <c r="VFD75" s="174"/>
      <c r="VFE75" s="175"/>
      <c r="VFF75" s="176"/>
      <c r="VFG75" s="176"/>
      <c r="VFH75" s="175"/>
      <c r="VFI75" s="177"/>
      <c r="VFJ75" s="175"/>
      <c r="VFK75" s="177"/>
      <c r="VFL75" s="178"/>
      <c r="VFM75" s="179"/>
      <c r="VFN75"/>
      <c r="VFO75" s="180"/>
      <c r="VFP75"/>
      <c r="VFQ75" s="172"/>
      <c r="VFR75" s="181"/>
      <c r="VFS75"/>
      <c r="VFT75" s="174"/>
      <c r="VFU75" s="175"/>
      <c r="VFV75" s="176"/>
      <c r="VFW75" s="176"/>
      <c r="VFX75" s="175"/>
      <c r="VFY75" s="177"/>
      <c r="VFZ75" s="175"/>
      <c r="VGA75" s="177"/>
      <c r="VGB75" s="178"/>
      <c r="VGC75" s="179"/>
      <c r="VGD75"/>
      <c r="VGE75" s="180"/>
      <c r="VGF75"/>
      <c r="VGG75" s="172"/>
      <c r="VGH75" s="181"/>
      <c r="VGI75"/>
      <c r="VGJ75" s="174"/>
      <c r="VGK75" s="175"/>
      <c r="VGL75" s="176"/>
      <c r="VGM75" s="176"/>
      <c r="VGN75" s="175"/>
      <c r="VGO75" s="177"/>
      <c r="VGP75" s="175"/>
      <c r="VGQ75" s="177"/>
      <c r="VGR75" s="178"/>
      <c r="VGS75" s="179"/>
      <c r="VGT75"/>
      <c r="VGU75" s="180"/>
      <c r="VGV75"/>
      <c r="VGW75" s="172"/>
      <c r="VGX75" s="181"/>
      <c r="VGY75"/>
      <c r="VGZ75" s="174"/>
      <c r="VHA75" s="175"/>
      <c r="VHB75" s="176"/>
      <c r="VHC75" s="176"/>
    </row>
    <row r="76" spans="1:63 3073:12199 12790:15083" ht="28.9">
      <c r="B76" s="262" t="s">
        <v>166</v>
      </c>
      <c r="C76" s="262"/>
      <c r="D76" s="262"/>
      <c r="E76" s="262"/>
      <c r="F76" s="262"/>
      <c r="G76" s="262"/>
      <c r="H76" s="262"/>
      <c r="I76" s="262"/>
      <c r="J76" s="262"/>
      <c r="K76" s="262"/>
      <c r="L76" s="262"/>
      <c r="M76" s="262"/>
      <c r="N76" s="262"/>
      <c r="O76" s="262"/>
      <c r="P76" s="262"/>
      <c r="Q76" s="262"/>
      <c r="U76" s="55"/>
    </row>
    <row r="77" spans="1:63 3073:12199 12790:15083" ht="28.9">
      <c r="B77" s="102" t="s">
        <v>1</v>
      </c>
      <c r="C77" s="254" t="s">
        <v>2</v>
      </c>
      <c r="D77" s="254"/>
      <c r="E77" s="8" t="s">
        <v>3</v>
      </c>
      <c r="F77" s="8" t="s">
        <v>4</v>
      </c>
      <c r="G77" s="8" t="s">
        <v>145</v>
      </c>
      <c r="H77" s="1" t="s">
        <v>54</v>
      </c>
      <c r="I77" s="97" t="s">
        <v>146</v>
      </c>
      <c r="J77" s="2" t="s">
        <v>9</v>
      </c>
      <c r="K77" s="2" t="s">
        <v>10</v>
      </c>
      <c r="L77" s="2" t="s">
        <v>11</v>
      </c>
      <c r="M77" s="8" t="s">
        <v>12</v>
      </c>
      <c r="N77" s="133" t="s">
        <v>13</v>
      </c>
      <c r="O77" s="133" t="s">
        <v>14</v>
      </c>
      <c r="P77" s="133" t="s">
        <v>147</v>
      </c>
      <c r="Q77" s="109" t="s">
        <v>148</v>
      </c>
      <c r="U77" s="55"/>
    </row>
    <row r="78" spans="1:63 3073:12199 12790:15083" ht="28.9" hidden="1">
      <c r="B78" s="264" t="s">
        <v>167</v>
      </c>
      <c r="C78" s="275" t="s">
        <v>121</v>
      </c>
      <c r="D78" s="55" t="s">
        <v>18</v>
      </c>
      <c r="E78" s="86">
        <v>8100</v>
      </c>
      <c r="F78" s="37">
        <v>150</v>
      </c>
      <c r="G78" s="37">
        <v>150</v>
      </c>
      <c r="H78" s="37">
        <v>35</v>
      </c>
      <c r="I78" s="58">
        <v>150</v>
      </c>
      <c r="J78" s="60">
        <f>SUM(E78:I78)</f>
        <v>8585</v>
      </c>
      <c r="K78" s="58">
        <v>200</v>
      </c>
      <c r="L78" s="60">
        <f>SUM(J78:K78)</f>
        <v>8785</v>
      </c>
      <c r="M78" s="61" t="s">
        <v>114</v>
      </c>
      <c r="N78" s="164" t="s">
        <v>163</v>
      </c>
      <c r="O78" s="20" t="s">
        <v>65</v>
      </c>
      <c r="P78" s="147" t="s">
        <v>150</v>
      </c>
      <c r="Q78" s="110" t="s">
        <v>154</v>
      </c>
      <c r="U78" s="55" t="s">
        <v>156</v>
      </c>
    </row>
    <row r="79" spans="1:63 3073:12199 12790:15083" ht="28.9" hidden="1">
      <c r="B79" s="264"/>
      <c r="C79" s="275"/>
      <c r="D79" s="55" t="s">
        <v>24</v>
      </c>
      <c r="E79" s="86">
        <v>8500</v>
      </c>
      <c r="F79" s="37">
        <v>150</v>
      </c>
      <c r="G79" s="37">
        <v>100</v>
      </c>
      <c r="H79" s="37">
        <v>30</v>
      </c>
      <c r="I79" s="58">
        <v>150</v>
      </c>
      <c r="J79" s="60">
        <f>SUM(E79:I79)</f>
        <v>8930</v>
      </c>
      <c r="K79" s="58">
        <v>200</v>
      </c>
      <c r="L79" s="60">
        <f>SUM(J79:K79)</f>
        <v>9130</v>
      </c>
      <c r="M79" s="61" t="s">
        <v>114</v>
      </c>
      <c r="N79" s="164" t="s">
        <v>163</v>
      </c>
      <c r="O79" s="20" t="s">
        <v>65</v>
      </c>
      <c r="P79" s="147" t="s">
        <v>150</v>
      </c>
      <c r="Q79" s="110" t="s">
        <v>154</v>
      </c>
      <c r="U79" s="55" t="s">
        <v>156</v>
      </c>
    </row>
    <row r="80" spans="1:63 3073:12199 12790:15083" ht="28.9" customHeight="1">
      <c r="B80" s="264" t="s">
        <v>167</v>
      </c>
      <c r="C80" s="275" t="s">
        <v>121</v>
      </c>
      <c r="D80" s="55" t="s">
        <v>18</v>
      </c>
      <c r="E80" s="86">
        <f>CEILING((((6200+297+115)*1.12)- 85)-150,50)</f>
        <v>7200</v>
      </c>
      <c r="F80" s="182">
        <v>85</v>
      </c>
      <c r="G80" s="183">
        <v>215</v>
      </c>
      <c r="H80" s="183">
        <v>75</v>
      </c>
      <c r="I80" s="182">
        <v>150</v>
      </c>
      <c r="J80" s="171">
        <f>SUM(E80:I80)</f>
        <v>7725</v>
      </c>
      <c r="K80" s="182">
        <v>200</v>
      </c>
      <c r="L80" s="171">
        <f>SUM(J80:K80)</f>
        <v>7925</v>
      </c>
      <c r="M80" s="163" t="s">
        <v>114</v>
      </c>
      <c r="N80" s="218" t="s">
        <v>60</v>
      </c>
      <c r="O80" s="173" t="s">
        <v>42</v>
      </c>
      <c r="P80" s="147" t="s">
        <v>150</v>
      </c>
      <c r="Q80" s="165" t="s">
        <v>124</v>
      </c>
      <c r="U80" s="55"/>
    </row>
    <row r="81" spans="2:21" ht="29.45" customHeight="1">
      <c r="B81" s="264"/>
      <c r="C81" s="275"/>
      <c r="D81" s="55" t="s">
        <v>24</v>
      </c>
      <c r="E81" s="86">
        <f>CEILING((((6700+297+115)*1.12)- 85)-150,50)</f>
        <v>7750</v>
      </c>
      <c r="F81" s="182">
        <v>85</v>
      </c>
      <c r="G81" s="183">
        <v>215</v>
      </c>
      <c r="H81" s="183">
        <v>75</v>
      </c>
      <c r="I81" s="182">
        <v>150</v>
      </c>
      <c r="J81" s="171">
        <f>SUM(E81:I81)</f>
        <v>8275</v>
      </c>
      <c r="K81" s="182">
        <v>200</v>
      </c>
      <c r="L81" s="171">
        <f>SUM(J81:K81)</f>
        <v>8475</v>
      </c>
      <c r="M81" s="163" t="s">
        <v>114</v>
      </c>
      <c r="N81" s="218" t="s">
        <v>60</v>
      </c>
      <c r="O81" s="173" t="s">
        <v>42</v>
      </c>
      <c r="P81" s="147" t="s">
        <v>150</v>
      </c>
      <c r="Q81" s="165" t="s">
        <v>124</v>
      </c>
      <c r="U81" s="55"/>
    </row>
    <row r="82" spans="2:21" ht="28.9">
      <c r="B82" s="350" t="s">
        <v>168</v>
      </c>
      <c r="C82" s="350"/>
      <c r="D82" s="350"/>
      <c r="E82" s="350"/>
      <c r="F82" s="350"/>
      <c r="G82" s="350"/>
      <c r="H82" s="350"/>
      <c r="I82" s="350"/>
      <c r="J82" s="350"/>
      <c r="K82" s="350"/>
      <c r="L82" s="350"/>
      <c r="M82" s="350"/>
      <c r="N82" s="350"/>
      <c r="O82" s="350"/>
      <c r="P82" s="350"/>
      <c r="Q82" s="350"/>
      <c r="U82" s="55"/>
    </row>
    <row r="83" spans="2:21" ht="28.9">
      <c r="B83" s="102" t="s">
        <v>1</v>
      </c>
      <c r="C83" s="254" t="s">
        <v>2</v>
      </c>
      <c r="D83" s="254"/>
      <c r="E83" s="8" t="s">
        <v>3</v>
      </c>
      <c r="F83" s="8" t="s">
        <v>4</v>
      </c>
      <c r="G83" s="8" t="s">
        <v>145</v>
      </c>
      <c r="H83" s="1" t="s">
        <v>54</v>
      </c>
      <c r="I83" s="97" t="s">
        <v>146</v>
      </c>
      <c r="J83" s="2" t="s">
        <v>9</v>
      </c>
      <c r="K83" s="2" t="s">
        <v>10</v>
      </c>
      <c r="L83" s="2" t="s">
        <v>11</v>
      </c>
      <c r="M83" s="8" t="s">
        <v>12</v>
      </c>
      <c r="N83" s="133" t="s">
        <v>13</v>
      </c>
      <c r="O83" s="133" t="s">
        <v>14</v>
      </c>
      <c r="P83" s="133" t="s">
        <v>147</v>
      </c>
      <c r="Q83" s="109" t="s">
        <v>148</v>
      </c>
      <c r="U83" s="55"/>
    </row>
    <row r="84" spans="2:21" ht="14.45" customHeight="1">
      <c r="B84" s="331" t="s">
        <v>169</v>
      </c>
      <c r="C84" s="275" t="s">
        <v>121</v>
      </c>
      <c r="D84" s="55" t="s">
        <v>18</v>
      </c>
      <c r="E84" s="127">
        <v>6500</v>
      </c>
      <c r="F84" s="56">
        <v>270</v>
      </c>
      <c r="G84" s="56">
        <v>215</v>
      </c>
      <c r="H84" s="56">
        <v>75</v>
      </c>
      <c r="I84" s="58">
        <v>150</v>
      </c>
      <c r="J84" s="60">
        <f>SUM(E84:I84)</f>
        <v>7210</v>
      </c>
      <c r="K84" s="58">
        <v>200</v>
      </c>
      <c r="L84" s="60">
        <f>SUM(J84:K84)</f>
        <v>7410</v>
      </c>
      <c r="M84" s="55" t="s">
        <v>170</v>
      </c>
      <c r="N84" s="218" t="s">
        <v>60</v>
      </c>
      <c r="O84" s="55" t="s">
        <v>171</v>
      </c>
      <c r="P84" s="347" t="s">
        <v>150</v>
      </c>
      <c r="Q84" s="110" t="s">
        <v>172</v>
      </c>
      <c r="U84" s="55" t="s">
        <v>173</v>
      </c>
    </row>
    <row r="85" spans="2:21" ht="27" customHeight="1" thickBot="1">
      <c r="B85" s="345"/>
      <c r="C85" s="346"/>
      <c r="D85" s="94" t="s">
        <v>24</v>
      </c>
      <c r="E85" s="168">
        <v>7000</v>
      </c>
      <c r="F85" s="111">
        <v>270</v>
      </c>
      <c r="G85" s="111">
        <v>215</v>
      </c>
      <c r="H85" s="111">
        <v>75</v>
      </c>
      <c r="I85" s="90">
        <v>150</v>
      </c>
      <c r="J85" s="91">
        <f>SUM(E85:I85)</f>
        <v>7710</v>
      </c>
      <c r="K85" s="90">
        <v>200</v>
      </c>
      <c r="L85" s="91">
        <f>SUM(J85:K85)</f>
        <v>7910</v>
      </c>
      <c r="M85" s="94" t="s">
        <v>170</v>
      </c>
      <c r="N85" s="218" t="s">
        <v>60</v>
      </c>
      <c r="O85" s="94" t="s">
        <v>171</v>
      </c>
      <c r="P85" s="348"/>
      <c r="Q85" s="224" t="s">
        <v>172</v>
      </c>
      <c r="U85" s="55" t="s">
        <v>173</v>
      </c>
    </row>
    <row r="86" spans="2:21">
      <c r="B86" s="28"/>
      <c r="C86" s="28"/>
      <c r="E86" s="64"/>
      <c r="F86" s="65"/>
      <c r="G86" s="65"/>
      <c r="H86" s="65"/>
      <c r="I86" s="65"/>
      <c r="J86" s="66"/>
      <c r="K86" s="66"/>
      <c r="L86" s="66"/>
      <c r="M86" s="66"/>
      <c r="N86" s="126"/>
      <c r="O86" s="66"/>
      <c r="P86" s="67"/>
      <c r="Q86" s="68"/>
    </row>
    <row r="88" spans="2:21" ht="15.6">
      <c r="B88" s="5" t="s">
        <v>34</v>
      </c>
      <c r="C88" s="6"/>
      <c r="D88" s="6"/>
      <c r="E88" s="6"/>
      <c r="F88" s="6"/>
      <c r="G88" s="6"/>
      <c r="H88" s="6"/>
      <c r="I88" s="6"/>
      <c r="J88" s="6"/>
      <c r="K88" s="6"/>
      <c r="L88" s="6"/>
      <c r="M88" s="6"/>
      <c r="N88" s="6"/>
      <c r="O88" s="6"/>
      <c r="P88" s="6"/>
      <c r="Q88" s="6"/>
      <c r="R88" s="6"/>
      <c r="S88" s="6"/>
      <c r="T88" s="6"/>
    </row>
    <row r="89" spans="2:21">
      <c r="B89" s="327" t="s">
        <v>35</v>
      </c>
      <c r="C89" s="327"/>
      <c r="D89" s="327"/>
      <c r="E89" s="327"/>
      <c r="F89" s="327"/>
      <c r="G89" s="327"/>
      <c r="H89" s="327"/>
      <c r="I89" s="327"/>
      <c r="J89" s="327"/>
      <c r="K89" s="327"/>
      <c r="L89" s="327"/>
      <c r="M89" s="327"/>
      <c r="N89" s="327"/>
      <c r="O89" s="327"/>
      <c r="P89" s="327"/>
      <c r="Q89" s="327"/>
      <c r="R89" s="327"/>
      <c r="S89" s="327"/>
      <c r="T89" s="327"/>
    </row>
    <row r="90" spans="2:21">
      <c r="B90" s="327"/>
      <c r="C90" s="327"/>
      <c r="D90" s="327"/>
      <c r="E90" s="327"/>
      <c r="F90" s="327"/>
      <c r="G90" s="327"/>
      <c r="H90" s="327"/>
      <c r="I90" s="327"/>
      <c r="J90" s="327"/>
      <c r="K90" s="327"/>
      <c r="L90" s="327"/>
      <c r="M90" s="327"/>
      <c r="N90" s="327"/>
      <c r="O90" s="327"/>
      <c r="P90" s="327"/>
      <c r="Q90" s="327"/>
      <c r="R90" s="327"/>
      <c r="S90" s="327"/>
      <c r="T90" s="327"/>
    </row>
    <row r="91" spans="2:21">
      <c r="B91" s="327"/>
      <c r="C91" s="327"/>
      <c r="D91" s="327"/>
      <c r="E91" s="327"/>
      <c r="F91" s="327"/>
      <c r="G91" s="327"/>
      <c r="H91" s="327"/>
      <c r="I91" s="327"/>
      <c r="J91" s="327"/>
      <c r="K91" s="327"/>
      <c r="L91" s="327"/>
      <c r="M91" s="327"/>
      <c r="N91" s="327"/>
      <c r="O91" s="327"/>
      <c r="P91" s="327"/>
      <c r="Q91" s="327"/>
      <c r="R91" s="327"/>
      <c r="S91" s="327"/>
      <c r="T91" s="327"/>
    </row>
    <row r="92" spans="2:21">
      <c r="B92" s="327"/>
      <c r="C92" s="327"/>
      <c r="D92" s="327"/>
      <c r="E92" s="327"/>
      <c r="F92" s="327"/>
      <c r="G92" s="327"/>
      <c r="H92" s="327"/>
      <c r="I92" s="327"/>
      <c r="J92" s="327"/>
      <c r="K92" s="327"/>
      <c r="L92" s="327"/>
      <c r="M92" s="327"/>
      <c r="N92" s="327"/>
      <c r="O92" s="327"/>
      <c r="P92" s="327"/>
      <c r="Q92" s="327"/>
      <c r="R92" s="327"/>
      <c r="S92" s="327"/>
      <c r="T92" s="327"/>
    </row>
    <row r="101" spans="2:20" ht="28.9">
      <c r="B101" s="289" t="s">
        <v>174</v>
      </c>
      <c r="C101" s="289"/>
      <c r="D101" s="289"/>
      <c r="E101" s="289"/>
      <c r="F101" s="289"/>
      <c r="G101" s="289"/>
      <c r="H101" s="289"/>
      <c r="I101" s="289"/>
      <c r="J101" s="289"/>
      <c r="K101" s="289"/>
      <c r="L101" s="289"/>
      <c r="M101" s="289"/>
      <c r="N101" s="289"/>
      <c r="O101" s="289"/>
      <c r="P101" s="289"/>
      <c r="Q101" s="289"/>
      <c r="R101" s="289"/>
      <c r="S101" s="289"/>
    </row>
    <row r="102" spans="2:20" ht="28.9">
      <c r="B102" s="1" t="s">
        <v>1</v>
      </c>
      <c r="C102" s="349" t="s">
        <v>2</v>
      </c>
      <c r="D102" s="349"/>
      <c r="E102" s="136" t="s">
        <v>129</v>
      </c>
      <c r="F102" s="12" t="s">
        <v>130</v>
      </c>
      <c r="G102" s="13" t="s">
        <v>106</v>
      </c>
      <c r="H102" s="12" t="s">
        <v>6</v>
      </c>
      <c r="I102" s="2" t="s">
        <v>175</v>
      </c>
      <c r="J102" s="2" t="s">
        <v>9</v>
      </c>
      <c r="K102" s="2" t="s">
        <v>10</v>
      </c>
      <c r="L102" s="2" t="s">
        <v>11</v>
      </c>
      <c r="M102" s="8" t="s">
        <v>12</v>
      </c>
      <c r="N102" s="9" t="s">
        <v>13</v>
      </c>
      <c r="O102" s="225" t="s">
        <v>14</v>
      </c>
      <c r="P102" s="17" t="s">
        <v>120</v>
      </c>
      <c r="Q102" s="254" t="s">
        <v>38</v>
      </c>
      <c r="R102" s="254"/>
      <c r="S102" s="254"/>
    </row>
    <row r="103" spans="2:20" ht="28.9" customHeight="1">
      <c r="B103" s="283" t="s">
        <v>107</v>
      </c>
      <c r="C103" s="275" t="s">
        <v>121</v>
      </c>
      <c r="D103" s="55" t="s">
        <v>18</v>
      </c>
      <c r="E103" s="37">
        <v>1500</v>
      </c>
      <c r="F103" s="56">
        <v>175</v>
      </c>
      <c r="G103" s="37">
        <v>150</v>
      </c>
      <c r="H103" s="37">
        <v>14</v>
      </c>
      <c r="I103" s="58">
        <v>300</v>
      </c>
      <c r="J103" s="60">
        <f>SUM(E103:I103)</f>
        <v>2139</v>
      </c>
      <c r="K103" s="58">
        <v>200</v>
      </c>
      <c r="L103" s="60">
        <f>J103+K103</f>
        <v>2339</v>
      </c>
      <c r="M103" s="108" t="s">
        <v>176</v>
      </c>
      <c r="N103" s="218" t="s">
        <v>177</v>
      </c>
      <c r="O103" s="42" t="s">
        <v>47</v>
      </c>
      <c r="P103" s="96" t="s">
        <v>178</v>
      </c>
      <c r="Q103" s="276" t="s">
        <v>48</v>
      </c>
      <c r="R103" s="276"/>
      <c r="S103" s="276"/>
    </row>
    <row r="104" spans="2:20">
      <c r="B104" s="255"/>
      <c r="C104" s="275"/>
      <c r="D104" s="55" t="s">
        <v>24</v>
      </c>
      <c r="E104" s="38">
        <v>1950</v>
      </c>
      <c r="F104" s="56">
        <v>225</v>
      </c>
      <c r="G104" s="37">
        <v>150</v>
      </c>
      <c r="H104" s="37">
        <v>14</v>
      </c>
      <c r="I104" s="58">
        <v>600</v>
      </c>
      <c r="J104" s="60">
        <f>SUM(E104:I104)</f>
        <v>2939</v>
      </c>
      <c r="K104" s="58">
        <v>200</v>
      </c>
      <c r="L104" s="60">
        <f>J104+K104</f>
        <v>3139</v>
      </c>
      <c r="M104" s="108" t="s">
        <v>176</v>
      </c>
      <c r="N104" s="218" t="s">
        <v>177</v>
      </c>
      <c r="O104" s="42" t="s">
        <v>47</v>
      </c>
      <c r="P104" s="96" t="s">
        <v>178</v>
      </c>
      <c r="Q104" s="276"/>
      <c r="R104" s="276"/>
      <c r="S104" s="276"/>
    </row>
    <row r="106" spans="2:20" ht="15.6">
      <c r="B106" s="5" t="s">
        <v>34</v>
      </c>
      <c r="C106" s="6"/>
      <c r="D106" s="6"/>
      <c r="E106" s="6"/>
      <c r="F106" s="6"/>
      <c r="G106" s="6"/>
      <c r="H106" s="6"/>
      <c r="I106" s="6"/>
      <c r="J106" s="6"/>
      <c r="K106" s="6"/>
      <c r="L106" s="6"/>
      <c r="M106" s="6"/>
      <c r="N106" s="6"/>
      <c r="O106" s="6"/>
      <c r="P106" s="6"/>
      <c r="Q106" s="6"/>
      <c r="R106" s="6"/>
      <c r="S106" s="6"/>
      <c r="T106" s="6"/>
    </row>
    <row r="107" spans="2:20">
      <c r="B107" s="327" t="s">
        <v>35</v>
      </c>
      <c r="C107" s="327"/>
      <c r="D107" s="327"/>
      <c r="E107" s="327"/>
      <c r="F107" s="327"/>
      <c r="G107" s="327"/>
      <c r="H107" s="327"/>
      <c r="I107" s="327"/>
      <c r="J107" s="327"/>
      <c r="K107" s="327"/>
      <c r="L107" s="327"/>
      <c r="M107" s="327"/>
      <c r="N107" s="327"/>
      <c r="O107" s="327"/>
      <c r="P107" s="327"/>
      <c r="Q107" s="327"/>
      <c r="R107" s="327"/>
      <c r="S107" s="327"/>
      <c r="T107" s="327"/>
    </row>
    <row r="108" spans="2:20">
      <c r="B108" s="327"/>
      <c r="C108" s="327"/>
      <c r="D108" s="327"/>
      <c r="E108" s="327"/>
      <c r="F108" s="327"/>
      <c r="G108" s="327"/>
      <c r="H108" s="327"/>
      <c r="I108" s="327"/>
      <c r="J108" s="327"/>
      <c r="K108" s="327"/>
      <c r="L108" s="327"/>
      <c r="M108" s="327"/>
      <c r="N108" s="327"/>
      <c r="O108" s="327"/>
      <c r="P108" s="327"/>
      <c r="Q108" s="327"/>
      <c r="R108" s="327"/>
      <c r="S108" s="327"/>
      <c r="T108" s="327"/>
    </row>
    <row r="109" spans="2:20">
      <c r="B109" s="327"/>
      <c r="C109" s="327"/>
      <c r="D109" s="327"/>
      <c r="E109" s="327"/>
      <c r="F109" s="327"/>
      <c r="G109" s="327"/>
      <c r="H109" s="327"/>
      <c r="I109" s="327"/>
      <c r="J109" s="327"/>
      <c r="K109" s="327"/>
      <c r="L109" s="327"/>
      <c r="M109" s="327"/>
      <c r="N109" s="327"/>
      <c r="O109" s="327"/>
      <c r="P109" s="327"/>
      <c r="Q109" s="327"/>
      <c r="R109" s="327"/>
      <c r="S109" s="327"/>
      <c r="T109" s="327"/>
    </row>
    <row r="110" spans="2:20">
      <c r="B110" s="327"/>
      <c r="C110" s="327"/>
      <c r="D110" s="327"/>
      <c r="E110" s="327"/>
      <c r="F110" s="327"/>
      <c r="G110" s="327"/>
      <c r="H110" s="327"/>
      <c r="I110" s="327"/>
      <c r="J110" s="327"/>
      <c r="K110" s="327"/>
      <c r="L110" s="327"/>
      <c r="M110" s="327"/>
      <c r="N110" s="327"/>
      <c r="O110" s="327"/>
      <c r="P110" s="327"/>
      <c r="Q110" s="327"/>
      <c r="R110" s="327"/>
      <c r="S110" s="327"/>
      <c r="T110" s="327"/>
    </row>
    <row r="120" spans="2:17" ht="15" thickBot="1"/>
    <row r="121" spans="2:17" ht="28.9">
      <c r="B121" s="262" t="s">
        <v>179</v>
      </c>
      <c r="C121" s="262"/>
      <c r="D121" s="262"/>
      <c r="E121" s="262"/>
      <c r="F121" s="262"/>
      <c r="G121" s="262"/>
      <c r="H121" s="262"/>
      <c r="I121" s="262"/>
      <c r="J121" s="262"/>
      <c r="K121" s="262"/>
      <c r="L121" s="262"/>
      <c r="M121" s="262"/>
      <c r="N121" s="262"/>
      <c r="O121" s="262"/>
      <c r="P121" s="262"/>
      <c r="Q121" s="262"/>
    </row>
    <row r="122" spans="2:17" ht="28.9">
      <c r="B122" s="102" t="s">
        <v>1</v>
      </c>
      <c r="C122" s="254" t="s">
        <v>2</v>
      </c>
      <c r="D122" s="254"/>
      <c r="E122" s="8" t="s">
        <v>3</v>
      </c>
      <c r="F122" s="8" t="s">
        <v>4</v>
      </c>
      <c r="G122" s="8" t="s">
        <v>145</v>
      </c>
      <c r="H122" s="1" t="s">
        <v>54</v>
      </c>
      <c r="I122" s="97" t="s">
        <v>146</v>
      </c>
      <c r="J122" s="2" t="s">
        <v>9</v>
      </c>
      <c r="K122" s="2" t="s">
        <v>10</v>
      </c>
      <c r="L122" s="2" t="s">
        <v>11</v>
      </c>
      <c r="M122" s="8" t="s">
        <v>12</v>
      </c>
      <c r="N122" s="133" t="s">
        <v>13</v>
      </c>
      <c r="O122" s="133" t="s">
        <v>14</v>
      </c>
      <c r="P122" s="133" t="s">
        <v>147</v>
      </c>
      <c r="Q122" s="109" t="s">
        <v>148</v>
      </c>
    </row>
    <row r="123" spans="2:17">
      <c r="B123" s="331" t="s">
        <v>180</v>
      </c>
      <c r="C123" s="275" t="s">
        <v>121</v>
      </c>
      <c r="D123" s="55" t="s">
        <v>18</v>
      </c>
      <c r="E123" s="86">
        <v>3350</v>
      </c>
      <c r="F123" s="58">
        <v>85</v>
      </c>
      <c r="G123" s="56">
        <v>215</v>
      </c>
      <c r="H123" s="56">
        <v>75</v>
      </c>
      <c r="I123" s="58">
        <v>150</v>
      </c>
      <c r="J123" s="60">
        <f>SUM(E123:I123)</f>
        <v>3875</v>
      </c>
      <c r="K123" s="58">
        <v>200</v>
      </c>
      <c r="L123" s="60">
        <f>SUM(J123:K123)</f>
        <v>4075</v>
      </c>
      <c r="M123" s="61" t="s">
        <v>181</v>
      </c>
      <c r="N123" s="218" t="s">
        <v>177</v>
      </c>
      <c r="O123" s="55" t="s">
        <v>42</v>
      </c>
      <c r="P123" s="98" t="s">
        <v>182</v>
      </c>
      <c r="Q123" s="110" t="s">
        <v>183</v>
      </c>
    </row>
    <row r="124" spans="2:17">
      <c r="B124" s="331"/>
      <c r="C124" s="275"/>
      <c r="D124" s="55" t="s">
        <v>24</v>
      </c>
      <c r="E124" s="86">
        <v>4400</v>
      </c>
      <c r="F124" s="58">
        <v>85</v>
      </c>
      <c r="G124" s="56">
        <v>215</v>
      </c>
      <c r="H124" s="56">
        <v>75</v>
      </c>
      <c r="I124" s="58">
        <v>150</v>
      </c>
      <c r="J124" s="60">
        <f>SUM(E124:I124)</f>
        <v>4925</v>
      </c>
      <c r="K124" s="58">
        <v>200</v>
      </c>
      <c r="L124" s="60">
        <f>SUM(J124:K124)</f>
        <v>5125</v>
      </c>
      <c r="M124" s="61" t="s">
        <v>181</v>
      </c>
      <c r="N124" s="218" t="s">
        <v>177</v>
      </c>
      <c r="O124" s="55" t="s">
        <v>42</v>
      </c>
      <c r="P124" s="98" t="s">
        <v>182</v>
      </c>
      <c r="Q124" s="110" t="s">
        <v>183</v>
      </c>
    </row>
    <row r="133" spans="2:17" ht="15" thickBot="1"/>
    <row r="134" spans="2:17" ht="28.9">
      <c r="B134" s="330" t="s">
        <v>184</v>
      </c>
      <c r="C134" s="330"/>
      <c r="D134" s="330"/>
      <c r="E134" s="330"/>
      <c r="F134" s="330"/>
      <c r="G134" s="330"/>
      <c r="H134" s="330"/>
      <c r="I134" s="330"/>
      <c r="J134" s="330"/>
      <c r="K134" s="330"/>
      <c r="L134" s="330"/>
      <c r="M134" s="330"/>
      <c r="N134" s="330"/>
      <c r="O134" s="330"/>
      <c r="P134" s="330"/>
      <c r="Q134" s="330"/>
    </row>
    <row r="135" spans="2:17" ht="28.9">
      <c r="B135" s="102" t="s">
        <v>1</v>
      </c>
      <c r="C135" s="254" t="s">
        <v>2</v>
      </c>
      <c r="D135" s="254"/>
      <c r="E135" s="8" t="s">
        <v>3</v>
      </c>
      <c r="F135" s="8" t="s">
        <v>4</v>
      </c>
      <c r="G135" s="8" t="s">
        <v>145</v>
      </c>
      <c r="H135" s="1" t="s">
        <v>54</v>
      </c>
      <c r="I135" s="97" t="s">
        <v>146</v>
      </c>
      <c r="J135" s="2" t="s">
        <v>9</v>
      </c>
      <c r="K135" s="2" t="s">
        <v>10</v>
      </c>
      <c r="L135" s="2" t="s">
        <v>11</v>
      </c>
      <c r="M135" s="8" t="s">
        <v>12</v>
      </c>
      <c r="N135" s="133" t="s">
        <v>13</v>
      </c>
      <c r="O135" s="133" t="s">
        <v>14</v>
      </c>
      <c r="P135" s="133" t="s">
        <v>147</v>
      </c>
      <c r="Q135" s="109" t="s">
        <v>148</v>
      </c>
    </row>
    <row r="136" spans="2:17">
      <c r="B136" s="331" t="s">
        <v>185</v>
      </c>
      <c r="C136" s="275" t="s">
        <v>121</v>
      </c>
      <c r="D136" s="55" t="s">
        <v>18</v>
      </c>
      <c r="E136" s="245">
        <f>CEILING((((1300+130+10+72+20+100)*1.15)-100)-150,50)</f>
        <v>1650</v>
      </c>
      <c r="F136" s="58">
        <v>100</v>
      </c>
      <c r="G136" s="56">
        <v>215</v>
      </c>
      <c r="H136" s="56">
        <v>75</v>
      </c>
      <c r="I136" s="58">
        <v>150</v>
      </c>
      <c r="J136" s="60">
        <f>SUM(E136:I136)</f>
        <v>2190</v>
      </c>
      <c r="K136" s="58">
        <v>200</v>
      </c>
      <c r="L136" s="60">
        <f>SUM(J136:K136)</f>
        <v>2390</v>
      </c>
      <c r="M136" s="61">
        <v>30</v>
      </c>
      <c r="N136" s="218" t="s">
        <v>177</v>
      </c>
      <c r="O136" s="55" t="s">
        <v>65</v>
      </c>
      <c r="P136" s="98" t="s">
        <v>182</v>
      </c>
      <c r="Q136" s="110" t="s">
        <v>183</v>
      </c>
    </row>
    <row r="137" spans="2:17">
      <c r="B137" s="331"/>
      <c r="C137" s="275"/>
      <c r="D137" s="55" t="s">
        <v>24</v>
      </c>
      <c r="E137" s="245">
        <f>CEILING((((1400+260+10+72+20+150)*1.15)-150)-150,50)</f>
        <v>1900</v>
      </c>
      <c r="F137" s="58">
        <v>150</v>
      </c>
      <c r="G137" s="56">
        <v>215</v>
      </c>
      <c r="H137" s="56">
        <v>75</v>
      </c>
      <c r="I137" s="58">
        <v>150</v>
      </c>
      <c r="J137" s="60">
        <f>SUM(E137:I137)</f>
        <v>2490</v>
      </c>
      <c r="K137" s="58">
        <v>200</v>
      </c>
      <c r="L137" s="60">
        <f>SUM(J137:K137)</f>
        <v>2690</v>
      </c>
      <c r="M137" s="61">
        <v>30</v>
      </c>
      <c r="N137" s="218" t="s">
        <v>177</v>
      </c>
      <c r="O137" s="55" t="s">
        <v>65</v>
      </c>
      <c r="P137" s="98" t="s">
        <v>182</v>
      </c>
      <c r="Q137" s="110" t="s">
        <v>183</v>
      </c>
    </row>
  </sheetData>
  <sheetProtection algorithmName="SHA-512" hashValue="3q6IB/IAWFQ2xQvMdrT0FNYRdsRUHGOeRoSWsssCErx2R6I/qCNuYPZw7UOcUAJ5N8FPAOHl8SRv2ix0TWWJnQ==" saltValue="uIGhECnYGBq+ywOVRM2dWQ==" spinCount="100000" sheet="1"/>
  <mergeCells count="2220">
    <mergeCell ref="B9:Q9"/>
    <mergeCell ref="C62:C63"/>
    <mergeCell ref="B13:B14"/>
    <mergeCell ref="C13:C14"/>
    <mergeCell ref="A71:A72"/>
    <mergeCell ref="B58:B59"/>
    <mergeCell ref="C58:C59"/>
    <mergeCell ref="B64:B65"/>
    <mergeCell ref="C64:C65"/>
    <mergeCell ref="P64:P65"/>
    <mergeCell ref="B66:Q66"/>
    <mergeCell ref="B43:S46"/>
    <mergeCell ref="B56:Q56"/>
    <mergeCell ref="C57:D57"/>
    <mergeCell ref="B34:R34"/>
    <mergeCell ref="C35:D35"/>
    <mergeCell ref="P35:R35"/>
    <mergeCell ref="B36:B37"/>
    <mergeCell ref="C36:C37"/>
    <mergeCell ref="P36:R38"/>
    <mergeCell ref="P39:R39"/>
    <mergeCell ref="B60:B61"/>
    <mergeCell ref="C60:C61"/>
    <mergeCell ref="B62:B63"/>
    <mergeCell ref="P40:R40"/>
    <mergeCell ref="B15:B16"/>
    <mergeCell ref="C15:C16"/>
    <mergeCell ref="B17:B18"/>
    <mergeCell ref="C17:C18"/>
    <mergeCell ref="C10:D10"/>
    <mergeCell ref="B11:B12"/>
    <mergeCell ref="C11:C12"/>
    <mergeCell ref="BJ71:BJ72"/>
    <mergeCell ref="DNG71:DNG72"/>
    <mergeCell ref="DNI71:DNI72"/>
    <mergeCell ref="DNJ71:DNJ72"/>
    <mergeCell ref="DNW71:DNW72"/>
    <mergeCell ref="DNY71:DNY72"/>
    <mergeCell ref="AD71:AD72"/>
    <mergeCell ref="AF71:AF72"/>
    <mergeCell ref="AG71:AG72"/>
    <mergeCell ref="AT71:AT72"/>
    <mergeCell ref="AV71:AV72"/>
    <mergeCell ref="AW71:AW72"/>
    <mergeCell ref="C67:D67"/>
    <mergeCell ref="B68:B69"/>
    <mergeCell ref="C68:C69"/>
    <mergeCell ref="B70:B71"/>
    <mergeCell ref="C70:C71"/>
    <mergeCell ref="DQL71:DQL72"/>
    <mergeCell ref="DQY71:DQY72"/>
    <mergeCell ref="DRA71:DRA72"/>
    <mergeCell ref="DRB71:DRB72"/>
    <mergeCell ref="DRO71:DRO72"/>
    <mergeCell ref="DRQ71:DRQ72"/>
    <mergeCell ref="DPF71:DPF72"/>
    <mergeCell ref="DPS71:DPS72"/>
    <mergeCell ref="DPU71:DPU72"/>
    <mergeCell ref="DPV71:DPV72"/>
    <mergeCell ref="DQI71:DQI72"/>
    <mergeCell ref="DQK71:DQK72"/>
    <mergeCell ref="DNZ71:DNZ72"/>
    <mergeCell ref="DOM71:DOM72"/>
    <mergeCell ref="DOO71:DOO72"/>
    <mergeCell ref="DOP71:DOP72"/>
    <mergeCell ref="DPC71:DPC72"/>
    <mergeCell ref="DPE71:DPE72"/>
    <mergeCell ref="DUD71:DUD72"/>
    <mergeCell ref="DUQ71:DUQ72"/>
    <mergeCell ref="DUS71:DUS72"/>
    <mergeCell ref="DUT71:DUT72"/>
    <mergeCell ref="DVG71:DVG72"/>
    <mergeCell ref="DVI71:DVI72"/>
    <mergeCell ref="DSX71:DSX72"/>
    <mergeCell ref="DTK71:DTK72"/>
    <mergeCell ref="DTM71:DTM72"/>
    <mergeCell ref="DTN71:DTN72"/>
    <mergeCell ref="DUA71:DUA72"/>
    <mergeCell ref="DUC71:DUC72"/>
    <mergeCell ref="DRR71:DRR72"/>
    <mergeCell ref="DSE71:DSE72"/>
    <mergeCell ref="DSG71:DSG72"/>
    <mergeCell ref="DSH71:DSH72"/>
    <mergeCell ref="DSU71:DSU72"/>
    <mergeCell ref="DSW71:DSW72"/>
    <mergeCell ref="DXV71:DXV72"/>
    <mergeCell ref="DYI71:DYI72"/>
    <mergeCell ref="DYK71:DYK72"/>
    <mergeCell ref="DYL71:DYL72"/>
    <mergeCell ref="DYY71:DYY72"/>
    <mergeCell ref="DZA71:DZA72"/>
    <mergeCell ref="DWP71:DWP72"/>
    <mergeCell ref="DXC71:DXC72"/>
    <mergeCell ref="DXE71:DXE72"/>
    <mergeCell ref="DXF71:DXF72"/>
    <mergeCell ref="DXS71:DXS72"/>
    <mergeCell ref="DXU71:DXU72"/>
    <mergeCell ref="DVJ71:DVJ72"/>
    <mergeCell ref="DVW71:DVW72"/>
    <mergeCell ref="DVY71:DVY72"/>
    <mergeCell ref="DVZ71:DVZ72"/>
    <mergeCell ref="DWM71:DWM72"/>
    <mergeCell ref="DWO71:DWO72"/>
    <mergeCell ref="EBN71:EBN72"/>
    <mergeCell ref="ECA71:ECA72"/>
    <mergeCell ref="ECC71:ECC72"/>
    <mergeCell ref="ECD71:ECD72"/>
    <mergeCell ref="ECQ71:ECQ72"/>
    <mergeCell ref="ECS71:ECS72"/>
    <mergeCell ref="EAH71:EAH72"/>
    <mergeCell ref="EAU71:EAU72"/>
    <mergeCell ref="EAW71:EAW72"/>
    <mergeCell ref="EAX71:EAX72"/>
    <mergeCell ref="EBK71:EBK72"/>
    <mergeCell ref="EBM71:EBM72"/>
    <mergeCell ref="DZB71:DZB72"/>
    <mergeCell ref="DZO71:DZO72"/>
    <mergeCell ref="DZQ71:DZQ72"/>
    <mergeCell ref="DZR71:DZR72"/>
    <mergeCell ref="EAE71:EAE72"/>
    <mergeCell ref="EAG71:EAG72"/>
    <mergeCell ref="EFF71:EFF72"/>
    <mergeCell ref="EFS71:EFS72"/>
    <mergeCell ref="EFU71:EFU72"/>
    <mergeCell ref="EFV71:EFV72"/>
    <mergeCell ref="EGI71:EGI72"/>
    <mergeCell ref="EGK71:EGK72"/>
    <mergeCell ref="EDZ71:EDZ72"/>
    <mergeCell ref="EEM71:EEM72"/>
    <mergeCell ref="EEO71:EEO72"/>
    <mergeCell ref="EEP71:EEP72"/>
    <mergeCell ref="EFC71:EFC72"/>
    <mergeCell ref="EFE71:EFE72"/>
    <mergeCell ref="ECT71:ECT72"/>
    <mergeCell ref="EDG71:EDG72"/>
    <mergeCell ref="EDI71:EDI72"/>
    <mergeCell ref="EDJ71:EDJ72"/>
    <mergeCell ref="EDW71:EDW72"/>
    <mergeCell ref="EDY71:EDY72"/>
    <mergeCell ref="EIX71:EIX72"/>
    <mergeCell ref="EJK71:EJK72"/>
    <mergeCell ref="EJM71:EJM72"/>
    <mergeCell ref="EJN71:EJN72"/>
    <mergeCell ref="EKA71:EKA72"/>
    <mergeCell ref="EKC71:EKC72"/>
    <mergeCell ref="EHR71:EHR72"/>
    <mergeCell ref="EIE71:EIE72"/>
    <mergeCell ref="EIG71:EIG72"/>
    <mergeCell ref="EIH71:EIH72"/>
    <mergeCell ref="EIU71:EIU72"/>
    <mergeCell ref="EIW71:EIW72"/>
    <mergeCell ref="EGL71:EGL72"/>
    <mergeCell ref="EGY71:EGY72"/>
    <mergeCell ref="EHA71:EHA72"/>
    <mergeCell ref="EHB71:EHB72"/>
    <mergeCell ref="EHO71:EHO72"/>
    <mergeCell ref="EHQ71:EHQ72"/>
    <mergeCell ref="EMP71:EMP72"/>
    <mergeCell ref="ENC71:ENC72"/>
    <mergeCell ref="ENE71:ENE72"/>
    <mergeCell ref="ENF71:ENF72"/>
    <mergeCell ref="ENS71:ENS72"/>
    <mergeCell ref="ENU71:ENU72"/>
    <mergeCell ref="ELJ71:ELJ72"/>
    <mergeCell ref="ELW71:ELW72"/>
    <mergeCell ref="ELY71:ELY72"/>
    <mergeCell ref="ELZ71:ELZ72"/>
    <mergeCell ref="EMM71:EMM72"/>
    <mergeCell ref="EMO71:EMO72"/>
    <mergeCell ref="EKD71:EKD72"/>
    <mergeCell ref="EKQ71:EKQ72"/>
    <mergeCell ref="EKS71:EKS72"/>
    <mergeCell ref="EKT71:EKT72"/>
    <mergeCell ref="ELG71:ELG72"/>
    <mergeCell ref="ELI71:ELI72"/>
    <mergeCell ref="EQH71:EQH72"/>
    <mergeCell ref="EQU71:EQU72"/>
    <mergeCell ref="EQW71:EQW72"/>
    <mergeCell ref="EQX71:EQX72"/>
    <mergeCell ref="ERK71:ERK72"/>
    <mergeCell ref="ERM71:ERM72"/>
    <mergeCell ref="EPB71:EPB72"/>
    <mergeCell ref="EPO71:EPO72"/>
    <mergeCell ref="EPQ71:EPQ72"/>
    <mergeCell ref="EPR71:EPR72"/>
    <mergeCell ref="EQE71:EQE72"/>
    <mergeCell ref="EQG71:EQG72"/>
    <mergeCell ref="ENV71:ENV72"/>
    <mergeCell ref="EOI71:EOI72"/>
    <mergeCell ref="EOK71:EOK72"/>
    <mergeCell ref="EOL71:EOL72"/>
    <mergeCell ref="EOY71:EOY72"/>
    <mergeCell ref="EPA71:EPA72"/>
    <mergeCell ref="ETZ71:ETZ72"/>
    <mergeCell ref="EUM71:EUM72"/>
    <mergeCell ref="EUO71:EUO72"/>
    <mergeCell ref="EUP71:EUP72"/>
    <mergeCell ref="EVC71:EVC72"/>
    <mergeCell ref="EVE71:EVE72"/>
    <mergeCell ref="EST71:EST72"/>
    <mergeCell ref="ETG71:ETG72"/>
    <mergeCell ref="ETI71:ETI72"/>
    <mergeCell ref="ETJ71:ETJ72"/>
    <mergeCell ref="ETW71:ETW72"/>
    <mergeCell ref="ETY71:ETY72"/>
    <mergeCell ref="ERN71:ERN72"/>
    <mergeCell ref="ESA71:ESA72"/>
    <mergeCell ref="ESC71:ESC72"/>
    <mergeCell ref="ESD71:ESD72"/>
    <mergeCell ref="ESQ71:ESQ72"/>
    <mergeCell ref="ESS71:ESS72"/>
    <mergeCell ref="EXR71:EXR72"/>
    <mergeCell ref="EYE71:EYE72"/>
    <mergeCell ref="EYG71:EYG72"/>
    <mergeCell ref="EYH71:EYH72"/>
    <mergeCell ref="EYU71:EYU72"/>
    <mergeCell ref="EYW71:EYW72"/>
    <mergeCell ref="EWL71:EWL72"/>
    <mergeCell ref="EWY71:EWY72"/>
    <mergeCell ref="EXA71:EXA72"/>
    <mergeCell ref="EXB71:EXB72"/>
    <mergeCell ref="EXO71:EXO72"/>
    <mergeCell ref="EXQ71:EXQ72"/>
    <mergeCell ref="EVF71:EVF72"/>
    <mergeCell ref="EVS71:EVS72"/>
    <mergeCell ref="EVU71:EVU72"/>
    <mergeCell ref="EVV71:EVV72"/>
    <mergeCell ref="EWI71:EWI72"/>
    <mergeCell ref="EWK71:EWK72"/>
    <mergeCell ref="FBJ71:FBJ72"/>
    <mergeCell ref="FBW71:FBW72"/>
    <mergeCell ref="FBY71:FBY72"/>
    <mergeCell ref="FBZ71:FBZ72"/>
    <mergeCell ref="FCM71:FCM72"/>
    <mergeCell ref="FCO71:FCO72"/>
    <mergeCell ref="FAD71:FAD72"/>
    <mergeCell ref="FAQ71:FAQ72"/>
    <mergeCell ref="FAS71:FAS72"/>
    <mergeCell ref="FAT71:FAT72"/>
    <mergeCell ref="FBG71:FBG72"/>
    <mergeCell ref="FBI71:FBI72"/>
    <mergeCell ref="EYX71:EYX72"/>
    <mergeCell ref="EZK71:EZK72"/>
    <mergeCell ref="EZM71:EZM72"/>
    <mergeCell ref="EZN71:EZN72"/>
    <mergeCell ref="FAA71:FAA72"/>
    <mergeCell ref="FAC71:FAC72"/>
    <mergeCell ref="FFB71:FFB72"/>
    <mergeCell ref="FFO71:FFO72"/>
    <mergeCell ref="FFQ71:FFQ72"/>
    <mergeCell ref="FFR71:FFR72"/>
    <mergeCell ref="FGE71:FGE72"/>
    <mergeCell ref="FGG71:FGG72"/>
    <mergeCell ref="FDV71:FDV72"/>
    <mergeCell ref="FEI71:FEI72"/>
    <mergeCell ref="FEK71:FEK72"/>
    <mergeCell ref="FEL71:FEL72"/>
    <mergeCell ref="FEY71:FEY72"/>
    <mergeCell ref="FFA71:FFA72"/>
    <mergeCell ref="FCP71:FCP72"/>
    <mergeCell ref="FDC71:FDC72"/>
    <mergeCell ref="FDE71:FDE72"/>
    <mergeCell ref="FDF71:FDF72"/>
    <mergeCell ref="FDS71:FDS72"/>
    <mergeCell ref="FDU71:FDU72"/>
    <mergeCell ref="FIT71:FIT72"/>
    <mergeCell ref="FJG71:FJG72"/>
    <mergeCell ref="FJI71:FJI72"/>
    <mergeCell ref="FJJ71:FJJ72"/>
    <mergeCell ref="FJW71:FJW72"/>
    <mergeCell ref="FJY71:FJY72"/>
    <mergeCell ref="FHN71:FHN72"/>
    <mergeCell ref="FIA71:FIA72"/>
    <mergeCell ref="FIC71:FIC72"/>
    <mergeCell ref="FID71:FID72"/>
    <mergeCell ref="FIQ71:FIQ72"/>
    <mergeCell ref="FIS71:FIS72"/>
    <mergeCell ref="FGH71:FGH72"/>
    <mergeCell ref="FGU71:FGU72"/>
    <mergeCell ref="FGW71:FGW72"/>
    <mergeCell ref="FGX71:FGX72"/>
    <mergeCell ref="FHK71:FHK72"/>
    <mergeCell ref="FHM71:FHM72"/>
    <mergeCell ref="FML71:FML72"/>
    <mergeCell ref="FMY71:FMY72"/>
    <mergeCell ref="FNA71:FNA72"/>
    <mergeCell ref="FNB71:FNB72"/>
    <mergeCell ref="FNO71:FNO72"/>
    <mergeCell ref="FNQ71:FNQ72"/>
    <mergeCell ref="FLF71:FLF72"/>
    <mergeCell ref="FLS71:FLS72"/>
    <mergeCell ref="FLU71:FLU72"/>
    <mergeCell ref="FLV71:FLV72"/>
    <mergeCell ref="FMI71:FMI72"/>
    <mergeCell ref="FMK71:FMK72"/>
    <mergeCell ref="FJZ71:FJZ72"/>
    <mergeCell ref="FKM71:FKM72"/>
    <mergeCell ref="FKO71:FKO72"/>
    <mergeCell ref="FKP71:FKP72"/>
    <mergeCell ref="FLC71:FLC72"/>
    <mergeCell ref="FLE71:FLE72"/>
    <mergeCell ref="FQD71:FQD72"/>
    <mergeCell ref="FQQ71:FQQ72"/>
    <mergeCell ref="FQS71:FQS72"/>
    <mergeCell ref="FQT71:FQT72"/>
    <mergeCell ref="FRG71:FRG72"/>
    <mergeCell ref="FRI71:FRI72"/>
    <mergeCell ref="FOX71:FOX72"/>
    <mergeCell ref="FPK71:FPK72"/>
    <mergeCell ref="FPM71:FPM72"/>
    <mergeCell ref="FPN71:FPN72"/>
    <mergeCell ref="FQA71:FQA72"/>
    <mergeCell ref="FQC71:FQC72"/>
    <mergeCell ref="FNR71:FNR72"/>
    <mergeCell ref="FOE71:FOE72"/>
    <mergeCell ref="FOG71:FOG72"/>
    <mergeCell ref="FOH71:FOH72"/>
    <mergeCell ref="FOU71:FOU72"/>
    <mergeCell ref="FOW71:FOW72"/>
    <mergeCell ref="FTV71:FTV72"/>
    <mergeCell ref="FUI71:FUI72"/>
    <mergeCell ref="FUK71:FUK72"/>
    <mergeCell ref="FUL71:FUL72"/>
    <mergeCell ref="FUY71:FUY72"/>
    <mergeCell ref="FVA71:FVA72"/>
    <mergeCell ref="FSP71:FSP72"/>
    <mergeCell ref="FTC71:FTC72"/>
    <mergeCell ref="FTE71:FTE72"/>
    <mergeCell ref="FTF71:FTF72"/>
    <mergeCell ref="FTS71:FTS72"/>
    <mergeCell ref="FTU71:FTU72"/>
    <mergeCell ref="FRJ71:FRJ72"/>
    <mergeCell ref="FRW71:FRW72"/>
    <mergeCell ref="FRY71:FRY72"/>
    <mergeCell ref="FRZ71:FRZ72"/>
    <mergeCell ref="FSM71:FSM72"/>
    <mergeCell ref="FSO71:FSO72"/>
    <mergeCell ref="FXN71:FXN72"/>
    <mergeCell ref="FYA71:FYA72"/>
    <mergeCell ref="FYC71:FYC72"/>
    <mergeCell ref="FYD71:FYD72"/>
    <mergeCell ref="FYQ71:FYQ72"/>
    <mergeCell ref="FYS71:FYS72"/>
    <mergeCell ref="FWH71:FWH72"/>
    <mergeCell ref="FWU71:FWU72"/>
    <mergeCell ref="FWW71:FWW72"/>
    <mergeCell ref="FWX71:FWX72"/>
    <mergeCell ref="FXK71:FXK72"/>
    <mergeCell ref="FXM71:FXM72"/>
    <mergeCell ref="FVB71:FVB72"/>
    <mergeCell ref="FVO71:FVO72"/>
    <mergeCell ref="FVQ71:FVQ72"/>
    <mergeCell ref="FVR71:FVR72"/>
    <mergeCell ref="FWE71:FWE72"/>
    <mergeCell ref="FWG71:FWG72"/>
    <mergeCell ref="GBF71:GBF72"/>
    <mergeCell ref="GBS71:GBS72"/>
    <mergeCell ref="GBU71:GBU72"/>
    <mergeCell ref="GBV71:GBV72"/>
    <mergeCell ref="GCI71:GCI72"/>
    <mergeCell ref="GCK71:GCK72"/>
    <mergeCell ref="FZZ71:FZZ72"/>
    <mergeCell ref="GAM71:GAM72"/>
    <mergeCell ref="GAO71:GAO72"/>
    <mergeCell ref="GAP71:GAP72"/>
    <mergeCell ref="GBC71:GBC72"/>
    <mergeCell ref="GBE71:GBE72"/>
    <mergeCell ref="FYT71:FYT72"/>
    <mergeCell ref="FZG71:FZG72"/>
    <mergeCell ref="FZI71:FZI72"/>
    <mergeCell ref="FZJ71:FZJ72"/>
    <mergeCell ref="FZW71:FZW72"/>
    <mergeCell ref="FZY71:FZY72"/>
    <mergeCell ref="GEX71:GEX72"/>
    <mergeCell ref="GFK71:GFK72"/>
    <mergeCell ref="GFM71:GFM72"/>
    <mergeCell ref="GFN71:GFN72"/>
    <mergeCell ref="GGA71:GGA72"/>
    <mergeCell ref="GGC71:GGC72"/>
    <mergeCell ref="GDR71:GDR72"/>
    <mergeCell ref="GEE71:GEE72"/>
    <mergeCell ref="GEG71:GEG72"/>
    <mergeCell ref="GEH71:GEH72"/>
    <mergeCell ref="GEU71:GEU72"/>
    <mergeCell ref="GEW71:GEW72"/>
    <mergeCell ref="GCL71:GCL72"/>
    <mergeCell ref="GCY71:GCY72"/>
    <mergeCell ref="GDA71:GDA72"/>
    <mergeCell ref="GDB71:GDB72"/>
    <mergeCell ref="GDO71:GDO72"/>
    <mergeCell ref="GDQ71:GDQ72"/>
    <mergeCell ref="GIP71:GIP72"/>
    <mergeCell ref="GJC71:GJC72"/>
    <mergeCell ref="GJE71:GJE72"/>
    <mergeCell ref="GJF71:GJF72"/>
    <mergeCell ref="GJS71:GJS72"/>
    <mergeCell ref="GJU71:GJU72"/>
    <mergeCell ref="GHJ71:GHJ72"/>
    <mergeCell ref="GHW71:GHW72"/>
    <mergeCell ref="GHY71:GHY72"/>
    <mergeCell ref="GHZ71:GHZ72"/>
    <mergeCell ref="GIM71:GIM72"/>
    <mergeCell ref="GIO71:GIO72"/>
    <mergeCell ref="GGD71:GGD72"/>
    <mergeCell ref="GGQ71:GGQ72"/>
    <mergeCell ref="GGS71:GGS72"/>
    <mergeCell ref="GGT71:GGT72"/>
    <mergeCell ref="GHG71:GHG72"/>
    <mergeCell ref="GHI71:GHI72"/>
    <mergeCell ref="GMH71:GMH72"/>
    <mergeCell ref="GMU71:GMU72"/>
    <mergeCell ref="GMW71:GMW72"/>
    <mergeCell ref="GMX71:GMX72"/>
    <mergeCell ref="GNK71:GNK72"/>
    <mergeCell ref="GNM71:GNM72"/>
    <mergeCell ref="GLB71:GLB72"/>
    <mergeCell ref="GLO71:GLO72"/>
    <mergeCell ref="GLQ71:GLQ72"/>
    <mergeCell ref="GLR71:GLR72"/>
    <mergeCell ref="GME71:GME72"/>
    <mergeCell ref="GMG71:GMG72"/>
    <mergeCell ref="GJV71:GJV72"/>
    <mergeCell ref="GKI71:GKI72"/>
    <mergeCell ref="GKK71:GKK72"/>
    <mergeCell ref="GKL71:GKL72"/>
    <mergeCell ref="GKY71:GKY72"/>
    <mergeCell ref="GLA71:GLA72"/>
    <mergeCell ref="GPZ71:GPZ72"/>
    <mergeCell ref="GQM71:GQM72"/>
    <mergeCell ref="GQO71:GQO72"/>
    <mergeCell ref="GQP71:GQP72"/>
    <mergeCell ref="GRC71:GRC72"/>
    <mergeCell ref="GRE71:GRE72"/>
    <mergeCell ref="GOT71:GOT72"/>
    <mergeCell ref="GPG71:GPG72"/>
    <mergeCell ref="GPI71:GPI72"/>
    <mergeCell ref="GPJ71:GPJ72"/>
    <mergeCell ref="GPW71:GPW72"/>
    <mergeCell ref="GPY71:GPY72"/>
    <mergeCell ref="GNN71:GNN72"/>
    <mergeCell ref="GOA71:GOA72"/>
    <mergeCell ref="GOC71:GOC72"/>
    <mergeCell ref="GOD71:GOD72"/>
    <mergeCell ref="GOQ71:GOQ72"/>
    <mergeCell ref="GOS71:GOS72"/>
    <mergeCell ref="GTR71:GTR72"/>
    <mergeCell ref="GUE71:GUE72"/>
    <mergeCell ref="GUG71:GUG72"/>
    <mergeCell ref="GUH71:GUH72"/>
    <mergeCell ref="GUU71:GUU72"/>
    <mergeCell ref="GUW71:GUW72"/>
    <mergeCell ref="GSL71:GSL72"/>
    <mergeCell ref="GSY71:GSY72"/>
    <mergeCell ref="GTA71:GTA72"/>
    <mergeCell ref="GTB71:GTB72"/>
    <mergeCell ref="GTO71:GTO72"/>
    <mergeCell ref="GTQ71:GTQ72"/>
    <mergeCell ref="GRF71:GRF72"/>
    <mergeCell ref="GRS71:GRS72"/>
    <mergeCell ref="GRU71:GRU72"/>
    <mergeCell ref="GRV71:GRV72"/>
    <mergeCell ref="GSI71:GSI72"/>
    <mergeCell ref="GSK71:GSK72"/>
    <mergeCell ref="GXJ71:GXJ72"/>
    <mergeCell ref="GXW71:GXW72"/>
    <mergeCell ref="GXY71:GXY72"/>
    <mergeCell ref="GXZ71:GXZ72"/>
    <mergeCell ref="GYM71:GYM72"/>
    <mergeCell ref="GYO71:GYO72"/>
    <mergeCell ref="GWD71:GWD72"/>
    <mergeCell ref="GWQ71:GWQ72"/>
    <mergeCell ref="GWS71:GWS72"/>
    <mergeCell ref="GWT71:GWT72"/>
    <mergeCell ref="GXG71:GXG72"/>
    <mergeCell ref="GXI71:GXI72"/>
    <mergeCell ref="GUX71:GUX72"/>
    <mergeCell ref="GVK71:GVK72"/>
    <mergeCell ref="GVM71:GVM72"/>
    <mergeCell ref="GVN71:GVN72"/>
    <mergeCell ref="GWA71:GWA72"/>
    <mergeCell ref="GWC71:GWC72"/>
    <mergeCell ref="HBB71:HBB72"/>
    <mergeCell ref="HBO71:HBO72"/>
    <mergeCell ref="HBQ71:HBQ72"/>
    <mergeCell ref="HBR71:HBR72"/>
    <mergeCell ref="HCE71:HCE72"/>
    <mergeCell ref="HCG71:HCG72"/>
    <mergeCell ref="GZV71:GZV72"/>
    <mergeCell ref="HAI71:HAI72"/>
    <mergeCell ref="HAK71:HAK72"/>
    <mergeCell ref="HAL71:HAL72"/>
    <mergeCell ref="HAY71:HAY72"/>
    <mergeCell ref="HBA71:HBA72"/>
    <mergeCell ref="GYP71:GYP72"/>
    <mergeCell ref="GZC71:GZC72"/>
    <mergeCell ref="GZE71:GZE72"/>
    <mergeCell ref="GZF71:GZF72"/>
    <mergeCell ref="GZS71:GZS72"/>
    <mergeCell ref="GZU71:GZU72"/>
    <mergeCell ref="HET71:HET72"/>
    <mergeCell ref="HFG71:HFG72"/>
    <mergeCell ref="HFI71:HFI72"/>
    <mergeCell ref="HFJ71:HFJ72"/>
    <mergeCell ref="HFW71:HFW72"/>
    <mergeCell ref="HFY71:HFY72"/>
    <mergeCell ref="HDN71:HDN72"/>
    <mergeCell ref="HEA71:HEA72"/>
    <mergeCell ref="HEC71:HEC72"/>
    <mergeCell ref="HED71:HED72"/>
    <mergeCell ref="HEQ71:HEQ72"/>
    <mergeCell ref="HES71:HES72"/>
    <mergeCell ref="HCH71:HCH72"/>
    <mergeCell ref="HCU71:HCU72"/>
    <mergeCell ref="HCW71:HCW72"/>
    <mergeCell ref="HCX71:HCX72"/>
    <mergeCell ref="HDK71:HDK72"/>
    <mergeCell ref="HDM71:HDM72"/>
    <mergeCell ref="HIL71:HIL72"/>
    <mergeCell ref="HIY71:HIY72"/>
    <mergeCell ref="HJA71:HJA72"/>
    <mergeCell ref="HJB71:HJB72"/>
    <mergeCell ref="HJO71:HJO72"/>
    <mergeCell ref="HJQ71:HJQ72"/>
    <mergeCell ref="HHF71:HHF72"/>
    <mergeCell ref="HHS71:HHS72"/>
    <mergeCell ref="HHU71:HHU72"/>
    <mergeCell ref="HHV71:HHV72"/>
    <mergeCell ref="HII71:HII72"/>
    <mergeCell ref="HIK71:HIK72"/>
    <mergeCell ref="HFZ71:HFZ72"/>
    <mergeCell ref="HGM71:HGM72"/>
    <mergeCell ref="HGO71:HGO72"/>
    <mergeCell ref="HGP71:HGP72"/>
    <mergeCell ref="HHC71:HHC72"/>
    <mergeCell ref="HHE71:HHE72"/>
    <mergeCell ref="HMD71:HMD72"/>
    <mergeCell ref="HMQ71:HMQ72"/>
    <mergeCell ref="HMS71:HMS72"/>
    <mergeCell ref="HMT71:HMT72"/>
    <mergeCell ref="HNG71:HNG72"/>
    <mergeCell ref="HNI71:HNI72"/>
    <mergeCell ref="HKX71:HKX72"/>
    <mergeCell ref="HLK71:HLK72"/>
    <mergeCell ref="HLM71:HLM72"/>
    <mergeCell ref="HLN71:HLN72"/>
    <mergeCell ref="HMA71:HMA72"/>
    <mergeCell ref="HMC71:HMC72"/>
    <mergeCell ref="HJR71:HJR72"/>
    <mergeCell ref="HKE71:HKE72"/>
    <mergeCell ref="HKG71:HKG72"/>
    <mergeCell ref="HKH71:HKH72"/>
    <mergeCell ref="HKU71:HKU72"/>
    <mergeCell ref="HKW71:HKW72"/>
    <mergeCell ref="HPV71:HPV72"/>
    <mergeCell ref="HQI71:HQI72"/>
    <mergeCell ref="HQK71:HQK72"/>
    <mergeCell ref="HQL71:HQL72"/>
    <mergeCell ref="HQY71:HQY72"/>
    <mergeCell ref="HRA71:HRA72"/>
    <mergeCell ref="HOP71:HOP72"/>
    <mergeCell ref="HPC71:HPC72"/>
    <mergeCell ref="HPE71:HPE72"/>
    <mergeCell ref="HPF71:HPF72"/>
    <mergeCell ref="HPS71:HPS72"/>
    <mergeCell ref="HPU71:HPU72"/>
    <mergeCell ref="HNJ71:HNJ72"/>
    <mergeCell ref="HNW71:HNW72"/>
    <mergeCell ref="HNY71:HNY72"/>
    <mergeCell ref="HNZ71:HNZ72"/>
    <mergeCell ref="HOM71:HOM72"/>
    <mergeCell ref="HOO71:HOO72"/>
    <mergeCell ref="HTN71:HTN72"/>
    <mergeCell ref="HUA71:HUA72"/>
    <mergeCell ref="HUC71:HUC72"/>
    <mergeCell ref="HUD71:HUD72"/>
    <mergeCell ref="HUQ71:HUQ72"/>
    <mergeCell ref="HUS71:HUS72"/>
    <mergeCell ref="HSH71:HSH72"/>
    <mergeCell ref="HSU71:HSU72"/>
    <mergeCell ref="HSW71:HSW72"/>
    <mergeCell ref="HSX71:HSX72"/>
    <mergeCell ref="HTK71:HTK72"/>
    <mergeCell ref="HTM71:HTM72"/>
    <mergeCell ref="HRB71:HRB72"/>
    <mergeCell ref="HRO71:HRO72"/>
    <mergeCell ref="HRQ71:HRQ72"/>
    <mergeCell ref="HRR71:HRR72"/>
    <mergeCell ref="HSE71:HSE72"/>
    <mergeCell ref="HSG71:HSG72"/>
    <mergeCell ref="HXF71:HXF72"/>
    <mergeCell ref="HXS71:HXS72"/>
    <mergeCell ref="HXU71:HXU72"/>
    <mergeCell ref="HXV71:HXV72"/>
    <mergeCell ref="HYI71:HYI72"/>
    <mergeCell ref="HYK71:HYK72"/>
    <mergeCell ref="HVZ71:HVZ72"/>
    <mergeCell ref="HWM71:HWM72"/>
    <mergeCell ref="HWO71:HWO72"/>
    <mergeCell ref="HWP71:HWP72"/>
    <mergeCell ref="HXC71:HXC72"/>
    <mergeCell ref="HXE71:HXE72"/>
    <mergeCell ref="HUT71:HUT72"/>
    <mergeCell ref="HVG71:HVG72"/>
    <mergeCell ref="HVI71:HVI72"/>
    <mergeCell ref="HVJ71:HVJ72"/>
    <mergeCell ref="HVW71:HVW72"/>
    <mergeCell ref="HVY71:HVY72"/>
    <mergeCell ref="IAX71:IAX72"/>
    <mergeCell ref="IBK71:IBK72"/>
    <mergeCell ref="IBM71:IBM72"/>
    <mergeCell ref="IBN71:IBN72"/>
    <mergeCell ref="ICA71:ICA72"/>
    <mergeCell ref="ICC71:ICC72"/>
    <mergeCell ref="HZR71:HZR72"/>
    <mergeCell ref="IAE71:IAE72"/>
    <mergeCell ref="IAG71:IAG72"/>
    <mergeCell ref="IAH71:IAH72"/>
    <mergeCell ref="IAU71:IAU72"/>
    <mergeCell ref="IAW71:IAW72"/>
    <mergeCell ref="HYL71:HYL72"/>
    <mergeCell ref="HYY71:HYY72"/>
    <mergeCell ref="HZA71:HZA72"/>
    <mergeCell ref="HZB71:HZB72"/>
    <mergeCell ref="HZO71:HZO72"/>
    <mergeCell ref="HZQ71:HZQ72"/>
    <mergeCell ref="IEP71:IEP72"/>
    <mergeCell ref="IFC71:IFC72"/>
    <mergeCell ref="IFE71:IFE72"/>
    <mergeCell ref="IFF71:IFF72"/>
    <mergeCell ref="IFS71:IFS72"/>
    <mergeCell ref="IFU71:IFU72"/>
    <mergeCell ref="IDJ71:IDJ72"/>
    <mergeCell ref="IDW71:IDW72"/>
    <mergeCell ref="IDY71:IDY72"/>
    <mergeCell ref="IDZ71:IDZ72"/>
    <mergeCell ref="IEM71:IEM72"/>
    <mergeCell ref="IEO71:IEO72"/>
    <mergeCell ref="ICD71:ICD72"/>
    <mergeCell ref="ICQ71:ICQ72"/>
    <mergeCell ref="ICS71:ICS72"/>
    <mergeCell ref="ICT71:ICT72"/>
    <mergeCell ref="IDG71:IDG72"/>
    <mergeCell ref="IDI71:IDI72"/>
    <mergeCell ref="IIH71:IIH72"/>
    <mergeCell ref="IIU71:IIU72"/>
    <mergeCell ref="IIW71:IIW72"/>
    <mergeCell ref="IIX71:IIX72"/>
    <mergeCell ref="IJK71:IJK72"/>
    <mergeCell ref="IJM71:IJM72"/>
    <mergeCell ref="IHB71:IHB72"/>
    <mergeCell ref="IHO71:IHO72"/>
    <mergeCell ref="IHQ71:IHQ72"/>
    <mergeCell ref="IHR71:IHR72"/>
    <mergeCell ref="IIE71:IIE72"/>
    <mergeCell ref="IIG71:IIG72"/>
    <mergeCell ref="IFV71:IFV72"/>
    <mergeCell ref="IGI71:IGI72"/>
    <mergeCell ref="IGK71:IGK72"/>
    <mergeCell ref="IGL71:IGL72"/>
    <mergeCell ref="IGY71:IGY72"/>
    <mergeCell ref="IHA71:IHA72"/>
    <mergeCell ref="ILZ71:ILZ72"/>
    <mergeCell ref="IMM71:IMM72"/>
    <mergeCell ref="IMO71:IMO72"/>
    <mergeCell ref="IMP71:IMP72"/>
    <mergeCell ref="INC71:INC72"/>
    <mergeCell ref="INE71:INE72"/>
    <mergeCell ref="IKT71:IKT72"/>
    <mergeCell ref="ILG71:ILG72"/>
    <mergeCell ref="ILI71:ILI72"/>
    <mergeCell ref="ILJ71:ILJ72"/>
    <mergeCell ref="ILW71:ILW72"/>
    <mergeCell ref="ILY71:ILY72"/>
    <mergeCell ref="IJN71:IJN72"/>
    <mergeCell ref="IKA71:IKA72"/>
    <mergeCell ref="IKC71:IKC72"/>
    <mergeCell ref="IKD71:IKD72"/>
    <mergeCell ref="IKQ71:IKQ72"/>
    <mergeCell ref="IKS71:IKS72"/>
    <mergeCell ref="IPR71:IPR72"/>
    <mergeCell ref="IQE71:IQE72"/>
    <mergeCell ref="IQG71:IQG72"/>
    <mergeCell ref="IQH71:IQH72"/>
    <mergeCell ref="IQU71:IQU72"/>
    <mergeCell ref="IQW71:IQW72"/>
    <mergeCell ref="IOL71:IOL72"/>
    <mergeCell ref="IOY71:IOY72"/>
    <mergeCell ref="IPA71:IPA72"/>
    <mergeCell ref="IPB71:IPB72"/>
    <mergeCell ref="IPO71:IPO72"/>
    <mergeCell ref="IPQ71:IPQ72"/>
    <mergeCell ref="INF71:INF72"/>
    <mergeCell ref="INS71:INS72"/>
    <mergeCell ref="INU71:INU72"/>
    <mergeCell ref="INV71:INV72"/>
    <mergeCell ref="IOI71:IOI72"/>
    <mergeCell ref="IOK71:IOK72"/>
    <mergeCell ref="ITJ71:ITJ72"/>
    <mergeCell ref="ITW71:ITW72"/>
    <mergeCell ref="ITY71:ITY72"/>
    <mergeCell ref="ITZ71:ITZ72"/>
    <mergeCell ref="IUM71:IUM72"/>
    <mergeCell ref="IUO71:IUO72"/>
    <mergeCell ref="ISD71:ISD72"/>
    <mergeCell ref="ISQ71:ISQ72"/>
    <mergeCell ref="ISS71:ISS72"/>
    <mergeCell ref="IST71:IST72"/>
    <mergeCell ref="ITG71:ITG72"/>
    <mergeCell ref="ITI71:ITI72"/>
    <mergeCell ref="IQX71:IQX72"/>
    <mergeCell ref="IRK71:IRK72"/>
    <mergeCell ref="IRM71:IRM72"/>
    <mergeCell ref="IRN71:IRN72"/>
    <mergeCell ref="ISA71:ISA72"/>
    <mergeCell ref="ISC71:ISC72"/>
    <mergeCell ref="IXB71:IXB72"/>
    <mergeCell ref="IXO71:IXO72"/>
    <mergeCell ref="IXQ71:IXQ72"/>
    <mergeCell ref="IXR71:IXR72"/>
    <mergeCell ref="IYE71:IYE72"/>
    <mergeCell ref="IYG71:IYG72"/>
    <mergeCell ref="IVV71:IVV72"/>
    <mergeCell ref="IWI71:IWI72"/>
    <mergeCell ref="IWK71:IWK72"/>
    <mergeCell ref="IWL71:IWL72"/>
    <mergeCell ref="IWY71:IWY72"/>
    <mergeCell ref="IXA71:IXA72"/>
    <mergeCell ref="IUP71:IUP72"/>
    <mergeCell ref="IVC71:IVC72"/>
    <mergeCell ref="IVE71:IVE72"/>
    <mergeCell ref="IVF71:IVF72"/>
    <mergeCell ref="IVS71:IVS72"/>
    <mergeCell ref="IVU71:IVU72"/>
    <mergeCell ref="JAT71:JAT72"/>
    <mergeCell ref="JBG71:JBG72"/>
    <mergeCell ref="JBI71:JBI72"/>
    <mergeCell ref="JBJ71:JBJ72"/>
    <mergeCell ref="JBW71:JBW72"/>
    <mergeCell ref="JBY71:JBY72"/>
    <mergeCell ref="IZN71:IZN72"/>
    <mergeCell ref="JAA71:JAA72"/>
    <mergeCell ref="JAC71:JAC72"/>
    <mergeCell ref="JAD71:JAD72"/>
    <mergeCell ref="JAQ71:JAQ72"/>
    <mergeCell ref="JAS71:JAS72"/>
    <mergeCell ref="IYH71:IYH72"/>
    <mergeCell ref="IYU71:IYU72"/>
    <mergeCell ref="IYW71:IYW72"/>
    <mergeCell ref="IYX71:IYX72"/>
    <mergeCell ref="IZK71:IZK72"/>
    <mergeCell ref="IZM71:IZM72"/>
    <mergeCell ref="JEL71:JEL72"/>
    <mergeCell ref="JEY71:JEY72"/>
    <mergeCell ref="JFA71:JFA72"/>
    <mergeCell ref="JFB71:JFB72"/>
    <mergeCell ref="JFO71:JFO72"/>
    <mergeCell ref="JFQ71:JFQ72"/>
    <mergeCell ref="JDF71:JDF72"/>
    <mergeCell ref="JDS71:JDS72"/>
    <mergeCell ref="JDU71:JDU72"/>
    <mergeCell ref="JDV71:JDV72"/>
    <mergeCell ref="JEI71:JEI72"/>
    <mergeCell ref="JEK71:JEK72"/>
    <mergeCell ref="JBZ71:JBZ72"/>
    <mergeCell ref="JCM71:JCM72"/>
    <mergeCell ref="JCO71:JCO72"/>
    <mergeCell ref="JCP71:JCP72"/>
    <mergeCell ref="JDC71:JDC72"/>
    <mergeCell ref="JDE71:JDE72"/>
    <mergeCell ref="JID71:JID72"/>
    <mergeCell ref="JIQ71:JIQ72"/>
    <mergeCell ref="JIS71:JIS72"/>
    <mergeCell ref="JIT71:JIT72"/>
    <mergeCell ref="JJG71:JJG72"/>
    <mergeCell ref="JJI71:JJI72"/>
    <mergeCell ref="JGX71:JGX72"/>
    <mergeCell ref="JHK71:JHK72"/>
    <mergeCell ref="JHM71:JHM72"/>
    <mergeCell ref="JHN71:JHN72"/>
    <mergeCell ref="JIA71:JIA72"/>
    <mergeCell ref="JIC71:JIC72"/>
    <mergeCell ref="JFR71:JFR72"/>
    <mergeCell ref="JGE71:JGE72"/>
    <mergeCell ref="JGG71:JGG72"/>
    <mergeCell ref="JGH71:JGH72"/>
    <mergeCell ref="JGU71:JGU72"/>
    <mergeCell ref="JGW71:JGW72"/>
    <mergeCell ref="JLV71:JLV72"/>
    <mergeCell ref="JMI71:JMI72"/>
    <mergeCell ref="JMK71:JMK72"/>
    <mergeCell ref="JML71:JML72"/>
    <mergeCell ref="JMY71:JMY72"/>
    <mergeCell ref="JNA71:JNA72"/>
    <mergeCell ref="JKP71:JKP72"/>
    <mergeCell ref="JLC71:JLC72"/>
    <mergeCell ref="JLE71:JLE72"/>
    <mergeCell ref="JLF71:JLF72"/>
    <mergeCell ref="JLS71:JLS72"/>
    <mergeCell ref="JLU71:JLU72"/>
    <mergeCell ref="JJJ71:JJJ72"/>
    <mergeCell ref="JJW71:JJW72"/>
    <mergeCell ref="JJY71:JJY72"/>
    <mergeCell ref="JJZ71:JJZ72"/>
    <mergeCell ref="JKM71:JKM72"/>
    <mergeCell ref="JKO71:JKO72"/>
    <mergeCell ref="JPN71:JPN72"/>
    <mergeCell ref="JQA71:JQA72"/>
    <mergeCell ref="JQC71:JQC72"/>
    <mergeCell ref="JQD71:JQD72"/>
    <mergeCell ref="JQQ71:JQQ72"/>
    <mergeCell ref="JQS71:JQS72"/>
    <mergeCell ref="JOH71:JOH72"/>
    <mergeCell ref="JOU71:JOU72"/>
    <mergeCell ref="JOW71:JOW72"/>
    <mergeCell ref="JOX71:JOX72"/>
    <mergeCell ref="JPK71:JPK72"/>
    <mergeCell ref="JPM71:JPM72"/>
    <mergeCell ref="JNB71:JNB72"/>
    <mergeCell ref="JNO71:JNO72"/>
    <mergeCell ref="JNQ71:JNQ72"/>
    <mergeCell ref="JNR71:JNR72"/>
    <mergeCell ref="JOE71:JOE72"/>
    <mergeCell ref="JOG71:JOG72"/>
    <mergeCell ref="JTF71:JTF72"/>
    <mergeCell ref="JTS71:JTS72"/>
    <mergeCell ref="JTU71:JTU72"/>
    <mergeCell ref="JTV71:JTV72"/>
    <mergeCell ref="JUI71:JUI72"/>
    <mergeCell ref="JUK71:JUK72"/>
    <mergeCell ref="JRZ71:JRZ72"/>
    <mergeCell ref="JSM71:JSM72"/>
    <mergeCell ref="JSO71:JSO72"/>
    <mergeCell ref="JSP71:JSP72"/>
    <mergeCell ref="JTC71:JTC72"/>
    <mergeCell ref="JTE71:JTE72"/>
    <mergeCell ref="JQT71:JQT72"/>
    <mergeCell ref="JRG71:JRG72"/>
    <mergeCell ref="JRI71:JRI72"/>
    <mergeCell ref="JRJ71:JRJ72"/>
    <mergeCell ref="JRW71:JRW72"/>
    <mergeCell ref="JRY71:JRY72"/>
    <mergeCell ref="JWX71:JWX72"/>
    <mergeCell ref="JXK71:JXK72"/>
    <mergeCell ref="JXM71:JXM72"/>
    <mergeCell ref="JXN71:JXN72"/>
    <mergeCell ref="JYA71:JYA72"/>
    <mergeCell ref="JYC71:JYC72"/>
    <mergeCell ref="JVR71:JVR72"/>
    <mergeCell ref="JWE71:JWE72"/>
    <mergeCell ref="JWG71:JWG72"/>
    <mergeCell ref="JWH71:JWH72"/>
    <mergeCell ref="JWU71:JWU72"/>
    <mergeCell ref="JWW71:JWW72"/>
    <mergeCell ref="JUL71:JUL72"/>
    <mergeCell ref="JUY71:JUY72"/>
    <mergeCell ref="JVA71:JVA72"/>
    <mergeCell ref="JVB71:JVB72"/>
    <mergeCell ref="JVO71:JVO72"/>
    <mergeCell ref="JVQ71:JVQ72"/>
    <mergeCell ref="KAP71:KAP72"/>
    <mergeCell ref="KBC71:KBC72"/>
    <mergeCell ref="KBE71:KBE72"/>
    <mergeCell ref="KBF71:KBF72"/>
    <mergeCell ref="KBS71:KBS72"/>
    <mergeCell ref="KBU71:KBU72"/>
    <mergeCell ref="JZJ71:JZJ72"/>
    <mergeCell ref="JZW71:JZW72"/>
    <mergeCell ref="JZY71:JZY72"/>
    <mergeCell ref="JZZ71:JZZ72"/>
    <mergeCell ref="KAM71:KAM72"/>
    <mergeCell ref="KAO71:KAO72"/>
    <mergeCell ref="JYD71:JYD72"/>
    <mergeCell ref="JYQ71:JYQ72"/>
    <mergeCell ref="JYS71:JYS72"/>
    <mergeCell ref="JYT71:JYT72"/>
    <mergeCell ref="JZG71:JZG72"/>
    <mergeCell ref="JZI71:JZI72"/>
    <mergeCell ref="KEH71:KEH72"/>
    <mergeCell ref="KEU71:KEU72"/>
    <mergeCell ref="KEW71:KEW72"/>
    <mergeCell ref="KEX71:KEX72"/>
    <mergeCell ref="KFK71:KFK72"/>
    <mergeCell ref="KFM71:KFM72"/>
    <mergeCell ref="KDB71:KDB72"/>
    <mergeCell ref="KDO71:KDO72"/>
    <mergeCell ref="KDQ71:KDQ72"/>
    <mergeCell ref="KDR71:KDR72"/>
    <mergeCell ref="KEE71:KEE72"/>
    <mergeCell ref="KEG71:KEG72"/>
    <mergeCell ref="KBV71:KBV72"/>
    <mergeCell ref="KCI71:KCI72"/>
    <mergeCell ref="KCK71:KCK72"/>
    <mergeCell ref="KCL71:KCL72"/>
    <mergeCell ref="KCY71:KCY72"/>
    <mergeCell ref="KDA71:KDA72"/>
    <mergeCell ref="KHZ71:KHZ72"/>
    <mergeCell ref="KIM71:KIM72"/>
    <mergeCell ref="KIO71:KIO72"/>
    <mergeCell ref="KIP71:KIP72"/>
    <mergeCell ref="KJC71:KJC72"/>
    <mergeCell ref="KJE71:KJE72"/>
    <mergeCell ref="KGT71:KGT72"/>
    <mergeCell ref="KHG71:KHG72"/>
    <mergeCell ref="KHI71:KHI72"/>
    <mergeCell ref="KHJ71:KHJ72"/>
    <mergeCell ref="KHW71:KHW72"/>
    <mergeCell ref="KHY71:KHY72"/>
    <mergeCell ref="KFN71:KFN72"/>
    <mergeCell ref="KGA71:KGA72"/>
    <mergeCell ref="KGC71:KGC72"/>
    <mergeCell ref="KGD71:KGD72"/>
    <mergeCell ref="KGQ71:KGQ72"/>
    <mergeCell ref="KGS71:KGS72"/>
    <mergeCell ref="KLR71:KLR72"/>
    <mergeCell ref="KME71:KME72"/>
    <mergeCell ref="KMG71:KMG72"/>
    <mergeCell ref="KMH71:KMH72"/>
    <mergeCell ref="KMU71:KMU72"/>
    <mergeCell ref="KMW71:KMW72"/>
    <mergeCell ref="KKL71:KKL72"/>
    <mergeCell ref="KKY71:KKY72"/>
    <mergeCell ref="KLA71:KLA72"/>
    <mergeCell ref="KLB71:KLB72"/>
    <mergeCell ref="KLO71:KLO72"/>
    <mergeCell ref="KLQ71:KLQ72"/>
    <mergeCell ref="KJF71:KJF72"/>
    <mergeCell ref="KJS71:KJS72"/>
    <mergeCell ref="KJU71:KJU72"/>
    <mergeCell ref="KJV71:KJV72"/>
    <mergeCell ref="KKI71:KKI72"/>
    <mergeCell ref="KKK71:KKK72"/>
    <mergeCell ref="KPJ71:KPJ72"/>
    <mergeCell ref="KPW71:KPW72"/>
    <mergeCell ref="KPY71:KPY72"/>
    <mergeCell ref="KPZ71:KPZ72"/>
    <mergeCell ref="KQM71:KQM72"/>
    <mergeCell ref="KQO71:KQO72"/>
    <mergeCell ref="KOD71:KOD72"/>
    <mergeCell ref="KOQ71:KOQ72"/>
    <mergeCell ref="KOS71:KOS72"/>
    <mergeCell ref="KOT71:KOT72"/>
    <mergeCell ref="KPG71:KPG72"/>
    <mergeCell ref="KPI71:KPI72"/>
    <mergeCell ref="KMX71:KMX72"/>
    <mergeCell ref="KNK71:KNK72"/>
    <mergeCell ref="KNM71:KNM72"/>
    <mergeCell ref="KNN71:KNN72"/>
    <mergeCell ref="KOA71:KOA72"/>
    <mergeCell ref="KOC71:KOC72"/>
    <mergeCell ref="KTB71:KTB72"/>
    <mergeCell ref="KTO71:KTO72"/>
    <mergeCell ref="KTQ71:KTQ72"/>
    <mergeCell ref="KTR71:KTR72"/>
    <mergeCell ref="KUE71:KUE72"/>
    <mergeCell ref="KUG71:KUG72"/>
    <mergeCell ref="KRV71:KRV72"/>
    <mergeCell ref="KSI71:KSI72"/>
    <mergeCell ref="KSK71:KSK72"/>
    <mergeCell ref="KSL71:KSL72"/>
    <mergeCell ref="KSY71:KSY72"/>
    <mergeCell ref="KTA71:KTA72"/>
    <mergeCell ref="KQP71:KQP72"/>
    <mergeCell ref="KRC71:KRC72"/>
    <mergeCell ref="KRE71:KRE72"/>
    <mergeCell ref="KRF71:KRF72"/>
    <mergeCell ref="KRS71:KRS72"/>
    <mergeCell ref="KRU71:KRU72"/>
    <mergeCell ref="KWT71:KWT72"/>
    <mergeCell ref="KXG71:KXG72"/>
    <mergeCell ref="KXI71:KXI72"/>
    <mergeCell ref="KXJ71:KXJ72"/>
    <mergeCell ref="KXW71:KXW72"/>
    <mergeCell ref="KXY71:KXY72"/>
    <mergeCell ref="KVN71:KVN72"/>
    <mergeCell ref="KWA71:KWA72"/>
    <mergeCell ref="KWC71:KWC72"/>
    <mergeCell ref="KWD71:KWD72"/>
    <mergeCell ref="KWQ71:KWQ72"/>
    <mergeCell ref="KWS71:KWS72"/>
    <mergeCell ref="KUH71:KUH72"/>
    <mergeCell ref="KUU71:KUU72"/>
    <mergeCell ref="KUW71:KUW72"/>
    <mergeCell ref="KUX71:KUX72"/>
    <mergeCell ref="KVK71:KVK72"/>
    <mergeCell ref="KVM71:KVM72"/>
    <mergeCell ref="LAL71:LAL72"/>
    <mergeCell ref="LAY71:LAY72"/>
    <mergeCell ref="LBA71:LBA72"/>
    <mergeCell ref="LBB71:LBB72"/>
    <mergeCell ref="LBO71:LBO72"/>
    <mergeCell ref="LBQ71:LBQ72"/>
    <mergeCell ref="KZF71:KZF72"/>
    <mergeCell ref="KZS71:KZS72"/>
    <mergeCell ref="KZU71:KZU72"/>
    <mergeCell ref="KZV71:KZV72"/>
    <mergeCell ref="LAI71:LAI72"/>
    <mergeCell ref="LAK71:LAK72"/>
    <mergeCell ref="KXZ71:KXZ72"/>
    <mergeCell ref="KYM71:KYM72"/>
    <mergeCell ref="KYO71:KYO72"/>
    <mergeCell ref="KYP71:KYP72"/>
    <mergeCell ref="KZC71:KZC72"/>
    <mergeCell ref="KZE71:KZE72"/>
    <mergeCell ref="LED71:LED72"/>
    <mergeCell ref="LEQ71:LEQ72"/>
    <mergeCell ref="LES71:LES72"/>
    <mergeCell ref="LET71:LET72"/>
    <mergeCell ref="LFG71:LFG72"/>
    <mergeCell ref="LFI71:LFI72"/>
    <mergeCell ref="LCX71:LCX72"/>
    <mergeCell ref="LDK71:LDK72"/>
    <mergeCell ref="LDM71:LDM72"/>
    <mergeCell ref="LDN71:LDN72"/>
    <mergeCell ref="LEA71:LEA72"/>
    <mergeCell ref="LEC71:LEC72"/>
    <mergeCell ref="LBR71:LBR72"/>
    <mergeCell ref="LCE71:LCE72"/>
    <mergeCell ref="LCG71:LCG72"/>
    <mergeCell ref="LCH71:LCH72"/>
    <mergeCell ref="LCU71:LCU72"/>
    <mergeCell ref="LCW71:LCW72"/>
    <mergeCell ref="LHV71:LHV72"/>
    <mergeCell ref="LII71:LII72"/>
    <mergeCell ref="LIK71:LIK72"/>
    <mergeCell ref="LIL71:LIL72"/>
    <mergeCell ref="LIY71:LIY72"/>
    <mergeCell ref="LJA71:LJA72"/>
    <mergeCell ref="LGP71:LGP72"/>
    <mergeCell ref="LHC71:LHC72"/>
    <mergeCell ref="LHE71:LHE72"/>
    <mergeCell ref="LHF71:LHF72"/>
    <mergeCell ref="LHS71:LHS72"/>
    <mergeCell ref="LHU71:LHU72"/>
    <mergeCell ref="LFJ71:LFJ72"/>
    <mergeCell ref="LFW71:LFW72"/>
    <mergeCell ref="LFY71:LFY72"/>
    <mergeCell ref="LFZ71:LFZ72"/>
    <mergeCell ref="LGM71:LGM72"/>
    <mergeCell ref="LGO71:LGO72"/>
    <mergeCell ref="LLN71:LLN72"/>
    <mergeCell ref="LMA71:LMA72"/>
    <mergeCell ref="LMC71:LMC72"/>
    <mergeCell ref="LMD71:LMD72"/>
    <mergeCell ref="LMQ71:LMQ72"/>
    <mergeCell ref="LMS71:LMS72"/>
    <mergeCell ref="LKH71:LKH72"/>
    <mergeCell ref="LKU71:LKU72"/>
    <mergeCell ref="LKW71:LKW72"/>
    <mergeCell ref="LKX71:LKX72"/>
    <mergeCell ref="LLK71:LLK72"/>
    <mergeCell ref="LLM71:LLM72"/>
    <mergeCell ref="LJB71:LJB72"/>
    <mergeCell ref="LJO71:LJO72"/>
    <mergeCell ref="LJQ71:LJQ72"/>
    <mergeCell ref="LJR71:LJR72"/>
    <mergeCell ref="LKE71:LKE72"/>
    <mergeCell ref="LKG71:LKG72"/>
    <mergeCell ref="LPF71:LPF72"/>
    <mergeCell ref="LPS71:LPS72"/>
    <mergeCell ref="LPU71:LPU72"/>
    <mergeCell ref="LPV71:LPV72"/>
    <mergeCell ref="LQI71:LQI72"/>
    <mergeCell ref="LQK71:LQK72"/>
    <mergeCell ref="LNZ71:LNZ72"/>
    <mergeCell ref="LOM71:LOM72"/>
    <mergeCell ref="LOO71:LOO72"/>
    <mergeCell ref="LOP71:LOP72"/>
    <mergeCell ref="LPC71:LPC72"/>
    <mergeCell ref="LPE71:LPE72"/>
    <mergeCell ref="LMT71:LMT72"/>
    <mergeCell ref="LNG71:LNG72"/>
    <mergeCell ref="LNI71:LNI72"/>
    <mergeCell ref="LNJ71:LNJ72"/>
    <mergeCell ref="LNW71:LNW72"/>
    <mergeCell ref="LNY71:LNY72"/>
    <mergeCell ref="LSX71:LSX72"/>
    <mergeCell ref="LTK71:LTK72"/>
    <mergeCell ref="LTM71:LTM72"/>
    <mergeCell ref="LTN71:LTN72"/>
    <mergeCell ref="LUA71:LUA72"/>
    <mergeCell ref="LUC71:LUC72"/>
    <mergeCell ref="LRR71:LRR72"/>
    <mergeCell ref="LSE71:LSE72"/>
    <mergeCell ref="LSG71:LSG72"/>
    <mergeCell ref="LSH71:LSH72"/>
    <mergeCell ref="LSU71:LSU72"/>
    <mergeCell ref="LSW71:LSW72"/>
    <mergeCell ref="LQL71:LQL72"/>
    <mergeCell ref="LQY71:LQY72"/>
    <mergeCell ref="LRA71:LRA72"/>
    <mergeCell ref="LRB71:LRB72"/>
    <mergeCell ref="LRO71:LRO72"/>
    <mergeCell ref="LRQ71:LRQ72"/>
    <mergeCell ref="LWP71:LWP72"/>
    <mergeCell ref="LXC71:LXC72"/>
    <mergeCell ref="LXE71:LXE72"/>
    <mergeCell ref="LXF71:LXF72"/>
    <mergeCell ref="LXS71:LXS72"/>
    <mergeCell ref="LXU71:LXU72"/>
    <mergeCell ref="LVJ71:LVJ72"/>
    <mergeCell ref="LVW71:LVW72"/>
    <mergeCell ref="LVY71:LVY72"/>
    <mergeCell ref="LVZ71:LVZ72"/>
    <mergeCell ref="LWM71:LWM72"/>
    <mergeCell ref="LWO71:LWO72"/>
    <mergeCell ref="LUD71:LUD72"/>
    <mergeCell ref="LUQ71:LUQ72"/>
    <mergeCell ref="LUS71:LUS72"/>
    <mergeCell ref="LUT71:LUT72"/>
    <mergeCell ref="LVG71:LVG72"/>
    <mergeCell ref="LVI71:LVI72"/>
    <mergeCell ref="MAH71:MAH72"/>
    <mergeCell ref="MAU71:MAU72"/>
    <mergeCell ref="MAW71:MAW72"/>
    <mergeCell ref="MAX71:MAX72"/>
    <mergeCell ref="MBK71:MBK72"/>
    <mergeCell ref="MBM71:MBM72"/>
    <mergeCell ref="LZB71:LZB72"/>
    <mergeCell ref="LZO71:LZO72"/>
    <mergeCell ref="LZQ71:LZQ72"/>
    <mergeCell ref="LZR71:LZR72"/>
    <mergeCell ref="MAE71:MAE72"/>
    <mergeCell ref="MAG71:MAG72"/>
    <mergeCell ref="LXV71:LXV72"/>
    <mergeCell ref="LYI71:LYI72"/>
    <mergeCell ref="LYK71:LYK72"/>
    <mergeCell ref="LYL71:LYL72"/>
    <mergeCell ref="LYY71:LYY72"/>
    <mergeCell ref="LZA71:LZA72"/>
    <mergeCell ref="MDZ71:MDZ72"/>
    <mergeCell ref="MEM71:MEM72"/>
    <mergeCell ref="MEO71:MEO72"/>
    <mergeCell ref="MEP71:MEP72"/>
    <mergeCell ref="MFC71:MFC72"/>
    <mergeCell ref="MFE71:MFE72"/>
    <mergeCell ref="MCT71:MCT72"/>
    <mergeCell ref="MDG71:MDG72"/>
    <mergeCell ref="MDI71:MDI72"/>
    <mergeCell ref="MDJ71:MDJ72"/>
    <mergeCell ref="MDW71:MDW72"/>
    <mergeCell ref="MDY71:MDY72"/>
    <mergeCell ref="MBN71:MBN72"/>
    <mergeCell ref="MCA71:MCA72"/>
    <mergeCell ref="MCC71:MCC72"/>
    <mergeCell ref="MCD71:MCD72"/>
    <mergeCell ref="MCQ71:MCQ72"/>
    <mergeCell ref="MCS71:MCS72"/>
    <mergeCell ref="MHR71:MHR72"/>
    <mergeCell ref="MIE71:MIE72"/>
    <mergeCell ref="MIG71:MIG72"/>
    <mergeCell ref="MIH71:MIH72"/>
    <mergeCell ref="MIU71:MIU72"/>
    <mergeCell ref="MIW71:MIW72"/>
    <mergeCell ref="MGL71:MGL72"/>
    <mergeCell ref="MGY71:MGY72"/>
    <mergeCell ref="MHA71:MHA72"/>
    <mergeCell ref="MHB71:MHB72"/>
    <mergeCell ref="MHO71:MHO72"/>
    <mergeCell ref="MHQ71:MHQ72"/>
    <mergeCell ref="MFF71:MFF72"/>
    <mergeCell ref="MFS71:MFS72"/>
    <mergeCell ref="MFU71:MFU72"/>
    <mergeCell ref="MFV71:MFV72"/>
    <mergeCell ref="MGI71:MGI72"/>
    <mergeCell ref="MGK71:MGK72"/>
    <mergeCell ref="MLJ71:MLJ72"/>
    <mergeCell ref="MLW71:MLW72"/>
    <mergeCell ref="MLY71:MLY72"/>
    <mergeCell ref="MLZ71:MLZ72"/>
    <mergeCell ref="MMM71:MMM72"/>
    <mergeCell ref="MMO71:MMO72"/>
    <mergeCell ref="MKD71:MKD72"/>
    <mergeCell ref="MKQ71:MKQ72"/>
    <mergeCell ref="MKS71:MKS72"/>
    <mergeCell ref="MKT71:MKT72"/>
    <mergeCell ref="MLG71:MLG72"/>
    <mergeCell ref="MLI71:MLI72"/>
    <mergeCell ref="MIX71:MIX72"/>
    <mergeCell ref="MJK71:MJK72"/>
    <mergeCell ref="MJM71:MJM72"/>
    <mergeCell ref="MJN71:MJN72"/>
    <mergeCell ref="MKA71:MKA72"/>
    <mergeCell ref="MKC71:MKC72"/>
    <mergeCell ref="MPB71:MPB72"/>
    <mergeCell ref="MPO71:MPO72"/>
    <mergeCell ref="MPQ71:MPQ72"/>
    <mergeCell ref="MPR71:MPR72"/>
    <mergeCell ref="MQE71:MQE72"/>
    <mergeCell ref="MQG71:MQG72"/>
    <mergeCell ref="MNV71:MNV72"/>
    <mergeCell ref="MOI71:MOI72"/>
    <mergeCell ref="MOK71:MOK72"/>
    <mergeCell ref="MOL71:MOL72"/>
    <mergeCell ref="MOY71:MOY72"/>
    <mergeCell ref="MPA71:MPA72"/>
    <mergeCell ref="MMP71:MMP72"/>
    <mergeCell ref="MNC71:MNC72"/>
    <mergeCell ref="MNE71:MNE72"/>
    <mergeCell ref="MNF71:MNF72"/>
    <mergeCell ref="MNS71:MNS72"/>
    <mergeCell ref="MNU71:MNU72"/>
    <mergeCell ref="MST71:MST72"/>
    <mergeCell ref="MTG71:MTG72"/>
    <mergeCell ref="MTI71:MTI72"/>
    <mergeCell ref="MTJ71:MTJ72"/>
    <mergeCell ref="MTW71:MTW72"/>
    <mergeCell ref="MTY71:MTY72"/>
    <mergeCell ref="MRN71:MRN72"/>
    <mergeCell ref="MSA71:MSA72"/>
    <mergeCell ref="MSC71:MSC72"/>
    <mergeCell ref="MSD71:MSD72"/>
    <mergeCell ref="MSQ71:MSQ72"/>
    <mergeCell ref="MSS71:MSS72"/>
    <mergeCell ref="MQH71:MQH72"/>
    <mergeCell ref="MQU71:MQU72"/>
    <mergeCell ref="MQW71:MQW72"/>
    <mergeCell ref="MQX71:MQX72"/>
    <mergeCell ref="MRK71:MRK72"/>
    <mergeCell ref="MRM71:MRM72"/>
    <mergeCell ref="MWL71:MWL72"/>
    <mergeCell ref="MWY71:MWY72"/>
    <mergeCell ref="MXA71:MXA72"/>
    <mergeCell ref="MXB71:MXB72"/>
    <mergeCell ref="MXO71:MXO72"/>
    <mergeCell ref="MXQ71:MXQ72"/>
    <mergeCell ref="MVF71:MVF72"/>
    <mergeCell ref="MVS71:MVS72"/>
    <mergeCell ref="MVU71:MVU72"/>
    <mergeCell ref="MVV71:MVV72"/>
    <mergeCell ref="MWI71:MWI72"/>
    <mergeCell ref="MWK71:MWK72"/>
    <mergeCell ref="MTZ71:MTZ72"/>
    <mergeCell ref="MUM71:MUM72"/>
    <mergeCell ref="MUO71:MUO72"/>
    <mergeCell ref="MUP71:MUP72"/>
    <mergeCell ref="MVC71:MVC72"/>
    <mergeCell ref="MVE71:MVE72"/>
    <mergeCell ref="NAD71:NAD72"/>
    <mergeCell ref="NAQ71:NAQ72"/>
    <mergeCell ref="NAS71:NAS72"/>
    <mergeCell ref="NAT71:NAT72"/>
    <mergeCell ref="NBG71:NBG72"/>
    <mergeCell ref="NBI71:NBI72"/>
    <mergeCell ref="MYX71:MYX72"/>
    <mergeCell ref="MZK71:MZK72"/>
    <mergeCell ref="MZM71:MZM72"/>
    <mergeCell ref="MZN71:MZN72"/>
    <mergeCell ref="NAA71:NAA72"/>
    <mergeCell ref="NAC71:NAC72"/>
    <mergeCell ref="MXR71:MXR72"/>
    <mergeCell ref="MYE71:MYE72"/>
    <mergeCell ref="MYG71:MYG72"/>
    <mergeCell ref="MYH71:MYH72"/>
    <mergeCell ref="MYU71:MYU72"/>
    <mergeCell ref="MYW71:MYW72"/>
    <mergeCell ref="NDV71:NDV72"/>
    <mergeCell ref="NEI71:NEI72"/>
    <mergeCell ref="NEK71:NEK72"/>
    <mergeCell ref="NEL71:NEL72"/>
    <mergeCell ref="NEY71:NEY72"/>
    <mergeCell ref="NFA71:NFA72"/>
    <mergeCell ref="NCP71:NCP72"/>
    <mergeCell ref="NDC71:NDC72"/>
    <mergeCell ref="NDE71:NDE72"/>
    <mergeCell ref="NDF71:NDF72"/>
    <mergeCell ref="NDS71:NDS72"/>
    <mergeCell ref="NDU71:NDU72"/>
    <mergeCell ref="NBJ71:NBJ72"/>
    <mergeCell ref="NBW71:NBW72"/>
    <mergeCell ref="NBY71:NBY72"/>
    <mergeCell ref="NBZ71:NBZ72"/>
    <mergeCell ref="NCM71:NCM72"/>
    <mergeCell ref="NCO71:NCO72"/>
    <mergeCell ref="NHN71:NHN72"/>
    <mergeCell ref="NIA71:NIA72"/>
    <mergeCell ref="NIC71:NIC72"/>
    <mergeCell ref="NID71:NID72"/>
    <mergeCell ref="NIQ71:NIQ72"/>
    <mergeCell ref="NIS71:NIS72"/>
    <mergeCell ref="NGH71:NGH72"/>
    <mergeCell ref="NGU71:NGU72"/>
    <mergeCell ref="NGW71:NGW72"/>
    <mergeCell ref="NGX71:NGX72"/>
    <mergeCell ref="NHK71:NHK72"/>
    <mergeCell ref="NHM71:NHM72"/>
    <mergeCell ref="NFB71:NFB72"/>
    <mergeCell ref="NFO71:NFO72"/>
    <mergeCell ref="NFQ71:NFQ72"/>
    <mergeCell ref="NFR71:NFR72"/>
    <mergeCell ref="NGE71:NGE72"/>
    <mergeCell ref="NGG71:NGG72"/>
    <mergeCell ref="NLF71:NLF72"/>
    <mergeCell ref="NLS71:NLS72"/>
    <mergeCell ref="NLU71:NLU72"/>
    <mergeCell ref="NLV71:NLV72"/>
    <mergeCell ref="NMI71:NMI72"/>
    <mergeCell ref="NMK71:NMK72"/>
    <mergeCell ref="NJZ71:NJZ72"/>
    <mergeCell ref="NKM71:NKM72"/>
    <mergeCell ref="NKO71:NKO72"/>
    <mergeCell ref="NKP71:NKP72"/>
    <mergeCell ref="NLC71:NLC72"/>
    <mergeCell ref="NLE71:NLE72"/>
    <mergeCell ref="NIT71:NIT72"/>
    <mergeCell ref="NJG71:NJG72"/>
    <mergeCell ref="NJI71:NJI72"/>
    <mergeCell ref="NJJ71:NJJ72"/>
    <mergeCell ref="NJW71:NJW72"/>
    <mergeCell ref="NJY71:NJY72"/>
    <mergeCell ref="NOX71:NOX72"/>
    <mergeCell ref="NPK71:NPK72"/>
    <mergeCell ref="NPM71:NPM72"/>
    <mergeCell ref="NPN71:NPN72"/>
    <mergeCell ref="NQA71:NQA72"/>
    <mergeCell ref="NQC71:NQC72"/>
    <mergeCell ref="NNR71:NNR72"/>
    <mergeCell ref="NOE71:NOE72"/>
    <mergeCell ref="NOG71:NOG72"/>
    <mergeCell ref="NOH71:NOH72"/>
    <mergeCell ref="NOU71:NOU72"/>
    <mergeCell ref="NOW71:NOW72"/>
    <mergeCell ref="NML71:NML72"/>
    <mergeCell ref="NMY71:NMY72"/>
    <mergeCell ref="NNA71:NNA72"/>
    <mergeCell ref="NNB71:NNB72"/>
    <mergeCell ref="NNO71:NNO72"/>
    <mergeCell ref="NNQ71:NNQ72"/>
    <mergeCell ref="NSP71:NSP72"/>
    <mergeCell ref="NTC71:NTC72"/>
    <mergeCell ref="NTE71:NTE72"/>
    <mergeCell ref="NTF71:NTF72"/>
    <mergeCell ref="NTS71:NTS72"/>
    <mergeCell ref="NTU71:NTU72"/>
    <mergeCell ref="NRJ71:NRJ72"/>
    <mergeCell ref="NRW71:NRW72"/>
    <mergeCell ref="NRY71:NRY72"/>
    <mergeCell ref="NRZ71:NRZ72"/>
    <mergeCell ref="NSM71:NSM72"/>
    <mergeCell ref="NSO71:NSO72"/>
    <mergeCell ref="NQD71:NQD72"/>
    <mergeCell ref="NQQ71:NQQ72"/>
    <mergeCell ref="NQS71:NQS72"/>
    <mergeCell ref="NQT71:NQT72"/>
    <mergeCell ref="NRG71:NRG72"/>
    <mergeCell ref="NRI71:NRI72"/>
    <mergeCell ref="NWH71:NWH72"/>
    <mergeCell ref="NWU71:NWU72"/>
    <mergeCell ref="NWW71:NWW72"/>
    <mergeCell ref="NWX71:NWX72"/>
    <mergeCell ref="NXK71:NXK72"/>
    <mergeCell ref="NXM71:NXM72"/>
    <mergeCell ref="NVB71:NVB72"/>
    <mergeCell ref="NVO71:NVO72"/>
    <mergeCell ref="NVQ71:NVQ72"/>
    <mergeCell ref="NVR71:NVR72"/>
    <mergeCell ref="NWE71:NWE72"/>
    <mergeCell ref="NWG71:NWG72"/>
    <mergeCell ref="NTV71:NTV72"/>
    <mergeCell ref="NUI71:NUI72"/>
    <mergeCell ref="NUK71:NUK72"/>
    <mergeCell ref="NUL71:NUL72"/>
    <mergeCell ref="NUY71:NUY72"/>
    <mergeCell ref="NVA71:NVA72"/>
    <mergeCell ref="NZZ71:NZZ72"/>
    <mergeCell ref="OAM71:OAM72"/>
    <mergeCell ref="OAO71:OAO72"/>
    <mergeCell ref="OAP71:OAP72"/>
    <mergeCell ref="OBC71:OBC72"/>
    <mergeCell ref="OBE71:OBE72"/>
    <mergeCell ref="NYT71:NYT72"/>
    <mergeCell ref="NZG71:NZG72"/>
    <mergeCell ref="NZI71:NZI72"/>
    <mergeCell ref="NZJ71:NZJ72"/>
    <mergeCell ref="NZW71:NZW72"/>
    <mergeCell ref="NZY71:NZY72"/>
    <mergeCell ref="NXN71:NXN72"/>
    <mergeCell ref="NYA71:NYA72"/>
    <mergeCell ref="NYC71:NYC72"/>
    <mergeCell ref="NYD71:NYD72"/>
    <mergeCell ref="NYQ71:NYQ72"/>
    <mergeCell ref="NYS71:NYS72"/>
    <mergeCell ref="ODR71:ODR72"/>
    <mergeCell ref="OEE71:OEE72"/>
    <mergeCell ref="OEG71:OEG72"/>
    <mergeCell ref="OEH71:OEH72"/>
    <mergeCell ref="OEU71:OEU72"/>
    <mergeCell ref="OEW71:OEW72"/>
    <mergeCell ref="OCL71:OCL72"/>
    <mergeCell ref="OCY71:OCY72"/>
    <mergeCell ref="ODA71:ODA72"/>
    <mergeCell ref="ODB71:ODB72"/>
    <mergeCell ref="ODO71:ODO72"/>
    <mergeCell ref="ODQ71:ODQ72"/>
    <mergeCell ref="OBF71:OBF72"/>
    <mergeCell ref="OBS71:OBS72"/>
    <mergeCell ref="OBU71:OBU72"/>
    <mergeCell ref="OBV71:OBV72"/>
    <mergeCell ref="OCI71:OCI72"/>
    <mergeCell ref="OCK71:OCK72"/>
    <mergeCell ref="OHJ71:OHJ72"/>
    <mergeCell ref="OHW71:OHW72"/>
    <mergeCell ref="OHY71:OHY72"/>
    <mergeCell ref="OHZ71:OHZ72"/>
    <mergeCell ref="OIM71:OIM72"/>
    <mergeCell ref="OIO71:OIO72"/>
    <mergeCell ref="OGD71:OGD72"/>
    <mergeCell ref="OGQ71:OGQ72"/>
    <mergeCell ref="OGS71:OGS72"/>
    <mergeCell ref="OGT71:OGT72"/>
    <mergeCell ref="OHG71:OHG72"/>
    <mergeCell ref="OHI71:OHI72"/>
    <mergeCell ref="OEX71:OEX72"/>
    <mergeCell ref="OFK71:OFK72"/>
    <mergeCell ref="OFM71:OFM72"/>
    <mergeCell ref="OFN71:OFN72"/>
    <mergeCell ref="OGA71:OGA72"/>
    <mergeCell ref="OGC71:OGC72"/>
    <mergeCell ref="OLB71:OLB72"/>
    <mergeCell ref="OLO71:OLO72"/>
    <mergeCell ref="OLQ71:OLQ72"/>
    <mergeCell ref="OLR71:OLR72"/>
    <mergeCell ref="OME71:OME72"/>
    <mergeCell ref="OMG71:OMG72"/>
    <mergeCell ref="OJV71:OJV72"/>
    <mergeCell ref="OKI71:OKI72"/>
    <mergeCell ref="OKK71:OKK72"/>
    <mergeCell ref="OKL71:OKL72"/>
    <mergeCell ref="OKY71:OKY72"/>
    <mergeCell ref="OLA71:OLA72"/>
    <mergeCell ref="OIP71:OIP72"/>
    <mergeCell ref="OJC71:OJC72"/>
    <mergeCell ref="OJE71:OJE72"/>
    <mergeCell ref="OJF71:OJF72"/>
    <mergeCell ref="OJS71:OJS72"/>
    <mergeCell ref="OJU71:OJU72"/>
    <mergeCell ref="OOT71:OOT72"/>
    <mergeCell ref="OPG71:OPG72"/>
    <mergeCell ref="OPI71:OPI72"/>
    <mergeCell ref="OPJ71:OPJ72"/>
    <mergeCell ref="OPW71:OPW72"/>
    <mergeCell ref="OPY71:OPY72"/>
    <mergeCell ref="ONN71:ONN72"/>
    <mergeCell ref="OOA71:OOA72"/>
    <mergeCell ref="OOC71:OOC72"/>
    <mergeCell ref="OOD71:OOD72"/>
    <mergeCell ref="OOQ71:OOQ72"/>
    <mergeCell ref="OOS71:OOS72"/>
    <mergeCell ref="OMH71:OMH72"/>
    <mergeCell ref="OMU71:OMU72"/>
    <mergeCell ref="OMW71:OMW72"/>
    <mergeCell ref="OMX71:OMX72"/>
    <mergeCell ref="ONK71:ONK72"/>
    <mergeCell ref="ONM71:ONM72"/>
    <mergeCell ref="OSL71:OSL72"/>
    <mergeCell ref="OSY71:OSY72"/>
    <mergeCell ref="OTA71:OTA72"/>
    <mergeCell ref="OTB71:OTB72"/>
    <mergeCell ref="OTO71:OTO72"/>
    <mergeCell ref="OTQ71:OTQ72"/>
    <mergeCell ref="ORF71:ORF72"/>
    <mergeCell ref="ORS71:ORS72"/>
    <mergeCell ref="ORU71:ORU72"/>
    <mergeCell ref="ORV71:ORV72"/>
    <mergeCell ref="OSI71:OSI72"/>
    <mergeCell ref="OSK71:OSK72"/>
    <mergeCell ref="OPZ71:OPZ72"/>
    <mergeCell ref="OQM71:OQM72"/>
    <mergeCell ref="OQO71:OQO72"/>
    <mergeCell ref="OQP71:OQP72"/>
    <mergeCell ref="ORC71:ORC72"/>
    <mergeCell ref="ORE71:ORE72"/>
    <mergeCell ref="OWD71:OWD72"/>
    <mergeCell ref="OWQ71:OWQ72"/>
    <mergeCell ref="OWS71:OWS72"/>
    <mergeCell ref="OWT71:OWT72"/>
    <mergeCell ref="OXG71:OXG72"/>
    <mergeCell ref="OXI71:OXI72"/>
    <mergeCell ref="OUX71:OUX72"/>
    <mergeCell ref="OVK71:OVK72"/>
    <mergeCell ref="OVM71:OVM72"/>
    <mergeCell ref="OVN71:OVN72"/>
    <mergeCell ref="OWA71:OWA72"/>
    <mergeCell ref="OWC71:OWC72"/>
    <mergeCell ref="OTR71:OTR72"/>
    <mergeCell ref="OUE71:OUE72"/>
    <mergeCell ref="OUG71:OUG72"/>
    <mergeCell ref="OUH71:OUH72"/>
    <mergeCell ref="OUU71:OUU72"/>
    <mergeCell ref="OUW71:OUW72"/>
    <mergeCell ref="OZV71:OZV72"/>
    <mergeCell ref="PAI71:PAI72"/>
    <mergeCell ref="PAK71:PAK72"/>
    <mergeCell ref="PAL71:PAL72"/>
    <mergeCell ref="PAY71:PAY72"/>
    <mergeCell ref="PBA71:PBA72"/>
    <mergeCell ref="OYP71:OYP72"/>
    <mergeCell ref="OZC71:OZC72"/>
    <mergeCell ref="OZE71:OZE72"/>
    <mergeCell ref="OZF71:OZF72"/>
    <mergeCell ref="OZS71:OZS72"/>
    <mergeCell ref="OZU71:OZU72"/>
    <mergeCell ref="OXJ71:OXJ72"/>
    <mergeCell ref="OXW71:OXW72"/>
    <mergeCell ref="OXY71:OXY72"/>
    <mergeCell ref="OXZ71:OXZ72"/>
    <mergeCell ref="OYM71:OYM72"/>
    <mergeCell ref="OYO71:OYO72"/>
    <mergeCell ref="PDN71:PDN72"/>
    <mergeCell ref="PEA71:PEA72"/>
    <mergeCell ref="PEC71:PEC72"/>
    <mergeCell ref="PED71:PED72"/>
    <mergeCell ref="PEQ71:PEQ72"/>
    <mergeCell ref="PES71:PES72"/>
    <mergeCell ref="PCH71:PCH72"/>
    <mergeCell ref="PCU71:PCU72"/>
    <mergeCell ref="PCW71:PCW72"/>
    <mergeCell ref="PCX71:PCX72"/>
    <mergeCell ref="PDK71:PDK72"/>
    <mergeCell ref="PDM71:PDM72"/>
    <mergeCell ref="PBB71:PBB72"/>
    <mergeCell ref="PBO71:PBO72"/>
    <mergeCell ref="PBQ71:PBQ72"/>
    <mergeCell ref="PBR71:PBR72"/>
    <mergeCell ref="PCE71:PCE72"/>
    <mergeCell ref="PCG71:PCG72"/>
    <mergeCell ref="PHF71:PHF72"/>
    <mergeCell ref="PHS71:PHS72"/>
    <mergeCell ref="PHU71:PHU72"/>
    <mergeCell ref="PHV71:PHV72"/>
    <mergeCell ref="PII71:PII72"/>
    <mergeCell ref="PIK71:PIK72"/>
    <mergeCell ref="PFZ71:PFZ72"/>
    <mergeCell ref="PGM71:PGM72"/>
    <mergeCell ref="PGO71:PGO72"/>
    <mergeCell ref="PGP71:PGP72"/>
    <mergeCell ref="PHC71:PHC72"/>
    <mergeCell ref="PHE71:PHE72"/>
    <mergeCell ref="PET71:PET72"/>
    <mergeCell ref="PFG71:PFG72"/>
    <mergeCell ref="PFI71:PFI72"/>
    <mergeCell ref="PFJ71:PFJ72"/>
    <mergeCell ref="PFW71:PFW72"/>
    <mergeCell ref="PFY71:PFY72"/>
    <mergeCell ref="PKX71:PKX72"/>
    <mergeCell ref="PLK71:PLK72"/>
    <mergeCell ref="PLM71:PLM72"/>
    <mergeCell ref="PLN71:PLN72"/>
    <mergeCell ref="PMA71:PMA72"/>
    <mergeCell ref="PMC71:PMC72"/>
    <mergeCell ref="PJR71:PJR72"/>
    <mergeCell ref="PKE71:PKE72"/>
    <mergeCell ref="PKG71:PKG72"/>
    <mergeCell ref="PKH71:PKH72"/>
    <mergeCell ref="PKU71:PKU72"/>
    <mergeCell ref="PKW71:PKW72"/>
    <mergeCell ref="PIL71:PIL72"/>
    <mergeCell ref="PIY71:PIY72"/>
    <mergeCell ref="PJA71:PJA72"/>
    <mergeCell ref="PJB71:PJB72"/>
    <mergeCell ref="PJO71:PJO72"/>
    <mergeCell ref="PJQ71:PJQ72"/>
    <mergeCell ref="POP71:POP72"/>
    <mergeCell ref="PPC71:PPC72"/>
    <mergeCell ref="PPE71:PPE72"/>
    <mergeCell ref="PPF71:PPF72"/>
    <mergeCell ref="PPS71:PPS72"/>
    <mergeCell ref="PPU71:PPU72"/>
    <mergeCell ref="PNJ71:PNJ72"/>
    <mergeCell ref="PNW71:PNW72"/>
    <mergeCell ref="PNY71:PNY72"/>
    <mergeCell ref="PNZ71:PNZ72"/>
    <mergeCell ref="POM71:POM72"/>
    <mergeCell ref="POO71:POO72"/>
    <mergeCell ref="PMD71:PMD72"/>
    <mergeCell ref="PMQ71:PMQ72"/>
    <mergeCell ref="PMS71:PMS72"/>
    <mergeCell ref="PMT71:PMT72"/>
    <mergeCell ref="PNG71:PNG72"/>
    <mergeCell ref="PNI71:PNI72"/>
    <mergeCell ref="PSH71:PSH72"/>
    <mergeCell ref="PSU71:PSU72"/>
    <mergeCell ref="PSW71:PSW72"/>
    <mergeCell ref="PSX71:PSX72"/>
    <mergeCell ref="PTK71:PTK72"/>
    <mergeCell ref="PTM71:PTM72"/>
    <mergeCell ref="PRB71:PRB72"/>
    <mergeCell ref="PRO71:PRO72"/>
    <mergeCell ref="PRQ71:PRQ72"/>
    <mergeCell ref="PRR71:PRR72"/>
    <mergeCell ref="PSE71:PSE72"/>
    <mergeCell ref="PSG71:PSG72"/>
    <mergeCell ref="PPV71:PPV72"/>
    <mergeCell ref="PQI71:PQI72"/>
    <mergeCell ref="PQK71:PQK72"/>
    <mergeCell ref="PQL71:PQL72"/>
    <mergeCell ref="PQY71:PQY72"/>
    <mergeCell ref="PRA71:PRA72"/>
    <mergeCell ref="PVZ71:PVZ72"/>
    <mergeCell ref="PWM71:PWM72"/>
    <mergeCell ref="PWO71:PWO72"/>
    <mergeCell ref="PWP71:PWP72"/>
    <mergeCell ref="PXC71:PXC72"/>
    <mergeCell ref="PXE71:PXE72"/>
    <mergeCell ref="PUT71:PUT72"/>
    <mergeCell ref="PVG71:PVG72"/>
    <mergeCell ref="PVI71:PVI72"/>
    <mergeCell ref="PVJ71:PVJ72"/>
    <mergeCell ref="PVW71:PVW72"/>
    <mergeCell ref="PVY71:PVY72"/>
    <mergeCell ref="PTN71:PTN72"/>
    <mergeCell ref="PUA71:PUA72"/>
    <mergeCell ref="PUC71:PUC72"/>
    <mergeCell ref="PUD71:PUD72"/>
    <mergeCell ref="PUQ71:PUQ72"/>
    <mergeCell ref="PUS71:PUS72"/>
    <mergeCell ref="PZR71:PZR72"/>
    <mergeCell ref="QAE71:QAE72"/>
    <mergeCell ref="QAG71:QAG72"/>
    <mergeCell ref="QAH71:QAH72"/>
    <mergeCell ref="QAU71:QAU72"/>
    <mergeCell ref="QAW71:QAW72"/>
    <mergeCell ref="PYL71:PYL72"/>
    <mergeCell ref="PYY71:PYY72"/>
    <mergeCell ref="PZA71:PZA72"/>
    <mergeCell ref="PZB71:PZB72"/>
    <mergeCell ref="PZO71:PZO72"/>
    <mergeCell ref="PZQ71:PZQ72"/>
    <mergeCell ref="PXF71:PXF72"/>
    <mergeCell ref="PXS71:PXS72"/>
    <mergeCell ref="PXU71:PXU72"/>
    <mergeCell ref="PXV71:PXV72"/>
    <mergeCell ref="PYI71:PYI72"/>
    <mergeCell ref="PYK71:PYK72"/>
    <mergeCell ref="QDJ71:QDJ72"/>
    <mergeCell ref="QDW71:QDW72"/>
    <mergeCell ref="QDY71:QDY72"/>
    <mergeCell ref="QDZ71:QDZ72"/>
    <mergeCell ref="QEM71:QEM72"/>
    <mergeCell ref="QEO71:QEO72"/>
    <mergeCell ref="QCD71:QCD72"/>
    <mergeCell ref="QCQ71:QCQ72"/>
    <mergeCell ref="QCS71:QCS72"/>
    <mergeCell ref="QCT71:QCT72"/>
    <mergeCell ref="QDG71:QDG72"/>
    <mergeCell ref="QDI71:QDI72"/>
    <mergeCell ref="QAX71:QAX72"/>
    <mergeCell ref="QBK71:QBK72"/>
    <mergeCell ref="QBM71:QBM72"/>
    <mergeCell ref="QBN71:QBN72"/>
    <mergeCell ref="QCA71:QCA72"/>
    <mergeCell ref="QCC71:QCC72"/>
    <mergeCell ref="QHB71:QHB72"/>
    <mergeCell ref="QHO71:QHO72"/>
    <mergeCell ref="QHQ71:QHQ72"/>
    <mergeCell ref="QHR71:QHR72"/>
    <mergeCell ref="QIE71:QIE72"/>
    <mergeCell ref="QIG71:QIG72"/>
    <mergeCell ref="QFV71:QFV72"/>
    <mergeCell ref="QGI71:QGI72"/>
    <mergeCell ref="QGK71:QGK72"/>
    <mergeCell ref="QGL71:QGL72"/>
    <mergeCell ref="QGY71:QGY72"/>
    <mergeCell ref="QHA71:QHA72"/>
    <mergeCell ref="QEP71:QEP72"/>
    <mergeCell ref="QFC71:QFC72"/>
    <mergeCell ref="QFE71:QFE72"/>
    <mergeCell ref="QFF71:QFF72"/>
    <mergeCell ref="QFS71:QFS72"/>
    <mergeCell ref="QFU71:QFU72"/>
    <mergeCell ref="QKT71:QKT72"/>
    <mergeCell ref="QLG71:QLG72"/>
    <mergeCell ref="QLI71:QLI72"/>
    <mergeCell ref="QLJ71:QLJ72"/>
    <mergeCell ref="QLW71:QLW72"/>
    <mergeCell ref="QLY71:QLY72"/>
    <mergeCell ref="QJN71:QJN72"/>
    <mergeCell ref="QKA71:QKA72"/>
    <mergeCell ref="QKC71:QKC72"/>
    <mergeCell ref="QKD71:QKD72"/>
    <mergeCell ref="QKQ71:QKQ72"/>
    <mergeCell ref="QKS71:QKS72"/>
    <mergeCell ref="QIH71:QIH72"/>
    <mergeCell ref="QIU71:QIU72"/>
    <mergeCell ref="QIW71:QIW72"/>
    <mergeCell ref="QIX71:QIX72"/>
    <mergeCell ref="QJK71:QJK72"/>
    <mergeCell ref="QJM71:QJM72"/>
    <mergeCell ref="QOL71:QOL72"/>
    <mergeCell ref="QOY71:QOY72"/>
    <mergeCell ref="QPA71:QPA72"/>
    <mergeCell ref="QPB71:QPB72"/>
    <mergeCell ref="QPO71:QPO72"/>
    <mergeCell ref="QPQ71:QPQ72"/>
    <mergeCell ref="QNF71:QNF72"/>
    <mergeCell ref="QNS71:QNS72"/>
    <mergeCell ref="QNU71:QNU72"/>
    <mergeCell ref="QNV71:QNV72"/>
    <mergeCell ref="QOI71:QOI72"/>
    <mergeCell ref="QOK71:QOK72"/>
    <mergeCell ref="QLZ71:QLZ72"/>
    <mergeCell ref="QMM71:QMM72"/>
    <mergeCell ref="QMO71:QMO72"/>
    <mergeCell ref="QMP71:QMP72"/>
    <mergeCell ref="QNC71:QNC72"/>
    <mergeCell ref="QNE71:QNE72"/>
    <mergeCell ref="QSD71:QSD72"/>
    <mergeCell ref="QSQ71:QSQ72"/>
    <mergeCell ref="QSS71:QSS72"/>
    <mergeCell ref="QST71:QST72"/>
    <mergeCell ref="QTG71:QTG72"/>
    <mergeCell ref="QTI71:QTI72"/>
    <mergeCell ref="QQX71:QQX72"/>
    <mergeCell ref="QRK71:QRK72"/>
    <mergeCell ref="QRM71:QRM72"/>
    <mergeCell ref="QRN71:QRN72"/>
    <mergeCell ref="QSA71:QSA72"/>
    <mergeCell ref="QSC71:QSC72"/>
    <mergeCell ref="QPR71:QPR72"/>
    <mergeCell ref="QQE71:QQE72"/>
    <mergeCell ref="QQG71:QQG72"/>
    <mergeCell ref="QQH71:QQH72"/>
    <mergeCell ref="QQU71:QQU72"/>
    <mergeCell ref="QQW71:QQW72"/>
    <mergeCell ref="QVV71:QVV72"/>
    <mergeCell ref="QWI71:QWI72"/>
    <mergeCell ref="QWK71:QWK72"/>
    <mergeCell ref="QWL71:QWL72"/>
    <mergeCell ref="QWY71:QWY72"/>
    <mergeCell ref="QXA71:QXA72"/>
    <mergeCell ref="QUP71:QUP72"/>
    <mergeCell ref="QVC71:QVC72"/>
    <mergeCell ref="QVE71:QVE72"/>
    <mergeCell ref="QVF71:QVF72"/>
    <mergeCell ref="QVS71:QVS72"/>
    <mergeCell ref="QVU71:QVU72"/>
    <mergeCell ref="QTJ71:QTJ72"/>
    <mergeCell ref="QTW71:QTW72"/>
    <mergeCell ref="QTY71:QTY72"/>
    <mergeCell ref="QTZ71:QTZ72"/>
    <mergeCell ref="QUM71:QUM72"/>
    <mergeCell ref="QUO71:QUO72"/>
    <mergeCell ref="QZN71:QZN72"/>
    <mergeCell ref="RAA71:RAA72"/>
    <mergeCell ref="RAC71:RAC72"/>
    <mergeCell ref="RAD71:RAD72"/>
    <mergeCell ref="RWX71:RWX72"/>
    <mergeCell ref="RXK71:RXK72"/>
    <mergeCell ref="QYH71:QYH72"/>
    <mergeCell ref="QYU71:QYU72"/>
    <mergeCell ref="QYW71:QYW72"/>
    <mergeCell ref="QYX71:QYX72"/>
    <mergeCell ref="QZK71:QZK72"/>
    <mergeCell ref="QZM71:QZM72"/>
    <mergeCell ref="QXB71:QXB72"/>
    <mergeCell ref="QXO71:QXO72"/>
    <mergeCell ref="QXQ71:QXQ72"/>
    <mergeCell ref="QXR71:QXR72"/>
    <mergeCell ref="QYE71:QYE72"/>
    <mergeCell ref="QYG71:QYG72"/>
    <mergeCell ref="RZY71:RZY72"/>
    <mergeCell ref="RZZ71:RZZ72"/>
    <mergeCell ref="SAM71:SAM72"/>
    <mergeCell ref="SAO71:SAO72"/>
    <mergeCell ref="SAP71:SAP72"/>
    <mergeCell ref="SBC71:SBC72"/>
    <mergeCell ref="RYS71:RYS72"/>
    <mergeCell ref="RYT71:RYT72"/>
    <mergeCell ref="RZG71:RZG72"/>
    <mergeCell ref="RZI71:RZI72"/>
    <mergeCell ref="RZJ71:RZJ72"/>
    <mergeCell ref="RZW71:RZW72"/>
    <mergeCell ref="RXM71:RXM72"/>
    <mergeCell ref="RXN71:RXN72"/>
    <mergeCell ref="RYA71:RYA72"/>
    <mergeCell ref="RYC71:RYC72"/>
    <mergeCell ref="RYD71:RYD72"/>
    <mergeCell ref="RYQ71:RYQ72"/>
    <mergeCell ref="SDQ71:SDQ72"/>
    <mergeCell ref="SDR71:SDR72"/>
    <mergeCell ref="SEE71:SEE72"/>
    <mergeCell ref="SEG71:SEG72"/>
    <mergeCell ref="SEH71:SEH72"/>
    <mergeCell ref="SEU71:SEU72"/>
    <mergeCell ref="SCK71:SCK72"/>
    <mergeCell ref="SCL71:SCL72"/>
    <mergeCell ref="SCY71:SCY72"/>
    <mergeCell ref="SDA71:SDA72"/>
    <mergeCell ref="SDB71:SDB72"/>
    <mergeCell ref="SDO71:SDO72"/>
    <mergeCell ref="SBE71:SBE72"/>
    <mergeCell ref="SBF71:SBF72"/>
    <mergeCell ref="SBS71:SBS72"/>
    <mergeCell ref="SBU71:SBU72"/>
    <mergeCell ref="SBV71:SBV72"/>
    <mergeCell ref="SCI71:SCI72"/>
    <mergeCell ref="SHI71:SHI72"/>
    <mergeCell ref="SHJ71:SHJ72"/>
    <mergeCell ref="SHW71:SHW72"/>
    <mergeCell ref="SHY71:SHY72"/>
    <mergeCell ref="SHZ71:SHZ72"/>
    <mergeCell ref="SIM71:SIM72"/>
    <mergeCell ref="SGC71:SGC72"/>
    <mergeCell ref="SGD71:SGD72"/>
    <mergeCell ref="SGQ71:SGQ72"/>
    <mergeCell ref="SGS71:SGS72"/>
    <mergeCell ref="SGT71:SGT72"/>
    <mergeCell ref="SHG71:SHG72"/>
    <mergeCell ref="SEW71:SEW72"/>
    <mergeCell ref="SEX71:SEX72"/>
    <mergeCell ref="SFK71:SFK72"/>
    <mergeCell ref="SFM71:SFM72"/>
    <mergeCell ref="SFN71:SFN72"/>
    <mergeCell ref="SGA71:SGA72"/>
    <mergeCell ref="SLA71:SLA72"/>
    <mergeCell ref="SLB71:SLB72"/>
    <mergeCell ref="SLO71:SLO72"/>
    <mergeCell ref="SLQ71:SLQ72"/>
    <mergeCell ref="SLR71:SLR72"/>
    <mergeCell ref="SME71:SME72"/>
    <mergeCell ref="SJU71:SJU72"/>
    <mergeCell ref="SJV71:SJV72"/>
    <mergeCell ref="SKI71:SKI72"/>
    <mergeCell ref="SKK71:SKK72"/>
    <mergeCell ref="SKL71:SKL72"/>
    <mergeCell ref="SKY71:SKY72"/>
    <mergeCell ref="SIO71:SIO72"/>
    <mergeCell ref="SIP71:SIP72"/>
    <mergeCell ref="SJC71:SJC72"/>
    <mergeCell ref="SJE71:SJE72"/>
    <mergeCell ref="SJF71:SJF72"/>
    <mergeCell ref="SJS71:SJS72"/>
    <mergeCell ref="SOS71:SOS72"/>
    <mergeCell ref="SOT71:SOT72"/>
    <mergeCell ref="SPG71:SPG72"/>
    <mergeCell ref="SPI71:SPI72"/>
    <mergeCell ref="SPJ71:SPJ72"/>
    <mergeCell ref="SPW71:SPW72"/>
    <mergeCell ref="SNM71:SNM72"/>
    <mergeCell ref="SNN71:SNN72"/>
    <mergeCell ref="SOA71:SOA72"/>
    <mergeCell ref="SOC71:SOC72"/>
    <mergeCell ref="SOD71:SOD72"/>
    <mergeCell ref="SOQ71:SOQ72"/>
    <mergeCell ref="SMG71:SMG72"/>
    <mergeCell ref="SMH71:SMH72"/>
    <mergeCell ref="SMU71:SMU72"/>
    <mergeCell ref="SMW71:SMW72"/>
    <mergeCell ref="SMX71:SMX72"/>
    <mergeCell ref="SNK71:SNK72"/>
    <mergeCell ref="SSK71:SSK72"/>
    <mergeCell ref="SSL71:SSL72"/>
    <mergeCell ref="SSY71:SSY72"/>
    <mergeCell ref="STA71:STA72"/>
    <mergeCell ref="STB71:STB72"/>
    <mergeCell ref="STO71:STO72"/>
    <mergeCell ref="SRE71:SRE72"/>
    <mergeCell ref="SRF71:SRF72"/>
    <mergeCell ref="SRS71:SRS72"/>
    <mergeCell ref="SRU71:SRU72"/>
    <mergeCell ref="SRV71:SRV72"/>
    <mergeCell ref="SSI71:SSI72"/>
    <mergeCell ref="SPY71:SPY72"/>
    <mergeCell ref="SPZ71:SPZ72"/>
    <mergeCell ref="SQM71:SQM72"/>
    <mergeCell ref="SQO71:SQO72"/>
    <mergeCell ref="SQP71:SQP72"/>
    <mergeCell ref="SRC71:SRC72"/>
    <mergeCell ref="SWC71:SWC72"/>
    <mergeCell ref="SWD71:SWD72"/>
    <mergeCell ref="SWQ71:SWQ72"/>
    <mergeCell ref="SWS71:SWS72"/>
    <mergeCell ref="SWT71:SWT72"/>
    <mergeCell ref="SXG71:SXG72"/>
    <mergeCell ref="SUW71:SUW72"/>
    <mergeCell ref="SUX71:SUX72"/>
    <mergeCell ref="SVK71:SVK72"/>
    <mergeCell ref="SVM71:SVM72"/>
    <mergeCell ref="SVN71:SVN72"/>
    <mergeCell ref="SWA71:SWA72"/>
    <mergeCell ref="STQ71:STQ72"/>
    <mergeCell ref="STR71:STR72"/>
    <mergeCell ref="SUE71:SUE72"/>
    <mergeCell ref="SUG71:SUG72"/>
    <mergeCell ref="SUH71:SUH72"/>
    <mergeCell ref="SUU71:SUU72"/>
    <mergeCell ref="SZU71:SZU72"/>
    <mergeCell ref="SZV71:SZV72"/>
    <mergeCell ref="TAI71:TAI72"/>
    <mergeCell ref="TAK71:TAK72"/>
    <mergeCell ref="TAL71:TAL72"/>
    <mergeCell ref="TAY71:TAY72"/>
    <mergeCell ref="SYO71:SYO72"/>
    <mergeCell ref="SYP71:SYP72"/>
    <mergeCell ref="SZC71:SZC72"/>
    <mergeCell ref="SZE71:SZE72"/>
    <mergeCell ref="SZF71:SZF72"/>
    <mergeCell ref="SZS71:SZS72"/>
    <mergeCell ref="SXI71:SXI72"/>
    <mergeCell ref="SXJ71:SXJ72"/>
    <mergeCell ref="SXW71:SXW72"/>
    <mergeCell ref="SXY71:SXY72"/>
    <mergeCell ref="SXZ71:SXZ72"/>
    <mergeCell ref="SYM71:SYM72"/>
    <mergeCell ref="TDM71:TDM72"/>
    <mergeCell ref="TDN71:TDN72"/>
    <mergeCell ref="TEA71:TEA72"/>
    <mergeCell ref="TEC71:TEC72"/>
    <mergeCell ref="TED71:TED72"/>
    <mergeCell ref="TEQ71:TEQ72"/>
    <mergeCell ref="TCG71:TCG72"/>
    <mergeCell ref="TCH71:TCH72"/>
    <mergeCell ref="TCU71:TCU72"/>
    <mergeCell ref="TCW71:TCW72"/>
    <mergeCell ref="TCX71:TCX72"/>
    <mergeCell ref="TDK71:TDK72"/>
    <mergeCell ref="TBA71:TBA72"/>
    <mergeCell ref="TBB71:TBB72"/>
    <mergeCell ref="TBO71:TBO72"/>
    <mergeCell ref="TBQ71:TBQ72"/>
    <mergeCell ref="TBR71:TBR72"/>
    <mergeCell ref="TCE71:TCE72"/>
    <mergeCell ref="THE71:THE72"/>
    <mergeCell ref="THF71:THF72"/>
    <mergeCell ref="THS71:THS72"/>
    <mergeCell ref="THU71:THU72"/>
    <mergeCell ref="THV71:THV72"/>
    <mergeCell ref="TII71:TII72"/>
    <mergeCell ref="TFY71:TFY72"/>
    <mergeCell ref="TFZ71:TFZ72"/>
    <mergeCell ref="TGM71:TGM72"/>
    <mergeCell ref="TGO71:TGO72"/>
    <mergeCell ref="TGP71:TGP72"/>
    <mergeCell ref="THC71:THC72"/>
    <mergeCell ref="TES71:TES72"/>
    <mergeCell ref="TET71:TET72"/>
    <mergeCell ref="TFG71:TFG72"/>
    <mergeCell ref="TFI71:TFI72"/>
    <mergeCell ref="TFJ71:TFJ72"/>
    <mergeCell ref="TFW71:TFW72"/>
    <mergeCell ref="TKW71:TKW72"/>
    <mergeCell ref="TKX71:TKX72"/>
    <mergeCell ref="TLK71:TLK72"/>
    <mergeCell ref="TLM71:TLM72"/>
    <mergeCell ref="TLN71:TLN72"/>
    <mergeCell ref="TMA71:TMA72"/>
    <mergeCell ref="TJQ71:TJQ72"/>
    <mergeCell ref="TJR71:TJR72"/>
    <mergeCell ref="TKE71:TKE72"/>
    <mergeCell ref="TKG71:TKG72"/>
    <mergeCell ref="TKH71:TKH72"/>
    <mergeCell ref="TKU71:TKU72"/>
    <mergeCell ref="TIK71:TIK72"/>
    <mergeCell ref="TIL71:TIL72"/>
    <mergeCell ref="TIY71:TIY72"/>
    <mergeCell ref="TJA71:TJA72"/>
    <mergeCell ref="TJB71:TJB72"/>
    <mergeCell ref="TJO71:TJO72"/>
    <mergeCell ref="TOO71:TOO72"/>
    <mergeCell ref="TOP71:TOP72"/>
    <mergeCell ref="TPC71:TPC72"/>
    <mergeCell ref="TPE71:TPE72"/>
    <mergeCell ref="TPF71:TPF72"/>
    <mergeCell ref="TPS71:TPS72"/>
    <mergeCell ref="TNI71:TNI72"/>
    <mergeCell ref="TNJ71:TNJ72"/>
    <mergeCell ref="TNW71:TNW72"/>
    <mergeCell ref="TNY71:TNY72"/>
    <mergeCell ref="TNZ71:TNZ72"/>
    <mergeCell ref="TOM71:TOM72"/>
    <mergeCell ref="TMC71:TMC72"/>
    <mergeCell ref="TMD71:TMD72"/>
    <mergeCell ref="TMQ71:TMQ72"/>
    <mergeCell ref="TMS71:TMS72"/>
    <mergeCell ref="TMT71:TMT72"/>
    <mergeCell ref="TNG71:TNG72"/>
    <mergeCell ref="TSG71:TSG72"/>
    <mergeCell ref="TSH71:TSH72"/>
    <mergeCell ref="TSU71:TSU72"/>
    <mergeCell ref="TSW71:TSW72"/>
    <mergeCell ref="TSX71:TSX72"/>
    <mergeCell ref="TTK71:TTK72"/>
    <mergeCell ref="TRA71:TRA72"/>
    <mergeCell ref="TRB71:TRB72"/>
    <mergeCell ref="TRO71:TRO72"/>
    <mergeCell ref="TRQ71:TRQ72"/>
    <mergeCell ref="TRR71:TRR72"/>
    <mergeCell ref="TSE71:TSE72"/>
    <mergeCell ref="TPU71:TPU72"/>
    <mergeCell ref="TPV71:TPV72"/>
    <mergeCell ref="TQI71:TQI72"/>
    <mergeCell ref="TQK71:TQK72"/>
    <mergeCell ref="TQL71:TQL72"/>
    <mergeCell ref="TQY71:TQY72"/>
    <mergeCell ref="TVY71:TVY72"/>
    <mergeCell ref="TVZ71:TVZ72"/>
    <mergeCell ref="TWM71:TWM72"/>
    <mergeCell ref="TWO71:TWO72"/>
    <mergeCell ref="TWP71:TWP72"/>
    <mergeCell ref="TXC71:TXC72"/>
    <mergeCell ref="TUS71:TUS72"/>
    <mergeCell ref="TUT71:TUT72"/>
    <mergeCell ref="TVG71:TVG72"/>
    <mergeCell ref="TVI71:TVI72"/>
    <mergeCell ref="TVJ71:TVJ72"/>
    <mergeCell ref="TVW71:TVW72"/>
    <mergeCell ref="TTM71:TTM72"/>
    <mergeCell ref="TTN71:TTN72"/>
    <mergeCell ref="TUA71:TUA72"/>
    <mergeCell ref="TUC71:TUC72"/>
    <mergeCell ref="TUD71:TUD72"/>
    <mergeCell ref="TUQ71:TUQ72"/>
    <mergeCell ref="TZQ71:TZQ72"/>
    <mergeCell ref="TZR71:TZR72"/>
    <mergeCell ref="UAE71:UAE72"/>
    <mergeCell ref="UAG71:UAG72"/>
    <mergeCell ref="UAH71:UAH72"/>
    <mergeCell ref="UAU71:UAU72"/>
    <mergeCell ref="TYK71:TYK72"/>
    <mergeCell ref="TYL71:TYL72"/>
    <mergeCell ref="TYY71:TYY72"/>
    <mergeCell ref="TZA71:TZA72"/>
    <mergeCell ref="TZB71:TZB72"/>
    <mergeCell ref="TZO71:TZO72"/>
    <mergeCell ref="TXE71:TXE72"/>
    <mergeCell ref="TXF71:TXF72"/>
    <mergeCell ref="TXS71:TXS72"/>
    <mergeCell ref="TXU71:TXU72"/>
    <mergeCell ref="TXV71:TXV72"/>
    <mergeCell ref="TYI71:TYI72"/>
    <mergeCell ref="UDI71:UDI72"/>
    <mergeCell ref="UDJ71:UDJ72"/>
    <mergeCell ref="UDW71:UDW72"/>
    <mergeCell ref="UDY71:UDY72"/>
    <mergeCell ref="UDZ71:UDZ72"/>
    <mergeCell ref="UEM71:UEM72"/>
    <mergeCell ref="UCC71:UCC72"/>
    <mergeCell ref="UCD71:UCD72"/>
    <mergeCell ref="UCQ71:UCQ72"/>
    <mergeCell ref="UCS71:UCS72"/>
    <mergeCell ref="UCT71:UCT72"/>
    <mergeCell ref="UDG71:UDG72"/>
    <mergeCell ref="UAW71:UAW72"/>
    <mergeCell ref="UAX71:UAX72"/>
    <mergeCell ref="UBK71:UBK72"/>
    <mergeCell ref="UBM71:UBM72"/>
    <mergeCell ref="UBN71:UBN72"/>
    <mergeCell ref="UCA71:UCA72"/>
    <mergeCell ref="UHA71:UHA72"/>
    <mergeCell ref="UHB71:UHB72"/>
    <mergeCell ref="UHO71:UHO72"/>
    <mergeCell ref="UHQ71:UHQ72"/>
    <mergeCell ref="UHR71:UHR72"/>
    <mergeCell ref="UIE71:UIE72"/>
    <mergeCell ref="UFU71:UFU72"/>
    <mergeCell ref="UFV71:UFV72"/>
    <mergeCell ref="UGI71:UGI72"/>
    <mergeCell ref="UGK71:UGK72"/>
    <mergeCell ref="UGL71:UGL72"/>
    <mergeCell ref="UGY71:UGY72"/>
    <mergeCell ref="UEO71:UEO72"/>
    <mergeCell ref="UEP71:UEP72"/>
    <mergeCell ref="UFC71:UFC72"/>
    <mergeCell ref="UFE71:UFE72"/>
    <mergeCell ref="UFF71:UFF72"/>
    <mergeCell ref="UFS71:UFS72"/>
    <mergeCell ref="UKS71:UKS72"/>
    <mergeCell ref="UKT71:UKT72"/>
    <mergeCell ref="ULG71:ULG72"/>
    <mergeCell ref="ULI71:ULI72"/>
    <mergeCell ref="ULJ71:ULJ72"/>
    <mergeCell ref="ULW71:ULW72"/>
    <mergeCell ref="UJM71:UJM72"/>
    <mergeCell ref="UJN71:UJN72"/>
    <mergeCell ref="UKA71:UKA72"/>
    <mergeCell ref="UKC71:UKC72"/>
    <mergeCell ref="UKD71:UKD72"/>
    <mergeCell ref="UKQ71:UKQ72"/>
    <mergeCell ref="UIG71:UIG72"/>
    <mergeCell ref="UIH71:UIH72"/>
    <mergeCell ref="UIU71:UIU72"/>
    <mergeCell ref="UIW71:UIW72"/>
    <mergeCell ref="UIX71:UIX72"/>
    <mergeCell ref="UJK71:UJK72"/>
    <mergeCell ref="UOK71:UOK72"/>
    <mergeCell ref="UOL71:UOL72"/>
    <mergeCell ref="UOY71:UOY72"/>
    <mergeCell ref="UPA71:UPA72"/>
    <mergeCell ref="UPB71:UPB72"/>
    <mergeCell ref="UPO71:UPO72"/>
    <mergeCell ref="UNE71:UNE72"/>
    <mergeCell ref="UNF71:UNF72"/>
    <mergeCell ref="UNS71:UNS72"/>
    <mergeCell ref="UNU71:UNU72"/>
    <mergeCell ref="UNV71:UNV72"/>
    <mergeCell ref="UOI71:UOI72"/>
    <mergeCell ref="ULY71:ULY72"/>
    <mergeCell ref="ULZ71:ULZ72"/>
    <mergeCell ref="UMM71:UMM72"/>
    <mergeCell ref="UMO71:UMO72"/>
    <mergeCell ref="UMP71:UMP72"/>
    <mergeCell ref="UNC71:UNC72"/>
    <mergeCell ref="USC71:USC72"/>
    <mergeCell ref="USD71:USD72"/>
    <mergeCell ref="USQ71:USQ72"/>
    <mergeCell ref="USS71:USS72"/>
    <mergeCell ref="UST71:UST72"/>
    <mergeCell ref="UTG71:UTG72"/>
    <mergeCell ref="UQW71:UQW72"/>
    <mergeCell ref="UQX71:UQX72"/>
    <mergeCell ref="URK71:URK72"/>
    <mergeCell ref="URM71:URM72"/>
    <mergeCell ref="URN71:URN72"/>
    <mergeCell ref="USA71:USA72"/>
    <mergeCell ref="UPQ71:UPQ72"/>
    <mergeCell ref="UPR71:UPR72"/>
    <mergeCell ref="UQE71:UQE72"/>
    <mergeCell ref="UQG71:UQG72"/>
    <mergeCell ref="UQH71:UQH72"/>
    <mergeCell ref="UQU71:UQU72"/>
    <mergeCell ref="UVU71:UVU72"/>
    <mergeCell ref="UVV71:UVV72"/>
    <mergeCell ref="UWI71:UWI72"/>
    <mergeCell ref="UWK71:UWK72"/>
    <mergeCell ref="UWL71:UWL72"/>
    <mergeCell ref="UWY71:UWY72"/>
    <mergeCell ref="UUO71:UUO72"/>
    <mergeCell ref="UUP71:UUP72"/>
    <mergeCell ref="UVC71:UVC72"/>
    <mergeCell ref="UVE71:UVE72"/>
    <mergeCell ref="UVF71:UVF72"/>
    <mergeCell ref="UVS71:UVS72"/>
    <mergeCell ref="UTI71:UTI72"/>
    <mergeCell ref="UTJ71:UTJ72"/>
    <mergeCell ref="UTW71:UTW72"/>
    <mergeCell ref="UTY71:UTY72"/>
    <mergeCell ref="UTZ71:UTZ72"/>
    <mergeCell ref="UUM71:UUM72"/>
    <mergeCell ref="VBI71:VBI72"/>
    <mergeCell ref="VBJ71:VBJ72"/>
    <mergeCell ref="VBW71:VBW72"/>
    <mergeCell ref="UZM71:UZM72"/>
    <mergeCell ref="UZN71:UZN72"/>
    <mergeCell ref="VAA71:VAA72"/>
    <mergeCell ref="VAC71:VAC72"/>
    <mergeCell ref="VAD71:VAD72"/>
    <mergeCell ref="VAQ71:VAQ72"/>
    <mergeCell ref="UYG71:UYG72"/>
    <mergeCell ref="UYH71:UYH72"/>
    <mergeCell ref="UYU71:UYU72"/>
    <mergeCell ref="UYW71:UYW72"/>
    <mergeCell ref="UYX71:UYX72"/>
    <mergeCell ref="UZK71:UZK72"/>
    <mergeCell ref="UXA71:UXA72"/>
    <mergeCell ref="UXB71:UXB72"/>
    <mergeCell ref="UXO71:UXO72"/>
    <mergeCell ref="UXQ71:UXQ72"/>
    <mergeCell ref="UXR71:UXR72"/>
    <mergeCell ref="UYE71:UYE72"/>
    <mergeCell ref="VGW71:VGW72"/>
    <mergeCell ref="VGX71:VGX72"/>
    <mergeCell ref="B72:B73"/>
    <mergeCell ref="B76:Q76"/>
    <mergeCell ref="C77:D77"/>
    <mergeCell ref="VFQ71:VFQ72"/>
    <mergeCell ref="VFR71:VFR72"/>
    <mergeCell ref="VGE71:VGE72"/>
    <mergeCell ref="VGG71:VGG72"/>
    <mergeCell ref="VGH71:VGH72"/>
    <mergeCell ref="VGU71:VGU72"/>
    <mergeCell ref="VEK71:VEK72"/>
    <mergeCell ref="VEL71:VEL72"/>
    <mergeCell ref="VEY71:VEY72"/>
    <mergeCell ref="VFA71:VFA72"/>
    <mergeCell ref="VFB71:VFB72"/>
    <mergeCell ref="VFO71:VFO72"/>
    <mergeCell ref="VDE71:VDE72"/>
    <mergeCell ref="VDF71:VDF72"/>
    <mergeCell ref="VDS71:VDS72"/>
    <mergeCell ref="VDU71:VDU72"/>
    <mergeCell ref="VDV71:VDV72"/>
    <mergeCell ref="VEI71:VEI72"/>
    <mergeCell ref="VBY71:VBY72"/>
    <mergeCell ref="VBZ71:VBZ72"/>
    <mergeCell ref="VCM71:VCM72"/>
    <mergeCell ref="VCO71:VCO72"/>
    <mergeCell ref="VCP71:VCP72"/>
    <mergeCell ref="VDC71:VDC72"/>
    <mergeCell ref="VAS71:VAS72"/>
    <mergeCell ref="VAT71:VAT72"/>
    <mergeCell ref="VBG71:VBG72"/>
    <mergeCell ref="B134:Q134"/>
    <mergeCell ref="C135:D135"/>
    <mergeCell ref="B136:B137"/>
    <mergeCell ref="C136:C137"/>
    <mergeCell ref="P58:P59"/>
    <mergeCell ref="P60:P61"/>
    <mergeCell ref="B20:R20"/>
    <mergeCell ref="B21:R24"/>
    <mergeCell ref="B123:B124"/>
    <mergeCell ref="C123:C124"/>
    <mergeCell ref="B103:B104"/>
    <mergeCell ref="C103:C104"/>
    <mergeCell ref="Q103:S104"/>
    <mergeCell ref="B107:T110"/>
    <mergeCell ref="B121:Q121"/>
    <mergeCell ref="C122:D122"/>
    <mergeCell ref="B84:B85"/>
    <mergeCell ref="C84:C85"/>
    <mergeCell ref="P84:P85"/>
    <mergeCell ref="B89:T92"/>
    <mergeCell ref="B101:S101"/>
    <mergeCell ref="C102:D102"/>
    <mergeCell ref="Q102:S102"/>
    <mergeCell ref="B78:B79"/>
    <mergeCell ref="C78:C79"/>
    <mergeCell ref="B80:B81"/>
    <mergeCell ref="C80:C81"/>
    <mergeCell ref="B82:Q82"/>
    <mergeCell ref="C83:D83"/>
    <mergeCell ref="B74:B75"/>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38"/>
  <sheetViews>
    <sheetView topLeftCell="A14" zoomScale="67" zoomScaleNormal="115" zoomScaleSheetLayoutView="100" workbookViewId="0">
      <selection activeCell="R47" sqref="R47"/>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35"/>
      <c r="C8" s="135"/>
      <c r="D8" s="423"/>
      <c r="E8" s="423"/>
      <c r="F8" s="135"/>
      <c r="G8" s="135"/>
      <c r="H8" s="135"/>
      <c r="I8" s="135"/>
      <c r="J8" s="135"/>
      <c r="K8" s="135"/>
      <c r="L8" s="135"/>
      <c r="M8" s="135"/>
      <c r="N8" s="135"/>
      <c r="O8" s="135"/>
      <c r="P8" s="135"/>
      <c r="Q8" s="135"/>
      <c r="R8" s="135"/>
    </row>
    <row r="9" spans="2:18" ht="28.9">
      <c r="B9" s="373" t="s">
        <v>186</v>
      </c>
      <c r="C9" s="373"/>
      <c r="D9" s="373"/>
      <c r="E9" s="373"/>
      <c r="F9" s="373"/>
      <c r="G9" s="373"/>
      <c r="H9" s="373"/>
      <c r="I9" s="373"/>
      <c r="J9" s="373"/>
      <c r="K9" s="373"/>
      <c r="L9" s="373"/>
      <c r="M9" s="373"/>
      <c r="N9" s="373"/>
      <c r="O9" s="373"/>
      <c r="P9" s="373"/>
    </row>
    <row r="10" spans="2:18" ht="28.9">
      <c r="B10" s="136" t="s">
        <v>1</v>
      </c>
      <c r="C10" s="424" t="s">
        <v>2</v>
      </c>
      <c r="D10" s="425"/>
      <c r="E10" s="12" t="s">
        <v>3</v>
      </c>
      <c r="F10" s="12" t="s">
        <v>4</v>
      </c>
      <c r="G10" s="13" t="s">
        <v>5</v>
      </c>
      <c r="H10" s="12" t="s">
        <v>187</v>
      </c>
      <c r="I10" s="13" t="s">
        <v>188</v>
      </c>
      <c r="J10" s="13" t="s">
        <v>8</v>
      </c>
      <c r="K10" s="13" t="s">
        <v>9</v>
      </c>
      <c r="L10" s="13" t="s">
        <v>10</v>
      </c>
      <c r="M10" s="13" t="s">
        <v>11</v>
      </c>
      <c r="N10" s="12" t="s">
        <v>12</v>
      </c>
      <c r="O10" s="12" t="s">
        <v>13</v>
      </c>
      <c r="P10" s="14" t="s">
        <v>14</v>
      </c>
      <c r="Q10" s="135"/>
    </row>
    <row r="11" spans="2:18">
      <c r="B11" s="426" t="s">
        <v>189</v>
      </c>
      <c r="C11" s="426" t="s">
        <v>190</v>
      </c>
      <c r="D11" s="43" t="s">
        <v>18</v>
      </c>
      <c r="E11" s="39">
        <f>(2105+265)+500</f>
        <v>2870</v>
      </c>
      <c r="F11" s="39">
        <v>175</v>
      </c>
      <c r="G11" s="39">
        <v>85</v>
      </c>
      <c r="H11" s="39">
        <v>175</v>
      </c>
      <c r="I11" s="39">
        <v>75</v>
      </c>
      <c r="J11" s="39">
        <v>150</v>
      </c>
      <c r="K11" s="70">
        <f t="shared" ref="K11:K16" si="0">SUM(E11:J11)</f>
        <v>3530</v>
      </c>
      <c r="L11" s="39">
        <v>200</v>
      </c>
      <c r="M11" s="70">
        <f>K11+L11</f>
        <v>3730</v>
      </c>
      <c r="N11" s="43" t="s">
        <v>191</v>
      </c>
      <c r="O11" s="25" t="s">
        <v>60</v>
      </c>
      <c r="P11" s="47" t="s">
        <v>25</v>
      </c>
      <c r="Q11" s="135"/>
    </row>
    <row r="12" spans="2:18">
      <c r="B12" s="427"/>
      <c r="C12" s="427"/>
      <c r="D12" s="43" t="s">
        <v>24</v>
      </c>
      <c r="E12" s="39">
        <f>(3000+530)+650</f>
        <v>4180</v>
      </c>
      <c r="F12" s="39">
        <v>235</v>
      </c>
      <c r="G12" s="39">
        <v>85</v>
      </c>
      <c r="H12" s="39">
        <v>175</v>
      </c>
      <c r="I12" s="39">
        <v>150</v>
      </c>
      <c r="J12" s="39">
        <v>300</v>
      </c>
      <c r="K12" s="70">
        <f t="shared" si="0"/>
        <v>5125</v>
      </c>
      <c r="L12" s="39">
        <v>200</v>
      </c>
      <c r="M12" s="70">
        <f t="shared" ref="M12:M16" si="1">K12+L12</f>
        <v>5325</v>
      </c>
      <c r="N12" s="43" t="s">
        <v>191</v>
      </c>
      <c r="O12" s="25" t="s">
        <v>60</v>
      </c>
      <c r="P12" s="71" t="s">
        <v>25</v>
      </c>
      <c r="Q12" s="135"/>
    </row>
    <row r="13" spans="2:18">
      <c r="B13" s="426" t="s">
        <v>192</v>
      </c>
      <c r="C13" s="426" t="s">
        <v>190</v>
      </c>
      <c r="D13" s="43" t="s">
        <v>18</v>
      </c>
      <c r="E13" s="39">
        <f>(2450+265)+500</f>
        <v>3215</v>
      </c>
      <c r="F13" s="39">
        <v>175</v>
      </c>
      <c r="G13" s="39">
        <v>85</v>
      </c>
      <c r="H13" s="39">
        <v>175</v>
      </c>
      <c r="I13" s="39">
        <v>75</v>
      </c>
      <c r="J13" s="39">
        <v>150</v>
      </c>
      <c r="K13" s="70">
        <f t="shared" si="0"/>
        <v>3875</v>
      </c>
      <c r="L13" s="39">
        <v>200</v>
      </c>
      <c r="M13" s="70">
        <f t="shared" si="1"/>
        <v>4075</v>
      </c>
      <c r="N13" s="43" t="s">
        <v>193</v>
      </c>
      <c r="O13" s="25" t="s">
        <v>60</v>
      </c>
      <c r="P13" s="71" t="s">
        <v>25</v>
      </c>
      <c r="Q13" s="135"/>
    </row>
    <row r="14" spans="2:18">
      <c r="B14" s="427"/>
      <c r="C14" s="427"/>
      <c r="D14" s="43" t="s">
        <v>24</v>
      </c>
      <c r="E14" s="39">
        <f>(3745+530)+600</f>
        <v>4875</v>
      </c>
      <c r="F14" s="39">
        <v>235</v>
      </c>
      <c r="G14" s="39">
        <v>85</v>
      </c>
      <c r="H14" s="39">
        <v>175</v>
      </c>
      <c r="I14" s="39">
        <v>150</v>
      </c>
      <c r="J14" s="39">
        <v>300</v>
      </c>
      <c r="K14" s="70">
        <f t="shared" si="0"/>
        <v>5820</v>
      </c>
      <c r="L14" s="39">
        <v>200</v>
      </c>
      <c r="M14" s="70">
        <f t="shared" si="1"/>
        <v>6020</v>
      </c>
      <c r="N14" s="43" t="s">
        <v>154</v>
      </c>
      <c r="O14" s="25" t="s">
        <v>60</v>
      </c>
      <c r="P14" s="71" t="s">
        <v>25</v>
      </c>
      <c r="Q14" s="135"/>
    </row>
    <row r="15" spans="2:18">
      <c r="B15" s="426" t="s">
        <v>126</v>
      </c>
      <c r="C15" s="426" t="s">
        <v>190</v>
      </c>
      <c r="D15" s="43" t="s">
        <v>18</v>
      </c>
      <c r="E15" s="39">
        <f>(2450+265)+500</f>
        <v>3215</v>
      </c>
      <c r="F15" s="39">
        <v>175</v>
      </c>
      <c r="G15" s="39">
        <v>85</v>
      </c>
      <c r="H15" s="39">
        <v>175</v>
      </c>
      <c r="I15" s="39">
        <v>75</v>
      </c>
      <c r="J15" s="39">
        <v>150</v>
      </c>
      <c r="K15" s="70">
        <f t="shared" si="0"/>
        <v>3875</v>
      </c>
      <c r="L15" s="39">
        <v>200</v>
      </c>
      <c r="M15" s="70">
        <f t="shared" si="1"/>
        <v>4075</v>
      </c>
      <c r="N15" s="43" t="s">
        <v>154</v>
      </c>
      <c r="O15" s="25" t="s">
        <v>60</v>
      </c>
      <c r="P15" s="71" t="s">
        <v>25</v>
      </c>
      <c r="Q15" s="135"/>
    </row>
    <row r="16" spans="2:18">
      <c r="B16" s="427"/>
      <c r="C16" s="427"/>
      <c r="D16" s="43" t="s">
        <v>24</v>
      </c>
      <c r="E16" s="39">
        <f>(3745+530)+600</f>
        <v>4875</v>
      </c>
      <c r="F16" s="39">
        <v>235</v>
      </c>
      <c r="G16" s="39">
        <v>85</v>
      </c>
      <c r="H16" s="39">
        <v>175</v>
      </c>
      <c r="I16" s="39">
        <v>150</v>
      </c>
      <c r="J16" s="39">
        <v>300</v>
      </c>
      <c r="K16" s="70">
        <f t="shared" si="0"/>
        <v>5820</v>
      </c>
      <c r="L16" s="39">
        <v>200</v>
      </c>
      <c r="M16" s="70">
        <f t="shared" si="1"/>
        <v>6020</v>
      </c>
      <c r="N16" s="43" t="s">
        <v>29</v>
      </c>
      <c r="O16" s="25" t="s">
        <v>60</v>
      </c>
      <c r="P16" s="71" t="s">
        <v>25</v>
      </c>
      <c r="Q16" s="135"/>
    </row>
    <row r="17" spans="2:17">
      <c r="B17" s="28"/>
      <c r="C17" s="63"/>
      <c r="E17" s="69"/>
      <c r="F17" s="65"/>
      <c r="G17" s="65"/>
      <c r="H17" s="65"/>
      <c r="I17" s="66"/>
      <c r="J17" s="64"/>
      <c r="K17" s="66"/>
      <c r="L17" s="66"/>
      <c r="M17" s="67"/>
      <c r="N17" s="35"/>
    </row>
    <row r="18" spans="2:17" ht="15.6">
      <c r="B18" s="377" t="s">
        <v>34</v>
      </c>
      <c r="C18" s="378"/>
      <c r="D18" s="378"/>
      <c r="E18" s="378"/>
      <c r="F18" s="378"/>
      <c r="G18" s="378"/>
      <c r="H18" s="378"/>
      <c r="I18" s="378"/>
      <c r="J18" s="378"/>
      <c r="K18" s="378"/>
      <c r="L18" s="378"/>
      <c r="M18" s="378"/>
      <c r="N18" s="378"/>
      <c r="O18" s="378"/>
      <c r="P18" s="379"/>
    </row>
    <row r="19" spans="2:17" ht="14.45" customHeight="1">
      <c r="B19" s="337" t="s">
        <v>35</v>
      </c>
      <c r="C19" s="338"/>
      <c r="D19" s="338"/>
      <c r="E19" s="338"/>
      <c r="F19" s="338"/>
      <c r="G19" s="338"/>
      <c r="H19" s="338"/>
      <c r="I19" s="338"/>
      <c r="J19" s="338"/>
      <c r="K19" s="338"/>
      <c r="L19" s="338"/>
      <c r="M19" s="338"/>
      <c r="N19" s="338"/>
      <c r="O19" s="338"/>
      <c r="P19" s="339"/>
    </row>
    <row r="20" spans="2:17">
      <c r="B20" s="340"/>
      <c r="C20" s="269"/>
      <c r="D20" s="269"/>
      <c r="E20" s="269"/>
      <c r="F20" s="269"/>
      <c r="G20" s="269"/>
      <c r="H20" s="269"/>
      <c r="I20" s="269"/>
      <c r="J20" s="269"/>
      <c r="K20" s="269"/>
      <c r="L20" s="269"/>
      <c r="M20" s="269"/>
      <c r="N20" s="269"/>
      <c r="O20" s="269"/>
      <c r="P20" s="341"/>
    </row>
    <row r="21" spans="2:17">
      <c r="B21" s="340"/>
      <c r="C21" s="269"/>
      <c r="D21" s="269"/>
      <c r="E21" s="269"/>
      <c r="F21" s="269"/>
      <c r="G21" s="269"/>
      <c r="H21" s="269"/>
      <c r="I21" s="269"/>
      <c r="J21" s="269"/>
      <c r="K21" s="269"/>
      <c r="L21" s="269"/>
      <c r="M21" s="269"/>
      <c r="N21" s="269"/>
      <c r="O21" s="269"/>
      <c r="P21" s="341"/>
    </row>
    <row r="22" spans="2:17">
      <c r="B22" s="342"/>
      <c r="C22" s="343"/>
      <c r="D22" s="343"/>
      <c r="E22" s="343"/>
      <c r="F22" s="343"/>
      <c r="G22" s="343"/>
      <c r="H22" s="343"/>
      <c r="I22" s="343"/>
      <c r="J22" s="343"/>
      <c r="K22" s="343"/>
      <c r="L22" s="343"/>
      <c r="M22" s="343"/>
      <c r="N22" s="343"/>
      <c r="O22" s="343"/>
      <c r="P22" s="344"/>
    </row>
    <row r="23" spans="2:17">
      <c r="B23" s="28"/>
      <c r="C23" s="63"/>
      <c r="E23" s="69"/>
      <c r="F23" s="65"/>
      <c r="G23" s="65"/>
      <c r="H23" s="65"/>
      <c r="I23" s="66"/>
      <c r="J23" s="64"/>
      <c r="K23" s="66"/>
      <c r="L23" s="66"/>
      <c r="M23" s="67"/>
      <c r="N23" s="35"/>
    </row>
    <row r="24" spans="2:17">
      <c r="B24" s="28"/>
      <c r="C24" s="63"/>
      <c r="D24" s="137"/>
      <c r="E24" s="69"/>
      <c r="F24" s="65"/>
      <c r="G24" s="65"/>
      <c r="H24" s="65"/>
      <c r="I24" s="66"/>
      <c r="J24" s="64"/>
      <c r="K24" s="66"/>
      <c r="L24" s="66"/>
      <c r="M24" s="67"/>
      <c r="N24" s="35"/>
    </row>
    <row r="25" spans="2:17">
      <c r="B25" s="28"/>
      <c r="C25" s="63"/>
      <c r="E25" s="69"/>
      <c r="F25" s="65"/>
      <c r="G25" s="65"/>
      <c r="H25" s="65"/>
      <c r="I25" s="66"/>
      <c r="J25" s="64"/>
      <c r="K25" s="66"/>
      <c r="L25" s="66"/>
      <c r="M25" s="67"/>
      <c r="N25" s="35"/>
    </row>
    <row r="26" spans="2:17">
      <c r="B26" s="28"/>
      <c r="C26" s="63"/>
      <c r="E26" s="69"/>
      <c r="F26" s="65"/>
      <c r="G26" s="65"/>
      <c r="H26" s="65"/>
      <c r="I26" s="66"/>
      <c r="J26" s="64"/>
      <c r="K26" s="66"/>
      <c r="L26" s="66"/>
      <c r="M26" s="67"/>
      <c r="N26" s="35"/>
    </row>
    <row r="27" spans="2:17">
      <c r="B27" s="28"/>
      <c r="C27" s="63"/>
      <c r="E27" s="69"/>
      <c r="F27" s="65"/>
      <c r="G27" s="65"/>
      <c r="H27" s="65"/>
      <c r="I27" s="66"/>
      <c r="J27" s="64"/>
      <c r="K27" s="66"/>
      <c r="L27" s="66"/>
      <c r="M27" s="67"/>
      <c r="N27" s="35"/>
    </row>
    <row r="28" spans="2:17">
      <c r="B28" s="28"/>
      <c r="C28" s="63"/>
      <c r="E28" s="69"/>
      <c r="F28" s="65"/>
      <c r="G28" s="65"/>
      <c r="H28" s="65"/>
      <c r="I28" s="66"/>
      <c r="J28" s="64"/>
      <c r="K28" s="66"/>
      <c r="L28" s="66"/>
      <c r="M28" s="67"/>
      <c r="N28" s="35"/>
    </row>
    <row r="29" spans="2:17">
      <c r="B29" s="28"/>
      <c r="C29" s="63"/>
      <c r="E29" s="69"/>
      <c r="F29" s="65"/>
      <c r="G29" s="65"/>
      <c r="H29" s="65"/>
      <c r="I29" s="66"/>
      <c r="J29" s="64"/>
      <c r="K29" s="66"/>
      <c r="L29" s="66"/>
      <c r="M29" s="67"/>
      <c r="N29" s="35"/>
    </row>
    <row r="30" spans="2:17">
      <c r="B30" s="28"/>
      <c r="C30" s="63"/>
      <c r="E30" s="69"/>
      <c r="F30" s="65"/>
      <c r="G30" s="65"/>
      <c r="H30" s="65"/>
      <c r="I30" s="66"/>
      <c r="J30" s="64"/>
      <c r="K30" s="66"/>
      <c r="L30" s="66"/>
      <c r="M30" s="67"/>
      <c r="N30" s="35"/>
    </row>
    <row r="31" spans="2:17">
      <c r="B31" s="28"/>
      <c r="C31" s="63"/>
      <c r="E31" s="69"/>
      <c r="F31" s="65"/>
      <c r="G31" s="65"/>
      <c r="H31" s="65"/>
      <c r="I31" s="66"/>
      <c r="J31" s="64"/>
      <c r="K31" s="66"/>
      <c r="L31" s="66"/>
      <c r="M31" s="67"/>
      <c r="N31" s="35"/>
    </row>
    <row r="32" spans="2:17" ht="28.9">
      <c r="B32" s="374" t="s">
        <v>194</v>
      </c>
      <c r="C32" s="375"/>
      <c r="D32" s="375"/>
      <c r="E32" s="375"/>
      <c r="F32" s="375"/>
      <c r="G32" s="375"/>
      <c r="H32" s="375"/>
      <c r="I32" s="375"/>
      <c r="J32" s="375"/>
      <c r="K32" s="375"/>
      <c r="L32" s="375"/>
      <c r="M32" s="375"/>
      <c r="N32" s="375"/>
      <c r="O32" s="375"/>
      <c r="P32" s="375"/>
      <c r="Q32" s="376"/>
    </row>
    <row r="33" spans="2:19" ht="28.9">
      <c r="B33" s="136" t="s">
        <v>1</v>
      </c>
      <c r="C33" s="428" t="s">
        <v>2</v>
      </c>
      <c r="D33" s="428"/>
      <c r="E33" s="136" t="s">
        <v>129</v>
      </c>
      <c r="F33" s="136" t="s">
        <v>130</v>
      </c>
      <c r="G33" s="11" t="s">
        <v>106</v>
      </c>
      <c r="H33" s="11" t="s">
        <v>195</v>
      </c>
      <c r="I33" s="11" t="s">
        <v>196</v>
      </c>
      <c r="J33" s="11" t="s">
        <v>9</v>
      </c>
      <c r="K33" s="11" t="s">
        <v>197</v>
      </c>
      <c r="L33" s="11" t="s">
        <v>11</v>
      </c>
      <c r="M33" s="136" t="s">
        <v>12</v>
      </c>
      <c r="N33" s="136" t="s">
        <v>13</v>
      </c>
      <c r="O33" s="136" t="s">
        <v>14</v>
      </c>
      <c r="P33" s="278" t="s">
        <v>38</v>
      </c>
      <c r="Q33" s="279"/>
      <c r="S33" s="130" t="s">
        <v>15</v>
      </c>
    </row>
    <row r="34" spans="2:19" ht="14.45" customHeight="1">
      <c r="B34" s="384" t="s">
        <v>198</v>
      </c>
      <c r="C34" s="429" t="s">
        <v>190</v>
      </c>
      <c r="D34" s="41" t="s">
        <v>18</v>
      </c>
      <c r="E34" s="37">
        <v>4000</v>
      </c>
      <c r="F34" s="37">
        <v>245</v>
      </c>
      <c r="G34" s="37">
        <v>165</v>
      </c>
      <c r="H34" s="37">
        <v>175</v>
      </c>
      <c r="I34" s="37">
        <v>75</v>
      </c>
      <c r="J34" s="113">
        <f>SUM(E34:I34)</f>
        <v>4660</v>
      </c>
      <c r="K34" s="37">
        <v>200</v>
      </c>
      <c r="L34" s="113">
        <f t="shared" ref="L34:L38" si="2">J34+K34</f>
        <v>4860</v>
      </c>
      <c r="M34" s="114">
        <v>35</v>
      </c>
      <c r="N34" s="25" t="s">
        <v>41</v>
      </c>
      <c r="O34" s="41" t="s">
        <v>109</v>
      </c>
      <c r="P34" s="320" t="s">
        <v>199</v>
      </c>
      <c r="Q34" s="321"/>
      <c r="S34" s="55" t="s">
        <v>200</v>
      </c>
    </row>
    <row r="35" spans="2:19">
      <c r="B35" s="384"/>
      <c r="C35" s="429"/>
      <c r="D35" s="41" t="s">
        <v>24</v>
      </c>
      <c r="E35" s="37">
        <v>4200</v>
      </c>
      <c r="F35" s="37">
        <v>245</v>
      </c>
      <c r="G35" s="37">
        <v>165</v>
      </c>
      <c r="H35" s="37">
        <v>175</v>
      </c>
      <c r="I35" s="37">
        <v>150</v>
      </c>
      <c r="J35" s="113">
        <f t="shared" ref="J35:J37" si="3">SUM(E35:I35)</f>
        <v>4935</v>
      </c>
      <c r="K35" s="37">
        <v>200</v>
      </c>
      <c r="L35" s="113">
        <f t="shared" si="2"/>
        <v>5135</v>
      </c>
      <c r="M35" s="114">
        <v>35</v>
      </c>
      <c r="N35" s="25" t="s">
        <v>41</v>
      </c>
      <c r="O35" s="41" t="s">
        <v>109</v>
      </c>
      <c r="P35" s="366"/>
      <c r="Q35" s="368"/>
      <c r="S35" s="55" t="s">
        <v>200</v>
      </c>
    </row>
    <row r="36" spans="2:19" hidden="1">
      <c r="B36" s="385" t="s">
        <v>201</v>
      </c>
      <c r="C36" s="429" t="s">
        <v>190</v>
      </c>
      <c r="D36" s="41" t="s">
        <v>18</v>
      </c>
      <c r="E36" s="37">
        <v>5450</v>
      </c>
      <c r="F36" s="37">
        <v>100</v>
      </c>
      <c r="G36" s="37">
        <v>165</v>
      </c>
      <c r="H36" s="37">
        <v>175</v>
      </c>
      <c r="I36" s="37">
        <v>75</v>
      </c>
      <c r="J36" s="113">
        <f>SUM(E36:I36)</f>
        <v>5965</v>
      </c>
      <c r="K36" s="37">
        <v>200</v>
      </c>
      <c r="L36" s="113">
        <f t="shared" si="2"/>
        <v>6165</v>
      </c>
      <c r="M36" s="114">
        <v>28</v>
      </c>
      <c r="N36" s="25" t="s">
        <v>137</v>
      </c>
      <c r="O36" s="41" t="s">
        <v>202</v>
      </c>
      <c r="P36" s="366"/>
      <c r="Q36" s="368"/>
      <c r="S36" s="55" t="s">
        <v>161</v>
      </c>
    </row>
    <row r="37" spans="2:19" hidden="1">
      <c r="B37" s="385"/>
      <c r="C37" s="429"/>
      <c r="D37" s="41" t="s">
        <v>24</v>
      </c>
      <c r="E37" s="37">
        <v>5850</v>
      </c>
      <c r="F37" s="37">
        <v>100</v>
      </c>
      <c r="G37" s="37">
        <v>165</v>
      </c>
      <c r="H37" s="37">
        <v>175</v>
      </c>
      <c r="I37" s="37">
        <v>150</v>
      </c>
      <c r="J37" s="113">
        <f t="shared" si="3"/>
        <v>6440</v>
      </c>
      <c r="K37" s="37">
        <v>200</v>
      </c>
      <c r="L37" s="113">
        <f t="shared" si="2"/>
        <v>6640</v>
      </c>
      <c r="M37" s="114">
        <v>28</v>
      </c>
      <c r="N37" s="25" t="s">
        <v>137</v>
      </c>
      <c r="O37" s="41" t="s">
        <v>202</v>
      </c>
      <c r="P37" s="366"/>
      <c r="Q37" s="368"/>
    </row>
    <row r="38" spans="2:19">
      <c r="B38" s="128" t="s">
        <v>203</v>
      </c>
      <c r="C38" s="41" t="s">
        <v>190</v>
      </c>
      <c r="D38" s="41" t="s">
        <v>18</v>
      </c>
      <c r="E38" s="160">
        <v>3100</v>
      </c>
      <c r="F38" s="37" t="s">
        <v>204</v>
      </c>
      <c r="G38" s="37">
        <v>175</v>
      </c>
      <c r="H38" s="37">
        <v>175</v>
      </c>
      <c r="I38" s="37">
        <v>75</v>
      </c>
      <c r="J38" s="113">
        <f>SUM(E38:I38)</f>
        <v>3525</v>
      </c>
      <c r="K38" s="37">
        <v>200</v>
      </c>
      <c r="L38" s="113">
        <f t="shared" si="2"/>
        <v>3725</v>
      </c>
      <c r="M38" s="114">
        <v>35</v>
      </c>
      <c r="N38" s="25" t="s">
        <v>41</v>
      </c>
      <c r="O38" s="41" t="s">
        <v>47</v>
      </c>
      <c r="P38" s="322"/>
      <c r="Q38" s="323"/>
      <c r="S38" s="55" t="s">
        <v>142</v>
      </c>
    </row>
    <row r="39" spans="2:19">
      <c r="B39" s="75"/>
      <c r="C39" s="135"/>
      <c r="D39" s="135"/>
      <c r="E39" s="45"/>
      <c r="F39" s="45"/>
      <c r="G39" s="45"/>
      <c r="H39" s="45"/>
      <c r="I39" s="45"/>
      <c r="J39" s="73"/>
      <c r="K39" s="45"/>
      <c r="L39" s="45"/>
      <c r="M39" s="73"/>
      <c r="N39" s="46"/>
      <c r="O39" s="74"/>
      <c r="P39" s="135"/>
    </row>
    <row r="40" spans="2:19">
      <c r="B40" s="44"/>
      <c r="E40" s="45"/>
      <c r="F40" s="45"/>
      <c r="G40" s="45"/>
      <c r="H40" s="45"/>
      <c r="I40" s="66"/>
      <c r="J40" s="64"/>
      <c r="K40" s="66"/>
      <c r="L40" s="66"/>
      <c r="M40" s="135"/>
      <c r="N40" s="35"/>
      <c r="O40" s="135"/>
    </row>
    <row r="41" spans="2:19" ht="15.6">
      <c r="B41" s="5" t="s">
        <v>34</v>
      </c>
      <c r="C41" s="6"/>
      <c r="D41" s="6"/>
      <c r="E41" s="6"/>
      <c r="F41" s="6"/>
      <c r="G41" s="6"/>
      <c r="H41" s="6"/>
      <c r="I41" s="6"/>
      <c r="J41" s="6"/>
      <c r="K41" s="6"/>
      <c r="L41" s="6"/>
      <c r="M41" s="6"/>
      <c r="N41" s="6"/>
      <c r="O41" s="6"/>
      <c r="P41" s="7"/>
    </row>
    <row r="42" spans="2:19">
      <c r="B42" s="256" t="s">
        <v>35</v>
      </c>
      <c r="C42" s="257"/>
      <c r="D42" s="257"/>
      <c r="E42" s="257"/>
      <c r="F42" s="257"/>
      <c r="G42" s="257"/>
      <c r="H42" s="257"/>
      <c r="I42" s="257"/>
      <c r="J42" s="257"/>
      <c r="K42" s="257"/>
      <c r="L42" s="257"/>
      <c r="M42" s="257"/>
      <c r="N42" s="257"/>
      <c r="O42" s="257"/>
      <c r="P42" s="258"/>
    </row>
    <row r="43" spans="2:19">
      <c r="B43" s="256"/>
      <c r="C43" s="257"/>
      <c r="D43" s="257"/>
      <c r="E43" s="257"/>
      <c r="F43" s="257"/>
      <c r="G43" s="257"/>
      <c r="H43" s="257"/>
      <c r="I43" s="257"/>
      <c r="J43" s="257"/>
      <c r="K43" s="257"/>
      <c r="L43" s="257"/>
      <c r="M43" s="257"/>
      <c r="N43" s="257"/>
      <c r="O43" s="257"/>
      <c r="P43" s="258"/>
    </row>
    <row r="44" spans="2:19">
      <c r="B44" s="256"/>
      <c r="C44" s="257"/>
      <c r="D44" s="257"/>
      <c r="E44" s="257"/>
      <c r="F44" s="257"/>
      <c r="G44" s="257"/>
      <c r="H44" s="257"/>
      <c r="I44" s="257"/>
      <c r="J44" s="257"/>
      <c r="K44" s="257"/>
      <c r="L44" s="257"/>
      <c r="M44" s="257"/>
      <c r="N44" s="257"/>
      <c r="O44" s="257"/>
      <c r="P44" s="258"/>
    </row>
    <row r="45" spans="2:19">
      <c r="B45" s="259"/>
      <c r="C45" s="260"/>
      <c r="D45" s="260"/>
      <c r="E45" s="260"/>
      <c r="F45" s="260"/>
      <c r="G45" s="260"/>
      <c r="H45" s="260"/>
      <c r="I45" s="260"/>
      <c r="J45" s="260"/>
      <c r="K45" s="260"/>
      <c r="L45" s="260"/>
      <c r="M45" s="260"/>
      <c r="N45" s="260"/>
      <c r="O45" s="260"/>
      <c r="P45" s="261"/>
    </row>
    <row r="46" spans="2:19">
      <c r="B46" s="44"/>
      <c r="E46" s="45"/>
      <c r="F46" s="45"/>
      <c r="G46" s="45"/>
      <c r="H46" s="45"/>
      <c r="I46" s="66"/>
      <c r="J46" s="64"/>
      <c r="K46" s="66"/>
      <c r="L46" s="66"/>
      <c r="M46" s="135"/>
      <c r="N46" s="35"/>
      <c r="O46" s="135"/>
    </row>
    <row r="47" spans="2:19">
      <c r="B47" s="44"/>
      <c r="E47" s="45"/>
      <c r="F47" s="45"/>
      <c r="G47" s="45"/>
      <c r="H47" s="45"/>
      <c r="I47" s="66"/>
      <c r="J47" s="64"/>
      <c r="K47" s="66"/>
      <c r="L47" s="66"/>
      <c r="M47" s="135"/>
      <c r="N47" s="35"/>
      <c r="O47" s="135"/>
    </row>
    <row r="48" spans="2:19">
      <c r="B48" s="44"/>
      <c r="E48" s="45"/>
      <c r="F48" s="45"/>
      <c r="G48" s="45"/>
      <c r="H48" s="45"/>
      <c r="I48" s="66"/>
      <c r="J48" s="64"/>
      <c r="K48" s="66"/>
      <c r="L48" s="66"/>
      <c r="M48" s="135"/>
      <c r="N48" s="35"/>
      <c r="O48" s="135"/>
    </row>
    <row r="49" spans="2:19">
      <c r="B49" s="44"/>
      <c r="E49" s="45"/>
      <c r="F49" s="45"/>
      <c r="G49" s="45"/>
      <c r="H49" s="45"/>
      <c r="I49" s="66"/>
      <c r="J49" s="64"/>
      <c r="K49" s="66"/>
      <c r="L49" s="66"/>
      <c r="M49" s="135"/>
      <c r="N49" s="35"/>
      <c r="O49" s="135"/>
    </row>
    <row r="50" spans="2:19">
      <c r="B50" s="44"/>
      <c r="E50" s="45"/>
      <c r="F50" s="45"/>
      <c r="G50" s="45"/>
      <c r="H50" s="45"/>
      <c r="I50" s="66"/>
      <c r="J50" s="64"/>
      <c r="K50" s="66"/>
      <c r="L50" s="66"/>
      <c r="M50" s="135"/>
      <c r="N50" s="35"/>
      <c r="O50" s="135"/>
    </row>
    <row r="51" spans="2:19">
      <c r="B51" s="44"/>
      <c r="E51" s="45"/>
      <c r="F51" s="45"/>
      <c r="G51" s="45"/>
      <c r="H51" s="45"/>
      <c r="I51" s="66"/>
      <c r="J51" s="64"/>
      <c r="K51" s="66"/>
      <c r="L51" s="66"/>
      <c r="M51" s="135"/>
      <c r="N51" s="35"/>
      <c r="O51" s="135"/>
    </row>
    <row r="52" spans="2:19">
      <c r="B52" s="44"/>
      <c r="E52" s="45"/>
      <c r="F52" s="45"/>
      <c r="G52" s="45"/>
      <c r="H52" s="45"/>
      <c r="I52" s="66"/>
      <c r="J52" s="64"/>
      <c r="K52" s="66"/>
      <c r="L52" s="66"/>
      <c r="M52" s="135"/>
      <c r="N52" s="35"/>
      <c r="O52" s="135"/>
    </row>
    <row r="53" spans="2:19" ht="15" thickBot="1">
      <c r="B53" s="44"/>
      <c r="E53" s="45"/>
      <c r="F53" s="45"/>
      <c r="G53" s="45"/>
      <c r="H53" s="45"/>
      <c r="I53" s="66"/>
      <c r="J53" s="64"/>
      <c r="K53" s="66"/>
      <c r="L53" s="66"/>
      <c r="M53" s="135"/>
      <c r="N53" s="35"/>
      <c r="O53" s="135"/>
    </row>
    <row r="54" spans="2:19" ht="28.9">
      <c r="B54" s="381" t="s">
        <v>205</v>
      </c>
      <c r="C54" s="382"/>
      <c r="D54" s="382"/>
      <c r="E54" s="382"/>
      <c r="F54" s="382"/>
      <c r="G54" s="382"/>
      <c r="H54" s="382"/>
      <c r="I54" s="382"/>
      <c r="J54" s="382"/>
      <c r="K54" s="382"/>
      <c r="L54" s="382"/>
      <c r="M54" s="382"/>
      <c r="N54" s="382"/>
      <c r="O54" s="382"/>
      <c r="P54" s="382"/>
      <c r="Q54" s="383"/>
    </row>
    <row r="55" spans="2:19" ht="28.9">
      <c r="B55" s="102" t="s">
        <v>1</v>
      </c>
      <c r="C55" s="254" t="s">
        <v>2</v>
      </c>
      <c r="D55" s="254"/>
      <c r="E55" s="129" t="s">
        <v>3</v>
      </c>
      <c r="F55" s="129" t="s">
        <v>4</v>
      </c>
      <c r="G55" s="129" t="s">
        <v>195</v>
      </c>
      <c r="H55" s="129" t="s">
        <v>145</v>
      </c>
      <c r="I55" s="3" t="s">
        <v>196</v>
      </c>
      <c r="J55" s="3" t="s">
        <v>53</v>
      </c>
      <c r="K55" s="3" t="s">
        <v>9</v>
      </c>
      <c r="L55" s="3" t="s">
        <v>10</v>
      </c>
      <c r="M55" s="3" t="s">
        <v>11</v>
      </c>
      <c r="N55" s="3" t="s">
        <v>12</v>
      </c>
      <c r="O55" s="129" t="s">
        <v>13</v>
      </c>
      <c r="P55" s="129" t="s">
        <v>14</v>
      </c>
      <c r="Q55" s="130" t="s">
        <v>147</v>
      </c>
      <c r="S55" s="130" t="s">
        <v>15</v>
      </c>
    </row>
    <row r="56" spans="2:19" ht="28.9" hidden="1">
      <c r="B56" s="264" t="s">
        <v>206</v>
      </c>
      <c r="C56" s="380" t="s">
        <v>190</v>
      </c>
      <c r="D56" s="55" t="s">
        <v>18</v>
      </c>
      <c r="E56" s="86">
        <v>9950</v>
      </c>
      <c r="F56" s="58">
        <v>200</v>
      </c>
      <c r="G56" s="56">
        <v>175</v>
      </c>
      <c r="H56" s="56">
        <v>275</v>
      </c>
      <c r="I56" s="56">
        <v>75</v>
      </c>
      <c r="J56" s="56">
        <v>50</v>
      </c>
      <c r="K56" s="60">
        <f t="shared" ref="K56:K59" si="4">SUM(E56:J56)</f>
        <v>10725</v>
      </c>
      <c r="L56" s="58">
        <v>200</v>
      </c>
      <c r="M56" s="60">
        <f t="shared" ref="M56:M57" si="5">SUM(J56:L56)</f>
        <v>10975</v>
      </c>
      <c r="N56" s="61" t="s">
        <v>170</v>
      </c>
      <c r="O56" s="151" t="s">
        <v>207</v>
      </c>
      <c r="P56" s="55" t="s">
        <v>73</v>
      </c>
      <c r="Q56" s="118" t="s">
        <v>208</v>
      </c>
      <c r="S56" s="55" t="s">
        <v>209</v>
      </c>
    </row>
    <row r="57" spans="2:19" ht="28.9" hidden="1">
      <c r="B57" s="264"/>
      <c r="C57" s="380"/>
      <c r="D57" s="55" t="s">
        <v>24</v>
      </c>
      <c r="E57" s="86">
        <v>10000</v>
      </c>
      <c r="F57" s="58">
        <v>200</v>
      </c>
      <c r="G57" s="56">
        <v>175</v>
      </c>
      <c r="H57" s="56">
        <v>275</v>
      </c>
      <c r="I57" s="56">
        <v>150</v>
      </c>
      <c r="J57" s="56">
        <v>50</v>
      </c>
      <c r="K57" s="60">
        <f t="shared" si="4"/>
        <v>10850</v>
      </c>
      <c r="L57" s="58">
        <v>200</v>
      </c>
      <c r="M57" s="60">
        <f t="shared" si="5"/>
        <v>11100</v>
      </c>
      <c r="N57" s="61" t="s">
        <v>114</v>
      </c>
      <c r="O57" s="151" t="s">
        <v>207</v>
      </c>
      <c r="P57" s="55" t="s">
        <v>73</v>
      </c>
      <c r="Q57" s="118" t="s">
        <v>208</v>
      </c>
      <c r="S57" s="55" t="s">
        <v>209</v>
      </c>
    </row>
    <row r="58" spans="2:19" ht="40.9" customHeight="1">
      <c r="B58" s="264" t="s">
        <v>210</v>
      </c>
      <c r="C58" s="380" t="s">
        <v>190</v>
      </c>
      <c r="D58" s="55" t="s">
        <v>18</v>
      </c>
      <c r="E58" s="86">
        <f>CEILING((((6080+40+115)*1.12))-150,50)</f>
        <v>6850</v>
      </c>
      <c r="F58" s="58">
        <v>160</v>
      </c>
      <c r="G58" s="56">
        <v>175</v>
      </c>
      <c r="H58" s="56">
        <v>215</v>
      </c>
      <c r="I58" s="56">
        <v>75</v>
      </c>
      <c r="J58" s="56">
        <v>50</v>
      </c>
      <c r="K58" s="60">
        <f t="shared" si="4"/>
        <v>7525</v>
      </c>
      <c r="L58" s="58">
        <v>200</v>
      </c>
      <c r="M58" s="162">
        <f>SUM(K58:L58)</f>
        <v>7725</v>
      </c>
      <c r="N58" s="61" t="s">
        <v>170</v>
      </c>
      <c r="O58" s="218" t="s">
        <v>60</v>
      </c>
      <c r="P58" s="55" t="s">
        <v>65</v>
      </c>
      <c r="Q58" s="118" t="s">
        <v>211</v>
      </c>
      <c r="S58" s="55" t="s">
        <v>161</v>
      </c>
    </row>
    <row r="59" spans="2:19" ht="42" customHeight="1" thickBot="1">
      <c r="B59" s="264"/>
      <c r="C59" s="380"/>
      <c r="D59" s="55" t="s">
        <v>24</v>
      </c>
      <c r="E59" s="86">
        <f>CEILING((((6160+80+115)*1.12))-150,50)</f>
        <v>7000</v>
      </c>
      <c r="F59" s="58">
        <v>160</v>
      </c>
      <c r="G59" s="56">
        <v>175</v>
      </c>
      <c r="H59" s="56">
        <v>215</v>
      </c>
      <c r="I59" s="56">
        <v>150</v>
      </c>
      <c r="J59" s="56">
        <v>50</v>
      </c>
      <c r="K59" s="60">
        <f t="shared" si="4"/>
        <v>7750</v>
      </c>
      <c r="L59" s="58">
        <v>200</v>
      </c>
      <c r="M59" s="162">
        <f>SUM(K59:L59)</f>
        <v>7950</v>
      </c>
      <c r="N59" s="61" t="s">
        <v>170</v>
      </c>
      <c r="O59" s="218" t="s">
        <v>60</v>
      </c>
      <c r="P59" s="55" t="s">
        <v>65</v>
      </c>
      <c r="Q59" s="118" t="s">
        <v>211</v>
      </c>
      <c r="S59" s="55" t="s">
        <v>161</v>
      </c>
    </row>
    <row r="60" spans="2:19" ht="28.9">
      <c r="B60" s="381" t="s">
        <v>212</v>
      </c>
      <c r="C60" s="382"/>
      <c r="D60" s="382"/>
      <c r="E60" s="382"/>
      <c r="F60" s="382"/>
      <c r="G60" s="382"/>
      <c r="H60" s="382"/>
      <c r="I60" s="382"/>
      <c r="J60" s="382"/>
      <c r="K60" s="382"/>
      <c r="L60" s="382"/>
      <c r="M60" s="382"/>
      <c r="N60" s="382"/>
      <c r="O60" s="382"/>
      <c r="P60" s="382"/>
      <c r="Q60" s="383"/>
      <c r="S60" s="55"/>
    </row>
    <row r="61" spans="2:19" ht="28.9">
      <c r="B61" s="102" t="s">
        <v>1</v>
      </c>
      <c r="C61" s="254" t="s">
        <v>2</v>
      </c>
      <c r="D61" s="254"/>
      <c r="E61" s="129" t="s">
        <v>3</v>
      </c>
      <c r="F61" s="129" t="s">
        <v>4</v>
      </c>
      <c r="G61" s="129" t="s">
        <v>195</v>
      </c>
      <c r="H61" s="129" t="s">
        <v>145</v>
      </c>
      <c r="I61" s="3" t="s">
        <v>196</v>
      </c>
      <c r="J61" s="3" t="s">
        <v>53</v>
      </c>
      <c r="K61" s="3" t="s">
        <v>9</v>
      </c>
      <c r="L61" s="3" t="s">
        <v>10</v>
      </c>
      <c r="M61" s="3" t="s">
        <v>11</v>
      </c>
      <c r="N61" s="3" t="s">
        <v>12</v>
      </c>
      <c r="O61" s="129" t="s">
        <v>13</v>
      </c>
      <c r="P61" s="129" t="s">
        <v>14</v>
      </c>
      <c r="Q61" s="130" t="s">
        <v>147</v>
      </c>
      <c r="S61" s="55"/>
    </row>
    <row r="62" spans="2:19" ht="28.9" customHeight="1">
      <c r="B62" s="264" t="s">
        <v>81</v>
      </c>
      <c r="C62" s="380" t="s">
        <v>190</v>
      </c>
      <c r="D62" s="55" t="s">
        <v>18</v>
      </c>
      <c r="E62" s="86">
        <f>CEILING((((6580+40+115)*1.12))-150,50)</f>
        <v>7400</v>
      </c>
      <c r="F62" s="166">
        <v>130</v>
      </c>
      <c r="G62" s="167">
        <v>175</v>
      </c>
      <c r="H62" s="167">
        <v>275</v>
      </c>
      <c r="I62" s="167">
        <v>75</v>
      </c>
      <c r="J62" s="167">
        <v>50</v>
      </c>
      <c r="K62" s="162">
        <f t="shared" ref="K62:K63" si="6">SUM(E62:J62)</f>
        <v>8105</v>
      </c>
      <c r="L62" s="161">
        <v>200</v>
      </c>
      <c r="M62" s="162">
        <f>SUM(K62:L62)</f>
        <v>8305</v>
      </c>
      <c r="N62" s="163" t="s">
        <v>170</v>
      </c>
      <c r="O62" s="218" t="s">
        <v>60</v>
      </c>
      <c r="P62" s="55" t="s">
        <v>65</v>
      </c>
      <c r="Q62" s="389" t="s">
        <v>213</v>
      </c>
      <c r="S62" s="55" t="s">
        <v>214</v>
      </c>
    </row>
    <row r="63" spans="2:19">
      <c r="B63" s="264"/>
      <c r="C63" s="380"/>
      <c r="D63" s="55" t="s">
        <v>24</v>
      </c>
      <c r="E63" s="86">
        <f>CEILING((((6660+80+115)*1.12))-150,50)</f>
        <v>7550</v>
      </c>
      <c r="F63" s="166">
        <v>160</v>
      </c>
      <c r="G63" s="167">
        <v>175</v>
      </c>
      <c r="H63" s="167">
        <v>275</v>
      </c>
      <c r="I63" s="167">
        <v>150</v>
      </c>
      <c r="J63" s="167">
        <v>50</v>
      </c>
      <c r="K63" s="162">
        <f t="shared" si="6"/>
        <v>8360</v>
      </c>
      <c r="L63" s="161">
        <v>200</v>
      </c>
      <c r="M63" s="162">
        <f>SUM(K63:L63)</f>
        <v>8560</v>
      </c>
      <c r="N63" s="163" t="s">
        <v>170</v>
      </c>
      <c r="O63" s="218" t="s">
        <v>60</v>
      </c>
      <c r="P63" s="55" t="s">
        <v>65</v>
      </c>
      <c r="Q63" s="390"/>
      <c r="S63" s="55" t="s">
        <v>214</v>
      </c>
    </row>
    <row r="64" spans="2:19" ht="28.9">
      <c r="B64" s="386" t="s">
        <v>215</v>
      </c>
      <c r="C64" s="375"/>
      <c r="D64" s="375"/>
      <c r="E64" s="375"/>
      <c r="F64" s="375"/>
      <c r="G64" s="375"/>
      <c r="H64" s="375"/>
      <c r="I64" s="375"/>
      <c r="J64" s="375"/>
      <c r="K64" s="375"/>
      <c r="L64" s="375"/>
      <c r="M64" s="375"/>
      <c r="N64" s="375"/>
      <c r="O64" s="375"/>
      <c r="P64" s="375"/>
      <c r="Q64" s="387"/>
      <c r="S64" s="55"/>
    </row>
    <row r="65" spans="2:19" ht="28.9">
      <c r="B65" s="116" t="s">
        <v>1</v>
      </c>
      <c r="C65" s="349" t="s">
        <v>2</v>
      </c>
      <c r="D65" s="349"/>
      <c r="E65" s="8" t="s">
        <v>3</v>
      </c>
      <c r="F65" s="1" t="s">
        <v>4</v>
      </c>
      <c r="G65" s="9" t="s">
        <v>195</v>
      </c>
      <c r="H65" s="9" t="s">
        <v>145</v>
      </c>
      <c r="I65" s="3" t="s">
        <v>196</v>
      </c>
      <c r="J65" s="2" t="s">
        <v>53</v>
      </c>
      <c r="K65" s="2" t="s">
        <v>9</v>
      </c>
      <c r="L65" s="2" t="s">
        <v>10</v>
      </c>
      <c r="M65" s="2" t="s">
        <v>11</v>
      </c>
      <c r="N65" s="8" t="s">
        <v>12</v>
      </c>
      <c r="O65" s="9" t="s">
        <v>13</v>
      </c>
      <c r="P65" s="133" t="s">
        <v>14</v>
      </c>
      <c r="Q65" s="109" t="s">
        <v>147</v>
      </c>
      <c r="S65" s="55"/>
    </row>
    <row r="66" spans="2:19" ht="14.45" customHeight="1">
      <c r="B66" s="388" t="s">
        <v>216</v>
      </c>
      <c r="C66" s="380" t="s">
        <v>190</v>
      </c>
      <c r="D66" s="55" t="s">
        <v>18</v>
      </c>
      <c r="E66" s="86">
        <f>CEILING((((6580+40+115)*1.12))-150,50)</f>
        <v>7400</v>
      </c>
      <c r="F66" s="166">
        <v>130</v>
      </c>
      <c r="G66" s="167">
        <v>175</v>
      </c>
      <c r="H66" s="167">
        <v>275</v>
      </c>
      <c r="I66" s="167">
        <v>75</v>
      </c>
      <c r="J66" s="167">
        <v>50</v>
      </c>
      <c r="K66" s="162">
        <f t="shared" ref="K66:K67" si="7">SUM(E66:J66)</f>
        <v>8105</v>
      </c>
      <c r="L66" s="161">
        <v>200</v>
      </c>
      <c r="M66" s="162">
        <f>SUM(K66:L66)</f>
        <v>8305</v>
      </c>
      <c r="N66" s="163" t="s">
        <v>170</v>
      </c>
      <c r="O66" s="218" t="s">
        <v>60</v>
      </c>
      <c r="P66" s="55" t="s">
        <v>65</v>
      </c>
      <c r="Q66" s="389" t="s">
        <v>213</v>
      </c>
      <c r="S66" s="55" t="s">
        <v>214</v>
      </c>
    </row>
    <row r="67" spans="2:19">
      <c r="B67" s="388"/>
      <c r="C67" s="380"/>
      <c r="D67" s="55" t="s">
        <v>24</v>
      </c>
      <c r="E67" s="86">
        <f>CEILING((((6660+80+115)*1.12))-150,50)</f>
        <v>7550</v>
      </c>
      <c r="F67" s="166">
        <v>160</v>
      </c>
      <c r="G67" s="167">
        <v>175</v>
      </c>
      <c r="H67" s="167">
        <v>275</v>
      </c>
      <c r="I67" s="167">
        <v>150</v>
      </c>
      <c r="J67" s="167">
        <v>50</v>
      </c>
      <c r="K67" s="162">
        <f t="shared" si="7"/>
        <v>8360</v>
      </c>
      <c r="L67" s="161">
        <v>200</v>
      </c>
      <c r="M67" s="162">
        <f>SUM(K67:L67)</f>
        <v>8560</v>
      </c>
      <c r="N67" s="163" t="s">
        <v>170</v>
      </c>
      <c r="O67" s="218" t="s">
        <v>60</v>
      </c>
      <c r="P67" s="55" t="s">
        <v>65</v>
      </c>
      <c r="Q67" s="390"/>
      <c r="S67" s="55" t="s">
        <v>214</v>
      </c>
    </row>
    <row r="68" spans="2:19" ht="28.9">
      <c r="B68" s="386" t="s">
        <v>217</v>
      </c>
      <c r="C68" s="375"/>
      <c r="D68" s="375"/>
      <c r="E68" s="375"/>
      <c r="F68" s="375"/>
      <c r="G68" s="375"/>
      <c r="H68" s="375"/>
      <c r="I68" s="375"/>
      <c r="J68" s="375"/>
      <c r="K68" s="375"/>
      <c r="L68" s="375"/>
      <c r="M68" s="375"/>
      <c r="N68" s="375"/>
      <c r="O68" s="375"/>
      <c r="P68" s="375"/>
      <c r="Q68" s="387"/>
      <c r="S68" s="55"/>
    </row>
    <row r="69" spans="2:19" ht="28.9">
      <c r="B69" s="116" t="s">
        <v>1</v>
      </c>
      <c r="C69" s="349" t="s">
        <v>2</v>
      </c>
      <c r="D69" s="349"/>
      <c r="E69" s="8" t="s">
        <v>3</v>
      </c>
      <c r="F69" s="1" t="s">
        <v>4</v>
      </c>
      <c r="G69" s="9" t="s">
        <v>195</v>
      </c>
      <c r="H69" s="9" t="s">
        <v>145</v>
      </c>
      <c r="I69" s="3" t="s">
        <v>196</v>
      </c>
      <c r="J69" s="2" t="s">
        <v>53</v>
      </c>
      <c r="K69" s="2" t="s">
        <v>9</v>
      </c>
      <c r="L69" s="2" t="s">
        <v>10</v>
      </c>
      <c r="M69" s="2" t="s">
        <v>11</v>
      </c>
      <c r="N69" s="8" t="s">
        <v>12</v>
      </c>
      <c r="O69" s="9" t="s">
        <v>13</v>
      </c>
      <c r="P69" s="133" t="s">
        <v>14</v>
      </c>
      <c r="Q69" s="109" t="s">
        <v>147</v>
      </c>
      <c r="S69" s="55"/>
    </row>
    <row r="70" spans="2:19">
      <c r="B70" s="388" t="s">
        <v>92</v>
      </c>
      <c r="C70" s="380" t="s">
        <v>190</v>
      </c>
      <c r="D70" s="55" t="s">
        <v>18</v>
      </c>
      <c r="E70" s="86">
        <f>CEILING((((6580+40+115)*1.12))-150,50)</f>
        <v>7400</v>
      </c>
      <c r="F70" s="166">
        <v>130</v>
      </c>
      <c r="G70" s="167">
        <v>175</v>
      </c>
      <c r="H70" s="167">
        <v>275</v>
      </c>
      <c r="I70" s="167">
        <v>75</v>
      </c>
      <c r="J70" s="167">
        <v>50</v>
      </c>
      <c r="K70" s="162">
        <f t="shared" ref="K70:K71" si="8">SUM(E70:J70)</f>
        <v>8105</v>
      </c>
      <c r="L70" s="161">
        <v>200</v>
      </c>
      <c r="M70" s="162">
        <f>SUM(K70:L70)</f>
        <v>8305</v>
      </c>
      <c r="N70" s="163" t="s">
        <v>170</v>
      </c>
      <c r="O70" s="218" t="s">
        <v>60</v>
      </c>
      <c r="P70" s="55" t="s">
        <v>65</v>
      </c>
      <c r="Q70" s="391" t="s">
        <v>218</v>
      </c>
      <c r="S70" s="55" t="s">
        <v>214</v>
      </c>
    </row>
    <row r="71" spans="2:19">
      <c r="B71" s="388"/>
      <c r="C71" s="380"/>
      <c r="D71" s="55" t="s">
        <v>24</v>
      </c>
      <c r="E71" s="86">
        <f>CEILING((((6660+80+115)*1.12))-150,50)</f>
        <v>7550</v>
      </c>
      <c r="F71" s="166">
        <v>160</v>
      </c>
      <c r="G71" s="167">
        <v>175</v>
      </c>
      <c r="H71" s="167">
        <v>275</v>
      </c>
      <c r="I71" s="167">
        <v>150</v>
      </c>
      <c r="J71" s="167">
        <v>50</v>
      </c>
      <c r="K71" s="162">
        <f t="shared" si="8"/>
        <v>8360</v>
      </c>
      <c r="L71" s="161">
        <v>200</v>
      </c>
      <c r="M71" s="162">
        <f>SUM(K71:L71)</f>
        <v>8560</v>
      </c>
      <c r="N71" s="163" t="s">
        <v>170</v>
      </c>
      <c r="O71" s="218" t="s">
        <v>60</v>
      </c>
      <c r="P71" s="55" t="s">
        <v>65</v>
      </c>
      <c r="Q71" s="392"/>
      <c r="S71" s="55" t="s">
        <v>214</v>
      </c>
    </row>
    <row r="72" spans="2:19" ht="28.9">
      <c r="B72" s="386" t="s">
        <v>219</v>
      </c>
      <c r="C72" s="375"/>
      <c r="D72" s="375"/>
      <c r="E72" s="375"/>
      <c r="F72" s="375"/>
      <c r="G72" s="375"/>
      <c r="H72" s="375"/>
      <c r="I72" s="375"/>
      <c r="J72" s="375"/>
      <c r="K72" s="375"/>
      <c r="L72" s="375"/>
      <c r="M72" s="375"/>
      <c r="N72" s="375"/>
      <c r="O72" s="375"/>
      <c r="P72" s="375"/>
      <c r="Q72" s="387"/>
      <c r="S72" s="55"/>
    </row>
    <row r="73" spans="2:19" ht="28.9">
      <c r="B73" s="116" t="s">
        <v>1</v>
      </c>
      <c r="C73" s="349" t="s">
        <v>2</v>
      </c>
      <c r="D73" s="349"/>
      <c r="E73" s="8" t="s">
        <v>3</v>
      </c>
      <c r="F73" s="1" t="s">
        <v>4</v>
      </c>
      <c r="G73" s="9" t="s">
        <v>195</v>
      </c>
      <c r="H73" s="9" t="s">
        <v>145</v>
      </c>
      <c r="I73" s="3" t="s">
        <v>196</v>
      </c>
      <c r="J73" s="2" t="s">
        <v>53</v>
      </c>
      <c r="K73" s="2" t="s">
        <v>9</v>
      </c>
      <c r="L73" s="2" t="s">
        <v>10</v>
      </c>
      <c r="M73" s="2" t="s">
        <v>11</v>
      </c>
      <c r="N73" s="8" t="s">
        <v>12</v>
      </c>
      <c r="O73" s="9" t="s">
        <v>13</v>
      </c>
      <c r="P73" s="133" t="s">
        <v>14</v>
      </c>
      <c r="Q73" s="109" t="s">
        <v>147</v>
      </c>
      <c r="S73" s="55"/>
    </row>
    <row r="74" spans="2:19" ht="14.45" customHeight="1">
      <c r="B74" s="264" t="s">
        <v>158</v>
      </c>
      <c r="C74" s="380" t="s">
        <v>190</v>
      </c>
      <c r="D74" s="55" t="s">
        <v>18</v>
      </c>
      <c r="E74" s="86">
        <f>CEILING((((6580+40+115)*1.12))-150,50)</f>
        <v>7400</v>
      </c>
      <c r="F74" s="166">
        <v>130</v>
      </c>
      <c r="G74" s="167">
        <v>175</v>
      </c>
      <c r="H74" s="167">
        <v>275</v>
      </c>
      <c r="I74" s="167">
        <v>75</v>
      </c>
      <c r="J74" s="167">
        <v>50</v>
      </c>
      <c r="K74" s="60">
        <f t="shared" ref="K74:K75" si="9">SUM(E74:J74)</f>
        <v>8105</v>
      </c>
      <c r="L74" s="58">
        <v>200</v>
      </c>
      <c r="M74" s="162">
        <f>SUM(K74:L74)</f>
        <v>8305</v>
      </c>
      <c r="N74" s="61" t="s">
        <v>170</v>
      </c>
      <c r="O74" s="218" t="s">
        <v>60</v>
      </c>
      <c r="P74" s="55" t="s">
        <v>65</v>
      </c>
      <c r="Q74" s="391" t="s">
        <v>218</v>
      </c>
      <c r="S74" s="55" t="s">
        <v>214</v>
      </c>
    </row>
    <row r="75" spans="2:19">
      <c r="B75" s="264"/>
      <c r="C75" s="380"/>
      <c r="D75" s="55" t="s">
        <v>24</v>
      </c>
      <c r="E75" s="86">
        <f>CEILING((((6660+80+115)*1.12))-150,50)</f>
        <v>7550</v>
      </c>
      <c r="F75" s="166">
        <v>160</v>
      </c>
      <c r="G75" s="167">
        <v>175</v>
      </c>
      <c r="H75" s="167">
        <v>275</v>
      </c>
      <c r="I75" s="167">
        <v>150</v>
      </c>
      <c r="J75" s="167">
        <v>50</v>
      </c>
      <c r="K75" s="60">
        <f t="shared" si="9"/>
        <v>8360</v>
      </c>
      <c r="L75" s="58">
        <v>200</v>
      </c>
      <c r="M75" s="162">
        <f>SUM(K75:L75)</f>
        <v>8560</v>
      </c>
      <c r="N75" s="61" t="s">
        <v>170</v>
      </c>
      <c r="O75" s="218" t="s">
        <v>60</v>
      </c>
      <c r="P75" s="55" t="s">
        <v>65</v>
      </c>
      <c r="Q75" s="393"/>
      <c r="S75" s="55" t="s">
        <v>214</v>
      </c>
    </row>
    <row r="76" spans="2:19" ht="15" hidden="1" thickBot="1">
      <c r="B76" s="150" t="s">
        <v>220</v>
      </c>
      <c r="C76" s="148" t="s">
        <v>190</v>
      </c>
      <c r="D76" s="55" t="s">
        <v>24</v>
      </c>
      <c r="E76" s="149">
        <v>6900</v>
      </c>
      <c r="F76" s="58">
        <v>235</v>
      </c>
      <c r="G76" s="56">
        <v>175</v>
      </c>
      <c r="H76" s="56">
        <v>215</v>
      </c>
      <c r="I76" s="56">
        <v>150</v>
      </c>
      <c r="J76" s="56">
        <v>50</v>
      </c>
      <c r="K76" s="60">
        <f t="shared" ref="K76" si="10">SUM(E76:J76)</f>
        <v>7725</v>
      </c>
      <c r="L76" s="58">
        <v>200</v>
      </c>
      <c r="M76" s="60">
        <f t="shared" ref="M76" si="11">SUM(J76:L76)</f>
        <v>7975</v>
      </c>
      <c r="N76" s="55" t="s">
        <v>221</v>
      </c>
      <c r="O76" s="25" t="s">
        <v>222</v>
      </c>
      <c r="P76" s="55" t="s">
        <v>223</v>
      </c>
      <c r="Q76" s="392"/>
      <c r="S76" s="55"/>
    </row>
    <row r="77" spans="2:19" ht="28.9">
      <c r="B77" s="386" t="s">
        <v>224</v>
      </c>
      <c r="C77" s="375"/>
      <c r="D77" s="375"/>
      <c r="E77" s="373"/>
      <c r="F77" s="375"/>
      <c r="G77" s="375"/>
      <c r="H77" s="375"/>
      <c r="I77" s="375"/>
      <c r="J77" s="375"/>
      <c r="K77" s="375"/>
      <c r="L77" s="375"/>
      <c r="M77" s="375"/>
      <c r="N77" s="375"/>
      <c r="O77" s="375"/>
      <c r="P77" s="375"/>
      <c r="Q77" s="387"/>
      <c r="S77" s="55"/>
    </row>
    <row r="78" spans="2:19" ht="28.9">
      <c r="B78" s="116" t="s">
        <v>1</v>
      </c>
      <c r="C78" s="349" t="s">
        <v>2</v>
      </c>
      <c r="D78" s="349"/>
      <c r="E78" s="8" t="s">
        <v>3</v>
      </c>
      <c r="F78" s="1" t="s">
        <v>4</v>
      </c>
      <c r="G78" s="9" t="s">
        <v>195</v>
      </c>
      <c r="H78" s="9" t="s">
        <v>145</v>
      </c>
      <c r="I78" s="3" t="s">
        <v>196</v>
      </c>
      <c r="J78" s="2" t="s">
        <v>53</v>
      </c>
      <c r="K78" s="2" t="s">
        <v>9</v>
      </c>
      <c r="L78" s="2" t="s">
        <v>10</v>
      </c>
      <c r="M78" s="2" t="s">
        <v>11</v>
      </c>
      <c r="N78" s="8" t="s">
        <v>12</v>
      </c>
      <c r="O78" s="9" t="s">
        <v>13</v>
      </c>
      <c r="P78" s="133" t="s">
        <v>14</v>
      </c>
      <c r="Q78" s="109" t="s">
        <v>147</v>
      </c>
      <c r="S78" s="55"/>
    </row>
    <row r="79" spans="2:19">
      <c r="B79" s="264" t="s">
        <v>169</v>
      </c>
      <c r="C79" s="380" t="s">
        <v>190</v>
      </c>
      <c r="D79" s="55" t="s">
        <v>18</v>
      </c>
      <c r="E79" s="86">
        <v>6700</v>
      </c>
      <c r="F79" s="37">
        <v>130</v>
      </c>
      <c r="G79" s="37">
        <v>175</v>
      </c>
      <c r="H79" s="37">
        <v>275</v>
      </c>
      <c r="I79" s="37">
        <v>75</v>
      </c>
      <c r="J79" s="56">
        <v>50</v>
      </c>
      <c r="K79" s="60">
        <f t="shared" ref="K79:K80" si="12">SUM(E79:J79)</f>
        <v>7405</v>
      </c>
      <c r="L79" s="58">
        <v>200</v>
      </c>
      <c r="M79" s="162">
        <f>SUM(K79:L79)</f>
        <v>7605</v>
      </c>
      <c r="N79" s="55" t="s">
        <v>225</v>
      </c>
      <c r="O79" s="218" t="s">
        <v>60</v>
      </c>
      <c r="P79" s="71" t="s">
        <v>42</v>
      </c>
      <c r="Q79" s="391" t="s">
        <v>226</v>
      </c>
      <c r="S79" s="55" t="s">
        <v>227</v>
      </c>
    </row>
    <row r="80" spans="2:19" ht="15" thickBot="1">
      <c r="B80" s="394"/>
      <c r="C80" s="395"/>
      <c r="D80" s="94" t="s">
        <v>24</v>
      </c>
      <c r="E80" s="89">
        <v>7000</v>
      </c>
      <c r="F80" s="37">
        <v>350</v>
      </c>
      <c r="G80" s="37">
        <v>165</v>
      </c>
      <c r="H80" s="37">
        <v>175</v>
      </c>
      <c r="I80" s="37">
        <v>150</v>
      </c>
      <c r="J80" s="111">
        <v>50</v>
      </c>
      <c r="K80" s="91">
        <f t="shared" si="12"/>
        <v>7890</v>
      </c>
      <c r="L80" s="90">
        <v>200</v>
      </c>
      <c r="M80" s="162">
        <f>SUM(K80:L80)</f>
        <v>8090</v>
      </c>
      <c r="N80" s="55" t="s">
        <v>228</v>
      </c>
      <c r="O80" s="218" t="s">
        <v>60</v>
      </c>
      <c r="P80" s="71" t="s">
        <v>229</v>
      </c>
      <c r="Q80" s="392"/>
      <c r="S80" s="55" t="s">
        <v>227</v>
      </c>
    </row>
    <row r="81" spans="2:19" ht="28.9">
      <c r="B81" s="386" t="s">
        <v>230</v>
      </c>
      <c r="C81" s="375"/>
      <c r="D81" s="375"/>
      <c r="E81" s="375"/>
      <c r="F81" s="375"/>
      <c r="G81" s="375"/>
      <c r="H81" s="375"/>
      <c r="I81" s="375"/>
      <c r="J81" s="375"/>
      <c r="K81" s="375"/>
      <c r="L81" s="375"/>
      <c r="M81" s="375"/>
      <c r="N81" s="373"/>
      <c r="O81" s="375"/>
      <c r="P81" s="375"/>
      <c r="Q81" s="387"/>
    </row>
    <row r="82" spans="2:19" ht="28.9">
      <c r="B82" s="116" t="s">
        <v>1</v>
      </c>
      <c r="C82" s="349" t="s">
        <v>2</v>
      </c>
      <c r="D82" s="349"/>
      <c r="E82" s="8" t="s">
        <v>3</v>
      </c>
      <c r="F82" s="1" t="s">
        <v>4</v>
      </c>
      <c r="G82" s="9" t="s">
        <v>195</v>
      </c>
      <c r="H82" s="9" t="s">
        <v>145</v>
      </c>
      <c r="I82" s="3" t="s">
        <v>196</v>
      </c>
      <c r="J82" s="2" t="s">
        <v>53</v>
      </c>
      <c r="K82" s="2" t="s">
        <v>9</v>
      </c>
      <c r="L82" s="2" t="s">
        <v>10</v>
      </c>
      <c r="M82" s="2" t="s">
        <v>11</v>
      </c>
      <c r="N82" s="8" t="s">
        <v>12</v>
      </c>
      <c r="O82" s="9" t="s">
        <v>13</v>
      </c>
      <c r="P82" s="133" t="s">
        <v>14</v>
      </c>
      <c r="Q82" s="109" t="s">
        <v>147</v>
      </c>
    </row>
    <row r="83" spans="2:19">
      <c r="B83" s="264" t="s">
        <v>104</v>
      </c>
      <c r="C83" s="380" t="s">
        <v>190</v>
      </c>
      <c r="D83" s="55" t="s">
        <v>18</v>
      </c>
      <c r="E83" s="86">
        <f>CEILING((((6580+40+115)*1.12))-150,50)</f>
        <v>7400</v>
      </c>
      <c r="F83" s="166">
        <v>130</v>
      </c>
      <c r="G83" s="167">
        <v>175</v>
      </c>
      <c r="H83" s="167">
        <v>275</v>
      </c>
      <c r="I83" s="167">
        <v>75</v>
      </c>
      <c r="J83" s="167">
        <v>50</v>
      </c>
      <c r="K83" s="162">
        <f t="shared" ref="K83:K84" si="13">SUM(E83:J83)</f>
        <v>8105</v>
      </c>
      <c r="L83" s="161">
        <v>200</v>
      </c>
      <c r="M83" s="162">
        <f>SUM(K83:L83)</f>
        <v>8305</v>
      </c>
      <c r="N83" s="163" t="s">
        <v>170</v>
      </c>
      <c r="O83" s="218" t="s">
        <v>60</v>
      </c>
      <c r="P83" s="55" t="s">
        <v>65</v>
      </c>
      <c r="Q83" s="391" t="s">
        <v>218</v>
      </c>
      <c r="S83" s="55" t="s">
        <v>214</v>
      </c>
    </row>
    <row r="84" spans="2:19" ht="15" thickBot="1">
      <c r="B84" s="394"/>
      <c r="C84" s="395"/>
      <c r="D84" s="94" t="s">
        <v>24</v>
      </c>
      <c r="E84" s="89">
        <f>CEILING((((6660+80+115)*1.12))-150,50)</f>
        <v>7550</v>
      </c>
      <c r="F84" s="208">
        <v>160</v>
      </c>
      <c r="G84" s="209">
        <v>175</v>
      </c>
      <c r="H84" s="209">
        <v>275</v>
      </c>
      <c r="I84" s="209">
        <v>150</v>
      </c>
      <c r="J84" s="209">
        <v>50</v>
      </c>
      <c r="K84" s="210">
        <f t="shared" si="13"/>
        <v>8360</v>
      </c>
      <c r="L84" s="211">
        <v>200</v>
      </c>
      <c r="M84" s="210">
        <f>SUM(K84:L84)</f>
        <v>8560</v>
      </c>
      <c r="N84" s="212" t="s">
        <v>170</v>
      </c>
      <c r="O84" s="218" t="s">
        <v>60</v>
      </c>
      <c r="P84" s="94" t="s">
        <v>65</v>
      </c>
      <c r="Q84" s="396"/>
      <c r="S84" s="55" t="s">
        <v>214</v>
      </c>
    </row>
    <row r="85" spans="2:19" ht="15" thickBot="1">
      <c r="B85" s="135"/>
      <c r="C85" s="135"/>
      <c r="D85" s="423" t="s">
        <v>231</v>
      </c>
      <c r="E85" s="423"/>
      <c r="F85" s="135"/>
      <c r="G85" s="135"/>
      <c r="H85" s="135"/>
      <c r="I85" s="135"/>
      <c r="J85" s="72"/>
      <c r="K85" s="135"/>
      <c r="L85" s="135"/>
      <c r="M85" s="72"/>
      <c r="N85" s="135"/>
      <c r="O85" s="135"/>
      <c r="P85" s="135"/>
      <c r="Q85" s="135"/>
      <c r="R85" s="135"/>
    </row>
    <row r="86" spans="2:19" ht="15.6">
      <c r="B86" s="265" t="s">
        <v>34</v>
      </c>
      <c r="C86" s="266"/>
      <c r="D86" s="266"/>
      <c r="E86" s="266"/>
      <c r="F86" s="266"/>
      <c r="G86" s="266"/>
      <c r="H86" s="266"/>
      <c r="I86" s="266"/>
      <c r="J86" s="266"/>
      <c r="K86" s="266"/>
      <c r="L86" s="266"/>
      <c r="M86" s="266"/>
      <c r="N86" s="266"/>
      <c r="O86" s="266"/>
      <c r="P86" s="266"/>
      <c r="Q86" s="266"/>
      <c r="R86" s="267"/>
    </row>
    <row r="87" spans="2:19">
      <c r="B87" s="268" t="s">
        <v>35</v>
      </c>
      <c r="C87" s="269"/>
      <c r="D87" s="269"/>
      <c r="E87" s="269"/>
      <c r="F87" s="269"/>
      <c r="G87" s="269"/>
      <c r="H87" s="269"/>
      <c r="I87" s="269"/>
      <c r="J87" s="269"/>
      <c r="K87" s="269"/>
      <c r="L87" s="269"/>
      <c r="M87" s="269"/>
      <c r="N87" s="269"/>
      <c r="O87" s="269"/>
      <c r="P87" s="269"/>
      <c r="Q87" s="269"/>
      <c r="R87" s="270"/>
    </row>
    <row r="88" spans="2:19">
      <c r="B88" s="268"/>
      <c r="C88" s="269"/>
      <c r="D88" s="269"/>
      <c r="E88" s="269"/>
      <c r="F88" s="269"/>
      <c r="G88" s="269"/>
      <c r="H88" s="269"/>
      <c r="I88" s="269"/>
      <c r="J88" s="269"/>
      <c r="K88" s="269"/>
      <c r="L88" s="269"/>
      <c r="M88" s="269"/>
      <c r="N88" s="269"/>
      <c r="O88" s="269"/>
      <c r="P88" s="269"/>
      <c r="Q88" s="269"/>
      <c r="R88" s="270"/>
    </row>
    <row r="89" spans="2:19">
      <c r="B89" s="268"/>
      <c r="C89" s="269"/>
      <c r="D89" s="269"/>
      <c r="E89" s="269"/>
      <c r="F89" s="269"/>
      <c r="G89" s="269"/>
      <c r="H89" s="269"/>
      <c r="I89" s="269"/>
      <c r="J89" s="269"/>
      <c r="K89" s="269"/>
      <c r="L89" s="269"/>
      <c r="M89" s="269"/>
      <c r="N89" s="269"/>
      <c r="O89" s="269"/>
      <c r="P89" s="269"/>
      <c r="Q89" s="269"/>
      <c r="R89" s="270"/>
    </row>
    <row r="90" spans="2:19" ht="15" thickBot="1">
      <c r="B90" s="271"/>
      <c r="C90" s="272"/>
      <c r="D90" s="272"/>
      <c r="E90" s="272"/>
      <c r="F90" s="272"/>
      <c r="G90" s="272"/>
      <c r="H90" s="272"/>
      <c r="I90" s="272"/>
      <c r="J90" s="272"/>
      <c r="K90" s="272"/>
      <c r="L90" s="272"/>
      <c r="M90" s="272"/>
      <c r="N90" s="272"/>
      <c r="O90" s="272"/>
      <c r="P90" s="272"/>
      <c r="Q90" s="272"/>
      <c r="R90" s="273"/>
    </row>
    <row r="98" spans="2:18" ht="28.9">
      <c r="B98" s="274" t="s">
        <v>232</v>
      </c>
      <c r="C98" s="274"/>
      <c r="D98" s="274"/>
      <c r="E98" s="274"/>
      <c r="F98" s="274"/>
      <c r="G98" s="274"/>
      <c r="H98" s="274"/>
      <c r="I98" s="274"/>
      <c r="J98" s="274"/>
      <c r="K98" s="274"/>
      <c r="L98" s="274"/>
      <c r="M98" s="274"/>
      <c r="N98" s="274"/>
      <c r="O98" s="274"/>
      <c r="P98" s="274"/>
      <c r="Q98" s="274"/>
      <c r="R98" s="274"/>
    </row>
    <row r="99" spans="2:18" ht="28.9">
      <c r="B99" s="1" t="s">
        <v>1</v>
      </c>
      <c r="C99" s="349" t="s">
        <v>2</v>
      </c>
      <c r="D99" s="349"/>
      <c r="E99" s="136" t="s">
        <v>129</v>
      </c>
      <c r="F99" s="1" t="s">
        <v>4</v>
      </c>
      <c r="G99" s="9" t="s">
        <v>195</v>
      </c>
      <c r="H99" s="9" t="s">
        <v>145</v>
      </c>
      <c r="I99" s="2" t="s">
        <v>233</v>
      </c>
      <c r="J99" s="2" t="s">
        <v>9</v>
      </c>
      <c r="K99" s="2" t="s">
        <v>10</v>
      </c>
      <c r="L99" s="2" t="s">
        <v>11</v>
      </c>
      <c r="M99" s="8" t="s">
        <v>12</v>
      </c>
      <c r="N99" s="9" t="s">
        <v>13</v>
      </c>
      <c r="O99" s="9" t="s">
        <v>14</v>
      </c>
      <c r="P99" s="133" t="s">
        <v>120</v>
      </c>
      <c r="Q99" s="254" t="s">
        <v>38</v>
      </c>
      <c r="R99" s="254"/>
    </row>
    <row r="100" spans="2:18">
      <c r="B100" s="255" t="s">
        <v>107</v>
      </c>
      <c r="C100" s="275" t="s">
        <v>190</v>
      </c>
      <c r="D100" s="55" t="s">
        <v>18</v>
      </c>
      <c r="E100" s="37">
        <v>1400</v>
      </c>
      <c r="F100" s="39">
        <v>175</v>
      </c>
      <c r="G100" s="56">
        <v>150</v>
      </c>
      <c r="H100" s="56">
        <v>175</v>
      </c>
      <c r="I100" s="56">
        <v>75</v>
      </c>
      <c r="J100" s="60">
        <f>SUM(E100:I100)</f>
        <v>1975</v>
      </c>
      <c r="K100" s="58">
        <v>200</v>
      </c>
      <c r="L100" s="60">
        <f>J100+K100</f>
        <v>2175</v>
      </c>
      <c r="M100" s="108" t="s">
        <v>176</v>
      </c>
      <c r="N100" s="218" t="s">
        <v>177</v>
      </c>
      <c r="O100" s="41" t="s">
        <v>47</v>
      </c>
      <c r="P100" s="55" t="s">
        <v>178</v>
      </c>
      <c r="Q100" s="276" t="s">
        <v>48</v>
      </c>
      <c r="R100" s="276"/>
    </row>
    <row r="101" spans="2:18">
      <c r="B101" s="255"/>
      <c r="C101" s="275"/>
      <c r="D101" s="55" t="s">
        <v>24</v>
      </c>
      <c r="E101" s="37">
        <v>1800</v>
      </c>
      <c r="F101" s="39">
        <v>235</v>
      </c>
      <c r="G101" s="56">
        <v>150</v>
      </c>
      <c r="H101" s="56">
        <v>175</v>
      </c>
      <c r="I101" s="56">
        <v>75</v>
      </c>
      <c r="J101" s="60">
        <f>SUM(E101:I101)</f>
        <v>2435</v>
      </c>
      <c r="K101" s="58">
        <v>200</v>
      </c>
      <c r="L101" s="60">
        <f>J101+K101</f>
        <v>2635</v>
      </c>
      <c r="M101" s="108" t="s">
        <v>176</v>
      </c>
      <c r="N101" s="218" t="s">
        <v>177</v>
      </c>
      <c r="O101" s="41" t="s">
        <v>47</v>
      </c>
      <c r="P101" s="55" t="s">
        <v>178</v>
      </c>
      <c r="Q101" s="276"/>
      <c r="R101" s="276"/>
    </row>
    <row r="103" spans="2:18" ht="15.6">
      <c r="B103" s="5" t="s">
        <v>34</v>
      </c>
      <c r="C103" s="6"/>
      <c r="D103" s="6"/>
      <c r="E103" s="6"/>
      <c r="F103" s="6"/>
      <c r="G103" s="6"/>
      <c r="H103" s="6"/>
      <c r="I103" s="6"/>
      <c r="J103" s="6"/>
      <c r="K103" s="6"/>
      <c r="L103" s="6"/>
      <c r="M103" s="6"/>
      <c r="N103" s="6"/>
      <c r="O103" s="6"/>
      <c r="P103" s="6"/>
      <c r="Q103" s="6"/>
      <c r="R103" s="6"/>
    </row>
    <row r="104" spans="2:18">
      <c r="B104" s="327" t="s">
        <v>35</v>
      </c>
      <c r="C104" s="327"/>
      <c r="D104" s="327"/>
      <c r="E104" s="327"/>
      <c r="F104" s="327"/>
      <c r="G104" s="327"/>
      <c r="H104" s="327"/>
      <c r="I104" s="327"/>
      <c r="J104" s="327"/>
      <c r="K104" s="327"/>
      <c r="L104" s="327"/>
      <c r="M104" s="327"/>
      <c r="N104" s="327"/>
      <c r="O104" s="327"/>
      <c r="P104" s="327"/>
      <c r="Q104" s="327"/>
      <c r="R104" s="327"/>
    </row>
    <row r="105" spans="2:18">
      <c r="B105" s="327"/>
      <c r="C105" s="327"/>
      <c r="D105" s="327"/>
      <c r="E105" s="327"/>
      <c r="F105" s="327"/>
      <c r="G105" s="327"/>
      <c r="H105" s="327"/>
      <c r="I105" s="327"/>
      <c r="J105" s="327"/>
      <c r="K105" s="327"/>
      <c r="L105" s="327"/>
      <c r="M105" s="327"/>
      <c r="N105" s="327"/>
      <c r="O105" s="327"/>
      <c r="P105" s="327"/>
      <c r="Q105" s="327"/>
      <c r="R105" s="327"/>
    </row>
    <row r="106" spans="2:18">
      <c r="B106" s="327"/>
      <c r="C106" s="327"/>
      <c r="D106" s="327"/>
      <c r="E106" s="327"/>
      <c r="F106" s="327"/>
      <c r="G106" s="327"/>
      <c r="H106" s="327"/>
      <c r="I106" s="327"/>
      <c r="J106" s="327"/>
      <c r="K106" s="327"/>
      <c r="L106" s="327"/>
      <c r="M106" s="327"/>
      <c r="N106" s="327"/>
      <c r="O106" s="327"/>
      <c r="P106" s="327"/>
      <c r="Q106" s="327"/>
      <c r="R106" s="327"/>
    </row>
    <row r="107" spans="2:18">
      <c r="B107" s="327"/>
      <c r="C107" s="327"/>
      <c r="D107" s="327"/>
      <c r="E107" s="327"/>
      <c r="F107" s="327"/>
      <c r="G107" s="327"/>
      <c r="H107" s="327"/>
      <c r="I107" s="327"/>
      <c r="J107" s="327"/>
      <c r="K107" s="327"/>
      <c r="L107" s="327"/>
      <c r="M107" s="327"/>
      <c r="N107" s="327"/>
      <c r="O107" s="327"/>
      <c r="P107" s="327"/>
      <c r="Q107" s="327"/>
      <c r="R107" s="327"/>
    </row>
    <row r="108" spans="2:18">
      <c r="B108" s="131"/>
      <c r="C108" s="131"/>
      <c r="D108" s="131"/>
      <c r="E108" s="131"/>
      <c r="F108" s="131"/>
      <c r="G108" s="131"/>
      <c r="H108" s="131"/>
      <c r="I108" s="131"/>
      <c r="J108" s="131"/>
      <c r="K108" s="131"/>
      <c r="L108" s="131"/>
      <c r="M108" s="131"/>
      <c r="N108" s="131"/>
      <c r="O108" s="131"/>
      <c r="P108" s="131"/>
      <c r="Q108" s="131"/>
      <c r="R108" s="131"/>
    </row>
    <row r="109" spans="2:18">
      <c r="B109" s="131"/>
      <c r="C109" s="131"/>
      <c r="D109" s="131"/>
      <c r="E109" s="131"/>
      <c r="F109" s="131"/>
      <c r="G109" s="131"/>
      <c r="H109" s="131"/>
      <c r="I109" s="131"/>
      <c r="J109" s="131"/>
      <c r="K109" s="131"/>
      <c r="L109" s="131"/>
      <c r="M109" s="131"/>
      <c r="N109" s="131"/>
      <c r="O109" s="131"/>
      <c r="P109" s="131"/>
      <c r="Q109" s="131"/>
      <c r="R109" s="131"/>
    </row>
    <row r="110" spans="2:18" hidden="1"/>
    <row r="111" spans="2:18" hidden="1"/>
    <row r="112" spans="2:18" hidden="1"/>
    <row r="113" spans="2:18" hidden="1"/>
    <row r="114" spans="2:18" hidden="1"/>
    <row r="115" spans="2:18" hidden="1"/>
    <row r="116" spans="2:18" ht="28.9" hidden="1">
      <c r="B116" s="386" t="s">
        <v>234</v>
      </c>
      <c r="C116" s="375"/>
      <c r="D116" s="375"/>
      <c r="E116" s="375"/>
      <c r="F116" s="375"/>
      <c r="G116" s="375"/>
      <c r="H116" s="375"/>
      <c r="I116" s="375"/>
      <c r="J116" s="375"/>
      <c r="K116" s="375"/>
      <c r="L116" s="375"/>
      <c r="M116" s="375"/>
      <c r="N116" s="375"/>
      <c r="O116" s="375"/>
      <c r="P116" s="375"/>
      <c r="Q116" s="387"/>
    </row>
    <row r="117" spans="2:18" ht="28.9" hidden="1">
      <c r="B117" s="116" t="s">
        <v>1</v>
      </c>
      <c r="C117" s="349" t="s">
        <v>2</v>
      </c>
      <c r="D117" s="349"/>
      <c r="E117" s="8" t="s">
        <v>3</v>
      </c>
      <c r="F117" s="1" t="s">
        <v>4</v>
      </c>
      <c r="G117" s="9" t="s">
        <v>195</v>
      </c>
      <c r="H117" s="9" t="s">
        <v>145</v>
      </c>
      <c r="I117" s="2" t="s">
        <v>233</v>
      </c>
      <c r="J117" s="2" t="s">
        <v>53</v>
      </c>
      <c r="K117" s="2" t="s">
        <v>9</v>
      </c>
      <c r="L117" s="2" t="s">
        <v>10</v>
      </c>
      <c r="M117" s="2" t="s">
        <v>11</v>
      </c>
      <c r="N117" s="8" t="s">
        <v>12</v>
      </c>
      <c r="O117" s="9" t="s">
        <v>13</v>
      </c>
      <c r="P117" s="133" t="s">
        <v>14</v>
      </c>
      <c r="Q117" s="109" t="s">
        <v>147</v>
      </c>
    </row>
    <row r="118" spans="2:18" hidden="1">
      <c r="B118" s="264" t="s">
        <v>235</v>
      </c>
      <c r="C118" s="380" t="s">
        <v>190</v>
      </c>
      <c r="D118" s="55" t="s">
        <v>18</v>
      </c>
      <c r="E118" s="86">
        <v>3685</v>
      </c>
      <c r="F118" s="58">
        <v>160</v>
      </c>
      <c r="G118" s="56">
        <v>175</v>
      </c>
      <c r="H118" s="56">
        <v>275</v>
      </c>
      <c r="I118" s="56">
        <v>75</v>
      </c>
      <c r="J118" s="56">
        <v>50</v>
      </c>
      <c r="K118" s="60">
        <f t="shared" ref="K118:K119" si="14">SUM(E118:J118)</f>
        <v>4420</v>
      </c>
      <c r="L118" s="58">
        <v>200</v>
      </c>
      <c r="M118" s="162">
        <f>SUM(K118:L118)</f>
        <v>4620</v>
      </c>
      <c r="N118" s="55" t="s">
        <v>225</v>
      </c>
      <c r="O118" s="218">
        <v>46207</v>
      </c>
      <c r="P118" s="55" t="s">
        <v>42</v>
      </c>
      <c r="Q118" s="118" t="s">
        <v>236</v>
      </c>
    </row>
    <row r="119" spans="2:18" hidden="1">
      <c r="B119" s="264"/>
      <c r="C119" s="380"/>
      <c r="D119" s="55" t="s">
        <v>24</v>
      </c>
      <c r="E119" s="86">
        <v>5200</v>
      </c>
      <c r="F119" s="58">
        <v>230</v>
      </c>
      <c r="G119" s="56">
        <v>175</v>
      </c>
      <c r="H119" s="56">
        <v>275</v>
      </c>
      <c r="I119" s="56">
        <v>75</v>
      </c>
      <c r="J119" s="56">
        <v>50</v>
      </c>
      <c r="K119" s="60">
        <f t="shared" si="14"/>
        <v>6005</v>
      </c>
      <c r="L119" s="58">
        <v>200</v>
      </c>
      <c r="M119" s="162">
        <f>SUM(K119:L119)</f>
        <v>6205</v>
      </c>
      <c r="N119" s="55" t="s">
        <v>228</v>
      </c>
      <c r="O119" s="218">
        <v>46207</v>
      </c>
      <c r="P119" s="55" t="s">
        <v>42</v>
      </c>
      <c r="Q119" s="118" t="s">
        <v>236</v>
      </c>
    </row>
    <row r="120" spans="2:18" hidden="1"/>
    <row r="121" spans="2:18" ht="15.6" hidden="1">
      <c r="B121" s="5" t="s">
        <v>34</v>
      </c>
      <c r="C121" s="6"/>
      <c r="D121" s="6"/>
      <c r="E121" s="6"/>
      <c r="F121" s="6"/>
      <c r="G121" s="6"/>
      <c r="H121" s="6"/>
      <c r="I121" s="6"/>
      <c r="J121" s="6"/>
      <c r="K121" s="6"/>
      <c r="L121" s="6"/>
      <c r="M121" s="6"/>
      <c r="N121" s="6"/>
      <c r="O121" s="6"/>
      <c r="P121" s="6"/>
      <c r="Q121" s="6"/>
      <c r="R121" s="6"/>
    </row>
    <row r="122" spans="2:18" hidden="1">
      <c r="B122" s="327" t="s">
        <v>35</v>
      </c>
      <c r="C122" s="327"/>
      <c r="D122" s="327"/>
      <c r="E122" s="327"/>
      <c r="F122" s="327"/>
      <c r="G122" s="327"/>
      <c r="H122" s="327"/>
      <c r="I122" s="327"/>
      <c r="J122" s="327"/>
      <c r="K122" s="327"/>
      <c r="L122" s="327"/>
      <c r="M122" s="327"/>
      <c r="N122" s="327"/>
      <c r="O122" s="327"/>
      <c r="P122" s="327"/>
      <c r="Q122" s="327"/>
      <c r="R122" s="327"/>
    </row>
    <row r="123" spans="2:18" hidden="1">
      <c r="B123" s="327"/>
      <c r="C123" s="327"/>
      <c r="D123" s="327"/>
      <c r="E123" s="327"/>
      <c r="F123" s="327"/>
      <c r="G123" s="327"/>
      <c r="H123" s="327"/>
      <c r="I123" s="327"/>
      <c r="J123" s="327"/>
      <c r="K123" s="327"/>
      <c r="L123" s="327"/>
      <c r="M123" s="327"/>
      <c r="N123" s="327"/>
      <c r="O123" s="327"/>
      <c r="P123" s="327"/>
      <c r="Q123" s="327"/>
      <c r="R123" s="327"/>
    </row>
    <row r="124" spans="2:18" hidden="1">
      <c r="B124" s="327"/>
      <c r="C124" s="327"/>
      <c r="D124" s="327"/>
      <c r="E124" s="327"/>
      <c r="F124" s="327"/>
      <c r="G124" s="327"/>
      <c r="H124" s="327"/>
      <c r="I124" s="327"/>
      <c r="J124" s="327"/>
      <c r="K124" s="327"/>
      <c r="L124" s="327"/>
      <c r="M124" s="327"/>
      <c r="N124" s="327"/>
      <c r="O124" s="327"/>
      <c r="P124" s="327"/>
      <c r="Q124" s="327"/>
      <c r="R124" s="327"/>
    </row>
    <row r="125" spans="2:18" hidden="1">
      <c r="B125" s="327"/>
      <c r="C125" s="327"/>
      <c r="D125" s="327"/>
      <c r="E125" s="327"/>
      <c r="F125" s="327"/>
      <c r="G125" s="327"/>
      <c r="H125" s="327"/>
      <c r="I125" s="327"/>
      <c r="J125" s="327"/>
      <c r="K125" s="327"/>
      <c r="L125" s="327"/>
      <c r="M125" s="327"/>
      <c r="N125" s="327"/>
      <c r="O125" s="327"/>
      <c r="P125" s="327"/>
      <c r="Q125" s="327"/>
      <c r="R125" s="327"/>
    </row>
    <row r="126" spans="2:18" hidden="1"/>
    <row r="127" spans="2:18" hidden="1"/>
    <row r="128" spans="2:18" hidden="1"/>
    <row r="129" spans="2:18">
      <c r="C129" s="29"/>
    </row>
    <row r="130" spans="2:18">
      <c r="C130" s="29"/>
    </row>
    <row r="131" spans="2:18">
      <c r="C131" s="29"/>
    </row>
    <row r="132" spans="2:18">
      <c r="C132" s="29"/>
    </row>
    <row r="133" spans="2:18">
      <c r="C133" s="29"/>
    </row>
    <row r="134" spans="2:18" ht="15" thickBot="1">
      <c r="C134" s="29"/>
    </row>
    <row r="135" spans="2:18" ht="28.9">
      <c r="B135" s="330" t="s">
        <v>237</v>
      </c>
      <c r="C135" s="330"/>
      <c r="D135" s="330"/>
      <c r="E135" s="330"/>
      <c r="F135" s="330"/>
      <c r="G135" s="330"/>
      <c r="H135" s="330"/>
      <c r="I135" s="330"/>
      <c r="J135" s="330"/>
      <c r="K135" s="330"/>
      <c r="L135" s="330"/>
      <c r="M135" s="330"/>
      <c r="N135" s="330"/>
      <c r="O135" s="330"/>
      <c r="P135" s="330"/>
      <c r="Q135" s="330"/>
    </row>
    <row r="136" spans="2:18" ht="28.9">
      <c r="B136" s="102" t="s">
        <v>1</v>
      </c>
      <c r="C136" s="254" t="s">
        <v>2</v>
      </c>
      <c r="D136" s="254"/>
      <c r="E136" s="8" t="s">
        <v>3</v>
      </c>
      <c r="F136" s="129" t="s">
        <v>4</v>
      </c>
      <c r="G136" s="129" t="s">
        <v>195</v>
      </c>
      <c r="H136" s="129" t="s">
        <v>145</v>
      </c>
      <c r="I136" s="3" t="s">
        <v>196</v>
      </c>
      <c r="J136" s="3" t="s">
        <v>53</v>
      </c>
      <c r="K136" s="2" t="s">
        <v>9</v>
      </c>
      <c r="L136" s="2" t="s">
        <v>10</v>
      </c>
      <c r="M136" s="2" t="s">
        <v>11</v>
      </c>
      <c r="N136" s="8" t="s">
        <v>12</v>
      </c>
      <c r="O136" s="133" t="s">
        <v>13</v>
      </c>
      <c r="P136" s="133" t="s">
        <v>14</v>
      </c>
      <c r="Q136" s="133" t="s">
        <v>147</v>
      </c>
      <c r="R136" s="109" t="s">
        <v>148</v>
      </c>
    </row>
    <row r="137" spans="2:18">
      <c r="B137" s="331" t="s">
        <v>185</v>
      </c>
      <c r="C137" s="275" t="s">
        <v>190</v>
      </c>
      <c r="D137" s="55" t="s">
        <v>18</v>
      </c>
      <c r="E137" s="245">
        <f>CEILING((((1300+130+10+72+20+100)*1.15)-100)-150,50)</f>
        <v>1650</v>
      </c>
      <c r="F137" s="58">
        <v>160</v>
      </c>
      <c r="G137" s="56">
        <v>175</v>
      </c>
      <c r="H137" s="56">
        <v>215</v>
      </c>
      <c r="I137" s="56">
        <v>75</v>
      </c>
      <c r="J137" s="56">
        <v>50</v>
      </c>
      <c r="K137" s="60">
        <f>SUM(E137:J137)</f>
        <v>2325</v>
      </c>
      <c r="L137" s="58">
        <v>200</v>
      </c>
      <c r="M137" s="60">
        <f>SUM(K137:L137)</f>
        <v>2525</v>
      </c>
      <c r="N137" s="61">
        <v>30</v>
      </c>
      <c r="O137" s="218" t="s">
        <v>177</v>
      </c>
      <c r="P137" s="55" t="s">
        <v>65</v>
      </c>
      <c r="Q137" s="98" t="s">
        <v>182</v>
      </c>
      <c r="R137" s="110" t="s">
        <v>183</v>
      </c>
    </row>
    <row r="138" spans="2:18">
      <c r="B138" s="331"/>
      <c r="C138" s="275"/>
      <c r="D138" s="55" t="s">
        <v>24</v>
      </c>
      <c r="E138" s="245">
        <f>CEILING((((1400+260+10+72+20+150)*1.15)-150)-150,50)</f>
        <v>1900</v>
      </c>
      <c r="F138" s="58">
        <v>160</v>
      </c>
      <c r="G138" s="56">
        <v>175</v>
      </c>
      <c r="H138" s="56">
        <v>215</v>
      </c>
      <c r="I138" s="56">
        <v>150</v>
      </c>
      <c r="J138" s="56">
        <v>50</v>
      </c>
      <c r="K138" s="60">
        <f>SUM(E138:J138)</f>
        <v>2650</v>
      </c>
      <c r="L138" s="58">
        <v>200</v>
      </c>
      <c r="M138" s="60">
        <f>SUM(K138:L138)</f>
        <v>2850</v>
      </c>
      <c r="N138" s="61">
        <v>30</v>
      </c>
      <c r="O138" s="218" t="s">
        <v>177</v>
      </c>
      <c r="P138" s="55" t="s">
        <v>65</v>
      </c>
      <c r="Q138" s="98" t="s">
        <v>182</v>
      </c>
      <c r="R138" s="110" t="s">
        <v>183</v>
      </c>
    </row>
  </sheetData>
  <sheetProtection algorithmName="SHA-512" hashValue="ZLCL4fw3FZBkFdgbw/dOBC0FzMRUhyT15pz/9fJQfJa3Z/ZmR8FA40EAG9LrVl4+FLCWf+TZ/KEy2d7SXkQ4CA==" saltValue="27lwNgZT/cmq2ObyJKk5Qw==" spinCount="100000" sheet="1" objects="1" scenarios="1"/>
  <mergeCells count="75">
    <mergeCell ref="B135:Q135"/>
    <mergeCell ref="C136:D136"/>
    <mergeCell ref="B137:B138"/>
    <mergeCell ref="C137:C138"/>
    <mergeCell ref="C78:D78"/>
    <mergeCell ref="C83:C84"/>
    <mergeCell ref="Q83:Q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34:B35"/>
    <mergeCell ref="C34:C35"/>
    <mergeCell ref="B42:P45"/>
    <mergeCell ref="B54:Q54"/>
    <mergeCell ref="C55:D55"/>
    <mergeCell ref="B36:B37"/>
    <mergeCell ref="P34:Q38"/>
    <mergeCell ref="C36:C37"/>
    <mergeCell ref="B56:B57"/>
    <mergeCell ref="C56:C57"/>
    <mergeCell ref="B58:B59"/>
    <mergeCell ref="C58:C59"/>
    <mergeCell ref="B60:Q60"/>
    <mergeCell ref="B15:B16"/>
    <mergeCell ref="C15:C16"/>
    <mergeCell ref="P33:Q33"/>
    <mergeCell ref="B32:Q32"/>
    <mergeCell ref="B18:P18"/>
    <mergeCell ref="B19:P22"/>
    <mergeCell ref="C33:D33"/>
    <mergeCell ref="D8:E8"/>
    <mergeCell ref="C10:D10"/>
    <mergeCell ref="B11:B12"/>
    <mergeCell ref="C11:C12"/>
    <mergeCell ref="B13:B14"/>
    <mergeCell ref="C13:C14"/>
    <mergeCell ref="B9:P9"/>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zoomScaleNormal="100" zoomScaleSheetLayoutView="100" workbookViewId="0">
      <selection activeCell="G13" sqref="G13"/>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4" bestFit="1" customWidth="1"/>
    <col min="7" max="8" width="13" style="54" customWidth="1"/>
    <col min="9" max="9" width="15.28515625" style="54" customWidth="1"/>
    <col min="10" max="10" width="12.7109375" style="19" bestFit="1" customWidth="1"/>
    <col min="11" max="11" width="16.7109375" style="19" bestFit="1" customWidth="1"/>
    <col min="12" max="12" width="13.710937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9.7109375" style="19" customWidth="1"/>
    <col min="19" max="19" width="7.140625" style="19" bestFit="1" customWidth="1"/>
    <col min="20" max="20" width="15.5703125" style="19" hidden="1" customWidth="1"/>
    <col min="21" max="21" width="8.5703125" style="19" customWidth="1"/>
    <col min="22" max="23" width="9.140625" style="19"/>
    <col min="24" max="24" width="10.28515625" style="19" bestFit="1" customWidth="1"/>
    <col min="25" max="16384" width="9.140625" style="19"/>
  </cols>
  <sheetData>
    <row r="8" spans="2:19" ht="28.9">
      <c r="B8" s="364" t="s">
        <v>238</v>
      </c>
      <c r="C8" s="289"/>
      <c r="D8" s="289"/>
      <c r="E8" s="289"/>
      <c r="F8" s="289"/>
      <c r="G8" s="289"/>
      <c r="H8" s="289"/>
      <c r="I8" s="289"/>
      <c r="J8" s="289"/>
      <c r="K8" s="289"/>
      <c r="L8" s="289"/>
      <c r="M8" s="289"/>
      <c r="N8" s="289"/>
      <c r="O8" s="289"/>
      <c r="P8" s="289"/>
      <c r="Q8" s="289"/>
    </row>
    <row r="9" spans="2:19" ht="57.6">
      <c r="B9" s="102" t="s">
        <v>1</v>
      </c>
      <c r="C9" s="254" t="s">
        <v>2</v>
      </c>
      <c r="D9" s="254"/>
      <c r="E9" s="129" t="s">
        <v>3</v>
      </c>
      <c r="F9" s="3" t="s">
        <v>239</v>
      </c>
      <c r="G9" s="129" t="s">
        <v>240</v>
      </c>
      <c r="H9" s="129" t="s">
        <v>241</v>
      </c>
      <c r="I9" s="3" t="s">
        <v>242</v>
      </c>
      <c r="J9" s="3" t="s">
        <v>112</v>
      </c>
      <c r="K9" s="3" t="s">
        <v>243</v>
      </c>
      <c r="L9" s="3" t="s">
        <v>55</v>
      </c>
      <c r="M9" s="3" t="s">
        <v>10</v>
      </c>
      <c r="N9" s="3" t="s">
        <v>11</v>
      </c>
      <c r="O9" s="3" t="s">
        <v>12</v>
      </c>
      <c r="P9" s="129" t="s">
        <v>13</v>
      </c>
      <c r="Q9" s="129" t="s">
        <v>14</v>
      </c>
    </row>
    <row r="10" spans="2:19">
      <c r="B10" s="255" t="s">
        <v>31</v>
      </c>
      <c r="C10" s="255" t="s">
        <v>121</v>
      </c>
      <c r="D10" s="125" t="s">
        <v>18</v>
      </c>
      <c r="E10" s="160">
        <v>350</v>
      </c>
      <c r="F10" s="160">
        <v>160</v>
      </c>
      <c r="G10" s="100">
        <v>340</v>
      </c>
      <c r="H10" s="100">
        <v>97.87</v>
      </c>
      <c r="I10" s="100">
        <v>160</v>
      </c>
      <c r="J10" s="100">
        <v>50</v>
      </c>
      <c r="K10" s="226">
        <v>62.7</v>
      </c>
      <c r="L10" s="101">
        <f>SUM(E10:K10)</f>
        <v>1220.57</v>
      </c>
      <c r="M10" s="100">
        <v>200</v>
      </c>
      <c r="N10" s="101">
        <f>L10+M10</f>
        <v>1420.57</v>
      </c>
      <c r="O10" s="216" t="s">
        <v>244</v>
      </c>
      <c r="P10" s="223" t="s">
        <v>108</v>
      </c>
      <c r="Q10" s="99" t="s">
        <v>73</v>
      </c>
    </row>
    <row r="11" spans="2:19">
      <c r="B11" s="255"/>
      <c r="C11" s="255"/>
      <c r="D11" s="125" t="s">
        <v>24</v>
      </c>
      <c r="E11" s="160">
        <v>500</v>
      </c>
      <c r="F11" s="160">
        <v>320</v>
      </c>
      <c r="G11" s="100">
        <v>340</v>
      </c>
      <c r="H11" s="100">
        <v>97.87</v>
      </c>
      <c r="I11" s="100">
        <v>210</v>
      </c>
      <c r="J11" s="100">
        <v>50</v>
      </c>
      <c r="K11" s="226">
        <v>62.7</v>
      </c>
      <c r="L11" s="101">
        <f>SUM(E11:K11)</f>
        <v>1580.57</v>
      </c>
      <c r="M11" s="100">
        <v>200</v>
      </c>
      <c r="N11" s="101">
        <f>L11+M11</f>
        <v>1780.57</v>
      </c>
      <c r="O11" s="216" t="s">
        <v>244</v>
      </c>
      <c r="P11" s="223" t="s">
        <v>108</v>
      </c>
      <c r="Q11" s="99" t="s">
        <v>73</v>
      </c>
    </row>
    <row r="12" spans="2:19" ht="28.9">
      <c r="B12" s="364" t="s">
        <v>245</v>
      </c>
      <c r="C12" s="289"/>
      <c r="D12" s="289"/>
      <c r="E12" s="289"/>
      <c r="F12" s="289"/>
      <c r="G12" s="289"/>
      <c r="H12" s="289"/>
      <c r="I12" s="289"/>
      <c r="J12" s="289"/>
      <c r="K12" s="289"/>
      <c r="L12" s="289"/>
      <c r="M12" s="289"/>
      <c r="N12" s="289"/>
      <c r="O12" s="289"/>
      <c r="P12" s="289"/>
      <c r="Q12" s="289"/>
      <c r="R12" s="289"/>
    </row>
    <row r="13" spans="2:19" ht="57.6">
      <c r="B13" s="102" t="s">
        <v>1</v>
      </c>
      <c r="C13" s="254" t="s">
        <v>2</v>
      </c>
      <c r="D13" s="254"/>
      <c r="E13" s="129" t="s">
        <v>3</v>
      </c>
      <c r="F13" s="3" t="s">
        <v>239</v>
      </c>
      <c r="G13" s="129" t="s">
        <v>240</v>
      </c>
      <c r="H13" s="129" t="s">
        <v>241</v>
      </c>
      <c r="I13" s="3" t="s">
        <v>242</v>
      </c>
      <c r="J13" s="3" t="s">
        <v>112</v>
      </c>
      <c r="K13" s="3" t="s">
        <v>246</v>
      </c>
      <c r="L13" s="3" t="s">
        <v>247</v>
      </c>
      <c r="M13" s="3" t="s">
        <v>248</v>
      </c>
      <c r="N13" s="3" t="s">
        <v>55</v>
      </c>
      <c r="O13" s="3" t="s">
        <v>10</v>
      </c>
      <c r="P13" s="3" t="s">
        <v>11</v>
      </c>
      <c r="Q13" s="3" t="s">
        <v>12</v>
      </c>
      <c r="R13" s="129" t="s">
        <v>13</v>
      </c>
      <c r="S13" s="129" t="s">
        <v>14</v>
      </c>
    </row>
    <row r="14" spans="2:19">
      <c r="B14" s="255" t="s">
        <v>31</v>
      </c>
      <c r="C14" s="255" t="s">
        <v>190</v>
      </c>
      <c r="D14" s="125" t="s">
        <v>18</v>
      </c>
      <c r="E14" s="127">
        <v>350</v>
      </c>
      <c r="F14" s="160">
        <v>160</v>
      </c>
      <c r="G14" s="100">
        <v>340</v>
      </c>
      <c r="H14" s="100">
        <v>97.87</v>
      </c>
      <c r="I14" s="100">
        <v>150</v>
      </c>
      <c r="J14" s="100">
        <v>50</v>
      </c>
      <c r="K14" s="100">
        <v>165</v>
      </c>
      <c r="L14" s="100">
        <v>175</v>
      </c>
      <c r="M14" s="226">
        <v>66</v>
      </c>
      <c r="N14" s="101">
        <f>SUM(E14:M14)</f>
        <v>1553.87</v>
      </c>
      <c r="O14" s="100">
        <v>200</v>
      </c>
      <c r="P14" s="101">
        <f>N14+O14</f>
        <v>1753.87</v>
      </c>
      <c r="Q14" s="216" t="s">
        <v>244</v>
      </c>
      <c r="R14" s="223" t="s">
        <v>108</v>
      </c>
      <c r="S14" s="99" t="s">
        <v>73</v>
      </c>
    </row>
    <row r="15" spans="2:19">
      <c r="B15" s="255"/>
      <c r="C15" s="255"/>
      <c r="D15" s="125" t="s">
        <v>24</v>
      </c>
      <c r="E15" s="127">
        <v>500</v>
      </c>
      <c r="F15" s="160">
        <v>320</v>
      </c>
      <c r="G15" s="100">
        <v>340</v>
      </c>
      <c r="H15" s="100">
        <v>97.87</v>
      </c>
      <c r="I15" s="100">
        <v>200</v>
      </c>
      <c r="J15" s="100">
        <v>50</v>
      </c>
      <c r="K15" s="100">
        <v>165</v>
      </c>
      <c r="L15" s="100">
        <v>175</v>
      </c>
      <c r="M15" s="226">
        <v>66</v>
      </c>
      <c r="N15" s="101">
        <f>SUM(E15:M15)</f>
        <v>1913.87</v>
      </c>
      <c r="O15" s="100">
        <v>200</v>
      </c>
      <c r="P15" s="101">
        <f>N15+O15</f>
        <v>2113.87</v>
      </c>
      <c r="Q15" s="216" t="s">
        <v>244</v>
      </c>
      <c r="R15" s="223" t="s">
        <v>108</v>
      </c>
      <c r="S15" s="99" t="s">
        <v>73</v>
      </c>
    </row>
    <row r="16" spans="2:19" ht="28.9">
      <c r="B16" s="400" t="s">
        <v>249</v>
      </c>
      <c r="C16" s="401"/>
      <c r="D16" s="401"/>
      <c r="E16" s="401"/>
      <c r="F16" s="401"/>
      <c r="G16" s="401"/>
      <c r="H16" s="401"/>
      <c r="I16" s="401"/>
      <c r="J16" s="401"/>
      <c r="K16" s="401"/>
      <c r="L16" s="401"/>
      <c r="M16" s="401"/>
      <c r="N16" s="401"/>
      <c r="O16" s="401"/>
      <c r="P16" s="401"/>
      <c r="Q16" s="401"/>
    </row>
    <row r="17" spans="2:17" ht="28.9">
      <c r="B17" s="102" t="s">
        <v>1</v>
      </c>
      <c r="C17" s="254" t="s">
        <v>2</v>
      </c>
      <c r="D17" s="254"/>
      <c r="E17" s="129" t="s">
        <v>3</v>
      </c>
      <c r="F17" s="3" t="s">
        <v>239</v>
      </c>
      <c r="G17" s="129" t="s">
        <v>240</v>
      </c>
      <c r="H17" s="129" t="s">
        <v>241</v>
      </c>
      <c r="I17" s="3" t="s">
        <v>112</v>
      </c>
      <c r="J17" s="3" t="s">
        <v>55</v>
      </c>
      <c r="K17" s="3" t="s">
        <v>10</v>
      </c>
      <c r="L17" s="3" t="s">
        <v>11</v>
      </c>
      <c r="M17" s="3" t="s">
        <v>12</v>
      </c>
      <c r="N17" s="129" t="s">
        <v>13</v>
      </c>
      <c r="O17" s="129" t="s">
        <v>14</v>
      </c>
      <c r="P17" s="397" t="s">
        <v>147</v>
      </c>
      <c r="Q17" s="398"/>
    </row>
    <row r="18" spans="2:17">
      <c r="B18" s="255" t="s">
        <v>31</v>
      </c>
      <c r="C18" s="255" t="s">
        <v>250</v>
      </c>
      <c r="D18" s="125" t="s">
        <v>18</v>
      </c>
      <c r="E18" s="127">
        <v>1000</v>
      </c>
      <c r="F18" s="100">
        <v>130</v>
      </c>
      <c r="G18" s="100">
        <v>355</v>
      </c>
      <c r="H18" s="100">
        <v>76.5</v>
      </c>
      <c r="I18" s="100">
        <v>50</v>
      </c>
      <c r="J18" s="101">
        <f>SUM(E18:I18)</f>
        <v>1611.5</v>
      </c>
      <c r="K18" s="100">
        <v>200</v>
      </c>
      <c r="L18" s="101">
        <f>J18+K18</f>
        <v>1811.5</v>
      </c>
      <c r="M18" s="216" t="s">
        <v>244</v>
      </c>
      <c r="N18" s="223" t="s">
        <v>108</v>
      </c>
      <c r="O18" s="99" t="s">
        <v>47</v>
      </c>
      <c r="P18" s="223" t="s">
        <v>251</v>
      </c>
      <c r="Q18" s="55"/>
    </row>
    <row r="19" spans="2:17">
      <c r="B19" s="255"/>
      <c r="C19" s="255"/>
      <c r="D19" s="125" t="s">
        <v>24</v>
      </c>
      <c r="E19" s="127">
        <v>1850</v>
      </c>
      <c r="F19" s="100">
        <v>260</v>
      </c>
      <c r="G19" s="100">
        <v>355</v>
      </c>
      <c r="H19" s="100">
        <v>76.5</v>
      </c>
      <c r="I19" s="100">
        <v>50</v>
      </c>
      <c r="J19" s="101">
        <f>SUM(E19:I19)</f>
        <v>2591.5</v>
      </c>
      <c r="K19" s="100">
        <v>200</v>
      </c>
      <c r="L19" s="101">
        <f>J19+K19</f>
        <v>2791.5</v>
      </c>
      <c r="M19" s="216" t="s">
        <v>244</v>
      </c>
      <c r="N19" s="223" t="s">
        <v>108</v>
      </c>
      <c r="O19" s="99" t="s">
        <v>47</v>
      </c>
      <c r="P19" s="223" t="s">
        <v>251</v>
      </c>
      <c r="Q19" s="55"/>
    </row>
    <row r="20" spans="2:17" ht="28.9">
      <c r="B20" s="364" t="s">
        <v>252</v>
      </c>
      <c r="C20" s="289"/>
      <c r="D20" s="289"/>
      <c r="E20" s="289"/>
      <c r="F20" s="289"/>
      <c r="G20" s="289"/>
      <c r="H20" s="289"/>
      <c r="I20" s="289"/>
      <c r="J20" s="289"/>
      <c r="K20" s="289"/>
      <c r="L20" s="289"/>
      <c r="M20" s="289"/>
      <c r="N20" s="289"/>
      <c r="O20" s="289"/>
      <c r="P20" s="63"/>
    </row>
    <row r="21" spans="2:17" ht="28.9">
      <c r="B21" s="102" t="s">
        <v>1</v>
      </c>
      <c r="C21" s="254" t="s">
        <v>2</v>
      </c>
      <c r="D21" s="254"/>
      <c r="E21" s="129" t="s">
        <v>3</v>
      </c>
      <c r="F21" s="129" t="s">
        <v>240</v>
      </c>
      <c r="G21" s="129" t="s">
        <v>241</v>
      </c>
      <c r="H21" s="3" t="s">
        <v>112</v>
      </c>
      <c r="I21" s="3" t="s">
        <v>55</v>
      </c>
      <c r="J21" s="3" t="s">
        <v>10</v>
      </c>
      <c r="K21" s="3" t="s">
        <v>11</v>
      </c>
      <c r="L21" s="3" t="s">
        <v>12</v>
      </c>
      <c r="M21" s="129" t="s">
        <v>13</v>
      </c>
      <c r="N21" s="129" t="s">
        <v>14</v>
      </c>
      <c r="O21" s="129" t="s">
        <v>147</v>
      </c>
      <c r="P21" s="63"/>
    </row>
    <row r="22" spans="2:17">
      <c r="B22" s="255" t="s">
        <v>31</v>
      </c>
      <c r="C22" s="255" t="s">
        <v>253</v>
      </c>
      <c r="D22" s="125" t="s">
        <v>18</v>
      </c>
      <c r="E22" s="155">
        <f>CEILING((((939+40)*1.15)-289),75)</f>
        <v>900</v>
      </c>
      <c r="F22" s="100">
        <v>259</v>
      </c>
      <c r="G22" s="100">
        <v>84.38</v>
      </c>
      <c r="H22" s="100">
        <v>50</v>
      </c>
      <c r="I22" s="101">
        <f>SUM(E22:H22)</f>
        <v>1293.3800000000001</v>
      </c>
      <c r="J22" s="100">
        <v>200</v>
      </c>
      <c r="K22" s="101">
        <f>I22+J22</f>
        <v>1493.38</v>
      </c>
      <c r="L22" s="216" t="s">
        <v>193</v>
      </c>
      <c r="M22" s="223" t="s">
        <v>108</v>
      </c>
      <c r="N22" s="99" t="s">
        <v>65</v>
      </c>
      <c r="O22" s="223" t="s">
        <v>251</v>
      </c>
      <c r="P22" s="63"/>
    </row>
    <row r="23" spans="2:17">
      <c r="B23" s="255"/>
      <c r="C23" s="255"/>
      <c r="D23" s="125" t="s">
        <v>24</v>
      </c>
      <c r="E23" s="155">
        <f>CEILING((((939+40)*1.15)-289),50)</f>
        <v>850</v>
      </c>
      <c r="F23" s="100">
        <v>259</v>
      </c>
      <c r="G23" s="100">
        <v>84.38</v>
      </c>
      <c r="H23" s="100">
        <v>50</v>
      </c>
      <c r="I23" s="101">
        <f>SUM(E23:H23)</f>
        <v>1243.3800000000001</v>
      </c>
      <c r="J23" s="100">
        <v>200</v>
      </c>
      <c r="K23" s="101">
        <f>I23+J23</f>
        <v>1443.38</v>
      </c>
      <c r="L23" s="216" t="s">
        <v>193</v>
      </c>
      <c r="M23" s="223" t="s">
        <v>108</v>
      </c>
      <c r="N23" s="99" t="s">
        <v>65</v>
      </c>
      <c r="O23" s="223" t="s">
        <v>251</v>
      </c>
      <c r="P23" s="63"/>
    </row>
    <row r="24" spans="2:17" ht="28.9">
      <c r="B24" s="350" t="s">
        <v>252</v>
      </c>
      <c r="C24" s="399"/>
      <c r="D24" s="399"/>
      <c r="E24" s="399"/>
      <c r="F24" s="399"/>
      <c r="G24" s="399"/>
      <c r="H24" s="399"/>
      <c r="I24" s="399"/>
      <c r="J24" s="399"/>
      <c r="K24" s="399"/>
      <c r="L24" s="399"/>
      <c r="M24" s="399"/>
      <c r="N24" s="399"/>
      <c r="O24" s="399"/>
      <c r="P24" s="399"/>
      <c r="Q24" s="399"/>
    </row>
    <row r="25" spans="2:17" ht="28.9">
      <c r="B25" s="102" t="s">
        <v>1</v>
      </c>
      <c r="C25" s="254" t="s">
        <v>2</v>
      </c>
      <c r="D25" s="254"/>
      <c r="E25" s="129" t="s">
        <v>3</v>
      </c>
      <c r="F25" s="3" t="s">
        <v>239</v>
      </c>
      <c r="G25" s="129" t="s">
        <v>240</v>
      </c>
      <c r="H25" s="129" t="s">
        <v>241</v>
      </c>
      <c r="I25" s="3" t="s">
        <v>112</v>
      </c>
      <c r="J25" s="3" t="s">
        <v>55</v>
      </c>
      <c r="K25" s="3" t="s">
        <v>10</v>
      </c>
      <c r="L25" s="3" t="s">
        <v>11</v>
      </c>
      <c r="M25" s="3" t="s">
        <v>12</v>
      </c>
      <c r="N25" s="129" t="s">
        <v>13</v>
      </c>
      <c r="O25" s="129" t="s">
        <v>14</v>
      </c>
      <c r="P25" s="397" t="s">
        <v>147</v>
      </c>
      <c r="Q25" s="398"/>
    </row>
    <row r="26" spans="2:17">
      <c r="B26" s="255" t="s">
        <v>17</v>
      </c>
      <c r="C26" s="255" t="s">
        <v>253</v>
      </c>
      <c r="D26" s="125" t="s">
        <v>18</v>
      </c>
      <c r="E26" s="155">
        <f>CEILING((((604)*1.15)),75)</f>
        <v>750</v>
      </c>
      <c r="F26" s="100">
        <v>130</v>
      </c>
      <c r="G26" s="100">
        <v>355</v>
      </c>
      <c r="H26" s="100">
        <v>76.5</v>
      </c>
      <c r="I26" s="100">
        <v>50</v>
      </c>
      <c r="J26" s="101">
        <f>SUM(E26:I26)</f>
        <v>1361.5</v>
      </c>
      <c r="K26" s="100">
        <v>200</v>
      </c>
      <c r="L26" s="101">
        <f>J26+K26</f>
        <v>1561.5</v>
      </c>
      <c r="M26" s="216" t="s">
        <v>244</v>
      </c>
      <c r="N26" s="223" t="s">
        <v>108</v>
      </c>
      <c r="O26" s="99" t="s">
        <v>47</v>
      </c>
      <c r="P26" s="223" t="s">
        <v>251</v>
      </c>
      <c r="Q26" s="55"/>
    </row>
    <row r="27" spans="2:17">
      <c r="B27" s="255"/>
      <c r="C27" s="255"/>
      <c r="D27" s="125" t="s">
        <v>24</v>
      </c>
      <c r="E27" s="155">
        <f>CEILING((((999)*1.15)),75)</f>
        <v>1200</v>
      </c>
      <c r="F27" s="100">
        <v>260</v>
      </c>
      <c r="G27" s="100">
        <v>355</v>
      </c>
      <c r="H27" s="100">
        <v>76.5</v>
      </c>
      <c r="I27" s="100">
        <v>50</v>
      </c>
      <c r="J27" s="101">
        <f>SUM(E27:I27)</f>
        <v>1941.5</v>
      </c>
      <c r="K27" s="100">
        <v>200</v>
      </c>
      <c r="L27" s="101">
        <f>J27+K27</f>
        <v>2141.5</v>
      </c>
      <c r="M27" s="216" t="s">
        <v>244</v>
      </c>
      <c r="N27" s="223" t="s">
        <v>108</v>
      </c>
      <c r="O27" s="99" t="s">
        <v>47</v>
      </c>
      <c r="P27" s="223" t="s">
        <v>251</v>
      </c>
      <c r="Q27" s="55"/>
    </row>
    <row r="28" spans="2:17" ht="28.9">
      <c r="B28" s="364" t="s">
        <v>254</v>
      </c>
      <c r="C28" s="289"/>
      <c r="D28" s="289"/>
      <c r="E28" s="289"/>
      <c r="F28" s="289"/>
      <c r="G28" s="289"/>
      <c r="H28" s="289"/>
      <c r="I28" s="289"/>
      <c r="J28" s="289"/>
      <c r="K28" s="289"/>
      <c r="L28" s="289"/>
      <c r="M28" s="289"/>
      <c r="N28" s="289"/>
      <c r="O28" s="289"/>
      <c r="P28" s="63"/>
    </row>
    <row r="29" spans="2:17" ht="28.9">
      <c r="B29" s="102" t="s">
        <v>1</v>
      </c>
      <c r="C29" s="254" t="s">
        <v>2</v>
      </c>
      <c r="D29" s="254"/>
      <c r="E29" s="129" t="s">
        <v>3</v>
      </c>
      <c r="F29" s="129" t="s">
        <v>240</v>
      </c>
      <c r="G29" s="129" t="s">
        <v>241</v>
      </c>
      <c r="H29" s="3" t="s">
        <v>112</v>
      </c>
      <c r="I29" s="3" t="s">
        <v>55</v>
      </c>
      <c r="J29" s="3" t="s">
        <v>10</v>
      </c>
      <c r="K29" s="3" t="s">
        <v>11</v>
      </c>
      <c r="L29" s="3" t="s">
        <v>12</v>
      </c>
      <c r="M29" s="129" t="s">
        <v>13</v>
      </c>
      <c r="N29" s="129" t="s">
        <v>14</v>
      </c>
      <c r="O29" s="129" t="s">
        <v>147</v>
      </c>
      <c r="P29" s="63"/>
    </row>
    <row r="30" spans="2:17" ht="15" customHeight="1">
      <c r="B30" s="255" t="s">
        <v>17</v>
      </c>
      <c r="C30" s="255" t="s">
        <v>255</v>
      </c>
      <c r="D30" s="125" t="s">
        <v>18</v>
      </c>
      <c r="E30" s="155">
        <f>CEILING((((490+5+85+15)*1.15)),75)</f>
        <v>750</v>
      </c>
      <c r="F30" s="100">
        <v>259</v>
      </c>
      <c r="G30" s="100">
        <f>60*1.125</f>
        <v>67.5</v>
      </c>
      <c r="H30" s="100">
        <v>60</v>
      </c>
      <c r="I30" s="101">
        <f>SUM(E30:H30)</f>
        <v>1136.5</v>
      </c>
      <c r="J30" s="100">
        <v>200</v>
      </c>
      <c r="K30" s="101">
        <f>I30+J30</f>
        <v>1336.5</v>
      </c>
      <c r="L30" s="216" t="s">
        <v>27</v>
      </c>
      <c r="M30" s="223" t="s">
        <v>108</v>
      </c>
      <c r="N30" s="99" t="s">
        <v>202</v>
      </c>
      <c r="O30" s="223" t="s">
        <v>251</v>
      </c>
      <c r="P30" s="63"/>
    </row>
    <row r="31" spans="2:17">
      <c r="B31" s="255"/>
      <c r="C31" s="255"/>
      <c r="D31" s="125" t="s">
        <v>24</v>
      </c>
      <c r="E31" s="155">
        <f>CEILING((((500+5+175+15)*1.15)),75)</f>
        <v>825</v>
      </c>
      <c r="F31" s="100">
        <v>259</v>
      </c>
      <c r="G31" s="100">
        <f>60*1.125</f>
        <v>67.5</v>
      </c>
      <c r="H31" s="100">
        <v>60</v>
      </c>
      <c r="I31" s="101">
        <f>SUM(E31:H31)</f>
        <v>1211.5</v>
      </c>
      <c r="J31" s="100">
        <v>200</v>
      </c>
      <c r="K31" s="101">
        <f>I31+J31</f>
        <v>1411.5</v>
      </c>
      <c r="L31" s="216" t="s">
        <v>27</v>
      </c>
      <c r="M31" s="223" t="s">
        <v>108</v>
      </c>
      <c r="N31" s="99" t="s">
        <v>202</v>
      </c>
      <c r="O31" s="223" t="s">
        <v>251</v>
      </c>
      <c r="P31" s="63"/>
    </row>
    <row r="33" spans="2:17" ht="15.6">
      <c r="B33" s="5" t="s">
        <v>34</v>
      </c>
      <c r="C33" s="6"/>
      <c r="D33" s="6"/>
      <c r="E33" s="6"/>
      <c r="F33" s="6"/>
      <c r="G33" s="6"/>
      <c r="H33" s="6"/>
      <c r="I33" s="6"/>
      <c r="J33" s="6"/>
      <c r="K33" s="6"/>
      <c r="L33" s="6"/>
      <c r="M33" s="6"/>
      <c r="N33" s="6"/>
      <c r="O33" s="6"/>
      <c r="P33" s="6"/>
      <c r="Q33" s="7"/>
    </row>
    <row r="34" spans="2:17">
      <c r="B34" s="256" t="s">
        <v>35</v>
      </c>
      <c r="C34" s="257"/>
      <c r="D34" s="257"/>
      <c r="E34" s="257"/>
      <c r="F34" s="257"/>
      <c r="G34" s="257"/>
      <c r="H34" s="257"/>
      <c r="I34" s="257"/>
      <c r="J34" s="257"/>
      <c r="K34" s="257"/>
      <c r="L34" s="257"/>
      <c r="M34" s="257"/>
      <c r="N34" s="257"/>
      <c r="O34" s="257"/>
      <c r="P34" s="257"/>
      <c r="Q34" s="258"/>
    </row>
    <row r="35" spans="2:17">
      <c r="B35" s="256"/>
      <c r="C35" s="257"/>
      <c r="D35" s="257"/>
      <c r="E35" s="257"/>
      <c r="F35" s="257"/>
      <c r="G35" s="257"/>
      <c r="H35" s="257"/>
      <c r="I35" s="257"/>
      <c r="J35" s="257"/>
      <c r="K35" s="257"/>
      <c r="L35" s="257"/>
      <c r="M35" s="257"/>
      <c r="N35" s="257"/>
      <c r="O35" s="257"/>
      <c r="P35" s="257"/>
      <c r="Q35" s="258"/>
    </row>
    <row r="36" spans="2:17">
      <c r="B36" s="256"/>
      <c r="C36" s="257"/>
      <c r="D36" s="257"/>
      <c r="E36" s="257"/>
      <c r="F36" s="257"/>
      <c r="G36" s="257"/>
      <c r="H36" s="257"/>
      <c r="I36" s="257"/>
      <c r="J36" s="257"/>
      <c r="K36" s="257"/>
      <c r="L36" s="257"/>
      <c r="M36" s="257"/>
      <c r="N36" s="257"/>
      <c r="O36" s="257"/>
      <c r="P36" s="257"/>
      <c r="Q36" s="258"/>
    </row>
    <row r="37" spans="2:17">
      <c r="B37" s="259"/>
      <c r="C37" s="260"/>
      <c r="D37" s="260"/>
      <c r="E37" s="260"/>
      <c r="F37" s="260"/>
      <c r="G37" s="260"/>
      <c r="H37" s="260"/>
      <c r="I37" s="260"/>
      <c r="J37" s="260"/>
      <c r="K37" s="260"/>
      <c r="L37" s="260"/>
      <c r="M37" s="260"/>
      <c r="N37" s="260"/>
      <c r="O37" s="260"/>
      <c r="P37" s="260"/>
      <c r="Q37" s="261"/>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row r="41" spans="2:17">
      <c r="B41" s="36"/>
      <c r="C41" s="36"/>
      <c r="D41" s="36"/>
      <c r="E41" s="36"/>
      <c r="F41" s="36"/>
      <c r="G41" s="36"/>
      <c r="H41" s="36"/>
      <c r="I41" s="36"/>
      <c r="J41" s="36"/>
      <c r="K41" s="36"/>
      <c r="L41" s="36"/>
      <c r="M41" s="36"/>
      <c r="N41" s="36"/>
      <c r="O41" s="36"/>
      <c r="P41" s="36"/>
      <c r="Q41" s="36"/>
    </row>
    <row r="42" spans="2:17">
      <c r="B42" s="36"/>
      <c r="C42" s="36"/>
      <c r="D42" s="36"/>
      <c r="E42" s="36"/>
      <c r="F42" s="36"/>
      <c r="G42" s="36"/>
      <c r="H42" s="36"/>
      <c r="I42" s="36"/>
      <c r="J42" s="36"/>
      <c r="K42" s="36"/>
      <c r="L42" s="36"/>
      <c r="M42" s="36"/>
      <c r="N42" s="36"/>
      <c r="O42" s="36"/>
      <c r="P42" s="36"/>
      <c r="Q42" s="36"/>
    </row>
    <row r="43" spans="2:17">
      <c r="B43" s="36"/>
      <c r="C43" s="36"/>
      <c r="D43" s="36"/>
      <c r="E43" s="36"/>
      <c r="F43" s="36"/>
      <c r="G43" s="36"/>
      <c r="H43" s="36"/>
      <c r="I43" s="36"/>
      <c r="J43" s="36"/>
      <c r="K43" s="36"/>
      <c r="L43" s="36"/>
      <c r="M43" s="36"/>
      <c r="N43" s="36"/>
      <c r="O43" s="36"/>
      <c r="P43" s="36"/>
      <c r="Q43" s="36"/>
    </row>
    <row r="44" spans="2:17">
      <c r="B44" s="36"/>
      <c r="C44" s="36"/>
      <c r="D44" s="36"/>
      <c r="E44" s="36"/>
      <c r="F44" s="36"/>
      <c r="G44" s="36"/>
      <c r="H44" s="36"/>
      <c r="I44" s="36"/>
      <c r="J44" s="36"/>
      <c r="K44" s="36"/>
      <c r="L44" s="36"/>
      <c r="M44" s="36"/>
      <c r="N44" s="36"/>
      <c r="O44" s="36"/>
      <c r="P44" s="36"/>
      <c r="Q44" s="36"/>
    </row>
  </sheetData>
  <sheetProtection algorithmName="SHA-512" hashValue="UOwLw54JCh8e//hx9+5Q06eFoNGr+pTHcbwOGuS/CB+RH0TVegUHOVhQa/0oCYhVPTjGENpLeX2xRPD3YtH3/Q==" saltValue="QUgy+l65AP0shFTUHZa2Eg==" spinCount="100000" sheet="1" objects="1" scenarios="1"/>
  <mergeCells count="27">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 ref="B34:Q37"/>
    <mergeCell ref="C21:D21"/>
    <mergeCell ref="B26:B27"/>
    <mergeCell ref="C26:C27"/>
    <mergeCell ref="B28:O28"/>
    <mergeCell ref="C29:D29"/>
    <mergeCell ref="B30:B31"/>
    <mergeCell ref="C30:C31"/>
    <mergeCell ref="B22:B23"/>
    <mergeCell ref="C22:C23"/>
    <mergeCell ref="C25:D25"/>
    <mergeCell ref="P25:Q25"/>
    <mergeCell ref="B24:Q24"/>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6"/>
      <c r="C1" s="36"/>
      <c r="D1" s="36"/>
      <c r="E1" s="36"/>
      <c r="F1" s="36"/>
      <c r="G1" s="36"/>
      <c r="H1" s="36"/>
      <c r="I1" s="36"/>
      <c r="J1" s="36"/>
      <c r="K1" s="36"/>
      <c r="L1" s="36"/>
      <c r="M1" s="36"/>
      <c r="N1" s="36"/>
      <c r="O1" s="36"/>
    </row>
    <row r="2" spans="2:16">
      <c r="B2" s="36"/>
      <c r="C2" s="36"/>
      <c r="D2" s="36"/>
      <c r="E2" s="36"/>
      <c r="F2" s="36"/>
      <c r="G2" s="36"/>
      <c r="H2" s="36"/>
      <c r="I2" s="36"/>
      <c r="J2" s="36"/>
      <c r="K2" s="36"/>
      <c r="L2" s="36"/>
      <c r="M2" s="36"/>
      <c r="N2" s="36"/>
      <c r="O2" s="36"/>
    </row>
    <row r="3" spans="2:16">
      <c r="B3" s="36"/>
      <c r="C3" s="36"/>
      <c r="D3" s="36"/>
      <c r="E3" s="36"/>
      <c r="F3" s="36"/>
      <c r="G3" s="36"/>
      <c r="H3" s="36"/>
      <c r="I3" s="36"/>
      <c r="J3" s="36"/>
      <c r="K3" s="36"/>
      <c r="L3" s="36"/>
      <c r="M3" s="36"/>
      <c r="N3" s="36"/>
      <c r="O3" s="36"/>
    </row>
    <row r="4" spans="2:16">
      <c r="B4" s="36"/>
      <c r="C4" s="36"/>
      <c r="D4" s="36"/>
      <c r="E4" s="36"/>
      <c r="F4" s="36"/>
      <c r="G4" s="36"/>
      <c r="H4" s="36"/>
      <c r="I4" s="36"/>
      <c r="J4" s="36"/>
      <c r="K4" s="36"/>
      <c r="L4" s="36"/>
      <c r="M4" s="36"/>
      <c r="N4" s="36"/>
      <c r="O4" s="36"/>
    </row>
    <row r="5" spans="2:16">
      <c r="B5" s="36"/>
      <c r="C5" s="36"/>
      <c r="D5" s="36"/>
      <c r="E5" s="36"/>
      <c r="F5" s="36"/>
      <c r="G5" s="36"/>
      <c r="H5" s="36"/>
      <c r="I5" s="36"/>
      <c r="J5" s="36"/>
      <c r="K5" s="36"/>
      <c r="L5" s="36"/>
      <c r="M5" s="36"/>
      <c r="N5" s="36"/>
      <c r="O5" s="36"/>
    </row>
    <row r="6" spans="2:16">
      <c r="B6" s="36"/>
      <c r="C6" s="36"/>
      <c r="D6" s="36"/>
      <c r="E6" s="36"/>
      <c r="F6" s="36"/>
      <c r="G6" s="36"/>
      <c r="H6" s="36"/>
      <c r="I6" s="36"/>
      <c r="J6" s="36"/>
      <c r="K6" s="36"/>
      <c r="L6" s="36"/>
      <c r="M6" s="36"/>
      <c r="N6" s="36"/>
      <c r="O6" s="36"/>
    </row>
    <row r="7" spans="2:16">
      <c r="B7" s="36"/>
      <c r="C7" s="36"/>
      <c r="D7" s="36"/>
      <c r="E7" s="36"/>
      <c r="F7" s="36"/>
      <c r="G7" s="36"/>
      <c r="H7" s="36"/>
      <c r="I7" s="36"/>
      <c r="J7" s="36"/>
      <c r="K7" s="36"/>
      <c r="L7" s="36"/>
      <c r="M7" s="36"/>
      <c r="N7" s="36"/>
      <c r="O7" s="36"/>
    </row>
    <row r="8" spans="2:16" ht="15" thickBot="1">
      <c r="B8" s="28"/>
      <c r="C8" s="28"/>
      <c r="D8" s="29"/>
      <c r="E8" s="30"/>
      <c r="F8" s="31"/>
      <c r="G8" s="31"/>
      <c r="H8" s="31"/>
      <c r="I8" s="31"/>
      <c r="J8" s="32"/>
      <c r="K8" s="33"/>
      <c r="L8" s="32"/>
      <c r="M8" s="34"/>
      <c r="N8" s="35"/>
      <c r="O8" s="29"/>
      <c r="P8" s="29"/>
    </row>
    <row r="9" spans="2:16" ht="28.9">
      <c r="B9" s="78" t="s">
        <v>256</v>
      </c>
      <c r="C9" s="79"/>
      <c r="D9" s="79"/>
      <c r="E9" s="79"/>
      <c r="F9" s="79"/>
      <c r="G9" s="79"/>
      <c r="H9" s="79"/>
      <c r="I9" s="79"/>
      <c r="J9" s="79"/>
      <c r="K9" s="79"/>
      <c r="L9" s="79"/>
      <c r="M9" s="79"/>
      <c r="N9" s="79"/>
      <c r="O9" s="79"/>
      <c r="P9" s="80"/>
    </row>
    <row r="10" spans="2:16" ht="28.9">
      <c r="B10" s="81" t="s">
        <v>1</v>
      </c>
      <c r="C10" s="402" t="s">
        <v>2</v>
      </c>
      <c r="D10" s="402"/>
      <c r="E10" s="15" t="s">
        <v>3</v>
      </c>
      <c r="F10" s="15" t="s">
        <v>4</v>
      </c>
      <c r="G10" s="15" t="s">
        <v>5</v>
      </c>
      <c r="H10" s="15" t="s">
        <v>6</v>
      </c>
      <c r="I10" s="16" t="s">
        <v>52</v>
      </c>
      <c r="J10" s="16" t="s">
        <v>55</v>
      </c>
      <c r="K10" s="16" t="s">
        <v>10</v>
      </c>
      <c r="L10" s="16" t="s">
        <v>11</v>
      </c>
      <c r="M10" s="16" t="s">
        <v>12</v>
      </c>
      <c r="N10" s="15" t="s">
        <v>13</v>
      </c>
      <c r="O10" s="15" t="s">
        <v>14</v>
      </c>
      <c r="P10" s="82" t="s">
        <v>38</v>
      </c>
    </row>
    <row r="11" spans="2:16" ht="28.9">
      <c r="B11" s="403" t="s">
        <v>257</v>
      </c>
      <c r="C11" s="406" t="s">
        <v>31</v>
      </c>
      <c r="D11" s="47" t="s">
        <v>18</v>
      </c>
      <c r="E11" s="48">
        <v>11500</v>
      </c>
      <c r="F11" s="49">
        <v>335</v>
      </c>
      <c r="G11" s="49">
        <v>76.5</v>
      </c>
      <c r="H11" s="49">
        <v>14</v>
      </c>
      <c r="I11" s="49">
        <v>10</v>
      </c>
      <c r="J11" s="50">
        <f t="shared" ref="J11:J16" si="0">SUM(E11:I11)</f>
        <v>11935.5</v>
      </c>
      <c r="K11" s="24">
        <v>200</v>
      </c>
      <c r="L11" s="50">
        <f t="shared" ref="L11:L27" si="1">SUM(J11:K11)</f>
        <v>12135.5</v>
      </c>
      <c r="M11" s="51" t="s">
        <v>114</v>
      </c>
      <c r="N11" s="52">
        <v>45504</v>
      </c>
      <c r="O11" s="51" t="s">
        <v>229</v>
      </c>
      <c r="P11" s="83" t="s">
        <v>258</v>
      </c>
    </row>
    <row r="12" spans="2:16" ht="28.9">
      <c r="B12" s="404"/>
      <c r="C12" s="406"/>
      <c r="D12" s="47" t="s">
        <v>24</v>
      </c>
      <c r="E12" s="48">
        <v>12000</v>
      </c>
      <c r="F12" s="49">
        <v>335</v>
      </c>
      <c r="G12" s="49">
        <v>76.5</v>
      </c>
      <c r="H12" s="49">
        <v>14</v>
      </c>
      <c r="I12" s="49">
        <v>10</v>
      </c>
      <c r="J12" s="50">
        <f t="shared" si="0"/>
        <v>12435.5</v>
      </c>
      <c r="K12" s="24">
        <v>200</v>
      </c>
      <c r="L12" s="50">
        <f t="shared" si="1"/>
        <v>12635.5</v>
      </c>
      <c r="M12" s="51" t="s">
        <v>114</v>
      </c>
      <c r="N12" s="52">
        <v>45504</v>
      </c>
      <c r="O12" s="51" t="s">
        <v>229</v>
      </c>
      <c r="P12" s="83" t="s">
        <v>258</v>
      </c>
    </row>
    <row r="13" spans="2:16" ht="28.9">
      <c r="B13" s="404"/>
      <c r="C13" s="406" t="s">
        <v>17</v>
      </c>
      <c r="D13" s="47" t="s">
        <v>18</v>
      </c>
      <c r="E13" s="48">
        <v>11500</v>
      </c>
      <c r="F13" s="49">
        <v>335</v>
      </c>
      <c r="G13" s="49">
        <v>76.5</v>
      </c>
      <c r="H13" s="49">
        <v>14</v>
      </c>
      <c r="I13" s="49">
        <v>10</v>
      </c>
      <c r="J13" s="50">
        <f t="shared" si="0"/>
        <v>11935.5</v>
      </c>
      <c r="K13" s="24">
        <v>200</v>
      </c>
      <c r="L13" s="50">
        <f t="shared" si="1"/>
        <v>12135.5</v>
      </c>
      <c r="M13" s="51" t="s">
        <v>114</v>
      </c>
      <c r="N13" s="52">
        <v>45504</v>
      </c>
      <c r="O13" s="51" t="s">
        <v>229</v>
      </c>
      <c r="P13" s="83" t="s">
        <v>258</v>
      </c>
    </row>
    <row r="14" spans="2:16" ht="28.9">
      <c r="B14" s="404"/>
      <c r="C14" s="406"/>
      <c r="D14" s="47" t="s">
        <v>24</v>
      </c>
      <c r="E14" s="48">
        <v>12000</v>
      </c>
      <c r="F14" s="49">
        <v>335</v>
      </c>
      <c r="G14" s="49">
        <v>76.5</v>
      </c>
      <c r="H14" s="49">
        <v>14</v>
      </c>
      <c r="I14" s="49">
        <v>10</v>
      </c>
      <c r="J14" s="50">
        <f t="shared" si="0"/>
        <v>12435.5</v>
      </c>
      <c r="K14" s="24">
        <v>200</v>
      </c>
      <c r="L14" s="50">
        <f t="shared" si="1"/>
        <v>12635.5</v>
      </c>
      <c r="M14" s="51" t="s">
        <v>114</v>
      </c>
      <c r="N14" s="52">
        <v>45504</v>
      </c>
      <c r="O14" s="51" t="s">
        <v>229</v>
      </c>
      <c r="P14" s="83" t="s">
        <v>258</v>
      </c>
    </row>
    <row r="15" spans="2:16" ht="28.9">
      <c r="B15" s="404"/>
      <c r="C15" s="406" t="s">
        <v>31</v>
      </c>
      <c r="D15" s="47" t="s">
        <v>18</v>
      </c>
      <c r="E15" s="48">
        <v>11550</v>
      </c>
      <c r="F15" s="49">
        <v>300</v>
      </c>
      <c r="G15" s="49">
        <v>97.88</v>
      </c>
      <c r="H15" s="49" t="s">
        <v>58</v>
      </c>
      <c r="I15" s="53">
        <v>55</v>
      </c>
      <c r="J15" s="50">
        <f t="shared" si="0"/>
        <v>12002.88</v>
      </c>
      <c r="K15" s="24">
        <v>200</v>
      </c>
      <c r="L15" s="50">
        <f t="shared" si="1"/>
        <v>12202.88</v>
      </c>
      <c r="M15" s="51" t="s">
        <v>114</v>
      </c>
      <c r="N15" s="52">
        <v>45487</v>
      </c>
      <c r="O15" s="51" t="s">
        <v>73</v>
      </c>
      <c r="P15" s="84" t="s">
        <v>259</v>
      </c>
    </row>
    <row r="16" spans="2:16" ht="28.9">
      <c r="B16" s="404"/>
      <c r="C16" s="406"/>
      <c r="D16" s="47" t="s">
        <v>24</v>
      </c>
      <c r="E16" s="48">
        <v>11750</v>
      </c>
      <c r="F16" s="49">
        <v>300</v>
      </c>
      <c r="G16" s="49">
        <v>97.88</v>
      </c>
      <c r="H16" s="49" t="s">
        <v>58</v>
      </c>
      <c r="I16" s="53">
        <v>55</v>
      </c>
      <c r="J16" s="50">
        <f t="shared" si="0"/>
        <v>12202.88</v>
      </c>
      <c r="K16" s="24">
        <v>200</v>
      </c>
      <c r="L16" s="50">
        <f>SUM(J16:K16)</f>
        <v>12402.88</v>
      </c>
      <c r="M16" s="51" t="s">
        <v>114</v>
      </c>
      <c r="N16" s="52">
        <v>45487</v>
      </c>
      <c r="O16" s="51" t="s">
        <v>73</v>
      </c>
      <c r="P16" s="84" t="s">
        <v>259</v>
      </c>
    </row>
    <row r="17" spans="2:16" ht="28.9">
      <c r="B17" s="404"/>
      <c r="C17" s="406" t="s">
        <v>31</v>
      </c>
      <c r="D17" s="47" t="s">
        <v>18</v>
      </c>
      <c r="E17" s="48">
        <v>10900</v>
      </c>
      <c r="F17" s="49">
        <v>259</v>
      </c>
      <c r="G17" s="49">
        <v>61.88</v>
      </c>
      <c r="H17" s="49" t="s">
        <v>58</v>
      </c>
      <c r="I17" s="49" t="s">
        <v>58</v>
      </c>
      <c r="J17" s="50">
        <f>SUM(F17:I17)</f>
        <v>320.88</v>
      </c>
      <c r="K17" s="24">
        <v>200</v>
      </c>
      <c r="L17" s="50">
        <f t="shared" ref="L17:L18" si="2">SUM(J17:K17)</f>
        <v>520.88</v>
      </c>
      <c r="M17" s="51" t="s">
        <v>114</v>
      </c>
      <c r="N17" s="52">
        <v>45487</v>
      </c>
      <c r="O17" s="51" t="s">
        <v>65</v>
      </c>
      <c r="P17" s="83" t="s">
        <v>260</v>
      </c>
    </row>
    <row r="18" spans="2:16" ht="28.9">
      <c r="B18" s="404"/>
      <c r="C18" s="406"/>
      <c r="D18" s="47" t="s">
        <v>24</v>
      </c>
      <c r="E18" s="48">
        <v>11900</v>
      </c>
      <c r="F18" s="49">
        <v>259</v>
      </c>
      <c r="G18" s="49">
        <v>61.88</v>
      </c>
      <c r="H18" s="49" t="s">
        <v>58</v>
      </c>
      <c r="I18" s="49" t="s">
        <v>58</v>
      </c>
      <c r="J18" s="50">
        <f>SUM(F18:I18)</f>
        <v>320.88</v>
      </c>
      <c r="K18" s="24">
        <v>200</v>
      </c>
      <c r="L18" s="50">
        <f t="shared" si="2"/>
        <v>520.88</v>
      </c>
      <c r="M18" s="51" t="s">
        <v>114</v>
      </c>
      <c r="N18" s="52">
        <v>45487</v>
      </c>
      <c r="O18" s="51" t="s">
        <v>65</v>
      </c>
      <c r="P18" s="83" t="s">
        <v>260</v>
      </c>
    </row>
    <row r="19" spans="2:16" ht="43.15">
      <c r="B19" s="404"/>
      <c r="C19" s="406" t="s">
        <v>31</v>
      </c>
      <c r="D19" s="47" t="s">
        <v>18</v>
      </c>
      <c r="E19" s="48">
        <v>10900</v>
      </c>
      <c r="F19" s="49">
        <v>270</v>
      </c>
      <c r="G19" s="49">
        <v>70</v>
      </c>
      <c r="H19" s="53">
        <v>18</v>
      </c>
      <c r="I19" s="49" t="s">
        <v>58</v>
      </c>
      <c r="J19" s="50">
        <f>SUM(E19:I19)</f>
        <v>11258</v>
      </c>
      <c r="K19" s="24">
        <v>200</v>
      </c>
      <c r="L19" s="50">
        <f t="shared" si="1"/>
        <v>11458</v>
      </c>
      <c r="M19" s="51" t="s">
        <v>114</v>
      </c>
      <c r="N19" s="52">
        <v>45487</v>
      </c>
      <c r="O19" s="51" t="s">
        <v>42</v>
      </c>
      <c r="P19" s="83" t="s">
        <v>261</v>
      </c>
    </row>
    <row r="20" spans="2:16" ht="43.15">
      <c r="B20" s="405"/>
      <c r="C20" s="406"/>
      <c r="D20" s="47" t="s">
        <v>24</v>
      </c>
      <c r="E20" s="48">
        <v>12350</v>
      </c>
      <c r="F20" s="49">
        <v>270</v>
      </c>
      <c r="G20" s="49">
        <v>70</v>
      </c>
      <c r="H20" s="53">
        <v>18</v>
      </c>
      <c r="I20" s="49" t="s">
        <v>58</v>
      </c>
      <c r="J20" s="50">
        <f>SUM(E20:I20)</f>
        <v>12708</v>
      </c>
      <c r="K20" s="24">
        <v>200</v>
      </c>
      <c r="L20" s="50">
        <f t="shared" si="1"/>
        <v>12908</v>
      </c>
      <c r="M20" s="51" t="s">
        <v>114</v>
      </c>
      <c r="N20" s="52">
        <v>45487</v>
      </c>
      <c r="O20" s="51" t="s">
        <v>42</v>
      </c>
      <c r="P20" s="83" t="s">
        <v>261</v>
      </c>
    </row>
    <row r="21" spans="2:16" ht="28.9">
      <c r="B21" s="403" t="s">
        <v>262</v>
      </c>
      <c r="C21" s="406" t="s">
        <v>31</v>
      </c>
      <c r="D21" s="47" t="s">
        <v>18</v>
      </c>
      <c r="E21" s="48">
        <v>11650</v>
      </c>
      <c r="F21" s="49">
        <v>335</v>
      </c>
      <c r="G21" s="49">
        <v>76.5</v>
      </c>
      <c r="H21" s="49">
        <v>14</v>
      </c>
      <c r="I21" s="49">
        <v>10</v>
      </c>
      <c r="J21" s="50">
        <f>SUM(E21:I21)</f>
        <v>12085.5</v>
      </c>
      <c r="K21" s="24">
        <v>200</v>
      </c>
      <c r="L21" s="50">
        <f t="shared" si="1"/>
        <v>12285.5</v>
      </c>
      <c r="M21" s="51" t="s">
        <v>114</v>
      </c>
      <c r="N21" s="52">
        <v>45504</v>
      </c>
      <c r="O21" s="51" t="s">
        <v>229</v>
      </c>
      <c r="P21" s="83" t="s">
        <v>258</v>
      </c>
    </row>
    <row r="22" spans="2:16" ht="28.9">
      <c r="B22" s="405"/>
      <c r="C22" s="406"/>
      <c r="D22" s="47" t="s">
        <v>24</v>
      </c>
      <c r="E22" s="48">
        <v>12300</v>
      </c>
      <c r="F22" s="49">
        <v>335</v>
      </c>
      <c r="G22" s="49">
        <v>76.5</v>
      </c>
      <c r="H22" s="49">
        <v>14</v>
      </c>
      <c r="I22" s="49">
        <v>10</v>
      </c>
      <c r="J22" s="50">
        <f>SUM(E22:I22)</f>
        <v>12735.5</v>
      </c>
      <c r="K22" s="24">
        <v>200</v>
      </c>
      <c r="L22" s="50">
        <f t="shared" si="1"/>
        <v>12935.5</v>
      </c>
      <c r="M22" s="51" t="s">
        <v>114</v>
      </c>
      <c r="N22" s="52">
        <v>45504</v>
      </c>
      <c r="O22" s="51" t="s">
        <v>229</v>
      </c>
      <c r="P22" s="83" t="s">
        <v>258</v>
      </c>
    </row>
    <row r="23" spans="2:16" ht="28.9">
      <c r="B23" s="403" t="s">
        <v>263</v>
      </c>
      <c r="C23" s="406" t="s">
        <v>31</v>
      </c>
      <c r="D23" s="47" t="s">
        <v>18</v>
      </c>
      <c r="E23" s="48">
        <v>11800</v>
      </c>
      <c r="F23" s="49">
        <v>270</v>
      </c>
      <c r="G23" s="49">
        <v>70</v>
      </c>
      <c r="H23" s="49" t="s">
        <v>58</v>
      </c>
      <c r="I23" s="49" t="s">
        <v>58</v>
      </c>
      <c r="J23" s="50">
        <f t="shared" ref="J23:J25" si="3">SUM(E23:I23)</f>
        <v>12140</v>
      </c>
      <c r="K23" s="24">
        <v>200</v>
      </c>
      <c r="L23" s="50">
        <f t="shared" si="1"/>
        <v>12340</v>
      </c>
      <c r="M23" s="51" t="s">
        <v>114</v>
      </c>
      <c r="N23" s="52">
        <v>45504</v>
      </c>
      <c r="O23" s="51" t="s">
        <v>42</v>
      </c>
      <c r="P23" s="83" t="s">
        <v>264</v>
      </c>
    </row>
    <row r="24" spans="2:16" ht="28.9">
      <c r="B24" s="405"/>
      <c r="C24" s="406"/>
      <c r="D24" s="47" t="s">
        <v>24</v>
      </c>
      <c r="E24" s="48">
        <v>13500</v>
      </c>
      <c r="F24" s="49">
        <v>270</v>
      </c>
      <c r="G24" s="49">
        <v>70</v>
      </c>
      <c r="H24" s="49" t="s">
        <v>58</v>
      </c>
      <c r="I24" s="49" t="s">
        <v>58</v>
      </c>
      <c r="J24" s="50">
        <f t="shared" si="3"/>
        <v>13840</v>
      </c>
      <c r="K24" s="24">
        <v>200</v>
      </c>
      <c r="L24" s="50">
        <f t="shared" si="1"/>
        <v>14040</v>
      </c>
      <c r="M24" s="77" t="s">
        <v>114</v>
      </c>
      <c r="N24" s="52">
        <v>45504</v>
      </c>
      <c r="O24" s="51" t="s">
        <v>42</v>
      </c>
      <c r="P24" s="83" t="s">
        <v>264</v>
      </c>
    </row>
    <row r="25" spans="2:16" ht="28.9" hidden="1">
      <c r="B25" s="264" t="s">
        <v>265</v>
      </c>
      <c r="C25" s="255" t="s">
        <v>31</v>
      </c>
      <c r="D25" s="41" t="s">
        <v>18</v>
      </c>
      <c r="E25" s="86">
        <v>5300</v>
      </c>
      <c r="F25" s="58">
        <v>259</v>
      </c>
      <c r="G25" s="58">
        <v>60</v>
      </c>
      <c r="H25" s="58" t="s">
        <v>58</v>
      </c>
      <c r="I25" s="58" t="s">
        <v>58</v>
      </c>
      <c r="J25" s="60">
        <f t="shared" si="3"/>
        <v>5619</v>
      </c>
      <c r="K25" s="24">
        <v>200</v>
      </c>
      <c r="L25" s="60">
        <f t="shared" si="1"/>
        <v>5819</v>
      </c>
      <c r="M25" s="61" t="s">
        <v>266</v>
      </c>
      <c r="N25" s="62">
        <v>45493</v>
      </c>
      <c r="O25" s="55" t="s">
        <v>267</v>
      </c>
      <c r="P25" s="87" t="s">
        <v>268</v>
      </c>
    </row>
    <row r="26" spans="2:16" ht="28.9" hidden="1">
      <c r="B26" s="264"/>
      <c r="C26" s="255"/>
      <c r="D26" s="41" t="s">
        <v>24</v>
      </c>
      <c r="E26" s="86">
        <v>7500</v>
      </c>
      <c r="F26" s="58">
        <v>259</v>
      </c>
      <c r="G26" s="58">
        <v>60</v>
      </c>
      <c r="H26" s="58" t="s">
        <v>58</v>
      </c>
      <c r="I26" s="58" t="s">
        <v>58</v>
      </c>
      <c r="J26" s="60">
        <f>SUM(E26:I26)</f>
        <v>7819</v>
      </c>
      <c r="K26" s="24">
        <v>200</v>
      </c>
      <c r="L26" s="60">
        <f t="shared" si="1"/>
        <v>8019</v>
      </c>
      <c r="M26" s="61" t="s">
        <v>266</v>
      </c>
      <c r="N26" s="62">
        <v>45493</v>
      </c>
      <c r="O26" s="55" t="s">
        <v>267</v>
      </c>
      <c r="P26" s="87" t="s">
        <v>268</v>
      </c>
    </row>
    <row r="27" spans="2:16" ht="15" thickBot="1">
      <c r="B27" s="394"/>
      <c r="C27" s="415"/>
      <c r="D27" s="88" t="s">
        <v>18</v>
      </c>
      <c r="E27" s="89">
        <v>14200</v>
      </c>
      <c r="F27" s="90">
        <v>335</v>
      </c>
      <c r="G27" s="90">
        <v>76.5</v>
      </c>
      <c r="H27" s="90">
        <v>14</v>
      </c>
      <c r="I27" s="90">
        <v>10</v>
      </c>
      <c r="J27" s="91">
        <f>SUM(E27:I27)</f>
        <v>14635.5</v>
      </c>
      <c r="K27" s="85">
        <v>200</v>
      </c>
      <c r="L27" s="91">
        <f t="shared" si="1"/>
        <v>14835.5</v>
      </c>
      <c r="M27" s="92" t="s">
        <v>114</v>
      </c>
      <c r="N27" s="93">
        <v>45493</v>
      </c>
      <c r="O27" s="94" t="s">
        <v>229</v>
      </c>
      <c r="P27" s="95" t="s">
        <v>236</v>
      </c>
    </row>
    <row r="28" spans="2:16" ht="15" thickBot="1">
      <c r="B28" s="28"/>
      <c r="C28" s="28"/>
      <c r="D28" s="29"/>
      <c r="E28" s="30"/>
      <c r="F28" s="31"/>
      <c r="G28" s="31"/>
      <c r="H28" s="31"/>
      <c r="I28" s="31"/>
      <c r="J28" s="32"/>
      <c r="K28" s="33"/>
      <c r="L28" s="32"/>
      <c r="M28" s="34"/>
      <c r="N28" s="35"/>
      <c r="O28" s="29"/>
    </row>
    <row r="29" spans="2:16" ht="15.6">
      <c r="B29" s="407" t="s">
        <v>34</v>
      </c>
      <c r="C29" s="408"/>
      <c r="D29" s="408"/>
      <c r="E29" s="408"/>
      <c r="F29" s="408"/>
      <c r="G29" s="408"/>
      <c r="H29" s="408"/>
      <c r="I29" s="408"/>
      <c r="J29" s="408"/>
      <c r="K29" s="408"/>
      <c r="L29" s="408"/>
      <c r="M29" s="408"/>
      <c r="N29" s="408"/>
      <c r="O29" s="408"/>
      <c r="P29" s="409"/>
    </row>
    <row r="30" spans="2:16">
      <c r="B30" s="410" t="s">
        <v>35</v>
      </c>
      <c r="C30" s="257"/>
      <c r="D30" s="257"/>
      <c r="E30" s="257"/>
      <c r="F30" s="257"/>
      <c r="G30" s="257"/>
      <c r="H30" s="257"/>
      <c r="I30" s="257"/>
      <c r="J30" s="257"/>
      <c r="K30" s="257"/>
      <c r="L30" s="257"/>
      <c r="M30" s="257"/>
      <c r="N30" s="257"/>
      <c r="O30" s="257"/>
      <c r="P30" s="411"/>
    </row>
    <row r="31" spans="2:16">
      <c r="B31" s="410"/>
      <c r="C31" s="257"/>
      <c r="D31" s="257"/>
      <c r="E31" s="257"/>
      <c r="F31" s="257"/>
      <c r="G31" s="257"/>
      <c r="H31" s="257"/>
      <c r="I31" s="257"/>
      <c r="J31" s="257"/>
      <c r="K31" s="257"/>
      <c r="L31" s="257"/>
      <c r="M31" s="257"/>
      <c r="N31" s="257"/>
      <c r="O31" s="257"/>
      <c r="P31" s="411"/>
    </row>
    <row r="32" spans="2:16">
      <c r="B32" s="410"/>
      <c r="C32" s="257"/>
      <c r="D32" s="257"/>
      <c r="E32" s="257"/>
      <c r="F32" s="257"/>
      <c r="G32" s="257"/>
      <c r="H32" s="257"/>
      <c r="I32" s="257"/>
      <c r="J32" s="257"/>
      <c r="K32" s="257"/>
      <c r="L32" s="257"/>
      <c r="M32" s="257"/>
      <c r="N32" s="257"/>
      <c r="O32" s="257"/>
      <c r="P32" s="411"/>
    </row>
    <row r="33" spans="2:16" ht="15" thickBot="1">
      <c r="B33" s="412"/>
      <c r="C33" s="413"/>
      <c r="D33" s="413"/>
      <c r="E33" s="413"/>
      <c r="F33" s="413"/>
      <c r="G33" s="413"/>
      <c r="H33" s="413"/>
      <c r="I33" s="413"/>
      <c r="J33" s="413"/>
      <c r="K33" s="413"/>
      <c r="L33" s="413"/>
      <c r="M33" s="413"/>
      <c r="N33" s="413"/>
      <c r="O33" s="413"/>
      <c r="P33" s="414"/>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F31" sqref="F31"/>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6"/>
    </row>
    <row r="3" spans="2:18">
      <c r="B3" s="36"/>
    </row>
    <row r="4" spans="2:18">
      <c r="B4" s="36"/>
    </row>
    <row r="5" spans="2:18">
      <c r="B5" s="36"/>
    </row>
    <row r="6" spans="2:18">
      <c r="B6" s="36"/>
    </row>
    <row r="7" spans="2:18">
      <c r="B7" s="36"/>
    </row>
    <row r="8" spans="2:18" ht="15" thickBot="1"/>
    <row r="9" spans="2:18" ht="28.9">
      <c r="B9" s="262" t="s">
        <v>269</v>
      </c>
      <c r="C9" s="263"/>
      <c r="D9" s="263"/>
      <c r="E9" s="263"/>
      <c r="F9" s="263"/>
      <c r="G9" s="263"/>
      <c r="H9" s="263"/>
      <c r="I9" s="263"/>
      <c r="J9" s="263"/>
      <c r="K9" s="263"/>
      <c r="L9" s="263"/>
      <c r="M9" s="263"/>
      <c r="N9" s="263"/>
      <c r="O9" s="263"/>
      <c r="P9" s="263"/>
      <c r="Q9" s="263"/>
      <c r="R9" s="263"/>
    </row>
    <row r="10" spans="2:18" ht="43.9" thickBot="1">
      <c r="B10" s="102" t="s">
        <v>1</v>
      </c>
      <c r="C10" s="254" t="s">
        <v>2</v>
      </c>
      <c r="D10" s="254"/>
      <c r="E10" s="129" t="s">
        <v>3</v>
      </c>
      <c r="F10" s="129" t="s">
        <v>4</v>
      </c>
      <c r="G10" s="129" t="s">
        <v>270</v>
      </c>
      <c r="H10" s="3" t="s">
        <v>271</v>
      </c>
      <c r="I10" s="3" t="s">
        <v>52</v>
      </c>
      <c r="J10" s="3" t="s">
        <v>53</v>
      </c>
      <c r="K10" s="3" t="s">
        <v>55</v>
      </c>
      <c r="L10" s="3" t="s">
        <v>10</v>
      </c>
      <c r="M10" s="3" t="s">
        <v>11</v>
      </c>
      <c r="N10" s="3" t="s">
        <v>12</v>
      </c>
      <c r="O10" s="129" t="s">
        <v>13</v>
      </c>
      <c r="P10" s="129" t="s">
        <v>14</v>
      </c>
      <c r="Q10" s="254" t="s">
        <v>38</v>
      </c>
      <c r="R10" s="422"/>
    </row>
    <row r="11" spans="2:18" ht="20.45" hidden="1" customHeight="1">
      <c r="B11" s="352" t="s">
        <v>272</v>
      </c>
      <c r="C11" s="304" t="s">
        <v>273</v>
      </c>
      <c r="D11" s="154" t="s">
        <v>18</v>
      </c>
      <c r="E11" s="155">
        <v>4200</v>
      </c>
      <c r="F11" s="156">
        <v>120</v>
      </c>
      <c r="G11" s="156">
        <v>75</v>
      </c>
      <c r="H11" s="156">
        <v>45</v>
      </c>
      <c r="I11" s="156">
        <v>45</v>
      </c>
      <c r="J11" s="156">
        <v>75</v>
      </c>
      <c r="K11" s="157">
        <f t="shared" ref="K11:K20" si="0">SUM(E11:J11)</f>
        <v>4560</v>
      </c>
      <c r="L11" s="156">
        <v>200</v>
      </c>
      <c r="M11" s="157">
        <f t="shared" ref="M11:M14" si="1">SUM(K11:L11)</f>
        <v>4760</v>
      </c>
      <c r="N11" s="158" t="s">
        <v>181</v>
      </c>
      <c r="O11" s="153" t="s">
        <v>274</v>
      </c>
      <c r="P11" s="158" t="s">
        <v>73</v>
      </c>
      <c r="Q11" s="416" t="s">
        <v>78</v>
      </c>
      <c r="R11" s="417"/>
    </row>
    <row r="12" spans="2:18" ht="22.15" hidden="1" customHeight="1" thickBot="1">
      <c r="B12" s="352"/>
      <c r="C12" s="304"/>
      <c r="D12" s="154" t="s">
        <v>24</v>
      </c>
      <c r="E12" s="155">
        <v>4500</v>
      </c>
      <c r="F12" s="156">
        <v>120</v>
      </c>
      <c r="G12" s="156">
        <v>75</v>
      </c>
      <c r="H12" s="156">
        <v>45</v>
      </c>
      <c r="I12" s="156">
        <v>45</v>
      </c>
      <c r="J12" s="156">
        <v>75</v>
      </c>
      <c r="K12" s="157">
        <f t="shared" si="0"/>
        <v>4860</v>
      </c>
      <c r="L12" s="156">
        <v>200</v>
      </c>
      <c r="M12" s="157">
        <f t="shared" si="1"/>
        <v>5060</v>
      </c>
      <c r="N12" s="158" t="s">
        <v>181</v>
      </c>
      <c r="O12" s="153" t="s">
        <v>274</v>
      </c>
      <c r="P12" s="158" t="s">
        <v>73</v>
      </c>
      <c r="Q12" s="418"/>
      <c r="R12" s="419"/>
    </row>
    <row r="13" spans="2:18" ht="22.15" hidden="1" customHeight="1">
      <c r="B13" s="290" t="s">
        <v>272</v>
      </c>
      <c r="C13" s="292" t="s">
        <v>275</v>
      </c>
      <c r="D13" s="154" t="s">
        <v>18</v>
      </c>
      <c r="E13" s="155">
        <v>1300</v>
      </c>
      <c r="F13" s="156">
        <v>125</v>
      </c>
      <c r="G13" s="156">
        <v>75</v>
      </c>
      <c r="H13" s="156">
        <v>35</v>
      </c>
      <c r="I13" s="156">
        <v>65</v>
      </c>
      <c r="J13" s="156">
        <v>75</v>
      </c>
      <c r="K13" s="157">
        <f t="shared" si="0"/>
        <v>1675</v>
      </c>
      <c r="L13" s="156">
        <v>200</v>
      </c>
      <c r="M13" s="157">
        <f t="shared" si="1"/>
        <v>1875</v>
      </c>
      <c r="N13" s="158" t="s">
        <v>181</v>
      </c>
      <c r="O13" s="153" t="s">
        <v>276</v>
      </c>
      <c r="P13" s="158" t="s">
        <v>277</v>
      </c>
      <c r="Q13" s="420" t="s">
        <v>278</v>
      </c>
      <c r="R13" s="421"/>
    </row>
    <row r="14" spans="2:18" ht="22.15" hidden="1" customHeight="1" thickBot="1">
      <c r="B14" s="299"/>
      <c r="C14" s="300"/>
      <c r="D14" s="154" t="s">
        <v>24</v>
      </c>
      <c r="E14" s="155">
        <v>1700</v>
      </c>
      <c r="F14" s="156">
        <v>125</v>
      </c>
      <c r="G14" s="156">
        <v>75</v>
      </c>
      <c r="H14" s="156">
        <v>35</v>
      </c>
      <c r="I14" s="156">
        <v>65</v>
      </c>
      <c r="J14" s="156">
        <v>75</v>
      </c>
      <c r="K14" s="157">
        <f t="shared" si="0"/>
        <v>2075</v>
      </c>
      <c r="L14" s="156">
        <v>200</v>
      </c>
      <c r="M14" s="157">
        <f t="shared" si="1"/>
        <v>2275</v>
      </c>
      <c r="N14" s="158" t="s">
        <v>181</v>
      </c>
      <c r="O14" s="153" t="s">
        <v>276</v>
      </c>
      <c r="P14" s="158" t="s">
        <v>277</v>
      </c>
      <c r="Q14" s="418"/>
      <c r="R14" s="419"/>
    </row>
    <row r="15" spans="2:18" ht="22.15" hidden="1" customHeight="1">
      <c r="B15" s="290" t="s">
        <v>272</v>
      </c>
      <c r="C15" s="292" t="s">
        <v>275</v>
      </c>
      <c r="D15" s="154" t="s">
        <v>18</v>
      </c>
      <c r="E15" s="155">
        <v>1500</v>
      </c>
      <c r="F15" s="156">
        <v>125</v>
      </c>
      <c r="G15" s="156">
        <v>75</v>
      </c>
      <c r="H15" s="156">
        <v>35</v>
      </c>
      <c r="I15" s="156">
        <v>65</v>
      </c>
      <c r="J15" s="156">
        <v>75</v>
      </c>
      <c r="K15" s="157">
        <f t="shared" si="0"/>
        <v>1875</v>
      </c>
      <c r="L15" s="156">
        <v>200</v>
      </c>
      <c r="M15" s="157">
        <f>SUM(K15:L15)</f>
        <v>2075</v>
      </c>
      <c r="N15" s="158" t="s">
        <v>181</v>
      </c>
      <c r="O15" s="153" t="s">
        <v>276</v>
      </c>
      <c r="P15" s="158" t="s">
        <v>171</v>
      </c>
      <c r="Q15" s="420" t="s">
        <v>279</v>
      </c>
      <c r="R15" s="421"/>
    </row>
    <row r="16" spans="2:18" ht="22.15" hidden="1" customHeight="1">
      <c r="B16" s="299"/>
      <c r="C16" s="300"/>
      <c r="D16" s="154" t="s">
        <v>24</v>
      </c>
      <c r="E16" s="155">
        <v>1700</v>
      </c>
      <c r="F16" s="156">
        <v>125</v>
      </c>
      <c r="G16" s="156">
        <v>75</v>
      </c>
      <c r="H16" s="156">
        <v>35</v>
      </c>
      <c r="I16" s="156">
        <v>65</v>
      </c>
      <c r="J16" s="156">
        <v>75</v>
      </c>
      <c r="K16" s="157">
        <f t="shared" si="0"/>
        <v>2075</v>
      </c>
      <c r="L16" s="156">
        <v>200</v>
      </c>
      <c r="M16" s="157">
        <f>SUM(K16:L16)</f>
        <v>2275</v>
      </c>
      <c r="N16" s="158" t="s">
        <v>181</v>
      </c>
      <c r="O16" s="153" t="s">
        <v>276</v>
      </c>
      <c r="P16" s="158" t="s">
        <v>171</v>
      </c>
      <c r="Q16" s="418"/>
      <c r="R16" s="419"/>
    </row>
    <row r="17" spans="2:18" ht="30.6" hidden="1" customHeight="1">
      <c r="B17" s="352" t="s">
        <v>272</v>
      </c>
      <c r="C17" s="304" t="s">
        <v>118</v>
      </c>
      <c r="D17" s="154" t="s">
        <v>18</v>
      </c>
      <c r="E17" s="155">
        <v>2800</v>
      </c>
      <c r="F17" s="156">
        <v>125</v>
      </c>
      <c r="G17" s="156">
        <v>75</v>
      </c>
      <c r="H17" s="156">
        <v>35</v>
      </c>
      <c r="I17" s="156">
        <v>65</v>
      </c>
      <c r="J17" s="156">
        <v>75</v>
      </c>
      <c r="K17" s="157">
        <f t="shared" si="0"/>
        <v>3175</v>
      </c>
      <c r="L17" s="156">
        <v>200</v>
      </c>
      <c r="M17" s="157">
        <f t="shared" ref="M17:M18" si="2">SUM(K17:L17)</f>
        <v>3375</v>
      </c>
      <c r="N17" s="158" t="s">
        <v>280</v>
      </c>
      <c r="O17" s="153" t="s">
        <v>274</v>
      </c>
      <c r="P17" s="158" t="s">
        <v>277</v>
      </c>
      <c r="Q17" s="416" t="s">
        <v>78</v>
      </c>
      <c r="R17" s="417"/>
    </row>
    <row r="18" spans="2:18" ht="15" hidden="1" thickBot="1">
      <c r="B18" s="352"/>
      <c r="C18" s="304"/>
      <c r="D18" s="154" t="s">
        <v>24</v>
      </c>
      <c r="E18" s="155">
        <v>2900</v>
      </c>
      <c r="F18" s="156">
        <v>125</v>
      </c>
      <c r="G18" s="156">
        <v>75</v>
      </c>
      <c r="H18" s="156">
        <v>35</v>
      </c>
      <c r="I18" s="156">
        <v>65</v>
      </c>
      <c r="J18" s="156">
        <v>75</v>
      </c>
      <c r="K18" s="157">
        <f t="shared" si="0"/>
        <v>3275</v>
      </c>
      <c r="L18" s="156">
        <v>200</v>
      </c>
      <c r="M18" s="157">
        <f t="shared" si="2"/>
        <v>3475</v>
      </c>
      <c r="N18" s="158" t="s">
        <v>280</v>
      </c>
      <c r="O18" s="153" t="s">
        <v>274</v>
      </c>
      <c r="P18" s="158" t="s">
        <v>277</v>
      </c>
      <c r="Q18" s="418"/>
      <c r="R18" s="419"/>
    </row>
    <row r="19" spans="2:18">
      <c r="B19" s="290" t="s">
        <v>272</v>
      </c>
      <c r="C19" s="292" t="s">
        <v>275</v>
      </c>
      <c r="D19" s="154" t="s">
        <v>18</v>
      </c>
      <c r="E19" s="155">
        <f>SUM(1900+75+50)</f>
        <v>2025</v>
      </c>
      <c r="F19" s="156">
        <v>125</v>
      </c>
      <c r="G19" s="156">
        <v>75</v>
      </c>
      <c r="H19" s="156">
        <v>35</v>
      </c>
      <c r="I19" s="156">
        <v>65</v>
      </c>
      <c r="J19" s="156">
        <v>50</v>
      </c>
      <c r="K19" s="157">
        <f t="shared" si="0"/>
        <v>2375</v>
      </c>
      <c r="L19" s="156">
        <v>200</v>
      </c>
      <c r="M19" s="157">
        <f>SUM(K19:L19)</f>
        <v>2575</v>
      </c>
      <c r="N19" s="158" t="s">
        <v>181</v>
      </c>
      <c r="O19" s="153" t="s">
        <v>281</v>
      </c>
      <c r="P19" s="158" t="s">
        <v>229</v>
      </c>
      <c r="Q19" s="420" t="s">
        <v>279</v>
      </c>
      <c r="R19" s="421"/>
    </row>
    <row r="20" spans="2:18" ht="30.6" customHeight="1" thickBot="1">
      <c r="B20" s="299"/>
      <c r="C20" s="300"/>
      <c r="D20" s="154" t="s">
        <v>24</v>
      </c>
      <c r="E20" s="155">
        <f>SUM(2100+75+50)</f>
        <v>2225</v>
      </c>
      <c r="F20" s="156">
        <v>125</v>
      </c>
      <c r="G20" s="156">
        <v>75</v>
      </c>
      <c r="H20" s="156">
        <v>35</v>
      </c>
      <c r="I20" s="156">
        <v>65</v>
      </c>
      <c r="J20" s="156">
        <v>50</v>
      </c>
      <c r="K20" s="157">
        <f t="shared" si="0"/>
        <v>2575</v>
      </c>
      <c r="L20" s="156">
        <v>200</v>
      </c>
      <c r="M20" s="157">
        <f>SUM(K20:L20)</f>
        <v>2775</v>
      </c>
      <c r="N20" s="158" t="s">
        <v>181</v>
      </c>
      <c r="O20" s="153" t="s">
        <v>281</v>
      </c>
      <c r="P20" s="158" t="s">
        <v>229</v>
      </c>
      <c r="Q20" s="418"/>
      <c r="R20" s="419"/>
    </row>
    <row r="21" spans="2:18" ht="15.6">
      <c r="B21" s="377" t="s">
        <v>34</v>
      </c>
      <c r="C21" s="378"/>
      <c r="D21" s="378"/>
      <c r="E21" s="378"/>
      <c r="F21" s="378"/>
      <c r="G21" s="378"/>
      <c r="H21" s="378"/>
      <c r="I21" s="378"/>
      <c r="J21" s="378"/>
      <c r="K21" s="378"/>
      <c r="L21" s="378"/>
      <c r="M21" s="378"/>
      <c r="N21" s="378"/>
      <c r="O21" s="378"/>
      <c r="P21" s="379"/>
    </row>
    <row r="22" spans="2:18">
      <c r="B22" s="337" t="s">
        <v>35</v>
      </c>
      <c r="C22" s="338"/>
      <c r="D22" s="338"/>
      <c r="E22" s="338"/>
      <c r="F22" s="338"/>
      <c r="G22" s="338"/>
      <c r="H22" s="338"/>
      <c r="I22" s="338"/>
      <c r="J22" s="338"/>
      <c r="K22" s="338"/>
      <c r="L22" s="338"/>
      <c r="M22" s="338"/>
      <c r="N22" s="338"/>
      <c r="O22" s="338"/>
      <c r="P22" s="339"/>
    </row>
    <row r="23" spans="2:18">
      <c r="B23" s="340"/>
      <c r="C23" s="269"/>
      <c r="D23" s="269"/>
      <c r="E23" s="269"/>
      <c r="F23" s="269"/>
      <c r="G23" s="269"/>
      <c r="H23" s="269"/>
      <c r="I23" s="269"/>
      <c r="J23" s="269"/>
      <c r="K23" s="269"/>
      <c r="L23" s="269"/>
      <c r="M23" s="269"/>
      <c r="N23" s="269"/>
      <c r="O23" s="269"/>
      <c r="P23" s="341"/>
    </row>
    <row r="24" spans="2:18">
      <c r="B24" s="340"/>
      <c r="C24" s="269"/>
      <c r="D24" s="269"/>
      <c r="E24" s="269"/>
      <c r="F24" s="269"/>
      <c r="G24" s="269"/>
      <c r="H24" s="269"/>
      <c r="I24" s="269"/>
      <c r="J24" s="269"/>
      <c r="K24" s="269"/>
      <c r="L24" s="269"/>
      <c r="M24" s="269"/>
      <c r="N24" s="269"/>
      <c r="O24" s="269"/>
      <c r="P24" s="341"/>
    </row>
    <row r="25" spans="2:18">
      <c r="B25" s="342"/>
      <c r="C25" s="343"/>
      <c r="D25" s="343"/>
      <c r="E25" s="343"/>
      <c r="F25" s="343"/>
      <c r="G25" s="343"/>
      <c r="H25" s="343"/>
      <c r="I25" s="343"/>
      <c r="J25" s="343"/>
      <c r="K25" s="343"/>
      <c r="L25" s="343"/>
      <c r="M25" s="343"/>
      <c r="N25" s="343"/>
      <c r="O25" s="343"/>
      <c r="P25" s="344"/>
    </row>
  </sheetData>
  <sheetProtection algorithmName="SHA-512" hashValue="HbcH7QosIFB+IanP7iNHhrQ/9rle7IbF6eClDEHilkBIjIoV2GMGWVpKZZikVKxogw/EZ5qWEJHr07G2leB+1Q==" saltValue="4szwr4r7/fP317J5ccig1w=="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file>

<file path=customXml/itemProps2.xml><?xml version="1.0" encoding="utf-8"?>
<ds:datastoreItem xmlns:ds="http://schemas.openxmlformats.org/officeDocument/2006/customXml" ds:itemID="{900DAED1-575B-462E-9521-61C8D8B6DAE7}"/>
</file>

<file path=customXml/itemProps3.xml><?xml version="1.0" encoding="utf-8"?>
<ds:datastoreItem xmlns:ds="http://schemas.openxmlformats.org/officeDocument/2006/customXml" ds:itemID="{1A722593-7143-4ACD-9A00-2A0E702145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2026-05-19T18:24:54Z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