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B598B7D9-A4E8-4F33-8BCF-E7483FBF7BEC}" xr6:coauthVersionLast="47" xr6:coauthVersionMax="47" xr10:uidLastSave="{00000000-0000-0000-0000-000000000000}"/>
  <bookViews>
    <workbookView xWindow="28680" yWindow="-120" windowWidth="29040" windowHeight="15720" activeTab="1" xr2:uid="{493693A0-0616-4273-B364-7C8DEB21885C}"/>
  </bookViews>
  <sheets>
    <sheet name="TT" sheetId="28" r:id="rId1"/>
    <sheet name="GUY" sheetId="25" r:id="rId2"/>
    <sheet name="SUR" sheetId="21" r:id="rId3"/>
    <sheet name="Trinidad Exports" sheetId="27" r:id="rId4"/>
    <sheet name="Print FE-TT" sheetId="16" state="hidden" r:id="rId5"/>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25" l="1"/>
  <c r="K39" i="25"/>
  <c r="I40" i="25"/>
  <c r="K40" i="25"/>
  <c r="I40" i="28"/>
  <c r="K40" i="28"/>
  <c r="E41" i="28"/>
  <c r="E38" i="28"/>
  <c r="E37" i="28"/>
  <c r="E13" i="28"/>
  <c r="E12" i="28"/>
  <c r="E74" i="28"/>
  <c r="E73" i="28"/>
  <c r="E104" i="28"/>
  <c r="L104" i="28"/>
  <c r="N104" i="28"/>
  <c r="E103" i="28"/>
  <c r="L103" i="28"/>
  <c r="N103" i="28"/>
  <c r="E100" i="28"/>
  <c r="L100" i="28"/>
  <c r="N100" i="28"/>
  <c r="E99" i="28"/>
  <c r="L99" i="28"/>
  <c r="N99" i="28"/>
  <c r="E96" i="28"/>
  <c r="L96" i="28"/>
  <c r="N96" i="28"/>
  <c r="E95" i="28"/>
  <c r="L95" i="28"/>
  <c r="N95" i="28"/>
  <c r="E92" i="28"/>
  <c r="L92" i="28"/>
  <c r="N92" i="28"/>
  <c r="E91" i="28"/>
  <c r="L91" i="28"/>
  <c r="N91" i="28"/>
  <c r="E88" i="28"/>
  <c r="L88" i="28"/>
  <c r="N88" i="28"/>
  <c r="E87" i="28"/>
  <c r="L87" i="28"/>
  <c r="N87" i="28"/>
  <c r="E84" i="28"/>
  <c r="E83" i="28"/>
  <c r="L83" i="28"/>
  <c r="N83" i="28"/>
  <c r="E80" i="28"/>
  <c r="L80" i="28"/>
  <c r="N80" i="28"/>
  <c r="E79" i="28"/>
  <c r="L79" i="28"/>
  <c r="N79" i="28"/>
  <c r="E78" i="28"/>
  <c r="L78" i="28"/>
  <c r="N78" i="28"/>
  <c r="E77" i="28"/>
  <c r="L77" i="28"/>
  <c r="N77" i="28"/>
  <c r="E76" i="28"/>
  <c r="L76" i="28"/>
  <c r="N76" i="28"/>
  <c r="E75" i="28"/>
  <c r="L75" i="28"/>
  <c r="N75" i="28"/>
  <c r="E72" i="28"/>
  <c r="L72" i="28"/>
  <c r="N72" i="28"/>
  <c r="E71" i="28"/>
  <c r="L71" i="28"/>
  <c r="N71" i="28"/>
  <c r="E70" i="28"/>
  <c r="L70" i="28"/>
  <c r="N70" i="28"/>
  <c r="E69" i="28"/>
  <c r="L69" i="28"/>
  <c r="N69" i="28"/>
  <c r="E66" i="28"/>
  <c r="E65" i="28"/>
  <c r="E62" i="28"/>
  <c r="L62" i="28"/>
  <c r="N62" i="28"/>
  <c r="E61" i="28"/>
  <c r="L61" i="28"/>
  <c r="N61" i="28"/>
  <c r="E60" i="28"/>
  <c r="E59" i="28"/>
  <c r="L59" i="28"/>
  <c r="N59" i="28"/>
  <c r="E75" i="21"/>
  <c r="E74" i="21"/>
  <c r="E71" i="21"/>
  <c r="E70" i="21"/>
  <c r="E67" i="21"/>
  <c r="E66" i="21"/>
  <c r="E63" i="21"/>
  <c r="E62" i="21"/>
  <c r="E58" i="21"/>
  <c r="E59" i="21"/>
  <c r="E55" i="21"/>
  <c r="E54" i="21"/>
  <c r="E74" i="25"/>
  <c r="E73" i="25"/>
  <c r="J73" i="25"/>
  <c r="L73" i="25"/>
  <c r="E70" i="25"/>
  <c r="E69" i="25"/>
  <c r="E66" i="25"/>
  <c r="J66" i="25"/>
  <c r="L66" i="25"/>
  <c r="E65" i="25"/>
  <c r="J65" i="25"/>
  <c r="L65" i="25"/>
  <c r="E64" i="25"/>
  <c r="J64" i="25"/>
  <c r="L64" i="25"/>
  <c r="E63" i="25"/>
  <c r="E62" i="25"/>
  <c r="E61" i="25"/>
  <c r="E60" i="25"/>
  <c r="J60" i="25"/>
  <c r="L60" i="25"/>
  <c r="E59" i="25"/>
  <c r="J59" i="25"/>
  <c r="L59" i="25"/>
  <c r="E68" i="28"/>
  <c r="L68" i="28"/>
  <c r="N68" i="28"/>
  <c r="E67" i="28"/>
  <c r="L67" i="28"/>
  <c r="N67" i="28"/>
  <c r="E64" i="28"/>
  <c r="L64" i="28"/>
  <c r="N64" i="28"/>
  <c r="E63" i="28"/>
  <c r="L63" i="28"/>
  <c r="N63" i="28"/>
  <c r="L60" i="28"/>
  <c r="N60" i="28"/>
  <c r="J74" i="25"/>
  <c r="L74" i="25"/>
  <c r="J62" i="25"/>
  <c r="L62" i="25"/>
  <c r="L66" i="28"/>
  <c r="N66" i="28"/>
  <c r="L65" i="28"/>
  <c r="N65" i="28"/>
  <c r="I39" i="28"/>
  <c r="K39" i="28"/>
  <c r="K54" i="21"/>
  <c r="M54" i="21"/>
  <c r="E41" i="25"/>
  <c r="I41" i="25"/>
  <c r="K41" i="25"/>
  <c r="E36" i="25"/>
  <c r="I36" i="25"/>
  <c r="K36" i="25"/>
  <c r="I41" i="28"/>
  <c r="K41" i="28"/>
  <c r="E139" i="28"/>
  <c r="K139" i="28"/>
  <c r="M139" i="28"/>
  <c r="L9" i="27"/>
  <c r="N9" i="27"/>
  <c r="E37" i="25"/>
  <c r="E16" i="21"/>
  <c r="E15" i="21"/>
  <c r="E14" i="21"/>
  <c r="E13" i="21"/>
  <c r="E11" i="21"/>
  <c r="E12" i="21"/>
  <c r="E18" i="25"/>
  <c r="K18" i="25"/>
  <c r="M18" i="25"/>
  <c r="E17" i="25"/>
  <c r="K17" i="25"/>
  <c r="M17" i="25"/>
  <c r="E16" i="25"/>
  <c r="K16" i="25"/>
  <c r="M16" i="25"/>
  <c r="E15" i="25"/>
  <c r="E12" i="25"/>
  <c r="E14" i="25"/>
  <c r="E13" i="25"/>
  <c r="E11" i="25"/>
  <c r="E25" i="27"/>
  <c r="E24" i="27"/>
  <c r="K189" i="28"/>
  <c r="M189" i="28"/>
  <c r="K190" i="28"/>
  <c r="M190" i="28"/>
  <c r="J177" i="28"/>
  <c r="L177" i="28"/>
  <c r="J176" i="28"/>
  <c r="L176" i="28"/>
  <c r="K164" i="28"/>
  <c r="M164" i="28"/>
  <c r="K163" i="28"/>
  <c r="M163" i="28"/>
  <c r="I38" i="25"/>
  <c r="K38" i="25"/>
  <c r="I37" i="25"/>
  <c r="K37" i="25"/>
  <c r="K108" i="21"/>
  <c r="M108" i="21"/>
  <c r="K107" i="21"/>
  <c r="M107" i="21"/>
  <c r="J126" i="25"/>
  <c r="L126" i="25"/>
  <c r="J125" i="25"/>
  <c r="L125" i="25"/>
  <c r="K145" i="28"/>
  <c r="M145" i="28"/>
  <c r="K144" i="28"/>
  <c r="M144" i="28"/>
  <c r="I38" i="28"/>
  <c r="K38" i="28"/>
  <c r="I37" i="28"/>
  <c r="K37" i="28"/>
  <c r="K75" i="21"/>
  <c r="M75" i="21"/>
  <c r="K74" i="21"/>
  <c r="M74" i="21"/>
  <c r="K71" i="21"/>
  <c r="M71" i="21"/>
  <c r="K70" i="21"/>
  <c r="M70" i="21"/>
  <c r="K67" i="21"/>
  <c r="M67" i="21"/>
  <c r="K66" i="21"/>
  <c r="M66" i="21"/>
  <c r="L73" i="28"/>
  <c r="N73" i="28"/>
  <c r="K15" i="21"/>
  <c r="M15" i="21"/>
  <c r="E21" i="28"/>
  <c r="K21" i="28"/>
  <c r="M21" i="28"/>
  <c r="E20" i="28"/>
  <c r="K20" i="28"/>
  <c r="M20" i="28"/>
  <c r="E19" i="28"/>
  <c r="K19" i="28"/>
  <c r="M19" i="28"/>
  <c r="E18" i="28"/>
  <c r="K18" i="28"/>
  <c r="M18" i="28"/>
  <c r="E17" i="28"/>
  <c r="K17" i="28"/>
  <c r="M17" i="28"/>
  <c r="E16" i="28"/>
  <c r="K16" i="28"/>
  <c r="M16" i="28"/>
  <c r="E15" i="28"/>
  <c r="K15" i="28"/>
  <c r="M15" i="28"/>
  <c r="E14" i="28"/>
  <c r="K14" i="28"/>
  <c r="M14" i="28"/>
  <c r="K14" i="25"/>
  <c r="M14" i="25"/>
  <c r="K12" i="25"/>
  <c r="M12" i="25"/>
  <c r="E110" i="21"/>
  <c r="K110" i="21"/>
  <c r="E109" i="21"/>
  <c r="K109" i="21"/>
  <c r="M109" i="21"/>
  <c r="M110" i="21"/>
  <c r="K147" i="28"/>
  <c r="M147" i="28"/>
  <c r="E128" i="25"/>
  <c r="J128" i="25"/>
  <c r="L128" i="25"/>
  <c r="E127" i="25"/>
  <c r="J127" i="25"/>
  <c r="L127" i="25"/>
  <c r="J21" i="27"/>
  <c r="L21" i="27"/>
  <c r="J20" i="27"/>
  <c r="L20" i="27"/>
  <c r="E138" i="28"/>
  <c r="K138" i="28"/>
  <c r="M138" i="28"/>
  <c r="K146" i="28"/>
  <c r="M146" i="28"/>
  <c r="K137" i="28"/>
  <c r="M137" i="28"/>
  <c r="I121" i="28"/>
  <c r="K121" i="28"/>
  <c r="I122" i="28"/>
  <c r="K122" i="28"/>
  <c r="L74" i="28"/>
  <c r="N74" i="28"/>
  <c r="L84" i="28"/>
  <c r="N84" i="28"/>
  <c r="K10" i="28"/>
  <c r="M10" i="28"/>
  <c r="K11" i="28"/>
  <c r="M11" i="28"/>
  <c r="K12" i="28"/>
  <c r="M12" i="28"/>
  <c r="K13" i="28"/>
  <c r="M13" i="28"/>
  <c r="L13" i="27"/>
  <c r="L12" i="27"/>
  <c r="J63" i="25"/>
  <c r="L63" i="25"/>
  <c r="G29" i="27"/>
  <c r="G28" i="27"/>
  <c r="E29" i="27"/>
  <c r="E28" i="27"/>
  <c r="I29" i="27"/>
  <c r="K29" i="27"/>
  <c r="I28" i="27"/>
  <c r="K28" i="27"/>
  <c r="I25" i="27"/>
  <c r="K25" i="27"/>
  <c r="I24" i="27"/>
  <c r="K24" i="27"/>
  <c r="N16" i="27"/>
  <c r="N17" i="27"/>
  <c r="P17" i="27"/>
  <c r="P16" i="27"/>
  <c r="N13" i="27"/>
  <c r="N12" i="27"/>
  <c r="K55" i="21"/>
  <c r="M55" i="21"/>
  <c r="J70" i="25"/>
  <c r="L70" i="25"/>
  <c r="J69" i="25"/>
  <c r="L69" i="25"/>
  <c r="J61" i="25"/>
  <c r="L61" i="25"/>
  <c r="K63" i="21"/>
  <c r="M63" i="21"/>
  <c r="K62" i="21"/>
  <c r="M62" i="21"/>
  <c r="K59" i="21"/>
  <c r="M59" i="21"/>
  <c r="K58" i="21"/>
  <c r="M58" i="21"/>
  <c r="K11" i="21"/>
  <c r="M11" i="21"/>
  <c r="J113" i="25"/>
  <c r="L113" i="25"/>
  <c r="J112" i="25"/>
  <c r="L112" i="25"/>
  <c r="J93" i="25"/>
  <c r="L93" i="25"/>
  <c r="J92" i="25"/>
  <c r="L92" i="25"/>
  <c r="VGN69" i="25"/>
  <c r="VGP69" i="25"/>
  <c r="VFX69" i="25"/>
  <c r="VFZ69" i="25"/>
  <c r="VFH69" i="25"/>
  <c r="VFJ69" i="25"/>
  <c r="VER69" i="25"/>
  <c r="VET69" i="25"/>
  <c r="VEB69" i="25"/>
  <c r="VED69" i="25"/>
  <c r="VDL69" i="25"/>
  <c r="VDN69" i="25"/>
  <c r="VCV69" i="25"/>
  <c r="VCX69" i="25"/>
  <c r="VCF69" i="25"/>
  <c r="VCH69" i="25"/>
  <c r="VBP69" i="25"/>
  <c r="VBR69" i="25"/>
  <c r="VAZ69" i="25"/>
  <c r="VBB69" i="25"/>
  <c r="VAJ69" i="25"/>
  <c r="VAL69" i="25"/>
  <c r="UZT69" i="25"/>
  <c r="UZV69" i="25"/>
  <c r="UZD69" i="25"/>
  <c r="UZF69" i="25"/>
  <c r="UYN69" i="25"/>
  <c r="UYP69" i="25"/>
  <c r="UXX69" i="25"/>
  <c r="UXZ69" i="25"/>
  <c r="UXH69" i="25"/>
  <c r="UXJ69" i="25"/>
  <c r="UWR69" i="25"/>
  <c r="UWT69" i="25"/>
  <c r="UWB69" i="25"/>
  <c r="UWD69" i="25"/>
  <c r="UVL69" i="25"/>
  <c r="UVN69" i="25"/>
  <c r="UUV69" i="25"/>
  <c r="UUX69" i="25"/>
  <c r="UUF69" i="25"/>
  <c r="UUH69" i="25"/>
  <c r="UTP69" i="25"/>
  <c r="UTR69" i="25"/>
  <c r="USZ69" i="25"/>
  <c r="UTB69" i="25"/>
  <c r="USJ69" i="25"/>
  <c r="USL69" i="25"/>
  <c r="URT69" i="25"/>
  <c r="URV69" i="25"/>
  <c r="URD69" i="25"/>
  <c r="URF69" i="25"/>
  <c r="UQN69" i="25"/>
  <c r="UQP69" i="25"/>
  <c r="UPX69" i="25"/>
  <c r="UPZ69" i="25"/>
  <c r="UPH69" i="25"/>
  <c r="UPJ69" i="25"/>
  <c r="UOR69" i="25"/>
  <c r="UOT69" i="25"/>
  <c r="UOB69" i="25"/>
  <c r="UOD69" i="25"/>
  <c r="UNL69" i="25"/>
  <c r="UNN69" i="25"/>
  <c r="UMV69" i="25"/>
  <c r="UMX69" i="25"/>
  <c r="UMF69" i="25"/>
  <c r="UMH69" i="25"/>
  <c r="ULP69" i="25"/>
  <c r="ULR69" i="25"/>
  <c r="UKZ69" i="25"/>
  <c r="ULB69" i="25"/>
  <c r="UKJ69" i="25"/>
  <c r="UKL69" i="25"/>
  <c r="UJT69" i="25"/>
  <c r="UJV69" i="25"/>
  <c r="UJD69" i="25"/>
  <c r="UJF69" i="25"/>
  <c r="UIN69" i="25"/>
  <c r="UIP69" i="25"/>
  <c r="UHX69" i="25"/>
  <c r="UHZ69" i="25"/>
  <c r="UHH69" i="25"/>
  <c r="UHJ69" i="25"/>
  <c r="UGR69" i="25"/>
  <c r="UGT69" i="25"/>
  <c r="UGB69" i="25"/>
  <c r="UGD69" i="25"/>
  <c r="UFL69" i="25"/>
  <c r="UFN69" i="25"/>
  <c r="UEV69" i="25"/>
  <c r="UEX69" i="25"/>
  <c r="UEF69" i="25"/>
  <c r="UEH69" i="25"/>
  <c r="UDP69" i="25"/>
  <c r="UDR69" i="25"/>
  <c r="UCZ69" i="25"/>
  <c r="UDB69" i="25"/>
  <c r="UCJ69" i="25"/>
  <c r="UCL69" i="25"/>
  <c r="UBT69" i="25"/>
  <c r="UBV69" i="25"/>
  <c r="UBD69" i="25"/>
  <c r="UBF69" i="25"/>
  <c r="UAN69" i="25"/>
  <c r="UAP69" i="25"/>
  <c r="TZX69" i="25"/>
  <c r="TZZ69" i="25"/>
  <c r="TZH69" i="25"/>
  <c r="TZJ69" i="25"/>
  <c r="TYR69" i="25"/>
  <c r="TYT69" i="25"/>
  <c r="TYB69" i="25"/>
  <c r="TYD69" i="25"/>
  <c r="TXL69" i="25"/>
  <c r="TXN69" i="25"/>
  <c r="TWV69" i="25"/>
  <c r="TWX69" i="25"/>
  <c r="TWF69" i="25"/>
  <c r="TWH69" i="25"/>
  <c r="TVP69" i="25"/>
  <c r="TVR69" i="25"/>
  <c r="TUZ69" i="25"/>
  <c r="TVB69" i="25"/>
  <c r="TUJ69" i="25"/>
  <c r="TUL69" i="25"/>
  <c r="TTT69" i="25"/>
  <c r="TTV69" i="25"/>
  <c r="TTD69" i="25"/>
  <c r="TTF69" i="25"/>
  <c r="TSN69" i="25"/>
  <c r="TSP69" i="25"/>
  <c r="TRX69" i="25"/>
  <c r="TRZ69" i="25"/>
  <c r="TRH69" i="25"/>
  <c r="TRJ69" i="25"/>
  <c r="TQR69" i="25"/>
  <c r="TQT69" i="25"/>
  <c r="TQB69" i="25"/>
  <c r="TQD69" i="25"/>
  <c r="TPL69" i="25"/>
  <c r="TPN69" i="25"/>
  <c r="TOV69" i="25"/>
  <c r="TOX69" i="25"/>
  <c r="TOF69" i="25"/>
  <c r="TOH69" i="25"/>
  <c r="TNP69" i="25"/>
  <c r="TNR69" i="25"/>
  <c r="TMZ69" i="25"/>
  <c r="TNB69" i="25"/>
  <c r="TMJ69" i="25"/>
  <c r="TML69" i="25"/>
  <c r="TLT69" i="25"/>
  <c r="TLV69" i="25"/>
  <c r="TLD69" i="25"/>
  <c r="TLF69" i="25"/>
  <c r="TKN69" i="25"/>
  <c r="TKP69" i="25"/>
  <c r="TJX69" i="25"/>
  <c r="TJZ69" i="25"/>
  <c r="TJH69" i="25"/>
  <c r="TJJ69" i="25"/>
  <c r="TIR69" i="25"/>
  <c r="TIT69" i="25"/>
  <c r="TIB69" i="25"/>
  <c r="TID69" i="25"/>
  <c r="THL69" i="25"/>
  <c r="THN69" i="25"/>
  <c r="TGV69" i="25"/>
  <c r="TGX69" i="25"/>
  <c r="TGF69" i="25"/>
  <c r="TGH69" i="25"/>
  <c r="TFP69" i="25"/>
  <c r="TFR69" i="25"/>
  <c r="TEZ69" i="25"/>
  <c r="TFB69" i="25"/>
  <c r="TEJ69" i="25"/>
  <c r="TEL69" i="25"/>
  <c r="TDT69" i="25"/>
  <c r="TDV69" i="25"/>
  <c r="TDD69" i="25"/>
  <c r="TDF69" i="25"/>
  <c r="TCN69" i="25"/>
  <c r="TCP69" i="25"/>
  <c r="TBX69" i="25"/>
  <c r="TBZ69" i="25"/>
  <c r="TBH69" i="25"/>
  <c r="TBJ69" i="25"/>
  <c r="TAR69" i="25"/>
  <c r="TAT69" i="25"/>
  <c r="TAB69" i="25"/>
  <c r="TAD69" i="25"/>
  <c r="SZL69" i="25"/>
  <c r="SZN69" i="25"/>
  <c r="SYV69" i="25"/>
  <c r="SYX69" i="25"/>
  <c r="SYF69" i="25"/>
  <c r="SYH69" i="25"/>
  <c r="SXP69" i="25"/>
  <c r="SXR69" i="25"/>
  <c r="SWZ69" i="25"/>
  <c r="SXB69" i="25"/>
  <c r="SWJ69" i="25"/>
  <c r="SWL69" i="25"/>
  <c r="SVT69" i="25"/>
  <c r="SVV69" i="25"/>
  <c r="SVD69" i="25"/>
  <c r="SVF69" i="25"/>
  <c r="SUN69" i="25"/>
  <c r="SUP69" i="25"/>
  <c r="STX69" i="25"/>
  <c r="STZ69" i="25"/>
  <c r="STH69" i="25"/>
  <c r="STJ69" i="25"/>
  <c r="SSR69" i="25"/>
  <c r="SST69" i="25"/>
  <c r="SSB69" i="25"/>
  <c r="SSD69" i="25"/>
  <c r="SRL69" i="25"/>
  <c r="SRN69" i="25"/>
  <c r="SQV69" i="25"/>
  <c r="SQX69" i="25"/>
  <c r="SQF69" i="25"/>
  <c r="SQH69" i="25"/>
  <c r="SPP69" i="25"/>
  <c r="SPR69" i="25"/>
  <c r="SOZ69" i="25"/>
  <c r="SPB69" i="25"/>
  <c r="SOJ69" i="25"/>
  <c r="SOL69" i="25"/>
  <c r="SNT69" i="25"/>
  <c r="SNV69" i="25"/>
  <c r="SND69" i="25"/>
  <c r="SNF69" i="25"/>
  <c r="SMN69" i="25"/>
  <c r="SMP69" i="25"/>
  <c r="SLX69" i="25"/>
  <c r="SLZ69" i="25"/>
  <c r="SLH69" i="25"/>
  <c r="SLJ69" i="25"/>
  <c r="SKR69" i="25"/>
  <c r="SKT69" i="25"/>
  <c r="SKB69" i="25"/>
  <c r="SKD69" i="25"/>
  <c r="SJL69" i="25"/>
  <c r="SJN69" i="25"/>
  <c r="SIV69" i="25"/>
  <c r="SIX69" i="25"/>
  <c r="SIF69" i="25"/>
  <c r="SIH69" i="25"/>
  <c r="SHP69" i="25"/>
  <c r="SHR69" i="25"/>
  <c r="SGZ69" i="25"/>
  <c r="SHB69" i="25"/>
  <c r="SGJ69" i="25"/>
  <c r="SGL69" i="25"/>
  <c r="SFT69" i="25"/>
  <c r="SFV69" i="25"/>
  <c r="SFD69" i="25"/>
  <c r="SFF69" i="25"/>
  <c r="SEN69" i="25"/>
  <c r="SEP69" i="25"/>
  <c r="SDX69" i="25"/>
  <c r="SDZ69" i="25"/>
  <c r="SDH69" i="25"/>
  <c r="SDJ69" i="25"/>
  <c r="SCR69" i="25"/>
  <c r="SCT69" i="25"/>
  <c r="SCB69" i="25"/>
  <c r="SCD69" i="25"/>
  <c r="SBL69" i="25"/>
  <c r="SBN69" i="25"/>
  <c r="SAV69" i="25"/>
  <c r="SAX69" i="25"/>
  <c r="SAF69" i="25"/>
  <c r="SAH69" i="25"/>
  <c r="RZP69" i="25"/>
  <c r="RZR69" i="25"/>
  <c r="RYZ69" i="25"/>
  <c r="RZB69" i="25"/>
  <c r="RYJ69" i="25"/>
  <c r="RYL69" i="25"/>
  <c r="RXT69" i="25"/>
  <c r="RXV69" i="25"/>
  <c r="RXD69" i="25"/>
  <c r="RXF69" i="25"/>
  <c r="QZT69" i="25"/>
  <c r="QZV69" i="25"/>
  <c r="QZD69" i="25"/>
  <c r="QZF69" i="25"/>
  <c r="QYN69" i="25"/>
  <c r="QYP69" i="25"/>
  <c r="QXX69" i="25"/>
  <c r="QXZ69" i="25"/>
  <c r="QXH69" i="25"/>
  <c r="QXJ69" i="25"/>
  <c r="QWR69" i="25"/>
  <c r="QWT69" i="25"/>
  <c r="QWB69" i="25"/>
  <c r="QWD69" i="25"/>
  <c r="QVL69" i="25"/>
  <c r="QVN69" i="25"/>
  <c r="QUV69" i="25"/>
  <c r="QUX69" i="25"/>
  <c r="QUF69" i="25"/>
  <c r="QUH69" i="25"/>
  <c r="QTP69" i="25"/>
  <c r="QTR69" i="25"/>
  <c r="QSZ69" i="25"/>
  <c r="QTB69" i="25"/>
  <c r="QSJ69" i="25"/>
  <c r="QSL69" i="25"/>
  <c r="QRT69" i="25"/>
  <c r="QRV69" i="25"/>
  <c r="QRD69" i="25"/>
  <c r="QRF69" i="25"/>
  <c r="QQN69" i="25"/>
  <c r="QQP69" i="25"/>
  <c r="QPX69" i="25"/>
  <c r="QPZ69" i="25"/>
  <c r="QPH69" i="25"/>
  <c r="QPJ69" i="25"/>
  <c r="QOR69" i="25"/>
  <c r="QOT69" i="25"/>
  <c r="QOB69" i="25"/>
  <c r="QOD69" i="25"/>
  <c r="QNL69" i="25"/>
  <c r="QNN69" i="25"/>
  <c r="QMV69" i="25"/>
  <c r="QMX69" i="25"/>
  <c r="QMF69" i="25"/>
  <c r="QMH69" i="25"/>
  <c r="QLP69" i="25"/>
  <c r="QLR69" i="25"/>
  <c r="QKZ69" i="25"/>
  <c r="QLB69" i="25"/>
  <c r="QKJ69" i="25"/>
  <c r="QKL69" i="25"/>
  <c r="QJT69" i="25"/>
  <c r="QJV69" i="25"/>
  <c r="QJD69" i="25"/>
  <c r="QJF69" i="25"/>
  <c r="QIN69" i="25"/>
  <c r="QIP69" i="25"/>
  <c r="QHX69" i="25"/>
  <c r="QHZ69" i="25"/>
  <c r="QHH69" i="25"/>
  <c r="QHJ69" i="25"/>
  <c r="QGR69" i="25"/>
  <c r="QGT69" i="25"/>
  <c r="QGB69" i="25"/>
  <c r="QGD69" i="25"/>
  <c r="QFL69" i="25"/>
  <c r="QFN69" i="25"/>
  <c r="QEV69" i="25"/>
  <c r="QEX69" i="25"/>
  <c r="QEF69" i="25"/>
  <c r="QEH69" i="25"/>
  <c r="QDP69" i="25"/>
  <c r="QDR69" i="25"/>
  <c r="QCZ69" i="25"/>
  <c r="QDB69" i="25"/>
  <c r="QCJ69" i="25"/>
  <c r="QCL69" i="25"/>
  <c r="QBT69" i="25"/>
  <c r="QBV69" i="25"/>
  <c r="QBD69" i="25"/>
  <c r="QBF69" i="25"/>
  <c r="QAN69" i="25"/>
  <c r="QAP69" i="25"/>
  <c r="PZX69" i="25"/>
  <c r="PZZ69" i="25"/>
  <c r="PZH69" i="25"/>
  <c r="PZJ69" i="25"/>
  <c r="PYR69" i="25"/>
  <c r="PYT69" i="25"/>
  <c r="PYB69" i="25"/>
  <c r="PYD69" i="25"/>
  <c r="PXL69" i="25"/>
  <c r="PXN69" i="25"/>
  <c r="PWV69" i="25"/>
  <c r="PWX69" i="25"/>
  <c r="PWF69" i="25"/>
  <c r="PWH69" i="25"/>
  <c r="PVP69" i="25"/>
  <c r="PVR69" i="25"/>
  <c r="PUZ69" i="25"/>
  <c r="PVB69" i="25"/>
  <c r="PUJ69" i="25"/>
  <c r="PUL69" i="25"/>
  <c r="PTT69" i="25"/>
  <c r="PTV69" i="25"/>
  <c r="PTD69" i="25"/>
  <c r="PTF69" i="25"/>
  <c r="PSN69" i="25"/>
  <c r="PSP69" i="25"/>
  <c r="PRX69" i="25"/>
  <c r="PRZ69" i="25"/>
  <c r="PRH69" i="25"/>
  <c r="PRJ69" i="25"/>
  <c r="PQR69" i="25"/>
  <c r="PQT69" i="25"/>
  <c r="PQB69" i="25"/>
  <c r="PQD69" i="25"/>
  <c r="PPL69" i="25"/>
  <c r="PPN69" i="25"/>
  <c r="POV69" i="25"/>
  <c r="POX69" i="25"/>
  <c r="POF69" i="25"/>
  <c r="POH69" i="25"/>
  <c r="PNP69" i="25"/>
  <c r="PNR69" i="25"/>
  <c r="PMZ69" i="25"/>
  <c r="PNB69" i="25"/>
  <c r="PMJ69" i="25"/>
  <c r="PML69" i="25"/>
  <c r="PLT69" i="25"/>
  <c r="PLV69" i="25"/>
  <c r="PLD69" i="25"/>
  <c r="PLF69" i="25"/>
  <c r="PKN69" i="25"/>
  <c r="PKP69" i="25"/>
  <c r="PJX69" i="25"/>
  <c r="PJZ69" i="25"/>
  <c r="PJH69" i="25"/>
  <c r="PJJ69" i="25"/>
  <c r="PIR69" i="25"/>
  <c r="PIT69" i="25"/>
  <c r="PIB69" i="25"/>
  <c r="PID69" i="25"/>
  <c r="PHL69" i="25"/>
  <c r="PHN69" i="25"/>
  <c r="PGV69" i="25"/>
  <c r="PGX69" i="25"/>
  <c r="PGF69" i="25"/>
  <c r="PGH69" i="25"/>
  <c r="PFP69" i="25"/>
  <c r="PFR69" i="25"/>
  <c r="PEZ69" i="25"/>
  <c r="PFB69" i="25"/>
  <c r="PEJ69" i="25"/>
  <c r="PEL69" i="25"/>
  <c r="PDT69" i="25"/>
  <c r="PDV69" i="25"/>
  <c r="PDD69" i="25"/>
  <c r="PDF69" i="25"/>
  <c r="PCN69" i="25"/>
  <c r="PCP69" i="25"/>
  <c r="PBX69" i="25"/>
  <c r="PBZ69" i="25"/>
  <c r="PBH69" i="25"/>
  <c r="PBJ69" i="25"/>
  <c r="PAR69" i="25"/>
  <c r="PAT69" i="25"/>
  <c r="PAB69" i="25"/>
  <c r="PAD69" i="25"/>
  <c r="OZL69" i="25"/>
  <c r="OZN69" i="25"/>
  <c r="OYV69" i="25"/>
  <c r="OYX69" i="25"/>
  <c r="OYF69" i="25"/>
  <c r="OYH69" i="25"/>
  <c r="OXP69" i="25"/>
  <c r="OXR69" i="25"/>
  <c r="OWZ69" i="25"/>
  <c r="OXB69" i="25"/>
  <c r="OWJ69" i="25"/>
  <c r="OWL69" i="25"/>
  <c r="OVT69" i="25"/>
  <c r="OVV69" i="25"/>
  <c r="OVD69" i="25"/>
  <c r="OVF69" i="25"/>
  <c r="OUN69" i="25"/>
  <c r="OUP69" i="25"/>
  <c r="OTX69" i="25"/>
  <c r="OTZ69" i="25"/>
  <c r="OTH69" i="25"/>
  <c r="OTJ69" i="25"/>
  <c r="OSR69" i="25"/>
  <c r="OST69" i="25"/>
  <c r="OSB69" i="25"/>
  <c r="OSD69" i="25"/>
  <c r="ORL69" i="25"/>
  <c r="ORN69" i="25"/>
  <c r="OQV69" i="25"/>
  <c r="OQX69" i="25"/>
  <c r="OQF69" i="25"/>
  <c r="OQH69" i="25"/>
  <c r="OPP69" i="25"/>
  <c r="OPR69" i="25"/>
  <c r="OOZ69" i="25"/>
  <c r="OPB69" i="25"/>
  <c r="OOJ69" i="25"/>
  <c r="OOL69" i="25"/>
  <c r="ONT69" i="25"/>
  <c r="ONV69" i="25"/>
  <c r="OND69" i="25"/>
  <c r="ONF69" i="25"/>
  <c r="OMN69" i="25"/>
  <c r="OMP69" i="25"/>
  <c r="OLX69" i="25"/>
  <c r="OLZ69" i="25"/>
  <c r="OLH69" i="25"/>
  <c r="OLJ69" i="25"/>
  <c r="OKR69" i="25"/>
  <c r="OKT69" i="25"/>
  <c r="OKB69" i="25"/>
  <c r="OKD69" i="25"/>
  <c r="OJL69" i="25"/>
  <c r="OJN69" i="25"/>
  <c r="OIV69" i="25"/>
  <c r="OIX69" i="25"/>
  <c r="OIF69" i="25"/>
  <c r="OIH69" i="25"/>
  <c r="OHP69" i="25"/>
  <c r="OHR69" i="25"/>
  <c r="OGZ69" i="25"/>
  <c r="OHB69" i="25"/>
  <c r="OGJ69" i="25"/>
  <c r="OGL69" i="25"/>
  <c r="OFT69" i="25"/>
  <c r="OFV69" i="25"/>
  <c r="OFD69" i="25"/>
  <c r="OFF69" i="25"/>
  <c r="OEN69" i="25"/>
  <c r="OEP69" i="25"/>
  <c r="ODX69" i="25"/>
  <c r="ODZ69" i="25"/>
  <c r="ODH69" i="25"/>
  <c r="ODJ69" i="25"/>
  <c r="OCR69" i="25"/>
  <c r="OCT69" i="25"/>
  <c r="OCB69" i="25"/>
  <c r="OCD69" i="25"/>
  <c r="OBL69" i="25"/>
  <c r="OBN69" i="25"/>
  <c r="OAV69" i="25"/>
  <c r="OAX69" i="25"/>
  <c r="OAF69" i="25"/>
  <c r="OAH69" i="25"/>
  <c r="NZP69" i="25"/>
  <c r="NZR69" i="25"/>
  <c r="NYZ69" i="25"/>
  <c r="NZB69" i="25"/>
  <c r="NYJ69" i="25"/>
  <c r="NYL69" i="25"/>
  <c r="NXT69" i="25"/>
  <c r="NXV69" i="25"/>
  <c r="NXD69" i="25"/>
  <c r="NXF69" i="25"/>
  <c r="NWN69" i="25"/>
  <c r="NWP69" i="25"/>
  <c r="NVX69" i="25"/>
  <c r="NVZ69" i="25"/>
  <c r="NVH69" i="25"/>
  <c r="NVJ69" i="25"/>
  <c r="NUR69" i="25"/>
  <c r="NUT69" i="25"/>
  <c r="NUB69" i="25"/>
  <c r="NUD69" i="25"/>
  <c r="NTL69" i="25"/>
  <c r="NTN69" i="25"/>
  <c r="NSV69" i="25"/>
  <c r="NSX69" i="25"/>
  <c r="NSF69" i="25"/>
  <c r="NSH69" i="25"/>
  <c r="NRP69" i="25"/>
  <c r="NRR69" i="25"/>
  <c r="NQZ69" i="25"/>
  <c r="NRB69" i="25"/>
  <c r="NQJ69" i="25"/>
  <c r="NQL69" i="25"/>
  <c r="NPT69" i="25"/>
  <c r="NPV69" i="25"/>
  <c r="NPD69" i="25"/>
  <c r="NPF69" i="25"/>
  <c r="NON69" i="25"/>
  <c r="NOP69" i="25"/>
  <c r="NNX69" i="25"/>
  <c r="NNZ69" i="25"/>
  <c r="NNH69" i="25"/>
  <c r="NNJ69" i="25"/>
  <c r="NMR69" i="25"/>
  <c r="NMT69" i="25"/>
  <c r="NMB69" i="25"/>
  <c r="NMD69" i="25"/>
  <c r="NLL69" i="25"/>
  <c r="NLN69" i="25"/>
  <c r="NKV69" i="25"/>
  <c r="NKX69" i="25"/>
  <c r="NKF69" i="25"/>
  <c r="NKH69" i="25"/>
  <c r="NJP69" i="25"/>
  <c r="NJR69" i="25"/>
  <c r="NIZ69" i="25"/>
  <c r="NJB69" i="25"/>
  <c r="NIJ69" i="25"/>
  <c r="NIL69" i="25"/>
  <c r="NHT69" i="25"/>
  <c r="NHV69" i="25"/>
  <c r="NHD69" i="25"/>
  <c r="NHF69" i="25"/>
  <c r="NGN69" i="25"/>
  <c r="NGP69" i="25"/>
  <c r="NFX69" i="25"/>
  <c r="NFZ69" i="25"/>
  <c r="NFH69" i="25"/>
  <c r="NFJ69" i="25"/>
  <c r="NER69" i="25"/>
  <c r="NET69" i="25"/>
  <c r="NEB69" i="25"/>
  <c r="NED69" i="25"/>
  <c r="NDL69" i="25"/>
  <c r="NDN69" i="25"/>
  <c r="NCV69" i="25"/>
  <c r="NCX69" i="25"/>
  <c r="NCF69" i="25"/>
  <c r="NCH69" i="25"/>
  <c r="NBP69" i="25"/>
  <c r="NBR69" i="25"/>
  <c r="NAZ69" i="25"/>
  <c r="NBB69" i="25"/>
  <c r="NAJ69" i="25"/>
  <c r="NAL69" i="25"/>
  <c r="MZT69" i="25"/>
  <c r="MZV69" i="25"/>
  <c r="MZD69" i="25"/>
  <c r="MZF69" i="25"/>
  <c r="MYN69" i="25"/>
  <c r="MYP69" i="25"/>
  <c r="MXX69" i="25"/>
  <c r="MXZ69" i="25"/>
  <c r="MXH69" i="25"/>
  <c r="MXJ69" i="25"/>
  <c r="MWR69" i="25"/>
  <c r="MWT69" i="25"/>
  <c r="MWB69" i="25"/>
  <c r="MWD69" i="25"/>
  <c r="MVL69" i="25"/>
  <c r="MVN69" i="25"/>
  <c r="MUV69" i="25"/>
  <c r="MUX69" i="25"/>
  <c r="MUF69" i="25"/>
  <c r="MUH69" i="25"/>
  <c r="MTP69" i="25"/>
  <c r="MTR69" i="25"/>
  <c r="MSZ69" i="25"/>
  <c r="MTB69" i="25"/>
  <c r="MSJ69" i="25"/>
  <c r="MSL69" i="25"/>
  <c r="MRT69" i="25"/>
  <c r="MRV69" i="25"/>
  <c r="MRD69" i="25"/>
  <c r="MRF69" i="25"/>
  <c r="MQN69" i="25"/>
  <c r="MQP69" i="25"/>
  <c r="MPX69" i="25"/>
  <c r="MPZ69" i="25"/>
  <c r="MPH69" i="25"/>
  <c r="MPJ69" i="25"/>
  <c r="MOR69" i="25"/>
  <c r="MOT69" i="25"/>
  <c r="MOB69" i="25"/>
  <c r="MOD69" i="25"/>
  <c r="MNL69" i="25"/>
  <c r="MNN69" i="25"/>
  <c r="MMV69" i="25"/>
  <c r="MMX69" i="25"/>
  <c r="MMF69" i="25"/>
  <c r="MMH69" i="25"/>
  <c r="MLP69" i="25"/>
  <c r="MLR69" i="25"/>
  <c r="MKZ69" i="25"/>
  <c r="MLB69" i="25"/>
  <c r="MKJ69" i="25"/>
  <c r="MKL69" i="25"/>
  <c r="MJT69" i="25"/>
  <c r="MJV69" i="25"/>
  <c r="MJD69" i="25"/>
  <c r="MJF69" i="25"/>
  <c r="MIN69" i="25"/>
  <c r="MIP69" i="25"/>
  <c r="MHX69" i="25"/>
  <c r="MHZ69" i="25"/>
  <c r="MHH69" i="25"/>
  <c r="MHJ69" i="25"/>
  <c r="MGR69" i="25"/>
  <c r="MGT69" i="25"/>
  <c r="MGB69" i="25"/>
  <c r="MGD69" i="25"/>
  <c r="MFL69" i="25"/>
  <c r="MFN69" i="25"/>
  <c r="MEV69" i="25"/>
  <c r="MEX69" i="25"/>
  <c r="MEF69" i="25"/>
  <c r="MEH69" i="25"/>
  <c r="MDP69" i="25"/>
  <c r="MDR69" i="25"/>
  <c r="MCZ69" i="25"/>
  <c r="MDB69" i="25"/>
  <c r="MCJ69" i="25"/>
  <c r="MCL69" i="25"/>
  <c r="MBT69" i="25"/>
  <c r="MBV69" i="25"/>
  <c r="MBD69" i="25"/>
  <c r="MBF69" i="25"/>
  <c r="MAN69" i="25"/>
  <c r="MAP69" i="25"/>
  <c r="LZX69" i="25"/>
  <c r="LZZ69" i="25"/>
  <c r="LZH69" i="25"/>
  <c r="LZJ69" i="25"/>
  <c r="LYR69" i="25"/>
  <c r="LYT69" i="25"/>
  <c r="LYB69" i="25"/>
  <c r="LYD69" i="25"/>
  <c r="LXL69" i="25"/>
  <c r="LXN69" i="25"/>
  <c r="LWV69" i="25"/>
  <c r="LWX69" i="25"/>
  <c r="LWF69" i="25"/>
  <c r="LWH69" i="25"/>
  <c r="LVP69" i="25"/>
  <c r="LVR69" i="25"/>
  <c r="LUZ69" i="25"/>
  <c r="LVB69" i="25"/>
  <c r="LUJ69" i="25"/>
  <c r="LUL69" i="25"/>
  <c r="LTT69" i="25"/>
  <c r="LTV69" i="25"/>
  <c r="LTD69" i="25"/>
  <c r="LTF69" i="25"/>
  <c r="LSN69" i="25"/>
  <c r="LSP69" i="25"/>
  <c r="LRX69" i="25"/>
  <c r="LRZ69" i="25"/>
  <c r="LRH69" i="25"/>
  <c r="LRJ69" i="25"/>
  <c r="LQR69" i="25"/>
  <c r="LQT69" i="25"/>
  <c r="LQB69" i="25"/>
  <c r="LQD69" i="25"/>
  <c r="LPL69" i="25"/>
  <c r="LPN69" i="25"/>
  <c r="LOV69" i="25"/>
  <c r="LOX69" i="25"/>
  <c r="LOF69" i="25"/>
  <c r="LOH69" i="25"/>
  <c r="LNP69" i="25"/>
  <c r="LNR69" i="25"/>
  <c r="LMZ69" i="25"/>
  <c r="LNB69" i="25"/>
  <c r="LMJ69" i="25"/>
  <c r="LML69" i="25"/>
  <c r="LLT69" i="25"/>
  <c r="LLV69" i="25"/>
  <c r="LLD69" i="25"/>
  <c r="LLF69" i="25"/>
  <c r="LKN69" i="25"/>
  <c r="LKP69" i="25"/>
  <c r="LJX69" i="25"/>
  <c r="LJZ69" i="25"/>
  <c r="LJH69" i="25"/>
  <c r="LJJ69" i="25"/>
  <c r="LIR69" i="25"/>
  <c r="LIT69" i="25"/>
  <c r="LIB69" i="25"/>
  <c r="LID69" i="25"/>
  <c r="LHL69" i="25"/>
  <c r="LHN69" i="25"/>
  <c r="LGV69" i="25"/>
  <c r="LGX69" i="25"/>
  <c r="LGF69" i="25"/>
  <c r="LGH69" i="25"/>
  <c r="LFP69" i="25"/>
  <c r="LFR69" i="25"/>
  <c r="LEZ69" i="25"/>
  <c r="LFB69" i="25"/>
  <c r="LEJ69" i="25"/>
  <c r="LEL69" i="25"/>
  <c r="LDT69" i="25"/>
  <c r="LDV69" i="25"/>
  <c r="LDD69" i="25"/>
  <c r="LDF69" i="25"/>
  <c r="LCN69" i="25"/>
  <c r="LCP69" i="25"/>
  <c r="LBX69" i="25"/>
  <c r="LBZ69" i="25"/>
  <c r="LBH69" i="25"/>
  <c r="LBJ69" i="25"/>
  <c r="LAR69" i="25"/>
  <c r="LAT69" i="25"/>
  <c r="LAB69" i="25"/>
  <c r="LAD69" i="25"/>
  <c r="KZL69" i="25"/>
  <c r="KZN69" i="25"/>
  <c r="KYV69" i="25"/>
  <c r="KYX69" i="25"/>
  <c r="KYF69" i="25"/>
  <c r="KYH69" i="25"/>
  <c r="KXP69" i="25"/>
  <c r="KXR69" i="25"/>
  <c r="KWZ69" i="25"/>
  <c r="KXB69" i="25"/>
  <c r="KWJ69" i="25"/>
  <c r="KWL69" i="25"/>
  <c r="KVT69" i="25"/>
  <c r="KVV69" i="25"/>
  <c r="KVD69" i="25"/>
  <c r="KVF69" i="25"/>
  <c r="KUN69" i="25"/>
  <c r="KUP69" i="25"/>
  <c r="KTX69" i="25"/>
  <c r="KTZ69" i="25"/>
  <c r="KTH69" i="25"/>
  <c r="KTJ69" i="25"/>
  <c r="KSR69" i="25"/>
  <c r="KST69" i="25"/>
  <c r="KSB69" i="25"/>
  <c r="KSD69" i="25"/>
  <c r="KRL69" i="25"/>
  <c r="KRN69" i="25"/>
  <c r="KQV69" i="25"/>
  <c r="KQX69" i="25"/>
  <c r="KQF69" i="25"/>
  <c r="KQH69" i="25"/>
  <c r="KPP69" i="25"/>
  <c r="KPR69" i="25"/>
  <c r="KOZ69" i="25"/>
  <c r="KPB69" i="25"/>
  <c r="KOJ69" i="25"/>
  <c r="KOL69" i="25"/>
  <c r="KNT69" i="25"/>
  <c r="KNV69" i="25"/>
  <c r="KND69" i="25"/>
  <c r="KNF69" i="25"/>
  <c r="KMN69" i="25"/>
  <c r="KMP69" i="25"/>
  <c r="KLX69" i="25"/>
  <c r="KLZ69" i="25"/>
  <c r="KLH69" i="25"/>
  <c r="KLJ69" i="25"/>
  <c r="KKR69" i="25"/>
  <c r="KKT69" i="25"/>
  <c r="KKB69" i="25"/>
  <c r="KKD69" i="25"/>
  <c r="KJL69" i="25"/>
  <c r="KJN69" i="25"/>
  <c r="KIV69" i="25"/>
  <c r="KIX69" i="25"/>
  <c r="KIF69" i="25"/>
  <c r="KIH69" i="25"/>
  <c r="KHP69" i="25"/>
  <c r="KHR69" i="25"/>
  <c r="KGZ69" i="25"/>
  <c r="KHB69" i="25"/>
  <c r="KGJ69" i="25"/>
  <c r="KGL69" i="25"/>
  <c r="KFT69" i="25"/>
  <c r="KFV69" i="25"/>
  <c r="KFD69" i="25"/>
  <c r="KFF69" i="25"/>
  <c r="KEN69" i="25"/>
  <c r="KEP69" i="25"/>
  <c r="KDX69" i="25"/>
  <c r="KDZ69" i="25"/>
  <c r="KDH69" i="25"/>
  <c r="KDJ69" i="25"/>
  <c r="KCR69" i="25"/>
  <c r="KCT69" i="25"/>
  <c r="KCB69" i="25"/>
  <c r="KCD69" i="25"/>
  <c r="KBL69" i="25"/>
  <c r="KBN69" i="25"/>
  <c r="KAV69" i="25"/>
  <c r="KAX69" i="25"/>
  <c r="KAF69" i="25"/>
  <c r="KAH69" i="25"/>
  <c r="JZP69" i="25"/>
  <c r="JZR69" i="25"/>
  <c r="JYZ69" i="25"/>
  <c r="JZB69" i="25"/>
  <c r="JYJ69" i="25"/>
  <c r="JYL69" i="25"/>
  <c r="JXT69" i="25"/>
  <c r="JXV69" i="25"/>
  <c r="JXD69" i="25"/>
  <c r="JXF69" i="25"/>
  <c r="JWN69" i="25"/>
  <c r="JWP69" i="25"/>
  <c r="JVX69" i="25"/>
  <c r="JVZ69" i="25"/>
  <c r="JVH69" i="25"/>
  <c r="JVJ69" i="25"/>
  <c r="JUR69" i="25"/>
  <c r="JUT69" i="25"/>
  <c r="JUB69" i="25"/>
  <c r="JUD69" i="25"/>
  <c r="JTL69" i="25"/>
  <c r="JTN69" i="25"/>
  <c r="JSV69" i="25"/>
  <c r="JSX69" i="25"/>
  <c r="JSF69" i="25"/>
  <c r="JSH69" i="25"/>
  <c r="JRP69" i="25"/>
  <c r="JRR69" i="25"/>
  <c r="JQZ69" i="25"/>
  <c r="JRB69" i="25"/>
  <c r="JQJ69" i="25"/>
  <c r="JQL69" i="25"/>
  <c r="JPT69" i="25"/>
  <c r="JPV69" i="25"/>
  <c r="JPD69" i="25"/>
  <c r="JPF69" i="25"/>
  <c r="JON69" i="25"/>
  <c r="JOP69" i="25"/>
  <c r="JNX69" i="25"/>
  <c r="JNZ69" i="25"/>
  <c r="JNH69" i="25"/>
  <c r="JNJ69" i="25"/>
  <c r="JMR69" i="25"/>
  <c r="JMT69" i="25"/>
  <c r="JMB69" i="25"/>
  <c r="JMD69" i="25"/>
  <c r="JLL69" i="25"/>
  <c r="JLN69" i="25"/>
  <c r="JKV69" i="25"/>
  <c r="JKX69" i="25"/>
  <c r="JKF69" i="25"/>
  <c r="JKH69" i="25"/>
  <c r="JJP69" i="25"/>
  <c r="JJR69" i="25"/>
  <c r="JIZ69" i="25"/>
  <c r="JJB69" i="25"/>
  <c r="JIJ69" i="25"/>
  <c r="JIL69" i="25"/>
  <c r="JHT69" i="25"/>
  <c r="JHV69" i="25"/>
  <c r="JHD69" i="25"/>
  <c r="JHF69" i="25"/>
  <c r="JGN69" i="25"/>
  <c r="JGP69" i="25"/>
  <c r="JFX69" i="25"/>
  <c r="JFZ69" i="25"/>
  <c r="JFH69" i="25"/>
  <c r="JFJ69" i="25"/>
  <c r="JER69" i="25"/>
  <c r="JET69" i="25"/>
  <c r="JEB69" i="25"/>
  <c r="JED69" i="25"/>
  <c r="JDL69" i="25"/>
  <c r="JDN69" i="25"/>
  <c r="JCV69" i="25"/>
  <c r="JCX69" i="25"/>
  <c r="JCF69" i="25"/>
  <c r="JCH69" i="25"/>
  <c r="JBP69" i="25"/>
  <c r="JBR69" i="25"/>
  <c r="JAZ69" i="25"/>
  <c r="JBB69" i="25"/>
  <c r="JAJ69" i="25"/>
  <c r="JAL69" i="25"/>
  <c r="IZT69" i="25"/>
  <c r="IZV69" i="25"/>
  <c r="IZD69" i="25"/>
  <c r="IZF69" i="25"/>
  <c r="IYN69" i="25"/>
  <c r="IYP69" i="25"/>
  <c r="IXX69" i="25"/>
  <c r="IXZ69" i="25"/>
  <c r="IXH69" i="25"/>
  <c r="IXJ69" i="25"/>
  <c r="IWR69" i="25"/>
  <c r="IWT69" i="25"/>
  <c r="IWB69" i="25"/>
  <c r="IWD69" i="25"/>
  <c r="IVL69" i="25"/>
  <c r="IVN69" i="25"/>
  <c r="IUV69" i="25"/>
  <c r="IUX69" i="25"/>
  <c r="IUF69" i="25"/>
  <c r="IUH69" i="25"/>
  <c r="ITP69" i="25"/>
  <c r="ITR69" i="25"/>
  <c r="ISZ69" i="25"/>
  <c r="ITB69" i="25"/>
  <c r="ISJ69" i="25"/>
  <c r="ISL69" i="25"/>
  <c r="IRT69" i="25"/>
  <c r="IRV69" i="25"/>
  <c r="IRD69" i="25"/>
  <c r="IRF69" i="25"/>
  <c r="IQN69" i="25"/>
  <c r="IQP69" i="25"/>
  <c r="IPX69" i="25"/>
  <c r="IPZ69" i="25"/>
  <c r="IPH69" i="25"/>
  <c r="IPJ69" i="25"/>
  <c r="IOR69" i="25"/>
  <c r="IOT69" i="25"/>
  <c r="IOB69" i="25"/>
  <c r="IOD69" i="25"/>
  <c r="INL69" i="25"/>
  <c r="INN69" i="25"/>
  <c r="IMV69" i="25"/>
  <c r="IMX69" i="25"/>
  <c r="IMF69" i="25"/>
  <c r="IMH69" i="25"/>
  <c r="ILP69" i="25"/>
  <c r="ILR69" i="25"/>
  <c r="IKZ69" i="25"/>
  <c r="ILB69" i="25"/>
  <c r="IKJ69" i="25"/>
  <c r="IKL69" i="25"/>
  <c r="IJT69" i="25"/>
  <c r="IJV69" i="25"/>
  <c r="IJD69" i="25"/>
  <c r="IJF69" i="25"/>
  <c r="IIN69" i="25"/>
  <c r="IIP69" i="25"/>
  <c r="IHX69" i="25"/>
  <c r="IHZ69" i="25"/>
  <c r="IHH69" i="25"/>
  <c r="IHJ69" i="25"/>
  <c r="IGR69" i="25"/>
  <c r="IGT69" i="25"/>
  <c r="IGB69" i="25"/>
  <c r="IGD69" i="25"/>
  <c r="IFL69" i="25"/>
  <c r="IFN69" i="25"/>
  <c r="IEV69" i="25"/>
  <c r="IEX69" i="25"/>
  <c r="IEF69" i="25"/>
  <c r="IEH69" i="25"/>
  <c r="IDP69" i="25"/>
  <c r="IDR69" i="25"/>
  <c r="ICZ69" i="25"/>
  <c r="IDB69" i="25"/>
  <c r="ICJ69" i="25"/>
  <c r="ICL69" i="25"/>
  <c r="IBT69" i="25"/>
  <c r="IBV69" i="25"/>
  <c r="IBD69" i="25"/>
  <c r="IBF69" i="25"/>
  <c r="IAN69" i="25"/>
  <c r="IAP69" i="25"/>
  <c r="HZX69" i="25"/>
  <c r="HZZ69" i="25"/>
  <c r="HZH69" i="25"/>
  <c r="HZJ69" i="25"/>
  <c r="HYR69" i="25"/>
  <c r="HYT69" i="25"/>
  <c r="HYB69" i="25"/>
  <c r="HYD69" i="25"/>
  <c r="HXL69" i="25"/>
  <c r="HXN69" i="25"/>
  <c r="HWV69" i="25"/>
  <c r="HWX69" i="25"/>
  <c r="HWF69" i="25"/>
  <c r="HWH69" i="25"/>
  <c r="HVP69" i="25"/>
  <c r="HVR69" i="25"/>
  <c r="HUZ69" i="25"/>
  <c r="HVB69" i="25"/>
  <c r="HUJ69" i="25"/>
  <c r="HUL69" i="25"/>
  <c r="HTT69" i="25"/>
  <c r="HTV69" i="25"/>
  <c r="HTD69" i="25"/>
  <c r="HTF69" i="25"/>
  <c r="HSN69" i="25"/>
  <c r="HSP69" i="25"/>
  <c r="HRX69" i="25"/>
  <c r="HRZ69" i="25"/>
  <c r="HRH69" i="25"/>
  <c r="HRJ69" i="25"/>
  <c r="HQR69" i="25"/>
  <c r="HQT69" i="25"/>
  <c r="HQB69" i="25"/>
  <c r="HQD69" i="25"/>
  <c r="HPL69" i="25"/>
  <c r="HPN69" i="25"/>
  <c r="HOV69" i="25"/>
  <c r="HOX69" i="25"/>
  <c r="HOF69" i="25"/>
  <c r="HOH69" i="25"/>
  <c r="HNP69" i="25"/>
  <c r="HNR69" i="25"/>
  <c r="HMZ69" i="25"/>
  <c r="HNB69" i="25"/>
  <c r="HMJ69" i="25"/>
  <c r="HML69" i="25"/>
  <c r="HLT69" i="25"/>
  <c r="HLV69" i="25"/>
  <c r="HLD69" i="25"/>
  <c r="HLF69" i="25"/>
  <c r="HKN69" i="25"/>
  <c r="HKP69" i="25"/>
  <c r="HJX69" i="25"/>
  <c r="HJZ69" i="25"/>
  <c r="HJH69" i="25"/>
  <c r="HJJ69" i="25"/>
  <c r="HIR69" i="25"/>
  <c r="HIT69" i="25"/>
  <c r="HIB69" i="25"/>
  <c r="HID69" i="25"/>
  <c r="HHL69" i="25"/>
  <c r="HHN69" i="25"/>
  <c r="HGV69" i="25"/>
  <c r="HGX69" i="25"/>
  <c r="HGF69" i="25"/>
  <c r="HGH69" i="25"/>
  <c r="HFP69" i="25"/>
  <c r="HFR69" i="25"/>
  <c r="HEZ69" i="25"/>
  <c r="HFB69" i="25"/>
  <c r="HEJ69" i="25"/>
  <c r="HEL69" i="25"/>
  <c r="HDT69" i="25"/>
  <c r="HDV69" i="25"/>
  <c r="HDD69" i="25"/>
  <c r="HDF69" i="25"/>
  <c r="HCN69" i="25"/>
  <c r="HCP69" i="25"/>
  <c r="HBX69" i="25"/>
  <c r="HBZ69" i="25"/>
  <c r="HBH69" i="25"/>
  <c r="HBJ69" i="25"/>
  <c r="HAR69" i="25"/>
  <c r="HAT69" i="25"/>
  <c r="HAB69" i="25"/>
  <c r="HAD69" i="25"/>
  <c r="GZL69" i="25"/>
  <c r="GZN69" i="25"/>
  <c r="GYV69" i="25"/>
  <c r="GYX69" i="25"/>
  <c r="GYF69" i="25"/>
  <c r="GYH69" i="25"/>
  <c r="GXP69" i="25"/>
  <c r="GXR69" i="25"/>
  <c r="GWZ69" i="25"/>
  <c r="GXB69" i="25"/>
  <c r="GWJ69" i="25"/>
  <c r="GWL69" i="25"/>
  <c r="GVT69" i="25"/>
  <c r="GVV69" i="25"/>
  <c r="GVD69" i="25"/>
  <c r="GVF69" i="25"/>
  <c r="GUN69" i="25"/>
  <c r="GUP69" i="25"/>
  <c r="GTX69" i="25"/>
  <c r="GTZ69" i="25"/>
  <c r="GTH69" i="25"/>
  <c r="GTJ69" i="25"/>
  <c r="GSR69" i="25"/>
  <c r="GST69" i="25"/>
  <c r="GSB69" i="25"/>
  <c r="GSD69" i="25"/>
  <c r="GRL69" i="25"/>
  <c r="GRN69" i="25"/>
  <c r="GQV69" i="25"/>
  <c r="GQX69" i="25"/>
  <c r="GQF69" i="25"/>
  <c r="GQH69" i="25"/>
  <c r="GPP69" i="25"/>
  <c r="GPR69" i="25"/>
  <c r="GOZ69" i="25"/>
  <c r="GPB69" i="25"/>
  <c r="GOJ69" i="25"/>
  <c r="GOL69" i="25"/>
  <c r="GNT69" i="25"/>
  <c r="GNV69" i="25"/>
  <c r="GND69" i="25"/>
  <c r="GNF69" i="25"/>
  <c r="GMN69" i="25"/>
  <c r="GMP69" i="25"/>
  <c r="GLX69" i="25"/>
  <c r="GLZ69" i="25"/>
  <c r="GLH69" i="25"/>
  <c r="GLJ69" i="25"/>
  <c r="GKR69" i="25"/>
  <c r="GKT69" i="25"/>
  <c r="GKB69" i="25"/>
  <c r="GKD69" i="25"/>
  <c r="GJL69" i="25"/>
  <c r="GJN69" i="25"/>
  <c r="GIV69" i="25"/>
  <c r="GIX69" i="25"/>
  <c r="GIF69" i="25"/>
  <c r="GIH69" i="25"/>
  <c r="GHP69" i="25"/>
  <c r="GHR69" i="25"/>
  <c r="GGZ69" i="25"/>
  <c r="GHB69" i="25"/>
  <c r="GGJ69" i="25"/>
  <c r="GGL69" i="25"/>
  <c r="GFT69" i="25"/>
  <c r="GFV69" i="25"/>
  <c r="GFD69" i="25"/>
  <c r="GFF69" i="25"/>
  <c r="GEN69" i="25"/>
  <c r="GEP69" i="25"/>
  <c r="GDX69" i="25"/>
  <c r="GDZ69" i="25"/>
  <c r="GDH69" i="25"/>
  <c r="GDJ69" i="25"/>
  <c r="GCR69" i="25"/>
  <c r="GCT69" i="25"/>
  <c r="GCB69" i="25"/>
  <c r="GCD69" i="25"/>
  <c r="GBL69" i="25"/>
  <c r="GBN69" i="25"/>
  <c r="GAV69" i="25"/>
  <c r="GAX69" i="25"/>
  <c r="GAF69" i="25"/>
  <c r="GAH69" i="25"/>
  <c r="FZP69" i="25"/>
  <c r="FZR69" i="25"/>
  <c r="FYZ69" i="25"/>
  <c r="FZB69" i="25"/>
  <c r="FYJ69" i="25"/>
  <c r="FYL69" i="25"/>
  <c r="FXT69" i="25"/>
  <c r="FXV69" i="25"/>
  <c r="FXD69" i="25"/>
  <c r="FXF69" i="25"/>
  <c r="FWN69" i="25"/>
  <c r="FWP69" i="25"/>
  <c r="FVX69" i="25"/>
  <c r="FVZ69" i="25"/>
  <c r="FVH69" i="25"/>
  <c r="FVJ69" i="25"/>
  <c r="FUR69" i="25"/>
  <c r="FUT69" i="25"/>
  <c r="FUB69" i="25"/>
  <c r="FUD69" i="25"/>
  <c r="FTL69" i="25"/>
  <c r="FTN69" i="25"/>
  <c r="FSV69" i="25"/>
  <c r="FSX69" i="25"/>
  <c r="FSF69" i="25"/>
  <c r="FSH69" i="25"/>
  <c r="FRP69" i="25"/>
  <c r="FRR69" i="25"/>
  <c r="FQZ69" i="25"/>
  <c r="FRB69" i="25"/>
  <c r="FQJ69" i="25"/>
  <c r="FQL69" i="25"/>
  <c r="FPT69" i="25"/>
  <c r="FPV69" i="25"/>
  <c r="FPD69" i="25"/>
  <c r="FPF69" i="25"/>
  <c r="FON69" i="25"/>
  <c r="FOP69" i="25"/>
  <c r="FNX69" i="25"/>
  <c r="FNZ69" i="25"/>
  <c r="FNH69" i="25"/>
  <c r="FNJ69" i="25"/>
  <c r="FMR69" i="25"/>
  <c r="FMT69" i="25"/>
  <c r="FMB69" i="25"/>
  <c r="FMD69" i="25"/>
  <c r="FLL69" i="25"/>
  <c r="FLN69" i="25"/>
  <c r="FKV69" i="25"/>
  <c r="FKX69" i="25"/>
  <c r="FKF69" i="25"/>
  <c r="FKH69" i="25"/>
  <c r="FJP69" i="25"/>
  <c r="FJR69" i="25"/>
  <c r="FIZ69" i="25"/>
  <c r="FJB69" i="25"/>
  <c r="FIJ69" i="25"/>
  <c r="FIL69" i="25"/>
  <c r="FHT69" i="25"/>
  <c r="FHV69" i="25"/>
  <c r="FHD69" i="25"/>
  <c r="FHF69" i="25"/>
  <c r="FGN69" i="25"/>
  <c r="FGP69" i="25"/>
  <c r="FFX69" i="25"/>
  <c r="FFZ69" i="25"/>
  <c r="FFH69" i="25"/>
  <c r="FFJ69" i="25"/>
  <c r="FER69" i="25"/>
  <c r="FET69" i="25"/>
  <c r="FEB69" i="25"/>
  <c r="FED69" i="25"/>
  <c r="FDL69" i="25"/>
  <c r="FDN69" i="25"/>
  <c r="FCV69" i="25"/>
  <c r="FCX69" i="25"/>
  <c r="FCF69" i="25"/>
  <c r="FCH69" i="25"/>
  <c r="FBP69" i="25"/>
  <c r="FBR69" i="25"/>
  <c r="FAZ69" i="25"/>
  <c r="FBB69" i="25"/>
  <c r="FAJ69" i="25"/>
  <c r="FAL69" i="25"/>
  <c r="EZT69" i="25"/>
  <c r="EZV69" i="25"/>
  <c r="EZD69" i="25"/>
  <c r="EZF69" i="25"/>
  <c r="EYN69" i="25"/>
  <c r="EYP69" i="25"/>
  <c r="EXX69" i="25"/>
  <c r="EXZ69" i="25"/>
  <c r="EXH69" i="25"/>
  <c r="EXJ69" i="25"/>
  <c r="EWR69" i="25"/>
  <c r="EWT69" i="25"/>
  <c r="EWB69" i="25"/>
  <c r="EWD69" i="25"/>
  <c r="EVL69" i="25"/>
  <c r="EVN69" i="25"/>
  <c r="EUV69" i="25"/>
  <c r="EUX69" i="25"/>
  <c r="EUF69" i="25"/>
  <c r="EUH69" i="25"/>
  <c r="ETP69" i="25"/>
  <c r="ETR69" i="25"/>
  <c r="ESZ69" i="25"/>
  <c r="ETB69" i="25"/>
  <c r="ESJ69" i="25"/>
  <c r="ESL69" i="25"/>
  <c r="ERT69" i="25"/>
  <c r="ERV69" i="25"/>
  <c r="ERD69" i="25"/>
  <c r="ERF69" i="25"/>
  <c r="EQN69" i="25"/>
  <c r="EQP69" i="25"/>
  <c r="EPX69" i="25"/>
  <c r="EPZ69" i="25"/>
  <c r="EPH69" i="25"/>
  <c r="EPJ69" i="25"/>
  <c r="EOR69" i="25"/>
  <c r="EOT69" i="25"/>
  <c r="EOB69" i="25"/>
  <c r="EOD69" i="25"/>
  <c r="ENL69" i="25"/>
  <c r="ENN69" i="25"/>
  <c r="EMV69" i="25"/>
  <c r="EMX69" i="25"/>
  <c r="EMF69" i="25"/>
  <c r="EMH69" i="25"/>
  <c r="ELP69" i="25"/>
  <c r="ELR69" i="25"/>
  <c r="EKZ69" i="25"/>
  <c r="ELB69" i="25"/>
  <c r="EKJ69" i="25"/>
  <c r="EKL69" i="25"/>
  <c r="EJT69" i="25"/>
  <c r="EJV69" i="25"/>
  <c r="EJD69" i="25"/>
  <c r="EJF69" i="25"/>
  <c r="EIN69" i="25"/>
  <c r="EIP69" i="25"/>
  <c r="EHX69" i="25"/>
  <c r="EHZ69" i="25"/>
  <c r="EHH69" i="25"/>
  <c r="EHJ69" i="25"/>
  <c r="EGR69" i="25"/>
  <c r="EGT69" i="25"/>
  <c r="EGB69" i="25"/>
  <c r="EGD69" i="25"/>
  <c r="EFL69" i="25"/>
  <c r="EFN69" i="25"/>
  <c r="EEV69" i="25"/>
  <c r="EEX69" i="25"/>
  <c r="EEF69" i="25"/>
  <c r="EEH69" i="25"/>
  <c r="EDP69" i="25"/>
  <c r="EDR69" i="25"/>
  <c r="ECZ69" i="25"/>
  <c r="EDB69" i="25"/>
  <c r="ECJ69" i="25"/>
  <c r="ECL69" i="25"/>
  <c r="EBT69" i="25"/>
  <c r="EBV69" i="25"/>
  <c r="EBD69" i="25"/>
  <c r="EBF69" i="25"/>
  <c r="EAN69" i="25"/>
  <c r="EAP69" i="25"/>
  <c r="DZX69" i="25"/>
  <c r="DZZ69" i="25"/>
  <c r="DZH69" i="25"/>
  <c r="DZJ69" i="25"/>
  <c r="DYR69" i="25"/>
  <c r="DYT69" i="25"/>
  <c r="DYB69" i="25"/>
  <c r="DYD69" i="25"/>
  <c r="DXL69" i="25"/>
  <c r="DXN69" i="25"/>
  <c r="DWV69" i="25"/>
  <c r="DWX69" i="25"/>
  <c r="DWF69" i="25"/>
  <c r="DWH69" i="25"/>
  <c r="DVP69" i="25"/>
  <c r="DVR69" i="25"/>
  <c r="DUZ69" i="25"/>
  <c r="DVB69" i="25"/>
  <c r="DUJ69" i="25"/>
  <c r="DUL69" i="25"/>
  <c r="DTT69" i="25"/>
  <c r="DTV69" i="25"/>
  <c r="DTD69" i="25"/>
  <c r="DTF69" i="25"/>
  <c r="DSN69" i="25"/>
  <c r="DSP69" i="25"/>
  <c r="DRX69" i="25"/>
  <c r="DRZ69" i="25"/>
  <c r="DRH69" i="25"/>
  <c r="DRJ69" i="25"/>
  <c r="DQR69" i="25"/>
  <c r="DQT69" i="25"/>
  <c r="DQB69" i="25"/>
  <c r="DQD69" i="25"/>
  <c r="DPL69" i="25"/>
  <c r="DPN69" i="25"/>
  <c r="DOV69" i="25"/>
  <c r="DOX69" i="25"/>
  <c r="DOF69" i="25"/>
  <c r="DOH69" i="25"/>
  <c r="DNP69" i="25"/>
  <c r="DNR69" i="25"/>
  <c r="K15" i="25"/>
  <c r="M15" i="25"/>
  <c r="K13" i="25"/>
  <c r="M13" i="25"/>
  <c r="K11" i="25"/>
  <c r="M11" i="25"/>
  <c r="J36" i="21"/>
  <c r="L36" i="21"/>
  <c r="J35" i="21"/>
  <c r="L35" i="21"/>
  <c r="J34" i="21"/>
  <c r="L34" i="21"/>
  <c r="J92" i="21"/>
  <c r="L92" i="21"/>
  <c r="J91" i="21"/>
  <c r="L91"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alcChain>
</file>

<file path=xl/sharedStrings.xml><?xml version="1.0" encoding="utf-8"?>
<sst xmlns="http://schemas.openxmlformats.org/spreadsheetml/2006/main" count="4408" uniqueCount="235">
  <si>
    <t>USA / TRINIDAD SHIPPING TARIFF</t>
  </si>
  <si>
    <t>POL</t>
  </si>
  <si>
    <t>POD</t>
  </si>
  <si>
    <t>OF/Bunker</t>
  </si>
  <si>
    <t xml:space="preserve">THC </t>
  </si>
  <si>
    <t>LAC</t>
  </si>
  <si>
    <t>ISPS</t>
  </si>
  <si>
    <t>Container Inspection</t>
  </si>
  <si>
    <t>Peak season Surcharge</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</si>
  <si>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</si>
  <si>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</si>
  <si>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</si>
  <si>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</si>
  <si>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</si>
  <si>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</si>
  <si>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</si>
  <si>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</si>
  <si>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</si>
  <si>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</si>
  <si>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</si>
  <si>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31/10/2026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</si>
  <si>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</si>
  <si>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</si>
  <si>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</si>
  <si>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</si>
  <si>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</si>
  <si>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</si>
  <si>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</si>
  <si>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</si>
  <si>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</si>
  <si>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</si>
  <si>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</si>
  <si>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</si>
  <si>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</si>
  <si>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</si>
  <si>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</si>
  <si>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</si>
  <si>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</si>
  <si>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</si>
  <si>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Maersk</t>
  </si>
  <si>
    <t>Space is available, there is an increase in demand this month so advanced bookings are recommended.</t>
  </si>
  <si>
    <t>Santos/Imbituba/Salvador (TILES)</t>
  </si>
  <si>
    <t>23-28</t>
  </si>
  <si>
    <t>CMA CGM</t>
  </si>
  <si>
    <t>Space is available</t>
  </si>
  <si>
    <t>Santos/Salvador/Itajaí (TILES)</t>
  </si>
  <si>
    <t>MSC</t>
  </si>
  <si>
    <t xml:space="preserve">MSC are having issues with shortage of 20ft containers </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</si>
  <si>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</si>
  <si>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</si>
  <si>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</si>
  <si>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</si>
  <si>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</si>
  <si>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</si>
  <si>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</si>
  <si>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</si>
  <si>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</si>
  <si>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11/10/2026</t>
  </si>
  <si>
    <t>Space is becoming more available, advanced bookings are still high advised.</t>
  </si>
  <si>
    <t xml:space="preserve">Gaoming </t>
  </si>
  <si>
    <t>Shanghai/Xiamen/Tianjin/Shenzhen/Ningbo/Qingdao/Hong Kong/Xingang/Yantian</t>
  </si>
  <si>
    <t>30/09/2026</t>
  </si>
  <si>
    <t>COSCO</t>
  </si>
  <si>
    <t>Severe Space issues, booking need to be made 7 days before ETA</t>
  </si>
  <si>
    <t xml:space="preserve">Tianjin/Jiujiang (Shunde)/Hong Kong/Dalian </t>
  </si>
  <si>
    <t xml:space="preserve">Space is becoming more available, advanced bookings are still high advised.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</si>
  <si>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</si>
  <si>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</si>
  <si>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</si>
  <si>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</si>
  <si>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</si>
  <si>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</si>
  <si>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</si>
  <si>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</si>
  <si>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</si>
  <si>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</si>
  <si>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</si>
  <si>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</si>
  <si>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TAIWAN / TRINIDAD SHIPPING TARIFF</t>
  </si>
  <si>
    <t xml:space="preserve">Keelung/ Kaoisung </t>
  </si>
  <si>
    <t>55-60</t>
  </si>
  <si>
    <t>JAPAN / TRINIDAD SHIPPING TARIFF</t>
  </si>
  <si>
    <t xml:space="preserve">Yokohama, Osaka, Nagoya </t>
  </si>
  <si>
    <t>VIETNAM / TRINIDAD SHIPPING TARIFF</t>
  </si>
  <si>
    <t xml:space="preserve">Ho Chi Minh </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</si>
  <si>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</si>
  <si>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</si>
  <si>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</si>
  <si>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</si>
  <si>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</si>
  <si>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</si>
  <si>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</si>
  <si>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</si>
  <si>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14/10/2026</t>
  </si>
  <si>
    <t>TURKEY / TRINIDAD SHIPPING TARIFF</t>
  </si>
  <si>
    <t>ISPS&amp;Container Inspection</t>
  </si>
  <si>
    <t>Docs</t>
  </si>
  <si>
    <t>Gemlik (TILES)</t>
  </si>
  <si>
    <t>Port-of-Spain</t>
  </si>
  <si>
    <t>55-65</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</si>
  <si>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</si>
  <si>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</si>
  <si>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</si>
  <si>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</si>
  <si>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</si>
  <si>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</si>
  <si>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</si>
  <si>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</si>
  <si>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</si>
  <si>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</si>
  <si>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</si>
  <si>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</si>
  <si>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</si>
  <si>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</si>
  <si>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</si>
  <si>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</si>
  <si>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</si>
  <si>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</si>
  <si>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</si>
  <si>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</si>
  <si>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</si>
  <si>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GRI</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</si>
  <si>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</si>
  <si>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</si>
  <si>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</si>
  <si>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</si>
  <si>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</si>
  <si>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</si>
  <si>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</si>
  <si>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</si>
  <si>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</si>
  <si>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</si>
  <si>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</si>
  <si>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</si>
  <si>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</si>
  <si>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 xml:space="preserve"> Included </t>
  </si>
  <si>
    <t>21 Days</t>
  </si>
  <si>
    <t>Space is available, sailings are booking quickly so advanced bookings are recommended.</t>
  </si>
  <si>
    <t>Santos/Itajaí (TILES)</t>
  </si>
  <si>
    <t>ZIM</t>
  </si>
  <si>
    <t>Santos / Itapoá (TILES)</t>
  </si>
  <si>
    <t>Paranagua (Lumber)</t>
  </si>
  <si>
    <t xml:space="preserve">
</t>
  </si>
  <si>
    <t>CHINA / GUYANA SHIPPING TARIFF</t>
  </si>
  <si>
    <t>Handling Fee</t>
  </si>
  <si>
    <t>Comments</t>
  </si>
  <si>
    <t>Free time</t>
  </si>
  <si>
    <t xml:space="preserve">Shenzhen/ Shanghai/ Ningbo/ Qingdao/ Xiamen/ Hong Kong/ Chiwan/Yantian/Xingang </t>
  </si>
  <si>
    <t xml:space="preserve">Foshan/Gaoming/Yunfu/Tianjin/Guangzhou </t>
  </si>
  <si>
    <t>Shenzhen/ Shanghai/ Ningbo/ Qingdao/ Xiamen/ Hong Kong/ Chiwan/Yantian/Xingang/Tianjin</t>
  </si>
  <si>
    <t>21/09/2026</t>
  </si>
  <si>
    <t>17 days</t>
  </si>
  <si>
    <t>Yunfu/Gaoming</t>
  </si>
  <si>
    <t>JAPAN / GUYANA SHIPPING TARIFF</t>
  </si>
  <si>
    <t>Yokohama, Osaka, Nagoya, Tokyo</t>
  </si>
  <si>
    <t>MALAYSIA / GUYANA SHIPPING TARIFF</t>
  </si>
  <si>
    <t>Port Klang, Tanjung</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</si>
  <si>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</si>
  <si>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</si>
  <si>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</si>
  <si>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</si>
  <si>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</si>
  <si>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</si>
  <si>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</si>
  <si>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</si>
  <si>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</si>
  <si>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</si>
  <si>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</si>
  <si>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</si>
  <si>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</si>
  <si>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</si>
  <si>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</si>
  <si>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</si>
  <si>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</si>
  <si>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</si>
  <si>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</si>
  <si>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</si>
  <si>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</si>
  <si>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</si>
  <si>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</si>
  <si>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</si>
  <si>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</si>
  <si>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</si>
  <si>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Santos (Tiles)</t>
  </si>
  <si>
    <t>Included</t>
  </si>
  <si>
    <t>31/08/2026</t>
  </si>
  <si>
    <t>CHINA / SURINAME SHIPPING TARIFF</t>
  </si>
  <si>
    <t>Shenzhen/ Shanghai/ Ningbo/ Qingdao/ Xiamen/ Hong Kong/ Chiwan/Yantian</t>
  </si>
  <si>
    <t>65-75</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</si>
  <si>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</si>
  <si>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</si>
  <si>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</si>
  <si>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</si>
  <si>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</si>
  <si>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</si>
  <si>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</si>
  <si>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</si>
  <si>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</si>
  <si>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</si>
  <si>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</si>
  <si>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</si>
  <si>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</si>
  <si>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</si>
  <si>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</si>
  <si>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COLOMBIA/ SURINAME SHIPPING TARIFF</t>
  </si>
  <si>
    <t>TRINIDAD TO GUYANA SHIPPING TARIFF</t>
  </si>
  <si>
    <t>Emergency Fuel Surcharge</t>
  </si>
  <si>
    <t xml:space="preserve">OTHC </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</si>
  <si>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</si>
  <si>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</si>
  <si>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</si>
  <si>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</si>
  <si>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</si>
  <si>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</si>
  <si>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</si>
  <si>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</si>
  <si>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</si>
  <si>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</si>
  <si>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</si>
  <si>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</si>
  <si>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Hapag Lloyd</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</si>
  <si>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</si>
  <si>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</si>
  <si>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</si>
  <si>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</si>
  <si>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</si>
  <si>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</si>
  <si>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</si>
  <si>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</si>
  <si>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</si>
  <si>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</si>
  <si>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</si>
  <si>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</si>
  <si>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</si>
  <si>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Space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</si>
</sst>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74">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8" fontId="9" fillId="0" borderId="1" xfId="0" applyNumberFormat="1" applyFont="1" applyBorder="1" applyAlignment="1">
      <alignment horizontal="right"/>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5" fillId="3" borderId="48"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1" xfId="0" applyFill="1" applyBorder="1" applyAlignment="1">
      <alignment horizontal="center" vertical="center"/>
    </xf>
    <xf numFmtId="0" fontId="5" fillId="3" borderId="5" xfId="0" applyFont="1" applyFill="1" applyBorder="1" applyAlignment="1">
      <alignment horizontal="center" vertical="center"/>
    </xf>
    <xf numFmtId="0" fontId="5" fillId="3" borderId="20" xfId="0" applyFont="1"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applyAlignment="1">
      <alignment horizontal="center" wrapText="1"/>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5" fillId="3" borderId="4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15" fillId="0" borderId="3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7" xfId="0" applyFont="1" applyBorder="1" applyAlignment="1">
      <alignment vertical="center" wrapText="1"/>
    </xf>
    <xf numFmtId="0" fontId="2" fillId="0" borderId="14" xfId="0" applyFont="1" applyBorder="1" applyAlignment="1">
      <alignment vertical="center" wrapText="1"/>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5" fillId="3" borderId="59" xfId="0" applyFont="1" applyFill="1" applyBorder="1" applyAlignment="1">
      <alignment horizontal="center" vertical="center"/>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43" xfId="0" applyFont="1" applyFill="1" applyBorder="1" applyAlignment="1">
      <alignment horizontal="center" vertical="center"/>
    </xf>
    <xf numFmtId="0" fontId="5" fillId="3" borderId="44"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36" xfId="0" applyBorder="1" applyAlignment="1">
      <alignment horizontal="center" vertical="center" wrapText="1"/>
    </xf>
    <xf numFmtId="0" fontId="2" fillId="5" borderId="20"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0" fillId="0" borderId="1" xfId="0" applyBorder="1" applyAlignment="1">
      <alignment horizontal="center" vertical="center"/>
    </xf>
    <xf numFmtId="0" fontId="4" fillId="2" borderId="1" xfId="0" applyFont="1" applyFill="1" applyBorder="1" applyAlignment="1">
      <alignment horizontal="left"/>
    </xf>
    <xf numFmtId="0" fontId="0" fillId="0" borderId="60" xfId="0" applyBorder="1" applyAlignment="1">
      <alignment horizontal="center" vertical="center" wrapText="1"/>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7" fillId="5" borderId="1" xfId="0" applyFont="1" applyFill="1" applyBorder="1" applyAlignment="1">
      <alignment vertical="center"/>
    </xf>
    <xf numFmtId="0" fontId="7" fillId="5" borderId="30" xfId="0" applyFont="1" applyFill="1" applyBorder="1" applyAlignment="1">
      <alignment vertical="center"/>
    </xf>
    <xf numFmtId="0" fontId="7" fillId="5" borderId="0" xfId="0" applyFont="1" applyFill="1"/>
    <xf numFmtId="0" fontId="0" fillId="5" borderId="38" xfId="0" applyFill="1" applyBorder="1" applyAlignment="1">
      <alignment horizontal="center" vertical="center" wrapText="1"/>
    </xf>
    <xf numFmtId="0" fontId="11" fillId="3" borderId="43" xfId="0" applyFont="1" applyFill="1" applyBorder="1" applyAlignment="1">
      <alignment horizontal="center"/>
    </xf>
    <xf numFmtId="0" fontId="11" fillId="3" borderId="20" xfId="0" applyFont="1" applyFill="1" applyBorder="1" applyAlignment="1">
      <alignment horizontal="center"/>
    </xf>
    <xf numFmtId="0" fontId="11" fillId="3" borderId="44" xfId="0" applyFont="1" applyFill="1" applyBorder="1" applyAlignment="1">
      <alignment horizont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11" fillId="3" borderId="13" xfId="0" applyFont="1" applyFill="1" applyBorder="1" applyAlignment="1">
      <alignment horizontal="center"/>
    </xf>
    <xf numFmtId="0" fontId="7" fillId="5" borderId="36" xfId="0" applyFont="1" applyFill="1" applyBorder="1" applyAlignment="1">
      <alignment horizontal="center" vertical="center"/>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5"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0" fillId="5" borderId="26"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7" fillId="5" borderId="30"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7" xfId="0" applyFill="1" applyBorder="1" applyAlignment="1">
      <alignment horizontal="center" vertical="center" wrapText="1"/>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48</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111</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129</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155</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181</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49</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82</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102</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116</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0</xdr:col>
      <xdr:colOff>600075</xdr:colOff>
      <xdr:row>98</xdr:row>
      <xdr:rowOff>57150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0075" y="22221825"/>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2"/>
  <sheetViews>
    <sheetView zoomScale="90" zoomScaleNormal="90" workbookViewId="0">
      <selection activeCell="T11" sqref="T1:T1048576"/>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7" width="13" style="52" customWidth="1"/>
    <col min="8" max="8" width="14.88671875" style="52" customWidth="1"/>
    <col min="9" max="9" width="16.6640625" style="52" bestFit="1" customWidth="1"/>
    <col min="10" max="10" width="17.44140625" style="19" customWidth="1"/>
    <col min="11" max="11" width="16.6640625" style="19" bestFit="1" customWidth="1"/>
    <col min="12" max="12" width="16.109375" style="19" bestFit="1" customWidth="1"/>
    <col min="13" max="13" width="17.88671875" style="19" customWidth="1"/>
    <col min="14" max="14" width="16.33203125" style="19" customWidth="1"/>
    <col min="15" max="15" width="13" style="19" customWidth="1"/>
    <col min="16" max="16" width="14.1093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20" t="s">
        <v>0</v>
      </c>
      <c r="C8" s="220"/>
      <c r="D8" s="220"/>
      <c r="E8" s="220"/>
      <c r="F8" s="220"/>
      <c r="G8" s="220"/>
      <c r="H8" s="220"/>
      <c r="I8" s="220"/>
      <c r="J8" s="220"/>
      <c r="K8" s="220"/>
      <c r="L8" s="220"/>
      <c r="M8" s="220"/>
      <c r="N8" s="220"/>
      <c r="O8" s="220"/>
      <c r="P8" s="220"/>
    </row>
    <row r="9" spans="2:17" ht="28.8" x14ac:dyDescent="0.3">
      <c r="B9" s="4" t="s">
        <v>1</v>
      </c>
      <c r="C9" s="223" t="s">
        <v>2</v>
      </c>
      <c r="D9" s="223"/>
      <c r="E9" s="122" t="s">
        <v>3</v>
      </c>
      <c r="F9" s="122" t="s">
        <v>4</v>
      </c>
      <c r="G9" s="122" t="s">
        <v>5</v>
      </c>
      <c r="H9" s="122" t="s">
        <v>6</v>
      </c>
      <c r="I9" s="3" t="s">
        <v>7</v>
      </c>
      <c r="J9" s="3" t="s">
        <v>8</v>
      </c>
      <c r="K9" s="3" t="s">
        <v>9</v>
      </c>
      <c r="L9" s="3" t="s">
        <v>10</v>
      </c>
      <c r="M9" s="3" t="s">
        <v>11</v>
      </c>
      <c r="N9" s="122" t="s">
        <v>12</v>
      </c>
      <c r="O9" s="122" t="s">
        <v>13</v>
      </c>
      <c r="P9" s="4" t="s">
        <v>14</v>
      </c>
    </row>
    <row r="10" spans="2:17" x14ac:dyDescent="0.3">
      <c r="B10" s="228" t="s">
        <v>15</v>
      </c>
      <c r="C10" s="228" t="s">
        <v>16</v>
      </c>
      <c r="D10" s="20" t="s">
        <v>17</v>
      </c>
      <c r="E10" s="21">
        <v>1700</v>
      </c>
      <c r="F10" s="22">
        <v>410</v>
      </c>
      <c r="G10" s="22">
        <v>76.5</v>
      </c>
      <c r="H10" s="22" t="s">
        <v>18</v>
      </c>
      <c r="I10" s="22" t="s">
        <v>18</v>
      </c>
      <c r="J10" s="22">
        <v>250</v>
      </c>
      <c r="K10" s="23">
        <f t="shared" ref="K10:K21" si="0">SUM(E10:J10)</f>
        <v>2436.5</v>
      </c>
      <c r="L10" s="24">
        <v>200</v>
      </c>
      <c r="M10" s="23">
        <f t="shared" ref="M10:M21" si="1">K10+L10</f>
        <v>2636.5</v>
      </c>
      <c r="N10" s="116" t="s">
        <v>19</v>
      </c>
      <c r="O10" s="214" t="s">
        <v>20</v>
      </c>
      <c r="P10" s="25" t="s">
        <v>21</v>
      </c>
    </row>
    <row r="11" spans="2:17" x14ac:dyDescent="0.3">
      <c r="B11" s="229"/>
      <c r="C11" s="229"/>
      <c r="D11" s="20" t="s">
        <v>22</v>
      </c>
      <c r="E11" s="21">
        <v>2700</v>
      </c>
      <c r="F11" s="22">
        <v>410</v>
      </c>
      <c r="G11" s="22">
        <v>76.5</v>
      </c>
      <c r="H11" s="22" t="s">
        <v>18</v>
      </c>
      <c r="I11" s="22" t="s">
        <v>18</v>
      </c>
      <c r="J11" s="22">
        <v>500</v>
      </c>
      <c r="K11" s="23">
        <f t="shared" si="0"/>
        <v>3686.5</v>
      </c>
      <c r="L11" s="24">
        <v>200</v>
      </c>
      <c r="M11" s="23">
        <f t="shared" si="1"/>
        <v>3886.5</v>
      </c>
      <c r="N11" s="116" t="s">
        <v>19</v>
      </c>
      <c r="O11" s="214" t="s">
        <v>20</v>
      </c>
      <c r="P11" s="25" t="s">
        <v>21</v>
      </c>
    </row>
    <row r="12" spans="2:17" x14ac:dyDescent="0.3">
      <c r="B12" s="229"/>
      <c r="C12" s="228" t="s">
        <v>16</v>
      </c>
      <c r="D12" s="112" t="s">
        <v>17</v>
      </c>
      <c r="E12" s="21">
        <f>(1275)+525</f>
        <v>1800</v>
      </c>
      <c r="F12" s="22">
        <v>355</v>
      </c>
      <c r="G12" s="22">
        <v>76.5</v>
      </c>
      <c r="H12" s="22">
        <v>14</v>
      </c>
      <c r="I12" s="22">
        <v>15</v>
      </c>
      <c r="J12" s="22">
        <v>250</v>
      </c>
      <c r="K12" s="23">
        <f t="shared" si="0"/>
        <v>2510.5</v>
      </c>
      <c r="L12" s="24">
        <v>200</v>
      </c>
      <c r="M12" s="23">
        <f t="shared" si="1"/>
        <v>2710.5</v>
      </c>
      <c r="N12" s="116" t="s">
        <v>19</v>
      </c>
      <c r="O12" s="214" t="s">
        <v>20</v>
      </c>
      <c r="P12" s="25" t="s">
        <v>23</v>
      </c>
    </row>
    <row r="13" spans="2:17" x14ac:dyDescent="0.3">
      <c r="B13" s="229"/>
      <c r="C13" s="229"/>
      <c r="D13" s="112" t="s">
        <v>22</v>
      </c>
      <c r="E13" s="21">
        <f>(1935)+515</f>
        <v>2450</v>
      </c>
      <c r="F13" s="22">
        <v>355</v>
      </c>
      <c r="G13" s="22">
        <v>76.5</v>
      </c>
      <c r="H13" s="22">
        <v>14</v>
      </c>
      <c r="I13" s="22">
        <v>25</v>
      </c>
      <c r="J13" s="22">
        <v>500</v>
      </c>
      <c r="K13" s="23">
        <f t="shared" si="0"/>
        <v>3420.5</v>
      </c>
      <c r="L13" s="24">
        <v>200</v>
      </c>
      <c r="M13" s="23">
        <f t="shared" si="1"/>
        <v>3620.5</v>
      </c>
      <c r="N13" s="116" t="s">
        <v>19</v>
      </c>
      <c r="O13" s="214" t="s">
        <v>20</v>
      </c>
      <c r="P13" s="25" t="s">
        <v>23</v>
      </c>
      <c r="Q13" s="26"/>
    </row>
    <row r="14" spans="2:17" x14ac:dyDescent="0.3">
      <c r="B14" s="230" t="s">
        <v>24</v>
      </c>
      <c r="C14" s="232" t="s">
        <v>16</v>
      </c>
      <c r="D14" s="20" t="s">
        <v>17</v>
      </c>
      <c r="E14" s="21">
        <f>(1225+265)+500</f>
        <v>1990</v>
      </c>
      <c r="F14" s="22">
        <v>355</v>
      </c>
      <c r="G14" s="22">
        <v>76.5</v>
      </c>
      <c r="H14" s="22">
        <v>14</v>
      </c>
      <c r="I14" s="22">
        <v>15</v>
      </c>
      <c r="J14" s="22">
        <v>250</v>
      </c>
      <c r="K14" s="23">
        <f t="shared" si="0"/>
        <v>2700.5</v>
      </c>
      <c r="L14" s="24">
        <v>200</v>
      </c>
      <c r="M14" s="23">
        <f t="shared" si="1"/>
        <v>2900.5</v>
      </c>
      <c r="N14" s="116" t="s">
        <v>25</v>
      </c>
      <c r="O14" s="214" t="s">
        <v>20</v>
      </c>
      <c r="P14" s="25" t="s">
        <v>23</v>
      </c>
    </row>
    <row r="15" spans="2:17" x14ac:dyDescent="0.3">
      <c r="B15" s="231"/>
      <c r="C15" s="232"/>
      <c r="D15" s="20" t="s">
        <v>22</v>
      </c>
      <c r="E15" s="21">
        <f>(1950+530)+500</f>
        <v>2980</v>
      </c>
      <c r="F15" s="22">
        <v>355</v>
      </c>
      <c r="G15" s="22">
        <v>76.5</v>
      </c>
      <c r="H15" s="22">
        <v>14</v>
      </c>
      <c r="I15" s="22">
        <v>25</v>
      </c>
      <c r="J15" s="22">
        <v>500</v>
      </c>
      <c r="K15" s="23">
        <f t="shared" si="0"/>
        <v>3950.5</v>
      </c>
      <c r="L15" s="24">
        <v>200</v>
      </c>
      <c r="M15" s="23">
        <f t="shared" si="1"/>
        <v>4150.5</v>
      </c>
      <c r="N15" s="116" t="s">
        <v>25</v>
      </c>
      <c r="O15" s="214" t="s">
        <v>20</v>
      </c>
      <c r="P15" s="25" t="s">
        <v>23</v>
      </c>
    </row>
    <row r="16" spans="2:17" x14ac:dyDescent="0.3">
      <c r="B16" s="230" t="s">
        <v>26</v>
      </c>
      <c r="C16" s="230" t="s">
        <v>16</v>
      </c>
      <c r="D16" s="20" t="s">
        <v>17</v>
      </c>
      <c r="E16" s="21">
        <f>(1425+265)+500</f>
        <v>2190</v>
      </c>
      <c r="F16" s="22">
        <v>355</v>
      </c>
      <c r="G16" s="22">
        <v>76.5</v>
      </c>
      <c r="H16" s="22">
        <v>14</v>
      </c>
      <c r="I16" s="22">
        <v>15</v>
      </c>
      <c r="J16" s="22">
        <v>250</v>
      </c>
      <c r="K16" s="23">
        <f t="shared" si="0"/>
        <v>2900.5</v>
      </c>
      <c r="L16" s="24">
        <v>200</v>
      </c>
      <c r="M16" s="23">
        <f t="shared" si="1"/>
        <v>3100.5</v>
      </c>
      <c r="N16" s="116" t="s">
        <v>27</v>
      </c>
      <c r="O16" s="214" t="s">
        <v>20</v>
      </c>
      <c r="P16" s="25" t="s">
        <v>23</v>
      </c>
    </row>
    <row r="17" spans="2:17" x14ac:dyDescent="0.3">
      <c r="B17" s="231"/>
      <c r="C17" s="231"/>
      <c r="D17" s="20" t="s">
        <v>22</v>
      </c>
      <c r="E17" s="21">
        <f>(2350+530)+500</f>
        <v>3380</v>
      </c>
      <c r="F17" s="22">
        <v>355</v>
      </c>
      <c r="G17" s="22">
        <v>76.5</v>
      </c>
      <c r="H17" s="22">
        <v>14</v>
      </c>
      <c r="I17" s="22">
        <v>25</v>
      </c>
      <c r="J17" s="22">
        <v>500</v>
      </c>
      <c r="K17" s="23">
        <f t="shared" si="0"/>
        <v>4350.5</v>
      </c>
      <c r="L17" s="24">
        <v>200</v>
      </c>
      <c r="M17" s="23">
        <f t="shared" si="1"/>
        <v>4550.5</v>
      </c>
      <c r="N17" s="116" t="s">
        <v>27</v>
      </c>
      <c r="O17" s="214" t="s">
        <v>20</v>
      </c>
      <c r="P17" s="25" t="s">
        <v>23</v>
      </c>
    </row>
    <row r="18" spans="2:17" x14ac:dyDescent="0.3">
      <c r="B18" s="230" t="s">
        <v>28</v>
      </c>
      <c r="C18" s="232" t="s">
        <v>29</v>
      </c>
      <c r="D18" s="20" t="s">
        <v>17</v>
      </c>
      <c r="E18" s="21">
        <f>(1225+265)+500</f>
        <v>1990</v>
      </c>
      <c r="F18" s="22">
        <v>355</v>
      </c>
      <c r="G18" s="22">
        <v>76.5</v>
      </c>
      <c r="H18" s="22">
        <v>14</v>
      </c>
      <c r="I18" s="22">
        <v>15</v>
      </c>
      <c r="J18" s="22">
        <v>250</v>
      </c>
      <c r="K18" s="23">
        <f t="shared" si="0"/>
        <v>2700.5</v>
      </c>
      <c r="L18" s="24">
        <v>200</v>
      </c>
      <c r="M18" s="23">
        <f t="shared" si="1"/>
        <v>2900.5</v>
      </c>
      <c r="N18" s="116" t="s">
        <v>30</v>
      </c>
      <c r="O18" s="214" t="s">
        <v>20</v>
      </c>
      <c r="P18" s="25" t="s">
        <v>23</v>
      </c>
      <c r="Q18" s="26"/>
    </row>
    <row r="19" spans="2:17" x14ac:dyDescent="0.3">
      <c r="B19" s="241"/>
      <c r="C19" s="232"/>
      <c r="D19" s="20" t="s">
        <v>22</v>
      </c>
      <c r="E19" s="21">
        <f>(1950+530)+500</f>
        <v>2980</v>
      </c>
      <c r="F19" s="22">
        <v>355</v>
      </c>
      <c r="G19" s="22">
        <v>76.5</v>
      </c>
      <c r="H19" s="22">
        <v>14</v>
      </c>
      <c r="I19" s="22">
        <v>25</v>
      </c>
      <c r="J19" s="22">
        <v>500</v>
      </c>
      <c r="K19" s="23">
        <f t="shared" si="0"/>
        <v>3950.5</v>
      </c>
      <c r="L19" s="24">
        <v>200</v>
      </c>
      <c r="M19" s="23">
        <f t="shared" si="1"/>
        <v>4150.5</v>
      </c>
      <c r="N19" s="116" t="s">
        <v>30</v>
      </c>
      <c r="O19" s="214" t="s">
        <v>20</v>
      </c>
      <c r="P19" s="25" t="s">
        <v>23</v>
      </c>
      <c r="Q19" s="26"/>
    </row>
    <row r="20" spans="2:17" x14ac:dyDescent="0.3">
      <c r="B20" s="241"/>
      <c r="C20" s="232" t="s">
        <v>16</v>
      </c>
      <c r="D20" s="20" t="s">
        <v>17</v>
      </c>
      <c r="E20" s="21">
        <f>(1225+265)+500</f>
        <v>1990</v>
      </c>
      <c r="F20" s="22">
        <v>355</v>
      </c>
      <c r="G20" s="22">
        <v>76.5</v>
      </c>
      <c r="H20" s="22">
        <v>14</v>
      </c>
      <c r="I20" s="22">
        <v>15</v>
      </c>
      <c r="J20" s="22">
        <v>250</v>
      </c>
      <c r="K20" s="23">
        <f t="shared" si="0"/>
        <v>2700.5</v>
      </c>
      <c r="L20" s="24">
        <v>200</v>
      </c>
      <c r="M20" s="23">
        <f t="shared" si="1"/>
        <v>2900.5</v>
      </c>
      <c r="N20" s="116" t="s">
        <v>31</v>
      </c>
      <c r="O20" s="214" t="s">
        <v>20</v>
      </c>
      <c r="P20" s="25" t="s">
        <v>23</v>
      </c>
    </row>
    <row r="21" spans="2:17" x14ac:dyDescent="0.3">
      <c r="B21" s="231"/>
      <c r="C21" s="232"/>
      <c r="D21" s="20" t="s">
        <v>22</v>
      </c>
      <c r="E21" s="21">
        <f>(1950+530)+500</f>
        <v>2980</v>
      </c>
      <c r="F21" s="22">
        <v>355</v>
      </c>
      <c r="G21" s="22">
        <v>76.5</v>
      </c>
      <c r="H21" s="22">
        <v>14</v>
      </c>
      <c r="I21" s="22">
        <v>25</v>
      </c>
      <c r="J21" s="22">
        <v>500</v>
      </c>
      <c r="K21" s="23">
        <f t="shared" si="0"/>
        <v>3950.5</v>
      </c>
      <c r="L21" s="24">
        <v>200</v>
      </c>
      <c r="M21" s="23">
        <f t="shared" si="1"/>
        <v>4150.5</v>
      </c>
      <c r="N21" s="116" t="s">
        <v>31</v>
      </c>
      <c r="O21" s="214" t="s">
        <v>20</v>
      </c>
      <c r="P21" s="25" t="s">
        <v>23</v>
      </c>
    </row>
    <row r="22" spans="2:17" x14ac:dyDescent="0.3">
      <c r="B22" s="27"/>
      <c r="C22" s="27"/>
      <c r="D22" s="28"/>
      <c r="E22" s="117"/>
      <c r="F22" s="99"/>
      <c r="G22" s="99"/>
      <c r="H22" s="99"/>
      <c r="I22" s="99"/>
      <c r="J22" s="102"/>
      <c r="K22" s="102"/>
      <c r="L22" s="102"/>
      <c r="M22" s="101"/>
      <c r="N22" s="102"/>
      <c r="O22" s="101"/>
      <c r="P22" s="34"/>
      <c r="Q22" s="28"/>
    </row>
    <row r="23" spans="2:17" ht="15.6" x14ac:dyDescent="0.3">
      <c r="B23" s="190" t="s">
        <v>32</v>
      </c>
      <c r="C23" s="191"/>
      <c r="D23" s="191"/>
      <c r="E23" s="191"/>
      <c r="F23" s="191"/>
      <c r="G23" s="191"/>
      <c r="H23" s="191"/>
      <c r="I23" s="191"/>
      <c r="J23" s="191"/>
      <c r="K23" s="191"/>
      <c r="L23" s="191"/>
      <c r="M23" s="191"/>
      <c r="N23" s="191"/>
      <c r="O23" s="191"/>
      <c r="P23" s="191"/>
    </row>
    <row r="24" spans="2:17" ht="14.4" customHeight="1" x14ac:dyDescent="0.3">
      <c r="B24" s="243" t="s">
        <v>33</v>
      </c>
      <c r="C24" s="243"/>
      <c r="D24" s="243"/>
      <c r="E24" s="243"/>
      <c r="F24" s="243"/>
      <c r="G24" s="243"/>
      <c r="H24" s="243"/>
      <c r="I24" s="243"/>
      <c r="J24" s="243"/>
      <c r="K24" s="243"/>
      <c r="L24" s="243"/>
      <c r="M24" s="243"/>
      <c r="N24" s="243"/>
      <c r="O24" s="243"/>
      <c r="P24" s="243"/>
    </row>
    <row r="25" spans="2:17" x14ac:dyDescent="0.3">
      <c r="B25" s="243"/>
      <c r="C25" s="243"/>
      <c r="D25" s="243"/>
      <c r="E25" s="243"/>
      <c r="F25" s="243"/>
      <c r="G25" s="243"/>
      <c r="H25" s="243"/>
      <c r="I25" s="243"/>
      <c r="J25" s="243"/>
      <c r="K25" s="243"/>
      <c r="L25" s="243"/>
      <c r="M25" s="243"/>
      <c r="N25" s="243"/>
      <c r="O25" s="243"/>
      <c r="P25" s="243"/>
    </row>
    <row r="26" spans="2:17" x14ac:dyDescent="0.3">
      <c r="B26" s="243"/>
      <c r="C26" s="243"/>
      <c r="D26" s="243"/>
      <c r="E26" s="243"/>
      <c r="F26" s="243"/>
      <c r="G26" s="243"/>
      <c r="H26" s="243"/>
      <c r="I26" s="243"/>
      <c r="J26" s="243"/>
      <c r="K26" s="243"/>
      <c r="L26" s="243"/>
      <c r="M26" s="243"/>
      <c r="N26" s="243"/>
      <c r="O26" s="243"/>
      <c r="P26" s="243"/>
    </row>
    <row r="27" spans="2:17" x14ac:dyDescent="0.3">
      <c r="B27" s="243"/>
      <c r="C27" s="243"/>
      <c r="D27" s="243"/>
      <c r="E27" s="243"/>
      <c r="F27" s="243"/>
      <c r="G27" s="243"/>
      <c r="H27" s="243"/>
      <c r="I27" s="243"/>
      <c r="J27" s="243"/>
      <c r="K27" s="243"/>
      <c r="L27" s="243"/>
      <c r="M27" s="243"/>
      <c r="N27" s="243"/>
      <c r="O27" s="243"/>
      <c r="P27" s="243"/>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7"/>
      <c r="F34" s="99"/>
      <c r="G34" s="99"/>
      <c r="H34" s="99"/>
      <c r="I34" s="99"/>
      <c r="J34" s="102"/>
      <c r="K34" s="102"/>
      <c r="L34" s="102"/>
      <c r="M34" s="101"/>
      <c r="N34" s="102"/>
      <c r="O34" s="101"/>
      <c r="P34" s="34"/>
      <c r="Q34" s="28"/>
    </row>
    <row r="35" spans="2:17" ht="28.8" x14ac:dyDescent="0.3">
      <c r="B35" s="233" t="s">
        <v>34</v>
      </c>
      <c r="C35" s="234"/>
      <c r="D35" s="234"/>
      <c r="E35" s="234"/>
      <c r="F35" s="234"/>
      <c r="G35" s="234"/>
      <c r="H35" s="234"/>
      <c r="I35" s="234"/>
      <c r="J35" s="234"/>
      <c r="K35" s="234"/>
      <c r="L35" s="234"/>
      <c r="M35" s="234"/>
      <c r="N35" s="234"/>
      <c r="O35" s="234"/>
      <c r="P35" s="234"/>
    </row>
    <row r="36" spans="2:17" ht="28.8" x14ac:dyDescent="0.3">
      <c r="B36" s="122" t="s">
        <v>1</v>
      </c>
      <c r="C36" s="223" t="s">
        <v>2</v>
      </c>
      <c r="D36" s="223"/>
      <c r="E36" s="122" t="s">
        <v>3</v>
      </c>
      <c r="F36" s="122" t="s">
        <v>4</v>
      </c>
      <c r="G36" s="11" t="s">
        <v>35</v>
      </c>
      <c r="H36" s="128" t="s">
        <v>6</v>
      </c>
      <c r="I36" s="3" t="s">
        <v>9</v>
      </c>
      <c r="J36" s="3" t="s">
        <v>10</v>
      </c>
      <c r="K36" s="3" t="s">
        <v>11</v>
      </c>
      <c r="L36" s="122" t="s">
        <v>12</v>
      </c>
      <c r="M36" s="122" t="s">
        <v>13</v>
      </c>
      <c r="N36" s="122" t="s">
        <v>14</v>
      </c>
      <c r="O36" s="223" t="s">
        <v>36</v>
      </c>
      <c r="P36" s="223"/>
    </row>
    <row r="37" spans="2:17" x14ac:dyDescent="0.3">
      <c r="B37" s="235" t="s">
        <v>37</v>
      </c>
      <c r="C37" s="138" t="s">
        <v>16</v>
      </c>
      <c r="D37" s="20" t="s">
        <v>17</v>
      </c>
      <c r="E37" s="144">
        <f>CEILING((((4205+50)*1.15)),50)</f>
        <v>4900</v>
      </c>
      <c r="F37" s="206">
        <v>335</v>
      </c>
      <c r="G37" s="206">
        <v>65</v>
      </c>
      <c r="H37" s="206">
        <v>0</v>
      </c>
      <c r="I37" s="39">
        <f>SUM(E37:H37)</f>
        <v>5300</v>
      </c>
      <c r="J37" s="24">
        <v>200</v>
      </c>
      <c r="K37" s="23">
        <f>I37+J37</f>
        <v>5500</v>
      </c>
      <c r="L37" s="40" t="s">
        <v>38</v>
      </c>
      <c r="M37" s="214" t="s">
        <v>20</v>
      </c>
      <c r="N37" s="142" t="s">
        <v>39</v>
      </c>
      <c r="O37" s="236" t="s">
        <v>40</v>
      </c>
      <c r="P37" s="237"/>
    </row>
    <row r="38" spans="2:17" x14ac:dyDescent="0.3">
      <c r="B38" s="235"/>
      <c r="C38" s="138" t="s">
        <v>16</v>
      </c>
      <c r="D38" s="20" t="s">
        <v>22</v>
      </c>
      <c r="E38" s="144">
        <f>CEILING((((4355+50)*1.15)),50)</f>
        <v>5100</v>
      </c>
      <c r="F38" s="206">
        <v>335</v>
      </c>
      <c r="G38" s="206">
        <v>65</v>
      </c>
      <c r="H38" s="206">
        <v>0</v>
      </c>
      <c r="I38" s="39">
        <f>SUM(E38:H38)</f>
        <v>5500</v>
      </c>
      <c r="J38" s="24">
        <v>200</v>
      </c>
      <c r="K38" s="23">
        <f>I38+J38</f>
        <v>5700</v>
      </c>
      <c r="L38" s="40" t="s">
        <v>38</v>
      </c>
      <c r="M38" s="214" t="s">
        <v>20</v>
      </c>
      <c r="N38" s="142" t="s">
        <v>39</v>
      </c>
      <c r="O38" s="238"/>
      <c r="P38" s="239"/>
    </row>
    <row r="39" spans="2:17" ht="14.4" customHeight="1" x14ac:dyDescent="0.3">
      <c r="B39" s="192" t="s">
        <v>41</v>
      </c>
      <c r="C39" s="138" t="s">
        <v>29</v>
      </c>
      <c r="D39" s="20" t="s">
        <v>17</v>
      </c>
      <c r="E39" s="215">
        <v>4425</v>
      </c>
      <c r="F39" s="22">
        <v>355</v>
      </c>
      <c r="G39" s="22">
        <v>76.5</v>
      </c>
      <c r="H39" s="22">
        <v>30</v>
      </c>
      <c r="I39" s="39">
        <f>SUM(E39:H39)</f>
        <v>4886.5</v>
      </c>
      <c r="J39" s="24">
        <v>200</v>
      </c>
      <c r="K39" s="23">
        <f>I39+J39</f>
        <v>5086.5</v>
      </c>
      <c r="L39" s="40" t="s">
        <v>42</v>
      </c>
      <c r="M39" s="214" t="s">
        <v>20</v>
      </c>
      <c r="N39" s="95" t="s">
        <v>43</v>
      </c>
      <c r="O39" s="240" t="s">
        <v>44</v>
      </c>
      <c r="P39" s="240"/>
    </row>
    <row r="40" spans="2:17" ht="29.4" customHeight="1" x14ac:dyDescent="0.3">
      <c r="B40" s="192" t="s">
        <v>45</v>
      </c>
      <c r="C40" s="138" t="s">
        <v>29</v>
      </c>
      <c r="D40" s="20" t="s">
        <v>17</v>
      </c>
      <c r="E40" s="215">
        <v>3975</v>
      </c>
      <c r="F40" s="22">
        <v>340</v>
      </c>
      <c r="G40" s="22">
        <v>85</v>
      </c>
      <c r="H40" s="22">
        <v>10</v>
      </c>
      <c r="I40" s="39">
        <f>SUM(E40:H40)</f>
        <v>4410</v>
      </c>
      <c r="J40" s="24">
        <v>200</v>
      </c>
      <c r="K40" s="23">
        <f>I40+J40</f>
        <v>4610</v>
      </c>
      <c r="L40" s="40" t="s">
        <v>42</v>
      </c>
      <c r="M40" s="214" t="s">
        <v>20</v>
      </c>
      <c r="N40" s="142" t="s">
        <v>46</v>
      </c>
      <c r="O40" s="285" t="s">
        <v>47</v>
      </c>
      <c r="P40" s="286"/>
    </row>
    <row r="41" spans="2:17" ht="14.4" customHeight="1" x14ac:dyDescent="0.3">
      <c r="B41" s="192" t="s">
        <v>48</v>
      </c>
      <c r="C41" s="138" t="s">
        <v>16</v>
      </c>
      <c r="D41" s="20" t="s">
        <v>22</v>
      </c>
      <c r="E41" s="144">
        <f>CEILING((((3811+50)*1.13)),50)</f>
        <v>4400</v>
      </c>
      <c r="F41" s="206">
        <v>340</v>
      </c>
      <c r="G41" s="206">
        <v>85</v>
      </c>
      <c r="H41" s="206">
        <v>18</v>
      </c>
      <c r="I41" s="39">
        <f>SUM(E41:H41)</f>
        <v>4843</v>
      </c>
      <c r="J41" s="24">
        <v>200</v>
      </c>
      <c r="K41" s="23">
        <f>I41+J41</f>
        <v>5043</v>
      </c>
      <c r="L41" s="40" t="s">
        <v>38</v>
      </c>
      <c r="M41" s="214" t="s">
        <v>20</v>
      </c>
      <c r="N41" s="142" t="s">
        <v>46</v>
      </c>
      <c r="O41" s="240" t="s">
        <v>44</v>
      </c>
      <c r="P41" s="240"/>
    </row>
    <row r="42" spans="2:17" x14ac:dyDescent="0.3">
      <c r="B42" s="42"/>
      <c r="C42" s="127"/>
      <c r="D42" s="28"/>
      <c r="E42" s="43"/>
      <c r="F42" s="43"/>
      <c r="G42" s="43"/>
      <c r="H42" s="127"/>
      <c r="I42" s="99"/>
      <c r="J42" s="100"/>
      <c r="K42" s="100"/>
      <c r="L42" s="100"/>
      <c r="M42" s="101"/>
      <c r="N42" s="102"/>
      <c r="O42" s="44"/>
      <c r="P42" s="34"/>
      <c r="Q42" s="127"/>
    </row>
    <row r="43" spans="2:17" ht="15.6" x14ac:dyDescent="0.3">
      <c r="B43" s="5" t="s">
        <v>32</v>
      </c>
      <c r="C43" s="6"/>
      <c r="D43" s="6"/>
      <c r="E43" s="6"/>
      <c r="F43" s="6"/>
      <c r="G43" s="6"/>
      <c r="H43" s="6"/>
      <c r="I43" s="6"/>
      <c r="J43" s="6"/>
      <c r="K43" s="6"/>
      <c r="L43" s="6"/>
      <c r="M43" s="6"/>
      <c r="N43" s="6"/>
      <c r="O43" s="6"/>
      <c r="P43" s="6"/>
      <c r="Q43" s="7"/>
    </row>
    <row r="44" spans="2:17" x14ac:dyDescent="0.3">
      <c r="B44" s="244" t="s">
        <v>33</v>
      </c>
      <c r="C44" s="245"/>
      <c r="D44" s="245"/>
      <c r="E44" s="245"/>
      <c r="F44" s="245"/>
      <c r="G44" s="245"/>
      <c r="H44" s="245"/>
      <c r="I44" s="245"/>
      <c r="J44" s="245"/>
      <c r="K44" s="245"/>
      <c r="L44" s="245"/>
      <c r="M44" s="245"/>
      <c r="N44" s="245"/>
      <c r="O44" s="245"/>
      <c r="P44" s="245"/>
      <c r="Q44" s="246"/>
    </row>
    <row r="45" spans="2:17" x14ac:dyDescent="0.3">
      <c r="B45" s="244"/>
      <c r="C45" s="245"/>
      <c r="D45" s="245"/>
      <c r="E45" s="245"/>
      <c r="F45" s="245"/>
      <c r="G45" s="245"/>
      <c r="H45" s="245"/>
      <c r="I45" s="245"/>
      <c r="J45" s="245"/>
      <c r="K45" s="245"/>
      <c r="L45" s="245"/>
      <c r="M45" s="245"/>
      <c r="N45" s="245"/>
      <c r="O45" s="245"/>
      <c r="P45" s="245"/>
      <c r="Q45" s="246"/>
    </row>
    <row r="46" spans="2:17" x14ac:dyDescent="0.3">
      <c r="B46" s="244"/>
      <c r="C46" s="245"/>
      <c r="D46" s="245"/>
      <c r="E46" s="245"/>
      <c r="F46" s="245"/>
      <c r="G46" s="245"/>
      <c r="H46" s="245"/>
      <c r="I46" s="245"/>
      <c r="J46" s="245"/>
      <c r="K46" s="245"/>
      <c r="L46" s="245"/>
      <c r="M46" s="245"/>
      <c r="N46" s="245"/>
      <c r="O46" s="245"/>
      <c r="P46" s="245"/>
      <c r="Q46" s="246"/>
    </row>
    <row r="47" spans="2:17" x14ac:dyDescent="0.3">
      <c r="B47" s="247"/>
      <c r="C47" s="248"/>
      <c r="D47" s="248"/>
      <c r="E47" s="248"/>
      <c r="F47" s="248"/>
      <c r="G47" s="248"/>
      <c r="H47" s="248"/>
      <c r="I47" s="248"/>
      <c r="J47" s="248"/>
      <c r="K47" s="248"/>
      <c r="L47" s="248"/>
      <c r="M47" s="248"/>
      <c r="N47" s="248"/>
      <c r="O47" s="248"/>
      <c r="P47" s="248"/>
      <c r="Q47" s="249"/>
    </row>
    <row r="48" spans="2:17" x14ac:dyDescent="0.3">
      <c r="B48" s="35"/>
      <c r="C48" s="35"/>
      <c r="D48" s="35"/>
      <c r="E48" s="35"/>
      <c r="F48" s="35"/>
      <c r="G48" s="35"/>
      <c r="H48" s="35"/>
      <c r="I48" s="35"/>
      <c r="J48" s="35"/>
      <c r="K48" s="35"/>
      <c r="L48" s="35"/>
      <c r="M48" s="35"/>
      <c r="N48" s="35"/>
      <c r="O48" s="35"/>
      <c r="P48" s="35"/>
      <c r="Q48" s="11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x14ac:dyDescent="0.3">
      <c r="B55" s="35"/>
      <c r="C55" s="35"/>
      <c r="D55" s="35"/>
      <c r="E55" s="35"/>
      <c r="F55" s="35"/>
      <c r="G55" s="35"/>
      <c r="H55" s="35"/>
      <c r="I55" s="35"/>
      <c r="J55" s="35"/>
      <c r="K55" s="35"/>
      <c r="L55" s="35"/>
      <c r="M55" s="35"/>
      <c r="N55" s="35"/>
      <c r="O55" s="35"/>
      <c r="P55" s="35"/>
      <c r="Q55" s="35"/>
    </row>
    <row r="56" spans="2:19" ht="15" thickBot="1" x14ac:dyDescent="0.35">
      <c r="B56" s="27"/>
      <c r="C56" s="27"/>
      <c r="D56" s="28"/>
      <c r="E56" s="117"/>
      <c r="F56" s="99"/>
      <c r="G56" s="99"/>
      <c r="H56" s="99"/>
      <c r="I56" s="99"/>
      <c r="J56" s="102"/>
      <c r="K56" s="102"/>
      <c r="L56" s="102"/>
      <c r="M56" s="101"/>
      <c r="N56" s="102"/>
      <c r="O56" s="101"/>
      <c r="P56" s="34"/>
      <c r="Q56" s="28"/>
      <c r="R56" s="28"/>
    </row>
    <row r="57" spans="2:19" ht="28.8" x14ac:dyDescent="0.3">
      <c r="B57" s="221" t="s">
        <v>49</v>
      </c>
      <c r="C57" s="222"/>
      <c r="D57" s="222"/>
      <c r="E57" s="222"/>
      <c r="F57" s="222"/>
      <c r="G57" s="222"/>
      <c r="H57" s="222"/>
      <c r="I57" s="222"/>
      <c r="J57" s="222"/>
      <c r="K57" s="222"/>
      <c r="L57" s="222"/>
      <c r="M57" s="222"/>
      <c r="N57" s="222"/>
      <c r="O57" s="222"/>
      <c r="P57" s="222"/>
      <c r="Q57" s="222"/>
      <c r="R57" s="222"/>
      <c r="S57" s="250"/>
    </row>
    <row r="58" spans="2:19" ht="28.8" x14ac:dyDescent="0.3">
      <c r="B58" s="98" t="s">
        <v>1</v>
      </c>
      <c r="C58" s="223" t="s">
        <v>2</v>
      </c>
      <c r="D58" s="223"/>
      <c r="E58" s="122" t="s">
        <v>3</v>
      </c>
      <c r="F58" s="122" t="s">
        <v>4</v>
      </c>
      <c r="G58" s="122" t="s">
        <v>5</v>
      </c>
      <c r="H58" s="122" t="s">
        <v>6</v>
      </c>
      <c r="I58" s="3" t="s">
        <v>50</v>
      </c>
      <c r="J58" s="3" t="s">
        <v>51</v>
      </c>
      <c r="K58" s="3" t="s">
        <v>52</v>
      </c>
      <c r="L58" s="3" t="s">
        <v>53</v>
      </c>
      <c r="M58" s="3" t="s">
        <v>10</v>
      </c>
      <c r="N58" s="182" t="s">
        <v>11</v>
      </c>
      <c r="O58" s="182" t="s">
        <v>12</v>
      </c>
      <c r="P58" s="4" t="s">
        <v>13</v>
      </c>
      <c r="Q58" s="4" t="s">
        <v>14</v>
      </c>
      <c r="R58" s="251" t="s">
        <v>36</v>
      </c>
      <c r="S58" s="252"/>
    </row>
    <row r="59" spans="2:19" x14ac:dyDescent="0.3">
      <c r="B59" s="253" t="s">
        <v>54</v>
      </c>
      <c r="C59" s="242" t="s">
        <v>55</v>
      </c>
      <c r="D59" s="139" t="s">
        <v>17</v>
      </c>
      <c r="E59" s="140">
        <f>CEILING((((8900+297+115)*1.13)-340)-150,50)</f>
        <v>10050</v>
      </c>
      <c r="F59" s="206">
        <v>340</v>
      </c>
      <c r="G59" s="206">
        <v>85</v>
      </c>
      <c r="H59" s="206">
        <v>18</v>
      </c>
      <c r="I59" s="206">
        <v>10</v>
      </c>
      <c r="J59" s="206">
        <v>75</v>
      </c>
      <c r="K59" s="206">
        <v>75</v>
      </c>
      <c r="L59" s="141">
        <f t="shared" ref="L59:L60" si="2">SUM(E59:K59)</f>
        <v>10653</v>
      </c>
      <c r="M59" s="207">
        <v>200</v>
      </c>
      <c r="N59" s="141">
        <f t="shared" ref="N59:N60" si="3">SUM(L59:M59)</f>
        <v>10853</v>
      </c>
      <c r="O59" s="142" t="s">
        <v>56</v>
      </c>
      <c r="P59" s="210" t="s">
        <v>57</v>
      </c>
      <c r="Q59" s="142" t="s">
        <v>46</v>
      </c>
      <c r="R59" s="260" t="s">
        <v>58</v>
      </c>
      <c r="S59" s="261"/>
    </row>
    <row r="60" spans="2:19" x14ac:dyDescent="0.3">
      <c r="B60" s="253"/>
      <c r="C60" s="242"/>
      <c r="D60" s="139" t="s">
        <v>22</v>
      </c>
      <c r="E60" s="140">
        <f>CEILING((((8900+297+115)*1.13)-340)-150,50)</f>
        <v>10050</v>
      </c>
      <c r="F60" s="206">
        <v>340</v>
      </c>
      <c r="G60" s="206">
        <v>85</v>
      </c>
      <c r="H60" s="206">
        <v>18</v>
      </c>
      <c r="I60" s="206">
        <v>10</v>
      </c>
      <c r="J60" s="206">
        <v>75</v>
      </c>
      <c r="K60" s="206">
        <v>75</v>
      </c>
      <c r="L60" s="141">
        <f t="shared" si="2"/>
        <v>10653</v>
      </c>
      <c r="M60" s="207">
        <v>200</v>
      </c>
      <c r="N60" s="141">
        <f t="shared" si="3"/>
        <v>10853</v>
      </c>
      <c r="O60" s="142" t="s">
        <v>56</v>
      </c>
      <c r="P60" s="210" t="s">
        <v>57</v>
      </c>
      <c r="Q60" s="142" t="s">
        <v>46</v>
      </c>
      <c r="R60" s="260"/>
      <c r="S60" s="261"/>
    </row>
    <row r="61" spans="2:19" ht="14.4" customHeight="1" x14ac:dyDescent="0.3">
      <c r="B61" s="253" t="s">
        <v>59</v>
      </c>
      <c r="C61" s="242" t="s">
        <v>55</v>
      </c>
      <c r="D61" s="139" t="s">
        <v>17</v>
      </c>
      <c r="E61" s="140">
        <f>CEILING((((9050+297+115)*1.13)-340)-150,50)</f>
        <v>10250</v>
      </c>
      <c r="F61" s="206">
        <v>340</v>
      </c>
      <c r="G61" s="206">
        <v>85</v>
      </c>
      <c r="H61" s="206">
        <v>18</v>
      </c>
      <c r="I61" s="206">
        <v>10</v>
      </c>
      <c r="J61" s="206">
        <v>75</v>
      </c>
      <c r="K61" s="206">
        <v>75</v>
      </c>
      <c r="L61" s="141">
        <f t="shared" ref="L61:L80" si="4">SUM(E61:K61)</f>
        <v>10853</v>
      </c>
      <c r="M61" s="207">
        <v>200</v>
      </c>
      <c r="N61" s="141">
        <f t="shared" ref="N61:N80" si="5">SUM(L61:M61)</f>
        <v>11053</v>
      </c>
      <c r="O61" s="142" t="s">
        <v>56</v>
      </c>
      <c r="P61" s="210" t="s">
        <v>57</v>
      </c>
      <c r="Q61" s="142" t="s">
        <v>46</v>
      </c>
      <c r="R61" s="260"/>
      <c r="S61" s="261"/>
    </row>
    <row r="62" spans="2:19" x14ac:dyDescent="0.3">
      <c r="B62" s="253"/>
      <c r="C62" s="242"/>
      <c r="D62" s="139" t="s">
        <v>22</v>
      </c>
      <c r="E62" s="140">
        <f>CEILING((((9120+297+115)*1.13)-340)-150,50)</f>
        <v>10300</v>
      </c>
      <c r="F62" s="206">
        <v>340</v>
      </c>
      <c r="G62" s="206">
        <v>85</v>
      </c>
      <c r="H62" s="206">
        <v>18</v>
      </c>
      <c r="I62" s="206">
        <v>10</v>
      </c>
      <c r="J62" s="206">
        <v>75</v>
      </c>
      <c r="K62" s="206">
        <v>75</v>
      </c>
      <c r="L62" s="141">
        <f t="shared" si="4"/>
        <v>10903</v>
      </c>
      <c r="M62" s="207">
        <v>200</v>
      </c>
      <c r="N62" s="141">
        <f t="shared" si="5"/>
        <v>11103</v>
      </c>
      <c r="O62" s="142" t="s">
        <v>56</v>
      </c>
      <c r="P62" s="210" t="s">
        <v>57</v>
      </c>
      <c r="Q62" s="142" t="s">
        <v>46</v>
      </c>
      <c r="R62" s="262"/>
      <c r="S62" s="263"/>
    </row>
    <row r="63" spans="2:19" ht="14.4" customHeight="1" x14ac:dyDescent="0.3">
      <c r="B63" s="268" t="s">
        <v>60</v>
      </c>
      <c r="C63" s="226" t="s">
        <v>29</v>
      </c>
      <c r="D63" s="118" t="s">
        <v>17</v>
      </c>
      <c r="E63" s="120">
        <f>CEILING(((8640+115+289)*1.12)-439,50)</f>
        <v>9700</v>
      </c>
      <c r="F63" s="96">
        <v>289</v>
      </c>
      <c r="G63" s="96">
        <v>84.38</v>
      </c>
      <c r="H63" s="96">
        <v>15</v>
      </c>
      <c r="I63" s="96">
        <v>40</v>
      </c>
      <c r="J63" s="96">
        <v>75</v>
      </c>
      <c r="K63" s="96">
        <v>75</v>
      </c>
      <c r="L63" s="97">
        <f t="shared" si="4"/>
        <v>10278.379999999999</v>
      </c>
      <c r="M63" s="181">
        <v>200</v>
      </c>
      <c r="N63" s="97">
        <f t="shared" si="5"/>
        <v>10478.379999999999</v>
      </c>
      <c r="O63" s="95" t="s">
        <v>56</v>
      </c>
      <c r="P63" s="210" t="s">
        <v>61</v>
      </c>
      <c r="Q63" s="95" t="s">
        <v>62</v>
      </c>
      <c r="R63" s="236" t="s">
        <v>63</v>
      </c>
      <c r="S63" s="237"/>
    </row>
    <row r="64" spans="2:19" x14ac:dyDescent="0.3">
      <c r="B64" s="269"/>
      <c r="C64" s="227"/>
      <c r="D64" s="118" t="s">
        <v>22</v>
      </c>
      <c r="E64" s="120">
        <f>CEILING(((8880+115+289)*1.12)-439,50)</f>
        <v>10000</v>
      </c>
      <c r="F64" s="96">
        <v>289</v>
      </c>
      <c r="G64" s="96">
        <v>84.38</v>
      </c>
      <c r="H64" s="96">
        <v>15</v>
      </c>
      <c r="I64" s="96">
        <v>40</v>
      </c>
      <c r="J64" s="96">
        <v>75</v>
      </c>
      <c r="K64" s="96">
        <v>75</v>
      </c>
      <c r="L64" s="97">
        <f t="shared" si="4"/>
        <v>10578.38</v>
      </c>
      <c r="M64" s="181">
        <v>200</v>
      </c>
      <c r="N64" s="97">
        <f t="shared" si="5"/>
        <v>10778.38</v>
      </c>
      <c r="O64" s="95" t="s">
        <v>56</v>
      </c>
      <c r="P64" s="210" t="s">
        <v>61</v>
      </c>
      <c r="Q64" s="95" t="s">
        <v>62</v>
      </c>
      <c r="R64" s="238"/>
      <c r="S64" s="239"/>
    </row>
    <row r="65" spans="2:19" ht="24" customHeight="1" x14ac:dyDescent="0.3">
      <c r="B65" s="253" t="s">
        <v>64</v>
      </c>
      <c r="C65" s="242" t="s">
        <v>55</v>
      </c>
      <c r="D65" s="139" t="s">
        <v>17</v>
      </c>
      <c r="E65" s="140">
        <f>CEILING((((9000+297+115)*1.13)-340)-150,50)</f>
        <v>10150</v>
      </c>
      <c r="F65" s="206">
        <v>340</v>
      </c>
      <c r="G65" s="206">
        <v>85</v>
      </c>
      <c r="H65" s="206">
        <v>18</v>
      </c>
      <c r="I65" s="206">
        <v>10</v>
      </c>
      <c r="J65" s="206">
        <v>75</v>
      </c>
      <c r="K65" s="206">
        <v>75</v>
      </c>
      <c r="L65" s="141">
        <f t="shared" si="4"/>
        <v>10753</v>
      </c>
      <c r="M65" s="207">
        <v>200</v>
      </c>
      <c r="N65" s="141">
        <f t="shared" si="5"/>
        <v>10953</v>
      </c>
      <c r="O65" s="142" t="s">
        <v>56</v>
      </c>
      <c r="P65" s="210" t="s">
        <v>57</v>
      </c>
      <c r="Q65" s="142" t="s">
        <v>46</v>
      </c>
      <c r="R65" s="254" t="s">
        <v>65</v>
      </c>
      <c r="S65" s="255"/>
    </row>
    <row r="66" spans="2:19" x14ac:dyDescent="0.3">
      <c r="B66" s="253"/>
      <c r="C66" s="242"/>
      <c r="D66" s="139" t="s">
        <v>22</v>
      </c>
      <c r="E66" s="140">
        <f>CEILING((((9000+297+115)*1.13)-340)-150,50)</f>
        <v>10150</v>
      </c>
      <c r="F66" s="206">
        <v>340</v>
      </c>
      <c r="G66" s="206">
        <v>85</v>
      </c>
      <c r="H66" s="206">
        <v>18</v>
      </c>
      <c r="I66" s="206">
        <v>10</v>
      </c>
      <c r="J66" s="206">
        <v>75</v>
      </c>
      <c r="K66" s="206">
        <v>75</v>
      </c>
      <c r="L66" s="141">
        <f t="shared" si="4"/>
        <v>10753</v>
      </c>
      <c r="M66" s="207">
        <v>200</v>
      </c>
      <c r="N66" s="141">
        <f t="shared" si="5"/>
        <v>10953</v>
      </c>
      <c r="O66" s="142" t="s">
        <v>56</v>
      </c>
      <c r="P66" s="210" t="s">
        <v>57</v>
      </c>
      <c r="Q66" s="142" t="s">
        <v>46</v>
      </c>
      <c r="R66" s="256"/>
      <c r="S66" s="257"/>
    </row>
    <row r="67" spans="2:19" ht="14.4" customHeight="1" x14ac:dyDescent="0.3">
      <c r="B67" s="268" t="s">
        <v>66</v>
      </c>
      <c r="C67" s="226" t="s">
        <v>29</v>
      </c>
      <c r="D67" s="118" t="s">
        <v>17</v>
      </c>
      <c r="E67" s="120">
        <f>CEILING(((8690+115+289)*1.12)-439,50)</f>
        <v>9750</v>
      </c>
      <c r="F67" s="193">
        <v>289</v>
      </c>
      <c r="G67" s="193">
        <v>84.38</v>
      </c>
      <c r="H67" s="193">
        <v>15</v>
      </c>
      <c r="I67" s="193">
        <v>40</v>
      </c>
      <c r="J67" s="193">
        <v>75</v>
      </c>
      <c r="K67" s="193">
        <v>75</v>
      </c>
      <c r="L67" s="97">
        <f t="shared" si="4"/>
        <v>10328.379999999999</v>
      </c>
      <c r="M67" s="181">
        <v>200</v>
      </c>
      <c r="N67" s="97">
        <f t="shared" si="5"/>
        <v>10528.38</v>
      </c>
      <c r="O67" s="95" t="s">
        <v>56</v>
      </c>
      <c r="P67" s="210" t="s">
        <v>61</v>
      </c>
      <c r="Q67" s="95" t="s">
        <v>62</v>
      </c>
      <c r="R67" s="236" t="s">
        <v>63</v>
      </c>
      <c r="S67" s="237"/>
    </row>
    <row r="68" spans="2:19" x14ac:dyDescent="0.3">
      <c r="B68" s="269"/>
      <c r="C68" s="227"/>
      <c r="D68" s="118" t="s">
        <v>22</v>
      </c>
      <c r="E68" s="120">
        <f>CEILING(((8980+115+289)*1.12)-439,50)</f>
        <v>10100</v>
      </c>
      <c r="F68" s="193">
        <v>289</v>
      </c>
      <c r="G68" s="193">
        <v>84.38</v>
      </c>
      <c r="H68" s="193">
        <v>15</v>
      </c>
      <c r="I68" s="193">
        <v>40</v>
      </c>
      <c r="J68" s="193">
        <v>75</v>
      </c>
      <c r="K68" s="193">
        <v>75</v>
      </c>
      <c r="L68" s="97">
        <f t="shared" si="4"/>
        <v>10678.38</v>
      </c>
      <c r="M68" s="181">
        <v>200</v>
      </c>
      <c r="N68" s="97">
        <f t="shared" si="5"/>
        <v>10878.38</v>
      </c>
      <c r="O68" s="95" t="s">
        <v>56</v>
      </c>
      <c r="P68" s="210" t="s">
        <v>61</v>
      </c>
      <c r="Q68" s="95" t="s">
        <v>62</v>
      </c>
      <c r="R68" s="238"/>
      <c r="S68" s="239"/>
    </row>
    <row r="69" spans="2:19" x14ac:dyDescent="0.3">
      <c r="B69" s="273" t="s">
        <v>67</v>
      </c>
      <c r="C69" s="242" t="s">
        <v>55</v>
      </c>
      <c r="D69" s="139" t="s">
        <v>17</v>
      </c>
      <c r="E69" s="140">
        <f>CEILING((((9030+297+115)*1.13)-340)-150,50)</f>
        <v>10200</v>
      </c>
      <c r="F69" s="206">
        <v>340</v>
      </c>
      <c r="G69" s="206">
        <v>85</v>
      </c>
      <c r="H69" s="206">
        <v>18</v>
      </c>
      <c r="I69" s="206">
        <v>10</v>
      </c>
      <c r="J69" s="206">
        <v>75</v>
      </c>
      <c r="K69" s="206">
        <v>75</v>
      </c>
      <c r="L69" s="141">
        <f t="shared" si="4"/>
        <v>10803</v>
      </c>
      <c r="M69" s="207">
        <v>200</v>
      </c>
      <c r="N69" s="141">
        <f t="shared" si="5"/>
        <v>11003</v>
      </c>
      <c r="O69" s="142" t="s">
        <v>56</v>
      </c>
      <c r="P69" s="210" t="s">
        <v>57</v>
      </c>
      <c r="Q69" s="142" t="s">
        <v>46</v>
      </c>
      <c r="R69" s="254" t="s">
        <v>65</v>
      </c>
      <c r="S69" s="255"/>
    </row>
    <row r="70" spans="2:19" x14ac:dyDescent="0.3">
      <c r="B70" s="274"/>
      <c r="C70" s="242"/>
      <c r="D70" s="139" t="s">
        <v>22</v>
      </c>
      <c r="E70" s="140">
        <f>CEILING((((9155+297+115)*1.13)-340)-150,50)</f>
        <v>10350</v>
      </c>
      <c r="F70" s="206">
        <v>340</v>
      </c>
      <c r="G70" s="206">
        <v>85</v>
      </c>
      <c r="H70" s="206">
        <v>18</v>
      </c>
      <c r="I70" s="206">
        <v>10</v>
      </c>
      <c r="J70" s="206">
        <v>75</v>
      </c>
      <c r="K70" s="206">
        <v>75</v>
      </c>
      <c r="L70" s="141">
        <f t="shared" si="4"/>
        <v>10953</v>
      </c>
      <c r="M70" s="207">
        <v>200</v>
      </c>
      <c r="N70" s="141">
        <f t="shared" si="5"/>
        <v>11153</v>
      </c>
      <c r="O70" s="142" t="s">
        <v>56</v>
      </c>
      <c r="P70" s="210" t="s">
        <v>57</v>
      </c>
      <c r="Q70" s="142" t="s">
        <v>46</v>
      </c>
      <c r="R70" s="256"/>
      <c r="S70" s="257"/>
    </row>
    <row r="71" spans="2:19" ht="14.4" customHeight="1" x14ac:dyDescent="0.3">
      <c r="B71" s="253" t="s">
        <v>68</v>
      </c>
      <c r="C71" s="242" t="s">
        <v>55</v>
      </c>
      <c r="D71" s="139" t="s">
        <v>17</v>
      </c>
      <c r="E71" s="140">
        <f>CEILING((((9100+297+115)*1.13)-340)-150,50)</f>
        <v>10300</v>
      </c>
      <c r="F71" s="206">
        <v>340</v>
      </c>
      <c r="G71" s="206">
        <v>85</v>
      </c>
      <c r="H71" s="206">
        <v>18</v>
      </c>
      <c r="I71" s="206">
        <v>10</v>
      </c>
      <c r="J71" s="206">
        <v>75</v>
      </c>
      <c r="K71" s="206">
        <v>75</v>
      </c>
      <c r="L71" s="141">
        <f t="shared" si="4"/>
        <v>10903</v>
      </c>
      <c r="M71" s="207">
        <v>200</v>
      </c>
      <c r="N71" s="141">
        <f t="shared" si="5"/>
        <v>11103</v>
      </c>
      <c r="O71" s="142" t="s">
        <v>56</v>
      </c>
      <c r="P71" s="210" t="s">
        <v>57</v>
      </c>
      <c r="Q71" s="142" t="s">
        <v>46</v>
      </c>
      <c r="R71" s="256"/>
      <c r="S71" s="257"/>
    </row>
    <row r="72" spans="2:19" x14ac:dyDescent="0.3">
      <c r="B72" s="253"/>
      <c r="C72" s="242"/>
      <c r="D72" s="139" t="s">
        <v>22</v>
      </c>
      <c r="E72" s="140">
        <f>CEILING((((9280+297+115)*1.13)-340)-150,50)</f>
        <v>10500</v>
      </c>
      <c r="F72" s="206">
        <v>340</v>
      </c>
      <c r="G72" s="206">
        <v>85</v>
      </c>
      <c r="H72" s="206">
        <v>18</v>
      </c>
      <c r="I72" s="206">
        <v>10</v>
      </c>
      <c r="J72" s="206">
        <v>75</v>
      </c>
      <c r="K72" s="206">
        <v>75</v>
      </c>
      <c r="L72" s="141">
        <f t="shared" si="4"/>
        <v>11103</v>
      </c>
      <c r="M72" s="207">
        <v>200</v>
      </c>
      <c r="N72" s="141">
        <f t="shared" si="5"/>
        <v>11303</v>
      </c>
      <c r="O72" s="142" t="s">
        <v>56</v>
      </c>
      <c r="P72" s="210" t="s">
        <v>57</v>
      </c>
      <c r="Q72" s="142" t="s">
        <v>46</v>
      </c>
      <c r="R72" s="258"/>
      <c r="S72" s="259"/>
    </row>
    <row r="73" spans="2:19" x14ac:dyDescent="0.3">
      <c r="B73" s="270" t="s">
        <v>69</v>
      </c>
      <c r="C73" s="271" t="s">
        <v>29</v>
      </c>
      <c r="D73" s="184" t="s">
        <v>17</v>
      </c>
      <c r="E73" s="140">
        <f>CEILING(((9600+115+340)*1.12)-490,50)</f>
        <v>10800</v>
      </c>
      <c r="F73" s="185">
        <v>340</v>
      </c>
      <c r="G73" s="185">
        <v>97.87</v>
      </c>
      <c r="H73" s="185">
        <v>15</v>
      </c>
      <c r="I73" s="185">
        <v>40</v>
      </c>
      <c r="J73" s="185">
        <v>75</v>
      </c>
      <c r="K73" s="185">
        <v>75</v>
      </c>
      <c r="L73" s="97">
        <f t="shared" si="4"/>
        <v>11442.87</v>
      </c>
      <c r="M73" s="181">
        <v>200</v>
      </c>
      <c r="N73" s="97">
        <f t="shared" si="5"/>
        <v>11642.87</v>
      </c>
      <c r="O73" s="95" t="s">
        <v>56</v>
      </c>
      <c r="P73" s="210" t="s">
        <v>61</v>
      </c>
      <c r="Q73" s="186" t="s">
        <v>70</v>
      </c>
      <c r="R73" s="264" t="s">
        <v>71</v>
      </c>
      <c r="S73" s="265"/>
    </row>
    <row r="74" spans="2:19" x14ac:dyDescent="0.3">
      <c r="B74" s="270"/>
      <c r="C74" s="272"/>
      <c r="D74" s="184" t="s">
        <v>22</v>
      </c>
      <c r="E74" s="140">
        <f>CEILING(((9600+115+340)*1.12)-490,50)</f>
        <v>10800</v>
      </c>
      <c r="F74" s="185">
        <v>340</v>
      </c>
      <c r="G74" s="185">
        <v>97.87</v>
      </c>
      <c r="H74" s="185">
        <v>15</v>
      </c>
      <c r="I74" s="185">
        <v>40</v>
      </c>
      <c r="J74" s="185">
        <v>75</v>
      </c>
      <c r="K74" s="185">
        <v>75</v>
      </c>
      <c r="L74" s="97">
        <f t="shared" si="4"/>
        <v>11442.87</v>
      </c>
      <c r="M74" s="181">
        <v>200</v>
      </c>
      <c r="N74" s="97">
        <f t="shared" si="5"/>
        <v>11642.87</v>
      </c>
      <c r="O74" s="95" t="s">
        <v>56</v>
      </c>
      <c r="P74" s="210" t="s">
        <v>61</v>
      </c>
      <c r="Q74" s="186" t="s">
        <v>70</v>
      </c>
      <c r="R74" s="266"/>
      <c r="S74" s="267"/>
    </row>
    <row r="75" spans="2:19" ht="14.4" customHeight="1" x14ac:dyDescent="0.3">
      <c r="B75" s="253" t="s">
        <v>72</v>
      </c>
      <c r="C75" s="242" t="s">
        <v>55</v>
      </c>
      <c r="D75" s="139" t="s">
        <v>17</v>
      </c>
      <c r="E75" s="140">
        <f>CEILING(((9131+115+340)*1.12)-490,50)</f>
        <v>10250</v>
      </c>
      <c r="F75" s="206">
        <v>340</v>
      </c>
      <c r="G75" s="206">
        <v>85</v>
      </c>
      <c r="H75" s="206">
        <v>18</v>
      </c>
      <c r="I75" s="206">
        <v>10</v>
      </c>
      <c r="J75" s="206">
        <v>75</v>
      </c>
      <c r="K75" s="206">
        <v>75</v>
      </c>
      <c r="L75" s="141">
        <f t="shared" si="4"/>
        <v>10853</v>
      </c>
      <c r="M75" s="207">
        <v>200</v>
      </c>
      <c r="N75" s="141">
        <f t="shared" si="5"/>
        <v>11053</v>
      </c>
      <c r="O75" s="142" t="s">
        <v>56</v>
      </c>
      <c r="P75" s="210" t="s">
        <v>57</v>
      </c>
      <c r="Q75" s="142" t="s">
        <v>46</v>
      </c>
      <c r="R75" s="254" t="s">
        <v>65</v>
      </c>
      <c r="S75" s="255"/>
    </row>
    <row r="76" spans="2:19" x14ac:dyDescent="0.3">
      <c r="B76" s="253"/>
      <c r="C76" s="242"/>
      <c r="D76" s="139" t="s">
        <v>22</v>
      </c>
      <c r="E76" s="140">
        <f>CEILING(((9362+115+340)*1.12)-490,50)</f>
        <v>10550</v>
      </c>
      <c r="F76" s="206">
        <v>340</v>
      </c>
      <c r="G76" s="206">
        <v>85</v>
      </c>
      <c r="H76" s="206">
        <v>18</v>
      </c>
      <c r="I76" s="206">
        <v>10</v>
      </c>
      <c r="J76" s="206">
        <v>75</v>
      </c>
      <c r="K76" s="206">
        <v>75</v>
      </c>
      <c r="L76" s="141">
        <f t="shared" si="4"/>
        <v>11153</v>
      </c>
      <c r="M76" s="207">
        <v>200</v>
      </c>
      <c r="N76" s="141">
        <f t="shared" si="5"/>
        <v>11353</v>
      </c>
      <c r="O76" s="142" t="s">
        <v>56</v>
      </c>
      <c r="P76" s="210" t="s">
        <v>57</v>
      </c>
      <c r="Q76" s="142" t="s">
        <v>46</v>
      </c>
      <c r="R76" s="256"/>
      <c r="S76" s="257"/>
    </row>
    <row r="77" spans="2:19" ht="14.4" customHeight="1" x14ac:dyDescent="0.3">
      <c r="B77" s="253" t="s">
        <v>73</v>
      </c>
      <c r="C77" s="242" t="s">
        <v>55</v>
      </c>
      <c r="D77" s="139" t="s">
        <v>17</v>
      </c>
      <c r="E77" s="140">
        <f>CEILING(((8960+115+340)*1.12)-490,50)</f>
        <v>10100</v>
      </c>
      <c r="F77" s="206">
        <v>340</v>
      </c>
      <c r="G77" s="206">
        <v>85</v>
      </c>
      <c r="H77" s="206">
        <v>18</v>
      </c>
      <c r="I77" s="206">
        <v>10</v>
      </c>
      <c r="J77" s="206">
        <v>75</v>
      </c>
      <c r="K77" s="206">
        <v>75</v>
      </c>
      <c r="L77" s="141">
        <f t="shared" si="4"/>
        <v>10703</v>
      </c>
      <c r="M77" s="207">
        <v>200</v>
      </c>
      <c r="N77" s="141">
        <f t="shared" si="5"/>
        <v>10903</v>
      </c>
      <c r="O77" s="142" t="s">
        <v>56</v>
      </c>
      <c r="P77" s="210" t="s">
        <v>57</v>
      </c>
      <c r="Q77" s="142" t="s">
        <v>46</v>
      </c>
      <c r="R77" s="256"/>
      <c r="S77" s="257"/>
    </row>
    <row r="78" spans="2:19" x14ac:dyDescent="0.3">
      <c r="B78" s="253"/>
      <c r="C78" s="242"/>
      <c r="D78" s="139" t="s">
        <v>22</v>
      </c>
      <c r="E78" s="140">
        <f>CEILING(((9020+115+340)*1.12)-490,50)</f>
        <v>10150</v>
      </c>
      <c r="F78" s="206">
        <v>340</v>
      </c>
      <c r="G78" s="206">
        <v>85</v>
      </c>
      <c r="H78" s="206">
        <v>18</v>
      </c>
      <c r="I78" s="206">
        <v>10</v>
      </c>
      <c r="J78" s="206">
        <v>75</v>
      </c>
      <c r="K78" s="206">
        <v>75</v>
      </c>
      <c r="L78" s="141">
        <f t="shared" si="4"/>
        <v>10753</v>
      </c>
      <c r="M78" s="207">
        <v>200</v>
      </c>
      <c r="N78" s="141">
        <f t="shared" si="5"/>
        <v>10953</v>
      </c>
      <c r="O78" s="142" t="s">
        <v>56</v>
      </c>
      <c r="P78" s="210" t="s">
        <v>57</v>
      </c>
      <c r="Q78" s="142" t="s">
        <v>46</v>
      </c>
      <c r="R78" s="256"/>
      <c r="S78" s="257"/>
    </row>
    <row r="79" spans="2:19" ht="14.4" customHeight="1" x14ac:dyDescent="0.3">
      <c r="B79" s="253" t="s">
        <v>74</v>
      </c>
      <c r="C79" s="242" t="s">
        <v>55</v>
      </c>
      <c r="D79" s="139" t="s">
        <v>17</v>
      </c>
      <c r="E79" s="140">
        <f>CEILING(((9182+115+340)*1.12)-490,50)</f>
        <v>10350</v>
      </c>
      <c r="F79" s="206">
        <v>340</v>
      </c>
      <c r="G79" s="206">
        <v>85</v>
      </c>
      <c r="H79" s="206">
        <v>18</v>
      </c>
      <c r="I79" s="206">
        <v>10</v>
      </c>
      <c r="J79" s="206">
        <v>75</v>
      </c>
      <c r="K79" s="206">
        <v>75</v>
      </c>
      <c r="L79" s="141">
        <f t="shared" si="4"/>
        <v>10953</v>
      </c>
      <c r="M79" s="207">
        <v>200</v>
      </c>
      <c r="N79" s="141">
        <f t="shared" si="5"/>
        <v>11153</v>
      </c>
      <c r="O79" s="142" t="s">
        <v>56</v>
      </c>
      <c r="P79" s="210" t="s">
        <v>57</v>
      </c>
      <c r="Q79" s="142" t="s">
        <v>46</v>
      </c>
      <c r="R79" s="256"/>
      <c r="S79" s="257"/>
    </row>
    <row r="80" spans="2:19" ht="15" customHeight="1" thickBot="1" x14ac:dyDescent="0.35">
      <c r="B80" s="253"/>
      <c r="C80" s="242"/>
      <c r="D80" s="139" t="s">
        <v>22</v>
      </c>
      <c r="E80" s="140">
        <f>CEILING(((9404+115+340)*1.12)-490,50)</f>
        <v>10600</v>
      </c>
      <c r="F80" s="206">
        <v>340</v>
      </c>
      <c r="G80" s="206">
        <v>85</v>
      </c>
      <c r="H80" s="206">
        <v>18</v>
      </c>
      <c r="I80" s="206">
        <v>10</v>
      </c>
      <c r="J80" s="206">
        <v>75</v>
      </c>
      <c r="K80" s="206">
        <v>75</v>
      </c>
      <c r="L80" s="141">
        <f t="shared" si="4"/>
        <v>11203</v>
      </c>
      <c r="M80" s="207">
        <v>200</v>
      </c>
      <c r="N80" s="141">
        <f t="shared" si="5"/>
        <v>11403</v>
      </c>
      <c r="O80" s="142" t="s">
        <v>56</v>
      </c>
      <c r="P80" s="210" t="s">
        <v>57</v>
      </c>
      <c r="Q80" s="142" t="s">
        <v>46</v>
      </c>
      <c r="R80" s="258"/>
      <c r="S80" s="259"/>
    </row>
    <row r="81" spans="2:19" ht="28.8" x14ac:dyDescent="0.3">
      <c r="B81" s="221" t="s">
        <v>75</v>
      </c>
      <c r="C81" s="222"/>
      <c r="D81" s="222"/>
      <c r="E81" s="222"/>
      <c r="F81" s="222"/>
      <c r="G81" s="222"/>
      <c r="H81" s="222"/>
      <c r="I81" s="222"/>
      <c r="J81" s="222"/>
      <c r="K81" s="222"/>
      <c r="L81" s="222"/>
      <c r="M81" s="222"/>
      <c r="N81" s="222"/>
      <c r="O81" s="222"/>
      <c r="P81" s="222"/>
      <c r="Q81" s="222"/>
      <c r="R81" s="220"/>
      <c r="S81" s="278"/>
    </row>
    <row r="82" spans="2:19" ht="28.8" x14ac:dyDescent="0.3">
      <c r="B82" s="98" t="s">
        <v>1</v>
      </c>
      <c r="C82" s="275" t="s">
        <v>2</v>
      </c>
      <c r="D82" s="276"/>
      <c r="E82" s="122" t="s">
        <v>3</v>
      </c>
      <c r="F82" s="122" t="s">
        <v>4</v>
      </c>
      <c r="G82" s="122" t="s">
        <v>5</v>
      </c>
      <c r="H82" s="122" t="s">
        <v>6</v>
      </c>
      <c r="I82" s="3" t="s">
        <v>50</v>
      </c>
      <c r="J82" s="3" t="s">
        <v>51</v>
      </c>
      <c r="K82" s="3" t="s">
        <v>52</v>
      </c>
      <c r="L82" s="3" t="s">
        <v>53</v>
      </c>
      <c r="M82" s="3" t="s">
        <v>10</v>
      </c>
      <c r="N82" s="3" t="s">
        <v>11</v>
      </c>
      <c r="O82" s="3" t="s">
        <v>12</v>
      </c>
      <c r="P82" s="122" t="s">
        <v>13</v>
      </c>
      <c r="Q82" s="122" t="s">
        <v>14</v>
      </c>
      <c r="R82" s="275" t="s">
        <v>36</v>
      </c>
      <c r="S82" s="277"/>
    </row>
    <row r="83" spans="2:19" ht="14.4" customHeight="1" x14ac:dyDescent="0.3">
      <c r="B83" s="279" t="s">
        <v>76</v>
      </c>
      <c r="C83" s="281" t="s">
        <v>77</v>
      </c>
      <c r="D83" s="139" t="s">
        <v>17</v>
      </c>
      <c r="E83" s="140">
        <f>CEILING((((9100+297+115)*1.13)-340)-150,50)</f>
        <v>10300</v>
      </c>
      <c r="F83" s="206">
        <v>340</v>
      </c>
      <c r="G83" s="206">
        <v>85</v>
      </c>
      <c r="H83" s="206">
        <v>18</v>
      </c>
      <c r="I83" s="206">
        <v>10</v>
      </c>
      <c r="J83" s="96">
        <v>75</v>
      </c>
      <c r="K83" s="96">
        <v>75</v>
      </c>
      <c r="L83" s="175">
        <f>SUM(E83:K83)</f>
        <v>10903</v>
      </c>
      <c r="M83" s="194">
        <v>200</v>
      </c>
      <c r="N83" s="175">
        <f>SUM(L83:M83)</f>
        <v>11103</v>
      </c>
      <c r="O83" s="95" t="s">
        <v>56</v>
      </c>
      <c r="P83" s="210" t="s">
        <v>57</v>
      </c>
      <c r="Q83" s="142" t="s">
        <v>46</v>
      </c>
      <c r="R83" s="264" t="s">
        <v>58</v>
      </c>
      <c r="S83" s="265"/>
    </row>
    <row r="84" spans="2:19" ht="15" thickBot="1" x14ac:dyDescent="0.35">
      <c r="B84" s="280"/>
      <c r="C84" s="282"/>
      <c r="D84" s="139" t="s">
        <v>22</v>
      </c>
      <c r="E84" s="140">
        <f>CEILING((((9100+297+115)*1.13)-340)-150,50)</f>
        <v>10300</v>
      </c>
      <c r="F84" s="206">
        <v>340</v>
      </c>
      <c r="G84" s="206">
        <v>85</v>
      </c>
      <c r="H84" s="206">
        <v>18</v>
      </c>
      <c r="I84" s="206">
        <v>10</v>
      </c>
      <c r="J84" s="96">
        <v>75</v>
      </c>
      <c r="K84" s="96">
        <v>75</v>
      </c>
      <c r="L84" s="175">
        <f>SUM(E84:K84)</f>
        <v>10903</v>
      </c>
      <c r="M84" s="194">
        <v>200</v>
      </c>
      <c r="N84" s="175">
        <f>SUM(L84:M84)</f>
        <v>11103</v>
      </c>
      <c r="O84" s="95" t="s">
        <v>56</v>
      </c>
      <c r="P84" s="210" t="s">
        <v>57</v>
      </c>
      <c r="Q84" s="142" t="s">
        <v>46</v>
      </c>
      <c r="R84" s="266"/>
      <c r="S84" s="267"/>
    </row>
    <row r="85" spans="2:19" ht="28.8" x14ac:dyDescent="0.3">
      <c r="B85" s="221" t="s">
        <v>78</v>
      </c>
      <c r="C85" s="222"/>
      <c r="D85" s="222"/>
      <c r="E85" s="222"/>
      <c r="F85" s="222"/>
      <c r="G85" s="222"/>
      <c r="H85" s="222"/>
      <c r="I85" s="222"/>
      <c r="J85" s="222"/>
      <c r="K85" s="222"/>
      <c r="L85" s="222"/>
      <c r="M85" s="222"/>
      <c r="N85" s="222"/>
      <c r="O85" s="222"/>
      <c r="P85" s="222"/>
      <c r="Q85" s="222"/>
      <c r="R85" s="222"/>
      <c r="S85" s="250"/>
    </row>
    <row r="86" spans="2:19" ht="28.8" x14ac:dyDescent="0.3">
      <c r="B86" s="98" t="s">
        <v>1</v>
      </c>
      <c r="C86" s="275" t="s">
        <v>2</v>
      </c>
      <c r="D86" s="276"/>
      <c r="E86" s="122" t="s">
        <v>3</v>
      </c>
      <c r="F86" s="122" t="s">
        <v>4</v>
      </c>
      <c r="G86" s="122" t="s">
        <v>5</v>
      </c>
      <c r="H86" s="122" t="s">
        <v>6</v>
      </c>
      <c r="I86" s="3" t="s">
        <v>50</v>
      </c>
      <c r="J86" s="3" t="s">
        <v>51</v>
      </c>
      <c r="K86" s="3" t="s">
        <v>52</v>
      </c>
      <c r="L86" s="3" t="s">
        <v>53</v>
      </c>
      <c r="M86" s="3" t="s">
        <v>10</v>
      </c>
      <c r="N86" s="3" t="s">
        <v>11</v>
      </c>
      <c r="O86" s="3" t="s">
        <v>12</v>
      </c>
      <c r="P86" s="122" t="s">
        <v>13</v>
      </c>
      <c r="Q86" s="122" t="s">
        <v>14</v>
      </c>
      <c r="R86" s="275" t="s">
        <v>36</v>
      </c>
      <c r="S86" s="277"/>
    </row>
    <row r="87" spans="2:19" ht="14.4" customHeight="1" x14ac:dyDescent="0.3">
      <c r="B87" s="253" t="s">
        <v>79</v>
      </c>
      <c r="C87" s="242" t="s">
        <v>77</v>
      </c>
      <c r="D87" s="139" t="s">
        <v>17</v>
      </c>
      <c r="E87" s="140">
        <f>CEILING((((9108+297+115)*1.12)-340)-150,50)</f>
        <v>10200</v>
      </c>
      <c r="F87" s="206">
        <v>340</v>
      </c>
      <c r="G87" s="206">
        <v>85</v>
      </c>
      <c r="H87" s="206">
        <v>18</v>
      </c>
      <c r="I87" s="206">
        <v>10</v>
      </c>
      <c r="J87" s="206">
        <v>75</v>
      </c>
      <c r="K87" s="206">
        <v>75</v>
      </c>
      <c r="L87" s="141">
        <f>SUM(E87:K87)</f>
        <v>10803</v>
      </c>
      <c r="M87" s="207">
        <v>200</v>
      </c>
      <c r="N87" s="141">
        <f>SUM(L87:M87)</f>
        <v>11003</v>
      </c>
      <c r="O87" s="142" t="s">
        <v>80</v>
      </c>
      <c r="P87" s="210" t="s">
        <v>57</v>
      </c>
      <c r="Q87" s="142" t="s">
        <v>46</v>
      </c>
      <c r="R87" s="264" t="s">
        <v>58</v>
      </c>
      <c r="S87" s="265"/>
    </row>
    <row r="88" spans="2:19" x14ac:dyDescent="0.3">
      <c r="B88" s="253"/>
      <c r="C88" s="242"/>
      <c r="D88" s="139" t="s">
        <v>22</v>
      </c>
      <c r="E88" s="140">
        <f>CEILING((((9266+297+115)*1.12)-340)-150,50)</f>
        <v>10350</v>
      </c>
      <c r="F88" s="206">
        <v>340</v>
      </c>
      <c r="G88" s="206">
        <v>85</v>
      </c>
      <c r="H88" s="206">
        <v>18</v>
      </c>
      <c r="I88" s="206">
        <v>10</v>
      </c>
      <c r="J88" s="206">
        <v>75</v>
      </c>
      <c r="K88" s="206">
        <v>75</v>
      </c>
      <c r="L88" s="141">
        <f>SUM(E88:K88)</f>
        <v>10953</v>
      </c>
      <c r="M88" s="207">
        <v>200</v>
      </c>
      <c r="N88" s="141">
        <f>SUM(L88:M88)</f>
        <v>11153</v>
      </c>
      <c r="O88" s="142" t="s">
        <v>80</v>
      </c>
      <c r="P88" s="210" t="s">
        <v>57</v>
      </c>
      <c r="Q88" s="142" t="s">
        <v>46</v>
      </c>
      <c r="R88" s="266"/>
      <c r="S88" s="267"/>
    </row>
    <row r="89" spans="2:19" ht="28.8" x14ac:dyDescent="0.3">
      <c r="B89" s="283" t="s">
        <v>81</v>
      </c>
      <c r="C89" s="234"/>
      <c r="D89" s="234"/>
      <c r="E89" s="234"/>
      <c r="F89" s="234"/>
      <c r="G89" s="234"/>
      <c r="H89" s="234"/>
      <c r="I89" s="234"/>
      <c r="J89" s="234"/>
      <c r="K89" s="234"/>
      <c r="L89" s="234"/>
      <c r="M89" s="234"/>
      <c r="N89" s="234"/>
      <c r="O89" s="234"/>
      <c r="P89" s="234"/>
      <c r="Q89" s="234"/>
      <c r="R89" s="234"/>
      <c r="S89" s="284"/>
    </row>
    <row r="90" spans="2:19" ht="28.8" x14ac:dyDescent="0.3">
      <c r="B90" s="98" t="s">
        <v>1</v>
      </c>
      <c r="C90" s="275" t="s">
        <v>2</v>
      </c>
      <c r="D90" s="276"/>
      <c r="E90" s="122" t="s">
        <v>3</v>
      </c>
      <c r="F90" s="122" t="s">
        <v>4</v>
      </c>
      <c r="G90" s="122" t="s">
        <v>5</v>
      </c>
      <c r="H90" s="122" t="s">
        <v>6</v>
      </c>
      <c r="I90" s="3" t="s">
        <v>50</v>
      </c>
      <c r="J90" s="3" t="s">
        <v>51</v>
      </c>
      <c r="K90" s="3" t="s">
        <v>52</v>
      </c>
      <c r="L90" s="3" t="s">
        <v>53</v>
      </c>
      <c r="M90" s="3" t="s">
        <v>10</v>
      </c>
      <c r="N90" s="3" t="s">
        <v>11</v>
      </c>
      <c r="O90" s="3" t="s">
        <v>12</v>
      </c>
      <c r="P90" s="122" t="s">
        <v>13</v>
      </c>
      <c r="Q90" s="122" t="s">
        <v>14</v>
      </c>
      <c r="R90" s="275" t="s">
        <v>36</v>
      </c>
      <c r="S90" s="277"/>
    </row>
    <row r="91" spans="2:19" ht="14.4" customHeight="1" x14ac:dyDescent="0.3">
      <c r="B91" s="253" t="s">
        <v>82</v>
      </c>
      <c r="C91" s="242" t="s">
        <v>77</v>
      </c>
      <c r="D91" s="139" t="s">
        <v>17</v>
      </c>
      <c r="E91" s="140">
        <f>CEILING((((9100+297+115)*1.13)-340)-150,50)</f>
        <v>10300</v>
      </c>
      <c r="F91" s="206">
        <v>340</v>
      </c>
      <c r="G91" s="206">
        <v>85</v>
      </c>
      <c r="H91" s="206">
        <v>18</v>
      </c>
      <c r="I91" s="206">
        <v>10</v>
      </c>
      <c r="J91" s="206">
        <v>75</v>
      </c>
      <c r="K91" s="206">
        <v>75</v>
      </c>
      <c r="L91" s="141">
        <f>SUM(E91:K91)</f>
        <v>10903</v>
      </c>
      <c r="M91" s="207">
        <v>200</v>
      </c>
      <c r="N91" s="141">
        <f>SUM(L91:M91)</f>
        <v>11103</v>
      </c>
      <c r="O91" s="142" t="s">
        <v>80</v>
      </c>
      <c r="P91" s="210" t="s">
        <v>57</v>
      </c>
      <c r="Q91" s="142" t="s">
        <v>46</v>
      </c>
      <c r="R91" s="264" t="s">
        <v>58</v>
      </c>
      <c r="S91" s="265"/>
    </row>
    <row r="92" spans="2:19" ht="14.4" customHeight="1" x14ac:dyDescent="0.3">
      <c r="B92" s="253"/>
      <c r="C92" s="242"/>
      <c r="D92" s="139" t="s">
        <v>22</v>
      </c>
      <c r="E92" s="140">
        <f>CEILING((((9100+297+115)*1.13)-340)-150,50)</f>
        <v>10300</v>
      </c>
      <c r="F92" s="206">
        <v>340</v>
      </c>
      <c r="G92" s="206">
        <v>85</v>
      </c>
      <c r="H92" s="206">
        <v>18</v>
      </c>
      <c r="I92" s="206">
        <v>10</v>
      </c>
      <c r="J92" s="206">
        <v>75</v>
      </c>
      <c r="K92" s="206">
        <v>75</v>
      </c>
      <c r="L92" s="141">
        <f>SUM(E92:K92)</f>
        <v>10903</v>
      </c>
      <c r="M92" s="207">
        <v>200</v>
      </c>
      <c r="N92" s="141">
        <f>SUM(L92:M92)</f>
        <v>11103</v>
      </c>
      <c r="O92" s="142" t="s">
        <v>80</v>
      </c>
      <c r="P92" s="210" t="s">
        <v>57</v>
      </c>
      <c r="Q92" s="142" t="s">
        <v>46</v>
      </c>
      <c r="R92" s="266"/>
      <c r="S92" s="267"/>
    </row>
    <row r="93" spans="2:19" ht="28.8" x14ac:dyDescent="0.3">
      <c r="B93" s="283" t="s">
        <v>83</v>
      </c>
      <c r="C93" s="234"/>
      <c r="D93" s="234"/>
      <c r="E93" s="234"/>
      <c r="F93" s="234"/>
      <c r="G93" s="234"/>
      <c r="H93" s="234"/>
      <c r="I93" s="234"/>
      <c r="J93" s="234"/>
      <c r="K93" s="234"/>
      <c r="L93" s="234"/>
      <c r="M93" s="234"/>
      <c r="N93" s="234"/>
      <c r="O93" s="234"/>
      <c r="P93" s="234"/>
      <c r="Q93" s="234"/>
      <c r="R93" s="234"/>
      <c r="S93" s="284"/>
    </row>
    <row r="94" spans="2:19" ht="28.8" x14ac:dyDescent="0.3">
      <c r="B94" s="98" t="s">
        <v>1</v>
      </c>
      <c r="C94" s="275" t="s">
        <v>2</v>
      </c>
      <c r="D94" s="276"/>
      <c r="E94" s="122" t="s">
        <v>3</v>
      </c>
      <c r="F94" s="122" t="s">
        <v>4</v>
      </c>
      <c r="G94" s="122" t="s">
        <v>5</v>
      </c>
      <c r="H94" s="122" t="s">
        <v>6</v>
      </c>
      <c r="I94" s="3" t="s">
        <v>50</v>
      </c>
      <c r="J94" s="3" t="s">
        <v>51</v>
      </c>
      <c r="K94" s="3" t="s">
        <v>52</v>
      </c>
      <c r="L94" s="3" t="s">
        <v>53</v>
      </c>
      <c r="M94" s="3" t="s">
        <v>10</v>
      </c>
      <c r="N94" s="3" t="s">
        <v>11</v>
      </c>
      <c r="O94" s="3" t="s">
        <v>12</v>
      </c>
      <c r="P94" s="122" t="s">
        <v>13</v>
      </c>
      <c r="Q94" s="122" t="s">
        <v>14</v>
      </c>
      <c r="R94" s="275" t="s">
        <v>36</v>
      </c>
      <c r="S94" s="277"/>
    </row>
    <row r="95" spans="2:19" ht="14.4" customHeight="1" x14ac:dyDescent="0.3">
      <c r="B95" s="253" t="s">
        <v>84</v>
      </c>
      <c r="C95" s="242" t="s">
        <v>77</v>
      </c>
      <c r="D95" s="139" t="s">
        <v>17</v>
      </c>
      <c r="E95" s="140">
        <f>CEILING((((9220+297+115)*1.12)-340)-150,50)</f>
        <v>10300</v>
      </c>
      <c r="F95" s="206">
        <v>340</v>
      </c>
      <c r="G95" s="206">
        <v>85</v>
      </c>
      <c r="H95" s="206">
        <v>18</v>
      </c>
      <c r="I95" s="206">
        <v>10</v>
      </c>
      <c r="J95" s="206">
        <v>75</v>
      </c>
      <c r="K95" s="206">
        <v>75</v>
      </c>
      <c r="L95" s="141">
        <f>SUM(E95:K95)</f>
        <v>10903</v>
      </c>
      <c r="M95" s="207">
        <v>200</v>
      </c>
      <c r="N95" s="141">
        <f>SUM(L95:M95)</f>
        <v>11103</v>
      </c>
      <c r="O95" s="142" t="s">
        <v>80</v>
      </c>
      <c r="P95" s="210" t="s">
        <v>57</v>
      </c>
      <c r="Q95" s="142" t="s">
        <v>46</v>
      </c>
      <c r="R95" s="264" t="s">
        <v>58</v>
      </c>
      <c r="S95" s="265"/>
    </row>
    <row r="96" spans="2:19" ht="15" thickBot="1" x14ac:dyDescent="0.35">
      <c r="B96" s="253"/>
      <c r="C96" s="242"/>
      <c r="D96" s="139" t="s">
        <v>22</v>
      </c>
      <c r="E96" s="140">
        <f>CEILING((((9320+297+115)*1.12)-340)-150,50)</f>
        <v>10450</v>
      </c>
      <c r="F96" s="206">
        <v>340</v>
      </c>
      <c r="G96" s="206">
        <v>85</v>
      </c>
      <c r="H96" s="206">
        <v>18</v>
      </c>
      <c r="I96" s="206">
        <v>10</v>
      </c>
      <c r="J96" s="206">
        <v>75</v>
      </c>
      <c r="K96" s="206">
        <v>75</v>
      </c>
      <c r="L96" s="141">
        <f>SUM(E96:K96)</f>
        <v>11053</v>
      </c>
      <c r="M96" s="207">
        <v>200</v>
      </c>
      <c r="N96" s="141">
        <f>SUM(L96:M96)</f>
        <v>11253</v>
      </c>
      <c r="O96" s="142" t="s">
        <v>80</v>
      </c>
      <c r="P96" s="210" t="s">
        <v>57</v>
      </c>
      <c r="Q96" s="142" t="s">
        <v>46</v>
      </c>
      <c r="R96" s="266"/>
      <c r="S96" s="267"/>
    </row>
    <row r="97" spans="2:20" ht="28.8" x14ac:dyDescent="0.3">
      <c r="B97" s="221" t="s">
        <v>85</v>
      </c>
      <c r="C97" s="222"/>
      <c r="D97" s="222"/>
      <c r="E97" s="222"/>
      <c r="F97" s="222"/>
      <c r="G97" s="222"/>
      <c r="H97" s="222"/>
      <c r="I97" s="222"/>
      <c r="J97" s="222"/>
      <c r="K97" s="222"/>
      <c r="L97" s="222"/>
      <c r="M97" s="222"/>
      <c r="N97" s="222"/>
      <c r="O97" s="222"/>
      <c r="P97" s="222"/>
      <c r="Q97" s="222"/>
      <c r="R97" s="220"/>
      <c r="S97" s="220"/>
    </row>
    <row r="98" spans="2:20" ht="28.8" x14ac:dyDescent="0.3">
      <c r="B98" s="98" t="s">
        <v>1</v>
      </c>
      <c r="C98" s="275" t="s">
        <v>2</v>
      </c>
      <c r="D98" s="276"/>
      <c r="E98" s="122" t="s">
        <v>3</v>
      </c>
      <c r="F98" s="122" t="s">
        <v>4</v>
      </c>
      <c r="G98" s="122" t="s">
        <v>5</v>
      </c>
      <c r="H98" s="122" t="s">
        <v>6</v>
      </c>
      <c r="I98" s="3" t="s">
        <v>50</v>
      </c>
      <c r="J98" s="3" t="s">
        <v>51</v>
      </c>
      <c r="K98" s="3" t="s">
        <v>52</v>
      </c>
      <c r="L98" s="3" t="s">
        <v>53</v>
      </c>
      <c r="M98" s="3" t="s">
        <v>10</v>
      </c>
      <c r="N98" s="3" t="s">
        <v>11</v>
      </c>
      <c r="O98" s="3" t="s">
        <v>12</v>
      </c>
      <c r="P98" s="122" t="s">
        <v>13</v>
      </c>
      <c r="Q98" s="122" t="s">
        <v>14</v>
      </c>
      <c r="R98" s="275" t="s">
        <v>36</v>
      </c>
      <c r="S98" s="277"/>
    </row>
    <row r="99" spans="2:20" x14ac:dyDescent="0.3">
      <c r="B99" s="253" t="s">
        <v>86</v>
      </c>
      <c r="C99" s="242" t="s">
        <v>77</v>
      </c>
      <c r="D99" s="139" t="s">
        <v>17</v>
      </c>
      <c r="E99" s="140">
        <f>CEILING((((9100+297+115)*1.13)-340)-150,50)</f>
        <v>10300</v>
      </c>
      <c r="F99" s="206">
        <v>340</v>
      </c>
      <c r="G99" s="206">
        <v>85</v>
      </c>
      <c r="H99" s="206">
        <v>18</v>
      </c>
      <c r="I99" s="206">
        <v>10</v>
      </c>
      <c r="J99" s="206">
        <v>75</v>
      </c>
      <c r="K99" s="206">
        <v>75</v>
      </c>
      <c r="L99" s="141">
        <f>SUM(E99:K99)</f>
        <v>10903</v>
      </c>
      <c r="M99" s="207">
        <v>200</v>
      </c>
      <c r="N99" s="141">
        <f>SUM(L99:M99)</f>
        <v>11103</v>
      </c>
      <c r="O99" s="142" t="s">
        <v>80</v>
      </c>
      <c r="P99" s="210" t="s">
        <v>57</v>
      </c>
      <c r="Q99" s="142" t="s">
        <v>46</v>
      </c>
      <c r="R99" s="254" t="s">
        <v>87</v>
      </c>
      <c r="S99" s="255"/>
      <c r="T99"/>
    </row>
    <row r="100" spans="2:20" ht="15" thickBot="1" x14ac:dyDescent="0.35">
      <c r="B100" s="253"/>
      <c r="C100" s="242"/>
      <c r="D100" s="139" t="s">
        <v>22</v>
      </c>
      <c r="E100" s="140">
        <f>CEILING((((9100+297+115)*1.13)-340)-150,50)</f>
        <v>10300</v>
      </c>
      <c r="F100" s="206">
        <v>340</v>
      </c>
      <c r="G100" s="206">
        <v>85</v>
      </c>
      <c r="H100" s="206">
        <v>18</v>
      </c>
      <c r="I100" s="206">
        <v>10</v>
      </c>
      <c r="J100" s="206">
        <v>75</v>
      </c>
      <c r="K100" s="206">
        <v>75</v>
      </c>
      <c r="L100" s="141">
        <f>SUM(E100:K100)</f>
        <v>10903</v>
      </c>
      <c r="M100" s="207">
        <v>200</v>
      </c>
      <c r="N100" s="141">
        <f>SUM(L100:M100)</f>
        <v>11103</v>
      </c>
      <c r="O100" s="142" t="s">
        <v>80</v>
      </c>
      <c r="P100" s="210" t="s">
        <v>57</v>
      </c>
      <c r="Q100" s="142" t="s">
        <v>46</v>
      </c>
      <c r="R100" s="256"/>
      <c r="S100" s="257"/>
      <c r="T100"/>
    </row>
    <row r="101" spans="2:20" ht="28.8" x14ac:dyDescent="0.3">
      <c r="B101" s="221" t="s">
        <v>88</v>
      </c>
      <c r="C101" s="222"/>
      <c r="D101" s="222"/>
      <c r="E101" s="222"/>
      <c r="F101" s="222"/>
      <c r="G101" s="222"/>
      <c r="H101" s="222"/>
      <c r="I101" s="222"/>
      <c r="J101" s="222"/>
      <c r="K101" s="222"/>
      <c r="L101" s="222"/>
      <c r="M101" s="222"/>
      <c r="N101" s="222"/>
      <c r="O101" s="222"/>
      <c r="P101" s="222"/>
      <c r="Q101" s="222"/>
      <c r="R101" s="222"/>
      <c r="S101" s="250"/>
    </row>
    <row r="102" spans="2:20" ht="28.8" x14ac:dyDescent="0.3">
      <c r="B102" s="98" t="s">
        <v>1</v>
      </c>
      <c r="C102" s="275" t="s">
        <v>2</v>
      </c>
      <c r="D102" s="276"/>
      <c r="E102" s="122" t="s">
        <v>3</v>
      </c>
      <c r="F102" s="122" t="s">
        <v>4</v>
      </c>
      <c r="G102" s="122" t="s">
        <v>5</v>
      </c>
      <c r="H102" s="122" t="s">
        <v>6</v>
      </c>
      <c r="I102" s="3" t="s">
        <v>50</v>
      </c>
      <c r="J102" s="3" t="s">
        <v>51</v>
      </c>
      <c r="K102" s="3" t="s">
        <v>52</v>
      </c>
      <c r="L102" s="3" t="s">
        <v>53</v>
      </c>
      <c r="M102" s="3" t="s">
        <v>10</v>
      </c>
      <c r="N102" s="3" t="s">
        <v>11</v>
      </c>
      <c r="O102" s="3" t="s">
        <v>12</v>
      </c>
      <c r="P102" s="122" t="s">
        <v>13</v>
      </c>
      <c r="Q102" s="122" t="s">
        <v>14</v>
      </c>
      <c r="R102" s="275" t="s">
        <v>36</v>
      </c>
      <c r="S102" s="277"/>
    </row>
    <row r="103" spans="2:20" x14ac:dyDescent="0.3">
      <c r="B103" s="253" t="s">
        <v>89</v>
      </c>
      <c r="C103" s="242" t="s">
        <v>29</v>
      </c>
      <c r="D103" s="139" t="s">
        <v>17</v>
      </c>
      <c r="E103" s="140">
        <f>CEILING((((9250+297+115)*1.13)-340)-150,50)</f>
        <v>10450</v>
      </c>
      <c r="F103" s="206">
        <v>340</v>
      </c>
      <c r="G103" s="206">
        <v>85</v>
      </c>
      <c r="H103" s="206">
        <v>18</v>
      </c>
      <c r="I103" s="206">
        <v>10</v>
      </c>
      <c r="J103" s="206">
        <v>75</v>
      </c>
      <c r="K103" s="206">
        <v>75</v>
      </c>
      <c r="L103" s="141">
        <f>SUM(E103:K103)</f>
        <v>11053</v>
      </c>
      <c r="M103" s="207">
        <v>200</v>
      </c>
      <c r="N103" s="141">
        <f>SUM(L103:M103)</f>
        <v>11253</v>
      </c>
      <c r="O103" s="142" t="s">
        <v>80</v>
      </c>
      <c r="P103" s="210" t="s">
        <v>57</v>
      </c>
      <c r="Q103" s="142" t="s">
        <v>46</v>
      </c>
      <c r="R103" s="254" t="s">
        <v>87</v>
      </c>
      <c r="S103" s="255"/>
      <c r="T103"/>
    </row>
    <row r="104" spans="2:20" x14ac:dyDescent="0.3">
      <c r="B104" s="253"/>
      <c r="C104" s="242"/>
      <c r="D104" s="139" t="s">
        <v>22</v>
      </c>
      <c r="E104" s="140">
        <f>CEILING((((9350+297+115)*1.13)-340)-150,50)</f>
        <v>10550</v>
      </c>
      <c r="F104" s="206">
        <v>340</v>
      </c>
      <c r="G104" s="206">
        <v>85</v>
      </c>
      <c r="H104" s="206">
        <v>18</v>
      </c>
      <c r="I104" s="206">
        <v>10</v>
      </c>
      <c r="J104" s="206">
        <v>75</v>
      </c>
      <c r="K104" s="206">
        <v>75</v>
      </c>
      <c r="L104" s="141">
        <f>SUM(E104:K104)</f>
        <v>11153</v>
      </c>
      <c r="M104" s="207">
        <v>200</v>
      </c>
      <c r="N104" s="141">
        <f>SUM(L104:M104)</f>
        <v>11353</v>
      </c>
      <c r="O104" s="142" t="s">
        <v>80</v>
      </c>
      <c r="P104" s="210" t="s">
        <v>57</v>
      </c>
      <c r="Q104" s="142" t="s">
        <v>46</v>
      </c>
      <c r="R104" s="256"/>
      <c r="S104" s="257"/>
      <c r="T104"/>
    </row>
    <row r="105" spans="2:20" ht="15" thickBot="1" x14ac:dyDescent="0.35">
      <c r="B105" s="134"/>
      <c r="C105" s="42"/>
      <c r="D105" s="131"/>
      <c r="E105" s="132"/>
      <c r="F105" s="195"/>
      <c r="G105" s="195"/>
      <c r="H105" s="195"/>
      <c r="I105" s="195"/>
      <c r="J105" s="195"/>
      <c r="K105" s="195"/>
      <c r="L105" s="196"/>
      <c r="M105" s="195"/>
      <c r="N105" s="196"/>
      <c r="O105" s="61"/>
      <c r="P105" s="34"/>
      <c r="Q105" s="61"/>
      <c r="R105" s="133"/>
      <c r="S105" s="135"/>
    </row>
    <row r="106" spans="2:20" ht="15.6" x14ac:dyDescent="0.3">
      <c r="B106" s="287" t="s">
        <v>32</v>
      </c>
      <c r="C106" s="288"/>
      <c r="D106" s="288"/>
      <c r="E106" s="288"/>
      <c r="F106" s="288"/>
      <c r="G106" s="288"/>
      <c r="H106" s="288"/>
      <c r="I106" s="288"/>
      <c r="J106" s="288"/>
      <c r="K106" s="288"/>
      <c r="L106" s="288"/>
      <c r="M106" s="288"/>
      <c r="N106" s="288"/>
      <c r="O106" s="288"/>
      <c r="P106" s="288"/>
      <c r="Q106" s="288"/>
      <c r="R106" s="288"/>
      <c r="S106" s="289"/>
    </row>
    <row r="107" spans="2:20" x14ac:dyDescent="0.3">
      <c r="B107" s="290" t="s">
        <v>33</v>
      </c>
      <c r="C107" s="291"/>
      <c r="D107" s="291"/>
      <c r="E107" s="291"/>
      <c r="F107" s="291"/>
      <c r="G107" s="291"/>
      <c r="H107" s="291"/>
      <c r="I107" s="291"/>
      <c r="J107" s="291"/>
      <c r="K107" s="291"/>
      <c r="L107" s="291"/>
      <c r="M107" s="291"/>
      <c r="N107" s="291"/>
      <c r="O107" s="291"/>
      <c r="P107" s="291"/>
      <c r="Q107" s="291"/>
      <c r="R107" s="291"/>
      <c r="S107" s="292"/>
    </row>
    <row r="108" spans="2:20" x14ac:dyDescent="0.3">
      <c r="B108" s="290"/>
      <c r="C108" s="291"/>
      <c r="D108" s="291"/>
      <c r="E108" s="291"/>
      <c r="F108" s="291"/>
      <c r="G108" s="291"/>
      <c r="H108" s="291"/>
      <c r="I108" s="291"/>
      <c r="J108" s="291"/>
      <c r="K108" s="291"/>
      <c r="L108" s="291"/>
      <c r="M108" s="291"/>
      <c r="N108" s="291"/>
      <c r="O108" s="291"/>
      <c r="P108" s="291"/>
      <c r="Q108" s="291"/>
      <c r="R108" s="291"/>
      <c r="S108" s="292"/>
    </row>
    <row r="109" spans="2:20" x14ac:dyDescent="0.3">
      <c r="B109" s="290"/>
      <c r="C109" s="291"/>
      <c r="D109" s="291"/>
      <c r="E109" s="291"/>
      <c r="F109" s="291"/>
      <c r="G109" s="291"/>
      <c r="H109" s="291"/>
      <c r="I109" s="291"/>
      <c r="J109" s="291"/>
      <c r="K109" s="291"/>
      <c r="L109" s="291"/>
      <c r="M109" s="291"/>
      <c r="N109" s="291"/>
      <c r="O109" s="291"/>
      <c r="P109" s="291"/>
      <c r="Q109" s="291"/>
      <c r="R109" s="291"/>
      <c r="S109" s="292"/>
    </row>
    <row r="110" spans="2:20" ht="15" thickBot="1" x14ac:dyDescent="0.35">
      <c r="B110" s="293"/>
      <c r="C110" s="294"/>
      <c r="D110" s="294"/>
      <c r="E110" s="294"/>
      <c r="F110" s="294"/>
      <c r="G110" s="294"/>
      <c r="H110" s="294"/>
      <c r="I110" s="294"/>
      <c r="J110" s="294"/>
      <c r="K110" s="294"/>
      <c r="L110" s="294"/>
      <c r="M110" s="294"/>
      <c r="N110" s="294"/>
      <c r="O110" s="294"/>
      <c r="P110" s="294"/>
      <c r="Q110" s="294"/>
      <c r="R110" s="294"/>
      <c r="S110" s="295"/>
    </row>
    <row r="119" spans="2:17" ht="28.8" x14ac:dyDescent="0.3">
      <c r="B119" s="296" t="s">
        <v>90</v>
      </c>
      <c r="C119" s="296"/>
      <c r="D119" s="296"/>
      <c r="E119" s="296"/>
      <c r="F119" s="296"/>
      <c r="G119" s="296"/>
      <c r="H119" s="296"/>
      <c r="I119" s="296"/>
      <c r="J119" s="296"/>
      <c r="K119" s="296"/>
      <c r="L119" s="296"/>
      <c r="M119" s="296"/>
      <c r="N119" s="296"/>
      <c r="O119" s="296"/>
      <c r="P119" s="296"/>
      <c r="Q119" s="130"/>
    </row>
    <row r="120" spans="2:17" ht="28.8" x14ac:dyDescent="0.3">
      <c r="B120" s="122" t="s">
        <v>1</v>
      </c>
      <c r="C120" s="223" t="s">
        <v>2</v>
      </c>
      <c r="D120" s="223"/>
      <c r="E120" s="122" t="s">
        <v>3</v>
      </c>
      <c r="F120" s="122" t="s">
        <v>4</v>
      </c>
      <c r="G120" s="11" t="s">
        <v>91</v>
      </c>
      <c r="H120" s="128" t="s">
        <v>6</v>
      </c>
      <c r="I120" s="3" t="s">
        <v>9</v>
      </c>
      <c r="J120" s="3" t="s">
        <v>10</v>
      </c>
      <c r="K120" s="3" t="s">
        <v>11</v>
      </c>
      <c r="L120" s="122" t="s">
        <v>12</v>
      </c>
      <c r="M120" s="122" t="s">
        <v>13</v>
      </c>
      <c r="N120" s="122" t="s">
        <v>14</v>
      </c>
      <c r="O120" s="223" t="s">
        <v>36</v>
      </c>
      <c r="P120" s="223"/>
      <c r="Q120" s="223"/>
    </row>
    <row r="121" spans="2:17" ht="14.4" customHeight="1" x14ac:dyDescent="0.3">
      <c r="B121" s="225" t="s">
        <v>92</v>
      </c>
      <c r="C121" s="232" t="s">
        <v>16</v>
      </c>
      <c r="D121" s="20" t="s">
        <v>17</v>
      </c>
      <c r="E121" s="36">
        <v>1600</v>
      </c>
      <c r="F121" s="36">
        <v>335</v>
      </c>
      <c r="G121" s="206">
        <v>80</v>
      </c>
      <c r="H121" s="206">
        <v>18</v>
      </c>
      <c r="I121" s="39">
        <f>SUM(E121:H121)</f>
        <v>2033</v>
      </c>
      <c r="J121" s="24">
        <v>200</v>
      </c>
      <c r="K121" s="23">
        <f>I121+J121</f>
        <v>2233</v>
      </c>
      <c r="L121" s="40">
        <v>7</v>
      </c>
      <c r="M121" s="214" t="s">
        <v>93</v>
      </c>
      <c r="N121" s="20" t="s">
        <v>39</v>
      </c>
      <c r="O121" s="240" t="s">
        <v>44</v>
      </c>
      <c r="P121" s="240"/>
      <c r="Q121" s="240"/>
    </row>
    <row r="122" spans="2:17" x14ac:dyDescent="0.3">
      <c r="B122" s="225"/>
      <c r="C122" s="232"/>
      <c r="D122" s="20" t="s">
        <v>22</v>
      </c>
      <c r="E122" s="36">
        <v>1900</v>
      </c>
      <c r="F122" s="36">
        <v>335</v>
      </c>
      <c r="G122" s="206">
        <v>80</v>
      </c>
      <c r="H122" s="206">
        <v>18</v>
      </c>
      <c r="I122" s="39">
        <f>SUM(E122:H122)</f>
        <v>2333</v>
      </c>
      <c r="J122" s="24">
        <v>200</v>
      </c>
      <c r="K122" s="23">
        <f>I122+J122</f>
        <v>2533</v>
      </c>
      <c r="L122" s="40">
        <v>7</v>
      </c>
      <c r="M122" s="214" t="s">
        <v>93</v>
      </c>
      <c r="N122" s="20" t="s">
        <v>39</v>
      </c>
      <c r="O122" s="240"/>
      <c r="P122" s="240"/>
      <c r="Q122" s="240"/>
    </row>
    <row r="123" spans="2:17" x14ac:dyDescent="0.3">
      <c r="B123" s="42"/>
      <c r="C123" s="127"/>
      <c r="D123" s="28"/>
      <c r="E123" s="43"/>
      <c r="F123" s="43"/>
      <c r="G123" s="43"/>
      <c r="H123" s="127"/>
      <c r="I123" s="99"/>
      <c r="J123" s="100"/>
      <c r="K123" s="100"/>
      <c r="L123" s="100"/>
      <c r="M123" s="101"/>
      <c r="N123" s="102"/>
      <c r="O123" s="44"/>
      <c r="P123" s="34"/>
      <c r="Q123" s="127"/>
    </row>
    <row r="124" spans="2:17" ht="15.6" x14ac:dyDescent="0.3">
      <c r="B124" s="5" t="s">
        <v>32</v>
      </c>
      <c r="C124" s="6"/>
      <c r="D124" s="6"/>
      <c r="E124" s="6"/>
      <c r="F124" s="6"/>
      <c r="G124" s="6"/>
      <c r="H124" s="6"/>
      <c r="I124" s="6"/>
      <c r="J124" s="6"/>
      <c r="K124" s="6"/>
      <c r="L124" s="6"/>
      <c r="M124" s="6"/>
      <c r="N124" s="6"/>
      <c r="O124" s="6"/>
      <c r="P124" s="6"/>
      <c r="Q124" s="7"/>
    </row>
    <row r="125" spans="2:17" x14ac:dyDescent="0.3">
      <c r="B125" s="244" t="s">
        <v>33</v>
      </c>
      <c r="C125" s="245"/>
      <c r="D125" s="245"/>
      <c r="E125" s="245"/>
      <c r="F125" s="245"/>
      <c r="G125" s="245"/>
      <c r="H125" s="245"/>
      <c r="I125" s="245"/>
      <c r="J125" s="245"/>
      <c r="K125" s="245"/>
      <c r="L125" s="245"/>
      <c r="M125" s="245"/>
      <c r="N125" s="245"/>
      <c r="O125" s="245"/>
      <c r="P125" s="245"/>
      <c r="Q125" s="246"/>
    </row>
    <row r="126" spans="2:17" x14ac:dyDescent="0.3">
      <c r="B126" s="244"/>
      <c r="C126" s="245"/>
      <c r="D126" s="245"/>
      <c r="E126" s="245"/>
      <c r="F126" s="245"/>
      <c r="G126" s="245"/>
      <c r="H126" s="245"/>
      <c r="I126" s="245"/>
      <c r="J126" s="245"/>
      <c r="K126" s="245"/>
      <c r="L126" s="245"/>
      <c r="M126" s="245"/>
      <c r="N126" s="245"/>
      <c r="O126" s="245"/>
      <c r="P126" s="245"/>
      <c r="Q126" s="246"/>
    </row>
    <row r="127" spans="2:17" x14ac:dyDescent="0.3">
      <c r="B127" s="244"/>
      <c r="C127" s="245"/>
      <c r="D127" s="245"/>
      <c r="E127" s="245"/>
      <c r="F127" s="245"/>
      <c r="G127" s="245"/>
      <c r="H127" s="245"/>
      <c r="I127" s="245"/>
      <c r="J127" s="245"/>
      <c r="K127" s="245"/>
      <c r="L127" s="245"/>
      <c r="M127" s="245"/>
      <c r="N127" s="245"/>
      <c r="O127" s="245"/>
      <c r="P127" s="245"/>
      <c r="Q127" s="246"/>
    </row>
    <row r="128" spans="2:17" x14ac:dyDescent="0.3">
      <c r="B128" s="247"/>
      <c r="C128" s="248"/>
      <c r="D128" s="248"/>
      <c r="E128" s="248"/>
      <c r="F128" s="248"/>
      <c r="G128" s="248"/>
      <c r="H128" s="248"/>
      <c r="I128" s="248"/>
      <c r="J128" s="248"/>
      <c r="K128" s="248"/>
      <c r="L128" s="248"/>
      <c r="M128" s="248"/>
      <c r="N128" s="248"/>
      <c r="O128" s="248"/>
      <c r="P128" s="248"/>
      <c r="Q128" s="249"/>
    </row>
    <row r="129" spans="2:17" x14ac:dyDescent="0.3">
      <c r="B129" s="35"/>
      <c r="C129" s="35"/>
      <c r="D129" s="35"/>
      <c r="E129" s="35"/>
      <c r="F129" s="35"/>
      <c r="G129" s="35"/>
      <c r="H129" s="35"/>
      <c r="I129" s="35"/>
      <c r="J129" s="35"/>
      <c r="K129" s="35"/>
      <c r="L129" s="35"/>
      <c r="M129" s="35"/>
      <c r="N129" s="35"/>
      <c r="O129" s="35"/>
      <c r="P129" s="35"/>
      <c r="Q129" s="35"/>
    </row>
    <row r="134" spans="2:17" ht="15" thickBot="1" x14ac:dyDescent="0.35"/>
    <row r="135" spans="2:17" ht="28.8" x14ac:dyDescent="0.3">
      <c r="B135" s="221" t="s">
        <v>94</v>
      </c>
      <c r="C135" s="222"/>
      <c r="D135" s="222"/>
      <c r="E135" s="222"/>
      <c r="F135" s="222"/>
      <c r="G135" s="222"/>
      <c r="H135" s="222"/>
      <c r="I135" s="222"/>
      <c r="J135" s="222"/>
      <c r="K135" s="222"/>
      <c r="L135" s="222"/>
      <c r="M135" s="222"/>
      <c r="N135" s="222"/>
      <c r="O135" s="222"/>
      <c r="P135" s="222"/>
    </row>
    <row r="136" spans="2:17" ht="28.8" x14ac:dyDescent="0.3">
      <c r="B136" s="98" t="s">
        <v>1</v>
      </c>
      <c r="C136" s="223" t="s">
        <v>2</v>
      </c>
      <c r="D136" s="223"/>
      <c r="E136" s="122" t="s">
        <v>3</v>
      </c>
      <c r="F136" s="122" t="s">
        <v>4</v>
      </c>
      <c r="G136" s="122" t="s">
        <v>5</v>
      </c>
      <c r="H136" s="3" t="s">
        <v>95</v>
      </c>
      <c r="I136" s="3" t="s">
        <v>51</v>
      </c>
      <c r="J136" s="3" t="s">
        <v>96</v>
      </c>
      <c r="K136" s="3" t="s">
        <v>53</v>
      </c>
      <c r="L136" s="3" t="s">
        <v>10</v>
      </c>
      <c r="M136" s="3" t="s">
        <v>11</v>
      </c>
      <c r="N136" s="3" t="s">
        <v>12</v>
      </c>
      <c r="O136" s="122" t="s">
        <v>13</v>
      </c>
      <c r="P136" s="122" t="s">
        <v>14</v>
      </c>
    </row>
    <row r="137" spans="2:17" x14ac:dyDescent="0.3">
      <c r="B137" s="137" t="s">
        <v>97</v>
      </c>
      <c r="C137" s="126" t="s">
        <v>98</v>
      </c>
      <c r="D137" s="118" t="s">
        <v>17</v>
      </c>
      <c r="E137" s="120">
        <v>1500</v>
      </c>
      <c r="F137" s="206">
        <v>340</v>
      </c>
      <c r="G137" s="206">
        <v>85</v>
      </c>
      <c r="H137" s="206">
        <v>24</v>
      </c>
      <c r="I137" s="96">
        <v>75</v>
      </c>
      <c r="J137" s="96">
        <v>75</v>
      </c>
      <c r="K137" s="97">
        <f>SUM(E137:J137)</f>
        <v>2099</v>
      </c>
      <c r="L137" s="96">
        <v>200</v>
      </c>
      <c r="M137" s="97">
        <f>SUM(K137:L137)</f>
        <v>2299</v>
      </c>
      <c r="N137" s="95" t="s">
        <v>99</v>
      </c>
      <c r="O137" s="214" t="s">
        <v>93</v>
      </c>
      <c r="P137" s="95" t="s">
        <v>46</v>
      </c>
    </row>
    <row r="138" spans="2:17" x14ac:dyDescent="0.3">
      <c r="B138" s="224" t="s">
        <v>100</v>
      </c>
      <c r="C138" s="225" t="s">
        <v>29</v>
      </c>
      <c r="D138" s="118" t="s">
        <v>17</v>
      </c>
      <c r="E138" s="120">
        <f>CEILING(((1997+75+340)*1.15)-(340+150),50)</f>
        <v>2300</v>
      </c>
      <c r="F138" s="206">
        <v>340</v>
      </c>
      <c r="G138" s="206">
        <v>85</v>
      </c>
      <c r="H138" s="96">
        <v>24</v>
      </c>
      <c r="I138" s="96">
        <v>75</v>
      </c>
      <c r="J138" s="96">
        <v>75</v>
      </c>
      <c r="K138" s="97">
        <f>SUM(E138:J138)</f>
        <v>2899</v>
      </c>
      <c r="L138" s="96">
        <v>200</v>
      </c>
      <c r="M138" s="97">
        <f>SUM(K138:L138)</f>
        <v>3099</v>
      </c>
      <c r="N138" s="95" t="s">
        <v>99</v>
      </c>
      <c r="O138" s="214" t="s">
        <v>93</v>
      </c>
      <c r="P138" s="95" t="s">
        <v>46</v>
      </c>
    </row>
    <row r="139" spans="2:17" x14ac:dyDescent="0.3">
      <c r="B139" s="224"/>
      <c r="C139" s="225"/>
      <c r="D139" s="118" t="s">
        <v>22</v>
      </c>
      <c r="E139" s="120">
        <f>CEILING(((3165+75+340)*1.15)-(340+150),50)</f>
        <v>3650</v>
      </c>
      <c r="F139" s="206">
        <v>340</v>
      </c>
      <c r="G139" s="206">
        <v>85</v>
      </c>
      <c r="H139" s="96">
        <v>24</v>
      </c>
      <c r="I139" s="96">
        <v>75</v>
      </c>
      <c r="J139" s="96">
        <v>75</v>
      </c>
      <c r="K139" s="97">
        <f>SUM(E139:J139)</f>
        <v>4249</v>
      </c>
      <c r="L139" s="96">
        <v>200</v>
      </c>
      <c r="M139" s="97">
        <f>SUM(K139:L139)</f>
        <v>4449</v>
      </c>
      <c r="N139" s="95" t="s">
        <v>99</v>
      </c>
      <c r="O139" s="214" t="s">
        <v>93</v>
      </c>
      <c r="P139" s="95" t="s">
        <v>46</v>
      </c>
    </row>
    <row r="141" spans="2:17" ht="15" thickBot="1" x14ac:dyDescent="0.35"/>
    <row r="142" spans="2:17" ht="28.8" x14ac:dyDescent="0.3">
      <c r="B142" s="221" t="s">
        <v>101</v>
      </c>
      <c r="C142" s="222"/>
      <c r="D142" s="222"/>
      <c r="E142" s="222"/>
      <c r="F142" s="222"/>
      <c r="G142" s="222"/>
      <c r="H142" s="222"/>
      <c r="I142" s="222"/>
      <c r="J142" s="222"/>
      <c r="K142" s="222"/>
      <c r="L142" s="222"/>
      <c r="M142" s="222"/>
      <c r="N142" s="222"/>
      <c r="O142" s="222"/>
      <c r="P142" s="222"/>
    </row>
    <row r="143" spans="2:17" ht="28.8" x14ac:dyDescent="0.3">
      <c r="B143" s="98" t="s">
        <v>1</v>
      </c>
      <c r="C143" s="223" t="s">
        <v>2</v>
      </c>
      <c r="D143" s="223"/>
      <c r="E143" s="122" t="s">
        <v>3</v>
      </c>
      <c r="F143" s="122" t="s">
        <v>4</v>
      </c>
      <c r="G143" s="122" t="s">
        <v>5</v>
      </c>
      <c r="H143" s="122" t="s">
        <v>6</v>
      </c>
      <c r="I143" s="3" t="s">
        <v>51</v>
      </c>
      <c r="J143" s="3" t="s">
        <v>96</v>
      </c>
      <c r="K143" s="3" t="s">
        <v>53</v>
      </c>
      <c r="L143" s="3" t="s">
        <v>10</v>
      </c>
      <c r="M143" s="3" t="s">
        <v>11</v>
      </c>
      <c r="N143" s="3" t="s">
        <v>12</v>
      </c>
      <c r="O143" s="122" t="s">
        <v>13</v>
      </c>
      <c r="P143" s="122" t="s">
        <v>14</v>
      </c>
    </row>
    <row r="144" spans="2:17" x14ac:dyDescent="0.3">
      <c r="B144" s="225" t="s">
        <v>102</v>
      </c>
      <c r="C144" s="225" t="s">
        <v>16</v>
      </c>
      <c r="D144" s="118" t="s">
        <v>17</v>
      </c>
      <c r="E144" s="96">
        <v>1800</v>
      </c>
      <c r="F144" s="96">
        <v>370</v>
      </c>
      <c r="G144" s="96">
        <v>50</v>
      </c>
      <c r="H144" s="96">
        <v>0</v>
      </c>
      <c r="I144" s="96">
        <v>75</v>
      </c>
      <c r="J144" s="96">
        <v>75</v>
      </c>
      <c r="K144" s="97">
        <f>SUM(E144:J144)</f>
        <v>2370</v>
      </c>
      <c r="L144" s="96">
        <v>200</v>
      </c>
      <c r="M144" s="97">
        <f>SUM(K144:L144)</f>
        <v>2570</v>
      </c>
      <c r="N144" s="95" t="s">
        <v>103</v>
      </c>
      <c r="O144" s="214" t="s">
        <v>93</v>
      </c>
      <c r="P144" s="95" t="s">
        <v>39</v>
      </c>
    </row>
    <row r="145" spans="2:17" x14ac:dyDescent="0.3">
      <c r="B145" s="225"/>
      <c r="C145" s="225"/>
      <c r="D145" s="118" t="s">
        <v>22</v>
      </c>
      <c r="E145" s="96">
        <v>2200</v>
      </c>
      <c r="F145" s="96">
        <v>370</v>
      </c>
      <c r="G145" s="96">
        <v>50</v>
      </c>
      <c r="H145" s="96">
        <v>0</v>
      </c>
      <c r="I145" s="96">
        <v>75</v>
      </c>
      <c r="J145" s="96">
        <v>75</v>
      </c>
      <c r="K145" s="97">
        <f>SUM(E145:J145)</f>
        <v>2770</v>
      </c>
      <c r="L145" s="96">
        <v>200</v>
      </c>
      <c r="M145" s="97">
        <f>SUM(K145:L145)</f>
        <v>2970</v>
      </c>
      <c r="N145" s="95" t="s">
        <v>103</v>
      </c>
      <c r="O145" s="214" t="s">
        <v>93</v>
      </c>
      <c r="P145" s="95" t="s">
        <v>39</v>
      </c>
    </row>
    <row r="146" spans="2:17" x14ac:dyDescent="0.3">
      <c r="B146" s="225" t="s">
        <v>104</v>
      </c>
      <c r="C146" s="225" t="s">
        <v>29</v>
      </c>
      <c r="D146" s="118" t="s">
        <v>17</v>
      </c>
      <c r="E146" s="96">
        <v>1050</v>
      </c>
      <c r="F146" s="96">
        <v>289</v>
      </c>
      <c r="G146" s="96">
        <v>84.38</v>
      </c>
      <c r="H146" s="96">
        <v>55</v>
      </c>
      <c r="I146" s="96">
        <v>75</v>
      </c>
      <c r="J146" s="96">
        <v>75</v>
      </c>
      <c r="K146" s="97">
        <f>SUM(E146:J146)</f>
        <v>1628.38</v>
      </c>
      <c r="L146" s="96">
        <v>200</v>
      </c>
      <c r="M146" s="97">
        <f>SUM(K146:L146)</f>
        <v>1828.38</v>
      </c>
      <c r="N146" s="95" t="s">
        <v>103</v>
      </c>
      <c r="O146" s="214" t="s">
        <v>93</v>
      </c>
      <c r="P146" s="95" t="s">
        <v>62</v>
      </c>
    </row>
    <row r="147" spans="2:17" x14ac:dyDescent="0.3">
      <c r="B147" s="225"/>
      <c r="C147" s="225"/>
      <c r="D147" s="118" t="s">
        <v>22</v>
      </c>
      <c r="E147" s="96">
        <v>1500</v>
      </c>
      <c r="F147" s="96">
        <v>289</v>
      </c>
      <c r="G147" s="96">
        <v>84.38</v>
      </c>
      <c r="H147" s="96">
        <v>55</v>
      </c>
      <c r="I147" s="96">
        <v>75</v>
      </c>
      <c r="J147" s="96">
        <v>75</v>
      </c>
      <c r="K147" s="97">
        <f>SUM(E147:J147)</f>
        <v>2078.38</v>
      </c>
      <c r="L147" s="96">
        <v>200</v>
      </c>
      <c r="M147" s="97">
        <f>SUM(K147:L147)</f>
        <v>2278.38</v>
      </c>
      <c r="N147" s="95" t="s">
        <v>103</v>
      </c>
      <c r="O147" s="214" t="s">
        <v>93</v>
      </c>
      <c r="P147" s="95" t="s">
        <v>62</v>
      </c>
    </row>
    <row r="148" spans="2:17" x14ac:dyDescent="0.3">
      <c r="F148" s="19"/>
      <c r="G148" s="19"/>
      <c r="H148" s="19"/>
      <c r="I148" s="19"/>
    </row>
    <row r="149" spans="2:17" ht="15.6" x14ac:dyDescent="0.3">
      <c r="B149" s="5" t="s">
        <v>32</v>
      </c>
      <c r="C149" s="6"/>
      <c r="D149" s="6"/>
      <c r="E149" s="6"/>
      <c r="F149" s="6"/>
      <c r="G149" s="6"/>
      <c r="H149" s="6"/>
      <c r="I149" s="6"/>
      <c r="J149" s="6"/>
      <c r="K149" s="6"/>
      <c r="L149" s="6"/>
      <c r="M149" s="6"/>
      <c r="N149" s="6"/>
      <c r="O149" s="6"/>
      <c r="P149" s="6"/>
      <c r="Q149" s="7"/>
    </row>
    <row r="150" spans="2:17" x14ac:dyDescent="0.3">
      <c r="B150" s="244" t="s">
        <v>33</v>
      </c>
      <c r="C150" s="245"/>
      <c r="D150" s="245"/>
      <c r="E150" s="245"/>
      <c r="F150" s="245"/>
      <c r="G150" s="245"/>
      <c r="H150" s="245"/>
      <c r="I150" s="245"/>
      <c r="J150" s="245"/>
      <c r="K150" s="245"/>
      <c r="L150" s="245"/>
      <c r="M150" s="245"/>
      <c r="N150" s="245"/>
      <c r="O150" s="245"/>
      <c r="P150" s="245"/>
      <c r="Q150" s="246"/>
    </row>
    <row r="151" spans="2:17" x14ac:dyDescent="0.3">
      <c r="B151" s="244"/>
      <c r="C151" s="245"/>
      <c r="D151" s="245"/>
      <c r="E151" s="245"/>
      <c r="F151" s="245"/>
      <c r="G151" s="245"/>
      <c r="H151" s="245"/>
      <c r="I151" s="245"/>
      <c r="J151" s="245"/>
      <c r="K151" s="245"/>
      <c r="L151" s="245"/>
      <c r="M151" s="245"/>
      <c r="N151" s="245"/>
      <c r="O151" s="245"/>
      <c r="P151" s="245"/>
      <c r="Q151" s="246"/>
    </row>
    <row r="152" spans="2:17" x14ac:dyDescent="0.3">
      <c r="B152" s="244"/>
      <c r="C152" s="245"/>
      <c r="D152" s="245"/>
      <c r="E152" s="245"/>
      <c r="F152" s="245"/>
      <c r="G152" s="245"/>
      <c r="H152" s="245"/>
      <c r="I152" s="245"/>
      <c r="J152" s="245"/>
      <c r="K152" s="245"/>
      <c r="L152" s="245"/>
      <c r="M152" s="245"/>
      <c r="N152" s="245"/>
      <c r="O152" s="245"/>
      <c r="P152" s="245"/>
      <c r="Q152" s="246"/>
    </row>
    <row r="153" spans="2:17" x14ac:dyDescent="0.3">
      <c r="B153" s="247"/>
      <c r="C153" s="248"/>
      <c r="D153" s="248"/>
      <c r="E153" s="248"/>
      <c r="F153" s="248"/>
      <c r="G153" s="248"/>
      <c r="H153" s="248"/>
      <c r="I153" s="248"/>
      <c r="J153" s="248"/>
      <c r="K153" s="248"/>
      <c r="L153" s="248"/>
      <c r="M153" s="248"/>
      <c r="N153" s="248"/>
      <c r="O153" s="248"/>
      <c r="P153" s="248"/>
      <c r="Q153" s="249"/>
    </row>
    <row r="155" spans="2:17" x14ac:dyDescent="0.3">
      <c r="B155" s="35"/>
      <c r="C155" s="35"/>
      <c r="D155" s="35"/>
      <c r="E155" s="35"/>
      <c r="F155" s="35"/>
      <c r="G155" s="35"/>
      <c r="H155" s="35"/>
      <c r="I155" s="35"/>
      <c r="J155" s="35"/>
      <c r="K155" s="35"/>
      <c r="L155" s="35"/>
      <c r="M155" s="35"/>
      <c r="N155" s="35"/>
      <c r="O155" s="35"/>
      <c r="P155" s="35"/>
    </row>
    <row r="160" spans="2:17" ht="15" thickBot="1" x14ac:dyDescent="0.35"/>
    <row r="161" spans="2:17" ht="28.8" x14ac:dyDescent="0.3">
      <c r="B161" s="221" t="s">
        <v>105</v>
      </c>
      <c r="C161" s="222"/>
      <c r="D161" s="222"/>
      <c r="E161" s="222"/>
      <c r="F161" s="222"/>
      <c r="G161" s="222"/>
      <c r="H161" s="222"/>
      <c r="I161" s="222"/>
      <c r="J161" s="222"/>
      <c r="K161" s="222"/>
      <c r="L161" s="222"/>
      <c r="M161" s="222"/>
      <c r="N161" s="222"/>
      <c r="O161" s="222"/>
      <c r="P161" s="222"/>
    </row>
    <row r="162" spans="2:17" ht="28.8" x14ac:dyDescent="0.3">
      <c r="B162" s="98" t="s">
        <v>1</v>
      </c>
      <c r="C162" s="223" t="s">
        <v>2</v>
      </c>
      <c r="D162" s="223"/>
      <c r="E162" s="122" t="s">
        <v>3</v>
      </c>
      <c r="F162" s="122" t="s">
        <v>4</v>
      </c>
      <c r="G162" s="122" t="s">
        <v>5</v>
      </c>
      <c r="H162" s="122" t="s">
        <v>6</v>
      </c>
      <c r="I162" s="3" t="s">
        <v>51</v>
      </c>
      <c r="J162" s="3" t="s">
        <v>96</v>
      </c>
      <c r="K162" s="3" t="s">
        <v>53</v>
      </c>
      <c r="L162" s="3" t="s">
        <v>10</v>
      </c>
      <c r="M162" s="3" t="s">
        <v>11</v>
      </c>
      <c r="N162" s="3" t="s">
        <v>12</v>
      </c>
      <c r="O162" s="122" t="s">
        <v>13</v>
      </c>
      <c r="P162" s="122" t="s">
        <v>14</v>
      </c>
    </row>
    <row r="163" spans="2:17" x14ac:dyDescent="0.3">
      <c r="B163" s="224" t="s">
        <v>106</v>
      </c>
      <c r="C163" s="225" t="s">
        <v>107</v>
      </c>
      <c r="D163" s="118" t="s">
        <v>17</v>
      </c>
      <c r="E163" s="120">
        <v>1550</v>
      </c>
      <c r="F163" s="96">
        <v>340</v>
      </c>
      <c r="G163" s="96">
        <v>80</v>
      </c>
      <c r="H163" s="96">
        <v>18</v>
      </c>
      <c r="I163" s="96">
        <v>75</v>
      </c>
      <c r="J163" s="96">
        <v>75</v>
      </c>
      <c r="K163" s="97">
        <f>SUM(E163:J163)</f>
        <v>2138</v>
      </c>
      <c r="L163" s="96">
        <v>200</v>
      </c>
      <c r="M163" s="97">
        <f>SUM(K163:L163)</f>
        <v>2338</v>
      </c>
      <c r="N163" s="95" t="s">
        <v>99</v>
      </c>
      <c r="O163" s="214" t="s">
        <v>93</v>
      </c>
      <c r="P163" s="95" t="s">
        <v>108</v>
      </c>
    </row>
    <row r="164" spans="2:17" x14ac:dyDescent="0.3">
      <c r="B164" s="224"/>
      <c r="C164" s="225"/>
      <c r="D164" s="118" t="s">
        <v>22</v>
      </c>
      <c r="E164" s="120">
        <v>2700</v>
      </c>
      <c r="F164" s="96">
        <v>340</v>
      </c>
      <c r="G164" s="96">
        <v>80</v>
      </c>
      <c r="H164" s="96">
        <v>18</v>
      </c>
      <c r="I164" s="96">
        <v>75</v>
      </c>
      <c r="J164" s="96">
        <v>75</v>
      </c>
      <c r="K164" s="97">
        <f>SUM(E164:J164)</f>
        <v>3288</v>
      </c>
      <c r="L164" s="96">
        <v>200</v>
      </c>
      <c r="M164" s="97">
        <f>SUM(K164:L164)</f>
        <v>3488</v>
      </c>
      <c r="N164" s="95" t="s">
        <v>99</v>
      </c>
      <c r="O164" s="214" t="s">
        <v>93</v>
      </c>
      <c r="P164" s="95" t="s">
        <v>108</v>
      </c>
    </row>
    <row r="166" spans="2:17" ht="15.6" x14ac:dyDescent="0.3">
      <c r="B166" s="5" t="s">
        <v>32</v>
      </c>
      <c r="C166" s="6"/>
      <c r="D166" s="6"/>
      <c r="E166" s="6"/>
      <c r="F166" s="6"/>
      <c r="G166" s="6"/>
      <c r="H166" s="6"/>
      <c r="I166" s="6"/>
      <c r="J166" s="6"/>
      <c r="K166" s="6"/>
      <c r="L166" s="6"/>
      <c r="M166" s="6"/>
      <c r="N166" s="6"/>
      <c r="O166" s="6"/>
      <c r="P166" s="6"/>
      <c r="Q166" s="7"/>
    </row>
    <row r="167" spans="2:17" x14ac:dyDescent="0.3">
      <c r="B167" s="244" t="s">
        <v>33</v>
      </c>
      <c r="C167" s="245"/>
      <c r="D167" s="245"/>
      <c r="E167" s="245"/>
      <c r="F167" s="245"/>
      <c r="G167" s="245"/>
      <c r="H167" s="245"/>
      <c r="I167" s="245"/>
      <c r="J167" s="245"/>
      <c r="K167" s="245"/>
      <c r="L167" s="245"/>
      <c r="M167" s="245"/>
      <c r="N167" s="245"/>
      <c r="O167" s="245"/>
      <c r="P167" s="245"/>
      <c r="Q167" s="246"/>
    </row>
    <row r="168" spans="2:17" x14ac:dyDescent="0.3">
      <c r="B168" s="244"/>
      <c r="C168" s="245"/>
      <c r="D168" s="245"/>
      <c r="E168" s="245"/>
      <c r="F168" s="245"/>
      <c r="G168" s="245"/>
      <c r="H168" s="245"/>
      <c r="I168" s="245"/>
      <c r="J168" s="245"/>
      <c r="K168" s="245"/>
      <c r="L168" s="245"/>
      <c r="M168" s="245"/>
      <c r="N168" s="245"/>
      <c r="O168" s="245"/>
      <c r="P168" s="245"/>
      <c r="Q168" s="246"/>
    </row>
    <row r="169" spans="2:17" x14ac:dyDescent="0.3">
      <c r="B169" s="244"/>
      <c r="C169" s="245"/>
      <c r="D169" s="245"/>
      <c r="E169" s="245"/>
      <c r="F169" s="245"/>
      <c r="G169" s="245"/>
      <c r="H169" s="245"/>
      <c r="I169" s="245"/>
      <c r="J169" s="245"/>
      <c r="K169" s="245"/>
      <c r="L169" s="245"/>
      <c r="M169" s="245"/>
      <c r="N169" s="245"/>
      <c r="O169" s="245"/>
      <c r="P169" s="245"/>
      <c r="Q169" s="246"/>
    </row>
    <row r="170" spans="2:17" x14ac:dyDescent="0.3">
      <c r="B170" s="247"/>
      <c r="C170" s="248"/>
      <c r="D170" s="248"/>
      <c r="E170" s="248"/>
      <c r="F170" s="248"/>
      <c r="G170" s="248"/>
      <c r="H170" s="248"/>
      <c r="I170" s="248"/>
      <c r="J170" s="248"/>
      <c r="K170" s="248"/>
      <c r="L170" s="248"/>
      <c r="M170" s="248"/>
      <c r="N170" s="248"/>
      <c r="O170" s="248"/>
      <c r="P170" s="248"/>
      <c r="Q170" s="249"/>
    </row>
    <row r="171" spans="2:17" x14ac:dyDescent="0.3">
      <c r="B171" s="35"/>
      <c r="C171" s="35"/>
      <c r="D171" s="35"/>
      <c r="E171" s="35"/>
      <c r="F171" s="35"/>
      <c r="G171" s="35"/>
      <c r="H171" s="35"/>
      <c r="I171" s="35"/>
      <c r="J171" s="35"/>
      <c r="K171" s="35"/>
      <c r="L171" s="35"/>
      <c r="M171" s="35"/>
      <c r="N171" s="35"/>
      <c r="O171" s="35"/>
      <c r="P171" s="35"/>
      <c r="Q171" s="35"/>
    </row>
    <row r="172" spans="2:17" x14ac:dyDescent="0.3">
      <c r="B172" s="35"/>
      <c r="C172" s="35"/>
      <c r="D172" s="35"/>
      <c r="E172" s="35"/>
      <c r="F172" s="35"/>
      <c r="G172" s="35"/>
      <c r="H172" s="35"/>
      <c r="I172" s="35"/>
      <c r="J172" s="35"/>
      <c r="K172" s="35"/>
      <c r="L172" s="35"/>
      <c r="M172" s="35"/>
      <c r="N172" s="35"/>
      <c r="O172" s="35"/>
      <c r="P172" s="35"/>
      <c r="Q172" s="35"/>
    </row>
    <row r="174" spans="2:17" ht="28.8" x14ac:dyDescent="0.3">
      <c r="B174" s="219" t="s">
        <v>109</v>
      </c>
      <c r="C174" s="220"/>
      <c r="D174" s="220"/>
      <c r="E174" s="220"/>
      <c r="F174" s="220"/>
      <c r="G174" s="220"/>
      <c r="H174" s="220"/>
      <c r="I174" s="220"/>
      <c r="J174" s="220"/>
      <c r="K174" s="220"/>
      <c r="L174" s="220"/>
      <c r="M174" s="220"/>
      <c r="N174" s="220"/>
      <c r="O174" s="220"/>
    </row>
    <row r="175" spans="2:17" ht="72" x14ac:dyDescent="0.3">
      <c r="B175" s="98" t="s">
        <v>1</v>
      </c>
      <c r="C175" s="223" t="s">
        <v>2</v>
      </c>
      <c r="D175" s="223"/>
      <c r="E175" s="122" t="s">
        <v>3</v>
      </c>
      <c r="F175" s="3" t="s">
        <v>110</v>
      </c>
      <c r="G175" s="3" t="s">
        <v>111</v>
      </c>
      <c r="H175" s="3" t="s">
        <v>96</v>
      </c>
      <c r="I175" s="3" t="s">
        <v>112</v>
      </c>
      <c r="J175" s="3" t="s">
        <v>53</v>
      </c>
      <c r="K175" s="3" t="s">
        <v>10</v>
      </c>
      <c r="L175" s="3" t="s">
        <v>11</v>
      </c>
      <c r="M175" s="3" t="s">
        <v>12</v>
      </c>
      <c r="N175" s="122" t="s">
        <v>13</v>
      </c>
      <c r="O175" s="122" t="s">
        <v>14</v>
      </c>
    </row>
    <row r="176" spans="2:17" x14ac:dyDescent="0.3">
      <c r="B176" s="226" t="s">
        <v>113</v>
      </c>
      <c r="C176" s="225" t="s">
        <v>16</v>
      </c>
      <c r="D176" s="118" t="s">
        <v>17</v>
      </c>
      <c r="E176" s="144">
        <v>750</v>
      </c>
      <c r="F176" s="96">
        <v>65</v>
      </c>
      <c r="G176" s="96">
        <v>410</v>
      </c>
      <c r="H176" s="96">
        <v>60</v>
      </c>
      <c r="I176" s="189">
        <v>54.7</v>
      </c>
      <c r="J176" s="97">
        <f>SUM(E176:I176)</f>
        <v>1339.7</v>
      </c>
      <c r="K176" s="96">
        <v>200</v>
      </c>
      <c r="L176" s="97">
        <f>J176+K176</f>
        <v>1539.7</v>
      </c>
      <c r="M176" s="183" t="s">
        <v>114</v>
      </c>
      <c r="N176" s="214" t="s">
        <v>93</v>
      </c>
      <c r="O176" s="95" t="s">
        <v>21</v>
      </c>
    </row>
    <row r="177" spans="2:16" x14ac:dyDescent="0.3">
      <c r="B177" s="227"/>
      <c r="C177" s="225"/>
      <c r="D177" s="118" t="s">
        <v>22</v>
      </c>
      <c r="E177" s="144">
        <v>1200</v>
      </c>
      <c r="F177" s="96">
        <v>65</v>
      </c>
      <c r="G177" s="96">
        <v>410</v>
      </c>
      <c r="H177" s="96">
        <v>60</v>
      </c>
      <c r="I177" s="189">
        <v>54.7</v>
      </c>
      <c r="J177" s="97">
        <f>SUM(E177:I177)</f>
        <v>1789.7</v>
      </c>
      <c r="K177" s="96">
        <v>200</v>
      </c>
      <c r="L177" s="97">
        <f>J177+K177</f>
        <v>1989.7</v>
      </c>
      <c r="M177" s="183" t="s">
        <v>114</v>
      </c>
      <c r="N177" s="214" t="s">
        <v>93</v>
      </c>
      <c r="O177" s="95" t="s">
        <v>21</v>
      </c>
    </row>
    <row r="181" spans="2:16" x14ac:dyDescent="0.3">
      <c r="B181" s="35"/>
      <c r="C181" s="35"/>
      <c r="D181" s="35"/>
      <c r="E181" s="35"/>
      <c r="F181" s="35"/>
      <c r="G181" s="35"/>
      <c r="H181" s="35"/>
      <c r="I181" s="35"/>
      <c r="J181" s="35"/>
      <c r="K181" s="35"/>
      <c r="L181" s="35"/>
      <c r="M181" s="35"/>
      <c r="N181" s="35"/>
      <c r="O181" s="35"/>
      <c r="P181" s="35"/>
    </row>
    <row r="186" spans="2:16" ht="15" thickBot="1" x14ac:dyDescent="0.35"/>
    <row r="187" spans="2:16" ht="28.8" x14ac:dyDescent="0.3">
      <c r="B187" s="221" t="s">
        <v>115</v>
      </c>
      <c r="C187" s="222"/>
      <c r="D187" s="222"/>
      <c r="E187" s="222"/>
      <c r="F187" s="222"/>
      <c r="G187" s="222"/>
      <c r="H187" s="222"/>
      <c r="I187" s="222"/>
      <c r="J187" s="222"/>
      <c r="K187" s="222"/>
      <c r="L187" s="222"/>
      <c r="M187" s="222"/>
      <c r="N187" s="222"/>
      <c r="O187" s="222"/>
      <c r="P187" s="222"/>
    </row>
    <row r="188" spans="2:16" ht="28.8" x14ac:dyDescent="0.3">
      <c r="B188" s="98" t="s">
        <v>1</v>
      </c>
      <c r="C188" s="223" t="s">
        <v>2</v>
      </c>
      <c r="D188" s="223"/>
      <c r="E188" s="122" t="s">
        <v>3</v>
      </c>
      <c r="F188" s="122" t="s">
        <v>4</v>
      </c>
      <c r="G188" s="122" t="s">
        <v>5</v>
      </c>
      <c r="H188" s="122" t="s">
        <v>116</v>
      </c>
      <c r="I188" s="3" t="s">
        <v>51</v>
      </c>
      <c r="J188" s="3" t="s">
        <v>96</v>
      </c>
      <c r="K188" s="3" t="s">
        <v>53</v>
      </c>
      <c r="L188" s="3" t="s">
        <v>10</v>
      </c>
      <c r="M188" s="3" t="s">
        <v>11</v>
      </c>
      <c r="N188" s="3" t="s">
        <v>12</v>
      </c>
      <c r="O188" s="122" t="s">
        <v>13</v>
      </c>
      <c r="P188" s="122" t="s">
        <v>14</v>
      </c>
    </row>
    <row r="189" spans="2:16" x14ac:dyDescent="0.3">
      <c r="B189" s="224" t="s">
        <v>117</v>
      </c>
      <c r="C189" s="225" t="s">
        <v>98</v>
      </c>
      <c r="D189" s="118" t="s">
        <v>17</v>
      </c>
      <c r="E189" s="120">
        <v>1700</v>
      </c>
      <c r="F189" s="96">
        <v>340</v>
      </c>
      <c r="G189" s="96">
        <v>97.87</v>
      </c>
      <c r="H189" s="96">
        <v>55</v>
      </c>
      <c r="I189" s="96" t="s">
        <v>118</v>
      </c>
      <c r="J189" s="96" t="s">
        <v>118</v>
      </c>
      <c r="K189" s="97">
        <f>SUM(E189:J189)</f>
        <v>2192.87</v>
      </c>
      <c r="L189" s="96">
        <v>200</v>
      </c>
      <c r="M189" s="97">
        <f>SUM(K189:L189)</f>
        <v>2392.87</v>
      </c>
      <c r="N189" s="209" t="s">
        <v>119</v>
      </c>
      <c r="O189" s="214" t="s">
        <v>93</v>
      </c>
      <c r="P189" s="95" t="s">
        <v>70</v>
      </c>
    </row>
    <row r="190" spans="2:16" x14ac:dyDescent="0.3">
      <c r="B190" s="224"/>
      <c r="C190" s="225"/>
      <c r="D190" s="118" t="s">
        <v>22</v>
      </c>
      <c r="E190" s="120">
        <v>2050</v>
      </c>
      <c r="F190" s="96">
        <v>340</v>
      </c>
      <c r="G190" s="96">
        <v>97.87</v>
      </c>
      <c r="H190" s="96">
        <v>55</v>
      </c>
      <c r="I190" s="96" t="s">
        <v>118</v>
      </c>
      <c r="J190" s="96" t="s">
        <v>118</v>
      </c>
      <c r="K190" s="97">
        <f>SUM(E190:J190)</f>
        <v>2542.87</v>
      </c>
      <c r="L190" s="96">
        <v>200</v>
      </c>
      <c r="M190" s="97">
        <f>SUM(K190:L190)</f>
        <v>2742.87</v>
      </c>
      <c r="N190" s="209" t="s">
        <v>119</v>
      </c>
      <c r="O190" s="214" t="s">
        <v>93</v>
      </c>
      <c r="P190" s="95" t="s">
        <v>70</v>
      </c>
    </row>
    <row r="1048572" spans="3:3" x14ac:dyDescent="0.3">
      <c r="C1048572" s="126"/>
    </row>
  </sheetData>
  <mergeCells count="123">
    <mergeCell ref="O40:P40"/>
    <mergeCell ref="B161:P161"/>
    <mergeCell ref="C162:D162"/>
    <mergeCell ref="B163:B164"/>
    <mergeCell ref="C163:C164"/>
    <mergeCell ref="B167:Q170"/>
    <mergeCell ref="C143:D143"/>
    <mergeCell ref="B146:B147"/>
    <mergeCell ref="C146:C147"/>
    <mergeCell ref="B150:Q153"/>
    <mergeCell ref="B125:Q128"/>
    <mergeCell ref="B135:P135"/>
    <mergeCell ref="C136:D136"/>
    <mergeCell ref="B138:B139"/>
    <mergeCell ref="C138:C139"/>
    <mergeCell ref="B142:P142"/>
    <mergeCell ref="B144:B145"/>
    <mergeCell ref="C144:C145"/>
    <mergeCell ref="B106:S106"/>
    <mergeCell ref="B107:S110"/>
    <mergeCell ref="B119:P119"/>
    <mergeCell ref="C120:D120"/>
    <mergeCell ref="O120:Q120"/>
    <mergeCell ref="B121:B122"/>
    <mergeCell ref="C121:C122"/>
    <mergeCell ref="O121:Q122"/>
    <mergeCell ref="B101:S101"/>
    <mergeCell ref="C102:D102"/>
    <mergeCell ref="R102:S102"/>
    <mergeCell ref="B103:B104"/>
    <mergeCell ref="C103:C104"/>
    <mergeCell ref="R103:S104"/>
    <mergeCell ref="B97:S97"/>
    <mergeCell ref="C98:D98"/>
    <mergeCell ref="R98:S98"/>
    <mergeCell ref="B99:B100"/>
    <mergeCell ref="C99:C100"/>
    <mergeCell ref="R99:S100"/>
    <mergeCell ref="B93:S93"/>
    <mergeCell ref="C94:D94"/>
    <mergeCell ref="R94:S94"/>
    <mergeCell ref="B89:S89"/>
    <mergeCell ref="B95:B96"/>
    <mergeCell ref="C95:C96"/>
    <mergeCell ref="R95:S96"/>
    <mergeCell ref="C90:D90"/>
    <mergeCell ref="R90:S90"/>
    <mergeCell ref="B91:B92"/>
    <mergeCell ref="C91:C92"/>
    <mergeCell ref="R91:S92"/>
    <mergeCell ref="B85:S85"/>
    <mergeCell ref="C86:D86"/>
    <mergeCell ref="R86:S86"/>
    <mergeCell ref="B87:B88"/>
    <mergeCell ref="C87:C88"/>
    <mergeCell ref="B79:B80"/>
    <mergeCell ref="R87:S88"/>
    <mergeCell ref="B81:S81"/>
    <mergeCell ref="C82:D82"/>
    <mergeCell ref="R82:S82"/>
    <mergeCell ref="B83:B84"/>
    <mergeCell ref="C83:C84"/>
    <mergeCell ref="R83:S84"/>
    <mergeCell ref="R65:S66"/>
    <mergeCell ref="R63:S64"/>
    <mergeCell ref="R67:S68"/>
    <mergeCell ref="B71:B72"/>
    <mergeCell ref="C71:C72"/>
    <mergeCell ref="B73:B74"/>
    <mergeCell ref="C73:C74"/>
    <mergeCell ref="R69:S72"/>
    <mergeCell ref="B67:B68"/>
    <mergeCell ref="C67:C68"/>
    <mergeCell ref="B69:B70"/>
    <mergeCell ref="C69:C70"/>
    <mergeCell ref="C18:C19"/>
    <mergeCell ref="C79:C80"/>
    <mergeCell ref="C20:C21"/>
    <mergeCell ref="B24:P27"/>
    <mergeCell ref="O41:P41"/>
    <mergeCell ref="B44:Q47"/>
    <mergeCell ref="B57:S57"/>
    <mergeCell ref="C58:D58"/>
    <mergeCell ref="R58:S58"/>
    <mergeCell ref="B61:B62"/>
    <mergeCell ref="C61:C62"/>
    <mergeCell ref="R75:S80"/>
    <mergeCell ref="B75:B76"/>
    <mergeCell ref="C75:C76"/>
    <mergeCell ref="B77:B78"/>
    <mergeCell ref="C77:C78"/>
    <mergeCell ref="B59:B60"/>
    <mergeCell ref="C59:C60"/>
    <mergeCell ref="R59:S62"/>
    <mergeCell ref="R73:S74"/>
    <mergeCell ref="B63:B64"/>
    <mergeCell ref="C63:C64"/>
    <mergeCell ref="B65:B66"/>
    <mergeCell ref="C65:C66"/>
    <mergeCell ref="B174:O174"/>
    <mergeCell ref="B187:P187"/>
    <mergeCell ref="C188:D188"/>
    <mergeCell ref="B189:B190"/>
    <mergeCell ref="C189:C190"/>
    <mergeCell ref="C175:D175"/>
    <mergeCell ref="B176:B177"/>
    <mergeCell ref="C176:C177"/>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28"/>
  <sheetViews>
    <sheetView tabSelected="1" topLeftCell="A22" zoomScale="101" zoomScaleNormal="100" zoomScaleSheetLayoutView="100" workbookViewId="0">
      <selection activeCell="L33" sqref="L33"/>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20" t="s">
        <v>120</v>
      </c>
      <c r="C9" s="220"/>
      <c r="D9" s="220"/>
      <c r="E9" s="220"/>
      <c r="F9" s="220"/>
      <c r="G9" s="220"/>
      <c r="H9" s="220"/>
      <c r="I9" s="220"/>
      <c r="J9" s="220"/>
      <c r="K9" s="220"/>
      <c r="L9" s="220"/>
      <c r="M9" s="220"/>
      <c r="N9" s="220"/>
      <c r="O9" s="220"/>
      <c r="P9" s="220"/>
      <c r="Q9" s="220"/>
    </row>
    <row r="10" spans="2:17" ht="28.8" x14ac:dyDescent="0.3">
      <c r="B10" s="1" t="s">
        <v>1</v>
      </c>
      <c r="C10" s="310" t="s">
        <v>2</v>
      </c>
      <c r="D10" s="310"/>
      <c r="E10" s="8" t="s">
        <v>3</v>
      </c>
      <c r="F10" s="9" t="s">
        <v>4</v>
      </c>
      <c r="G10" s="9" t="s">
        <v>5</v>
      </c>
      <c r="H10" s="9" t="s">
        <v>6</v>
      </c>
      <c r="I10" s="109" t="s">
        <v>7</v>
      </c>
      <c r="J10" s="9" t="s">
        <v>121</v>
      </c>
      <c r="K10" s="2" t="s">
        <v>9</v>
      </c>
      <c r="L10" s="2" t="s">
        <v>10</v>
      </c>
      <c r="M10" s="2" t="s">
        <v>11</v>
      </c>
      <c r="N10" s="8" t="s">
        <v>12</v>
      </c>
      <c r="O10" s="9" t="s">
        <v>13</v>
      </c>
      <c r="P10" s="10" t="s">
        <v>14</v>
      </c>
      <c r="Q10" s="17" t="s">
        <v>122</v>
      </c>
    </row>
    <row r="11" spans="2:17" x14ac:dyDescent="0.3">
      <c r="B11" s="232" t="s">
        <v>15</v>
      </c>
      <c r="C11" s="232" t="s">
        <v>113</v>
      </c>
      <c r="D11" s="53" t="s">
        <v>17</v>
      </c>
      <c r="E11" s="152">
        <f>(2025)+550</f>
        <v>2575</v>
      </c>
      <c r="F11" s="152">
        <v>175</v>
      </c>
      <c r="G11" s="152">
        <v>75</v>
      </c>
      <c r="H11" s="152">
        <v>14</v>
      </c>
      <c r="I11" s="152">
        <v>50</v>
      </c>
      <c r="J11" s="152">
        <v>150</v>
      </c>
      <c r="K11" s="152">
        <f t="shared" ref="K11:K18" si="0">SUM(D11:J11)</f>
        <v>3039</v>
      </c>
      <c r="L11" s="56">
        <v>200</v>
      </c>
      <c r="M11" s="55">
        <f t="shared" ref="M11:M18" si="1">K11+L11</f>
        <v>3239</v>
      </c>
      <c r="N11" s="57" t="s">
        <v>123</v>
      </c>
      <c r="O11" s="214" t="s">
        <v>61</v>
      </c>
      <c r="P11" s="49" t="s">
        <v>23</v>
      </c>
      <c r="Q11" s="49" t="s">
        <v>124</v>
      </c>
    </row>
    <row r="12" spans="2:17" x14ac:dyDescent="0.3">
      <c r="B12" s="232"/>
      <c r="C12" s="232"/>
      <c r="D12" s="53" t="s">
        <v>22</v>
      </c>
      <c r="E12" s="152">
        <f>(3450)+680</f>
        <v>4130</v>
      </c>
      <c r="F12" s="152">
        <v>225</v>
      </c>
      <c r="G12" s="152">
        <v>75</v>
      </c>
      <c r="H12" s="152">
        <v>14</v>
      </c>
      <c r="I12" s="152">
        <v>50</v>
      </c>
      <c r="J12" s="152">
        <v>300</v>
      </c>
      <c r="K12" s="152">
        <f t="shared" si="0"/>
        <v>4794</v>
      </c>
      <c r="L12" s="56">
        <v>200</v>
      </c>
      <c r="M12" s="55">
        <f t="shared" si="1"/>
        <v>4994</v>
      </c>
      <c r="N12" s="57" t="s">
        <v>123</v>
      </c>
      <c r="O12" s="214" t="s">
        <v>61</v>
      </c>
      <c r="P12" s="49" t="s">
        <v>23</v>
      </c>
      <c r="Q12" s="49" t="s">
        <v>124</v>
      </c>
    </row>
    <row r="13" spans="2:17" x14ac:dyDescent="0.3">
      <c r="B13" s="232" t="s">
        <v>24</v>
      </c>
      <c r="C13" s="232" t="s">
        <v>113</v>
      </c>
      <c r="D13" s="53" t="s">
        <v>17</v>
      </c>
      <c r="E13" s="152">
        <f>(2575)+560</f>
        <v>3135</v>
      </c>
      <c r="F13" s="152">
        <v>175</v>
      </c>
      <c r="G13" s="152">
        <v>75</v>
      </c>
      <c r="H13" s="152">
        <v>14</v>
      </c>
      <c r="I13" s="152">
        <v>50</v>
      </c>
      <c r="J13" s="152">
        <v>150</v>
      </c>
      <c r="K13" s="152">
        <f t="shared" si="0"/>
        <v>3599</v>
      </c>
      <c r="L13" s="56">
        <v>200</v>
      </c>
      <c r="M13" s="55">
        <f t="shared" si="1"/>
        <v>3799</v>
      </c>
      <c r="N13" s="57" t="s">
        <v>125</v>
      </c>
      <c r="O13" s="214" t="s">
        <v>61</v>
      </c>
      <c r="P13" s="49" t="s">
        <v>23</v>
      </c>
      <c r="Q13" s="49" t="s">
        <v>124</v>
      </c>
    </row>
    <row r="14" spans="2:17" x14ac:dyDescent="0.3">
      <c r="B14" s="232"/>
      <c r="C14" s="232"/>
      <c r="D14" s="53" t="s">
        <v>22</v>
      </c>
      <c r="E14" s="152">
        <f>(3875)+600</f>
        <v>4475</v>
      </c>
      <c r="F14" s="152">
        <v>225</v>
      </c>
      <c r="G14" s="152">
        <v>75</v>
      </c>
      <c r="H14" s="152">
        <v>14</v>
      </c>
      <c r="I14" s="152">
        <v>50</v>
      </c>
      <c r="J14" s="152">
        <v>300</v>
      </c>
      <c r="K14" s="152">
        <f t="shared" si="0"/>
        <v>5139</v>
      </c>
      <c r="L14" s="56">
        <v>200</v>
      </c>
      <c r="M14" s="55">
        <f t="shared" si="1"/>
        <v>5339</v>
      </c>
      <c r="N14" s="57" t="s">
        <v>125</v>
      </c>
      <c r="O14" s="214" t="s">
        <v>61</v>
      </c>
      <c r="P14" s="49" t="s">
        <v>23</v>
      </c>
      <c r="Q14" s="49" t="s">
        <v>124</v>
      </c>
    </row>
    <row r="15" spans="2:17" x14ac:dyDescent="0.3">
      <c r="B15" s="230" t="s">
        <v>26</v>
      </c>
      <c r="C15" s="232" t="s">
        <v>113</v>
      </c>
      <c r="D15" s="53" t="s">
        <v>17</v>
      </c>
      <c r="E15" s="152">
        <f>(3045)+550</f>
        <v>3595</v>
      </c>
      <c r="F15" s="152">
        <v>175</v>
      </c>
      <c r="G15" s="152">
        <v>75</v>
      </c>
      <c r="H15" s="152">
        <v>14</v>
      </c>
      <c r="I15" s="152">
        <v>50</v>
      </c>
      <c r="J15" s="152">
        <v>150</v>
      </c>
      <c r="K15" s="152">
        <f t="shared" si="0"/>
        <v>4059</v>
      </c>
      <c r="L15" s="56">
        <v>200</v>
      </c>
      <c r="M15" s="55">
        <f t="shared" si="1"/>
        <v>4259</v>
      </c>
      <c r="N15" s="57" t="s">
        <v>126</v>
      </c>
      <c r="O15" s="214" t="s">
        <v>61</v>
      </c>
      <c r="P15" s="49" t="s">
        <v>23</v>
      </c>
      <c r="Q15" s="49" t="s">
        <v>124</v>
      </c>
    </row>
    <row r="16" spans="2:17" x14ac:dyDescent="0.3">
      <c r="B16" s="230"/>
      <c r="C16" s="232"/>
      <c r="D16" s="53" t="s">
        <v>22</v>
      </c>
      <c r="E16" s="152">
        <f>(4450)+680</f>
        <v>5130</v>
      </c>
      <c r="F16" s="152">
        <v>225</v>
      </c>
      <c r="G16" s="152">
        <v>75</v>
      </c>
      <c r="H16" s="152">
        <v>14</v>
      </c>
      <c r="I16" s="152">
        <v>50</v>
      </c>
      <c r="J16" s="152">
        <v>300</v>
      </c>
      <c r="K16" s="152">
        <f t="shared" si="0"/>
        <v>5794</v>
      </c>
      <c r="L16" s="56">
        <v>200</v>
      </c>
      <c r="M16" s="55">
        <f t="shared" si="1"/>
        <v>5994</v>
      </c>
      <c r="N16" s="57" t="s">
        <v>126</v>
      </c>
      <c r="O16" s="214" t="s">
        <v>61</v>
      </c>
      <c r="P16" s="49" t="s">
        <v>23</v>
      </c>
      <c r="Q16" s="49" t="s">
        <v>124</v>
      </c>
    </row>
    <row r="17" spans="2:18" x14ac:dyDescent="0.3">
      <c r="B17" s="232" t="s">
        <v>127</v>
      </c>
      <c r="C17" s="232" t="s">
        <v>113</v>
      </c>
      <c r="D17" s="53" t="s">
        <v>17</v>
      </c>
      <c r="E17" s="152">
        <f>(3575)+550</f>
        <v>4125</v>
      </c>
      <c r="F17" s="152">
        <v>175</v>
      </c>
      <c r="G17" s="152">
        <v>75</v>
      </c>
      <c r="H17" s="152">
        <v>14</v>
      </c>
      <c r="I17" s="152">
        <v>50</v>
      </c>
      <c r="J17" s="152">
        <v>150</v>
      </c>
      <c r="K17" s="152">
        <f t="shared" si="0"/>
        <v>4589</v>
      </c>
      <c r="L17" s="56">
        <v>200</v>
      </c>
      <c r="M17" s="55">
        <f t="shared" si="1"/>
        <v>4789</v>
      </c>
      <c r="N17" s="57" t="s">
        <v>128</v>
      </c>
      <c r="O17" s="214" t="s">
        <v>61</v>
      </c>
      <c r="P17" s="49" t="s">
        <v>23</v>
      </c>
      <c r="Q17" s="49" t="s">
        <v>124</v>
      </c>
    </row>
    <row r="18" spans="2:18" x14ac:dyDescent="0.3">
      <c r="B18" s="232"/>
      <c r="C18" s="232"/>
      <c r="D18" s="53" t="s">
        <v>22</v>
      </c>
      <c r="E18" s="152">
        <f>(3775)+680</f>
        <v>4455</v>
      </c>
      <c r="F18" s="152">
        <v>225</v>
      </c>
      <c r="G18" s="152">
        <v>75</v>
      </c>
      <c r="H18" s="152">
        <v>14</v>
      </c>
      <c r="I18" s="152">
        <v>50</v>
      </c>
      <c r="J18" s="152">
        <v>300</v>
      </c>
      <c r="K18" s="152">
        <f t="shared" si="0"/>
        <v>5119</v>
      </c>
      <c r="L18" s="56">
        <v>200</v>
      </c>
      <c r="M18" s="55">
        <f t="shared" si="1"/>
        <v>5319</v>
      </c>
      <c r="N18" s="57" t="s">
        <v>128</v>
      </c>
      <c r="O18" s="214" t="s">
        <v>61</v>
      </c>
      <c r="P18" s="49" t="s">
        <v>23</v>
      </c>
      <c r="Q18" s="49" t="s">
        <v>124</v>
      </c>
    </row>
    <row r="19" spans="2:18" x14ac:dyDescent="0.3">
      <c r="B19" s="27"/>
      <c r="C19" s="27"/>
      <c r="E19" s="67"/>
      <c r="F19" s="63"/>
      <c r="G19" s="63"/>
      <c r="H19" s="63"/>
      <c r="I19" s="63"/>
      <c r="J19" s="64"/>
      <c r="K19" s="64"/>
      <c r="L19" s="64"/>
      <c r="M19" s="64"/>
      <c r="N19" s="62"/>
      <c r="O19" s="64"/>
      <c r="P19" s="65"/>
      <c r="Q19" s="34"/>
    </row>
    <row r="20" spans="2:18" ht="15.6" x14ac:dyDescent="0.3">
      <c r="B20" s="313" t="s">
        <v>32</v>
      </c>
      <c r="C20" s="314"/>
      <c r="D20" s="314"/>
      <c r="E20" s="314"/>
      <c r="F20" s="314"/>
      <c r="G20" s="314"/>
      <c r="H20" s="314"/>
      <c r="I20" s="314"/>
      <c r="J20" s="314"/>
      <c r="K20" s="314"/>
      <c r="L20" s="314"/>
      <c r="M20" s="314"/>
      <c r="N20" s="314"/>
      <c r="O20" s="314"/>
      <c r="P20" s="314"/>
      <c r="Q20" s="314"/>
      <c r="R20" s="315"/>
    </row>
    <row r="21" spans="2:18" ht="14.4" customHeight="1" x14ac:dyDescent="0.3">
      <c r="B21" s="316" t="s">
        <v>33</v>
      </c>
      <c r="C21" s="317"/>
      <c r="D21" s="317"/>
      <c r="E21" s="317"/>
      <c r="F21" s="317"/>
      <c r="G21" s="317"/>
      <c r="H21" s="317"/>
      <c r="I21" s="317"/>
      <c r="J21" s="317"/>
      <c r="K21" s="317"/>
      <c r="L21" s="317"/>
      <c r="M21" s="317"/>
      <c r="N21" s="317"/>
      <c r="O21" s="317"/>
      <c r="P21" s="317"/>
      <c r="Q21" s="317"/>
      <c r="R21" s="318"/>
    </row>
    <row r="22" spans="2:18" x14ac:dyDescent="0.3">
      <c r="B22" s="319"/>
      <c r="C22" s="291"/>
      <c r="D22" s="291"/>
      <c r="E22" s="291"/>
      <c r="F22" s="291"/>
      <c r="G22" s="291"/>
      <c r="H22" s="291"/>
      <c r="I22" s="291"/>
      <c r="J22" s="291"/>
      <c r="K22" s="291"/>
      <c r="L22" s="291"/>
      <c r="M22" s="291"/>
      <c r="N22" s="291"/>
      <c r="O22" s="291"/>
      <c r="P22" s="291"/>
      <c r="Q22" s="291"/>
      <c r="R22" s="320"/>
    </row>
    <row r="23" spans="2:18" x14ac:dyDescent="0.3">
      <c r="B23" s="319"/>
      <c r="C23" s="291"/>
      <c r="D23" s="291"/>
      <c r="E23" s="291"/>
      <c r="F23" s="291"/>
      <c r="G23" s="291"/>
      <c r="H23" s="291"/>
      <c r="I23" s="291"/>
      <c r="J23" s="291"/>
      <c r="K23" s="291"/>
      <c r="L23" s="291"/>
      <c r="M23" s="291"/>
      <c r="N23" s="291"/>
      <c r="O23" s="291"/>
      <c r="P23" s="291"/>
      <c r="Q23" s="291"/>
      <c r="R23" s="320"/>
    </row>
    <row r="24" spans="2:18" x14ac:dyDescent="0.3">
      <c r="B24" s="321"/>
      <c r="C24" s="322"/>
      <c r="D24" s="322"/>
      <c r="E24" s="322"/>
      <c r="F24" s="322"/>
      <c r="G24" s="322"/>
      <c r="H24" s="322"/>
      <c r="I24" s="322"/>
      <c r="J24" s="322"/>
      <c r="K24" s="322"/>
      <c r="L24" s="322"/>
      <c r="M24" s="322"/>
      <c r="N24" s="322"/>
      <c r="O24" s="322"/>
      <c r="P24" s="322"/>
      <c r="Q24" s="322"/>
      <c r="R24" s="323"/>
    </row>
    <row r="25" spans="2:18" x14ac:dyDescent="0.3">
      <c r="B25" s="27"/>
      <c r="C25" s="27"/>
      <c r="E25" s="67"/>
      <c r="F25" s="63"/>
      <c r="G25" s="63"/>
      <c r="H25" s="63"/>
      <c r="I25" s="63"/>
      <c r="J25" s="64"/>
      <c r="K25" s="64"/>
      <c r="L25" s="64"/>
      <c r="M25" s="64"/>
      <c r="N25" s="62"/>
      <c r="O25" s="64"/>
      <c r="P25" s="65"/>
      <c r="Q25" s="34"/>
    </row>
    <row r="26" spans="2:18" x14ac:dyDescent="0.3">
      <c r="B26" s="27"/>
      <c r="C26" s="27"/>
      <c r="E26" s="67"/>
      <c r="F26" s="63"/>
      <c r="G26" s="63"/>
      <c r="H26" s="63"/>
      <c r="I26" s="63"/>
      <c r="J26" s="64"/>
      <c r="K26" s="64"/>
      <c r="L26" s="64"/>
      <c r="M26" s="64"/>
      <c r="N26" s="62"/>
      <c r="O26" s="64"/>
      <c r="P26" s="65"/>
      <c r="Q26" s="34"/>
    </row>
    <row r="27" spans="2:18" x14ac:dyDescent="0.3">
      <c r="B27" s="27"/>
      <c r="C27" s="27"/>
      <c r="E27" s="67"/>
      <c r="F27" s="63"/>
      <c r="G27" s="63"/>
      <c r="H27" s="63"/>
      <c r="I27" s="63"/>
      <c r="J27" s="64"/>
      <c r="K27" s="64"/>
      <c r="L27" s="64"/>
      <c r="M27" s="64"/>
      <c r="N27" s="62"/>
      <c r="O27" s="64"/>
      <c r="P27" s="65"/>
      <c r="Q27" s="34"/>
    </row>
    <row r="28" spans="2:18" x14ac:dyDescent="0.3">
      <c r="B28" s="27"/>
      <c r="C28" s="27"/>
      <c r="E28" s="67"/>
      <c r="F28" s="63"/>
      <c r="G28" s="63"/>
      <c r="H28" s="63"/>
      <c r="I28" s="63"/>
      <c r="J28" s="64"/>
      <c r="K28" s="64"/>
      <c r="L28" s="64"/>
      <c r="M28" s="64"/>
      <c r="N28" s="62"/>
      <c r="O28" s="64"/>
      <c r="P28" s="65"/>
      <c r="Q28" s="34"/>
    </row>
    <row r="29" spans="2:18" x14ac:dyDescent="0.3">
      <c r="B29" s="27"/>
      <c r="C29" s="27"/>
      <c r="E29" s="67"/>
      <c r="F29" s="63"/>
      <c r="G29" s="63"/>
      <c r="H29" s="63"/>
      <c r="I29" s="63"/>
      <c r="J29" s="64"/>
      <c r="K29" s="64"/>
      <c r="L29" s="64"/>
      <c r="M29" s="64"/>
      <c r="N29" s="62"/>
      <c r="O29" s="64"/>
      <c r="P29" s="65"/>
      <c r="Q29" s="34"/>
    </row>
    <row r="30" spans="2:18" x14ac:dyDescent="0.3">
      <c r="B30" s="27"/>
      <c r="C30" s="27"/>
      <c r="E30" s="67"/>
      <c r="F30" s="63"/>
      <c r="G30" s="63"/>
      <c r="H30" s="63"/>
      <c r="I30" s="63"/>
      <c r="J30" s="64"/>
      <c r="K30" s="64"/>
      <c r="L30" s="64"/>
      <c r="M30" s="64"/>
      <c r="N30" s="62"/>
      <c r="O30" s="64"/>
      <c r="P30" s="65"/>
      <c r="Q30" s="34"/>
    </row>
    <row r="31" spans="2:18" x14ac:dyDescent="0.3">
      <c r="B31" s="27"/>
      <c r="C31" s="27"/>
      <c r="E31" s="67"/>
      <c r="F31" s="63"/>
      <c r="G31" s="63"/>
      <c r="H31" s="63"/>
      <c r="I31" s="63"/>
      <c r="J31" s="64"/>
      <c r="K31" s="64"/>
      <c r="L31" s="64"/>
      <c r="M31" s="64"/>
      <c r="N31" s="62"/>
      <c r="O31" s="64"/>
      <c r="P31" s="65"/>
      <c r="Q31" s="34"/>
    </row>
    <row r="32" spans="2:18" x14ac:dyDescent="0.3">
      <c r="B32" s="27"/>
      <c r="C32" s="27"/>
      <c r="E32" s="67"/>
      <c r="F32" s="63"/>
      <c r="G32" s="63"/>
      <c r="H32" s="63"/>
      <c r="I32" s="63"/>
      <c r="J32" s="64"/>
      <c r="K32" s="64"/>
      <c r="L32" s="64"/>
      <c r="M32" s="64"/>
      <c r="N32" s="62"/>
      <c r="O32" s="64"/>
      <c r="P32" s="65"/>
      <c r="Q32" s="34"/>
    </row>
    <row r="33" spans="2:19" x14ac:dyDescent="0.3">
      <c r="B33" s="27"/>
      <c r="C33" s="27"/>
      <c r="E33" s="67"/>
      <c r="F33" s="63"/>
      <c r="G33" s="63"/>
      <c r="H33" s="63"/>
      <c r="I33" s="63"/>
      <c r="J33" s="64"/>
      <c r="K33" s="64"/>
      <c r="L33" s="64"/>
      <c r="M33" s="64"/>
      <c r="N33" s="62"/>
      <c r="O33" s="64"/>
      <c r="P33" s="65"/>
      <c r="Q33" s="34"/>
    </row>
    <row r="34" spans="2:19" ht="28.8" x14ac:dyDescent="0.3">
      <c r="B34" s="233" t="s">
        <v>129</v>
      </c>
      <c r="C34" s="233"/>
      <c r="D34" s="233"/>
      <c r="E34" s="233"/>
      <c r="F34" s="233"/>
      <c r="G34" s="233"/>
      <c r="H34" s="233"/>
      <c r="I34" s="233"/>
      <c r="J34" s="233"/>
      <c r="K34" s="233"/>
      <c r="L34" s="233"/>
      <c r="M34" s="233"/>
      <c r="N34" s="233"/>
      <c r="O34" s="233"/>
      <c r="P34" s="233"/>
      <c r="Q34" s="233"/>
      <c r="R34" s="233"/>
    </row>
    <row r="35" spans="2:19" ht="28.8" x14ac:dyDescent="0.3">
      <c r="B35" s="1" t="s">
        <v>1</v>
      </c>
      <c r="C35" s="310" t="s">
        <v>2</v>
      </c>
      <c r="D35" s="310"/>
      <c r="E35" s="128" t="s">
        <v>130</v>
      </c>
      <c r="F35" s="128" t="s">
        <v>131</v>
      </c>
      <c r="G35" s="11" t="s">
        <v>91</v>
      </c>
      <c r="H35" s="128" t="s">
        <v>6</v>
      </c>
      <c r="I35" s="2" t="s">
        <v>9</v>
      </c>
      <c r="J35" s="2" t="s">
        <v>10</v>
      </c>
      <c r="K35" s="2" t="s">
        <v>11</v>
      </c>
      <c r="L35" s="8" t="s">
        <v>12</v>
      </c>
      <c r="M35" s="9" t="s">
        <v>13</v>
      </c>
      <c r="N35" s="9" t="s">
        <v>14</v>
      </c>
      <c r="O35" s="125" t="s">
        <v>122</v>
      </c>
      <c r="P35" s="223" t="s">
        <v>36</v>
      </c>
      <c r="Q35" s="223"/>
      <c r="R35" s="223"/>
    </row>
    <row r="36" spans="2:19" ht="14.4" customHeight="1" x14ac:dyDescent="0.3">
      <c r="B36" s="235" t="s">
        <v>132</v>
      </c>
      <c r="C36" s="232" t="s">
        <v>113</v>
      </c>
      <c r="D36" s="53" t="s">
        <v>17</v>
      </c>
      <c r="E36" s="152">
        <f>CEILING((((6500+75)*1.15)),50)</f>
        <v>7600</v>
      </c>
      <c r="F36" s="152">
        <v>365</v>
      </c>
      <c r="G36" s="152">
        <v>150</v>
      </c>
      <c r="H36" s="152">
        <v>35</v>
      </c>
      <c r="I36" s="200">
        <f t="shared" ref="I36:I41" si="2">SUM(E36:H36)</f>
        <v>8150</v>
      </c>
      <c r="J36" s="152">
        <v>200</v>
      </c>
      <c r="K36" s="200">
        <f t="shared" ref="K36:K41" si="3">I36+J36</f>
        <v>8350</v>
      </c>
      <c r="L36" s="40" t="s">
        <v>133</v>
      </c>
      <c r="M36" s="214" t="s">
        <v>61</v>
      </c>
      <c r="N36" s="20" t="s">
        <v>39</v>
      </c>
      <c r="O36" s="53" t="s">
        <v>124</v>
      </c>
      <c r="P36" s="236" t="s">
        <v>134</v>
      </c>
      <c r="Q36" s="305"/>
      <c r="R36" s="237"/>
    </row>
    <row r="37" spans="2:19" x14ac:dyDescent="0.3">
      <c r="B37" s="235"/>
      <c r="C37" s="232"/>
      <c r="D37" s="53" t="s">
        <v>22</v>
      </c>
      <c r="E37" s="152">
        <f>CEILING((((6800+75)*1.15)),50)</f>
        <v>7950</v>
      </c>
      <c r="F37" s="152">
        <v>365</v>
      </c>
      <c r="G37" s="152">
        <v>100</v>
      </c>
      <c r="H37" s="152">
        <v>30</v>
      </c>
      <c r="I37" s="200">
        <f t="shared" si="2"/>
        <v>8445</v>
      </c>
      <c r="J37" s="152">
        <v>200</v>
      </c>
      <c r="K37" s="200">
        <f t="shared" si="3"/>
        <v>8645</v>
      </c>
      <c r="L37" s="108" t="s">
        <v>133</v>
      </c>
      <c r="M37" s="214" t="s">
        <v>61</v>
      </c>
      <c r="N37" s="20" t="s">
        <v>39</v>
      </c>
      <c r="O37" s="53" t="s">
        <v>124</v>
      </c>
      <c r="P37" s="306"/>
      <c r="Q37" s="307"/>
      <c r="R37" s="308"/>
    </row>
    <row r="38" spans="2:19" x14ac:dyDescent="0.3">
      <c r="B38" s="192" t="s">
        <v>41</v>
      </c>
      <c r="C38" s="20" t="s">
        <v>113</v>
      </c>
      <c r="D38" s="53" t="s">
        <v>17</v>
      </c>
      <c r="E38" s="152">
        <v>5100</v>
      </c>
      <c r="F38" s="152" t="s">
        <v>135</v>
      </c>
      <c r="G38" s="152">
        <v>100</v>
      </c>
      <c r="H38" s="152">
        <v>18</v>
      </c>
      <c r="I38" s="200">
        <f t="shared" si="2"/>
        <v>5218</v>
      </c>
      <c r="J38" s="152">
        <v>200</v>
      </c>
      <c r="K38" s="200">
        <f t="shared" si="3"/>
        <v>5418</v>
      </c>
      <c r="L38" s="108">
        <v>35</v>
      </c>
      <c r="M38" s="214" t="s">
        <v>20</v>
      </c>
      <c r="N38" s="20" t="s">
        <v>43</v>
      </c>
      <c r="O38" s="53" t="s">
        <v>136</v>
      </c>
      <c r="P38" s="285" t="s">
        <v>137</v>
      </c>
      <c r="Q38" s="304"/>
      <c r="R38" s="286"/>
    </row>
    <row r="39" spans="2:19" x14ac:dyDescent="0.3">
      <c r="B39" s="192" t="s">
        <v>138</v>
      </c>
      <c r="C39" s="20" t="s">
        <v>113</v>
      </c>
      <c r="D39" s="53" t="s">
        <v>17</v>
      </c>
      <c r="E39" s="152">
        <v>4150</v>
      </c>
      <c r="F39" s="152" t="s">
        <v>135</v>
      </c>
      <c r="G39" s="152">
        <v>100</v>
      </c>
      <c r="H39" s="152">
        <v>18</v>
      </c>
      <c r="I39" s="200">
        <f t="shared" si="2"/>
        <v>4268</v>
      </c>
      <c r="J39" s="152">
        <v>200</v>
      </c>
      <c r="K39" s="200">
        <f t="shared" si="3"/>
        <v>4468</v>
      </c>
      <c r="L39" s="108">
        <v>35</v>
      </c>
      <c r="M39" s="214" t="s">
        <v>20</v>
      </c>
      <c r="N39" s="20" t="s">
        <v>139</v>
      </c>
      <c r="O39" s="53" t="s">
        <v>128</v>
      </c>
      <c r="P39" s="216"/>
      <c r="Q39" s="217"/>
      <c r="R39" s="218"/>
    </row>
    <row r="40" spans="2:19" x14ac:dyDescent="0.3">
      <c r="B40" s="192" t="s">
        <v>140</v>
      </c>
      <c r="C40" s="20" t="s">
        <v>113</v>
      </c>
      <c r="D40" s="53" t="s">
        <v>17</v>
      </c>
      <c r="E40" s="152">
        <v>4720</v>
      </c>
      <c r="F40" s="152" t="s">
        <v>135</v>
      </c>
      <c r="G40" s="152">
        <v>100</v>
      </c>
      <c r="H40" s="152">
        <v>18</v>
      </c>
      <c r="I40" s="200">
        <f t="shared" si="2"/>
        <v>4838</v>
      </c>
      <c r="J40" s="152">
        <v>200</v>
      </c>
      <c r="K40" s="200">
        <f t="shared" si="3"/>
        <v>5038</v>
      </c>
      <c r="L40" s="108">
        <v>35</v>
      </c>
      <c r="M40" s="214" t="s">
        <v>20</v>
      </c>
      <c r="N40" s="20" t="s">
        <v>46</v>
      </c>
      <c r="O40" s="53" t="s">
        <v>125</v>
      </c>
      <c r="P40" s="216"/>
      <c r="Q40" s="217"/>
      <c r="R40" s="218"/>
    </row>
    <row r="41" spans="2:19" ht="27" customHeight="1" x14ac:dyDescent="0.3">
      <c r="B41" s="126" t="s">
        <v>141</v>
      </c>
      <c r="C41" s="20" t="s">
        <v>113</v>
      </c>
      <c r="D41" s="53" t="s">
        <v>22</v>
      </c>
      <c r="E41" s="152">
        <f>CEILING((((6800+75)*1.13)),50)</f>
        <v>7800</v>
      </c>
      <c r="F41" s="152">
        <v>365</v>
      </c>
      <c r="G41" s="152">
        <v>100</v>
      </c>
      <c r="H41" s="152">
        <v>30</v>
      </c>
      <c r="I41" s="200">
        <f t="shared" si="2"/>
        <v>8295</v>
      </c>
      <c r="J41" s="152">
        <v>200</v>
      </c>
      <c r="K41" s="200">
        <f t="shared" si="3"/>
        <v>8495</v>
      </c>
      <c r="L41" s="108" t="s">
        <v>133</v>
      </c>
      <c r="M41" s="214" t="s">
        <v>61</v>
      </c>
      <c r="N41" s="20" t="s">
        <v>39</v>
      </c>
      <c r="O41" s="53" t="s">
        <v>124</v>
      </c>
      <c r="P41" s="285" t="s">
        <v>137</v>
      </c>
      <c r="Q41" s="304"/>
      <c r="R41" s="286"/>
    </row>
    <row r="42" spans="2:19" x14ac:dyDescent="0.3">
      <c r="B42" s="42"/>
      <c r="E42" s="43"/>
      <c r="F42" s="43"/>
      <c r="G42" s="43"/>
      <c r="H42" s="43"/>
      <c r="I42" s="43"/>
      <c r="J42" s="64"/>
      <c r="K42" s="64"/>
      <c r="L42" s="64"/>
      <c r="M42" s="64"/>
      <c r="N42" s="62"/>
      <c r="O42" s="64"/>
      <c r="P42" s="127"/>
      <c r="Q42" s="113"/>
      <c r="R42" s="106"/>
      <c r="S42" s="114"/>
    </row>
    <row r="43" spans="2:19" ht="15.6" x14ac:dyDescent="0.3">
      <c r="B43" s="5" t="s">
        <v>32</v>
      </c>
      <c r="C43" s="6"/>
      <c r="D43" s="6"/>
      <c r="E43" s="6"/>
      <c r="F43" s="6"/>
      <c r="G43" s="6"/>
      <c r="H43" s="6"/>
      <c r="I43" s="6"/>
      <c r="J43" s="6"/>
      <c r="K43" s="6"/>
      <c r="L43" s="6"/>
      <c r="M43" s="6"/>
      <c r="N43" s="6"/>
      <c r="O43" s="6"/>
      <c r="P43" s="6"/>
      <c r="Q43" s="6"/>
      <c r="R43" s="6"/>
      <c r="S43" s="7"/>
    </row>
    <row r="44" spans="2:19" x14ac:dyDescent="0.3">
      <c r="B44" s="244" t="s">
        <v>33</v>
      </c>
      <c r="C44" s="244"/>
      <c r="D44" s="244"/>
      <c r="E44" s="244"/>
      <c r="F44" s="244"/>
      <c r="G44" s="244"/>
      <c r="H44" s="244"/>
      <c r="I44" s="244"/>
      <c r="J44" s="244"/>
      <c r="K44" s="244"/>
      <c r="L44" s="244"/>
      <c r="M44" s="244"/>
      <c r="N44" s="244"/>
      <c r="O44" s="244"/>
      <c r="P44" s="244"/>
      <c r="Q44" s="244"/>
      <c r="R44" s="244"/>
      <c r="S44" s="244"/>
    </row>
    <row r="45" spans="2:19" x14ac:dyDescent="0.3">
      <c r="B45" s="244"/>
      <c r="C45" s="244"/>
      <c r="D45" s="244"/>
      <c r="E45" s="244"/>
      <c r="F45" s="244"/>
      <c r="G45" s="244"/>
      <c r="H45" s="244"/>
      <c r="I45" s="244"/>
      <c r="J45" s="244"/>
      <c r="K45" s="244"/>
      <c r="L45" s="244"/>
      <c r="M45" s="244"/>
      <c r="N45" s="244"/>
      <c r="O45" s="244"/>
      <c r="P45" s="244"/>
      <c r="Q45" s="244"/>
      <c r="R45" s="244"/>
      <c r="S45" s="244"/>
    </row>
    <row r="46" spans="2:19" x14ac:dyDescent="0.3">
      <c r="B46" s="244"/>
      <c r="C46" s="244"/>
      <c r="D46" s="244"/>
      <c r="E46" s="244"/>
      <c r="F46" s="244"/>
      <c r="G46" s="244"/>
      <c r="H46" s="244"/>
      <c r="I46" s="244"/>
      <c r="J46" s="244"/>
      <c r="K46" s="244"/>
      <c r="L46" s="244"/>
      <c r="M46" s="244"/>
      <c r="N46" s="244"/>
      <c r="O46" s="244"/>
      <c r="P46" s="244"/>
      <c r="Q46" s="244"/>
      <c r="R46" s="244"/>
      <c r="S46" s="244"/>
    </row>
    <row r="47" spans="2:19" x14ac:dyDescent="0.3">
      <c r="B47" s="247"/>
      <c r="C47" s="247"/>
      <c r="D47" s="247"/>
      <c r="E47" s="247"/>
      <c r="F47" s="247"/>
      <c r="G47" s="247"/>
      <c r="H47" s="247"/>
      <c r="I47" s="247"/>
      <c r="J47" s="247"/>
      <c r="K47" s="247"/>
      <c r="L47" s="247"/>
      <c r="M47" s="247"/>
      <c r="N47" s="247"/>
      <c r="O47" s="247"/>
      <c r="P47" s="247"/>
      <c r="Q47" s="247"/>
      <c r="R47" s="247"/>
      <c r="S47" s="247"/>
    </row>
    <row r="48" spans="2:19" x14ac:dyDescent="0.3">
      <c r="B48" s="42"/>
      <c r="E48" s="43"/>
      <c r="F48" s="43"/>
      <c r="G48" s="43"/>
      <c r="H48" s="43"/>
      <c r="I48" s="43"/>
      <c r="J48" s="64"/>
      <c r="K48" s="64"/>
      <c r="L48" s="64"/>
      <c r="M48" s="64"/>
      <c r="N48" s="62"/>
      <c r="O48" s="64"/>
      <c r="P48" s="127"/>
      <c r="Q48" s="34"/>
      <c r="R48" s="127"/>
    </row>
    <row r="49" spans="2:18" x14ac:dyDescent="0.3">
      <c r="B49" s="42"/>
      <c r="E49" s="43"/>
      <c r="F49" s="43"/>
      <c r="G49" s="43"/>
      <c r="H49" s="43"/>
      <c r="I49" s="43"/>
      <c r="J49" s="64"/>
      <c r="K49" s="64"/>
      <c r="L49" s="64"/>
      <c r="M49" s="64"/>
      <c r="N49" s="62"/>
      <c r="O49" s="64"/>
      <c r="P49" s="127"/>
      <c r="Q49" s="34"/>
      <c r="R49" s="127"/>
    </row>
    <row r="50" spans="2:18" x14ac:dyDescent="0.3">
      <c r="B50" s="42"/>
      <c r="E50" s="43"/>
      <c r="F50" s="43"/>
      <c r="G50" s="43"/>
      <c r="H50" s="43"/>
      <c r="I50" s="43"/>
      <c r="J50" s="64"/>
      <c r="K50" s="64"/>
      <c r="L50" s="64"/>
      <c r="M50" s="64"/>
      <c r="N50" s="62"/>
      <c r="O50" s="64"/>
      <c r="P50" s="127"/>
      <c r="Q50" s="34"/>
      <c r="R50" s="127"/>
    </row>
    <row r="51" spans="2:18" x14ac:dyDescent="0.3">
      <c r="B51" s="42"/>
      <c r="E51" s="43"/>
      <c r="F51" s="43"/>
      <c r="G51" s="43"/>
      <c r="H51" s="43"/>
      <c r="I51" s="43"/>
      <c r="J51" s="64"/>
      <c r="K51" s="64"/>
      <c r="L51" s="64"/>
      <c r="M51" s="64"/>
      <c r="N51" s="62"/>
      <c r="O51" s="64"/>
      <c r="P51" s="127"/>
      <c r="Q51" s="34"/>
      <c r="R51" s="127"/>
    </row>
    <row r="52" spans="2:18" ht="14.4" customHeight="1" x14ac:dyDescent="0.3">
      <c r="B52" s="42"/>
      <c r="E52" s="43"/>
      <c r="F52" s="43"/>
      <c r="G52" s="43"/>
      <c r="H52" s="43"/>
      <c r="I52" s="43"/>
      <c r="J52" s="64"/>
      <c r="K52" s="64"/>
      <c r="L52" s="62" t="s">
        <v>142</v>
      </c>
      <c r="M52" s="62"/>
      <c r="N52" s="62"/>
      <c r="O52" s="64"/>
      <c r="P52" s="127"/>
      <c r="Q52" s="34"/>
      <c r="R52" s="127"/>
    </row>
    <row r="53" spans="2:18" x14ac:dyDescent="0.3">
      <c r="B53" s="42"/>
      <c r="E53" s="43"/>
      <c r="F53" s="43"/>
      <c r="G53" s="43"/>
      <c r="H53" s="43"/>
      <c r="I53" s="43"/>
      <c r="J53" s="64"/>
      <c r="K53" s="64"/>
      <c r="L53" s="62"/>
      <c r="M53" s="62"/>
      <c r="N53" s="62"/>
      <c r="O53" s="64"/>
      <c r="P53" s="127"/>
      <c r="Q53" s="34"/>
      <c r="R53" s="127"/>
    </row>
    <row r="54" spans="2:18" x14ac:dyDescent="0.3">
      <c r="B54" s="42"/>
      <c r="E54" s="43"/>
      <c r="F54" s="43"/>
      <c r="G54" s="43"/>
      <c r="H54" s="43"/>
      <c r="I54" s="43"/>
      <c r="J54" s="64"/>
      <c r="K54" s="64"/>
      <c r="L54" s="62"/>
      <c r="M54" s="62"/>
      <c r="N54" s="62"/>
      <c r="O54" s="64"/>
      <c r="P54" s="127"/>
      <c r="Q54" s="34"/>
      <c r="R54" s="127"/>
    </row>
    <row r="55" spans="2:18" x14ac:dyDescent="0.3">
      <c r="B55" s="42"/>
      <c r="E55" s="43"/>
      <c r="F55" s="43"/>
      <c r="G55" s="43"/>
      <c r="H55" s="43"/>
      <c r="I55" s="43"/>
      <c r="J55" s="64"/>
      <c r="K55" s="64"/>
      <c r="L55" s="62"/>
      <c r="M55" s="62"/>
      <c r="N55" s="62"/>
      <c r="O55" s="64"/>
      <c r="P55" s="127"/>
      <c r="Q55" s="34"/>
      <c r="R55" s="127"/>
    </row>
    <row r="56" spans="2:18" ht="15" thickBot="1" x14ac:dyDescent="0.35">
      <c r="B56" s="42"/>
      <c r="E56" s="43"/>
      <c r="F56" s="43"/>
      <c r="G56" s="43"/>
      <c r="H56" s="43"/>
      <c r="I56" s="43"/>
      <c r="J56" s="64"/>
      <c r="K56" s="64"/>
      <c r="L56" s="64"/>
      <c r="M56" s="64"/>
      <c r="N56" s="62"/>
      <c r="O56" s="64"/>
      <c r="P56" s="127"/>
      <c r="Q56" s="34"/>
      <c r="R56" s="127"/>
    </row>
    <row r="57" spans="2:18" ht="28.8" x14ac:dyDescent="0.3">
      <c r="B57" s="221" t="s">
        <v>143</v>
      </c>
      <c r="C57" s="221"/>
      <c r="D57" s="221"/>
      <c r="E57" s="221"/>
      <c r="F57" s="221"/>
      <c r="G57" s="221"/>
      <c r="H57" s="221"/>
      <c r="I57" s="221"/>
      <c r="J57" s="221"/>
      <c r="K57" s="221"/>
      <c r="L57" s="221"/>
      <c r="M57" s="221"/>
      <c r="N57" s="221"/>
      <c r="O57" s="221"/>
      <c r="P57" s="221"/>
      <c r="Q57" s="221"/>
    </row>
    <row r="58" spans="2:18" ht="28.8" x14ac:dyDescent="0.3">
      <c r="B58" s="98" t="s">
        <v>1</v>
      </c>
      <c r="C58" s="223" t="s">
        <v>2</v>
      </c>
      <c r="D58" s="223"/>
      <c r="E58" s="122" t="s">
        <v>3</v>
      </c>
      <c r="F58" s="122" t="s">
        <v>4</v>
      </c>
      <c r="G58" s="122" t="s">
        <v>116</v>
      </c>
      <c r="H58" s="122" t="s">
        <v>52</v>
      </c>
      <c r="I58" s="3" t="s">
        <v>144</v>
      </c>
      <c r="J58" s="3" t="s">
        <v>53</v>
      </c>
      <c r="K58" s="3" t="s">
        <v>10</v>
      </c>
      <c r="L58" s="3" t="s">
        <v>11</v>
      </c>
      <c r="M58" s="3" t="s">
        <v>12</v>
      </c>
      <c r="N58" s="122" t="s">
        <v>13</v>
      </c>
      <c r="O58" s="122" t="s">
        <v>14</v>
      </c>
      <c r="P58" s="122" t="s">
        <v>145</v>
      </c>
      <c r="Q58" s="123" t="s">
        <v>146</v>
      </c>
    </row>
    <row r="59" spans="2:18" ht="22.95" customHeight="1" x14ac:dyDescent="0.3">
      <c r="B59" s="303" t="s">
        <v>147</v>
      </c>
      <c r="C59" s="309" t="s">
        <v>113</v>
      </c>
      <c r="D59" s="143" t="s">
        <v>17</v>
      </c>
      <c r="E59" s="145">
        <f>CEILING((((10700+297+115)*1.12)- 85)-150,50)</f>
        <v>12250</v>
      </c>
      <c r="F59" s="145">
        <v>85</v>
      </c>
      <c r="G59" s="145">
        <v>215</v>
      </c>
      <c r="H59" s="145">
        <v>75</v>
      </c>
      <c r="I59" s="145">
        <v>150</v>
      </c>
      <c r="J59" s="204">
        <f t="shared" ref="J59:J66" si="4">SUM(E59:I59)</f>
        <v>12775</v>
      </c>
      <c r="K59" s="145">
        <v>200</v>
      </c>
      <c r="L59" s="204">
        <f t="shared" ref="L59:L66" si="5">SUM(J59:K59)</f>
        <v>12975</v>
      </c>
      <c r="M59" s="147" t="s">
        <v>99</v>
      </c>
      <c r="N59" s="210" t="s">
        <v>57</v>
      </c>
      <c r="O59" s="205" t="s">
        <v>46</v>
      </c>
      <c r="P59" s="297" t="s">
        <v>58</v>
      </c>
      <c r="Q59" s="143" t="s">
        <v>125</v>
      </c>
    </row>
    <row r="60" spans="2:18" x14ac:dyDescent="0.3">
      <c r="B60" s="303"/>
      <c r="C60" s="309"/>
      <c r="D60" s="143" t="s">
        <v>22</v>
      </c>
      <c r="E60" s="145">
        <f>CEILING((((10700+297+115)*1.12)- 85)-150,50)</f>
        <v>12250</v>
      </c>
      <c r="F60" s="145">
        <v>85</v>
      </c>
      <c r="G60" s="145">
        <v>215</v>
      </c>
      <c r="H60" s="145">
        <v>75</v>
      </c>
      <c r="I60" s="145">
        <v>150</v>
      </c>
      <c r="J60" s="204">
        <f t="shared" si="4"/>
        <v>12775</v>
      </c>
      <c r="K60" s="145">
        <v>200</v>
      </c>
      <c r="L60" s="204">
        <f t="shared" si="5"/>
        <v>12975</v>
      </c>
      <c r="M60" s="147" t="s">
        <v>99</v>
      </c>
      <c r="N60" s="210" t="s">
        <v>57</v>
      </c>
      <c r="O60" s="205" t="s">
        <v>46</v>
      </c>
      <c r="P60" s="298"/>
      <c r="Q60" s="143" t="s">
        <v>125</v>
      </c>
    </row>
    <row r="61" spans="2:18" x14ac:dyDescent="0.3">
      <c r="B61" s="303" t="s">
        <v>148</v>
      </c>
      <c r="C61" s="309" t="s">
        <v>113</v>
      </c>
      <c r="D61" s="143" t="s">
        <v>17</v>
      </c>
      <c r="E61" s="145">
        <f>CEILING((((10800+297+115)*1.12)- 85)-150,50)</f>
        <v>12350</v>
      </c>
      <c r="F61" s="145">
        <v>85</v>
      </c>
      <c r="G61" s="145">
        <v>215</v>
      </c>
      <c r="H61" s="145">
        <v>75</v>
      </c>
      <c r="I61" s="145">
        <v>150</v>
      </c>
      <c r="J61" s="204">
        <f t="shared" ref="J61:J64" si="6">SUM(E61:I61)</f>
        <v>12875</v>
      </c>
      <c r="K61" s="145">
        <v>200</v>
      </c>
      <c r="L61" s="204">
        <f t="shared" ref="L61:L64" si="7">SUM(J61:K61)</f>
        <v>13075</v>
      </c>
      <c r="M61" s="147" t="s">
        <v>99</v>
      </c>
      <c r="N61" s="210" t="s">
        <v>57</v>
      </c>
      <c r="O61" s="205" t="s">
        <v>46</v>
      </c>
      <c r="P61" s="298"/>
      <c r="Q61" s="143" t="s">
        <v>125</v>
      </c>
    </row>
    <row r="62" spans="2:18" ht="28.95" customHeight="1" x14ac:dyDescent="0.3">
      <c r="B62" s="303"/>
      <c r="C62" s="309"/>
      <c r="D62" s="143" t="s">
        <v>22</v>
      </c>
      <c r="E62" s="145">
        <f>CEILING((((10900+297+115)*1.12)- 85)-150,50)</f>
        <v>12450</v>
      </c>
      <c r="F62" s="145">
        <v>85</v>
      </c>
      <c r="G62" s="145">
        <v>215</v>
      </c>
      <c r="H62" s="145">
        <v>75</v>
      </c>
      <c r="I62" s="145">
        <v>150</v>
      </c>
      <c r="J62" s="204">
        <f t="shared" si="6"/>
        <v>12975</v>
      </c>
      <c r="K62" s="145">
        <v>200</v>
      </c>
      <c r="L62" s="204">
        <f t="shared" si="7"/>
        <v>13175</v>
      </c>
      <c r="M62" s="147" t="s">
        <v>99</v>
      </c>
      <c r="N62" s="210" t="s">
        <v>57</v>
      </c>
      <c r="O62" s="205" t="s">
        <v>46</v>
      </c>
      <c r="P62" s="299"/>
      <c r="Q62" s="143" t="s">
        <v>125</v>
      </c>
    </row>
    <row r="63" spans="2:18" ht="14.4" customHeight="1" x14ac:dyDescent="0.3">
      <c r="B63" s="303" t="s">
        <v>149</v>
      </c>
      <c r="C63" s="309" t="s">
        <v>113</v>
      </c>
      <c r="D63" s="143" t="s">
        <v>17</v>
      </c>
      <c r="E63" s="145">
        <f>CEILING((((10340+40+115)*1.12)- 150)-150,50)</f>
        <v>11500</v>
      </c>
      <c r="F63" s="145">
        <v>216.6</v>
      </c>
      <c r="G63" s="145">
        <v>335</v>
      </c>
      <c r="H63" s="145">
        <v>75</v>
      </c>
      <c r="I63" s="145">
        <v>150</v>
      </c>
      <c r="J63" s="204">
        <f>SUM(E63:I63)</f>
        <v>12276.6</v>
      </c>
      <c r="K63" s="145">
        <v>200</v>
      </c>
      <c r="L63" s="204">
        <f t="shared" si="7"/>
        <v>12476.6</v>
      </c>
      <c r="M63" s="147" t="s">
        <v>99</v>
      </c>
      <c r="N63" s="210" t="s">
        <v>150</v>
      </c>
      <c r="O63" s="205" t="s">
        <v>62</v>
      </c>
      <c r="P63" s="300" t="s">
        <v>63</v>
      </c>
      <c r="Q63" s="143" t="s">
        <v>151</v>
      </c>
    </row>
    <row r="64" spans="2:18" x14ac:dyDescent="0.3">
      <c r="B64" s="303"/>
      <c r="C64" s="309"/>
      <c r="D64" s="143" t="s">
        <v>22</v>
      </c>
      <c r="E64" s="145">
        <f>CEILING((((10580+80+115)*1.12)- 150)-150,50)</f>
        <v>11800</v>
      </c>
      <c r="F64" s="145">
        <v>216.6</v>
      </c>
      <c r="G64" s="145">
        <v>335</v>
      </c>
      <c r="H64" s="145">
        <v>75</v>
      </c>
      <c r="I64" s="145">
        <v>150</v>
      </c>
      <c r="J64" s="204">
        <f t="shared" si="6"/>
        <v>12576.6</v>
      </c>
      <c r="K64" s="145">
        <v>200</v>
      </c>
      <c r="L64" s="204">
        <f t="shared" si="7"/>
        <v>12776.6</v>
      </c>
      <c r="M64" s="147" t="s">
        <v>99</v>
      </c>
      <c r="N64" s="210" t="s">
        <v>150</v>
      </c>
      <c r="O64" s="205" t="s">
        <v>62</v>
      </c>
      <c r="P64" s="301"/>
      <c r="Q64" s="143" t="s">
        <v>151</v>
      </c>
    </row>
    <row r="65" spans="2:62 3072:12198 12789:15082" x14ac:dyDescent="0.3">
      <c r="B65" s="303" t="s">
        <v>152</v>
      </c>
      <c r="C65" s="309" t="s">
        <v>113</v>
      </c>
      <c r="D65" s="143" t="s">
        <v>17</v>
      </c>
      <c r="E65" s="145">
        <f>CEILING((((10390+40+115)*1.12)- 85)-150,50)</f>
        <v>11600</v>
      </c>
      <c r="F65" s="145">
        <v>216.6</v>
      </c>
      <c r="G65" s="145">
        <v>335</v>
      </c>
      <c r="H65" s="145">
        <v>75</v>
      </c>
      <c r="I65" s="145">
        <v>150</v>
      </c>
      <c r="J65" s="204">
        <f t="shared" si="4"/>
        <v>12376.6</v>
      </c>
      <c r="K65" s="145">
        <v>200</v>
      </c>
      <c r="L65" s="204">
        <f t="shared" si="5"/>
        <v>12576.6</v>
      </c>
      <c r="M65" s="147" t="s">
        <v>99</v>
      </c>
      <c r="N65" s="210" t="s">
        <v>150</v>
      </c>
      <c r="O65" s="205" t="s">
        <v>62</v>
      </c>
      <c r="P65" s="301"/>
      <c r="Q65" s="143" t="s">
        <v>151</v>
      </c>
    </row>
    <row r="66" spans="2:62 3072:12198 12789:15082" x14ac:dyDescent="0.3">
      <c r="B66" s="303"/>
      <c r="C66" s="309"/>
      <c r="D66" s="143" t="s">
        <v>22</v>
      </c>
      <c r="E66" s="145">
        <f>CEILING((((10680+80+115)*1.12)- 85)-150,50)</f>
        <v>11950</v>
      </c>
      <c r="F66" s="145">
        <v>216.6</v>
      </c>
      <c r="G66" s="145">
        <v>335</v>
      </c>
      <c r="H66" s="145">
        <v>75</v>
      </c>
      <c r="I66" s="145">
        <v>150</v>
      </c>
      <c r="J66" s="204">
        <f t="shared" si="4"/>
        <v>12726.6</v>
      </c>
      <c r="K66" s="145">
        <v>200</v>
      </c>
      <c r="L66" s="204">
        <f t="shared" si="5"/>
        <v>12926.6</v>
      </c>
      <c r="M66" s="147" t="s">
        <v>99</v>
      </c>
      <c r="N66" s="210" t="s">
        <v>150</v>
      </c>
      <c r="O66" s="205" t="s">
        <v>62</v>
      </c>
      <c r="P66" s="302"/>
      <c r="Q66" s="143" t="s">
        <v>151</v>
      </c>
    </row>
    <row r="67" spans="2:62 3072:12198 12789:15082" ht="28.8" x14ac:dyDescent="0.3">
      <c r="B67" s="283" t="s">
        <v>153</v>
      </c>
      <c r="C67" s="283"/>
      <c r="D67" s="219"/>
      <c r="E67" s="219"/>
      <c r="F67" s="283"/>
      <c r="G67" s="219"/>
      <c r="H67" s="219"/>
      <c r="I67" s="283"/>
      <c r="J67" s="219"/>
      <c r="K67" s="219"/>
      <c r="L67" s="219"/>
      <c r="M67" s="283"/>
      <c r="N67" s="219"/>
      <c r="O67" s="219"/>
      <c r="P67" s="219"/>
      <c r="Q67" s="219"/>
    </row>
    <row r="68" spans="2:62 3072:12198 12789:15082" ht="28.8" x14ac:dyDescent="0.3">
      <c r="B68" s="98" t="s">
        <v>1</v>
      </c>
      <c r="C68" s="223" t="s">
        <v>2</v>
      </c>
      <c r="D68" s="223"/>
      <c r="E68" s="8" t="s">
        <v>3</v>
      </c>
      <c r="F68" s="8" t="s">
        <v>4</v>
      </c>
      <c r="G68" s="8" t="s">
        <v>116</v>
      </c>
      <c r="H68" s="1" t="s">
        <v>52</v>
      </c>
      <c r="I68" s="93" t="s">
        <v>144</v>
      </c>
      <c r="J68" s="2" t="s">
        <v>9</v>
      </c>
      <c r="K68" s="2" t="s">
        <v>10</v>
      </c>
      <c r="L68" s="2" t="s">
        <v>11</v>
      </c>
      <c r="M68" s="8" t="s">
        <v>12</v>
      </c>
      <c r="N68" s="125" t="s">
        <v>13</v>
      </c>
      <c r="O68" s="125" t="s">
        <v>14</v>
      </c>
      <c r="P68" s="173" t="s">
        <v>145</v>
      </c>
      <c r="Q68" s="104" t="s">
        <v>146</v>
      </c>
    </row>
    <row r="69" spans="2:62 3072:12198 12789:15082" x14ac:dyDescent="0.3">
      <c r="B69" s="279" t="s">
        <v>154</v>
      </c>
      <c r="C69" s="208" t="s">
        <v>113</v>
      </c>
      <c r="D69" s="144" t="s">
        <v>17</v>
      </c>
      <c r="E69" s="145">
        <f>CEILING((((10900+297+50+85)*1.12)- 85)-150,50)</f>
        <v>12500</v>
      </c>
      <c r="F69" s="145">
        <v>85</v>
      </c>
      <c r="G69" s="145">
        <v>215</v>
      </c>
      <c r="H69" s="145">
        <v>75</v>
      </c>
      <c r="I69" s="145">
        <v>150</v>
      </c>
      <c r="J69" s="204">
        <f t="shared" ref="J69:J70" si="8">SUM(E69:I69)</f>
        <v>13025</v>
      </c>
      <c r="K69" s="145">
        <v>200</v>
      </c>
      <c r="L69" s="204">
        <f t="shared" ref="L69:L70" si="9">SUM(J69:K69)</f>
        <v>13225</v>
      </c>
      <c r="M69" s="147" t="s">
        <v>99</v>
      </c>
      <c r="N69" s="210" t="s">
        <v>57</v>
      </c>
      <c r="O69" s="205" t="s">
        <v>46</v>
      </c>
      <c r="P69" s="297" t="s">
        <v>58</v>
      </c>
      <c r="Q69" s="149" t="s">
        <v>125</v>
      </c>
      <c r="R69" s="172"/>
      <c r="S69" s="165"/>
      <c r="T69" s="166"/>
      <c r="U69" s="167"/>
      <c r="V69" s="166"/>
      <c r="W69" s="168"/>
      <c r="X69" s="166"/>
      <c r="Y69" s="168"/>
      <c r="Z69" s="169"/>
      <c r="AA69" s="170"/>
      <c r="AB69" s="164"/>
      <c r="AC69" s="171"/>
      <c r="AD69" s="174"/>
      <c r="AE69" s="155"/>
      <c r="AF69" s="163"/>
      <c r="AG69"/>
      <c r="AH69" s="156"/>
      <c r="AI69" s="157"/>
      <c r="AJ69" s="158"/>
      <c r="AK69" s="158"/>
      <c r="AL69" s="157"/>
      <c r="AM69" s="159"/>
      <c r="AN69" s="157"/>
      <c r="AO69" s="159"/>
      <c r="AP69" s="160"/>
      <c r="AQ69" s="161"/>
      <c r="AR69"/>
      <c r="AS69" s="162"/>
      <c r="AT69"/>
      <c r="AU69" s="155"/>
      <c r="AV69" s="163"/>
      <c r="AW69"/>
      <c r="AX69" s="156"/>
      <c r="AY69" s="157"/>
      <c r="AZ69" s="158"/>
      <c r="BA69" s="158"/>
      <c r="BB69" s="157"/>
      <c r="BC69" s="159"/>
      <c r="BD69" s="157"/>
      <c r="BE69" s="159"/>
      <c r="BF69" s="160"/>
      <c r="BG69" s="161"/>
      <c r="BH69"/>
      <c r="BI69" s="162"/>
      <c r="BJ69"/>
      <c r="DND69" s="148">
        <v>45845</v>
      </c>
      <c r="DNE69" s="143" t="s">
        <v>46</v>
      </c>
      <c r="DNF69" s="199"/>
      <c r="DNG69" s="149" t="s">
        <v>125</v>
      </c>
      <c r="DNH69" s="197"/>
      <c r="DNI69" s="198"/>
      <c r="DNJ69" s="143" t="s">
        <v>22</v>
      </c>
      <c r="DNK69" s="144">
        <v>8150</v>
      </c>
      <c r="DNL69" s="152">
        <v>85</v>
      </c>
      <c r="DNM69" s="153">
        <v>215</v>
      </c>
      <c r="DNN69" s="153">
        <v>75</v>
      </c>
      <c r="DNO69" s="152">
        <v>150</v>
      </c>
      <c r="DNP69" s="154">
        <f>SUM(DNK69:DNO69)</f>
        <v>8675</v>
      </c>
      <c r="DNQ69" s="152">
        <v>200</v>
      </c>
      <c r="DNR69" s="154">
        <f>SUM(DNP69:DNQ69)</f>
        <v>8875</v>
      </c>
      <c r="DNS69" s="147" t="s">
        <v>99</v>
      </c>
      <c r="DNT69" s="148">
        <v>45845</v>
      </c>
      <c r="DNU69" s="143" t="s">
        <v>46</v>
      </c>
      <c r="DNV69" s="199"/>
      <c r="DNW69" s="149" t="s">
        <v>125</v>
      </c>
      <c r="DNX69" s="197"/>
      <c r="DNY69" s="198"/>
      <c r="DNZ69" s="143" t="s">
        <v>22</v>
      </c>
      <c r="DOA69" s="144">
        <v>8150</v>
      </c>
      <c r="DOB69" s="152">
        <v>85</v>
      </c>
      <c r="DOC69" s="153">
        <v>215</v>
      </c>
      <c r="DOD69" s="153">
        <v>75</v>
      </c>
      <c r="DOE69" s="152">
        <v>150</v>
      </c>
      <c r="DOF69" s="154">
        <f>SUM(DOA69:DOE69)</f>
        <v>8675</v>
      </c>
      <c r="DOG69" s="152">
        <v>200</v>
      </c>
      <c r="DOH69" s="154">
        <f>SUM(DOF69:DOG69)</f>
        <v>8875</v>
      </c>
      <c r="DOI69" s="147" t="s">
        <v>99</v>
      </c>
      <c r="DOJ69" s="148">
        <v>45845</v>
      </c>
      <c r="DOK69" s="143" t="s">
        <v>46</v>
      </c>
      <c r="DOL69" s="199"/>
      <c r="DOM69" s="149" t="s">
        <v>125</v>
      </c>
      <c r="DON69" s="197"/>
      <c r="DOO69" s="198"/>
      <c r="DOP69" s="143" t="s">
        <v>22</v>
      </c>
      <c r="DOQ69" s="144">
        <v>8150</v>
      </c>
      <c r="DOR69" s="152">
        <v>85</v>
      </c>
      <c r="DOS69" s="153">
        <v>215</v>
      </c>
      <c r="DOT69" s="153">
        <v>75</v>
      </c>
      <c r="DOU69" s="152">
        <v>150</v>
      </c>
      <c r="DOV69" s="154">
        <f>SUM(DOQ69:DOU69)</f>
        <v>8675</v>
      </c>
      <c r="DOW69" s="152">
        <v>200</v>
      </c>
      <c r="DOX69" s="154">
        <f>SUM(DOV69:DOW69)</f>
        <v>8875</v>
      </c>
      <c r="DOY69" s="147" t="s">
        <v>99</v>
      </c>
      <c r="DOZ69" s="148">
        <v>45845</v>
      </c>
      <c r="DPA69" s="143" t="s">
        <v>46</v>
      </c>
      <c r="DPB69" s="199"/>
      <c r="DPC69" s="149" t="s">
        <v>125</v>
      </c>
      <c r="DPD69" s="197"/>
      <c r="DPE69" s="198"/>
      <c r="DPF69" s="143" t="s">
        <v>22</v>
      </c>
      <c r="DPG69" s="144">
        <v>8150</v>
      </c>
      <c r="DPH69" s="152">
        <v>85</v>
      </c>
      <c r="DPI69" s="153">
        <v>215</v>
      </c>
      <c r="DPJ69" s="153">
        <v>75</v>
      </c>
      <c r="DPK69" s="152">
        <v>150</v>
      </c>
      <c r="DPL69" s="154">
        <f>SUM(DPG69:DPK69)</f>
        <v>8675</v>
      </c>
      <c r="DPM69" s="152">
        <v>200</v>
      </c>
      <c r="DPN69" s="154">
        <f>SUM(DPL69:DPM69)</f>
        <v>8875</v>
      </c>
      <c r="DPO69" s="147" t="s">
        <v>99</v>
      </c>
      <c r="DPP69" s="148">
        <v>45845</v>
      </c>
      <c r="DPQ69" s="143" t="s">
        <v>46</v>
      </c>
      <c r="DPR69" s="199"/>
      <c r="DPS69" s="149" t="s">
        <v>125</v>
      </c>
      <c r="DPT69" s="197"/>
      <c r="DPU69" s="198"/>
      <c r="DPV69" s="143" t="s">
        <v>22</v>
      </c>
      <c r="DPW69" s="144">
        <v>8150</v>
      </c>
      <c r="DPX69" s="152">
        <v>85</v>
      </c>
      <c r="DPY69" s="153">
        <v>215</v>
      </c>
      <c r="DPZ69" s="153">
        <v>75</v>
      </c>
      <c r="DQA69" s="152">
        <v>150</v>
      </c>
      <c r="DQB69" s="154">
        <f>SUM(DPW69:DQA69)</f>
        <v>8675</v>
      </c>
      <c r="DQC69" s="152">
        <v>200</v>
      </c>
      <c r="DQD69" s="154">
        <f>SUM(DQB69:DQC69)</f>
        <v>8875</v>
      </c>
      <c r="DQE69" s="147" t="s">
        <v>99</v>
      </c>
      <c r="DQF69" s="148">
        <v>45845</v>
      </c>
      <c r="DQG69" s="143" t="s">
        <v>46</v>
      </c>
      <c r="DQH69" s="199"/>
      <c r="DQI69" s="149" t="s">
        <v>125</v>
      </c>
      <c r="DQJ69" s="197"/>
      <c r="DQK69" s="198"/>
      <c r="DQL69" s="143" t="s">
        <v>22</v>
      </c>
      <c r="DQM69" s="144">
        <v>8150</v>
      </c>
      <c r="DQN69" s="152">
        <v>85</v>
      </c>
      <c r="DQO69" s="153">
        <v>215</v>
      </c>
      <c r="DQP69" s="153">
        <v>75</v>
      </c>
      <c r="DQQ69" s="152">
        <v>150</v>
      </c>
      <c r="DQR69" s="154">
        <f>SUM(DQM69:DQQ69)</f>
        <v>8675</v>
      </c>
      <c r="DQS69" s="152">
        <v>200</v>
      </c>
      <c r="DQT69" s="154">
        <f>SUM(DQR69:DQS69)</f>
        <v>8875</v>
      </c>
      <c r="DQU69" s="147" t="s">
        <v>99</v>
      </c>
      <c r="DQV69" s="148">
        <v>45845</v>
      </c>
      <c r="DQW69" s="143" t="s">
        <v>46</v>
      </c>
      <c r="DQX69" s="199"/>
      <c r="DQY69" s="149" t="s">
        <v>125</v>
      </c>
      <c r="DQZ69" s="197"/>
      <c r="DRA69" s="198"/>
      <c r="DRB69" s="143" t="s">
        <v>22</v>
      </c>
      <c r="DRC69" s="144">
        <v>8150</v>
      </c>
      <c r="DRD69" s="152">
        <v>85</v>
      </c>
      <c r="DRE69" s="153">
        <v>215</v>
      </c>
      <c r="DRF69" s="153">
        <v>75</v>
      </c>
      <c r="DRG69" s="152">
        <v>150</v>
      </c>
      <c r="DRH69" s="154">
        <f>SUM(DRC69:DRG69)</f>
        <v>8675</v>
      </c>
      <c r="DRI69" s="152">
        <v>200</v>
      </c>
      <c r="DRJ69" s="154">
        <f>SUM(DRH69:DRI69)</f>
        <v>8875</v>
      </c>
      <c r="DRK69" s="147" t="s">
        <v>99</v>
      </c>
      <c r="DRL69" s="148">
        <v>45845</v>
      </c>
      <c r="DRM69" s="143" t="s">
        <v>46</v>
      </c>
      <c r="DRN69" s="199"/>
      <c r="DRO69" s="149" t="s">
        <v>125</v>
      </c>
      <c r="DRP69" s="197"/>
      <c r="DRQ69" s="198"/>
      <c r="DRR69" s="143" t="s">
        <v>22</v>
      </c>
      <c r="DRS69" s="144">
        <v>8150</v>
      </c>
      <c r="DRT69" s="152">
        <v>85</v>
      </c>
      <c r="DRU69" s="153">
        <v>215</v>
      </c>
      <c r="DRV69" s="153">
        <v>75</v>
      </c>
      <c r="DRW69" s="152">
        <v>150</v>
      </c>
      <c r="DRX69" s="154">
        <f>SUM(DRS69:DRW69)</f>
        <v>8675</v>
      </c>
      <c r="DRY69" s="152">
        <v>200</v>
      </c>
      <c r="DRZ69" s="154">
        <f>SUM(DRX69:DRY69)</f>
        <v>8875</v>
      </c>
      <c r="DSA69" s="147" t="s">
        <v>99</v>
      </c>
      <c r="DSB69" s="148">
        <v>45845</v>
      </c>
      <c r="DSC69" s="143" t="s">
        <v>46</v>
      </c>
      <c r="DSD69" s="199"/>
      <c r="DSE69" s="149" t="s">
        <v>125</v>
      </c>
      <c r="DSF69" s="197"/>
      <c r="DSG69" s="198"/>
      <c r="DSH69" s="143" t="s">
        <v>22</v>
      </c>
      <c r="DSI69" s="144">
        <v>8150</v>
      </c>
      <c r="DSJ69" s="152">
        <v>85</v>
      </c>
      <c r="DSK69" s="153">
        <v>215</v>
      </c>
      <c r="DSL69" s="153">
        <v>75</v>
      </c>
      <c r="DSM69" s="152">
        <v>150</v>
      </c>
      <c r="DSN69" s="154">
        <f>SUM(DSI69:DSM69)</f>
        <v>8675</v>
      </c>
      <c r="DSO69" s="152">
        <v>200</v>
      </c>
      <c r="DSP69" s="154">
        <f>SUM(DSN69:DSO69)</f>
        <v>8875</v>
      </c>
      <c r="DSQ69" s="147" t="s">
        <v>99</v>
      </c>
      <c r="DSR69" s="148">
        <v>45845</v>
      </c>
      <c r="DSS69" s="143" t="s">
        <v>46</v>
      </c>
      <c r="DST69" s="199"/>
      <c r="DSU69" s="149" t="s">
        <v>125</v>
      </c>
      <c r="DSV69" s="197"/>
      <c r="DSW69" s="198"/>
      <c r="DSX69" s="143" t="s">
        <v>22</v>
      </c>
      <c r="DSY69" s="144">
        <v>8150</v>
      </c>
      <c r="DSZ69" s="152">
        <v>85</v>
      </c>
      <c r="DTA69" s="153">
        <v>215</v>
      </c>
      <c r="DTB69" s="153">
        <v>75</v>
      </c>
      <c r="DTC69" s="152">
        <v>150</v>
      </c>
      <c r="DTD69" s="154">
        <f>SUM(DSY69:DTC69)</f>
        <v>8675</v>
      </c>
      <c r="DTE69" s="152">
        <v>200</v>
      </c>
      <c r="DTF69" s="154">
        <f>SUM(DTD69:DTE69)</f>
        <v>8875</v>
      </c>
      <c r="DTG69" s="147" t="s">
        <v>99</v>
      </c>
      <c r="DTH69" s="148">
        <v>45845</v>
      </c>
      <c r="DTI69" s="143" t="s">
        <v>46</v>
      </c>
      <c r="DTJ69" s="199"/>
      <c r="DTK69" s="149" t="s">
        <v>125</v>
      </c>
      <c r="DTL69" s="197"/>
      <c r="DTM69" s="198"/>
      <c r="DTN69" s="143" t="s">
        <v>22</v>
      </c>
      <c r="DTO69" s="144">
        <v>8150</v>
      </c>
      <c r="DTP69" s="152">
        <v>85</v>
      </c>
      <c r="DTQ69" s="153">
        <v>215</v>
      </c>
      <c r="DTR69" s="153">
        <v>75</v>
      </c>
      <c r="DTS69" s="152">
        <v>150</v>
      </c>
      <c r="DTT69" s="154">
        <f>SUM(DTO69:DTS69)</f>
        <v>8675</v>
      </c>
      <c r="DTU69" s="152">
        <v>200</v>
      </c>
      <c r="DTV69" s="154">
        <f>SUM(DTT69:DTU69)</f>
        <v>8875</v>
      </c>
      <c r="DTW69" s="147" t="s">
        <v>99</v>
      </c>
      <c r="DTX69" s="148">
        <v>45845</v>
      </c>
      <c r="DTY69" s="143" t="s">
        <v>46</v>
      </c>
      <c r="DTZ69" s="199"/>
      <c r="DUA69" s="149" t="s">
        <v>125</v>
      </c>
      <c r="DUB69" s="197"/>
      <c r="DUC69" s="198"/>
      <c r="DUD69" s="143" t="s">
        <v>22</v>
      </c>
      <c r="DUE69" s="144">
        <v>8150</v>
      </c>
      <c r="DUF69" s="152">
        <v>85</v>
      </c>
      <c r="DUG69" s="153">
        <v>215</v>
      </c>
      <c r="DUH69" s="153">
        <v>75</v>
      </c>
      <c r="DUI69" s="152">
        <v>150</v>
      </c>
      <c r="DUJ69" s="154">
        <f>SUM(DUE69:DUI69)</f>
        <v>8675</v>
      </c>
      <c r="DUK69" s="152">
        <v>200</v>
      </c>
      <c r="DUL69" s="154">
        <f>SUM(DUJ69:DUK69)</f>
        <v>8875</v>
      </c>
      <c r="DUM69" s="147" t="s">
        <v>99</v>
      </c>
      <c r="DUN69" s="148">
        <v>45845</v>
      </c>
      <c r="DUO69" s="143" t="s">
        <v>46</v>
      </c>
      <c r="DUP69" s="199"/>
      <c r="DUQ69" s="149" t="s">
        <v>125</v>
      </c>
      <c r="DUR69" s="197"/>
      <c r="DUS69" s="198"/>
      <c r="DUT69" s="143" t="s">
        <v>22</v>
      </c>
      <c r="DUU69" s="144">
        <v>8150</v>
      </c>
      <c r="DUV69" s="152">
        <v>85</v>
      </c>
      <c r="DUW69" s="153">
        <v>215</v>
      </c>
      <c r="DUX69" s="153">
        <v>75</v>
      </c>
      <c r="DUY69" s="152">
        <v>150</v>
      </c>
      <c r="DUZ69" s="154">
        <f>SUM(DUU69:DUY69)</f>
        <v>8675</v>
      </c>
      <c r="DVA69" s="152">
        <v>200</v>
      </c>
      <c r="DVB69" s="154">
        <f>SUM(DUZ69:DVA69)</f>
        <v>8875</v>
      </c>
      <c r="DVC69" s="147" t="s">
        <v>99</v>
      </c>
      <c r="DVD69" s="148">
        <v>45845</v>
      </c>
      <c r="DVE69" s="143" t="s">
        <v>46</v>
      </c>
      <c r="DVF69" s="199"/>
      <c r="DVG69" s="149" t="s">
        <v>125</v>
      </c>
      <c r="DVH69" s="197"/>
      <c r="DVI69" s="198"/>
      <c r="DVJ69" s="143" t="s">
        <v>22</v>
      </c>
      <c r="DVK69" s="144">
        <v>8150</v>
      </c>
      <c r="DVL69" s="152">
        <v>85</v>
      </c>
      <c r="DVM69" s="153">
        <v>215</v>
      </c>
      <c r="DVN69" s="153">
        <v>75</v>
      </c>
      <c r="DVO69" s="152">
        <v>150</v>
      </c>
      <c r="DVP69" s="154">
        <f>SUM(DVK69:DVO69)</f>
        <v>8675</v>
      </c>
      <c r="DVQ69" s="152">
        <v>200</v>
      </c>
      <c r="DVR69" s="154">
        <f>SUM(DVP69:DVQ69)</f>
        <v>8875</v>
      </c>
      <c r="DVS69" s="147" t="s">
        <v>99</v>
      </c>
      <c r="DVT69" s="148">
        <v>45845</v>
      </c>
      <c r="DVU69" s="143" t="s">
        <v>46</v>
      </c>
      <c r="DVV69" s="199"/>
      <c r="DVW69" s="149" t="s">
        <v>125</v>
      </c>
      <c r="DVX69" s="197"/>
      <c r="DVY69" s="198"/>
      <c r="DVZ69" s="143" t="s">
        <v>22</v>
      </c>
      <c r="DWA69" s="144">
        <v>8150</v>
      </c>
      <c r="DWB69" s="152">
        <v>85</v>
      </c>
      <c r="DWC69" s="153">
        <v>215</v>
      </c>
      <c r="DWD69" s="153">
        <v>75</v>
      </c>
      <c r="DWE69" s="152">
        <v>150</v>
      </c>
      <c r="DWF69" s="154">
        <f>SUM(DWA69:DWE69)</f>
        <v>8675</v>
      </c>
      <c r="DWG69" s="152">
        <v>200</v>
      </c>
      <c r="DWH69" s="154">
        <f>SUM(DWF69:DWG69)</f>
        <v>8875</v>
      </c>
      <c r="DWI69" s="147" t="s">
        <v>99</v>
      </c>
      <c r="DWJ69" s="148">
        <v>45845</v>
      </c>
      <c r="DWK69" s="143" t="s">
        <v>46</v>
      </c>
      <c r="DWL69" s="199"/>
      <c r="DWM69" s="149" t="s">
        <v>125</v>
      </c>
      <c r="DWN69" s="197"/>
      <c r="DWO69" s="198"/>
      <c r="DWP69" s="143" t="s">
        <v>22</v>
      </c>
      <c r="DWQ69" s="144">
        <v>8150</v>
      </c>
      <c r="DWR69" s="152">
        <v>85</v>
      </c>
      <c r="DWS69" s="153">
        <v>215</v>
      </c>
      <c r="DWT69" s="153">
        <v>75</v>
      </c>
      <c r="DWU69" s="152">
        <v>150</v>
      </c>
      <c r="DWV69" s="154">
        <f>SUM(DWQ69:DWU69)</f>
        <v>8675</v>
      </c>
      <c r="DWW69" s="152">
        <v>200</v>
      </c>
      <c r="DWX69" s="154">
        <f>SUM(DWV69:DWW69)</f>
        <v>8875</v>
      </c>
      <c r="DWY69" s="147" t="s">
        <v>99</v>
      </c>
      <c r="DWZ69" s="148">
        <v>45845</v>
      </c>
      <c r="DXA69" s="143" t="s">
        <v>46</v>
      </c>
      <c r="DXB69" s="199"/>
      <c r="DXC69" s="149" t="s">
        <v>125</v>
      </c>
      <c r="DXD69" s="197"/>
      <c r="DXE69" s="198"/>
      <c r="DXF69" s="143" t="s">
        <v>22</v>
      </c>
      <c r="DXG69" s="144">
        <v>8150</v>
      </c>
      <c r="DXH69" s="152">
        <v>85</v>
      </c>
      <c r="DXI69" s="153">
        <v>215</v>
      </c>
      <c r="DXJ69" s="153">
        <v>75</v>
      </c>
      <c r="DXK69" s="152">
        <v>150</v>
      </c>
      <c r="DXL69" s="154">
        <f>SUM(DXG69:DXK69)</f>
        <v>8675</v>
      </c>
      <c r="DXM69" s="152">
        <v>200</v>
      </c>
      <c r="DXN69" s="154">
        <f>SUM(DXL69:DXM69)</f>
        <v>8875</v>
      </c>
      <c r="DXO69" s="147" t="s">
        <v>99</v>
      </c>
      <c r="DXP69" s="148">
        <v>45845</v>
      </c>
      <c r="DXQ69" s="143" t="s">
        <v>46</v>
      </c>
      <c r="DXR69" s="199"/>
      <c r="DXS69" s="149" t="s">
        <v>125</v>
      </c>
      <c r="DXT69" s="197"/>
      <c r="DXU69" s="198"/>
      <c r="DXV69" s="143" t="s">
        <v>22</v>
      </c>
      <c r="DXW69" s="144">
        <v>8150</v>
      </c>
      <c r="DXX69" s="152">
        <v>85</v>
      </c>
      <c r="DXY69" s="153">
        <v>215</v>
      </c>
      <c r="DXZ69" s="153">
        <v>75</v>
      </c>
      <c r="DYA69" s="152">
        <v>150</v>
      </c>
      <c r="DYB69" s="154">
        <f>SUM(DXW69:DYA69)</f>
        <v>8675</v>
      </c>
      <c r="DYC69" s="152">
        <v>200</v>
      </c>
      <c r="DYD69" s="154">
        <f>SUM(DYB69:DYC69)</f>
        <v>8875</v>
      </c>
      <c r="DYE69" s="147" t="s">
        <v>99</v>
      </c>
      <c r="DYF69" s="148">
        <v>45845</v>
      </c>
      <c r="DYG69" s="143" t="s">
        <v>46</v>
      </c>
      <c r="DYH69" s="199"/>
      <c r="DYI69" s="149" t="s">
        <v>125</v>
      </c>
      <c r="DYJ69" s="197"/>
      <c r="DYK69" s="198"/>
      <c r="DYL69" s="143" t="s">
        <v>22</v>
      </c>
      <c r="DYM69" s="144">
        <v>8150</v>
      </c>
      <c r="DYN69" s="152">
        <v>85</v>
      </c>
      <c r="DYO69" s="153">
        <v>215</v>
      </c>
      <c r="DYP69" s="153">
        <v>75</v>
      </c>
      <c r="DYQ69" s="152">
        <v>150</v>
      </c>
      <c r="DYR69" s="154">
        <f>SUM(DYM69:DYQ69)</f>
        <v>8675</v>
      </c>
      <c r="DYS69" s="152">
        <v>200</v>
      </c>
      <c r="DYT69" s="154">
        <f>SUM(DYR69:DYS69)</f>
        <v>8875</v>
      </c>
      <c r="DYU69" s="147" t="s">
        <v>99</v>
      </c>
      <c r="DYV69" s="148">
        <v>45845</v>
      </c>
      <c r="DYW69" s="143" t="s">
        <v>46</v>
      </c>
      <c r="DYX69" s="199"/>
      <c r="DYY69" s="149" t="s">
        <v>125</v>
      </c>
      <c r="DYZ69" s="197"/>
      <c r="DZA69" s="198"/>
      <c r="DZB69" s="143" t="s">
        <v>22</v>
      </c>
      <c r="DZC69" s="144">
        <v>8150</v>
      </c>
      <c r="DZD69" s="152">
        <v>85</v>
      </c>
      <c r="DZE69" s="153">
        <v>215</v>
      </c>
      <c r="DZF69" s="153">
        <v>75</v>
      </c>
      <c r="DZG69" s="152">
        <v>150</v>
      </c>
      <c r="DZH69" s="154">
        <f>SUM(DZC69:DZG69)</f>
        <v>8675</v>
      </c>
      <c r="DZI69" s="152">
        <v>200</v>
      </c>
      <c r="DZJ69" s="154">
        <f>SUM(DZH69:DZI69)</f>
        <v>8875</v>
      </c>
      <c r="DZK69" s="147" t="s">
        <v>99</v>
      </c>
      <c r="DZL69" s="148">
        <v>45845</v>
      </c>
      <c r="DZM69" s="143" t="s">
        <v>46</v>
      </c>
      <c r="DZN69" s="199"/>
      <c r="DZO69" s="149" t="s">
        <v>125</v>
      </c>
      <c r="DZP69" s="197"/>
      <c r="DZQ69" s="198"/>
      <c r="DZR69" s="143" t="s">
        <v>22</v>
      </c>
      <c r="DZS69" s="144">
        <v>8150</v>
      </c>
      <c r="DZT69" s="152">
        <v>85</v>
      </c>
      <c r="DZU69" s="153">
        <v>215</v>
      </c>
      <c r="DZV69" s="153">
        <v>75</v>
      </c>
      <c r="DZW69" s="152">
        <v>150</v>
      </c>
      <c r="DZX69" s="154">
        <f>SUM(DZS69:DZW69)</f>
        <v>8675</v>
      </c>
      <c r="DZY69" s="152">
        <v>200</v>
      </c>
      <c r="DZZ69" s="154">
        <f>SUM(DZX69:DZY69)</f>
        <v>8875</v>
      </c>
      <c r="EAA69" s="147" t="s">
        <v>99</v>
      </c>
      <c r="EAB69" s="148">
        <v>45845</v>
      </c>
      <c r="EAC69" s="143" t="s">
        <v>46</v>
      </c>
      <c r="EAD69" s="199"/>
      <c r="EAE69" s="149" t="s">
        <v>125</v>
      </c>
      <c r="EAF69" s="197"/>
      <c r="EAG69" s="198"/>
      <c r="EAH69" s="143" t="s">
        <v>22</v>
      </c>
      <c r="EAI69" s="144">
        <v>8150</v>
      </c>
      <c r="EAJ69" s="152">
        <v>85</v>
      </c>
      <c r="EAK69" s="153">
        <v>215</v>
      </c>
      <c r="EAL69" s="153">
        <v>75</v>
      </c>
      <c r="EAM69" s="152">
        <v>150</v>
      </c>
      <c r="EAN69" s="154">
        <f>SUM(EAI69:EAM69)</f>
        <v>8675</v>
      </c>
      <c r="EAO69" s="152">
        <v>200</v>
      </c>
      <c r="EAP69" s="154">
        <f>SUM(EAN69:EAO69)</f>
        <v>8875</v>
      </c>
      <c r="EAQ69" s="147" t="s">
        <v>99</v>
      </c>
      <c r="EAR69" s="148">
        <v>45845</v>
      </c>
      <c r="EAS69" s="143" t="s">
        <v>46</v>
      </c>
      <c r="EAT69" s="199"/>
      <c r="EAU69" s="149" t="s">
        <v>125</v>
      </c>
      <c r="EAV69" s="197"/>
      <c r="EAW69" s="198"/>
      <c r="EAX69" s="143" t="s">
        <v>22</v>
      </c>
      <c r="EAY69" s="144">
        <v>8150</v>
      </c>
      <c r="EAZ69" s="152">
        <v>85</v>
      </c>
      <c r="EBA69" s="153">
        <v>215</v>
      </c>
      <c r="EBB69" s="153">
        <v>75</v>
      </c>
      <c r="EBC69" s="152">
        <v>150</v>
      </c>
      <c r="EBD69" s="154">
        <f>SUM(EAY69:EBC69)</f>
        <v>8675</v>
      </c>
      <c r="EBE69" s="152">
        <v>200</v>
      </c>
      <c r="EBF69" s="154">
        <f>SUM(EBD69:EBE69)</f>
        <v>8875</v>
      </c>
      <c r="EBG69" s="147" t="s">
        <v>99</v>
      </c>
      <c r="EBH69" s="148">
        <v>45845</v>
      </c>
      <c r="EBI69" s="143" t="s">
        <v>46</v>
      </c>
      <c r="EBJ69" s="199"/>
      <c r="EBK69" s="149" t="s">
        <v>125</v>
      </c>
      <c r="EBL69" s="197"/>
      <c r="EBM69" s="198"/>
      <c r="EBN69" s="143" t="s">
        <v>22</v>
      </c>
      <c r="EBO69" s="144">
        <v>8150</v>
      </c>
      <c r="EBP69" s="152">
        <v>85</v>
      </c>
      <c r="EBQ69" s="153">
        <v>215</v>
      </c>
      <c r="EBR69" s="153">
        <v>75</v>
      </c>
      <c r="EBS69" s="152">
        <v>150</v>
      </c>
      <c r="EBT69" s="154">
        <f>SUM(EBO69:EBS69)</f>
        <v>8675</v>
      </c>
      <c r="EBU69" s="152">
        <v>200</v>
      </c>
      <c r="EBV69" s="154">
        <f>SUM(EBT69:EBU69)</f>
        <v>8875</v>
      </c>
      <c r="EBW69" s="147" t="s">
        <v>99</v>
      </c>
      <c r="EBX69" s="148">
        <v>45845</v>
      </c>
      <c r="EBY69" s="143" t="s">
        <v>46</v>
      </c>
      <c r="EBZ69" s="199"/>
      <c r="ECA69" s="149" t="s">
        <v>125</v>
      </c>
      <c r="ECB69" s="197"/>
      <c r="ECC69" s="198"/>
      <c r="ECD69" s="143" t="s">
        <v>22</v>
      </c>
      <c r="ECE69" s="144">
        <v>8150</v>
      </c>
      <c r="ECF69" s="152">
        <v>85</v>
      </c>
      <c r="ECG69" s="153">
        <v>215</v>
      </c>
      <c r="ECH69" s="153">
        <v>75</v>
      </c>
      <c r="ECI69" s="152">
        <v>150</v>
      </c>
      <c r="ECJ69" s="154">
        <f>SUM(ECE69:ECI69)</f>
        <v>8675</v>
      </c>
      <c r="ECK69" s="152">
        <v>200</v>
      </c>
      <c r="ECL69" s="154">
        <f>SUM(ECJ69:ECK69)</f>
        <v>8875</v>
      </c>
      <c r="ECM69" s="147" t="s">
        <v>99</v>
      </c>
      <c r="ECN69" s="148">
        <v>45845</v>
      </c>
      <c r="ECO69" s="143" t="s">
        <v>46</v>
      </c>
      <c r="ECP69" s="199"/>
      <c r="ECQ69" s="149" t="s">
        <v>125</v>
      </c>
      <c r="ECR69" s="197"/>
      <c r="ECS69" s="198"/>
      <c r="ECT69" s="143" t="s">
        <v>22</v>
      </c>
      <c r="ECU69" s="144">
        <v>8150</v>
      </c>
      <c r="ECV69" s="152">
        <v>85</v>
      </c>
      <c r="ECW69" s="153">
        <v>215</v>
      </c>
      <c r="ECX69" s="153">
        <v>75</v>
      </c>
      <c r="ECY69" s="152">
        <v>150</v>
      </c>
      <c r="ECZ69" s="154">
        <f>SUM(ECU69:ECY69)</f>
        <v>8675</v>
      </c>
      <c r="EDA69" s="152">
        <v>200</v>
      </c>
      <c r="EDB69" s="154">
        <f>SUM(ECZ69:EDA69)</f>
        <v>8875</v>
      </c>
      <c r="EDC69" s="147" t="s">
        <v>99</v>
      </c>
      <c r="EDD69" s="148">
        <v>45845</v>
      </c>
      <c r="EDE69" s="143" t="s">
        <v>46</v>
      </c>
      <c r="EDF69" s="199"/>
      <c r="EDG69" s="149" t="s">
        <v>125</v>
      </c>
      <c r="EDH69" s="197"/>
      <c r="EDI69" s="198"/>
      <c r="EDJ69" s="143" t="s">
        <v>22</v>
      </c>
      <c r="EDK69" s="144">
        <v>8150</v>
      </c>
      <c r="EDL69" s="152">
        <v>85</v>
      </c>
      <c r="EDM69" s="153">
        <v>215</v>
      </c>
      <c r="EDN69" s="153">
        <v>75</v>
      </c>
      <c r="EDO69" s="152">
        <v>150</v>
      </c>
      <c r="EDP69" s="154">
        <f>SUM(EDK69:EDO69)</f>
        <v>8675</v>
      </c>
      <c r="EDQ69" s="152">
        <v>200</v>
      </c>
      <c r="EDR69" s="154">
        <f>SUM(EDP69:EDQ69)</f>
        <v>8875</v>
      </c>
      <c r="EDS69" s="147" t="s">
        <v>99</v>
      </c>
      <c r="EDT69" s="148">
        <v>45845</v>
      </c>
      <c r="EDU69" s="143" t="s">
        <v>46</v>
      </c>
      <c r="EDV69" s="199"/>
      <c r="EDW69" s="149" t="s">
        <v>125</v>
      </c>
      <c r="EDX69" s="197"/>
      <c r="EDY69" s="198"/>
      <c r="EDZ69" s="143" t="s">
        <v>22</v>
      </c>
      <c r="EEA69" s="144">
        <v>8150</v>
      </c>
      <c r="EEB69" s="152">
        <v>85</v>
      </c>
      <c r="EEC69" s="153">
        <v>215</v>
      </c>
      <c r="EED69" s="153">
        <v>75</v>
      </c>
      <c r="EEE69" s="152">
        <v>150</v>
      </c>
      <c r="EEF69" s="154">
        <f>SUM(EEA69:EEE69)</f>
        <v>8675</v>
      </c>
      <c r="EEG69" s="152">
        <v>200</v>
      </c>
      <c r="EEH69" s="154">
        <f>SUM(EEF69:EEG69)</f>
        <v>8875</v>
      </c>
      <c r="EEI69" s="147" t="s">
        <v>99</v>
      </c>
      <c r="EEJ69" s="148">
        <v>45845</v>
      </c>
      <c r="EEK69" s="143" t="s">
        <v>46</v>
      </c>
      <c r="EEL69" s="199"/>
      <c r="EEM69" s="149" t="s">
        <v>125</v>
      </c>
      <c r="EEN69" s="197"/>
      <c r="EEO69" s="198"/>
      <c r="EEP69" s="143" t="s">
        <v>22</v>
      </c>
      <c r="EEQ69" s="144">
        <v>8150</v>
      </c>
      <c r="EER69" s="152">
        <v>85</v>
      </c>
      <c r="EES69" s="153">
        <v>215</v>
      </c>
      <c r="EET69" s="153">
        <v>75</v>
      </c>
      <c r="EEU69" s="152">
        <v>150</v>
      </c>
      <c r="EEV69" s="154">
        <f>SUM(EEQ69:EEU69)</f>
        <v>8675</v>
      </c>
      <c r="EEW69" s="152">
        <v>200</v>
      </c>
      <c r="EEX69" s="154">
        <f>SUM(EEV69:EEW69)</f>
        <v>8875</v>
      </c>
      <c r="EEY69" s="147" t="s">
        <v>99</v>
      </c>
      <c r="EEZ69" s="148">
        <v>45845</v>
      </c>
      <c r="EFA69" s="143" t="s">
        <v>46</v>
      </c>
      <c r="EFB69" s="199"/>
      <c r="EFC69" s="149" t="s">
        <v>125</v>
      </c>
      <c r="EFD69" s="197"/>
      <c r="EFE69" s="198"/>
      <c r="EFF69" s="143" t="s">
        <v>22</v>
      </c>
      <c r="EFG69" s="144">
        <v>8150</v>
      </c>
      <c r="EFH69" s="152">
        <v>85</v>
      </c>
      <c r="EFI69" s="153">
        <v>215</v>
      </c>
      <c r="EFJ69" s="153">
        <v>75</v>
      </c>
      <c r="EFK69" s="152">
        <v>150</v>
      </c>
      <c r="EFL69" s="154">
        <f>SUM(EFG69:EFK69)</f>
        <v>8675</v>
      </c>
      <c r="EFM69" s="152">
        <v>200</v>
      </c>
      <c r="EFN69" s="154">
        <f>SUM(EFL69:EFM69)</f>
        <v>8875</v>
      </c>
      <c r="EFO69" s="147" t="s">
        <v>99</v>
      </c>
      <c r="EFP69" s="148">
        <v>45845</v>
      </c>
      <c r="EFQ69" s="143" t="s">
        <v>46</v>
      </c>
      <c r="EFR69" s="199"/>
      <c r="EFS69" s="149" t="s">
        <v>125</v>
      </c>
      <c r="EFT69" s="197"/>
      <c r="EFU69" s="198"/>
      <c r="EFV69" s="143" t="s">
        <v>22</v>
      </c>
      <c r="EFW69" s="144">
        <v>8150</v>
      </c>
      <c r="EFX69" s="152">
        <v>85</v>
      </c>
      <c r="EFY69" s="153">
        <v>215</v>
      </c>
      <c r="EFZ69" s="153">
        <v>75</v>
      </c>
      <c r="EGA69" s="152">
        <v>150</v>
      </c>
      <c r="EGB69" s="154">
        <f>SUM(EFW69:EGA69)</f>
        <v>8675</v>
      </c>
      <c r="EGC69" s="152">
        <v>200</v>
      </c>
      <c r="EGD69" s="154">
        <f>SUM(EGB69:EGC69)</f>
        <v>8875</v>
      </c>
      <c r="EGE69" s="147" t="s">
        <v>99</v>
      </c>
      <c r="EGF69" s="148">
        <v>45845</v>
      </c>
      <c r="EGG69" s="143" t="s">
        <v>46</v>
      </c>
      <c r="EGH69" s="199"/>
      <c r="EGI69" s="149" t="s">
        <v>125</v>
      </c>
      <c r="EGJ69" s="197"/>
      <c r="EGK69" s="198"/>
      <c r="EGL69" s="143" t="s">
        <v>22</v>
      </c>
      <c r="EGM69" s="144">
        <v>8150</v>
      </c>
      <c r="EGN69" s="152">
        <v>85</v>
      </c>
      <c r="EGO69" s="153">
        <v>215</v>
      </c>
      <c r="EGP69" s="153">
        <v>75</v>
      </c>
      <c r="EGQ69" s="152">
        <v>150</v>
      </c>
      <c r="EGR69" s="154">
        <f>SUM(EGM69:EGQ69)</f>
        <v>8675</v>
      </c>
      <c r="EGS69" s="152">
        <v>200</v>
      </c>
      <c r="EGT69" s="154">
        <f>SUM(EGR69:EGS69)</f>
        <v>8875</v>
      </c>
      <c r="EGU69" s="147" t="s">
        <v>99</v>
      </c>
      <c r="EGV69" s="148">
        <v>45845</v>
      </c>
      <c r="EGW69" s="143" t="s">
        <v>46</v>
      </c>
      <c r="EGX69" s="199"/>
      <c r="EGY69" s="149" t="s">
        <v>125</v>
      </c>
      <c r="EGZ69" s="197"/>
      <c r="EHA69" s="198"/>
      <c r="EHB69" s="143" t="s">
        <v>22</v>
      </c>
      <c r="EHC69" s="144">
        <v>8150</v>
      </c>
      <c r="EHD69" s="152">
        <v>85</v>
      </c>
      <c r="EHE69" s="153">
        <v>215</v>
      </c>
      <c r="EHF69" s="153">
        <v>75</v>
      </c>
      <c r="EHG69" s="152">
        <v>150</v>
      </c>
      <c r="EHH69" s="154">
        <f>SUM(EHC69:EHG69)</f>
        <v>8675</v>
      </c>
      <c r="EHI69" s="152">
        <v>200</v>
      </c>
      <c r="EHJ69" s="154">
        <f>SUM(EHH69:EHI69)</f>
        <v>8875</v>
      </c>
      <c r="EHK69" s="147" t="s">
        <v>99</v>
      </c>
      <c r="EHL69" s="148">
        <v>45845</v>
      </c>
      <c r="EHM69" s="143" t="s">
        <v>46</v>
      </c>
      <c r="EHN69" s="199"/>
      <c r="EHO69" s="149" t="s">
        <v>125</v>
      </c>
      <c r="EHP69" s="197"/>
      <c r="EHQ69" s="198"/>
      <c r="EHR69" s="143" t="s">
        <v>22</v>
      </c>
      <c r="EHS69" s="144">
        <v>8150</v>
      </c>
      <c r="EHT69" s="152">
        <v>85</v>
      </c>
      <c r="EHU69" s="153">
        <v>215</v>
      </c>
      <c r="EHV69" s="153">
        <v>75</v>
      </c>
      <c r="EHW69" s="152">
        <v>150</v>
      </c>
      <c r="EHX69" s="154">
        <f>SUM(EHS69:EHW69)</f>
        <v>8675</v>
      </c>
      <c r="EHY69" s="152">
        <v>200</v>
      </c>
      <c r="EHZ69" s="154">
        <f>SUM(EHX69:EHY69)</f>
        <v>8875</v>
      </c>
      <c r="EIA69" s="147" t="s">
        <v>99</v>
      </c>
      <c r="EIB69" s="148">
        <v>45845</v>
      </c>
      <c r="EIC69" s="143" t="s">
        <v>46</v>
      </c>
      <c r="EID69" s="199"/>
      <c r="EIE69" s="149" t="s">
        <v>125</v>
      </c>
      <c r="EIF69" s="197"/>
      <c r="EIG69" s="198"/>
      <c r="EIH69" s="143" t="s">
        <v>22</v>
      </c>
      <c r="EII69" s="144">
        <v>8150</v>
      </c>
      <c r="EIJ69" s="152">
        <v>85</v>
      </c>
      <c r="EIK69" s="153">
        <v>215</v>
      </c>
      <c r="EIL69" s="153">
        <v>75</v>
      </c>
      <c r="EIM69" s="152">
        <v>150</v>
      </c>
      <c r="EIN69" s="154">
        <f>SUM(EII69:EIM69)</f>
        <v>8675</v>
      </c>
      <c r="EIO69" s="152">
        <v>200</v>
      </c>
      <c r="EIP69" s="154">
        <f>SUM(EIN69:EIO69)</f>
        <v>8875</v>
      </c>
      <c r="EIQ69" s="147" t="s">
        <v>99</v>
      </c>
      <c r="EIR69" s="148">
        <v>45845</v>
      </c>
      <c r="EIS69" s="143" t="s">
        <v>46</v>
      </c>
      <c r="EIT69" s="199"/>
      <c r="EIU69" s="149" t="s">
        <v>125</v>
      </c>
      <c r="EIV69" s="197"/>
      <c r="EIW69" s="198"/>
      <c r="EIX69" s="143" t="s">
        <v>22</v>
      </c>
      <c r="EIY69" s="144">
        <v>8150</v>
      </c>
      <c r="EIZ69" s="152">
        <v>85</v>
      </c>
      <c r="EJA69" s="153">
        <v>215</v>
      </c>
      <c r="EJB69" s="153">
        <v>75</v>
      </c>
      <c r="EJC69" s="152">
        <v>150</v>
      </c>
      <c r="EJD69" s="154">
        <f>SUM(EIY69:EJC69)</f>
        <v>8675</v>
      </c>
      <c r="EJE69" s="152">
        <v>200</v>
      </c>
      <c r="EJF69" s="154">
        <f>SUM(EJD69:EJE69)</f>
        <v>8875</v>
      </c>
      <c r="EJG69" s="147" t="s">
        <v>99</v>
      </c>
      <c r="EJH69" s="148">
        <v>45845</v>
      </c>
      <c r="EJI69" s="143" t="s">
        <v>46</v>
      </c>
      <c r="EJJ69" s="199"/>
      <c r="EJK69" s="149" t="s">
        <v>125</v>
      </c>
      <c r="EJL69" s="197"/>
      <c r="EJM69" s="198"/>
      <c r="EJN69" s="143" t="s">
        <v>22</v>
      </c>
      <c r="EJO69" s="144">
        <v>8150</v>
      </c>
      <c r="EJP69" s="152">
        <v>85</v>
      </c>
      <c r="EJQ69" s="153">
        <v>215</v>
      </c>
      <c r="EJR69" s="153">
        <v>75</v>
      </c>
      <c r="EJS69" s="152">
        <v>150</v>
      </c>
      <c r="EJT69" s="154">
        <f>SUM(EJO69:EJS69)</f>
        <v>8675</v>
      </c>
      <c r="EJU69" s="152">
        <v>200</v>
      </c>
      <c r="EJV69" s="154">
        <f>SUM(EJT69:EJU69)</f>
        <v>8875</v>
      </c>
      <c r="EJW69" s="147" t="s">
        <v>99</v>
      </c>
      <c r="EJX69" s="148">
        <v>45845</v>
      </c>
      <c r="EJY69" s="143" t="s">
        <v>46</v>
      </c>
      <c r="EJZ69" s="199"/>
      <c r="EKA69" s="149" t="s">
        <v>125</v>
      </c>
      <c r="EKB69" s="197"/>
      <c r="EKC69" s="198"/>
      <c r="EKD69" s="143" t="s">
        <v>22</v>
      </c>
      <c r="EKE69" s="144">
        <v>8150</v>
      </c>
      <c r="EKF69" s="152">
        <v>85</v>
      </c>
      <c r="EKG69" s="153">
        <v>215</v>
      </c>
      <c r="EKH69" s="153">
        <v>75</v>
      </c>
      <c r="EKI69" s="152">
        <v>150</v>
      </c>
      <c r="EKJ69" s="154">
        <f>SUM(EKE69:EKI69)</f>
        <v>8675</v>
      </c>
      <c r="EKK69" s="152">
        <v>200</v>
      </c>
      <c r="EKL69" s="154">
        <f>SUM(EKJ69:EKK69)</f>
        <v>8875</v>
      </c>
      <c r="EKM69" s="147" t="s">
        <v>99</v>
      </c>
      <c r="EKN69" s="148">
        <v>45845</v>
      </c>
      <c r="EKO69" s="143" t="s">
        <v>46</v>
      </c>
      <c r="EKP69" s="199"/>
      <c r="EKQ69" s="149" t="s">
        <v>125</v>
      </c>
      <c r="EKR69" s="197"/>
      <c r="EKS69" s="198"/>
      <c r="EKT69" s="143" t="s">
        <v>22</v>
      </c>
      <c r="EKU69" s="144">
        <v>8150</v>
      </c>
      <c r="EKV69" s="152">
        <v>85</v>
      </c>
      <c r="EKW69" s="153">
        <v>215</v>
      </c>
      <c r="EKX69" s="153">
        <v>75</v>
      </c>
      <c r="EKY69" s="152">
        <v>150</v>
      </c>
      <c r="EKZ69" s="154">
        <f>SUM(EKU69:EKY69)</f>
        <v>8675</v>
      </c>
      <c r="ELA69" s="152">
        <v>200</v>
      </c>
      <c r="ELB69" s="154">
        <f>SUM(EKZ69:ELA69)</f>
        <v>8875</v>
      </c>
      <c r="ELC69" s="147" t="s">
        <v>99</v>
      </c>
      <c r="ELD69" s="148">
        <v>45845</v>
      </c>
      <c r="ELE69" s="143" t="s">
        <v>46</v>
      </c>
      <c r="ELF69" s="199"/>
      <c r="ELG69" s="149" t="s">
        <v>125</v>
      </c>
      <c r="ELH69" s="197"/>
      <c r="ELI69" s="198"/>
      <c r="ELJ69" s="143" t="s">
        <v>22</v>
      </c>
      <c r="ELK69" s="144">
        <v>8150</v>
      </c>
      <c r="ELL69" s="152">
        <v>85</v>
      </c>
      <c r="ELM69" s="153">
        <v>215</v>
      </c>
      <c r="ELN69" s="153">
        <v>75</v>
      </c>
      <c r="ELO69" s="152">
        <v>150</v>
      </c>
      <c r="ELP69" s="154">
        <f>SUM(ELK69:ELO69)</f>
        <v>8675</v>
      </c>
      <c r="ELQ69" s="152">
        <v>200</v>
      </c>
      <c r="ELR69" s="154">
        <f>SUM(ELP69:ELQ69)</f>
        <v>8875</v>
      </c>
      <c r="ELS69" s="147" t="s">
        <v>99</v>
      </c>
      <c r="ELT69" s="148">
        <v>45845</v>
      </c>
      <c r="ELU69" s="143" t="s">
        <v>46</v>
      </c>
      <c r="ELV69" s="199"/>
      <c r="ELW69" s="149" t="s">
        <v>125</v>
      </c>
      <c r="ELX69" s="197"/>
      <c r="ELY69" s="198"/>
      <c r="ELZ69" s="143" t="s">
        <v>22</v>
      </c>
      <c r="EMA69" s="144">
        <v>8150</v>
      </c>
      <c r="EMB69" s="152">
        <v>85</v>
      </c>
      <c r="EMC69" s="153">
        <v>215</v>
      </c>
      <c r="EMD69" s="153">
        <v>75</v>
      </c>
      <c r="EME69" s="152">
        <v>150</v>
      </c>
      <c r="EMF69" s="154">
        <f>SUM(EMA69:EME69)</f>
        <v>8675</v>
      </c>
      <c r="EMG69" s="152">
        <v>200</v>
      </c>
      <c r="EMH69" s="154">
        <f>SUM(EMF69:EMG69)</f>
        <v>8875</v>
      </c>
      <c r="EMI69" s="147" t="s">
        <v>99</v>
      </c>
      <c r="EMJ69" s="148">
        <v>45845</v>
      </c>
      <c r="EMK69" s="143" t="s">
        <v>46</v>
      </c>
      <c r="EML69" s="199"/>
      <c r="EMM69" s="149" t="s">
        <v>125</v>
      </c>
      <c r="EMN69" s="197"/>
      <c r="EMO69" s="198"/>
      <c r="EMP69" s="143" t="s">
        <v>22</v>
      </c>
      <c r="EMQ69" s="144">
        <v>8150</v>
      </c>
      <c r="EMR69" s="152">
        <v>85</v>
      </c>
      <c r="EMS69" s="153">
        <v>215</v>
      </c>
      <c r="EMT69" s="153">
        <v>75</v>
      </c>
      <c r="EMU69" s="152">
        <v>150</v>
      </c>
      <c r="EMV69" s="154">
        <f>SUM(EMQ69:EMU69)</f>
        <v>8675</v>
      </c>
      <c r="EMW69" s="152">
        <v>200</v>
      </c>
      <c r="EMX69" s="154">
        <f>SUM(EMV69:EMW69)</f>
        <v>8875</v>
      </c>
      <c r="EMY69" s="147" t="s">
        <v>99</v>
      </c>
      <c r="EMZ69" s="148">
        <v>45845</v>
      </c>
      <c r="ENA69" s="143" t="s">
        <v>46</v>
      </c>
      <c r="ENB69" s="199"/>
      <c r="ENC69" s="149" t="s">
        <v>125</v>
      </c>
      <c r="END69" s="197"/>
      <c r="ENE69" s="198"/>
      <c r="ENF69" s="143" t="s">
        <v>22</v>
      </c>
      <c r="ENG69" s="144">
        <v>8150</v>
      </c>
      <c r="ENH69" s="152">
        <v>85</v>
      </c>
      <c r="ENI69" s="153">
        <v>215</v>
      </c>
      <c r="ENJ69" s="153">
        <v>75</v>
      </c>
      <c r="ENK69" s="152">
        <v>150</v>
      </c>
      <c r="ENL69" s="154">
        <f>SUM(ENG69:ENK69)</f>
        <v>8675</v>
      </c>
      <c r="ENM69" s="152">
        <v>200</v>
      </c>
      <c r="ENN69" s="154">
        <f>SUM(ENL69:ENM69)</f>
        <v>8875</v>
      </c>
      <c r="ENO69" s="147" t="s">
        <v>99</v>
      </c>
      <c r="ENP69" s="148">
        <v>45845</v>
      </c>
      <c r="ENQ69" s="143" t="s">
        <v>46</v>
      </c>
      <c r="ENR69" s="199"/>
      <c r="ENS69" s="149" t="s">
        <v>125</v>
      </c>
      <c r="ENT69" s="197"/>
      <c r="ENU69" s="198"/>
      <c r="ENV69" s="143" t="s">
        <v>22</v>
      </c>
      <c r="ENW69" s="144">
        <v>8150</v>
      </c>
      <c r="ENX69" s="152">
        <v>85</v>
      </c>
      <c r="ENY69" s="153">
        <v>215</v>
      </c>
      <c r="ENZ69" s="153">
        <v>75</v>
      </c>
      <c r="EOA69" s="152">
        <v>150</v>
      </c>
      <c r="EOB69" s="154">
        <f>SUM(ENW69:EOA69)</f>
        <v>8675</v>
      </c>
      <c r="EOC69" s="152">
        <v>200</v>
      </c>
      <c r="EOD69" s="154">
        <f>SUM(EOB69:EOC69)</f>
        <v>8875</v>
      </c>
      <c r="EOE69" s="147" t="s">
        <v>99</v>
      </c>
      <c r="EOF69" s="148">
        <v>45845</v>
      </c>
      <c r="EOG69" s="143" t="s">
        <v>46</v>
      </c>
      <c r="EOH69" s="199"/>
      <c r="EOI69" s="149" t="s">
        <v>125</v>
      </c>
      <c r="EOJ69" s="197"/>
      <c r="EOK69" s="198"/>
      <c r="EOL69" s="143" t="s">
        <v>22</v>
      </c>
      <c r="EOM69" s="144">
        <v>8150</v>
      </c>
      <c r="EON69" s="152">
        <v>85</v>
      </c>
      <c r="EOO69" s="153">
        <v>215</v>
      </c>
      <c r="EOP69" s="153">
        <v>75</v>
      </c>
      <c r="EOQ69" s="152">
        <v>150</v>
      </c>
      <c r="EOR69" s="154">
        <f>SUM(EOM69:EOQ69)</f>
        <v>8675</v>
      </c>
      <c r="EOS69" s="152">
        <v>200</v>
      </c>
      <c r="EOT69" s="154">
        <f>SUM(EOR69:EOS69)</f>
        <v>8875</v>
      </c>
      <c r="EOU69" s="147" t="s">
        <v>99</v>
      </c>
      <c r="EOV69" s="148">
        <v>45845</v>
      </c>
      <c r="EOW69" s="143" t="s">
        <v>46</v>
      </c>
      <c r="EOX69" s="199"/>
      <c r="EOY69" s="149" t="s">
        <v>125</v>
      </c>
      <c r="EOZ69" s="197"/>
      <c r="EPA69" s="198"/>
      <c r="EPB69" s="143" t="s">
        <v>22</v>
      </c>
      <c r="EPC69" s="144">
        <v>8150</v>
      </c>
      <c r="EPD69" s="152">
        <v>85</v>
      </c>
      <c r="EPE69" s="153">
        <v>215</v>
      </c>
      <c r="EPF69" s="153">
        <v>75</v>
      </c>
      <c r="EPG69" s="152">
        <v>150</v>
      </c>
      <c r="EPH69" s="154">
        <f>SUM(EPC69:EPG69)</f>
        <v>8675</v>
      </c>
      <c r="EPI69" s="152">
        <v>200</v>
      </c>
      <c r="EPJ69" s="154">
        <f>SUM(EPH69:EPI69)</f>
        <v>8875</v>
      </c>
      <c r="EPK69" s="147" t="s">
        <v>99</v>
      </c>
      <c r="EPL69" s="148">
        <v>45845</v>
      </c>
      <c r="EPM69" s="143" t="s">
        <v>46</v>
      </c>
      <c r="EPN69" s="199"/>
      <c r="EPO69" s="149" t="s">
        <v>125</v>
      </c>
      <c r="EPP69" s="197"/>
      <c r="EPQ69" s="198"/>
      <c r="EPR69" s="143" t="s">
        <v>22</v>
      </c>
      <c r="EPS69" s="144">
        <v>8150</v>
      </c>
      <c r="EPT69" s="152">
        <v>85</v>
      </c>
      <c r="EPU69" s="153">
        <v>215</v>
      </c>
      <c r="EPV69" s="153">
        <v>75</v>
      </c>
      <c r="EPW69" s="152">
        <v>150</v>
      </c>
      <c r="EPX69" s="154">
        <f>SUM(EPS69:EPW69)</f>
        <v>8675</v>
      </c>
      <c r="EPY69" s="152">
        <v>200</v>
      </c>
      <c r="EPZ69" s="154">
        <f>SUM(EPX69:EPY69)</f>
        <v>8875</v>
      </c>
      <c r="EQA69" s="147" t="s">
        <v>99</v>
      </c>
      <c r="EQB69" s="148">
        <v>45845</v>
      </c>
      <c r="EQC69" s="143" t="s">
        <v>46</v>
      </c>
      <c r="EQD69" s="199"/>
      <c r="EQE69" s="149" t="s">
        <v>125</v>
      </c>
      <c r="EQF69" s="197"/>
      <c r="EQG69" s="198"/>
      <c r="EQH69" s="143" t="s">
        <v>22</v>
      </c>
      <c r="EQI69" s="144">
        <v>8150</v>
      </c>
      <c r="EQJ69" s="152">
        <v>85</v>
      </c>
      <c r="EQK69" s="153">
        <v>215</v>
      </c>
      <c r="EQL69" s="153">
        <v>75</v>
      </c>
      <c r="EQM69" s="152">
        <v>150</v>
      </c>
      <c r="EQN69" s="154">
        <f>SUM(EQI69:EQM69)</f>
        <v>8675</v>
      </c>
      <c r="EQO69" s="152">
        <v>200</v>
      </c>
      <c r="EQP69" s="154">
        <f>SUM(EQN69:EQO69)</f>
        <v>8875</v>
      </c>
      <c r="EQQ69" s="147" t="s">
        <v>99</v>
      </c>
      <c r="EQR69" s="148">
        <v>45845</v>
      </c>
      <c r="EQS69" s="143" t="s">
        <v>46</v>
      </c>
      <c r="EQT69" s="199"/>
      <c r="EQU69" s="149" t="s">
        <v>125</v>
      </c>
      <c r="EQV69" s="197"/>
      <c r="EQW69" s="198"/>
      <c r="EQX69" s="143" t="s">
        <v>22</v>
      </c>
      <c r="EQY69" s="144">
        <v>8150</v>
      </c>
      <c r="EQZ69" s="152">
        <v>85</v>
      </c>
      <c r="ERA69" s="153">
        <v>215</v>
      </c>
      <c r="ERB69" s="153">
        <v>75</v>
      </c>
      <c r="ERC69" s="152">
        <v>150</v>
      </c>
      <c r="ERD69" s="154">
        <f>SUM(EQY69:ERC69)</f>
        <v>8675</v>
      </c>
      <c r="ERE69" s="152">
        <v>200</v>
      </c>
      <c r="ERF69" s="154">
        <f>SUM(ERD69:ERE69)</f>
        <v>8875</v>
      </c>
      <c r="ERG69" s="147" t="s">
        <v>99</v>
      </c>
      <c r="ERH69" s="148">
        <v>45845</v>
      </c>
      <c r="ERI69" s="143" t="s">
        <v>46</v>
      </c>
      <c r="ERJ69" s="199"/>
      <c r="ERK69" s="149" t="s">
        <v>125</v>
      </c>
      <c r="ERL69" s="197"/>
      <c r="ERM69" s="198"/>
      <c r="ERN69" s="143" t="s">
        <v>22</v>
      </c>
      <c r="ERO69" s="144">
        <v>8150</v>
      </c>
      <c r="ERP69" s="152">
        <v>85</v>
      </c>
      <c r="ERQ69" s="153">
        <v>215</v>
      </c>
      <c r="ERR69" s="153">
        <v>75</v>
      </c>
      <c r="ERS69" s="152">
        <v>150</v>
      </c>
      <c r="ERT69" s="154">
        <f>SUM(ERO69:ERS69)</f>
        <v>8675</v>
      </c>
      <c r="ERU69" s="152">
        <v>200</v>
      </c>
      <c r="ERV69" s="154">
        <f>SUM(ERT69:ERU69)</f>
        <v>8875</v>
      </c>
      <c r="ERW69" s="147" t="s">
        <v>99</v>
      </c>
      <c r="ERX69" s="148">
        <v>45845</v>
      </c>
      <c r="ERY69" s="143" t="s">
        <v>46</v>
      </c>
      <c r="ERZ69" s="199"/>
      <c r="ESA69" s="149" t="s">
        <v>125</v>
      </c>
      <c r="ESB69" s="197"/>
      <c r="ESC69" s="198"/>
      <c r="ESD69" s="143" t="s">
        <v>22</v>
      </c>
      <c r="ESE69" s="144">
        <v>8150</v>
      </c>
      <c r="ESF69" s="152">
        <v>85</v>
      </c>
      <c r="ESG69" s="153">
        <v>215</v>
      </c>
      <c r="ESH69" s="153">
        <v>75</v>
      </c>
      <c r="ESI69" s="152">
        <v>150</v>
      </c>
      <c r="ESJ69" s="154">
        <f>SUM(ESE69:ESI69)</f>
        <v>8675</v>
      </c>
      <c r="ESK69" s="152">
        <v>200</v>
      </c>
      <c r="ESL69" s="154">
        <f>SUM(ESJ69:ESK69)</f>
        <v>8875</v>
      </c>
      <c r="ESM69" s="147" t="s">
        <v>99</v>
      </c>
      <c r="ESN69" s="148">
        <v>45845</v>
      </c>
      <c r="ESO69" s="143" t="s">
        <v>46</v>
      </c>
      <c r="ESP69" s="199"/>
      <c r="ESQ69" s="149" t="s">
        <v>125</v>
      </c>
      <c r="ESR69" s="197"/>
      <c r="ESS69" s="198"/>
      <c r="EST69" s="143" t="s">
        <v>22</v>
      </c>
      <c r="ESU69" s="144">
        <v>8150</v>
      </c>
      <c r="ESV69" s="152">
        <v>85</v>
      </c>
      <c r="ESW69" s="153">
        <v>215</v>
      </c>
      <c r="ESX69" s="153">
        <v>75</v>
      </c>
      <c r="ESY69" s="152">
        <v>150</v>
      </c>
      <c r="ESZ69" s="154">
        <f>SUM(ESU69:ESY69)</f>
        <v>8675</v>
      </c>
      <c r="ETA69" s="152">
        <v>200</v>
      </c>
      <c r="ETB69" s="154">
        <f>SUM(ESZ69:ETA69)</f>
        <v>8875</v>
      </c>
      <c r="ETC69" s="147" t="s">
        <v>99</v>
      </c>
      <c r="ETD69" s="148">
        <v>45845</v>
      </c>
      <c r="ETE69" s="143" t="s">
        <v>46</v>
      </c>
      <c r="ETF69" s="199"/>
      <c r="ETG69" s="149" t="s">
        <v>125</v>
      </c>
      <c r="ETH69" s="197"/>
      <c r="ETI69" s="198"/>
      <c r="ETJ69" s="143" t="s">
        <v>22</v>
      </c>
      <c r="ETK69" s="144">
        <v>8150</v>
      </c>
      <c r="ETL69" s="152">
        <v>85</v>
      </c>
      <c r="ETM69" s="153">
        <v>215</v>
      </c>
      <c r="ETN69" s="153">
        <v>75</v>
      </c>
      <c r="ETO69" s="152">
        <v>150</v>
      </c>
      <c r="ETP69" s="154">
        <f>SUM(ETK69:ETO69)</f>
        <v>8675</v>
      </c>
      <c r="ETQ69" s="152">
        <v>200</v>
      </c>
      <c r="ETR69" s="154">
        <f>SUM(ETP69:ETQ69)</f>
        <v>8875</v>
      </c>
      <c r="ETS69" s="147" t="s">
        <v>99</v>
      </c>
      <c r="ETT69" s="148">
        <v>45845</v>
      </c>
      <c r="ETU69" s="143" t="s">
        <v>46</v>
      </c>
      <c r="ETV69" s="199"/>
      <c r="ETW69" s="149" t="s">
        <v>125</v>
      </c>
      <c r="ETX69" s="197"/>
      <c r="ETY69" s="198"/>
      <c r="ETZ69" s="143" t="s">
        <v>22</v>
      </c>
      <c r="EUA69" s="144">
        <v>8150</v>
      </c>
      <c r="EUB69" s="152">
        <v>85</v>
      </c>
      <c r="EUC69" s="153">
        <v>215</v>
      </c>
      <c r="EUD69" s="153">
        <v>75</v>
      </c>
      <c r="EUE69" s="152">
        <v>150</v>
      </c>
      <c r="EUF69" s="154">
        <f>SUM(EUA69:EUE69)</f>
        <v>8675</v>
      </c>
      <c r="EUG69" s="152">
        <v>200</v>
      </c>
      <c r="EUH69" s="154">
        <f>SUM(EUF69:EUG69)</f>
        <v>8875</v>
      </c>
      <c r="EUI69" s="147" t="s">
        <v>99</v>
      </c>
      <c r="EUJ69" s="148">
        <v>45845</v>
      </c>
      <c r="EUK69" s="143" t="s">
        <v>46</v>
      </c>
      <c r="EUL69" s="199"/>
      <c r="EUM69" s="149" t="s">
        <v>125</v>
      </c>
      <c r="EUN69" s="197"/>
      <c r="EUO69" s="198"/>
      <c r="EUP69" s="143" t="s">
        <v>22</v>
      </c>
      <c r="EUQ69" s="144">
        <v>8150</v>
      </c>
      <c r="EUR69" s="152">
        <v>85</v>
      </c>
      <c r="EUS69" s="153">
        <v>215</v>
      </c>
      <c r="EUT69" s="153">
        <v>75</v>
      </c>
      <c r="EUU69" s="152">
        <v>150</v>
      </c>
      <c r="EUV69" s="154">
        <f>SUM(EUQ69:EUU69)</f>
        <v>8675</v>
      </c>
      <c r="EUW69" s="152">
        <v>200</v>
      </c>
      <c r="EUX69" s="154">
        <f>SUM(EUV69:EUW69)</f>
        <v>8875</v>
      </c>
      <c r="EUY69" s="147" t="s">
        <v>99</v>
      </c>
      <c r="EUZ69" s="148">
        <v>45845</v>
      </c>
      <c r="EVA69" s="143" t="s">
        <v>46</v>
      </c>
      <c r="EVB69" s="199"/>
      <c r="EVC69" s="149" t="s">
        <v>125</v>
      </c>
      <c r="EVD69" s="197"/>
      <c r="EVE69" s="198"/>
      <c r="EVF69" s="143" t="s">
        <v>22</v>
      </c>
      <c r="EVG69" s="144">
        <v>8150</v>
      </c>
      <c r="EVH69" s="152">
        <v>85</v>
      </c>
      <c r="EVI69" s="153">
        <v>215</v>
      </c>
      <c r="EVJ69" s="153">
        <v>75</v>
      </c>
      <c r="EVK69" s="152">
        <v>150</v>
      </c>
      <c r="EVL69" s="154">
        <f>SUM(EVG69:EVK69)</f>
        <v>8675</v>
      </c>
      <c r="EVM69" s="152">
        <v>200</v>
      </c>
      <c r="EVN69" s="154">
        <f>SUM(EVL69:EVM69)</f>
        <v>8875</v>
      </c>
      <c r="EVO69" s="147" t="s">
        <v>99</v>
      </c>
      <c r="EVP69" s="148">
        <v>45845</v>
      </c>
      <c r="EVQ69" s="143" t="s">
        <v>46</v>
      </c>
      <c r="EVR69" s="199"/>
      <c r="EVS69" s="149" t="s">
        <v>125</v>
      </c>
      <c r="EVT69" s="197"/>
      <c r="EVU69" s="198"/>
      <c r="EVV69" s="143" t="s">
        <v>22</v>
      </c>
      <c r="EVW69" s="144">
        <v>8150</v>
      </c>
      <c r="EVX69" s="152">
        <v>85</v>
      </c>
      <c r="EVY69" s="153">
        <v>215</v>
      </c>
      <c r="EVZ69" s="153">
        <v>75</v>
      </c>
      <c r="EWA69" s="152">
        <v>150</v>
      </c>
      <c r="EWB69" s="154">
        <f>SUM(EVW69:EWA69)</f>
        <v>8675</v>
      </c>
      <c r="EWC69" s="152">
        <v>200</v>
      </c>
      <c r="EWD69" s="154">
        <f>SUM(EWB69:EWC69)</f>
        <v>8875</v>
      </c>
      <c r="EWE69" s="147" t="s">
        <v>99</v>
      </c>
      <c r="EWF69" s="148">
        <v>45845</v>
      </c>
      <c r="EWG69" s="143" t="s">
        <v>46</v>
      </c>
      <c r="EWH69" s="199"/>
      <c r="EWI69" s="149" t="s">
        <v>125</v>
      </c>
      <c r="EWJ69" s="197"/>
      <c r="EWK69" s="198"/>
      <c r="EWL69" s="143" t="s">
        <v>22</v>
      </c>
      <c r="EWM69" s="144">
        <v>8150</v>
      </c>
      <c r="EWN69" s="152">
        <v>85</v>
      </c>
      <c r="EWO69" s="153">
        <v>215</v>
      </c>
      <c r="EWP69" s="153">
        <v>75</v>
      </c>
      <c r="EWQ69" s="152">
        <v>150</v>
      </c>
      <c r="EWR69" s="154">
        <f>SUM(EWM69:EWQ69)</f>
        <v>8675</v>
      </c>
      <c r="EWS69" s="152">
        <v>200</v>
      </c>
      <c r="EWT69" s="154">
        <f>SUM(EWR69:EWS69)</f>
        <v>8875</v>
      </c>
      <c r="EWU69" s="147" t="s">
        <v>99</v>
      </c>
      <c r="EWV69" s="148">
        <v>45845</v>
      </c>
      <c r="EWW69" s="143" t="s">
        <v>46</v>
      </c>
      <c r="EWX69" s="199"/>
      <c r="EWY69" s="149" t="s">
        <v>125</v>
      </c>
      <c r="EWZ69" s="197"/>
      <c r="EXA69" s="198"/>
      <c r="EXB69" s="143" t="s">
        <v>22</v>
      </c>
      <c r="EXC69" s="144">
        <v>8150</v>
      </c>
      <c r="EXD69" s="152">
        <v>85</v>
      </c>
      <c r="EXE69" s="153">
        <v>215</v>
      </c>
      <c r="EXF69" s="153">
        <v>75</v>
      </c>
      <c r="EXG69" s="152">
        <v>150</v>
      </c>
      <c r="EXH69" s="154">
        <f>SUM(EXC69:EXG69)</f>
        <v>8675</v>
      </c>
      <c r="EXI69" s="152">
        <v>200</v>
      </c>
      <c r="EXJ69" s="154">
        <f>SUM(EXH69:EXI69)</f>
        <v>8875</v>
      </c>
      <c r="EXK69" s="147" t="s">
        <v>99</v>
      </c>
      <c r="EXL69" s="148">
        <v>45845</v>
      </c>
      <c r="EXM69" s="143" t="s">
        <v>46</v>
      </c>
      <c r="EXN69" s="199"/>
      <c r="EXO69" s="149" t="s">
        <v>125</v>
      </c>
      <c r="EXP69" s="197"/>
      <c r="EXQ69" s="198"/>
      <c r="EXR69" s="143" t="s">
        <v>22</v>
      </c>
      <c r="EXS69" s="144">
        <v>8150</v>
      </c>
      <c r="EXT69" s="152">
        <v>85</v>
      </c>
      <c r="EXU69" s="153">
        <v>215</v>
      </c>
      <c r="EXV69" s="153">
        <v>75</v>
      </c>
      <c r="EXW69" s="152">
        <v>150</v>
      </c>
      <c r="EXX69" s="154">
        <f>SUM(EXS69:EXW69)</f>
        <v>8675</v>
      </c>
      <c r="EXY69" s="152">
        <v>200</v>
      </c>
      <c r="EXZ69" s="154">
        <f>SUM(EXX69:EXY69)</f>
        <v>8875</v>
      </c>
      <c r="EYA69" s="147" t="s">
        <v>99</v>
      </c>
      <c r="EYB69" s="148">
        <v>45845</v>
      </c>
      <c r="EYC69" s="143" t="s">
        <v>46</v>
      </c>
      <c r="EYD69" s="199"/>
      <c r="EYE69" s="149" t="s">
        <v>125</v>
      </c>
      <c r="EYF69" s="197"/>
      <c r="EYG69" s="198"/>
      <c r="EYH69" s="143" t="s">
        <v>22</v>
      </c>
      <c r="EYI69" s="144">
        <v>8150</v>
      </c>
      <c r="EYJ69" s="152">
        <v>85</v>
      </c>
      <c r="EYK69" s="153">
        <v>215</v>
      </c>
      <c r="EYL69" s="153">
        <v>75</v>
      </c>
      <c r="EYM69" s="152">
        <v>150</v>
      </c>
      <c r="EYN69" s="154">
        <f>SUM(EYI69:EYM69)</f>
        <v>8675</v>
      </c>
      <c r="EYO69" s="152">
        <v>200</v>
      </c>
      <c r="EYP69" s="154">
        <f>SUM(EYN69:EYO69)</f>
        <v>8875</v>
      </c>
      <c r="EYQ69" s="147" t="s">
        <v>99</v>
      </c>
      <c r="EYR69" s="148">
        <v>45845</v>
      </c>
      <c r="EYS69" s="143" t="s">
        <v>46</v>
      </c>
      <c r="EYT69" s="199"/>
      <c r="EYU69" s="149" t="s">
        <v>125</v>
      </c>
      <c r="EYV69" s="197"/>
      <c r="EYW69" s="198"/>
      <c r="EYX69" s="143" t="s">
        <v>22</v>
      </c>
      <c r="EYY69" s="144">
        <v>8150</v>
      </c>
      <c r="EYZ69" s="152">
        <v>85</v>
      </c>
      <c r="EZA69" s="153">
        <v>215</v>
      </c>
      <c r="EZB69" s="153">
        <v>75</v>
      </c>
      <c r="EZC69" s="152">
        <v>150</v>
      </c>
      <c r="EZD69" s="154">
        <f>SUM(EYY69:EZC69)</f>
        <v>8675</v>
      </c>
      <c r="EZE69" s="152">
        <v>200</v>
      </c>
      <c r="EZF69" s="154">
        <f>SUM(EZD69:EZE69)</f>
        <v>8875</v>
      </c>
      <c r="EZG69" s="147" t="s">
        <v>99</v>
      </c>
      <c r="EZH69" s="148">
        <v>45845</v>
      </c>
      <c r="EZI69" s="143" t="s">
        <v>46</v>
      </c>
      <c r="EZJ69" s="199"/>
      <c r="EZK69" s="149" t="s">
        <v>125</v>
      </c>
      <c r="EZL69" s="197"/>
      <c r="EZM69" s="198"/>
      <c r="EZN69" s="143" t="s">
        <v>22</v>
      </c>
      <c r="EZO69" s="144">
        <v>8150</v>
      </c>
      <c r="EZP69" s="152">
        <v>85</v>
      </c>
      <c r="EZQ69" s="153">
        <v>215</v>
      </c>
      <c r="EZR69" s="153">
        <v>75</v>
      </c>
      <c r="EZS69" s="152">
        <v>150</v>
      </c>
      <c r="EZT69" s="154">
        <f>SUM(EZO69:EZS69)</f>
        <v>8675</v>
      </c>
      <c r="EZU69" s="152">
        <v>200</v>
      </c>
      <c r="EZV69" s="154">
        <f>SUM(EZT69:EZU69)</f>
        <v>8875</v>
      </c>
      <c r="EZW69" s="147" t="s">
        <v>99</v>
      </c>
      <c r="EZX69" s="148">
        <v>45845</v>
      </c>
      <c r="EZY69" s="143" t="s">
        <v>46</v>
      </c>
      <c r="EZZ69" s="199"/>
      <c r="FAA69" s="149" t="s">
        <v>125</v>
      </c>
      <c r="FAB69" s="197"/>
      <c r="FAC69" s="198"/>
      <c r="FAD69" s="143" t="s">
        <v>22</v>
      </c>
      <c r="FAE69" s="144">
        <v>8150</v>
      </c>
      <c r="FAF69" s="152">
        <v>85</v>
      </c>
      <c r="FAG69" s="153">
        <v>215</v>
      </c>
      <c r="FAH69" s="153">
        <v>75</v>
      </c>
      <c r="FAI69" s="152">
        <v>150</v>
      </c>
      <c r="FAJ69" s="154">
        <f>SUM(FAE69:FAI69)</f>
        <v>8675</v>
      </c>
      <c r="FAK69" s="152">
        <v>200</v>
      </c>
      <c r="FAL69" s="154">
        <f>SUM(FAJ69:FAK69)</f>
        <v>8875</v>
      </c>
      <c r="FAM69" s="147" t="s">
        <v>99</v>
      </c>
      <c r="FAN69" s="148">
        <v>45845</v>
      </c>
      <c r="FAO69" s="143" t="s">
        <v>46</v>
      </c>
      <c r="FAP69" s="199"/>
      <c r="FAQ69" s="149" t="s">
        <v>125</v>
      </c>
      <c r="FAR69" s="197"/>
      <c r="FAS69" s="198"/>
      <c r="FAT69" s="143" t="s">
        <v>22</v>
      </c>
      <c r="FAU69" s="144">
        <v>8150</v>
      </c>
      <c r="FAV69" s="152">
        <v>85</v>
      </c>
      <c r="FAW69" s="153">
        <v>215</v>
      </c>
      <c r="FAX69" s="153">
        <v>75</v>
      </c>
      <c r="FAY69" s="152">
        <v>150</v>
      </c>
      <c r="FAZ69" s="154">
        <f>SUM(FAU69:FAY69)</f>
        <v>8675</v>
      </c>
      <c r="FBA69" s="152">
        <v>200</v>
      </c>
      <c r="FBB69" s="154">
        <f>SUM(FAZ69:FBA69)</f>
        <v>8875</v>
      </c>
      <c r="FBC69" s="147" t="s">
        <v>99</v>
      </c>
      <c r="FBD69" s="148">
        <v>45845</v>
      </c>
      <c r="FBE69" s="143" t="s">
        <v>46</v>
      </c>
      <c r="FBF69" s="199"/>
      <c r="FBG69" s="149" t="s">
        <v>125</v>
      </c>
      <c r="FBH69" s="197"/>
      <c r="FBI69" s="198"/>
      <c r="FBJ69" s="143" t="s">
        <v>22</v>
      </c>
      <c r="FBK69" s="144">
        <v>8150</v>
      </c>
      <c r="FBL69" s="152">
        <v>85</v>
      </c>
      <c r="FBM69" s="153">
        <v>215</v>
      </c>
      <c r="FBN69" s="153">
        <v>75</v>
      </c>
      <c r="FBO69" s="152">
        <v>150</v>
      </c>
      <c r="FBP69" s="154">
        <f>SUM(FBK69:FBO69)</f>
        <v>8675</v>
      </c>
      <c r="FBQ69" s="152">
        <v>200</v>
      </c>
      <c r="FBR69" s="154">
        <f>SUM(FBP69:FBQ69)</f>
        <v>8875</v>
      </c>
      <c r="FBS69" s="147" t="s">
        <v>99</v>
      </c>
      <c r="FBT69" s="148">
        <v>45845</v>
      </c>
      <c r="FBU69" s="143" t="s">
        <v>46</v>
      </c>
      <c r="FBV69" s="199"/>
      <c r="FBW69" s="149" t="s">
        <v>125</v>
      </c>
      <c r="FBX69" s="197"/>
      <c r="FBY69" s="198"/>
      <c r="FBZ69" s="143" t="s">
        <v>22</v>
      </c>
      <c r="FCA69" s="144">
        <v>8150</v>
      </c>
      <c r="FCB69" s="152">
        <v>85</v>
      </c>
      <c r="FCC69" s="153">
        <v>215</v>
      </c>
      <c r="FCD69" s="153">
        <v>75</v>
      </c>
      <c r="FCE69" s="152">
        <v>150</v>
      </c>
      <c r="FCF69" s="154">
        <f>SUM(FCA69:FCE69)</f>
        <v>8675</v>
      </c>
      <c r="FCG69" s="152">
        <v>200</v>
      </c>
      <c r="FCH69" s="154">
        <f>SUM(FCF69:FCG69)</f>
        <v>8875</v>
      </c>
      <c r="FCI69" s="147" t="s">
        <v>99</v>
      </c>
      <c r="FCJ69" s="148">
        <v>45845</v>
      </c>
      <c r="FCK69" s="143" t="s">
        <v>46</v>
      </c>
      <c r="FCL69" s="199"/>
      <c r="FCM69" s="149" t="s">
        <v>125</v>
      </c>
      <c r="FCN69" s="197"/>
      <c r="FCO69" s="198"/>
      <c r="FCP69" s="143" t="s">
        <v>22</v>
      </c>
      <c r="FCQ69" s="144">
        <v>8150</v>
      </c>
      <c r="FCR69" s="152">
        <v>85</v>
      </c>
      <c r="FCS69" s="153">
        <v>215</v>
      </c>
      <c r="FCT69" s="153">
        <v>75</v>
      </c>
      <c r="FCU69" s="152">
        <v>150</v>
      </c>
      <c r="FCV69" s="154">
        <f>SUM(FCQ69:FCU69)</f>
        <v>8675</v>
      </c>
      <c r="FCW69" s="152">
        <v>200</v>
      </c>
      <c r="FCX69" s="154">
        <f>SUM(FCV69:FCW69)</f>
        <v>8875</v>
      </c>
      <c r="FCY69" s="147" t="s">
        <v>99</v>
      </c>
      <c r="FCZ69" s="148">
        <v>45845</v>
      </c>
      <c r="FDA69" s="143" t="s">
        <v>46</v>
      </c>
      <c r="FDB69" s="199"/>
      <c r="FDC69" s="149" t="s">
        <v>125</v>
      </c>
      <c r="FDD69" s="197"/>
      <c r="FDE69" s="198"/>
      <c r="FDF69" s="143" t="s">
        <v>22</v>
      </c>
      <c r="FDG69" s="144">
        <v>8150</v>
      </c>
      <c r="FDH69" s="152">
        <v>85</v>
      </c>
      <c r="FDI69" s="153">
        <v>215</v>
      </c>
      <c r="FDJ69" s="153">
        <v>75</v>
      </c>
      <c r="FDK69" s="152">
        <v>150</v>
      </c>
      <c r="FDL69" s="154">
        <f>SUM(FDG69:FDK69)</f>
        <v>8675</v>
      </c>
      <c r="FDM69" s="152">
        <v>200</v>
      </c>
      <c r="FDN69" s="154">
        <f>SUM(FDL69:FDM69)</f>
        <v>8875</v>
      </c>
      <c r="FDO69" s="147" t="s">
        <v>99</v>
      </c>
      <c r="FDP69" s="148">
        <v>45845</v>
      </c>
      <c r="FDQ69" s="143" t="s">
        <v>46</v>
      </c>
      <c r="FDR69" s="199"/>
      <c r="FDS69" s="149" t="s">
        <v>125</v>
      </c>
      <c r="FDT69" s="197"/>
      <c r="FDU69" s="198"/>
      <c r="FDV69" s="143" t="s">
        <v>22</v>
      </c>
      <c r="FDW69" s="144">
        <v>8150</v>
      </c>
      <c r="FDX69" s="152">
        <v>85</v>
      </c>
      <c r="FDY69" s="153">
        <v>215</v>
      </c>
      <c r="FDZ69" s="153">
        <v>75</v>
      </c>
      <c r="FEA69" s="152">
        <v>150</v>
      </c>
      <c r="FEB69" s="154">
        <f>SUM(FDW69:FEA69)</f>
        <v>8675</v>
      </c>
      <c r="FEC69" s="152">
        <v>200</v>
      </c>
      <c r="FED69" s="154">
        <f>SUM(FEB69:FEC69)</f>
        <v>8875</v>
      </c>
      <c r="FEE69" s="147" t="s">
        <v>99</v>
      </c>
      <c r="FEF69" s="148">
        <v>45845</v>
      </c>
      <c r="FEG69" s="143" t="s">
        <v>46</v>
      </c>
      <c r="FEH69" s="199"/>
      <c r="FEI69" s="149" t="s">
        <v>125</v>
      </c>
      <c r="FEJ69" s="197"/>
      <c r="FEK69" s="198"/>
      <c r="FEL69" s="143" t="s">
        <v>22</v>
      </c>
      <c r="FEM69" s="144">
        <v>8150</v>
      </c>
      <c r="FEN69" s="152">
        <v>85</v>
      </c>
      <c r="FEO69" s="153">
        <v>215</v>
      </c>
      <c r="FEP69" s="153">
        <v>75</v>
      </c>
      <c r="FEQ69" s="152">
        <v>150</v>
      </c>
      <c r="FER69" s="154">
        <f>SUM(FEM69:FEQ69)</f>
        <v>8675</v>
      </c>
      <c r="FES69" s="152">
        <v>200</v>
      </c>
      <c r="FET69" s="154">
        <f>SUM(FER69:FES69)</f>
        <v>8875</v>
      </c>
      <c r="FEU69" s="147" t="s">
        <v>99</v>
      </c>
      <c r="FEV69" s="148">
        <v>45845</v>
      </c>
      <c r="FEW69" s="143" t="s">
        <v>46</v>
      </c>
      <c r="FEX69" s="199"/>
      <c r="FEY69" s="149" t="s">
        <v>125</v>
      </c>
      <c r="FEZ69" s="197"/>
      <c r="FFA69" s="198"/>
      <c r="FFB69" s="143" t="s">
        <v>22</v>
      </c>
      <c r="FFC69" s="144">
        <v>8150</v>
      </c>
      <c r="FFD69" s="152">
        <v>85</v>
      </c>
      <c r="FFE69" s="153">
        <v>215</v>
      </c>
      <c r="FFF69" s="153">
        <v>75</v>
      </c>
      <c r="FFG69" s="152">
        <v>150</v>
      </c>
      <c r="FFH69" s="154">
        <f>SUM(FFC69:FFG69)</f>
        <v>8675</v>
      </c>
      <c r="FFI69" s="152">
        <v>200</v>
      </c>
      <c r="FFJ69" s="154">
        <f>SUM(FFH69:FFI69)</f>
        <v>8875</v>
      </c>
      <c r="FFK69" s="147" t="s">
        <v>99</v>
      </c>
      <c r="FFL69" s="148">
        <v>45845</v>
      </c>
      <c r="FFM69" s="143" t="s">
        <v>46</v>
      </c>
      <c r="FFN69" s="199"/>
      <c r="FFO69" s="149" t="s">
        <v>125</v>
      </c>
      <c r="FFP69" s="197"/>
      <c r="FFQ69" s="198"/>
      <c r="FFR69" s="143" t="s">
        <v>22</v>
      </c>
      <c r="FFS69" s="144">
        <v>8150</v>
      </c>
      <c r="FFT69" s="152">
        <v>85</v>
      </c>
      <c r="FFU69" s="153">
        <v>215</v>
      </c>
      <c r="FFV69" s="153">
        <v>75</v>
      </c>
      <c r="FFW69" s="152">
        <v>150</v>
      </c>
      <c r="FFX69" s="154">
        <f>SUM(FFS69:FFW69)</f>
        <v>8675</v>
      </c>
      <c r="FFY69" s="152">
        <v>200</v>
      </c>
      <c r="FFZ69" s="154">
        <f>SUM(FFX69:FFY69)</f>
        <v>8875</v>
      </c>
      <c r="FGA69" s="147" t="s">
        <v>99</v>
      </c>
      <c r="FGB69" s="148">
        <v>45845</v>
      </c>
      <c r="FGC69" s="143" t="s">
        <v>46</v>
      </c>
      <c r="FGD69" s="199"/>
      <c r="FGE69" s="149" t="s">
        <v>125</v>
      </c>
      <c r="FGF69" s="197"/>
      <c r="FGG69" s="198"/>
      <c r="FGH69" s="143" t="s">
        <v>22</v>
      </c>
      <c r="FGI69" s="144">
        <v>8150</v>
      </c>
      <c r="FGJ69" s="152">
        <v>85</v>
      </c>
      <c r="FGK69" s="153">
        <v>215</v>
      </c>
      <c r="FGL69" s="153">
        <v>75</v>
      </c>
      <c r="FGM69" s="152">
        <v>150</v>
      </c>
      <c r="FGN69" s="154">
        <f>SUM(FGI69:FGM69)</f>
        <v>8675</v>
      </c>
      <c r="FGO69" s="152">
        <v>200</v>
      </c>
      <c r="FGP69" s="154">
        <f>SUM(FGN69:FGO69)</f>
        <v>8875</v>
      </c>
      <c r="FGQ69" s="147" t="s">
        <v>99</v>
      </c>
      <c r="FGR69" s="148">
        <v>45845</v>
      </c>
      <c r="FGS69" s="143" t="s">
        <v>46</v>
      </c>
      <c r="FGT69" s="199"/>
      <c r="FGU69" s="149" t="s">
        <v>125</v>
      </c>
      <c r="FGV69" s="197"/>
      <c r="FGW69" s="198"/>
      <c r="FGX69" s="143" t="s">
        <v>22</v>
      </c>
      <c r="FGY69" s="144">
        <v>8150</v>
      </c>
      <c r="FGZ69" s="152">
        <v>85</v>
      </c>
      <c r="FHA69" s="153">
        <v>215</v>
      </c>
      <c r="FHB69" s="153">
        <v>75</v>
      </c>
      <c r="FHC69" s="152">
        <v>150</v>
      </c>
      <c r="FHD69" s="154">
        <f>SUM(FGY69:FHC69)</f>
        <v>8675</v>
      </c>
      <c r="FHE69" s="152">
        <v>200</v>
      </c>
      <c r="FHF69" s="154">
        <f>SUM(FHD69:FHE69)</f>
        <v>8875</v>
      </c>
      <c r="FHG69" s="147" t="s">
        <v>99</v>
      </c>
      <c r="FHH69" s="148">
        <v>45845</v>
      </c>
      <c r="FHI69" s="143" t="s">
        <v>46</v>
      </c>
      <c r="FHJ69" s="199"/>
      <c r="FHK69" s="149" t="s">
        <v>125</v>
      </c>
      <c r="FHL69" s="197"/>
      <c r="FHM69" s="198"/>
      <c r="FHN69" s="143" t="s">
        <v>22</v>
      </c>
      <c r="FHO69" s="144">
        <v>8150</v>
      </c>
      <c r="FHP69" s="152">
        <v>85</v>
      </c>
      <c r="FHQ69" s="153">
        <v>215</v>
      </c>
      <c r="FHR69" s="153">
        <v>75</v>
      </c>
      <c r="FHS69" s="152">
        <v>150</v>
      </c>
      <c r="FHT69" s="154">
        <f>SUM(FHO69:FHS69)</f>
        <v>8675</v>
      </c>
      <c r="FHU69" s="152">
        <v>200</v>
      </c>
      <c r="FHV69" s="154">
        <f>SUM(FHT69:FHU69)</f>
        <v>8875</v>
      </c>
      <c r="FHW69" s="147" t="s">
        <v>99</v>
      </c>
      <c r="FHX69" s="148">
        <v>45845</v>
      </c>
      <c r="FHY69" s="143" t="s">
        <v>46</v>
      </c>
      <c r="FHZ69" s="199"/>
      <c r="FIA69" s="149" t="s">
        <v>125</v>
      </c>
      <c r="FIB69" s="197"/>
      <c r="FIC69" s="198"/>
      <c r="FID69" s="143" t="s">
        <v>22</v>
      </c>
      <c r="FIE69" s="144">
        <v>8150</v>
      </c>
      <c r="FIF69" s="152">
        <v>85</v>
      </c>
      <c r="FIG69" s="153">
        <v>215</v>
      </c>
      <c r="FIH69" s="153">
        <v>75</v>
      </c>
      <c r="FII69" s="152">
        <v>150</v>
      </c>
      <c r="FIJ69" s="154">
        <f>SUM(FIE69:FII69)</f>
        <v>8675</v>
      </c>
      <c r="FIK69" s="152">
        <v>200</v>
      </c>
      <c r="FIL69" s="154">
        <f>SUM(FIJ69:FIK69)</f>
        <v>8875</v>
      </c>
      <c r="FIM69" s="147" t="s">
        <v>99</v>
      </c>
      <c r="FIN69" s="148">
        <v>45845</v>
      </c>
      <c r="FIO69" s="143" t="s">
        <v>46</v>
      </c>
      <c r="FIP69" s="199"/>
      <c r="FIQ69" s="149" t="s">
        <v>125</v>
      </c>
      <c r="FIR69" s="197"/>
      <c r="FIS69" s="198"/>
      <c r="FIT69" s="143" t="s">
        <v>22</v>
      </c>
      <c r="FIU69" s="144">
        <v>8150</v>
      </c>
      <c r="FIV69" s="152">
        <v>85</v>
      </c>
      <c r="FIW69" s="153">
        <v>215</v>
      </c>
      <c r="FIX69" s="153">
        <v>75</v>
      </c>
      <c r="FIY69" s="152">
        <v>150</v>
      </c>
      <c r="FIZ69" s="154">
        <f>SUM(FIU69:FIY69)</f>
        <v>8675</v>
      </c>
      <c r="FJA69" s="152">
        <v>200</v>
      </c>
      <c r="FJB69" s="154">
        <f>SUM(FIZ69:FJA69)</f>
        <v>8875</v>
      </c>
      <c r="FJC69" s="147" t="s">
        <v>99</v>
      </c>
      <c r="FJD69" s="148">
        <v>45845</v>
      </c>
      <c r="FJE69" s="143" t="s">
        <v>46</v>
      </c>
      <c r="FJF69" s="199"/>
      <c r="FJG69" s="149" t="s">
        <v>125</v>
      </c>
      <c r="FJH69" s="197"/>
      <c r="FJI69" s="198"/>
      <c r="FJJ69" s="143" t="s">
        <v>22</v>
      </c>
      <c r="FJK69" s="144">
        <v>8150</v>
      </c>
      <c r="FJL69" s="152">
        <v>85</v>
      </c>
      <c r="FJM69" s="153">
        <v>215</v>
      </c>
      <c r="FJN69" s="153">
        <v>75</v>
      </c>
      <c r="FJO69" s="152">
        <v>150</v>
      </c>
      <c r="FJP69" s="154">
        <f>SUM(FJK69:FJO69)</f>
        <v>8675</v>
      </c>
      <c r="FJQ69" s="152">
        <v>200</v>
      </c>
      <c r="FJR69" s="154">
        <f>SUM(FJP69:FJQ69)</f>
        <v>8875</v>
      </c>
      <c r="FJS69" s="147" t="s">
        <v>99</v>
      </c>
      <c r="FJT69" s="148">
        <v>45845</v>
      </c>
      <c r="FJU69" s="143" t="s">
        <v>46</v>
      </c>
      <c r="FJV69" s="199"/>
      <c r="FJW69" s="149" t="s">
        <v>125</v>
      </c>
      <c r="FJX69" s="197"/>
      <c r="FJY69" s="198"/>
      <c r="FJZ69" s="143" t="s">
        <v>22</v>
      </c>
      <c r="FKA69" s="144">
        <v>8150</v>
      </c>
      <c r="FKB69" s="152">
        <v>85</v>
      </c>
      <c r="FKC69" s="153">
        <v>215</v>
      </c>
      <c r="FKD69" s="153">
        <v>75</v>
      </c>
      <c r="FKE69" s="152">
        <v>150</v>
      </c>
      <c r="FKF69" s="154">
        <f>SUM(FKA69:FKE69)</f>
        <v>8675</v>
      </c>
      <c r="FKG69" s="152">
        <v>200</v>
      </c>
      <c r="FKH69" s="154">
        <f>SUM(FKF69:FKG69)</f>
        <v>8875</v>
      </c>
      <c r="FKI69" s="147" t="s">
        <v>99</v>
      </c>
      <c r="FKJ69" s="148">
        <v>45845</v>
      </c>
      <c r="FKK69" s="143" t="s">
        <v>46</v>
      </c>
      <c r="FKL69" s="199"/>
      <c r="FKM69" s="149" t="s">
        <v>125</v>
      </c>
      <c r="FKN69" s="197"/>
      <c r="FKO69" s="198"/>
      <c r="FKP69" s="143" t="s">
        <v>22</v>
      </c>
      <c r="FKQ69" s="144">
        <v>8150</v>
      </c>
      <c r="FKR69" s="152">
        <v>85</v>
      </c>
      <c r="FKS69" s="153">
        <v>215</v>
      </c>
      <c r="FKT69" s="153">
        <v>75</v>
      </c>
      <c r="FKU69" s="152">
        <v>150</v>
      </c>
      <c r="FKV69" s="154">
        <f>SUM(FKQ69:FKU69)</f>
        <v>8675</v>
      </c>
      <c r="FKW69" s="152">
        <v>200</v>
      </c>
      <c r="FKX69" s="154">
        <f>SUM(FKV69:FKW69)</f>
        <v>8875</v>
      </c>
      <c r="FKY69" s="147" t="s">
        <v>99</v>
      </c>
      <c r="FKZ69" s="148">
        <v>45845</v>
      </c>
      <c r="FLA69" s="143" t="s">
        <v>46</v>
      </c>
      <c r="FLB69" s="199"/>
      <c r="FLC69" s="149" t="s">
        <v>125</v>
      </c>
      <c r="FLD69" s="197"/>
      <c r="FLE69" s="198"/>
      <c r="FLF69" s="143" t="s">
        <v>22</v>
      </c>
      <c r="FLG69" s="144">
        <v>8150</v>
      </c>
      <c r="FLH69" s="152">
        <v>85</v>
      </c>
      <c r="FLI69" s="153">
        <v>215</v>
      </c>
      <c r="FLJ69" s="153">
        <v>75</v>
      </c>
      <c r="FLK69" s="152">
        <v>150</v>
      </c>
      <c r="FLL69" s="154">
        <f>SUM(FLG69:FLK69)</f>
        <v>8675</v>
      </c>
      <c r="FLM69" s="152">
        <v>200</v>
      </c>
      <c r="FLN69" s="154">
        <f>SUM(FLL69:FLM69)</f>
        <v>8875</v>
      </c>
      <c r="FLO69" s="147" t="s">
        <v>99</v>
      </c>
      <c r="FLP69" s="148">
        <v>45845</v>
      </c>
      <c r="FLQ69" s="143" t="s">
        <v>46</v>
      </c>
      <c r="FLR69" s="199"/>
      <c r="FLS69" s="149" t="s">
        <v>125</v>
      </c>
      <c r="FLT69" s="197"/>
      <c r="FLU69" s="198"/>
      <c r="FLV69" s="143" t="s">
        <v>22</v>
      </c>
      <c r="FLW69" s="144">
        <v>8150</v>
      </c>
      <c r="FLX69" s="152">
        <v>85</v>
      </c>
      <c r="FLY69" s="153">
        <v>215</v>
      </c>
      <c r="FLZ69" s="153">
        <v>75</v>
      </c>
      <c r="FMA69" s="152">
        <v>150</v>
      </c>
      <c r="FMB69" s="154">
        <f>SUM(FLW69:FMA69)</f>
        <v>8675</v>
      </c>
      <c r="FMC69" s="152">
        <v>200</v>
      </c>
      <c r="FMD69" s="154">
        <f>SUM(FMB69:FMC69)</f>
        <v>8875</v>
      </c>
      <c r="FME69" s="147" t="s">
        <v>99</v>
      </c>
      <c r="FMF69" s="148">
        <v>45845</v>
      </c>
      <c r="FMG69" s="143" t="s">
        <v>46</v>
      </c>
      <c r="FMH69" s="199"/>
      <c r="FMI69" s="149" t="s">
        <v>125</v>
      </c>
      <c r="FMJ69" s="197"/>
      <c r="FMK69" s="198"/>
      <c r="FML69" s="143" t="s">
        <v>22</v>
      </c>
      <c r="FMM69" s="144">
        <v>8150</v>
      </c>
      <c r="FMN69" s="152">
        <v>85</v>
      </c>
      <c r="FMO69" s="153">
        <v>215</v>
      </c>
      <c r="FMP69" s="153">
        <v>75</v>
      </c>
      <c r="FMQ69" s="152">
        <v>150</v>
      </c>
      <c r="FMR69" s="154">
        <f>SUM(FMM69:FMQ69)</f>
        <v>8675</v>
      </c>
      <c r="FMS69" s="152">
        <v>200</v>
      </c>
      <c r="FMT69" s="154">
        <f>SUM(FMR69:FMS69)</f>
        <v>8875</v>
      </c>
      <c r="FMU69" s="147" t="s">
        <v>99</v>
      </c>
      <c r="FMV69" s="148">
        <v>45845</v>
      </c>
      <c r="FMW69" s="143" t="s">
        <v>46</v>
      </c>
      <c r="FMX69" s="199"/>
      <c r="FMY69" s="149" t="s">
        <v>125</v>
      </c>
      <c r="FMZ69" s="197"/>
      <c r="FNA69" s="198"/>
      <c r="FNB69" s="143" t="s">
        <v>22</v>
      </c>
      <c r="FNC69" s="144">
        <v>8150</v>
      </c>
      <c r="FND69" s="152">
        <v>85</v>
      </c>
      <c r="FNE69" s="153">
        <v>215</v>
      </c>
      <c r="FNF69" s="153">
        <v>75</v>
      </c>
      <c r="FNG69" s="152">
        <v>150</v>
      </c>
      <c r="FNH69" s="154">
        <f>SUM(FNC69:FNG69)</f>
        <v>8675</v>
      </c>
      <c r="FNI69" s="152">
        <v>200</v>
      </c>
      <c r="FNJ69" s="154">
        <f>SUM(FNH69:FNI69)</f>
        <v>8875</v>
      </c>
      <c r="FNK69" s="147" t="s">
        <v>99</v>
      </c>
      <c r="FNL69" s="148">
        <v>45845</v>
      </c>
      <c r="FNM69" s="143" t="s">
        <v>46</v>
      </c>
      <c r="FNN69" s="199"/>
      <c r="FNO69" s="149" t="s">
        <v>125</v>
      </c>
      <c r="FNP69" s="197"/>
      <c r="FNQ69" s="198"/>
      <c r="FNR69" s="143" t="s">
        <v>22</v>
      </c>
      <c r="FNS69" s="144">
        <v>8150</v>
      </c>
      <c r="FNT69" s="152">
        <v>85</v>
      </c>
      <c r="FNU69" s="153">
        <v>215</v>
      </c>
      <c r="FNV69" s="153">
        <v>75</v>
      </c>
      <c r="FNW69" s="152">
        <v>150</v>
      </c>
      <c r="FNX69" s="154">
        <f>SUM(FNS69:FNW69)</f>
        <v>8675</v>
      </c>
      <c r="FNY69" s="152">
        <v>200</v>
      </c>
      <c r="FNZ69" s="154">
        <f>SUM(FNX69:FNY69)</f>
        <v>8875</v>
      </c>
      <c r="FOA69" s="147" t="s">
        <v>99</v>
      </c>
      <c r="FOB69" s="148">
        <v>45845</v>
      </c>
      <c r="FOC69" s="143" t="s">
        <v>46</v>
      </c>
      <c r="FOD69" s="199"/>
      <c r="FOE69" s="149" t="s">
        <v>125</v>
      </c>
      <c r="FOF69" s="197"/>
      <c r="FOG69" s="198"/>
      <c r="FOH69" s="143" t="s">
        <v>22</v>
      </c>
      <c r="FOI69" s="144">
        <v>8150</v>
      </c>
      <c r="FOJ69" s="152">
        <v>85</v>
      </c>
      <c r="FOK69" s="153">
        <v>215</v>
      </c>
      <c r="FOL69" s="153">
        <v>75</v>
      </c>
      <c r="FOM69" s="152">
        <v>150</v>
      </c>
      <c r="FON69" s="154">
        <f>SUM(FOI69:FOM69)</f>
        <v>8675</v>
      </c>
      <c r="FOO69" s="152">
        <v>200</v>
      </c>
      <c r="FOP69" s="154">
        <f>SUM(FON69:FOO69)</f>
        <v>8875</v>
      </c>
      <c r="FOQ69" s="147" t="s">
        <v>99</v>
      </c>
      <c r="FOR69" s="148">
        <v>45845</v>
      </c>
      <c r="FOS69" s="143" t="s">
        <v>46</v>
      </c>
      <c r="FOT69" s="199"/>
      <c r="FOU69" s="149" t="s">
        <v>125</v>
      </c>
      <c r="FOV69" s="197"/>
      <c r="FOW69" s="198"/>
      <c r="FOX69" s="143" t="s">
        <v>22</v>
      </c>
      <c r="FOY69" s="144">
        <v>8150</v>
      </c>
      <c r="FOZ69" s="152">
        <v>85</v>
      </c>
      <c r="FPA69" s="153">
        <v>215</v>
      </c>
      <c r="FPB69" s="153">
        <v>75</v>
      </c>
      <c r="FPC69" s="152">
        <v>150</v>
      </c>
      <c r="FPD69" s="154">
        <f>SUM(FOY69:FPC69)</f>
        <v>8675</v>
      </c>
      <c r="FPE69" s="152">
        <v>200</v>
      </c>
      <c r="FPF69" s="154">
        <f>SUM(FPD69:FPE69)</f>
        <v>8875</v>
      </c>
      <c r="FPG69" s="147" t="s">
        <v>99</v>
      </c>
      <c r="FPH69" s="148">
        <v>45845</v>
      </c>
      <c r="FPI69" s="143" t="s">
        <v>46</v>
      </c>
      <c r="FPJ69" s="199"/>
      <c r="FPK69" s="149" t="s">
        <v>125</v>
      </c>
      <c r="FPL69" s="197"/>
      <c r="FPM69" s="198"/>
      <c r="FPN69" s="143" t="s">
        <v>22</v>
      </c>
      <c r="FPO69" s="144">
        <v>8150</v>
      </c>
      <c r="FPP69" s="152">
        <v>85</v>
      </c>
      <c r="FPQ69" s="153">
        <v>215</v>
      </c>
      <c r="FPR69" s="153">
        <v>75</v>
      </c>
      <c r="FPS69" s="152">
        <v>150</v>
      </c>
      <c r="FPT69" s="154">
        <f>SUM(FPO69:FPS69)</f>
        <v>8675</v>
      </c>
      <c r="FPU69" s="152">
        <v>200</v>
      </c>
      <c r="FPV69" s="154">
        <f>SUM(FPT69:FPU69)</f>
        <v>8875</v>
      </c>
      <c r="FPW69" s="147" t="s">
        <v>99</v>
      </c>
      <c r="FPX69" s="148">
        <v>45845</v>
      </c>
      <c r="FPY69" s="143" t="s">
        <v>46</v>
      </c>
      <c r="FPZ69" s="199"/>
      <c r="FQA69" s="149" t="s">
        <v>125</v>
      </c>
      <c r="FQB69" s="197"/>
      <c r="FQC69" s="198"/>
      <c r="FQD69" s="143" t="s">
        <v>22</v>
      </c>
      <c r="FQE69" s="144">
        <v>8150</v>
      </c>
      <c r="FQF69" s="152">
        <v>85</v>
      </c>
      <c r="FQG69" s="153">
        <v>215</v>
      </c>
      <c r="FQH69" s="153">
        <v>75</v>
      </c>
      <c r="FQI69" s="152">
        <v>150</v>
      </c>
      <c r="FQJ69" s="154">
        <f>SUM(FQE69:FQI69)</f>
        <v>8675</v>
      </c>
      <c r="FQK69" s="152">
        <v>200</v>
      </c>
      <c r="FQL69" s="154">
        <f>SUM(FQJ69:FQK69)</f>
        <v>8875</v>
      </c>
      <c r="FQM69" s="147" t="s">
        <v>99</v>
      </c>
      <c r="FQN69" s="148">
        <v>45845</v>
      </c>
      <c r="FQO69" s="143" t="s">
        <v>46</v>
      </c>
      <c r="FQP69" s="199"/>
      <c r="FQQ69" s="149" t="s">
        <v>125</v>
      </c>
      <c r="FQR69" s="197"/>
      <c r="FQS69" s="198"/>
      <c r="FQT69" s="143" t="s">
        <v>22</v>
      </c>
      <c r="FQU69" s="144">
        <v>8150</v>
      </c>
      <c r="FQV69" s="152">
        <v>85</v>
      </c>
      <c r="FQW69" s="153">
        <v>215</v>
      </c>
      <c r="FQX69" s="153">
        <v>75</v>
      </c>
      <c r="FQY69" s="152">
        <v>150</v>
      </c>
      <c r="FQZ69" s="154">
        <f>SUM(FQU69:FQY69)</f>
        <v>8675</v>
      </c>
      <c r="FRA69" s="152">
        <v>200</v>
      </c>
      <c r="FRB69" s="154">
        <f>SUM(FQZ69:FRA69)</f>
        <v>8875</v>
      </c>
      <c r="FRC69" s="147" t="s">
        <v>99</v>
      </c>
      <c r="FRD69" s="148">
        <v>45845</v>
      </c>
      <c r="FRE69" s="143" t="s">
        <v>46</v>
      </c>
      <c r="FRF69" s="199"/>
      <c r="FRG69" s="149" t="s">
        <v>125</v>
      </c>
      <c r="FRH69" s="197"/>
      <c r="FRI69" s="198"/>
      <c r="FRJ69" s="143" t="s">
        <v>22</v>
      </c>
      <c r="FRK69" s="144">
        <v>8150</v>
      </c>
      <c r="FRL69" s="152">
        <v>85</v>
      </c>
      <c r="FRM69" s="153">
        <v>215</v>
      </c>
      <c r="FRN69" s="153">
        <v>75</v>
      </c>
      <c r="FRO69" s="152">
        <v>150</v>
      </c>
      <c r="FRP69" s="154">
        <f>SUM(FRK69:FRO69)</f>
        <v>8675</v>
      </c>
      <c r="FRQ69" s="152">
        <v>200</v>
      </c>
      <c r="FRR69" s="154">
        <f>SUM(FRP69:FRQ69)</f>
        <v>8875</v>
      </c>
      <c r="FRS69" s="147" t="s">
        <v>99</v>
      </c>
      <c r="FRT69" s="148">
        <v>45845</v>
      </c>
      <c r="FRU69" s="143" t="s">
        <v>46</v>
      </c>
      <c r="FRV69" s="199"/>
      <c r="FRW69" s="149" t="s">
        <v>125</v>
      </c>
      <c r="FRX69" s="197"/>
      <c r="FRY69" s="198"/>
      <c r="FRZ69" s="143" t="s">
        <v>22</v>
      </c>
      <c r="FSA69" s="144">
        <v>8150</v>
      </c>
      <c r="FSB69" s="152">
        <v>85</v>
      </c>
      <c r="FSC69" s="153">
        <v>215</v>
      </c>
      <c r="FSD69" s="153">
        <v>75</v>
      </c>
      <c r="FSE69" s="152">
        <v>150</v>
      </c>
      <c r="FSF69" s="154">
        <f>SUM(FSA69:FSE69)</f>
        <v>8675</v>
      </c>
      <c r="FSG69" s="152">
        <v>200</v>
      </c>
      <c r="FSH69" s="154">
        <f>SUM(FSF69:FSG69)</f>
        <v>8875</v>
      </c>
      <c r="FSI69" s="147" t="s">
        <v>99</v>
      </c>
      <c r="FSJ69" s="148">
        <v>45845</v>
      </c>
      <c r="FSK69" s="143" t="s">
        <v>46</v>
      </c>
      <c r="FSL69" s="199"/>
      <c r="FSM69" s="149" t="s">
        <v>125</v>
      </c>
      <c r="FSN69" s="197"/>
      <c r="FSO69" s="198"/>
      <c r="FSP69" s="143" t="s">
        <v>22</v>
      </c>
      <c r="FSQ69" s="144">
        <v>8150</v>
      </c>
      <c r="FSR69" s="152">
        <v>85</v>
      </c>
      <c r="FSS69" s="153">
        <v>215</v>
      </c>
      <c r="FST69" s="153">
        <v>75</v>
      </c>
      <c r="FSU69" s="152">
        <v>150</v>
      </c>
      <c r="FSV69" s="154">
        <f>SUM(FSQ69:FSU69)</f>
        <v>8675</v>
      </c>
      <c r="FSW69" s="152">
        <v>200</v>
      </c>
      <c r="FSX69" s="154">
        <f>SUM(FSV69:FSW69)</f>
        <v>8875</v>
      </c>
      <c r="FSY69" s="147" t="s">
        <v>99</v>
      </c>
      <c r="FSZ69" s="148">
        <v>45845</v>
      </c>
      <c r="FTA69" s="143" t="s">
        <v>46</v>
      </c>
      <c r="FTB69" s="199"/>
      <c r="FTC69" s="149" t="s">
        <v>125</v>
      </c>
      <c r="FTD69" s="197"/>
      <c r="FTE69" s="198"/>
      <c r="FTF69" s="143" t="s">
        <v>22</v>
      </c>
      <c r="FTG69" s="144">
        <v>8150</v>
      </c>
      <c r="FTH69" s="152">
        <v>85</v>
      </c>
      <c r="FTI69" s="153">
        <v>215</v>
      </c>
      <c r="FTJ69" s="153">
        <v>75</v>
      </c>
      <c r="FTK69" s="152">
        <v>150</v>
      </c>
      <c r="FTL69" s="154">
        <f>SUM(FTG69:FTK69)</f>
        <v>8675</v>
      </c>
      <c r="FTM69" s="152">
        <v>200</v>
      </c>
      <c r="FTN69" s="154">
        <f>SUM(FTL69:FTM69)</f>
        <v>8875</v>
      </c>
      <c r="FTO69" s="147" t="s">
        <v>99</v>
      </c>
      <c r="FTP69" s="148">
        <v>45845</v>
      </c>
      <c r="FTQ69" s="143" t="s">
        <v>46</v>
      </c>
      <c r="FTR69" s="199"/>
      <c r="FTS69" s="149" t="s">
        <v>125</v>
      </c>
      <c r="FTT69" s="197"/>
      <c r="FTU69" s="198"/>
      <c r="FTV69" s="143" t="s">
        <v>22</v>
      </c>
      <c r="FTW69" s="144">
        <v>8150</v>
      </c>
      <c r="FTX69" s="152">
        <v>85</v>
      </c>
      <c r="FTY69" s="153">
        <v>215</v>
      </c>
      <c r="FTZ69" s="153">
        <v>75</v>
      </c>
      <c r="FUA69" s="152">
        <v>150</v>
      </c>
      <c r="FUB69" s="154">
        <f>SUM(FTW69:FUA69)</f>
        <v>8675</v>
      </c>
      <c r="FUC69" s="152">
        <v>200</v>
      </c>
      <c r="FUD69" s="154">
        <f>SUM(FUB69:FUC69)</f>
        <v>8875</v>
      </c>
      <c r="FUE69" s="147" t="s">
        <v>99</v>
      </c>
      <c r="FUF69" s="148">
        <v>45845</v>
      </c>
      <c r="FUG69" s="143" t="s">
        <v>46</v>
      </c>
      <c r="FUH69" s="199"/>
      <c r="FUI69" s="149" t="s">
        <v>125</v>
      </c>
      <c r="FUJ69" s="197"/>
      <c r="FUK69" s="198"/>
      <c r="FUL69" s="143" t="s">
        <v>22</v>
      </c>
      <c r="FUM69" s="144">
        <v>8150</v>
      </c>
      <c r="FUN69" s="152">
        <v>85</v>
      </c>
      <c r="FUO69" s="153">
        <v>215</v>
      </c>
      <c r="FUP69" s="153">
        <v>75</v>
      </c>
      <c r="FUQ69" s="152">
        <v>150</v>
      </c>
      <c r="FUR69" s="154">
        <f>SUM(FUM69:FUQ69)</f>
        <v>8675</v>
      </c>
      <c r="FUS69" s="152">
        <v>200</v>
      </c>
      <c r="FUT69" s="154">
        <f>SUM(FUR69:FUS69)</f>
        <v>8875</v>
      </c>
      <c r="FUU69" s="147" t="s">
        <v>99</v>
      </c>
      <c r="FUV69" s="148">
        <v>45845</v>
      </c>
      <c r="FUW69" s="143" t="s">
        <v>46</v>
      </c>
      <c r="FUX69" s="199"/>
      <c r="FUY69" s="149" t="s">
        <v>125</v>
      </c>
      <c r="FUZ69" s="197"/>
      <c r="FVA69" s="198"/>
      <c r="FVB69" s="143" t="s">
        <v>22</v>
      </c>
      <c r="FVC69" s="144">
        <v>8150</v>
      </c>
      <c r="FVD69" s="152">
        <v>85</v>
      </c>
      <c r="FVE69" s="153">
        <v>215</v>
      </c>
      <c r="FVF69" s="153">
        <v>75</v>
      </c>
      <c r="FVG69" s="152">
        <v>150</v>
      </c>
      <c r="FVH69" s="154">
        <f>SUM(FVC69:FVG69)</f>
        <v>8675</v>
      </c>
      <c r="FVI69" s="152">
        <v>200</v>
      </c>
      <c r="FVJ69" s="154">
        <f>SUM(FVH69:FVI69)</f>
        <v>8875</v>
      </c>
      <c r="FVK69" s="147" t="s">
        <v>99</v>
      </c>
      <c r="FVL69" s="148">
        <v>45845</v>
      </c>
      <c r="FVM69" s="143" t="s">
        <v>46</v>
      </c>
      <c r="FVN69" s="199"/>
      <c r="FVO69" s="149" t="s">
        <v>125</v>
      </c>
      <c r="FVP69" s="197"/>
      <c r="FVQ69" s="198"/>
      <c r="FVR69" s="143" t="s">
        <v>22</v>
      </c>
      <c r="FVS69" s="144">
        <v>8150</v>
      </c>
      <c r="FVT69" s="152">
        <v>85</v>
      </c>
      <c r="FVU69" s="153">
        <v>215</v>
      </c>
      <c r="FVV69" s="153">
        <v>75</v>
      </c>
      <c r="FVW69" s="152">
        <v>150</v>
      </c>
      <c r="FVX69" s="154">
        <f>SUM(FVS69:FVW69)</f>
        <v>8675</v>
      </c>
      <c r="FVY69" s="152">
        <v>200</v>
      </c>
      <c r="FVZ69" s="154">
        <f>SUM(FVX69:FVY69)</f>
        <v>8875</v>
      </c>
      <c r="FWA69" s="147" t="s">
        <v>99</v>
      </c>
      <c r="FWB69" s="148">
        <v>45845</v>
      </c>
      <c r="FWC69" s="143" t="s">
        <v>46</v>
      </c>
      <c r="FWD69" s="199"/>
      <c r="FWE69" s="149" t="s">
        <v>125</v>
      </c>
      <c r="FWF69" s="197"/>
      <c r="FWG69" s="198"/>
      <c r="FWH69" s="143" t="s">
        <v>22</v>
      </c>
      <c r="FWI69" s="144">
        <v>8150</v>
      </c>
      <c r="FWJ69" s="152">
        <v>85</v>
      </c>
      <c r="FWK69" s="153">
        <v>215</v>
      </c>
      <c r="FWL69" s="153">
        <v>75</v>
      </c>
      <c r="FWM69" s="152">
        <v>150</v>
      </c>
      <c r="FWN69" s="154">
        <f>SUM(FWI69:FWM69)</f>
        <v>8675</v>
      </c>
      <c r="FWO69" s="152">
        <v>200</v>
      </c>
      <c r="FWP69" s="154">
        <f>SUM(FWN69:FWO69)</f>
        <v>8875</v>
      </c>
      <c r="FWQ69" s="147" t="s">
        <v>99</v>
      </c>
      <c r="FWR69" s="148">
        <v>45845</v>
      </c>
      <c r="FWS69" s="143" t="s">
        <v>46</v>
      </c>
      <c r="FWT69" s="199"/>
      <c r="FWU69" s="149" t="s">
        <v>125</v>
      </c>
      <c r="FWV69" s="197"/>
      <c r="FWW69" s="198"/>
      <c r="FWX69" s="143" t="s">
        <v>22</v>
      </c>
      <c r="FWY69" s="144">
        <v>8150</v>
      </c>
      <c r="FWZ69" s="152">
        <v>85</v>
      </c>
      <c r="FXA69" s="153">
        <v>215</v>
      </c>
      <c r="FXB69" s="153">
        <v>75</v>
      </c>
      <c r="FXC69" s="152">
        <v>150</v>
      </c>
      <c r="FXD69" s="154">
        <f>SUM(FWY69:FXC69)</f>
        <v>8675</v>
      </c>
      <c r="FXE69" s="152">
        <v>200</v>
      </c>
      <c r="FXF69" s="154">
        <f>SUM(FXD69:FXE69)</f>
        <v>8875</v>
      </c>
      <c r="FXG69" s="147" t="s">
        <v>99</v>
      </c>
      <c r="FXH69" s="148">
        <v>45845</v>
      </c>
      <c r="FXI69" s="143" t="s">
        <v>46</v>
      </c>
      <c r="FXJ69" s="199"/>
      <c r="FXK69" s="149" t="s">
        <v>125</v>
      </c>
      <c r="FXL69" s="197"/>
      <c r="FXM69" s="198"/>
      <c r="FXN69" s="143" t="s">
        <v>22</v>
      </c>
      <c r="FXO69" s="144">
        <v>8150</v>
      </c>
      <c r="FXP69" s="152">
        <v>85</v>
      </c>
      <c r="FXQ69" s="153">
        <v>215</v>
      </c>
      <c r="FXR69" s="153">
        <v>75</v>
      </c>
      <c r="FXS69" s="152">
        <v>150</v>
      </c>
      <c r="FXT69" s="154">
        <f>SUM(FXO69:FXS69)</f>
        <v>8675</v>
      </c>
      <c r="FXU69" s="152">
        <v>200</v>
      </c>
      <c r="FXV69" s="154">
        <f>SUM(FXT69:FXU69)</f>
        <v>8875</v>
      </c>
      <c r="FXW69" s="147" t="s">
        <v>99</v>
      </c>
      <c r="FXX69" s="148">
        <v>45845</v>
      </c>
      <c r="FXY69" s="143" t="s">
        <v>46</v>
      </c>
      <c r="FXZ69" s="199"/>
      <c r="FYA69" s="149" t="s">
        <v>125</v>
      </c>
      <c r="FYB69" s="197"/>
      <c r="FYC69" s="198"/>
      <c r="FYD69" s="143" t="s">
        <v>22</v>
      </c>
      <c r="FYE69" s="144">
        <v>8150</v>
      </c>
      <c r="FYF69" s="152">
        <v>85</v>
      </c>
      <c r="FYG69" s="153">
        <v>215</v>
      </c>
      <c r="FYH69" s="153">
        <v>75</v>
      </c>
      <c r="FYI69" s="152">
        <v>150</v>
      </c>
      <c r="FYJ69" s="154">
        <f>SUM(FYE69:FYI69)</f>
        <v>8675</v>
      </c>
      <c r="FYK69" s="152">
        <v>200</v>
      </c>
      <c r="FYL69" s="154">
        <f>SUM(FYJ69:FYK69)</f>
        <v>8875</v>
      </c>
      <c r="FYM69" s="147" t="s">
        <v>99</v>
      </c>
      <c r="FYN69" s="148">
        <v>45845</v>
      </c>
      <c r="FYO69" s="143" t="s">
        <v>46</v>
      </c>
      <c r="FYP69" s="199"/>
      <c r="FYQ69" s="149" t="s">
        <v>125</v>
      </c>
      <c r="FYR69" s="197"/>
      <c r="FYS69" s="198"/>
      <c r="FYT69" s="143" t="s">
        <v>22</v>
      </c>
      <c r="FYU69" s="144">
        <v>8150</v>
      </c>
      <c r="FYV69" s="152">
        <v>85</v>
      </c>
      <c r="FYW69" s="153">
        <v>215</v>
      </c>
      <c r="FYX69" s="153">
        <v>75</v>
      </c>
      <c r="FYY69" s="152">
        <v>150</v>
      </c>
      <c r="FYZ69" s="154">
        <f>SUM(FYU69:FYY69)</f>
        <v>8675</v>
      </c>
      <c r="FZA69" s="152">
        <v>200</v>
      </c>
      <c r="FZB69" s="154">
        <f>SUM(FYZ69:FZA69)</f>
        <v>8875</v>
      </c>
      <c r="FZC69" s="147" t="s">
        <v>99</v>
      </c>
      <c r="FZD69" s="148">
        <v>45845</v>
      </c>
      <c r="FZE69" s="143" t="s">
        <v>46</v>
      </c>
      <c r="FZF69" s="199"/>
      <c r="FZG69" s="149" t="s">
        <v>125</v>
      </c>
      <c r="FZH69" s="197"/>
      <c r="FZI69" s="198"/>
      <c r="FZJ69" s="143" t="s">
        <v>22</v>
      </c>
      <c r="FZK69" s="144">
        <v>8150</v>
      </c>
      <c r="FZL69" s="152">
        <v>85</v>
      </c>
      <c r="FZM69" s="153">
        <v>215</v>
      </c>
      <c r="FZN69" s="153">
        <v>75</v>
      </c>
      <c r="FZO69" s="152">
        <v>150</v>
      </c>
      <c r="FZP69" s="154">
        <f>SUM(FZK69:FZO69)</f>
        <v>8675</v>
      </c>
      <c r="FZQ69" s="152">
        <v>200</v>
      </c>
      <c r="FZR69" s="154">
        <f>SUM(FZP69:FZQ69)</f>
        <v>8875</v>
      </c>
      <c r="FZS69" s="147" t="s">
        <v>99</v>
      </c>
      <c r="FZT69" s="148">
        <v>45845</v>
      </c>
      <c r="FZU69" s="143" t="s">
        <v>46</v>
      </c>
      <c r="FZV69" s="199"/>
      <c r="FZW69" s="149" t="s">
        <v>125</v>
      </c>
      <c r="FZX69" s="197"/>
      <c r="FZY69" s="198"/>
      <c r="FZZ69" s="143" t="s">
        <v>22</v>
      </c>
      <c r="GAA69" s="144">
        <v>8150</v>
      </c>
      <c r="GAB69" s="152">
        <v>85</v>
      </c>
      <c r="GAC69" s="153">
        <v>215</v>
      </c>
      <c r="GAD69" s="153">
        <v>75</v>
      </c>
      <c r="GAE69" s="152">
        <v>150</v>
      </c>
      <c r="GAF69" s="154">
        <f>SUM(GAA69:GAE69)</f>
        <v>8675</v>
      </c>
      <c r="GAG69" s="152">
        <v>200</v>
      </c>
      <c r="GAH69" s="154">
        <f>SUM(GAF69:GAG69)</f>
        <v>8875</v>
      </c>
      <c r="GAI69" s="147" t="s">
        <v>99</v>
      </c>
      <c r="GAJ69" s="148">
        <v>45845</v>
      </c>
      <c r="GAK69" s="143" t="s">
        <v>46</v>
      </c>
      <c r="GAL69" s="199"/>
      <c r="GAM69" s="149" t="s">
        <v>125</v>
      </c>
      <c r="GAN69" s="197"/>
      <c r="GAO69" s="198"/>
      <c r="GAP69" s="143" t="s">
        <v>22</v>
      </c>
      <c r="GAQ69" s="144">
        <v>8150</v>
      </c>
      <c r="GAR69" s="152">
        <v>85</v>
      </c>
      <c r="GAS69" s="153">
        <v>215</v>
      </c>
      <c r="GAT69" s="153">
        <v>75</v>
      </c>
      <c r="GAU69" s="152">
        <v>150</v>
      </c>
      <c r="GAV69" s="154">
        <f>SUM(GAQ69:GAU69)</f>
        <v>8675</v>
      </c>
      <c r="GAW69" s="152">
        <v>200</v>
      </c>
      <c r="GAX69" s="154">
        <f>SUM(GAV69:GAW69)</f>
        <v>8875</v>
      </c>
      <c r="GAY69" s="147" t="s">
        <v>99</v>
      </c>
      <c r="GAZ69" s="148">
        <v>45845</v>
      </c>
      <c r="GBA69" s="143" t="s">
        <v>46</v>
      </c>
      <c r="GBB69" s="199"/>
      <c r="GBC69" s="149" t="s">
        <v>125</v>
      </c>
      <c r="GBD69" s="197"/>
      <c r="GBE69" s="198"/>
      <c r="GBF69" s="143" t="s">
        <v>22</v>
      </c>
      <c r="GBG69" s="144">
        <v>8150</v>
      </c>
      <c r="GBH69" s="152">
        <v>85</v>
      </c>
      <c r="GBI69" s="153">
        <v>215</v>
      </c>
      <c r="GBJ69" s="153">
        <v>75</v>
      </c>
      <c r="GBK69" s="152">
        <v>150</v>
      </c>
      <c r="GBL69" s="154">
        <f>SUM(GBG69:GBK69)</f>
        <v>8675</v>
      </c>
      <c r="GBM69" s="152">
        <v>200</v>
      </c>
      <c r="GBN69" s="154">
        <f>SUM(GBL69:GBM69)</f>
        <v>8875</v>
      </c>
      <c r="GBO69" s="147" t="s">
        <v>99</v>
      </c>
      <c r="GBP69" s="148">
        <v>45845</v>
      </c>
      <c r="GBQ69" s="143" t="s">
        <v>46</v>
      </c>
      <c r="GBR69" s="199"/>
      <c r="GBS69" s="149" t="s">
        <v>125</v>
      </c>
      <c r="GBT69" s="197"/>
      <c r="GBU69" s="198"/>
      <c r="GBV69" s="143" t="s">
        <v>22</v>
      </c>
      <c r="GBW69" s="144">
        <v>8150</v>
      </c>
      <c r="GBX69" s="152">
        <v>85</v>
      </c>
      <c r="GBY69" s="153">
        <v>215</v>
      </c>
      <c r="GBZ69" s="153">
        <v>75</v>
      </c>
      <c r="GCA69" s="152">
        <v>150</v>
      </c>
      <c r="GCB69" s="154">
        <f>SUM(GBW69:GCA69)</f>
        <v>8675</v>
      </c>
      <c r="GCC69" s="152">
        <v>200</v>
      </c>
      <c r="GCD69" s="154">
        <f>SUM(GCB69:GCC69)</f>
        <v>8875</v>
      </c>
      <c r="GCE69" s="147" t="s">
        <v>99</v>
      </c>
      <c r="GCF69" s="148">
        <v>45845</v>
      </c>
      <c r="GCG69" s="143" t="s">
        <v>46</v>
      </c>
      <c r="GCH69" s="199"/>
      <c r="GCI69" s="149" t="s">
        <v>125</v>
      </c>
      <c r="GCJ69" s="197"/>
      <c r="GCK69" s="198"/>
      <c r="GCL69" s="143" t="s">
        <v>22</v>
      </c>
      <c r="GCM69" s="144">
        <v>8150</v>
      </c>
      <c r="GCN69" s="152">
        <v>85</v>
      </c>
      <c r="GCO69" s="153">
        <v>215</v>
      </c>
      <c r="GCP69" s="153">
        <v>75</v>
      </c>
      <c r="GCQ69" s="152">
        <v>150</v>
      </c>
      <c r="GCR69" s="154">
        <f>SUM(GCM69:GCQ69)</f>
        <v>8675</v>
      </c>
      <c r="GCS69" s="152">
        <v>200</v>
      </c>
      <c r="GCT69" s="154">
        <f>SUM(GCR69:GCS69)</f>
        <v>8875</v>
      </c>
      <c r="GCU69" s="147" t="s">
        <v>99</v>
      </c>
      <c r="GCV69" s="148">
        <v>45845</v>
      </c>
      <c r="GCW69" s="143" t="s">
        <v>46</v>
      </c>
      <c r="GCX69" s="199"/>
      <c r="GCY69" s="149" t="s">
        <v>125</v>
      </c>
      <c r="GCZ69" s="197"/>
      <c r="GDA69" s="198"/>
      <c r="GDB69" s="143" t="s">
        <v>22</v>
      </c>
      <c r="GDC69" s="144">
        <v>8150</v>
      </c>
      <c r="GDD69" s="152">
        <v>85</v>
      </c>
      <c r="GDE69" s="153">
        <v>215</v>
      </c>
      <c r="GDF69" s="153">
        <v>75</v>
      </c>
      <c r="GDG69" s="152">
        <v>150</v>
      </c>
      <c r="GDH69" s="154">
        <f>SUM(GDC69:GDG69)</f>
        <v>8675</v>
      </c>
      <c r="GDI69" s="152">
        <v>200</v>
      </c>
      <c r="GDJ69" s="154">
        <f>SUM(GDH69:GDI69)</f>
        <v>8875</v>
      </c>
      <c r="GDK69" s="147" t="s">
        <v>99</v>
      </c>
      <c r="GDL69" s="148">
        <v>45845</v>
      </c>
      <c r="GDM69" s="143" t="s">
        <v>46</v>
      </c>
      <c r="GDN69" s="199"/>
      <c r="GDO69" s="149" t="s">
        <v>125</v>
      </c>
      <c r="GDP69" s="197"/>
      <c r="GDQ69" s="198"/>
      <c r="GDR69" s="143" t="s">
        <v>22</v>
      </c>
      <c r="GDS69" s="144">
        <v>8150</v>
      </c>
      <c r="GDT69" s="152">
        <v>85</v>
      </c>
      <c r="GDU69" s="153">
        <v>215</v>
      </c>
      <c r="GDV69" s="153">
        <v>75</v>
      </c>
      <c r="GDW69" s="152">
        <v>150</v>
      </c>
      <c r="GDX69" s="154">
        <f>SUM(GDS69:GDW69)</f>
        <v>8675</v>
      </c>
      <c r="GDY69" s="152">
        <v>200</v>
      </c>
      <c r="GDZ69" s="154">
        <f>SUM(GDX69:GDY69)</f>
        <v>8875</v>
      </c>
      <c r="GEA69" s="147" t="s">
        <v>99</v>
      </c>
      <c r="GEB69" s="148">
        <v>45845</v>
      </c>
      <c r="GEC69" s="143" t="s">
        <v>46</v>
      </c>
      <c r="GED69" s="199"/>
      <c r="GEE69" s="149" t="s">
        <v>125</v>
      </c>
      <c r="GEF69" s="197"/>
      <c r="GEG69" s="198"/>
      <c r="GEH69" s="143" t="s">
        <v>22</v>
      </c>
      <c r="GEI69" s="144">
        <v>8150</v>
      </c>
      <c r="GEJ69" s="152">
        <v>85</v>
      </c>
      <c r="GEK69" s="153">
        <v>215</v>
      </c>
      <c r="GEL69" s="153">
        <v>75</v>
      </c>
      <c r="GEM69" s="152">
        <v>150</v>
      </c>
      <c r="GEN69" s="154">
        <f>SUM(GEI69:GEM69)</f>
        <v>8675</v>
      </c>
      <c r="GEO69" s="152">
        <v>200</v>
      </c>
      <c r="GEP69" s="154">
        <f>SUM(GEN69:GEO69)</f>
        <v>8875</v>
      </c>
      <c r="GEQ69" s="147" t="s">
        <v>99</v>
      </c>
      <c r="GER69" s="148">
        <v>45845</v>
      </c>
      <c r="GES69" s="143" t="s">
        <v>46</v>
      </c>
      <c r="GET69" s="199"/>
      <c r="GEU69" s="149" t="s">
        <v>125</v>
      </c>
      <c r="GEV69" s="197"/>
      <c r="GEW69" s="198"/>
      <c r="GEX69" s="143" t="s">
        <v>22</v>
      </c>
      <c r="GEY69" s="144">
        <v>8150</v>
      </c>
      <c r="GEZ69" s="152">
        <v>85</v>
      </c>
      <c r="GFA69" s="153">
        <v>215</v>
      </c>
      <c r="GFB69" s="153">
        <v>75</v>
      </c>
      <c r="GFC69" s="152">
        <v>150</v>
      </c>
      <c r="GFD69" s="154">
        <f>SUM(GEY69:GFC69)</f>
        <v>8675</v>
      </c>
      <c r="GFE69" s="152">
        <v>200</v>
      </c>
      <c r="GFF69" s="154">
        <f>SUM(GFD69:GFE69)</f>
        <v>8875</v>
      </c>
      <c r="GFG69" s="147" t="s">
        <v>99</v>
      </c>
      <c r="GFH69" s="148">
        <v>45845</v>
      </c>
      <c r="GFI69" s="143" t="s">
        <v>46</v>
      </c>
      <c r="GFJ69" s="199"/>
      <c r="GFK69" s="149" t="s">
        <v>125</v>
      </c>
      <c r="GFL69" s="197"/>
      <c r="GFM69" s="198"/>
      <c r="GFN69" s="143" t="s">
        <v>22</v>
      </c>
      <c r="GFO69" s="144">
        <v>8150</v>
      </c>
      <c r="GFP69" s="152">
        <v>85</v>
      </c>
      <c r="GFQ69" s="153">
        <v>215</v>
      </c>
      <c r="GFR69" s="153">
        <v>75</v>
      </c>
      <c r="GFS69" s="152">
        <v>150</v>
      </c>
      <c r="GFT69" s="154">
        <f>SUM(GFO69:GFS69)</f>
        <v>8675</v>
      </c>
      <c r="GFU69" s="152">
        <v>200</v>
      </c>
      <c r="GFV69" s="154">
        <f>SUM(GFT69:GFU69)</f>
        <v>8875</v>
      </c>
      <c r="GFW69" s="147" t="s">
        <v>99</v>
      </c>
      <c r="GFX69" s="148">
        <v>45845</v>
      </c>
      <c r="GFY69" s="143" t="s">
        <v>46</v>
      </c>
      <c r="GFZ69" s="199"/>
      <c r="GGA69" s="149" t="s">
        <v>125</v>
      </c>
      <c r="GGB69" s="197"/>
      <c r="GGC69" s="198"/>
      <c r="GGD69" s="143" t="s">
        <v>22</v>
      </c>
      <c r="GGE69" s="144">
        <v>8150</v>
      </c>
      <c r="GGF69" s="152">
        <v>85</v>
      </c>
      <c r="GGG69" s="153">
        <v>215</v>
      </c>
      <c r="GGH69" s="153">
        <v>75</v>
      </c>
      <c r="GGI69" s="152">
        <v>150</v>
      </c>
      <c r="GGJ69" s="154">
        <f>SUM(GGE69:GGI69)</f>
        <v>8675</v>
      </c>
      <c r="GGK69" s="152">
        <v>200</v>
      </c>
      <c r="GGL69" s="154">
        <f>SUM(GGJ69:GGK69)</f>
        <v>8875</v>
      </c>
      <c r="GGM69" s="147" t="s">
        <v>99</v>
      </c>
      <c r="GGN69" s="148">
        <v>45845</v>
      </c>
      <c r="GGO69" s="143" t="s">
        <v>46</v>
      </c>
      <c r="GGP69" s="199"/>
      <c r="GGQ69" s="149" t="s">
        <v>125</v>
      </c>
      <c r="GGR69" s="197"/>
      <c r="GGS69" s="198"/>
      <c r="GGT69" s="143" t="s">
        <v>22</v>
      </c>
      <c r="GGU69" s="144">
        <v>8150</v>
      </c>
      <c r="GGV69" s="152">
        <v>85</v>
      </c>
      <c r="GGW69" s="153">
        <v>215</v>
      </c>
      <c r="GGX69" s="153">
        <v>75</v>
      </c>
      <c r="GGY69" s="152">
        <v>150</v>
      </c>
      <c r="GGZ69" s="154">
        <f>SUM(GGU69:GGY69)</f>
        <v>8675</v>
      </c>
      <c r="GHA69" s="152">
        <v>200</v>
      </c>
      <c r="GHB69" s="154">
        <f>SUM(GGZ69:GHA69)</f>
        <v>8875</v>
      </c>
      <c r="GHC69" s="147" t="s">
        <v>99</v>
      </c>
      <c r="GHD69" s="148">
        <v>45845</v>
      </c>
      <c r="GHE69" s="143" t="s">
        <v>46</v>
      </c>
      <c r="GHF69" s="199"/>
      <c r="GHG69" s="149" t="s">
        <v>125</v>
      </c>
      <c r="GHH69" s="197"/>
      <c r="GHI69" s="198"/>
      <c r="GHJ69" s="143" t="s">
        <v>22</v>
      </c>
      <c r="GHK69" s="144">
        <v>8150</v>
      </c>
      <c r="GHL69" s="152">
        <v>85</v>
      </c>
      <c r="GHM69" s="153">
        <v>215</v>
      </c>
      <c r="GHN69" s="153">
        <v>75</v>
      </c>
      <c r="GHO69" s="152">
        <v>150</v>
      </c>
      <c r="GHP69" s="154">
        <f>SUM(GHK69:GHO69)</f>
        <v>8675</v>
      </c>
      <c r="GHQ69" s="152">
        <v>200</v>
      </c>
      <c r="GHR69" s="154">
        <f>SUM(GHP69:GHQ69)</f>
        <v>8875</v>
      </c>
      <c r="GHS69" s="147" t="s">
        <v>99</v>
      </c>
      <c r="GHT69" s="148">
        <v>45845</v>
      </c>
      <c r="GHU69" s="143" t="s">
        <v>46</v>
      </c>
      <c r="GHV69" s="199"/>
      <c r="GHW69" s="149" t="s">
        <v>125</v>
      </c>
      <c r="GHX69" s="197"/>
      <c r="GHY69" s="198"/>
      <c r="GHZ69" s="143" t="s">
        <v>22</v>
      </c>
      <c r="GIA69" s="144">
        <v>8150</v>
      </c>
      <c r="GIB69" s="152">
        <v>85</v>
      </c>
      <c r="GIC69" s="153">
        <v>215</v>
      </c>
      <c r="GID69" s="153">
        <v>75</v>
      </c>
      <c r="GIE69" s="152">
        <v>150</v>
      </c>
      <c r="GIF69" s="154">
        <f>SUM(GIA69:GIE69)</f>
        <v>8675</v>
      </c>
      <c r="GIG69" s="152">
        <v>200</v>
      </c>
      <c r="GIH69" s="154">
        <f>SUM(GIF69:GIG69)</f>
        <v>8875</v>
      </c>
      <c r="GII69" s="147" t="s">
        <v>99</v>
      </c>
      <c r="GIJ69" s="148">
        <v>45845</v>
      </c>
      <c r="GIK69" s="143" t="s">
        <v>46</v>
      </c>
      <c r="GIL69" s="199"/>
      <c r="GIM69" s="149" t="s">
        <v>125</v>
      </c>
      <c r="GIN69" s="197"/>
      <c r="GIO69" s="198"/>
      <c r="GIP69" s="143" t="s">
        <v>22</v>
      </c>
      <c r="GIQ69" s="144">
        <v>8150</v>
      </c>
      <c r="GIR69" s="152">
        <v>85</v>
      </c>
      <c r="GIS69" s="153">
        <v>215</v>
      </c>
      <c r="GIT69" s="153">
        <v>75</v>
      </c>
      <c r="GIU69" s="152">
        <v>150</v>
      </c>
      <c r="GIV69" s="154">
        <f>SUM(GIQ69:GIU69)</f>
        <v>8675</v>
      </c>
      <c r="GIW69" s="152">
        <v>200</v>
      </c>
      <c r="GIX69" s="154">
        <f>SUM(GIV69:GIW69)</f>
        <v>8875</v>
      </c>
      <c r="GIY69" s="147" t="s">
        <v>99</v>
      </c>
      <c r="GIZ69" s="148">
        <v>45845</v>
      </c>
      <c r="GJA69" s="143" t="s">
        <v>46</v>
      </c>
      <c r="GJB69" s="199"/>
      <c r="GJC69" s="149" t="s">
        <v>125</v>
      </c>
      <c r="GJD69" s="197"/>
      <c r="GJE69" s="198"/>
      <c r="GJF69" s="143" t="s">
        <v>22</v>
      </c>
      <c r="GJG69" s="144">
        <v>8150</v>
      </c>
      <c r="GJH69" s="152">
        <v>85</v>
      </c>
      <c r="GJI69" s="153">
        <v>215</v>
      </c>
      <c r="GJJ69" s="153">
        <v>75</v>
      </c>
      <c r="GJK69" s="152">
        <v>150</v>
      </c>
      <c r="GJL69" s="154">
        <f>SUM(GJG69:GJK69)</f>
        <v>8675</v>
      </c>
      <c r="GJM69" s="152">
        <v>200</v>
      </c>
      <c r="GJN69" s="154">
        <f>SUM(GJL69:GJM69)</f>
        <v>8875</v>
      </c>
      <c r="GJO69" s="147" t="s">
        <v>99</v>
      </c>
      <c r="GJP69" s="148">
        <v>45845</v>
      </c>
      <c r="GJQ69" s="143" t="s">
        <v>46</v>
      </c>
      <c r="GJR69" s="199"/>
      <c r="GJS69" s="149" t="s">
        <v>125</v>
      </c>
      <c r="GJT69" s="197"/>
      <c r="GJU69" s="198"/>
      <c r="GJV69" s="143" t="s">
        <v>22</v>
      </c>
      <c r="GJW69" s="144">
        <v>8150</v>
      </c>
      <c r="GJX69" s="152">
        <v>85</v>
      </c>
      <c r="GJY69" s="153">
        <v>215</v>
      </c>
      <c r="GJZ69" s="153">
        <v>75</v>
      </c>
      <c r="GKA69" s="152">
        <v>150</v>
      </c>
      <c r="GKB69" s="154">
        <f>SUM(GJW69:GKA69)</f>
        <v>8675</v>
      </c>
      <c r="GKC69" s="152">
        <v>200</v>
      </c>
      <c r="GKD69" s="154">
        <f>SUM(GKB69:GKC69)</f>
        <v>8875</v>
      </c>
      <c r="GKE69" s="147" t="s">
        <v>99</v>
      </c>
      <c r="GKF69" s="148">
        <v>45845</v>
      </c>
      <c r="GKG69" s="143" t="s">
        <v>46</v>
      </c>
      <c r="GKH69" s="199"/>
      <c r="GKI69" s="149" t="s">
        <v>125</v>
      </c>
      <c r="GKJ69" s="197"/>
      <c r="GKK69" s="198"/>
      <c r="GKL69" s="143" t="s">
        <v>22</v>
      </c>
      <c r="GKM69" s="144">
        <v>8150</v>
      </c>
      <c r="GKN69" s="152">
        <v>85</v>
      </c>
      <c r="GKO69" s="153">
        <v>215</v>
      </c>
      <c r="GKP69" s="153">
        <v>75</v>
      </c>
      <c r="GKQ69" s="152">
        <v>150</v>
      </c>
      <c r="GKR69" s="154">
        <f>SUM(GKM69:GKQ69)</f>
        <v>8675</v>
      </c>
      <c r="GKS69" s="152">
        <v>200</v>
      </c>
      <c r="GKT69" s="154">
        <f>SUM(GKR69:GKS69)</f>
        <v>8875</v>
      </c>
      <c r="GKU69" s="147" t="s">
        <v>99</v>
      </c>
      <c r="GKV69" s="148">
        <v>45845</v>
      </c>
      <c r="GKW69" s="143" t="s">
        <v>46</v>
      </c>
      <c r="GKX69" s="199"/>
      <c r="GKY69" s="149" t="s">
        <v>125</v>
      </c>
      <c r="GKZ69" s="197"/>
      <c r="GLA69" s="198"/>
      <c r="GLB69" s="143" t="s">
        <v>22</v>
      </c>
      <c r="GLC69" s="144">
        <v>8150</v>
      </c>
      <c r="GLD69" s="152">
        <v>85</v>
      </c>
      <c r="GLE69" s="153">
        <v>215</v>
      </c>
      <c r="GLF69" s="153">
        <v>75</v>
      </c>
      <c r="GLG69" s="152">
        <v>150</v>
      </c>
      <c r="GLH69" s="154">
        <f>SUM(GLC69:GLG69)</f>
        <v>8675</v>
      </c>
      <c r="GLI69" s="152">
        <v>200</v>
      </c>
      <c r="GLJ69" s="154">
        <f>SUM(GLH69:GLI69)</f>
        <v>8875</v>
      </c>
      <c r="GLK69" s="147" t="s">
        <v>99</v>
      </c>
      <c r="GLL69" s="148">
        <v>45845</v>
      </c>
      <c r="GLM69" s="143" t="s">
        <v>46</v>
      </c>
      <c r="GLN69" s="199"/>
      <c r="GLO69" s="149" t="s">
        <v>125</v>
      </c>
      <c r="GLP69" s="197"/>
      <c r="GLQ69" s="198"/>
      <c r="GLR69" s="143" t="s">
        <v>22</v>
      </c>
      <c r="GLS69" s="144">
        <v>8150</v>
      </c>
      <c r="GLT69" s="152">
        <v>85</v>
      </c>
      <c r="GLU69" s="153">
        <v>215</v>
      </c>
      <c r="GLV69" s="153">
        <v>75</v>
      </c>
      <c r="GLW69" s="152">
        <v>150</v>
      </c>
      <c r="GLX69" s="154">
        <f>SUM(GLS69:GLW69)</f>
        <v>8675</v>
      </c>
      <c r="GLY69" s="152">
        <v>200</v>
      </c>
      <c r="GLZ69" s="154">
        <f>SUM(GLX69:GLY69)</f>
        <v>8875</v>
      </c>
      <c r="GMA69" s="147" t="s">
        <v>99</v>
      </c>
      <c r="GMB69" s="148">
        <v>45845</v>
      </c>
      <c r="GMC69" s="143" t="s">
        <v>46</v>
      </c>
      <c r="GMD69" s="199"/>
      <c r="GME69" s="149" t="s">
        <v>125</v>
      </c>
      <c r="GMF69" s="197"/>
      <c r="GMG69" s="198"/>
      <c r="GMH69" s="143" t="s">
        <v>22</v>
      </c>
      <c r="GMI69" s="144">
        <v>8150</v>
      </c>
      <c r="GMJ69" s="152">
        <v>85</v>
      </c>
      <c r="GMK69" s="153">
        <v>215</v>
      </c>
      <c r="GML69" s="153">
        <v>75</v>
      </c>
      <c r="GMM69" s="152">
        <v>150</v>
      </c>
      <c r="GMN69" s="154">
        <f>SUM(GMI69:GMM69)</f>
        <v>8675</v>
      </c>
      <c r="GMO69" s="152">
        <v>200</v>
      </c>
      <c r="GMP69" s="154">
        <f>SUM(GMN69:GMO69)</f>
        <v>8875</v>
      </c>
      <c r="GMQ69" s="147" t="s">
        <v>99</v>
      </c>
      <c r="GMR69" s="148">
        <v>45845</v>
      </c>
      <c r="GMS69" s="143" t="s">
        <v>46</v>
      </c>
      <c r="GMT69" s="199"/>
      <c r="GMU69" s="149" t="s">
        <v>125</v>
      </c>
      <c r="GMV69" s="197"/>
      <c r="GMW69" s="198"/>
      <c r="GMX69" s="143" t="s">
        <v>22</v>
      </c>
      <c r="GMY69" s="144">
        <v>8150</v>
      </c>
      <c r="GMZ69" s="152">
        <v>85</v>
      </c>
      <c r="GNA69" s="153">
        <v>215</v>
      </c>
      <c r="GNB69" s="153">
        <v>75</v>
      </c>
      <c r="GNC69" s="152">
        <v>150</v>
      </c>
      <c r="GND69" s="154">
        <f>SUM(GMY69:GNC69)</f>
        <v>8675</v>
      </c>
      <c r="GNE69" s="152">
        <v>200</v>
      </c>
      <c r="GNF69" s="154">
        <f>SUM(GND69:GNE69)</f>
        <v>8875</v>
      </c>
      <c r="GNG69" s="147" t="s">
        <v>99</v>
      </c>
      <c r="GNH69" s="148">
        <v>45845</v>
      </c>
      <c r="GNI69" s="143" t="s">
        <v>46</v>
      </c>
      <c r="GNJ69" s="199"/>
      <c r="GNK69" s="149" t="s">
        <v>125</v>
      </c>
      <c r="GNL69" s="197"/>
      <c r="GNM69" s="198"/>
      <c r="GNN69" s="143" t="s">
        <v>22</v>
      </c>
      <c r="GNO69" s="144">
        <v>8150</v>
      </c>
      <c r="GNP69" s="152">
        <v>85</v>
      </c>
      <c r="GNQ69" s="153">
        <v>215</v>
      </c>
      <c r="GNR69" s="153">
        <v>75</v>
      </c>
      <c r="GNS69" s="152">
        <v>150</v>
      </c>
      <c r="GNT69" s="154">
        <f>SUM(GNO69:GNS69)</f>
        <v>8675</v>
      </c>
      <c r="GNU69" s="152">
        <v>200</v>
      </c>
      <c r="GNV69" s="154">
        <f>SUM(GNT69:GNU69)</f>
        <v>8875</v>
      </c>
      <c r="GNW69" s="147" t="s">
        <v>99</v>
      </c>
      <c r="GNX69" s="148">
        <v>45845</v>
      </c>
      <c r="GNY69" s="143" t="s">
        <v>46</v>
      </c>
      <c r="GNZ69" s="199"/>
      <c r="GOA69" s="149" t="s">
        <v>125</v>
      </c>
      <c r="GOB69" s="197"/>
      <c r="GOC69" s="198"/>
      <c r="GOD69" s="143" t="s">
        <v>22</v>
      </c>
      <c r="GOE69" s="144">
        <v>8150</v>
      </c>
      <c r="GOF69" s="152">
        <v>85</v>
      </c>
      <c r="GOG69" s="153">
        <v>215</v>
      </c>
      <c r="GOH69" s="153">
        <v>75</v>
      </c>
      <c r="GOI69" s="152">
        <v>150</v>
      </c>
      <c r="GOJ69" s="154">
        <f>SUM(GOE69:GOI69)</f>
        <v>8675</v>
      </c>
      <c r="GOK69" s="152">
        <v>200</v>
      </c>
      <c r="GOL69" s="154">
        <f>SUM(GOJ69:GOK69)</f>
        <v>8875</v>
      </c>
      <c r="GOM69" s="147" t="s">
        <v>99</v>
      </c>
      <c r="GON69" s="148">
        <v>45845</v>
      </c>
      <c r="GOO69" s="143" t="s">
        <v>46</v>
      </c>
      <c r="GOP69" s="199"/>
      <c r="GOQ69" s="149" t="s">
        <v>125</v>
      </c>
      <c r="GOR69" s="197"/>
      <c r="GOS69" s="198"/>
      <c r="GOT69" s="143" t="s">
        <v>22</v>
      </c>
      <c r="GOU69" s="144">
        <v>8150</v>
      </c>
      <c r="GOV69" s="152">
        <v>85</v>
      </c>
      <c r="GOW69" s="153">
        <v>215</v>
      </c>
      <c r="GOX69" s="153">
        <v>75</v>
      </c>
      <c r="GOY69" s="152">
        <v>150</v>
      </c>
      <c r="GOZ69" s="154">
        <f>SUM(GOU69:GOY69)</f>
        <v>8675</v>
      </c>
      <c r="GPA69" s="152">
        <v>200</v>
      </c>
      <c r="GPB69" s="154">
        <f>SUM(GOZ69:GPA69)</f>
        <v>8875</v>
      </c>
      <c r="GPC69" s="147" t="s">
        <v>99</v>
      </c>
      <c r="GPD69" s="148">
        <v>45845</v>
      </c>
      <c r="GPE69" s="143" t="s">
        <v>46</v>
      </c>
      <c r="GPF69" s="199"/>
      <c r="GPG69" s="149" t="s">
        <v>125</v>
      </c>
      <c r="GPH69" s="197"/>
      <c r="GPI69" s="198"/>
      <c r="GPJ69" s="143" t="s">
        <v>22</v>
      </c>
      <c r="GPK69" s="144">
        <v>8150</v>
      </c>
      <c r="GPL69" s="152">
        <v>85</v>
      </c>
      <c r="GPM69" s="153">
        <v>215</v>
      </c>
      <c r="GPN69" s="153">
        <v>75</v>
      </c>
      <c r="GPO69" s="152">
        <v>150</v>
      </c>
      <c r="GPP69" s="154">
        <f>SUM(GPK69:GPO69)</f>
        <v>8675</v>
      </c>
      <c r="GPQ69" s="152">
        <v>200</v>
      </c>
      <c r="GPR69" s="154">
        <f>SUM(GPP69:GPQ69)</f>
        <v>8875</v>
      </c>
      <c r="GPS69" s="147" t="s">
        <v>99</v>
      </c>
      <c r="GPT69" s="148">
        <v>45845</v>
      </c>
      <c r="GPU69" s="143" t="s">
        <v>46</v>
      </c>
      <c r="GPV69" s="199"/>
      <c r="GPW69" s="149" t="s">
        <v>125</v>
      </c>
      <c r="GPX69" s="197"/>
      <c r="GPY69" s="198"/>
      <c r="GPZ69" s="143" t="s">
        <v>22</v>
      </c>
      <c r="GQA69" s="144">
        <v>8150</v>
      </c>
      <c r="GQB69" s="152">
        <v>85</v>
      </c>
      <c r="GQC69" s="153">
        <v>215</v>
      </c>
      <c r="GQD69" s="153">
        <v>75</v>
      </c>
      <c r="GQE69" s="152">
        <v>150</v>
      </c>
      <c r="GQF69" s="154">
        <f>SUM(GQA69:GQE69)</f>
        <v>8675</v>
      </c>
      <c r="GQG69" s="152">
        <v>200</v>
      </c>
      <c r="GQH69" s="154">
        <f>SUM(GQF69:GQG69)</f>
        <v>8875</v>
      </c>
      <c r="GQI69" s="147" t="s">
        <v>99</v>
      </c>
      <c r="GQJ69" s="148">
        <v>45845</v>
      </c>
      <c r="GQK69" s="143" t="s">
        <v>46</v>
      </c>
      <c r="GQL69" s="199"/>
      <c r="GQM69" s="149" t="s">
        <v>125</v>
      </c>
      <c r="GQN69" s="197"/>
      <c r="GQO69" s="198"/>
      <c r="GQP69" s="143" t="s">
        <v>22</v>
      </c>
      <c r="GQQ69" s="144">
        <v>8150</v>
      </c>
      <c r="GQR69" s="152">
        <v>85</v>
      </c>
      <c r="GQS69" s="153">
        <v>215</v>
      </c>
      <c r="GQT69" s="153">
        <v>75</v>
      </c>
      <c r="GQU69" s="152">
        <v>150</v>
      </c>
      <c r="GQV69" s="154">
        <f>SUM(GQQ69:GQU69)</f>
        <v>8675</v>
      </c>
      <c r="GQW69" s="152">
        <v>200</v>
      </c>
      <c r="GQX69" s="154">
        <f>SUM(GQV69:GQW69)</f>
        <v>8875</v>
      </c>
      <c r="GQY69" s="147" t="s">
        <v>99</v>
      </c>
      <c r="GQZ69" s="148">
        <v>45845</v>
      </c>
      <c r="GRA69" s="143" t="s">
        <v>46</v>
      </c>
      <c r="GRB69" s="199"/>
      <c r="GRC69" s="149" t="s">
        <v>125</v>
      </c>
      <c r="GRD69" s="197"/>
      <c r="GRE69" s="198"/>
      <c r="GRF69" s="143" t="s">
        <v>22</v>
      </c>
      <c r="GRG69" s="144">
        <v>8150</v>
      </c>
      <c r="GRH69" s="152">
        <v>85</v>
      </c>
      <c r="GRI69" s="153">
        <v>215</v>
      </c>
      <c r="GRJ69" s="153">
        <v>75</v>
      </c>
      <c r="GRK69" s="152">
        <v>150</v>
      </c>
      <c r="GRL69" s="154">
        <f>SUM(GRG69:GRK69)</f>
        <v>8675</v>
      </c>
      <c r="GRM69" s="152">
        <v>200</v>
      </c>
      <c r="GRN69" s="154">
        <f>SUM(GRL69:GRM69)</f>
        <v>8875</v>
      </c>
      <c r="GRO69" s="147" t="s">
        <v>99</v>
      </c>
      <c r="GRP69" s="148">
        <v>45845</v>
      </c>
      <c r="GRQ69" s="143" t="s">
        <v>46</v>
      </c>
      <c r="GRR69" s="199"/>
      <c r="GRS69" s="149" t="s">
        <v>125</v>
      </c>
      <c r="GRT69" s="197"/>
      <c r="GRU69" s="198"/>
      <c r="GRV69" s="143" t="s">
        <v>22</v>
      </c>
      <c r="GRW69" s="144">
        <v>8150</v>
      </c>
      <c r="GRX69" s="152">
        <v>85</v>
      </c>
      <c r="GRY69" s="153">
        <v>215</v>
      </c>
      <c r="GRZ69" s="153">
        <v>75</v>
      </c>
      <c r="GSA69" s="152">
        <v>150</v>
      </c>
      <c r="GSB69" s="154">
        <f>SUM(GRW69:GSA69)</f>
        <v>8675</v>
      </c>
      <c r="GSC69" s="152">
        <v>200</v>
      </c>
      <c r="GSD69" s="154">
        <f>SUM(GSB69:GSC69)</f>
        <v>8875</v>
      </c>
      <c r="GSE69" s="147" t="s">
        <v>99</v>
      </c>
      <c r="GSF69" s="148">
        <v>45845</v>
      </c>
      <c r="GSG69" s="143" t="s">
        <v>46</v>
      </c>
      <c r="GSH69" s="199"/>
      <c r="GSI69" s="149" t="s">
        <v>125</v>
      </c>
      <c r="GSJ69" s="197"/>
      <c r="GSK69" s="198"/>
      <c r="GSL69" s="143" t="s">
        <v>22</v>
      </c>
      <c r="GSM69" s="144">
        <v>8150</v>
      </c>
      <c r="GSN69" s="152">
        <v>85</v>
      </c>
      <c r="GSO69" s="153">
        <v>215</v>
      </c>
      <c r="GSP69" s="153">
        <v>75</v>
      </c>
      <c r="GSQ69" s="152">
        <v>150</v>
      </c>
      <c r="GSR69" s="154">
        <f>SUM(GSM69:GSQ69)</f>
        <v>8675</v>
      </c>
      <c r="GSS69" s="152">
        <v>200</v>
      </c>
      <c r="GST69" s="154">
        <f>SUM(GSR69:GSS69)</f>
        <v>8875</v>
      </c>
      <c r="GSU69" s="147" t="s">
        <v>99</v>
      </c>
      <c r="GSV69" s="148">
        <v>45845</v>
      </c>
      <c r="GSW69" s="143" t="s">
        <v>46</v>
      </c>
      <c r="GSX69" s="199"/>
      <c r="GSY69" s="149" t="s">
        <v>125</v>
      </c>
      <c r="GSZ69" s="197"/>
      <c r="GTA69" s="198"/>
      <c r="GTB69" s="143" t="s">
        <v>22</v>
      </c>
      <c r="GTC69" s="144">
        <v>8150</v>
      </c>
      <c r="GTD69" s="152">
        <v>85</v>
      </c>
      <c r="GTE69" s="153">
        <v>215</v>
      </c>
      <c r="GTF69" s="153">
        <v>75</v>
      </c>
      <c r="GTG69" s="152">
        <v>150</v>
      </c>
      <c r="GTH69" s="154">
        <f>SUM(GTC69:GTG69)</f>
        <v>8675</v>
      </c>
      <c r="GTI69" s="152">
        <v>200</v>
      </c>
      <c r="GTJ69" s="154">
        <f>SUM(GTH69:GTI69)</f>
        <v>8875</v>
      </c>
      <c r="GTK69" s="147" t="s">
        <v>99</v>
      </c>
      <c r="GTL69" s="148">
        <v>45845</v>
      </c>
      <c r="GTM69" s="143" t="s">
        <v>46</v>
      </c>
      <c r="GTN69" s="199"/>
      <c r="GTO69" s="149" t="s">
        <v>125</v>
      </c>
      <c r="GTP69" s="197"/>
      <c r="GTQ69" s="198"/>
      <c r="GTR69" s="143" t="s">
        <v>22</v>
      </c>
      <c r="GTS69" s="144">
        <v>8150</v>
      </c>
      <c r="GTT69" s="152">
        <v>85</v>
      </c>
      <c r="GTU69" s="153">
        <v>215</v>
      </c>
      <c r="GTV69" s="153">
        <v>75</v>
      </c>
      <c r="GTW69" s="152">
        <v>150</v>
      </c>
      <c r="GTX69" s="154">
        <f>SUM(GTS69:GTW69)</f>
        <v>8675</v>
      </c>
      <c r="GTY69" s="152">
        <v>200</v>
      </c>
      <c r="GTZ69" s="154">
        <f>SUM(GTX69:GTY69)</f>
        <v>8875</v>
      </c>
      <c r="GUA69" s="147" t="s">
        <v>99</v>
      </c>
      <c r="GUB69" s="148">
        <v>45845</v>
      </c>
      <c r="GUC69" s="143" t="s">
        <v>46</v>
      </c>
      <c r="GUD69" s="199"/>
      <c r="GUE69" s="149" t="s">
        <v>125</v>
      </c>
      <c r="GUF69" s="197"/>
      <c r="GUG69" s="198"/>
      <c r="GUH69" s="143" t="s">
        <v>22</v>
      </c>
      <c r="GUI69" s="144">
        <v>8150</v>
      </c>
      <c r="GUJ69" s="152">
        <v>85</v>
      </c>
      <c r="GUK69" s="153">
        <v>215</v>
      </c>
      <c r="GUL69" s="153">
        <v>75</v>
      </c>
      <c r="GUM69" s="152">
        <v>150</v>
      </c>
      <c r="GUN69" s="154">
        <f>SUM(GUI69:GUM69)</f>
        <v>8675</v>
      </c>
      <c r="GUO69" s="152">
        <v>200</v>
      </c>
      <c r="GUP69" s="154">
        <f>SUM(GUN69:GUO69)</f>
        <v>8875</v>
      </c>
      <c r="GUQ69" s="147" t="s">
        <v>99</v>
      </c>
      <c r="GUR69" s="148">
        <v>45845</v>
      </c>
      <c r="GUS69" s="143" t="s">
        <v>46</v>
      </c>
      <c r="GUT69" s="199"/>
      <c r="GUU69" s="149" t="s">
        <v>125</v>
      </c>
      <c r="GUV69" s="197"/>
      <c r="GUW69" s="198"/>
      <c r="GUX69" s="143" t="s">
        <v>22</v>
      </c>
      <c r="GUY69" s="144">
        <v>8150</v>
      </c>
      <c r="GUZ69" s="152">
        <v>85</v>
      </c>
      <c r="GVA69" s="153">
        <v>215</v>
      </c>
      <c r="GVB69" s="153">
        <v>75</v>
      </c>
      <c r="GVC69" s="152">
        <v>150</v>
      </c>
      <c r="GVD69" s="154">
        <f>SUM(GUY69:GVC69)</f>
        <v>8675</v>
      </c>
      <c r="GVE69" s="152">
        <v>200</v>
      </c>
      <c r="GVF69" s="154">
        <f>SUM(GVD69:GVE69)</f>
        <v>8875</v>
      </c>
      <c r="GVG69" s="147" t="s">
        <v>99</v>
      </c>
      <c r="GVH69" s="148">
        <v>45845</v>
      </c>
      <c r="GVI69" s="143" t="s">
        <v>46</v>
      </c>
      <c r="GVJ69" s="199"/>
      <c r="GVK69" s="149" t="s">
        <v>125</v>
      </c>
      <c r="GVL69" s="197"/>
      <c r="GVM69" s="198"/>
      <c r="GVN69" s="143" t="s">
        <v>22</v>
      </c>
      <c r="GVO69" s="144">
        <v>8150</v>
      </c>
      <c r="GVP69" s="152">
        <v>85</v>
      </c>
      <c r="GVQ69" s="153">
        <v>215</v>
      </c>
      <c r="GVR69" s="153">
        <v>75</v>
      </c>
      <c r="GVS69" s="152">
        <v>150</v>
      </c>
      <c r="GVT69" s="154">
        <f>SUM(GVO69:GVS69)</f>
        <v>8675</v>
      </c>
      <c r="GVU69" s="152">
        <v>200</v>
      </c>
      <c r="GVV69" s="154">
        <f>SUM(GVT69:GVU69)</f>
        <v>8875</v>
      </c>
      <c r="GVW69" s="147" t="s">
        <v>99</v>
      </c>
      <c r="GVX69" s="148">
        <v>45845</v>
      </c>
      <c r="GVY69" s="143" t="s">
        <v>46</v>
      </c>
      <c r="GVZ69" s="199"/>
      <c r="GWA69" s="149" t="s">
        <v>125</v>
      </c>
      <c r="GWB69" s="197"/>
      <c r="GWC69" s="198"/>
      <c r="GWD69" s="143" t="s">
        <v>22</v>
      </c>
      <c r="GWE69" s="144">
        <v>8150</v>
      </c>
      <c r="GWF69" s="152">
        <v>85</v>
      </c>
      <c r="GWG69" s="153">
        <v>215</v>
      </c>
      <c r="GWH69" s="153">
        <v>75</v>
      </c>
      <c r="GWI69" s="152">
        <v>150</v>
      </c>
      <c r="GWJ69" s="154">
        <f>SUM(GWE69:GWI69)</f>
        <v>8675</v>
      </c>
      <c r="GWK69" s="152">
        <v>200</v>
      </c>
      <c r="GWL69" s="154">
        <f>SUM(GWJ69:GWK69)</f>
        <v>8875</v>
      </c>
      <c r="GWM69" s="147" t="s">
        <v>99</v>
      </c>
      <c r="GWN69" s="148">
        <v>45845</v>
      </c>
      <c r="GWO69" s="143" t="s">
        <v>46</v>
      </c>
      <c r="GWP69" s="199"/>
      <c r="GWQ69" s="149" t="s">
        <v>125</v>
      </c>
      <c r="GWR69" s="197"/>
      <c r="GWS69" s="198"/>
      <c r="GWT69" s="143" t="s">
        <v>22</v>
      </c>
      <c r="GWU69" s="144">
        <v>8150</v>
      </c>
      <c r="GWV69" s="152">
        <v>85</v>
      </c>
      <c r="GWW69" s="153">
        <v>215</v>
      </c>
      <c r="GWX69" s="153">
        <v>75</v>
      </c>
      <c r="GWY69" s="152">
        <v>150</v>
      </c>
      <c r="GWZ69" s="154">
        <f>SUM(GWU69:GWY69)</f>
        <v>8675</v>
      </c>
      <c r="GXA69" s="152">
        <v>200</v>
      </c>
      <c r="GXB69" s="154">
        <f>SUM(GWZ69:GXA69)</f>
        <v>8875</v>
      </c>
      <c r="GXC69" s="147" t="s">
        <v>99</v>
      </c>
      <c r="GXD69" s="148">
        <v>45845</v>
      </c>
      <c r="GXE69" s="143" t="s">
        <v>46</v>
      </c>
      <c r="GXF69" s="199"/>
      <c r="GXG69" s="149" t="s">
        <v>125</v>
      </c>
      <c r="GXH69" s="197"/>
      <c r="GXI69" s="198"/>
      <c r="GXJ69" s="143" t="s">
        <v>22</v>
      </c>
      <c r="GXK69" s="144">
        <v>8150</v>
      </c>
      <c r="GXL69" s="152">
        <v>85</v>
      </c>
      <c r="GXM69" s="153">
        <v>215</v>
      </c>
      <c r="GXN69" s="153">
        <v>75</v>
      </c>
      <c r="GXO69" s="152">
        <v>150</v>
      </c>
      <c r="GXP69" s="154">
        <f>SUM(GXK69:GXO69)</f>
        <v>8675</v>
      </c>
      <c r="GXQ69" s="152">
        <v>200</v>
      </c>
      <c r="GXR69" s="154">
        <f>SUM(GXP69:GXQ69)</f>
        <v>8875</v>
      </c>
      <c r="GXS69" s="147" t="s">
        <v>99</v>
      </c>
      <c r="GXT69" s="148">
        <v>45845</v>
      </c>
      <c r="GXU69" s="143" t="s">
        <v>46</v>
      </c>
      <c r="GXV69" s="199"/>
      <c r="GXW69" s="149" t="s">
        <v>125</v>
      </c>
      <c r="GXX69" s="197"/>
      <c r="GXY69" s="198"/>
      <c r="GXZ69" s="143" t="s">
        <v>22</v>
      </c>
      <c r="GYA69" s="144">
        <v>8150</v>
      </c>
      <c r="GYB69" s="152">
        <v>85</v>
      </c>
      <c r="GYC69" s="153">
        <v>215</v>
      </c>
      <c r="GYD69" s="153">
        <v>75</v>
      </c>
      <c r="GYE69" s="152">
        <v>150</v>
      </c>
      <c r="GYF69" s="154">
        <f>SUM(GYA69:GYE69)</f>
        <v>8675</v>
      </c>
      <c r="GYG69" s="152">
        <v>200</v>
      </c>
      <c r="GYH69" s="154">
        <f>SUM(GYF69:GYG69)</f>
        <v>8875</v>
      </c>
      <c r="GYI69" s="147" t="s">
        <v>99</v>
      </c>
      <c r="GYJ69" s="148">
        <v>45845</v>
      </c>
      <c r="GYK69" s="143" t="s">
        <v>46</v>
      </c>
      <c r="GYL69" s="199"/>
      <c r="GYM69" s="149" t="s">
        <v>125</v>
      </c>
      <c r="GYN69" s="197"/>
      <c r="GYO69" s="198"/>
      <c r="GYP69" s="143" t="s">
        <v>22</v>
      </c>
      <c r="GYQ69" s="144">
        <v>8150</v>
      </c>
      <c r="GYR69" s="152">
        <v>85</v>
      </c>
      <c r="GYS69" s="153">
        <v>215</v>
      </c>
      <c r="GYT69" s="153">
        <v>75</v>
      </c>
      <c r="GYU69" s="152">
        <v>150</v>
      </c>
      <c r="GYV69" s="154">
        <f>SUM(GYQ69:GYU69)</f>
        <v>8675</v>
      </c>
      <c r="GYW69" s="152">
        <v>200</v>
      </c>
      <c r="GYX69" s="154">
        <f>SUM(GYV69:GYW69)</f>
        <v>8875</v>
      </c>
      <c r="GYY69" s="147" t="s">
        <v>99</v>
      </c>
      <c r="GYZ69" s="148">
        <v>45845</v>
      </c>
      <c r="GZA69" s="143" t="s">
        <v>46</v>
      </c>
      <c r="GZB69" s="199"/>
      <c r="GZC69" s="149" t="s">
        <v>125</v>
      </c>
      <c r="GZD69" s="197"/>
      <c r="GZE69" s="198"/>
      <c r="GZF69" s="143" t="s">
        <v>22</v>
      </c>
      <c r="GZG69" s="144">
        <v>8150</v>
      </c>
      <c r="GZH69" s="152">
        <v>85</v>
      </c>
      <c r="GZI69" s="153">
        <v>215</v>
      </c>
      <c r="GZJ69" s="153">
        <v>75</v>
      </c>
      <c r="GZK69" s="152">
        <v>150</v>
      </c>
      <c r="GZL69" s="154">
        <f>SUM(GZG69:GZK69)</f>
        <v>8675</v>
      </c>
      <c r="GZM69" s="152">
        <v>200</v>
      </c>
      <c r="GZN69" s="154">
        <f>SUM(GZL69:GZM69)</f>
        <v>8875</v>
      </c>
      <c r="GZO69" s="147" t="s">
        <v>99</v>
      </c>
      <c r="GZP69" s="148">
        <v>45845</v>
      </c>
      <c r="GZQ69" s="143" t="s">
        <v>46</v>
      </c>
      <c r="GZR69" s="199"/>
      <c r="GZS69" s="149" t="s">
        <v>125</v>
      </c>
      <c r="GZT69" s="197"/>
      <c r="GZU69" s="198"/>
      <c r="GZV69" s="143" t="s">
        <v>22</v>
      </c>
      <c r="GZW69" s="144">
        <v>8150</v>
      </c>
      <c r="GZX69" s="152">
        <v>85</v>
      </c>
      <c r="GZY69" s="153">
        <v>215</v>
      </c>
      <c r="GZZ69" s="153">
        <v>75</v>
      </c>
      <c r="HAA69" s="152">
        <v>150</v>
      </c>
      <c r="HAB69" s="154">
        <f>SUM(GZW69:HAA69)</f>
        <v>8675</v>
      </c>
      <c r="HAC69" s="152">
        <v>200</v>
      </c>
      <c r="HAD69" s="154">
        <f>SUM(HAB69:HAC69)</f>
        <v>8875</v>
      </c>
      <c r="HAE69" s="147" t="s">
        <v>99</v>
      </c>
      <c r="HAF69" s="148">
        <v>45845</v>
      </c>
      <c r="HAG69" s="143" t="s">
        <v>46</v>
      </c>
      <c r="HAH69" s="199"/>
      <c r="HAI69" s="149" t="s">
        <v>125</v>
      </c>
      <c r="HAJ69" s="197"/>
      <c r="HAK69" s="198"/>
      <c r="HAL69" s="143" t="s">
        <v>22</v>
      </c>
      <c r="HAM69" s="144">
        <v>8150</v>
      </c>
      <c r="HAN69" s="152">
        <v>85</v>
      </c>
      <c r="HAO69" s="153">
        <v>215</v>
      </c>
      <c r="HAP69" s="153">
        <v>75</v>
      </c>
      <c r="HAQ69" s="152">
        <v>150</v>
      </c>
      <c r="HAR69" s="154">
        <f>SUM(HAM69:HAQ69)</f>
        <v>8675</v>
      </c>
      <c r="HAS69" s="152">
        <v>200</v>
      </c>
      <c r="HAT69" s="154">
        <f>SUM(HAR69:HAS69)</f>
        <v>8875</v>
      </c>
      <c r="HAU69" s="147" t="s">
        <v>99</v>
      </c>
      <c r="HAV69" s="148">
        <v>45845</v>
      </c>
      <c r="HAW69" s="143" t="s">
        <v>46</v>
      </c>
      <c r="HAX69" s="199"/>
      <c r="HAY69" s="149" t="s">
        <v>125</v>
      </c>
      <c r="HAZ69" s="197"/>
      <c r="HBA69" s="198"/>
      <c r="HBB69" s="143" t="s">
        <v>22</v>
      </c>
      <c r="HBC69" s="144">
        <v>8150</v>
      </c>
      <c r="HBD69" s="152">
        <v>85</v>
      </c>
      <c r="HBE69" s="153">
        <v>215</v>
      </c>
      <c r="HBF69" s="153">
        <v>75</v>
      </c>
      <c r="HBG69" s="152">
        <v>150</v>
      </c>
      <c r="HBH69" s="154">
        <f>SUM(HBC69:HBG69)</f>
        <v>8675</v>
      </c>
      <c r="HBI69" s="152">
        <v>200</v>
      </c>
      <c r="HBJ69" s="154">
        <f>SUM(HBH69:HBI69)</f>
        <v>8875</v>
      </c>
      <c r="HBK69" s="147" t="s">
        <v>99</v>
      </c>
      <c r="HBL69" s="148">
        <v>45845</v>
      </c>
      <c r="HBM69" s="143" t="s">
        <v>46</v>
      </c>
      <c r="HBN69" s="199"/>
      <c r="HBO69" s="149" t="s">
        <v>125</v>
      </c>
      <c r="HBP69" s="197"/>
      <c r="HBQ69" s="198"/>
      <c r="HBR69" s="143" t="s">
        <v>22</v>
      </c>
      <c r="HBS69" s="144">
        <v>8150</v>
      </c>
      <c r="HBT69" s="152">
        <v>85</v>
      </c>
      <c r="HBU69" s="153">
        <v>215</v>
      </c>
      <c r="HBV69" s="153">
        <v>75</v>
      </c>
      <c r="HBW69" s="152">
        <v>150</v>
      </c>
      <c r="HBX69" s="154">
        <f>SUM(HBS69:HBW69)</f>
        <v>8675</v>
      </c>
      <c r="HBY69" s="152">
        <v>200</v>
      </c>
      <c r="HBZ69" s="154">
        <f>SUM(HBX69:HBY69)</f>
        <v>8875</v>
      </c>
      <c r="HCA69" s="147" t="s">
        <v>99</v>
      </c>
      <c r="HCB69" s="148">
        <v>45845</v>
      </c>
      <c r="HCC69" s="143" t="s">
        <v>46</v>
      </c>
      <c r="HCD69" s="199"/>
      <c r="HCE69" s="149" t="s">
        <v>125</v>
      </c>
      <c r="HCF69" s="197"/>
      <c r="HCG69" s="198"/>
      <c r="HCH69" s="143" t="s">
        <v>22</v>
      </c>
      <c r="HCI69" s="144">
        <v>8150</v>
      </c>
      <c r="HCJ69" s="152">
        <v>85</v>
      </c>
      <c r="HCK69" s="153">
        <v>215</v>
      </c>
      <c r="HCL69" s="153">
        <v>75</v>
      </c>
      <c r="HCM69" s="152">
        <v>150</v>
      </c>
      <c r="HCN69" s="154">
        <f>SUM(HCI69:HCM69)</f>
        <v>8675</v>
      </c>
      <c r="HCO69" s="152">
        <v>200</v>
      </c>
      <c r="HCP69" s="154">
        <f>SUM(HCN69:HCO69)</f>
        <v>8875</v>
      </c>
      <c r="HCQ69" s="147" t="s">
        <v>99</v>
      </c>
      <c r="HCR69" s="148">
        <v>45845</v>
      </c>
      <c r="HCS69" s="143" t="s">
        <v>46</v>
      </c>
      <c r="HCT69" s="199"/>
      <c r="HCU69" s="149" t="s">
        <v>125</v>
      </c>
      <c r="HCV69" s="197"/>
      <c r="HCW69" s="198"/>
      <c r="HCX69" s="143" t="s">
        <v>22</v>
      </c>
      <c r="HCY69" s="144">
        <v>8150</v>
      </c>
      <c r="HCZ69" s="152">
        <v>85</v>
      </c>
      <c r="HDA69" s="153">
        <v>215</v>
      </c>
      <c r="HDB69" s="153">
        <v>75</v>
      </c>
      <c r="HDC69" s="152">
        <v>150</v>
      </c>
      <c r="HDD69" s="154">
        <f>SUM(HCY69:HDC69)</f>
        <v>8675</v>
      </c>
      <c r="HDE69" s="152">
        <v>200</v>
      </c>
      <c r="HDF69" s="154">
        <f>SUM(HDD69:HDE69)</f>
        <v>8875</v>
      </c>
      <c r="HDG69" s="147" t="s">
        <v>99</v>
      </c>
      <c r="HDH69" s="148">
        <v>45845</v>
      </c>
      <c r="HDI69" s="143" t="s">
        <v>46</v>
      </c>
      <c r="HDJ69" s="199"/>
      <c r="HDK69" s="149" t="s">
        <v>125</v>
      </c>
      <c r="HDL69" s="197"/>
      <c r="HDM69" s="198"/>
      <c r="HDN69" s="143" t="s">
        <v>22</v>
      </c>
      <c r="HDO69" s="144">
        <v>8150</v>
      </c>
      <c r="HDP69" s="152">
        <v>85</v>
      </c>
      <c r="HDQ69" s="153">
        <v>215</v>
      </c>
      <c r="HDR69" s="153">
        <v>75</v>
      </c>
      <c r="HDS69" s="152">
        <v>150</v>
      </c>
      <c r="HDT69" s="154">
        <f>SUM(HDO69:HDS69)</f>
        <v>8675</v>
      </c>
      <c r="HDU69" s="152">
        <v>200</v>
      </c>
      <c r="HDV69" s="154">
        <f>SUM(HDT69:HDU69)</f>
        <v>8875</v>
      </c>
      <c r="HDW69" s="147" t="s">
        <v>99</v>
      </c>
      <c r="HDX69" s="148">
        <v>45845</v>
      </c>
      <c r="HDY69" s="143" t="s">
        <v>46</v>
      </c>
      <c r="HDZ69" s="199"/>
      <c r="HEA69" s="149" t="s">
        <v>125</v>
      </c>
      <c r="HEB69" s="197"/>
      <c r="HEC69" s="198"/>
      <c r="HED69" s="143" t="s">
        <v>22</v>
      </c>
      <c r="HEE69" s="144">
        <v>8150</v>
      </c>
      <c r="HEF69" s="152">
        <v>85</v>
      </c>
      <c r="HEG69" s="153">
        <v>215</v>
      </c>
      <c r="HEH69" s="153">
        <v>75</v>
      </c>
      <c r="HEI69" s="152">
        <v>150</v>
      </c>
      <c r="HEJ69" s="154">
        <f>SUM(HEE69:HEI69)</f>
        <v>8675</v>
      </c>
      <c r="HEK69" s="152">
        <v>200</v>
      </c>
      <c r="HEL69" s="154">
        <f>SUM(HEJ69:HEK69)</f>
        <v>8875</v>
      </c>
      <c r="HEM69" s="147" t="s">
        <v>99</v>
      </c>
      <c r="HEN69" s="148">
        <v>45845</v>
      </c>
      <c r="HEO69" s="143" t="s">
        <v>46</v>
      </c>
      <c r="HEP69" s="199"/>
      <c r="HEQ69" s="149" t="s">
        <v>125</v>
      </c>
      <c r="HER69" s="197"/>
      <c r="HES69" s="198"/>
      <c r="HET69" s="143" t="s">
        <v>22</v>
      </c>
      <c r="HEU69" s="144">
        <v>8150</v>
      </c>
      <c r="HEV69" s="152">
        <v>85</v>
      </c>
      <c r="HEW69" s="153">
        <v>215</v>
      </c>
      <c r="HEX69" s="153">
        <v>75</v>
      </c>
      <c r="HEY69" s="152">
        <v>150</v>
      </c>
      <c r="HEZ69" s="154">
        <f>SUM(HEU69:HEY69)</f>
        <v>8675</v>
      </c>
      <c r="HFA69" s="152">
        <v>200</v>
      </c>
      <c r="HFB69" s="154">
        <f>SUM(HEZ69:HFA69)</f>
        <v>8875</v>
      </c>
      <c r="HFC69" s="147" t="s">
        <v>99</v>
      </c>
      <c r="HFD69" s="148">
        <v>45845</v>
      </c>
      <c r="HFE69" s="143" t="s">
        <v>46</v>
      </c>
      <c r="HFF69" s="199"/>
      <c r="HFG69" s="149" t="s">
        <v>125</v>
      </c>
      <c r="HFH69" s="197"/>
      <c r="HFI69" s="198"/>
      <c r="HFJ69" s="143" t="s">
        <v>22</v>
      </c>
      <c r="HFK69" s="144">
        <v>8150</v>
      </c>
      <c r="HFL69" s="152">
        <v>85</v>
      </c>
      <c r="HFM69" s="153">
        <v>215</v>
      </c>
      <c r="HFN69" s="153">
        <v>75</v>
      </c>
      <c r="HFO69" s="152">
        <v>150</v>
      </c>
      <c r="HFP69" s="154">
        <f>SUM(HFK69:HFO69)</f>
        <v>8675</v>
      </c>
      <c r="HFQ69" s="152">
        <v>200</v>
      </c>
      <c r="HFR69" s="154">
        <f>SUM(HFP69:HFQ69)</f>
        <v>8875</v>
      </c>
      <c r="HFS69" s="147" t="s">
        <v>99</v>
      </c>
      <c r="HFT69" s="148">
        <v>45845</v>
      </c>
      <c r="HFU69" s="143" t="s">
        <v>46</v>
      </c>
      <c r="HFV69" s="199"/>
      <c r="HFW69" s="149" t="s">
        <v>125</v>
      </c>
      <c r="HFX69" s="197"/>
      <c r="HFY69" s="198"/>
      <c r="HFZ69" s="143" t="s">
        <v>22</v>
      </c>
      <c r="HGA69" s="144">
        <v>8150</v>
      </c>
      <c r="HGB69" s="152">
        <v>85</v>
      </c>
      <c r="HGC69" s="153">
        <v>215</v>
      </c>
      <c r="HGD69" s="153">
        <v>75</v>
      </c>
      <c r="HGE69" s="152">
        <v>150</v>
      </c>
      <c r="HGF69" s="154">
        <f>SUM(HGA69:HGE69)</f>
        <v>8675</v>
      </c>
      <c r="HGG69" s="152">
        <v>200</v>
      </c>
      <c r="HGH69" s="154">
        <f>SUM(HGF69:HGG69)</f>
        <v>8875</v>
      </c>
      <c r="HGI69" s="147" t="s">
        <v>99</v>
      </c>
      <c r="HGJ69" s="148">
        <v>45845</v>
      </c>
      <c r="HGK69" s="143" t="s">
        <v>46</v>
      </c>
      <c r="HGL69" s="199"/>
      <c r="HGM69" s="149" t="s">
        <v>125</v>
      </c>
      <c r="HGN69" s="197"/>
      <c r="HGO69" s="198"/>
      <c r="HGP69" s="143" t="s">
        <v>22</v>
      </c>
      <c r="HGQ69" s="144">
        <v>8150</v>
      </c>
      <c r="HGR69" s="152">
        <v>85</v>
      </c>
      <c r="HGS69" s="153">
        <v>215</v>
      </c>
      <c r="HGT69" s="153">
        <v>75</v>
      </c>
      <c r="HGU69" s="152">
        <v>150</v>
      </c>
      <c r="HGV69" s="154">
        <f>SUM(HGQ69:HGU69)</f>
        <v>8675</v>
      </c>
      <c r="HGW69" s="152">
        <v>200</v>
      </c>
      <c r="HGX69" s="154">
        <f>SUM(HGV69:HGW69)</f>
        <v>8875</v>
      </c>
      <c r="HGY69" s="147" t="s">
        <v>99</v>
      </c>
      <c r="HGZ69" s="148">
        <v>45845</v>
      </c>
      <c r="HHA69" s="143" t="s">
        <v>46</v>
      </c>
      <c r="HHB69" s="199"/>
      <c r="HHC69" s="149" t="s">
        <v>125</v>
      </c>
      <c r="HHD69" s="197"/>
      <c r="HHE69" s="198"/>
      <c r="HHF69" s="143" t="s">
        <v>22</v>
      </c>
      <c r="HHG69" s="144">
        <v>8150</v>
      </c>
      <c r="HHH69" s="152">
        <v>85</v>
      </c>
      <c r="HHI69" s="153">
        <v>215</v>
      </c>
      <c r="HHJ69" s="153">
        <v>75</v>
      </c>
      <c r="HHK69" s="152">
        <v>150</v>
      </c>
      <c r="HHL69" s="154">
        <f>SUM(HHG69:HHK69)</f>
        <v>8675</v>
      </c>
      <c r="HHM69" s="152">
        <v>200</v>
      </c>
      <c r="HHN69" s="154">
        <f>SUM(HHL69:HHM69)</f>
        <v>8875</v>
      </c>
      <c r="HHO69" s="147" t="s">
        <v>99</v>
      </c>
      <c r="HHP69" s="148">
        <v>45845</v>
      </c>
      <c r="HHQ69" s="143" t="s">
        <v>46</v>
      </c>
      <c r="HHR69" s="199"/>
      <c r="HHS69" s="149" t="s">
        <v>125</v>
      </c>
      <c r="HHT69" s="197"/>
      <c r="HHU69" s="198"/>
      <c r="HHV69" s="143" t="s">
        <v>22</v>
      </c>
      <c r="HHW69" s="144">
        <v>8150</v>
      </c>
      <c r="HHX69" s="152">
        <v>85</v>
      </c>
      <c r="HHY69" s="153">
        <v>215</v>
      </c>
      <c r="HHZ69" s="153">
        <v>75</v>
      </c>
      <c r="HIA69" s="152">
        <v>150</v>
      </c>
      <c r="HIB69" s="154">
        <f>SUM(HHW69:HIA69)</f>
        <v>8675</v>
      </c>
      <c r="HIC69" s="152">
        <v>200</v>
      </c>
      <c r="HID69" s="154">
        <f>SUM(HIB69:HIC69)</f>
        <v>8875</v>
      </c>
      <c r="HIE69" s="147" t="s">
        <v>99</v>
      </c>
      <c r="HIF69" s="148">
        <v>45845</v>
      </c>
      <c r="HIG69" s="143" t="s">
        <v>46</v>
      </c>
      <c r="HIH69" s="199"/>
      <c r="HII69" s="149" t="s">
        <v>125</v>
      </c>
      <c r="HIJ69" s="197"/>
      <c r="HIK69" s="198"/>
      <c r="HIL69" s="143" t="s">
        <v>22</v>
      </c>
      <c r="HIM69" s="144">
        <v>8150</v>
      </c>
      <c r="HIN69" s="152">
        <v>85</v>
      </c>
      <c r="HIO69" s="153">
        <v>215</v>
      </c>
      <c r="HIP69" s="153">
        <v>75</v>
      </c>
      <c r="HIQ69" s="152">
        <v>150</v>
      </c>
      <c r="HIR69" s="154">
        <f>SUM(HIM69:HIQ69)</f>
        <v>8675</v>
      </c>
      <c r="HIS69" s="152">
        <v>200</v>
      </c>
      <c r="HIT69" s="154">
        <f>SUM(HIR69:HIS69)</f>
        <v>8875</v>
      </c>
      <c r="HIU69" s="147" t="s">
        <v>99</v>
      </c>
      <c r="HIV69" s="148">
        <v>45845</v>
      </c>
      <c r="HIW69" s="143" t="s">
        <v>46</v>
      </c>
      <c r="HIX69" s="199"/>
      <c r="HIY69" s="149" t="s">
        <v>125</v>
      </c>
      <c r="HIZ69" s="197"/>
      <c r="HJA69" s="198"/>
      <c r="HJB69" s="143" t="s">
        <v>22</v>
      </c>
      <c r="HJC69" s="144">
        <v>8150</v>
      </c>
      <c r="HJD69" s="152">
        <v>85</v>
      </c>
      <c r="HJE69" s="153">
        <v>215</v>
      </c>
      <c r="HJF69" s="153">
        <v>75</v>
      </c>
      <c r="HJG69" s="152">
        <v>150</v>
      </c>
      <c r="HJH69" s="154">
        <f>SUM(HJC69:HJG69)</f>
        <v>8675</v>
      </c>
      <c r="HJI69" s="152">
        <v>200</v>
      </c>
      <c r="HJJ69" s="154">
        <f>SUM(HJH69:HJI69)</f>
        <v>8875</v>
      </c>
      <c r="HJK69" s="147" t="s">
        <v>99</v>
      </c>
      <c r="HJL69" s="148">
        <v>45845</v>
      </c>
      <c r="HJM69" s="143" t="s">
        <v>46</v>
      </c>
      <c r="HJN69" s="199"/>
      <c r="HJO69" s="149" t="s">
        <v>125</v>
      </c>
      <c r="HJP69" s="197"/>
      <c r="HJQ69" s="198"/>
      <c r="HJR69" s="143" t="s">
        <v>22</v>
      </c>
      <c r="HJS69" s="144">
        <v>8150</v>
      </c>
      <c r="HJT69" s="152">
        <v>85</v>
      </c>
      <c r="HJU69" s="153">
        <v>215</v>
      </c>
      <c r="HJV69" s="153">
        <v>75</v>
      </c>
      <c r="HJW69" s="152">
        <v>150</v>
      </c>
      <c r="HJX69" s="154">
        <f>SUM(HJS69:HJW69)</f>
        <v>8675</v>
      </c>
      <c r="HJY69" s="152">
        <v>200</v>
      </c>
      <c r="HJZ69" s="154">
        <f>SUM(HJX69:HJY69)</f>
        <v>8875</v>
      </c>
      <c r="HKA69" s="147" t="s">
        <v>99</v>
      </c>
      <c r="HKB69" s="148">
        <v>45845</v>
      </c>
      <c r="HKC69" s="143" t="s">
        <v>46</v>
      </c>
      <c r="HKD69" s="199"/>
      <c r="HKE69" s="149" t="s">
        <v>125</v>
      </c>
      <c r="HKF69" s="197"/>
      <c r="HKG69" s="198"/>
      <c r="HKH69" s="143" t="s">
        <v>22</v>
      </c>
      <c r="HKI69" s="144">
        <v>8150</v>
      </c>
      <c r="HKJ69" s="152">
        <v>85</v>
      </c>
      <c r="HKK69" s="153">
        <v>215</v>
      </c>
      <c r="HKL69" s="153">
        <v>75</v>
      </c>
      <c r="HKM69" s="152">
        <v>150</v>
      </c>
      <c r="HKN69" s="154">
        <f>SUM(HKI69:HKM69)</f>
        <v>8675</v>
      </c>
      <c r="HKO69" s="152">
        <v>200</v>
      </c>
      <c r="HKP69" s="154">
        <f>SUM(HKN69:HKO69)</f>
        <v>8875</v>
      </c>
      <c r="HKQ69" s="147" t="s">
        <v>99</v>
      </c>
      <c r="HKR69" s="148">
        <v>45845</v>
      </c>
      <c r="HKS69" s="143" t="s">
        <v>46</v>
      </c>
      <c r="HKT69" s="199"/>
      <c r="HKU69" s="149" t="s">
        <v>125</v>
      </c>
      <c r="HKV69" s="197"/>
      <c r="HKW69" s="198"/>
      <c r="HKX69" s="143" t="s">
        <v>22</v>
      </c>
      <c r="HKY69" s="144">
        <v>8150</v>
      </c>
      <c r="HKZ69" s="152">
        <v>85</v>
      </c>
      <c r="HLA69" s="153">
        <v>215</v>
      </c>
      <c r="HLB69" s="153">
        <v>75</v>
      </c>
      <c r="HLC69" s="152">
        <v>150</v>
      </c>
      <c r="HLD69" s="154">
        <f>SUM(HKY69:HLC69)</f>
        <v>8675</v>
      </c>
      <c r="HLE69" s="152">
        <v>200</v>
      </c>
      <c r="HLF69" s="154">
        <f>SUM(HLD69:HLE69)</f>
        <v>8875</v>
      </c>
      <c r="HLG69" s="147" t="s">
        <v>99</v>
      </c>
      <c r="HLH69" s="148">
        <v>45845</v>
      </c>
      <c r="HLI69" s="143" t="s">
        <v>46</v>
      </c>
      <c r="HLJ69" s="199"/>
      <c r="HLK69" s="149" t="s">
        <v>125</v>
      </c>
      <c r="HLL69" s="197"/>
      <c r="HLM69" s="198"/>
      <c r="HLN69" s="143" t="s">
        <v>22</v>
      </c>
      <c r="HLO69" s="144">
        <v>8150</v>
      </c>
      <c r="HLP69" s="152">
        <v>85</v>
      </c>
      <c r="HLQ69" s="153">
        <v>215</v>
      </c>
      <c r="HLR69" s="153">
        <v>75</v>
      </c>
      <c r="HLS69" s="152">
        <v>150</v>
      </c>
      <c r="HLT69" s="154">
        <f>SUM(HLO69:HLS69)</f>
        <v>8675</v>
      </c>
      <c r="HLU69" s="152">
        <v>200</v>
      </c>
      <c r="HLV69" s="154">
        <f>SUM(HLT69:HLU69)</f>
        <v>8875</v>
      </c>
      <c r="HLW69" s="147" t="s">
        <v>99</v>
      </c>
      <c r="HLX69" s="148">
        <v>45845</v>
      </c>
      <c r="HLY69" s="143" t="s">
        <v>46</v>
      </c>
      <c r="HLZ69" s="199"/>
      <c r="HMA69" s="149" t="s">
        <v>125</v>
      </c>
      <c r="HMB69" s="197"/>
      <c r="HMC69" s="198"/>
      <c r="HMD69" s="143" t="s">
        <v>22</v>
      </c>
      <c r="HME69" s="144">
        <v>8150</v>
      </c>
      <c r="HMF69" s="152">
        <v>85</v>
      </c>
      <c r="HMG69" s="153">
        <v>215</v>
      </c>
      <c r="HMH69" s="153">
        <v>75</v>
      </c>
      <c r="HMI69" s="152">
        <v>150</v>
      </c>
      <c r="HMJ69" s="154">
        <f>SUM(HME69:HMI69)</f>
        <v>8675</v>
      </c>
      <c r="HMK69" s="152">
        <v>200</v>
      </c>
      <c r="HML69" s="154">
        <f>SUM(HMJ69:HMK69)</f>
        <v>8875</v>
      </c>
      <c r="HMM69" s="147" t="s">
        <v>99</v>
      </c>
      <c r="HMN69" s="148">
        <v>45845</v>
      </c>
      <c r="HMO69" s="143" t="s">
        <v>46</v>
      </c>
      <c r="HMP69" s="199"/>
      <c r="HMQ69" s="149" t="s">
        <v>125</v>
      </c>
      <c r="HMR69" s="197"/>
      <c r="HMS69" s="198"/>
      <c r="HMT69" s="143" t="s">
        <v>22</v>
      </c>
      <c r="HMU69" s="144">
        <v>8150</v>
      </c>
      <c r="HMV69" s="152">
        <v>85</v>
      </c>
      <c r="HMW69" s="153">
        <v>215</v>
      </c>
      <c r="HMX69" s="153">
        <v>75</v>
      </c>
      <c r="HMY69" s="152">
        <v>150</v>
      </c>
      <c r="HMZ69" s="154">
        <f>SUM(HMU69:HMY69)</f>
        <v>8675</v>
      </c>
      <c r="HNA69" s="152">
        <v>200</v>
      </c>
      <c r="HNB69" s="154">
        <f>SUM(HMZ69:HNA69)</f>
        <v>8875</v>
      </c>
      <c r="HNC69" s="147" t="s">
        <v>99</v>
      </c>
      <c r="HND69" s="148">
        <v>45845</v>
      </c>
      <c r="HNE69" s="143" t="s">
        <v>46</v>
      </c>
      <c r="HNF69" s="199"/>
      <c r="HNG69" s="149" t="s">
        <v>125</v>
      </c>
      <c r="HNH69" s="197"/>
      <c r="HNI69" s="198"/>
      <c r="HNJ69" s="143" t="s">
        <v>22</v>
      </c>
      <c r="HNK69" s="144">
        <v>8150</v>
      </c>
      <c r="HNL69" s="152">
        <v>85</v>
      </c>
      <c r="HNM69" s="153">
        <v>215</v>
      </c>
      <c r="HNN69" s="153">
        <v>75</v>
      </c>
      <c r="HNO69" s="152">
        <v>150</v>
      </c>
      <c r="HNP69" s="154">
        <f>SUM(HNK69:HNO69)</f>
        <v>8675</v>
      </c>
      <c r="HNQ69" s="152">
        <v>200</v>
      </c>
      <c r="HNR69" s="154">
        <f>SUM(HNP69:HNQ69)</f>
        <v>8875</v>
      </c>
      <c r="HNS69" s="147" t="s">
        <v>99</v>
      </c>
      <c r="HNT69" s="148">
        <v>45845</v>
      </c>
      <c r="HNU69" s="143" t="s">
        <v>46</v>
      </c>
      <c r="HNV69" s="199"/>
      <c r="HNW69" s="149" t="s">
        <v>125</v>
      </c>
      <c r="HNX69" s="197"/>
      <c r="HNY69" s="198"/>
      <c r="HNZ69" s="143" t="s">
        <v>22</v>
      </c>
      <c r="HOA69" s="144">
        <v>8150</v>
      </c>
      <c r="HOB69" s="152">
        <v>85</v>
      </c>
      <c r="HOC69" s="153">
        <v>215</v>
      </c>
      <c r="HOD69" s="153">
        <v>75</v>
      </c>
      <c r="HOE69" s="152">
        <v>150</v>
      </c>
      <c r="HOF69" s="154">
        <f>SUM(HOA69:HOE69)</f>
        <v>8675</v>
      </c>
      <c r="HOG69" s="152">
        <v>200</v>
      </c>
      <c r="HOH69" s="154">
        <f>SUM(HOF69:HOG69)</f>
        <v>8875</v>
      </c>
      <c r="HOI69" s="147" t="s">
        <v>99</v>
      </c>
      <c r="HOJ69" s="148">
        <v>45845</v>
      </c>
      <c r="HOK69" s="143" t="s">
        <v>46</v>
      </c>
      <c r="HOL69" s="199"/>
      <c r="HOM69" s="149" t="s">
        <v>125</v>
      </c>
      <c r="HON69" s="197"/>
      <c r="HOO69" s="198"/>
      <c r="HOP69" s="143" t="s">
        <v>22</v>
      </c>
      <c r="HOQ69" s="144">
        <v>8150</v>
      </c>
      <c r="HOR69" s="152">
        <v>85</v>
      </c>
      <c r="HOS69" s="153">
        <v>215</v>
      </c>
      <c r="HOT69" s="153">
        <v>75</v>
      </c>
      <c r="HOU69" s="152">
        <v>150</v>
      </c>
      <c r="HOV69" s="154">
        <f>SUM(HOQ69:HOU69)</f>
        <v>8675</v>
      </c>
      <c r="HOW69" s="152">
        <v>200</v>
      </c>
      <c r="HOX69" s="154">
        <f>SUM(HOV69:HOW69)</f>
        <v>8875</v>
      </c>
      <c r="HOY69" s="147" t="s">
        <v>99</v>
      </c>
      <c r="HOZ69" s="148">
        <v>45845</v>
      </c>
      <c r="HPA69" s="143" t="s">
        <v>46</v>
      </c>
      <c r="HPB69" s="199"/>
      <c r="HPC69" s="149" t="s">
        <v>125</v>
      </c>
      <c r="HPD69" s="197"/>
      <c r="HPE69" s="198"/>
      <c r="HPF69" s="143" t="s">
        <v>22</v>
      </c>
      <c r="HPG69" s="144">
        <v>8150</v>
      </c>
      <c r="HPH69" s="152">
        <v>85</v>
      </c>
      <c r="HPI69" s="153">
        <v>215</v>
      </c>
      <c r="HPJ69" s="153">
        <v>75</v>
      </c>
      <c r="HPK69" s="152">
        <v>150</v>
      </c>
      <c r="HPL69" s="154">
        <f>SUM(HPG69:HPK69)</f>
        <v>8675</v>
      </c>
      <c r="HPM69" s="152">
        <v>200</v>
      </c>
      <c r="HPN69" s="154">
        <f>SUM(HPL69:HPM69)</f>
        <v>8875</v>
      </c>
      <c r="HPO69" s="147" t="s">
        <v>99</v>
      </c>
      <c r="HPP69" s="148">
        <v>45845</v>
      </c>
      <c r="HPQ69" s="143" t="s">
        <v>46</v>
      </c>
      <c r="HPR69" s="199"/>
      <c r="HPS69" s="149" t="s">
        <v>125</v>
      </c>
      <c r="HPT69" s="197"/>
      <c r="HPU69" s="198"/>
      <c r="HPV69" s="143" t="s">
        <v>22</v>
      </c>
      <c r="HPW69" s="144">
        <v>8150</v>
      </c>
      <c r="HPX69" s="152">
        <v>85</v>
      </c>
      <c r="HPY69" s="153">
        <v>215</v>
      </c>
      <c r="HPZ69" s="153">
        <v>75</v>
      </c>
      <c r="HQA69" s="152">
        <v>150</v>
      </c>
      <c r="HQB69" s="154">
        <f>SUM(HPW69:HQA69)</f>
        <v>8675</v>
      </c>
      <c r="HQC69" s="152">
        <v>200</v>
      </c>
      <c r="HQD69" s="154">
        <f>SUM(HQB69:HQC69)</f>
        <v>8875</v>
      </c>
      <c r="HQE69" s="147" t="s">
        <v>99</v>
      </c>
      <c r="HQF69" s="148">
        <v>45845</v>
      </c>
      <c r="HQG69" s="143" t="s">
        <v>46</v>
      </c>
      <c r="HQH69" s="199"/>
      <c r="HQI69" s="149" t="s">
        <v>125</v>
      </c>
      <c r="HQJ69" s="197"/>
      <c r="HQK69" s="198"/>
      <c r="HQL69" s="143" t="s">
        <v>22</v>
      </c>
      <c r="HQM69" s="144">
        <v>8150</v>
      </c>
      <c r="HQN69" s="152">
        <v>85</v>
      </c>
      <c r="HQO69" s="153">
        <v>215</v>
      </c>
      <c r="HQP69" s="153">
        <v>75</v>
      </c>
      <c r="HQQ69" s="152">
        <v>150</v>
      </c>
      <c r="HQR69" s="154">
        <f>SUM(HQM69:HQQ69)</f>
        <v>8675</v>
      </c>
      <c r="HQS69" s="152">
        <v>200</v>
      </c>
      <c r="HQT69" s="154">
        <f>SUM(HQR69:HQS69)</f>
        <v>8875</v>
      </c>
      <c r="HQU69" s="147" t="s">
        <v>99</v>
      </c>
      <c r="HQV69" s="148">
        <v>45845</v>
      </c>
      <c r="HQW69" s="143" t="s">
        <v>46</v>
      </c>
      <c r="HQX69" s="199"/>
      <c r="HQY69" s="149" t="s">
        <v>125</v>
      </c>
      <c r="HQZ69" s="197"/>
      <c r="HRA69" s="198"/>
      <c r="HRB69" s="143" t="s">
        <v>22</v>
      </c>
      <c r="HRC69" s="144">
        <v>8150</v>
      </c>
      <c r="HRD69" s="152">
        <v>85</v>
      </c>
      <c r="HRE69" s="153">
        <v>215</v>
      </c>
      <c r="HRF69" s="153">
        <v>75</v>
      </c>
      <c r="HRG69" s="152">
        <v>150</v>
      </c>
      <c r="HRH69" s="154">
        <f>SUM(HRC69:HRG69)</f>
        <v>8675</v>
      </c>
      <c r="HRI69" s="152">
        <v>200</v>
      </c>
      <c r="HRJ69" s="154">
        <f>SUM(HRH69:HRI69)</f>
        <v>8875</v>
      </c>
      <c r="HRK69" s="147" t="s">
        <v>99</v>
      </c>
      <c r="HRL69" s="148">
        <v>45845</v>
      </c>
      <c r="HRM69" s="143" t="s">
        <v>46</v>
      </c>
      <c r="HRN69" s="199"/>
      <c r="HRO69" s="149" t="s">
        <v>125</v>
      </c>
      <c r="HRP69" s="197"/>
      <c r="HRQ69" s="198"/>
      <c r="HRR69" s="143" t="s">
        <v>22</v>
      </c>
      <c r="HRS69" s="144">
        <v>8150</v>
      </c>
      <c r="HRT69" s="152">
        <v>85</v>
      </c>
      <c r="HRU69" s="153">
        <v>215</v>
      </c>
      <c r="HRV69" s="153">
        <v>75</v>
      </c>
      <c r="HRW69" s="152">
        <v>150</v>
      </c>
      <c r="HRX69" s="154">
        <f>SUM(HRS69:HRW69)</f>
        <v>8675</v>
      </c>
      <c r="HRY69" s="152">
        <v>200</v>
      </c>
      <c r="HRZ69" s="154">
        <f>SUM(HRX69:HRY69)</f>
        <v>8875</v>
      </c>
      <c r="HSA69" s="147" t="s">
        <v>99</v>
      </c>
      <c r="HSB69" s="148">
        <v>45845</v>
      </c>
      <c r="HSC69" s="143" t="s">
        <v>46</v>
      </c>
      <c r="HSD69" s="199"/>
      <c r="HSE69" s="149" t="s">
        <v>125</v>
      </c>
      <c r="HSF69" s="197"/>
      <c r="HSG69" s="198"/>
      <c r="HSH69" s="143" t="s">
        <v>22</v>
      </c>
      <c r="HSI69" s="144">
        <v>8150</v>
      </c>
      <c r="HSJ69" s="152">
        <v>85</v>
      </c>
      <c r="HSK69" s="153">
        <v>215</v>
      </c>
      <c r="HSL69" s="153">
        <v>75</v>
      </c>
      <c r="HSM69" s="152">
        <v>150</v>
      </c>
      <c r="HSN69" s="154">
        <f>SUM(HSI69:HSM69)</f>
        <v>8675</v>
      </c>
      <c r="HSO69" s="152">
        <v>200</v>
      </c>
      <c r="HSP69" s="154">
        <f>SUM(HSN69:HSO69)</f>
        <v>8875</v>
      </c>
      <c r="HSQ69" s="147" t="s">
        <v>99</v>
      </c>
      <c r="HSR69" s="148">
        <v>45845</v>
      </c>
      <c r="HSS69" s="143" t="s">
        <v>46</v>
      </c>
      <c r="HST69" s="199"/>
      <c r="HSU69" s="149" t="s">
        <v>125</v>
      </c>
      <c r="HSV69" s="197"/>
      <c r="HSW69" s="198"/>
      <c r="HSX69" s="143" t="s">
        <v>22</v>
      </c>
      <c r="HSY69" s="144">
        <v>8150</v>
      </c>
      <c r="HSZ69" s="152">
        <v>85</v>
      </c>
      <c r="HTA69" s="153">
        <v>215</v>
      </c>
      <c r="HTB69" s="153">
        <v>75</v>
      </c>
      <c r="HTC69" s="152">
        <v>150</v>
      </c>
      <c r="HTD69" s="154">
        <f>SUM(HSY69:HTC69)</f>
        <v>8675</v>
      </c>
      <c r="HTE69" s="152">
        <v>200</v>
      </c>
      <c r="HTF69" s="154">
        <f>SUM(HTD69:HTE69)</f>
        <v>8875</v>
      </c>
      <c r="HTG69" s="147" t="s">
        <v>99</v>
      </c>
      <c r="HTH69" s="148">
        <v>45845</v>
      </c>
      <c r="HTI69" s="143" t="s">
        <v>46</v>
      </c>
      <c r="HTJ69" s="199"/>
      <c r="HTK69" s="149" t="s">
        <v>125</v>
      </c>
      <c r="HTL69" s="197"/>
      <c r="HTM69" s="198"/>
      <c r="HTN69" s="143" t="s">
        <v>22</v>
      </c>
      <c r="HTO69" s="144">
        <v>8150</v>
      </c>
      <c r="HTP69" s="152">
        <v>85</v>
      </c>
      <c r="HTQ69" s="153">
        <v>215</v>
      </c>
      <c r="HTR69" s="153">
        <v>75</v>
      </c>
      <c r="HTS69" s="152">
        <v>150</v>
      </c>
      <c r="HTT69" s="154">
        <f>SUM(HTO69:HTS69)</f>
        <v>8675</v>
      </c>
      <c r="HTU69" s="152">
        <v>200</v>
      </c>
      <c r="HTV69" s="154">
        <f>SUM(HTT69:HTU69)</f>
        <v>8875</v>
      </c>
      <c r="HTW69" s="147" t="s">
        <v>99</v>
      </c>
      <c r="HTX69" s="148">
        <v>45845</v>
      </c>
      <c r="HTY69" s="143" t="s">
        <v>46</v>
      </c>
      <c r="HTZ69" s="199"/>
      <c r="HUA69" s="149" t="s">
        <v>125</v>
      </c>
      <c r="HUB69" s="197"/>
      <c r="HUC69" s="198"/>
      <c r="HUD69" s="143" t="s">
        <v>22</v>
      </c>
      <c r="HUE69" s="144">
        <v>8150</v>
      </c>
      <c r="HUF69" s="152">
        <v>85</v>
      </c>
      <c r="HUG69" s="153">
        <v>215</v>
      </c>
      <c r="HUH69" s="153">
        <v>75</v>
      </c>
      <c r="HUI69" s="152">
        <v>150</v>
      </c>
      <c r="HUJ69" s="154">
        <f>SUM(HUE69:HUI69)</f>
        <v>8675</v>
      </c>
      <c r="HUK69" s="152">
        <v>200</v>
      </c>
      <c r="HUL69" s="154">
        <f>SUM(HUJ69:HUK69)</f>
        <v>8875</v>
      </c>
      <c r="HUM69" s="147" t="s">
        <v>99</v>
      </c>
      <c r="HUN69" s="148">
        <v>45845</v>
      </c>
      <c r="HUO69" s="143" t="s">
        <v>46</v>
      </c>
      <c r="HUP69" s="199"/>
      <c r="HUQ69" s="149" t="s">
        <v>125</v>
      </c>
      <c r="HUR69" s="197"/>
      <c r="HUS69" s="198"/>
      <c r="HUT69" s="143" t="s">
        <v>22</v>
      </c>
      <c r="HUU69" s="144">
        <v>8150</v>
      </c>
      <c r="HUV69" s="152">
        <v>85</v>
      </c>
      <c r="HUW69" s="153">
        <v>215</v>
      </c>
      <c r="HUX69" s="153">
        <v>75</v>
      </c>
      <c r="HUY69" s="152">
        <v>150</v>
      </c>
      <c r="HUZ69" s="154">
        <f>SUM(HUU69:HUY69)</f>
        <v>8675</v>
      </c>
      <c r="HVA69" s="152">
        <v>200</v>
      </c>
      <c r="HVB69" s="154">
        <f>SUM(HUZ69:HVA69)</f>
        <v>8875</v>
      </c>
      <c r="HVC69" s="147" t="s">
        <v>99</v>
      </c>
      <c r="HVD69" s="148">
        <v>45845</v>
      </c>
      <c r="HVE69" s="143" t="s">
        <v>46</v>
      </c>
      <c r="HVF69" s="199"/>
      <c r="HVG69" s="149" t="s">
        <v>125</v>
      </c>
      <c r="HVH69" s="197"/>
      <c r="HVI69" s="198"/>
      <c r="HVJ69" s="143" t="s">
        <v>22</v>
      </c>
      <c r="HVK69" s="144">
        <v>8150</v>
      </c>
      <c r="HVL69" s="152">
        <v>85</v>
      </c>
      <c r="HVM69" s="153">
        <v>215</v>
      </c>
      <c r="HVN69" s="153">
        <v>75</v>
      </c>
      <c r="HVO69" s="152">
        <v>150</v>
      </c>
      <c r="HVP69" s="154">
        <f>SUM(HVK69:HVO69)</f>
        <v>8675</v>
      </c>
      <c r="HVQ69" s="152">
        <v>200</v>
      </c>
      <c r="HVR69" s="154">
        <f>SUM(HVP69:HVQ69)</f>
        <v>8875</v>
      </c>
      <c r="HVS69" s="147" t="s">
        <v>99</v>
      </c>
      <c r="HVT69" s="148">
        <v>45845</v>
      </c>
      <c r="HVU69" s="143" t="s">
        <v>46</v>
      </c>
      <c r="HVV69" s="199"/>
      <c r="HVW69" s="149" t="s">
        <v>125</v>
      </c>
      <c r="HVX69" s="197"/>
      <c r="HVY69" s="198"/>
      <c r="HVZ69" s="143" t="s">
        <v>22</v>
      </c>
      <c r="HWA69" s="144">
        <v>8150</v>
      </c>
      <c r="HWB69" s="152">
        <v>85</v>
      </c>
      <c r="HWC69" s="153">
        <v>215</v>
      </c>
      <c r="HWD69" s="153">
        <v>75</v>
      </c>
      <c r="HWE69" s="152">
        <v>150</v>
      </c>
      <c r="HWF69" s="154">
        <f>SUM(HWA69:HWE69)</f>
        <v>8675</v>
      </c>
      <c r="HWG69" s="152">
        <v>200</v>
      </c>
      <c r="HWH69" s="154">
        <f>SUM(HWF69:HWG69)</f>
        <v>8875</v>
      </c>
      <c r="HWI69" s="147" t="s">
        <v>99</v>
      </c>
      <c r="HWJ69" s="148">
        <v>45845</v>
      </c>
      <c r="HWK69" s="143" t="s">
        <v>46</v>
      </c>
      <c r="HWL69" s="199"/>
      <c r="HWM69" s="149" t="s">
        <v>125</v>
      </c>
      <c r="HWN69" s="197"/>
      <c r="HWO69" s="198"/>
      <c r="HWP69" s="143" t="s">
        <v>22</v>
      </c>
      <c r="HWQ69" s="144">
        <v>8150</v>
      </c>
      <c r="HWR69" s="152">
        <v>85</v>
      </c>
      <c r="HWS69" s="153">
        <v>215</v>
      </c>
      <c r="HWT69" s="153">
        <v>75</v>
      </c>
      <c r="HWU69" s="152">
        <v>150</v>
      </c>
      <c r="HWV69" s="154">
        <f>SUM(HWQ69:HWU69)</f>
        <v>8675</v>
      </c>
      <c r="HWW69" s="152">
        <v>200</v>
      </c>
      <c r="HWX69" s="154">
        <f>SUM(HWV69:HWW69)</f>
        <v>8875</v>
      </c>
      <c r="HWY69" s="147" t="s">
        <v>99</v>
      </c>
      <c r="HWZ69" s="148">
        <v>45845</v>
      </c>
      <c r="HXA69" s="143" t="s">
        <v>46</v>
      </c>
      <c r="HXB69" s="199"/>
      <c r="HXC69" s="149" t="s">
        <v>125</v>
      </c>
      <c r="HXD69" s="197"/>
      <c r="HXE69" s="198"/>
      <c r="HXF69" s="143" t="s">
        <v>22</v>
      </c>
      <c r="HXG69" s="144">
        <v>8150</v>
      </c>
      <c r="HXH69" s="152">
        <v>85</v>
      </c>
      <c r="HXI69" s="153">
        <v>215</v>
      </c>
      <c r="HXJ69" s="153">
        <v>75</v>
      </c>
      <c r="HXK69" s="152">
        <v>150</v>
      </c>
      <c r="HXL69" s="154">
        <f>SUM(HXG69:HXK69)</f>
        <v>8675</v>
      </c>
      <c r="HXM69" s="152">
        <v>200</v>
      </c>
      <c r="HXN69" s="154">
        <f>SUM(HXL69:HXM69)</f>
        <v>8875</v>
      </c>
      <c r="HXO69" s="147" t="s">
        <v>99</v>
      </c>
      <c r="HXP69" s="148">
        <v>45845</v>
      </c>
      <c r="HXQ69" s="143" t="s">
        <v>46</v>
      </c>
      <c r="HXR69" s="199"/>
      <c r="HXS69" s="149" t="s">
        <v>125</v>
      </c>
      <c r="HXT69" s="197"/>
      <c r="HXU69" s="198"/>
      <c r="HXV69" s="143" t="s">
        <v>22</v>
      </c>
      <c r="HXW69" s="144">
        <v>8150</v>
      </c>
      <c r="HXX69" s="152">
        <v>85</v>
      </c>
      <c r="HXY69" s="153">
        <v>215</v>
      </c>
      <c r="HXZ69" s="153">
        <v>75</v>
      </c>
      <c r="HYA69" s="152">
        <v>150</v>
      </c>
      <c r="HYB69" s="154">
        <f>SUM(HXW69:HYA69)</f>
        <v>8675</v>
      </c>
      <c r="HYC69" s="152">
        <v>200</v>
      </c>
      <c r="HYD69" s="154">
        <f>SUM(HYB69:HYC69)</f>
        <v>8875</v>
      </c>
      <c r="HYE69" s="147" t="s">
        <v>99</v>
      </c>
      <c r="HYF69" s="148">
        <v>45845</v>
      </c>
      <c r="HYG69" s="143" t="s">
        <v>46</v>
      </c>
      <c r="HYH69" s="199"/>
      <c r="HYI69" s="149" t="s">
        <v>125</v>
      </c>
      <c r="HYJ69" s="197"/>
      <c r="HYK69" s="198"/>
      <c r="HYL69" s="143" t="s">
        <v>22</v>
      </c>
      <c r="HYM69" s="144">
        <v>8150</v>
      </c>
      <c r="HYN69" s="152">
        <v>85</v>
      </c>
      <c r="HYO69" s="153">
        <v>215</v>
      </c>
      <c r="HYP69" s="153">
        <v>75</v>
      </c>
      <c r="HYQ69" s="152">
        <v>150</v>
      </c>
      <c r="HYR69" s="154">
        <f>SUM(HYM69:HYQ69)</f>
        <v>8675</v>
      </c>
      <c r="HYS69" s="152">
        <v>200</v>
      </c>
      <c r="HYT69" s="154">
        <f>SUM(HYR69:HYS69)</f>
        <v>8875</v>
      </c>
      <c r="HYU69" s="147" t="s">
        <v>99</v>
      </c>
      <c r="HYV69" s="148">
        <v>45845</v>
      </c>
      <c r="HYW69" s="143" t="s">
        <v>46</v>
      </c>
      <c r="HYX69" s="199"/>
      <c r="HYY69" s="149" t="s">
        <v>125</v>
      </c>
      <c r="HYZ69" s="197"/>
      <c r="HZA69" s="198"/>
      <c r="HZB69" s="143" t="s">
        <v>22</v>
      </c>
      <c r="HZC69" s="144">
        <v>8150</v>
      </c>
      <c r="HZD69" s="152">
        <v>85</v>
      </c>
      <c r="HZE69" s="153">
        <v>215</v>
      </c>
      <c r="HZF69" s="153">
        <v>75</v>
      </c>
      <c r="HZG69" s="152">
        <v>150</v>
      </c>
      <c r="HZH69" s="154">
        <f>SUM(HZC69:HZG69)</f>
        <v>8675</v>
      </c>
      <c r="HZI69" s="152">
        <v>200</v>
      </c>
      <c r="HZJ69" s="154">
        <f>SUM(HZH69:HZI69)</f>
        <v>8875</v>
      </c>
      <c r="HZK69" s="147" t="s">
        <v>99</v>
      </c>
      <c r="HZL69" s="148">
        <v>45845</v>
      </c>
      <c r="HZM69" s="143" t="s">
        <v>46</v>
      </c>
      <c r="HZN69" s="199"/>
      <c r="HZO69" s="149" t="s">
        <v>125</v>
      </c>
      <c r="HZP69" s="197"/>
      <c r="HZQ69" s="198"/>
      <c r="HZR69" s="143" t="s">
        <v>22</v>
      </c>
      <c r="HZS69" s="144">
        <v>8150</v>
      </c>
      <c r="HZT69" s="152">
        <v>85</v>
      </c>
      <c r="HZU69" s="153">
        <v>215</v>
      </c>
      <c r="HZV69" s="153">
        <v>75</v>
      </c>
      <c r="HZW69" s="152">
        <v>150</v>
      </c>
      <c r="HZX69" s="154">
        <f>SUM(HZS69:HZW69)</f>
        <v>8675</v>
      </c>
      <c r="HZY69" s="152">
        <v>200</v>
      </c>
      <c r="HZZ69" s="154">
        <f>SUM(HZX69:HZY69)</f>
        <v>8875</v>
      </c>
      <c r="IAA69" s="147" t="s">
        <v>99</v>
      </c>
      <c r="IAB69" s="148">
        <v>45845</v>
      </c>
      <c r="IAC69" s="143" t="s">
        <v>46</v>
      </c>
      <c r="IAD69" s="199"/>
      <c r="IAE69" s="149" t="s">
        <v>125</v>
      </c>
      <c r="IAF69" s="197"/>
      <c r="IAG69" s="198"/>
      <c r="IAH69" s="143" t="s">
        <v>22</v>
      </c>
      <c r="IAI69" s="144">
        <v>8150</v>
      </c>
      <c r="IAJ69" s="152">
        <v>85</v>
      </c>
      <c r="IAK69" s="153">
        <v>215</v>
      </c>
      <c r="IAL69" s="153">
        <v>75</v>
      </c>
      <c r="IAM69" s="152">
        <v>150</v>
      </c>
      <c r="IAN69" s="154">
        <f>SUM(IAI69:IAM69)</f>
        <v>8675</v>
      </c>
      <c r="IAO69" s="152">
        <v>200</v>
      </c>
      <c r="IAP69" s="154">
        <f>SUM(IAN69:IAO69)</f>
        <v>8875</v>
      </c>
      <c r="IAQ69" s="147" t="s">
        <v>99</v>
      </c>
      <c r="IAR69" s="148">
        <v>45845</v>
      </c>
      <c r="IAS69" s="143" t="s">
        <v>46</v>
      </c>
      <c r="IAT69" s="199"/>
      <c r="IAU69" s="149" t="s">
        <v>125</v>
      </c>
      <c r="IAV69" s="197"/>
      <c r="IAW69" s="198"/>
      <c r="IAX69" s="143" t="s">
        <v>22</v>
      </c>
      <c r="IAY69" s="144">
        <v>8150</v>
      </c>
      <c r="IAZ69" s="152">
        <v>85</v>
      </c>
      <c r="IBA69" s="153">
        <v>215</v>
      </c>
      <c r="IBB69" s="153">
        <v>75</v>
      </c>
      <c r="IBC69" s="152">
        <v>150</v>
      </c>
      <c r="IBD69" s="154">
        <f>SUM(IAY69:IBC69)</f>
        <v>8675</v>
      </c>
      <c r="IBE69" s="152">
        <v>200</v>
      </c>
      <c r="IBF69" s="154">
        <f>SUM(IBD69:IBE69)</f>
        <v>8875</v>
      </c>
      <c r="IBG69" s="147" t="s">
        <v>99</v>
      </c>
      <c r="IBH69" s="148">
        <v>45845</v>
      </c>
      <c r="IBI69" s="143" t="s">
        <v>46</v>
      </c>
      <c r="IBJ69" s="199"/>
      <c r="IBK69" s="149" t="s">
        <v>125</v>
      </c>
      <c r="IBL69" s="197"/>
      <c r="IBM69" s="198"/>
      <c r="IBN69" s="143" t="s">
        <v>22</v>
      </c>
      <c r="IBO69" s="144">
        <v>8150</v>
      </c>
      <c r="IBP69" s="152">
        <v>85</v>
      </c>
      <c r="IBQ69" s="153">
        <v>215</v>
      </c>
      <c r="IBR69" s="153">
        <v>75</v>
      </c>
      <c r="IBS69" s="152">
        <v>150</v>
      </c>
      <c r="IBT69" s="154">
        <f>SUM(IBO69:IBS69)</f>
        <v>8675</v>
      </c>
      <c r="IBU69" s="152">
        <v>200</v>
      </c>
      <c r="IBV69" s="154">
        <f>SUM(IBT69:IBU69)</f>
        <v>8875</v>
      </c>
      <c r="IBW69" s="147" t="s">
        <v>99</v>
      </c>
      <c r="IBX69" s="148">
        <v>45845</v>
      </c>
      <c r="IBY69" s="143" t="s">
        <v>46</v>
      </c>
      <c r="IBZ69" s="199"/>
      <c r="ICA69" s="149" t="s">
        <v>125</v>
      </c>
      <c r="ICB69" s="197"/>
      <c r="ICC69" s="198"/>
      <c r="ICD69" s="143" t="s">
        <v>22</v>
      </c>
      <c r="ICE69" s="144">
        <v>8150</v>
      </c>
      <c r="ICF69" s="152">
        <v>85</v>
      </c>
      <c r="ICG69" s="153">
        <v>215</v>
      </c>
      <c r="ICH69" s="153">
        <v>75</v>
      </c>
      <c r="ICI69" s="152">
        <v>150</v>
      </c>
      <c r="ICJ69" s="154">
        <f>SUM(ICE69:ICI69)</f>
        <v>8675</v>
      </c>
      <c r="ICK69" s="152">
        <v>200</v>
      </c>
      <c r="ICL69" s="154">
        <f>SUM(ICJ69:ICK69)</f>
        <v>8875</v>
      </c>
      <c r="ICM69" s="147" t="s">
        <v>99</v>
      </c>
      <c r="ICN69" s="148">
        <v>45845</v>
      </c>
      <c r="ICO69" s="143" t="s">
        <v>46</v>
      </c>
      <c r="ICP69" s="199"/>
      <c r="ICQ69" s="149" t="s">
        <v>125</v>
      </c>
      <c r="ICR69" s="197"/>
      <c r="ICS69" s="198"/>
      <c r="ICT69" s="143" t="s">
        <v>22</v>
      </c>
      <c r="ICU69" s="144">
        <v>8150</v>
      </c>
      <c r="ICV69" s="152">
        <v>85</v>
      </c>
      <c r="ICW69" s="153">
        <v>215</v>
      </c>
      <c r="ICX69" s="153">
        <v>75</v>
      </c>
      <c r="ICY69" s="152">
        <v>150</v>
      </c>
      <c r="ICZ69" s="154">
        <f>SUM(ICU69:ICY69)</f>
        <v>8675</v>
      </c>
      <c r="IDA69" s="152">
        <v>200</v>
      </c>
      <c r="IDB69" s="154">
        <f>SUM(ICZ69:IDA69)</f>
        <v>8875</v>
      </c>
      <c r="IDC69" s="147" t="s">
        <v>99</v>
      </c>
      <c r="IDD69" s="148">
        <v>45845</v>
      </c>
      <c r="IDE69" s="143" t="s">
        <v>46</v>
      </c>
      <c r="IDF69" s="199"/>
      <c r="IDG69" s="149" t="s">
        <v>125</v>
      </c>
      <c r="IDH69" s="197"/>
      <c r="IDI69" s="198"/>
      <c r="IDJ69" s="143" t="s">
        <v>22</v>
      </c>
      <c r="IDK69" s="144">
        <v>8150</v>
      </c>
      <c r="IDL69" s="152">
        <v>85</v>
      </c>
      <c r="IDM69" s="153">
        <v>215</v>
      </c>
      <c r="IDN69" s="153">
        <v>75</v>
      </c>
      <c r="IDO69" s="152">
        <v>150</v>
      </c>
      <c r="IDP69" s="154">
        <f>SUM(IDK69:IDO69)</f>
        <v>8675</v>
      </c>
      <c r="IDQ69" s="152">
        <v>200</v>
      </c>
      <c r="IDR69" s="154">
        <f>SUM(IDP69:IDQ69)</f>
        <v>8875</v>
      </c>
      <c r="IDS69" s="147" t="s">
        <v>99</v>
      </c>
      <c r="IDT69" s="148">
        <v>45845</v>
      </c>
      <c r="IDU69" s="143" t="s">
        <v>46</v>
      </c>
      <c r="IDV69" s="199"/>
      <c r="IDW69" s="149" t="s">
        <v>125</v>
      </c>
      <c r="IDX69" s="197"/>
      <c r="IDY69" s="198"/>
      <c r="IDZ69" s="143" t="s">
        <v>22</v>
      </c>
      <c r="IEA69" s="144">
        <v>8150</v>
      </c>
      <c r="IEB69" s="152">
        <v>85</v>
      </c>
      <c r="IEC69" s="153">
        <v>215</v>
      </c>
      <c r="IED69" s="153">
        <v>75</v>
      </c>
      <c r="IEE69" s="152">
        <v>150</v>
      </c>
      <c r="IEF69" s="154">
        <f>SUM(IEA69:IEE69)</f>
        <v>8675</v>
      </c>
      <c r="IEG69" s="152">
        <v>200</v>
      </c>
      <c r="IEH69" s="154">
        <f>SUM(IEF69:IEG69)</f>
        <v>8875</v>
      </c>
      <c r="IEI69" s="147" t="s">
        <v>99</v>
      </c>
      <c r="IEJ69" s="148">
        <v>45845</v>
      </c>
      <c r="IEK69" s="143" t="s">
        <v>46</v>
      </c>
      <c r="IEL69" s="199"/>
      <c r="IEM69" s="149" t="s">
        <v>125</v>
      </c>
      <c r="IEN69" s="197"/>
      <c r="IEO69" s="198"/>
      <c r="IEP69" s="143" t="s">
        <v>22</v>
      </c>
      <c r="IEQ69" s="144">
        <v>8150</v>
      </c>
      <c r="IER69" s="152">
        <v>85</v>
      </c>
      <c r="IES69" s="153">
        <v>215</v>
      </c>
      <c r="IET69" s="153">
        <v>75</v>
      </c>
      <c r="IEU69" s="152">
        <v>150</v>
      </c>
      <c r="IEV69" s="154">
        <f>SUM(IEQ69:IEU69)</f>
        <v>8675</v>
      </c>
      <c r="IEW69" s="152">
        <v>200</v>
      </c>
      <c r="IEX69" s="154">
        <f>SUM(IEV69:IEW69)</f>
        <v>8875</v>
      </c>
      <c r="IEY69" s="147" t="s">
        <v>99</v>
      </c>
      <c r="IEZ69" s="148">
        <v>45845</v>
      </c>
      <c r="IFA69" s="143" t="s">
        <v>46</v>
      </c>
      <c r="IFB69" s="199"/>
      <c r="IFC69" s="149" t="s">
        <v>125</v>
      </c>
      <c r="IFD69" s="197"/>
      <c r="IFE69" s="198"/>
      <c r="IFF69" s="143" t="s">
        <v>22</v>
      </c>
      <c r="IFG69" s="144">
        <v>8150</v>
      </c>
      <c r="IFH69" s="152">
        <v>85</v>
      </c>
      <c r="IFI69" s="153">
        <v>215</v>
      </c>
      <c r="IFJ69" s="153">
        <v>75</v>
      </c>
      <c r="IFK69" s="152">
        <v>150</v>
      </c>
      <c r="IFL69" s="154">
        <f>SUM(IFG69:IFK69)</f>
        <v>8675</v>
      </c>
      <c r="IFM69" s="152">
        <v>200</v>
      </c>
      <c r="IFN69" s="154">
        <f>SUM(IFL69:IFM69)</f>
        <v>8875</v>
      </c>
      <c r="IFO69" s="147" t="s">
        <v>99</v>
      </c>
      <c r="IFP69" s="148">
        <v>45845</v>
      </c>
      <c r="IFQ69" s="143" t="s">
        <v>46</v>
      </c>
      <c r="IFR69" s="199"/>
      <c r="IFS69" s="149" t="s">
        <v>125</v>
      </c>
      <c r="IFT69" s="197"/>
      <c r="IFU69" s="198"/>
      <c r="IFV69" s="143" t="s">
        <v>22</v>
      </c>
      <c r="IFW69" s="144">
        <v>8150</v>
      </c>
      <c r="IFX69" s="152">
        <v>85</v>
      </c>
      <c r="IFY69" s="153">
        <v>215</v>
      </c>
      <c r="IFZ69" s="153">
        <v>75</v>
      </c>
      <c r="IGA69" s="152">
        <v>150</v>
      </c>
      <c r="IGB69" s="154">
        <f>SUM(IFW69:IGA69)</f>
        <v>8675</v>
      </c>
      <c r="IGC69" s="152">
        <v>200</v>
      </c>
      <c r="IGD69" s="154">
        <f>SUM(IGB69:IGC69)</f>
        <v>8875</v>
      </c>
      <c r="IGE69" s="147" t="s">
        <v>99</v>
      </c>
      <c r="IGF69" s="148">
        <v>45845</v>
      </c>
      <c r="IGG69" s="143" t="s">
        <v>46</v>
      </c>
      <c r="IGH69" s="199"/>
      <c r="IGI69" s="149" t="s">
        <v>125</v>
      </c>
      <c r="IGJ69" s="197"/>
      <c r="IGK69" s="198"/>
      <c r="IGL69" s="143" t="s">
        <v>22</v>
      </c>
      <c r="IGM69" s="144">
        <v>8150</v>
      </c>
      <c r="IGN69" s="152">
        <v>85</v>
      </c>
      <c r="IGO69" s="153">
        <v>215</v>
      </c>
      <c r="IGP69" s="153">
        <v>75</v>
      </c>
      <c r="IGQ69" s="152">
        <v>150</v>
      </c>
      <c r="IGR69" s="154">
        <f>SUM(IGM69:IGQ69)</f>
        <v>8675</v>
      </c>
      <c r="IGS69" s="152">
        <v>200</v>
      </c>
      <c r="IGT69" s="154">
        <f>SUM(IGR69:IGS69)</f>
        <v>8875</v>
      </c>
      <c r="IGU69" s="147" t="s">
        <v>99</v>
      </c>
      <c r="IGV69" s="148">
        <v>45845</v>
      </c>
      <c r="IGW69" s="143" t="s">
        <v>46</v>
      </c>
      <c r="IGX69" s="199"/>
      <c r="IGY69" s="149" t="s">
        <v>125</v>
      </c>
      <c r="IGZ69" s="197"/>
      <c r="IHA69" s="198"/>
      <c r="IHB69" s="143" t="s">
        <v>22</v>
      </c>
      <c r="IHC69" s="144">
        <v>8150</v>
      </c>
      <c r="IHD69" s="152">
        <v>85</v>
      </c>
      <c r="IHE69" s="153">
        <v>215</v>
      </c>
      <c r="IHF69" s="153">
        <v>75</v>
      </c>
      <c r="IHG69" s="152">
        <v>150</v>
      </c>
      <c r="IHH69" s="154">
        <f>SUM(IHC69:IHG69)</f>
        <v>8675</v>
      </c>
      <c r="IHI69" s="152">
        <v>200</v>
      </c>
      <c r="IHJ69" s="154">
        <f>SUM(IHH69:IHI69)</f>
        <v>8875</v>
      </c>
      <c r="IHK69" s="147" t="s">
        <v>99</v>
      </c>
      <c r="IHL69" s="148">
        <v>45845</v>
      </c>
      <c r="IHM69" s="143" t="s">
        <v>46</v>
      </c>
      <c r="IHN69" s="199"/>
      <c r="IHO69" s="149" t="s">
        <v>125</v>
      </c>
      <c r="IHP69" s="197"/>
      <c r="IHQ69" s="198"/>
      <c r="IHR69" s="143" t="s">
        <v>22</v>
      </c>
      <c r="IHS69" s="144">
        <v>8150</v>
      </c>
      <c r="IHT69" s="152">
        <v>85</v>
      </c>
      <c r="IHU69" s="153">
        <v>215</v>
      </c>
      <c r="IHV69" s="153">
        <v>75</v>
      </c>
      <c r="IHW69" s="152">
        <v>150</v>
      </c>
      <c r="IHX69" s="154">
        <f>SUM(IHS69:IHW69)</f>
        <v>8675</v>
      </c>
      <c r="IHY69" s="152">
        <v>200</v>
      </c>
      <c r="IHZ69" s="154">
        <f>SUM(IHX69:IHY69)</f>
        <v>8875</v>
      </c>
      <c r="IIA69" s="147" t="s">
        <v>99</v>
      </c>
      <c r="IIB69" s="148">
        <v>45845</v>
      </c>
      <c r="IIC69" s="143" t="s">
        <v>46</v>
      </c>
      <c r="IID69" s="199"/>
      <c r="IIE69" s="149" t="s">
        <v>125</v>
      </c>
      <c r="IIF69" s="197"/>
      <c r="IIG69" s="198"/>
      <c r="IIH69" s="143" t="s">
        <v>22</v>
      </c>
      <c r="III69" s="144">
        <v>8150</v>
      </c>
      <c r="IIJ69" s="152">
        <v>85</v>
      </c>
      <c r="IIK69" s="153">
        <v>215</v>
      </c>
      <c r="IIL69" s="153">
        <v>75</v>
      </c>
      <c r="IIM69" s="152">
        <v>150</v>
      </c>
      <c r="IIN69" s="154">
        <f>SUM(III69:IIM69)</f>
        <v>8675</v>
      </c>
      <c r="IIO69" s="152">
        <v>200</v>
      </c>
      <c r="IIP69" s="154">
        <f>SUM(IIN69:IIO69)</f>
        <v>8875</v>
      </c>
      <c r="IIQ69" s="147" t="s">
        <v>99</v>
      </c>
      <c r="IIR69" s="148">
        <v>45845</v>
      </c>
      <c r="IIS69" s="143" t="s">
        <v>46</v>
      </c>
      <c r="IIT69" s="199"/>
      <c r="IIU69" s="149" t="s">
        <v>125</v>
      </c>
      <c r="IIV69" s="197"/>
      <c r="IIW69" s="198"/>
      <c r="IIX69" s="143" t="s">
        <v>22</v>
      </c>
      <c r="IIY69" s="144">
        <v>8150</v>
      </c>
      <c r="IIZ69" s="152">
        <v>85</v>
      </c>
      <c r="IJA69" s="153">
        <v>215</v>
      </c>
      <c r="IJB69" s="153">
        <v>75</v>
      </c>
      <c r="IJC69" s="152">
        <v>150</v>
      </c>
      <c r="IJD69" s="154">
        <f>SUM(IIY69:IJC69)</f>
        <v>8675</v>
      </c>
      <c r="IJE69" s="152">
        <v>200</v>
      </c>
      <c r="IJF69" s="154">
        <f>SUM(IJD69:IJE69)</f>
        <v>8875</v>
      </c>
      <c r="IJG69" s="147" t="s">
        <v>99</v>
      </c>
      <c r="IJH69" s="148">
        <v>45845</v>
      </c>
      <c r="IJI69" s="143" t="s">
        <v>46</v>
      </c>
      <c r="IJJ69" s="199"/>
      <c r="IJK69" s="149" t="s">
        <v>125</v>
      </c>
      <c r="IJL69" s="197"/>
      <c r="IJM69" s="198"/>
      <c r="IJN69" s="143" t="s">
        <v>22</v>
      </c>
      <c r="IJO69" s="144">
        <v>8150</v>
      </c>
      <c r="IJP69" s="152">
        <v>85</v>
      </c>
      <c r="IJQ69" s="153">
        <v>215</v>
      </c>
      <c r="IJR69" s="153">
        <v>75</v>
      </c>
      <c r="IJS69" s="152">
        <v>150</v>
      </c>
      <c r="IJT69" s="154">
        <f>SUM(IJO69:IJS69)</f>
        <v>8675</v>
      </c>
      <c r="IJU69" s="152">
        <v>200</v>
      </c>
      <c r="IJV69" s="154">
        <f>SUM(IJT69:IJU69)</f>
        <v>8875</v>
      </c>
      <c r="IJW69" s="147" t="s">
        <v>99</v>
      </c>
      <c r="IJX69" s="148">
        <v>45845</v>
      </c>
      <c r="IJY69" s="143" t="s">
        <v>46</v>
      </c>
      <c r="IJZ69" s="199"/>
      <c r="IKA69" s="149" t="s">
        <v>125</v>
      </c>
      <c r="IKB69" s="197"/>
      <c r="IKC69" s="198"/>
      <c r="IKD69" s="143" t="s">
        <v>22</v>
      </c>
      <c r="IKE69" s="144">
        <v>8150</v>
      </c>
      <c r="IKF69" s="152">
        <v>85</v>
      </c>
      <c r="IKG69" s="153">
        <v>215</v>
      </c>
      <c r="IKH69" s="153">
        <v>75</v>
      </c>
      <c r="IKI69" s="152">
        <v>150</v>
      </c>
      <c r="IKJ69" s="154">
        <f>SUM(IKE69:IKI69)</f>
        <v>8675</v>
      </c>
      <c r="IKK69" s="152">
        <v>200</v>
      </c>
      <c r="IKL69" s="154">
        <f>SUM(IKJ69:IKK69)</f>
        <v>8875</v>
      </c>
      <c r="IKM69" s="147" t="s">
        <v>99</v>
      </c>
      <c r="IKN69" s="148">
        <v>45845</v>
      </c>
      <c r="IKO69" s="143" t="s">
        <v>46</v>
      </c>
      <c r="IKP69" s="199"/>
      <c r="IKQ69" s="149" t="s">
        <v>125</v>
      </c>
      <c r="IKR69" s="197"/>
      <c r="IKS69" s="198"/>
      <c r="IKT69" s="143" t="s">
        <v>22</v>
      </c>
      <c r="IKU69" s="144">
        <v>8150</v>
      </c>
      <c r="IKV69" s="152">
        <v>85</v>
      </c>
      <c r="IKW69" s="153">
        <v>215</v>
      </c>
      <c r="IKX69" s="153">
        <v>75</v>
      </c>
      <c r="IKY69" s="152">
        <v>150</v>
      </c>
      <c r="IKZ69" s="154">
        <f>SUM(IKU69:IKY69)</f>
        <v>8675</v>
      </c>
      <c r="ILA69" s="152">
        <v>200</v>
      </c>
      <c r="ILB69" s="154">
        <f>SUM(IKZ69:ILA69)</f>
        <v>8875</v>
      </c>
      <c r="ILC69" s="147" t="s">
        <v>99</v>
      </c>
      <c r="ILD69" s="148">
        <v>45845</v>
      </c>
      <c r="ILE69" s="143" t="s">
        <v>46</v>
      </c>
      <c r="ILF69" s="199"/>
      <c r="ILG69" s="149" t="s">
        <v>125</v>
      </c>
      <c r="ILH69" s="197"/>
      <c r="ILI69" s="198"/>
      <c r="ILJ69" s="143" t="s">
        <v>22</v>
      </c>
      <c r="ILK69" s="144">
        <v>8150</v>
      </c>
      <c r="ILL69" s="152">
        <v>85</v>
      </c>
      <c r="ILM69" s="153">
        <v>215</v>
      </c>
      <c r="ILN69" s="153">
        <v>75</v>
      </c>
      <c r="ILO69" s="152">
        <v>150</v>
      </c>
      <c r="ILP69" s="154">
        <f>SUM(ILK69:ILO69)</f>
        <v>8675</v>
      </c>
      <c r="ILQ69" s="152">
        <v>200</v>
      </c>
      <c r="ILR69" s="154">
        <f>SUM(ILP69:ILQ69)</f>
        <v>8875</v>
      </c>
      <c r="ILS69" s="147" t="s">
        <v>99</v>
      </c>
      <c r="ILT69" s="148">
        <v>45845</v>
      </c>
      <c r="ILU69" s="143" t="s">
        <v>46</v>
      </c>
      <c r="ILV69" s="199"/>
      <c r="ILW69" s="149" t="s">
        <v>125</v>
      </c>
      <c r="ILX69" s="197"/>
      <c r="ILY69" s="198"/>
      <c r="ILZ69" s="143" t="s">
        <v>22</v>
      </c>
      <c r="IMA69" s="144">
        <v>8150</v>
      </c>
      <c r="IMB69" s="152">
        <v>85</v>
      </c>
      <c r="IMC69" s="153">
        <v>215</v>
      </c>
      <c r="IMD69" s="153">
        <v>75</v>
      </c>
      <c r="IME69" s="152">
        <v>150</v>
      </c>
      <c r="IMF69" s="154">
        <f>SUM(IMA69:IME69)</f>
        <v>8675</v>
      </c>
      <c r="IMG69" s="152">
        <v>200</v>
      </c>
      <c r="IMH69" s="154">
        <f>SUM(IMF69:IMG69)</f>
        <v>8875</v>
      </c>
      <c r="IMI69" s="147" t="s">
        <v>99</v>
      </c>
      <c r="IMJ69" s="148">
        <v>45845</v>
      </c>
      <c r="IMK69" s="143" t="s">
        <v>46</v>
      </c>
      <c r="IML69" s="199"/>
      <c r="IMM69" s="149" t="s">
        <v>125</v>
      </c>
      <c r="IMN69" s="197"/>
      <c r="IMO69" s="198"/>
      <c r="IMP69" s="143" t="s">
        <v>22</v>
      </c>
      <c r="IMQ69" s="144">
        <v>8150</v>
      </c>
      <c r="IMR69" s="152">
        <v>85</v>
      </c>
      <c r="IMS69" s="153">
        <v>215</v>
      </c>
      <c r="IMT69" s="153">
        <v>75</v>
      </c>
      <c r="IMU69" s="152">
        <v>150</v>
      </c>
      <c r="IMV69" s="154">
        <f>SUM(IMQ69:IMU69)</f>
        <v>8675</v>
      </c>
      <c r="IMW69" s="152">
        <v>200</v>
      </c>
      <c r="IMX69" s="154">
        <f>SUM(IMV69:IMW69)</f>
        <v>8875</v>
      </c>
      <c r="IMY69" s="147" t="s">
        <v>99</v>
      </c>
      <c r="IMZ69" s="148">
        <v>45845</v>
      </c>
      <c r="INA69" s="143" t="s">
        <v>46</v>
      </c>
      <c r="INB69" s="199"/>
      <c r="INC69" s="149" t="s">
        <v>125</v>
      </c>
      <c r="IND69" s="197"/>
      <c r="INE69" s="198"/>
      <c r="INF69" s="143" t="s">
        <v>22</v>
      </c>
      <c r="ING69" s="144">
        <v>8150</v>
      </c>
      <c r="INH69" s="152">
        <v>85</v>
      </c>
      <c r="INI69" s="153">
        <v>215</v>
      </c>
      <c r="INJ69" s="153">
        <v>75</v>
      </c>
      <c r="INK69" s="152">
        <v>150</v>
      </c>
      <c r="INL69" s="154">
        <f>SUM(ING69:INK69)</f>
        <v>8675</v>
      </c>
      <c r="INM69" s="152">
        <v>200</v>
      </c>
      <c r="INN69" s="154">
        <f>SUM(INL69:INM69)</f>
        <v>8875</v>
      </c>
      <c r="INO69" s="147" t="s">
        <v>99</v>
      </c>
      <c r="INP69" s="148">
        <v>45845</v>
      </c>
      <c r="INQ69" s="143" t="s">
        <v>46</v>
      </c>
      <c r="INR69" s="199"/>
      <c r="INS69" s="149" t="s">
        <v>125</v>
      </c>
      <c r="INT69" s="197"/>
      <c r="INU69" s="198"/>
      <c r="INV69" s="143" t="s">
        <v>22</v>
      </c>
      <c r="INW69" s="144">
        <v>8150</v>
      </c>
      <c r="INX69" s="152">
        <v>85</v>
      </c>
      <c r="INY69" s="153">
        <v>215</v>
      </c>
      <c r="INZ69" s="153">
        <v>75</v>
      </c>
      <c r="IOA69" s="152">
        <v>150</v>
      </c>
      <c r="IOB69" s="154">
        <f>SUM(INW69:IOA69)</f>
        <v>8675</v>
      </c>
      <c r="IOC69" s="152">
        <v>200</v>
      </c>
      <c r="IOD69" s="154">
        <f>SUM(IOB69:IOC69)</f>
        <v>8875</v>
      </c>
      <c r="IOE69" s="147" t="s">
        <v>99</v>
      </c>
      <c r="IOF69" s="148">
        <v>45845</v>
      </c>
      <c r="IOG69" s="143" t="s">
        <v>46</v>
      </c>
      <c r="IOH69" s="199"/>
      <c r="IOI69" s="149" t="s">
        <v>125</v>
      </c>
      <c r="IOJ69" s="197"/>
      <c r="IOK69" s="198"/>
      <c r="IOL69" s="143" t="s">
        <v>22</v>
      </c>
      <c r="IOM69" s="144">
        <v>8150</v>
      </c>
      <c r="ION69" s="152">
        <v>85</v>
      </c>
      <c r="IOO69" s="153">
        <v>215</v>
      </c>
      <c r="IOP69" s="153">
        <v>75</v>
      </c>
      <c r="IOQ69" s="152">
        <v>150</v>
      </c>
      <c r="IOR69" s="154">
        <f>SUM(IOM69:IOQ69)</f>
        <v>8675</v>
      </c>
      <c r="IOS69" s="152">
        <v>200</v>
      </c>
      <c r="IOT69" s="154">
        <f>SUM(IOR69:IOS69)</f>
        <v>8875</v>
      </c>
      <c r="IOU69" s="147" t="s">
        <v>99</v>
      </c>
      <c r="IOV69" s="148">
        <v>45845</v>
      </c>
      <c r="IOW69" s="143" t="s">
        <v>46</v>
      </c>
      <c r="IOX69" s="199"/>
      <c r="IOY69" s="149" t="s">
        <v>125</v>
      </c>
      <c r="IOZ69" s="197"/>
      <c r="IPA69" s="198"/>
      <c r="IPB69" s="143" t="s">
        <v>22</v>
      </c>
      <c r="IPC69" s="144">
        <v>8150</v>
      </c>
      <c r="IPD69" s="152">
        <v>85</v>
      </c>
      <c r="IPE69" s="153">
        <v>215</v>
      </c>
      <c r="IPF69" s="153">
        <v>75</v>
      </c>
      <c r="IPG69" s="152">
        <v>150</v>
      </c>
      <c r="IPH69" s="154">
        <f>SUM(IPC69:IPG69)</f>
        <v>8675</v>
      </c>
      <c r="IPI69" s="152">
        <v>200</v>
      </c>
      <c r="IPJ69" s="154">
        <f>SUM(IPH69:IPI69)</f>
        <v>8875</v>
      </c>
      <c r="IPK69" s="147" t="s">
        <v>99</v>
      </c>
      <c r="IPL69" s="148">
        <v>45845</v>
      </c>
      <c r="IPM69" s="143" t="s">
        <v>46</v>
      </c>
      <c r="IPN69" s="199"/>
      <c r="IPO69" s="149" t="s">
        <v>125</v>
      </c>
      <c r="IPP69" s="197"/>
      <c r="IPQ69" s="198"/>
      <c r="IPR69" s="143" t="s">
        <v>22</v>
      </c>
      <c r="IPS69" s="144">
        <v>8150</v>
      </c>
      <c r="IPT69" s="152">
        <v>85</v>
      </c>
      <c r="IPU69" s="153">
        <v>215</v>
      </c>
      <c r="IPV69" s="153">
        <v>75</v>
      </c>
      <c r="IPW69" s="152">
        <v>150</v>
      </c>
      <c r="IPX69" s="154">
        <f>SUM(IPS69:IPW69)</f>
        <v>8675</v>
      </c>
      <c r="IPY69" s="152">
        <v>200</v>
      </c>
      <c r="IPZ69" s="154">
        <f>SUM(IPX69:IPY69)</f>
        <v>8875</v>
      </c>
      <c r="IQA69" s="147" t="s">
        <v>99</v>
      </c>
      <c r="IQB69" s="148">
        <v>45845</v>
      </c>
      <c r="IQC69" s="143" t="s">
        <v>46</v>
      </c>
      <c r="IQD69" s="199"/>
      <c r="IQE69" s="149" t="s">
        <v>125</v>
      </c>
      <c r="IQF69" s="197"/>
      <c r="IQG69" s="198"/>
      <c r="IQH69" s="143" t="s">
        <v>22</v>
      </c>
      <c r="IQI69" s="144">
        <v>8150</v>
      </c>
      <c r="IQJ69" s="152">
        <v>85</v>
      </c>
      <c r="IQK69" s="153">
        <v>215</v>
      </c>
      <c r="IQL69" s="153">
        <v>75</v>
      </c>
      <c r="IQM69" s="152">
        <v>150</v>
      </c>
      <c r="IQN69" s="154">
        <f>SUM(IQI69:IQM69)</f>
        <v>8675</v>
      </c>
      <c r="IQO69" s="152">
        <v>200</v>
      </c>
      <c r="IQP69" s="154">
        <f>SUM(IQN69:IQO69)</f>
        <v>8875</v>
      </c>
      <c r="IQQ69" s="147" t="s">
        <v>99</v>
      </c>
      <c r="IQR69" s="148">
        <v>45845</v>
      </c>
      <c r="IQS69" s="143" t="s">
        <v>46</v>
      </c>
      <c r="IQT69" s="199"/>
      <c r="IQU69" s="149" t="s">
        <v>125</v>
      </c>
      <c r="IQV69" s="197"/>
      <c r="IQW69" s="198"/>
      <c r="IQX69" s="143" t="s">
        <v>22</v>
      </c>
      <c r="IQY69" s="144">
        <v>8150</v>
      </c>
      <c r="IQZ69" s="152">
        <v>85</v>
      </c>
      <c r="IRA69" s="153">
        <v>215</v>
      </c>
      <c r="IRB69" s="153">
        <v>75</v>
      </c>
      <c r="IRC69" s="152">
        <v>150</v>
      </c>
      <c r="IRD69" s="154">
        <f>SUM(IQY69:IRC69)</f>
        <v>8675</v>
      </c>
      <c r="IRE69" s="152">
        <v>200</v>
      </c>
      <c r="IRF69" s="154">
        <f>SUM(IRD69:IRE69)</f>
        <v>8875</v>
      </c>
      <c r="IRG69" s="147" t="s">
        <v>99</v>
      </c>
      <c r="IRH69" s="148">
        <v>45845</v>
      </c>
      <c r="IRI69" s="143" t="s">
        <v>46</v>
      </c>
      <c r="IRJ69" s="199"/>
      <c r="IRK69" s="149" t="s">
        <v>125</v>
      </c>
      <c r="IRL69" s="197"/>
      <c r="IRM69" s="198"/>
      <c r="IRN69" s="143" t="s">
        <v>22</v>
      </c>
      <c r="IRO69" s="144">
        <v>8150</v>
      </c>
      <c r="IRP69" s="152">
        <v>85</v>
      </c>
      <c r="IRQ69" s="153">
        <v>215</v>
      </c>
      <c r="IRR69" s="153">
        <v>75</v>
      </c>
      <c r="IRS69" s="152">
        <v>150</v>
      </c>
      <c r="IRT69" s="154">
        <f>SUM(IRO69:IRS69)</f>
        <v>8675</v>
      </c>
      <c r="IRU69" s="152">
        <v>200</v>
      </c>
      <c r="IRV69" s="154">
        <f>SUM(IRT69:IRU69)</f>
        <v>8875</v>
      </c>
      <c r="IRW69" s="147" t="s">
        <v>99</v>
      </c>
      <c r="IRX69" s="148">
        <v>45845</v>
      </c>
      <c r="IRY69" s="143" t="s">
        <v>46</v>
      </c>
      <c r="IRZ69" s="199"/>
      <c r="ISA69" s="149" t="s">
        <v>125</v>
      </c>
      <c r="ISB69" s="197"/>
      <c r="ISC69" s="198"/>
      <c r="ISD69" s="143" t="s">
        <v>22</v>
      </c>
      <c r="ISE69" s="144">
        <v>8150</v>
      </c>
      <c r="ISF69" s="152">
        <v>85</v>
      </c>
      <c r="ISG69" s="153">
        <v>215</v>
      </c>
      <c r="ISH69" s="153">
        <v>75</v>
      </c>
      <c r="ISI69" s="152">
        <v>150</v>
      </c>
      <c r="ISJ69" s="154">
        <f>SUM(ISE69:ISI69)</f>
        <v>8675</v>
      </c>
      <c r="ISK69" s="152">
        <v>200</v>
      </c>
      <c r="ISL69" s="154">
        <f>SUM(ISJ69:ISK69)</f>
        <v>8875</v>
      </c>
      <c r="ISM69" s="147" t="s">
        <v>99</v>
      </c>
      <c r="ISN69" s="148">
        <v>45845</v>
      </c>
      <c r="ISO69" s="143" t="s">
        <v>46</v>
      </c>
      <c r="ISP69" s="199"/>
      <c r="ISQ69" s="149" t="s">
        <v>125</v>
      </c>
      <c r="ISR69" s="197"/>
      <c r="ISS69" s="198"/>
      <c r="IST69" s="143" t="s">
        <v>22</v>
      </c>
      <c r="ISU69" s="144">
        <v>8150</v>
      </c>
      <c r="ISV69" s="152">
        <v>85</v>
      </c>
      <c r="ISW69" s="153">
        <v>215</v>
      </c>
      <c r="ISX69" s="153">
        <v>75</v>
      </c>
      <c r="ISY69" s="152">
        <v>150</v>
      </c>
      <c r="ISZ69" s="154">
        <f>SUM(ISU69:ISY69)</f>
        <v>8675</v>
      </c>
      <c r="ITA69" s="152">
        <v>200</v>
      </c>
      <c r="ITB69" s="154">
        <f>SUM(ISZ69:ITA69)</f>
        <v>8875</v>
      </c>
      <c r="ITC69" s="147" t="s">
        <v>99</v>
      </c>
      <c r="ITD69" s="148">
        <v>45845</v>
      </c>
      <c r="ITE69" s="143" t="s">
        <v>46</v>
      </c>
      <c r="ITF69" s="199"/>
      <c r="ITG69" s="149" t="s">
        <v>125</v>
      </c>
      <c r="ITH69" s="197"/>
      <c r="ITI69" s="198"/>
      <c r="ITJ69" s="143" t="s">
        <v>22</v>
      </c>
      <c r="ITK69" s="144">
        <v>8150</v>
      </c>
      <c r="ITL69" s="152">
        <v>85</v>
      </c>
      <c r="ITM69" s="153">
        <v>215</v>
      </c>
      <c r="ITN69" s="153">
        <v>75</v>
      </c>
      <c r="ITO69" s="152">
        <v>150</v>
      </c>
      <c r="ITP69" s="154">
        <f>SUM(ITK69:ITO69)</f>
        <v>8675</v>
      </c>
      <c r="ITQ69" s="152">
        <v>200</v>
      </c>
      <c r="ITR69" s="154">
        <f>SUM(ITP69:ITQ69)</f>
        <v>8875</v>
      </c>
      <c r="ITS69" s="147" t="s">
        <v>99</v>
      </c>
      <c r="ITT69" s="148">
        <v>45845</v>
      </c>
      <c r="ITU69" s="143" t="s">
        <v>46</v>
      </c>
      <c r="ITV69" s="199"/>
      <c r="ITW69" s="149" t="s">
        <v>125</v>
      </c>
      <c r="ITX69" s="197"/>
      <c r="ITY69" s="198"/>
      <c r="ITZ69" s="143" t="s">
        <v>22</v>
      </c>
      <c r="IUA69" s="144">
        <v>8150</v>
      </c>
      <c r="IUB69" s="152">
        <v>85</v>
      </c>
      <c r="IUC69" s="153">
        <v>215</v>
      </c>
      <c r="IUD69" s="153">
        <v>75</v>
      </c>
      <c r="IUE69" s="152">
        <v>150</v>
      </c>
      <c r="IUF69" s="154">
        <f>SUM(IUA69:IUE69)</f>
        <v>8675</v>
      </c>
      <c r="IUG69" s="152">
        <v>200</v>
      </c>
      <c r="IUH69" s="154">
        <f>SUM(IUF69:IUG69)</f>
        <v>8875</v>
      </c>
      <c r="IUI69" s="147" t="s">
        <v>99</v>
      </c>
      <c r="IUJ69" s="148">
        <v>45845</v>
      </c>
      <c r="IUK69" s="143" t="s">
        <v>46</v>
      </c>
      <c r="IUL69" s="199"/>
      <c r="IUM69" s="149" t="s">
        <v>125</v>
      </c>
      <c r="IUN69" s="197"/>
      <c r="IUO69" s="198"/>
      <c r="IUP69" s="143" t="s">
        <v>22</v>
      </c>
      <c r="IUQ69" s="144">
        <v>8150</v>
      </c>
      <c r="IUR69" s="152">
        <v>85</v>
      </c>
      <c r="IUS69" s="153">
        <v>215</v>
      </c>
      <c r="IUT69" s="153">
        <v>75</v>
      </c>
      <c r="IUU69" s="152">
        <v>150</v>
      </c>
      <c r="IUV69" s="154">
        <f>SUM(IUQ69:IUU69)</f>
        <v>8675</v>
      </c>
      <c r="IUW69" s="152">
        <v>200</v>
      </c>
      <c r="IUX69" s="154">
        <f>SUM(IUV69:IUW69)</f>
        <v>8875</v>
      </c>
      <c r="IUY69" s="147" t="s">
        <v>99</v>
      </c>
      <c r="IUZ69" s="148">
        <v>45845</v>
      </c>
      <c r="IVA69" s="143" t="s">
        <v>46</v>
      </c>
      <c r="IVB69" s="199"/>
      <c r="IVC69" s="149" t="s">
        <v>125</v>
      </c>
      <c r="IVD69" s="197"/>
      <c r="IVE69" s="198"/>
      <c r="IVF69" s="143" t="s">
        <v>22</v>
      </c>
      <c r="IVG69" s="144">
        <v>8150</v>
      </c>
      <c r="IVH69" s="152">
        <v>85</v>
      </c>
      <c r="IVI69" s="153">
        <v>215</v>
      </c>
      <c r="IVJ69" s="153">
        <v>75</v>
      </c>
      <c r="IVK69" s="152">
        <v>150</v>
      </c>
      <c r="IVL69" s="154">
        <f>SUM(IVG69:IVK69)</f>
        <v>8675</v>
      </c>
      <c r="IVM69" s="152">
        <v>200</v>
      </c>
      <c r="IVN69" s="154">
        <f>SUM(IVL69:IVM69)</f>
        <v>8875</v>
      </c>
      <c r="IVO69" s="147" t="s">
        <v>99</v>
      </c>
      <c r="IVP69" s="148">
        <v>45845</v>
      </c>
      <c r="IVQ69" s="143" t="s">
        <v>46</v>
      </c>
      <c r="IVR69" s="199"/>
      <c r="IVS69" s="149" t="s">
        <v>125</v>
      </c>
      <c r="IVT69" s="197"/>
      <c r="IVU69" s="198"/>
      <c r="IVV69" s="143" t="s">
        <v>22</v>
      </c>
      <c r="IVW69" s="144">
        <v>8150</v>
      </c>
      <c r="IVX69" s="152">
        <v>85</v>
      </c>
      <c r="IVY69" s="153">
        <v>215</v>
      </c>
      <c r="IVZ69" s="153">
        <v>75</v>
      </c>
      <c r="IWA69" s="152">
        <v>150</v>
      </c>
      <c r="IWB69" s="154">
        <f>SUM(IVW69:IWA69)</f>
        <v>8675</v>
      </c>
      <c r="IWC69" s="152">
        <v>200</v>
      </c>
      <c r="IWD69" s="154">
        <f>SUM(IWB69:IWC69)</f>
        <v>8875</v>
      </c>
      <c r="IWE69" s="147" t="s">
        <v>99</v>
      </c>
      <c r="IWF69" s="148">
        <v>45845</v>
      </c>
      <c r="IWG69" s="143" t="s">
        <v>46</v>
      </c>
      <c r="IWH69" s="199"/>
      <c r="IWI69" s="149" t="s">
        <v>125</v>
      </c>
      <c r="IWJ69" s="197"/>
      <c r="IWK69" s="198"/>
      <c r="IWL69" s="143" t="s">
        <v>22</v>
      </c>
      <c r="IWM69" s="144">
        <v>8150</v>
      </c>
      <c r="IWN69" s="152">
        <v>85</v>
      </c>
      <c r="IWO69" s="153">
        <v>215</v>
      </c>
      <c r="IWP69" s="153">
        <v>75</v>
      </c>
      <c r="IWQ69" s="152">
        <v>150</v>
      </c>
      <c r="IWR69" s="154">
        <f>SUM(IWM69:IWQ69)</f>
        <v>8675</v>
      </c>
      <c r="IWS69" s="152">
        <v>200</v>
      </c>
      <c r="IWT69" s="154">
        <f>SUM(IWR69:IWS69)</f>
        <v>8875</v>
      </c>
      <c r="IWU69" s="147" t="s">
        <v>99</v>
      </c>
      <c r="IWV69" s="148">
        <v>45845</v>
      </c>
      <c r="IWW69" s="143" t="s">
        <v>46</v>
      </c>
      <c r="IWX69" s="199"/>
      <c r="IWY69" s="149" t="s">
        <v>125</v>
      </c>
      <c r="IWZ69" s="197"/>
      <c r="IXA69" s="198"/>
      <c r="IXB69" s="143" t="s">
        <v>22</v>
      </c>
      <c r="IXC69" s="144">
        <v>8150</v>
      </c>
      <c r="IXD69" s="152">
        <v>85</v>
      </c>
      <c r="IXE69" s="153">
        <v>215</v>
      </c>
      <c r="IXF69" s="153">
        <v>75</v>
      </c>
      <c r="IXG69" s="152">
        <v>150</v>
      </c>
      <c r="IXH69" s="154">
        <f>SUM(IXC69:IXG69)</f>
        <v>8675</v>
      </c>
      <c r="IXI69" s="152">
        <v>200</v>
      </c>
      <c r="IXJ69" s="154">
        <f>SUM(IXH69:IXI69)</f>
        <v>8875</v>
      </c>
      <c r="IXK69" s="147" t="s">
        <v>99</v>
      </c>
      <c r="IXL69" s="148">
        <v>45845</v>
      </c>
      <c r="IXM69" s="143" t="s">
        <v>46</v>
      </c>
      <c r="IXN69" s="199"/>
      <c r="IXO69" s="149" t="s">
        <v>125</v>
      </c>
      <c r="IXP69" s="197"/>
      <c r="IXQ69" s="198"/>
      <c r="IXR69" s="143" t="s">
        <v>22</v>
      </c>
      <c r="IXS69" s="144">
        <v>8150</v>
      </c>
      <c r="IXT69" s="152">
        <v>85</v>
      </c>
      <c r="IXU69" s="153">
        <v>215</v>
      </c>
      <c r="IXV69" s="153">
        <v>75</v>
      </c>
      <c r="IXW69" s="152">
        <v>150</v>
      </c>
      <c r="IXX69" s="154">
        <f>SUM(IXS69:IXW69)</f>
        <v>8675</v>
      </c>
      <c r="IXY69" s="152">
        <v>200</v>
      </c>
      <c r="IXZ69" s="154">
        <f>SUM(IXX69:IXY69)</f>
        <v>8875</v>
      </c>
      <c r="IYA69" s="147" t="s">
        <v>99</v>
      </c>
      <c r="IYB69" s="148">
        <v>45845</v>
      </c>
      <c r="IYC69" s="143" t="s">
        <v>46</v>
      </c>
      <c r="IYD69" s="199"/>
      <c r="IYE69" s="149" t="s">
        <v>125</v>
      </c>
      <c r="IYF69" s="197"/>
      <c r="IYG69" s="198"/>
      <c r="IYH69" s="143" t="s">
        <v>22</v>
      </c>
      <c r="IYI69" s="144">
        <v>8150</v>
      </c>
      <c r="IYJ69" s="152">
        <v>85</v>
      </c>
      <c r="IYK69" s="153">
        <v>215</v>
      </c>
      <c r="IYL69" s="153">
        <v>75</v>
      </c>
      <c r="IYM69" s="152">
        <v>150</v>
      </c>
      <c r="IYN69" s="154">
        <f>SUM(IYI69:IYM69)</f>
        <v>8675</v>
      </c>
      <c r="IYO69" s="152">
        <v>200</v>
      </c>
      <c r="IYP69" s="154">
        <f>SUM(IYN69:IYO69)</f>
        <v>8875</v>
      </c>
      <c r="IYQ69" s="147" t="s">
        <v>99</v>
      </c>
      <c r="IYR69" s="148">
        <v>45845</v>
      </c>
      <c r="IYS69" s="143" t="s">
        <v>46</v>
      </c>
      <c r="IYT69" s="199"/>
      <c r="IYU69" s="149" t="s">
        <v>125</v>
      </c>
      <c r="IYV69" s="197"/>
      <c r="IYW69" s="198"/>
      <c r="IYX69" s="143" t="s">
        <v>22</v>
      </c>
      <c r="IYY69" s="144">
        <v>8150</v>
      </c>
      <c r="IYZ69" s="152">
        <v>85</v>
      </c>
      <c r="IZA69" s="153">
        <v>215</v>
      </c>
      <c r="IZB69" s="153">
        <v>75</v>
      </c>
      <c r="IZC69" s="152">
        <v>150</v>
      </c>
      <c r="IZD69" s="154">
        <f>SUM(IYY69:IZC69)</f>
        <v>8675</v>
      </c>
      <c r="IZE69" s="152">
        <v>200</v>
      </c>
      <c r="IZF69" s="154">
        <f>SUM(IZD69:IZE69)</f>
        <v>8875</v>
      </c>
      <c r="IZG69" s="147" t="s">
        <v>99</v>
      </c>
      <c r="IZH69" s="148">
        <v>45845</v>
      </c>
      <c r="IZI69" s="143" t="s">
        <v>46</v>
      </c>
      <c r="IZJ69" s="199"/>
      <c r="IZK69" s="149" t="s">
        <v>125</v>
      </c>
      <c r="IZL69" s="197"/>
      <c r="IZM69" s="198"/>
      <c r="IZN69" s="143" t="s">
        <v>22</v>
      </c>
      <c r="IZO69" s="144">
        <v>8150</v>
      </c>
      <c r="IZP69" s="152">
        <v>85</v>
      </c>
      <c r="IZQ69" s="153">
        <v>215</v>
      </c>
      <c r="IZR69" s="153">
        <v>75</v>
      </c>
      <c r="IZS69" s="152">
        <v>150</v>
      </c>
      <c r="IZT69" s="154">
        <f>SUM(IZO69:IZS69)</f>
        <v>8675</v>
      </c>
      <c r="IZU69" s="152">
        <v>200</v>
      </c>
      <c r="IZV69" s="154">
        <f>SUM(IZT69:IZU69)</f>
        <v>8875</v>
      </c>
      <c r="IZW69" s="147" t="s">
        <v>99</v>
      </c>
      <c r="IZX69" s="148">
        <v>45845</v>
      </c>
      <c r="IZY69" s="143" t="s">
        <v>46</v>
      </c>
      <c r="IZZ69" s="199"/>
      <c r="JAA69" s="149" t="s">
        <v>125</v>
      </c>
      <c r="JAB69" s="197"/>
      <c r="JAC69" s="198"/>
      <c r="JAD69" s="143" t="s">
        <v>22</v>
      </c>
      <c r="JAE69" s="144">
        <v>8150</v>
      </c>
      <c r="JAF69" s="152">
        <v>85</v>
      </c>
      <c r="JAG69" s="153">
        <v>215</v>
      </c>
      <c r="JAH69" s="153">
        <v>75</v>
      </c>
      <c r="JAI69" s="152">
        <v>150</v>
      </c>
      <c r="JAJ69" s="154">
        <f>SUM(JAE69:JAI69)</f>
        <v>8675</v>
      </c>
      <c r="JAK69" s="152">
        <v>200</v>
      </c>
      <c r="JAL69" s="154">
        <f>SUM(JAJ69:JAK69)</f>
        <v>8875</v>
      </c>
      <c r="JAM69" s="147" t="s">
        <v>99</v>
      </c>
      <c r="JAN69" s="148">
        <v>45845</v>
      </c>
      <c r="JAO69" s="143" t="s">
        <v>46</v>
      </c>
      <c r="JAP69" s="199"/>
      <c r="JAQ69" s="149" t="s">
        <v>125</v>
      </c>
      <c r="JAR69" s="197"/>
      <c r="JAS69" s="198"/>
      <c r="JAT69" s="143" t="s">
        <v>22</v>
      </c>
      <c r="JAU69" s="144">
        <v>8150</v>
      </c>
      <c r="JAV69" s="152">
        <v>85</v>
      </c>
      <c r="JAW69" s="153">
        <v>215</v>
      </c>
      <c r="JAX69" s="153">
        <v>75</v>
      </c>
      <c r="JAY69" s="152">
        <v>150</v>
      </c>
      <c r="JAZ69" s="154">
        <f>SUM(JAU69:JAY69)</f>
        <v>8675</v>
      </c>
      <c r="JBA69" s="152">
        <v>200</v>
      </c>
      <c r="JBB69" s="154">
        <f>SUM(JAZ69:JBA69)</f>
        <v>8875</v>
      </c>
      <c r="JBC69" s="147" t="s">
        <v>99</v>
      </c>
      <c r="JBD69" s="148">
        <v>45845</v>
      </c>
      <c r="JBE69" s="143" t="s">
        <v>46</v>
      </c>
      <c r="JBF69" s="199"/>
      <c r="JBG69" s="149" t="s">
        <v>125</v>
      </c>
      <c r="JBH69" s="197"/>
      <c r="JBI69" s="198"/>
      <c r="JBJ69" s="143" t="s">
        <v>22</v>
      </c>
      <c r="JBK69" s="144">
        <v>8150</v>
      </c>
      <c r="JBL69" s="152">
        <v>85</v>
      </c>
      <c r="JBM69" s="153">
        <v>215</v>
      </c>
      <c r="JBN69" s="153">
        <v>75</v>
      </c>
      <c r="JBO69" s="152">
        <v>150</v>
      </c>
      <c r="JBP69" s="154">
        <f>SUM(JBK69:JBO69)</f>
        <v>8675</v>
      </c>
      <c r="JBQ69" s="152">
        <v>200</v>
      </c>
      <c r="JBR69" s="154">
        <f>SUM(JBP69:JBQ69)</f>
        <v>8875</v>
      </c>
      <c r="JBS69" s="147" t="s">
        <v>99</v>
      </c>
      <c r="JBT69" s="148">
        <v>45845</v>
      </c>
      <c r="JBU69" s="143" t="s">
        <v>46</v>
      </c>
      <c r="JBV69" s="199"/>
      <c r="JBW69" s="149" t="s">
        <v>125</v>
      </c>
      <c r="JBX69" s="197"/>
      <c r="JBY69" s="198"/>
      <c r="JBZ69" s="143" t="s">
        <v>22</v>
      </c>
      <c r="JCA69" s="144">
        <v>8150</v>
      </c>
      <c r="JCB69" s="152">
        <v>85</v>
      </c>
      <c r="JCC69" s="153">
        <v>215</v>
      </c>
      <c r="JCD69" s="153">
        <v>75</v>
      </c>
      <c r="JCE69" s="152">
        <v>150</v>
      </c>
      <c r="JCF69" s="154">
        <f>SUM(JCA69:JCE69)</f>
        <v>8675</v>
      </c>
      <c r="JCG69" s="152">
        <v>200</v>
      </c>
      <c r="JCH69" s="154">
        <f>SUM(JCF69:JCG69)</f>
        <v>8875</v>
      </c>
      <c r="JCI69" s="147" t="s">
        <v>99</v>
      </c>
      <c r="JCJ69" s="148">
        <v>45845</v>
      </c>
      <c r="JCK69" s="143" t="s">
        <v>46</v>
      </c>
      <c r="JCL69" s="199"/>
      <c r="JCM69" s="149" t="s">
        <v>125</v>
      </c>
      <c r="JCN69" s="197"/>
      <c r="JCO69" s="198"/>
      <c r="JCP69" s="143" t="s">
        <v>22</v>
      </c>
      <c r="JCQ69" s="144">
        <v>8150</v>
      </c>
      <c r="JCR69" s="152">
        <v>85</v>
      </c>
      <c r="JCS69" s="153">
        <v>215</v>
      </c>
      <c r="JCT69" s="153">
        <v>75</v>
      </c>
      <c r="JCU69" s="152">
        <v>150</v>
      </c>
      <c r="JCV69" s="154">
        <f>SUM(JCQ69:JCU69)</f>
        <v>8675</v>
      </c>
      <c r="JCW69" s="152">
        <v>200</v>
      </c>
      <c r="JCX69" s="154">
        <f>SUM(JCV69:JCW69)</f>
        <v>8875</v>
      </c>
      <c r="JCY69" s="147" t="s">
        <v>99</v>
      </c>
      <c r="JCZ69" s="148">
        <v>45845</v>
      </c>
      <c r="JDA69" s="143" t="s">
        <v>46</v>
      </c>
      <c r="JDB69" s="199"/>
      <c r="JDC69" s="149" t="s">
        <v>125</v>
      </c>
      <c r="JDD69" s="197"/>
      <c r="JDE69" s="198"/>
      <c r="JDF69" s="143" t="s">
        <v>22</v>
      </c>
      <c r="JDG69" s="144">
        <v>8150</v>
      </c>
      <c r="JDH69" s="152">
        <v>85</v>
      </c>
      <c r="JDI69" s="153">
        <v>215</v>
      </c>
      <c r="JDJ69" s="153">
        <v>75</v>
      </c>
      <c r="JDK69" s="152">
        <v>150</v>
      </c>
      <c r="JDL69" s="154">
        <f>SUM(JDG69:JDK69)</f>
        <v>8675</v>
      </c>
      <c r="JDM69" s="152">
        <v>200</v>
      </c>
      <c r="JDN69" s="154">
        <f>SUM(JDL69:JDM69)</f>
        <v>8875</v>
      </c>
      <c r="JDO69" s="147" t="s">
        <v>99</v>
      </c>
      <c r="JDP69" s="148">
        <v>45845</v>
      </c>
      <c r="JDQ69" s="143" t="s">
        <v>46</v>
      </c>
      <c r="JDR69" s="199"/>
      <c r="JDS69" s="149" t="s">
        <v>125</v>
      </c>
      <c r="JDT69" s="197"/>
      <c r="JDU69" s="198"/>
      <c r="JDV69" s="143" t="s">
        <v>22</v>
      </c>
      <c r="JDW69" s="144">
        <v>8150</v>
      </c>
      <c r="JDX69" s="152">
        <v>85</v>
      </c>
      <c r="JDY69" s="153">
        <v>215</v>
      </c>
      <c r="JDZ69" s="153">
        <v>75</v>
      </c>
      <c r="JEA69" s="152">
        <v>150</v>
      </c>
      <c r="JEB69" s="154">
        <f>SUM(JDW69:JEA69)</f>
        <v>8675</v>
      </c>
      <c r="JEC69" s="152">
        <v>200</v>
      </c>
      <c r="JED69" s="154">
        <f>SUM(JEB69:JEC69)</f>
        <v>8875</v>
      </c>
      <c r="JEE69" s="147" t="s">
        <v>99</v>
      </c>
      <c r="JEF69" s="148">
        <v>45845</v>
      </c>
      <c r="JEG69" s="143" t="s">
        <v>46</v>
      </c>
      <c r="JEH69" s="199"/>
      <c r="JEI69" s="149" t="s">
        <v>125</v>
      </c>
      <c r="JEJ69" s="197"/>
      <c r="JEK69" s="198"/>
      <c r="JEL69" s="143" t="s">
        <v>22</v>
      </c>
      <c r="JEM69" s="144">
        <v>8150</v>
      </c>
      <c r="JEN69" s="152">
        <v>85</v>
      </c>
      <c r="JEO69" s="153">
        <v>215</v>
      </c>
      <c r="JEP69" s="153">
        <v>75</v>
      </c>
      <c r="JEQ69" s="152">
        <v>150</v>
      </c>
      <c r="JER69" s="154">
        <f>SUM(JEM69:JEQ69)</f>
        <v>8675</v>
      </c>
      <c r="JES69" s="152">
        <v>200</v>
      </c>
      <c r="JET69" s="154">
        <f>SUM(JER69:JES69)</f>
        <v>8875</v>
      </c>
      <c r="JEU69" s="147" t="s">
        <v>99</v>
      </c>
      <c r="JEV69" s="148">
        <v>45845</v>
      </c>
      <c r="JEW69" s="143" t="s">
        <v>46</v>
      </c>
      <c r="JEX69" s="199"/>
      <c r="JEY69" s="149" t="s">
        <v>125</v>
      </c>
      <c r="JEZ69" s="197"/>
      <c r="JFA69" s="198"/>
      <c r="JFB69" s="143" t="s">
        <v>22</v>
      </c>
      <c r="JFC69" s="144">
        <v>8150</v>
      </c>
      <c r="JFD69" s="152">
        <v>85</v>
      </c>
      <c r="JFE69" s="153">
        <v>215</v>
      </c>
      <c r="JFF69" s="153">
        <v>75</v>
      </c>
      <c r="JFG69" s="152">
        <v>150</v>
      </c>
      <c r="JFH69" s="154">
        <f>SUM(JFC69:JFG69)</f>
        <v>8675</v>
      </c>
      <c r="JFI69" s="152">
        <v>200</v>
      </c>
      <c r="JFJ69" s="154">
        <f>SUM(JFH69:JFI69)</f>
        <v>8875</v>
      </c>
      <c r="JFK69" s="147" t="s">
        <v>99</v>
      </c>
      <c r="JFL69" s="148">
        <v>45845</v>
      </c>
      <c r="JFM69" s="143" t="s">
        <v>46</v>
      </c>
      <c r="JFN69" s="199"/>
      <c r="JFO69" s="149" t="s">
        <v>125</v>
      </c>
      <c r="JFP69" s="197"/>
      <c r="JFQ69" s="198"/>
      <c r="JFR69" s="143" t="s">
        <v>22</v>
      </c>
      <c r="JFS69" s="144">
        <v>8150</v>
      </c>
      <c r="JFT69" s="152">
        <v>85</v>
      </c>
      <c r="JFU69" s="153">
        <v>215</v>
      </c>
      <c r="JFV69" s="153">
        <v>75</v>
      </c>
      <c r="JFW69" s="152">
        <v>150</v>
      </c>
      <c r="JFX69" s="154">
        <f>SUM(JFS69:JFW69)</f>
        <v>8675</v>
      </c>
      <c r="JFY69" s="152">
        <v>200</v>
      </c>
      <c r="JFZ69" s="154">
        <f>SUM(JFX69:JFY69)</f>
        <v>8875</v>
      </c>
      <c r="JGA69" s="147" t="s">
        <v>99</v>
      </c>
      <c r="JGB69" s="148">
        <v>45845</v>
      </c>
      <c r="JGC69" s="143" t="s">
        <v>46</v>
      </c>
      <c r="JGD69" s="199"/>
      <c r="JGE69" s="149" t="s">
        <v>125</v>
      </c>
      <c r="JGF69" s="197"/>
      <c r="JGG69" s="198"/>
      <c r="JGH69" s="143" t="s">
        <v>22</v>
      </c>
      <c r="JGI69" s="144">
        <v>8150</v>
      </c>
      <c r="JGJ69" s="152">
        <v>85</v>
      </c>
      <c r="JGK69" s="153">
        <v>215</v>
      </c>
      <c r="JGL69" s="153">
        <v>75</v>
      </c>
      <c r="JGM69" s="152">
        <v>150</v>
      </c>
      <c r="JGN69" s="154">
        <f>SUM(JGI69:JGM69)</f>
        <v>8675</v>
      </c>
      <c r="JGO69" s="152">
        <v>200</v>
      </c>
      <c r="JGP69" s="154">
        <f>SUM(JGN69:JGO69)</f>
        <v>8875</v>
      </c>
      <c r="JGQ69" s="147" t="s">
        <v>99</v>
      </c>
      <c r="JGR69" s="148">
        <v>45845</v>
      </c>
      <c r="JGS69" s="143" t="s">
        <v>46</v>
      </c>
      <c r="JGT69" s="199"/>
      <c r="JGU69" s="149" t="s">
        <v>125</v>
      </c>
      <c r="JGV69" s="197"/>
      <c r="JGW69" s="198"/>
      <c r="JGX69" s="143" t="s">
        <v>22</v>
      </c>
      <c r="JGY69" s="144">
        <v>8150</v>
      </c>
      <c r="JGZ69" s="152">
        <v>85</v>
      </c>
      <c r="JHA69" s="153">
        <v>215</v>
      </c>
      <c r="JHB69" s="153">
        <v>75</v>
      </c>
      <c r="JHC69" s="152">
        <v>150</v>
      </c>
      <c r="JHD69" s="154">
        <f>SUM(JGY69:JHC69)</f>
        <v>8675</v>
      </c>
      <c r="JHE69" s="152">
        <v>200</v>
      </c>
      <c r="JHF69" s="154">
        <f>SUM(JHD69:JHE69)</f>
        <v>8875</v>
      </c>
      <c r="JHG69" s="147" t="s">
        <v>99</v>
      </c>
      <c r="JHH69" s="148">
        <v>45845</v>
      </c>
      <c r="JHI69" s="143" t="s">
        <v>46</v>
      </c>
      <c r="JHJ69" s="199"/>
      <c r="JHK69" s="149" t="s">
        <v>125</v>
      </c>
      <c r="JHL69" s="197"/>
      <c r="JHM69" s="198"/>
      <c r="JHN69" s="143" t="s">
        <v>22</v>
      </c>
      <c r="JHO69" s="144">
        <v>8150</v>
      </c>
      <c r="JHP69" s="152">
        <v>85</v>
      </c>
      <c r="JHQ69" s="153">
        <v>215</v>
      </c>
      <c r="JHR69" s="153">
        <v>75</v>
      </c>
      <c r="JHS69" s="152">
        <v>150</v>
      </c>
      <c r="JHT69" s="154">
        <f>SUM(JHO69:JHS69)</f>
        <v>8675</v>
      </c>
      <c r="JHU69" s="152">
        <v>200</v>
      </c>
      <c r="JHV69" s="154">
        <f>SUM(JHT69:JHU69)</f>
        <v>8875</v>
      </c>
      <c r="JHW69" s="147" t="s">
        <v>99</v>
      </c>
      <c r="JHX69" s="148">
        <v>45845</v>
      </c>
      <c r="JHY69" s="143" t="s">
        <v>46</v>
      </c>
      <c r="JHZ69" s="199"/>
      <c r="JIA69" s="149" t="s">
        <v>125</v>
      </c>
      <c r="JIB69" s="197"/>
      <c r="JIC69" s="198"/>
      <c r="JID69" s="143" t="s">
        <v>22</v>
      </c>
      <c r="JIE69" s="144">
        <v>8150</v>
      </c>
      <c r="JIF69" s="152">
        <v>85</v>
      </c>
      <c r="JIG69" s="153">
        <v>215</v>
      </c>
      <c r="JIH69" s="153">
        <v>75</v>
      </c>
      <c r="JII69" s="152">
        <v>150</v>
      </c>
      <c r="JIJ69" s="154">
        <f>SUM(JIE69:JII69)</f>
        <v>8675</v>
      </c>
      <c r="JIK69" s="152">
        <v>200</v>
      </c>
      <c r="JIL69" s="154">
        <f>SUM(JIJ69:JIK69)</f>
        <v>8875</v>
      </c>
      <c r="JIM69" s="147" t="s">
        <v>99</v>
      </c>
      <c r="JIN69" s="148">
        <v>45845</v>
      </c>
      <c r="JIO69" s="143" t="s">
        <v>46</v>
      </c>
      <c r="JIP69" s="199"/>
      <c r="JIQ69" s="149" t="s">
        <v>125</v>
      </c>
      <c r="JIR69" s="197"/>
      <c r="JIS69" s="198"/>
      <c r="JIT69" s="143" t="s">
        <v>22</v>
      </c>
      <c r="JIU69" s="144">
        <v>8150</v>
      </c>
      <c r="JIV69" s="152">
        <v>85</v>
      </c>
      <c r="JIW69" s="153">
        <v>215</v>
      </c>
      <c r="JIX69" s="153">
        <v>75</v>
      </c>
      <c r="JIY69" s="152">
        <v>150</v>
      </c>
      <c r="JIZ69" s="154">
        <f>SUM(JIU69:JIY69)</f>
        <v>8675</v>
      </c>
      <c r="JJA69" s="152">
        <v>200</v>
      </c>
      <c r="JJB69" s="154">
        <f>SUM(JIZ69:JJA69)</f>
        <v>8875</v>
      </c>
      <c r="JJC69" s="147" t="s">
        <v>99</v>
      </c>
      <c r="JJD69" s="148">
        <v>45845</v>
      </c>
      <c r="JJE69" s="143" t="s">
        <v>46</v>
      </c>
      <c r="JJF69" s="199"/>
      <c r="JJG69" s="149" t="s">
        <v>125</v>
      </c>
      <c r="JJH69" s="197"/>
      <c r="JJI69" s="198"/>
      <c r="JJJ69" s="143" t="s">
        <v>22</v>
      </c>
      <c r="JJK69" s="144">
        <v>8150</v>
      </c>
      <c r="JJL69" s="152">
        <v>85</v>
      </c>
      <c r="JJM69" s="153">
        <v>215</v>
      </c>
      <c r="JJN69" s="153">
        <v>75</v>
      </c>
      <c r="JJO69" s="152">
        <v>150</v>
      </c>
      <c r="JJP69" s="154">
        <f>SUM(JJK69:JJO69)</f>
        <v>8675</v>
      </c>
      <c r="JJQ69" s="152">
        <v>200</v>
      </c>
      <c r="JJR69" s="154">
        <f>SUM(JJP69:JJQ69)</f>
        <v>8875</v>
      </c>
      <c r="JJS69" s="147" t="s">
        <v>99</v>
      </c>
      <c r="JJT69" s="148">
        <v>45845</v>
      </c>
      <c r="JJU69" s="143" t="s">
        <v>46</v>
      </c>
      <c r="JJV69" s="199"/>
      <c r="JJW69" s="149" t="s">
        <v>125</v>
      </c>
      <c r="JJX69" s="197"/>
      <c r="JJY69" s="198"/>
      <c r="JJZ69" s="143" t="s">
        <v>22</v>
      </c>
      <c r="JKA69" s="144">
        <v>8150</v>
      </c>
      <c r="JKB69" s="152">
        <v>85</v>
      </c>
      <c r="JKC69" s="153">
        <v>215</v>
      </c>
      <c r="JKD69" s="153">
        <v>75</v>
      </c>
      <c r="JKE69" s="152">
        <v>150</v>
      </c>
      <c r="JKF69" s="154">
        <f>SUM(JKA69:JKE69)</f>
        <v>8675</v>
      </c>
      <c r="JKG69" s="152">
        <v>200</v>
      </c>
      <c r="JKH69" s="154">
        <f>SUM(JKF69:JKG69)</f>
        <v>8875</v>
      </c>
      <c r="JKI69" s="147" t="s">
        <v>99</v>
      </c>
      <c r="JKJ69" s="148">
        <v>45845</v>
      </c>
      <c r="JKK69" s="143" t="s">
        <v>46</v>
      </c>
      <c r="JKL69" s="199"/>
      <c r="JKM69" s="149" t="s">
        <v>125</v>
      </c>
      <c r="JKN69" s="197"/>
      <c r="JKO69" s="198"/>
      <c r="JKP69" s="143" t="s">
        <v>22</v>
      </c>
      <c r="JKQ69" s="144">
        <v>8150</v>
      </c>
      <c r="JKR69" s="152">
        <v>85</v>
      </c>
      <c r="JKS69" s="153">
        <v>215</v>
      </c>
      <c r="JKT69" s="153">
        <v>75</v>
      </c>
      <c r="JKU69" s="152">
        <v>150</v>
      </c>
      <c r="JKV69" s="154">
        <f>SUM(JKQ69:JKU69)</f>
        <v>8675</v>
      </c>
      <c r="JKW69" s="152">
        <v>200</v>
      </c>
      <c r="JKX69" s="154">
        <f>SUM(JKV69:JKW69)</f>
        <v>8875</v>
      </c>
      <c r="JKY69" s="147" t="s">
        <v>99</v>
      </c>
      <c r="JKZ69" s="148">
        <v>45845</v>
      </c>
      <c r="JLA69" s="143" t="s">
        <v>46</v>
      </c>
      <c r="JLB69" s="199"/>
      <c r="JLC69" s="149" t="s">
        <v>125</v>
      </c>
      <c r="JLD69" s="197"/>
      <c r="JLE69" s="198"/>
      <c r="JLF69" s="143" t="s">
        <v>22</v>
      </c>
      <c r="JLG69" s="144">
        <v>8150</v>
      </c>
      <c r="JLH69" s="152">
        <v>85</v>
      </c>
      <c r="JLI69" s="153">
        <v>215</v>
      </c>
      <c r="JLJ69" s="153">
        <v>75</v>
      </c>
      <c r="JLK69" s="152">
        <v>150</v>
      </c>
      <c r="JLL69" s="154">
        <f>SUM(JLG69:JLK69)</f>
        <v>8675</v>
      </c>
      <c r="JLM69" s="152">
        <v>200</v>
      </c>
      <c r="JLN69" s="154">
        <f>SUM(JLL69:JLM69)</f>
        <v>8875</v>
      </c>
      <c r="JLO69" s="147" t="s">
        <v>99</v>
      </c>
      <c r="JLP69" s="148">
        <v>45845</v>
      </c>
      <c r="JLQ69" s="143" t="s">
        <v>46</v>
      </c>
      <c r="JLR69" s="199"/>
      <c r="JLS69" s="149" t="s">
        <v>125</v>
      </c>
      <c r="JLT69" s="197"/>
      <c r="JLU69" s="198"/>
      <c r="JLV69" s="143" t="s">
        <v>22</v>
      </c>
      <c r="JLW69" s="144">
        <v>8150</v>
      </c>
      <c r="JLX69" s="152">
        <v>85</v>
      </c>
      <c r="JLY69" s="153">
        <v>215</v>
      </c>
      <c r="JLZ69" s="153">
        <v>75</v>
      </c>
      <c r="JMA69" s="152">
        <v>150</v>
      </c>
      <c r="JMB69" s="154">
        <f>SUM(JLW69:JMA69)</f>
        <v>8675</v>
      </c>
      <c r="JMC69" s="152">
        <v>200</v>
      </c>
      <c r="JMD69" s="154">
        <f>SUM(JMB69:JMC69)</f>
        <v>8875</v>
      </c>
      <c r="JME69" s="147" t="s">
        <v>99</v>
      </c>
      <c r="JMF69" s="148">
        <v>45845</v>
      </c>
      <c r="JMG69" s="143" t="s">
        <v>46</v>
      </c>
      <c r="JMH69" s="199"/>
      <c r="JMI69" s="149" t="s">
        <v>125</v>
      </c>
      <c r="JMJ69" s="197"/>
      <c r="JMK69" s="198"/>
      <c r="JML69" s="143" t="s">
        <v>22</v>
      </c>
      <c r="JMM69" s="144">
        <v>8150</v>
      </c>
      <c r="JMN69" s="152">
        <v>85</v>
      </c>
      <c r="JMO69" s="153">
        <v>215</v>
      </c>
      <c r="JMP69" s="153">
        <v>75</v>
      </c>
      <c r="JMQ69" s="152">
        <v>150</v>
      </c>
      <c r="JMR69" s="154">
        <f>SUM(JMM69:JMQ69)</f>
        <v>8675</v>
      </c>
      <c r="JMS69" s="152">
        <v>200</v>
      </c>
      <c r="JMT69" s="154">
        <f>SUM(JMR69:JMS69)</f>
        <v>8875</v>
      </c>
      <c r="JMU69" s="147" t="s">
        <v>99</v>
      </c>
      <c r="JMV69" s="148">
        <v>45845</v>
      </c>
      <c r="JMW69" s="143" t="s">
        <v>46</v>
      </c>
      <c r="JMX69" s="199"/>
      <c r="JMY69" s="149" t="s">
        <v>125</v>
      </c>
      <c r="JMZ69" s="197"/>
      <c r="JNA69" s="198"/>
      <c r="JNB69" s="143" t="s">
        <v>22</v>
      </c>
      <c r="JNC69" s="144">
        <v>8150</v>
      </c>
      <c r="JND69" s="152">
        <v>85</v>
      </c>
      <c r="JNE69" s="153">
        <v>215</v>
      </c>
      <c r="JNF69" s="153">
        <v>75</v>
      </c>
      <c r="JNG69" s="152">
        <v>150</v>
      </c>
      <c r="JNH69" s="154">
        <f>SUM(JNC69:JNG69)</f>
        <v>8675</v>
      </c>
      <c r="JNI69" s="152">
        <v>200</v>
      </c>
      <c r="JNJ69" s="154">
        <f>SUM(JNH69:JNI69)</f>
        <v>8875</v>
      </c>
      <c r="JNK69" s="147" t="s">
        <v>99</v>
      </c>
      <c r="JNL69" s="148">
        <v>45845</v>
      </c>
      <c r="JNM69" s="143" t="s">
        <v>46</v>
      </c>
      <c r="JNN69" s="199"/>
      <c r="JNO69" s="149" t="s">
        <v>125</v>
      </c>
      <c r="JNP69" s="197"/>
      <c r="JNQ69" s="198"/>
      <c r="JNR69" s="143" t="s">
        <v>22</v>
      </c>
      <c r="JNS69" s="144">
        <v>8150</v>
      </c>
      <c r="JNT69" s="152">
        <v>85</v>
      </c>
      <c r="JNU69" s="153">
        <v>215</v>
      </c>
      <c r="JNV69" s="153">
        <v>75</v>
      </c>
      <c r="JNW69" s="152">
        <v>150</v>
      </c>
      <c r="JNX69" s="154">
        <f>SUM(JNS69:JNW69)</f>
        <v>8675</v>
      </c>
      <c r="JNY69" s="152">
        <v>200</v>
      </c>
      <c r="JNZ69" s="154">
        <f>SUM(JNX69:JNY69)</f>
        <v>8875</v>
      </c>
      <c r="JOA69" s="147" t="s">
        <v>99</v>
      </c>
      <c r="JOB69" s="148">
        <v>45845</v>
      </c>
      <c r="JOC69" s="143" t="s">
        <v>46</v>
      </c>
      <c r="JOD69" s="199"/>
      <c r="JOE69" s="149" t="s">
        <v>125</v>
      </c>
      <c r="JOF69" s="197"/>
      <c r="JOG69" s="198"/>
      <c r="JOH69" s="143" t="s">
        <v>22</v>
      </c>
      <c r="JOI69" s="144">
        <v>8150</v>
      </c>
      <c r="JOJ69" s="152">
        <v>85</v>
      </c>
      <c r="JOK69" s="153">
        <v>215</v>
      </c>
      <c r="JOL69" s="153">
        <v>75</v>
      </c>
      <c r="JOM69" s="152">
        <v>150</v>
      </c>
      <c r="JON69" s="154">
        <f>SUM(JOI69:JOM69)</f>
        <v>8675</v>
      </c>
      <c r="JOO69" s="152">
        <v>200</v>
      </c>
      <c r="JOP69" s="154">
        <f>SUM(JON69:JOO69)</f>
        <v>8875</v>
      </c>
      <c r="JOQ69" s="147" t="s">
        <v>99</v>
      </c>
      <c r="JOR69" s="148">
        <v>45845</v>
      </c>
      <c r="JOS69" s="143" t="s">
        <v>46</v>
      </c>
      <c r="JOT69" s="199"/>
      <c r="JOU69" s="149" t="s">
        <v>125</v>
      </c>
      <c r="JOV69" s="197"/>
      <c r="JOW69" s="198"/>
      <c r="JOX69" s="143" t="s">
        <v>22</v>
      </c>
      <c r="JOY69" s="144">
        <v>8150</v>
      </c>
      <c r="JOZ69" s="152">
        <v>85</v>
      </c>
      <c r="JPA69" s="153">
        <v>215</v>
      </c>
      <c r="JPB69" s="153">
        <v>75</v>
      </c>
      <c r="JPC69" s="152">
        <v>150</v>
      </c>
      <c r="JPD69" s="154">
        <f>SUM(JOY69:JPC69)</f>
        <v>8675</v>
      </c>
      <c r="JPE69" s="152">
        <v>200</v>
      </c>
      <c r="JPF69" s="154">
        <f>SUM(JPD69:JPE69)</f>
        <v>8875</v>
      </c>
      <c r="JPG69" s="147" t="s">
        <v>99</v>
      </c>
      <c r="JPH69" s="148">
        <v>45845</v>
      </c>
      <c r="JPI69" s="143" t="s">
        <v>46</v>
      </c>
      <c r="JPJ69" s="199"/>
      <c r="JPK69" s="149" t="s">
        <v>125</v>
      </c>
      <c r="JPL69" s="197"/>
      <c r="JPM69" s="198"/>
      <c r="JPN69" s="143" t="s">
        <v>22</v>
      </c>
      <c r="JPO69" s="144">
        <v>8150</v>
      </c>
      <c r="JPP69" s="152">
        <v>85</v>
      </c>
      <c r="JPQ69" s="153">
        <v>215</v>
      </c>
      <c r="JPR69" s="153">
        <v>75</v>
      </c>
      <c r="JPS69" s="152">
        <v>150</v>
      </c>
      <c r="JPT69" s="154">
        <f>SUM(JPO69:JPS69)</f>
        <v>8675</v>
      </c>
      <c r="JPU69" s="152">
        <v>200</v>
      </c>
      <c r="JPV69" s="154">
        <f>SUM(JPT69:JPU69)</f>
        <v>8875</v>
      </c>
      <c r="JPW69" s="147" t="s">
        <v>99</v>
      </c>
      <c r="JPX69" s="148">
        <v>45845</v>
      </c>
      <c r="JPY69" s="143" t="s">
        <v>46</v>
      </c>
      <c r="JPZ69" s="199"/>
      <c r="JQA69" s="149" t="s">
        <v>125</v>
      </c>
      <c r="JQB69" s="197"/>
      <c r="JQC69" s="198"/>
      <c r="JQD69" s="143" t="s">
        <v>22</v>
      </c>
      <c r="JQE69" s="144">
        <v>8150</v>
      </c>
      <c r="JQF69" s="152">
        <v>85</v>
      </c>
      <c r="JQG69" s="153">
        <v>215</v>
      </c>
      <c r="JQH69" s="153">
        <v>75</v>
      </c>
      <c r="JQI69" s="152">
        <v>150</v>
      </c>
      <c r="JQJ69" s="154">
        <f>SUM(JQE69:JQI69)</f>
        <v>8675</v>
      </c>
      <c r="JQK69" s="152">
        <v>200</v>
      </c>
      <c r="JQL69" s="154">
        <f>SUM(JQJ69:JQK69)</f>
        <v>8875</v>
      </c>
      <c r="JQM69" s="147" t="s">
        <v>99</v>
      </c>
      <c r="JQN69" s="148">
        <v>45845</v>
      </c>
      <c r="JQO69" s="143" t="s">
        <v>46</v>
      </c>
      <c r="JQP69" s="199"/>
      <c r="JQQ69" s="149" t="s">
        <v>125</v>
      </c>
      <c r="JQR69" s="197"/>
      <c r="JQS69" s="198"/>
      <c r="JQT69" s="143" t="s">
        <v>22</v>
      </c>
      <c r="JQU69" s="144">
        <v>8150</v>
      </c>
      <c r="JQV69" s="152">
        <v>85</v>
      </c>
      <c r="JQW69" s="153">
        <v>215</v>
      </c>
      <c r="JQX69" s="153">
        <v>75</v>
      </c>
      <c r="JQY69" s="152">
        <v>150</v>
      </c>
      <c r="JQZ69" s="154">
        <f>SUM(JQU69:JQY69)</f>
        <v>8675</v>
      </c>
      <c r="JRA69" s="152">
        <v>200</v>
      </c>
      <c r="JRB69" s="154">
        <f>SUM(JQZ69:JRA69)</f>
        <v>8875</v>
      </c>
      <c r="JRC69" s="147" t="s">
        <v>99</v>
      </c>
      <c r="JRD69" s="148">
        <v>45845</v>
      </c>
      <c r="JRE69" s="143" t="s">
        <v>46</v>
      </c>
      <c r="JRF69" s="199"/>
      <c r="JRG69" s="149" t="s">
        <v>125</v>
      </c>
      <c r="JRH69" s="197"/>
      <c r="JRI69" s="198"/>
      <c r="JRJ69" s="143" t="s">
        <v>22</v>
      </c>
      <c r="JRK69" s="144">
        <v>8150</v>
      </c>
      <c r="JRL69" s="152">
        <v>85</v>
      </c>
      <c r="JRM69" s="153">
        <v>215</v>
      </c>
      <c r="JRN69" s="153">
        <v>75</v>
      </c>
      <c r="JRO69" s="152">
        <v>150</v>
      </c>
      <c r="JRP69" s="154">
        <f>SUM(JRK69:JRO69)</f>
        <v>8675</v>
      </c>
      <c r="JRQ69" s="152">
        <v>200</v>
      </c>
      <c r="JRR69" s="154">
        <f>SUM(JRP69:JRQ69)</f>
        <v>8875</v>
      </c>
      <c r="JRS69" s="147" t="s">
        <v>99</v>
      </c>
      <c r="JRT69" s="148">
        <v>45845</v>
      </c>
      <c r="JRU69" s="143" t="s">
        <v>46</v>
      </c>
      <c r="JRV69" s="199"/>
      <c r="JRW69" s="149" t="s">
        <v>125</v>
      </c>
      <c r="JRX69" s="197"/>
      <c r="JRY69" s="198"/>
      <c r="JRZ69" s="143" t="s">
        <v>22</v>
      </c>
      <c r="JSA69" s="144">
        <v>8150</v>
      </c>
      <c r="JSB69" s="152">
        <v>85</v>
      </c>
      <c r="JSC69" s="153">
        <v>215</v>
      </c>
      <c r="JSD69" s="153">
        <v>75</v>
      </c>
      <c r="JSE69" s="152">
        <v>150</v>
      </c>
      <c r="JSF69" s="154">
        <f>SUM(JSA69:JSE69)</f>
        <v>8675</v>
      </c>
      <c r="JSG69" s="152">
        <v>200</v>
      </c>
      <c r="JSH69" s="154">
        <f>SUM(JSF69:JSG69)</f>
        <v>8875</v>
      </c>
      <c r="JSI69" s="147" t="s">
        <v>99</v>
      </c>
      <c r="JSJ69" s="148">
        <v>45845</v>
      </c>
      <c r="JSK69" s="143" t="s">
        <v>46</v>
      </c>
      <c r="JSL69" s="199"/>
      <c r="JSM69" s="149" t="s">
        <v>125</v>
      </c>
      <c r="JSN69" s="197"/>
      <c r="JSO69" s="198"/>
      <c r="JSP69" s="143" t="s">
        <v>22</v>
      </c>
      <c r="JSQ69" s="144">
        <v>8150</v>
      </c>
      <c r="JSR69" s="152">
        <v>85</v>
      </c>
      <c r="JSS69" s="153">
        <v>215</v>
      </c>
      <c r="JST69" s="153">
        <v>75</v>
      </c>
      <c r="JSU69" s="152">
        <v>150</v>
      </c>
      <c r="JSV69" s="154">
        <f>SUM(JSQ69:JSU69)</f>
        <v>8675</v>
      </c>
      <c r="JSW69" s="152">
        <v>200</v>
      </c>
      <c r="JSX69" s="154">
        <f>SUM(JSV69:JSW69)</f>
        <v>8875</v>
      </c>
      <c r="JSY69" s="147" t="s">
        <v>99</v>
      </c>
      <c r="JSZ69" s="148">
        <v>45845</v>
      </c>
      <c r="JTA69" s="143" t="s">
        <v>46</v>
      </c>
      <c r="JTB69" s="199"/>
      <c r="JTC69" s="149" t="s">
        <v>125</v>
      </c>
      <c r="JTD69" s="197"/>
      <c r="JTE69" s="198"/>
      <c r="JTF69" s="143" t="s">
        <v>22</v>
      </c>
      <c r="JTG69" s="144">
        <v>8150</v>
      </c>
      <c r="JTH69" s="152">
        <v>85</v>
      </c>
      <c r="JTI69" s="153">
        <v>215</v>
      </c>
      <c r="JTJ69" s="153">
        <v>75</v>
      </c>
      <c r="JTK69" s="152">
        <v>150</v>
      </c>
      <c r="JTL69" s="154">
        <f>SUM(JTG69:JTK69)</f>
        <v>8675</v>
      </c>
      <c r="JTM69" s="152">
        <v>200</v>
      </c>
      <c r="JTN69" s="154">
        <f>SUM(JTL69:JTM69)</f>
        <v>8875</v>
      </c>
      <c r="JTO69" s="147" t="s">
        <v>99</v>
      </c>
      <c r="JTP69" s="148">
        <v>45845</v>
      </c>
      <c r="JTQ69" s="143" t="s">
        <v>46</v>
      </c>
      <c r="JTR69" s="199"/>
      <c r="JTS69" s="149" t="s">
        <v>125</v>
      </c>
      <c r="JTT69" s="197"/>
      <c r="JTU69" s="198"/>
      <c r="JTV69" s="143" t="s">
        <v>22</v>
      </c>
      <c r="JTW69" s="144">
        <v>8150</v>
      </c>
      <c r="JTX69" s="152">
        <v>85</v>
      </c>
      <c r="JTY69" s="153">
        <v>215</v>
      </c>
      <c r="JTZ69" s="153">
        <v>75</v>
      </c>
      <c r="JUA69" s="152">
        <v>150</v>
      </c>
      <c r="JUB69" s="154">
        <f>SUM(JTW69:JUA69)</f>
        <v>8675</v>
      </c>
      <c r="JUC69" s="152">
        <v>200</v>
      </c>
      <c r="JUD69" s="154">
        <f>SUM(JUB69:JUC69)</f>
        <v>8875</v>
      </c>
      <c r="JUE69" s="147" t="s">
        <v>99</v>
      </c>
      <c r="JUF69" s="148">
        <v>45845</v>
      </c>
      <c r="JUG69" s="143" t="s">
        <v>46</v>
      </c>
      <c r="JUH69" s="199"/>
      <c r="JUI69" s="149" t="s">
        <v>125</v>
      </c>
      <c r="JUJ69" s="197"/>
      <c r="JUK69" s="198"/>
      <c r="JUL69" s="143" t="s">
        <v>22</v>
      </c>
      <c r="JUM69" s="144">
        <v>8150</v>
      </c>
      <c r="JUN69" s="152">
        <v>85</v>
      </c>
      <c r="JUO69" s="153">
        <v>215</v>
      </c>
      <c r="JUP69" s="153">
        <v>75</v>
      </c>
      <c r="JUQ69" s="152">
        <v>150</v>
      </c>
      <c r="JUR69" s="154">
        <f>SUM(JUM69:JUQ69)</f>
        <v>8675</v>
      </c>
      <c r="JUS69" s="152">
        <v>200</v>
      </c>
      <c r="JUT69" s="154">
        <f>SUM(JUR69:JUS69)</f>
        <v>8875</v>
      </c>
      <c r="JUU69" s="147" t="s">
        <v>99</v>
      </c>
      <c r="JUV69" s="148">
        <v>45845</v>
      </c>
      <c r="JUW69" s="143" t="s">
        <v>46</v>
      </c>
      <c r="JUX69" s="199"/>
      <c r="JUY69" s="149" t="s">
        <v>125</v>
      </c>
      <c r="JUZ69" s="197"/>
      <c r="JVA69" s="198"/>
      <c r="JVB69" s="143" t="s">
        <v>22</v>
      </c>
      <c r="JVC69" s="144">
        <v>8150</v>
      </c>
      <c r="JVD69" s="152">
        <v>85</v>
      </c>
      <c r="JVE69" s="153">
        <v>215</v>
      </c>
      <c r="JVF69" s="153">
        <v>75</v>
      </c>
      <c r="JVG69" s="152">
        <v>150</v>
      </c>
      <c r="JVH69" s="154">
        <f>SUM(JVC69:JVG69)</f>
        <v>8675</v>
      </c>
      <c r="JVI69" s="152">
        <v>200</v>
      </c>
      <c r="JVJ69" s="154">
        <f>SUM(JVH69:JVI69)</f>
        <v>8875</v>
      </c>
      <c r="JVK69" s="147" t="s">
        <v>99</v>
      </c>
      <c r="JVL69" s="148">
        <v>45845</v>
      </c>
      <c r="JVM69" s="143" t="s">
        <v>46</v>
      </c>
      <c r="JVN69" s="199"/>
      <c r="JVO69" s="149" t="s">
        <v>125</v>
      </c>
      <c r="JVP69" s="197"/>
      <c r="JVQ69" s="198"/>
      <c r="JVR69" s="143" t="s">
        <v>22</v>
      </c>
      <c r="JVS69" s="144">
        <v>8150</v>
      </c>
      <c r="JVT69" s="152">
        <v>85</v>
      </c>
      <c r="JVU69" s="153">
        <v>215</v>
      </c>
      <c r="JVV69" s="153">
        <v>75</v>
      </c>
      <c r="JVW69" s="152">
        <v>150</v>
      </c>
      <c r="JVX69" s="154">
        <f>SUM(JVS69:JVW69)</f>
        <v>8675</v>
      </c>
      <c r="JVY69" s="152">
        <v>200</v>
      </c>
      <c r="JVZ69" s="154">
        <f>SUM(JVX69:JVY69)</f>
        <v>8875</v>
      </c>
      <c r="JWA69" s="147" t="s">
        <v>99</v>
      </c>
      <c r="JWB69" s="148">
        <v>45845</v>
      </c>
      <c r="JWC69" s="143" t="s">
        <v>46</v>
      </c>
      <c r="JWD69" s="199"/>
      <c r="JWE69" s="149" t="s">
        <v>125</v>
      </c>
      <c r="JWF69" s="197"/>
      <c r="JWG69" s="198"/>
      <c r="JWH69" s="143" t="s">
        <v>22</v>
      </c>
      <c r="JWI69" s="144">
        <v>8150</v>
      </c>
      <c r="JWJ69" s="152">
        <v>85</v>
      </c>
      <c r="JWK69" s="153">
        <v>215</v>
      </c>
      <c r="JWL69" s="153">
        <v>75</v>
      </c>
      <c r="JWM69" s="152">
        <v>150</v>
      </c>
      <c r="JWN69" s="154">
        <f>SUM(JWI69:JWM69)</f>
        <v>8675</v>
      </c>
      <c r="JWO69" s="152">
        <v>200</v>
      </c>
      <c r="JWP69" s="154">
        <f>SUM(JWN69:JWO69)</f>
        <v>8875</v>
      </c>
      <c r="JWQ69" s="147" t="s">
        <v>99</v>
      </c>
      <c r="JWR69" s="148">
        <v>45845</v>
      </c>
      <c r="JWS69" s="143" t="s">
        <v>46</v>
      </c>
      <c r="JWT69" s="199"/>
      <c r="JWU69" s="149" t="s">
        <v>125</v>
      </c>
      <c r="JWV69" s="197"/>
      <c r="JWW69" s="198"/>
      <c r="JWX69" s="143" t="s">
        <v>22</v>
      </c>
      <c r="JWY69" s="144">
        <v>8150</v>
      </c>
      <c r="JWZ69" s="152">
        <v>85</v>
      </c>
      <c r="JXA69" s="153">
        <v>215</v>
      </c>
      <c r="JXB69" s="153">
        <v>75</v>
      </c>
      <c r="JXC69" s="152">
        <v>150</v>
      </c>
      <c r="JXD69" s="154">
        <f>SUM(JWY69:JXC69)</f>
        <v>8675</v>
      </c>
      <c r="JXE69" s="152">
        <v>200</v>
      </c>
      <c r="JXF69" s="154">
        <f>SUM(JXD69:JXE69)</f>
        <v>8875</v>
      </c>
      <c r="JXG69" s="147" t="s">
        <v>99</v>
      </c>
      <c r="JXH69" s="148">
        <v>45845</v>
      </c>
      <c r="JXI69" s="143" t="s">
        <v>46</v>
      </c>
      <c r="JXJ69" s="199"/>
      <c r="JXK69" s="149" t="s">
        <v>125</v>
      </c>
      <c r="JXL69" s="197"/>
      <c r="JXM69" s="198"/>
      <c r="JXN69" s="143" t="s">
        <v>22</v>
      </c>
      <c r="JXO69" s="144">
        <v>8150</v>
      </c>
      <c r="JXP69" s="152">
        <v>85</v>
      </c>
      <c r="JXQ69" s="153">
        <v>215</v>
      </c>
      <c r="JXR69" s="153">
        <v>75</v>
      </c>
      <c r="JXS69" s="152">
        <v>150</v>
      </c>
      <c r="JXT69" s="154">
        <f>SUM(JXO69:JXS69)</f>
        <v>8675</v>
      </c>
      <c r="JXU69" s="152">
        <v>200</v>
      </c>
      <c r="JXV69" s="154">
        <f>SUM(JXT69:JXU69)</f>
        <v>8875</v>
      </c>
      <c r="JXW69" s="147" t="s">
        <v>99</v>
      </c>
      <c r="JXX69" s="148">
        <v>45845</v>
      </c>
      <c r="JXY69" s="143" t="s">
        <v>46</v>
      </c>
      <c r="JXZ69" s="199"/>
      <c r="JYA69" s="149" t="s">
        <v>125</v>
      </c>
      <c r="JYB69" s="197"/>
      <c r="JYC69" s="198"/>
      <c r="JYD69" s="143" t="s">
        <v>22</v>
      </c>
      <c r="JYE69" s="144">
        <v>8150</v>
      </c>
      <c r="JYF69" s="152">
        <v>85</v>
      </c>
      <c r="JYG69" s="153">
        <v>215</v>
      </c>
      <c r="JYH69" s="153">
        <v>75</v>
      </c>
      <c r="JYI69" s="152">
        <v>150</v>
      </c>
      <c r="JYJ69" s="154">
        <f>SUM(JYE69:JYI69)</f>
        <v>8675</v>
      </c>
      <c r="JYK69" s="152">
        <v>200</v>
      </c>
      <c r="JYL69" s="154">
        <f>SUM(JYJ69:JYK69)</f>
        <v>8875</v>
      </c>
      <c r="JYM69" s="147" t="s">
        <v>99</v>
      </c>
      <c r="JYN69" s="148">
        <v>45845</v>
      </c>
      <c r="JYO69" s="143" t="s">
        <v>46</v>
      </c>
      <c r="JYP69" s="199"/>
      <c r="JYQ69" s="149" t="s">
        <v>125</v>
      </c>
      <c r="JYR69" s="197"/>
      <c r="JYS69" s="198"/>
      <c r="JYT69" s="143" t="s">
        <v>22</v>
      </c>
      <c r="JYU69" s="144">
        <v>8150</v>
      </c>
      <c r="JYV69" s="152">
        <v>85</v>
      </c>
      <c r="JYW69" s="153">
        <v>215</v>
      </c>
      <c r="JYX69" s="153">
        <v>75</v>
      </c>
      <c r="JYY69" s="152">
        <v>150</v>
      </c>
      <c r="JYZ69" s="154">
        <f>SUM(JYU69:JYY69)</f>
        <v>8675</v>
      </c>
      <c r="JZA69" s="152">
        <v>200</v>
      </c>
      <c r="JZB69" s="154">
        <f>SUM(JYZ69:JZA69)</f>
        <v>8875</v>
      </c>
      <c r="JZC69" s="147" t="s">
        <v>99</v>
      </c>
      <c r="JZD69" s="148">
        <v>45845</v>
      </c>
      <c r="JZE69" s="143" t="s">
        <v>46</v>
      </c>
      <c r="JZF69" s="199"/>
      <c r="JZG69" s="149" t="s">
        <v>125</v>
      </c>
      <c r="JZH69" s="197"/>
      <c r="JZI69" s="198"/>
      <c r="JZJ69" s="143" t="s">
        <v>22</v>
      </c>
      <c r="JZK69" s="144">
        <v>8150</v>
      </c>
      <c r="JZL69" s="152">
        <v>85</v>
      </c>
      <c r="JZM69" s="153">
        <v>215</v>
      </c>
      <c r="JZN69" s="153">
        <v>75</v>
      </c>
      <c r="JZO69" s="152">
        <v>150</v>
      </c>
      <c r="JZP69" s="154">
        <f>SUM(JZK69:JZO69)</f>
        <v>8675</v>
      </c>
      <c r="JZQ69" s="152">
        <v>200</v>
      </c>
      <c r="JZR69" s="154">
        <f>SUM(JZP69:JZQ69)</f>
        <v>8875</v>
      </c>
      <c r="JZS69" s="147" t="s">
        <v>99</v>
      </c>
      <c r="JZT69" s="148">
        <v>45845</v>
      </c>
      <c r="JZU69" s="143" t="s">
        <v>46</v>
      </c>
      <c r="JZV69" s="199"/>
      <c r="JZW69" s="149" t="s">
        <v>125</v>
      </c>
      <c r="JZX69" s="197"/>
      <c r="JZY69" s="198"/>
      <c r="JZZ69" s="143" t="s">
        <v>22</v>
      </c>
      <c r="KAA69" s="144">
        <v>8150</v>
      </c>
      <c r="KAB69" s="152">
        <v>85</v>
      </c>
      <c r="KAC69" s="153">
        <v>215</v>
      </c>
      <c r="KAD69" s="153">
        <v>75</v>
      </c>
      <c r="KAE69" s="152">
        <v>150</v>
      </c>
      <c r="KAF69" s="154">
        <f>SUM(KAA69:KAE69)</f>
        <v>8675</v>
      </c>
      <c r="KAG69" s="152">
        <v>200</v>
      </c>
      <c r="KAH69" s="154">
        <f>SUM(KAF69:KAG69)</f>
        <v>8875</v>
      </c>
      <c r="KAI69" s="147" t="s">
        <v>99</v>
      </c>
      <c r="KAJ69" s="148">
        <v>45845</v>
      </c>
      <c r="KAK69" s="143" t="s">
        <v>46</v>
      </c>
      <c r="KAL69" s="199"/>
      <c r="KAM69" s="149" t="s">
        <v>125</v>
      </c>
      <c r="KAN69" s="197"/>
      <c r="KAO69" s="198"/>
      <c r="KAP69" s="143" t="s">
        <v>22</v>
      </c>
      <c r="KAQ69" s="144">
        <v>8150</v>
      </c>
      <c r="KAR69" s="152">
        <v>85</v>
      </c>
      <c r="KAS69" s="153">
        <v>215</v>
      </c>
      <c r="KAT69" s="153">
        <v>75</v>
      </c>
      <c r="KAU69" s="152">
        <v>150</v>
      </c>
      <c r="KAV69" s="154">
        <f>SUM(KAQ69:KAU69)</f>
        <v>8675</v>
      </c>
      <c r="KAW69" s="152">
        <v>200</v>
      </c>
      <c r="KAX69" s="154">
        <f>SUM(KAV69:KAW69)</f>
        <v>8875</v>
      </c>
      <c r="KAY69" s="147" t="s">
        <v>99</v>
      </c>
      <c r="KAZ69" s="148">
        <v>45845</v>
      </c>
      <c r="KBA69" s="143" t="s">
        <v>46</v>
      </c>
      <c r="KBB69" s="199"/>
      <c r="KBC69" s="149" t="s">
        <v>125</v>
      </c>
      <c r="KBD69" s="197"/>
      <c r="KBE69" s="198"/>
      <c r="KBF69" s="143" t="s">
        <v>22</v>
      </c>
      <c r="KBG69" s="144">
        <v>8150</v>
      </c>
      <c r="KBH69" s="152">
        <v>85</v>
      </c>
      <c r="KBI69" s="153">
        <v>215</v>
      </c>
      <c r="KBJ69" s="153">
        <v>75</v>
      </c>
      <c r="KBK69" s="152">
        <v>150</v>
      </c>
      <c r="KBL69" s="154">
        <f>SUM(KBG69:KBK69)</f>
        <v>8675</v>
      </c>
      <c r="KBM69" s="152">
        <v>200</v>
      </c>
      <c r="KBN69" s="154">
        <f>SUM(KBL69:KBM69)</f>
        <v>8875</v>
      </c>
      <c r="KBO69" s="147" t="s">
        <v>99</v>
      </c>
      <c r="KBP69" s="148">
        <v>45845</v>
      </c>
      <c r="KBQ69" s="143" t="s">
        <v>46</v>
      </c>
      <c r="KBR69" s="199"/>
      <c r="KBS69" s="149" t="s">
        <v>125</v>
      </c>
      <c r="KBT69" s="197"/>
      <c r="KBU69" s="198"/>
      <c r="KBV69" s="143" t="s">
        <v>22</v>
      </c>
      <c r="KBW69" s="144">
        <v>8150</v>
      </c>
      <c r="KBX69" s="152">
        <v>85</v>
      </c>
      <c r="KBY69" s="153">
        <v>215</v>
      </c>
      <c r="KBZ69" s="153">
        <v>75</v>
      </c>
      <c r="KCA69" s="152">
        <v>150</v>
      </c>
      <c r="KCB69" s="154">
        <f>SUM(KBW69:KCA69)</f>
        <v>8675</v>
      </c>
      <c r="KCC69" s="152">
        <v>200</v>
      </c>
      <c r="KCD69" s="154">
        <f>SUM(KCB69:KCC69)</f>
        <v>8875</v>
      </c>
      <c r="KCE69" s="147" t="s">
        <v>99</v>
      </c>
      <c r="KCF69" s="148">
        <v>45845</v>
      </c>
      <c r="KCG69" s="143" t="s">
        <v>46</v>
      </c>
      <c r="KCH69" s="199"/>
      <c r="KCI69" s="149" t="s">
        <v>125</v>
      </c>
      <c r="KCJ69" s="197"/>
      <c r="KCK69" s="198"/>
      <c r="KCL69" s="143" t="s">
        <v>22</v>
      </c>
      <c r="KCM69" s="144">
        <v>8150</v>
      </c>
      <c r="KCN69" s="152">
        <v>85</v>
      </c>
      <c r="KCO69" s="153">
        <v>215</v>
      </c>
      <c r="KCP69" s="153">
        <v>75</v>
      </c>
      <c r="KCQ69" s="152">
        <v>150</v>
      </c>
      <c r="KCR69" s="154">
        <f>SUM(KCM69:KCQ69)</f>
        <v>8675</v>
      </c>
      <c r="KCS69" s="152">
        <v>200</v>
      </c>
      <c r="KCT69" s="154">
        <f>SUM(KCR69:KCS69)</f>
        <v>8875</v>
      </c>
      <c r="KCU69" s="147" t="s">
        <v>99</v>
      </c>
      <c r="KCV69" s="148">
        <v>45845</v>
      </c>
      <c r="KCW69" s="143" t="s">
        <v>46</v>
      </c>
      <c r="KCX69" s="199"/>
      <c r="KCY69" s="149" t="s">
        <v>125</v>
      </c>
      <c r="KCZ69" s="197"/>
      <c r="KDA69" s="198"/>
      <c r="KDB69" s="143" t="s">
        <v>22</v>
      </c>
      <c r="KDC69" s="144">
        <v>8150</v>
      </c>
      <c r="KDD69" s="152">
        <v>85</v>
      </c>
      <c r="KDE69" s="153">
        <v>215</v>
      </c>
      <c r="KDF69" s="153">
        <v>75</v>
      </c>
      <c r="KDG69" s="152">
        <v>150</v>
      </c>
      <c r="KDH69" s="154">
        <f>SUM(KDC69:KDG69)</f>
        <v>8675</v>
      </c>
      <c r="KDI69" s="152">
        <v>200</v>
      </c>
      <c r="KDJ69" s="154">
        <f>SUM(KDH69:KDI69)</f>
        <v>8875</v>
      </c>
      <c r="KDK69" s="147" t="s">
        <v>99</v>
      </c>
      <c r="KDL69" s="148">
        <v>45845</v>
      </c>
      <c r="KDM69" s="143" t="s">
        <v>46</v>
      </c>
      <c r="KDN69" s="199"/>
      <c r="KDO69" s="149" t="s">
        <v>125</v>
      </c>
      <c r="KDP69" s="197"/>
      <c r="KDQ69" s="198"/>
      <c r="KDR69" s="143" t="s">
        <v>22</v>
      </c>
      <c r="KDS69" s="144">
        <v>8150</v>
      </c>
      <c r="KDT69" s="152">
        <v>85</v>
      </c>
      <c r="KDU69" s="153">
        <v>215</v>
      </c>
      <c r="KDV69" s="153">
        <v>75</v>
      </c>
      <c r="KDW69" s="152">
        <v>150</v>
      </c>
      <c r="KDX69" s="154">
        <f>SUM(KDS69:KDW69)</f>
        <v>8675</v>
      </c>
      <c r="KDY69" s="152">
        <v>200</v>
      </c>
      <c r="KDZ69" s="154">
        <f>SUM(KDX69:KDY69)</f>
        <v>8875</v>
      </c>
      <c r="KEA69" s="147" t="s">
        <v>99</v>
      </c>
      <c r="KEB69" s="148">
        <v>45845</v>
      </c>
      <c r="KEC69" s="143" t="s">
        <v>46</v>
      </c>
      <c r="KED69" s="199"/>
      <c r="KEE69" s="149" t="s">
        <v>125</v>
      </c>
      <c r="KEF69" s="197"/>
      <c r="KEG69" s="198"/>
      <c r="KEH69" s="143" t="s">
        <v>22</v>
      </c>
      <c r="KEI69" s="144">
        <v>8150</v>
      </c>
      <c r="KEJ69" s="152">
        <v>85</v>
      </c>
      <c r="KEK69" s="153">
        <v>215</v>
      </c>
      <c r="KEL69" s="153">
        <v>75</v>
      </c>
      <c r="KEM69" s="152">
        <v>150</v>
      </c>
      <c r="KEN69" s="154">
        <f>SUM(KEI69:KEM69)</f>
        <v>8675</v>
      </c>
      <c r="KEO69" s="152">
        <v>200</v>
      </c>
      <c r="KEP69" s="154">
        <f>SUM(KEN69:KEO69)</f>
        <v>8875</v>
      </c>
      <c r="KEQ69" s="147" t="s">
        <v>99</v>
      </c>
      <c r="KER69" s="148">
        <v>45845</v>
      </c>
      <c r="KES69" s="143" t="s">
        <v>46</v>
      </c>
      <c r="KET69" s="199"/>
      <c r="KEU69" s="149" t="s">
        <v>125</v>
      </c>
      <c r="KEV69" s="197"/>
      <c r="KEW69" s="198"/>
      <c r="KEX69" s="143" t="s">
        <v>22</v>
      </c>
      <c r="KEY69" s="144">
        <v>8150</v>
      </c>
      <c r="KEZ69" s="152">
        <v>85</v>
      </c>
      <c r="KFA69" s="153">
        <v>215</v>
      </c>
      <c r="KFB69" s="153">
        <v>75</v>
      </c>
      <c r="KFC69" s="152">
        <v>150</v>
      </c>
      <c r="KFD69" s="154">
        <f>SUM(KEY69:KFC69)</f>
        <v>8675</v>
      </c>
      <c r="KFE69" s="152">
        <v>200</v>
      </c>
      <c r="KFF69" s="154">
        <f>SUM(KFD69:KFE69)</f>
        <v>8875</v>
      </c>
      <c r="KFG69" s="147" t="s">
        <v>99</v>
      </c>
      <c r="KFH69" s="148">
        <v>45845</v>
      </c>
      <c r="KFI69" s="143" t="s">
        <v>46</v>
      </c>
      <c r="KFJ69" s="199"/>
      <c r="KFK69" s="149" t="s">
        <v>125</v>
      </c>
      <c r="KFL69" s="197"/>
      <c r="KFM69" s="198"/>
      <c r="KFN69" s="143" t="s">
        <v>22</v>
      </c>
      <c r="KFO69" s="144">
        <v>8150</v>
      </c>
      <c r="KFP69" s="152">
        <v>85</v>
      </c>
      <c r="KFQ69" s="153">
        <v>215</v>
      </c>
      <c r="KFR69" s="153">
        <v>75</v>
      </c>
      <c r="KFS69" s="152">
        <v>150</v>
      </c>
      <c r="KFT69" s="154">
        <f>SUM(KFO69:KFS69)</f>
        <v>8675</v>
      </c>
      <c r="KFU69" s="152">
        <v>200</v>
      </c>
      <c r="KFV69" s="154">
        <f>SUM(KFT69:KFU69)</f>
        <v>8875</v>
      </c>
      <c r="KFW69" s="147" t="s">
        <v>99</v>
      </c>
      <c r="KFX69" s="148">
        <v>45845</v>
      </c>
      <c r="KFY69" s="143" t="s">
        <v>46</v>
      </c>
      <c r="KFZ69" s="199"/>
      <c r="KGA69" s="149" t="s">
        <v>125</v>
      </c>
      <c r="KGB69" s="197"/>
      <c r="KGC69" s="198"/>
      <c r="KGD69" s="143" t="s">
        <v>22</v>
      </c>
      <c r="KGE69" s="144">
        <v>8150</v>
      </c>
      <c r="KGF69" s="152">
        <v>85</v>
      </c>
      <c r="KGG69" s="153">
        <v>215</v>
      </c>
      <c r="KGH69" s="153">
        <v>75</v>
      </c>
      <c r="KGI69" s="152">
        <v>150</v>
      </c>
      <c r="KGJ69" s="154">
        <f>SUM(KGE69:KGI69)</f>
        <v>8675</v>
      </c>
      <c r="KGK69" s="152">
        <v>200</v>
      </c>
      <c r="KGL69" s="154">
        <f>SUM(KGJ69:KGK69)</f>
        <v>8875</v>
      </c>
      <c r="KGM69" s="147" t="s">
        <v>99</v>
      </c>
      <c r="KGN69" s="148">
        <v>45845</v>
      </c>
      <c r="KGO69" s="143" t="s">
        <v>46</v>
      </c>
      <c r="KGP69" s="199"/>
      <c r="KGQ69" s="149" t="s">
        <v>125</v>
      </c>
      <c r="KGR69" s="197"/>
      <c r="KGS69" s="198"/>
      <c r="KGT69" s="143" t="s">
        <v>22</v>
      </c>
      <c r="KGU69" s="144">
        <v>8150</v>
      </c>
      <c r="KGV69" s="152">
        <v>85</v>
      </c>
      <c r="KGW69" s="153">
        <v>215</v>
      </c>
      <c r="KGX69" s="153">
        <v>75</v>
      </c>
      <c r="KGY69" s="152">
        <v>150</v>
      </c>
      <c r="KGZ69" s="154">
        <f>SUM(KGU69:KGY69)</f>
        <v>8675</v>
      </c>
      <c r="KHA69" s="152">
        <v>200</v>
      </c>
      <c r="KHB69" s="154">
        <f>SUM(KGZ69:KHA69)</f>
        <v>8875</v>
      </c>
      <c r="KHC69" s="147" t="s">
        <v>99</v>
      </c>
      <c r="KHD69" s="148">
        <v>45845</v>
      </c>
      <c r="KHE69" s="143" t="s">
        <v>46</v>
      </c>
      <c r="KHF69" s="199"/>
      <c r="KHG69" s="149" t="s">
        <v>125</v>
      </c>
      <c r="KHH69" s="197"/>
      <c r="KHI69" s="198"/>
      <c r="KHJ69" s="143" t="s">
        <v>22</v>
      </c>
      <c r="KHK69" s="144">
        <v>8150</v>
      </c>
      <c r="KHL69" s="152">
        <v>85</v>
      </c>
      <c r="KHM69" s="153">
        <v>215</v>
      </c>
      <c r="KHN69" s="153">
        <v>75</v>
      </c>
      <c r="KHO69" s="152">
        <v>150</v>
      </c>
      <c r="KHP69" s="154">
        <f>SUM(KHK69:KHO69)</f>
        <v>8675</v>
      </c>
      <c r="KHQ69" s="152">
        <v>200</v>
      </c>
      <c r="KHR69" s="154">
        <f>SUM(KHP69:KHQ69)</f>
        <v>8875</v>
      </c>
      <c r="KHS69" s="147" t="s">
        <v>99</v>
      </c>
      <c r="KHT69" s="148">
        <v>45845</v>
      </c>
      <c r="KHU69" s="143" t="s">
        <v>46</v>
      </c>
      <c r="KHV69" s="199"/>
      <c r="KHW69" s="149" t="s">
        <v>125</v>
      </c>
      <c r="KHX69" s="197"/>
      <c r="KHY69" s="198"/>
      <c r="KHZ69" s="143" t="s">
        <v>22</v>
      </c>
      <c r="KIA69" s="144">
        <v>8150</v>
      </c>
      <c r="KIB69" s="152">
        <v>85</v>
      </c>
      <c r="KIC69" s="153">
        <v>215</v>
      </c>
      <c r="KID69" s="153">
        <v>75</v>
      </c>
      <c r="KIE69" s="152">
        <v>150</v>
      </c>
      <c r="KIF69" s="154">
        <f>SUM(KIA69:KIE69)</f>
        <v>8675</v>
      </c>
      <c r="KIG69" s="152">
        <v>200</v>
      </c>
      <c r="KIH69" s="154">
        <f>SUM(KIF69:KIG69)</f>
        <v>8875</v>
      </c>
      <c r="KII69" s="147" t="s">
        <v>99</v>
      </c>
      <c r="KIJ69" s="148">
        <v>45845</v>
      </c>
      <c r="KIK69" s="143" t="s">
        <v>46</v>
      </c>
      <c r="KIL69" s="199"/>
      <c r="KIM69" s="149" t="s">
        <v>125</v>
      </c>
      <c r="KIN69" s="197"/>
      <c r="KIO69" s="198"/>
      <c r="KIP69" s="143" t="s">
        <v>22</v>
      </c>
      <c r="KIQ69" s="144">
        <v>8150</v>
      </c>
      <c r="KIR69" s="152">
        <v>85</v>
      </c>
      <c r="KIS69" s="153">
        <v>215</v>
      </c>
      <c r="KIT69" s="153">
        <v>75</v>
      </c>
      <c r="KIU69" s="152">
        <v>150</v>
      </c>
      <c r="KIV69" s="154">
        <f>SUM(KIQ69:KIU69)</f>
        <v>8675</v>
      </c>
      <c r="KIW69" s="152">
        <v>200</v>
      </c>
      <c r="KIX69" s="154">
        <f>SUM(KIV69:KIW69)</f>
        <v>8875</v>
      </c>
      <c r="KIY69" s="147" t="s">
        <v>99</v>
      </c>
      <c r="KIZ69" s="148">
        <v>45845</v>
      </c>
      <c r="KJA69" s="143" t="s">
        <v>46</v>
      </c>
      <c r="KJB69" s="199"/>
      <c r="KJC69" s="149" t="s">
        <v>125</v>
      </c>
      <c r="KJD69" s="197"/>
      <c r="KJE69" s="198"/>
      <c r="KJF69" s="143" t="s">
        <v>22</v>
      </c>
      <c r="KJG69" s="144">
        <v>8150</v>
      </c>
      <c r="KJH69" s="152">
        <v>85</v>
      </c>
      <c r="KJI69" s="153">
        <v>215</v>
      </c>
      <c r="KJJ69" s="153">
        <v>75</v>
      </c>
      <c r="KJK69" s="152">
        <v>150</v>
      </c>
      <c r="KJL69" s="154">
        <f>SUM(KJG69:KJK69)</f>
        <v>8675</v>
      </c>
      <c r="KJM69" s="152">
        <v>200</v>
      </c>
      <c r="KJN69" s="154">
        <f>SUM(KJL69:KJM69)</f>
        <v>8875</v>
      </c>
      <c r="KJO69" s="147" t="s">
        <v>99</v>
      </c>
      <c r="KJP69" s="148">
        <v>45845</v>
      </c>
      <c r="KJQ69" s="143" t="s">
        <v>46</v>
      </c>
      <c r="KJR69" s="199"/>
      <c r="KJS69" s="149" t="s">
        <v>125</v>
      </c>
      <c r="KJT69" s="197"/>
      <c r="KJU69" s="198"/>
      <c r="KJV69" s="143" t="s">
        <v>22</v>
      </c>
      <c r="KJW69" s="144">
        <v>8150</v>
      </c>
      <c r="KJX69" s="152">
        <v>85</v>
      </c>
      <c r="KJY69" s="153">
        <v>215</v>
      </c>
      <c r="KJZ69" s="153">
        <v>75</v>
      </c>
      <c r="KKA69" s="152">
        <v>150</v>
      </c>
      <c r="KKB69" s="154">
        <f>SUM(KJW69:KKA69)</f>
        <v>8675</v>
      </c>
      <c r="KKC69" s="152">
        <v>200</v>
      </c>
      <c r="KKD69" s="154">
        <f>SUM(KKB69:KKC69)</f>
        <v>8875</v>
      </c>
      <c r="KKE69" s="147" t="s">
        <v>99</v>
      </c>
      <c r="KKF69" s="148">
        <v>45845</v>
      </c>
      <c r="KKG69" s="143" t="s">
        <v>46</v>
      </c>
      <c r="KKH69" s="199"/>
      <c r="KKI69" s="149" t="s">
        <v>125</v>
      </c>
      <c r="KKJ69" s="197"/>
      <c r="KKK69" s="198"/>
      <c r="KKL69" s="143" t="s">
        <v>22</v>
      </c>
      <c r="KKM69" s="144">
        <v>8150</v>
      </c>
      <c r="KKN69" s="152">
        <v>85</v>
      </c>
      <c r="KKO69" s="153">
        <v>215</v>
      </c>
      <c r="KKP69" s="153">
        <v>75</v>
      </c>
      <c r="KKQ69" s="152">
        <v>150</v>
      </c>
      <c r="KKR69" s="154">
        <f>SUM(KKM69:KKQ69)</f>
        <v>8675</v>
      </c>
      <c r="KKS69" s="152">
        <v>200</v>
      </c>
      <c r="KKT69" s="154">
        <f>SUM(KKR69:KKS69)</f>
        <v>8875</v>
      </c>
      <c r="KKU69" s="147" t="s">
        <v>99</v>
      </c>
      <c r="KKV69" s="148">
        <v>45845</v>
      </c>
      <c r="KKW69" s="143" t="s">
        <v>46</v>
      </c>
      <c r="KKX69" s="199"/>
      <c r="KKY69" s="149" t="s">
        <v>125</v>
      </c>
      <c r="KKZ69" s="197"/>
      <c r="KLA69" s="198"/>
      <c r="KLB69" s="143" t="s">
        <v>22</v>
      </c>
      <c r="KLC69" s="144">
        <v>8150</v>
      </c>
      <c r="KLD69" s="152">
        <v>85</v>
      </c>
      <c r="KLE69" s="153">
        <v>215</v>
      </c>
      <c r="KLF69" s="153">
        <v>75</v>
      </c>
      <c r="KLG69" s="152">
        <v>150</v>
      </c>
      <c r="KLH69" s="154">
        <f>SUM(KLC69:KLG69)</f>
        <v>8675</v>
      </c>
      <c r="KLI69" s="152">
        <v>200</v>
      </c>
      <c r="KLJ69" s="154">
        <f>SUM(KLH69:KLI69)</f>
        <v>8875</v>
      </c>
      <c r="KLK69" s="147" t="s">
        <v>99</v>
      </c>
      <c r="KLL69" s="148">
        <v>45845</v>
      </c>
      <c r="KLM69" s="143" t="s">
        <v>46</v>
      </c>
      <c r="KLN69" s="199"/>
      <c r="KLO69" s="149" t="s">
        <v>125</v>
      </c>
      <c r="KLP69" s="197"/>
      <c r="KLQ69" s="198"/>
      <c r="KLR69" s="143" t="s">
        <v>22</v>
      </c>
      <c r="KLS69" s="144">
        <v>8150</v>
      </c>
      <c r="KLT69" s="152">
        <v>85</v>
      </c>
      <c r="KLU69" s="153">
        <v>215</v>
      </c>
      <c r="KLV69" s="153">
        <v>75</v>
      </c>
      <c r="KLW69" s="152">
        <v>150</v>
      </c>
      <c r="KLX69" s="154">
        <f>SUM(KLS69:KLW69)</f>
        <v>8675</v>
      </c>
      <c r="KLY69" s="152">
        <v>200</v>
      </c>
      <c r="KLZ69" s="154">
        <f>SUM(KLX69:KLY69)</f>
        <v>8875</v>
      </c>
      <c r="KMA69" s="147" t="s">
        <v>99</v>
      </c>
      <c r="KMB69" s="148">
        <v>45845</v>
      </c>
      <c r="KMC69" s="143" t="s">
        <v>46</v>
      </c>
      <c r="KMD69" s="199"/>
      <c r="KME69" s="149" t="s">
        <v>125</v>
      </c>
      <c r="KMF69" s="197"/>
      <c r="KMG69" s="198"/>
      <c r="KMH69" s="143" t="s">
        <v>22</v>
      </c>
      <c r="KMI69" s="144">
        <v>8150</v>
      </c>
      <c r="KMJ69" s="152">
        <v>85</v>
      </c>
      <c r="KMK69" s="153">
        <v>215</v>
      </c>
      <c r="KML69" s="153">
        <v>75</v>
      </c>
      <c r="KMM69" s="152">
        <v>150</v>
      </c>
      <c r="KMN69" s="154">
        <f>SUM(KMI69:KMM69)</f>
        <v>8675</v>
      </c>
      <c r="KMO69" s="152">
        <v>200</v>
      </c>
      <c r="KMP69" s="154">
        <f>SUM(KMN69:KMO69)</f>
        <v>8875</v>
      </c>
      <c r="KMQ69" s="147" t="s">
        <v>99</v>
      </c>
      <c r="KMR69" s="148">
        <v>45845</v>
      </c>
      <c r="KMS69" s="143" t="s">
        <v>46</v>
      </c>
      <c r="KMT69" s="199"/>
      <c r="KMU69" s="149" t="s">
        <v>125</v>
      </c>
      <c r="KMV69" s="197"/>
      <c r="KMW69" s="198"/>
      <c r="KMX69" s="143" t="s">
        <v>22</v>
      </c>
      <c r="KMY69" s="144">
        <v>8150</v>
      </c>
      <c r="KMZ69" s="152">
        <v>85</v>
      </c>
      <c r="KNA69" s="153">
        <v>215</v>
      </c>
      <c r="KNB69" s="153">
        <v>75</v>
      </c>
      <c r="KNC69" s="152">
        <v>150</v>
      </c>
      <c r="KND69" s="154">
        <f>SUM(KMY69:KNC69)</f>
        <v>8675</v>
      </c>
      <c r="KNE69" s="152">
        <v>200</v>
      </c>
      <c r="KNF69" s="154">
        <f>SUM(KND69:KNE69)</f>
        <v>8875</v>
      </c>
      <c r="KNG69" s="147" t="s">
        <v>99</v>
      </c>
      <c r="KNH69" s="148">
        <v>45845</v>
      </c>
      <c r="KNI69" s="143" t="s">
        <v>46</v>
      </c>
      <c r="KNJ69" s="199"/>
      <c r="KNK69" s="149" t="s">
        <v>125</v>
      </c>
      <c r="KNL69" s="197"/>
      <c r="KNM69" s="198"/>
      <c r="KNN69" s="143" t="s">
        <v>22</v>
      </c>
      <c r="KNO69" s="144">
        <v>8150</v>
      </c>
      <c r="KNP69" s="152">
        <v>85</v>
      </c>
      <c r="KNQ69" s="153">
        <v>215</v>
      </c>
      <c r="KNR69" s="153">
        <v>75</v>
      </c>
      <c r="KNS69" s="152">
        <v>150</v>
      </c>
      <c r="KNT69" s="154">
        <f>SUM(KNO69:KNS69)</f>
        <v>8675</v>
      </c>
      <c r="KNU69" s="152">
        <v>200</v>
      </c>
      <c r="KNV69" s="154">
        <f>SUM(KNT69:KNU69)</f>
        <v>8875</v>
      </c>
      <c r="KNW69" s="147" t="s">
        <v>99</v>
      </c>
      <c r="KNX69" s="148">
        <v>45845</v>
      </c>
      <c r="KNY69" s="143" t="s">
        <v>46</v>
      </c>
      <c r="KNZ69" s="199"/>
      <c r="KOA69" s="149" t="s">
        <v>125</v>
      </c>
      <c r="KOB69" s="197"/>
      <c r="KOC69" s="198"/>
      <c r="KOD69" s="143" t="s">
        <v>22</v>
      </c>
      <c r="KOE69" s="144">
        <v>8150</v>
      </c>
      <c r="KOF69" s="152">
        <v>85</v>
      </c>
      <c r="KOG69" s="153">
        <v>215</v>
      </c>
      <c r="KOH69" s="153">
        <v>75</v>
      </c>
      <c r="KOI69" s="152">
        <v>150</v>
      </c>
      <c r="KOJ69" s="154">
        <f>SUM(KOE69:KOI69)</f>
        <v>8675</v>
      </c>
      <c r="KOK69" s="152">
        <v>200</v>
      </c>
      <c r="KOL69" s="154">
        <f>SUM(KOJ69:KOK69)</f>
        <v>8875</v>
      </c>
      <c r="KOM69" s="147" t="s">
        <v>99</v>
      </c>
      <c r="KON69" s="148">
        <v>45845</v>
      </c>
      <c r="KOO69" s="143" t="s">
        <v>46</v>
      </c>
      <c r="KOP69" s="199"/>
      <c r="KOQ69" s="149" t="s">
        <v>125</v>
      </c>
      <c r="KOR69" s="197"/>
      <c r="KOS69" s="198"/>
      <c r="KOT69" s="143" t="s">
        <v>22</v>
      </c>
      <c r="KOU69" s="144">
        <v>8150</v>
      </c>
      <c r="KOV69" s="152">
        <v>85</v>
      </c>
      <c r="KOW69" s="153">
        <v>215</v>
      </c>
      <c r="KOX69" s="153">
        <v>75</v>
      </c>
      <c r="KOY69" s="152">
        <v>150</v>
      </c>
      <c r="KOZ69" s="154">
        <f>SUM(KOU69:KOY69)</f>
        <v>8675</v>
      </c>
      <c r="KPA69" s="152">
        <v>200</v>
      </c>
      <c r="KPB69" s="154">
        <f>SUM(KOZ69:KPA69)</f>
        <v>8875</v>
      </c>
      <c r="KPC69" s="147" t="s">
        <v>99</v>
      </c>
      <c r="KPD69" s="148">
        <v>45845</v>
      </c>
      <c r="KPE69" s="143" t="s">
        <v>46</v>
      </c>
      <c r="KPF69" s="199"/>
      <c r="KPG69" s="149" t="s">
        <v>125</v>
      </c>
      <c r="KPH69" s="197"/>
      <c r="KPI69" s="198"/>
      <c r="KPJ69" s="143" t="s">
        <v>22</v>
      </c>
      <c r="KPK69" s="144">
        <v>8150</v>
      </c>
      <c r="KPL69" s="152">
        <v>85</v>
      </c>
      <c r="KPM69" s="153">
        <v>215</v>
      </c>
      <c r="KPN69" s="153">
        <v>75</v>
      </c>
      <c r="KPO69" s="152">
        <v>150</v>
      </c>
      <c r="KPP69" s="154">
        <f>SUM(KPK69:KPO69)</f>
        <v>8675</v>
      </c>
      <c r="KPQ69" s="152">
        <v>200</v>
      </c>
      <c r="KPR69" s="154">
        <f>SUM(KPP69:KPQ69)</f>
        <v>8875</v>
      </c>
      <c r="KPS69" s="147" t="s">
        <v>99</v>
      </c>
      <c r="KPT69" s="148">
        <v>45845</v>
      </c>
      <c r="KPU69" s="143" t="s">
        <v>46</v>
      </c>
      <c r="KPV69" s="199"/>
      <c r="KPW69" s="149" t="s">
        <v>125</v>
      </c>
      <c r="KPX69" s="197"/>
      <c r="KPY69" s="198"/>
      <c r="KPZ69" s="143" t="s">
        <v>22</v>
      </c>
      <c r="KQA69" s="144">
        <v>8150</v>
      </c>
      <c r="KQB69" s="152">
        <v>85</v>
      </c>
      <c r="KQC69" s="153">
        <v>215</v>
      </c>
      <c r="KQD69" s="153">
        <v>75</v>
      </c>
      <c r="KQE69" s="152">
        <v>150</v>
      </c>
      <c r="KQF69" s="154">
        <f>SUM(KQA69:KQE69)</f>
        <v>8675</v>
      </c>
      <c r="KQG69" s="152">
        <v>200</v>
      </c>
      <c r="KQH69" s="154">
        <f>SUM(KQF69:KQG69)</f>
        <v>8875</v>
      </c>
      <c r="KQI69" s="147" t="s">
        <v>99</v>
      </c>
      <c r="KQJ69" s="148">
        <v>45845</v>
      </c>
      <c r="KQK69" s="143" t="s">
        <v>46</v>
      </c>
      <c r="KQL69" s="199"/>
      <c r="KQM69" s="149" t="s">
        <v>125</v>
      </c>
      <c r="KQN69" s="197"/>
      <c r="KQO69" s="198"/>
      <c r="KQP69" s="143" t="s">
        <v>22</v>
      </c>
      <c r="KQQ69" s="144">
        <v>8150</v>
      </c>
      <c r="KQR69" s="152">
        <v>85</v>
      </c>
      <c r="KQS69" s="153">
        <v>215</v>
      </c>
      <c r="KQT69" s="153">
        <v>75</v>
      </c>
      <c r="KQU69" s="152">
        <v>150</v>
      </c>
      <c r="KQV69" s="154">
        <f>SUM(KQQ69:KQU69)</f>
        <v>8675</v>
      </c>
      <c r="KQW69" s="152">
        <v>200</v>
      </c>
      <c r="KQX69" s="154">
        <f>SUM(KQV69:KQW69)</f>
        <v>8875</v>
      </c>
      <c r="KQY69" s="147" t="s">
        <v>99</v>
      </c>
      <c r="KQZ69" s="148">
        <v>45845</v>
      </c>
      <c r="KRA69" s="143" t="s">
        <v>46</v>
      </c>
      <c r="KRB69" s="199"/>
      <c r="KRC69" s="149" t="s">
        <v>125</v>
      </c>
      <c r="KRD69" s="197"/>
      <c r="KRE69" s="198"/>
      <c r="KRF69" s="143" t="s">
        <v>22</v>
      </c>
      <c r="KRG69" s="144">
        <v>8150</v>
      </c>
      <c r="KRH69" s="152">
        <v>85</v>
      </c>
      <c r="KRI69" s="153">
        <v>215</v>
      </c>
      <c r="KRJ69" s="153">
        <v>75</v>
      </c>
      <c r="KRK69" s="152">
        <v>150</v>
      </c>
      <c r="KRL69" s="154">
        <f>SUM(KRG69:KRK69)</f>
        <v>8675</v>
      </c>
      <c r="KRM69" s="152">
        <v>200</v>
      </c>
      <c r="KRN69" s="154">
        <f>SUM(KRL69:KRM69)</f>
        <v>8875</v>
      </c>
      <c r="KRO69" s="147" t="s">
        <v>99</v>
      </c>
      <c r="KRP69" s="148">
        <v>45845</v>
      </c>
      <c r="KRQ69" s="143" t="s">
        <v>46</v>
      </c>
      <c r="KRR69" s="199"/>
      <c r="KRS69" s="149" t="s">
        <v>125</v>
      </c>
      <c r="KRT69" s="197"/>
      <c r="KRU69" s="198"/>
      <c r="KRV69" s="143" t="s">
        <v>22</v>
      </c>
      <c r="KRW69" s="144">
        <v>8150</v>
      </c>
      <c r="KRX69" s="152">
        <v>85</v>
      </c>
      <c r="KRY69" s="153">
        <v>215</v>
      </c>
      <c r="KRZ69" s="153">
        <v>75</v>
      </c>
      <c r="KSA69" s="152">
        <v>150</v>
      </c>
      <c r="KSB69" s="154">
        <f>SUM(KRW69:KSA69)</f>
        <v>8675</v>
      </c>
      <c r="KSC69" s="152">
        <v>200</v>
      </c>
      <c r="KSD69" s="154">
        <f>SUM(KSB69:KSC69)</f>
        <v>8875</v>
      </c>
      <c r="KSE69" s="147" t="s">
        <v>99</v>
      </c>
      <c r="KSF69" s="148">
        <v>45845</v>
      </c>
      <c r="KSG69" s="143" t="s">
        <v>46</v>
      </c>
      <c r="KSH69" s="199"/>
      <c r="KSI69" s="149" t="s">
        <v>125</v>
      </c>
      <c r="KSJ69" s="197"/>
      <c r="KSK69" s="198"/>
      <c r="KSL69" s="143" t="s">
        <v>22</v>
      </c>
      <c r="KSM69" s="144">
        <v>8150</v>
      </c>
      <c r="KSN69" s="152">
        <v>85</v>
      </c>
      <c r="KSO69" s="153">
        <v>215</v>
      </c>
      <c r="KSP69" s="153">
        <v>75</v>
      </c>
      <c r="KSQ69" s="152">
        <v>150</v>
      </c>
      <c r="KSR69" s="154">
        <f>SUM(KSM69:KSQ69)</f>
        <v>8675</v>
      </c>
      <c r="KSS69" s="152">
        <v>200</v>
      </c>
      <c r="KST69" s="154">
        <f>SUM(KSR69:KSS69)</f>
        <v>8875</v>
      </c>
      <c r="KSU69" s="147" t="s">
        <v>99</v>
      </c>
      <c r="KSV69" s="148">
        <v>45845</v>
      </c>
      <c r="KSW69" s="143" t="s">
        <v>46</v>
      </c>
      <c r="KSX69" s="199"/>
      <c r="KSY69" s="149" t="s">
        <v>125</v>
      </c>
      <c r="KSZ69" s="197"/>
      <c r="KTA69" s="198"/>
      <c r="KTB69" s="143" t="s">
        <v>22</v>
      </c>
      <c r="KTC69" s="144">
        <v>8150</v>
      </c>
      <c r="KTD69" s="152">
        <v>85</v>
      </c>
      <c r="KTE69" s="153">
        <v>215</v>
      </c>
      <c r="KTF69" s="153">
        <v>75</v>
      </c>
      <c r="KTG69" s="152">
        <v>150</v>
      </c>
      <c r="KTH69" s="154">
        <f>SUM(KTC69:KTG69)</f>
        <v>8675</v>
      </c>
      <c r="KTI69" s="152">
        <v>200</v>
      </c>
      <c r="KTJ69" s="154">
        <f>SUM(KTH69:KTI69)</f>
        <v>8875</v>
      </c>
      <c r="KTK69" s="147" t="s">
        <v>99</v>
      </c>
      <c r="KTL69" s="148">
        <v>45845</v>
      </c>
      <c r="KTM69" s="143" t="s">
        <v>46</v>
      </c>
      <c r="KTN69" s="199"/>
      <c r="KTO69" s="149" t="s">
        <v>125</v>
      </c>
      <c r="KTP69" s="197"/>
      <c r="KTQ69" s="198"/>
      <c r="KTR69" s="143" t="s">
        <v>22</v>
      </c>
      <c r="KTS69" s="144">
        <v>8150</v>
      </c>
      <c r="KTT69" s="152">
        <v>85</v>
      </c>
      <c r="KTU69" s="153">
        <v>215</v>
      </c>
      <c r="KTV69" s="153">
        <v>75</v>
      </c>
      <c r="KTW69" s="152">
        <v>150</v>
      </c>
      <c r="KTX69" s="154">
        <f>SUM(KTS69:KTW69)</f>
        <v>8675</v>
      </c>
      <c r="KTY69" s="152">
        <v>200</v>
      </c>
      <c r="KTZ69" s="154">
        <f>SUM(KTX69:KTY69)</f>
        <v>8875</v>
      </c>
      <c r="KUA69" s="147" t="s">
        <v>99</v>
      </c>
      <c r="KUB69" s="148">
        <v>45845</v>
      </c>
      <c r="KUC69" s="143" t="s">
        <v>46</v>
      </c>
      <c r="KUD69" s="199"/>
      <c r="KUE69" s="149" t="s">
        <v>125</v>
      </c>
      <c r="KUF69" s="197"/>
      <c r="KUG69" s="198"/>
      <c r="KUH69" s="143" t="s">
        <v>22</v>
      </c>
      <c r="KUI69" s="144">
        <v>8150</v>
      </c>
      <c r="KUJ69" s="152">
        <v>85</v>
      </c>
      <c r="KUK69" s="153">
        <v>215</v>
      </c>
      <c r="KUL69" s="153">
        <v>75</v>
      </c>
      <c r="KUM69" s="152">
        <v>150</v>
      </c>
      <c r="KUN69" s="154">
        <f>SUM(KUI69:KUM69)</f>
        <v>8675</v>
      </c>
      <c r="KUO69" s="152">
        <v>200</v>
      </c>
      <c r="KUP69" s="154">
        <f>SUM(KUN69:KUO69)</f>
        <v>8875</v>
      </c>
      <c r="KUQ69" s="147" t="s">
        <v>99</v>
      </c>
      <c r="KUR69" s="148">
        <v>45845</v>
      </c>
      <c r="KUS69" s="143" t="s">
        <v>46</v>
      </c>
      <c r="KUT69" s="199"/>
      <c r="KUU69" s="149" t="s">
        <v>125</v>
      </c>
      <c r="KUV69" s="197"/>
      <c r="KUW69" s="198"/>
      <c r="KUX69" s="143" t="s">
        <v>22</v>
      </c>
      <c r="KUY69" s="144">
        <v>8150</v>
      </c>
      <c r="KUZ69" s="152">
        <v>85</v>
      </c>
      <c r="KVA69" s="153">
        <v>215</v>
      </c>
      <c r="KVB69" s="153">
        <v>75</v>
      </c>
      <c r="KVC69" s="152">
        <v>150</v>
      </c>
      <c r="KVD69" s="154">
        <f>SUM(KUY69:KVC69)</f>
        <v>8675</v>
      </c>
      <c r="KVE69" s="152">
        <v>200</v>
      </c>
      <c r="KVF69" s="154">
        <f>SUM(KVD69:KVE69)</f>
        <v>8875</v>
      </c>
      <c r="KVG69" s="147" t="s">
        <v>99</v>
      </c>
      <c r="KVH69" s="148">
        <v>45845</v>
      </c>
      <c r="KVI69" s="143" t="s">
        <v>46</v>
      </c>
      <c r="KVJ69" s="199"/>
      <c r="KVK69" s="149" t="s">
        <v>125</v>
      </c>
      <c r="KVL69" s="197"/>
      <c r="KVM69" s="198"/>
      <c r="KVN69" s="143" t="s">
        <v>22</v>
      </c>
      <c r="KVO69" s="144">
        <v>8150</v>
      </c>
      <c r="KVP69" s="152">
        <v>85</v>
      </c>
      <c r="KVQ69" s="153">
        <v>215</v>
      </c>
      <c r="KVR69" s="153">
        <v>75</v>
      </c>
      <c r="KVS69" s="152">
        <v>150</v>
      </c>
      <c r="KVT69" s="154">
        <f>SUM(KVO69:KVS69)</f>
        <v>8675</v>
      </c>
      <c r="KVU69" s="152">
        <v>200</v>
      </c>
      <c r="KVV69" s="154">
        <f>SUM(KVT69:KVU69)</f>
        <v>8875</v>
      </c>
      <c r="KVW69" s="147" t="s">
        <v>99</v>
      </c>
      <c r="KVX69" s="148">
        <v>45845</v>
      </c>
      <c r="KVY69" s="143" t="s">
        <v>46</v>
      </c>
      <c r="KVZ69" s="199"/>
      <c r="KWA69" s="149" t="s">
        <v>125</v>
      </c>
      <c r="KWB69" s="197"/>
      <c r="KWC69" s="198"/>
      <c r="KWD69" s="143" t="s">
        <v>22</v>
      </c>
      <c r="KWE69" s="144">
        <v>8150</v>
      </c>
      <c r="KWF69" s="152">
        <v>85</v>
      </c>
      <c r="KWG69" s="153">
        <v>215</v>
      </c>
      <c r="KWH69" s="153">
        <v>75</v>
      </c>
      <c r="KWI69" s="152">
        <v>150</v>
      </c>
      <c r="KWJ69" s="154">
        <f>SUM(KWE69:KWI69)</f>
        <v>8675</v>
      </c>
      <c r="KWK69" s="152">
        <v>200</v>
      </c>
      <c r="KWL69" s="154">
        <f>SUM(KWJ69:KWK69)</f>
        <v>8875</v>
      </c>
      <c r="KWM69" s="147" t="s">
        <v>99</v>
      </c>
      <c r="KWN69" s="148">
        <v>45845</v>
      </c>
      <c r="KWO69" s="143" t="s">
        <v>46</v>
      </c>
      <c r="KWP69" s="199"/>
      <c r="KWQ69" s="149" t="s">
        <v>125</v>
      </c>
      <c r="KWR69" s="197"/>
      <c r="KWS69" s="198"/>
      <c r="KWT69" s="143" t="s">
        <v>22</v>
      </c>
      <c r="KWU69" s="144">
        <v>8150</v>
      </c>
      <c r="KWV69" s="152">
        <v>85</v>
      </c>
      <c r="KWW69" s="153">
        <v>215</v>
      </c>
      <c r="KWX69" s="153">
        <v>75</v>
      </c>
      <c r="KWY69" s="152">
        <v>150</v>
      </c>
      <c r="KWZ69" s="154">
        <f>SUM(KWU69:KWY69)</f>
        <v>8675</v>
      </c>
      <c r="KXA69" s="152">
        <v>200</v>
      </c>
      <c r="KXB69" s="154">
        <f>SUM(KWZ69:KXA69)</f>
        <v>8875</v>
      </c>
      <c r="KXC69" s="147" t="s">
        <v>99</v>
      </c>
      <c r="KXD69" s="148">
        <v>45845</v>
      </c>
      <c r="KXE69" s="143" t="s">
        <v>46</v>
      </c>
      <c r="KXF69" s="199"/>
      <c r="KXG69" s="149" t="s">
        <v>125</v>
      </c>
      <c r="KXH69" s="197"/>
      <c r="KXI69" s="198"/>
      <c r="KXJ69" s="143" t="s">
        <v>22</v>
      </c>
      <c r="KXK69" s="144">
        <v>8150</v>
      </c>
      <c r="KXL69" s="152">
        <v>85</v>
      </c>
      <c r="KXM69" s="153">
        <v>215</v>
      </c>
      <c r="KXN69" s="153">
        <v>75</v>
      </c>
      <c r="KXO69" s="152">
        <v>150</v>
      </c>
      <c r="KXP69" s="154">
        <f>SUM(KXK69:KXO69)</f>
        <v>8675</v>
      </c>
      <c r="KXQ69" s="152">
        <v>200</v>
      </c>
      <c r="KXR69" s="154">
        <f>SUM(KXP69:KXQ69)</f>
        <v>8875</v>
      </c>
      <c r="KXS69" s="147" t="s">
        <v>99</v>
      </c>
      <c r="KXT69" s="148">
        <v>45845</v>
      </c>
      <c r="KXU69" s="143" t="s">
        <v>46</v>
      </c>
      <c r="KXV69" s="199"/>
      <c r="KXW69" s="149" t="s">
        <v>125</v>
      </c>
      <c r="KXX69" s="197"/>
      <c r="KXY69" s="198"/>
      <c r="KXZ69" s="143" t="s">
        <v>22</v>
      </c>
      <c r="KYA69" s="144">
        <v>8150</v>
      </c>
      <c r="KYB69" s="152">
        <v>85</v>
      </c>
      <c r="KYC69" s="153">
        <v>215</v>
      </c>
      <c r="KYD69" s="153">
        <v>75</v>
      </c>
      <c r="KYE69" s="152">
        <v>150</v>
      </c>
      <c r="KYF69" s="154">
        <f>SUM(KYA69:KYE69)</f>
        <v>8675</v>
      </c>
      <c r="KYG69" s="152">
        <v>200</v>
      </c>
      <c r="KYH69" s="154">
        <f>SUM(KYF69:KYG69)</f>
        <v>8875</v>
      </c>
      <c r="KYI69" s="147" t="s">
        <v>99</v>
      </c>
      <c r="KYJ69" s="148">
        <v>45845</v>
      </c>
      <c r="KYK69" s="143" t="s">
        <v>46</v>
      </c>
      <c r="KYL69" s="199"/>
      <c r="KYM69" s="149" t="s">
        <v>125</v>
      </c>
      <c r="KYN69" s="197"/>
      <c r="KYO69" s="198"/>
      <c r="KYP69" s="143" t="s">
        <v>22</v>
      </c>
      <c r="KYQ69" s="144">
        <v>8150</v>
      </c>
      <c r="KYR69" s="152">
        <v>85</v>
      </c>
      <c r="KYS69" s="153">
        <v>215</v>
      </c>
      <c r="KYT69" s="153">
        <v>75</v>
      </c>
      <c r="KYU69" s="152">
        <v>150</v>
      </c>
      <c r="KYV69" s="154">
        <f>SUM(KYQ69:KYU69)</f>
        <v>8675</v>
      </c>
      <c r="KYW69" s="152">
        <v>200</v>
      </c>
      <c r="KYX69" s="154">
        <f>SUM(KYV69:KYW69)</f>
        <v>8875</v>
      </c>
      <c r="KYY69" s="147" t="s">
        <v>99</v>
      </c>
      <c r="KYZ69" s="148">
        <v>45845</v>
      </c>
      <c r="KZA69" s="143" t="s">
        <v>46</v>
      </c>
      <c r="KZB69" s="199"/>
      <c r="KZC69" s="149" t="s">
        <v>125</v>
      </c>
      <c r="KZD69" s="197"/>
      <c r="KZE69" s="198"/>
      <c r="KZF69" s="143" t="s">
        <v>22</v>
      </c>
      <c r="KZG69" s="144">
        <v>8150</v>
      </c>
      <c r="KZH69" s="152">
        <v>85</v>
      </c>
      <c r="KZI69" s="153">
        <v>215</v>
      </c>
      <c r="KZJ69" s="153">
        <v>75</v>
      </c>
      <c r="KZK69" s="152">
        <v>150</v>
      </c>
      <c r="KZL69" s="154">
        <f>SUM(KZG69:KZK69)</f>
        <v>8675</v>
      </c>
      <c r="KZM69" s="152">
        <v>200</v>
      </c>
      <c r="KZN69" s="154">
        <f>SUM(KZL69:KZM69)</f>
        <v>8875</v>
      </c>
      <c r="KZO69" s="147" t="s">
        <v>99</v>
      </c>
      <c r="KZP69" s="148">
        <v>45845</v>
      </c>
      <c r="KZQ69" s="143" t="s">
        <v>46</v>
      </c>
      <c r="KZR69" s="199"/>
      <c r="KZS69" s="149" t="s">
        <v>125</v>
      </c>
      <c r="KZT69" s="197"/>
      <c r="KZU69" s="198"/>
      <c r="KZV69" s="143" t="s">
        <v>22</v>
      </c>
      <c r="KZW69" s="144">
        <v>8150</v>
      </c>
      <c r="KZX69" s="152">
        <v>85</v>
      </c>
      <c r="KZY69" s="153">
        <v>215</v>
      </c>
      <c r="KZZ69" s="153">
        <v>75</v>
      </c>
      <c r="LAA69" s="152">
        <v>150</v>
      </c>
      <c r="LAB69" s="154">
        <f>SUM(KZW69:LAA69)</f>
        <v>8675</v>
      </c>
      <c r="LAC69" s="152">
        <v>200</v>
      </c>
      <c r="LAD69" s="154">
        <f>SUM(LAB69:LAC69)</f>
        <v>8875</v>
      </c>
      <c r="LAE69" s="147" t="s">
        <v>99</v>
      </c>
      <c r="LAF69" s="148">
        <v>45845</v>
      </c>
      <c r="LAG69" s="143" t="s">
        <v>46</v>
      </c>
      <c r="LAH69" s="199"/>
      <c r="LAI69" s="149" t="s">
        <v>125</v>
      </c>
      <c r="LAJ69" s="197"/>
      <c r="LAK69" s="198"/>
      <c r="LAL69" s="143" t="s">
        <v>22</v>
      </c>
      <c r="LAM69" s="144">
        <v>8150</v>
      </c>
      <c r="LAN69" s="152">
        <v>85</v>
      </c>
      <c r="LAO69" s="153">
        <v>215</v>
      </c>
      <c r="LAP69" s="153">
        <v>75</v>
      </c>
      <c r="LAQ69" s="152">
        <v>150</v>
      </c>
      <c r="LAR69" s="154">
        <f>SUM(LAM69:LAQ69)</f>
        <v>8675</v>
      </c>
      <c r="LAS69" s="152">
        <v>200</v>
      </c>
      <c r="LAT69" s="154">
        <f>SUM(LAR69:LAS69)</f>
        <v>8875</v>
      </c>
      <c r="LAU69" s="147" t="s">
        <v>99</v>
      </c>
      <c r="LAV69" s="148">
        <v>45845</v>
      </c>
      <c r="LAW69" s="143" t="s">
        <v>46</v>
      </c>
      <c r="LAX69" s="199"/>
      <c r="LAY69" s="149" t="s">
        <v>125</v>
      </c>
      <c r="LAZ69" s="197"/>
      <c r="LBA69" s="198"/>
      <c r="LBB69" s="143" t="s">
        <v>22</v>
      </c>
      <c r="LBC69" s="144">
        <v>8150</v>
      </c>
      <c r="LBD69" s="152">
        <v>85</v>
      </c>
      <c r="LBE69" s="153">
        <v>215</v>
      </c>
      <c r="LBF69" s="153">
        <v>75</v>
      </c>
      <c r="LBG69" s="152">
        <v>150</v>
      </c>
      <c r="LBH69" s="154">
        <f>SUM(LBC69:LBG69)</f>
        <v>8675</v>
      </c>
      <c r="LBI69" s="152">
        <v>200</v>
      </c>
      <c r="LBJ69" s="154">
        <f>SUM(LBH69:LBI69)</f>
        <v>8875</v>
      </c>
      <c r="LBK69" s="147" t="s">
        <v>99</v>
      </c>
      <c r="LBL69" s="148">
        <v>45845</v>
      </c>
      <c r="LBM69" s="143" t="s">
        <v>46</v>
      </c>
      <c r="LBN69" s="199"/>
      <c r="LBO69" s="149" t="s">
        <v>125</v>
      </c>
      <c r="LBP69" s="197"/>
      <c r="LBQ69" s="198"/>
      <c r="LBR69" s="143" t="s">
        <v>22</v>
      </c>
      <c r="LBS69" s="144">
        <v>8150</v>
      </c>
      <c r="LBT69" s="152">
        <v>85</v>
      </c>
      <c r="LBU69" s="153">
        <v>215</v>
      </c>
      <c r="LBV69" s="153">
        <v>75</v>
      </c>
      <c r="LBW69" s="152">
        <v>150</v>
      </c>
      <c r="LBX69" s="154">
        <f>SUM(LBS69:LBW69)</f>
        <v>8675</v>
      </c>
      <c r="LBY69" s="152">
        <v>200</v>
      </c>
      <c r="LBZ69" s="154">
        <f>SUM(LBX69:LBY69)</f>
        <v>8875</v>
      </c>
      <c r="LCA69" s="147" t="s">
        <v>99</v>
      </c>
      <c r="LCB69" s="148">
        <v>45845</v>
      </c>
      <c r="LCC69" s="143" t="s">
        <v>46</v>
      </c>
      <c r="LCD69" s="199"/>
      <c r="LCE69" s="149" t="s">
        <v>125</v>
      </c>
      <c r="LCF69" s="197"/>
      <c r="LCG69" s="198"/>
      <c r="LCH69" s="143" t="s">
        <v>22</v>
      </c>
      <c r="LCI69" s="144">
        <v>8150</v>
      </c>
      <c r="LCJ69" s="152">
        <v>85</v>
      </c>
      <c r="LCK69" s="153">
        <v>215</v>
      </c>
      <c r="LCL69" s="153">
        <v>75</v>
      </c>
      <c r="LCM69" s="152">
        <v>150</v>
      </c>
      <c r="LCN69" s="154">
        <f>SUM(LCI69:LCM69)</f>
        <v>8675</v>
      </c>
      <c r="LCO69" s="152">
        <v>200</v>
      </c>
      <c r="LCP69" s="154">
        <f>SUM(LCN69:LCO69)</f>
        <v>8875</v>
      </c>
      <c r="LCQ69" s="147" t="s">
        <v>99</v>
      </c>
      <c r="LCR69" s="148">
        <v>45845</v>
      </c>
      <c r="LCS69" s="143" t="s">
        <v>46</v>
      </c>
      <c r="LCT69" s="199"/>
      <c r="LCU69" s="149" t="s">
        <v>125</v>
      </c>
      <c r="LCV69" s="197"/>
      <c r="LCW69" s="198"/>
      <c r="LCX69" s="143" t="s">
        <v>22</v>
      </c>
      <c r="LCY69" s="144">
        <v>8150</v>
      </c>
      <c r="LCZ69" s="152">
        <v>85</v>
      </c>
      <c r="LDA69" s="153">
        <v>215</v>
      </c>
      <c r="LDB69" s="153">
        <v>75</v>
      </c>
      <c r="LDC69" s="152">
        <v>150</v>
      </c>
      <c r="LDD69" s="154">
        <f>SUM(LCY69:LDC69)</f>
        <v>8675</v>
      </c>
      <c r="LDE69" s="152">
        <v>200</v>
      </c>
      <c r="LDF69" s="154">
        <f>SUM(LDD69:LDE69)</f>
        <v>8875</v>
      </c>
      <c r="LDG69" s="147" t="s">
        <v>99</v>
      </c>
      <c r="LDH69" s="148">
        <v>45845</v>
      </c>
      <c r="LDI69" s="143" t="s">
        <v>46</v>
      </c>
      <c r="LDJ69" s="199"/>
      <c r="LDK69" s="149" t="s">
        <v>125</v>
      </c>
      <c r="LDL69" s="197"/>
      <c r="LDM69" s="198"/>
      <c r="LDN69" s="143" t="s">
        <v>22</v>
      </c>
      <c r="LDO69" s="144">
        <v>8150</v>
      </c>
      <c r="LDP69" s="152">
        <v>85</v>
      </c>
      <c r="LDQ69" s="153">
        <v>215</v>
      </c>
      <c r="LDR69" s="153">
        <v>75</v>
      </c>
      <c r="LDS69" s="152">
        <v>150</v>
      </c>
      <c r="LDT69" s="154">
        <f>SUM(LDO69:LDS69)</f>
        <v>8675</v>
      </c>
      <c r="LDU69" s="152">
        <v>200</v>
      </c>
      <c r="LDV69" s="154">
        <f>SUM(LDT69:LDU69)</f>
        <v>8875</v>
      </c>
      <c r="LDW69" s="147" t="s">
        <v>99</v>
      </c>
      <c r="LDX69" s="148">
        <v>45845</v>
      </c>
      <c r="LDY69" s="143" t="s">
        <v>46</v>
      </c>
      <c r="LDZ69" s="199"/>
      <c r="LEA69" s="149" t="s">
        <v>125</v>
      </c>
      <c r="LEB69" s="197"/>
      <c r="LEC69" s="198"/>
      <c r="LED69" s="143" t="s">
        <v>22</v>
      </c>
      <c r="LEE69" s="144">
        <v>8150</v>
      </c>
      <c r="LEF69" s="152">
        <v>85</v>
      </c>
      <c r="LEG69" s="153">
        <v>215</v>
      </c>
      <c r="LEH69" s="153">
        <v>75</v>
      </c>
      <c r="LEI69" s="152">
        <v>150</v>
      </c>
      <c r="LEJ69" s="154">
        <f>SUM(LEE69:LEI69)</f>
        <v>8675</v>
      </c>
      <c r="LEK69" s="152">
        <v>200</v>
      </c>
      <c r="LEL69" s="154">
        <f>SUM(LEJ69:LEK69)</f>
        <v>8875</v>
      </c>
      <c r="LEM69" s="147" t="s">
        <v>99</v>
      </c>
      <c r="LEN69" s="148">
        <v>45845</v>
      </c>
      <c r="LEO69" s="143" t="s">
        <v>46</v>
      </c>
      <c r="LEP69" s="199"/>
      <c r="LEQ69" s="149" t="s">
        <v>125</v>
      </c>
      <c r="LER69" s="197"/>
      <c r="LES69" s="198"/>
      <c r="LET69" s="143" t="s">
        <v>22</v>
      </c>
      <c r="LEU69" s="144">
        <v>8150</v>
      </c>
      <c r="LEV69" s="152">
        <v>85</v>
      </c>
      <c r="LEW69" s="153">
        <v>215</v>
      </c>
      <c r="LEX69" s="153">
        <v>75</v>
      </c>
      <c r="LEY69" s="152">
        <v>150</v>
      </c>
      <c r="LEZ69" s="154">
        <f>SUM(LEU69:LEY69)</f>
        <v>8675</v>
      </c>
      <c r="LFA69" s="152">
        <v>200</v>
      </c>
      <c r="LFB69" s="154">
        <f>SUM(LEZ69:LFA69)</f>
        <v>8875</v>
      </c>
      <c r="LFC69" s="147" t="s">
        <v>99</v>
      </c>
      <c r="LFD69" s="148">
        <v>45845</v>
      </c>
      <c r="LFE69" s="143" t="s">
        <v>46</v>
      </c>
      <c r="LFF69" s="199"/>
      <c r="LFG69" s="149" t="s">
        <v>125</v>
      </c>
      <c r="LFH69" s="197"/>
      <c r="LFI69" s="198"/>
      <c r="LFJ69" s="143" t="s">
        <v>22</v>
      </c>
      <c r="LFK69" s="144">
        <v>8150</v>
      </c>
      <c r="LFL69" s="152">
        <v>85</v>
      </c>
      <c r="LFM69" s="153">
        <v>215</v>
      </c>
      <c r="LFN69" s="153">
        <v>75</v>
      </c>
      <c r="LFO69" s="152">
        <v>150</v>
      </c>
      <c r="LFP69" s="154">
        <f>SUM(LFK69:LFO69)</f>
        <v>8675</v>
      </c>
      <c r="LFQ69" s="152">
        <v>200</v>
      </c>
      <c r="LFR69" s="154">
        <f>SUM(LFP69:LFQ69)</f>
        <v>8875</v>
      </c>
      <c r="LFS69" s="147" t="s">
        <v>99</v>
      </c>
      <c r="LFT69" s="148">
        <v>45845</v>
      </c>
      <c r="LFU69" s="143" t="s">
        <v>46</v>
      </c>
      <c r="LFV69" s="199"/>
      <c r="LFW69" s="149" t="s">
        <v>125</v>
      </c>
      <c r="LFX69" s="197"/>
      <c r="LFY69" s="198"/>
      <c r="LFZ69" s="143" t="s">
        <v>22</v>
      </c>
      <c r="LGA69" s="144">
        <v>8150</v>
      </c>
      <c r="LGB69" s="152">
        <v>85</v>
      </c>
      <c r="LGC69" s="153">
        <v>215</v>
      </c>
      <c r="LGD69" s="153">
        <v>75</v>
      </c>
      <c r="LGE69" s="152">
        <v>150</v>
      </c>
      <c r="LGF69" s="154">
        <f>SUM(LGA69:LGE69)</f>
        <v>8675</v>
      </c>
      <c r="LGG69" s="152">
        <v>200</v>
      </c>
      <c r="LGH69" s="154">
        <f>SUM(LGF69:LGG69)</f>
        <v>8875</v>
      </c>
      <c r="LGI69" s="147" t="s">
        <v>99</v>
      </c>
      <c r="LGJ69" s="148">
        <v>45845</v>
      </c>
      <c r="LGK69" s="143" t="s">
        <v>46</v>
      </c>
      <c r="LGL69" s="199"/>
      <c r="LGM69" s="149" t="s">
        <v>125</v>
      </c>
      <c r="LGN69" s="197"/>
      <c r="LGO69" s="198"/>
      <c r="LGP69" s="143" t="s">
        <v>22</v>
      </c>
      <c r="LGQ69" s="144">
        <v>8150</v>
      </c>
      <c r="LGR69" s="152">
        <v>85</v>
      </c>
      <c r="LGS69" s="153">
        <v>215</v>
      </c>
      <c r="LGT69" s="153">
        <v>75</v>
      </c>
      <c r="LGU69" s="152">
        <v>150</v>
      </c>
      <c r="LGV69" s="154">
        <f>SUM(LGQ69:LGU69)</f>
        <v>8675</v>
      </c>
      <c r="LGW69" s="152">
        <v>200</v>
      </c>
      <c r="LGX69" s="154">
        <f>SUM(LGV69:LGW69)</f>
        <v>8875</v>
      </c>
      <c r="LGY69" s="147" t="s">
        <v>99</v>
      </c>
      <c r="LGZ69" s="148">
        <v>45845</v>
      </c>
      <c r="LHA69" s="143" t="s">
        <v>46</v>
      </c>
      <c r="LHB69" s="199"/>
      <c r="LHC69" s="149" t="s">
        <v>125</v>
      </c>
      <c r="LHD69" s="197"/>
      <c r="LHE69" s="198"/>
      <c r="LHF69" s="143" t="s">
        <v>22</v>
      </c>
      <c r="LHG69" s="144">
        <v>8150</v>
      </c>
      <c r="LHH69" s="152">
        <v>85</v>
      </c>
      <c r="LHI69" s="153">
        <v>215</v>
      </c>
      <c r="LHJ69" s="153">
        <v>75</v>
      </c>
      <c r="LHK69" s="152">
        <v>150</v>
      </c>
      <c r="LHL69" s="154">
        <f>SUM(LHG69:LHK69)</f>
        <v>8675</v>
      </c>
      <c r="LHM69" s="152">
        <v>200</v>
      </c>
      <c r="LHN69" s="154">
        <f>SUM(LHL69:LHM69)</f>
        <v>8875</v>
      </c>
      <c r="LHO69" s="147" t="s">
        <v>99</v>
      </c>
      <c r="LHP69" s="148">
        <v>45845</v>
      </c>
      <c r="LHQ69" s="143" t="s">
        <v>46</v>
      </c>
      <c r="LHR69" s="199"/>
      <c r="LHS69" s="149" t="s">
        <v>125</v>
      </c>
      <c r="LHT69" s="197"/>
      <c r="LHU69" s="198"/>
      <c r="LHV69" s="143" t="s">
        <v>22</v>
      </c>
      <c r="LHW69" s="144">
        <v>8150</v>
      </c>
      <c r="LHX69" s="152">
        <v>85</v>
      </c>
      <c r="LHY69" s="153">
        <v>215</v>
      </c>
      <c r="LHZ69" s="153">
        <v>75</v>
      </c>
      <c r="LIA69" s="152">
        <v>150</v>
      </c>
      <c r="LIB69" s="154">
        <f>SUM(LHW69:LIA69)</f>
        <v>8675</v>
      </c>
      <c r="LIC69" s="152">
        <v>200</v>
      </c>
      <c r="LID69" s="154">
        <f>SUM(LIB69:LIC69)</f>
        <v>8875</v>
      </c>
      <c r="LIE69" s="147" t="s">
        <v>99</v>
      </c>
      <c r="LIF69" s="148">
        <v>45845</v>
      </c>
      <c r="LIG69" s="143" t="s">
        <v>46</v>
      </c>
      <c r="LIH69" s="199"/>
      <c r="LII69" s="149" t="s">
        <v>125</v>
      </c>
      <c r="LIJ69" s="197"/>
      <c r="LIK69" s="198"/>
      <c r="LIL69" s="143" t="s">
        <v>22</v>
      </c>
      <c r="LIM69" s="144">
        <v>8150</v>
      </c>
      <c r="LIN69" s="152">
        <v>85</v>
      </c>
      <c r="LIO69" s="153">
        <v>215</v>
      </c>
      <c r="LIP69" s="153">
        <v>75</v>
      </c>
      <c r="LIQ69" s="152">
        <v>150</v>
      </c>
      <c r="LIR69" s="154">
        <f>SUM(LIM69:LIQ69)</f>
        <v>8675</v>
      </c>
      <c r="LIS69" s="152">
        <v>200</v>
      </c>
      <c r="LIT69" s="154">
        <f>SUM(LIR69:LIS69)</f>
        <v>8875</v>
      </c>
      <c r="LIU69" s="147" t="s">
        <v>99</v>
      </c>
      <c r="LIV69" s="148">
        <v>45845</v>
      </c>
      <c r="LIW69" s="143" t="s">
        <v>46</v>
      </c>
      <c r="LIX69" s="199"/>
      <c r="LIY69" s="149" t="s">
        <v>125</v>
      </c>
      <c r="LIZ69" s="197"/>
      <c r="LJA69" s="198"/>
      <c r="LJB69" s="143" t="s">
        <v>22</v>
      </c>
      <c r="LJC69" s="144">
        <v>8150</v>
      </c>
      <c r="LJD69" s="152">
        <v>85</v>
      </c>
      <c r="LJE69" s="153">
        <v>215</v>
      </c>
      <c r="LJF69" s="153">
        <v>75</v>
      </c>
      <c r="LJG69" s="152">
        <v>150</v>
      </c>
      <c r="LJH69" s="154">
        <f>SUM(LJC69:LJG69)</f>
        <v>8675</v>
      </c>
      <c r="LJI69" s="152">
        <v>200</v>
      </c>
      <c r="LJJ69" s="154">
        <f>SUM(LJH69:LJI69)</f>
        <v>8875</v>
      </c>
      <c r="LJK69" s="147" t="s">
        <v>99</v>
      </c>
      <c r="LJL69" s="148">
        <v>45845</v>
      </c>
      <c r="LJM69" s="143" t="s">
        <v>46</v>
      </c>
      <c r="LJN69" s="199"/>
      <c r="LJO69" s="149" t="s">
        <v>125</v>
      </c>
      <c r="LJP69" s="197"/>
      <c r="LJQ69" s="198"/>
      <c r="LJR69" s="143" t="s">
        <v>22</v>
      </c>
      <c r="LJS69" s="144">
        <v>8150</v>
      </c>
      <c r="LJT69" s="152">
        <v>85</v>
      </c>
      <c r="LJU69" s="153">
        <v>215</v>
      </c>
      <c r="LJV69" s="153">
        <v>75</v>
      </c>
      <c r="LJW69" s="152">
        <v>150</v>
      </c>
      <c r="LJX69" s="154">
        <f>SUM(LJS69:LJW69)</f>
        <v>8675</v>
      </c>
      <c r="LJY69" s="152">
        <v>200</v>
      </c>
      <c r="LJZ69" s="154">
        <f>SUM(LJX69:LJY69)</f>
        <v>8875</v>
      </c>
      <c r="LKA69" s="147" t="s">
        <v>99</v>
      </c>
      <c r="LKB69" s="148">
        <v>45845</v>
      </c>
      <c r="LKC69" s="143" t="s">
        <v>46</v>
      </c>
      <c r="LKD69" s="199"/>
      <c r="LKE69" s="149" t="s">
        <v>125</v>
      </c>
      <c r="LKF69" s="197"/>
      <c r="LKG69" s="198"/>
      <c r="LKH69" s="143" t="s">
        <v>22</v>
      </c>
      <c r="LKI69" s="144">
        <v>8150</v>
      </c>
      <c r="LKJ69" s="152">
        <v>85</v>
      </c>
      <c r="LKK69" s="153">
        <v>215</v>
      </c>
      <c r="LKL69" s="153">
        <v>75</v>
      </c>
      <c r="LKM69" s="152">
        <v>150</v>
      </c>
      <c r="LKN69" s="154">
        <f>SUM(LKI69:LKM69)</f>
        <v>8675</v>
      </c>
      <c r="LKO69" s="152">
        <v>200</v>
      </c>
      <c r="LKP69" s="154">
        <f>SUM(LKN69:LKO69)</f>
        <v>8875</v>
      </c>
      <c r="LKQ69" s="147" t="s">
        <v>99</v>
      </c>
      <c r="LKR69" s="148">
        <v>45845</v>
      </c>
      <c r="LKS69" s="143" t="s">
        <v>46</v>
      </c>
      <c r="LKT69" s="199"/>
      <c r="LKU69" s="149" t="s">
        <v>125</v>
      </c>
      <c r="LKV69" s="197"/>
      <c r="LKW69" s="198"/>
      <c r="LKX69" s="143" t="s">
        <v>22</v>
      </c>
      <c r="LKY69" s="144">
        <v>8150</v>
      </c>
      <c r="LKZ69" s="152">
        <v>85</v>
      </c>
      <c r="LLA69" s="153">
        <v>215</v>
      </c>
      <c r="LLB69" s="153">
        <v>75</v>
      </c>
      <c r="LLC69" s="152">
        <v>150</v>
      </c>
      <c r="LLD69" s="154">
        <f>SUM(LKY69:LLC69)</f>
        <v>8675</v>
      </c>
      <c r="LLE69" s="152">
        <v>200</v>
      </c>
      <c r="LLF69" s="154">
        <f>SUM(LLD69:LLE69)</f>
        <v>8875</v>
      </c>
      <c r="LLG69" s="147" t="s">
        <v>99</v>
      </c>
      <c r="LLH69" s="148">
        <v>45845</v>
      </c>
      <c r="LLI69" s="143" t="s">
        <v>46</v>
      </c>
      <c r="LLJ69" s="199"/>
      <c r="LLK69" s="149" t="s">
        <v>125</v>
      </c>
      <c r="LLL69" s="197"/>
      <c r="LLM69" s="198"/>
      <c r="LLN69" s="143" t="s">
        <v>22</v>
      </c>
      <c r="LLO69" s="144">
        <v>8150</v>
      </c>
      <c r="LLP69" s="152">
        <v>85</v>
      </c>
      <c r="LLQ69" s="153">
        <v>215</v>
      </c>
      <c r="LLR69" s="153">
        <v>75</v>
      </c>
      <c r="LLS69" s="152">
        <v>150</v>
      </c>
      <c r="LLT69" s="154">
        <f>SUM(LLO69:LLS69)</f>
        <v>8675</v>
      </c>
      <c r="LLU69" s="152">
        <v>200</v>
      </c>
      <c r="LLV69" s="154">
        <f>SUM(LLT69:LLU69)</f>
        <v>8875</v>
      </c>
      <c r="LLW69" s="147" t="s">
        <v>99</v>
      </c>
      <c r="LLX69" s="148">
        <v>45845</v>
      </c>
      <c r="LLY69" s="143" t="s">
        <v>46</v>
      </c>
      <c r="LLZ69" s="199"/>
      <c r="LMA69" s="149" t="s">
        <v>125</v>
      </c>
      <c r="LMB69" s="197"/>
      <c r="LMC69" s="198"/>
      <c r="LMD69" s="143" t="s">
        <v>22</v>
      </c>
      <c r="LME69" s="144">
        <v>8150</v>
      </c>
      <c r="LMF69" s="152">
        <v>85</v>
      </c>
      <c r="LMG69" s="153">
        <v>215</v>
      </c>
      <c r="LMH69" s="153">
        <v>75</v>
      </c>
      <c r="LMI69" s="152">
        <v>150</v>
      </c>
      <c r="LMJ69" s="154">
        <f>SUM(LME69:LMI69)</f>
        <v>8675</v>
      </c>
      <c r="LMK69" s="152">
        <v>200</v>
      </c>
      <c r="LML69" s="154">
        <f>SUM(LMJ69:LMK69)</f>
        <v>8875</v>
      </c>
      <c r="LMM69" s="147" t="s">
        <v>99</v>
      </c>
      <c r="LMN69" s="148">
        <v>45845</v>
      </c>
      <c r="LMO69" s="143" t="s">
        <v>46</v>
      </c>
      <c r="LMP69" s="199"/>
      <c r="LMQ69" s="149" t="s">
        <v>125</v>
      </c>
      <c r="LMR69" s="197"/>
      <c r="LMS69" s="198"/>
      <c r="LMT69" s="143" t="s">
        <v>22</v>
      </c>
      <c r="LMU69" s="144">
        <v>8150</v>
      </c>
      <c r="LMV69" s="152">
        <v>85</v>
      </c>
      <c r="LMW69" s="153">
        <v>215</v>
      </c>
      <c r="LMX69" s="153">
        <v>75</v>
      </c>
      <c r="LMY69" s="152">
        <v>150</v>
      </c>
      <c r="LMZ69" s="154">
        <f>SUM(LMU69:LMY69)</f>
        <v>8675</v>
      </c>
      <c r="LNA69" s="152">
        <v>200</v>
      </c>
      <c r="LNB69" s="154">
        <f>SUM(LMZ69:LNA69)</f>
        <v>8875</v>
      </c>
      <c r="LNC69" s="147" t="s">
        <v>99</v>
      </c>
      <c r="LND69" s="148">
        <v>45845</v>
      </c>
      <c r="LNE69" s="143" t="s">
        <v>46</v>
      </c>
      <c r="LNF69" s="199"/>
      <c r="LNG69" s="149" t="s">
        <v>125</v>
      </c>
      <c r="LNH69" s="197"/>
      <c r="LNI69" s="198"/>
      <c r="LNJ69" s="143" t="s">
        <v>22</v>
      </c>
      <c r="LNK69" s="144">
        <v>8150</v>
      </c>
      <c r="LNL69" s="152">
        <v>85</v>
      </c>
      <c r="LNM69" s="153">
        <v>215</v>
      </c>
      <c r="LNN69" s="153">
        <v>75</v>
      </c>
      <c r="LNO69" s="152">
        <v>150</v>
      </c>
      <c r="LNP69" s="154">
        <f>SUM(LNK69:LNO69)</f>
        <v>8675</v>
      </c>
      <c r="LNQ69" s="152">
        <v>200</v>
      </c>
      <c r="LNR69" s="154">
        <f>SUM(LNP69:LNQ69)</f>
        <v>8875</v>
      </c>
      <c r="LNS69" s="147" t="s">
        <v>99</v>
      </c>
      <c r="LNT69" s="148">
        <v>45845</v>
      </c>
      <c r="LNU69" s="143" t="s">
        <v>46</v>
      </c>
      <c r="LNV69" s="199"/>
      <c r="LNW69" s="149" t="s">
        <v>125</v>
      </c>
      <c r="LNX69" s="197"/>
      <c r="LNY69" s="198"/>
      <c r="LNZ69" s="143" t="s">
        <v>22</v>
      </c>
      <c r="LOA69" s="144">
        <v>8150</v>
      </c>
      <c r="LOB69" s="152">
        <v>85</v>
      </c>
      <c r="LOC69" s="153">
        <v>215</v>
      </c>
      <c r="LOD69" s="153">
        <v>75</v>
      </c>
      <c r="LOE69" s="152">
        <v>150</v>
      </c>
      <c r="LOF69" s="154">
        <f>SUM(LOA69:LOE69)</f>
        <v>8675</v>
      </c>
      <c r="LOG69" s="152">
        <v>200</v>
      </c>
      <c r="LOH69" s="154">
        <f>SUM(LOF69:LOG69)</f>
        <v>8875</v>
      </c>
      <c r="LOI69" s="147" t="s">
        <v>99</v>
      </c>
      <c r="LOJ69" s="148">
        <v>45845</v>
      </c>
      <c r="LOK69" s="143" t="s">
        <v>46</v>
      </c>
      <c r="LOL69" s="199"/>
      <c r="LOM69" s="149" t="s">
        <v>125</v>
      </c>
      <c r="LON69" s="197"/>
      <c r="LOO69" s="198"/>
      <c r="LOP69" s="143" t="s">
        <v>22</v>
      </c>
      <c r="LOQ69" s="144">
        <v>8150</v>
      </c>
      <c r="LOR69" s="152">
        <v>85</v>
      </c>
      <c r="LOS69" s="153">
        <v>215</v>
      </c>
      <c r="LOT69" s="153">
        <v>75</v>
      </c>
      <c r="LOU69" s="152">
        <v>150</v>
      </c>
      <c r="LOV69" s="154">
        <f>SUM(LOQ69:LOU69)</f>
        <v>8675</v>
      </c>
      <c r="LOW69" s="152">
        <v>200</v>
      </c>
      <c r="LOX69" s="154">
        <f>SUM(LOV69:LOW69)</f>
        <v>8875</v>
      </c>
      <c r="LOY69" s="147" t="s">
        <v>99</v>
      </c>
      <c r="LOZ69" s="148">
        <v>45845</v>
      </c>
      <c r="LPA69" s="143" t="s">
        <v>46</v>
      </c>
      <c r="LPB69" s="199"/>
      <c r="LPC69" s="149" t="s">
        <v>125</v>
      </c>
      <c r="LPD69" s="197"/>
      <c r="LPE69" s="198"/>
      <c r="LPF69" s="143" t="s">
        <v>22</v>
      </c>
      <c r="LPG69" s="144">
        <v>8150</v>
      </c>
      <c r="LPH69" s="152">
        <v>85</v>
      </c>
      <c r="LPI69" s="153">
        <v>215</v>
      </c>
      <c r="LPJ69" s="153">
        <v>75</v>
      </c>
      <c r="LPK69" s="152">
        <v>150</v>
      </c>
      <c r="LPL69" s="154">
        <f>SUM(LPG69:LPK69)</f>
        <v>8675</v>
      </c>
      <c r="LPM69" s="152">
        <v>200</v>
      </c>
      <c r="LPN69" s="154">
        <f>SUM(LPL69:LPM69)</f>
        <v>8875</v>
      </c>
      <c r="LPO69" s="147" t="s">
        <v>99</v>
      </c>
      <c r="LPP69" s="148">
        <v>45845</v>
      </c>
      <c r="LPQ69" s="143" t="s">
        <v>46</v>
      </c>
      <c r="LPR69" s="199"/>
      <c r="LPS69" s="149" t="s">
        <v>125</v>
      </c>
      <c r="LPT69" s="197"/>
      <c r="LPU69" s="198"/>
      <c r="LPV69" s="143" t="s">
        <v>22</v>
      </c>
      <c r="LPW69" s="144">
        <v>8150</v>
      </c>
      <c r="LPX69" s="152">
        <v>85</v>
      </c>
      <c r="LPY69" s="153">
        <v>215</v>
      </c>
      <c r="LPZ69" s="153">
        <v>75</v>
      </c>
      <c r="LQA69" s="152">
        <v>150</v>
      </c>
      <c r="LQB69" s="154">
        <f>SUM(LPW69:LQA69)</f>
        <v>8675</v>
      </c>
      <c r="LQC69" s="152">
        <v>200</v>
      </c>
      <c r="LQD69" s="154">
        <f>SUM(LQB69:LQC69)</f>
        <v>8875</v>
      </c>
      <c r="LQE69" s="147" t="s">
        <v>99</v>
      </c>
      <c r="LQF69" s="148">
        <v>45845</v>
      </c>
      <c r="LQG69" s="143" t="s">
        <v>46</v>
      </c>
      <c r="LQH69" s="199"/>
      <c r="LQI69" s="149" t="s">
        <v>125</v>
      </c>
      <c r="LQJ69" s="197"/>
      <c r="LQK69" s="198"/>
      <c r="LQL69" s="143" t="s">
        <v>22</v>
      </c>
      <c r="LQM69" s="144">
        <v>8150</v>
      </c>
      <c r="LQN69" s="152">
        <v>85</v>
      </c>
      <c r="LQO69" s="153">
        <v>215</v>
      </c>
      <c r="LQP69" s="153">
        <v>75</v>
      </c>
      <c r="LQQ69" s="152">
        <v>150</v>
      </c>
      <c r="LQR69" s="154">
        <f>SUM(LQM69:LQQ69)</f>
        <v>8675</v>
      </c>
      <c r="LQS69" s="152">
        <v>200</v>
      </c>
      <c r="LQT69" s="154">
        <f>SUM(LQR69:LQS69)</f>
        <v>8875</v>
      </c>
      <c r="LQU69" s="147" t="s">
        <v>99</v>
      </c>
      <c r="LQV69" s="148">
        <v>45845</v>
      </c>
      <c r="LQW69" s="143" t="s">
        <v>46</v>
      </c>
      <c r="LQX69" s="199"/>
      <c r="LQY69" s="149" t="s">
        <v>125</v>
      </c>
      <c r="LQZ69" s="197"/>
      <c r="LRA69" s="198"/>
      <c r="LRB69" s="143" t="s">
        <v>22</v>
      </c>
      <c r="LRC69" s="144">
        <v>8150</v>
      </c>
      <c r="LRD69" s="152">
        <v>85</v>
      </c>
      <c r="LRE69" s="153">
        <v>215</v>
      </c>
      <c r="LRF69" s="153">
        <v>75</v>
      </c>
      <c r="LRG69" s="152">
        <v>150</v>
      </c>
      <c r="LRH69" s="154">
        <f>SUM(LRC69:LRG69)</f>
        <v>8675</v>
      </c>
      <c r="LRI69" s="152">
        <v>200</v>
      </c>
      <c r="LRJ69" s="154">
        <f>SUM(LRH69:LRI69)</f>
        <v>8875</v>
      </c>
      <c r="LRK69" s="147" t="s">
        <v>99</v>
      </c>
      <c r="LRL69" s="148">
        <v>45845</v>
      </c>
      <c r="LRM69" s="143" t="s">
        <v>46</v>
      </c>
      <c r="LRN69" s="199"/>
      <c r="LRO69" s="149" t="s">
        <v>125</v>
      </c>
      <c r="LRP69" s="197"/>
      <c r="LRQ69" s="198"/>
      <c r="LRR69" s="143" t="s">
        <v>22</v>
      </c>
      <c r="LRS69" s="144">
        <v>8150</v>
      </c>
      <c r="LRT69" s="152">
        <v>85</v>
      </c>
      <c r="LRU69" s="153">
        <v>215</v>
      </c>
      <c r="LRV69" s="153">
        <v>75</v>
      </c>
      <c r="LRW69" s="152">
        <v>150</v>
      </c>
      <c r="LRX69" s="154">
        <f>SUM(LRS69:LRW69)</f>
        <v>8675</v>
      </c>
      <c r="LRY69" s="152">
        <v>200</v>
      </c>
      <c r="LRZ69" s="154">
        <f>SUM(LRX69:LRY69)</f>
        <v>8875</v>
      </c>
      <c r="LSA69" s="147" t="s">
        <v>99</v>
      </c>
      <c r="LSB69" s="148">
        <v>45845</v>
      </c>
      <c r="LSC69" s="143" t="s">
        <v>46</v>
      </c>
      <c r="LSD69" s="199"/>
      <c r="LSE69" s="149" t="s">
        <v>125</v>
      </c>
      <c r="LSF69" s="197"/>
      <c r="LSG69" s="198"/>
      <c r="LSH69" s="143" t="s">
        <v>22</v>
      </c>
      <c r="LSI69" s="144">
        <v>8150</v>
      </c>
      <c r="LSJ69" s="152">
        <v>85</v>
      </c>
      <c r="LSK69" s="153">
        <v>215</v>
      </c>
      <c r="LSL69" s="153">
        <v>75</v>
      </c>
      <c r="LSM69" s="152">
        <v>150</v>
      </c>
      <c r="LSN69" s="154">
        <f>SUM(LSI69:LSM69)</f>
        <v>8675</v>
      </c>
      <c r="LSO69" s="152">
        <v>200</v>
      </c>
      <c r="LSP69" s="154">
        <f>SUM(LSN69:LSO69)</f>
        <v>8875</v>
      </c>
      <c r="LSQ69" s="147" t="s">
        <v>99</v>
      </c>
      <c r="LSR69" s="148">
        <v>45845</v>
      </c>
      <c r="LSS69" s="143" t="s">
        <v>46</v>
      </c>
      <c r="LST69" s="199"/>
      <c r="LSU69" s="149" t="s">
        <v>125</v>
      </c>
      <c r="LSV69" s="197"/>
      <c r="LSW69" s="198"/>
      <c r="LSX69" s="143" t="s">
        <v>22</v>
      </c>
      <c r="LSY69" s="144">
        <v>8150</v>
      </c>
      <c r="LSZ69" s="152">
        <v>85</v>
      </c>
      <c r="LTA69" s="153">
        <v>215</v>
      </c>
      <c r="LTB69" s="153">
        <v>75</v>
      </c>
      <c r="LTC69" s="152">
        <v>150</v>
      </c>
      <c r="LTD69" s="154">
        <f>SUM(LSY69:LTC69)</f>
        <v>8675</v>
      </c>
      <c r="LTE69" s="152">
        <v>200</v>
      </c>
      <c r="LTF69" s="154">
        <f>SUM(LTD69:LTE69)</f>
        <v>8875</v>
      </c>
      <c r="LTG69" s="147" t="s">
        <v>99</v>
      </c>
      <c r="LTH69" s="148">
        <v>45845</v>
      </c>
      <c r="LTI69" s="143" t="s">
        <v>46</v>
      </c>
      <c r="LTJ69" s="199"/>
      <c r="LTK69" s="149" t="s">
        <v>125</v>
      </c>
      <c r="LTL69" s="197"/>
      <c r="LTM69" s="198"/>
      <c r="LTN69" s="143" t="s">
        <v>22</v>
      </c>
      <c r="LTO69" s="144">
        <v>8150</v>
      </c>
      <c r="LTP69" s="152">
        <v>85</v>
      </c>
      <c r="LTQ69" s="153">
        <v>215</v>
      </c>
      <c r="LTR69" s="153">
        <v>75</v>
      </c>
      <c r="LTS69" s="152">
        <v>150</v>
      </c>
      <c r="LTT69" s="154">
        <f>SUM(LTO69:LTS69)</f>
        <v>8675</v>
      </c>
      <c r="LTU69" s="152">
        <v>200</v>
      </c>
      <c r="LTV69" s="154">
        <f>SUM(LTT69:LTU69)</f>
        <v>8875</v>
      </c>
      <c r="LTW69" s="147" t="s">
        <v>99</v>
      </c>
      <c r="LTX69" s="148">
        <v>45845</v>
      </c>
      <c r="LTY69" s="143" t="s">
        <v>46</v>
      </c>
      <c r="LTZ69" s="199"/>
      <c r="LUA69" s="149" t="s">
        <v>125</v>
      </c>
      <c r="LUB69" s="197"/>
      <c r="LUC69" s="198"/>
      <c r="LUD69" s="143" t="s">
        <v>22</v>
      </c>
      <c r="LUE69" s="144">
        <v>8150</v>
      </c>
      <c r="LUF69" s="152">
        <v>85</v>
      </c>
      <c r="LUG69" s="153">
        <v>215</v>
      </c>
      <c r="LUH69" s="153">
        <v>75</v>
      </c>
      <c r="LUI69" s="152">
        <v>150</v>
      </c>
      <c r="LUJ69" s="154">
        <f>SUM(LUE69:LUI69)</f>
        <v>8675</v>
      </c>
      <c r="LUK69" s="152">
        <v>200</v>
      </c>
      <c r="LUL69" s="154">
        <f>SUM(LUJ69:LUK69)</f>
        <v>8875</v>
      </c>
      <c r="LUM69" s="147" t="s">
        <v>99</v>
      </c>
      <c r="LUN69" s="148">
        <v>45845</v>
      </c>
      <c r="LUO69" s="143" t="s">
        <v>46</v>
      </c>
      <c r="LUP69" s="199"/>
      <c r="LUQ69" s="149" t="s">
        <v>125</v>
      </c>
      <c r="LUR69" s="197"/>
      <c r="LUS69" s="198"/>
      <c r="LUT69" s="143" t="s">
        <v>22</v>
      </c>
      <c r="LUU69" s="144">
        <v>8150</v>
      </c>
      <c r="LUV69" s="152">
        <v>85</v>
      </c>
      <c r="LUW69" s="153">
        <v>215</v>
      </c>
      <c r="LUX69" s="153">
        <v>75</v>
      </c>
      <c r="LUY69" s="152">
        <v>150</v>
      </c>
      <c r="LUZ69" s="154">
        <f>SUM(LUU69:LUY69)</f>
        <v>8675</v>
      </c>
      <c r="LVA69" s="152">
        <v>200</v>
      </c>
      <c r="LVB69" s="154">
        <f>SUM(LUZ69:LVA69)</f>
        <v>8875</v>
      </c>
      <c r="LVC69" s="147" t="s">
        <v>99</v>
      </c>
      <c r="LVD69" s="148">
        <v>45845</v>
      </c>
      <c r="LVE69" s="143" t="s">
        <v>46</v>
      </c>
      <c r="LVF69" s="199"/>
      <c r="LVG69" s="149" t="s">
        <v>125</v>
      </c>
      <c r="LVH69" s="197"/>
      <c r="LVI69" s="198"/>
      <c r="LVJ69" s="143" t="s">
        <v>22</v>
      </c>
      <c r="LVK69" s="144">
        <v>8150</v>
      </c>
      <c r="LVL69" s="152">
        <v>85</v>
      </c>
      <c r="LVM69" s="153">
        <v>215</v>
      </c>
      <c r="LVN69" s="153">
        <v>75</v>
      </c>
      <c r="LVO69" s="152">
        <v>150</v>
      </c>
      <c r="LVP69" s="154">
        <f>SUM(LVK69:LVO69)</f>
        <v>8675</v>
      </c>
      <c r="LVQ69" s="152">
        <v>200</v>
      </c>
      <c r="LVR69" s="154">
        <f>SUM(LVP69:LVQ69)</f>
        <v>8875</v>
      </c>
      <c r="LVS69" s="147" t="s">
        <v>99</v>
      </c>
      <c r="LVT69" s="148">
        <v>45845</v>
      </c>
      <c r="LVU69" s="143" t="s">
        <v>46</v>
      </c>
      <c r="LVV69" s="199"/>
      <c r="LVW69" s="149" t="s">
        <v>125</v>
      </c>
      <c r="LVX69" s="197"/>
      <c r="LVY69" s="198"/>
      <c r="LVZ69" s="143" t="s">
        <v>22</v>
      </c>
      <c r="LWA69" s="144">
        <v>8150</v>
      </c>
      <c r="LWB69" s="152">
        <v>85</v>
      </c>
      <c r="LWC69" s="153">
        <v>215</v>
      </c>
      <c r="LWD69" s="153">
        <v>75</v>
      </c>
      <c r="LWE69" s="152">
        <v>150</v>
      </c>
      <c r="LWF69" s="154">
        <f>SUM(LWA69:LWE69)</f>
        <v>8675</v>
      </c>
      <c r="LWG69" s="152">
        <v>200</v>
      </c>
      <c r="LWH69" s="154">
        <f>SUM(LWF69:LWG69)</f>
        <v>8875</v>
      </c>
      <c r="LWI69" s="147" t="s">
        <v>99</v>
      </c>
      <c r="LWJ69" s="148">
        <v>45845</v>
      </c>
      <c r="LWK69" s="143" t="s">
        <v>46</v>
      </c>
      <c r="LWL69" s="199"/>
      <c r="LWM69" s="149" t="s">
        <v>125</v>
      </c>
      <c r="LWN69" s="197"/>
      <c r="LWO69" s="198"/>
      <c r="LWP69" s="143" t="s">
        <v>22</v>
      </c>
      <c r="LWQ69" s="144">
        <v>8150</v>
      </c>
      <c r="LWR69" s="152">
        <v>85</v>
      </c>
      <c r="LWS69" s="153">
        <v>215</v>
      </c>
      <c r="LWT69" s="153">
        <v>75</v>
      </c>
      <c r="LWU69" s="152">
        <v>150</v>
      </c>
      <c r="LWV69" s="154">
        <f>SUM(LWQ69:LWU69)</f>
        <v>8675</v>
      </c>
      <c r="LWW69" s="152">
        <v>200</v>
      </c>
      <c r="LWX69" s="154">
        <f>SUM(LWV69:LWW69)</f>
        <v>8875</v>
      </c>
      <c r="LWY69" s="147" t="s">
        <v>99</v>
      </c>
      <c r="LWZ69" s="148">
        <v>45845</v>
      </c>
      <c r="LXA69" s="143" t="s">
        <v>46</v>
      </c>
      <c r="LXB69" s="199"/>
      <c r="LXC69" s="149" t="s">
        <v>125</v>
      </c>
      <c r="LXD69" s="197"/>
      <c r="LXE69" s="198"/>
      <c r="LXF69" s="143" t="s">
        <v>22</v>
      </c>
      <c r="LXG69" s="144">
        <v>8150</v>
      </c>
      <c r="LXH69" s="152">
        <v>85</v>
      </c>
      <c r="LXI69" s="153">
        <v>215</v>
      </c>
      <c r="LXJ69" s="153">
        <v>75</v>
      </c>
      <c r="LXK69" s="152">
        <v>150</v>
      </c>
      <c r="LXL69" s="154">
        <f>SUM(LXG69:LXK69)</f>
        <v>8675</v>
      </c>
      <c r="LXM69" s="152">
        <v>200</v>
      </c>
      <c r="LXN69" s="154">
        <f>SUM(LXL69:LXM69)</f>
        <v>8875</v>
      </c>
      <c r="LXO69" s="147" t="s">
        <v>99</v>
      </c>
      <c r="LXP69" s="148">
        <v>45845</v>
      </c>
      <c r="LXQ69" s="143" t="s">
        <v>46</v>
      </c>
      <c r="LXR69" s="199"/>
      <c r="LXS69" s="149" t="s">
        <v>125</v>
      </c>
      <c r="LXT69" s="197"/>
      <c r="LXU69" s="198"/>
      <c r="LXV69" s="143" t="s">
        <v>22</v>
      </c>
      <c r="LXW69" s="144">
        <v>8150</v>
      </c>
      <c r="LXX69" s="152">
        <v>85</v>
      </c>
      <c r="LXY69" s="153">
        <v>215</v>
      </c>
      <c r="LXZ69" s="153">
        <v>75</v>
      </c>
      <c r="LYA69" s="152">
        <v>150</v>
      </c>
      <c r="LYB69" s="154">
        <f>SUM(LXW69:LYA69)</f>
        <v>8675</v>
      </c>
      <c r="LYC69" s="152">
        <v>200</v>
      </c>
      <c r="LYD69" s="154">
        <f>SUM(LYB69:LYC69)</f>
        <v>8875</v>
      </c>
      <c r="LYE69" s="147" t="s">
        <v>99</v>
      </c>
      <c r="LYF69" s="148">
        <v>45845</v>
      </c>
      <c r="LYG69" s="143" t="s">
        <v>46</v>
      </c>
      <c r="LYH69" s="199"/>
      <c r="LYI69" s="149" t="s">
        <v>125</v>
      </c>
      <c r="LYJ69" s="197"/>
      <c r="LYK69" s="198"/>
      <c r="LYL69" s="143" t="s">
        <v>22</v>
      </c>
      <c r="LYM69" s="144">
        <v>8150</v>
      </c>
      <c r="LYN69" s="152">
        <v>85</v>
      </c>
      <c r="LYO69" s="153">
        <v>215</v>
      </c>
      <c r="LYP69" s="153">
        <v>75</v>
      </c>
      <c r="LYQ69" s="152">
        <v>150</v>
      </c>
      <c r="LYR69" s="154">
        <f>SUM(LYM69:LYQ69)</f>
        <v>8675</v>
      </c>
      <c r="LYS69" s="152">
        <v>200</v>
      </c>
      <c r="LYT69" s="154">
        <f>SUM(LYR69:LYS69)</f>
        <v>8875</v>
      </c>
      <c r="LYU69" s="147" t="s">
        <v>99</v>
      </c>
      <c r="LYV69" s="148">
        <v>45845</v>
      </c>
      <c r="LYW69" s="143" t="s">
        <v>46</v>
      </c>
      <c r="LYX69" s="199"/>
      <c r="LYY69" s="149" t="s">
        <v>125</v>
      </c>
      <c r="LYZ69" s="197"/>
      <c r="LZA69" s="198"/>
      <c r="LZB69" s="143" t="s">
        <v>22</v>
      </c>
      <c r="LZC69" s="144">
        <v>8150</v>
      </c>
      <c r="LZD69" s="152">
        <v>85</v>
      </c>
      <c r="LZE69" s="153">
        <v>215</v>
      </c>
      <c r="LZF69" s="153">
        <v>75</v>
      </c>
      <c r="LZG69" s="152">
        <v>150</v>
      </c>
      <c r="LZH69" s="154">
        <f>SUM(LZC69:LZG69)</f>
        <v>8675</v>
      </c>
      <c r="LZI69" s="152">
        <v>200</v>
      </c>
      <c r="LZJ69" s="154">
        <f>SUM(LZH69:LZI69)</f>
        <v>8875</v>
      </c>
      <c r="LZK69" s="147" t="s">
        <v>99</v>
      </c>
      <c r="LZL69" s="148">
        <v>45845</v>
      </c>
      <c r="LZM69" s="143" t="s">
        <v>46</v>
      </c>
      <c r="LZN69" s="199"/>
      <c r="LZO69" s="149" t="s">
        <v>125</v>
      </c>
      <c r="LZP69" s="197"/>
      <c r="LZQ69" s="198"/>
      <c r="LZR69" s="143" t="s">
        <v>22</v>
      </c>
      <c r="LZS69" s="144">
        <v>8150</v>
      </c>
      <c r="LZT69" s="152">
        <v>85</v>
      </c>
      <c r="LZU69" s="153">
        <v>215</v>
      </c>
      <c r="LZV69" s="153">
        <v>75</v>
      </c>
      <c r="LZW69" s="152">
        <v>150</v>
      </c>
      <c r="LZX69" s="154">
        <f>SUM(LZS69:LZW69)</f>
        <v>8675</v>
      </c>
      <c r="LZY69" s="152">
        <v>200</v>
      </c>
      <c r="LZZ69" s="154">
        <f>SUM(LZX69:LZY69)</f>
        <v>8875</v>
      </c>
      <c r="MAA69" s="147" t="s">
        <v>99</v>
      </c>
      <c r="MAB69" s="148">
        <v>45845</v>
      </c>
      <c r="MAC69" s="143" t="s">
        <v>46</v>
      </c>
      <c r="MAD69" s="199"/>
      <c r="MAE69" s="149" t="s">
        <v>125</v>
      </c>
      <c r="MAF69" s="197"/>
      <c r="MAG69" s="198"/>
      <c r="MAH69" s="143" t="s">
        <v>22</v>
      </c>
      <c r="MAI69" s="144">
        <v>8150</v>
      </c>
      <c r="MAJ69" s="152">
        <v>85</v>
      </c>
      <c r="MAK69" s="153">
        <v>215</v>
      </c>
      <c r="MAL69" s="153">
        <v>75</v>
      </c>
      <c r="MAM69" s="152">
        <v>150</v>
      </c>
      <c r="MAN69" s="154">
        <f>SUM(MAI69:MAM69)</f>
        <v>8675</v>
      </c>
      <c r="MAO69" s="152">
        <v>200</v>
      </c>
      <c r="MAP69" s="154">
        <f>SUM(MAN69:MAO69)</f>
        <v>8875</v>
      </c>
      <c r="MAQ69" s="147" t="s">
        <v>99</v>
      </c>
      <c r="MAR69" s="148">
        <v>45845</v>
      </c>
      <c r="MAS69" s="143" t="s">
        <v>46</v>
      </c>
      <c r="MAT69" s="199"/>
      <c r="MAU69" s="149" t="s">
        <v>125</v>
      </c>
      <c r="MAV69" s="197"/>
      <c r="MAW69" s="198"/>
      <c r="MAX69" s="143" t="s">
        <v>22</v>
      </c>
      <c r="MAY69" s="144">
        <v>8150</v>
      </c>
      <c r="MAZ69" s="152">
        <v>85</v>
      </c>
      <c r="MBA69" s="153">
        <v>215</v>
      </c>
      <c r="MBB69" s="153">
        <v>75</v>
      </c>
      <c r="MBC69" s="152">
        <v>150</v>
      </c>
      <c r="MBD69" s="154">
        <f>SUM(MAY69:MBC69)</f>
        <v>8675</v>
      </c>
      <c r="MBE69" s="152">
        <v>200</v>
      </c>
      <c r="MBF69" s="154">
        <f>SUM(MBD69:MBE69)</f>
        <v>8875</v>
      </c>
      <c r="MBG69" s="147" t="s">
        <v>99</v>
      </c>
      <c r="MBH69" s="148">
        <v>45845</v>
      </c>
      <c r="MBI69" s="143" t="s">
        <v>46</v>
      </c>
      <c r="MBJ69" s="199"/>
      <c r="MBK69" s="149" t="s">
        <v>125</v>
      </c>
      <c r="MBL69" s="197"/>
      <c r="MBM69" s="198"/>
      <c r="MBN69" s="143" t="s">
        <v>22</v>
      </c>
      <c r="MBO69" s="144">
        <v>8150</v>
      </c>
      <c r="MBP69" s="152">
        <v>85</v>
      </c>
      <c r="MBQ69" s="153">
        <v>215</v>
      </c>
      <c r="MBR69" s="153">
        <v>75</v>
      </c>
      <c r="MBS69" s="152">
        <v>150</v>
      </c>
      <c r="MBT69" s="154">
        <f>SUM(MBO69:MBS69)</f>
        <v>8675</v>
      </c>
      <c r="MBU69" s="152">
        <v>200</v>
      </c>
      <c r="MBV69" s="154">
        <f>SUM(MBT69:MBU69)</f>
        <v>8875</v>
      </c>
      <c r="MBW69" s="147" t="s">
        <v>99</v>
      </c>
      <c r="MBX69" s="148">
        <v>45845</v>
      </c>
      <c r="MBY69" s="143" t="s">
        <v>46</v>
      </c>
      <c r="MBZ69" s="199"/>
      <c r="MCA69" s="149" t="s">
        <v>125</v>
      </c>
      <c r="MCB69" s="197"/>
      <c r="MCC69" s="198"/>
      <c r="MCD69" s="143" t="s">
        <v>22</v>
      </c>
      <c r="MCE69" s="144">
        <v>8150</v>
      </c>
      <c r="MCF69" s="152">
        <v>85</v>
      </c>
      <c r="MCG69" s="153">
        <v>215</v>
      </c>
      <c r="MCH69" s="153">
        <v>75</v>
      </c>
      <c r="MCI69" s="152">
        <v>150</v>
      </c>
      <c r="MCJ69" s="154">
        <f>SUM(MCE69:MCI69)</f>
        <v>8675</v>
      </c>
      <c r="MCK69" s="152">
        <v>200</v>
      </c>
      <c r="MCL69" s="154">
        <f>SUM(MCJ69:MCK69)</f>
        <v>8875</v>
      </c>
      <c r="MCM69" s="147" t="s">
        <v>99</v>
      </c>
      <c r="MCN69" s="148">
        <v>45845</v>
      </c>
      <c r="MCO69" s="143" t="s">
        <v>46</v>
      </c>
      <c r="MCP69" s="199"/>
      <c r="MCQ69" s="149" t="s">
        <v>125</v>
      </c>
      <c r="MCR69" s="197"/>
      <c r="MCS69" s="198"/>
      <c r="MCT69" s="143" t="s">
        <v>22</v>
      </c>
      <c r="MCU69" s="144">
        <v>8150</v>
      </c>
      <c r="MCV69" s="152">
        <v>85</v>
      </c>
      <c r="MCW69" s="153">
        <v>215</v>
      </c>
      <c r="MCX69" s="153">
        <v>75</v>
      </c>
      <c r="MCY69" s="152">
        <v>150</v>
      </c>
      <c r="MCZ69" s="154">
        <f>SUM(MCU69:MCY69)</f>
        <v>8675</v>
      </c>
      <c r="MDA69" s="152">
        <v>200</v>
      </c>
      <c r="MDB69" s="154">
        <f>SUM(MCZ69:MDA69)</f>
        <v>8875</v>
      </c>
      <c r="MDC69" s="147" t="s">
        <v>99</v>
      </c>
      <c r="MDD69" s="148">
        <v>45845</v>
      </c>
      <c r="MDE69" s="143" t="s">
        <v>46</v>
      </c>
      <c r="MDF69" s="199"/>
      <c r="MDG69" s="149" t="s">
        <v>125</v>
      </c>
      <c r="MDH69" s="197"/>
      <c r="MDI69" s="198"/>
      <c r="MDJ69" s="143" t="s">
        <v>22</v>
      </c>
      <c r="MDK69" s="144">
        <v>8150</v>
      </c>
      <c r="MDL69" s="152">
        <v>85</v>
      </c>
      <c r="MDM69" s="153">
        <v>215</v>
      </c>
      <c r="MDN69" s="153">
        <v>75</v>
      </c>
      <c r="MDO69" s="152">
        <v>150</v>
      </c>
      <c r="MDP69" s="154">
        <f>SUM(MDK69:MDO69)</f>
        <v>8675</v>
      </c>
      <c r="MDQ69" s="152">
        <v>200</v>
      </c>
      <c r="MDR69" s="154">
        <f>SUM(MDP69:MDQ69)</f>
        <v>8875</v>
      </c>
      <c r="MDS69" s="147" t="s">
        <v>99</v>
      </c>
      <c r="MDT69" s="148">
        <v>45845</v>
      </c>
      <c r="MDU69" s="143" t="s">
        <v>46</v>
      </c>
      <c r="MDV69" s="199"/>
      <c r="MDW69" s="149" t="s">
        <v>125</v>
      </c>
      <c r="MDX69" s="197"/>
      <c r="MDY69" s="198"/>
      <c r="MDZ69" s="143" t="s">
        <v>22</v>
      </c>
      <c r="MEA69" s="144">
        <v>8150</v>
      </c>
      <c r="MEB69" s="152">
        <v>85</v>
      </c>
      <c r="MEC69" s="153">
        <v>215</v>
      </c>
      <c r="MED69" s="153">
        <v>75</v>
      </c>
      <c r="MEE69" s="152">
        <v>150</v>
      </c>
      <c r="MEF69" s="154">
        <f>SUM(MEA69:MEE69)</f>
        <v>8675</v>
      </c>
      <c r="MEG69" s="152">
        <v>200</v>
      </c>
      <c r="MEH69" s="154">
        <f>SUM(MEF69:MEG69)</f>
        <v>8875</v>
      </c>
      <c r="MEI69" s="147" t="s">
        <v>99</v>
      </c>
      <c r="MEJ69" s="148">
        <v>45845</v>
      </c>
      <c r="MEK69" s="143" t="s">
        <v>46</v>
      </c>
      <c r="MEL69" s="199"/>
      <c r="MEM69" s="149" t="s">
        <v>125</v>
      </c>
      <c r="MEN69" s="197"/>
      <c r="MEO69" s="198"/>
      <c r="MEP69" s="143" t="s">
        <v>22</v>
      </c>
      <c r="MEQ69" s="144">
        <v>8150</v>
      </c>
      <c r="MER69" s="152">
        <v>85</v>
      </c>
      <c r="MES69" s="153">
        <v>215</v>
      </c>
      <c r="MET69" s="153">
        <v>75</v>
      </c>
      <c r="MEU69" s="152">
        <v>150</v>
      </c>
      <c r="MEV69" s="154">
        <f>SUM(MEQ69:MEU69)</f>
        <v>8675</v>
      </c>
      <c r="MEW69" s="152">
        <v>200</v>
      </c>
      <c r="MEX69" s="154">
        <f>SUM(MEV69:MEW69)</f>
        <v>8875</v>
      </c>
      <c r="MEY69" s="147" t="s">
        <v>99</v>
      </c>
      <c r="MEZ69" s="148">
        <v>45845</v>
      </c>
      <c r="MFA69" s="143" t="s">
        <v>46</v>
      </c>
      <c r="MFB69" s="199"/>
      <c r="MFC69" s="149" t="s">
        <v>125</v>
      </c>
      <c r="MFD69" s="197"/>
      <c r="MFE69" s="198"/>
      <c r="MFF69" s="143" t="s">
        <v>22</v>
      </c>
      <c r="MFG69" s="144">
        <v>8150</v>
      </c>
      <c r="MFH69" s="152">
        <v>85</v>
      </c>
      <c r="MFI69" s="153">
        <v>215</v>
      </c>
      <c r="MFJ69" s="153">
        <v>75</v>
      </c>
      <c r="MFK69" s="152">
        <v>150</v>
      </c>
      <c r="MFL69" s="154">
        <f>SUM(MFG69:MFK69)</f>
        <v>8675</v>
      </c>
      <c r="MFM69" s="152">
        <v>200</v>
      </c>
      <c r="MFN69" s="154">
        <f>SUM(MFL69:MFM69)</f>
        <v>8875</v>
      </c>
      <c r="MFO69" s="147" t="s">
        <v>99</v>
      </c>
      <c r="MFP69" s="148">
        <v>45845</v>
      </c>
      <c r="MFQ69" s="143" t="s">
        <v>46</v>
      </c>
      <c r="MFR69" s="199"/>
      <c r="MFS69" s="149" t="s">
        <v>125</v>
      </c>
      <c r="MFT69" s="197"/>
      <c r="MFU69" s="198"/>
      <c r="MFV69" s="143" t="s">
        <v>22</v>
      </c>
      <c r="MFW69" s="144">
        <v>8150</v>
      </c>
      <c r="MFX69" s="152">
        <v>85</v>
      </c>
      <c r="MFY69" s="153">
        <v>215</v>
      </c>
      <c r="MFZ69" s="153">
        <v>75</v>
      </c>
      <c r="MGA69" s="152">
        <v>150</v>
      </c>
      <c r="MGB69" s="154">
        <f>SUM(MFW69:MGA69)</f>
        <v>8675</v>
      </c>
      <c r="MGC69" s="152">
        <v>200</v>
      </c>
      <c r="MGD69" s="154">
        <f>SUM(MGB69:MGC69)</f>
        <v>8875</v>
      </c>
      <c r="MGE69" s="147" t="s">
        <v>99</v>
      </c>
      <c r="MGF69" s="148">
        <v>45845</v>
      </c>
      <c r="MGG69" s="143" t="s">
        <v>46</v>
      </c>
      <c r="MGH69" s="199"/>
      <c r="MGI69" s="149" t="s">
        <v>125</v>
      </c>
      <c r="MGJ69" s="197"/>
      <c r="MGK69" s="198"/>
      <c r="MGL69" s="143" t="s">
        <v>22</v>
      </c>
      <c r="MGM69" s="144">
        <v>8150</v>
      </c>
      <c r="MGN69" s="152">
        <v>85</v>
      </c>
      <c r="MGO69" s="153">
        <v>215</v>
      </c>
      <c r="MGP69" s="153">
        <v>75</v>
      </c>
      <c r="MGQ69" s="152">
        <v>150</v>
      </c>
      <c r="MGR69" s="154">
        <f>SUM(MGM69:MGQ69)</f>
        <v>8675</v>
      </c>
      <c r="MGS69" s="152">
        <v>200</v>
      </c>
      <c r="MGT69" s="154">
        <f>SUM(MGR69:MGS69)</f>
        <v>8875</v>
      </c>
      <c r="MGU69" s="147" t="s">
        <v>99</v>
      </c>
      <c r="MGV69" s="148">
        <v>45845</v>
      </c>
      <c r="MGW69" s="143" t="s">
        <v>46</v>
      </c>
      <c r="MGX69" s="199"/>
      <c r="MGY69" s="149" t="s">
        <v>125</v>
      </c>
      <c r="MGZ69" s="197"/>
      <c r="MHA69" s="198"/>
      <c r="MHB69" s="143" t="s">
        <v>22</v>
      </c>
      <c r="MHC69" s="144">
        <v>8150</v>
      </c>
      <c r="MHD69" s="152">
        <v>85</v>
      </c>
      <c r="MHE69" s="153">
        <v>215</v>
      </c>
      <c r="MHF69" s="153">
        <v>75</v>
      </c>
      <c r="MHG69" s="152">
        <v>150</v>
      </c>
      <c r="MHH69" s="154">
        <f>SUM(MHC69:MHG69)</f>
        <v>8675</v>
      </c>
      <c r="MHI69" s="152">
        <v>200</v>
      </c>
      <c r="MHJ69" s="154">
        <f>SUM(MHH69:MHI69)</f>
        <v>8875</v>
      </c>
      <c r="MHK69" s="147" t="s">
        <v>99</v>
      </c>
      <c r="MHL69" s="148">
        <v>45845</v>
      </c>
      <c r="MHM69" s="143" t="s">
        <v>46</v>
      </c>
      <c r="MHN69" s="199"/>
      <c r="MHO69" s="149" t="s">
        <v>125</v>
      </c>
      <c r="MHP69" s="197"/>
      <c r="MHQ69" s="198"/>
      <c r="MHR69" s="143" t="s">
        <v>22</v>
      </c>
      <c r="MHS69" s="144">
        <v>8150</v>
      </c>
      <c r="MHT69" s="152">
        <v>85</v>
      </c>
      <c r="MHU69" s="153">
        <v>215</v>
      </c>
      <c r="MHV69" s="153">
        <v>75</v>
      </c>
      <c r="MHW69" s="152">
        <v>150</v>
      </c>
      <c r="MHX69" s="154">
        <f>SUM(MHS69:MHW69)</f>
        <v>8675</v>
      </c>
      <c r="MHY69" s="152">
        <v>200</v>
      </c>
      <c r="MHZ69" s="154">
        <f>SUM(MHX69:MHY69)</f>
        <v>8875</v>
      </c>
      <c r="MIA69" s="147" t="s">
        <v>99</v>
      </c>
      <c r="MIB69" s="148">
        <v>45845</v>
      </c>
      <c r="MIC69" s="143" t="s">
        <v>46</v>
      </c>
      <c r="MID69" s="199"/>
      <c r="MIE69" s="149" t="s">
        <v>125</v>
      </c>
      <c r="MIF69" s="197"/>
      <c r="MIG69" s="198"/>
      <c r="MIH69" s="143" t="s">
        <v>22</v>
      </c>
      <c r="MII69" s="144">
        <v>8150</v>
      </c>
      <c r="MIJ69" s="152">
        <v>85</v>
      </c>
      <c r="MIK69" s="153">
        <v>215</v>
      </c>
      <c r="MIL69" s="153">
        <v>75</v>
      </c>
      <c r="MIM69" s="152">
        <v>150</v>
      </c>
      <c r="MIN69" s="154">
        <f>SUM(MII69:MIM69)</f>
        <v>8675</v>
      </c>
      <c r="MIO69" s="152">
        <v>200</v>
      </c>
      <c r="MIP69" s="154">
        <f>SUM(MIN69:MIO69)</f>
        <v>8875</v>
      </c>
      <c r="MIQ69" s="147" t="s">
        <v>99</v>
      </c>
      <c r="MIR69" s="148">
        <v>45845</v>
      </c>
      <c r="MIS69" s="143" t="s">
        <v>46</v>
      </c>
      <c r="MIT69" s="199"/>
      <c r="MIU69" s="149" t="s">
        <v>125</v>
      </c>
      <c r="MIV69" s="197"/>
      <c r="MIW69" s="198"/>
      <c r="MIX69" s="143" t="s">
        <v>22</v>
      </c>
      <c r="MIY69" s="144">
        <v>8150</v>
      </c>
      <c r="MIZ69" s="152">
        <v>85</v>
      </c>
      <c r="MJA69" s="153">
        <v>215</v>
      </c>
      <c r="MJB69" s="153">
        <v>75</v>
      </c>
      <c r="MJC69" s="152">
        <v>150</v>
      </c>
      <c r="MJD69" s="154">
        <f>SUM(MIY69:MJC69)</f>
        <v>8675</v>
      </c>
      <c r="MJE69" s="152">
        <v>200</v>
      </c>
      <c r="MJF69" s="154">
        <f>SUM(MJD69:MJE69)</f>
        <v>8875</v>
      </c>
      <c r="MJG69" s="147" t="s">
        <v>99</v>
      </c>
      <c r="MJH69" s="148">
        <v>45845</v>
      </c>
      <c r="MJI69" s="143" t="s">
        <v>46</v>
      </c>
      <c r="MJJ69" s="199"/>
      <c r="MJK69" s="149" t="s">
        <v>125</v>
      </c>
      <c r="MJL69" s="197"/>
      <c r="MJM69" s="198"/>
      <c r="MJN69" s="143" t="s">
        <v>22</v>
      </c>
      <c r="MJO69" s="144">
        <v>8150</v>
      </c>
      <c r="MJP69" s="152">
        <v>85</v>
      </c>
      <c r="MJQ69" s="153">
        <v>215</v>
      </c>
      <c r="MJR69" s="153">
        <v>75</v>
      </c>
      <c r="MJS69" s="152">
        <v>150</v>
      </c>
      <c r="MJT69" s="154">
        <f>SUM(MJO69:MJS69)</f>
        <v>8675</v>
      </c>
      <c r="MJU69" s="152">
        <v>200</v>
      </c>
      <c r="MJV69" s="154">
        <f>SUM(MJT69:MJU69)</f>
        <v>8875</v>
      </c>
      <c r="MJW69" s="147" t="s">
        <v>99</v>
      </c>
      <c r="MJX69" s="148">
        <v>45845</v>
      </c>
      <c r="MJY69" s="143" t="s">
        <v>46</v>
      </c>
      <c r="MJZ69" s="199"/>
      <c r="MKA69" s="149" t="s">
        <v>125</v>
      </c>
      <c r="MKB69" s="197"/>
      <c r="MKC69" s="198"/>
      <c r="MKD69" s="143" t="s">
        <v>22</v>
      </c>
      <c r="MKE69" s="144">
        <v>8150</v>
      </c>
      <c r="MKF69" s="152">
        <v>85</v>
      </c>
      <c r="MKG69" s="153">
        <v>215</v>
      </c>
      <c r="MKH69" s="153">
        <v>75</v>
      </c>
      <c r="MKI69" s="152">
        <v>150</v>
      </c>
      <c r="MKJ69" s="154">
        <f>SUM(MKE69:MKI69)</f>
        <v>8675</v>
      </c>
      <c r="MKK69" s="152">
        <v>200</v>
      </c>
      <c r="MKL69" s="154">
        <f>SUM(MKJ69:MKK69)</f>
        <v>8875</v>
      </c>
      <c r="MKM69" s="147" t="s">
        <v>99</v>
      </c>
      <c r="MKN69" s="148">
        <v>45845</v>
      </c>
      <c r="MKO69" s="143" t="s">
        <v>46</v>
      </c>
      <c r="MKP69" s="199"/>
      <c r="MKQ69" s="149" t="s">
        <v>125</v>
      </c>
      <c r="MKR69" s="197"/>
      <c r="MKS69" s="198"/>
      <c r="MKT69" s="143" t="s">
        <v>22</v>
      </c>
      <c r="MKU69" s="144">
        <v>8150</v>
      </c>
      <c r="MKV69" s="152">
        <v>85</v>
      </c>
      <c r="MKW69" s="153">
        <v>215</v>
      </c>
      <c r="MKX69" s="153">
        <v>75</v>
      </c>
      <c r="MKY69" s="152">
        <v>150</v>
      </c>
      <c r="MKZ69" s="154">
        <f>SUM(MKU69:MKY69)</f>
        <v>8675</v>
      </c>
      <c r="MLA69" s="152">
        <v>200</v>
      </c>
      <c r="MLB69" s="154">
        <f>SUM(MKZ69:MLA69)</f>
        <v>8875</v>
      </c>
      <c r="MLC69" s="147" t="s">
        <v>99</v>
      </c>
      <c r="MLD69" s="148">
        <v>45845</v>
      </c>
      <c r="MLE69" s="143" t="s">
        <v>46</v>
      </c>
      <c r="MLF69" s="199"/>
      <c r="MLG69" s="149" t="s">
        <v>125</v>
      </c>
      <c r="MLH69" s="197"/>
      <c r="MLI69" s="198"/>
      <c r="MLJ69" s="143" t="s">
        <v>22</v>
      </c>
      <c r="MLK69" s="144">
        <v>8150</v>
      </c>
      <c r="MLL69" s="152">
        <v>85</v>
      </c>
      <c r="MLM69" s="153">
        <v>215</v>
      </c>
      <c r="MLN69" s="153">
        <v>75</v>
      </c>
      <c r="MLO69" s="152">
        <v>150</v>
      </c>
      <c r="MLP69" s="154">
        <f>SUM(MLK69:MLO69)</f>
        <v>8675</v>
      </c>
      <c r="MLQ69" s="152">
        <v>200</v>
      </c>
      <c r="MLR69" s="154">
        <f>SUM(MLP69:MLQ69)</f>
        <v>8875</v>
      </c>
      <c r="MLS69" s="147" t="s">
        <v>99</v>
      </c>
      <c r="MLT69" s="148">
        <v>45845</v>
      </c>
      <c r="MLU69" s="143" t="s">
        <v>46</v>
      </c>
      <c r="MLV69" s="199"/>
      <c r="MLW69" s="149" t="s">
        <v>125</v>
      </c>
      <c r="MLX69" s="197"/>
      <c r="MLY69" s="198"/>
      <c r="MLZ69" s="143" t="s">
        <v>22</v>
      </c>
      <c r="MMA69" s="144">
        <v>8150</v>
      </c>
      <c r="MMB69" s="152">
        <v>85</v>
      </c>
      <c r="MMC69" s="153">
        <v>215</v>
      </c>
      <c r="MMD69" s="153">
        <v>75</v>
      </c>
      <c r="MME69" s="152">
        <v>150</v>
      </c>
      <c r="MMF69" s="154">
        <f>SUM(MMA69:MME69)</f>
        <v>8675</v>
      </c>
      <c r="MMG69" s="152">
        <v>200</v>
      </c>
      <c r="MMH69" s="154">
        <f>SUM(MMF69:MMG69)</f>
        <v>8875</v>
      </c>
      <c r="MMI69" s="147" t="s">
        <v>99</v>
      </c>
      <c r="MMJ69" s="148">
        <v>45845</v>
      </c>
      <c r="MMK69" s="143" t="s">
        <v>46</v>
      </c>
      <c r="MML69" s="199"/>
      <c r="MMM69" s="149" t="s">
        <v>125</v>
      </c>
      <c r="MMN69" s="197"/>
      <c r="MMO69" s="198"/>
      <c r="MMP69" s="143" t="s">
        <v>22</v>
      </c>
      <c r="MMQ69" s="144">
        <v>8150</v>
      </c>
      <c r="MMR69" s="152">
        <v>85</v>
      </c>
      <c r="MMS69" s="153">
        <v>215</v>
      </c>
      <c r="MMT69" s="153">
        <v>75</v>
      </c>
      <c r="MMU69" s="152">
        <v>150</v>
      </c>
      <c r="MMV69" s="154">
        <f>SUM(MMQ69:MMU69)</f>
        <v>8675</v>
      </c>
      <c r="MMW69" s="152">
        <v>200</v>
      </c>
      <c r="MMX69" s="154">
        <f>SUM(MMV69:MMW69)</f>
        <v>8875</v>
      </c>
      <c r="MMY69" s="147" t="s">
        <v>99</v>
      </c>
      <c r="MMZ69" s="148">
        <v>45845</v>
      </c>
      <c r="MNA69" s="143" t="s">
        <v>46</v>
      </c>
      <c r="MNB69" s="199"/>
      <c r="MNC69" s="149" t="s">
        <v>125</v>
      </c>
      <c r="MND69" s="197"/>
      <c r="MNE69" s="198"/>
      <c r="MNF69" s="143" t="s">
        <v>22</v>
      </c>
      <c r="MNG69" s="144">
        <v>8150</v>
      </c>
      <c r="MNH69" s="152">
        <v>85</v>
      </c>
      <c r="MNI69" s="153">
        <v>215</v>
      </c>
      <c r="MNJ69" s="153">
        <v>75</v>
      </c>
      <c r="MNK69" s="152">
        <v>150</v>
      </c>
      <c r="MNL69" s="154">
        <f>SUM(MNG69:MNK69)</f>
        <v>8675</v>
      </c>
      <c r="MNM69" s="152">
        <v>200</v>
      </c>
      <c r="MNN69" s="154">
        <f>SUM(MNL69:MNM69)</f>
        <v>8875</v>
      </c>
      <c r="MNO69" s="147" t="s">
        <v>99</v>
      </c>
      <c r="MNP69" s="148">
        <v>45845</v>
      </c>
      <c r="MNQ69" s="143" t="s">
        <v>46</v>
      </c>
      <c r="MNR69" s="199"/>
      <c r="MNS69" s="149" t="s">
        <v>125</v>
      </c>
      <c r="MNT69" s="197"/>
      <c r="MNU69" s="198"/>
      <c r="MNV69" s="143" t="s">
        <v>22</v>
      </c>
      <c r="MNW69" s="144">
        <v>8150</v>
      </c>
      <c r="MNX69" s="152">
        <v>85</v>
      </c>
      <c r="MNY69" s="153">
        <v>215</v>
      </c>
      <c r="MNZ69" s="153">
        <v>75</v>
      </c>
      <c r="MOA69" s="152">
        <v>150</v>
      </c>
      <c r="MOB69" s="154">
        <f>SUM(MNW69:MOA69)</f>
        <v>8675</v>
      </c>
      <c r="MOC69" s="152">
        <v>200</v>
      </c>
      <c r="MOD69" s="154">
        <f>SUM(MOB69:MOC69)</f>
        <v>8875</v>
      </c>
      <c r="MOE69" s="147" t="s">
        <v>99</v>
      </c>
      <c r="MOF69" s="148">
        <v>45845</v>
      </c>
      <c r="MOG69" s="143" t="s">
        <v>46</v>
      </c>
      <c r="MOH69" s="199"/>
      <c r="MOI69" s="149" t="s">
        <v>125</v>
      </c>
      <c r="MOJ69" s="197"/>
      <c r="MOK69" s="198"/>
      <c r="MOL69" s="143" t="s">
        <v>22</v>
      </c>
      <c r="MOM69" s="144">
        <v>8150</v>
      </c>
      <c r="MON69" s="152">
        <v>85</v>
      </c>
      <c r="MOO69" s="153">
        <v>215</v>
      </c>
      <c r="MOP69" s="153">
        <v>75</v>
      </c>
      <c r="MOQ69" s="152">
        <v>150</v>
      </c>
      <c r="MOR69" s="154">
        <f>SUM(MOM69:MOQ69)</f>
        <v>8675</v>
      </c>
      <c r="MOS69" s="152">
        <v>200</v>
      </c>
      <c r="MOT69" s="154">
        <f>SUM(MOR69:MOS69)</f>
        <v>8875</v>
      </c>
      <c r="MOU69" s="147" t="s">
        <v>99</v>
      </c>
      <c r="MOV69" s="148">
        <v>45845</v>
      </c>
      <c r="MOW69" s="143" t="s">
        <v>46</v>
      </c>
      <c r="MOX69" s="199"/>
      <c r="MOY69" s="149" t="s">
        <v>125</v>
      </c>
      <c r="MOZ69" s="197"/>
      <c r="MPA69" s="198"/>
      <c r="MPB69" s="143" t="s">
        <v>22</v>
      </c>
      <c r="MPC69" s="144">
        <v>8150</v>
      </c>
      <c r="MPD69" s="152">
        <v>85</v>
      </c>
      <c r="MPE69" s="153">
        <v>215</v>
      </c>
      <c r="MPF69" s="153">
        <v>75</v>
      </c>
      <c r="MPG69" s="152">
        <v>150</v>
      </c>
      <c r="MPH69" s="154">
        <f>SUM(MPC69:MPG69)</f>
        <v>8675</v>
      </c>
      <c r="MPI69" s="152">
        <v>200</v>
      </c>
      <c r="MPJ69" s="154">
        <f>SUM(MPH69:MPI69)</f>
        <v>8875</v>
      </c>
      <c r="MPK69" s="147" t="s">
        <v>99</v>
      </c>
      <c r="MPL69" s="148">
        <v>45845</v>
      </c>
      <c r="MPM69" s="143" t="s">
        <v>46</v>
      </c>
      <c r="MPN69" s="199"/>
      <c r="MPO69" s="149" t="s">
        <v>125</v>
      </c>
      <c r="MPP69" s="197"/>
      <c r="MPQ69" s="198"/>
      <c r="MPR69" s="143" t="s">
        <v>22</v>
      </c>
      <c r="MPS69" s="144">
        <v>8150</v>
      </c>
      <c r="MPT69" s="152">
        <v>85</v>
      </c>
      <c r="MPU69" s="153">
        <v>215</v>
      </c>
      <c r="MPV69" s="153">
        <v>75</v>
      </c>
      <c r="MPW69" s="152">
        <v>150</v>
      </c>
      <c r="MPX69" s="154">
        <f>SUM(MPS69:MPW69)</f>
        <v>8675</v>
      </c>
      <c r="MPY69" s="152">
        <v>200</v>
      </c>
      <c r="MPZ69" s="154">
        <f>SUM(MPX69:MPY69)</f>
        <v>8875</v>
      </c>
      <c r="MQA69" s="147" t="s">
        <v>99</v>
      </c>
      <c r="MQB69" s="148">
        <v>45845</v>
      </c>
      <c r="MQC69" s="143" t="s">
        <v>46</v>
      </c>
      <c r="MQD69" s="199"/>
      <c r="MQE69" s="149" t="s">
        <v>125</v>
      </c>
      <c r="MQF69" s="197"/>
      <c r="MQG69" s="198"/>
      <c r="MQH69" s="143" t="s">
        <v>22</v>
      </c>
      <c r="MQI69" s="144">
        <v>8150</v>
      </c>
      <c r="MQJ69" s="152">
        <v>85</v>
      </c>
      <c r="MQK69" s="153">
        <v>215</v>
      </c>
      <c r="MQL69" s="153">
        <v>75</v>
      </c>
      <c r="MQM69" s="152">
        <v>150</v>
      </c>
      <c r="MQN69" s="154">
        <f>SUM(MQI69:MQM69)</f>
        <v>8675</v>
      </c>
      <c r="MQO69" s="152">
        <v>200</v>
      </c>
      <c r="MQP69" s="154">
        <f>SUM(MQN69:MQO69)</f>
        <v>8875</v>
      </c>
      <c r="MQQ69" s="147" t="s">
        <v>99</v>
      </c>
      <c r="MQR69" s="148">
        <v>45845</v>
      </c>
      <c r="MQS69" s="143" t="s">
        <v>46</v>
      </c>
      <c r="MQT69" s="199"/>
      <c r="MQU69" s="149" t="s">
        <v>125</v>
      </c>
      <c r="MQV69" s="197"/>
      <c r="MQW69" s="198"/>
      <c r="MQX69" s="143" t="s">
        <v>22</v>
      </c>
      <c r="MQY69" s="144">
        <v>8150</v>
      </c>
      <c r="MQZ69" s="152">
        <v>85</v>
      </c>
      <c r="MRA69" s="153">
        <v>215</v>
      </c>
      <c r="MRB69" s="153">
        <v>75</v>
      </c>
      <c r="MRC69" s="152">
        <v>150</v>
      </c>
      <c r="MRD69" s="154">
        <f>SUM(MQY69:MRC69)</f>
        <v>8675</v>
      </c>
      <c r="MRE69" s="152">
        <v>200</v>
      </c>
      <c r="MRF69" s="154">
        <f>SUM(MRD69:MRE69)</f>
        <v>8875</v>
      </c>
      <c r="MRG69" s="147" t="s">
        <v>99</v>
      </c>
      <c r="MRH69" s="148">
        <v>45845</v>
      </c>
      <c r="MRI69" s="143" t="s">
        <v>46</v>
      </c>
      <c r="MRJ69" s="199"/>
      <c r="MRK69" s="149" t="s">
        <v>125</v>
      </c>
      <c r="MRL69" s="197"/>
      <c r="MRM69" s="198"/>
      <c r="MRN69" s="143" t="s">
        <v>22</v>
      </c>
      <c r="MRO69" s="144">
        <v>8150</v>
      </c>
      <c r="MRP69" s="152">
        <v>85</v>
      </c>
      <c r="MRQ69" s="153">
        <v>215</v>
      </c>
      <c r="MRR69" s="153">
        <v>75</v>
      </c>
      <c r="MRS69" s="152">
        <v>150</v>
      </c>
      <c r="MRT69" s="154">
        <f>SUM(MRO69:MRS69)</f>
        <v>8675</v>
      </c>
      <c r="MRU69" s="152">
        <v>200</v>
      </c>
      <c r="MRV69" s="154">
        <f>SUM(MRT69:MRU69)</f>
        <v>8875</v>
      </c>
      <c r="MRW69" s="147" t="s">
        <v>99</v>
      </c>
      <c r="MRX69" s="148">
        <v>45845</v>
      </c>
      <c r="MRY69" s="143" t="s">
        <v>46</v>
      </c>
      <c r="MRZ69" s="199"/>
      <c r="MSA69" s="149" t="s">
        <v>125</v>
      </c>
      <c r="MSB69" s="197"/>
      <c r="MSC69" s="198"/>
      <c r="MSD69" s="143" t="s">
        <v>22</v>
      </c>
      <c r="MSE69" s="144">
        <v>8150</v>
      </c>
      <c r="MSF69" s="152">
        <v>85</v>
      </c>
      <c r="MSG69" s="153">
        <v>215</v>
      </c>
      <c r="MSH69" s="153">
        <v>75</v>
      </c>
      <c r="MSI69" s="152">
        <v>150</v>
      </c>
      <c r="MSJ69" s="154">
        <f>SUM(MSE69:MSI69)</f>
        <v>8675</v>
      </c>
      <c r="MSK69" s="152">
        <v>200</v>
      </c>
      <c r="MSL69" s="154">
        <f>SUM(MSJ69:MSK69)</f>
        <v>8875</v>
      </c>
      <c r="MSM69" s="147" t="s">
        <v>99</v>
      </c>
      <c r="MSN69" s="148">
        <v>45845</v>
      </c>
      <c r="MSO69" s="143" t="s">
        <v>46</v>
      </c>
      <c r="MSP69" s="199"/>
      <c r="MSQ69" s="149" t="s">
        <v>125</v>
      </c>
      <c r="MSR69" s="197"/>
      <c r="MSS69" s="198"/>
      <c r="MST69" s="143" t="s">
        <v>22</v>
      </c>
      <c r="MSU69" s="144">
        <v>8150</v>
      </c>
      <c r="MSV69" s="152">
        <v>85</v>
      </c>
      <c r="MSW69" s="153">
        <v>215</v>
      </c>
      <c r="MSX69" s="153">
        <v>75</v>
      </c>
      <c r="MSY69" s="152">
        <v>150</v>
      </c>
      <c r="MSZ69" s="154">
        <f>SUM(MSU69:MSY69)</f>
        <v>8675</v>
      </c>
      <c r="MTA69" s="152">
        <v>200</v>
      </c>
      <c r="MTB69" s="154">
        <f>SUM(MSZ69:MTA69)</f>
        <v>8875</v>
      </c>
      <c r="MTC69" s="147" t="s">
        <v>99</v>
      </c>
      <c r="MTD69" s="148">
        <v>45845</v>
      </c>
      <c r="MTE69" s="143" t="s">
        <v>46</v>
      </c>
      <c r="MTF69" s="199"/>
      <c r="MTG69" s="149" t="s">
        <v>125</v>
      </c>
      <c r="MTH69" s="197"/>
      <c r="MTI69" s="198"/>
      <c r="MTJ69" s="143" t="s">
        <v>22</v>
      </c>
      <c r="MTK69" s="144">
        <v>8150</v>
      </c>
      <c r="MTL69" s="152">
        <v>85</v>
      </c>
      <c r="MTM69" s="153">
        <v>215</v>
      </c>
      <c r="MTN69" s="153">
        <v>75</v>
      </c>
      <c r="MTO69" s="152">
        <v>150</v>
      </c>
      <c r="MTP69" s="154">
        <f>SUM(MTK69:MTO69)</f>
        <v>8675</v>
      </c>
      <c r="MTQ69" s="152">
        <v>200</v>
      </c>
      <c r="MTR69" s="154">
        <f>SUM(MTP69:MTQ69)</f>
        <v>8875</v>
      </c>
      <c r="MTS69" s="147" t="s">
        <v>99</v>
      </c>
      <c r="MTT69" s="148">
        <v>45845</v>
      </c>
      <c r="MTU69" s="143" t="s">
        <v>46</v>
      </c>
      <c r="MTV69" s="199"/>
      <c r="MTW69" s="149" t="s">
        <v>125</v>
      </c>
      <c r="MTX69" s="197"/>
      <c r="MTY69" s="198"/>
      <c r="MTZ69" s="143" t="s">
        <v>22</v>
      </c>
      <c r="MUA69" s="144">
        <v>8150</v>
      </c>
      <c r="MUB69" s="152">
        <v>85</v>
      </c>
      <c r="MUC69" s="153">
        <v>215</v>
      </c>
      <c r="MUD69" s="153">
        <v>75</v>
      </c>
      <c r="MUE69" s="152">
        <v>150</v>
      </c>
      <c r="MUF69" s="154">
        <f>SUM(MUA69:MUE69)</f>
        <v>8675</v>
      </c>
      <c r="MUG69" s="152">
        <v>200</v>
      </c>
      <c r="MUH69" s="154">
        <f>SUM(MUF69:MUG69)</f>
        <v>8875</v>
      </c>
      <c r="MUI69" s="147" t="s">
        <v>99</v>
      </c>
      <c r="MUJ69" s="148">
        <v>45845</v>
      </c>
      <c r="MUK69" s="143" t="s">
        <v>46</v>
      </c>
      <c r="MUL69" s="199"/>
      <c r="MUM69" s="149" t="s">
        <v>125</v>
      </c>
      <c r="MUN69" s="197"/>
      <c r="MUO69" s="198"/>
      <c r="MUP69" s="143" t="s">
        <v>22</v>
      </c>
      <c r="MUQ69" s="144">
        <v>8150</v>
      </c>
      <c r="MUR69" s="152">
        <v>85</v>
      </c>
      <c r="MUS69" s="153">
        <v>215</v>
      </c>
      <c r="MUT69" s="153">
        <v>75</v>
      </c>
      <c r="MUU69" s="152">
        <v>150</v>
      </c>
      <c r="MUV69" s="154">
        <f>SUM(MUQ69:MUU69)</f>
        <v>8675</v>
      </c>
      <c r="MUW69" s="152">
        <v>200</v>
      </c>
      <c r="MUX69" s="154">
        <f>SUM(MUV69:MUW69)</f>
        <v>8875</v>
      </c>
      <c r="MUY69" s="147" t="s">
        <v>99</v>
      </c>
      <c r="MUZ69" s="148">
        <v>45845</v>
      </c>
      <c r="MVA69" s="143" t="s">
        <v>46</v>
      </c>
      <c r="MVB69" s="199"/>
      <c r="MVC69" s="149" t="s">
        <v>125</v>
      </c>
      <c r="MVD69" s="197"/>
      <c r="MVE69" s="198"/>
      <c r="MVF69" s="143" t="s">
        <v>22</v>
      </c>
      <c r="MVG69" s="144">
        <v>8150</v>
      </c>
      <c r="MVH69" s="152">
        <v>85</v>
      </c>
      <c r="MVI69" s="153">
        <v>215</v>
      </c>
      <c r="MVJ69" s="153">
        <v>75</v>
      </c>
      <c r="MVK69" s="152">
        <v>150</v>
      </c>
      <c r="MVL69" s="154">
        <f>SUM(MVG69:MVK69)</f>
        <v>8675</v>
      </c>
      <c r="MVM69" s="152">
        <v>200</v>
      </c>
      <c r="MVN69" s="154">
        <f>SUM(MVL69:MVM69)</f>
        <v>8875</v>
      </c>
      <c r="MVO69" s="147" t="s">
        <v>99</v>
      </c>
      <c r="MVP69" s="148">
        <v>45845</v>
      </c>
      <c r="MVQ69" s="143" t="s">
        <v>46</v>
      </c>
      <c r="MVR69" s="199"/>
      <c r="MVS69" s="149" t="s">
        <v>125</v>
      </c>
      <c r="MVT69" s="197"/>
      <c r="MVU69" s="198"/>
      <c r="MVV69" s="143" t="s">
        <v>22</v>
      </c>
      <c r="MVW69" s="144">
        <v>8150</v>
      </c>
      <c r="MVX69" s="152">
        <v>85</v>
      </c>
      <c r="MVY69" s="153">
        <v>215</v>
      </c>
      <c r="MVZ69" s="153">
        <v>75</v>
      </c>
      <c r="MWA69" s="152">
        <v>150</v>
      </c>
      <c r="MWB69" s="154">
        <f>SUM(MVW69:MWA69)</f>
        <v>8675</v>
      </c>
      <c r="MWC69" s="152">
        <v>200</v>
      </c>
      <c r="MWD69" s="154">
        <f>SUM(MWB69:MWC69)</f>
        <v>8875</v>
      </c>
      <c r="MWE69" s="147" t="s">
        <v>99</v>
      </c>
      <c r="MWF69" s="148">
        <v>45845</v>
      </c>
      <c r="MWG69" s="143" t="s">
        <v>46</v>
      </c>
      <c r="MWH69" s="199"/>
      <c r="MWI69" s="149" t="s">
        <v>125</v>
      </c>
      <c r="MWJ69" s="197"/>
      <c r="MWK69" s="198"/>
      <c r="MWL69" s="143" t="s">
        <v>22</v>
      </c>
      <c r="MWM69" s="144">
        <v>8150</v>
      </c>
      <c r="MWN69" s="152">
        <v>85</v>
      </c>
      <c r="MWO69" s="153">
        <v>215</v>
      </c>
      <c r="MWP69" s="153">
        <v>75</v>
      </c>
      <c r="MWQ69" s="152">
        <v>150</v>
      </c>
      <c r="MWR69" s="154">
        <f>SUM(MWM69:MWQ69)</f>
        <v>8675</v>
      </c>
      <c r="MWS69" s="152">
        <v>200</v>
      </c>
      <c r="MWT69" s="154">
        <f>SUM(MWR69:MWS69)</f>
        <v>8875</v>
      </c>
      <c r="MWU69" s="147" t="s">
        <v>99</v>
      </c>
      <c r="MWV69" s="148">
        <v>45845</v>
      </c>
      <c r="MWW69" s="143" t="s">
        <v>46</v>
      </c>
      <c r="MWX69" s="199"/>
      <c r="MWY69" s="149" t="s">
        <v>125</v>
      </c>
      <c r="MWZ69" s="197"/>
      <c r="MXA69" s="198"/>
      <c r="MXB69" s="143" t="s">
        <v>22</v>
      </c>
      <c r="MXC69" s="144">
        <v>8150</v>
      </c>
      <c r="MXD69" s="152">
        <v>85</v>
      </c>
      <c r="MXE69" s="153">
        <v>215</v>
      </c>
      <c r="MXF69" s="153">
        <v>75</v>
      </c>
      <c r="MXG69" s="152">
        <v>150</v>
      </c>
      <c r="MXH69" s="154">
        <f>SUM(MXC69:MXG69)</f>
        <v>8675</v>
      </c>
      <c r="MXI69" s="152">
        <v>200</v>
      </c>
      <c r="MXJ69" s="154">
        <f>SUM(MXH69:MXI69)</f>
        <v>8875</v>
      </c>
      <c r="MXK69" s="147" t="s">
        <v>99</v>
      </c>
      <c r="MXL69" s="148">
        <v>45845</v>
      </c>
      <c r="MXM69" s="143" t="s">
        <v>46</v>
      </c>
      <c r="MXN69" s="199"/>
      <c r="MXO69" s="149" t="s">
        <v>125</v>
      </c>
      <c r="MXP69" s="197"/>
      <c r="MXQ69" s="198"/>
      <c r="MXR69" s="143" t="s">
        <v>22</v>
      </c>
      <c r="MXS69" s="144">
        <v>8150</v>
      </c>
      <c r="MXT69" s="152">
        <v>85</v>
      </c>
      <c r="MXU69" s="153">
        <v>215</v>
      </c>
      <c r="MXV69" s="153">
        <v>75</v>
      </c>
      <c r="MXW69" s="152">
        <v>150</v>
      </c>
      <c r="MXX69" s="154">
        <f>SUM(MXS69:MXW69)</f>
        <v>8675</v>
      </c>
      <c r="MXY69" s="152">
        <v>200</v>
      </c>
      <c r="MXZ69" s="154">
        <f>SUM(MXX69:MXY69)</f>
        <v>8875</v>
      </c>
      <c r="MYA69" s="147" t="s">
        <v>99</v>
      </c>
      <c r="MYB69" s="148">
        <v>45845</v>
      </c>
      <c r="MYC69" s="143" t="s">
        <v>46</v>
      </c>
      <c r="MYD69" s="199"/>
      <c r="MYE69" s="149" t="s">
        <v>125</v>
      </c>
      <c r="MYF69" s="197"/>
      <c r="MYG69" s="198"/>
      <c r="MYH69" s="143" t="s">
        <v>22</v>
      </c>
      <c r="MYI69" s="144">
        <v>8150</v>
      </c>
      <c r="MYJ69" s="152">
        <v>85</v>
      </c>
      <c r="MYK69" s="153">
        <v>215</v>
      </c>
      <c r="MYL69" s="153">
        <v>75</v>
      </c>
      <c r="MYM69" s="152">
        <v>150</v>
      </c>
      <c r="MYN69" s="154">
        <f>SUM(MYI69:MYM69)</f>
        <v>8675</v>
      </c>
      <c r="MYO69" s="152">
        <v>200</v>
      </c>
      <c r="MYP69" s="154">
        <f>SUM(MYN69:MYO69)</f>
        <v>8875</v>
      </c>
      <c r="MYQ69" s="147" t="s">
        <v>99</v>
      </c>
      <c r="MYR69" s="148">
        <v>45845</v>
      </c>
      <c r="MYS69" s="143" t="s">
        <v>46</v>
      </c>
      <c r="MYT69" s="199"/>
      <c r="MYU69" s="149" t="s">
        <v>125</v>
      </c>
      <c r="MYV69" s="197"/>
      <c r="MYW69" s="198"/>
      <c r="MYX69" s="143" t="s">
        <v>22</v>
      </c>
      <c r="MYY69" s="144">
        <v>8150</v>
      </c>
      <c r="MYZ69" s="152">
        <v>85</v>
      </c>
      <c r="MZA69" s="153">
        <v>215</v>
      </c>
      <c r="MZB69" s="153">
        <v>75</v>
      </c>
      <c r="MZC69" s="152">
        <v>150</v>
      </c>
      <c r="MZD69" s="154">
        <f>SUM(MYY69:MZC69)</f>
        <v>8675</v>
      </c>
      <c r="MZE69" s="152">
        <v>200</v>
      </c>
      <c r="MZF69" s="154">
        <f>SUM(MZD69:MZE69)</f>
        <v>8875</v>
      </c>
      <c r="MZG69" s="147" t="s">
        <v>99</v>
      </c>
      <c r="MZH69" s="148">
        <v>45845</v>
      </c>
      <c r="MZI69" s="143" t="s">
        <v>46</v>
      </c>
      <c r="MZJ69" s="199"/>
      <c r="MZK69" s="149" t="s">
        <v>125</v>
      </c>
      <c r="MZL69" s="197"/>
      <c r="MZM69" s="198"/>
      <c r="MZN69" s="143" t="s">
        <v>22</v>
      </c>
      <c r="MZO69" s="144">
        <v>8150</v>
      </c>
      <c r="MZP69" s="152">
        <v>85</v>
      </c>
      <c r="MZQ69" s="153">
        <v>215</v>
      </c>
      <c r="MZR69" s="153">
        <v>75</v>
      </c>
      <c r="MZS69" s="152">
        <v>150</v>
      </c>
      <c r="MZT69" s="154">
        <f>SUM(MZO69:MZS69)</f>
        <v>8675</v>
      </c>
      <c r="MZU69" s="152">
        <v>200</v>
      </c>
      <c r="MZV69" s="154">
        <f>SUM(MZT69:MZU69)</f>
        <v>8875</v>
      </c>
      <c r="MZW69" s="147" t="s">
        <v>99</v>
      </c>
      <c r="MZX69" s="148">
        <v>45845</v>
      </c>
      <c r="MZY69" s="143" t="s">
        <v>46</v>
      </c>
      <c r="MZZ69" s="199"/>
      <c r="NAA69" s="149" t="s">
        <v>125</v>
      </c>
      <c r="NAB69" s="197"/>
      <c r="NAC69" s="198"/>
      <c r="NAD69" s="143" t="s">
        <v>22</v>
      </c>
      <c r="NAE69" s="144">
        <v>8150</v>
      </c>
      <c r="NAF69" s="152">
        <v>85</v>
      </c>
      <c r="NAG69" s="153">
        <v>215</v>
      </c>
      <c r="NAH69" s="153">
        <v>75</v>
      </c>
      <c r="NAI69" s="152">
        <v>150</v>
      </c>
      <c r="NAJ69" s="154">
        <f>SUM(NAE69:NAI69)</f>
        <v>8675</v>
      </c>
      <c r="NAK69" s="152">
        <v>200</v>
      </c>
      <c r="NAL69" s="154">
        <f>SUM(NAJ69:NAK69)</f>
        <v>8875</v>
      </c>
      <c r="NAM69" s="147" t="s">
        <v>99</v>
      </c>
      <c r="NAN69" s="148">
        <v>45845</v>
      </c>
      <c r="NAO69" s="143" t="s">
        <v>46</v>
      </c>
      <c r="NAP69" s="199"/>
      <c r="NAQ69" s="149" t="s">
        <v>125</v>
      </c>
      <c r="NAR69" s="197"/>
      <c r="NAS69" s="198"/>
      <c r="NAT69" s="143" t="s">
        <v>22</v>
      </c>
      <c r="NAU69" s="144">
        <v>8150</v>
      </c>
      <c r="NAV69" s="152">
        <v>85</v>
      </c>
      <c r="NAW69" s="153">
        <v>215</v>
      </c>
      <c r="NAX69" s="153">
        <v>75</v>
      </c>
      <c r="NAY69" s="152">
        <v>150</v>
      </c>
      <c r="NAZ69" s="154">
        <f>SUM(NAU69:NAY69)</f>
        <v>8675</v>
      </c>
      <c r="NBA69" s="152">
        <v>200</v>
      </c>
      <c r="NBB69" s="154">
        <f>SUM(NAZ69:NBA69)</f>
        <v>8875</v>
      </c>
      <c r="NBC69" s="147" t="s">
        <v>99</v>
      </c>
      <c r="NBD69" s="148">
        <v>45845</v>
      </c>
      <c r="NBE69" s="143" t="s">
        <v>46</v>
      </c>
      <c r="NBF69" s="199"/>
      <c r="NBG69" s="149" t="s">
        <v>125</v>
      </c>
      <c r="NBH69" s="197"/>
      <c r="NBI69" s="198"/>
      <c r="NBJ69" s="143" t="s">
        <v>22</v>
      </c>
      <c r="NBK69" s="144">
        <v>8150</v>
      </c>
      <c r="NBL69" s="152">
        <v>85</v>
      </c>
      <c r="NBM69" s="153">
        <v>215</v>
      </c>
      <c r="NBN69" s="153">
        <v>75</v>
      </c>
      <c r="NBO69" s="152">
        <v>150</v>
      </c>
      <c r="NBP69" s="154">
        <f>SUM(NBK69:NBO69)</f>
        <v>8675</v>
      </c>
      <c r="NBQ69" s="152">
        <v>200</v>
      </c>
      <c r="NBR69" s="154">
        <f>SUM(NBP69:NBQ69)</f>
        <v>8875</v>
      </c>
      <c r="NBS69" s="147" t="s">
        <v>99</v>
      </c>
      <c r="NBT69" s="148">
        <v>45845</v>
      </c>
      <c r="NBU69" s="143" t="s">
        <v>46</v>
      </c>
      <c r="NBV69" s="199"/>
      <c r="NBW69" s="149" t="s">
        <v>125</v>
      </c>
      <c r="NBX69" s="197"/>
      <c r="NBY69" s="198"/>
      <c r="NBZ69" s="143" t="s">
        <v>22</v>
      </c>
      <c r="NCA69" s="144">
        <v>8150</v>
      </c>
      <c r="NCB69" s="152">
        <v>85</v>
      </c>
      <c r="NCC69" s="153">
        <v>215</v>
      </c>
      <c r="NCD69" s="153">
        <v>75</v>
      </c>
      <c r="NCE69" s="152">
        <v>150</v>
      </c>
      <c r="NCF69" s="154">
        <f>SUM(NCA69:NCE69)</f>
        <v>8675</v>
      </c>
      <c r="NCG69" s="152">
        <v>200</v>
      </c>
      <c r="NCH69" s="154">
        <f>SUM(NCF69:NCG69)</f>
        <v>8875</v>
      </c>
      <c r="NCI69" s="147" t="s">
        <v>99</v>
      </c>
      <c r="NCJ69" s="148">
        <v>45845</v>
      </c>
      <c r="NCK69" s="143" t="s">
        <v>46</v>
      </c>
      <c r="NCL69" s="199"/>
      <c r="NCM69" s="149" t="s">
        <v>125</v>
      </c>
      <c r="NCN69" s="197"/>
      <c r="NCO69" s="198"/>
      <c r="NCP69" s="143" t="s">
        <v>22</v>
      </c>
      <c r="NCQ69" s="144">
        <v>8150</v>
      </c>
      <c r="NCR69" s="152">
        <v>85</v>
      </c>
      <c r="NCS69" s="153">
        <v>215</v>
      </c>
      <c r="NCT69" s="153">
        <v>75</v>
      </c>
      <c r="NCU69" s="152">
        <v>150</v>
      </c>
      <c r="NCV69" s="154">
        <f>SUM(NCQ69:NCU69)</f>
        <v>8675</v>
      </c>
      <c r="NCW69" s="152">
        <v>200</v>
      </c>
      <c r="NCX69" s="154">
        <f>SUM(NCV69:NCW69)</f>
        <v>8875</v>
      </c>
      <c r="NCY69" s="147" t="s">
        <v>99</v>
      </c>
      <c r="NCZ69" s="148">
        <v>45845</v>
      </c>
      <c r="NDA69" s="143" t="s">
        <v>46</v>
      </c>
      <c r="NDB69" s="199"/>
      <c r="NDC69" s="149" t="s">
        <v>125</v>
      </c>
      <c r="NDD69" s="197"/>
      <c r="NDE69" s="198"/>
      <c r="NDF69" s="143" t="s">
        <v>22</v>
      </c>
      <c r="NDG69" s="144">
        <v>8150</v>
      </c>
      <c r="NDH69" s="152">
        <v>85</v>
      </c>
      <c r="NDI69" s="153">
        <v>215</v>
      </c>
      <c r="NDJ69" s="153">
        <v>75</v>
      </c>
      <c r="NDK69" s="152">
        <v>150</v>
      </c>
      <c r="NDL69" s="154">
        <f>SUM(NDG69:NDK69)</f>
        <v>8675</v>
      </c>
      <c r="NDM69" s="152">
        <v>200</v>
      </c>
      <c r="NDN69" s="154">
        <f>SUM(NDL69:NDM69)</f>
        <v>8875</v>
      </c>
      <c r="NDO69" s="147" t="s">
        <v>99</v>
      </c>
      <c r="NDP69" s="148">
        <v>45845</v>
      </c>
      <c r="NDQ69" s="143" t="s">
        <v>46</v>
      </c>
      <c r="NDR69" s="199"/>
      <c r="NDS69" s="149" t="s">
        <v>125</v>
      </c>
      <c r="NDT69" s="197"/>
      <c r="NDU69" s="198"/>
      <c r="NDV69" s="143" t="s">
        <v>22</v>
      </c>
      <c r="NDW69" s="144">
        <v>8150</v>
      </c>
      <c r="NDX69" s="152">
        <v>85</v>
      </c>
      <c r="NDY69" s="153">
        <v>215</v>
      </c>
      <c r="NDZ69" s="153">
        <v>75</v>
      </c>
      <c r="NEA69" s="152">
        <v>150</v>
      </c>
      <c r="NEB69" s="154">
        <f>SUM(NDW69:NEA69)</f>
        <v>8675</v>
      </c>
      <c r="NEC69" s="152">
        <v>200</v>
      </c>
      <c r="NED69" s="154">
        <f>SUM(NEB69:NEC69)</f>
        <v>8875</v>
      </c>
      <c r="NEE69" s="147" t="s">
        <v>99</v>
      </c>
      <c r="NEF69" s="148">
        <v>45845</v>
      </c>
      <c r="NEG69" s="143" t="s">
        <v>46</v>
      </c>
      <c r="NEH69" s="199"/>
      <c r="NEI69" s="149" t="s">
        <v>125</v>
      </c>
      <c r="NEJ69" s="197"/>
      <c r="NEK69" s="198"/>
      <c r="NEL69" s="143" t="s">
        <v>22</v>
      </c>
      <c r="NEM69" s="144">
        <v>8150</v>
      </c>
      <c r="NEN69" s="152">
        <v>85</v>
      </c>
      <c r="NEO69" s="153">
        <v>215</v>
      </c>
      <c r="NEP69" s="153">
        <v>75</v>
      </c>
      <c r="NEQ69" s="152">
        <v>150</v>
      </c>
      <c r="NER69" s="154">
        <f>SUM(NEM69:NEQ69)</f>
        <v>8675</v>
      </c>
      <c r="NES69" s="152">
        <v>200</v>
      </c>
      <c r="NET69" s="154">
        <f>SUM(NER69:NES69)</f>
        <v>8875</v>
      </c>
      <c r="NEU69" s="147" t="s">
        <v>99</v>
      </c>
      <c r="NEV69" s="148">
        <v>45845</v>
      </c>
      <c r="NEW69" s="143" t="s">
        <v>46</v>
      </c>
      <c r="NEX69" s="199"/>
      <c r="NEY69" s="149" t="s">
        <v>125</v>
      </c>
      <c r="NEZ69" s="197"/>
      <c r="NFA69" s="198"/>
      <c r="NFB69" s="143" t="s">
        <v>22</v>
      </c>
      <c r="NFC69" s="144">
        <v>8150</v>
      </c>
      <c r="NFD69" s="152">
        <v>85</v>
      </c>
      <c r="NFE69" s="153">
        <v>215</v>
      </c>
      <c r="NFF69" s="153">
        <v>75</v>
      </c>
      <c r="NFG69" s="152">
        <v>150</v>
      </c>
      <c r="NFH69" s="154">
        <f>SUM(NFC69:NFG69)</f>
        <v>8675</v>
      </c>
      <c r="NFI69" s="152">
        <v>200</v>
      </c>
      <c r="NFJ69" s="154">
        <f>SUM(NFH69:NFI69)</f>
        <v>8875</v>
      </c>
      <c r="NFK69" s="147" t="s">
        <v>99</v>
      </c>
      <c r="NFL69" s="148">
        <v>45845</v>
      </c>
      <c r="NFM69" s="143" t="s">
        <v>46</v>
      </c>
      <c r="NFN69" s="199"/>
      <c r="NFO69" s="149" t="s">
        <v>125</v>
      </c>
      <c r="NFP69" s="197"/>
      <c r="NFQ69" s="198"/>
      <c r="NFR69" s="143" t="s">
        <v>22</v>
      </c>
      <c r="NFS69" s="144">
        <v>8150</v>
      </c>
      <c r="NFT69" s="152">
        <v>85</v>
      </c>
      <c r="NFU69" s="153">
        <v>215</v>
      </c>
      <c r="NFV69" s="153">
        <v>75</v>
      </c>
      <c r="NFW69" s="152">
        <v>150</v>
      </c>
      <c r="NFX69" s="154">
        <f>SUM(NFS69:NFW69)</f>
        <v>8675</v>
      </c>
      <c r="NFY69" s="152">
        <v>200</v>
      </c>
      <c r="NFZ69" s="154">
        <f>SUM(NFX69:NFY69)</f>
        <v>8875</v>
      </c>
      <c r="NGA69" s="147" t="s">
        <v>99</v>
      </c>
      <c r="NGB69" s="148">
        <v>45845</v>
      </c>
      <c r="NGC69" s="143" t="s">
        <v>46</v>
      </c>
      <c r="NGD69" s="199"/>
      <c r="NGE69" s="149" t="s">
        <v>125</v>
      </c>
      <c r="NGF69" s="197"/>
      <c r="NGG69" s="198"/>
      <c r="NGH69" s="143" t="s">
        <v>22</v>
      </c>
      <c r="NGI69" s="144">
        <v>8150</v>
      </c>
      <c r="NGJ69" s="152">
        <v>85</v>
      </c>
      <c r="NGK69" s="153">
        <v>215</v>
      </c>
      <c r="NGL69" s="153">
        <v>75</v>
      </c>
      <c r="NGM69" s="152">
        <v>150</v>
      </c>
      <c r="NGN69" s="154">
        <f>SUM(NGI69:NGM69)</f>
        <v>8675</v>
      </c>
      <c r="NGO69" s="152">
        <v>200</v>
      </c>
      <c r="NGP69" s="154">
        <f>SUM(NGN69:NGO69)</f>
        <v>8875</v>
      </c>
      <c r="NGQ69" s="147" t="s">
        <v>99</v>
      </c>
      <c r="NGR69" s="148">
        <v>45845</v>
      </c>
      <c r="NGS69" s="143" t="s">
        <v>46</v>
      </c>
      <c r="NGT69" s="199"/>
      <c r="NGU69" s="149" t="s">
        <v>125</v>
      </c>
      <c r="NGV69" s="197"/>
      <c r="NGW69" s="198"/>
      <c r="NGX69" s="143" t="s">
        <v>22</v>
      </c>
      <c r="NGY69" s="144">
        <v>8150</v>
      </c>
      <c r="NGZ69" s="152">
        <v>85</v>
      </c>
      <c r="NHA69" s="153">
        <v>215</v>
      </c>
      <c r="NHB69" s="153">
        <v>75</v>
      </c>
      <c r="NHC69" s="152">
        <v>150</v>
      </c>
      <c r="NHD69" s="154">
        <f>SUM(NGY69:NHC69)</f>
        <v>8675</v>
      </c>
      <c r="NHE69" s="152">
        <v>200</v>
      </c>
      <c r="NHF69" s="154">
        <f>SUM(NHD69:NHE69)</f>
        <v>8875</v>
      </c>
      <c r="NHG69" s="147" t="s">
        <v>99</v>
      </c>
      <c r="NHH69" s="148">
        <v>45845</v>
      </c>
      <c r="NHI69" s="143" t="s">
        <v>46</v>
      </c>
      <c r="NHJ69" s="199"/>
      <c r="NHK69" s="149" t="s">
        <v>125</v>
      </c>
      <c r="NHL69" s="197"/>
      <c r="NHM69" s="198"/>
      <c r="NHN69" s="143" t="s">
        <v>22</v>
      </c>
      <c r="NHO69" s="144">
        <v>8150</v>
      </c>
      <c r="NHP69" s="152">
        <v>85</v>
      </c>
      <c r="NHQ69" s="153">
        <v>215</v>
      </c>
      <c r="NHR69" s="153">
        <v>75</v>
      </c>
      <c r="NHS69" s="152">
        <v>150</v>
      </c>
      <c r="NHT69" s="154">
        <f>SUM(NHO69:NHS69)</f>
        <v>8675</v>
      </c>
      <c r="NHU69" s="152">
        <v>200</v>
      </c>
      <c r="NHV69" s="154">
        <f>SUM(NHT69:NHU69)</f>
        <v>8875</v>
      </c>
      <c r="NHW69" s="147" t="s">
        <v>99</v>
      </c>
      <c r="NHX69" s="148">
        <v>45845</v>
      </c>
      <c r="NHY69" s="143" t="s">
        <v>46</v>
      </c>
      <c r="NHZ69" s="199"/>
      <c r="NIA69" s="149" t="s">
        <v>125</v>
      </c>
      <c r="NIB69" s="197"/>
      <c r="NIC69" s="198"/>
      <c r="NID69" s="143" t="s">
        <v>22</v>
      </c>
      <c r="NIE69" s="144">
        <v>8150</v>
      </c>
      <c r="NIF69" s="152">
        <v>85</v>
      </c>
      <c r="NIG69" s="153">
        <v>215</v>
      </c>
      <c r="NIH69" s="153">
        <v>75</v>
      </c>
      <c r="NII69" s="152">
        <v>150</v>
      </c>
      <c r="NIJ69" s="154">
        <f>SUM(NIE69:NII69)</f>
        <v>8675</v>
      </c>
      <c r="NIK69" s="152">
        <v>200</v>
      </c>
      <c r="NIL69" s="154">
        <f>SUM(NIJ69:NIK69)</f>
        <v>8875</v>
      </c>
      <c r="NIM69" s="147" t="s">
        <v>99</v>
      </c>
      <c r="NIN69" s="148">
        <v>45845</v>
      </c>
      <c r="NIO69" s="143" t="s">
        <v>46</v>
      </c>
      <c r="NIP69" s="199"/>
      <c r="NIQ69" s="149" t="s">
        <v>125</v>
      </c>
      <c r="NIR69" s="197"/>
      <c r="NIS69" s="198"/>
      <c r="NIT69" s="143" t="s">
        <v>22</v>
      </c>
      <c r="NIU69" s="144">
        <v>8150</v>
      </c>
      <c r="NIV69" s="152">
        <v>85</v>
      </c>
      <c r="NIW69" s="153">
        <v>215</v>
      </c>
      <c r="NIX69" s="153">
        <v>75</v>
      </c>
      <c r="NIY69" s="152">
        <v>150</v>
      </c>
      <c r="NIZ69" s="154">
        <f>SUM(NIU69:NIY69)</f>
        <v>8675</v>
      </c>
      <c r="NJA69" s="152">
        <v>200</v>
      </c>
      <c r="NJB69" s="154">
        <f>SUM(NIZ69:NJA69)</f>
        <v>8875</v>
      </c>
      <c r="NJC69" s="147" t="s">
        <v>99</v>
      </c>
      <c r="NJD69" s="148">
        <v>45845</v>
      </c>
      <c r="NJE69" s="143" t="s">
        <v>46</v>
      </c>
      <c r="NJF69" s="199"/>
      <c r="NJG69" s="149" t="s">
        <v>125</v>
      </c>
      <c r="NJH69" s="197"/>
      <c r="NJI69" s="198"/>
      <c r="NJJ69" s="143" t="s">
        <v>22</v>
      </c>
      <c r="NJK69" s="144">
        <v>8150</v>
      </c>
      <c r="NJL69" s="152">
        <v>85</v>
      </c>
      <c r="NJM69" s="153">
        <v>215</v>
      </c>
      <c r="NJN69" s="153">
        <v>75</v>
      </c>
      <c r="NJO69" s="152">
        <v>150</v>
      </c>
      <c r="NJP69" s="154">
        <f>SUM(NJK69:NJO69)</f>
        <v>8675</v>
      </c>
      <c r="NJQ69" s="152">
        <v>200</v>
      </c>
      <c r="NJR69" s="154">
        <f>SUM(NJP69:NJQ69)</f>
        <v>8875</v>
      </c>
      <c r="NJS69" s="147" t="s">
        <v>99</v>
      </c>
      <c r="NJT69" s="148">
        <v>45845</v>
      </c>
      <c r="NJU69" s="143" t="s">
        <v>46</v>
      </c>
      <c r="NJV69" s="199"/>
      <c r="NJW69" s="149" t="s">
        <v>125</v>
      </c>
      <c r="NJX69" s="197"/>
      <c r="NJY69" s="198"/>
      <c r="NJZ69" s="143" t="s">
        <v>22</v>
      </c>
      <c r="NKA69" s="144">
        <v>8150</v>
      </c>
      <c r="NKB69" s="152">
        <v>85</v>
      </c>
      <c r="NKC69" s="153">
        <v>215</v>
      </c>
      <c r="NKD69" s="153">
        <v>75</v>
      </c>
      <c r="NKE69" s="152">
        <v>150</v>
      </c>
      <c r="NKF69" s="154">
        <f>SUM(NKA69:NKE69)</f>
        <v>8675</v>
      </c>
      <c r="NKG69" s="152">
        <v>200</v>
      </c>
      <c r="NKH69" s="154">
        <f>SUM(NKF69:NKG69)</f>
        <v>8875</v>
      </c>
      <c r="NKI69" s="147" t="s">
        <v>99</v>
      </c>
      <c r="NKJ69" s="148">
        <v>45845</v>
      </c>
      <c r="NKK69" s="143" t="s">
        <v>46</v>
      </c>
      <c r="NKL69" s="199"/>
      <c r="NKM69" s="149" t="s">
        <v>125</v>
      </c>
      <c r="NKN69" s="197"/>
      <c r="NKO69" s="198"/>
      <c r="NKP69" s="143" t="s">
        <v>22</v>
      </c>
      <c r="NKQ69" s="144">
        <v>8150</v>
      </c>
      <c r="NKR69" s="152">
        <v>85</v>
      </c>
      <c r="NKS69" s="153">
        <v>215</v>
      </c>
      <c r="NKT69" s="153">
        <v>75</v>
      </c>
      <c r="NKU69" s="152">
        <v>150</v>
      </c>
      <c r="NKV69" s="154">
        <f>SUM(NKQ69:NKU69)</f>
        <v>8675</v>
      </c>
      <c r="NKW69" s="152">
        <v>200</v>
      </c>
      <c r="NKX69" s="154">
        <f>SUM(NKV69:NKW69)</f>
        <v>8875</v>
      </c>
      <c r="NKY69" s="147" t="s">
        <v>99</v>
      </c>
      <c r="NKZ69" s="148">
        <v>45845</v>
      </c>
      <c r="NLA69" s="143" t="s">
        <v>46</v>
      </c>
      <c r="NLB69" s="199"/>
      <c r="NLC69" s="149" t="s">
        <v>125</v>
      </c>
      <c r="NLD69" s="197"/>
      <c r="NLE69" s="198"/>
      <c r="NLF69" s="143" t="s">
        <v>22</v>
      </c>
      <c r="NLG69" s="144">
        <v>8150</v>
      </c>
      <c r="NLH69" s="152">
        <v>85</v>
      </c>
      <c r="NLI69" s="153">
        <v>215</v>
      </c>
      <c r="NLJ69" s="153">
        <v>75</v>
      </c>
      <c r="NLK69" s="152">
        <v>150</v>
      </c>
      <c r="NLL69" s="154">
        <f>SUM(NLG69:NLK69)</f>
        <v>8675</v>
      </c>
      <c r="NLM69" s="152">
        <v>200</v>
      </c>
      <c r="NLN69" s="154">
        <f>SUM(NLL69:NLM69)</f>
        <v>8875</v>
      </c>
      <c r="NLO69" s="147" t="s">
        <v>99</v>
      </c>
      <c r="NLP69" s="148">
        <v>45845</v>
      </c>
      <c r="NLQ69" s="143" t="s">
        <v>46</v>
      </c>
      <c r="NLR69" s="199"/>
      <c r="NLS69" s="149" t="s">
        <v>125</v>
      </c>
      <c r="NLT69" s="197"/>
      <c r="NLU69" s="198"/>
      <c r="NLV69" s="143" t="s">
        <v>22</v>
      </c>
      <c r="NLW69" s="144">
        <v>8150</v>
      </c>
      <c r="NLX69" s="152">
        <v>85</v>
      </c>
      <c r="NLY69" s="153">
        <v>215</v>
      </c>
      <c r="NLZ69" s="153">
        <v>75</v>
      </c>
      <c r="NMA69" s="152">
        <v>150</v>
      </c>
      <c r="NMB69" s="154">
        <f>SUM(NLW69:NMA69)</f>
        <v>8675</v>
      </c>
      <c r="NMC69" s="152">
        <v>200</v>
      </c>
      <c r="NMD69" s="154">
        <f>SUM(NMB69:NMC69)</f>
        <v>8875</v>
      </c>
      <c r="NME69" s="147" t="s">
        <v>99</v>
      </c>
      <c r="NMF69" s="148">
        <v>45845</v>
      </c>
      <c r="NMG69" s="143" t="s">
        <v>46</v>
      </c>
      <c r="NMH69" s="199"/>
      <c r="NMI69" s="149" t="s">
        <v>125</v>
      </c>
      <c r="NMJ69" s="197"/>
      <c r="NMK69" s="198"/>
      <c r="NML69" s="143" t="s">
        <v>22</v>
      </c>
      <c r="NMM69" s="144">
        <v>8150</v>
      </c>
      <c r="NMN69" s="152">
        <v>85</v>
      </c>
      <c r="NMO69" s="153">
        <v>215</v>
      </c>
      <c r="NMP69" s="153">
        <v>75</v>
      </c>
      <c r="NMQ69" s="152">
        <v>150</v>
      </c>
      <c r="NMR69" s="154">
        <f>SUM(NMM69:NMQ69)</f>
        <v>8675</v>
      </c>
      <c r="NMS69" s="152">
        <v>200</v>
      </c>
      <c r="NMT69" s="154">
        <f>SUM(NMR69:NMS69)</f>
        <v>8875</v>
      </c>
      <c r="NMU69" s="147" t="s">
        <v>99</v>
      </c>
      <c r="NMV69" s="148">
        <v>45845</v>
      </c>
      <c r="NMW69" s="143" t="s">
        <v>46</v>
      </c>
      <c r="NMX69" s="199"/>
      <c r="NMY69" s="149" t="s">
        <v>125</v>
      </c>
      <c r="NMZ69" s="197"/>
      <c r="NNA69" s="198"/>
      <c r="NNB69" s="143" t="s">
        <v>22</v>
      </c>
      <c r="NNC69" s="144">
        <v>8150</v>
      </c>
      <c r="NND69" s="152">
        <v>85</v>
      </c>
      <c r="NNE69" s="153">
        <v>215</v>
      </c>
      <c r="NNF69" s="153">
        <v>75</v>
      </c>
      <c r="NNG69" s="152">
        <v>150</v>
      </c>
      <c r="NNH69" s="154">
        <f>SUM(NNC69:NNG69)</f>
        <v>8675</v>
      </c>
      <c r="NNI69" s="152">
        <v>200</v>
      </c>
      <c r="NNJ69" s="154">
        <f>SUM(NNH69:NNI69)</f>
        <v>8875</v>
      </c>
      <c r="NNK69" s="147" t="s">
        <v>99</v>
      </c>
      <c r="NNL69" s="148">
        <v>45845</v>
      </c>
      <c r="NNM69" s="143" t="s">
        <v>46</v>
      </c>
      <c r="NNN69" s="199"/>
      <c r="NNO69" s="149" t="s">
        <v>125</v>
      </c>
      <c r="NNP69" s="197"/>
      <c r="NNQ69" s="198"/>
      <c r="NNR69" s="143" t="s">
        <v>22</v>
      </c>
      <c r="NNS69" s="144">
        <v>8150</v>
      </c>
      <c r="NNT69" s="152">
        <v>85</v>
      </c>
      <c r="NNU69" s="153">
        <v>215</v>
      </c>
      <c r="NNV69" s="153">
        <v>75</v>
      </c>
      <c r="NNW69" s="152">
        <v>150</v>
      </c>
      <c r="NNX69" s="154">
        <f>SUM(NNS69:NNW69)</f>
        <v>8675</v>
      </c>
      <c r="NNY69" s="152">
        <v>200</v>
      </c>
      <c r="NNZ69" s="154">
        <f>SUM(NNX69:NNY69)</f>
        <v>8875</v>
      </c>
      <c r="NOA69" s="147" t="s">
        <v>99</v>
      </c>
      <c r="NOB69" s="148">
        <v>45845</v>
      </c>
      <c r="NOC69" s="143" t="s">
        <v>46</v>
      </c>
      <c r="NOD69" s="199"/>
      <c r="NOE69" s="149" t="s">
        <v>125</v>
      </c>
      <c r="NOF69" s="197"/>
      <c r="NOG69" s="198"/>
      <c r="NOH69" s="143" t="s">
        <v>22</v>
      </c>
      <c r="NOI69" s="144">
        <v>8150</v>
      </c>
      <c r="NOJ69" s="152">
        <v>85</v>
      </c>
      <c r="NOK69" s="153">
        <v>215</v>
      </c>
      <c r="NOL69" s="153">
        <v>75</v>
      </c>
      <c r="NOM69" s="152">
        <v>150</v>
      </c>
      <c r="NON69" s="154">
        <f>SUM(NOI69:NOM69)</f>
        <v>8675</v>
      </c>
      <c r="NOO69" s="152">
        <v>200</v>
      </c>
      <c r="NOP69" s="154">
        <f>SUM(NON69:NOO69)</f>
        <v>8875</v>
      </c>
      <c r="NOQ69" s="147" t="s">
        <v>99</v>
      </c>
      <c r="NOR69" s="148">
        <v>45845</v>
      </c>
      <c r="NOS69" s="143" t="s">
        <v>46</v>
      </c>
      <c r="NOT69" s="199"/>
      <c r="NOU69" s="149" t="s">
        <v>125</v>
      </c>
      <c r="NOV69" s="197"/>
      <c r="NOW69" s="198"/>
      <c r="NOX69" s="143" t="s">
        <v>22</v>
      </c>
      <c r="NOY69" s="144">
        <v>8150</v>
      </c>
      <c r="NOZ69" s="152">
        <v>85</v>
      </c>
      <c r="NPA69" s="153">
        <v>215</v>
      </c>
      <c r="NPB69" s="153">
        <v>75</v>
      </c>
      <c r="NPC69" s="152">
        <v>150</v>
      </c>
      <c r="NPD69" s="154">
        <f>SUM(NOY69:NPC69)</f>
        <v>8675</v>
      </c>
      <c r="NPE69" s="152">
        <v>200</v>
      </c>
      <c r="NPF69" s="154">
        <f>SUM(NPD69:NPE69)</f>
        <v>8875</v>
      </c>
      <c r="NPG69" s="147" t="s">
        <v>99</v>
      </c>
      <c r="NPH69" s="148">
        <v>45845</v>
      </c>
      <c r="NPI69" s="143" t="s">
        <v>46</v>
      </c>
      <c r="NPJ69" s="199"/>
      <c r="NPK69" s="149" t="s">
        <v>125</v>
      </c>
      <c r="NPL69" s="197"/>
      <c r="NPM69" s="198"/>
      <c r="NPN69" s="143" t="s">
        <v>22</v>
      </c>
      <c r="NPO69" s="144">
        <v>8150</v>
      </c>
      <c r="NPP69" s="152">
        <v>85</v>
      </c>
      <c r="NPQ69" s="153">
        <v>215</v>
      </c>
      <c r="NPR69" s="153">
        <v>75</v>
      </c>
      <c r="NPS69" s="152">
        <v>150</v>
      </c>
      <c r="NPT69" s="154">
        <f>SUM(NPO69:NPS69)</f>
        <v>8675</v>
      </c>
      <c r="NPU69" s="152">
        <v>200</v>
      </c>
      <c r="NPV69" s="154">
        <f>SUM(NPT69:NPU69)</f>
        <v>8875</v>
      </c>
      <c r="NPW69" s="147" t="s">
        <v>99</v>
      </c>
      <c r="NPX69" s="148">
        <v>45845</v>
      </c>
      <c r="NPY69" s="143" t="s">
        <v>46</v>
      </c>
      <c r="NPZ69" s="199"/>
      <c r="NQA69" s="149" t="s">
        <v>125</v>
      </c>
      <c r="NQB69" s="197"/>
      <c r="NQC69" s="198"/>
      <c r="NQD69" s="143" t="s">
        <v>22</v>
      </c>
      <c r="NQE69" s="144">
        <v>8150</v>
      </c>
      <c r="NQF69" s="152">
        <v>85</v>
      </c>
      <c r="NQG69" s="153">
        <v>215</v>
      </c>
      <c r="NQH69" s="153">
        <v>75</v>
      </c>
      <c r="NQI69" s="152">
        <v>150</v>
      </c>
      <c r="NQJ69" s="154">
        <f>SUM(NQE69:NQI69)</f>
        <v>8675</v>
      </c>
      <c r="NQK69" s="152">
        <v>200</v>
      </c>
      <c r="NQL69" s="154">
        <f>SUM(NQJ69:NQK69)</f>
        <v>8875</v>
      </c>
      <c r="NQM69" s="147" t="s">
        <v>99</v>
      </c>
      <c r="NQN69" s="148">
        <v>45845</v>
      </c>
      <c r="NQO69" s="143" t="s">
        <v>46</v>
      </c>
      <c r="NQP69" s="199"/>
      <c r="NQQ69" s="149" t="s">
        <v>125</v>
      </c>
      <c r="NQR69" s="197"/>
      <c r="NQS69" s="198"/>
      <c r="NQT69" s="143" t="s">
        <v>22</v>
      </c>
      <c r="NQU69" s="144">
        <v>8150</v>
      </c>
      <c r="NQV69" s="152">
        <v>85</v>
      </c>
      <c r="NQW69" s="153">
        <v>215</v>
      </c>
      <c r="NQX69" s="153">
        <v>75</v>
      </c>
      <c r="NQY69" s="152">
        <v>150</v>
      </c>
      <c r="NQZ69" s="154">
        <f>SUM(NQU69:NQY69)</f>
        <v>8675</v>
      </c>
      <c r="NRA69" s="152">
        <v>200</v>
      </c>
      <c r="NRB69" s="154">
        <f>SUM(NQZ69:NRA69)</f>
        <v>8875</v>
      </c>
      <c r="NRC69" s="147" t="s">
        <v>99</v>
      </c>
      <c r="NRD69" s="148">
        <v>45845</v>
      </c>
      <c r="NRE69" s="143" t="s">
        <v>46</v>
      </c>
      <c r="NRF69" s="199"/>
      <c r="NRG69" s="149" t="s">
        <v>125</v>
      </c>
      <c r="NRH69" s="197"/>
      <c r="NRI69" s="198"/>
      <c r="NRJ69" s="143" t="s">
        <v>22</v>
      </c>
      <c r="NRK69" s="144">
        <v>8150</v>
      </c>
      <c r="NRL69" s="152">
        <v>85</v>
      </c>
      <c r="NRM69" s="153">
        <v>215</v>
      </c>
      <c r="NRN69" s="153">
        <v>75</v>
      </c>
      <c r="NRO69" s="152">
        <v>150</v>
      </c>
      <c r="NRP69" s="154">
        <f>SUM(NRK69:NRO69)</f>
        <v>8675</v>
      </c>
      <c r="NRQ69" s="152">
        <v>200</v>
      </c>
      <c r="NRR69" s="154">
        <f>SUM(NRP69:NRQ69)</f>
        <v>8875</v>
      </c>
      <c r="NRS69" s="147" t="s">
        <v>99</v>
      </c>
      <c r="NRT69" s="148">
        <v>45845</v>
      </c>
      <c r="NRU69" s="143" t="s">
        <v>46</v>
      </c>
      <c r="NRV69" s="199"/>
      <c r="NRW69" s="149" t="s">
        <v>125</v>
      </c>
      <c r="NRX69" s="197"/>
      <c r="NRY69" s="198"/>
      <c r="NRZ69" s="143" t="s">
        <v>22</v>
      </c>
      <c r="NSA69" s="144">
        <v>8150</v>
      </c>
      <c r="NSB69" s="152">
        <v>85</v>
      </c>
      <c r="NSC69" s="153">
        <v>215</v>
      </c>
      <c r="NSD69" s="153">
        <v>75</v>
      </c>
      <c r="NSE69" s="152">
        <v>150</v>
      </c>
      <c r="NSF69" s="154">
        <f>SUM(NSA69:NSE69)</f>
        <v>8675</v>
      </c>
      <c r="NSG69" s="152">
        <v>200</v>
      </c>
      <c r="NSH69" s="154">
        <f>SUM(NSF69:NSG69)</f>
        <v>8875</v>
      </c>
      <c r="NSI69" s="147" t="s">
        <v>99</v>
      </c>
      <c r="NSJ69" s="148">
        <v>45845</v>
      </c>
      <c r="NSK69" s="143" t="s">
        <v>46</v>
      </c>
      <c r="NSL69" s="199"/>
      <c r="NSM69" s="149" t="s">
        <v>125</v>
      </c>
      <c r="NSN69" s="197"/>
      <c r="NSO69" s="198"/>
      <c r="NSP69" s="143" t="s">
        <v>22</v>
      </c>
      <c r="NSQ69" s="144">
        <v>8150</v>
      </c>
      <c r="NSR69" s="152">
        <v>85</v>
      </c>
      <c r="NSS69" s="153">
        <v>215</v>
      </c>
      <c r="NST69" s="153">
        <v>75</v>
      </c>
      <c r="NSU69" s="152">
        <v>150</v>
      </c>
      <c r="NSV69" s="154">
        <f>SUM(NSQ69:NSU69)</f>
        <v>8675</v>
      </c>
      <c r="NSW69" s="152">
        <v>200</v>
      </c>
      <c r="NSX69" s="154">
        <f>SUM(NSV69:NSW69)</f>
        <v>8875</v>
      </c>
      <c r="NSY69" s="147" t="s">
        <v>99</v>
      </c>
      <c r="NSZ69" s="148">
        <v>45845</v>
      </c>
      <c r="NTA69" s="143" t="s">
        <v>46</v>
      </c>
      <c r="NTB69" s="199"/>
      <c r="NTC69" s="149" t="s">
        <v>125</v>
      </c>
      <c r="NTD69" s="197"/>
      <c r="NTE69" s="198"/>
      <c r="NTF69" s="143" t="s">
        <v>22</v>
      </c>
      <c r="NTG69" s="144">
        <v>8150</v>
      </c>
      <c r="NTH69" s="152">
        <v>85</v>
      </c>
      <c r="NTI69" s="153">
        <v>215</v>
      </c>
      <c r="NTJ69" s="153">
        <v>75</v>
      </c>
      <c r="NTK69" s="152">
        <v>150</v>
      </c>
      <c r="NTL69" s="154">
        <f>SUM(NTG69:NTK69)</f>
        <v>8675</v>
      </c>
      <c r="NTM69" s="152">
        <v>200</v>
      </c>
      <c r="NTN69" s="154">
        <f>SUM(NTL69:NTM69)</f>
        <v>8875</v>
      </c>
      <c r="NTO69" s="147" t="s">
        <v>99</v>
      </c>
      <c r="NTP69" s="148">
        <v>45845</v>
      </c>
      <c r="NTQ69" s="143" t="s">
        <v>46</v>
      </c>
      <c r="NTR69" s="199"/>
      <c r="NTS69" s="149" t="s">
        <v>125</v>
      </c>
      <c r="NTT69" s="197"/>
      <c r="NTU69" s="198"/>
      <c r="NTV69" s="143" t="s">
        <v>22</v>
      </c>
      <c r="NTW69" s="144">
        <v>8150</v>
      </c>
      <c r="NTX69" s="152">
        <v>85</v>
      </c>
      <c r="NTY69" s="153">
        <v>215</v>
      </c>
      <c r="NTZ69" s="153">
        <v>75</v>
      </c>
      <c r="NUA69" s="152">
        <v>150</v>
      </c>
      <c r="NUB69" s="154">
        <f>SUM(NTW69:NUA69)</f>
        <v>8675</v>
      </c>
      <c r="NUC69" s="152">
        <v>200</v>
      </c>
      <c r="NUD69" s="154">
        <f>SUM(NUB69:NUC69)</f>
        <v>8875</v>
      </c>
      <c r="NUE69" s="147" t="s">
        <v>99</v>
      </c>
      <c r="NUF69" s="148">
        <v>45845</v>
      </c>
      <c r="NUG69" s="143" t="s">
        <v>46</v>
      </c>
      <c r="NUH69" s="199"/>
      <c r="NUI69" s="149" t="s">
        <v>125</v>
      </c>
      <c r="NUJ69" s="197"/>
      <c r="NUK69" s="198"/>
      <c r="NUL69" s="143" t="s">
        <v>22</v>
      </c>
      <c r="NUM69" s="144">
        <v>8150</v>
      </c>
      <c r="NUN69" s="152">
        <v>85</v>
      </c>
      <c r="NUO69" s="153">
        <v>215</v>
      </c>
      <c r="NUP69" s="153">
        <v>75</v>
      </c>
      <c r="NUQ69" s="152">
        <v>150</v>
      </c>
      <c r="NUR69" s="154">
        <f>SUM(NUM69:NUQ69)</f>
        <v>8675</v>
      </c>
      <c r="NUS69" s="152">
        <v>200</v>
      </c>
      <c r="NUT69" s="154">
        <f>SUM(NUR69:NUS69)</f>
        <v>8875</v>
      </c>
      <c r="NUU69" s="147" t="s">
        <v>99</v>
      </c>
      <c r="NUV69" s="148">
        <v>45845</v>
      </c>
      <c r="NUW69" s="143" t="s">
        <v>46</v>
      </c>
      <c r="NUX69" s="199"/>
      <c r="NUY69" s="149" t="s">
        <v>125</v>
      </c>
      <c r="NUZ69" s="197"/>
      <c r="NVA69" s="198"/>
      <c r="NVB69" s="143" t="s">
        <v>22</v>
      </c>
      <c r="NVC69" s="144">
        <v>8150</v>
      </c>
      <c r="NVD69" s="152">
        <v>85</v>
      </c>
      <c r="NVE69" s="153">
        <v>215</v>
      </c>
      <c r="NVF69" s="153">
        <v>75</v>
      </c>
      <c r="NVG69" s="152">
        <v>150</v>
      </c>
      <c r="NVH69" s="154">
        <f>SUM(NVC69:NVG69)</f>
        <v>8675</v>
      </c>
      <c r="NVI69" s="152">
        <v>200</v>
      </c>
      <c r="NVJ69" s="154">
        <f>SUM(NVH69:NVI69)</f>
        <v>8875</v>
      </c>
      <c r="NVK69" s="147" t="s">
        <v>99</v>
      </c>
      <c r="NVL69" s="148">
        <v>45845</v>
      </c>
      <c r="NVM69" s="143" t="s">
        <v>46</v>
      </c>
      <c r="NVN69" s="199"/>
      <c r="NVO69" s="149" t="s">
        <v>125</v>
      </c>
      <c r="NVP69" s="197"/>
      <c r="NVQ69" s="198"/>
      <c r="NVR69" s="143" t="s">
        <v>22</v>
      </c>
      <c r="NVS69" s="144">
        <v>8150</v>
      </c>
      <c r="NVT69" s="152">
        <v>85</v>
      </c>
      <c r="NVU69" s="153">
        <v>215</v>
      </c>
      <c r="NVV69" s="153">
        <v>75</v>
      </c>
      <c r="NVW69" s="152">
        <v>150</v>
      </c>
      <c r="NVX69" s="154">
        <f>SUM(NVS69:NVW69)</f>
        <v>8675</v>
      </c>
      <c r="NVY69" s="152">
        <v>200</v>
      </c>
      <c r="NVZ69" s="154">
        <f>SUM(NVX69:NVY69)</f>
        <v>8875</v>
      </c>
      <c r="NWA69" s="147" t="s">
        <v>99</v>
      </c>
      <c r="NWB69" s="148">
        <v>45845</v>
      </c>
      <c r="NWC69" s="143" t="s">
        <v>46</v>
      </c>
      <c r="NWD69" s="199"/>
      <c r="NWE69" s="149" t="s">
        <v>125</v>
      </c>
      <c r="NWF69" s="197"/>
      <c r="NWG69" s="198"/>
      <c r="NWH69" s="143" t="s">
        <v>22</v>
      </c>
      <c r="NWI69" s="144">
        <v>8150</v>
      </c>
      <c r="NWJ69" s="152">
        <v>85</v>
      </c>
      <c r="NWK69" s="153">
        <v>215</v>
      </c>
      <c r="NWL69" s="153">
        <v>75</v>
      </c>
      <c r="NWM69" s="152">
        <v>150</v>
      </c>
      <c r="NWN69" s="154">
        <f>SUM(NWI69:NWM69)</f>
        <v>8675</v>
      </c>
      <c r="NWO69" s="152">
        <v>200</v>
      </c>
      <c r="NWP69" s="154">
        <f>SUM(NWN69:NWO69)</f>
        <v>8875</v>
      </c>
      <c r="NWQ69" s="147" t="s">
        <v>99</v>
      </c>
      <c r="NWR69" s="148">
        <v>45845</v>
      </c>
      <c r="NWS69" s="143" t="s">
        <v>46</v>
      </c>
      <c r="NWT69" s="199"/>
      <c r="NWU69" s="149" t="s">
        <v>125</v>
      </c>
      <c r="NWV69" s="197"/>
      <c r="NWW69" s="198"/>
      <c r="NWX69" s="143" t="s">
        <v>22</v>
      </c>
      <c r="NWY69" s="144">
        <v>8150</v>
      </c>
      <c r="NWZ69" s="152">
        <v>85</v>
      </c>
      <c r="NXA69" s="153">
        <v>215</v>
      </c>
      <c r="NXB69" s="153">
        <v>75</v>
      </c>
      <c r="NXC69" s="152">
        <v>150</v>
      </c>
      <c r="NXD69" s="154">
        <f>SUM(NWY69:NXC69)</f>
        <v>8675</v>
      </c>
      <c r="NXE69" s="152">
        <v>200</v>
      </c>
      <c r="NXF69" s="154">
        <f>SUM(NXD69:NXE69)</f>
        <v>8875</v>
      </c>
      <c r="NXG69" s="147" t="s">
        <v>99</v>
      </c>
      <c r="NXH69" s="148">
        <v>45845</v>
      </c>
      <c r="NXI69" s="143" t="s">
        <v>46</v>
      </c>
      <c r="NXJ69" s="199"/>
      <c r="NXK69" s="149" t="s">
        <v>125</v>
      </c>
      <c r="NXL69" s="197"/>
      <c r="NXM69" s="198"/>
      <c r="NXN69" s="143" t="s">
        <v>22</v>
      </c>
      <c r="NXO69" s="144">
        <v>8150</v>
      </c>
      <c r="NXP69" s="152">
        <v>85</v>
      </c>
      <c r="NXQ69" s="153">
        <v>215</v>
      </c>
      <c r="NXR69" s="153">
        <v>75</v>
      </c>
      <c r="NXS69" s="152">
        <v>150</v>
      </c>
      <c r="NXT69" s="154">
        <f>SUM(NXO69:NXS69)</f>
        <v>8675</v>
      </c>
      <c r="NXU69" s="152">
        <v>200</v>
      </c>
      <c r="NXV69" s="154">
        <f>SUM(NXT69:NXU69)</f>
        <v>8875</v>
      </c>
      <c r="NXW69" s="147" t="s">
        <v>99</v>
      </c>
      <c r="NXX69" s="148">
        <v>45845</v>
      </c>
      <c r="NXY69" s="143" t="s">
        <v>46</v>
      </c>
      <c r="NXZ69" s="199"/>
      <c r="NYA69" s="149" t="s">
        <v>125</v>
      </c>
      <c r="NYB69" s="197"/>
      <c r="NYC69" s="198"/>
      <c r="NYD69" s="143" t="s">
        <v>22</v>
      </c>
      <c r="NYE69" s="144">
        <v>8150</v>
      </c>
      <c r="NYF69" s="152">
        <v>85</v>
      </c>
      <c r="NYG69" s="153">
        <v>215</v>
      </c>
      <c r="NYH69" s="153">
        <v>75</v>
      </c>
      <c r="NYI69" s="152">
        <v>150</v>
      </c>
      <c r="NYJ69" s="154">
        <f>SUM(NYE69:NYI69)</f>
        <v>8675</v>
      </c>
      <c r="NYK69" s="152">
        <v>200</v>
      </c>
      <c r="NYL69" s="154">
        <f>SUM(NYJ69:NYK69)</f>
        <v>8875</v>
      </c>
      <c r="NYM69" s="147" t="s">
        <v>99</v>
      </c>
      <c r="NYN69" s="148">
        <v>45845</v>
      </c>
      <c r="NYO69" s="143" t="s">
        <v>46</v>
      </c>
      <c r="NYP69" s="199"/>
      <c r="NYQ69" s="149" t="s">
        <v>125</v>
      </c>
      <c r="NYR69" s="197"/>
      <c r="NYS69" s="198"/>
      <c r="NYT69" s="143" t="s">
        <v>22</v>
      </c>
      <c r="NYU69" s="144">
        <v>8150</v>
      </c>
      <c r="NYV69" s="152">
        <v>85</v>
      </c>
      <c r="NYW69" s="153">
        <v>215</v>
      </c>
      <c r="NYX69" s="153">
        <v>75</v>
      </c>
      <c r="NYY69" s="152">
        <v>150</v>
      </c>
      <c r="NYZ69" s="154">
        <f>SUM(NYU69:NYY69)</f>
        <v>8675</v>
      </c>
      <c r="NZA69" s="152">
        <v>200</v>
      </c>
      <c r="NZB69" s="154">
        <f>SUM(NYZ69:NZA69)</f>
        <v>8875</v>
      </c>
      <c r="NZC69" s="147" t="s">
        <v>99</v>
      </c>
      <c r="NZD69" s="148">
        <v>45845</v>
      </c>
      <c r="NZE69" s="143" t="s">
        <v>46</v>
      </c>
      <c r="NZF69" s="199"/>
      <c r="NZG69" s="149" t="s">
        <v>125</v>
      </c>
      <c r="NZH69" s="197"/>
      <c r="NZI69" s="198"/>
      <c r="NZJ69" s="143" t="s">
        <v>22</v>
      </c>
      <c r="NZK69" s="144">
        <v>8150</v>
      </c>
      <c r="NZL69" s="152">
        <v>85</v>
      </c>
      <c r="NZM69" s="153">
        <v>215</v>
      </c>
      <c r="NZN69" s="153">
        <v>75</v>
      </c>
      <c r="NZO69" s="152">
        <v>150</v>
      </c>
      <c r="NZP69" s="154">
        <f>SUM(NZK69:NZO69)</f>
        <v>8675</v>
      </c>
      <c r="NZQ69" s="152">
        <v>200</v>
      </c>
      <c r="NZR69" s="154">
        <f>SUM(NZP69:NZQ69)</f>
        <v>8875</v>
      </c>
      <c r="NZS69" s="147" t="s">
        <v>99</v>
      </c>
      <c r="NZT69" s="148">
        <v>45845</v>
      </c>
      <c r="NZU69" s="143" t="s">
        <v>46</v>
      </c>
      <c r="NZV69" s="199"/>
      <c r="NZW69" s="149" t="s">
        <v>125</v>
      </c>
      <c r="NZX69" s="197"/>
      <c r="NZY69" s="198"/>
      <c r="NZZ69" s="143" t="s">
        <v>22</v>
      </c>
      <c r="OAA69" s="144">
        <v>8150</v>
      </c>
      <c r="OAB69" s="152">
        <v>85</v>
      </c>
      <c r="OAC69" s="153">
        <v>215</v>
      </c>
      <c r="OAD69" s="153">
        <v>75</v>
      </c>
      <c r="OAE69" s="152">
        <v>150</v>
      </c>
      <c r="OAF69" s="154">
        <f>SUM(OAA69:OAE69)</f>
        <v>8675</v>
      </c>
      <c r="OAG69" s="152">
        <v>200</v>
      </c>
      <c r="OAH69" s="154">
        <f>SUM(OAF69:OAG69)</f>
        <v>8875</v>
      </c>
      <c r="OAI69" s="147" t="s">
        <v>99</v>
      </c>
      <c r="OAJ69" s="148">
        <v>45845</v>
      </c>
      <c r="OAK69" s="143" t="s">
        <v>46</v>
      </c>
      <c r="OAL69" s="199"/>
      <c r="OAM69" s="149" t="s">
        <v>125</v>
      </c>
      <c r="OAN69" s="197"/>
      <c r="OAO69" s="198"/>
      <c r="OAP69" s="143" t="s">
        <v>22</v>
      </c>
      <c r="OAQ69" s="144">
        <v>8150</v>
      </c>
      <c r="OAR69" s="152">
        <v>85</v>
      </c>
      <c r="OAS69" s="153">
        <v>215</v>
      </c>
      <c r="OAT69" s="153">
        <v>75</v>
      </c>
      <c r="OAU69" s="152">
        <v>150</v>
      </c>
      <c r="OAV69" s="154">
        <f>SUM(OAQ69:OAU69)</f>
        <v>8675</v>
      </c>
      <c r="OAW69" s="152">
        <v>200</v>
      </c>
      <c r="OAX69" s="154">
        <f>SUM(OAV69:OAW69)</f>
        <v>8875</v>
      </c>
      <c r="OAY69" s="147" t="s">
        <v>99</v>
      </c>
      <c r="OAZ69" s="148">
        <v>45845</v>
      </c>
      <c r="OBA69" s="143" t="s">
        <v>46</v>
      </c>
      <c r="OBB69" s="199"/>
      <c r="OBC69" s="149" t="s">
        <v>125</v>
      </c>
      <c r="OBD69" s="197"/>
      <c r="OBE69" s="198"/>
      <c r="OBF69" s="143" t="s">
        <v>22</v>
      </c>
      <c r="OBG69" s="144">
        <v>8150</v>
      </c>
      <c r="OBH69" s="152">
        <v>85</v>
      </c>
      <c r="OBI69" s="153">
        <v>215</v>
      </c>
      <c r="OBJ69" s="153">
        <v>75</v>
      </c>
      <c r="OBK69" s="152">
        <v>150</v>
      </c>
      <c r="OBL69" s="154">
        <f>SUM(OBG69:OBK69)</f>
        <v>8675</v>
      </c>
      <c r="OBM69" s="152">
        <v>200</v>
      </c>
      <c r="OBN69" s="154">
        <f>SUM(OBL69:OBM69)</f>
        <v>8875</v>
      </c>
      <c r="OBO69" s="147" t="s">
        <v>99</v>
      </c>
      <c r="OBP69" s="148">
        <v>45845</v>
      </c>
      <c r="OBQ69" s="143" t="s">
        <v>46</v>
      </c>
      <c r="OBR69" s="199"/>
      <c r="OBS69" s="149" t="s">
        <v>125</v>
      </c>
      <c r="OBT69" s="197"/>
      <c r="OBU69" s="198"/>
      <c r="OBV69" s="143" t="s">
        <v>22</v>
      </c>
      <c r="OBW69" s="144">
        <v>8150</v>
      </c>
      <c r="OBX69" s="152">
        <v>85</v>
      </c>
      <c r="OBY69" s="153">
        <v>215</v>
      </c>
      <c r="OBZ69" s="153">
        <v>75</v>
      </c>
      <c r="OCA69" s="152">
        <v>150</v>
      </c>
      <c r="OCB69" s="154">
        <f>SUM(OBW69:OCA69)</f>
        <v>8675</v>
      </c>
      <c r="OCC69" s="152">
        <v>200</v>
      </c>
      <c r="OCD69" s="154">
        <f>SUM(OCB69:OCC69)</f>
        <v>8875</v>
      </c>
      <c r="OCE69" s="147" t="s">
        <v>99</v>
      </c>
      <c r="OCF69" s="148">
        <v>45845</v>
      </c>
      <c r="OCG69" s="143" t="s">
        <v>46</v>
      </c>
      <c r="OCH69" s="199"/>
      <c r="OCI69" s="149" t="s">
        <v>125</v>
      </c>
      <c r="OCJ69" s="197"/>
      <c r="OCK69" s="198"/>
      <c r="OCL69" s="143" t="s">
        <v>22</v>
      </c>
      <c r="OCM69" s="144">
        <v>8150</v>
      </c>
      <c r="OCN69" s="152">
        <v>85</v>
      </c>
      <c r="OCO69" s="153">
        <v>215</v>
      </c>
      <c r="OCP69" s="153">
        <v>75</v>
      </c>
      <c r="OCQ69" s="152">
        <v>150</v>
      </c>
      <c r="OCR69" s="154">
        <f>SUM(OCM69:OCQ69)</f>
        <v>8675</v>
      </c>
      <c r="OCS69" s="152">
        <v>200</v>
      </c>
      <c r="OCT69" s="154">
        <f>SUM(OCR69:OCS69)</f>
        <v>8875</v>
      </c>
      <c r="OCU69" s="147" t="s">
        <v>99</v>
      </c>
      <c r="OCV69" s="148">
        <v>45845</v>
      </c>
      <c r="OCW69" s="143" t="s">
        <v>46</v>
      </c>
      <c r="OCX69" s="199"/>
      <c r="OCY69" s="149" t="s">
        <v>125</v>
      </c>
      <c r="OCZ69" s="197"/>
      <c r="ODA69" s="198"/>
      <c r="ODB69" s="143" t="s">
        <v>22</v>
      </c>
      <c r="ODC69" s="144">
        <v>8150</v>
      </c>
      <c r="ODD69" s="152">
        <v>85</v>
      </c>
      <c r="ODE69" s="153">
        <v>215</v>
      </c>
      <c r="ODF69" s="153">
        <v>75</v>
      </c>
      <c r="ODG69" s="152">
        <v>150</v>
      </c>
      <c r="ODH69" s="154">
        <f>SUM(ODC69:ODG69)</f>
        <v>8675</v>
      </c>
      <c r="ODI69" s="152">
        <v>200</v>
      </c>
      <c r="ODJ69" s="154">
        <f>SUM(ODH69:ODI69)</f>
        <v>8875</v>
      </c>
      <c r="ODK69" s="147" t="s">
        <v>99</v>
      </c>
      <c r="ODL69" s="148">
        <v>45845</v>
      </c>
      <c r="ODM69" s="143" t="s">
        <v>46</v>
      </c>
      <c r="ODN69" s="199"/>
      <c r="ODO69" s="149" t="s">
        <v>125</v>
      </c>
      <c r="ODP69" s="197"/>
      <c r="ODQ69" s="198"/>
      <c r="ODR69" s="143" t="s">
        <v>22</v>
      </c>
      <c r="ODS69" s="144">
        <v>8150</v>
      </c>
      <c r="ODT69" s="152">
        <v>85</v>
      </c>
      <c r="ODU69" s="153">
        <v>215</v>
      </c>
      <c r="ODV69" s="153">
        <v>75</v>
      </c>
      <c r="ODW69" s="152">
        <v>150</v>
      </c>
      <c r="ODX69" s="154">
        <f>SUM(ODS69:ODW69)</f>
        <v>8675</v>
      </c>
      <c r="ODY69" s="152">
        <v>200</v>
      </c>
      <c r="ODZ69" s="154">
        <f>SUM(ODX69:ODY69)</f>
        <v>8875</v>
      </c>
      <c r="OEA69" s="147" t="s">
        <v>99</v>
      </c>
      <c r="OEB69" s="148">
        <v>45845</v>
      </c>
      <c r="OEC69" s="143" t="s">
        <v>46</v>
      </c>
      <c r="OED69" s="199"/>
      <c r="OEE69" s="149" t="s">
        <v>125</v>
      </c>
      <c r="OEF69" s="197"/>
      <c r="OEG69" s="198"/>
      <c r="OEH69" s="143" t="s">
        <v>22</v>
      </c>
      <c r="OEI69" s="144">
        <v>8150</v>
      </c>
      <c r="OEJ69" s="152">
        <v>85</v>
      </c>
      <c r="OEK69" s="153">
        <v>215</v>
      </c>
      <c r="OEL69" s="153">
        <v>75</v>
      </c>
      <c r="OEM69" s="152">
        <v>150</v>
      </c>
      <c r="OEN69" s="154">
        <f>SUM(OEI69:OEM69)</f>
        <v>8675</v>
      </c>
      <c r="OEO69" s="152">
        <v>200</v>
      </c>
      <c r="OEP69" s="154">
        <f>SUM(OEN69:OEO69)</f>
        <v>8875</v>
      </c>
      <c r="OEQ69" s="147" t="s">
        <v>99</v>
      </c>
      <c r="OER69" s="148">
        <v>45845</v>
      </c>
      <c r="OES69" s="143" t="s">
        <v>46</v>
      </c>
      <c r="OET69" s="199"/>
      <c r="OEU69" s="149" t="s">
        <v>125</v>
      </c>
      <c r="OEV69" s="197"/>
      <c r="OEW69" s="198"/>
      <c r="OEX69" s="143" t="s">
        <v>22</v>
      </c>
      <c r="OEY69" s="144">
        <v>8150</v>
      </c>
      <c r="OEZ69" s="152">
        <v>85</v>
      </c>
      <c r="OFA69" s="153">
        <v>215</v>
      </c>
      <c r="OFB69" s="153">
        <v>75</v>
      </c>
      <c r="OFC69" s="152">
        <v>150</v>
      </c>
      <c r="OFD69" s="154">
        <f>SUM(OEY69:OFC69)</f>
        <v>8675</v>
      </c>
      <c r="OFE69" s="152">
        <v>200</v>
      </c>
      <c r="OFF69" s="154">
        <f>SUM(OFD69:OFE69)</f>
        <v>8875</v>
      </c>
      <c r="OFG69" s="147" t="s">
        <v>99</v>
      </c>
      <c r="OFH69" s="148">
        <v>45845</v>
      </c>
      <c r="OFI69" s="143" t="s">
        <v>46</v>
      </c>
      <c r="OFJ69" s="199"/>
      <c r="OFK69" s="149" t="s">
        <v>125</v>
      </c>
      <c r="OFL69" s="197"/>
      <c r="OFM69" s="198"/>
      <c r="OFN69" s="143" t="s">
        <v>22</v>
      </c>
      <c r="OFO69" s="144">
        <v>8150</v>
      </c>
      <c r="OFP69" s="152">
        <v>85</v>
      </c>
      <c r="OFQ69" s="153">
        <v>215</v>
      </c>
      <c r="OFR69" s="153">
        <v>75</v>
      </c>
      <c r="OFS69" s="152">
        <v>150</v>
      </c>
      <c r="OFT69" s="154">
        <f>SUM(OFO69:OFS69)</f>
        <v>8675</v>
      </c>
      <c r="OFU69" s="152">
        <v>200</v>
      </c>
      <c r="OFV69" s="154">
        <f>SUM(OFT69:OFU69)</f>
        <v>8875</v>
      </c>
      <c r="OFW69" s="147" t="s">
        <v>99</v>
      </c>
      <c r="OFX69" s="148">
        <v>45845</v>
      </c>
      <c r="OFY69" s="143" t="s">
        <v>46</v>
      </c>
      <c r="OFZ69" s="199"/>
      <c r="OGA69" s="149" t="s">
        <v>125</v>
      </c>
      <c r="OGB69" s="197"/>
      <c r="OGC69" s="198"/>
      <c r="OGD69" s="143" t="s">
        <v>22</v>
      </c>
      <c r="OGE69" s="144">
        <v>8150</v>
      </c>
      <c r="OGF69" s="152">
        <v>85</v>
      </c>
      <c r="OGG69" s="153">
        <v>215</v>
      </c>
      <c r="OGH69" s="153">
        <v>75</v>
      </c>
      <c r="OGI69" s="152">
        <v>150</v>
      </c>
      <c r="OGJ69" s="154">
        <f>SUM(OGE69:OGI69)</f>
        <v>8675</v>
      </c>
      <c r="OGK69" s="152">
        <v>200</v>
      </c>
      <c r="OGL69" s="154">
        <f>SUM(OGJ69:OGK69)</f>
        <v>8875</v>
      </c>
      <c r="OGM69" s="147" t="s">
        <v>99</v>
      </c>
      <c r="OGN69" s="148">
        <v>45845</v>
      </c>
      <c r="OGO69" s="143" t="s">
        <v>46</v>
      </c>
      <c r="OGP69" s="199"/>
      <c r="OGQ69" s="149" t="s">
        <v>125</v>
      </c>
      <c r="OGR69" s="197"/>
      <c r="OGS69" s="198"/>
      <c r="OGT69" s="143" t="s">
        <v>22</v>
      </c>
      <c r="OGU69" s="144">
        <v>8150</v>
      </c>
      <c r="OGV69" s="152">
        <v>85</v>
      </c>
      <c r="OGW69" s="153">
        <v>215</v>
      </c>
      <c r="OGX69" s="153">
        <v>75</v>
      </c>
      <c r="OGY69" s="152">
        <v>150</v>
      </c>
      <c r="OGZ69" s="154">
        <f>SUM(OGU69:OGY69)</f>
        <v>8675</v>
      </c>
      <c r="OHA69" s="152">
        <v>200</v>
      </c>
      <c r="OHB69" s="154">
        <f>SUM(OGZ69:OHA69)</f>
        <v>8875</v>
      </c>
      <c r="OHC69" s="147" t="s">
        <v>99</v>
      </c>
      <c r="OHD69" s="148">
        <v>45845</v>
      </c>
      <c r="OHE69" s="143" t="s">
        <v>46</v>
      </c>
      <c r="OHF69" s="199"/>
      <c r="OHG69" s="149" t="s">
        <v>125</v>
      </c>
      <c r="OHH69" s="197"/>
      <c r="OHI69" s="198"/>
      <c r="OHJ69" s="143" t="s">
        <v>22</v>
      </c>
      <c r="OHK69" s="144">
        <v>8150</v>
      </c>
      <c r="OHL69" s="152">
        <v>85</v>
      </c>
      <c r="OHM69" s="153">
        <v>215</v>
      </c>
      <c r="OHN69" s="153">
        <v>75</v>
      </c>
      <c r="OHO69" s="152">
        <v>150</v>
      </c>
      <c r="OHP69" s="154">
        <f>SUM(OHK69:OHO69)</f>
        <v>8675</v>
      </c>
      <c r="OHQ69" s="152">
        <v>200</v>
      </c>
      <c r="OHR69" s="154">
        <f>SUM(OHP69:OHQ69)</f>
        <v>8875</v>
      </c>
      <c r="OHS69" s="147" t="s">
        <v>99</v>
      </c>
      <c r="OHT69" s="148">
        <v>45845</v>
      </c>
      <c r="OHU69" s="143" t="s">
        <v>46</v>
      </c>
      <c r="OHV69" s="199"/>
      <c r="OHW69" s="149" t="s">
        <v>125</v>
      </c>
      <c r="OHX69" s="197"/>
      <c r="OHY69" s="198"/>
      <c r="OHZ69" s="143" t="s">
        <v>22</v>
      </c>
      <c r="OIA69" s="144">
        <v>8150</v>
      </c>
      <c r="OIB69" s="152">
        <v>85</v>
      </c>
      <c r="OIC69" s="153">
        <v>215</v>
      </c>
      <c r="OID69" s="153">
        <v>75</v>
      </c>
      <c r="OIE69" s="152">
        <v>150</v>
      </c>
      <c r="OIF69" s="154">
        <f>SUM(OIA69:OIE69)</f>
        <v>8675</v>
      </c>
      <c r="OIG69" s="152">
        <v>200</v>
      </c>
      <c r="OIH69" s="154">
        <f>SUM(OIF69:OIG69)</f>
        <v>8875</v>
      </c>
      <c r="OII69" s="147" t="s">
        <v>99</v>
      </c>
      <c r="OIJ69" s="148">
        <v>45845</v>
      </c>
      <c r="OIK69" s="143" t="s">
        <v>46</v>
      </c>
      <c r="OIL69" s="199"/>
      <c r="OIM69" s="149" t="s">
        <v>125</v>
      </c>
      <c r="OIN69" s="197"/>
      <c r="OIO69" s="198"/>
      <c r="OIP69" s="143" t="s">
        <v>22</v>
      </c>
      <c r="OIQ69" s="144">
        <v>8150</v>
      </c>
      <c r="OIR69" s="152">
        <v>85</v>
      </c>
      <c r="OIS69" s="153">
        <v>215</v>
      </c>
      <c r="OIT69" s="153">
        <v>75</v>
      </c>
      <c r="OIU69" s="152">
        <v>150</v>
      </c>
      <c r="OIV69" s="154">
        <f>SUM(OIQ69:OIU69)</f>
        <v>8675</v>
      </c>
      <c r="OIW69" s="152">
        <v>200</v>
      </c>
      <c r="OIX69" s="154">
        <f>SUM(OIV69:OIW69)</f>
        <v>8875</v>
      </c>
      <c r="OIY69" s="147" t="s">
        <v>99</v>
      </c>
      <c r="OIZ69" s="148">
        <v>45845</v>
      </c>
      <c r="OJA69" s="143" t="s">
        <v>46</v>
      </c>
      <c r="OJB69" s="199"/>
      <c r="OJC69" s="149" t="s">
        <v>125</v>
      </c>
      <c r="OJD69" s="197"/>
      <c r="OJE69" s="198"/>
      <c r="OJF69" s="143" t="s">
        <v>22</v>
      </c>
      <c r="OJG69" s="144">
        <v>8150</v>
      </c>
      <c r="OJH69" s="152">
        <v>85</v>
      </c>
      <c r="OJI69" s="153">
        <v>215</v>
      </c>
      <c r="OJJ69" s="153">
        <v>75</v>
      </c>
      <c r="OJK69" s="152">
        <v>150</v>
      </c>
      <c r="OJL69" s="154">
        <f>SUM(OJG69:OJK69)</f>
        <v>8675</v>
      </c>
      <c r="OJM69" s="152">
        <v>200</v>
      </c>
      <c r="OJN69" s="154">
        <f>SUM(OJL69:OJM69)</f>
        <v>8875</v>
      </c>
      <c r="OJO69" s="147" t="s">
        <v>99</v>
      </c>
      <c r="OJP69" s="148">
        <v>45845</v>
      </c>
      <c r="OJQ69" s="143" t="s">
        <v>46</v>
      </c>
      <c r="OJR69" s="199"/>
      <c r="OJS69" s="149" t="s">
        <v>125</v>
      </c>
      <c r="OJT69" s="197"/>
      <c r="OJU69" s="198"/>
      <c r="OJV69" s="143" t="s">
        <v>22</v>
      </c>
      <c r="OJW69" s="144">
        <v>8150</v>
      </c>
      <c r="OJX69" s="152">
        <v>85</v>
      </c>
      <c r="OJY69" s="153">
        <v>215</v>
      </c>
      <c r="OJZ69" s="153">
        <v>75</v>
      </c>
      <c r="OKA69" s="152">
        <v>150</v>
      </c>
      <c r="OKB69" s="154">
        <f>SUM(OJW69:OKA69)</f>
        <v>8675</v>
      </c>
      <c r="OKC69" s="152">
        <v>200</v>
      </c>
      <c r="OKD69" s="154">
        <f>SUM(OKB69:OKC69)</f>
        <v>8875</v>
      </c>
      <c r="OKE69" s="147" t="s">
        <v>99</v>
      </c>
      <c r="OKF69" s="148">
        <v>45845</v>
      </c>
      <c r="OKG69" s="143" t="s">
        <v>46</v>
      </c>
      <c r="OKH69" s="199"/>
      <c r="OKI69" s="149" t="s">
        <v>125</v>
      </c>
      <c r="OKJ69" s="197"/>
      <c r="OKK69" s="198"/>
      <c r="OKL69" s="143" t="s">
        <v>22</v>
      </c>
      <c r="OKM69" s="144">
        <v>8150</v>
      </c>
      <c r="OKN69" s="152">
        <v>85</v>
      </c>
      <c r="OKO69" s="153">
        <v>215</v>
      </c>
      <c r="OKP69" s="153">
        <v>75</v>
      </c>
      <c r="OKQ69" s="152">
        <v>150</v>
      </c>
      <c r="OKR69" s="154">
        <f>SUM(OKM69:OKQ69)</f>
        <v>8675</v>
      </c>
      <c r="OKS69" s="152">
        <v>200</v>
      </c>
      <c r="OKT69" s="154">
        <f>SUM(OKR69:OKS69)</f>
        <v>8875</v>
      </c>
      <c r="OKU69" s="147" t="s">
        <v>99</v>
      </c>
      <c r="OKV69" s="148">
        <v>45845</v>
      </c>
      <c r="OKW69" s="143" t="s">
        <v>46</v>
      </c>
      <c r="OKX69" s="199"/>
      <c r="OKY69" s="149" t="s">
        <v>125</v>
      </c>
      <c r="OKZ69" s="197"/>
      <c r="OLA69" s="198"/>
      <c r="OLB69" s="143" t="s">
        <v>22</v>
      </c>
      <c r="OLC69" s="144">
        <v>8150</v>
      </c>
      <c r="OLD69" s="152">
        <v>85</v>
      </c>
      <c r="OLE69" s="153">
        <v>215</v>
      </c>
      <c r="OLF69" s="153">
        <v>75</v>
      </c>
      <c r="OLG69" s="152">
        <v>150</v>
      </c>
      <c r="OLH69" s="154">
        <f>SUM(OLC69:OLG69)</f>
        <v>8675</v>
      </c>
      <c r="OLI69" s="152">
        <v>200</v>
      </c>
      <c r="OLJ69" s="154">
        <f>SUM(OLH69:OLI69)</f>
        <v>8875</v>
      </c>
      <c r="OLK69" s="147" t="s">
        <v>99</v>
      </c>
      <c r="OLL69" s="148">
        <v>45845</v>
      </c>
      <c r="OLM69" s="143" t="s">
        <v>46</v>
      </c>
      <c r="OLN69" s="199"/>
      <c r="OLO69" s="149" t="s">
        <v>125</v>
      </c>
      <c r="OLP69" s="197"/>
      <c r="OLQ69" s="198"/>
      <c r="OLR69" s="143" t="s">
        <v>22</v>
      </c>
      <c r="OLS69" s="144">
        <v>8150</v>
      </c>
      <c r="OLT69" s="152">
        <v>85</v>
      </c>
      <c r="OLU69" s="153">
        <v>215</v>
      </c>
      <c r="OLV69" s="153">
        <v>75</v>
      </c>
      <c r="OLW69" s="152">
        <v>150</v>
      </c>
      <c r="OLX69" s="154">
        <f>SUM(OLS69:OLW69)</f>
        <v>8675</v>
      </c>
      <c r="OLY69" s="152">
        <v>200</v>
      </c>
      <c r="OLZ69" s="154">
        <f>SUM(OLX69:OLY69)</f>
        <v>8875</v>
      </c>
      <c r="OMA69" s="147" t="s">
        <v>99</v>
      </c>
      <c r="OMB69" s="148">
        <v>45845</v>
      </c>
      <c r="OMC69" s="143" t="s">
        <v>46</v>
      </c>
      <c r="OMD69" s="199"/>
      <c r="OME69" s="149" t="s">
        <v>125</v>
      </c>
      <c r="OMF69" s="197"/>
      <c r="OMG69" s="198"/>
      <c r="OMH69" s="143" t="s">
        <v>22</v>
      </c>
      <c r="OMI69" s="144">
        <v>8150</v>
      </c>
      <c r="OMJ69" s="152">
        <v>85</v>
      </c>
      <c r="OMK69" s="153">
        <v>215</v>
      </c>
      <c r="OML69" s="153">
        <v>75</v>
      </c>
      <c r="OMM69" s="152">
        <v>150</v>
      </c>
      <c r="OMN69" s="154">
        <f>SUM(OMI69:OMM69)</f>
        <v>8675</v>
      </c>
      <c r="OMO69" s="152">
        <v>200</v>
      </c>
      <c r="OMP69" s="154">
        <f>SUM(OMN69:OMO69)</f>
        <v>8875</v>
      </c>
      <c r="OMQ69" s="147" t="s">
        <v>99</v>
      </c>
      <c r="OMR69" s="148">
        <v>45845</v>
      </c>
      <c r="OMS69" s="143" t="s">
        <v>46</v>
      </c>
      <c r="OMT69" s="199"/>
      <c r="OMU69" s="149" t="s">
        <v>125</v>
      </c>
      <c r="OMV69" s="197"/>
      <c r="OMW69" s="198"/>
      <c r="OMX69" s="143" t="s">
        <v>22</v>
      </c>
      <c r="OMY69" s="144">
        <v>8150</v>
      </c>
      <c r="OMZ69" s="152">
        <v>85</v>
      </c>
      <c r="ONA69" s="153">
        <v>215</v>
      </c>
      <c r="ONB69" s="153">
        <v>75</v>
      </c>
      <c r="ONC69" s="152">
        <v>150</v>
      </c>
      <c r="OND69" s="154">
        <f>SUM(OMY69:ONC69)</f>
        <v>8675</v>
      </c>
      <c r="ONE69" s="152">
        <v>200</v>
      </c>
      <c r="ONF69" s="154">
        <f>SUM(OND69:ONE69)</f>
        <v>8875</v>
      </c>
      <c r="ONG69" s="147" t="s">
        <v>99</v>
      </c>
      <c r="ONH69" s="148">
        <v>45845</v>
      </c>
      <c r="ONI69" s="143" t="s">
        <v>46</v>
      </c>
      <c r="ONJ69" s="199"/>
      <c r="ONK69" s="149" t="s">
        <v>125</v>
      </c>
      <c r="ONL69" s="197"/>
      <c r="ONM69" s="198"/>
      <c r="ONN69" s="143" t="s">
        <v>22</v>
      </c>
      <c r="ONO69" s="144">
        <v>8150</v>
      </c>
      <c r="ONP69" s="152">
        <v>85</v>
      </c>
      <c r="ONQ69" s="153">
        <v>215</v>
      </c>
      <c r="ONR69" s="153">
        <v>75</v>
      </c>
      <c r="ONS69" s="152">
        <v>150</v>
      </c>
      <c r="ONT69" s="154">
        <f>SUM(ONO69:ONS69)</f>
        <v>8675</v>
      </c>
      <c r="ONU69" s="152">
        <v>200</v>
      </c>
      <c r="ONV69" s="154">
        <f>SUM(ONT69:ONU69)</f>
        <v>8875</v>
      </c>
      <c r="ONW69" s="147" t="s">
        <v>99</v>
      </c>
      <c r="ONX69" s="148">
        <v>45845</v>
      </c>
      <c r="ONY69" s="143" t="s">
        <v>46</v>
      </c>
      <c r="ONZ69" s="199"/>
      <c r="OOA69" s="149" t="s">
        <v>125</v>
      </c>
      <c r="OOB69" s="197"/>
      <c r="OOC69" s="198"/>
      <c r="OOD69" s="143" t="s">
        <v>22</v>
      </c>
      <c r="OOE69" s="144">
        <v>8150</v>
      </c>
      <c r="OOF69" s="152">
        <v>85</v>
      </c>
      <c r="OOG69" s="153">
        <v>215</v>
      </c>
      <c r="OOH69" s="153">
        <v>75</v>
      </c>
      <c r="OOI69" s="152">
        <v>150</v>
      </c>
      <c r="OOJ69" s="154">
        <f>SUM(OOE69:OOI69)</f>
        <v>8675</v>
      </c>
      <c r="OOK69" s="152">
        <v>200</v>
      </c>
      <c r="OOL69" s="154">
        <f>SUM(OOJ69:OOK69)</f>
        <v>8875</v>
      </c>
      <c r="OOM69" s="147" t="s">
        <v>99</v>
      </c>
      <c r="OON69" s="148">
        <v>45845</v>
      </c>
      <c r="OOO69" s="143" t="s">
        <v>46</v>
      </c>
      <c r="OOP69" s="199"/>
      <c r="OOQ69" s="149" t="s">
        <v>125</v>
      </c>
      <c r="OOR69" s="197"/>
      <c r="OOS69" s="198"/>
      <c r="OOT69" s="143" t="s">
        <v>22</v>
      </c>
      <c r="OOU69" s="144">
        <v>8150</v>
      </c>
      <c r="OOV69" s="152">
        <v>85</v>
      </c>
      <c r="OOW69" s="153">
        <v>215</v>
      </c>
      <c r="OOX69" s="153">
        <v>75</v>
      </c>
      <c r="OOY69" s="152">
        <v>150</v>
      </c>
      <c r="OOZ69" s="154">
        <f>SUM(OOU69:OOY69)</f>
        <v>8675</v>
      </c>
      <c r="OPA69" s="152">
        <v>200</v>
      </c>
      <c r="OPB69" s="154">
        <f>SUM(OOZ69:OPA69)</f>
        <v>8875</v>
      </c>
      <c r="OPC69" s="147" t="s">
        <v>99</v>
      </c>
      <c r="OPD69" s="148">
        <v>45845</v>
      </c>
      <c r="OPE69" s="143" t="s">
        <v>46</v>
      </c>
      <c r="OPF69" s="199"/>
      <c r="OPG69" s="149" t="s">
        <v>125</v>
      </c>
      <c r="OPH69" s="197"/>
      <c r="OPI69" s="198"/>
      <c r="OPJ69" s="143" t="s">
        <v>22</v>
      </c>
      <c r="OPK69" s="144">
        <v>8150</v>
      </c>
      <c r="OPL69" s="152">
        <v>85</v>
      </c>
      <c r="OPM69" s="153">
        <v>215</v>
      </c>
      <c r="OPN69" s="153">
        <v>75</v>
      </c>
      <c r="OPO69" s="152">
        <v>150</v>
      </c>
      <c r="OPP69" s="154">
        <f>SUM(OPK69:OPO69)</f>
        <v>8675</v>
      </c>
      <c r="OPQ69" s="152">
        <v>200</v>
      </c>
      <c r="OPR69" s="154">
        <f>SUM(OPP69:OPQ69)</f>
        <v>8875</v>
      </c>
      <c r="OPS69" s="147" t="s">
        <v>99</v>
      </c>
      <c r="OPT69" s="148">
        <v>45845</v>
      </c>
      <c r="OPU69" s="143" t="s">
        <v>46</v>
      </c>
      <c r="OPV69" s="199"/>
      <c r="OPW69" s="149" t="s">
        <v>125</v>
      </c>
      <c r="OPX69" s="197"/>
      <c r="OPY69" s="198"/>
      <c r="OPZ69" s="143" t="s">
        <v>22</v>
      </c>
      <c r="OQA69" s="144">
        <v>8150</v>
      </c>
      <c r="OQB69" s="152">
        <v>85</v>
      </c>
      <c r="OQC69" s="153">
        <v>215</v>
      </c>
      <c r="OQD69" s="153">
        <v>75</v>
      </c>
      <c r="OQE69" s="152">
        <v>150</v>
      </c>
      <c r="OQF69" s="154">
        <f>SUM(OQA69:OQE69)</f>
        <v>8675</v>
      </c>
      <c r="OQG69" s="152">
        <v>200</v>
      </c>
      <c r="OQH69" s="154">
        <f>SUM(OQF69:OQG69)</f>
        <v>8875</v>
      </c>
      <c r="OQI69" s="147" t="s">
        <v>99</v>
      </c>
      <c r="OQJ69" s="148">
        <v>45845</v>
      </c>
      <c r="OQK69" s="143" t="s">
        <v>46</v>
      </c>
      <c r="OQL69" s="199"/>
      <c r="OQM69" s="149" t="s">
        <v>125</v>
      </c>
      <c r="OQN69" s="197"/>
      <c r="OQO69" s="198"/>
      <c r="OQP69" s="143" t="s">
        <v>22</v>
      </c>
      <c r="OQQ69" s="144">
        <v>8150</v>
      </c>
      <c r="OQR69" s="152">
        <v>85</v>
      </c>
      <c r="OQS69" s="153">
        <v>215</v>
      </c>
      <c r="OQT69" s="153">
        <v>75</v>
      </c>
      <c r="OQU69" s="152">
        <v>150</v>
      </c>
      <c r="OQV69" s="154">
        <f>SUM(OQQ69:OQU69)</f>
        <v>8675</v>
      </c>
      <c r="OQW69" s="152">
        <v>200</v>
      </c>
      <c r="OQX69" s="154">
        <f>SUM(OQV69:OQW69)</f>
        <v>8875</v>
      </c>
      <c r="OQY69" s="147" t="s">
        <v>99</v>
      </c>
      <c r="OQZ69" s="148">
        <v>45845</v>
      </c>
      <c r="ORA69" s="143" t="s">
        <v>46</v>
      </c>
      <c r="ORB69" s="199"/>
      <c r="ORC69" s="149" t="s">
        <v>125</v>
      </c>
      <c r="ORD69" s="197"/>
      <c r="ORE69" s="198"/>
      <c r="ORF69" s="143" t="s">
        <v>22</v>
      </c>
      <c r="ORG69" s="144">
        <v>8150</v>
      </c>
      <c r="ORH69" s="152">
        <v>85</v>
      </c>
      <c r="ORI69" s="153">
        <v>215</v>
      </c>
      <c r="ORJ69" s="153">
        <v>75</v>
      </c>
      <c r="ORK69" s="152">
        <v>150</v>
      </c>
      <c r="ORL69" s="154">
        <f>SUM(ORG69:ORK69)</f>
        <v>8675</v>
      </c>
      <c r="ORM69" s="152">
        <v>200</v>
      </c>
      <c r="ORN69" s="154">
        <f>SUM(ORL69:ORM69)</f>
        <v>8875</v>
      </c>
      <c r="ORO69" s="147" t="s">
        <v>99</v>
      </c>
      <c r="ORP69" s="148">
        <v>45845</v>
      </c>
      <c r="ORQ69" s="143" t="s">
        <v>46</v>
      </c>
      <c r="ORR69" s="199"/>
      <c r="ORS69" s="149" t="s">
        <v>125</v>
      </c>
      <c r="ORT69" s="197"/>
      <c r="ORU69" s="198"/>
      <c r="ORV69" s="143" t="s">
        <v>22</v>
      </c>
      <c r="ORW69" s="144">
        <v>8150</v>
      </c>
      <c r="ORX69" s="152">
        <v>85</v>
      </c>
      <c r="ORY69" s="153">
        <v>215</v>
      </c>
      <c r="ORZ69" s="153">
        <v>75</v>
      </c>
      <c r="OSA69" s="152">
        <v>150</v>
      </c>
      <c r="OSB69" s="154">
        <f>SUM(ORW69:OSA69)</f>
        <v>8675</v>
      </c>
      <c r="OSC69" s="152">
        <v>200</v>
      </c>
      <c r="OSD69" s="154">
        <f>SUM(OSB69:OSC69)</f>
        <v>8875</v>
      </c>
      <c r="OSE69" s="147" t="s">
        <v>99</v>
      </c>
      <c r="OSF69" s="148">
        <v>45845</v>
      </c>
      <c r="OSG69" s="143" t="s">
        <v>46</v>
      </c>
      <c r="OSH69" s="199"/>
      <c r="OSI69" s="149" t="s">
        <v>125</v>
      </c>
      <c r="OSJ69" s="197"/>
      <c r="OSK69" s="198"/>
      <c r="OSL69" s="143" t="s">
        <v>22</v>
      </c>
      <c r="OSM69" s="144">
        <v>8150</v>
      </c>
      <c r="OSN69" s="152">
        <v>85</v>
      </c>
      <c r="OSO69" s="153">
        <v>215</v>
      </c>
      <c r="OSP69" s="153">
        <v>75</v>
      </c>
      <c r="OSQ69" s="152">
        <v>150</v>
      </c>
      <c r="OSR69" s="154">
        <f>SUM(OSM69:OSQ69)</f>
        <v>8675</v>
      </c>
      <c r="OSS69" s="152">
        <v>200</v>
      </c>
      <c r="OST69" s="154">
        <f>SUM(OSR69:OSS69)</f>
        <v>8875</v>
      </c>
      <c r="OSU69" s="147" t="s">
        <v>99</v>
      </c>
      <c r="OSV69" s="148">
        <v>45845</v>
      </c>
      <c r="OSW69" s="143" t="s">
        <v>46</v>
      </c>
      <c r="OSX69" s="199"/>
      <c r="OSY69" s="149" t="s">
        <v>125</v>
      </c>
      <c r="OSZ69" s="197"/>
      <c r="OTA69" s="198"/>
      <c r="OTB69" s="143" t="s">
        <v>22</v>
      </c>
      <c r="OTC69" s="144">
        <v>8150</v>
      </c>
      <c r="OTD69" s="152">
        <v>85</v>
      </c>
      <c r="OTE69" s="153">
        <v>215</v>
      </c>
      <c r="OTF69" s="153">
        <v>75</v>
      </c>
      <c r="OTG69" s="152">
        <v>150</v>
      </c>
      <c r="OTH69" s="154">
        <f>SUM(OTC69:OTG69)</f>
        <v>8675</v>
      </c>
      <c r="OTI69" s="152">
        <v>200</v>
      </c>
      <c r="OTJ69" s="154">
        <f>SUM(OTH69:OTI69)</f>
        <v>8875</v>
      </c>
      <c r="OTK69" s="147" t="s">
        <v>99</v>
      </c>
      <c r="OTL69" s="148">
        <v>45845</v>
      </c>
      <c r="OTM69" s="143" t="s">
        <v>46</v>
      </c>
      <c r="OTN69" s="199"/>
      <c r="OTO69" s="149" t="s">
        <v>125</v>
      </c>
      <c r="OTP69" s="197"/>
      <c r="OTQ69" s="198"/>
      <c r="OTR69" s="143" t="s">
        <v>22</v>
      </c>
      <c r="OTS69" s="144">
        <v>8150</v>
      </c>
      <c r="OTT69" s="152">
        <v>85</v>
      </c>
      <c r="OTU69" s="153">
        <v>215</v>
      </c>
      <c r="OTV69" s="153">
        <v>75</v>
      </c>
      <c r="OTW69" s="152">
        <v>150</v>
      </c>
      <c r="OTX69" s="154">
        <f>SUM(OTS69:OTW69)</f>
        <v>8675</v>
      </c>
      <c r="OTY69" s="152">
        <v>200</v>
      </c>
      <c r="OTZ69" s="154">
        <f>SUM(OTX69:OTY69)</f>
        <v>8875</v>
      </c>
      <c r="OUA69" s="147" t="s">
        <v>99</v>
      </c>
      <c r="OUB69" s="148">
        <v>45845</v>
      </c>
      <c r="OUC69" s="143" t="s">
        <v>46</v>
      </c>
      <c r="OUD69" s="199"/>
      <c r="OUE69" s="149" t="s">
        <v>125</v>
      </c>
      <c r="OUF69" s="197"/>
      <c r="OUG69" s="198"/>
      <c r="OUH69" s="143" t="s">
        <v>22</v>
      </c>
      <c r="OUI69" s="144">
        <v>8150</v>
      </c>
      <c r="OUJ69" s="152">
        <v>85</v>
      </c>
      <c r="OUK69" s="153">
        <v>215</v>
      </c>
      <c r="OUL69" s="153">
        <v>75</v>
      </c>
      <c r="OUM69" s="152">
        <v>150</v>
      </c>
      <c r="OUN69" s="154">
        <f>SUM(OUI69:OUM69)</f>
        <v>8675</v>
      </c>
      <c r="OUO69" s="152">
        <v>200</v>
      </c>
      <c r="OUP69" s="154">
        <f>SUM(OUN69:OUO69)</f>
        <v>8875</v>
      </c>
      <c r="OUQ69" s="147" t="s">
        <v>99</v>
      </c>
      <c r="OUR69" s="148">
        <v>45845</v>
      </c>
      <c r="OUS69" s="143" t="s">
        <v>46</v>
      </c>
      <c r="OUT69" s="199"/>
      <c r="OUU69" s="149" t="s">
        <v>125</v>
      </c>
      <c r="OUV69" s="197"/>
      <c r="OUW69" s="198"/>
      <c r="OUX69" s="143" t="s">
        <v>22</v>
      </c>
      <c r="OUY69" s="144">
        <v>8150</v>
      </c>
      <c r="OUZ69" s="152">
        <v>85</v>
      </c>
      <c r="OVA69" s="153">
        <v>215</v>
      </c>
      <c r="OVB69" s="153">
        <v>75</v>
      </c>
      <c r="OVC69" s="152">
        <v>150</v>
      </c>
      <c r="OVD69" s="154">
        <f>SUM(OUY69:OVC69)</f>
        <v>8675</v>
      </c>
      <c r="OVE69" s="152">
        <v>200</v>
      </c>
      <c r="OVF69" s="154">
        <f>SUM(OVD69:OVE69)</f>
        <v>8875</v>
      </c>
      <c r="OVG69" s="147" t="s">
        <v>99</v>
      </c>
      <c r="OVH69" s="148">
        <v>45845</v>
      </c>
      <c r="OVI69" s="143" t="s">
        <v>46</v>
      </c>
      <c r="OVJ69" s="199"/>
      <c r="OVK69" s="149" t="s">
        <v>125</v>
      </c>
      <c r="OVL69" s="197"/>
      <c r="OVM69" s="198"/>
      <c r="OVN69" s="143" t="s">
        <v>22</v>
      </c>
      <c r="OVO69" s="144">
        <v>8150</v>
      </c>
      <c r="OVP69" s="152">
        <v>85</v>
      </c>
      <c r="OVQ69" s="153">
        <v>215</v>
      </c>
      <c r="OVR69" s="153">
        <v>75</v>
      </c>
      <c r="OVS69" s="152">
        <v>150</v>
      </c>
      <c r="OVT69" s="154">
        <f>SUM(OVO69:OVS69)</f>
        <v>8675</v>
      </c>
      <c r="OVU69" s="152">
        <v>200</v>
      </c>
      <c r="OVV69" s="154">
        <f>SUM(OVT69:OVU69)</f>
        <v>8875</v>
      </c>
      <c r="OVW69" s="147" t="s">
        <v>99</v>
      </c>
      <c r="OVX69" s="148">
        <v>45845</v>
      </c>
      <c r="OVY69" s="143" t="s">
        <v>46</v>
      </c>
      <c r="OVZ69" s="199"/>
      <c r="OWA69" s="149" t="s">
        <v>125</v>
      </c>
      <c r="OWB69" s="197"/>
      <c r="OWC69" s="198"/>
      <c r="OWD69" s="143" t="s">
        <v>22</v>
      </c>
      <c r="OWE69" s="144">
        <v>8150</v>
      </c>
      <c r="OWF69" s="152">
        <v>85</v>
      </c>
      <c r="OWG69" s="153">
        <v>215</v>
      </c>
      <c r="OWH69" s="153">
        <v>75</v>
      </c>
      <c r="OWI69" s="152">
        <v>150</v>
      </c>
      <c r="OWJ69" s="154">
        <f>SUM(OWE69:OWI69)</f>
        <v>8675</v>
      </c>
      <c r="OWK69" s="152">
        <v>200</v>
      </c>
      <c r="OWL69" s="154">
        <f>SUM(OWJ69:OWK69)</f>
        <v>8875</v>
      </c>
      <c r="OWM69" s="147" t="s">
        <v>99</v>
      </c>
      <c r="OWN69" s="148">
        <v>45845</v>
      </c>
      <c r="OWO69" s="143" t="s">
        <v>46</v>
      </c>
      <c r="OWP69" s="199"/>
      <c r="OWQ69" s="149" t="s">
        <v>125</v>
      </c>
      <c r="OWR69" s="197"/>
      <c r="OWS69" s="198"/>
      <c r="OWT69" s="143" t="s">
        <v>22</v>
      </c>
      <c r="OWU69" s="144">
        <v>8150</v>
      </c>
      <c r="OWV69" s="152">
        <v>85</v>
      </c>
      <c r="OWW69" s="153">
        <v>215</v>
      </c>
      <c r="OWX69" s="153">
        <v>75</v>
      </c>
      <c r="OWY69" s="152">
        <v>150</v>
      </c>
      <c r="OWZ69" s="154">
        <f>SUM(OWU69:OWY69)</f>
        <v>8675</v>
      </c>
      <c r="OXA69" s="152">
        <v>200</v>
      </c>
      <c r="OXB69" s="154">
        <f>SUM(OWZ69:OXA69)</f>
        <v>8875</v>
      </c>
      <c r="OXC69" s="147" t="s">
        <v>99</v>
      </c>
      <c r="OXD69" s="148">
        <v>45845</v>
      </c>
      <c r="OXE69" s="143" t="s">
        <v>46</v>
      </c>
      <c r="OXF69" s="199"/>
      <c r="OXG69" s="149" t="s">
        <v>125</v>
      </c>
      <c r="OXH69" s="197"/>
      <c r="OXI69" s="198"/>
      <c r="OXJ69" s="143" t="s">
        <v>22</v>
      </c>
      <c r="OXK69" s="144">
        <v>8150</v>
      </c>
      <c r="OXL69" s="152">
        <v>85</v>
      </c>
      <c r="OXM69" s="153">
        <v>215</v>
      </c>
      <c r="OXN69" s="153">
        <v>75</v>
      </c>
      <c r="OXO69" s="152">
        <v>150</v>
      </c>
      <c r="OXP69" s="154">
        <f>SUM(OXK69:OXO69)</f>
        <v>8675</v>
      </c>
      <c r="OXQ69" s="152">
        <v>200</v>
      </c>
      <c r="OXR69" s="154">
        <f>SUM(OXP69:OXQ69)</f>
        <v>8875</v>
      </c>
      <c r="OXS69" s="147" t="s">
        <v>99</v>
      </c>
      <c r="OXT69" s="148">
        <v>45845</v>
      </c>
      <c r="OXU69" s="143" t="s">
        <v>46</v>
      </c>
      <c r="OXV69" s="199"/>
      <c r="OXW69" s="149" t="s">
        <v>125</v>
      </c>
      <c r="OXX69" s="197"/>
      <c r="OXY69" s="198"/>
      <c r="OXZ69" s="143" t="s">
        <v>22</v>
      </c>
      <c r="OYA69" s="144">
        <v>8150</v>
      </c>
      <c r="OYB69" s="152">
        <v>85</v>
      </c>
      <c r="OYC69" s="153">
        <v>215</v>
      </c>
      <c r="OYD69" s="153">
        <v>75</v>
      </c>
      <c r="OYE69" s="152">
        <v>150</v>
      </c>
      <c r="OYF69" s="154">
        <f>SUM(OYA69:OYE69)</f>
        <v>8675</v>
      </c>
      <c r="OYG69" s="152">
        <v>200</v>
      </c>
      <c r="OYH69" s="154">
        <f>SUM(OYF69:OYG69)</f>
        <v>8875</v>
      </c>
      <c r="OYI69" s="147" t="s">
        <v>99</v>
      </c>
      <c r="OYJ69" s="148">
        <v>45845</v>
      </c>
      <c r="OYK69" s="143" t="s">
        <v>46</v>
      </c>
      <c r="OYL69" s="199"/>
      <c r="OYM69" s="149" t="s">
        <v>125</v>
      </c>
      <c r="OYN69" s="197"/>
      <c r="OYO69" s="198"/>
      <c r="OYP69" s="143" t="s">
        <v>22</v>
      </c>
      <c r="OYQ69" s="144">
        <v>8150</v>
      </c>
      <c r="OYR69" s="152">
        <v>85</v>
      </c>
      <c r="OYS69" s="153">
        <v>215</v>
      </c>
      <c r="OYT69" s="153">
        <v>75</v>
      </c>
      <c r="OYU69" s="152">
        <v>150</v>
      </c>
      <c r="OYV69" s="154">
        <f>SUM(OYQ69:OYU69)</f>
        <v>8675</v>
      </c>
      <c r="OYW69" s="152">
        <v>200</v>
      </c>
      <c r="OYX69" s="154">
        <f>SUM(OYV69:OYW69)</f>
        <v>8875</v>
      </c>
      <c r="OYY69" s="147" t="s">
        <v>99</v>
      </c>
      <c r="OYZ69" s="148">
        <v>45845</v>
      </c>
      <c r="OZA69" s="143" t="s">
        <v>46</v>
      </c>
      <c r="OZB69" s="199"/>
      <c r="OZC69" s="149" t="s">
        <v>125</v>
      </c>
      <c r="OZD69" s="197"/>
      <c r="OZE69" s="198"/>
      <c r="OZF69" s="143" t="s">
        <v>22</v>
      </c>
      <c r="OZG69" s="144">
        <v>8150</v>
      </c>
      <c r="OZH69" s="152">
        <v>85</v>
      </c>
      <c r="OZI69" s="153">
        <v>215</v>
      </c>
      <c r="OZJ69" s="153">
        <v>75</v>
      </c>
      <c r="OZK69" s="152">
        <v>150</v>
      </c>
      <c r="OZL69" s="154">
        <f>SUM(OZG69:OZK69)</f>
        <v>8675</v>
      </c>
      <c r="OZM69" s="152">
        <v>200</v>
      </c>
      <c r="OZN69" s="154">
        <f>SUM(OZL69:OZM69)</f>
        <v>8875</v>
      </c>
      <c r="OZO69" s="147" t="s">
        <v>99</v>
      </c>
      <c r="OZP69" s="148">
        <v>45845</v>
      </c>
      <c r="OZQ69" s="143" t="s">
        <v>46</v>
      </c>
      <c r="OZR69" s="199"/>
      <c r="OZS69" s="149" t="s">
        <v>125</v>
      </c>
      <c r="OZT69" s="197"/>
      <c r="OZU69" s="198"/>
      <c r="OZV69" s="143" t="s">
        <v>22</v>
      </c>
      <c r="OZW69" s="144">
        <v>8150</v>
      </c>
      <c r="OZX69" s="152">
        <v>85</v>
      </c>
      <c r="OZY69" s="153">
        <v>215</v>
      </c>
      <c r="OZZ69" s="153">
        <v>75</v>
      </c>
      <c r="PAA69" s="152">
        <v>150</v>
      </c>
      <c r="PAB69" s="154">
        <f>SUM(OZW69:PAA69)</f>
        <v>8675</v>
      </c>
      <c r="PAC69" s="152">
        <v>200</v>
      </c>
      <c r="PAD69" s="154">
        <f>SUM(PAB69:PAC69)</f>
        <v>8875</v>
      </c>
      <c r="PAE69" s="147" t="s">
        <v>99</v>
      </c>
      <c r="PAF69" s="148">
        <v>45845</v>
      </c>
      <c r="PAG69" s="143" t="s">
        <v>46</v>
      </c>
      <c r="PAH69" s="199"/>
      <c r="PAI69" s="149" t="s">
        <v>125</v>
      </c>
      <c r="PAJ69" s="197"/>
      <c r="PAK69" s="198"/>
      <c r="PAL69" s="143" t="s">
        <v>22</v>
      </c>
      <c r="PAM69" s="144">
        <v>8150</v>
      </c>
      <c r="PAN69" s="152">
        <v>85</v>
      </c>
      <c r="PAO69" s="153">
        <v>215</v>
      </c>
      <c r="PAP69" s="153">
        <v>75</v>
      </c>
      <c r="PAQ69" s="152">
        <v>150</v>
      </c>
      <c r="PAR69" s="154">
        <f>SUM(PAM69:PAQ69)</f>
        <v>8675</v>
      </c>
      <c r="PAS69" s="152">
        <v>200</v>
      </c>
      <c r="PAT69" s="154">
        <f>SUM(PAR69:PAS69)</f>
        <v>8875</v>
      </c>
      <c r="PAU69" s="147" t="s">
        <v>99</v>
      </c>
      <c r="PAV69" s="148">
        <v>45845</v>
      </c>
      <c r="PAW69" s="143" t="s">
        <v>46</v>
      </c>
      <c r="PAX69" s="199"/>
      <c r="PAY69" s="149" t="s">
        <v>125</v>
      </c>
      <c r="PAZ69" s="197"/>
      <c r="PBA69" s="198"/>
      <c r="PBB69" s="143" t="s">
        <v>22</v>
      </c>
      <c r="PBC69" s="144">
        <v>8150</v>
      </c>
      <c r="PBD69" s="152">
        <v>85</v>
      </c>
      <c r="PBE69" s="153">
        <v>215</v>
      </c>
      <c r="PBF69" s="153">
        <v>75</v>
      </c>
      <c r="PBG69" s="152">
        <v>150</v>
      </c>
      <c r="PBH69" s="154">
        <f>SUM(PBC69:PBG69)</f>
        <v>8675</v>
      </c>
      <c r="PBI69" s="152">
        <v>200</v>
      </c>
      <c r="PBJ69" s="154">
        <f>SUM(PBH69:PBI69)</f>
        <v>8875</v>
      </c>
      <c r="PBK69" s="147" t="s">
        <v>99</v>
      </c>
      <c r="PBL69" s="148">
        <v>45845</v>
      </c>
      <c r="PBM69" s="143" t="s">
        <v>46</v>
      </c>
      <c r="PBN69" s="199"/>
      <c r="PBO69" s="149" t="s">
        <v>125</v>
      </c>
      <c r="PBP69" s="197"/>
      <c r="PBQ69" s="198"/>
      <c r="PBR69" s="143" t="s">
        <v>22</v>
      </c>
      <c r="PBS69" s="144">
        <v>8150</v>
      </c>
      <c r="PBT69" s="152">
        <v>85</v>
      </c>
      <c r="PBU69" s="153">
        <v>215</v>
      </c>
      <c r="PBV69" s="153">
        <v>75</v>
      </c>
      <c r="PBW69" s="152">
        <v>150</v>
      </c>
      <c r="PBX69" s="154">
        <f>SUM(PBS69:PBW69)</f>
        <v>8675</v>
      </c>
      <c r="PBY69" s="152">
        <v>200</v>
      </c>
      <c r="PBZ69" s="154">
        <f>SUM(PBX69:PBY69)</f>
        <v>8875</v>
      </c>
      <c r="PCA69" s="147" t="s">
        <v>99</v>
      </c>
      <c r="PCB69" s="148">
        <v>45845</v>
      </c>
      <c r="PCC69" s="143" t="s">
        <v>46</v>
      </c>
      <c r="PCD69" s="199"/>
      <c r="PCE69" s="149" t="s">
        <v>125</v>
      </c>
      <c r="PCF69" s="197"/>
      <c r="PCG69" s="198"/>
      <c r="PCH69" s="143" t="s">
        <v>22</v>
      </c>
      <c r="PCI69" s="144">
        <v>8150</v>
      </c>
      <c r="PCJ69" s="152">
        <v>85</v>
      </c>
      <c r="PCK69" s="153">
        <v>215</v>
      </c>
      <c r="PCL69" s="153">
        <v>75</v>
      </c>
      <c r="PCM69" s="152">
        <v>150</v>
      </c>
      <c r="PCN69" s="154">
        <f>SUM(PCI69:PCM69)</f>
        <v>8675</v>
      </c>
      <c r="PCO69" s="152">
        <v>200</v>
      </c>
      <c r="PCP69" s="154">
        <f>SUM(PCN69:PCO69)</f>
        <v>8875</v>
      </c>
      <c r="PCQ69" s="147" t="s">
        <v>99</v>
      </c>
      <c r="PCR69" s="148">
        <v>45845</v>
      </c>
      <c r="PCS69" s="143" t="s">
        <v>46</v>
      </c>
      <c r="PCT69" s="199"/>
      <c r="PCU69" s="149" t="s">
        <v>125</v>
      </c>
      <c r="PCV69" s="197"/>
      <c r="PCW69" s="198"/>
      <c r="PCX69" s="143" t="s">
        <v>22</v>
      </c>
      <c r="PCY69" s="144">
        <v>8150</v>
      </c>
      <c r="PCZ69" s="152">
        <v>85</v>
      </c>
      <c r="PDA69" s="153">
        <v>215</v>
      </c>
      <c r="PDB69" s="153">
        <v>75</v>
      </c>
      <c r="PDC69" s="152">
        <v>150</v>
      </c>
      <c r="PDD69" s="154">
        <f>SUM(PCY69:PDC69)</f>
        <v>8675</v>
      </c>
      <c r="PDE69" s="152">
        <v>200</v>
      </c>
      <c r="PDF69" s="154">
        <f>SUM(PDD69:PDE69)</f>
        <v>8875</v>
      </c>
      <c r="PDG69" s="147" t="s">
        <v>99</v>
      </c>
      <c r="PDH69" s="148">
        <v>45845</v>
      </c>
      <c r="PDI69" s="143" t="s">
        <v>46</v>
      </c>
      <c r="PDJ69" s="199"/>
      <c r="PDK69" s="149" t="s">
        <v>125</v>
      </c>
      <c r="PDL69" s="197"/>
      <c r="PDM69" s="198"/>
      <c r="PDN69" s="143" t="s">
        <v>22</v>
      </c>
      <c r="PDO69" s="144">
        <v>8150</v>
      </c>
      <c r="PDP69" s="152">
        <v>85</v>
      </c>
      <c r="PDQ69" s="153">
        <v>215</v>
      </c>
      <c r="PDR69" s="153">
        <v>75</v>
      </c>
      <c r="PDS69" s="152">
        <v>150</v>
      </c>
      <c r="PDT69" s="154">
        <f>SUM(PDO69:PDS69)</f>
        <v>8675</v>
      </c>
      <c r="PDU69" s="152">
        <v>200</v>
      </c>
      <c r="PDV69" s="154">
        <f>SUM(PDT69:PDU69)</f>
        <v>8875</v>
      </c>
      <c r="PDW69" s="147" t="s">
        <v>99</v>
      </c>
      <c r="PDX69" s="148">
        <v>45845</v>
      </c>
      <c r="PDY69" s="143" t="s">
        <v>46</v>
      </c>
      <c r="PDZ69" s="199"/>
      <c r="PEA69" s="149" t="s">
        <v>125</v>
      </c>
      <c r="PEB69" s="197"/>
      <c r="PEC69" s="198"/>
      <c r="PED69" s="143" t="s">
        <v>22</v>
      </c>
      <c r="PEE69" s="144">
        <v>8150</v>
      </c>
      <c r="PEF69" s="152">
        <v>85</v>
      </c>
      <c r="PEG69" s="153">
        <v>215</v>
      </c>
      <c r="PEH69" s="153">
        <v>75</v>
      </c>
      <c r="PEI69" s="152">
        <v>150</v>
      </c>
      <c r="PEJ69" s="154">
        <f>SUM(PEE69:PEI69)</f>
        <v>8675</v>
      </c>
      <c r="PEK69" s="152">
        <v>200</v>
      </c>
      <c r="PEL69" s="154">
        <f>SUM(PEJ69:PEK69)</f>
        <v>8875</v>
      </c>
      <c r="PEM69" s="147" t="s">
        <v>99</v>
      </c>
      <c r="PEN69" s="148">
        <v>45845</v>
      </c>
      <c r="PEO69" s="143" t="s">
        <v>46</v>
      </c>
      <c r="PEP69" s="199"/>
      <c r="PEQ69" s="149" t="s">
        <v>125</v>
      </c>
      <c r="PER69" s="197"/>
      <c r="PES69" s="198"/>
      <c r="PET69" s="143" t="s">
        <v>22</v>
      </c>
      <c r="PEU69" s="144">
        <v>8150</v>
      </c>
      <c r="PEV69" s="152">
        <v>85</v>
      </c>
      <c r="PEW69" s="153">
        <v>215</v>
      </c>
      <c r="PEX69" s="153">
        <v>75</v>
      </c>
      <c r="PEY69" s="152">
        <v>150</v>
      </c>
      <c r="PEZ69" s="154">
        <f>SUM(PEU69:PEY69)</f>
        <v>8675</v>
      </c>
      <c r="PFA69" s="152">
        <v>200</v>
      </c>
      <c r="PFB69" s="154">
        <f>SUM(PEZ69:PFA69)</f>
        <v>8875</v>
      </c>
      <c r="PFC69" s="147" t="s">
        <v>99</v>
      </c>
      <c r="PFD69" s="148">
        <v>45845</v>
      </c>
      <c r="PFE69" s="143" t="s">
        <v>46</v>
      </c>
      <c r="PFF69" s="199"/>
      <c r="PFG69" s="149" t="s">
        <v>125</v>
      </c>
      <c r="PFH69" s="197"/>
      <c r="PFI69" s="198"/>
      <c r="PFJ69" s="143" t="s">
        <v>22</v>
      </c>
      <c r="PFK69" s="144">
        <v>8150</v>
      </c>
      <c r="PFL69" s="152">
        <v>85</v>
      </c>
      <c r="PFM69" s="153">
        <v>215</v>
      </c>
      <c r="PFN69" s="153">
        <v>75</v>
      </c>
      <c r="PFO69" s="152">
        <v>150</v>
      </c>
      <c r="PFP69" s="154">
        <f>SUM(PFK69:PFO69)</f>
        <v>8675</v>
      </c>
      <c r="PFQ69" s="152">
        <v>200</v>
      </c>
      <c r="PFR69" s="154">
        <f>SUM(PFP69:PFQ69)</f>
        <v>8875</v>
      </c>
      <c r="PFS69" s="147" t="s">
        <v>99</v>
      </c>
      <c r="PFT69" s="148">
        <v>45845</v>
      </c>
      <c r="PFU69" s="143" t="s">
        <v>46</v>
      </c>
      <c r="PFV69" s="199"/>
      <c r="PFW69" s="149" t="s">
        <v>125</v>
      </c>
      <c r="PFX69" s="197"/>
      <c r="PFY69" s="198"/>
      <c r="PFZ69" s="143" t="s">
        <v>22</v>
      </c>
      <c r="PGA69" s="144">
        <v>8150</v>
      </c>
      <c r="PGB69" s="152">
        <v>85</v>
      </c>
      <c r="PGC69" s="153">
        <v>215</v>
      </c>
      <c r="PGD69" s="153">
        <v>75</v>
      </c>
      <c r="PGE69" s="152">
        <v>150</v>
      </c>
      <c r="PGF69" s="154">
        <f>SUM(PGA69:PGE69)</f>
        <v>8675</v>
      </c>
      <c r="PGG69" s="152">
        <v>200</v>
      </c>
      <c r="PGH69" s="154">
        <f>SUM(PGF69:PGG69)</f>
        <v>8875</v>
      </c>
      <c r="PGI69" s="147" t="s">
        <v>99</v>
      </c>
      <c r="PGJ69" s="148">
        <v>45845</v>
      </c>
      <c r="PGK69" s="143" t="s">
        <v>46</v>
      </c>
      <c r="PGL69" s="199"/>
      <c r="PGM69" s="149" t="s">
        <v>125</v>
      </c>
      <c r="PGN69" s="197"/>
      <c r="PGO69" s="198"/>
      <c r="PGP69" s="143" t="s">
        <v>22</v>
      </c>
      <c r="PGQ69" s="144">
        <v>8150</v>
      </c>
      <c r="PGR69" s="152">
        <v>85</v>
      </c>
      <c r="PGS69" s="153">
        <v>215</v>
      </c>
      <c r="PGT69" s="153">
        <v>75</v>
      </c>
      <c r="PGU69" s="152">
        <v>150</v>
      </c>
      <c r="PGV69" s="154">
        <f>SUM(PGQ69:PGU69)</f>
        <v>8675</v>
      </c>
      <c r="PGW69" s="152">
        <v>200</v>
      </c>
      <c r="PGX69" s="154">
        <f>SUM(PGV69:PGW69)</f>
        <v>8875</v>
      </c>
      <c r="PGY69" s="147" t="s">
        <v>99</v>
      </c>
      <c r="PGZ69" s="148">
        <v>45845</v>
      </c>
      <c r="PHA69" s="143" t="s">
        <v>46</v>
      </c>
      <c r="PHB69" s="199"/>
      <c r="PHC69" s="149" t="s">
        <v>125</v>
      </c>
      <c r="PHD69" s="197"/>
      <c r="PHE69" s="198"/>
      <c r="PHF69" s="143" t="s">
        <v>22</v>
      </c>
      <c r="PHG69" s="144">
        <v>8150</v>
      </c>
      <c r="PHH69" s="152">
        <v>85</v>
      </c>
      <c r="PHI69" s="153">
        <v>215</v>
      </c>
      <c r="PHJ69" s="153">
        <v>75</v>
      </c>
      <c r="PHK69" s="152">
        <v>150</v>
      </c>
      <c r="PHL69" s="154">
        <f>SUM(PHG69:PHK69)</f>
        <v>8675</v>
      </c>
      <c r="PHM69" s="152">
        <v>200</v>
      </c>
      <c r="PHN69" s="154">
        <f>SUM(PHL69:PHM69)</f>
        <v>8875</v>
      </c>
      <c r="PHO69" s="147" t="s">
        <v>99</v>
      </c>
      <c r="PHP69" s="148">
        <v>45845</v>
      </c>
      <c r="PHQ69" s="143" t="s">
        <v>46</v>
      </c>
      <c r="PHR69" s="199"/>
      <c r="PHS69" s="149" t="s">
        <v>125</v>
      </c>
      <c r="PHT69" s="197"/>
      <c r="PHU69" s="198"/>
      <c r="PHV69" s="143" t="s">
        <v>22</v>
      </c>
      <c r="PHW69" s="144">
        <v>8150</v>
      </c>
      <c r="PHX69" s="152">
        <v>85</v>
      </c>
      <c r="PHY69" s="153">
        <v>215</v>
      </c>
      <c r="PHZ69" s="153">
        <v>75</v>
      </c>
      <c r="PIA69" s="152">
        <v>150</v>
      </c>
      <c r="PIB69" s="154">
        <f>SUM(PHW69:PIA69)</f>
        <v>8675</v>
      </c>
      <c r="PIC69" s="152">
        <v>200</v>
      </c>
      <c r="PID69" s="154">
        <f>SUM(PIB69:PIC69)</f>
        <v>8875</v>
      </c>
      <c r="PIE69" s="147" t="s">
        <v>99</v>
      </c>
      <c r="PIF69" s="148">
        <v>45845</v>
      </c>
      <c r="PIG69" s="143" t="s">
        <v>46</v>
      </c>
      <c r="PIH69" s="199"/>
      <c r="PII69" s="149" t="s">
        <v>125</v>
      </c>
      <c r="PIJ69" s="197"/>
      <c r="PIK69" s="198"/>
      <c r="PIL69" s="143" t="s">
        <v>22</v>
      </c>
      <c r="PIM69" s="144">
        <v>8150</v>
      </c>
      <c r="PIN69" s="152">
        <v>85</v>
      </c>
      <c r="PIO69" s="153">
        <v>215</v>
      </c>
      <c r="PIP69" s="153">
        <v>75</v>
      </c>
      <c r="PIQ69" s="152">
        <v>150</v>
      </c>
      <c r="PIR69" s="154">
        <f>SUM(PIM69:PIQ69)</f>
        <v>8675</v>
      </c>
      <c r="PIS69" s="152">
        <v>200</v>
      </c>
      <c r="PIT69" s="154">
        <f>SUM(PIR69:PIS69)</f>
        <v>8875</v>
      </c>
      <c r="PIU69" s="147" t="s">
        <v>99</v>
      </c>
      <c r="PIV69" s="148">
        <v>45845</v>
      </c>
      <c r="PIW69" s="143" t="s">
        <v>46</v>
      </c>
      <c r="PIX69" s="199"/>
      <c r="PIY69" s="149" t="s">
        <v>125</v>
      </c>
      <c r="PIZ69" s="197"/>
      <c r="PJA69" s="198"/>
      <c r="PJB69" s="143" t="s">
        <v>22</v>
      </c>
      <c r="PJC69" s="144">
        <v>8150</v>
      </c>
      <c r="PJD69" s="152">
        <v>85</v>
      </c>
      <c r="PJE69" s="153">
        <v>215</v>
      </c>
      <c r="PJF69" s="153">
        <v>75</v>
      </c>
      <c r="PJG69" s="152">
        <v>150</v>
      </c>
      <c r="PJH69" s="154">
        <f>SUM(PJC69:PJG69)</f>
        <v>8675</v>
      </c>
      <c r="PJI69" s="152">
        <v>200</v>
      </c>
      <c r="PJJ69" s="154">
        <f>SUM(PJH69:PJI69)</f>
        <v>8875</v>
      </c>
      <c r="PJK69" s="147" t="s">
        <v>99</v>
      </c>
      <c r="PJL69" s="148">
        <v>45845</v>
      </c>
      <c r="PJM69" s="143" t="s">
        <v>46</v>
      </c>
      <c r="PJN69" s="199"/>
      <c r="PJO69" s="149" t="s">
        <v>125</v>
      </c>
      <c r="PJP69" s="197"/>
      <c r="PJQ69" s="198"/>
      <c r="PJR69" s="143" t="s">
        <v>22</v>
      </c>
      <c r="PJS69" s="144">
        <v>8150</v>
      </c>
      <c r="PJT69" s="152">
        <v>85</v>
      </c>
      <c r="PJU69" s="153">
        <v>215</v>
      </c>
      <c r="PJV69" s="153">
        <v>75</v>
      </c>
      <c r="PJW69" s="152">
        <v>150</v>
      </c>
      <c r="PJX69" s="154">
        <f>SUM(PJS69:PJW69)</f>
        <v>8675</v>
      </c>
      <c r="PJY69" s="152">
        <v>200</v>
      </c>
      <c r="PJZ69" s="154">
        <f>SUM(PJX69:PJY69)</f>
        <v>8875</v>
      </c>
      <c r="PKA69" s="147" t="s">
        <v>99</v>
      </c>
      <c r="PKB69" s="148">
        <v>45845</v>
      </c>
      <c r="PKC69" s="143" t="s">
        <v>46</v>
      </c>
      <c r="PKD69" s="199"/>
      <c r="PKE69" s="149" t="s">
        <v>125</v>
      </c>
      <c r="PKF69" s="197"/>
      <c r="PKG69" s="198"/>
      <c r="PKH69" s="143" t="s">
        <v>22</v>
      </c>
      <c r="PKI69" s="144">
        <v>8150</v>
      </c>
      <c r="PKJ69" s="152">
        <v>85</v>
      </c>
      <c r="PKK69" s="153">
        <v>215</v>
      </c>
      <c r="PKL69" s="153">
        <v>75</v>
      </c>
      <c r="PKM69" s="152">
        <v>150</v>
      </c>
      <c r="PKN69" s="154">
        <f>SUM(PKI69:PKM69)</f>
        <v>8675</v>
      </c>
      <c r="PKO69" s="152">
        <v>200</v>
      </c>
      <c r="PKP69" s="154">
        <f>SUM(PKN69:PKO69)</f>
        <v>8875</v>
      </c>
      <c r="PKQ69" s="147" t="s">
        <v>99</v>
      </c>
      <c r="PKR69" s="148">
        <v>45845</v>
      </c>
      <c r="PKS69" s="143" t="s">
        <v>46</v>
      </c>
      <c r="PKT69" s="199"/>
      <c r="PKU69" s="149" t="s">
        <v>125</v>
      </c>
      <c r="PKV69" s="197"/>
      <c r="PKW69" s="198"/>
      <c r="PKX69" s="143" t="s">
        <v>22</v>
      </c>
      <c r="PKY69" s="144">
        <v>8150</v>
      </c>
      <c r="PKZ69" s="152">
        <v>85</v>
      </c>
      <c r="PLA69" s="153">
        <v>215</v>
      </c>
      <c r="PLB69" s="153">
        <v>75</v>
      </c>
      <c r="PLC69" s="152">
        <v>150</v>
      </c>
      <c r="PLD69" s="154">
        <f>SUM(PKY69:PLC69)</f>
        <v>8675</v>
      </c>
      <c r="PLE69" s="152">
        <v>200</v>
      </c>
      <c r="PLF69" s="154">
        <f>SUM(PLD69:PLE69)</f>
        <v>8875</v>
      </c>
      <c r="PLG69" s="147" t="s">
        <v>99</v>
      </c>
      <c r="PLH69" s="148">
        <v>45845</v>
      </c>
      <c r="PLI69" s="143" t="s">
        <v>46</v>
      </c>
      <c r="PLJ69" s="199"/>
      <c r="PLK69" s="149" t="s">
        <v>125</v>
      </c>
      <c r="PLL69" s="197"/>
      <c r="PLM69" s="198"/>
      <c r="PLN69" s="143" t="s">
        <v>22</v>
      </c>
      <c r="PLO69" s="144">
        <v>8150</v>
      </c>
      <c r="PLP69" s="152">
        <v>85</v>
      </c>
      <c r="PLQ69" s="153">
        <v>215</v>
      </c>
      <c r="PLR69" s="153">
        <v>75</v>
      </c>
      <c r="PLS69" s="152">
        <v>150</v>
      </c>
      <c r="PLT69" s="154">
        <f>SUM(PLO69:PLS69)</f>
        <v>8675</v>
      </c>
      <c r="PLU69" s="152">
        <v>200</v>
      </c>
      <c r="PLV69" s="154">
        <f>SUM(PLT69:PLU69)</f>
        <v>8875</v>
      </c>
      <c r="PLW69" s="147" t="s">
        <v>99</v>
      </c>
      <c r="PLX69" s="148">
        <v>45845</v>
      </c>
      <c r="PLY69" s="143" t="s">
        <v>46</v>
      </c>
      <c r="PLZ69" s="199"/>
      <c r="PMA69" s="149" t="s">
        <v>125</v>
      </c>
      <c r="PMB69" s="197"/>
      <c r="PMC69" s="198"/>
      <c r="PMD69" s="143" t="s">
        <v>22</v>
      </c>
      <c r="PME69" s="144">
        <v>8150</v>
      </c>
      <c r="PMF69" s="152">
        <v>85</v>
      </c>
      <c r="PMG69" s="153">
        <v>215</v>
      </c>
      <c r="PMH69" s="153">
        <v>75</v>
      </c>
      <c r="PMI69" s="152">
        <v>150</v>
      </c>
      <c r="PMJ69" s="154">
        <f>SUM(PME69:PMI69)</f>
        <v>8675</v>
      </c>
      <c r="PMK69" s="152">
        <v>200</v>
      </c>
      <c r="PML69" s="154">
        <f>SUM(PMJ69:PMK69)</f>
        <v>8875</v>
      </c>
      <c r="PMM69" s="147" t="s">
        <v>99</v>
      </c>
      <c r="PMN69" s="148">
        <v>45845</v>
      </c>
      <c r="PMO69" s="143" t="s">
        <v>46</v>
      </c>
      <c r="PMP69" s="199"/>
      <c r="PMQ69" s="149" t="s">
        <v>125</v>
      </c>
      <c r="PMR69" s="197"/>
      <c r="PMS69" s="198"/>
      <c r="PMT69" s="143" t="s">
        <v>22</v>
      </c>
      <c r="PMU69" s="144">
        <v>8150</v>
      </c>
      <c r="PMV69" s="152">
        <v>85</v>
      </c>
      <c r="PMW69" s="153">
        <v>215</v>
      </c>
      <c r="PMX69" s="153">
        <v>75</v>
      </c>
      <c r="PMY69" s="152">
        <v>150</v>
      </c>
      <c r="PMZ69" s="154">
        <f>SUM(PMU69:PMY69)</f>
        <v>8675</v>
      </c>
      <c r="PNA69" s="152">
        <v>200</v>
      </c>
      <c r="PNB69" s="154">
        <f>SUM(PMZ69:PNA69)</f>
        <v>8875</v>
      </c>
      <c r="PNC69" s="147" t="s">
        <v>99</v>
      </c>
      <c r="PND69" s="148">
        <v>45845</v>
      </c>
      <c r="PNE69" s="143" t="s">
        <v>46</v>
      </c>
      <c r="PNF69" s="199"/>
      <c r="PNG69" s="149" t="s">
        <v>125</v>
      </c>
      <c r="PNH69" s="197"/>
      <c r="PNI69" s="198"/>
      <c r="PNJ69" s="143" t="s">
        <v>22</v>
      </c>
      <c r="PNK69" s="144">
        <v>8150</v>
      </c>
      <c r="PNL69" s="152">
        <v>85</v>
      </c>
      <c r="PNM69" s="153">
        <v>215</v>
      </c>
      <c r="PNN69" s="153">
        <v>75</v>
      </c>
      <c r="PNO69" s="152">
        <v>150</v>
      </c>
      <c r="PNP69" s="154">
        <f>SUM(PNK69:PNO69)</f>
        <v>8675</v>
      </c>
      <c r="PNQ69" s="152">
        <v>200</v>
      </c>
      <c r="PNR69" s="154">
        <f>SUM(PNP69:PNQ69)</f>
        <v>8875</v>
      </c>
      <c r="PNS69" s="147" t="s">
        <v>99</v>
      </c>
      <c r="PNT69" s="148">
        <v>45845</v>
      </c>
      <c r="PNU69" s="143" t="s">
        <v>46</v>
      </c>
      <c r="PNV69" s="199"/>
      <c r="PNW69" s="149" t="s">
        <v>125</v>
      </c>
      <c r="PNX69" s="197"/>
      <c r="PNY69" s="198"/>
      <c r="PNZ69" s="143" t="s">
        <v>22</v>
      </c>
      <c r="POA69" s="144">
        <v>8150</v>
      </c>
      <c r="POB69" s="152">
        <v>85</v>
      </c>
      <c r="POC69" s="153">
        <v>215</v>
      </c>
      <c r="POD69" s="153">
        <v>75</v>
      </c>
      <c r="POE69" s="152">
        <v>150</v>
      </c>
      <c r="POF69" s="154">
        <f>SUM(POA69:POE69)</f>
        <v>8675</v>
      </c>
      <c r="POG69" s="152">
        <v>200</v>
      </c>
      <c r="POH69" s="154">
        <f>SUM(POF69:POG69)</f>
        <v>8875</v>
      </c>
      <c r="POI69" s="147" t="s">
        <v>99</v>
      </c>
      <c r="POJ69" s="148">
        <v>45845</v>
      </c>
      <c r="POK69" s="143" t="s">
        <v>46</v>
      </c>
      <c r="POL69" s="199"/>
      <c r="POM69" s="149" t="s">
        <v>125</v>
      </c>
      <c r="PON69" s="197"/>
      <c r="POO69" s="198"/>
      <c r="POP69" s="143" t="s">
        <v>22</v>
      </c>
      <c r="POQ69" s="144">
        <v>8150</v>
      </c>
      <c r="POR69" s="152">
        <v>85</v>
      </c>
      <c r="POS69" s="153">
        <v>215</v>
      </c>
      <c r="POT69" s="153">
        <v>75</v>
      </c>
      <c r="POU69" s="152">
        <v>150</v>
      </c>
      <c r="POV69" s="154">
        <f>SUM(POQ69:POU69)</f>
        <v>8675</v>
      </c>
      <c r="POW69" s="152">
        <v>200</v>
      </c>
      <c r="POX69" s="154">
        <f>SUM(POV69:POW69)</f>
        <v>8875</v>
      </c>
      <c r="POY69" s="147" t="s">
        <v>99</v>
      </c>
      <c r="POZ69" s="148">
        <v>45845</v>
      </c>
      <c r="PPA69" s="143" t="s">
        <v>46</v>
      </c>
      <c r="PPB69" s="199"/>
      <c r="PPC69" s="149" t="s">
        <v>125</v>
      </c>
      <c r="PPD69" s="197"/>
      <c r="PPE69" s="198"/>
      <c r="PPF69" s="143" t="s">
        <v>22</v>
      </c>
      <c r="PPG69" s="144">
        <v>8150</v>
      </c>
      <c r="PPH69" s="152">
        <v>85</v>
      </c>
      <c r="PPI69" s="153">
        <v>215</v>
      </c>
      <c r="PPJ69" s="153">
        <v>75</v>
      </c>
      <c r="PPK69" s="152">
        <v>150</v>
      </c>
      <c r="PPL69" s="154">
        <f>SUM(PPG69:PPK69)</f>
        <v>8675</v>
      </c>
      <c r="PPM69" s="152">
        <v>200</v>
      </c>
      <c r="PPN69" s="154">
        <f>SUM(PPL69:PPM69)</f>
        <v>8875</v>
      </c>
      <c r="PPO69" s="147" t="s">
        <v>99</v>
      </c>
      <c r="PPP69" s="148">
        <v>45845</v>
      </c>
      <c r="PPQ69" s="143" t="s">
        <v>46</v>
      </c>
      <c r="PPR69" s="199"/>
      <c r="PPS69" s="149" t="s">
        <v>125</v>
      </c>
      <c r="PPT69" s="197"/>
      <c r="PPU69" s="198"/>
      <c r="PPV69" s="143" t="s">
        <v>22</v>
      </c>
      <c r="PPW69" s="144">
        <v>8150</v>
      </c>
      <c r="PPX69" s="152">
        <v>85</v>
      </c>
      <c r="PPY69" s="153">
        <v>215</v>
      </c>
      <c r="PPZ69" s="153">
        <v>75</v>
      </c>
      <c r="PQA69" s="152">
        <v>150</v>
      </c>
      <c r="PQB69" s="154">
        <f>SUM(PPW69:PQA69)</f>
        <v>8675</v>
      </c>
      <c r="PQC69" s="152">
        <v>200</v>
      </c>
      <c r="PQD69" s="154">
        <f>SUM(PQB69:PQC69)</f>
        <v>8875</v>
      </c>
      <c r="PQE69" s="147" t="s">
        <v>99</v>
      </c>
      <c r="PQF69" s="148">
        <v>45845</v>
      </c>
      <c r="PQG69" s="143" t="s">
        <v>46</v>
      </c>
      <c r="PQH69" s="199"/>
      <c r="PQI69" s="149" t="s">
        <v>125</v>
      </c>
      <c r="PQJ69" s="197"/>
      <c r="PQK69" s="198"/>
      <c r="PQL69" s="143" t="s">
        <v>22</v>
      </c>
      <c r="PQM69" s="144">
        <v>8150</v>
      </c>
      <c r="PQN69" s="152">
        <v>85</v>
      </c>
      <c r="PQO69" s="153">
        <v>215</v>
      </c>
      <c r="PQP69" s="153">
        <v>75</v>
      </c>
      <c r="PQQ69" s="152">
        <v>150</v>
      </c>
      <c r="PQR69" s="154">
        <f>SUM(PQM69:PQQ69)</f>
        <v>8675</v>
      </c>
      <c r="PQS69" s="152">
        <v>200</v>
      </c>
      <c r="PQT69" s="154">
        <f>SUM(PQR69:PQS69)</f>
        <v>8875</v>
      </c>
      <c r="PQU69" s="147" t="s">
        <v>99</v>
      </c>
      <c r="PQV69" s="148">
        <v>45845</v>
      </c>
      <c r="PQW69" s="143" t="s">
        <v>46</v>
      </c>
      <c r="PQX69" s="199"/>
      <c r="PQY69" s="149" t="s">
        <v>125</v>
      </c>
      <c r="PQZ69" s="197"/>
      <c r="PRA69" s="198"/>
      <c r="PRB69" s="143" t="s">
        <v>22</v>
      </c>
      <c r="PRC69" s="144">
        <v>8150</v>
      </c>
      <c r="PRD69" s="152">
        <v>85</v>
      </c>
      <c r="PRE69" s="153">
        <v>215</v>
      </c>
      <c r="PRF69" s="153">
        <v>75</v>
      </c>
      <c r="PRG69" s="152">
        <v>150</v>
      </c>
      <c r="PRH69" s="154">
        <f>SUM(PRC69:PRG69)</f>
        <v>8675</v>
      </c>
      <c r="PRI69" s="152">
        <v>200</v>
      </c>
      <c r="PRJ69" s="154">
        <f>SUM(PRH69:PRI69)</f>
        <v>8875</v>
      </c>
      <c r="PRK69" s="147" t="s">
        <v>99</v>
      </c>
      <c r="PRL69" s="148">
        <v>45845</v>
      </c>
      <c r="PRM69" s="143" t="s">
        <v>46</v>
      </c>
      <c r="PRN69" s="199"/>
      <c r="PRO69" s="149" t="s">
        <v>125</v>
      </c>
      <c r="PRP69" s="197"/>
      <c r="PRQ69" s="198"/>
      <c r="PRR69" s="143" t="s">
        <v>22</v>
      </c>
      <c r="PRS69" s="144">
        <v>8150</v>
      </c>
      <c r="PRT69" s="152">
        <v>85</v>
      </c>
      <c r="PRU69" s="153">
        <v>215</v>
      </c>
      <c r="PRV69" s="153">
        <v>75</v>
      </c>
      <c r="PRW69" s="152">
        <v>150</v>
      </c>
      <c r="PRX69" s="154">
        <f>SUM(PRS69:PRW69)</f>
        <v>8675</v>
      </c>
      <c r="PRY69" s="152">
        <v>200</v>
      </c>
      <c r="PRZ69" s="154">
        <f>SUM(PRX69:PRY69)</f>
        <v>8875</v>
      </c>
      <c r="PSA69" s="147" t="s">
        <v>99</v>
      </c>
      <c r="PSB69" s="148">
        <v>45845</v>
      </c>
      <c r="PSC69" s="143" t="s">
        <v>46</v>
      </c>
      <c r="PSD69" s="199"/>
      <c r="PSE69" s="149" t="s">
        <v>125</v>
      </c>
      <c r="PSF69" s="197"/>
      <c r="PSG69" s="198"/>
      <c r="PSH69" s="143" t="s">
        <v>22</v>
      </c>
      <c r="PSI69" s="144">
        <v>8150</v>
      </c>
      <c r="PSJ69" s="152">
        <v>85</v>
      </c>
      <c r="PSK69" s="153">
        <v>215</v>
      </c>
      <c r="PSL69" s="153">
        <v>75</v>
      </c>
      <c r="PSM69" s="152">
        <v>150</v>
      </c>
      <c r="PSN69" s="154">
        <f>SUM(PSI69:PSM69)</f>
        <v>8675</v>
      </c>
      <c r="PSO69" s="152">
        <v>200</v>
      </c>
      <c r="PSP69" s="154">
        <f>SUM(PSN69:PSO69)</f>
        <v>8875</v>
      </c>
      <c r="PSQ69" s="147" t="s">
        <v>99</v>
      </c>
      <c r="PSR69" s="148">
        <v>45845</v>
      </c>
      <c r="PSS69" s="143" t="s">
        <v>46</v>
      </c>
      <c r="PST69" s="199"/>
      <c r="PSU69" s="149" t="s">
        <v>125</v>
      </c>
      <c r="PSV69" s="197"/>
      <c r="PSW69" s="198"/>
      <c r="PSX69" s="143" t="s">
        <v>22</v>
      </c>
      <c r="PSY69" s="144">
        <v>8150</v>
      </c>
      <c r="PSZ69" s="152">
        <v>85</v>
      </c>
      <c r="PTA69" s="153">
        <v>215</v>
      </c>
      <c r="PTB69" s="153">
        <v>75</v>
      </c>
      <c r="PTC69" s="152">
        <v>150</v>
      </c>
      <c r="PTD69" s="154">
        <f>SUM(PSY69:PTC69)</f>
        <v>8675</v>
      </c>
      <c r="PTE69" s="152">
        <v>200</v>
      </c>
      <c r="PTF69" s="154">
        <f>SUM(PTD69:PTE69)</f>
        <v>8875</v>
      </c>
      <c r="PTG69" s="147" t="s">
        <v>99</v>
      </c>
      <c r="PTH69" s="148">
        <v>45845</v>
      </c>
      <c r="PTI69" s="143" t="s">
        <v>46</v>
      </c>
      <c r="PTJ69" s="199"/>
      <c r="PTK69" s="149" t="s">
        <v>125</v>
      </c>
      <c r="PTL69" s="197"/>
      <c r="PTM69" s="198"/>
      <c r="PTN69" s="143" t="s">
        <v>22</v>
      </c>
      <c r="PTO69" s="144">
        <v>8150</v>
      </c>
      <c r="PTP69" s="152">
        <v>85</v>
      </c>
      <c r="PTQ69" s="153">
        <v>215</v>
      </c>
      <c r="PTR69" s="153">
        <v>75</v>
      </c>
      <c r="PTS69" s="152">
        <v>150</v>
      </c>
      <c r="PTT69" s="154">
        <f>SUM(PTO69:PTS69)</f>
        <v>8675</v>
      </c>
      <c r="PTU69" s="152">
        <v>200</v>
      </c>
      <c r="PTV69" s="154">
        <f>SUM(PTT69:PTU69)</f>
        <v>8875</v>
      </c>
      <c r="PTW69" s="147" t="s">
        <v>99</v>
      </c>
      <c r="PTX69" s="148">
        <v>45845</v>
      </c>
      <c r="PTY69" s="143" t="s">
        <v>46</v>
      </c>
      <c r="PTZ69" s="199"/>
      <c r="PUA69" s="149" t="s">
        <v>125</v>
      </c>
      <c r="PUB69" s="197"/>
      <c r="PUC69" s="198"/>
      <c r="PUD69" s="143" t="s">
        <v>22</v>
      </c>
      <c r="PUE69" s="144">
        <v>8150</v>
      </c>
      <c r="PUF69" s="152">
        <v>85</v>
      </c>
      <c r="PUG69" s="153">
        <v>215</v>
      </c>
      <c r="PUH69" s="153">
        <v>75</v>
      </c>
      <c r="PUI69" s="152">
        <v>150</v>
      </c>
      <c r="PUJ69" s="154">
        <f>SUM(PUE69:PUI69)</f>
        <v>8675</v>
      </c>
      <c r="PUK69" s="152">
        <v>200</v>
      </c>
      <c r="PUL69" s="154">
        <f>SUM(PUJ69:PUK69)</f>
        <v>8875</v>
      </c>
      <c r="PUM69" s="147" t="s">
        <v>99</v>
      </c>
      <c r="PUN69" s="148">
        <v>45845</v>
      </c>
      <c r="PUO69" s="143" t="s">
        <v>46</v>
      </c>
      <c r="PUP69" s="199"/>
      <c r="PUQ69" s="149" t="s">
        <v>125</v>
      </c>
      <c r="PUR69" s="197"/>
      <c r="PUS69" s="198"/>
      <c r="PUT69" s="143" t="s">
        <v>22</v>
      </c>
      <c r="PUU69" s="144">
        <v>8150</v>
      </c>
      <c r="PUV69" s="152">
        <v>85</v>
      </c>
      <c r="PUW69" s="153">
        <v>215</v>
      </c>
      <c r="PUX69" s="153">
        <v>75</v>
      </c>
      <c r="PUY69" s="152">
        <v>150</v>
      </c>
      <c r="PUZ69" s="154">
        <f>SUM(PUU69:PUY69)</f>
        <v>8675</v>
      </c>
      <c r="PVA69" s="152">
        <v>200</v>
      </c>
      <c r="PVB69" s="154">
        <f>SUM(PUZ69:PVA69)</f>
        <v>8875</v>
      </c>
      <c r="PVC69" s="147" t="s">
        <v>99</v>
      </c>
      <c r="PVD69" s="148">
        <v>45845</v>
      </c>
      <c r="PVE69" s="143" t="s">
        <v>46</v>
      </c>
      <c r="PVF69" s="199"/>
      <c r="PVG69" s="149" t="s">
        <v>125</v>
      </c>
      <c r="PVH69" s="197"/>
      <c r="PVI69" s="198"/>
      <c r="PVJ69" s="143" t="s">
        <v>22</v>
      </c>
      <c r="PVK69" s="144">
        <v>8150</v>
      </c>
      <c r="PVL69" s="152">
        <v>85</v>
      </c>
      <c r="PVM69" s="153">
        <v>215</v>
      </c>
      <c r="PVN69" s="153">
        <v>75</v>
      </c>
      <c r="PVO69" s="152">
        <v>150</v>
      </c>
      <c r="PVP69" s="154">
        <f>SUM(PVK69:PVO69)</f>
        <v>8675</v>
      </c>
      <c r="PVQ69" s="152">
        <v>200</v>
      </c>
      <c r="PVR69" s="154">
        <f>SUM(PVP69:PVQ69)</f>
        <v>8875</v>
      </c>
      <c r="PVS69" s="147" t="s">
        <v>99</v>
      </c>
      <c r="PVT69" s="148">
        <v>45845</v>
      </c>
      <c r="PVU69" s="143" t="s">
        <v>46</v>
      </c>
      <c r="PVV69" s="199"/>
      <c r="PVW69" s="149" t="s">
        <v>125</v>
      </c>
      <c r="PVX69" s="197"/>
      <c r="PVY69" s="198"/>
      <c r="PVZ69" s="143" t="s">
        <v>22</v>
      </c>
      <c r="PWA69" s="144">
        <v>8150</v>
      </c>
      <c r="PWB69" s="152">
        <v>85</v>
      </c>
      <c r="PWC69" s="153">
        <v>215</v>
      </c>
      <c r="PWD69" s="153">
        <v>75</v>
      </c>
      <c r="PWE69" s="152">
        <v>150</v>
      </c>
      <c r="PWF69" s="154">
        <f>SUM(PWA69:PWE69)</f>
        <v>8675</v>
      </c>
      <c r="PWG69" s="152">
        <v>200</v>
      </c>
      <c r="PWH69" s="154">
        <f>SUM(PWF69:PWG69)</f>
        <v>8875</v>
      </c>
      <c r="PWI69" s="147" t="s">
        <v>99</v>
      </c>
      <c r="PWJ69" s="148">
        <v>45845</v>
      </c>
      <c r="PWK69" s="143" t="s">
        <v>46</v>
      </c>
      <c r="PWL69" s="199"/>
      <c r="PWM69" s="149" t="s">
        <v>125</v>
      </c>
      <c r="PWN69" s="197"/>
      <c r="PWO69" s="198"/>
      <c r="PWP69" s="143" t="s">
        <v>22</v>
      </c>
      <c r="PWQ69" s="144">
        <v>8150</v>
      </c>
      <c r="PWR69" s="152">
        <v>85</v>
      </c>
      <c r="PWS69" s="153">
        <v>215</v>
      </c>
      <c r="PWT69" s="153">
        <v>75</v>
      </c>
      <c r="PWU69" s="152">
        <v>150</v>
      </c>
      <c r="PWV69" s="154">
        <f>SUM(PWQ69:PWU69)</f>
        <v>8675</v>
      </c>
      <c r="PWW69" s="152">
        <v>200</v>
      </c>
      <c r="PWX69" s="154">
        <f>SUM(PWV69:PWW69)</f>
        <v>8875</v>
      </c>
      <c r="PWY69" s="147" t="s">
        <v>99</v>
      </c>
      <c r="PWZ69" s="148">
        <v>45845</v>
      </c>
      <c r="PXA69" s="143" t="s">
        <v>46</v>
      </c>
      <c r="PXB69" s="199"/>
      <c r="PXC69" s="149" t="s">
        <v>125</v>
      </c>
      <c r="PXD69" s="197"/>
      <c r="PXE69" s="198"/>
      <c r="PXF69" s="143" t="s">
        <v>22</v>
      </c>
      <c r="PXG69" s="144">
        <v>8150</v>
      </c>
      <c r="PXH69" s="152">
        <v>85</v>
      </c>
      <c r="PXI69" s="153">
        <v>215</v>
      </c>
      <c r="PXJ69" s="153">
        <v>75</v>
      </c>
      <c r="PXK69" s="152">
        <v>150</v>
      </c>
      <c r="PXL69" s="154">
        <f>SUM(PXG69:PXK69)</f>
        <v>8675</v>
      </c>
      <c r="PXM69" s="152">
        <v>200</v>
      </c>
      <c r="PXN69" s="154">
        <f>SUM(PXL69:PXM69)</f>
        <v>8875</v>
      </c>
      <c r="PXO69" s="147" t="s">
        <v>99</v>
      </c>
      <c r="PXP69" s="148">
        <v>45845</v>
      </c>
      <c r="PXQ69" s="143" t="s">
        <v>46</v>
      </c>
      <c r="PXR69" s="199"/>
      <c r="PXS69" s="149" t="s">
        <v>125</v>
      </c>
      <c r="PXT69" s="197"/>
      <c r="PXU69" s="198"/>
      <c r="PXV69" s="143" t="s">
        <v>22</v>
      </c>
      <c r="PXW69" s="144">
        <v>8150</v>
      </c>
      <c r="PXX69" s="152">
        <v>85</v>
      </c>
      <c r="PXY69" s="153">
        <v>215</v>
      </c>
      <c r="PXZ69" s="153">
        <v>75</v>
      </c>
      <c r="PYA69" s="152">
        <v>150</v>
      </c>
      <c r="PYB69" s="154">
        <f>SUM(PXW69:PYA69)</f>
        <v>8675</v>
      </c>
      <c r="PYC69" s="152">
        <v>200</v>
      </c>
      <c r="PYD69" s="154">
        <f>SUM(PYB69:PYC69)</f>
        <v>8875</v>
      </c>
      <c r="PYE69" s="147" t="s">
        <v>99</v>
      </c>
      <c r="PYF69" s="148">
        <v>45845</v>
      </c>
      <c r="PYG69" s="143" t="s">
        <v>46</v>
      </c>
      <c r="PYH69" s="199"/>
      <c r="PYI69" s="149" t="s">
        <v>125</v>
      </c>
      <c r="PYJ69" s="197"/>
      <c r="PYK69" s="198"/>
      <c r="PYL69" s="143" t="s">
        <v>22</v>
      </c>
      <c r="PYM69" s="144">
        <v>8150</v>
      </c>
      <c r="PYN69" s="152">
        <v>85</v>
      </c>
      <c r="PYO69" s="153">
        <v>215</v>
      </c>
      <c r="PYP69" s="153">
        <v>75</v>
      </c>
      <c r="PYQ69" s="152">
        <v>150</v>
      </c>
      <c r="PYR69" s="154">
        <f>SUM(PYM69:PYQ69)</f>
        <v>8675</v>
      </c>
      <c r="PYS69" s="152">
        <v>200</v>
      </c>
      <c r="PYT69" s="154">
        <f>SUM(PYR69:PYS69)</f>
        <v>8875</v>
      </c>
      <c r="PYU69" s="147" t="s">
        <v>99</v>
      </c>
      <c r="PYV69" s="148">
        <v>45845</v>
      </c>
      <c r="PYW69" s="143" t="s">
        <v>46</v>
      </c>
      <c r="PYX69" s="199"/>
      <c r="PYY69" s="149" t="s">
        <v>125</v>
      </c>
      <c r="PYZ69" s="197"/>
      <c r="PZA69" s="198"/>
      <c r="PZB69" s="143" t="s">
        <v>22</v>
      </c>
      <c r="PZC69" s="144">
        <v>8150</v>
      </c>
      <c r="PZD69" s="152">
        <v>85</v>
      </c>
      <c r="PZE69" s="153">
        <v>215</v>
      </c>
      <c r="PZF69" s="153">
        <v>75</v>
      </c>
      <c r="PZG69" s="152">
        <v>150</v>
      </c>
      <c r="PZH69" s="154">
        <f>SUM(PZC69:PZG69)</f>
        <v>8675</v>
      </c>
      <c r="PZI69" s="152">
        <v>200</v>
      </c>
      <c r="PZJ69" s="154">
        <f>SUM(PZH69:PZI69)</f>
        <v>8875</v>
      </c>
      <c r="PZK69" s="147" t="s">
        <v>99</v>
      </c>
      <c r="PZL69" s="148">
        <v>45845</v>
      </c>
      <c r="PZM69" s="143" t="s">
        <v>46</v>
      </c>
      <c r="PZN69" s="199"/>
      <c r="PZO69" s="149" t="s">
        <v>125</v>
      </c>
      <c r="PZP69" s="197"/>
      <c r="PZQ69" s="198"/>
      <c r="PZR69" s="143" t="s">
        <v>22</v>
      </c>
      <c r="PZS69" s="144">
        <v>8150</v>
      </c>
      <c r="PZT69" s="152">
        <v>85</v>
      </c>
      <c r="PZU69" s="153">
        <v>215</v>
      </c>
      <c r="PZV69" s="153">
        <v>75</v>
      </c>
      <c r="PZW69" s="152">
        <v>150</v>
      </c>
      <c r="PZX69" s="154">
        <f>SUM(PZS69:PZW69)</f>
        <v>8675</v>
      </c>
      <c r="PZY69" s="152">
        <v>200</v>
      </c>
      <c r="PZZ69" s="154">
        <f>SUM(PZX69:PZY69)</f>
        <v>8875</v>
      </c>
      <c r="QAA69" s="147" t="s">
        <v>99</v>
      </c>
      <c r="QAB69" s="148">
        <v>45845</v>
      </c>
      <c r="QAC69" s="143" t="s">
        <v>46</v>
      </c>
      <c r="QAD69" s="199"/>
      <c r="QAE69" s="149" t="s">
        <v>125</v>
      </c>
      <c r="QAF69" s="197"/>
      <c r="QAG69" s="198"/>
      <c r="QAH69" s="143" t="s">
        <v>22</v>
      </c>
      <c r="QAI69" s="144">
        <v>8150</v>
      </c>
      <c r="QAJ69" s="152">
        <v>85</v>
      </c>
      <c r="QAK69" s="153">
        <v>215</v>
      </c>
      <c r="QAL69" s="153">
        <v>75</v>
      </c>
      <c r="QAM69" s="152">
        <v>150</v>
      </c>
      <c r="QAN69" s="154">
        <f>SUM(QAI69:QAM69)</f>
        <v>8675</v>
      </c>
      <c r="QAO69" s="152">
        <v>200</v>
      </c>
      <c r="QAP69" s="154">
        <f>SUM(QAN69:QAO69)</f>
        <v>8875</v>
      </c>
      <c r="QAQ69" s="147" t="s">
        <v>99</v>
      </c>
      <c r="QAR69" s="148">
        <v>45845</v>
      </c>
      <c r="QAS69" s="143" t="s">
        <v>46</v>
      </c>
      <c r="QAT69" s="199"/>
      <c r="QAU69" s="149" t="s">
        <v>125</v>
      </c>
      <c r="QAV69" s="197"/>
      <c r="QAW69" s="198"/>
      <c r="QAX69" s="143" t="s">
        <v>22</v>
      </c>
      <c r="QAY69" s="144">
        <v>8150</v>
      </c>
      <c r="QAZ69" s="152">
        <v>85</v>
      </c>
      <c r="QBA69" s="153">
        <v>215</v>
      </c>
      <c r="QBB69" s="153">
        <v>75</v>
      </c>
      <c r="QBC69" s="152">
        <v>150</v>
      </c>
      <c r="QBD69" s="154">
        <f>SUM(QAY69:QBC69)</f>
        <v>8675</v>
      </c>
      <c r="QBE69" s="152">
        <v>200</v>
      </c>
      <c r="QBF69" s="154">
        <f>SUM(QBD69:QBE69)</f>
        <v>8875</v>
      </c>
      <c r="QBG69" s="147" t="s">
        <v>99</v>
      </c>
      <c r="QBH69" s="148">
        <v>45845</v>
      </c>
      <c r="QBI69" s="143" t="s">
        <v>46</v>
      </c>
      <c r="QBJ69" s="199"/>
      <c r="QBK69" s="149" t="s">
        <v>125</v>
      </c>
      <c r="QBL69" s="197"/>
      <c r="QBM69" s="198"/>
      <c r="QBN69" s="143" t="s">
        <v>22</v>
      </c>
      <c r="QBO69" s="144">
        <v>8150</v>
      </c>
      <c r="QBP69" s="152">
        <v>85</v>
      </c>
      <c r="QBQ69" s="153">
        <v>215</v>
      </c>
      <c r="QBR69" s="153">
        <v>75</v>
      </c>
      <c r="QBS69" s="152">
        <v>150</v>
      </c>
      <c r="QBT69" s="154">
        <f>SUM(QBO69:QBS69)</f>
        <v>8675</v>
      </c>
      <c r="QBU69" s="152">
        <v>200</v>
      </c>
      <c r="QBV69" s="154">
        <f>SUM(QBT69:QBU69)</f>
        <v>8875</v>
      </c>
      <c r="QBW69" s="147" t="s">
        <v>99</v>
      </c>
      <c r="QBX69" s="148">
        <v>45845</v>
      </c>
      <c r="QBY69" s="143" t="s">
        <v>46</v>
      </c>
      <c r="QBZ69" s="199"/>
      <c r="QCA69" s="149" t="s">
        <v>125</v>
      </c>
      <c r="QCB69" s="197"/>
      <c r="QCC69" s="198"/>
      <c r="QCD69" s="143" t="s">
        <v>22</v>
      </c>
      <c r="QCE69" s="144">
        <v>8150</v>
      </c>
      <c r="QCF69" s="152">
        <v>85</v>
      </c>
      <c r="QCG69" s="153">
        <v>215</v>
      </c>
      <c r="QCH69" s="153">
        <v>75</v>
      </c>
      <c r="QCI69" s="152">
        <v>150</v>
      </c>
      <c r="QCJ69" s="154">
        <f>SUM(QCE69:QCI69)</f>
        <v>8675</v>
      </c>
      <c r="QCK69" s="152">
        <v>200</v>
      </c>
      <c r="QCL69" s="154">
        <f>SUM(QCJ69:QCK69)</f>
        <v>8875</v>
      </c>
      <c r="QCM69" s="147" t="s">
        <v>99</v>
      </c>
      <c r="QCN69" s="148">
        <v>45845</v>
      </c>
      <c r="QCO69" s="143" t="s">
        <v>46</v>
      </c>
      <c r="QCP69" s="199"/>
      <c r="QCQ69" s="149" t="s">
        <v>125</v>
      </c>
      <c r="QCR69" s="197"/>
      <c r="QCS69" s="198"/>
      <c r="QCT69" s="143" t="s">
        <v>22</v>
      </c>
      <c r="QCU69" s="144">
        <v>8150</v>
      </c>
      <c r="QCV69" s="152">
        <v>85</v>
      </c>
      <c r="QCW69" s="153">
        <v>215</v>
      </c>
      <c r="QCX69" s="153">
        <v>75</v>
      </c>
      <c r="QCY69" s="152">
        <v>150</v>
      </c>
      <c r="QCZ69" s="154">
        <f>SUM(QCU69:QCY69)</f>
        <v>8675</v>
      </c>
      <c r="QDA69" s="152">
        <v>200</v>
      </c>
      <c r="QDB69" s="154">
        <f>SUM(QCZ69:QDA69)</f>
        <v>8875</v>
      </c>
      <c r="QDC69" s="147" t="s">
        <v>99</v>
      </c>
      <c r="QDD69" s="148">
        <v>45845</v>
      </c>
      <c r="QDE69" s="143" t="s">
        <v>46</v>
      </c>
      <c r="QDF69" s="199"/>
      <c r="QDG69" s="149" t="s">
        <v>125</v>
      </c>
      <c r="QDH69" s="197"/>
      <c r="QDI69" s="198"/>
      <c r="QDJ69" s="143" t="s">
        <v>22</v>
      </c>
      <c r="QDK69" s="144">
        <v>8150</v>
      </c>
      <c r="QDL69" s="152">
        <v>85</v>
      </c>
      <c r="QDM69" s="153">
        <v>215</v>
      </c>
      <c r="QDN69" s="153">
        <v>75</v>
      </c>
      <c r="QDO69" s="152">
        <v>150</v>
      </c>
      <c r="QDP69" s="154">
        <f>SUM(QDK69:QDO69)</f>
        <v>8675</v>
      </c>
      <c r="QDQ69" s="152">
        <v>200</v>
      </c>
      <c r="QDR69" s="154">
        <f>SUM(QDP69:QDQ69)</f>
        <v>8875</v>
      </c>
      <c r="QDS69" s="147" t="s">
        <v>99</v>
      </c>
      <c r="QDT69" s="148">
        <v>45845</v>
      </c>
      <c r="QDU69" s="143" t="s">
        <v>46</v>
      </c>
      <c r="QDV69" s="199"/>
      <c r="QDW69" s="149" t="s">
        <v>125</v>
      </c>
      <c r="QDX69" s="197"/>
      <c r="QDY69" s="198"/>
      <c r="QDZ69" s="143" t="s">
        <v>22</v>
      </c>
      <c r="QEA69" s="144">
        <v>8150</v>
      </c>
      <c r="QEB69" s="152">
        <v>85</v>
      </c>
      <c r="QEC69" s="153">
        <v>215</v>
      </c>
      <c r="QED69" s="153">
        <v>75</v>
      </c>
      <c r="QEE69" s="152">
        <v>150</v>
      </c>
      <c r="QEF69" s="154">
        <f>SUM(QEA69:QEE69)</f>
        <v>8675</v>
      </c>
      <c r="QEG69" s="152">
        <v>200</v>
      </c>
      <c r="QEH69" s="154">
        <f>SUM(QEF69:QEG69)</f>
        <v>8875</v>
      </c>
      <c r="QEI69" s="147" t="s">
        <v>99</v>
      </c>
      <c r="QEJ69" s="148">
        <v>45845</v>
      </c>
      <c r="QEK69" s="143" t="s">
        <v>46</v>
      </c>
      <c r="QEL69" s="199"/>
      <c r="QEM69" s="149" t="s">
        <v>125</v>
      </c>
      <c r="QEN69" s="197"/>
      <c r="QEO69" s="198"/>
      <c r="QEP69" s="143" t="s">
        <v>22</v>
      </c>
      <c r="QEQ69" s="144">
        <v>8150</v>
      </c>
      <c r="QER69" s="152">
        <v>85</v>
      </c>
      <c r="QES69" s="153">
        <v>215</v>
      </c>
      <c r="QET69" s="153">
        <v>75</v>
      </c>
      <c r="QEU69" s="152">
        <v>150</v>
      </c>
      <c r="QEV69" s="154">
        <f>SUM(QEQ69:QEU69)</f>
        <v>8675</v>
      </c>
      <c r="QEW69" s="152">
        <v>200</v>
      </c>
      <c r="QEX69" s="154">
        <f>SUM(QEV69:QEW69)</f>
        <v>8875</v>
      </c>
      <c r="QEY69" s="147" t="s">
        <v>99</v>
      </c>
      <c r="QEZ69" s="148">
        <v>45845</v>
      </c>
      <c r="QFA69" s="143" t="s">
        <v>46</v>
      </c>
      <c r="QFB69" s="199"/>
      <c r="QFC69" s="149" t="s">
        <v>125</v>
      </c>
      <c r="QFD69" s="197"/>
      <c r="QFE69" s="198"/>
      <c r="QFF69" s="143" t="s">
        <v>22</v>
      </c>
      <c r="QFG69" s="144">
        <v>8150</v>
      </c>
      <c r="QFH69" s="152">
        <v>85</v>
      </c>
      <c r="QFI69" s="153">
        <v>215</v>
      </c>
      <c r="QFJ69" s="153">
        <v>75</v>
      </c>
      <c r="QFK69" s="152">
        <v>150</v>
      </c>
      <c r="QFL69" s="154">
        <f>SUM(QFG69:QFK69)</f>
        <v>8675</v>
      </c>
      <c r="QFM69" s="152">
        <v>200</v>
      </c>
      <c r="QFN69" s="154">
        <f>SUM(QFL69:QFM69)</f>
        <v>8875</v>
      </c>
      <c r="QFO69" s="147" t="s">
        <v>99</v>
      </c>
      <c r="QFP69" s="148">
        <v>45845</v>
      </c>
      <c r="QFQ69" s="143" t="s">
        <v>46</v>
      </c>
      <c r="QFR69" s="199"/>
      <c r="QFS69" s="149" t="s">
        <v>125</v>
      </c>
      <c r="QFT69" s="197"/>
      <c r="QFU69" s="198"/>
      <c r="QFV69" s="143" t="s">
        <v>22</v>
      </c>
      <c r="QFW69" s="144">
        <v>8150</v>
      </c>
      <c r="QFX69" s="152">
        <v>85</v>
      </c>
      <c r="QFY69" s="153">
        <v>215</v>
      </c>
      <c r="QFZ69" s="153">
        <v>75</v>
      </c>
      <c r="QGA69" s="152">
        <v>150</v>
      </c>
      <c r="QGB69" s="154">
        <f>SUM(QFW69:QGA69)</f>
        <v>8675</v>
      </c>
      <c r="QGC69" s="152">
        <v>200</v>
      </c>
      <c r="QGD69" s="154">
        <f>SUM(QGB69:QGC69)</f>
        <v>8875</v>
      </c>
      <c r="QGE69" s="147" t="s">
        <v>99</v>
      </c>
      <c r="QGF69" s="148">
        <v>45845</v>
      </c>
      <c r="QGG69" s="143" t="s">
        <v>46</v>
      </c>
      <c r="QGH69" s="199"/>
      <c r="QGI69" s="149" t="s">
        <v>125</v>
      </c>
      <c r="QGJ69" s="197"/>
      <c r="QGK69" s="198"/>
      <c r="QGL69" s="143" t="s">
        <v>22</v>
      </c>
      <c r="QGM69" s="144">
        <v>8150</v>
      </c>
      <c r="QGN69" s="152">
        <v>85</v>
      </c>
      <c r="QGO69" s="153">
        <v>215</v>
      </c>
      <c r="QGP69" s="153">
        <v>75</v>
      </c>
      <c r="QGQ69" s="152">
        <v>150</v>
      </c>
      <c r="QGR69" s="154">
        <f>SUM(QGM69:QGQ69)</f>
        <v>8675</v>
      </c>
      <c r="QGS69" s="152">
        <v>200</v>
      </c>
      <c r="QGT69" s="154">
        <f>SUM(QGR69:QGS69)</f>
        <v>8875</v>
      </c>
      <c r="QGU69" s="147" t="s">
        <v>99</v>
      </c>
      <c r="QGV69" s="148">
        <v>45845</v>
      </c>
      <c r="QGW69" s="143" t="s">
        <v>46</v>
      </c>
      <c r="QGX69" s="199"/>
      <c r="QGY69" s="149" t="s">
        <v>125</v>
      </c>
      <c r="QGZ69" s="197"/>
      <c r="QHA69" s="198"/>
      <c r="QHB69" s="143" t="s">
        <v>22</v>
      </c>
      <c r="QHC69" s="144">
        <v>8150</v>
      </c>
      <c r="QHD69" s="152">
        <v>85</v>
      </c>
      <c r="QHE69" s="153">
        <v>215</v>
      </c>
      <c r="QHF69" s="153">
        <v>75</v>
      </c>
      <c r="QHG69" s="152">
        <v>150</v>
      </c>
      <c r="QHH69" s="154">
        <f>SUM(QHC69:QHG69)</f>
        <v>8675</v>
      </c>
      <c r="QHI69" s="152">
        <v>200</v>
      </c>
      <c r="QHJ69" s="154">
        <f>SUM(QHH69:QHI69)</f>
        <v>8875</v>
      </c>
      <c r="QHK69" s="147" t="s">
        <v>99</v>
      </c>
      <c r="QHL69" s="148">
        <v>45845</v>
      </c>
      <c r="QHM69" s="143" t="s">
        <v>46</v>
      </c>
      <c r="QHN69" s="199"/>
      <c r="QHO69" s="149" t="s">
        <v>125</v>
      </c>
      <c r="QHP69" s="197"/>
      <c r="QHQ69" s="198"/>
      <c r="QHR69" s="143" t="s">
        <v>22</v>
      </c>
      <c r="QHS69" s="144">
        <v>8150</v>
      </c>
      <c r="QHT69" s="152">
        <v>85</v>
      </c>
      <c r="QHU69" s="153">
        <v>215</v>
      </c>
      <c r="QHV69" s="153">
        <v>75</v>
      </c>
      <c r="QHW69" s="152">
        <v>150</v>
      </c>
      <c r="QHX69" s="154">
        <f>SUM(QHS69:QHW69)</f>
        <v>8675</v>
      </c>
      <c r="QHY69" s="152">
        <v>200</v>
      </c>
      <c r="QHZ69" s="154">
        <f>SUM(QHX69:QHY69)</f>
        <v>8875</v>
      </c>
      <c r="QIA69" s="147" t="s">
        <v>99</v>
      </c>
      <c r="QIB69" s="148">
        <v>45845</v>
      </c>
      <c r="QIC69" s="143" t="s">
        <v>46</v>
      </c>
      <c r="QID69" s="199"/>
      <c r="QIE69" s="149" t="s">
        <v>125</v>
      </c>
      <c r="QIF69" s="197"/>
      <c r="QIG69" s="198"/>
      <c r="QIH69" s="143" t="s">
        <v>22</v>
      </c>
      <c r="QII69" s="144">
        <v>8150</v>
      </c>
      <c r="QIJ69" s="152">
        <v>85</v>
      </c>
      <c r="QIK69" s="153">
        <v>215</v>
      </c>
      <c r="QIL69" s="153">
        <v>75</v>
      </c>
      <c r="QIM69" s="152">
        <v>150</v>
      </c>
      <c r="QIN69" s="154">
        <f>SUM(QII69:QIM69)</f>
        <v>8675</v>
      </c>
      <c r="QIO69" s="152">
        <v>200</v>
      </c>
      <c r="QIP69" s="154">
        <f>SUM(QIN69:QIO69)</f>
        <v>8875</v>
      </c>
      <c r="QIQ69" s="147" t="s">
        <v>99</v>
      </c>
      <c r="QIR69" s="148">
        <v>45845</v>
      </c>
      <c r="QIS69" s="143" t="s">
        <v>46</v>
      </c>
      <c r="QIT69" s="199"/>
      <c r="QIU69" s="149" t="s">
        <v>125</v>
      </c>
      <c r="QIV69" s="197"/>
      <c r="QIW69" s="198"/>
      <c r="QIX69" s="143" t="s">
        <v>22</v>
      </c>
      <c r="QIY69" s="144">
        <v>8150</v>
      </c>
      <c r="QIZ69" s="152">
        <v>85</v>
      </c>
      <c r="QJA69" s="153">
        <v>215</v>
      </c>
      <c r="QJB69" s="153">
        <v>75</v>
      </c>
      <c r="QJC69" s="152">
        <v>150</v>
      </c>
      <c r="QJD69" s="154">
        <f>SUM(QIY69:QJC69)</f>
        <v>8675</v>
      </c>
      <c r="QJE69" s="152">
        <v>200</v>
      </c>
      <c r="QJF69" s="154">
        <f>SUM(QJD69:QJE69)</f>
        <v>8875</v>
      </c>
      <c r="QJG69" s="147" t="s">
        <v>99</v>
      </c>
      <c r="QJH69" s="148">
        <v>45845</v>
      </c>
      <c r="QJI69" s="143" t="s">
        <v>46</v>
      </c>
      <c r="QJJ69" s="199"/>
      <c r="QJK69" s="149" t="s">
        <v>125</v>
      </c>
      <c r="QJL69" s="197"/>
      <c r="QJM69" s="198"/>
      <c r="QJN69" s="143" t="s">
        <v>22</v>
      </c>
      <c r="QJO69" s="144">
        <v>8150</v>
      </c>
      <c r="QJP69" s="152">
        <v>85</v>
      </c>
      <c r="QJQ69" s="153">
        <v>215</v>
      </c>
      <c r="QJR69" s="153">
        <v>75</v>
      </c>
      <c r="QJS69" s="152">
        <v>150</v>
      </c>
      <c r="QJT69" s="154">
        <f>SUM(QJO69:QJS69)</f>
        <v>8675</v>
      </c>
      <c r="QJU69" s="152">
        <v>200</v>
      </c>
      <c r="QJV69" s="154">
        <f>SUM(QJT69:QJU69)</f>
        <v>8875</v>
      </c>
      <c r="QJW69" s="147" t="s">
        <v>99</v>
      </c>
      <c r="QJX69" s="148">
        <v>45845</v>
      </c>
      <c r="QJY69" s="143" t="s">
        <v>46</v>
      </c>
      <c r="QJZ69" s="199"/>
      <c r="QKA69" s="149" t="s">
        <v>125</v>
      </c>
      <c r="QKB69" s="197"/>
      <c r="QKC69" s="198"/>
      <c r="QKD69" s="143" t="s">
        <v>22</v>
      </c>
      <c r="QKE69" s="144">
        <v>8150</v>
      </c>
      <c r="QKF69" s="152">
        <v>85</v>
      </c>
      <c r="QKG69" s="153">
        <v>215</v>
      </c>
      <c r="QKH69" s="153">
        <v>75</v>
      </c>
      <c r="QKI69" s="152">
        <v>150</v>
      </c>
      <c r="QKJ69" s="154">
        <f>SUM(QKE69:QKI69)</f>
        <v>8675</v>
      </c>
      <c r="QKK69" s="152">
        <v>200</v>
      </c>
      <c r="QKL69" s="154">
        <f>SUM(QKJ69:QKK69)</f>
        <v>8875</v>
      </c>
      <c r="QKM69" s="147" t="s">
        <v>99</v>
      </c>
      <c r="QKN69" s="148">
        <v>45845</v>
      </c>
      <c r="QKO69" s="143" t="s">
        <v>46</v>
      </c>
      <c r="QKP69" s="199"/>
      <c r="QKQ69" s="149" t="s">
        <v>125</v>
      </c>
      <c r="QKR69" s="197"/>
      <c r="QKS69" s="198"/>
      <c r="QKT69" s="143" t="s">
        <v>22</v>
      </c>
      <c r="QKU69" s="144">
        <v>8150</v>
      </c>
      <c r="QKV69" s="152">
        <v>85</v>
      </c>
      <c r="QKW69" s="153">
        <v>215</v>
      </c>
      <c r="QKX69" s="153">
        <v>75</v>
      </c>
      <c r="QKY69" s="152">
        <v>150</v>
      </c>
      <c r="QKZ69" s="154">
        <f>SUM(QKU69:QKY69)</f>
        <v>8675</v>
      </c>
      <c r="QLA69" s="152">
        <v>200</v>
      </c>
      <c r="QLB69" s="154">
        <f>SUM(QKZ69:QLA69)</f>
        <v>8875</v>
      </c>
      <c r="QLC69" s="147" t="s">
        <v>99</v>
      </c>
      <c r="QLD69" s="148">
        <v>45845</v>
      </c>
      <c r="QLE69" s="143" t="s">
        <v>46</v>
      </c>
      <c r="QLF69" s="199"/>
      <c r="QLG69" s="149" t="s">
        <v>125</v>
      </c>
      <c r="QLH69" s="197"/>
      <c r="QLI69" s="198"/>
      <c r="QLJ69" s="143" t="s">
        <v>22</v>
      </c>
      <c r="QLK69" s="144">
        <v>8150</v>
      </c>
      <c r="QLL69" s="152">
        <v>85</v>
      </c>
      <c r="QLM69" s="153">
        <v>215</v>
      </c>
      <c r="QLN69" s="153">
        <v>75</v>
      </c>
      <c r="QLO69" s="152">
        <v>150</v>
      </c>
      <c r="QLP69" s="154">
        <f>SUM(QLK69:QLO69)</f>
        <v>8675</v>
      </c>
      <c r="QLQ69" s="152">
        <v>200</v>
      </c>
      <c r="QLR69" s="154">
        <f>SUM(QLP69:QLQ69)</f>
        <v>8875</v>
      </c>
      <c r="QLS69" s="147" t="s">
        <v>99</v>
      </c>
      <c r="QLT69" s="148">
        <v>45845</v>
      </c>
      <c r="QLU69" s="143" t="s">
        <v>46</v>
      </c>
      <c r="QLV69" s="199"/>
      <c r="QLW69" s="149" t="s">
        <v>125</v>
      </c>
      <c r="QLX69" s="197"/>
      <c r="QLY69" s="198"/>
      <c r="QLZ69" s="143" t="s">
        <v>22</v>
      </c>
      <c r="QMA69" s="144">
        <v>8150</v>
      </c>
      <c r="QMB69" s="152">
        <v>85</v>
      </c>
      <c r="QMC69" s="153">
        <v>215</v>
      </c>
      <c r="QMD69" s="153">
        <v>75</v>
      </c>
      <c r="QME69" s="152">
        <v>150</v>
      </c>
      <c r="QMF69" s="154">
        <f>SUM(QMA69:QME69)</f>
        <v>8675</v>
      </c>
      <c r="QMG69" s="152">
        <v>200</v>
      </c>
      <c r="QMH69" s="154">
        <f>SUM(QMF69:QMG69)</f>
        <v>8875</v>
      </c>
      <c r="QMI69" s="147" t="s">
        <v>99</v>
      </c>
      <c r="QMJ69" s="148">
        <v>45845</v>
      </c>
      <c r="QMK69" s="143" t="s">
        <v>46</v>
      </c>
      <c r="QML69" s="199"/>
      <c r="QMM69" s="149" t="s">
        <v>125</v>
      </c>
      <c r="QMN69" s="197"/>
      <c r="QMO69" s="198"/>
      <c r="QMP69" s="143" t="s">
        <v>22</v>
      </c>
      <c r="QMQ69" s="144">
        <v>8150</v>
      </c>
      <c r="QMR69" s="152">
        <v>85</v>
      </c>
      <c r="QMS69" s="153">
        <v>215</v>
      </c>
      <c r="QMT69" s="153">
        <v>75</v>
      </c>
      <c r="QMU69" s="152">
        <v>150</v>
      </c>
      <c r="QMV69" s="154">
        <f>SUM(QMQ69:QMU69)</f>
        <v>8675</v>
      </c>
      <c r="QMW69" s="152">
        <v>200</v>
      </c>
      <c r="QMX69" s="154">
        <f>SUM(QMV69:QMW69)</f>
        <v>8875</v>
      </c>
      <c r="QMY69" s="147" t="s">
        <v>99</v>
      </c>
      <c r="QMZ69" s="148">
        <v>45845</v>
      </c>
      <c r="QNA69" s="143" t="s">
        <v>46</v>
      </c>
      <c r="QNB69" s="199"/>
      <c r="QNC69" s="149" t="s">
        <v>125</v>
      </c>
      <c r="QND69" s="197"/>
      <c r="QNE69" s="198"/>
      <c r="QNF69" s="143" t="s">
        <v>22</v>
      </c>
      <c r="QNG69" s="144">
        <v>8150</v>
      </c>
      <c r="QNH69" s="152">
        <v>85</v>
      </c>
      <c r="QNI69" s="153">
        <v>215</v>
      </c>
      <c r="QNJ69" s="153">
        <v>75</v>
      </c>
      <c r="QNK69" s="152">
        <v>150</v>
      </c>
      <c r="QNL69" s="154">
        <f>SUM(QNG69:QNK69)</f>
        <v>8675</v>
      </c>
      <c r="QNM69" s="152">
        <v>200</v>
      </c>
      <c r="QNN69" s="154">
        <f>SUM(QNL69:QNM69)</f>
        <v>8875</v>
      </c>
      <c r="QNO69" s="147" t="s">
        <v>99</v>
      </c>
      <c r="QNP69" s="148">
        <v>45845</v>
      </c>
      <c r="QNQ69" s="143" t="s">
        <v>46</v>
      </c>
      <c r="QNR69" s="199"/>
      <c r="QNS69" s="149" t="s">
        <v>125</v>
      </c>
      <c r="QNT69" s="197"/>
      <c r="QNU69" s="198"/>
      <c r="QNV69" s="143" t="s">
        <v>22</v>
      </c>
      <c r="QNW69" s="144">
        <v>8150</v>
      </c>
      <c r="QNX69" s="152">
        <v>85</v>
      </c>
      <c r="QNY69" s="153">
        <v>215</v>
      </c>
      <c r="QNZ69" s="153">
        <v>75</v>
      </c>
      <c r="QOA69" s="152">
        <v>150</v>
      </c>
      <c r="QOB69" s="154">
        <f>SUM(QNW69:QOA69)</f>
        <v>8675</v>
      </c>
      <c r="QOC69" s="152">
        <v>200</v>
      </c>
      <c r="QOD69" s="154">
        <f>SUM(QOB69:QOC69)</f>
        <v>8875</v>
      </c>
      <c r="QOE69" s="147" t="s">
        <v>99</v>
      </c>
      <c r="QOF69" s="148">
        <v>45845</v>
      </c>
      <c r="QOG69" s="143" t="s">
        <v>46</v>
      </c>
      <c r="QOH69" s="199"/>
      <c r="QOI69" s="149" t="s">
        <v>125</v>
      </c>
      <c r="QOJ69" s="197"/>
      <c r="QOK69" s="198"/>
      <c r="QOL69" s="143" t="s">
        <v>22</v>
      </c>
      <c r="QOM69" s="144">
        <v>8150</v>
      </c>
      <c r="QON69" s="152">
        <v>85</v>
      </c>
      <c r="QOO69" s="153">
        <v>215</v>
      </c>
      <c r="QOP69" s="153">
        <v>75</v>
      </c>
      <c r="QOQ69" s="152">
        <v>150</v>
      </c>
      <c r="QOR69" s="154">
        <f>SUM(QOM69:QOQ69)</f>
        <v>8675</v>
      </c>
      <c r="QOS69" s="152">
        <v>200</v>
      </c>
      <c r="QOT69" s="154">
        <f>SUM(QOR69:QOS69)</f>
        <v>8875</v>
      </c>
      <c r="QOU69" s="147" t="s">
        <v>99</v>
      </c>
      <c r="QOV69" s="148">
        <v>45845</v>
      </c>
      <c r="QOW69" s="143" t="s">
        <v>46</v>
      </c>
      <c r="QOX69" s="199"/>
      <c r="QOY69" s="149" t="s">
        <v>125</v>
      </c>
      <c r="QOZ69" s="197"/>
      <c r="QPA69" s="198"/>
      <c r="QPB69" s="143" t="s">
        <v>22</v>
      </c>
      <c r="QPC69" s="144">
        <v>8150</v>
      </c>
      <c r="QPD69" s="152">
        <v>85</v>
      </c>
      <c r="QPE69" s="153">
        <v>215</v>
      </c>
      <c r="QPF69" s="153">
        <v>75</v>
      </c>
      <c r="QPG69" s="152">
        <v>150</v>
      </c>
      <c r="QPH69" s="154">
        <f>SUM(QPC69:QPG69)</f>
        <v>8675</v>
      </c>
      <c r="QPI69" s="152">
        <v>200</v>
      </c>
      <c r="QPJ69" s="154">
        <f>SUM(QPH69:QPI69)</f>
        <v>8875</v>
      </c>
      <c r="QPK69" s="147" t="s">
        <v>99</v>
      </c>
      <c r="QPL69" s="148">
        <v>45845</v>
      </c>
      <c r="QPM69" s="143" t="s">
        <v>46</v>
      </c>
      <c r="QPN69" s="199"/>
      <c r="QPO69" s="149" t="s">
        <v>125</v>
      </c>
      <c r="QPP69" s="197"/>
      <c r="QPQ69" s="198"/>
      <c r="QPR69" s="143" t="s">
        <v>22</v>
      </c>
      <c r="QPS69" s="144">
        <v>8150</v>
      </c>
      <c r="QPT69" s="152">
        <v>85</v>
      </c>
      <c r="QPU69" s="153">
        <v>215</v>
      </c>
      <c r="QPV69" s="153">
        <v>75</v>
      </c>
      <c r="QPW69" s="152">
        <v>150</v>
      </c>
      <c r="QPX69" s="154">
        <f>SUM(QPS69:QPW69)</f>
        <v>8675</v>
      </c>
      <c r="QPY69" s="152">
        <v>200</v>
      </c>
      <c r="QPZ69" s="154">
        <f>SUM(QPX69:QPY69)</f>
        <v>8875</v>
      </c>
      <c r="QQA69" s="147" t="s">
        <v>99</v>
      </c>
      <c r="QQB69" s="148">
        <v>45845</v>
      </c>
      <c r="QQC69" s="143" t="s">
        <v>46</v>
      </c>
      <c r="QQD69" s="199"/>
      <c r="QQE69" s="149" t="s">
        <v>125</v>
      </c>
      <c r="QQF69" s="197"/>
      <c r="QQG69" s="198"/>
      <c r="QQH69" s="143" t="s">
        <v>22</v>
      </c>
      <c r="QQI69" s="144">
        <v>8150</v>
      </c>
      <c r="QQJ69" s="152">
        <v>85</v>
      </c>
      <c r="QQK69" s="153">
        <v>215</v>
      </c>
      <c r="QQL69" s="153">
        <v>75</v>
      </c>
      <c r="QQM69" s="152">
        <v>150</v>
      </c>
      <c r="QQN69" s="154">
        <f>SUM(QQI69:QQM69)</f>
        <v>8675</v>
      </c>
      <c r="QQO69" s="152">
        <v>200</v>
      </c>
      <c r="QQP69" s="154">
        <f>SUM(QQN69:QQO69)</f>
        <v>8875</v>
      </c>
      <c r="QQQ69" s="147" t="s">
        <v>99</v>
      </c>
      <c r="QQR69" s="148">
        <v>45845</v>
      </c>
      <c r="QQS69" s="143" t="s">
        <v>46</v>
      </c>
      <c r="QQT69" s="199"/>
      <c r="QQU69" s="149" t="s">
        <v>125</v>
      </c>
      <c r="QQV69" s="197"/>
      <c r="QQW69" s="198"/>
      <c r="QQX69" s="143" t="s">
        <v>22</v>
      </c>
      <c r="QQY69" s="144">
        <v>8150</v>
      </c>
      <c r="QQZ69" s="152">
        <v>85</v>
      </c>
      <c r="QRA69" s="153">
        <v>215</v>
      </c>
      <c r="QRB69" s="153">
        <v>75</v>
      </c>
      <c r="QRC69" s="152">
        <v>150</v>
      </c>
      <c r="QRD69" s="154">
        <f>SUM(QQY69:QRC69)</f>
        <v>8675</v>
      </c>
      <c r="QRE69" s="152">
        <v>200</v>
      </c>
      <c r="QRF69" s="154">
        <f>SUM(QRD69:QRE69)</f>
        <v>8875</v>
      </c>
      <c r="QRG69" s="147" t="s">
        <v>99</v>
      </c>
      <c r="QRH69" s="148">
        <v>45845</v>
      </c>
      <c r="QRI69" s="143" t="s">
        <v>46</v>
      </c>
      <c r="QRJ69" s="199"/>
      <c r="QRK69" s="149" t="s">
        <v>125</v>
      </c>
      <c r="QRL69" s="197"/>
      <c r="QRM69" s="198"/>
      <c r="QRN69" s="143" t="s">
        <v>22</v>
      </c>
      <c r="QRO69" s="144">
        <v>8150</v>
      </c>
      <c r="QRP69" s="152">
        <v>85</v>
      </c>
      <c r="QRQ69" s="153">
        <v>215</v>
      </c>
      <c r="QRR69" s="153">
        <v>75</v>
      </c>
      <c r="QRS69" s="152">
        <v>150</v>
      </c>
      <c r="QRT69" s="154">
        <f>SUM(QRO69:QRS69)</f>
        <v>8675</v>
      </c>
      <c r="QRU69" s="152">
        <v>200</v>
      </c>
      <c r="QRV69" s="154">
        <f>SUM(QRT69:QRU69)</f>
        <v>8875</v>
      </c>
      <c r="QRW69" s="147" t="s">
        <v>99</v>
      </c>
      <c r="QRX69" s="148">
        <v>45845</v>
      </c>
      <c r="QRY69" s="143" t="s">
        <v>46</v>
      </c>
      <c r="QRZ69" s="199"/>
      <c r="QSA69" s="149" t="s">
        <v>125</v>
      </c>
      <c r="QSB69" s="197"/>
      <c r="QSC69" s="198"/>
      <c r="QSD69" s="143" t="s">
        <v>22</v>
      </c>
      <c r="QSE69" s="144">
        <v>8150</v>
      </c>
      <c r="QSF69" s="152">
        <v>85</v>
      </c>
      <c r="QSG69" s="153">
        <v>215</v>
      </c>
      <c r="QSH69" s="153">
        <v>75</v>
      </c>
      <c r="QSI69" s="152">
        <v>150</v>
      </c>
      <c r="QSJ69" s="154">
        <f>SUM(QSE69:QSI69)</f>
        <v>8675</v>
      </c>
      <c r="QSK69" s="152">
        <v>200</v>
      </c>
      <c r="QSL69" s="154">
        <f>SUM(QSJ69:QSK69)</f>
        <v>8875</v>
      </c>
      <c r="QSM69" s="147" t="s">
        <v>99</v>
      </c>
      <c r="QSN69" s="148">
        <v>45845</v>
      </c>
      <c r="QSO69" s="143" t="s">
        <v>46</v>
      </c>
      <c r="QSP69" s="199"/>
      <c r="QSQ69" s="149" t="s">
        <v>125</v>
      </c>
      <c r="QSR69" s="197"/>
      <c r="QSS69" s="198"/>
      <c r="QST69" s="143" t="s">
        <v>22</v>
      </c>
      <c r="QSU69" s="144">
        <v>8150</v>
      </c>
      <c r="QSV69" s="152">
        <v>85</v>
      </c>
      <c r="QSW69" s="153">
        <v>215</v>
      </c>
      <c r="QSX69" s="153">
        <v>75</v>
      </c>
      <c r="QSY69" s="152">
        <v>150</v>
      </c>
      <c r="QSZ69" s="154">
        <f>SUM(QSU69:QSY69)</f>
        <v>8675</v>
      </c>
      <c r="QTA69" s="152">
        <v>200</v>
      </c>
      <c r="QTB69" s="154">
        <f>SUM(QSZ69:QTA69)</f>
        <v>8875</v>
      </c>
      <c r="QTC69" s="147" t="s">
        <v>99</v>
      </c>
      <c r="QTD69" s="148">
        <v>45845</v>
      </c>
      <c r="QTE69" s="143" t="s">
        <v>46</v>
      </c>
      <c r="QTF69" s="199"/>
      <c r="QTG69" s="149" t="s">
        <v>125</v>
      </c>
      <c r="QTH69" s="197"/>
      <c r="QTI69" s="198"/>
      <c r="QTJ69" s="143" t="s">
        <v>22</v>
      </c>
      <c r="QTK69" s="144">
        <v>8150</v>
      </c>
      <c r="QTL69" s="152">
        <v>85</v>
      </c>
      <c r="QTM69" s="153">
        <v>215</v>
      </c>
      <c r="QTN69" s="153">
        <v>75</v>
      </c>
      <c r="QTO69" s="152">
        <v>150</v>
      </c>
      <c r="QTP69" s="154">
        <f>SUM(QTK69:QTO69)</f>
        <v>8675</v>
      </c>
      <c r="QTQ69" s="152">
        <v>200</v>
      </c>
      <c r="QTR69" s="154">
        <f>SUM(QTP69:QTQ69)</f>
        <v>8875</v>
      </c>
      <c r="QTS69" s="147" t="s">
        <v>99</v>
      </c>
      <c r="QTT69" s="148">
        <v>45845</v>
      </c>
      <c r="QTU69" s="143" t="s">
        <v>46</v>
      </c>
      <c r="QTV69" s="199"/>
      <c r="QTW69" s="149" t="s">
        <v>125</v>
      </c>
      <c r="QTX69" s="197"/>
      <c r="QTY69" s="198"/>
      <c r="QTZ69" s="143" t="s">
        <v>22</v>
      </c>
      <c r="QUA69" s="144">
        <v>8150</v>
      </c>
      <c r="QUB69" s="152">
        <v>85</v>
      </c>
      <c r="QUC69" s="153">
        <v>215</v>
      </c>
      <c r="QUD69" s="153">
        <v>75</v>
      </c>
      <c r="QUE69" s="152">
        <v>150</v>
      </c>
      <c r="QUF69" s="154">
        <f>SUM(QUA69:QUE69)</f>
        <v>8675</v>
      </c>
      <c r="QUG69" s="152">
        <v>200</v>
      </c>
      <c r="QUH69" s="154">
        <f>SUM(QUF69:QUG69)</f>
        <v>8875</v>
      </c>
      <c r="QUI69" s="147" t="s">
        <v>99</v>
      </c>
      <c r="QUJ69" s="148">
        <v>45845</v>
      </c>
      <c r="QUK69" s="143" t="s">
        <v>46</v>
      </c>
      <c r="QUL69" s="199"/>
      <c r="QUM69" s="149" t="s">
        <v>125</v>
      </c>
      <c r="QUN69" s="197"/>
      <c r="QUO69" s="198"/>
      <c r="QUP69" s="143" t="s">
        <v>22</v>
      </c>
      <c r="QUQ69" s="144">
        <v>8150</v>
      </c>
      <c r="QUR69" s="152">
        <v>85</v>
      </c>
      <c r="QUS69" s="153">
        <v>215</v>
      </c>
      <c r="QUT69" s="153">
        <v>75</v>
      </c>
      <c r="QUU69" s="152">
        <v>150</v>
      </c>
      <c r="QUV69" s="154">
        <f>SUM(QUQ69:QUU69)</f>
        <v>8675</v>
      </c>
      <c r="QUW69" s="152">
        <v>200</v>
      </c>
      <c r="QUX69" s="154">
        <f>SUM(QUV69:QUW69)</f>
        <v>8875</v>
      </c>
      <c r="QUY69" s="147" t="s">
        <v>99</v>
      </c>
      <c r="QUZ69" s="148">
        <v>45845</v>
      </c>
      <c r="QVA69" s="143" t="s">
        <v>46</v>
      </c>
      <c r="QVB69" s="199"/>
      <c r="QVC69" s="149" t="s">
        <v>125</v>
      </c>
      <c r="QVD69" s="197"/>
      <c r="QVE69" s="198"/>
      <c r="QVF69" s="143" t="s">
        <v>22</v>
      </c>
      <c r="QVG69" s="144">
        <v>8150</v>
      </c>
      <c r="QVH69" s="152">
        <v>85</v>
      </c>
      <c r="QVI69" s="153">
        <v>215</v>
      </c>
      <c r="QVJ69" s="153">
        <v>75</v>
      </c>
      <c r="QVK69" s="152">
        <v>150</v>
      </c>
      <c r="QVL69" s="154">
        <f>SUM(QVG69:QVK69)</f>
        <v>8675</v>
      </c>
      <c r="QVM69" s="152">
        <v>200</v>
      </c>
      <c r="QVN69" s="154">
        <f>SUM(QVL69:QVM69)</f>
        <v>8875</v>
      </c>
      <c r="QVO69" s="147" t="s">
        <v>99</v>
      </c>
      <c r="QVP69" s="148">
        <v>45845</v>
      </c>
      <c r="QVQ69" s="143" t="s">
        <v>46</v>
      </c>
      <c r="QVR69" s="199"/>
      <c r="QVS69" s="149" t="s">
        <v>125</v>
      </c>
      <c r="QVT69" s="197"/>
      <c r="QVU69" s="198"/>
      <c r="QVV69" s="143" t="s">
        <v>22</v>
      </c>
      <c r="QVW69" s="144">
        <v>8150</v>
      </c>
      <c r="QVX69" s="152">
        <v>85</v>
      </c>
      <c r="QVY69" s="153">
        <v>215</v>
      </c>
      <c r="QVZ69" s="153">
        <v>75</v>
      </c>
      <c r="QWA69" s="152">
        <v>150</v>
      </c>
      <c r="QWB69" s="154">
        <f>SUM(QVW69:QWA69)</f>
        <v>8675</v>
      </c>
      <c r="QWC69" s="152">
        <v>200</v>
      </c>
      <c r="QWD69" s="154">
        <f>SUM(QWB69:QWC69)</f>
        <v>8875</v>
      </c>
      <c r="QWE69" s="147" t="s">
        <v>99</v>
      </c>
      <c r="QWF69" s="148">
        <v>45845</v>
      </c>
      <c r="QWG69" s="143" t="s">
        <v>46</v>
      </c>
      <c r="QWH69" s="199"/>
      <c r="QWI69" s="149" t="s">
        <v>125</v>
      </c>
      <c r="QWJ69" s="197"/>
      <c r="QWK69" s="198"/>
      <c r="QWL69" s="143" t="s">
        <v>22</v>
      </c>
      <c r="QWM69" s="144">
        <v>8150</v>
      </c>
      <c r="QWN69" s="152">
        <v>85</v>
      </c>
      <c r="QWO69" s="153">
        <v>215</v>
      </c>
      <c r="QWP69" s="153">
        <v>75</v>
      </c>
      <c r="QWQ69" s="152">
        <v>150</v>
      </c>
      <c r="QWR69" s="154">
        <f>SUM(QWM69:QWQ69)</f>
        <v>8675</v>
      </c>
      <c r="QWS69" s="152">
        <v>200</v>
      </c>
      <c r="QWT69" s="154">
        <f>SUM(QWR69:QWS69)</f>
        <v>8875</v>
      </c>
      <c r="QWU69" s="147" t="s">
        <v>99</v>
      </c>
      <c r="QWV69" s="148">
        <v>45845</v>
      </c>
      <c r="QWW69" s="143" t="s">
        <v>46</v>
      </c>
      <c r="QWX69" s="199"/>
      <c r="QWY69" s="149" t="s">
        <v>125</v>
      </c>
      <c r="QWZ69" s="197"/>
      <c r="QXA69" s="198"/>
      <c r="QXB69" s="143" t="s">
        <v>22</v>
      </c>
      <c r="QXC69" s="144">
        <v>8150</v>
      </c>
      <c r="QXD69" s="152">
        <v>85</v>
      </c>
      <c r="QXE69" s="153">
        <v>215</v>
      </c>
      <c r="QXF69" s="153">
        <v>75</v>
      </c>
      <c r="QXG69" s="152">
        <v>150</v>
      </c>
      <c r="QXH69" s="154">
        <f>SUM(QXC69:QXG69)</f>
        <v>8675</v>
      </c>
      <c r="QXI69" s="152">
        <v>200</v>
      </c>
      <c r="QXJ69" s="154">
        <f>SUM(QXH69:QXI69)</f>
        <v>8875</v>
      </c>
      <c r="QXK69" s="147" t="s">
        <v>99</v>
      </c>
      <c r="QXL69" s="148">
        <v>45845</v>
      </c>
      <c r="QXM69" s="143" t="s">
        <v>46</v>
      </c>
      <c r="QXN69" s="199"/>
      <c r="QXO69" s="149" t="s">
        <v>125</v>
      </c>
      <c r="QXP69" s="197"/>
      <c r="QXQ69" s="198"/>
      <c r="QXR69" s="143" t="s">
        <v>22</v>
      </c>
      <c r="QXS69" s="144">
        <v>8150</v>
      </c>
      <c r="QXT69" s="152">
        <v>85</v>
      </c>
      <c r="QXU69" s="153">
        <v>215</v>
      </c>
      <c r="QXV69" s="153">
        <v>75</v>
      </c>
      <c r="QXW69" s="152">
        <v>150</v>
      </c>
      <c r="QXX69" s="154">
        <f>SUM(QXS69:QXW69)</f>
        <v>8675</v>
      </c>
      <c r="QXY69" s="152">
        <v>200</v>
      </c>
      <c r="QXZ69" s="154">
        <f>SUM(QXX69:QXY69)</f>
        <v>8875</v>
      </c>
      <c r="QYA69" s="147" t="s">
        <v>99</v>
      </c>
      <c r="QYB69" s="148">
        <v>45845</v>
      </c>
      <c r="QYC69" s="143" t="s">
        <v>46</v>
      </c>
      <c r="QYD69" s="199"/>
      <c r="QYE69" s="149" t="s">
        <v>125</v>
      </c>
      <c r="QYF69" s="197"/>
      <c r="QYG69" s="198"/>
      <c r="QYH69" s="143" t="s">
        <v>22</v>
      </c>
      <c r="QYI69" s="144">
        <v>8150</v>
      </c>
      <c r="QYJ69" s="152">
        <v>85</v>
      </c>
      <c r="QYK69" s="153">
        <v>215</v>
      </c>
      <c r="QYL69" s="153">
        <v>75</v>
      </c>
      <c r="QYM69" s="152">
        <v>150</v>
      </c>
      <c r="QYN69" s="154">
        <f>SUM(QYI69:QYM69)</f>
        <v>8675</v>
      </c>
      <c r="QYO69" s="152">
        <v>200</v>
      </c>
      <c r="QYP69" s="154">
        <f>SUM(QYN69:QYO69)</f>
        <v>8875</v>
      </c>
      <c r="QYQ69" s="147" t="s">
        <v>99</v>
      </c>
      <c r="QYR69" s="148">
        <v>45845</v>
      </c>
      <c r="QYS69" s="143" t="s">
        <v>46</v>
      </c>
      <c r="QYT69" s="199"/>
      <c r="QYU69" s="149" t="s">
        <v>125</v>
      </c>
      <c r="QYV69" s="197"/>
      <c r="QYW69" s="198"/>
      <c r="QYX69" s="143" t="s">
        <v>22</v>
      </c>
      <c r="QYY69" s="144">
        <v>8150</v>
      </c>
      <c r="QYZ69" s="152">
        <v>85</v>
      </c>
      <c r="QZA69" s="153">
        <v>215</v>
      </c>
      <c r="QZB69" s="153">
        <v>75</v>
      </c>
      <c r="QZC69" s="152">
        <v>150</v>
      </c>
      <c r="QZD69" s="154">
        <f>SUM(QYY69:QZC69)</f>
        <v>8675</v>
      </c>
      <c r="QZE69" s="152">
        <v>200</v>
      </c>
      <c r="QZF69" s="154">
        <f>SUM(QZD69:QZE69)</f>
        <v>8875</v>
      </c>
      <c r="QZG69" s="147" t="s">
        <v>99</v>
      </c>
      <c r="QZH69" s="148">
        <v>45845</v>
      </c>
      <c r="QZI69" s="143" t="s">
        <v>46</v>
      </c>
      <c r="QZJ69" s="199"/>
      <c r="QZK69" s="149" t="s">
        <v>125</v>
      </c>
      <c r="QZL69" s="197"/>
      <c r="QZM69" s="198"/>
      <c r="QZN69" s="143" t="s">
        <v>22</v>
      </c>
      <c r="QZO69" s="144">
        <v>8150</v>
      </c>
      <c r="QZP69" s="152">
        <v>85</v>
      </c>
      <c r="QZQ69" s="153">
        <v>215</v>
      </c>
      <c r="QZR69" s="153">
        <v>75</v>
      </c>
      <c r="QZS69" s="152">
        <v>150</v>
      </c>
      <c r="QZT69" s="154">
        <f>SUM(QZO69:QZS69)</f>
        <v>8675</v>
      </c>
      <c r="QZU69" s="152">
        <v>200</v>
      </c>
      <c r="QZV69" s="154">
        <f>SUM(QZT69:QZU69)</f>
        <v>8875</v>
      </c>
      <c r="QZW69" s="147" t="s">
        <v>99</v>
      </c>
      <c r="QZX69" s="148">
        <v>45845</v>
      </c>
      <c r="QZY69" s="143" t="s">
        <v>46</v>
      </c>
      <c r="QZZ69" s="199"/>
      <c r="RAA69" s="149" t="s">
        <v>125</v>
      </c>
      <c r="RAB69" s="197"/>
      <c r="RAC69" s="198"/>
      <c r="RAD69" s="143" t="s">
        <v>22</v>
      </c>
      <c r="RWW69" s="198"/>
      <c r="RWX69" s="143" t="s">
        <v>22</v>
      </c>
      <c r="RWY69" s="144">
        <v>8150</v>
      </c>
      <c r="RWZ69" s="152">
        <v>85</v>
      </c>
      <c r="RXA69" s="153">
        <v>215</v>
      </c>
      <c r="RXB69" s="153">
        <v>75</v>
      </c>
      <c r="RXC69" s="152">
        <v>150</v>
      </c>
      <c r="RXD69" s="154">
        <f>SUM(RWY69:RXC69)</f>
        <v>8675</v>
      </c>
      <c r="RXE69" s="152">
        <v>200</v>
      </c>
      <c r="RXF69" s="154">
        <f>SUM(RXD69:RXE69)</f>
        <v>8875</v>
      </c>
      <c r="RXG69" s="147" t="s">
        <v>99</v>
      </c>
      <c r="RXH69" s="148">
        <v>45845</v>
      </c>
      <c r="RXI69" s="143" t="s">
        <v>46</v>
      </c>
      <c r="RXJ69" s="199"/>
      <c r="RXK69" s="149" t="s">
        <v>125</v>
      </c>
      <c r="RXL69" s="197"/>
      <c r="RXM69" s="198"/>
      <c r="RXN69" s="143" t="s">
        <v>22</v>
      </c>
      <c r="RXO69" s="144">
        <v>8150</v>
      </c>
      <c r="RXP69" s="152">
        <v>85</v>
      </c>
      <c r="RXQ69" s="153">
        <v>215</v>
      </c>
      <c r="RXR69" s="153">
        <v>75</v>
      </c>
      <c r="RXS69" s="152">
        <v>150</v>
      </c>
      <c r="RXT69" s="154">
        <f>SUM(RXO69:RXS69)</f>
        <v>8675</v>
      </c>
      <c r="RXU69" s="152">
        <v>200</v>
      </c>
      <c r="RXV69" s="154">
        <f>SUM(RXT69:RXU69)</f>
        <v>8875</v>
      </c>
      <c r="RXW69" s="147" t="s">
        <v>99</v>
      </c>
      <c r="RXX69" s="148">
        <v>45845</v>
      </c>
      <c r="RXY69" s="143" t="s">
        <v>46</v>
      </c>
      <c r="RXZ69" s="199"/>
      <c r="RYA69" s="149" t="s">
        <v>125</v>
      </c>
      <c r="RYB69" s="197"/>
      <c r="RYC69" s="198"/>
      <c r="RYD69" s="143" t="s">
        <v>22</v>
      </c>
      <c r="RYE69" s="144">
        <v>8150</v>
      </c>
      <c r="RYF69" s="152">
        <v>85</v>
      </c>
      <c r="RYG69" s="153">
        <v>215</v>
      </c>
      <c r="RYH69" s="153">
        <v>75</v>
      </c>
      <c r="RYI69" s="152">
        <v>150</v>
      </c>
      <c r="RYJ69" s="154">
        <f>SUM(RYE69:RYI69)</f>
        <v>8675</v>
      </c>
      <c r="RYK69" s="152">
        <v>200</v>
      </c>
      <c r="RYL69" s="154">
        <f>SUM(RYJ69:RYK69)</f>
        <v>8875</v>
      </c>
      <c r="RYM69" s="147" t="s">
        <v>99</v>
      </c>
      <c r="RYN69" s="148">
        <v>45845</v>
      </c>
      <c r="RYO69" s="143" t="s">
        <v>46</v>
      </c>
      <c r="RYP69" s="199"/>
      <c r="RYQ69" s="149" t="s">
        <v>125</v>
      </c>
      <c r="RYR69" s="197"/>
      <c r="RYS69" s="198"/>
      <c r="RYT69" s="143" t="s">
        <v>22</v>
      </c>
      <c r="RYU69" s="144">
        <v>8150</v>
      </c>
      <c r="RYV69" s="152">
        <v>85</v>
      </c>
      <c r="RYW69" s="153">
        <v>215</v>
      </c>
      <c r="RYX69" s="153">
        <v>75</v>
      </c>
      <c r="RYY69" s="152">
        <v>150</v>
      </c>
      <c r="RYZ69" s="154">
        <f>SUM(RYU69:RYY69)</f>
        <v>8675</v>
      </c>
      <c r="RZA69" s="152">
        <v>200</v>
      </c>
      <c r="RZB69" s="154">
        <f>SUM(RYZ69:RZA69)</f>
        <v>8875</v>
      </c>
      <c r="RZC69" s="147" t="s">
        <v>99</v>
      </c>
      <c r="RZD69" s="148">
        <v>45845</v>
      </c>
      <c r="RZE69" s="143" t="s">
        <v>46</v>
      </c>
      <c r="RZF69" s="199"/>
      <c r="RZG69" s="149" t="s">
        <v>125</v>
      </c>
      <c r="RZH69" s="197"/>
      <c r="RZI69" s="198"/>
      <c r="RZJ69" s="143" t="s">
        <v>22</v>
      </c>
      <c r="RZK69" s="144">
        <v>8150</v>
      </c>
      <c r="RZL69" s="152">
        <v>85</v>
      </c>
      <c r="RZM69" s="153">
        <v>215</v>
      </c>
      <c r="RZN69" s="153">
        <v>75</v>
      </c>
      <c r="RZO69" s="152">
        <v>150</v>
      </c>
      <c r="RZP69" s="154">
        <f>SUM(RZK69:RZO69)</f>
        <v>8675</v>
      </c>
      <c r="RZQ69" s="152">
        <v>200</v>
      </c>
      <c r="RZR69" s="154">
        <f>SUM(RZP69:RZQ69)</f>
        <v>8875</v>
      </c>
      <c r="RZS69" s="147" t="s">
        <v>99</v>
      </c>
      <c r="RZT69" s="148">
        <v>45845</v>
      </c>
      <c r="RZU69" s="143" t="s">
        <v>46</v>
      </c>
      <c r="RZV69" s="199"/>
      <c r="RZW69" s="149" t="s">
        <v>125</v>
      </c>
      <c r="RZX69" s="197"/>
      <c r="RZY69" s="198"/>
      <c r="RZZ69" s="143" t="s">
        <v>22</v>
      </c>
      <c r="SAA69" s="144">
        <v>8150</v>
      </c>
      <c r="SAB69" s="152">
        <v>85</v>
      </c>
      <c r="SAC69" s="153">
        <v>215</v>
      </c>
      <c r="SAD69" s="153">
        <v>75</v>
      </c>
      <c r="SAE69" s="152">
        <v>150</v>
      </c>
      <c r="SAF69" s="154">
        <f>SUM(SAA69:SAE69)</f>
        <v>8675</v>
      </c>
      <c r="SAG69" s="152">
        <v>200</v>
      </c>
      <c r="SAH69" s="154">
        <f>SUM(SAF69:SAG69)</f>
        <v>8875</v>
      </c>
      <c r="SAI69" s="147" t="s">
        <v>99</v>
      </c>
      <c r="SAJ69" s="148">
        <v>45845</v>
      </c>
      <c r="SAK69" s="143" t="s">
        <v>46</v>
      </c>
      <c r="SAL69" s="199"/>
      <c r="SAM69" s="149" t="s">
        <v>125</v>
      </c>
      <c r="SAN69" s="197"/>
      <c r="SAO69" s="198"/>
      <c r="SAP69" s="143" t="s">
        <v>22</v>
      </c>
      <c r="SAQ69" s="144">
        <v>8150</v>
      </c>
      <c r="SAR69" s="152">
        <v>85</v>
      </c>
      <c r="SAS69" s="153">
        <v>215</v>
      </c>
      <c r="SAT69" s="153">
        <v>75</v>
      </c>
      <c r="SAU69" s="152">
        <v>150</v>
      </c>
      <c r="SAV69" s="154">
        <f>SUM(SAQ69:SAU69)</f>
        <v>8675</v>
      </c>
      <c r="SAW69" s="152">
        <v>200</v>
      </c>
      <c r="SAX69" s="154">
        <f>SUM(SAV69:SAW69)</f>
        <v>8875</v>
      </c>
      <c r="SAY69" s="147" t="s">
        <v>99</v>
      </c>
      <c r="SAZ69" s="148">
        <v>45845</v>
      </c>
      <c r="SBA69" s="143" t="s">
        <v>46</v>
      </c>
      <c r="SBB69" s="199"/>
      <c r="SBC69" s="149" t="s">
        <v>125</v>
      </c>
      <c r="SBD69" s="197"/>
      <c r="SBE69" s="198"/>
      <c r="SBF69" s="143" t="s">
        <v>22</v>
      </c>
      <c r="SBG69" s="144">
        <v>8150</v>
      </c>
      <c r="SBH69" s="152">
        <v>85</v>
      </c>
      <c r="SBI69" s="153">
        <v>215</v>
      </c>
      <c r="SBJ69" s="153">
        <v>75</v>
      </c>
      <c r="SBK69" s="152">
        <v>150</v>
      </c>
      <c r="SBL69" s="154">
        <f>SUM(SBG69:SBK69)</f>
        <v>8675</v>
      </c>
      <c r="SBM69" s="152">
        <v>200</v>
      </c>
      <c r="SBN69" s="154">
        <f>SUM(SBL69:SBM69)</f>
        <v>8875</v>
      </c>
      <c r="SBO69" s="147" t="s">
        <v>99</v>
      </c>
      <c r="SBP69" s="148">
        <v>45845</v>
      </c>
      <c r="SBQ69" s="143" t="s">
        <v>46</v>
      </c>
      <c r="SBR69" s="199"/>
      <c r="SBS69" s="149" t="s">
        <v>125</v>
      </c>
      <c r="SBT69" s="197"/>
      <c r="SBU69" s="198"/>
      <c r="SBV69" s="143" t="s">
        <v>22</v>
      </c>
      <c r="SBW69" s="144">
        <v>8150</v>
      </c>
      <c r="SBX69" s="152">
        <v>85</v>
      </c>
      <c r="SBY69" s="153">
        <v>215</v>
      </c>
      <c r="SBZ69" s="153">
        <v>75</v>
      </c>
      <c r="SCA69" s="152">
        <v>150</v>
      </c>
      <c r="SCB69" s="154">
        <f>SUM(SBW69:SCA69)</f>
        <v>8675</v>
      </c>
      <c r="SCC69" s="152">
        <v>200</v>
      </c>
      <c r="SCD69" s="154">
        <f>SUM(SCB69:SCC69)</f>
        <v>8875</v>
      </c>
      <c r="SCE69" s="147" t="s">
        <v>99</v>
      </c>
      <c r="SCF69" s="148">
        <v>45845</v>
      </c>
      <c r="SCG69" s="143" t="s">
        <v>46</v>
      </c>
      <c r="SCH69" s="199"/>
      <c r="SCI69" s="149" t="s">
        <v>125</v>
      </c>
      <c r="SCJ69" s="197"/>
      <c r="SCK69" s="198"/>
      <c r="SCL69" s="143" t="s">
        <v>22</v>
      </c>
      <c r="SCM69" s="144">
        <v>8150</v>
      </c>
      <c r="SCN69" s="152">
        <v>85</v>
      </c>
      <c r="SCO69" s="153">
        <v>215</v>
      </c>
      <c r="SCP69" s="153">
        <v>75</v>
      </c>
      <c r="SCQ69" s="152">
        <v>150</v>
      </c>
      <c r="SCR69" s="154">
        <f>SUM(SCM69:SCQ69)</f>
        <v>8675</v>
      </c>
      <c r="SCS69" s="152">
        <v>200</v>
      </c>
      <c r="SCT69" s="154">
        <f>SUM(SCR69:SCS69)</f>
        <v>8875</v>
      </c>
      <c r="SCU69" s="147" t="s">
        <v>99</v>
      </c>
      <c r="SCV69" s="148">
        <v>45845</v>
      </c>
      <c r="SCW69" s="143" t="s">
        <v>46</v>
      </c>
      <c r="SCX69" s="199"/>
      <c r="SCY69" s="149" t="s">
        <v>125</v>
      </c>
      <c r="SCZ69" s="197"/>
      <c r="SDA69" s="198"/>
      <c r="SDB69" s="143" t="s">
        <v>22</v>
      </c>
      <c r="SDC69" s="144">
        <v>8150</v>
      </c>
      <c r="SDD69" s="152">
        <v>85</v>
      </c>
      <c r="SDE69" s="153">
        <v>215</v>
      </c>
      <c r="SDF69" s="153">
        <v>75</v>
      </c>
      <c r="SDG69" s="152">
        <v>150</v>
      </c>
      <c r="SDH69" s="154">
        <f>SUM(SDC69:SDG69)</f>
        <v>8675</v>
      </c>
      <c r="SDI69" s="152">
        <v>200</v>
      </c>
      <c r="SDJ69" s="154">
        <f>SUM(SDH69:SDI69)</f>
        <v>8875</v>
      </c>
      <c r="SDK69" s="147" t="s">
        <v>99</v>
      </c>
      <c r="SDL69" s="148">
        <v>45845</v>
      </c>
      <c r="SDM69" s="143" t="s">
        <v>46</v>
      </c>
      <c r="SDN69" s="199"/>
      <c r="SDO69" s="149" t="s">
        <v>125</v>
      </c>
      <c r="SDP69" s="197"/>
      <c r="SDQ69" s="198"/>
      <c r="SDR69" s="143" t="s">
        <v>22</v>
      </c>
      <c r="SDS69" s="144">
        <v>8150</v>
      </c>
      <c r="SDT69" s="152">
        <v>85</v>
      </c>
      <c r="SDU69" s="153">
        <v>215</v>
      </c>
      <c r="SDV69" s="153">
        <v>75</v>
      </c>
      <c r="SDW69" s="152">
        <v>150</v>
      </c>
      <c r="SDX69" s="154">
        <f>SUM(SDS69:SDW69)</f>
        <v>8675</v>
      </c>
      <c r="SDY69" s="152">
        <v>200</v>
      </c>
      <c r="SDZ69" s="154">
        <f>SUM(SDX69:SDY69)</f>
        <v>8875</v>
      </c>
      <c r="SEA69" s="147" t="s">
        <v>99</v>
      </c>
      <c r="SEB69" s="148">
        <v>45845</v>
      </c>
      <c r="SEC69" s="143" t="s">
        <v>46</v>
      </c>
      <c r="SED69" s="199"/>
      <c r="SEE69" s="149" t="s">
        <v>125</v>
      </c>
      <c r="SEF69" s="197"/>
      <c r="SEG69" s="198"/>
      <c r="SEH69" s="143" t="s">
        <v>22</v>
      </c>
      <c r="SEI69" s="144">
        <v>8150</v>
      </c>
      <c r="SEJ69" s="152">
        <v>85</v>
      </c>
      <c r="SEK69" s="153">
        <v>215</v>
      </c>
      <c r="SEL69" s="153">
        <v>75</v>
      </c>
      <c r="SEM69" s="152">
        <v>150</v>
      </c>
      <c r="SEN69" s="154">
        <f>SUM(SEI69:SEM69)</f>
        <v>8675</v>
      </c>
      <c r="SEO69" s="152">
        <v>200</v>
      </c>
      <c r="SEP69" s="154">
        <f>SUM(SEN69:SEO69)</f>
        <v>8875</v>
      </c>
      <c r="SEQ69" s="147" t="s">
        <v>99</v>
      </c>
      <c r="SER69" s="148">
        <v>45845</v>
      </c>
      <c r="SES69" s="143" t="s">
        <v>46</v>
      </c>
      <c r="SET69" s="199"/>
      <c r="SEU69" s="149" t="s">
        <v>125</v>
      </c>
      <c r="SEV69" s="197"/>
      <c r="SEW69" s="198"/>
      <c r="SEX69" s="143" t="s">
        <v>22</v>
      </c>
      <c r="SEY69" s="144">
        <v>8150</v>
      </c>
      <c r="SEZ69" s="152">
        <v>85</v>
      </c>
      <c r="SFA69" s="153">
        <v>215</v>
      </c>
      <c r="SFB69" s="153">
        <v>75</v>
      </c>
      <c r="SFC69" s="152">
        <v>150</v>
      </c>
      <c r="SFD69" s="154">
        <f>SUM(SEY69:SFC69)</f>
        <v>8675</v>
      </c>
      <c r="SFE69" s="152">
        <v>200</v>
      </c>
      <c r="SFF69" s="154">
        <f>SUM(SFD69:SFE69)</f>
        <v>8875</v>
      </c>
      <c r="SFG69" s="147" t="s">
        <v>99</v>
      </c>
      <c r="SFH69" s="148">
        <v>45845</v>
      </c>
      <c r="SFI69" s="143" t="s">
        <v>46</v>
      </c>
      <c r="SFJ69" s="199"/>
      <c r="SFK69" s="149" t="s">
        <v>125</v>
      </c>
      <c r="SFL69" s="197"/>
      <c r="SFM69" s="198"/>
      <c r="SFN69" s="143" t="s">
        <v>22</v>
      </c>
      <c r="SFO69" s="144">
        <v>8150</v>
      </c>
      <c r="SFP69" s="152">
        <v>85</v>
      </c>
      <c r="SFQ69" s="153">
        <v>215</v>
      </c>
      <c r="SFR69" s="153">
        <v>75</v>
      </c>
      <c r="SFS69" s="152">
        <v>150</v>
      </c>
      <c r="SFT69" s="154">
        <f>SUM(SFO69:SFS69)</f>
        <v>8675</v>
      </c>
      <c r="SFU69" s="152">
        <v>200</v>
      </c>
      <c r="SFV69" s="154">
        <f>SUM(SFT69:SFU69)</f>
        <v>8875</v>
      </c>
      <c r="SFW69" s="147" t="s">
        <v>99</v>
      </c>
      <c r="SFX69" s="148">
        <v>45845</v>
      </c>
      <c r="SFY69" s="143" t="s">
        <v>46</v>
      </c>
      <c r="SFZ69" s="199"/>
      <c r="SGA69" s="149" t="s">
        <v>125</v>
      </c>
      <c r="SGB69" s="197"/>
      <c r="SGC69" s="198"/>
      <c r="SGD69" s="143" t="s">
        <v>22</v>
      </c>
      <c r="SGE69" s="144">
        <v>8150</v>
      </c>
      <c r="SGF69" s="152">
        <v>85</v>
      </c>
      <c r="SGG69" s="153">
        <v>215</v>
      </c>
      <c r="SGH69" s="153">
        <v>75</v>
      </c>
      <c r="SGI69" s="152">
        <v>150</v>
      </c>
      <c r="SGJ69" s="154">
        <f>SUM(SGE69:SGI69)</f>
        <v>8675</v>
      </c>
      <c r="SGK69" s="152">
        <v>200</v>
      </c>
      <c r="SGL69" s="154">
        <f>SUM(SGJ69:SGK69)</f>
        <v>8875</v>
      </c>
      <c r="SGM69" s="147" t="s">
        <v>99</v>
      </c>
      <c r="SGN69" s="148">
        <v>45845</v>
      </c>
      <c r="SGO69" s="143" t="s">
        <v>46</v>
      </c>
      <c r="SGP69" s="199"/>
      <c r="SGQ69" s="149" t="s">
        <v>125</v>
      </c>
      <c r="SGR69" s="197"/>
      <c r="SGS69" s="198"/>
      <c r="SGT69" s="143" t="s">
        <v>22</v>
      </c>
      <c r="SGU69" s="144">
        <v>8150</v>
      </c>
      <c r="SGV69" s="152">
        <v>85</v>
      </c>
      <c r="SGW69" s="153">
        <v>215</v>
      </c>
      <c r="SGX69" s="153">
        <v>75</v>
      </c>
      <c r="SGY69" s="152">
        <v>150</v>
      </c>
      <c r="SGZ69" s="154">
        <f>SUM(SGU69:SGY69)</f>
        <v>8675</v>
      </c>
      <c r="SHA69" s="152">
        <v>200</v>
      </c>
      <c r="SHB69" s="154">
        <f>SUM(SGZ69:SHA69)</f>
        <v>8875</v>
      </c>
      <c r="SHC69" s="147" t="s">
        <v>99</v>
      </c>
      <c r="SHD69" s="148">
        <v>45845</v>
      </c>
      <c r="SHE69" s="143" t="s">
        <v>46</v>
      </c>
      <c r="SHF69" s="199"/>
      <c r="SHG69" s="149" t="s">
        <v>125</v>
      </c>
      <c r="SHH69" s="197"/>
      <c r="SHI69" s="198"/>
      <c r="SHJ69" s="143" t="s">
        <v>22</v>
      </c>
      <c r="SHK69" s="144">
        <v>8150</v>
      </c>
      <c r="SHL69" s="152">
        <v>85</v>
      </c>
      <c r="SHM69" s="153">
        <v>215</v>
      </c>
      <c r="SHN69" s="153">
        <v>75</v>
      </c>
      <c r="SHO69" s="152">
        <v>150</v>
      </c>
      <c r="SHP69" s="154">
        <f>SUM(SHK69:SHO69)</f>
        <v>8675</v>
      </c>
      <c r="SHQ69" s="152">
        <v>200</v>
      </c>
      <c r="SHR69" s="154">
        <f>SUM(SHP69:SHQ69)</f>
        <v>8875</v>
      </c>
      <c r="SHS69" s="147" t="s">
        <v>99</v>
      </c>
      <c r="SHT69" s="148">
        <v>45845</v>
      </c>
      <c r="SHU69" s="143" t="s">
        <v>46</v>
      </c>
      <c r="SHV69" s="199"/>
      <c r="SHW69" s="149" t="s">
        <v>125</v>
      </c>
      <c r="SHX69" s="197"/>
      <c r="SHY69" s="198"/>
      <c r="SHZ69" s="143" t="s">
        <v>22</v>
      </c>
      <c r="SIA69" s="144">
        <v>8150</v>
      </c>
      <c r="SIB69" s="152">
        <v>85</v>
      </c>
      <c r="SIC69" s="153">
        <v>215</v>
      </c>
      <c r="SID69" s="153">
        <v>75</v>
      </c>
      <c r="SIE69" s="152">
        <v>150</v>
      </c>
      <c r="SIF69" s="154">
        <f>SUM(SIA69:SIE69)</f>
        <v>8675</v>
      </c>
      <c r="SIG69" s="152">
        <v>200</v>
      </c>
      <c r="SIH69" s="154">
        <f>SUM(SIF69:SIG69)</f>
        <v>8875</v>
      </c>
      <c r="SII69" s="147" t="s">
        <v>99</v>
      </c>
      <c r="SIJ69" s="148">
        <v>45845</v>
      </c>
      <c r="SIK69" s="143" t="s">
        <v>46</v>
      </c>
      <c r="SIL69" s="199"/>
      <c r="SIM69" s="149" t="s">
        <v>125</v>
      </c>
      <c r="SIN69" s="197"/>
      <c r="SIO69" s="198"/>
      <c r="SIP69" s="143" t="s">
        <v>22</v>
      </c>
      <c r="SIQ69" s="144">
        <v>8150</v>
      </c>
      <c r="SIR69" s="152">
        <v>85</v>
      </c>
      <c r="SIS69" s="153">
        <v>215</v>
      </c>
      <c r="SIT69" s="153">
        <v>75</v>
      </c>
      <c r="SIU69" s="152">
        <v>150</v>
      </c>
      <c r="SIV69" s="154">
        <f>SUM(SIQ69:SIU69)</f>
        <v>8675</v>
      </c>
      <c r="SIW69" s="152">
        <v>200</v>
      </c>
      <c r="SIX69" s="154">
        <f>SUM(SIV69:SIW69)</f>
        <v>8875</v>
      </c>
      <c r="SIY69" s="147" t="s">
        <v>99</v>
      </c>
      <c r="SIZ69" s="148">
        <v>45845</v>
      </c>
      <c r="SJA69" s="143" t="s">
        <v>46</v>
      </c>
      <c r="SJB69" s="199"/>
      <c r="SJC69" s="149" t="s">
        <v>125</v>
      </c>
      <c r="SJD69" s="197"/>
      <c r="SJE69" s="198"/>
      <c r="SJF69" s="143" t="s">
        <v>22</v>
      </c>
      <c r="SJG69" s="144">
        <v>8150</v>
      </c>
      <c r="SJH69" s="152">
        <v>85</v>
      </c>
      <c r="SJI69" s="153">
        <v>215</v>
      </c>
      <c r="SJJ69" s="153">
        <v>75</v>
      </c>
      <c r="SJK69" s="152">
        <v>150</v>
      </c>
      <c r="SJL69" s="154">
        <f>SUM(SJG69:SJK69)</f>
        <v>8675</v>
      </c>
      <c r="SJM69" s="152">
        <v>200</v>
      </c>
      <c r="SJN69" s="154">
        <f>SUM(SJL69:SJM69)</f>
        <v>8875</v>
      </c>
      <c r="SJO69" s="147" t="s">
        <v>99</v>
      </c>
      <c r="SJP69" s="148">
        <v>45845</v>
      </c>
      <c r="SJQ69" s="143" t="s">
        <v>46</v>
      </c>
      <c r="SJR69" s="199"/>
      <c r="SJS69" s="149" t="s">
        <v>125</v>
      </c>
      <c r="SJT69" s="197"/>
      <c r="SJU69" s="198"/>
      <c r="SJV69" s="143" t="s">
        <v>22</v>
      </c>
      <c r="SJW69" s="144">
        <v>8150</v>
      </c>
      <c r="SJX69" s="152">
        <v>85</v>
      </c>
      <c r="SJY69" s="153">
        <v>215</v>
      </c>
      <c r="SJZ69" s="153">
        <v>75</v>
      </c>
      <c r="SKA69" s="152">
        <v>150</v>
      </c>
      <c r="SKB69" s="154">
        <f>SUM(SJW69:SKA69)</f>
        <v>8675</v>
      </c>
      <c r="SKC69" s="152">
        <v>200</v>
      </c>
      <c r="SKD69" s="154">
        <f>SUM(SKB69:SKC69)</f>
        <v>8875</v>
      </c>
      <c r="SKE69" s="147" t="s">
        <v>99</v>
      </c>
      <c r="SKF69" s="148">
        <v>45845</v>
      </c>
      <c r="SKG69" s="143" t="s">
        <v>46</v>
      </c>
      <c r="SKH69" s="199"/>
      <c r="SKI69" s="149" t="s">
        <v>125</v>
      </c>
      <c r="SKJ69" s="197"/>
      <c r="SKK69" s="198"/>
      <c r="SKL69" s="143" t="s">
        <v>22</v>
      </c>
      <c r="SKM69" s="144">
        <v>8150</v>
      </c>
      <c r="SKN69" s="152">
        <v>85</v>
      </c>
      <c r="SKO69" s="153">
        <v>215</v>
      </c>
      <c r="SKP69" s="153">
        <v>75</v>
      </c>
      <c r="SKQ69" s="152">
        <v>150</v>
      </c>
      <c r="SKR69" s="154">
        <f>SUM(SKM69:SKQ69)</f>
        <v>8675</v>
      </c>
      <c r="SKS69" s="152">
        <v>200</v>
      </c>
      <c r="SKT69" s="154">
        <f>SUM(SKR69:SKS69)</f>
        <v>8875</v>
      </c>
      <c r="SKU69" s="147" t="s">
        <v>99</v>
      </c>
      <c r="SKV69" s="148">
        <v>45845</v>
      </c>
      <c r="SKW69" s="143" t="s">
        <v>46</v>
      </c>
      <c r="SKX69" s="199"/>
      <c r="SKY69" s="149" t="s">
        <v>125</v>
      </c>
      <c r="SKZ69" s="197"/>
      <c r="SLA69" s="198"/>
      <c r="SLB69" s="143" t="s">
        <v>22</v>
      </c>
      <c r="SLC69" s="144">
        <v>8150</v>
      </c>
      <c r="SLD69" s="152">
        <v>85</v>
      </c>
      <c r="SLE69" s="153">
        <v>215</v>
      </c>
      <c r="SLF69" s="153">
        <v>75</v>
      </c>
      <c r="SLG69" s="152">
        <v>150</v>
      </c>
      <c r="SLH69" s="154">
        <f>SUM(SLC69:SLG69)</f>
        <v>8675</v>
      </c>
      <c r="SLI69" s="152">
        <v>200</v>
      </c>
      <c r="SLJ69" s="154">
        <f>SUM(SLH69:SLI69)</f>
        <v>8875</v>
      </c>
      <c r="SLK69" s="147" t="s">
        <v>99</v>
      </c>
      <c r="SLL69" s="148">
        <v>45845</v>
      </c>
      <c r="SLM69" s="143" t="s">
        <v>46</v>
      </c>
      <c r="SLN69" s="199"/>
      <c r="SLO69" s="149" t="s">
        <v>125</v>
      </c>
      <c r="SLP69" s="197"/>
      <c r="SLQ69" s="198"/>
      <c r="SLR69" s="143" t="s">
        <v>22</v>
      </c>
      <c r="SLS69" s="144">
        <v>8150</v>
      </c>
      <c r="SLT69" s="152">
        <v>85</v>
      </c>
      <c r="SLU69" s="153">
        <v>215</v>
      </c>
      <c r="SLV69" s="153">
        <v>75</v>
      </c>
      <c r="SLW69" s="152">
        <v>150</v>
      </c>
      <c r="SLX69" s="154">
        <f>SUM(SLS69:SLW69)</f>
        <v>8675</v>
      </c>
      <c r="SLY69" s="152">
        <v>200</v>
      </c>
      <c r="SLZ69" s="154">
        <f>SUM(SLX69:SLY69)</f>
        <v>8875</v>
      </c>
      <c r="SMA69" s="147" t="s">
        <v>99</v>
      </c>
      <c r="SMB69" s="148">
        <v>45845</v>
      </c>
      <c r="SMC69" s="143" t="s">
        <v>46</v>
      </c>
      <c r="SMD69" s="199"/>
      <c r="SME69" s="149" t="s">
        <v>125</v>
      </c>
      <c r="SMF69" s="197"/>
      <c r="SMG69" s="198"/>
      <c r="SMH69" s="143" t="s">
        <v>22</v>
      </c>
      <c r="SMI69" s="144">
        <v>8150</v>
      </c>
      <c r="SMJ69" s="152">
        <v>85</v>
      </c>
      <c r="SMK69" s="153">
        <v>215</v>
      </c>
      <c r="SML69" s="153">
        <v>75</v>
      </c>
      <c r="SMM69" s="152">
        <v>150</v>
      </c>
      <c r="SMN69" s="154">
        <f>SUM(SMI69:SMM69)</f>
        <v>8675</v>
      </c>
      <c r="SMO69" s="152">
        <v>200</v>
      </c>
      <c r="SMP69" s="154">
        <f>SUM(SMN69:SMO69)</f>
        <v>8875</v>
      </c>
      <c r="SMQ69" s="147" t="s">
        <v>99</v>
      </c>
      <c r="SMR69" s="148">
        <v>45845</v>
      </c>
      <c r="SMS69" s="143" t="s">
        <v>46</v>
      </c>
      <c r="SMT69" s="199"/>
      <c r="SMU69" s="149" t="s">
        <v>125</v>
      </c>
      <c r="SMV69" s="197"/>
      <c r="SMW69" s="198"/>
      <c r="SMX69" s="143" t="s">
        <v>22</v>
      </c>
      <c r="SMY69" s="144">
        <v>8150</v>
      </c>
      <c r="SMZ69" s="152">
        <v>85</v>
      </c>
      <c r="SNA69" s="153">
        <v>215</v>
      </c>
      <c r="SNB69" s="153">
        <v>75</v>
      </c>
      <c r="SNC69" s="152">
        <v>150</v>
      </c>
      <c r="SND69" s="154">
        <f>SUM(SMY69:SNC69)</f>
        <v>8675</v>
      </c>
      <c r="SNE69" s="152">
        <v>200</v>
      </c>
      <c r="SNF69" s="154">
        <f>SUM(SND69:SNE69)</f>
        <v>8875</v>
      </c>
      <c r="SNG69" s="147" t="s">
        <v>99</v>
      </c>
      <c r="SNH69" s="148">
        <v>45845</v>
      </c>
      <c r="SNI69" s="143" t="s">
        <v>46</v>
      </c>
      <c r="SNJ69" s="199"/>
      <c r="SNK69" s="149" t="s">
        <v>125</v>
      </c>
      <c r="SNL69" s="197"/>
      <c r="SNM69" s="198"/>
      <c r="SNN69" s="143" t="s">
        <v>22</v>
      </c>
      <c r="SNO69" s="144">
        <v>8150</v>
      </c>
      <c r="SNP69" s="152">
        <v>85</v>
      </c>
      <c r="SNQ69" s="153">
        <v>215</v>
      </c>
      <c r="SNR69" s="153">
        <v>75</v>
      </c>
      <c r="SNS69" s="152">
        <v>150</v>
      </c>
      <c r="SNT69" s="154">
        <f>SUM(SNO69:SNS69)</f>
        <v>8675</v>
      </c>
      <c r="SNU69" s="152">
        <v>200</v>
      </c>
      <c r="SNV69" s="154">
        <f>SUM(SNT69:SNU69)</f>
        <v>8875</v>
      </c>
      <c r="SNW69" s="147" t="s">
        <v>99</v>
      </c>
      <c r="SNX69" s="148">
        <v>45845</v>
      </c>
      <c r="SNY69" s="143" t="s">
        <v>46</v>
      </c>
      <c r="SNZ69" s="199"/>
      <c r="SOA69" s="149" t="s">
        <v>125</v>
      </c>
      <c r="SOB69" s="197"/>
      <c r="SOC69" s="198"/>
      <c r="SOD69" s="143" t="s">
        <v>22</v>
      </c>
      <c r="SOE69" s="144">
        <v>8150</v>
      </c>
      <c r="SOF69" s="152">
        <v>85</v>
      </c>
      <c r="SOG69" s="153">
        <v>215</v>
      </c>
      <c r="SOH69" s="153">
        <v>75</v>
      </c>
      <c r="SOI69" s="152">
        <v>150</v>
      </c>
      <c r="SOJ69" s="154">
        <f>SUM(SOE69:SOI69)</f>
        <v>8675</v>
      </c>
      <c r="SOK69" s="152">
        <v>200</v>
      </c>
      <c r="SOL69" s="154">
        <f>SUM(SOJ69:SOK69)</f>
        <v>8875</v>
      </c>
      <c r="SOM69" s="147" t="s">
        <v>99</v>
      </c>
      <c r="SON69" s="148">
        <v>45845</v>
      </c>
      <c r="SOO69" s="143" t="s">
        <v>46</v>
      </c>
      <c r="SOP69" s="199"/>
      <c r="SOQ69" s="149" t="s">
        <v>125</v>
      </c>
      <c r="SOR69" s="197"/>
      <c r="SOS69" s="198"/>
      <c r="SOT69" s="143" t="s">
        <v>22</v>
      </c>
      <c r="SOU69" s="144">
        <v>8150</v>
      </c>
      <c r="SOV69" s="152">
        <v>85</v>
      </c>
      <c r="SOW69" s="153">
        <v>215</v>
      </c>
      <c r="SOX69" s="153">
        <v>75</v>
      </c>
      <c r="SOY69" s="152">
        <v>150</v>
      </c>
      <c r="SOZ69" s="154">
        <f>SUM(SOU69:SOY69)</f>
        <v>8675</v>
      </c>
      <c r="SPA69" s="152">
        <v>200</v>
      </c>
      <c r="SPB69" s="154">
        <f>SUM(SOZ69:SPA69)</f>
        <v>8875</v>
      </c>
      <c r="SPC69" s="147" t="s">
        <v>99</v>
      </c>
      <c r="SPD69" s="148">
        <v>45845</v>
      </c>
      <c r="SPE69" s="143" t="s">
        <v>46</v>
      </c>
      <c r="SPF69" s="199"/>
      <c r="SPG69" s="149" t="s">
        <v>125</v>
      </c>
      <c r="SPH69" s="197"/>
      <c r="SPI69" s="198"/>
      <c r="SPJ69" s="143" t="s">
        <v>22</v>
      </c>
      <c r="SPK69" s="144">
        <v>8150</v>
      </c>
      <c r="SPL69" s="152">
        <v>85</v>
      </c>
      <c r="SPM69" s="153">
        <v>215</v>
      </c>
      <c r="SPN69" s="153">
        <v>75</v>
      </c>
      <c r="SPO69" s="152">
        <v>150</v>
      </c>
      <c r="SPP69" s="154">
        <f>SUM(SPK69:SPO69)</f>
        <v>8675</v>
      </c>
      <c r="SPQ69" s="152">
        <v>200</v>
      </c>
      <c r="SPR69" s="154">
        <f>SUM(SPP69:SPQ69)</f>
        <v>8875</v>
      </c>
      <c r="SPS69" s="147" t="s">
        <v>99</v>
      </c>
      <c r="SPT69" s="148">
        <v>45845</v>
      </c>
      <c r="SPU69" s="143" t="s">
        <v>46</v>
      </c>
      <c r="SPV69" s="199"/>
      <c r="SPW69" s="149" t="s">
        <v>125</v>
      </c>
      <c r="SPX69" s="197"/>
      <c r="SPY69" s="198"/>
      <c r="SPZ69" s="143" t="s">
        <v>22</v>
      </c>
      <c r="SQA69" s="144">
        <v>8150</v>
      </c>
      <c r="SQB69" s="152">
        <v>85</v>
      </c>
      <c r="SQC69" s="153">
        <v>215</v>
      </c>
      <c r="SQD69" s="153">
        <v>75</v>
      </c>
      <c r="SQE69" s="152">
        <v>150</v>
      </c>
      <c r="SQF69" s="154">
        <f>SUM(SQA69:SQE69)</f>
        <v>8675</v>
      </c>
      <c r="SQG69" s="152">
        <v>200</v>
      </c>
      <c r="SQH69" s="154">
        <f>SUM(SQF69:SQG69)</f>
        <v>8875</v>
      </c>
      <c r="SQI69" s="147" t="s">
        <v>99</v>
      </c>
      <c r="SQJ69" s="148">
        <v>45845</v>
      </c>
      <c r="SQK69" s="143" t="s">
        <v>46</v>
      </c>
      <c r="SQL69" s="199"/>
      <c r="SQM69" s="149" t="s">
        <v>125</v>
      </c>
      <c r="SQN69" s="197"/>
      <c r="SQO69" s="198"/>
      <c r="SQP69" s="143" t="s">
        <v>22</v>
      </c>
      <c r="SQQ69" s="144">
        <v>8150</v>
      </c>
      <c r="SQR69" s="152">
        <v>85</v>
      </c>
      <c r="SQS69" s="153">
        <v>215</v>
      </c>
      <c r="SQT69" s="153">
        <v>75</v>
      </c>
      <c r="SQU69" s="152">
        <v>150</v>
      </c>
      <c r="SQV69" s="154">
        <f>SUM(SQQ69:SQU69)</f>
        <v>8675</v>
      </c>
      <c r="SQW69" s="152">
        <v>200</v>
      </c>
      <c r="SQX69" s="154">
        <f>SUM(SQV69:SQW69)</f>
        <v>8875</v>
      </c>
      <c r="SQY69" s="147" t="s">
        <v>99</v>
      </c>
      <c r="SQZ69" s="148">
        <v>45845</v>
      </c>
      <c r="SRA69" s="143" t="s">
        <v>46</v>
      </c>
      <c r="SRB69" s="199"/>
      <c r="SRC69" s="149" t="s">
        <v>125</v>
      </c>
      <c r="SRD69" s="197"/>
      <c r="SRE69" s="198"/>
      <c r="SRF69" s="143" t="s">
        <v>22</v>
      </c>
      <c r="SRG69" s="144">
        <v>8150</v>
      </c>
      <c r="SRH69" s="152">
        <v>85</v>
      </c>
      <c r="SRI69" s="153">
        <v>215</v>
      </c>
      <c r="SRJ69" s="153">
        <v>75</v>
      </c>
      <c r="SRK69" s="152">
        <v>150</v>
      </c>
      <c r="SRL69" s="154">
        <f>SUM(SRG69:SRK69)</f>
        <v>8675</v>
      </c>
      <c r="SRM69" s="152">
        <v>200</v>
      </c>
      <c r="SRN69" s="154">
        <f>SUM(SRL69:SRM69)</f>
        <v>8875</v>
      </c>
      <c r="SRO69" s="147" t="s">
        <v>99</v>
      </c>
      <c r="SRP69" s="148">
        <v>45845</v>
      </c>
      <c r="SRQ69" s="143" t="s">
        <v>46</v>
      </c>
      <c r="SRR69" s="199"/>
      <c r="SRS69" s="149" t="s">
        <v>125</v>
      </c>
      <c r="SRT69" s="197"/>
      <c r="SRU69" s="198"/>
      <c r="SRV69" s="143" t="s">
        <v>22</v>
      </c>
      <c r="SRW69" s="144">
        <v>8150</v>
      </c>
      <c r="SRX69" s="152">
        <v>85</v>
      </c>
      <c r="SRY69" s="153">
        <v>215</v>
      </c>
      <c r="SRZ69" s="153">
        <v>75</v>
      </c>
      <c r="SSA69" s="152">
        <v>150</v>
      </c>
      <c r="SSB69" s="154">
        <f>SUM(SRW69:SSA69)</f>
        <v>8675</v>
      </c>
      <c r="SSC69" s="152">
        <v>200</v>
      </c>
      <c r="SSD69" s="154">
        <f>SUM(SSB69:SSC69)</f>
        <v>8875</v>
      </c>
      <c r="SSE69" s="147" t="s">
        <v>99</v>
      </c>
      <c r="SSF69" s="148">
        <v>45845</v>
      </c>
      <c r="SSG69" s="143" t="s">
        <v>46</v>
      </c>
      <c r="SSH69" s="199"/>
      <c r="SSI69" s="149" t="s">
        <v>125</v>
      </c>
      <c r="SSJ69" s="197"/>
      <c r="SSK69" s="198"/>
      <c r="SSL69" s="143" t="s">
        <v>22</v>
      </c>
      <c r="SSM69" s="144">
        <v>8150</v>
      </c>
      <c r="SSN69" s="152">
        <v>85</v>
      </c>
      <c r="SSO69" s="153">
        <v>215</v>
      </c>
      <c r="SSP69" s="153">
        <v>75</v>
      </c>
      <c r="SSQ69" s="152">
        <v>150</v>
      </c>
      <c r="SSR69" s="154">
        <f>SUM(SSM69:SSQ69)</f>
        <v>8675</v>
      </c>
      <c r="SSS69" s="152">
        <v>200</v>
      </c>
      <c r="SST69" s="154">
        <f>SUM(SSR69:SSS69)</f>
        <v>8875</v>
      </c>
      <c r="SSU69" s="147" t="s">
        <v>99</v>
      </c>
      <c r="SSV69" s="148">
        <v>45845</v>
      </c>
      <c r="SSW69" s="143" t="s">
        <v>46</v>
      </c>
      <c r="SSX69" s="199"/>
      <c r="SSY69" s="149" t="s">
        <v>125</v>
      </c>
      <c r="SSZ69" s="197"/>
      <c r="STA69" s="198"/>
      <c r="STB69" s="143" t="s">
        <v>22</v>
      </c>
      <c r="STC69" s="144">
        <v>8150</v>
      </c>
      <c r="STD69" s="152">
        <v>85</v>
      </c>
      <c r="STE69" s="153">
        <v>215</v>
      </c>
      <c r="STF69" s="153">
        <v>75</v>
      </c>
      <c r="STG69" s="152">
        <v>150</v>
      </c>
      <c r="STH69" s="154">
        <f>SUM(STC69:STG69)</f>
        <v>8675</v>
      </c>
      <c r="STI69" s="152">
        <v>200</v>
      </c>
      <c r="STJ69" s="154">
        <f>SUM(STH69:STI69)</f>
        <v>8875</v>
      </c>
      <c r="STK69" s="147" t="s">
        <v>99</v>
      </c>
      <c r="STL69" s="148">
        <v>45845</v>
      </c>
      <c r="STM69" s="143" t="s">
        <v>46</v>
      </c>
      <c r="STN69" s="199"/>
      <c r="STO69" s="149" t="s">
        <v>125</v>
      </c>
      <c r="STP69" s="197"/>
      <c r="STQ69" s="198"/>
      <c r="STR69" s="143" t="s">
        <v>22</v>
      </c>
      <c r="STS69" s="144">
        <v>8150</v>
      </c>
      <c r="STT69" s="152">
        <v>85</v>
      </c>
      <c r="STU69" s="153">
        <v>215</v>
      </c>
      <c r="STV69" s="153">
        <v>75</v>
      </c>
      <c r="STW69" s="152">
        <v>150</v>
      </c>
      <c r="STX69" s="154">
        <f>SUM(STS69:STW69)</f>
        <v>8675</v>
      </c>
      <c r="STY69" s="152">
        <v>200</v>
      </c>
      <c r="STZ69" s="154">
        <f>SUM(STX69:STY69)</f>
        <v>8875</v>
      </c>
      <c r="SUA69" s="147" t="s">
        <v>99</v>
      </c>
      <c r="SUB69" s="148">
        <v>45845</v>
      </c>
      <c r="SUC69" s="143" t="s">
        <v>46</v>
      </c>
      <c r="SUD69" s="199"/>
      <c r="SUE69" s="149" t="s">
        <v>125</v>
      </c>
      <c r="SUF69" s="197"/>
      <c r="SUG69" s="198"/>
      <c r="SUH69" s="143" t="s">
        <v>22</v>
      </c>
      <c r="SUI69" s="144">
        <v>8150</v>
      </c>
      <c r="SUJ69" s="152">
        <v>85</v>
      </c>
      <c r="SUK69" s="153">
        <v>215</v>
      </c>
      <c r="SUL69" s="153">
        <v>75</v>
      </c>
      <c r="SUM69" s="152">
        <v>150</v>
      </c>
      <c r="SUN69" s="154">
        <f>SUM(SUI69:SUM69)</f>
        <v>8675</v>
      </c>
      <c r="SUO69" s="152">
        <v>200</v>
      </c>
      <c r="SUP69" s="154">
        <f>SUM(SUN69:SUO69)</f>
        <v>8875</v>
      </c>
      <c r="SUQ69" s="147" t="s">
        <v>99</v>
      </c>
      <c r="SUR69" s="148">
        <v>45845</v>
      </c>
      <c r="SUS69" s="143" t="s">
        <v>46</v>
      </c>
      <c r="SUT69" s="199"/>
      <c r="SUU69" s="149" t="s">
        <v>125</v>
      </c>
      <c r="SUV69" s="197"/>
      <c r="SUW69" s="198"/>
      <c r="SUX69" s="143" t="s">
        <v>22</v>
      </c>
      <c r="SUY69" s="144">
        <v>8150</v>
      </c>
      <c r="SUZ69" s="152">
        <v>85</v>
      </c>
      <c r="SVA69" s="153">
        <v>215</v>
      </c>
      <c r="SVB69" s="153">
        <v>75</v>
      </c>
      <c r="SVC69" s="152">
        <v>150</v>
      </c>
      <c r="SVD69" s="154">
        <f>SUM(SUY69:SVC69)</f>
        <v>8675</v>
      </c>
      <c r="SVE69" s="152">
        <v>200</v>
      </c>
      <c r="SVF69" s="154">
        <f>SUM(SVD69:SVE69)</f>
        <v>8875</v>
      </c>
      <c r="SVG69" s="147" t="s">
        <v>99</v>
      </c>
      <c r="SVH69" s="148">
        <v>45845</v>
      </c>
      <c r="SVI69" s="143" t="s">
        <v>46</v>
      </c>
      <c r="SVJ69" s="199"/>
      <c r="SVK69" s="149" t="s">
        <v>125</v>
      </c>
      <c r="SVL69" s="197"/>
      <c r="SVM69" s="198"/>
      <c r="SVN69" s="143" t="s">
        <v>22</v>
      </c>
      <c r="SVO69" s="144">
        <v>8150</v>
      </c>
      <c r="SVP69" s="152">
        <v>85</v>
      </c>
      <c r="SVQ69" s="153">
        <v>215</v>
      </c>
      <c r="SVR69" s="153">
        <v>75</v>
      </c>
      <c r="SVS69" s="152">
        <v>150</v>
      </c>
      <c r="SVT69" s="154">
        <f>SUM(SVO69:SVS69)</f>
        <v>8675</v>
      </c>
      <c r="SVU69" s="152">
        <v>200</v>
      </c>
      <c r="SVV69" s="154">
        <f>SUM(SVT69:SVU69)</f>
        <v>8875</v>
      </c>
      <c r="SVW69" s="147" t="s">
        <v>99</v>
      </c>
      <c r="SVX69" s="148">
        <v>45845</v>
      </c>
      <c r="SVY69" s="143" t="s">
        <v>46</v>
      </c>
      <c r="SVZ69" s="199"/>
      <c r="SWA69" s="149" t="s">
        <v>125</v>
      </c>
      <c r="SWB69" s="197"/>
      <c r="SWC69" s="198"/>
      <c r="SWD69" s="143" t="s">
        <v>22</v>
      </c>
      <c r="SWE69" s="144">
        <v>8150</v>
      </c>
      <c r="SWF69" s="152">
        <v>85</v>
      </c>
      <c r="SWG69" s="153">
        <v>215</v>
      </c>
      <c r="SWH69" s="153">
        <v>75</v>
      </c>
      <c r="SWI69" s="152">
        <v>150</v>
      </c>
      <c r="SWJ69" s="154">
        <f>SUM(SWE69:SWI69)</f>
        <v>8675</v>
      </c>
      <c r="SWK69" s="152">
        <v>200</v>
      </c>
      <c r="SWL69" s="154">
        <f>SUM(SWJ69:SWK69)</f>
        <v>8875</v>
      </c>
      <c r="SWM69" s="147" t="s">
        <v>99</v>
      </c>
      <c r="SWN69" s="148">
        <v>45845</v>
      </c>
      <c r="SWO69" s="143" t="s">
        <v>46</v>
      </c>
      <c r="SWP69" s="199"/>
      <c r="SWQ69" s="149" t="s">
        <v>125</v>
      </c>
      <c r="SWR69" s="197"/>
      <c r="SWS69" s="198"/>
      <c r="SWT69" s="143" t="s">
        <v>22</v>
      </c>
      <c r="SWU69" s="144">
        <v>8150</v>
      </c>
      <c r="SWV69" s="152">
        <v>85</v>
      </c>
      <c r="SWW69" s="153">
        <v>215</v>
      </c>
      <c r="SWX69" s="153">
        <v>75</v>
      </c>
      <c r="SWY69" s="152">
        <v>150</v>
      </c>
      <c r="SWZ69" s="154">
        <f>SUM(SWU69:SWY69)</f>
        <v>8675</v>
      </c>
      <c r="SXA69" s="152">
        <v>200</v>
      </c>
      <c r="SXB69" s="154">
        <f>SUM(SWZ69:SXA69)</f>
        <v>8875</v>
      </c>
      <c r="SXC69" s="147" t="s">
        <v>99</v>
      </c>
      <c r="SXD69" s="148">
        <v>45845</v>
      </c>
      <c r="SXE69" s="143" t="s">
        <v>46</v>
      </c>
      <c r="SXF69" s="199"/>
      <c r="SXG69" s="149" t="s">
        <v>125</v>
      </c>
      <c r="SXH69" s="197"/>
      <c r="SXI69" s="198"/>
      <c r="SXJ69" s="143" t="s">
        <v>22</v>
      </c>
      <c r="SXK69" s="144">
        <v>8150</v>
      </c>
      <c r="SXL69" s="152">
        <v>85</v>
      </c>
      <c r="SXM69" s="153">
        <v>215</v>
      </c>
      <c r="SXN69" s="153">
        <v>75</v>
      </c>
      <c r="SXO69" s="152">
        <v>150</v>
      </c>
      <c r="SXP69" s="154">
        <f>SUM(SXK69:SXO69)</f>
        <v>8675</v>
      </c>
      <c r="SXQ69" s="152">
        <v>200</v>
      </c>
      <c r="SXR69" s="154">
        <f>SUM(SXP69:SXQ69)</f>
        <v>8875</v>
      </c>
      <c r="SXS69" s="147" t="s">
        <v>99</v>
      </c>
      <c r="SXT69" s="148">
        <v>45845</v>
      </c>
      <c r="SXU69" s="143" t="s">
        <v>46</v>
      </c>
      <c r="SXV69" s="199"/>
      <c r="SXW69" s="149" t="s">
        <v>125</v>
      </c>
      <c r="SXX69" s="197"/>
      <c r="SXY69" s="198"/>
      <c r="SXZ69" s="143" t="s">
        <v>22</v>
      </c>
      <c r="SYA69" s="144">
        <v>8150</v>
      </c>
      <c r="SYB69" s="152">
        <v>85</v>
      </c>
      <c r="SYC69" s="153">
        <v>215</v>
      </c>
      <c r="SYD69" s="153">
        <v>75</v>
      </c>
      <c r="SYE69" s="152">
        <v>150</v>
      </c>
      <c r="SYF69" s="154">
        <f>SUM(SYA69:SYE69)</f>
        <v>8675</v>
      </c>
      <c r="SYG69" s="152">
        <v>200</v>
      </c>
      <c r="SYH69" s="154">
        <f>SUM(SYF69:SYG69)</f>
        <v>8875</v>
      </c>
      <c r="SYI69" s="147" t="s">
        <v>99</v>
      </c>
      <c r="SYJ69" s="148">
        <v>45845</v>
      </c>
      <c r="SYK69" s="143" t="s">
        <v>46</v>
      </c>
      <c r="SYL69" s="199"/>
      <c r="SYM69" s="149" t="s">
        <v>125</v>
      </c>
      <c r="SYN69" s="197"/>
      <c r="SYO69" s="198"/>
      <c r="SYP69" s="143" t="s">
        <v>22</v>
      </c>
      <c r="SYQ69" s="144">
        <v>8150</v>
      </c>
      <c r="SYR69" s="152">
        <v>85</v>
      </c>
      <c r="SYS69" s="153">
        <v>215</v>
      </c>
      <c r="SYT69" s="153">
        <v>75</v>
      </c>
      <c r="SYU69" s="152">
        <v>150</v>
      </c>
      <c r="SYV69" s="154">
        <f>SUM(SYQ69:SYU69)</f>
        <v>8675</v>
      </c>
      <c r="SYW69" s="152">
        <v>200</v>
      </c>
      <c r="SYX69" s="154">
        <f>SUM(SYV69:SYW69)</f>
        <v>8875</v>
      </c>
      <c r="SYY69" s="147" t="s">
        <v>99</v>
      </c>
      <c r="SYZ69" s="148">
        <v>45845</v>
      </c>
      <c r="SZA69" s="143" t="s">
        <v>46</v>
      </c>
      <c r="SZB69" s="199"/>
      <c r="SZC69" s="149" t="s">
        <v>125</v>
      </c>
      <c r="SZD69" s="197"/>
      <c r="SZE69" s="198"/>
      <c r="SZF69" s="143" t="s">
        <v>22</v>
      </c>
      <c r="SZG69" s="144">
        <v>8150</v>
      </c>
      <c r="SZH69" s="152">
        <v>85</v>
      </c>
      <c r="SZI69" s="153">
        <v>215</v>
      </c>
      <c r="SZJ69" s="153">
        <v>75</v>
      </c>
      <c r="SZK69" s="152">
        <v>150</v>
      </c>
      <c r="SZL69" s="154">
        <f>SUM(SZG69:SZK69)</f>
        <v>8675</v>
      </c>
      <c r="SZM69" s="152">
        <v>200</v>
      </c>
      <c r="SZN69" s="154">
        <f>SUM(SZL69:SZM69)</f>
        <v>8875</v>
      </c>
      <c r="SZO69" s="147" t="s">
        <v>99</v>
      </c>
      <c r="SZP69" s="148">
        <v>45845</v>
      </c>
      <c r="SZQ69" s="143" t="s">
        <v>46</v>
      </c>
      <c r="SZR69" s="199"/>
      <c r="SZS69" s="149" t="s">
        <v>125</v>
      </c>
      <c r="SZT69" s="197"/>
      <c r="SZU69" s="198"/>
      <c r="SZV69" s="143" t="s">
        <v>22</v>
      </c>
      <c r="SZW69" s="144">
        <v>8150</v>
      </c>
      <c r="SZX69" s="152">
        <v>85</v>
      </c>
      <c r="SZY69" s="153">
        <v>215</v>
      </c>
      <c r="SZZ69" s="153">
        <v>75</v>
      </c>
      <c r="TAA69" s="152">
        <v>150</v>
      </c>
      <c r="TAB69" s="154">
        <f>SUM(SZW69:TAA69)</f>
        <v>8675</v>
      </c>
      <c r="TAC69" s="152">
        <v>200</v>
      </c>
      <c r="TAD69" s="154">
        <f>SUM(TAB69:TAC69)</f>
        <v>8875</v>
      </c>
      <c r="TAE69" s="147" t="s">
        <v>99</v>
      </c>
      <c r="TAF69" s="148">
        <v>45845</v>
      </c>
      <c r="TAG69" s="143" t="s">
        <v>46</v>
      </c>
      <c r="TAH69" s="199"/>
      <c r="TAI69" s="149" t="s">
        <v>125</v>
      </c>
      <c r="TAJ69" s="197"/>
      <c r="TAK69" s="198"/>
      <c r="TAL69" s="143" t="s">
        <v>22</v>
      </c>
      <c r="TAM69" s="144">
        <v>8150</v>
      </c>
      <c r="TAN69" s="152">
        <v>85</v>
      </c>
      <c r="TAO69" s="153">
        <v>215</v>
      </c>
      <c r="TAP69" s="153">
        <v>75</v>
      </c>
      <c r="TAQ69" s="152">
        <v>150</v>
      </c>
      <c r="TAR69" s="154">
        <f>SUM(TAM69:TAQ69)</f>
        <v>8675</v>
      </c>
      <c r="TAS69" s="152">
        <v>200</v>
      </c>
      <c r="TAT69" s="154">
        <f>SUM(TAR69:TAS69)</f>
        <v>8875</v>
      </c>
      <c r="TAU69" s="147" t="s">
        <v>99</v>
      </c>
      <c r="TAV69" s="148">
        <v>45845</v>
      </c>
      <c r="TAW69" s="143" t="s">
        <v>46</v>
      </c>
      <c r="TAX69" s="199"/>
      <c r="TAY69" s="149" t="s">
        <v>125</v>
      </c>
      <c r="TAZ69" s="197"/>
      <c r="TBA69" s="198"/>
      <c r="TBB69" s="143" t="s">
        <v>22</v>
      </c>
      <c r="TBC69" s="144">
        <v>8150</v>
      </c>
      <c r="TBD69" s="152">
        <v>85</v>
      </c>
      <c r="TBE69" s="153">
        <v>215</v>
      </c>
      <c r="TBF69" s="153">
        <v>75</v>
      </c>
      <c r="TBG69" s="152">
        <v>150</v>
      </c>
      <c r="TBH69" s="154">
        <f>SUM(TBC69:TBG69)</f>
        <v>8675</v>
      </c>
      <c r="TBI69" s="152">
        <v>200</v>
      </c>
      <c r="TBJ69" s="154">
        <f>SUM(TBH69:TBI69)</f>
        <v>8875</v>
      </c>
      <c r="TBK69" s="147" t="s">
        <v>99</v>
      </c>
      <c r="TBL69" s="148">
        <v>45845</v>
      </c>
      <c r="TBM69" s="143" t="s">
        <v>46</v>
      </c>
      <c r="TBN69" s="199"/>
      <c r="TBO69" s="149" t="s">
        <v>125</v>
      </c>
      <c r="TBP69" s="197"/>
      <c r="TBQ69" s="198"/>
      <c r="TBR69" s="143" t="s">
        <v>22</v>
      </c>
      <c r="TBS69" s="144">
        <v>8150</v>
      </c>
      <c r="TBT69" s="152">
        <v>85</v>
      </c>
      <c r="TBU69" s="153">
        <v>215</v>
      </c>
      <c r="TBV69" s="153">
        <v>75</v>
      </c>
      <c r="TBW69" s="152">
        <v>150</v>
      </c>
      <c r="TBX69" s="154">
        <f>SUM(TBS69:TBW69)</f>
        <v>8675</v>
      </c>
      <c r="TBY69" s="152">
        <v>200</v>
      </c>
      <c r="TBZ69" s="154">
        <f>SUM(TBX69:TBY69)</f>
        <v>8875</v>
      </c>
      <c r="TCA69" s="147" t="s">
        <v>99</v>
      </c>
      <c r="TCB69" s="148">
        <v>45845</v>
      </c>
      <c r="TCC69" s="143" t="s">
        <v>46</v>
      </c>
      <c r="TCD69" s="199"/>
      <c r="TCE69" s="149" t="s">
        <v>125</v>
      </c>
      <c r="TCF69" s="197"/>
      <c r="TCG69" s="198"/>
      <c r="TCH69" s="143" t="s">
        <v>22</v>
      </c>
      <c r="TCI69" s="144">
        <v>8150</v>
      </c>
      <c r="TCJ69" s="152">
        <v>85</v>
      </c>
      <c r="TCK69" s="153">
        <v>215</v>
      </c>
      <c r="TCL69" s="153">
        <v>75</v>
      </c>
      <c r="TCM69" s="152">
        <v>150</v>
      </c>
      <c r="TCN69" s="154">
        <f>SUM(TCI69:TCM69)</f>
        <v>8675</v>
      </c>
      <c r="TCO69" s="152">
        <v>200</v>
      </c>
      <c r="TCP69" s="154">
        <f>SUM(TCN69:TCO69)</f>
        <v>8875</v>
      </c>
      <c r="TCQ69" s="147" t="s">
        <v>99</v>
      </c>
      <c r="TCR69" s="148">
        <v>45845</v>
      </c>
      <c r="TCS69" s="143" t="s">
        <v>46</v>
      </c>
      <c r="TCT69" s="199"/>
      <c r="TCU69" s="149" t="s">
        <v>125</v>
      </c>
      <c r="TCV69" s="197"/>
      <c r="TCW69" s="198"/>
      <c r="TCX69" s="143" t="s">
        <v>22</v>
      </c>
      <c r="TCY69" s="144">
        <v>8150</v>
      </c>
      <c r="TCZ69" s="152">
        <v>85</v>
      </c>
      <c r="TDA69" s="153">
        <v>215</v>
      </c>
      <c r="TDB69" s="153">
        <v>75</v>
      </c>
      <c r="TDC69" s="152">
        <v>150</v>
      </c>
      <c r="TDD69" s="154">
        <f>SUM(TCY69:TDC69)</f>
        <v>8675</v>
      </c>
      <c r="TDE69" s="152">
        <v>200</v>
      </c>
      <c r="TDF69" s="154">
        <f>SUM(TDD69:TDE69)</f>
        <v>8875</v>
      </c>
      <c r="TDG69" s="147" t="s">
        <v>99</v>
      </c>
      <c r="TDH69" s="148">
        <v>45845</v>
      </c>
      <c r="TDI69" s="143" t="s">
        <v>46</v>
      </c>
      <c r="TDJ69" s="199"/>
      <c r="TDK69" s="149" t="s">
        <v>125</v>
      </c>
      <c r="TDL69" s="197"/>
      <c r="TDM69" s="198"/>
      <c r="TDN69" s="143" t="s">
        <v>22</v>
      </c>
      <c r="TDO69" s="144">
        <v>8150</v>
      </c>
      <c r="TDP69" s="152">
        <v>85</v>
      </c>
      <c r="TDQ69" s="153">
        <v>215</v>
      </c>
      <c r="TDR69" s="153">
        <v>75</v>
      </c>
      <c r="TDS69" s="152">
        <v>150</v>
      </c>
      <c r="TDT69" s="154">
        <f>SUM(TDO69:TDS69)</f>
        <v>8675</v>
      </c>
      <c r="TDU69" s="152">
        <v>200</v>
      </c>
      <c r="TDV69" s="154">
        <f>SUM(TDT69:TDU69)</f>
        <v>8875</v>
      </c>
      <c r="TDW69" s="147" t="s">
        <v>99</v>
      </c>
      <c r="TDX69" s="148">
        <v>45845</v>
      </c>
      <c r="TDY69" s="143" t="s">
        <v>46</v>
      </c>
      <c r="TDZ69" s="199"/>
      <c r="TEA69" s="149" t="s">
        <v>125</v>
      </c>
      <c r="TEB69" s="197"/>
      <c r="TEC69" s="198"/>
      <c r="TED69" s="143" t="s">
        <v>22</v>
      </c>
      <c r="TEE69" s="144">
        <v>8150</v>
      </c>
      <c r="TEF69" s="152">
        <v>85</v>
      </c>
      <c r="TEG69" s="153">
        <v>215</v>
      </c>
      <c r="TEH69" s="153">
        <v>75</v>
      </c>
      <c r="TEI69" s="152">
        <v>150</v>
      </c>
      <c r="TEJ69" s="154">
        <f>SUM(TEE69:TEI69)</f>
        <v>8675</v>
      </c>
      <c r="TEK69" s="152">
        <v>200</v>
      </c>
      <c r="TEL69" s="154">
        <f>SUM(TEJ69:TEK69)</f>
        <v>8875</v>
      </c>
      <c r="TEM69" s="147" t="s">
        <v>99</v>
      </c>
      <c r="TEN69" s="148">
        <v>45845</v>
      </c>
      <c r="TEO69" s="143" t="s">
        <v>46</v>
      </c>
      <c r="TEP69" s="199"/>
      <c r="TEQ69" s="149" t="s">
        <v>125</v>
      </c>
      <c r="TER69" s="197"/>
      <c r="TES69" s="198"/>
      <c r="TET69" s="143" t="s">
        <v>22</v>
      </c>
      <c r="TEU69" s="144">
        <v>8150</v>
      </c>
      <c r="TEV69" s="152">
        <v>85</v>
      </c>
      <c r="TEW69" s="153">
        <v>215</v>
      </c>
      <c r="TEX69" s="153">
        <v>75</v>
      </c>
      <c r="TEY69" s="152">
        <v>150</v>
      </c>
      <c r="TEZ69" s="154">
        <f>SUM(TEU69:TEY69)</f>
        <v>8675</v>
      </c>
      <c r="TFA69" s="152">
        <v>200</v>
      </c>
      <c r="TFB69" s="154">
        <f>SUM(TEZ69:TFA69)</f>
        <v>8875</v>
      </c>
      <c r="TFC69" s="147" t="s">
        <v>99</v>
      </c>
      <c r="TFD69" s="148">
        <v>45845</v>
      </c>
      <c r="TFE69" s="143" t="s">
        <v>46</v>
      </c>
      <c r="TFF69" s="199"/>
      <c r="TFG69" s="149" t="s">
        <v>125</v>
      </c>
      <c r="TFH69" s="197"/>
      <c r="TFI69" s="198"/>
      <c r="TFJ69" s="143" t="s">
        <v>22</v>
      </c>
      <c r="TFK69" s="144">
        <v>8150</v>
      </c>
      <c r="TFL69" s="152">
        <v>85</v>
      </c>
      <c r="TFM69" s="153">
        <v>215</v>
      </c>
      <c r="TFN69" s="153">
        <v>75</v>
      </c>
      <c r="TFO69" s="152">
        <v>150</v>
      </c>
      <c r="TFP69" s="154">
        <f>SUM(TFK69:TFO69)</f>
        <v>8675</v>
      </c>
      <c r="TFQ69" s="152">
        <v>200</v>
      </c>
      <c r="TFR69" s="154">
        <f>SUM(TFP69:TFQ69)</f>
        <v>8875</v>
      </c>
      <c r="TFS69" s="147" t="s">
        <v>99</v>
      </c>
      <c r="TFT69" s="148">
        <v>45845</v>
      </c>
      <c r="TFU69" s="143" t="s">
        <v>46</v>
      </c>
      <c r="TFV69" s="199"/>
      <c r="TFW69" s="149" t="s">
        <v>125</v>
      </c>
      <c r="TFX69" s="197"/>
      <c r="TFY69" s="198"/>
      <c r="TFZ69" s="143" t="s">
        <v>22</v>
      </c>
      <c r="TGA69" s="144">
        <v>8150</v>
      </c>
      <c r="TGB69" s="152">
        <v>85</v>
      </c>
      <c r="TGC69" s="153">
        <v>215</v>
      </c>
      <c r="TGD69" s="153">
        <v>75</v>
      </c>
      <c r="TGE69" s="152">
        <v>150</v>
      </c>
      <c r="TGF69" s="154">
        <f>SUM(TGA69:TGE69)</f>
        <v>8675</v>
      </c>
      <c r="TGG69" s="152">
        <v>200</v>
      </c>
      <c r="TGH69" s="154">
        <f>SUM(TGF69:TGG69)</f>
        <v>8875</v>
      </c>
      <c r="TGI69" s="147" t="s">
        <v>99</v>
      </c>
      <c r="TGJ69" s="148">
        <v>45845</v>
      </c>
      <c r="TGK69" s="143" t="s">
        <v>46</v>
      </c>
      <c r="TGL69" s="199"/>
      <c r="TGM69" s="149" t="s">
        <v>125</v>
      </c>
      <c r="TGN69" s="197"/>
      <c r="TGO69" s="198"/>
      <c r="TGP69" s="143" t="s">
        <v>22</v>
      </c>
      <c r="TGQ69" s="144">
        <v>8150</v>
      </c>
      <c r="TGR69" s="152">
        <v>85</v>
      </c>
      <c r="TGS69" s="153">
        <v>215</v>
      </c>
      <c r="TGT69" s="153">
        <v>75</v>
      </c>
      <c r="TGU69" s="152">
        <v>150</v>
      </c>
      <c r="TGV69" s="154">
        <f>SUM(TGQ69:TGU69)</f>
        <v>8675</v>
      </c>
      <c r="TGW69" s="152">
        <v>200</v>
      </c>
      <c r="TGX69" s="154">
        <f>SUM(TGV69:TGW69)</f>
        <v>8875</v>
      </c>
      <c r="TGY69" s="147" t="s">
        <v>99</v>
      </c>
      <c r="TGZ69" s="148">
        <v>45845</v>
      </c>
      <c r="THA69" s="143" t="s">
        <v>46</v>
      </c>
      <c r="THB69" s="199"/>
      <c r="THC69" s="149" t="s">
        <v>125</v>
      </c>
      <c r="THD69" s="197"/>
      <c r="THE69" s="198"/>
      <c r="THF69" s="143" t="s">
        <v>22</v>
      </c>
      <c r="THG69" s="144">
        <v>8150</v>
      </c>
      <c r="THH69" s="152">
        <v>85</v>
      </c>
      <c r="THI69" s="153">
        <v>215</v>
      </c>
      <c r="THJ69" s="153">
        <v>75</v>
      </c>
      <c r="THK69" s="152">
        <v>150</v>
      </c>
      <c r="THL69" s="154">
        <f>SUM(THG69:THK69)</f>
        <v>8675</v>
      </c>
      <c r="THM69" s="152">
        <v>200</v>
      </c>
      <c r="THN69" s="154">
        <f>SUM(THL69:THM69)</f>
        <v>8875</v>
      </c>
      <c r="THO69" s="147" t="s">
        <v>99</v>
      </c>
      <c r="THP69" s="148">
        <v>45845</v>
      </c>
      <c r="THQ69" s="143" t="s">
        <v>46</v>
      </c>
      <c r="THR69" s="199"/>
      <c r="THS69" s="149" t="s">
        <v>125</v>
      </c>
      <c r="THT69" s="197"/>
      <c r="THU69" s="198"/>
      <c r="THV69" s="143" t="s">
        <v>22</v>
      </c>
      <c r="THW69" s="144">
        <v>8150</v>
      </c>
      <c r="THX69" s="152">
        <v>85</v>
      </c>
      <c r="THY69" s="153">
        <v>215</v>
      </c>
      <c r="THZ69" s="153">
        <v>75</v>
      </c>
      <c r="TIA69" s="152">
        <v>150</v>
      </c>
      <c r="TIB69" s="154">
        <f>SUM(THW69:TIA69)</f>
        <v>8675</v>
      </c>
      <c r="TIC69" s="152">
        <v>200</v>
      </c>
      <c r="TID69" s="154">
        <f>SUM(TIB69:TIC69)</f>
        <v>8875</v>
      </c>
      <c r="TIE69" s="147" t="s">
        <v>99</v>
      </c>
      <c r="TIF69" s="148">
        <v>45845</v>
      </c>
      <c r="TIG69" s="143" t="s">
        <v>46</v>
      </c>
      <c r="TIH69" s="199"/>
      <c r="TII69" s="149" t="s">
        <v>125</v>
      </c>
      <c r="TIJ69" s="197"/>
      <c r="TIK69" s="198"/>
      <c r="TIL69" s="143" t="s">
        <v>22</v>
      </c>
      <c r="TIM69" s="144">
        <v>8150</v>
      </c>
      <c r="TIN69" s="152">
        <v>85</v>
      </c>
      <c r="TIO69" s="153">
        <v>215</v>
      </c>
      <c r="TIP69" s="153">
        <v>75</v>
      </c>
      <c r="TIQ69" s="152">
        <v>150</v>
      </c>
      <c r="TIR69" s="154">
        <f>SUM(TIM69:TIQ69)</f>
        <v>8675</v>
      </c>
      <c r="TIS69" s="152">
        <v>200</v>
      </c>
      <c r="TIT69" s="154">
        <f>SUM(TIR69:TIS69)</f>
        <v>8875</v>
      </c>
      <c r="TIU69" s="147" t="s">
        <v>99</v>
      </c>
      <c r="TIV69" s="148">
        <v>45845</v>
      </c>
      <c r="TIW69" s="143" t="s">
        <v>46</v>
      </c>
      <c r="TIX69" s="199"/>
      <c r="TIY69" s="149" t="s">
        <v>125</v>
      </c>
      <c r="TIZ69" s="197"/>
      <c r="TJA69" s="198"/>
      <c r="TJB69" s="143" t="s">
        <v>22</v>
      </c>
      <c r="TJC69" s="144">
        <v>8150</v>
      </c>
      <c r="TJD69" s="152">
        <v>85</v>
      </c>
      <c r="TJE69" s="153">
        <v>215</v>
      </c>
      <c r="TJF69" s="153">
        <v>75</v>
      </c>
      <c r="TJG69" s="152">
        <v>150</v>
      </c>
      <c r="TJH69" s="154">
        <f>SUM(TJC69:TJG69)</f>
        <v>8675</v>
      </c>
      <c r="TJI69" s="152">
        <v>200</v>
      </c>
      <c r="TJJ69" s="154">
        <f>SUM(TJH69:TJI69)</f>
        <v>8875</v>
      </c>
      <c r="TJK69" s="147" t="s">
        <v>99</v>
      </c>
      <c r="TJL69" s="148">
        <v>45845</v>
      </c>
      <c r="TJM69" s="143" t="s">
        <v>46</v>
      </c>
      <c r="TJN69" s="199"/>
      <c r="TJO69" s="149" t="s">
        <v>125</v>
      </c>
      <c r="TJP69" s="197"/>
      <c r="TJQ69" s="198"/>
      <c r="TJR69" s="143" t="s">
        <v>22</v>
      </c>
      <c r="TJS69" s="144">
        <v>8150</v>
      </c>
      <c r="TJT69" s="152">
        <v>85</v>
      </c>
      <c r="TJU69" s="153">
        <v>215</v>
      </c>
      <c r="TJV69" s="153">
        <v>75</v>
      </c>
      <c r="TJW69" s="152">
        <v>150</v>
      </c>
      <c r="TJX69" s="154">
        <f>SUM(TJS69:TJW69)</f>
        <v>8675</v>
      </c>
      <c r="TJY69" s="152">
        <v>200</v>
      </c>
      <c r="TJZ69" s="154">
        <f>SUM(TJX69:TJY69)</f>
        <v>8875</v>
      </c>
      <c r="TKA69" s="147" t="s">
        <v>99</v>
      </c>
      <c r="TKB69" s="148">
        <v>45845</v>
      </c>
      <c r="TKC69" s="143" t="s">
        <v>46</v>
      </c>
      <c r="TKD69" s="199"/>
      <c r="TKE69" s="149" t="s">
        <v>125</v>
      </c>
      <c r="TKF69" s="197"/>
      <c r="TKG69" s="198"/>
      <c r="TKH69" s="143" t="s">
        <v>22</v>
      </c>
      <c r="TKI69" s="144">
        <v>8150</v>
      </c>
      <c r="TKJ69" s="152">
        <v>85</v>
      </c>
      <c r="TKK69" s="153">
        <v>215</v>
      </c>
      <c r="TKL69" s="153">
        <v>75</v>
      </c>
      <c r="TKM69" s="152">
        <v>150</v>
      </c>
      <c r="TKN69" s="154">
        <f>SUM(TKI69:TKM69)</f>
        <v>8675</v>
      </c>
      <c r="TKO69" s="152">
        <v>200</v>
      </c>
      <c r="TKP69" s="154">
        <f>SUM(TKN69:TKO69)</f>
        <v>8875</v>
      </c>
      <c r="TKQ69" s="147" t="s">
        <v>99</v>
      </c>
      <c r="TKR69" s="148">
        <v>45845</v>
      </c>
      <c r="TKS69" s="143" t="s">
        <v>46</v>
      </c>
      <c r="TKT69" s="199"/>
      <c r="TKU69" s="149" t="s">
        <v>125</v>
      </c>
      <c r="TKV69" s="197"/>
      <c r="TKW69" s="198"/>
      <c r="TKX69" s="143" t="s">
        <v>22</v>
      </c>
      <c r="TKY69" s="144">
        <v>8150</v>
      </c>
      <c r="TKZ69" s="152">
        <v>85</v>
      </c>
      <c r="TLA69" s="153">
        <v>215</v>
      </c>
      <c r="TLB69" s="153">
        <v>75</v>
      </c>
      <c r="TLC69" s="152">
        <v>150</v>
      </c>
      <c r="TLD69" s="154">
        <f>SUM(TKY69:TLC69)</f>
        <v>8675</v>
      </c>
      <c r="TLE69" s="152">
        <v>200</v>
      </c>
      <c r="TLF69" s="154">
        <f>SUM(TLD69:TLE69)</f>
        <v>8875</v>
      </c>
      <c r="TLG69" s="147" t="s">
        <v>99</v>
      </c>
      <c r="TLH69" s="148">
        <v>45845</v>
      </c>
      <c r="TLI69" s="143" t="s">
        <v>46</v>
      </c>
      <c r="TLJ69" s="199"/>
      <c r="TLK69" s="149" t="s">
        <v>125</v>
      </c>
      <c r="TLL69" s="197"/>
      <c r="TLM69" s="198"/>
      <c r="TLN69" s="143" t="s">
        <v>22</v>
      </c>
      <c r="TLO69" s="144">
        <v>8150</v>
      </c>
      <c r="TLP69" s="152">
        <v>85</v>
      </c>
      <c r="TLQ69" s="153">
        <v>215</v>
      </c>
      <c r="TLR69" s="153">
        <v>75</v>
      </c>
      <c r="TLS69" s="152">
        <v>150</v>
      </c>
      <c r="TLT69" s="154">
        <f>SUM(TLO69:TLS69)</f>
        <v>8675</v>
      </c>
      <c r="TLU69" s="152">
        <v>200</v>
      </c>
      <c r="TLV69" s="154">
        <f>SUM(TLT69:TLU69)</f>
        <v>8875</v>
      </c>
      <c r="TLW69" s="147" t="s">
        <v>99</v>
      </c>
      <c r="TLX69" s="148">
        <v>45845</v>
      </c>
      <c r="TLY69" s="143" t="s">
        <v>46</v>
      </c>
      <c r="TLZ69" s="199"/>
      <c r="TMA69" s="149" t="s">
        <v>125</v>
      </c>
      <c r="TMB69" s="197"/>
      <c r="TMC69" s="198"/>
      <c r="TMD69" s="143" t="s">
        <v>22</v>
      </c>
      <c r="TME69" s="144">
        <v>8150</v>
      </c>
      <c r="TMF69" s="152">
        <v>85</v>
      </c>
      <c r="TMG69" s="153">
        <v>215</v>
      </c>
      <c r="TMH69" s="153">
        <v>75</v>
      </c>
      <c r="TMI69" s="152">
        <v>150</v>
      </c>
      <c r="TMJ69" s="154">
        <f>SUM(TME69:TMI69)</f>
        <v>8675</v>
      </c>
      <c r="TMK69" s="152">
        <v>200</v>
      </c>
      <c r="TML69" s="154">
        <f>SUM(TMJ69:TMK69)</f>
        <v>8875</v>
      </c>
      <c r="TMM69" s="147" t="s">
        <v>99</v>
      </c>
      <c r="TMN69" s="148">
        <v>45845</v>
      </c>
      <c r="TMO69" s="143" t="s">
        <v>46</v>
      </c>
      <c r="TMP69" s="199"/>
      <c r="TMQ69" s="149" t="s">
        <v>125</v>
      </c>
      <c r="TMR69" s="197"/>
      <c r="TMS69" s="198"/>
      <c r="TMT69" s="143" t="s">
        <v>22</v>
      </c>
      <c r="TMU69" s="144">
        <v>8150</v>
      </c>
      <c r="TMV69" s="152">
        <v>85</v>
      </c>
      <c r="TMW69" s="153">
        <v>215</v>
      </c>
      <c r="TMX69" s="153">
        <v>75</v>
      </c>
      <c r="TMY69" s="152">
        <v>150</v>
      </c>
      <c r="TMZ69" s="154">
        <f>SUM(TMU69:TMY69)</f>
        <v>8675</v>
      </c>
      <c r="TNA69" s="152">
        <v>200</v>
      </c>
      <c r="TNB69" s="154">
        <f>SUM(TMZ69:TNA69)</f>
        <v>8875</v>
      </c>
      <c r="TNC69" s="147" t="s">
        <v>99</v>
      </c>
      <c r="TND69" s="148">
        <v>45845</v>
      </c>
      <c r="TNE69" s="143" t="s">
        <v>46</v>
      </c>
      <c r="TNF69" s="199"/>
      <c r="TNG69" s="149" t="s">
        <v>125</v>
      </c>
      <c r="TNH69" s="197"/>
      <c r="TNI69" s="198"/>
      <c r="TNJ69" s="143" t="s">
        <v>22</v>
      </c>
      <c r="TNK69" s="144">
        <v>8150</v>
      </c>
      <c r="TNL69" s="152">
        <v>85</v>
      </c>
      <c r="TNM69" s="153">
        <v>215</v>
      </c>
      <c r="TNN69" s="153">
        <v>75</v>
      </c>
      <c r="TNO69" s="152">
        <v>150</v>
      </c>
      <c r="TNP69" s="154">
        <f>SUM(TNK69:TNO69)</f>
        <v>8675</v>
      </c>
      <c r="TNQ69" s="152">
        <v>200</v>
      </c>
      <c r="TNR69" s="154">
        <f>SUM(TNP69:TNQ69)</f>
        <v>8875</v>
      </c>
      <c r="TNS69" s="147" t="s">
        <v>99</v>
      </c>
      <c r="TNT69" s="148">
        <v>45845</v>
      </c>
      <c r="TNU69" s="143" t="s">
        <v>46</v>
      </c>
      <c r="TNV69" s="199"/>
      <c r="TNW69" s="149" t="s">
        <v>125</v>
      </c>
      <c r="TNX69" s="197"/>
      <c r="TNY69" s="198"/>
      <c r="TNZ69" s="143" t="s">
        <v>22</v>
      </c>
      <c r="TOA69" s="144">
        <v>8150</v>
      </c>
      <c r="TOB69" s="152">
        <v>85</v>
      </c>
      <c r="TOC69" s="153">
        <v>215</v>
      </c>
      <c r="TOD69" s="153">
        <v>75</v>
      </c>
      <c r="TOE69" s="152">
        <v>150</v>
      </c>
      <c r="TOF69" s="154">
        <f>SUM(TOA69:TOE69)</f>
        <v>8675</v>
      </c>
      <c r="TOG69" s="152">
        <v>200</v>
      </c>
      <c r="TOH69" s="154">
        <f>SUM(TOF69:TOG69)</f>
        <v>8875</v>
      </c>
      <c r="TOI69" s="147" t="s">
        <v>99</v>
      </c>
      <c r="TOJ69" s="148">
        <v>45845</v>
      </c>
      <c r="TOK69" s="143" t="s">
        <v>46</v>
      </c>
      <c r="TOL69" s="199"/>
      <c r="TOM69" s="149" t="s">
        <v>125</v>
      </c>
      <c r="TON69" s="197"/>
      <c r="TOO69" s="198"/>
      <c r="TOP69" s="143" t="s">
        <v>22</v>
      </c>
      <c r="TOQ69" s="144">
        <v>8150</v>
      </c>
      <c r="TOR69" s="152">
        <v>85</v>
      </c>
      <c r="TOS69" s="153">
        <v>215</v>
      </c>
      <c r="TOT69" s="153">
        <v>75</v>
      </c>
      <c r="TOU69" s="152">
        <v>150</v>
      </c>
      <c r="TOV69" s="154">
        <f>SUM(TOQ69:TOU69)</f>
        <v>8675</v>
      </c>
      <c r="TOW69" s="152">
        <v>200</v>
      </c>
      <c r="TOX69" s="154">
        <f>SUM(TOV69:TOW69)</f>
        <v>8875</v>
      </c>
      <c r="TOY69" s="147" t="s">
        <v>99</v>
      </c>
      <c r="TOZ69" s="148">
        <v>45845</v>
      </c>
      <c r="TPA69" s="143" t="s">
        <v>46</v>
      </c>
      <c r="TPB69" s="199"/>
      <c r="TPC69" s="149" t="s">
        <v>125</v>
      </c>
      <c r="TPD69" s="197"/>
      <c r="TPE69" s="198"/>
      <c r="TPF69" s="143" t="s">
        <v>22</v>
      </c>
      <c r="TPG69" s="144">
        <v>8150</v>
      </c>
      <c r="TPH69" s="152">
        <v>85</v>
      </c>
      <c r="TPI69" s="153">
        <v>215</v>
      </c>
      <c r="TPJ69" s="153">
        <v>75</v>
      </c>
      <c r="TPK69" s="152">
        <v>150</v>
      </c>
      <c r="TPL69" s="154">
        <f>SUM(TPG69:TPK69)</f>
        <v>8675</v>
      </c>
      <c r="TPM69" s="152">
        <v>200</v>
      </c>
      <c r="TPN69" s="154">
        <f>SUM(TPL69:TPM69)</f>
        <v>8875</v>
      </c>
      <c r="TPO69" s="147" t="s">
        <v>99</v>
      </c>
      <c r="TPP69" s="148">
        <v>45845</v>
      </c>
      <c r="TPQ69" s="143" t="s">
        <v>46</v>
      </c>
      <c r="TPR69" s="199"/>
      <c r="TPS69" s="149" t="s">
        <v>125</v>
      </c>
      <c r="TPT69" s="197"/>
      <c r="TPU69" s="198"/>
      <c r="TPV69" s="143" t="s">
        <v>22</v>
      </c>
      <c r="TPW69" s="144">
        <v>8150</v>
      </c>
      <c r="TPX69" s="152">
        <v>85</v>
      </c>
      <c r="TPY69" s="153">
        <v>215</v>
      </c>
      <c r="TPZ69" s="153">
        <v>75</v>
      </c>
      <c r="TQA69" s="152">
        <v>150</v>
      </c>
      <c r="TQB69" s="154">
        <f>SUM(TPW69:TQA69)</f>
        <v>8675</v>
      </c>
      <c r="TQC69" s="152">
        <v>200</v>
      </c>
      <c r="TQD69" s="154">
        <f>SUM(TQB69:TQC69)</f>
        <v>8875</v>
      </c>
      <c r="TQE69" s="147" t="s">
        <v>99</v>
      </c>
      <c r="TQF69" s="148">
        <v>45845</v>
      </c>
      <c r="TQG69" s="143" t="s">
        <v>46</v>
      </c>
      <c r="TQH69" s="199"/>
      <c r="TQI69" s="149" t="s">
        <v>125</v>
      </c>
      <c r="TQJ69" s="197"/>
      <c r="TQK69" s="198"/>
      <c r="TQL69" s="143" t="s">
        <v>22</v>
      </c>
      <c r="TQM69" s="144">
        <v>8150</v>
      </c>
      <c r="TQN69" s="152">
        <v>85</v>
      </c>
      <c r="TQO69" s="153">
        <v>215</v>
      </c>
      <c r="TQP69" s="153">
        <v>75</v>
      </c>
      <c r="TQQ69" s="152">
        <v>150</v>
      </c>
      <c r="TQR69" s="154">
        <f>SUM(TQM69:TQQ69)</f>
        <v>8675</v>
      </c>
      <c r="TQS69" s="152">
        <v>200</v>
      </c>
      <c r="TQT69" s="154">
        <f>SUM(TQR69:TQS69)</f>
        <v>8875</v>
      </c>
      <c r="TQU69" s="147" t="s">
        <v>99</v>
      </c>
      <c r="TQV69" s="148">
        <v>45845</v>
      </c>
      <c r="TQW69" s="143" t="s">
        <v>46</v>
      </c>
      <c r="TQX69" s="199"/>
      <c r="TQY69" s="149" t="s">
        <v>125</v>
      </c>
      <c r="TQZ69" s="197"/>
      <c r="TRA69" s="198"/>
      <c r="TRB69" s="143" t="s">
        <v>22</v>
      </c>
      <c r="TRC69" s="144">
        <v>8150</v>
      </c>
      <c r="TRD69" s="152">
        <v>85</v>
      </c>
      <c r="TRE69" s="153">
        <v>215</v>
      </c>
      <c r="TRF69" s="153">
        <v>75</v>
      </c>
      <c r="TRG69" s="152">
        <v>150</v>
      </c>
      <c r="TRH69" s="154">
        <f>SUM(TRC69:TRG69)</f>
        <v>8675</v>
      </c>
      <c r="TRI69" s="152">
        <v>200</v>
      </c>
      <c r="TRJ69" s="154">
        <f>SUM(TRH69:TRI69)</f>
        <v>8875</v>
      </c>
      <c r="TRK69" s="147" t="s">
        <v>99</v>
      </c>
      <c r="TRL69" s="148">
        <v>45845</v>
      </c>
      <c r="TRM69" s="143" t="s">
        <v>46</v>
      </c>
      <c r="TRN69" s="199"/>
      <c r="TRO69" s="149" t="s">
        <v>125</v>
      </c>
      <c r="TRP69" s="197"/>
      <c r="TRQ69" s="198"/>
      <c r="TRR69" s="143" t="s">
        <v>22</v>
      </c>
      <c r="TRS69" s="144">
        <v>8150</v>
      </c>
      <c r="TRT69" s="152">
        <v>85</v>
      </c>
      <c r="TRU69" s="153">
        <v>215</v>
      </c>
      <c r="TRV69" s="153">
        <v>75</v>
      </c>
      <c r="TRW69" s="152">
        <v>150</v>
      </c>
      <c r="TRX69" s="154">
        <f>SUM(TRS69:TRW69)</f>
        <v>8675</v>
      </c>
      <c r="TRY69" s="152">
        <v>200</v>
      </c>
      <c r="TRZ69" s="154">
        <f>SUM(TRX69:TRY69)</f>
        <v>8875</v>
      </c>
      <c r="TSA69" s="147" t="s">
        <v>99</v>
      </c>
      <c r="TSB69" s="148">
        <v>45845</v>
      </c>
      <c r="TSC69" s="143" t="s">
        <v>46</v>
      </c>
      <c r="TSD69" s="199"/>
      <c r="TSE69" s="149" t="s">
        <v>125</v>
      </c>
      <c r="TSF69" s="197"/>
      <c r="TSG69" s="198"/>
      <c r="TSH69" s="143" t="s">
        <v>22</v>
      </c>
      <c r="TSI69" s="144">
        <v>8150</v>
      </c>
      <c r="TSJ69" s="152">
        <v>85</v>
      </c>
      <c r="TSK69" s="153">
        <v>215</v>
      </c>
      <c r="TSL69" s="153">
        <v>75</v>
      </c>
      <c r="TSM69" s="152">
        <v>150</v>
      </c>
      <c r="TSN69" s="154">
        <f>SUM(TSI69:TSM69)</f>
        <v>8675</v>
      </c>
      <c r="TSO69" s="152">
        <v>200</v>
      </c>
      <c r="TSP69" s="154">
        <f>SUM(TSN69:TSO69)</f>
        <v>8875</v>
      </c>
      <c r="TSQ69" s="147" t="s">
        <v>99</v>
      </c>
      <c r="TSR69" s="148">
        <v>45845</v>
      </c>
      <c r="TSS69" s="143" t="s">
        <v>46</v>
      </c>
      <c r="TST69" s="199"/>
      <c r="TSU69" s="149" t="s">
        <v>125</v>
      </c>
      <c r="TSV69" s="197"/>
      <c r="TSW69" s="198"/>
      <c r="TSX69" s="143" t="s">
        <v>22</v>
      </c>
      <c r="TSY69" s="144">
        <v>8150</v>
      </c>
      <c r="TSZ69" s="152">
        <v>85</v>
      </c>
      <c r="TTA69" s="153">
        <v>215</v>
      </c>
      <c r="TTB69" s="153">
        <v>75</v>
      </c>
      <c r="TTC69" s="152">
        <v>150</v>
      </c>
      <c r="TTD69" s="154">
        <f>SUM(TSY69:TTC69)</f>
        <v>8675</v>
      </c>
      <c r="TTE69" s="152">
        <v>200</v>
      </c>
      <c r="TTF69" s="154">
        <f>SUM(TTD69:TTE69)</f>
        <v>8875</v>
      </c>
      <c r="TTG69" s="147" t="s">
        <v>99</v>
      </c>
      <c r="TTH69" s="148">
        <v>45845</v>
      </c>
      <c r="TTI69" s="143" t="s">
        <v>46</v>
      </c>
      <c r="TTJ69" s="199"/>
      <c r="TTK69" s="149" t="s">
        <v>125</v>
      </c>
      <c r="TTL69" s="197"/>
      <c r="TTM69" s="198"/>
      <c r="TTN69" s="143" t="s">
        <v>22</v>
      </c>
      <c r="TTO69" s="144">
        <v>8150</v>
      </c>
      <c r="TTP69" s="152">
        <v>85</v>
      </c>
      <c r="TTQ69" s="153">
        <v>215</v>
      </c>
      <c r="TTR69" s="153">
        <v>75</v>
      </c>
      <c r="TTS69" s="152">
        <v>150</v>
      </c>
      <c r="TTT69" s="154">
        <f>SUM(TTO69:TTS69)</f>
        <v>8675</v>
      </c>
      <c r="TTU69" s="152">
        <v>200</v>
      </c>
      <c r="TTV69" s="154">
        <f>SUM(TTT69:TTU69)</f>
        <v>8875</v>
      </c>
      <c r="TTW69" s="147" t="s">
        <v>99</v>
      </c>
      <c r="TTX69" s="148">
        <v>45845</v>
      </c>
      <c r="TTY69" s="143" t="s">
        <v>46</v>
      </c>
      <c r="TTZ69" s="199"/>
      <c r="TUA69" s="149" t="s">
        <v>125</v>
      </c>
      <c r="TUB69" s="197"/>
      <c r="TUC69" s="198"/>
      <c r="TUD69" s="143" t="s">
        <v>22</v>
      </c>
      <c r="TUE69" s="144">
        <v>8150</v>
      </c>
      <c r="TUF69" s="152">
        <v>85</v>
      </c>
      <c r="TUG69" s="153">
        <v>215</v>
      </c>
      <c r="TUH69" s="153">
        <v>75</v>
      </c>
      <c r="TUI69" s="152">
        <v>150</v>
      </c>
      <c r="TUJ69" s="154">
        <f>SUM(TUE69:TUI69)</f>
        <v>8675</v>
      </c>
      <c r="TUK69" s="152">
        <v>200</v>
      </c>
      <c r="TUL69" s="154">
        <f>SUM(TUJ69:TUK69)</f>
        <v>8875</v>
      </c>
      <c r="TUM69" s="147" t="s">
        <v>99</v>
      </c>
      <c r="TUN69" s="148">
        <v>45845</v>
      </c>
      <c r="TUO69" s="143" t="s">
        <v>46</v>
      </c>
      <c r="TUP69" s="199"/>
      <c r="TUQ69" s="149" t="s">
        <v>125</v>
      </c>
      <c r="TUR69" s="197"/>
      <c r="TUS69" s="198"/>
      <c r="TUT69" s="143" t="s">
        <v>22</v>
      </c>
      <c r="TUU69" s="144">
        <v>8150</v>
      </c>
      <c r="TUV69" s="152">
        <v>85</v>
      </c>
      <c r="TUW69" s="153">
        <v>215</v>
      </c>
      <c r="TUX69" s="153">
        <v>75</v>
      </c>
      <c r="TUY69" s="152">
        <v>150</v>
      </c>
      <c r="TUZ69" s="154">
        <f>SUM(TUU69:TUY69)</f>
        <v>8675</v>
      </c>
      <c r="TVA69" s="152">
        <v>200</v>
      </c>
      <c r="TVB69" s="154">
        <f>SUM(TUZ69:TVA69)</f>
        <v>8875</v>
      </c>
      <c r="TVC69" s="147" t="s">
        <v>99</v>
      </c>
      <c r="TVD69" s="148">
        <v>45845</v>
      </c>
      <c r="TVE69" s="143" t="s">
        <v>46</v>
      </c>
      <c r="TVF69" s="199"/>
      <c r="TVG69" s="149" t="s">
        <v>125</v>
      </c>
      <c r="TVH69" s="197"/>
      <c r="TVI69" s="198"/>
      <c r="TVJ69" s="143" t="s">
        <v>22</v>
      </c>
      <c r="TVK69" s="144">
        <v>8150</v>
      </c>
      <c r="TVL69" s="152">
        <v>85</v>
      </c>
      <c r="TVM69" s="153">
        <v>215</v>
      </c>
      <c r="TVN69" s="153">
        <v>75</v>
      </c>
      <c r="TVO69" s="152">
        <v>150</v>
      </c>
      <c r="TVP69" s="154">
        <f>SUM(TVK69:TVO69)</f>
        <v>8675</v>
      </c>
      <c r="TVQ69" s="152">
        <v>200</v>
      </c>
      <c r="TVR69" s="154">
        <f>SUM(TVP69:TVQ69)</f>
        <v>8875</v>
      </c>
      <c r="TVS69" s="147" t="s">
        <v>99</v>
      </c>
      <c r="TVT69" s="148">
        <v>45845</v>
      </c>
      <c r="TVU69" s="143" t="s">
        <v>46</v>
      </c>
      <c r="TVV69" s="199"/>
      <c r="TVW69" s="149" t="s">
        <v>125</v>
      </c>
      <c r="TVX69" s="197"/>
      <c r="TVY69" s="198"/>
      <c r="TVZ69" s="143" t="s">
        <v>22</v>
      </c>
      <c r="TWA69" s="144">
        <v>8150</v>
      </c>
      <c r="TWB69" s="152">
        <v>85</v>
      </c>
      <c r="TWC69" s="153">
        <v>215</v>
      </c>
      <c r="TWD69" s="153">
        <v>75</v>
      </c>
      <c r="TWE69" s="152">
        <v>150</v>
      </c>
      <c r="TWF69" s="154">
        <f>SUM(TWA69:TWE69)</f>
        <v>8675</v>
      </c>
      <c r="TWG69" s="152">
        <v>200</v>
      </c>
      <c r="TWH69" s="154">
        <f>SUM(TWF69:TWG69)</f>
        <v>8875</v>
      </c>
      <c r="TWI69" s="147" t="s">
        <v>99</v>
      </c>
      <c r="TWJ69" s="148">
        <v>45845</v>
      </c>
      <c r="TWK69" s="143" t="s">
        <v>46</v>
      </c>
      <c r="TWL69" s="199"/>
      <c r="TWM69" s="149" t="s">
        <v>125</v>
      </c>
      <c r="TWN69" s="197"/>
      <c r="TWO69" s="198"/>
      <c r="TWP69" s="143" t="s">
        <v>22</v>
      </c>
      <c r="TWQ69" s="144">
        <v>8150</v>
      </c>
      <c r="TWR69" s="152">
        <v>85</v>
      </c>
      <c r="TWS69" s="153">
        <v>215</v>
      </c>
      <c r="TWT69" s="153">
        <v>75</v>
      </c>
      <c r="TWU69" s="152">
        <v>150</v>
      </c>
      <c r="TWV69" s="154">
        <f>SUM(TWQ69:TWU69)</f>
        <v>8675</v>
      </c>
      <c r="TWW69" s="152">
        <v>200</v>
      </c>
      <c r="TWX69" s="154">
        <f>SUM(TWV69:TWW69)</f>
        <v>8875</v>
      </c>
      <c r="TWY69" s="147" t="s">
        <v>99</v>
      </c>
      <c r="TWZ69" s="148">
        <v>45845</v>
      </c>
      <c r="TXA69" s="143" t="s">
        <v>46</v>
      </c>
      <c r="TXB69" s="199"/>
      <c r="TXC69" s="149" t="s">
        <v>125</v>
      </c>
      <c r="TXD69" s="197"/>
      <c r="TXE69" s="198"/>
      <c r="TXF69" s="143" t="s">
        <v>22</v>
      </c>
      <c r="TXG69" s="144">
        <v>8150</v>
      </c>
      <c r="TXH69" s="152">
        <v>85</v>
      </c>
      <c r="TXI69" s="153">
        <v>215</v>
      </c>
      <c r="TXJ69" s="153">
        <v>75</v>
      </c>
      <c r="TXK69" s="152">
        <v>150</v>
      </c>
      <c r="TXL69" s="154">
        <f>SUM(TXG69:TXK69)</f>
        <v>8675</v>
      </c>
      <c r="TXM69" s="152">
        <v>200</v>
      </c>
      <c r="TXN69" s="154">
        <f>SUM(TXL69:TXM69)</f>
        <v>8875</v>
      </c>
      <c r="TXO69" s="147" t="s">
        <v>99</v>
      </c>
      <c r="TXP69" s="148">
        <v>45845</v>
      </c>
      <c r="TXQ69" s="143" t="s">
        <v>46</v>
      </c>
      <c r="TXR69" s="199"/>
      <c r="TXS69" s="149" t="s">
        <v>125</v>
      </c>
      <c r="TXT69" s="197"/>
      <c r="TXU69" s="198"/>
      <c r="TXV69" s="143" t="s">
        <v>22</v>
      </c>
      <c r="TXW69" s="144">
        <v>8150</v>
      </c>
      <c r="TXX69" s="152">
        <v>85</v>
      </c>
      <c r="TXY69" s="153">
        <v>215</v>
      </c>
      <c r="TXZ69" s="153">
        <v>75</v>
      </c>
      <c r="TYA69" s="152">
        <v>150</v>
      </c>
      <c r="TYB69" s="154">
        <f>SUM(TXW69:TYA69)</f>
        <v>8675</v>
      </c>
      <c r="TYC69" s="152">
        <v>200</v>
      </c>
      <c r="TYD69" s="154">
        <f>SUM(TYB69:TYC69)</f>
        <v>8875</v>
      </c>
      <c r="TYE69" s="147" t="s">
        <v>99</v>
      </c>
      <c r="TYF69" s="148">
        <v>45845</v>
      </c>
      <c r="TYG69" s="143" t="s">
        <v>46</v>
      </c>
      <c r="TYH69" s="199"/>
      <c r="TYI69" s="149" t="s">
        <v>125</v>
      </c>
      <c r="TYJ69" s="197"/>
      <c r="TYK69" s="198"/>
      <c r="TYL69" s="143" t="s">
        <v>22</v>
      </c>
      <c r="TYM69" s="144">
        <v>8150</v>
      </c>
      <c r="TYN69" s="152">
        <v>85</v>
      </c>
      <c r="TYO69" s="153">
        <v>215</v>
      </c>
      <c r="TYP69" s="153">
        <v>75</v>
      </c>
      <c r="TYQ69" s="152">
        <v>150</v>
      </c>
      <c r="TYR69" s="154">
        <f>SUM(TYM69:TYQ69)</f>
        <v>8675</v>
      </c>
      <c r="TYS69" s="152">
        <v>200</v>
      </c>
      <c r="TYT69" s="154">
        <f>SUM(TYR69:TYS69)</f>
        <v>8875</v>
      </c>
      <c r="TYU69" s="147" t="s">
        <v>99</v>
      </c>
      <c r="TYV69" s="148">
        <v>45845</v>
      </c>
      <c r="TYW69" s="143" t="s">
        <v>46</v>
      </c>
      <c r="TYX69" s="199"/>
      <c r="TYY69" s="149" t="s">
        <v>125</v>
      </c>
      <c r="TYZ69" s="197"/>
      <c r="TZA69" s="198"/>
      <c r="TZB69" s="143" t="s">
        <v>22</v>
      </c>
      <c r="TZC69" s="144">
        <v>8150</v>
      </c>
      <c r="TZD69" s="152">
        <v>85</v>
      </c>
      <c r="TZE69" s="153">
        <v>215</v>
      </c>
      <c r="TZF69" s="153">
        <v>75</v>
      </c>
      <c r="TZG69" s="152">
        <v>150</v>
      </c>
      <c r="TZH69" s="154">
        <f>SUM(TZC69:TZG69)</f>
        <v>8675</v>
      </c>
      <c r="TZI69" s="152">
        <v>200</v>
      </c>
      <c r="TZJ69" s="154">
        <f>SUM(TZH69:TZI69)</f>
        <v>8875</v>
      </c>
      <c r="TZK69" s="147" t="s">
        <v>99</v>
      </c>
      <c r="TZL69" s="148">
        <v>45845</v>
      </c>
      <c r="TZM69" s="143" t="s">
        <v>46</v>
      </c>
      <c r="TZN69" s="199"/>
      <c r="TZO69" s="149" t="s">
        <v>125</v>
      </c>
      <c r="TZP69" s="197"/>
      <c r="TZQ69" s="198"/>
      <c r="TZR69" s="143" t="s">
        <v>22</v>
      </c>
      <c r="TZS69" s="144">
        <v>8150</v>
      </c>
      <c r="TZT69" s="152">
        <v>85</v>
      </c>
      <c r="TZU69" s="153">
        <v>215</v>
      </c>
      <c r="TZV69" s="153">
        <v>75</v>
      </c>
      <c r="TZW69" s="152">
        <v>150</v>
      </c>
      <c r="TZX69" s="154">
        <f>SUM(TZS69:TZW69)</f>
        <v>8675</v>
      </c>
      <c r="TZY69" s="152">
        <v>200</v>
      </c>
      <c r="TZZ69" s="154">
        <f>SUM(TZX69:TZY69)</f>
        <v>8875</v>
      </c>
      <c r="UAA69" s="147" t="s">
        <v>99</v>
      </c>
      <c r="UAB69" s="148">
        <v>45845</v>
      </c>
      <c r="UAC69" s="143" t="s">
        <v>46</v>
      </c>
      <c r="UAD69" s="199"/>
      <c r="UAE69" s="149" t="s">
        <v>125</v>
      </c>
      <c r="UAF69" s="197"/>
      <c r="UAG69" s="198"/>
      <c r="UAH69" s="143" t="s">
        <v>22</v>
      </c>
      <c r="UAI69" s="144">
        <v>8150</v>
      </c>
      <c r="UAJ69" s="152">
        <v>85</v>
      </c>
      <c r="UAK69" s="153">
        <v>215</v>
      </c>
      <c r="UAL69" s="153">
        <v>75</v>
      </c>
      <c r="UAM69" s="152">
        <v>150</v>
      </c>
      <c r="UAN69" s="154">
        <f>SUM(UAI69:UAM69)</f>
        <v>8675</v>
      </c>
      <c r="UAO69" s="152">
        <v>200</v>
      </c>
      <c r="UAP69" s="154">
        <f>SUM(UAN69:UAO69)</f>
        <v>8875</v>
      </c>
      <c r="UAQ69" s="147" t="s">
        <v>99</v>
      </c>
      <c r="UAR69" s="148">
        <v>45845</v>
      </c>
      <c r="UAS69" s="143" t="s">
        <v>46</v>
      </c>
      <c r="UAT69" s="199"/>
      <c r="UAU69" s="149" t="s">
        <v>125</v>
      </c>
      <c r="UAV69" s="197"/>
      <c r="UAW69" s="198"/>
      <c r="UAX69" s="143" t="s">
        <v>22</v>
      </c>
      <c r="UAY69" s="144">
        <v>8150</v>
      </c>
      <c r="UAZ69" s="152">
        <v>85</v>
      </c>
      <c r="UBA69" s="153">
        <v>215</v>
      </c>
      <c r="UBB69" s="153">
        <v>75</v>
      </c>
      <c r="UBC69" s="152">
        <v>150</v>
      </c>
      <c r="UBD69" s="154">
        <f>SUM(UAY69:UBC69)</f>
        <v>8675</v>
      </c>
      <c r="UBE69" s="152">
        <v>200</v>
      </c>
      <c r="UBF69" s="154">
        <f>SUM(UBD69:UBE69)</f>
        <v>8875</v>
      </c>
      <c r="UBG69" s="147" t="s">
        <v>99</v>
      </c>
      <c r="UBH69" s="148">
        <v>45845</v>
      </c>
      <c r="UBI69" s="143" t="s">
        <v>46</v>
      </c>
      <c r="UBJ69" s="199"/>
      <c r="UBK69" s="149" t="s">
        <v>125</v>
      </c>
      <c r="UBL69" s="197"/>
      <c r="UBM69" s="198"/>
      <c r="UBN69" s="143" t="s">
        <v>22</v>
      </c>
      <c r="UBO69" s="144">
        <v>8150</v>
      </c>
      <c r="UBP69" s="152">
        <v>85</v>
      </c>
      <c r="UBQ69" s="153">
        <v>215</v>
      </c>
      <c r="UBR69" s="153">
        <v>75</v>
      </c>
      <c r="UBS69" s="152">
        <v>150</v>
      </c>
      <c r="UBT69" s="154">
        <f>SUM(UBO69:UBS69)</f>
        <v>8675</v>
      </c>
      <c r="UBU69" s="152">
        <v>200</v>
      </c>
      <c r="UBV69" s="154">
        <f>SUM(UBT69:UBU69)</f>
        <v>8875</v>
      </c>
      <c r="UBW69" s="147" t="s">
        <v>99</v>
      </c>
      <c r="UBX69" s="148">
        <v>45845</v>
      </c>
      <c r="UBY69" s="143" t="s">
        <v>46</v>
      </c>
      <c r="UBZ69" s="199"/>
      <c r="UCA69" s="149" t="s">
        <v>125</v>
      </c>
      <c r="UCB69" s="197"/>
      <c r="UCC69" s="198"/>
      <c r="UCD69" s="143" t="s">
        <v>22</v>
      </c>
      <c r="UCE69" s="144">
        <v>8150</v>
      </c>
      <c r="UCF69" s="152">
        <v>85</v>
      </c>
      <c r="UCG69" s="153">
        <v>215</v>
      </c>
      <c r="UCH69" s="153">
        <v>75</v>
      </c>
      <c r="UCI69" s="152">
        <v>150</v>
      </c>
      <c r="UCJ69" s="154">
        <f>SUM(UCE69:UCI69)</f>
        <v>8675</v>
      </c>
      <c r="UCK69" s="152">
        <v>200</v>
      </c>
      <c r="UCL69" s="154">
        <f>SUM(UCJ69:UCK69)</f>
        <v>8875</v>
      </c>
      <c r="UCM69" s="147" t="s">
        <v>99</v>
      </c>
      <c r="UCN69" s="148">
        <v>45845</v>
      </c>
      <c r="UCO69" s="143" t="s">
        <v>46</v>
      </c>
      <c r="UCP69" s="199"/>
      <c r="UCQ69" s="149" t="s">
        <v>125</v>
      </c>
      <c r="UCR69" s="197"/>
      <c r="UCS69" s="198"/>
      <c r="UCT69" s="143" t="s">
        <v>22</v>
      </c>
      <c r="UCU69" s="144">
        <v>8150</v>
      </c>
      <c r="UCV69" s="152">
        <v>85</v>
      </c>
      <c r="UCW69" s="153">
        <v>215</v>
      </c>
      <c r="UCX69" s="153">
        <v>75</v>
      </c>
      <c r="UCY69" s="152">
        <v>150</v>
      </c>
      <c r="UCZ69" s="154">
        <f>SUM(UCU69:UCY69)</f>
        <v>8675</v>
      </c>
      <c r="UDA69" s="152">
        <v>200</v>
      </c>
      <c r="UDB69" s="154">
        <f>SUM(UCZ69:UDA69)</f>
        <v>8875</v>
      </c>
      <c r="UDC69" s="147" t="s">
        <v>99</v>
      </c>
      <c r="UDD69" s="148">
        <v>45845</v>
      </c>
      <c r="UDE69" s="143" t="s">
        <v>46</v>
      </c>
      <c r="UDF69" s="199"/>
      <c r="UDG69" s="149" t="s">
        <v>125</v>
      </c>
      <c r="UDH69" s="197"/>
      <c r="UDI69" s="198"/>
      <c r="UDJ69" s="143" t="s">
        <v>22</v>
      </c>
      <c r="UDK69" s="144">
        <v>8150</v>
      </c>
      <c r="UDL69" s="152">
        <v>85</v>
      </c>
      <c r="UDM69" s="153">
        <v>215</v>
      </c>
      <c r="UDN69" s="153">
        <v>75</v>
      </c>
      <c r="UDO69" s="152">
        <v>150</v>
      </c>
      <c r="UDP69" s="154">
        <f>SUM(UDK69:UDO69)</f>
        <v>8675</v>
      </c>
      <c r="UDQ69" s="152">
        <v>200</v>
      </c>
      <c r="UDR69" s="154">
        <f>SUM(UDP69:UDQ69)</f>
        <v>8875</v>
      </c>
      <c r="UDS69" s="147" t="s">
        <v>99</v>
      </c>
      <c r="UDT69" s="148">
        <v>45845</v>
      </c>
      <c r="UDU69" s="143" t="s">
        <v>46</v>
      </c>
      <c r="UDV69" s="199"/>
      <c r="UDW69" s="149" t="s">
        <v>125</v>
      </c>
      <c r="UDX69" s="197"/>
      <c r="UDY69" s="198"/>
      <c r="UDZ69" s="143" t="s">
        <v>22</v>
      </c>
      <c r="UEA69" s="144">
        <v>8150</v>
      </c>
      <c r="UEB69" s="152">
        <v>85</v>
      </c>
      <c r="UEC69" s="153">
        <v>215</v>
      </c>
      <c r="UED69" s="153">
        <v>75</v>
      </c>
      <c r="UEE69" s="152">
        <v>150</v>
      </c>
      <c r="UEF69" s="154">
        <f>SUM(UEA69:UEE69)</f>
        <v>8675</v>
      </c>
      <c r="UEG69" s="152">
        <v>200</v>
      </c>
      <c r="UEH69" s="154">
        <f>SUM(UEF69:UEG69)</f>
        <v>8875</v>
      </c>
      <c r="UEI69" s="147" t="s">
        <v>99</v>
      </c>
      <c r="UEJ69" s="148">
        <v>45845</v>
      </c>
      <c r="UEK69" s="143" t="s">
        <v>46</v>
      </c>
      <c r="UEL69" s="199"/>
      <c r="UEM69" s="149" t="s">
        <v>125</v>
      </c>
      <c r="UEN69" s="197"/>
      <c r="UEO69" s="198"/>
      <c r="UEP69" s="143" t="s">
        <v>22</v>
      </c>
      <c r="UEQ69" s="144">
        <v>8150</v>
      </c>
      <c r="UER69" s="152">
        <v>85</v>
      </c>
      <c r="UES69" s="153">
        <v>215</v>
      </c>
      <c r="UET69" s="153">
        <v>75</v>
      </c>
      <c r="UEU69" s="152">
        <v>150</v>
      </c>
      <c r="UEV69" s="154">
        <f>SUM(UEQ69:UEU69)</f>
        <v>8675</v>
      </c>
      <c r="UEW69" s="152">
        <v>200</v>
      </c>
      <c r="UEX69" s="154">
        <f>SUM(UEV69:UEW69)</f>
        <v>8875</v>
      </c>
      <c r="UEY69" s="147" t="s">
        <v>99</v>
      </c>
      <c r="UEZ69" s="148">
        <v>45845</v>
      </c>
      <c r="UFA69" s="143" t="s">
        <v>46</v>
      </c>
      <c r="UFB69" s="199"/>
      <c r="UFC69" s="149" t="s">
        <v>125</v>
      </c>
      <c r="UFD69" s="197"/>
      <c r="UFE69" s="198"/>
      <c r="UFF69" s="143" t="s">
        <v>22</v>
      </c>
      <c r="UFG69" s="144">
        <v>8150</v>
      </c>
      <c r="UFH69" s="152">
        <v>85</v>
      </c>
      <c r="UFI69" s="153">
        <v>215</v>
      </c>
      <c r="UFJ69" s="153">
        <v>75</v>
      </c>
      <c r="UFK69" s="152">
        <v>150</v>
      </c>
      <c r="UFL69" s="154">
        <f>SUM(UFG69:UFK69)</f>
        <v>8675</v>
      </c>
      <c r="UFM69" s="152">
        <v>200</v>
      </c>
      <c r="UFN69" s="154">
        <f>SUM(UFL69:UFM69)</f>
        <v>8875</v>
      </c>
      <c r="UFO69" s="147" t="s">
        <v>99</v>
      </c>
      <c r="UFP69" s="148">
        <v>45845</v>
      </c>
      <c r="UFQ69" s="143" t="s">
        <v>46</v>
      </c>
      <c r="UFR69" s="199"/>
      <c r="UFS69" s="149" t="s">
        <v>125</v>
      </c>
      <c r="UFT69" s="197"/>
      <c r="UFU69" s="198"/>
      <c r="UFV69" s="143" t="s">
        <v>22</v>
      </c>
      <c r="UFW69" s="144">
        <v>8150</v>
      </c>
      <c r="UFX69" s="152">
        <v>85</v>
      </c>
      <c r="UFY69" s="153">
        <v>215</v>
      </c>
      <c r="UFZ69" s="153">
        <v>75</v>
      </c>
      <c r="UGA69" s="152">
        <v>150</v>
      </c>
      <c r="UGB69" s="154">
        <f>SUM(UFW69:UGA69)</f>
        <v>8675</v>
      </c>
      <c r="UGC69" s="152">
        <v>200</v>
      </c>
      <c r="UGD69" s="154">
        <f>SUM(UGB69:UGC69)</f>
        <v>8875</v>
      </c>
      <c r="UGE69" s="147" t="s">
        <v>99</v>
      </c>
      <c r="UGF69" s="148">
        <v>45845</v>
      </c>
      <c r="UGG69" s="143" t="s">
        <v>46</v>
      </c>
      <c r="UGH69" s="199"/>
      <c r="UGI69" s="149" t="s">
        <v>125</v>
      </c>
      <c r="UGJ69" s="197"/>
      <c r="UGK69" s="198"/>
      <c r="UGL69" s="143" t="s">
        <v>22</v>
      </c>
      <c r="UGM69" s="144">
        <v>8150</v>
      </c>
      <c r="UGN69" s="152">
        <v>85</v>
      </c>
      <c r="UGO69" s="153">
        <v>215</v>
      </c>
      <c r="UGP69" s="153">
        <v>75</v>
      </c>
      <c r="UGQ69" s="152">
        <v>150</v>
      </c>
      <c r="UGR69" s="154">
        <f>SUM(UGM69:UGQ69)</f>
        <v>8675</v>
      </c>
      <c r="UGS69" s="152">
        <v>200</v>
      </c>
      <c r="UGT69" s="154">
        <f>SUM(UGR69:UGS69)</f>
        <v>8875</v>
      </c>
      <c r="UGU69" s="147" t="s">
        <v>99</v>
      </c>
      <c r="UGV69" s="148">
        <v>45845</v>
      </c>
      <c r="UGW69" s="143" t="s">
        <v>46</v>
      </c>
      <c r="UGX69" s="199"/>
      <c r="UGY69" s="149" t="s">
        <v>125</v>
      </c>
      <c r="UGZ69" s="197"/>
      <c r="UHA69" s="198"/>
      <c r="UHB69" s="143" t="s">
        <v>22</v>
      </c>
      <c r="UHC69" s="144">
        <v>8150</v>
      </c>
      <c r="UHD69" s="152">
        <v>85</v>
      </c>
      <c r="UHE69" s="153">
        <v>215</v>
      </c>
      <c r="UHF69" s="153">
        <v>75</v>
      </c>
      <c r="UHG69" s="152">
        <v>150</v>
      </c>
      <c r="UHH69" s="154">
        <f>SUM(UHC69:UHG69)</f>
        <v>8675</v>
      </c>
      <c r="UHI69" s="152">
        <v>200</v>
      </c>
      <c r="UHJ69" s="154">
        <f>SUM(UHH69:UHI69)</f>
        <v>8875</v>
      </c>
      <c r="UHK69" s="147" t="s">
        <v>99</v>
      </c>
      <c r="UHL69" s="148">
        <v>45845</v>
      </c>
      <c r="UHM69" s="143" t="s">
        <v>46</v>
      </c>
      <c r="UHN69" s="199"/>
      <c r="UHO69" s="149" t="s">
        <v>125</v>
      </c>
      <c r="UHP69" s="197"/>
      <c r="UHQ69" s="198"/>
      <c r="UHR69" s="143" t="s">
        <v>22</v>
      </c>
      <c r="UHS69" s="144">
        <v>8150</v>
      </c>
      <c r="UHT69" s="152">
        <v>85</v>
      </c>
      <c r="UHU69" s="153">
        <v>215</v>
      </c>
      <c r="UHV69" s="153">
        <v>75</v>
      </c>
      <c r="UHW69" s="152">
        <v>150</v>
      </c>
      <c r="UHX69" s="154">
        <f>SUM(UHS69:UHW69)</f>
        <v>8675</v>
      </c>
      <c r="UHY69" s="152">
        <v>200</v>
      </c>
      <c r="UHZ69" s="154">
        <f>SUM(UHX69:UHY69)</f>
        <v>8875</v>
      </c>
      <c r="UIA69" s="147" t="s">
        <v>99</v>
      </c>
      <c r="UIB69" s="148">
        <v>45845</v>
      </c>
      <c r="UIC69" s="143" t="s">
        <v>46</v>
      </c>
      <c r="UID69" s="199"/>
      <c r="UIE69" s="149" t="s">
        <v>125</v>
      </c>
      <c r="UIF69" s="197"/>
      <c r="UIG69" s="198"/>
      <c r="UIH69" s="143" t="s">
        <v>22</v>
      </c>
      <c r="UII69" s="144">
        <v>8150</v>
      </c>
      <c r="UIJ69" s="152">
        <v>85</v>
      </c>
      <c r="UIK69" s="153">
        <v>215</v>
      </c>
      <c r="UIL69" s="153">
        <v>75</v>
      </c>
      <c r="UIM69" s="152">
        <v>150</v>
      </c>
      <c r="UIN69" s="154">
        <f>SUM(UII69:UIM69)</f>
        <v>8675</v>
      </c>
      <c r="UIO69" s="152">
        <v>200</v>
      </c>
      <c r="UIP69" s="154">
        <f>SUM(UIN69:UIO69)</f>
        <v>8875</v>
      </c>
      <c r="UIQ69" s="147" t="s">
        <v>99</v>
      </c>
      <c r="UIR69" s="148">
        <v>45845</v>
      </c>
      <c r="UIS69" s="143" t="s">
        <v>46</v>
      </c>
      <c r="UIT69" s="199"/>
      <c r="UIU69" s="149" t="s">
        <v>125</v>
      </c>
      <c r="UIV69" s="197"/>
      <c r="UIW69" s="198"/>
      <c r="UIX69" s="143" t="s">
        <v>22</v>
      </c>
      <c r="UIY69" s="144">
        <v>8150</v>
      </c>
      <c r="UIZ69" s="152">
        <v>85</v>
      </c>
      <c r="UJA69" s="153">
        <v>215</v>
      </c>
      <c r="UJB69" s="153">
        <v>75</v>
      </c>
      <c r="UJC69" s="152">
        <v>150</v>
      </c>
      <c r="UJD69" s="154">
        <f>SUM(UIY69:UJC69)</f>
        <v>8675</v>
      </c>
      <c r="UJE69" s="152">
        <v>200</v>
      </c>
      <c r="UJF69" s="154">
        <f>SUM(UJD69:UJE69)</f>
        <v>8875</v>
      </c>
      <c r="UJG69" s="147" t="s">
        <v>99</v>
      </c>
      <c r="UJH69" s="148">
        <v>45845</v>
      </c>
      <c r="UJI69" s="143" t="s">
        <v>46</v>
      </c>
      <c r="UJJ69" s="199"/>
      <c r="UJK69" s="149" t="s">
        <v>125</v>
      </c>
      <c r="UJL69" s="197"/>
      <c r="UJM69" s="198"/>
      <c r="UJN69" s="143" t="s">
        <v>22</v>
      </c>
      <c r="UJO69" s="144">
        <v>8150</v>
      </c>
      <c r="UJP69" s="152">
        <v>85</v>
      </c>
      <c r="UJQ69" s="153">
        <v>215</v>
      </c>
      <c r="UJR69" s="153">
        <v>75</v>
      </c>
      <c r="UJS69" s="152">
        <v>150</v>
      </c>
      <c r="UJT69" s="154">
        <f>SUM(UJO69:UJS69)</f>
        <v>8675</v>
      </c>
      <c r="UJU69" s="152">
        <v>200</v>
      </c>
      <c r="UJV69" s="154">
        <f>SUM(UJT69:UJU69)</f>
        <v>8875</v>
      </c>
      <c r="UJW69" s="147" t="s">
        <v>99</v>
      </c>
      <c r="UJX69" s="148">
        <v>45845</v>
      </c>
      <c r="UJY69" s="143" t="s">
        <v>46</v>
      </c>
      <c r="UJZ69" s="199"/>
      <c r="UKA69" s="149" t="s">
        <v>125</v>
      </c>
      <c r="UKB69" s="197"/>
      <c r="UKC69" s="198"/>
      <c r="UKD69" s="143" t="s">
        <v>22</v>
      </c>
      <c r="UKE69" s="144">
        <v>8150</v>
      </c>
      <c r="UKF69" s="152">
        <v>85</v>
      </c>
      <c r="UKG69" s="153">
        <v>215</v>
      </c>
      <c r="UKH69" s="153">
        <v>75</v>
      </c>
      <c r="UKI69" s="152">
        <v>150</v>
      </c>
      <c r="UKJ69" s="154">
        <f>SUM(UKE69:UKI69)</f>
        <v>8675</v>
      </c>
      <c r="UKK69" s="152">
        <v>200</v>
      </c>
      <c r="UKL69" s="154">
        <f>SUM(UKJ69:UKK69)</f>
        <v>8875</v>
      </c>
      <c r="UKM69" s="147" t="s">
        <v>99</v>
      </c>
      <c r="UKN69" s="148">
        <v>45845</v>
      </c>
      <c r="UKO69" s="143" t="s">
        <v>46</v>
      </c>
      <c r="UKP69" s="199"/>
      <c r="UKQ69" s="149" t="s">
        <v>125</v>
      </c>
      <c r="UKR69" s="197"/>
      <c r="UKS69" s="198"/>
      <c r="UKT69" s="143" t="s">
        <v>22</v>
      </c>
      <c r="UKU69" s="144">
        <v>8150</v>
      </c>
      <c r="UKV69" s="152">
        <v>85</v>
      </c>
      <c r="UKW69" s="153">
        <v>215</v>
      </c>
      <c r="UKX69" s="153">
        <v>75</v>
      </c>
      <c r="UKY69" s="152">
        <v>150</v>
      </c>
      <c r="UKZ69" s="154">
        <f>SUM(UKU69:UKY69)</f>
        <v>8675</v>
      </c>
      <c r="ULA69" s="152">
        <v>200</v>
      </c>
      <c r="ULB69" s="154">
        <f>SUM(UKZ69:ULA69)</f>
        <v>8875</v>
      </c>
      <c r="ULC69" s="147" t="s">
        <v>99</v>
      </c>
      <c r="ULD69" s="148">
        <v>45845</v>
      </c>
      <c r="ULE69" s="143" t="s">
        <v>46</v>
      </c>
      <c r="ULF69" s="199"/>
      <c r="ULG69" s="149" t="s">
        <v>125</v>
      </c>
      <c r="ULH69" s="197"/>
      <c r="ULI69" s="198"/>
      <c r="ULJ69" s="143" t="s">
        <v>22</v>
      </c>
      <c r="ULK69" s="144">
        <v>8150</v>
      </c>
      <c r="ULL69" s="152">
        <v>85</v>
      </c>
      <c r="ULM69" s="153">
        <v>215</v>
      </c>
      <c r="ULN69" s="153">
        <v>75</v>
      </c>
      <c r="ULO69" s="152">
        <v>150</v>
      </c>
      <c r="ULP69" s="154">
        <f>SUM(ULK69:ULO69)</f>
        <v>8675</v>
      </c>
      <c r="ULQ69" s="152">
        <v>200</v>
      </c>
      <c r="ULR69" s="154">
        <f>SUM(ULP69:ULQ69)</f>
        <v>8875</v>
      </c>
      <c r="ULS69" s="147" t="s">
        <v>99</v>
      </c>
      <c r="ULT69" s="148">
        <v>45845</v>
      </c>
      <c r="ULU69" s="143" t="s">
        <v>46</v>
      </c>
      <c r="ULV69" s="199"/>
      <c r="ULW69" s="149" t="s">
        <v>125</v>
      </c>
      <c r="ULX69" s="197"/>
      <c r="ULY69" s="198"/>
      <c r="ULZ69" s="143" t="s">
        <v>22</v>
      </c>
      <c r="UMA69" s="144">
        <v>8150</v>
      </c>
      <c r="UMB69" s="152">
        <v>85</v>
      </c>
      <c r="UMC69" s="153">
        <v>215</v>
      </c>
      <c r="UMD69" s="153">
        <v>75</v>
      </c>
      <c r="UME69" s="152">
        <v>150</v>
      </c>
      <c r="UMF69" s="154">
        <f>SUM(UMA69:UME69)</f>
        <v>8675</v>
      </c>
      <c r="UMG69" s="152">
        <v>200</v>
      </c>
      <c r="UMH69" s="154">
        <f>SUM(UMF69:UMG69)</f>
        <v>8875</v>
      </c>
      <c r="UMI69" s="147" t="s">
        <v>99</v>
      </c>
      <c r="UMJ69" s="148">
        <v>45845</v>
      </c>
      <c r="UMK69" s="143" t="s">
        <v>46</v>
      </c>
      <c r="UML69" s="199"/>
      <c r="UMM69" s="149" t="s">
        <v>125</v>
      </c>
      <c r="UMN69" s="197"/>
      <c r="UMO69" s="198"/>
      <c r="UMP69" s="143" t="s">
        <v>22</v>
      </c>
      <c r="UMQ69" s="144">
        <v>8150</v>
      </c>
      <c r="UMR69" s="152">
        <v>85</v>
      </c>
      <c r="UMS69" s="153">
        <v>215</v>
      </c>
      <c r="UMT69" s="153">
        <v>75</v>
      </c>
      <c r="UMU69" s="152">
        <v>150</v>
      </c>
      <c r="UMV69" s="154">
        <f>SUM(UMQ69:UMU69)</f>
        <v>8675</v>
      </c>
      <c r="UMW69" s="152">
        <v>200</v>
      </c>
      <c r="UMX69" s="154">
        <f>SUM(UMV69:UMW69)</f>
        <v>8875</v>
      </c>
      <c r="UMY69" s="147" t="s">
        <v>99</v>
      </c>
      <c r="UMZ69" s="148">
        <v>45845</v>
      </c>
      <c r="UNA69" s="143" t="s">
        <v>46</v>
      </c>
      <c r="UNB69" s="199"/>
      <c r="UNC69" s="149" t="s">
        <v>125</v>
      </c>
      <c r="UND69" s="197"/>
      <c r="UNE69" s="198"/>
      <c r="UNF69" s="143" t="s">
        <v>22</v>
      </c>
      <c r="UNG69" s="144">
        <v>8150</v>
      </c>
      <c r="UNH69" s="152">
        <v>85</v>
      </c>
      <c r="UNI69" s="153">
        <v>215</v>
      </c>
      <c r="UNJ69" s="153">
        <v>75</v>
      </c>
      <c r="UNK69" s="152">
        <v>150</v>
      </c>
      <c r="UNL69" s="154">
        <f>SUM(UNG69:UNK69)</f>
        <v>8675</v>
      </c>
      <c r="UNM69" s="152">
        <v>200</v>
      </c>
      <c r="UNN69" s="154">
        <f>SUM(UNL69:UNM69)</f>
        <v>8875</v>
      </c>
      <c r="UNO69" s="147" t="s">
        <v>99</v>
      </c>
      <c r="UNP69" s="148">
        <v>45845</v>
      </c>
      <c r="UNQ69" s="143" t="s">
        <v>46</v>
      </c>
      <c r="UNR69" s="199"/>
      <c r="UNS69" s="149" t="s">
        <v>125</v>
      </c>
      <c r="UNT69" s="197"/>
      <c r="UNU69" s="198"/>
      <c r="UNV69" s="143" t="s">
        <v>22</v>
      </c>
      <c r="UNW69" s="144">
        <v>8150</v>
      </c>
      <c r="UNX69" s="152">
        <v>85</v>
      </c>
      <c r="UNY69" s="153">
        <v>215</v>
      </c>
      <c r="UNZ69" s="153">
        <v>75</v>
      </c>
      <c r="UOA69" s="152">
        <v>150</v>
      </c>
      <c r="UOB69" s="154">
        <f>SUM(UNW69:UOA69)</f>
        <v>8675</v>
      </c>
      <c r="UOC69" s="152">
        <v>200</v>
      </c>
      <c r="UOD69" s="154">
        <f>SUM(UOB69:UOC69)</f>
        <v>8875</v>
      </c>
      <c r="UOE69" s="147" t="s">
        <v>99</v>
      </c>
      <c r="UOF69" s="148">
        <v>45845</v>
      </c>
      <c r="UOG69" s="143" t="s">
        <v>46</v>
      </c>
      <c r="UOH69" s="199"/>
      <c r="UOI69" s="149" t="s">
        <v>125</v>
      </c>
      <c r="UOJ69" s="197"/>
      <c r="UOK69" s="198"/>
      <c r="UOL69" s="143" t="s">
        <v>22</v>
      </c>
      <c r="UOM69" s="144">
        <v>8150</v>
      </c>
      <c r="UON69" s="152">
        <v>85</v>
      </c>
      <c r="UOO69" s="153">
        <v>215</v>
      </c>
      <c r="UOP69" s="153">
        <v>75</v>
      </c>
      <c r="UOQ69" s="152">
        <v>150</v>
      </c>
      <c r="UOR69" s="154">
        <f>SUM(UOM69:UOQ69)</f>
        <v>8675</v>
      </c>
      <c r="UOS69" s="152">
        <v>200</v>
      </c>
      <c r="UOT69" s="154">
        <f>SUM(UOR69:UOS69)</f>
        <v>8875</v>
      </c>
      <c r="UOU69" s="147" t="s">
        <v>99</v>
      </c>
      <c r="UOV69" s="148">
        <v>45845</v>
      </c>
      <c r="UOW69" s="143" t="s">
        <v>46</v>
      </c>
      <c r="UOX69" s="199"/>
      <c r="UOY69" s="149" t="s">
        <v>125</v>
      </c>
      <c r="UOZ69" s="197"/>
      <c r="UPA69" s="198"/>
      <c r="UPB69" s="143" t="s">
        <v>22</v>
      </c>
      <c r="UPC69" s="144">
        <v>8150</v>
      </c>
      <c r="UPD69" s="152">
        <v>85</v>
      </c>
      <c r="UPE69" s="153">
        <v>215</v>
      </c>
      <c r="UPF69" s="153">
        <v>75</v>
      </c>
      <c r="UPG69" s="152">
        <v>150</v>
      </c>
      <c r="UPH69" s="154">
        <f>SUM(UPC69:UPG69)</f>
        <v>8675</v>
      </c>
      <c r="UPI69" s="152">
        <v>200</v>
      </c>
      <c r="UPJ69" s="154">
        <f>SUM(UPH69:UPI69)</f>
        <v>8875</v>
      </c>
      <c r="UPK69" s="147" t="s">
        <v>99</v>
      </c>
      <c r="UPL69" s="148">
        <v>45845</v>
      </c>
      <c r="UPM69" s="143" t="s">
        <v>46</v>
      </c>
      <c r="UPN69" s="199"/>
      <c r="UPO69" s="149" t="s">
        <v>125</v>
      </c>
      <c r="UPP69" s="197"/>
      <c r="UPQ69" s="198"/>
      <c r="UPR69" s="143" t="s">
        <v>22</v>
      </c>
      <c r="UPS69" s="144">
        <v>8150</v>
      </c>
      <c r="UPT69" s="152">
        <v>85</v>
      </c>
      <c r="UPU69" s="153">
        <v>215</v>
      </c>
      <c r="UPV69" s="153">
        <v>75</v>
      </c>
      <c r="UPW69" s="152">
        <v>150</v>
      </c>
      <c r="UPX69" s="154">
        <f>SUM(UPS69:UPW69)</f>
        <v>8675</v>
      </c>
      <c r="UPY69" s="152">
        <v>200</v>
      </c>
      <c r="UPZ69" s="154">
        <f>SUM(UPX69:UPY69)</f>
        <v>8875</v>
      </c>
      <c r="UQA69" s="147" t="s">
        <v>99</v>
      </c>
      <c r="UQB69" s="148">
        <v>45845</v>
      </c>
      <c r="UQC69" s="143" t="s">
        <v>46</v>
      </c>
      <c r="UQD69" s="199"/>
      <c r="UQE69" s="149" t="s">
        <v>125</v>
      </c>
      <c r="UQF69" s="197"/>
      <c r="UQG69" s="198"/>
      <c r="UQH69" s="143" t="s">
        <v>22</v>
      </c>
      <c r="UQI69" s="144">
        <v>8150</v>
      </c>
      <c r="UQJ69" s="152">
        <v>85</v>
      </c>
      <c r="UQK69" s="153">
        <v>215</v>
      </c>
      <c r="UQL69" s="153">
        <v>75</v>
      </c>
      <c r="UQM69" s="152">
        <v>150</v>
      </c>
      <c r="UQN69" s="154">
        <f>SUM(UQI69:UQM69)</f>
        <v>8675</v>
      </c>
      <c r="UQO69" s="152">
        <v>200</v>
      </c>
      <c r="UQP69" s="154">
        <f>SUM(UQN69:UQO69)</f>
        <v>8875</v>
      </c>
      <c r="UQQ69" s="147" t="s">
        <v>99</v>
      </c>
      <c r="UQR69" s="148">
        <v>45845</v>
      </c>
      <c r="UQS69" s="143" t="s">
        <v>46</v>
      </c>
      <c r="UQT69" s="199"/>
      <c r="UQU69" s="149" t="s">
        <v>125</v>
      </c>
      <c r="UQV69" s="197"/>
      <c r="UQW69" s="198"/>
      <c r="UQX69" s="143" t="s">
        <v>22</v>
      </c>
      <c r="UQY69" s="144">
        <v>8150</v>
      </c>
      <c r="UQZ69" s="152">
        <v>85</v>
      </c>
      <c r="URA69" s="153">
        <v>215</v>
      </c>
      <c r="URB69" s="153">
        <v>75</v>
      </c>
      <c r="URC69" s="152">
        <v>150</v>
      </c>
      <c r="URD69" s="154">
        <f>SUM(UQY69:URC69)</f>
        <v>8675</v>
      </c>
      <c r="URE69" s="152">
        <v>200</v>
      </c>
      <c r="URF69" s="154">
        <f>SUM(URD69:URE69)</f>
        <v>8875</v>
      </c>
      <c r="URG69" s="147" t="s">
        <v>99</v>
      </c>
      <c r="URH69" s="148">
        <v>45845</v>
      </c>
      <c r="URI69" s="143" t="s">
        <v>46</v>
      </c>
      <c r="URJ69" s="199"/>
      <c r="URK69" s="149" t="s">
        <v>125</v>
      </c>
      <c r="URL69" s="197"/>
      <c r="URM69" s="198"/>
      <c r="URN69" s="143" t="s">
        <v>22</v>
      </c>
      <c r="URO69" s="144">
        <v>8150</v>
      </c>
      <c r="URP69" s="152">
        <v>85</v>
      </c>
      <c r="URQ69" s="153">
        <v>215</v>
      </c>
      <c r="URR69" s="153">
        <v>75</v>
      </c>
      <c r="URS69" s="152">
        <v>150</v>
      </c>
      <c r="URT69" s="154">
        <f>SUM(URO69:URS69)</f>
        <v>8675</v>
      </c>
      <c r="URU69" s="152">
        <v>200</v>
      </c>
      <c r="URV69" s="154">
        <f>SUM(URT69:URU69)</f>
        <v>8875</v>
      </c>
      <c r="URW69" s="147" t="s">
        <v>99</v>
      </c>
      <c r="URX69" s="148">
        <v>45845</v>
      </c>
      <c r="URY69" s="143" t="s">
        <v>46</v>
      </c>
      <c r="URZ69" s="199"/>
      <c r="USA69" s="149" t="s">
        <v>125</v>
      </c>
      <c r="USB69" s="197"/>
      <c r="USC69" s="198"/>
      <c r="USD69" s="143" t="s">
        <v>22</v>
      </c>
      <c r="USE69" s="144">
        <v>8150</v>
      </c>
      <c r="USF69" s="152">
        <v>85</v>
      </c>
      <c r="USG69" s="153">
        <v>215</v>
      </c>
      <c r="USH69" s="153">
        <v>75</v>
      </c>
      <c r="USI69" s="152">
        <v>150</v>
      </c>
      <c r="USJ69" s="154">
        <f>SUM(USE69:USI69)</f>
        <v>8675</v>
      </c>
      <c r="USK69" s="152">
        <v>200</v>
      </c>
      <c r="USL69" s="154">
        <f>SUM(USJ69:USK69)</f>
        <v>8875</v>
      </c>
      <c r="USM69" s="147" t="s">
        <v>99</v>
      </c>
      <c r="USN69" s="148">
        <v>45845</v>
      </c>
      <c r="USO69" s="143" t="s">
        <v>46</v>
      </c>
      <c r="USP69" s="199"/>
      <c r="USQ69" s="149" t="s">
        <v>125</v>
      </c>
      <c r="USR69" s="197"/>
      <c r="USS69" s="198"/>
      <c r="UST69" s="143" t="s">
        <v>22</v>
      </c>
      <c r="USU69" s="144">
        <v>8150</v>
      </c>
      <c r="USV69" s="152">
        <v>85</v>
      </c>
      <c r="USW69" s="153">
        <v>215</v>
      </c>
      <c r="USX69" s="153">
        <v>75</v>
      </c>
      <c r="USY69" s="152">
        <v>150</v>
      </c>
      <c r="USZ69" s="154">
        <f>SUM(USU69:USY69)</f>
        <v>8675</v>
      </c>
      <c r="UTA69" s="152">
        <v>200</v>
      </c>
      <c r="UTB69" s="154">
        <f>SUM(USZ69:UTA69)</f>
        <v>8875</v>
      </c>
      <c r="UTC69" s="147" t="s">
        <v>99</v>
      </c>
      <c r="UTD69" s="148">
        <v>45845</v>
      </c>
      <c r="UTE69" s="143" t="s">
        <v>46</v>
      </c>
      <c r="UTF69" s="199"/>
      <c r="UTG69" s="149" t="s">
        <v>125</v>
      </c>
      <c r="UTH69" s="197"/>
      <c r="UTI69" s="198"/>
      <c r="UTJ69" s="143" t="s">
        <v>22</v>
      </c>
      <c r="UTK69" s="144">
        <v>8150</v>
      </c>
      <c r="UTL69" s="152">
        <v>85</v>
      </c>
      <c r="UTM69" s="153">
        <v>215</v>
      </c>
      <c r="UTN69" s="153">
        <v>75</v>
      </c>
      <c r="UTO69" s="152">
        <v>150</v>
      </c>
      <c r="UTP69" s="154">
        <f>SUM(UTK69:UTO69)</f>
        <v>8675</v>
      </c>
      <c r="UTQ69" s="152">
        <v>200</v>
      </c>
      <c r="UTR69" s="154">
        <f>SUM(UTP69:UTQ69)</f>
        <v>8875</v>
      </c>
      <c r="UTS69" s="147" t="s">
        <v>99</v>
      </c>
      <c r="UTT69" s="148">
        <v>45845</v>
      </c>
      <c r="UTU69" s="143" t="s">
        <v>46</v>
      </c>
      <c r="UTV69" s="199"/>
      <c r="UTW69" s="149" t="s">
        <v>125</v>
      </c>
      <c r="UTX69" s="197"/>
      <c r="UTY69" s="198"/>
      <c r="UTZ69" s="143" t="s">
        <v>22</v>
      </c>
      <c r="UUA69" s="144">
        <v>8150</v>
      </c>
      <c r="UUB69" s="152">
        <v>85</v>
      </c>
      <c r="UUC69" s="153">
        <v>215</v>
      </c>
      <c r="UUD69" s="153">
        <v>75</v>
      </c>
      <c r="UUE69" s="152">
        <v>150</v>
      </c>
      <c r="UUF69" s="154">
        <f>SUM(UUA69:UUE69)</f>
        <v>8675</v>
      </c>
      <c r="UUG69" s="152">
        <v>200</v>
      </c>
      <c r="UUH69" s="154">
        <f>SUM(UUF69:UUG69)</f>
        <v>8875</v>
      </c>
      <c r="UUI69" s="147" t="s">
        <v>99</v>
      </c>
      <c r="UUJ69" s="148">
        <v>45845</v>
      </c>
      <c r="UUK69" s="143" t="s">
        <v>46</v>
      </c>
      <c r="UUL69" s="199"/>
      <c r="UUM69" s="149" t="s">
        <v>125</v>
      </c>
      <c r="UUN69" s="197"/>
      <c r="UUO69" s="198"/>
      <c r="UUP69" s="143" t="s">
        <v>22</v>
      </c>
      <c r="UUQ69" s="144">
        <v>8150</v>
      </c>
      <c r="UUR69" s="152">
        <v>85</v>
      </c>
      <c r="UUS69" s="153">
        <v>215</v>
      </c>
      <c r="UUT69" s="153">
        <v>75</v>
      </c>
      <c r="UUU69" s="152">
        <v>150</v>
      </c>
      <c r="UUV69" s="154">
        <f>SUM(UUQ69:UUU69)</f>
        <v>8675</v>
      </c>
      <c r="UUW69" s="152">
        <v>200</v>
      </c>
      <c r="UUX69" s="154">
        <f>SUM(UUV69:UUW69)</f>
        <v>8875</v>
      </c>
      <c r="UUY69" s="147" t="s">
        <v>99</v>
      </c>
      <c r="UUZ69" s="148">
        <v>45845</v>
      </c>
      <c r="UVA69" s="143" t="s">
        <v>46</v>
      </c>
      <c r="UVB69" s="199"/>
      <c r="UVC69" s="149" t="s">
        <v>125</v>
      </c>
      <c r="UVD69" s="197"/>
      <c r="UVE69" s="198"/>
      <c r="UVF69" s="143" t="s">
        <v>22</v>
      </c>
      <c r="UVG69" s="144">
        <v>8150</v>
      </c>
      <c r="UVH69" s="152">
        <v>85</v>
      </c>
      <c r="UVI69" s="153">
        <v>215</v>
      </c>
      <c r="UVJ69" s="153">
        <v>75</v>
      </c>
      <c r="UVK69" s="152">
        <v>150</v>
      </c>
      <c r="UVL69" s="154">
        <f>SUM(UVG69:UVK69)</f>
        <v>8675</v>
      </c>
      <c r="UVM69" s="152">
        <v>200</v>
      </c>
      <c r="UVN69" s="154">
        <f>SUM(UVL69:UVM69)</f>
        <v>8875</v>
      </c>
      <c r="UVO69" s="147" t="s">
        <v>99</v>
      </c>
      <c r="UVP69" s="148">
        <v>45845</v>
      </c>
      <c r="UVQ69" s="143" t="s">
        <v>46</v>
      </c>
      <c r="UVR69" s="199"/>
      <c r="UVS69" s="149" t="s">
        <v>125</v>
      </c>
      <c r="UVT69" s="197"/>
      <c r="UVU69" s="198"/>
      <c r="UVV69" s="143" t="s">
        <v>22</v>
      </c>
      <c r="UVW69" s="144">
        <v>8150</v>
      </c>
      <c r="UVX69" s="152">
        <v>85</v>
      </c>
      <c r="UVY69" s="153">
        <v>215</v>
      </c>
      <c r="UVZ69" s="153">
        <v>75</v>
      </c>
      <c r="UWA69" s="152">
        <v>150</v>
      </c>
      <c r="UWB69" s="154">
        <f>SUM(UVW69:UWA69)</f>
        <v>8675</v>
      </c>
      <c r="UWC69" s="152">
        <v>200</v>
      </c>
      <c r="UWD69" s="154">
        <f>SUM(UWB69:UWC69)</f>
        <v>8875</v>
      </c>
      <c r="UWE69" s="147" t="s">
        <v>99</v>
      </c>
      <c r="UWF69" s="148">
        <v>45845</v>
      </c>
      <c r="UWG69" s="143" t="s">
        <v>46</v>
      </c>
      <c r="UWH69" s="199"/>
      <c r="UWI69" s="149" t="s">
        <v>125</v>
      </c>
      <c r="UWJ69" s="197"/>
      <c r="UWK69" s="198"/>
      <c r="UWL69" s="143" t="s">
        <v>22</v>
      </c>
      <c r="UWM69" s="144">
        <v>8150</v>
      </c>
      <c r="UWN69" s="152">
        <v>85</v>
      </c>
      <c r="UWO69" s="153">
        <v>215</v>
      </c>
      <c r="UWP69" s="153">
        <v>75</v>
      </c>
      <c r="UWQ69" s="152">
        <v>150</v>
      </c>
      <c r="UWR69" s="154">
        <f>SUM(UWM69:UWQ69)</f>
        <v>8675</v>
      </c>
      <c r="UWS69" s="152">
        <v>200</v>
      </c>
      <c r="UWT69" s="154">
        <f>SUM(UWR69:UWS69)</f>
        <v>8875</v>
      </c>
      <c r="UWU69" s="147" t="s">
        <v>99</v>
      </c>
      <c r="UWV69" s="148">
        <v>45845</v>
      </c>
      <c r="UWW69" s="143" t="s">
        <v>46</v>
      </c>
      <c r="UWX69" s="199"/>
      <c r="UWY69" s="149" t="s">
        <v>125</v>
      </c>
      <c r="UWZ69" s="197"/>
      <c r="UXA69" s="198"/>
      <c r="UXB69" s="143" t="s">
        <v>22</v>
      </c>
      <c r="UXC69" s="144">
        <v>8150</v>
      </c>
      <c r="UXD69" s="152">
        <v>85</v>
      </c>
      <c r="UXE69" s="153">
        <v>215</v>
      </c>
      <c r="UXF69" s="153">
        <v>75</v>
      </c>
      <c r="UXG69" s="152">
        <v>150</v>
      </c>
      <c r="UXH69" s="154">
        <f>SUM(UXC69:UXG69)</f>
        <v>8675</v>
      </c>
      <c r="UXI69" s="152">
        <v>200</v>
      </c>
      <c r="UXJ69" s="154">
        <f>SUM(UXH69:UXI69)</f>
        <v>8875</v>
      </c>
      <c r="UXK69" s="147" t="s">
        <v>99</v>
      </c>
      <c r="UXL69" s="148">
        <v>45845</v>
      </c>
      <c r="UXM69" s="143" t="s">
        <v>46</v>
      </c>
      <c r="UXN69" s="199"/>
      <c r="UXO69" s="149" t="s">
        <v>125</v>
      </c>
      <c r="UXP69" s="197"/>
      <c r="UXQ69" s="198"/>
      <c r="UXR69" s="143" t="s">
        <v>22</v>
      </c>
      <c r="UXS69" s="144">
        <v>8150</v>
      </c>
      <c r="UXT69" s="152">
        <v>85</v>
      </c>
      <c r="UXU69" s="153">
        <v>215</v>
      </c>
      <c r="UXV69" s="153">
        <v>75</v>
      </c>
      <c r="UXW69" s="152">
        <v>150</v>
      </c>
      <c r="UXX69" s="154">
        <f>SUM(UXS69:UXW69)</f>
        <v>8675</v>
      </c>
      <c r="UXY69" s="152">
        <v>200</v>
      </c>
      <c r="UXZ69" s="154">
        <f>SUM(UXX69:UXY69)</f>
        <v>8875</v>
      </c>
      <c r="UYA69" s="147" t="s">
        <v>99</v>
      </c>
      <c r="UYB69" s="148">
        <v>45845</v>
      </c>
      <c r="UYC69" s="143" t="s">
        <v>46</v>
      </c>
      <c r="UYD69" s="199"/>
      <c r="UYE69" s="149" t="s">
        <v>125</v>
      </c>
      <c r="UYF69" s="197"/>
      <c r="UYG69" s="198"/>
      <c r="UYH69" s="143" t="s">
        <v>22</v>
      </c>
      <c r="UYI69" s="144">
        <v>8150</v>
      </c>
      <c r="UYJ69" s="152">
        <v>85</v>
      </c>
      <c r="UYK69" s="153">
        <v>215</v>
      </c>
      <c r="UYL69" s="153">
        <v>75</v>
      </c>
      <c r="UYM69" s="152">
        <v>150</v>
      </c>
      <c r="UYN69" s="154">
        <f>SUM(UYI69:UYM69)</f>
        <v>8675</v>
      </c>
      <c r="UYO69" s="152">
        <v>200</v>
      </c>
      <c r="UYP69" s="154">
        <f>SUM(UYN69:UYO69)</f>
        <v>8875</v>
      </c>
      <c r="UYQ69" s="147" t="s">
        <v>99</v>
      </c>
      <c r="UYR69" s="148">
        <v>45845</v>
      </c>
      <c r="UYS69" s="143" t="s">
        <v>46</v>
      </c>
      <c r="UYT69" s="199"/>
      <c r="UYU69" s="149" t="s">
        <v>125</v>
      </c>
      <c r="UYV69" s="197"/>
      <c r="UYW69" s="198"/>
      <c r="UYX69" s="143" t="s">
        <v>22</v>
      </c>
      <c r="UYY69" s="144">
        <v>8150</v>
      </c>
      <c r="UYZ69" s="152">
        <v>85</v>
      </c>
      <c r="UZA69" s="153">
        <v>215</v>
      </c>
      <c r="UZB69" s="153">
        <v>75</v>
      </c>
      <c r="UZC69" s="152">
        <v>150</v>
      </c>
      <c r="UZD69" s="154">
        <f>SUM(UYY69:UZC69)</f>
        <v>8675</v>
      </c>
      <c r="UZE69" s="152">
        <v>200</v>
      </c>
      <c r="UZF69" s="154">
        <f>SUM(UZD69:UZE69)</f>
        <v>8875</v>
      </c>
      <c r="UZG69" s="147" t="s">
        <v>99</v>
      </c>
      <c r="UZH69" s="148">
        <v>45845</v>
      </c>
      <c r="UZI69" s="143" t="s">
        <v>46</v>
      </c>
      <c r="UZJ69" s="199"/>
      <c r="UZK69" s="149" t="s">
        <v>125</v>
      </c>
      <c r="UZL69" s="197"/>
      <c r="UZM69" s="198"/>
      <c r="UZN69" s="143" t="s">
        <v>22</v>
      </c>
      <c r="UZO69" s="144">
        <v>8150</v>
      </c>
      <c r="UZP69" s="152">
        <v>85</v>
      </c>
      <c r="UZQ69" s="153">
        <v>215</v>
      </c>
      <c r="UZR69" s="153">
        <v>75</v>
      </c>
      <c r="UZS69" s="152">
        <v>150</v>
      </c>
      <c r="UZT69" s="154">
        <f>SUM(UZO69:UZS69)</f>
        <v>8675</v>
      </c>
      <c r="UZU69" s="152">
        <v>200</v>
      </c>
      <c r="UZV69" s="154">
        <f>SUM(UZT69:UZU69)</f>
        <v>8875</v>
      </c>
      <c r="UZW69" s="147" t="s">
        <v>99</v>
      </c>
      <c r="UZX69" s="148">
        <v>45845</v>
      </c>
      <c r="UZY69" s="143" t="s">
        <v>46</v>
      </c>
      <c r="UZZ69" s="199"/>
      <c r="VAA69" s="149" t="s">
        <v>125</v>
      </c>
      <c r="VAB69" s="197"/>
      <c r="VAC69" s="198"/>
      <c r="VAD69" s="143" t="s">
        <v>22</v>
      </c>
      <c r="VAE69" s="144">
        <v>8150</v>
      </c>
      <c r="VAF69" s="152">
        <v>85</v>
      </c>
      <c r="VAG69" s="153">
        <v>215</v>
      </c>
      <c r="VAH69" s="153">
        <v>75</v>
      </c>
      <c r="VAI69" s="152">
        <v>150</v>
      </c>
      <c r="VAJ69" s="154">
        <f>SUM(VAE69:VAI69)</f>
        <v>8675</v>
      </c>
      <c r="VAK69" s="152">
        <v>200</v>
      </c>
      <c r="VAL69" s="154">
        <f>SUM(VAJ69:VAK69)</f>
        <v>8875</v>
      </c>
      <c r="VAM69" s="147" t="s">
        <v>99</v>
      </c>
      <c r="VAN69" s="148">
        <v>45845</v>
      </c>
      <c r="VAO69" s="143" t="s">
        <v>46</v>
      </c>
      <c r="VAP69" s="199"/>
      <c r="VAQ69" s="149" t="s">
        <v>125</v>
      </c>
      <c r="VAR69" s="197"/>
      <c r="VAS69" s="198"/>
      <c r="VAT69" s="143" t="s">
        <v>22</v>
      </c>
      <c r="VAU69" s="144">
        <v>8150</v>
      </c>
      <c r="VAV69" s="152">
        <v>85</v>
      </c>
      <c r="VAW69" s="153">
        <v>215</v>
      </c>
      <c r="VAX69" s="153">
        <v>75</v>
      </c>
      <c r="VAY69" s="152">
        <v>150</v>
      </c>
      <c r="VAZ69" s="154">
        <f>SUM(VAU69:VAY69)</f>
        <v>8675</v>
      </c>
      <c r="VBA69" s="152">
        <v>200</v>
      </c>
      <c r="VBB69" s="154">
        <f>SUM(VAZ69:VBA69)</f>
        <v>8875</v>
      </c>
      <c r="VBC69" s="147" t="s">
        <v>99</v>
      </c>
      <c r="VBD69" s="148">
        <v>45845</v>
      </c>
      <c r="VBE69" s="143" t="s">
        <v>46</v>
      </c>
      <c r="VBF69" s="199"/>
      <c r="VBG69" s="149" t="s">
        <v>125</v>
      </c>
      <c r="VBH69" s="197"/>
      <c r="VBI69" s="198"/>
      <c r="VBJ69" s="143" t="s">
        <v>22</v>
      </c>
      <c r="VBK69" s="144">
        <v>8150</v>
      </c>
      <c r="VBL69" s="152">
        <v>85</v>
      </c>
      <c r="VBM69" s="153">
        <v>215</v>
      </c>
      <c r="VBN69" s="153">
        <v>75</v>
      </c>
      <c r="VBO69" s="152">
        <v>150</v>
      </c>
      <c r="VBP69" s="154">
        <f>SUM(VBK69:VBO69)</f>
        <v>8675</v>
      </c>
      <c r="VBQ69" s="152">
        <v>200</v>
      </c>
      <c r="VBR69" s="154">
        <f>SUM(VBP69:VBQ69)</f>
        <v>8875</v>
      </c>
      <c r="VBS69" s="147" t="s">
        <v>99</v>
      </c>
      <c r="VBT69" s="148">
        <v>45845</v>
      </c>
      <c r="VBU69" s="143" t="s">
        <v>46</v>
      </c>
      <c r="VBV69" s="199"/>
      <c r="VBW69" s="149" t="s">
        <v>125</v>
      </c>
      <c r="VBX69" s="197"/>
      <c r="VBY69" s="198"/>
      <c r="VBZ69" s="143" t="s">
        <v>22</v>
      </c>
      <c r="VCA69" s="144">
        <v>8150</v>
      </c>
      <c r="VCB69" s="152">
        <v>85</v>
      </c>
      <c r="VCC69" s="153">
        <v>215</v>
      </c>
      <c r="VCD69" s="153">
        <v>75</v>
      </c>
      <c r="VCE69" s="152">
        <v>150</v>
      </c>
      <c r="VCF69" s="154">
        <f>SUM(VCA69:VCE69)</f>
        <v>8675</v>
      </c>
      <c r="VCG69" s="152">
        <v>200</v>
      </c>
      <c r="VCH69" s="154">
        <f>SUM(VCF69:VCG69)</f>
        <v>8875</v>
      </c>
      <c r="VCI69" s="147" t="s">
        <v>99</v>
      </c>
      <c r="VCJ69" s="148">
        <v>45845</v>
      </c>
      <c r="VCK69" s="143" t="s">
        <v>46</v>
      </c>
      <c r="VCL69" s="199"/>
      <c r="VCM69" s="149" t="s">
        <v>125</v>
      </c>
      <c r="VCN69" s="197"/>
      <c r="VCO69" s="198"/>
      <c r="VCP69" s="143" t="s">
        <v>22</v>
      </c>
      <c r="VCQ69" s="144">
        <v>8150</v>
      </c>
      <c r="VCR69" s="152">
        <v>85</v>
      </c>
      <c r="VCS69" s="153">
        <v>215</v>
      </c>
      <c r="VCT69" s="153">
        <v>75</v>
      </c>
      <c r="VCU69" s="152">
        <v>150</v>
      </c>
      <c r="VCV69" s="154">
        <f>SUM(VCQ69:VCU69)</f>
        <v>8675</v>
      </c>
      <c r="VCW69" s="152">
        <v>200</v>
      </c>
      <c r="VCX69" s="154">
        <f>SUM(VCV69:VCW69)</f>
        <v>8875</v>
      </c>
      <c r="VCY69" s="147" t="s">
        <v>99</v>
      </c>
      <c r="VCZ69" s="148">
        <v>45845</v>
      </c>
      <c r="VDA69" s="143" t="s">
        <v>46</v>
      </c>
      <c r="VDB69" s="199"/>
      <c r="VDC69" s="149" t="s">
        <v>125</v>
      </c>
      <c r="VDD69" s="197"/>
      <c r="VDE69" s="198"/>
      <c r="VDF69" s="143" t="s">
        <v>22</v>
      </c>
      <c r="VDG69" s="144">
        <v>8150</v>
      </c>
      <c r="VDH69" s="152">
        <v>85</v>
      </c>
      <c r="VDI69" s="153">
        <v>215</v>
      </c>
      <c r="VDJ69" s="153">
        <v>75</v>
      </c>
      <c r="VDK69" s="152">
        <v>150</v>
      </c>
      <c r="VDL69" s="154">
        <f>SUM(VDG69:VDK69)</f>
        <v>8675</v>
      </c>
      <c r="VDM69" s="152">
        <v>200</v>
      </c>
      <c r="VDN69" s="154">
        <f>SUM(VDL69:VDM69)</f>
        <v>8875</v>
      </c>
      <c r="VDO69" s="147" t="s">
        <v>99</v>
      </c>
      <c r="VDP69" s="148">
        <v>45845</v>
      </c>
      <c r="VDQ69" s="143" t="s">
        <v>46</v>
      </c>
      <c r="VDR69" s="199"/>
      <c r="VDS69" s="149" t="s">
        <v>125</v>
      </c>
      <c r="VDT69" s="197"/>
      <c r="VDU69" s="198"/>
      <c r="VDV69" s="143" t="s">
        <v>22</v>
      </c>
      <c r="VDW69" s="144">
        <v>8150</v>
      </c>
      <c r="VDX69" s="152">
        <v>85</v>
      </c>
      <c r="VDY69" s="153">
        <v>215</v>
      </c>
      <c r="VDZ69" s="153">
        <v>75</v>
      </c>
      <c r="VEA69" s="152">
        <v>150</v>
      </c>
      <c r="VEB69" s="154">
        <f>SUM(VDW69:VEA69)</f>
        <v>8675</v>
      </c>
      <c r="VEC69" s="152">
        <v>200</v>
      </c>
      <c r="VED69" s="154">
        <f>SUM(VEB69:VEC69)</f>
        <v>8875</v>
      </c>
      <c r="VEE69" s="147" t="s">
        <v>99</v>
      </c>
      <c r="VEF69" s="148">
        <v>45845</v>
      </c>
      <c r="VEG69" s="143" t="s">
        <v>46</v>
      </c>
      <c r="VEH69" s="199"/>
      <c r="VEI69" s="149" t="s">
        <v>125</v>
      </c>
      <c r="VEJ69" s="197"/>
      <c r="VEK69" s="198"/>
      <c r="VEL69" s="143" t="s">
        <v>22</v>
      </c>
      <c r="VEM69" s="144">
        <v>8150</v>
      </c>
      <c r="VEN69" s="152">
        <v>85</v>
      </c>
      <c r="VEO69" s="153">
        <v>215</v>
      </c>
      <c r="VEP69" s="153">
        <v>75</v>
      </c>
      <c r="VEQ69" s="152">
        <v>150</v>
      </c>
      <c r="VER69" s="154">
        <f>SUM(VEM69:VEQ69)</f>
        <v>8675</v>
      </c>
      <c r="VES69" s="152">
        <v>200</v>
      </c>
      <c r="VET69" s="154">
        <f>SUM(VER69:VES69)</f>
        <v>8875</v>
      </c>
      <c r="VEU69" s="147" t="s">
        <v>99</v>
      </c>
      <c r="VEV69" s="148">
        <v>45845</v>
      </c>
      <c r="VEW69" s="143" t="s">
        <v>46</v>
      </c>
      <c r="VEX69" s="199"/>
      <c r="VEY69" s="149" t="s">
        <v>125</v>
      </c>
      <c r="VEZ69" s="197"/>
      <c r="VFA69" s="198"/>
      <c r="VFB69" s="143" t="s">
        <v>22</v>
      </c>
      <c r="VFC69" s="144">
        <v>8150</v>
      </c>
      <c r="VFD69" s="152">
        <v>85</v>
      </c>
      <c r="VFE69" s="153">
        <v>215</v>
      </c>
      <c r="VFF69" s="153">
        <v>75</v>
      </c>
      <c r="VFG69" s="152">
        <v>150</v>
      </c>
      <c r="VFH69" s="154">
        <f>SUM(VFC69:VFG69)</f>
        <v>8675</v>
      </c>
      <c r="VFI69" s="152">
        <v>200</v>
      </c>
      <c r="VFJ69" s="154">
        <f>SUM(VFH69:VFI69)</f>
        <v>8875</v>
      </c>
      <c r="VFK69" s="147" t="s">
        <v>99</v>
      </c>
      <c r="VFL69" s="148">
        <v>45845</v>
      </c>
      <c r="VFM69" s="143" t="s">
        <v>46</v>
      </c>
      <c r="VFN69" s="199"/>
      <c r="VFO69" s="149" t="s">
        <v>125</v>
      </c>
      <c r="VFP69" s="197"/>
      <c r="VFQ69" s="198"/>
      <c r="VFR69" s="143" t="s">
        <v>22</v>
      </c>
      <c r="VFS69" s="144">
        <v>8150</v>
      </c>
      <c r="VFT69" s="152">
        <v>85</v>
      </c>
      <c r="VFU69" s="153">
        <v>215</v>
      </c>
      <c r="VFV69" s="153">
        <v>75</v>
      </c>
      <c r="VFW69" s="152">
        <v>150</v>
      </c>
      <c r="VFX69" s="154">
        <f>SUM(VFS69:VFW69)</f>
        <v>8675</v>
      </c>
      <c r="VFY69" s="152">
        <v>200</v>
      </c>
      <c r="VFZ69" s="154">
        <f>SUM(VFX69:VFY69)</f>
        <v>8875</v>
      </c>
      <c r="VGA69" s="147" t="s">
        <v>99</v>
      </c>
      <c r="VGB69" s="148">
        <v>45845</v>
      </c>
      <c r="VGC69" s="143" t="s">
        <v>46</v>
      </c>
      <c r="VGD69" s="199"/>
      <c r="VGE69" s="149" t="s">
        <v>125</v>
      </c>
      <c r="VGF69" s="197"/>
      <c r="VGG69" s="198"/>
      <c r="VGH69" s="143" t="s">
        <v>22</v>
      </c>
      <c r="VGI69" s="144">
        <v>8150</v>
      </c>
      <c r="VGJ69" s="152">
        <v>85</v>
      </c>
      <c r="VGK69" s="153">
        <v>215</v>
      </c>
      <c r="VGL69" s="153">
        <v>75</v>
      </c>
      <c r="VGM69" s="152">
        <v>150</v>
      </c>
      <c r="VGN69" s="154">
        <f>SUM(VGI69:VGM69)</f>
        <v>8675</v>
      </c>
      <c r="VGO69" s="152">
        <v>200</v>
      </c>
      <c r="VGP69" s="154">
        <f>SUM(VGN69:VGO69)</f>
        <v>8875</v>
      </c>
      <c r="VGQ69" s="147" t="s">
        <v>99</v>
      </c>
      <c r="VGR69" s="148">
        <v>45845</v>
      </c>
      <c r="VGS69" s="143" t="s">
        <v>46</v>
      </c>
      <c r="VGT69" s="199"/>
      <c r="VGU69" s="149" t="s">
        <v>125</v>
      </c>
      <c r="VGV69" s="197"/>
      <c r="VGW69" s="198"/>
      <c r="VGX69" s="143" t="s">
        <v>22</v>
      </c>
      <c r="VGY69" s="144">
        <v>8150</v>
      </c>
      <c r="VGZ69" s="152">
        <v>85</v>
      </c>
      <c r="VHA69" s="153">
        <v>215</v>
      </c>
      <c r="VHB69" s="153">
        <v>75</v>
      </c>
    </row>
    <row r="70" spans="2:62 3072:12198 12789:15082" ht="15" thickBot="1" x14ac:dyDescent="0.35">
      <c r="B70" s="311"/>
      <c r="C70" s="208" t="s">
        <v>113</v>
      </c>
      <c r="D70" s="144" t="s">
        <v>22</v>
      </c>
      <c r="E70" s="145">
        <f>CEILING((((10900+297+50+85)*1.12)- 85)-150,50)</f>
        <v>12500</v>
      </c>
      <c r="F70" s="145">
        <v>85</v>
      </c>
      <c r="G70" s="145">
        <v>215</v>
      </c>
      <c r="H70" s="145">
        <v>75</v>
      </c>
      <c r="I70" s="145">
        <v>150</v>
      </c>
      <c r="J70" s="204">
        <f t="shared" si="8"/>
        <v>13025</v>
      </c>
      <c r="K70" s="145">
        <v>200</v>
      </c>
      <c r="L70" s="204">
        <f t="shared" si="9"/>
        <v>13225</v>
      </c>
      <c r="M70" s="147" t="s">
        <v>99</v>
      </c>
      <c r="N70" s="210" t="s">
        <v>57</v>
      </c>
      <c r="O70" s="205" t="s">
        <v>46</v>
      </c>
      <c r="P70" s="298"/>
      <c r="Q70" s="149" t="s">
        <v>125</v>
      </c>
      <c r="R70" s="172"/>
      <c r="S70" s="165"/>
      <c r="T70" s="166"/>
      <c r="U70" s="167"/>
      <c r="V70" s="166"/>
      <c r="W70" s="168"/>
      <c r="X70" s="166"/>
      <c r="Y70" s="168"/>
      <c r="Z70" s="169"/>
      <c r="AA70" s="170"/>
      <c r="AB70" s="164"/>
      <c r="AC70" s="171"/>
      <c r="AD70" s="174"/>
      <c r="AE70" s="155"/>
      <c r="AF70" s="163"/>
      <c r="AG70"/>
      <c r="AH70" s="156"/>
      <c r="AI70" s="157"/>
      <c r="AJ70" s="158"/>
      <c r="AK70" s="158"/>
      <c r="AL70" s="157"/>
      <c r="AM70" s="159"/>
      <c r="AN70" s="157"/>
      <c r="AO70" s="159"/>
      <c r="AP70" s="160"/>
      <c r="AQ70" s="161"/>
      <c r="AR70"/>
      <c r="AS70" s="162"/>
      <c r="AT70"/>
      <c r="AU70" s="155"/>
      <c r="AV70" s="163"/>
      <c r="AW70"/>
      <c r="AX70" s="156"/>
      <c r="AY70" s="157"/>
      <c r="AZ70" s="158"/>
      <c r="BA70" s="158"/>
      <c r="BB70" s="157"/>
      <c r="BC70" s="159"/>
      <c r="BD70" s="157"/>
      <c r="BE70" s="159"/>
      <c r="BF70" s="160"/>
      <c r="BG70" s="161"/>
      <c r="BH70"/>
      <c r="BI70" s="162"/>
      <c r="BJ70"/>
      <c r="DND70" s="161"/>
      <c r="DNE70"/>
      <c r="DNF70" s="162"/>
      <c r="DNG70"/>
      <c r="DNH70" s="155"/>
      <c r="DNI70" s="163"/>
      <c r="DNJ70"/>
      <c r="DNK70" s="156"/>
      <c r="DNL70" s="157"/>
      <c r="DNM70" s="158"/>
      <c r="DNN70" s="158"/>
      <c r="DNO70" s="157"/>
      <c r="DNP70" s="159"/>
      <c r="DNQ70" s="157"/>
      <c r="DNR70" s="159"/>
      <c r="DNS70" s="160"/>
      <c r="DNT70" s="161"/>
      <c r="DNU70"/>
      <c r="DNV70" s="162"/>
      <c r="DNW70"/>
      <c r="DNX70" s="155"/>
      <c r="DNY70" s="163"/>
      <c r="DNZ70"/>
      <c r="DOA70" s="156"/>
      <c r="DOB70" s="157"/>
      <c r="DOC70" s="158"/>
      <c r="DOD70" s="158"/>
      <c r="DOE70" s="157"/>
      <c r="DOF70" s="159"/>
      <c r="DOG70" s="157"/>
      <c r="DOH70" s="159"/>
      <c r="DOI70" s="160"/>
      <c r="DOJ70" s="161"/>
      <c r="DOK70"/>
      <c r="DOL70" s="162"/>
      <c r="DOM70"/>
      <c r="DON70" s="155"/>
      <c r="DOO70" s="163"/>
      <c r="DOP70"/>
      <c r="DOQ70" s="156"/>
      <c r="DOR70" s="157"/>
      <c r="DOS70" s="158"/>
      <c r="DOT70" s="158"/>
      <c r="DOU70" s="157"/>
      <c r="DOV70" s="159"/>
      <c r="DOW70" s="157"/>
      <c r="DOX70" s="159"/>
      <c r="DOY70" s="160"/>
      <c r="DOZ70" s="161"/>
      <c r="DPA70"/>
      <c r="DPB70" s="162"/>
      <c r="DPC70"/>
      <c r="DPD70" s="155"/>
      <c r="DPE70" s="163"/>
      <c r="DPF70"/>
      <c r="DPG70" s="156"/>
      <c r="DPH70" s="157"/>
      <c r="DPI70" s="158"/>
      <c r="DPJ70" s="158"/>
      <c r="DPK70" s="157"/>
      <c r="DPL70" s="159"/>
      <c r="DPM70" s="157"/>
      <c r="DPN70" s="159"/>
      <c r="DPO70" s="160"/>
      <c r="DPP70" s="161"/>
      <c r="DPQ70"/>
      <c r="DPR70" s="162"/>
      <c r="DPS70"/>
      <c r="DPT70" s="155"/>
      <c r="DPU70" s="163"/>
      <c r="DPV70"/>
      <c r="DPW70" s="156"/>
      <c r="DPX70" s="157"/>
      <c r="DPY70" s="158"/>
      <c r="DPZ70" s="158"/>
      <c r="DQA70" s="157"/>
      <c r="DQB70" s="159"/>
      <c r="DQC70" s="157"/>
      <c r="DQD70" s="159"/>
      <c r="DQE70" s="160"/>
      <c r="DQF70" s="161"/>
      <c r="DQG70"/>
      <c r="DQH70" s="162"/>
      <c r="DQI70"/>
      <c r="DQJ70" s="155"/>
      <c r="DQK70" s="163"/>
      <c r="DQL70"/>
      <c r="DQM70" s="156"/>
      <c r="DQN70" s="157"/>
      <c r="DQO70" s="158"/>
      <c r="DQP70" s="158"/>
      <c r="DQQ70" s="157"/>
      <c r="DQR70" s="159"/>
      <c r="DQS70" s="157"/>
      <c r="DQT70" s="159"/>
      <c r="DQU70" s="160"/>
      <c r="DQV70" s="161"/>
      <c r="DQW70"/>
      <c r="DQX70" s="162"/>
      <c r="DQY70"/>
      <c r="DQZ70" s="155"/>
      <c r="DRA70" s="163"/>
      <c r="DRB70"/>
      <c r="DRC70" s="156"/>
      <c r="DRD70" s="157"/>
      <c r="DRE70" s="158"/>
      <c r="DRF70" s="158"/>
      <c r="DRG70" s="157"/>
      <c r="DRH70" s="159"/>
      <c r="DRI70" s="157"/>
      <c r="DRJ70" s="159"/>
      <c r="DRK70" s="160"/>
      <c r="DRL70" s="161"/>
      <c r="DRM70"/>
      <c r="DRN70" s="162"/>
      <c r="DRO70"/>
      <c r="DRP70" s="155"/>
      <c r="DRQ70" s="163"/>
      <c r="DRR70"/>
      <c r="DRS70" s="156"/>
      <c r="DRT70" s="157"/>
      <c r="DRU70" s="158"/>
      <c r="DRV70" s="158"/>
      <c r="DRW70" s="157"/>
      <c r="DRX70" s="159"/>
      <c r="DRY70" s="157"/>
      <c r="DRZ70" s="159"/>
      <c r="DSA70" s="160"/>
      <c r="DSB70" s="161"/>
      <c r="DSC70"/>
      <c r="DSD70" s="162"/>
      <c r="DSE70"/>
      <c r="DSF70" s="155"/>
      <c r="DSG70" s="163"/>
      <c r="DSH70"/>
      <c r="DSI70" s="156"/>
      <c r="DSJ70" s="157"/>
      <c r="DSK70" s="158"/>
      <c r="DSL70" s="158"/>
      <c r="DSM70" s="157"/>
      <c r="DSN70" s="159"/>
      <c r="DSO70" s="157"/>
      <c r="DSP70" s="159"/>
      <c r="DSQ70" s="160"/>
      <c r="DSR70" s="161"/>
      <c r="DSS70"/>
      <c r="DST70" s="162"/>
      <c r="DSU70"/>
      <c r="DSV70" s="155"/>
      <c r="DSW70" s="163"/>
      <c r="DSX70"/>
      <c r="DSY70" s="156"/>
      <c r="DSZ70" s="157"/>
      <c r="DTA70" s="158"/>
      <c r="DTB70" s="158"/>
      <c r="DTC70" s="157"/>
      <c r="DTD70" s="159"/>
      <c r="DTE70" s="157"/>
      <c r="DTF70" s="159"/>
      <c r="DTG70" s="160"/>
      <c r="DTH70" s="161"/>
      <c r="DTI70"/>
      <c r="DTJ70" s="162"/>
      <c r="DTK70"/>
      <c r="DTL70" s="155"/>
      <c r="DTM70" s="163"/>
      <c r="DTN70"/>
      <c r="DTO70" s="156"/>
      <c r="DTP70" s="157"/>
      <c r="DTQ70" s="158"/>
      <c r="DTR70" s="158"/>
      <c r="DTS70" s="157"/>
      <c r="DTT70" s="159"/>
      <c r="DTU70" s="157"/>
      <c r="DTV70" s="159"/>
      <c r="DTW70" s="160"/>
      <c r="DTX70" s="161"/>
      <c r="DTY70"/>
      <c r="DTZ70" s="162"/>
      <c r="DUA70"/>
      <c r="DUB70" s="155"/>
      <c r="DUC70" s="163"/>
      <c r="DUD70"/>
      <c r="DUE70" s="156"/>
      <c r="DUF70" s="157"/>
      <c r="DUG70" s="158"/>
      <c r="DUH70" s="158"/>
      <c r="DUI70" s="157"/>
      <c r="DUJ70" s="159"/>
      <c r="DUK70" s="157"/>
      <c r="DUL70" s="159"/>
      <c r="DUM70" s="160"/>
      <c r="DUN70" s="161"/>
      <c r="DUO70"/>
      <c r="DUP70" s="162"/>
      <c r="DUQ70"/>
      <c r="DUR70" s="155"/>
      <c r="DUS70" s="163"/>
      <c r="DUT70"/>
      <c r="DUU70" s="156"/>
      <c r="DUV70" s="157"/>
      <c r="DUW70" s="158"/>
      <c r="DUX70" s="158"/>
      <c r="DUY70" s="157"/>
      <c r="DUZ70" s="159"/>
      <c r="DVA70" s="157"/>
      <c r="DVB70" s="159"/>
      <c r="DVC70" s="160"/>
      <c r="DVD70" s="161"/>
      <c r="DVE70"/>
      <c r="DVF70" s="162"/>
      <c r="DVG70"/>
      <c r="DVH70" s="155"/>
      <c r="DVI70" s="163"/>
      <c r="DVJ70"/>
      <c r="DVK70" s="156"/>
      <c r="DVL70" s="157"/>
      <c r="DVM70" s="158"/>
      <c r="DVN70" s="158"/>
      <c r="DVO70" s="157"/>
      <c r="DVP70" s="159"/>
      <c r="DVQ70" s="157"/>
      <c r="DVR70" s="159"/>
      <c r="DVS70" s="160"/>
      <c r="DVT70" s="161"/>
      <c r="DVU70"/>
      <c r="DVV70" s="162"/>
      <c r="DVW70"/>
      <c r="DVX70" s="155"/>
      <c r="DVY70" s="163"/>
      <c r="DVZ70"/>
      <c r="DWA70" s="156"/>
      <c r="DWB70" s="157"/>
      <c r="DWC70" s="158"/>
      <c r="DWD70" s="158"/>
      <c r="DWE70" s="157"/>
      <c r="DWF70" s="159"/>
      <c r="DWG70" s="157"/>
      <c r="DWH70" s="159"/>
      <c r="DWI70" s="160"/>
      <c r="DWJ70" s="161"/>
      <c r="DWK70"/>
      <c r="DWL70" s="162"/>
      <c r="DWM70"/>
      <c r="DWN70" s="155"/>
      <c r="DWO70" s="163"/>
      <c r="DWP70"/>
      <c r="DWQ70" s="156"/>
      <c r="DWR70" s="157"/>
      <c r="DWS70" s="158"/>
      <c r="DWT70" s="158"/>
      <c r="DWU70" s="157"/>
      <c r="DWV70" s="159"/>
      <c r="DWW70" s="157"/>
      <c r="DWX70" s="159"/>
      <c r="DWY70" s="160"/>
      <c r="DWZ70" s="161"/>
      <c r="DXA70"/>
      <c r="DXB70" s="162"/>
      <c r="DXC70"/>
      <c r="DXD70" s="155"/>
      <c r="DXE70" s="163"/>
      <c r="DXF70"/>
      <c r="DXG70" s="156"/>
      <c r="DXH70" s="157"/>
      <c r="DXI70" s="158"/>
      <c r="DXJ70" s="158"/>
      <c r="DXK70" s="157"/>
      <c r="DXL70" s="159"/>
      <c r="DXM70" s="157"/>
      <c r="DXN70" s="159"/>
      <c r="DXO70" s="160"/>
      <c r="DXP70" s="161"/>
      <c r="DXQ70"/>
      <c r="DXR70" s="162"/>
      <c r="DXS70"/>
      <c r="DXT70" s="155"/>
      <c r="DXU70" s="163"/>
      <c r="DXV70"/>
      <c r="DXW70" s="156"/>
      <c r="DXX70" s="157"/>
      <c r="DXY70" s="158"/>
      <c r="DXZ70" s="158"/>
      <c r="DYA70" s="157"/>
      <c r="DYB70" s="159"/>
      <c r="DYC70" s="157"/>
      <c r="DYD70" s="159"/>
      <c r="DYE70" s="160"/>
      <c r="DYF70" s="161"/>
      <c r="DYG70"/>
      <c r="DYH70" s="162"/>
      <c r="DYI70"/>
      <c r="DYJ70" s="155"/>
      <c r="DYK70" s="163"/>
      <c r="DYL70"/>
      <c r="DYM70" s="156"/>
      <c r="DYN70" s="157"/>
      <c r="DYO70" s="158"/>
      <c r="DYP70" s="158"/>
      <c r="DYQ70" s="157"/>
      <c r="DYR70" s="159"/>
      <c r="DYS70" s="157"/>
      <c r="DYT70" s="159"/>
      <c r="DYU70" s="160"/>
      <c r="DYV70" s="161"/>
      <c r="DYW70"/>
      <c r="DYX70" s="162"/>
      <c r="DYY70"/>
      <c r="DYZ70" s="155"/>
      <c r="DZA70" s="163"/>
      <c r="DZB70"/>
      <c r="DZC70" s="156"/>
      <c r="DZD70" s="157"/>
      <c r="DZE70" s="158"/>
      <c r="DZF70" s="158"/>
      <c r="DZG70" s="157"/>
      <c r="DZH70" s="159"/>
      <c r="DZI70" s="157"/>
      <c r="DZJ70" s="159"/>
      <c r="DZK70" s="160"/>
      <c r="DZL70" s="161"/>
      <c r="DZM70"/>
      <c r="DZN70" s="162"/>
      <c r="DZO70"/>
      <c r="DZP70" s="155"/>
      <c r="DZQ70" s="163"/>
      <c r="DZR70"/>
      <c r="DZS70" s="156"/>
      <c r="DZT70" s="157"/>
      <c r="DZU70" s="158"/>
      <c r="DZV70" s="158"/>
      <c r="DZW70" s="157"/>
      <c r="DZX70" s="159"/>
      <c r="DZY70" s="157"/>
      <c r="DZZ70" s="159"/>
      <c r="EAA70" s="160"/>
      <c r="EAB70" s="161"/>
      <c r="EAC70"/>
      <c r="EAD70" s="162"/>
      <c r="EAE70"/>
      <c r="EAF70" s="155"/>
      <c r="EAG70" s="163"/>
      <c r="EAH70"/>
      <c r="EAI70" s="156"/>
      <c r="EAJ70" s="157"/>
      <c r="EAK70" s="158"/>
      <c r="EAL70" s="158"/>
      <c r="EAM70" s="157"/>
      <c r="EAN70" s="159"/>
      <c r="EAO70" s="157"/>
      <c r="EAP70" s="159"/>
      <c r="EAQ70" s="160"/>
      <c r="EAR70" s="161"/>
      <c r="EAS70"/>
      <c r="EAT70" s="162"/>
      <c r="EAU70"/>
      <c r="EAV70" s="155"/>
      <c r="EAW70" s="163"/>
      <c r="EAX70"/>
      <c r="EAY70" s="156"/>
      <c r="EAZ70" s="157"/>
      <c r="EBA70" s="158"/>
      <c r="EBB70" s="158"/>
      <c r="EBC70" s="157"/>
      <c r="EBD70" s="159"/>
      <c r="EBE70" s="157"/>
      <c r="EBF70" s="159"/>
      <c r="EBG70" s="160"/>
      <c r="EBH70" s="161"/>
      <c r="EBI70"/>
      <c r="EBJ70" s="162"/>
      <c r="EBK70"/>
      <c r="EBL70" s="155"/>
      <c r="EBM70" s="163"/>
      <c r="EBN70"/>
      <c r="EBO70" s="156"/>
      <c r="EBP70" s="157"/>
      <c r="EBQ70" s="158"/>
      <c r="EBR70" s="158"/>
      <c r="EBS70" s="157"/>
      <c r="EBT70" s="159"/>
      <c r="EBU70" s="157"/>
      <c r="EBV70" s="159"/>
      <c r="EBW70" s="160"/>
      <c r="EBX70" s="161"/>
      <c r="EBY70"/>
      <c r="EBZ70" s="162"/>
      <c r="ECA70"/>
      <c r="ECB70" s="155"/>
      <c r="ECC70" s="163"/>
      <c r="ECD70"/>
      <c r="ECE70" s="156"/>
      <c r="ECF70" s="157"/>
      <c r="ECG70" s="158"/>
      <c r="ECH70" s="158"/>
      <c r="ECI70" s="157"/>
      <c r="ECJ70" s="159"/>
      <c r="ECK70" s="157"/>
      <c r="ECL70" s="159"/>
      <c r="ECM70" s="160"/>
      <c r="ECN70" s="161"/>
      <c r="ECO70"/>
      <c r="ECP70" s="162"/>
      <c r="ECQ70"/>
      <c r="ECR70" s="155"/>
      <c r="ECS70" s="163"/>
      <c r="ECT70"/>
      <c r="ECU70" s="156"/>
      <c r="ECV70" s="157"/>
      <c r="ECW70" s="158"/>
      <c r="ECX70" s="158"/>
      <c r="ECY70" s="157"/>
      <c r="ECZ70" s="159"/>
      <c r="EDA70" s="157"/>
      <c r="EDB70" s="159"/>
      <c r="EDC70" s="160"/>
      <c r="EDD70" s="161"/>
      <c r="EDE70"/>
      <c r="EDF70" s="162"/>
      <c r="EDG70"/>
      <c r="EDH70" s="155"/>
      <c r="EDI70" s="163"/>
      <c r="EDJ70"/>
      <c r="EDK70" s="156"/>
      <c r="EDL70" s="157"/>
      <c r="EDM70" s="158"/>
      <c r="EDN70" s="158"/>
      <c r="EDO70" s="157"/>
      <c r="EDP70" s="159"/>
      <c r="EDQ70" s="157"/>
      <c r="EDR70" s="159"/>
      <c r="EDS70" s="160"/>
      <c r="EDT70" s="161"/>
      <c r="EDU70"/>
      <c r="EDV70" s="162"/>
      <c r="EDW70"/>
      <c r="EDX70" s="155"/>
      <c r="EDY70" s="163"/>
      <c r="EDZ70"/>
      <c r="EEA70" s="156"/>
      <c r="EEB70" s="157"/>
      <c r="EEC70" s="158"/>
      <c r="EED70" s="158"/>
      <c r="EEE70" s="157"/>
      <c r="EEF70" s="159"/>
      <c r="EEG70" s="157"/>
      <c r="EEH70" s="159"/>
      <c r="EEI70" s="160"/>
      <c r="EEJ70" s="161"/>
      <c r="EEK70"/>
      <c r="EEL70" s="162"/>
      <c r="EEM70"/>
      <c r="EEN70" s="155"/>
      <c r="EEO70" s="163"/>
      <c r="EEP70"/>
      <c r="EEQ70" s="156"/>
      <c r="EER70" s="157"/>
      <c r="EES70" s="158"/>
      <c r="EET70" s="158"/>
      <c r="EEU70" s="157"/>
      <c r="EEV70" s="159"/>
      <c r="EEW70" s="157"/>
      <c r="EEX70" s="159"/>
      <c r="EEY70" s="160"/>
      <c r="EEZ70" s="161"/>
      <c r="EFA70"/>
      <c r="EFB70" s="162"/>
      <c r="EFC70"/>
      <c r="EFD70" s="155"/>
      <c r="EFE70" s="163"/>
      <c r="EFF70"/>
      <c r="EFG70" s="156"/>
      <c r="EFH70" s="157"/>
      <c r="EFI70" s="158"/>
      <c r="EFJ70" s="158"/>
      <c r="EFK70" s="157"/>
      <c r="EFL70" s="159"/>
      <c r="EFM70" s="157"/>
      <c r="EFN70" s="159"/>
      <c r="EFO70" s="160"/>
      <c r="EFP70" s="161"/>
      <c r="EFQ70"/>
      <c r="EFR70" s="162"/>
      <c r="EFS70"/>
      <c r="EFT70" s="155"/>
      <c r="EFU70" s="163"/>
      <c r="EFV70"/>
      <c r="EFW70" s="156"/>
      <c r="EFX70" s="157"/>
      <c r="EFY70" s="158"/>
      <c r="EFZ70" s="158"/>
      <c r="EGA70" s="157"/>
      <c r="EGB70" s="159"/>
      <c r="EGC70" s="157"/>
      <c r="EGD70" s="159"/>
      <c r="EGE70" s="160"/>
      <c r="EGF70" s="161"/>
      <c r="EGG70"/>
      <c r="EGH70" s="162"/>
      <c r="EGI70"/>
      <c r="EGJ70" s="155"/>
      <c r="EGK70" s="163"/>
      <c r="EGL70"/>
      <c r="EGM70" s="156"/>
      <c r="EGN70" s="157"/>
      <c r="EGO70" s="158"/>
      <c r="EGP70" s="158"/>
      <c r="EGQ70" s="157"/>
      <c r="EGR70" s="159"/>
      <c r="EGS70" s="157"/>
      <c r="EGT70" s="159"/>
      <c r="EGU70" s="160"/>
      <c r="EGV70" s="161"/>
      <c r="EGW70"/>
      <c r="EGX70" s="162"/>
      <c r="EGY70"/>
      <c r="EGZ70" s="155"/>
      <c r="EHA70" s="163"/>
      <c r="EHB70"/>
      <c r="EHC70" s="156"/>
      <c r="EHD70" s="157"/>
      <c r="EHE70" s="158"/>
      <c r="EHF70" s="158"/>
      <c r="EHG70" s="157"/>
      <c r="EHH70" s="159"/>
      <c r="EHI70" s="157"/>
      <c r="EHJ70" s="159"/>
      <c r="EHK70" s="160"/>
      <c r="EHL70" s="161"/>
      <c r="EHM70"/>
      <c r="EHN70" s="162"/>
      <c r="EHO70"/>
      <c r="EHP70" s="155"/>
      <c r="EHQ70" s="163"/>
      <c r="EHR70"/>
      <c r="EHS70" s="156"/>
      <c r="EHT70" s="157"/>
      <c r="EHU70" s="158"/>
      <c r="EHV70" s="158"/>
      <c r="EHW70" s="157"/>
      <c r="EHX70" s="159"/>
      <c r="EHY70" s="157"/>
      <c r="EHZ70" s="159"/>
      <c r="EIA70" s="160"/>
      <c r="EIB70" s="161"/>
      <c r="EIC70"/>
      <c r="EID70" s="162"/>
      <c r="EIE70"/>
      <c r="EIF70" s="155"/>
      <c r="EIG70" s="163"/>
      <c r="EIH70"/>
      <c r="EII70" s="156"/>
      <c r="EIJ70" s="157"/>
      <c r="EIK70" s="158"/>
      <c r="EIL70" s="158"/>
      <c r="EIM70" s="157"/>
      <c r="EIN70" s="159"/>
      <c r="EIO70" s="157"/>
      <c r="EIP70" s="159"/>
      <c r="EIQ70" s="160"/>
      <c r="EIR70" s="161"/>
      <c r="EIS70"/>
      <c r="EIT70" s="162"/>
      <c r="EIU70"/>
      <c r="EIV70" s="155"/>
      <c r="EIW70" s="163"/>
      <c r="EIX70"/>
      <c r="EIY70" s="156"/>
      <c r="EIZ70" s="157"/>
      <c r="EJA70" s="158"/>
      <c r="EJB70" s="158"/>
      <c r="EJC70" s="157"/>
      <c r="EJD70" s="159"/>
      <c r="EJE70" s="157"/>
      <c r="EJF70" s="159"/>
      <c r="EJG70" s="160"/>
      <c r="EJH70" s="161"/>
      <c r="EJI70"/>
      <c r="EJJ70" s="162"/>
      <c r="EJK70"/>
      <c r="EJL70" s="155"/>
      <c r="EJM70" s="163"/>
      <c r="EJN70"/>
      <c r="EJO70" s="156"/>
      <c r="EJP70" s="157"/>
      <c r="EJQ70" s="158"/>
      <c r="EJR70" s="158"/>
      <c r="EJS70" s="157"/>
      <c r="EJT70" s="159"/>
      <c r="EJU70" s="157"/>
      <c r="EJV70" s="159"/>
      <c r="EJW70" s="160"/>
      <c r="EJX70" s="161"/>
      <c r="EJY70"/>
      <c r="EJZ70" s="162"/>
      <c r="EKA70"/>
      <c r="EKB70" s="155"/>
      <c r="EKC70" s="163"/>
      <c r="EKD70"/>
      <c r="EKE70" s="156"/>
      <c r="EKF70" s="157"/>
      <c r="EKG70" s="158"/>
      <c r="EKH70" s="158"/>
      <c r="EKI70" s="157"/>
      <c r="EKJ70" s="159"/>
      <c r="EKK70" s="157"/>
      <c r="EKL70" s="159"/>
      <c r="EKM70" s="160"/>
      <c r="EKN70" s="161"/>
      <c r="EKO70"/>
      <c r="EKP70" s="162"/>
      <c r="EKQ70"/>
      <c r="EKR70" s="155"/>
      <c r="EKS70" s="163"/>
      <c r="EKT70"/>
      <c r="EKU70" s="156"/>
      <c r="EKV70" s="157"/>
      <c r="EKW70" s="158"/>
      <c r="EKX70" s="158"/>
      <c r="EKY70" s="157"/>
      <c r="EKZ70" s="159"/>
      <c r="ELA70" s="157"/>
      <c r="ELB70" s="159"/>
      <c r="ELC70" s="160"/>
      <c r="ELD70" s="161"/>
      <c r="ELE70"/>
      <c r="ELF70" s="162"/>
      <c r="ELG70"/>
      <c r="ELH70" s="155"/>
      <c r="ELI70" s="163"/>
      <c r="ELJ70"/>
      <c r="ELK70" s="156"/>
      <c r="ELL70" s="157"/>
      <c r="ELM70" s="158"/>
      <c r="ELN70" s="158"/>
      <c r="ELO70" s="157"/>
      <c r="ELP70" s="159"/>
      <c r="ELQ70" s="157"/>
      <c r="ELR70" s="159"/>
      <c r="ELS70" s="160"/>
      <c r="ELT70" s="161"/>
      <c r="ELU70"/>
      <c r="ELV70" s="162"/>
      <c r="ELW70"/>
      <c r="ELX70" s="155"/>
      <c r="ELY70" s="163"/>
      <c r="ELZ70"/>
      <c r="EMA70" s="156"/>
      <c r="EMB70" s="157"/>
      <c r="EMC70" s="158"/>
      <c r="EMD70" s="158"/>
      <c r="EME70" s="157"/>
      <c r="EMF70" s="159"/>
      <c r="EMG70" s="157"/>
      <c r="EMH70" s="159"/>
      <c r="EMI70" s="160"/>
      <c r="EMJ70" s="161"/>
      <c r="EMK70"/>
      <c r="EML70" s="162"/>
      <c r="EMM70"/>
      <c r="EMN70" s="155"/>
      <c r="EMO70" s="163"/>
      <c r="EMP70"/>
      <c r="EMQ70" s="156"/>
      <c r="EMR70" s="157"/>
      <c r="EMS70" s="158"/>
      <c r="EMT70" s="158"/>
      <c r="EMU70" s="157"/>
      <c r="EMV70" s="159"/>
      <c r="EMW70" s="157"/>
      <c r="EMX70" s="159"/>
      <c r="EMY70" s="160"/>
      <c r="EMZ70" s="161"/>
      <c r="ENA70"/>
      <c r="ENB70" s="162"/>
      <c r="ENC70"/>
      <c r="END70" s="155"/>
      <c r="ENE70" s="163"/>
      <c r="ENF70"/>
      <c r="ENG70" s="156"/>
      <c r="ENH70" s="157"/>
      <c r="ENI70" s="158"/>
      <c r="ENJ70" s="158"/>
      <c r="ENK70" s="157"/>
      <c r="ENL70" s="159"/>
      <c r="ENM70" s="157"/>
      <c r="ENN70" s="159"/>
      <c r="ENO70" s="160"/>
      <c r="ENP70" s="161"/>
      <c r="ENQ70"/>
      <c r="ENR70" s="162"/>
      <c r="ENS70"/>
      <c r="ENT70" s="155"/>
      <c r="ENU70" s="163"/>
      <c r="ENV70"/>
      <c r="ENW70" s="156"/>
      <c r="ENX70" s="157"/>
      <c r="ENY70" s="158"/>
      <c r="ENZ70" s="158"/>
      <c r="EOA70" s="157"/>
      <c r="EOB70" s="159"/>
      <c r="EOC70" s="157"/>
      <c r="EOD70" s="159"/>
      <c r="EOE70" s="160"/>
      <c r="EOF70" s="161"/>
      <c r="EOG70"/>
      <c r="EOH70" s="162"/>
      <c r="EOI70"/>
      <c r="EOJ70" s="155"/>
      <c r="EOK70" s="163"/>
      <c r="EOL70"/>
      <c r="EOM70" s="156"/>
      <c r="EON70" s="157"/>
      <c r="EOO70" s="158"/>
      <c r="EOP70" s="158"/>
      <c r="EOQ70" s="157"/>
      <c r="EOR70" s="159"/>
      <c r="EOS70" s="157"/>
      <c r="EOT70" s="159"/>
      <c r="EOU70" s="160"/>
      <c r="EOV70" s="161"/>
      <c r="EOW70"/>
      <c r="EOX70" s="162"/>
      <c r="EOY70"/>
      <c r="EOZ70" s="155"/>
      <c r="EPA70" s="163"/>
      <c r="EPB70"/>
      <c r="EPC70" s="156"/>
      <c r="EPD70" s="157"/>
      <c r="EPE70" s="158"/>
      <c r="EPF70" s="158"/>
      <c r="EPG70" s="157"/>
      <c r="EPH70" s="159"/>
      <c r="EPI70" s="157"/>
      <c r="EPJ70" s="159"/>
      <c r="EPK70" s="160"/>
      <c r="EPL70" s="161"/>
      <c r="EPM70"/>
      <c r="EPN70" s="162"/>
      <c r="EPO70"/>
      <c r="EPP70" s="155"/>
      <c r="EPQ70" s="163"/>
      <c r="EPR70"/>
      <c r="EPS70" s="156"/>
      <c r="EPT70" s="157"/>
      <c r="EPU70" s="158"/>
      <c r="EPV70" s="158"/>
      <c r="EPW70" s="157"/>
      <c r="EPX70" s="159"/>
      <c r="EPY70" s="157"/>
      <c r="EPZ70" s="159"/>
      <c r="EQA70" s="160"/>
      <c r="EQB70" s="161"/>
      <c r="EQC70"/>
      <c r="EQD70" s="162"/>
      <c r="EQE70"/>
      <c r="EQF70" s="155"/>
      <c r="EQG70" s="163"/>
      <c r="EQH70"/>
      <c r="EQI70" s="156"/>
      <c r="EQJ70" s="157"/>
      <c r="EQK70" s="158"/>
      <c r="EQL70" s="158"/>
      <c r="EQM70" s="157"/>
      <c r="EQN70" s="159"/>
      <c r="EQO70" s="157"/>
      <c r="EQP70" s="159"/>
      <c r="EQQ70" s="160"/>
      <c r="EQR70" s="161"/>
      <c r="EQS70"/>
      <c r="EQT70" s="162"/>
      <c r="EQU70"/>
      <c r="EQV70" s="155"/>
      <c r="EQW70" s="163"/>
      <c r="EQX70"/>
      <c r="EQY70" s="156"/>
      <c r="EQZ70" s="157"/>
      <c r="ERA70" s="158"/>
      <c r="ERB70" s="158"/>
      <c r="ERC70" s="157"/>
      <c r="ERD70" s="159"/>
      <c r="ERE70" s="157"/>
      <c r="ERF70" s="159"/>
      <c r="ERG70" s="160"/>
      <c r="ERH70" s="161"/>
      <c r="ERI70"/>
      <c r="ERJ70" s="162"/>
      <c r="ERK70"/>
      <c r="ERL70" s="155"/>
      <c r="ERM70" s="163"/>
      <c r="ERN70"/>
      <c r="ERO70" s="156"/>
      <c r="ERP70" s="157"/>
      <c r="ERQ70" s="158"/>
      <c r="ERR70" s="158"/>
      <c r="ERS70" s="157"/>
      <c r="ERT70" s="159"/>
      <c r="ERU70" s="157"/>
      <c r="ERV70" s="159"/>
      <c r="ERW70" s="160"/>
      <c r="ERX70" s="161"/>
      <c r="ERY70"/>
      <c r="ERZ70" s="162"/>
      <c r="ESA70"/>
      <c r="ESB70" s="155"/>
      <c r="ESC70" s="163"/>
      <c r="ESD70"/>
      <c r="ESE70" s="156"/>
      <c r="ESF70" s="157"/>
      <c r="ESG70" s="158"/>
      <c r="ESH70" s="158"/>
      <c r="ESI70" s="157"/>
      <c r="ESJ70" s="159"/>
      <c r="ESK70" s="157"/>
      <c r="ESL70" s="159"/>
      <c r="ESM70" s="160"/>
      <c r="ESN70" s="161"/>
      <c r="ESO70"/>
      <c r="ESP70" s="162"/>
      <c r="ESQ70"/>
      <c r="ESR70" s="155"/>
      <c r="ESS70" s="163"/>
      <c r="EST70"/>
      <c r="ESU70" s="156"/>
      <c r="ESV70" s="157"/>
      <c r="ESW70" s="158"/>
      <c r="ESX70" s="158"/>
      <c r="ESY70" s="157"/>
      <c r="ESZ70" s="159"/>
      <c r="ETA70" s="157"/>
      <c r="ETB70" s="159"/>
      <c r="ETC70" s="160"/>
      <c r="ETD70" s="161"/>
      <c r="ETE70"/>
      <c r="ETF70" s="162"/>
      <c r="ETG70"/>
      <c r="ETH70" s="155"/>
      <c r="ETI70" s="163"/>
      <c r="ETJ70"/>
      <c r="ETK70" s="156"/>
      <c r="ETL70" s="157"/>
      <c r="ETM70" s="158"/>
      <c r="ETN70" s="158"/>
      <c r="ETO70" s="157"/>
      <c r="ETP70" s="159"/>
      <c r="ETQ70" s="157"/>
      <c r="ETR70" s="159"/>
      <c r="ETS70" s="160"/>
      <c r="ETT70" s="161"/>
      <c r="ETU70"/>
      <c r="ETV70" s="162"/>
      <c r="ETW70"/>
      <c r="ETX70" s="155"/>
      <c r="ETY70" s="163"/>
      <c r="ETZ70"/>
      <c r="EUA70" s="156"/>
      <c r="EUB70" s="157"/>
      <c r="EUC70" s="158"/>
      <c r="EUD70" s="158"/>
      <c r="EUE70" s="157"/>
      <c r="EUF70" s="159"/>
      <c r="EUG70" s="157"/>
      <c r="EUH70" s="159"/>
      <c r="EUI70" s="160"/>
      <c r="EUJ70" s="161"/>
      <c r="EUK70"/>
      <c r="EUL70" s="162"/>
      <c r="EUM70"/>
      <c r="EUN70" s="155"/>
      <c r="EUO70" s="163"/>
      <c r="EUP70"/>
      <c r="EUQ70" s="156"/>
      <c r="EUR70" s="157"/>
      <c r="EUS70" s="158"/>
      <c r="EUT70" s="158"/>
      <c r="EUU70" s="157"/>
      <c r="EUV70" s="159"/>
      <c r="EUW70" s="157"/>
      <c r="EUX70" s="159"/>
      <c r="EUY70" s="160"/>
      <c r="EUZ70" s="161"/>
      <c r="EVA70"/>
      <c r="EVB70" s="162"/>
      <c r="EVC70"/>
      <c r="EVD70" s="155"/>
      <c r="EVE70" s="163"/>
      <c r="EVF70"/>
      <c r="EVG70" s="156"/>
      <c r="EVH70" s="157"/>
      <c r="EVI70" s="158"/>
      <c r="EVJ70" s="158"/>
      <c r="EVK70" s="157"/>
      <c r="EVL70" s="159"/>
      <c r="EVM70" s="157"/>
      <c r="EVN70" s="159"/>
      <c r="EVO70" s="160"/>
      <c r="EVP70" s="161"/>
      <c r="EVQ70"/>
      <c r="EVR70" s="162"/>
      <c r="EVS70"/>
      <c r="EVT70" s="155"/>
      <c r="EVU70" s="163"/>
      <c r="EVV70"/>
      <c r="EVW70" s="156"/>
      <c r="EVX70" s="157"/>
      <c r="EVY70" s="158"/>
      <c r="EVZ70" s="158"/>
      <c r="EWA70" s="157"/>
      <c r="EWB70" s="159"/>
      <c r="EWC70" s="157"/>
      <c r="EWD70" s="159"/>
      <c r="EWE70" s="160"/>
      <c r="EWF70" s="161"/>
      <c r="EWG70"/>
      <c r="EWH70" s="162"/>
      <c r="EWI70"/>
      <c r="EWJ70" s="155"/>
      <c r="EWK70" s="163"/>
      <c r="EWL70"/>
      <c r="EWM70" s="156"/>
      <c r="EWN70" s="157"/>
      <c r="EWO70" s="158"/>
      <c r="EWP70" s="158"/>
      <c r="EWQ70" s="157"/>
      <c r="EWR70" s="159"/>
      <c r="EWS70" s="157"/>
      <c r="EWT70" s="159"/>
      <c r="EWU70" s="160"/>
      <c r="EWV70" s="161"/>
      <c r="EWW70"/>
      <c r="EWX70" s="162"/>
      <c r="EWY70"/>
      <c r="EWZ70" s="155"/>
      <c r="EXA70" s="163"/>
      <c r="EXB70"/>
      <c r="EXC70" s="156"/>
      <c r="EXD70" s="157"/>
      <c r="EXE70" s="158"/>
      <c r="EXF70" s="158"/>
      <c r="EXG70" s="157"/>
      <c r="EXH70" s="159"/>
      <c r="EXI70" s="157"/>
      <c r="EXJ70" s="159"/>
      <c r="EXK70" s="160"/>
      <c r="EXL70" s="161"/>
      <c r="EXM70"/>
      <c r="EXN70" s="162"/>
      <c r="EXO70"/>
      <c r="EXP70" s="155"/>
      <c r="EXQ70" s="163"/>
      <c r="EXR70"/>
      <c r="EXS70" s="156"/>
      <c r="EXT70" s="157"/>
      <c r="EXU70" s="158"/>
      <c r="EXV70" s="158"/>
      <c r="EXW70" s="157"/>
      <c r="EXX70" s="159"/>
      <c r="EXY70" s="157"/>
      <c r="EXZ70" s="159"/>
      <c r="EYA70" s="160"/>
      <c r="EYB70" s="161"/>
      <c r="EYC70"/>
      <c r="EYD70" s="162"/>
      <c r="EYE70"/>
      <c r="EYF70" s="155"/>
      <c r="EYG70" s="163"/>
      <c r="EYH70"/>
      <c r="EYI70" s="156"/>
      <c r="EYJ70" s="157"/>
      <c r="EYK70" s="158"/>
      <c r="EYL70" s="158"/>
      <c r="EYM70" s="157"/>
      <c r="EYN70" s="159"/>
      <c r="EYO70" s="157"/>
      <c r="EYP70" s="159"/>
      <c r="EYQ70" s="160"/>
      <c r="EYR70" s="161"/>
      <c r="EYS70"/>
      <c r="EYT70" s="162"/>
      <c r="EYU70"/>
      <c r="EYV70" s="155"/>
      <c r="EYW70" s="163"/>
      <c r="EYX70"/>
      <c r="EYY70" s="156"/>
      <c r="EYZ70" s="157"/>
      <c r="EZA70" s="158"/>
      <c r="EZB70" s="158"/>
      <c r="EZC70" s="157"/>
      <c r="EZD70" s="159"/>
      <c r="EZE70" s="157"/>
      <c r="EZF70" s="159"/>
      <c r="EZG70" s="160"/>
      <c r="EZH70" s="161"/>
      <c r="EZI70"/>
      <c r="EZJ70" s="162"/>
      <c r="EZK70"/>
      <c r="EZL70" s="155"/>
      <c r="EZM70" s="163"/>
      <c r="EZN70"/>
      <c r="EZO70" s="156"/>
      <c r="EZP70" s="157"/>
      <c r="EZQ70" s="158"/>
      <c r="EZR70" s="158"/>
      <c r="EZS70" s="157"/>
      <c r="EZT70" s="159"/>
      <c r="EZU70" s="157"/>
      <c r="EZV70" s="159"/>
      <c r="EZW70" s="160"/>
      <c r="EZX70" s="161"/>
      <c r="EZY70"/>
      <c r="EZZ70" s="162"/>
      <c r="FAA70"/>
      <c r="FAB70" s="155"/>
      <c r="FAC70" s="163"/>
      <c r="FAD70"/>
      <c r="FAE70" s="156"/>
      <c r="FAF70" s="157"/>
      <c r="FAG70" s="158"/>
      <c r="FAH70" s="158"/>
      <c r="FAI70" s="157"/>
      <c r="FAJ70" s="159"/>
      <c r="FAK70" s="157"/>
      <c r="FAL70" s="159"/>
      <c r="FAM70" s="160"/>
      <c r="FAN70" s="161"/>
      <c r="FAO70"/>
      <c r="FAP70" s="162"/>
      <c r="FAQ70"/>
      <c r="FAR70" s="155"/>
      <c r="FAS70" s="163"/>
      <c r="FAT70"/>
      <c r="FAU70" s="156"/>
      <c r="FAV70" s="157"/>
      <c r="FAW70" s="158"/>
      <c r="FAX70" s="158"/>
      <c r="FAY70" s="157"/>
      <c r="FAZ70" s="159"/>
      <c r="FBA70" s="157"/>
      <c r="FBB70" s="159"/>
      <c r="FBC70" s="160"/>
      <c r="FBD70" s="161"/>
      <c r="FBE70"/>
      <c r="FBF70" s="162"/>
      <c r="FBG70"/>
      <c r="FBH70" s="155"/>
      <c r="FBI70" s="163"/>
      <c r="FBJ70"/>
      <c r="FBK70" s="156"/>
      <c r="FBL70" s="157"/>
      <c r="FBM70" s="158"/>
      <c r="FBN70" s="158"/>
      <c r="FBO70" s="157"/>
      <c r="FBP70" s="159"/>
      <c r="FBQ70" s="157"/>
      <c r="FBR70" s="159"/>
      <c r="FBS70" s="160"/>
      <c r="FBT70" s="161"/>
      <c r="FBU70"/>
      <c r="FBV70" s="162"/>
      <c r="FBW70"/>
      <c r="FBX70" s="155"/>
      <c r="FBY70" s="163"/>
      <c r="FBZ70"/>
      <c r="FCA70" s="156"/>
      <c r="FCB70" s="157"/>
      <c r="FCC70" s="158"/>
      <c r="FCD70" s="158"/>
      <c r="FCE70" s="157"/>
      <c r="FCF70" s="159"/>
      <c r="FCG70" s="157"/>
      <c r="FCH70" s="159"/>
      <c r="FCI70" s="160"/>
      <c r="FCJ70" s="161"/>
      <c r="FCK70"/>
      <c r="FCL70" s="162"/>
      <c r="FCM70"/>
      <c r="FCN70" s="155"/>
      <c r="FCO70" s="163"/>
      <c r="FCP70"/>
      <c r="FCQ70" s="156"/>
      <c r="FCR70" s="157"/>
      <c r="FCS70" s="158"/>
      <c r="FCT70" s="158"/>
      <c r="FCU70" s="157"/>
      <c r="FCV70" s="159"/>
      <c r="FCW70" s="157"/>
      <c r="FCX70" s="159"/>
      <c r="FCY70" s="160"/>
      <c r="FCZ70" s="161"/>
      <c r="FDA70"/>
      <c r="FDB70" s="162"/>
      <c r="FDC70"/>
      <c r="FDD70" s="155"/>
      <c r="FDE70" s="163"/>
      <c r="FDF70"/>
      <c r="FDG70" s="156"/>
      <c r="FDH70" s="157"/>
      <c r="FDI70" s="158"/>
      <c r="FDJ70" s="158"/>
      <c r="FDK70" s="157"/>
      <c r="FDL70" s="159"/>
      <c r="FDM70" s="157"/>
      <c r="FDN70" s="159"/>
      <c r="FDO70" s="160"/>
      <c r="FDP70" s="161"/>
      <c r="FDQ70"/>
      <c r="FDR70" s="162"/>
      <c r="FDS70"/>
      <c r="FDT70" s="155"/>
      <c r="FDU70" s="163"/>
      <c r="FDV70"/>
      <c r="FDW70" s="156"/>
      <c r="FDX70" s="157"/>
      <c r="FDY70" s="158"/>
      <c r="FDZ70" s="158"/>
      <c r="FEA70" s="157"/>
      <c r="FEB70" s="159"/>
      <c r="FEC70" s="157"/>
      <c r="FED70" s="159"/>
      <c r="FEE70" s="160"/>
      <c r="FEF70" s="161"/>
      <c r="FEG70"/>
      <c r="FEH70" s="162"/>
      <c r="FEI70"/>
      <c r="FEJ70" s="155"/>
      <c r="FEK70" s="163"/>
      <c r="FEL70"/>
      <c r="FEM70" s="156"/>
      <c r="FEN70" s="157"/>
      <c r="FEO70" s="158"/>
      <c r="FEP70" s="158"/>
      <c r="FEQ70" s="157"/>
      <c r="FER70" s="159"/>
      <c r="FES70" s="157"/>
      <c r="FET70" s="159"/>
      <c r="FEU70" s="160"/>
      <c r="FEV70" s="161"/>
      <c r="FEW70"/>
      <c r="FEX70" s="162"/>
      <c r="FEY70"/>
      <c r="FEZ70" s="155"/>
      <c r="FFA70" s="163"/>
      <c r="FFB70"/>
      <c r="FFC70" s="156"/>
      <c r="FFD70" s="157"/>
      <c r="FFE70" s="158"/>
      <c r="FFF70" s="158"/>
      <c r="FFG70" s="157"/>
      <c r="FFH70" s="159"/>
      <c r="FFI70" s="157"/>
      <c r="FFJ70" s="159"/>
      <c r="FFK70" s="160"/>
      <c r="FFL70" s="161"/>
      <c r="FFM70"/>
      <c r="FFN70" s="162"/>
      <c r="FFO70"/>
      <c r="FFP70" s="155"/>
      <c r="FFQ70" s="163"/>
      <c r="FFR70"/>
      <c r="FFS70" s="156"/>
      <c r="FFT70" s="157"/>
      <c r="FFU70" s="158"/>
      <c r="FFV70" s="158"/>
      <c r="FFW70" s="157"/>
      <c r="FFX70" s="159"/>
      <c r="FFY70" s="157"/>
      <c r="FFZ70" s="159"/>
      <c r="FGA70" s="160"/>
      <c r="FGB70" s="161"/>
      <c r="FGC70"/>
      <c r="FGD70" s="162"/>
      <c r="FGE70"/>
      <c r="FGF70" s="155"/>
      <c r="FGG70" s="163"/>
      <c r="FGH70"/>
      <c r="FGI70" s="156"/>
      <c r="FGJ70" s="157"/>
      <c r="FGK70" s="158"/>
      <c r="FGL70" s="158"/>
      <c r="FGM70" s="157"/>
      <c r="FGN70" s="159"/>
      <c r="FGO70" s="157"/>
      <c r="FGP70" s="159"/>
      <c r="FGQ70" s="160"/>
      <c r="FGR70" s="161"/>
      <c r="FGS70"/>
      <c r="FGT70" s="162"/>
      <c r="FGU70"/>
      <c r="FGV70" s="155"/>
      <c r="FGW70" s="163"/>
      <c r="FGX70"/>
      <c r="FGY70" s="156"/>
      <c r="FGZ70" s="157"/>
      <c r="FHA70" s="158"/>
      <c r="FHB70" s="158"/>
      <c r="FHC70" s="157"/>
      <c r="FHD70" s="159"/>
      <c r="FHE70" s="157"/>
      <c r="FHF70" s="159"/>
      <c r="FHG70" s="160"/>
      <c r="FHH70" s="161"/>
      <c r="FHI70"/>
      <c r="FHJ70" s="162"/>
      <c r="FHK70"/>
      <c r="FHL70" s="155"/>
      <c r="FHM70" s="163"/>
      <c r="FHN70"/>
      <c r="FHO70" s="156"/>
      <c r="FHP70" s="157"/>
      <c r="FHQ70" s="158"/>
      <c r="FHR70" s="158"/>
      <c r="FHS70" s="157"/>
      <c r="FHT70" s="159"/>
      <c r="FHU70" s="157"/>
      <c r="FHV70" s="159"/>
      <c r="FHW70" s="160"/>
      <c r="FHX70" s="161"/>
      <c r="FHY70"/>
      <c r="FHZ70" s="162"/>
      <c r="FIA70"/>
      <c r="FIB70" s="155"/>
      <c r="FIC70" s="163"/>
      <c r="FID70"/>
      <c r="FIE70" s="156"/>
      <c r="FIF70" s="157"/>
      <c r="FIG70" s="158"/>
      <c r="FIH70" s="158"/>
      <c r="FII70" s="157"/>
      <c r="FIJ70" s="159"/>
      <c r="FIK70" s="157"/>
      <c r="FIL70" s="159"/>
      <c r="FIM70" s="160"/>
      <c r="FIN70" s="161"/>
      <c r="FIO70"/>
      <c r="FIP70" s="162"/>
      <c r="FIQ70"/>
      <c r="FIR70" s="155"/>
      <c r="FIS70" s="163"/>
      <c r="FIT70"/>
      <c r="FIU70" s="156"/>
      <c r="FIV70" s="157"/>
      <c r="FIW70" s="158"/>
      <c r="FIX70" s="158"/>
      <c r="FIY70" s="157"/>
      <c r="FIZ70" s="159"/>
      <c r="FJA70" s="157"/>
      <c r="FJB70" s="159"/>
      <c r="FJC70" s="160"/>
      <c r="FJD70" s="161"/>
      <c r="FJE70"/>
      <c r="FJF70" s="162"/>
      <c r="FJG70"/>
      <c r="FJH70" s="155"/>
      <c r="FJI70" s="163"/>
      <c r="FJJ70"/>
      <c r="FJK70" s="156"/>
      <c r="FJL70" s="157"/>
      <c r="FJM70" s="158"/>
      <c r="FJN70" s="158"/>
      <c r="FJO70" s="157"/>
      <c r="FJP70" s="159"/>
      <c r="FJQ70" s="157"/>
      <c r="FJR70" s="159"/>
      <c r="FJS70" s="160"/>
      <c r="FJT70" s="161"/>
      <c r="FJU70"/>
      <c r="FJV70" s="162"/>
      <c r="FJW70"/>
      <c r="FJX70" s="155"/>
      <c r="FJY70" s="163"/>
      <c r="FJZ70"/>
      <c r="FKA70" s="156"/>
      <c r="FKB70" s="157"/>
      <c r="FKC70" s="158"/>
      <c r="FKD70" s="158"/>
      <c r="FKE70" s="157"/>
      <c r="FKF70" s="159"/>
      <c r="FKG70" s="157"/>
      <c r="FKH70" s="159"/>
      <c r="FKI70" s="160"/>
      <c r="FKJ70" s="161"/>
      <c r="FKK70"/>
      <c r="FKL70" s="162"/>
      <c r="FKM70"/>
      <c r="FKN70" s="155"/>
      <c r="FKO70" s="163"/>
      <c r="FKP70"/>
      <c r="FKQ70" s="156"/>
      <c r="FKR70" s="157"/>
      <c r="FKS70" s="158"/>
      <c r="FKT70" s="158"/>
      <c r="FKU70" s="157"/>
      <c r="FKV70" s="159"/>
      <c r="FKW70" s="157"/>
      <c r="FKX70" s="159"/>
      <c r="FKY70" s="160"/>
      <c r="FKZ70" s="161"/>
      <c r="FLA70"/>
      <c r="FLB70" s="162"/>
      <c r="FLC70"/>
      <c r="FLD70" s="155"/>
      <c r="FLE70" s="163"/>
      <c r="FLF70"/>
      <c r="FLG70" s="156"/>
      <c r="FLH70" s="157"/>
      <c r="FLI70" s="158"/>
      <c r="FLJ70" s="158"/>
      <c r="FLK70" s="157"/>
      <c r="FLL70" s="159"/>
      <c r="FLM70" s="157"/>
      <c r="FLN70" s="159"/>
      <c r="FLO70" s="160"/>
      <c r="FLP70" s="161"/>
      <c r="FLQ70"/>
      <c r="FLR70" s="162"/>
      <c r="FLS70"/>
      <c r="FLT70" s="155"/>
      <c r="FLU70" s="163"/>
      <c r="FLV70"/>
      <c r="FLW70" s="156"/>
      <c r="FLX70" s="157"/>
      <c r="FLY70" s="158"/>
      <c r="FLZ70" s="158"/>
      <c r="FMA70" s="157"/>
      <c r="FMB70" s="159"/>
      <c r="FMC70" s="157"/>
      <c r="FMD70" s="159"/>
      <c r="FME70" s="160"/>
      <c r="FMF70" s="161"/>
      <c r="FMG70"/>
      <c r="FMH70" s="162"/>
      <c r="FMI70"/>
      <c r="FMJ70" s="155"/>
      <c r="FMK70" s="163"/>
      <c r="FML70"/>
      <c r="FMM70" s="156"/>
      <c r="FMN70" s="157"/>
      <c r="FMO70" s="158"/>
      <c r="FMP70" s="158"/>
      <c r="FMQ70" s="157"/>
      <c r="FMR70" s="159"/>
      <c r="FMS70" s="157"/>
      <c r="FMT70" s="159"/>
      <c r="FMU70" s="160"/>
      <c r="FMV70" s="161"/>
      <c r="FMW70"/>
      <c r="FMX70" s="162"/>
      <c r="FMY70"/>
      <c r="FMZ70" s="155"/>
      <c r="FNA70" s="163"/>
      <c r="FNB70"/>
      <c r="FNC70" s="156"/>
      <c r="FND70" s="157"/>
      <c r="FNE70" s="158"/>
      <c r="FNF70" s="158"/>
      <c r="FNG70" s="157"/>
      <c r="FNH70" s="159"/>
      <c r="FNI70" s="157"/>
      <c r="FNJ70" s="159"/>
      <c r="FNK70" s="160"/>
      <c r="FNL70" s="161"/>
      <c r="FNM70"/>
      <c r="FNN70" s="162"/>
      <c r="FNO70"/>
      <c r="FNP70" s="155"/>
      <c r="FNQ70" s="163"/>
      <c r="FNR70"/>
      <c r="FNS70" s="156"/>
      <c r="FNT70" s="157"/>
      <c r="FNU70" s="158"/>
      <c r="FNV70" s="158"/>
      <c r="FNW70" s="157"/>
      <c r="FNX70" s="159"/>
      <c r="FNY70" s="157"/>
      <c r="FNZ70" s="159"/>
      <c r="FOA70" s="160"/>
      <c r="FOB70" s="161"/>
      <c r="FOC70"/>
      <c r="FOD70" s="162"/>
      <c r="FOE70"/>
      <c r="FOF70" s="155"/>
      <c r="FOG70" s="163"/>
      <c r="FOH70"/>
      <c r="FOI70" s="156"/>
      <c r="FOJ70" s="157"/>
      <c r="FOK70" s="158"/>
      <c r="FOL70" s="158"/>
      <c r="FOM70" s="157"/>
      <c r="FON70" s="159"/>
      <c r="FOO70" s="157"/>
      <c r="FOP70" s="159"/>
      <c r="FOQ70" s="160"/>
      <c r="FOR70" s="161"/>
      <c r="FOS70"/>
      <c r="FOT70" s="162"/>
      <c r="FOU70"/>
      <c r="FOV70" s="155"/>
      <c r="FOW70" s="163"/>
      <c r="FOX70"/>
      <c r="FOY70" s="156"/>
      <c r="FOZ70" s="157"/>
      <c r="FPA70" s="158"/>
      <c r="FPB70" s="158"/>
      <c r="FPC70" s="157"/>
      <c r="FPD70" s="159"/>
      <c r="FPE70" s="157"/>
      <c r="FPF70" s="159"/>
      <c r="FPG70" s="160"/>
      <c r="FPH70" s="161"/>
      <c r="FPI70"/>
      <c r="FPJ70" s="162"/>
      <c r="FPK70"/>
      <c r="FPL70" s="155"/>
      <c r="FPM70" s="163"/>
      <c r="FPN70"/>
      <c r="FPO70" s="156"/>
      <c r="FPP70" s="157"/>
      <c r="FPQ70" s="158"/>
      <c r="FPR70" s="158"/>
      <c r="FPS70" s="157"/>
      <c r="FPT70" s="159"/>
      <c r="FPU70" s="157"/>
      <c r="FPV70" s="159"/>
      <c r="FPW70" s="160"/>
      <c r="FPX70" s="161"/>
      <c r="FPY70"/>
      <c r="FPZ70" s="162"/>
      <c r="FQA70"/>
      <c r="FQB70" s="155"/>
      <c r="FQC70" s="163"/>
      <c r="FQD70"/>
      <c r="FQE70" s="156"/>
      <c r="FQF70" s="157"/>
      <c r="FQG70" s="158"/>
      <c r="FQH70" s="158"/>
      <c r="FQI70" s="157"/>
      <c r="FQJ70" s="159"/>
      <c r="FQK70" s="157"/>
      <c r="FQL70" s="159"/>
      <c r="FQM70" s="160"/>
      <c r="FQN70" s="161"/>
      <c r="FQO70"/>
      <c r="FQP70" s="162"/>
      <c r="FQQ70"/>
      <c r="FQR70" s="155"/>
      <c r="FQS70" s="163"/>
      <c r="FQT70"/>
      <c r="FQU70" s="156"/>
      <c r="FQV70" s="157"/>
      <c r="FQW70" s="158"/>
      <c r="FQX70" s="158"/>
      <c r="FQY70" s="157"/>
      <c r="FQZ70" s="159"/>
      <c r="FRA70" s="157"/>
      <c r="FRB70" s="159"/>
      <c r="FRC70" s="160"/>
      <c r="FRD70" s="161"/>
      <c r="FRE70"/>
      <c r="FRF70" s="162"/>
      <c r="FRG70"/>
      <c r="FRH70" s="155"/>
      <c r="FRI70" s="163"/>
      <c r="FRJ70"/>
      <c r="FRK70" s="156"/>
      <c r="FRL70" s="157"/>
      <c r="FRM70" s="158"/>
      <c r="FRN70" s="158"/>
      <c r="FRO70" s="157"/>
      <c r="FRP70" s="159"/>
      <c r="FRQ70" s="157"/>
      <c r="FRR70" s="159"/>
      <c r="FRS70" s="160"/>
      <c r="FRT70" s="161"/>
      <c r="FRU70"/>
      <c r="FRV70" s="162"/>
      <c r="FRW70"/>
      <c r="FRX70" s="155"/>
      <c r="FRY70" s="163"/>
      <c r="FRZ70"/>
      <c r="FSA70" s="156"/>
      <c r="FSB70" s="157"/>
      <c r="FSC70" s="158"/>
      <c r="FSD70" s="158"/>
      <c r="FSE70" s="157"/>
      <c r="FSF70" s="159"/>
      <c r="FSG70" s="157"/>
      <c r="FSH70" s="159"/>
      <c r="FSI70" s="160"/>
      <c r="FSJ70" s="161"/>
      <c r="FSK70"/>
      <c r="FSL70" s="162"/>
      <c r="FSM70"/>
      <c r="FSN70" s="155"/>
      <c r="FSO70" s="163"/>
      <c r="FSP70"/>
      <c r="FSQ70" s="156"/>
      <c r="FSR70" s="157"/>
      <c r="FSS70" s="158"/>
      <c r="FST70" s="158"/>
      <c r="FSU70" s="157"/>
      <c r="FSV70" s="159"/>
      <c r="FSW70" s="157"/>
      <c r="FSX70" s="159"/>
      <c r="FSY70" s="160"/>
      <c r="FSZ70" s="161"/>
      <c r="FTA70"/>
      <c r="FTB70" s="162"/>
      <c r="FTC70"/>
      <c r="FTD70" s="155"/>
      <c r="FTE70" s="163"/>
      <c r="FTF70"/>
      <c r="FTG70" s="156"/>
      <c r="FTH70" s="157"/>
      <c r="FTI70" s="158"/>
      <c r="FTJ70" s="158"/>
      <c r="FTK70" s="157"/>
      <c r="FTL70" s="159"/>
      <c r="FTM70" s="157"/>
      <c r="FTN70" s="159"/>
      <c r="FTO70" s="160"/>
      <c r="FTP70" s="161"/>
      <c r="FTQ70"/>
      <c r="FTR70" s="162"/>
      <c r="FTS70"/>
      <c r="FTT70" s="155"/>
      <c r="FTU70" s="163"/>
      <c r="FTV70"/>
      <c r="FTW70" s="156"/>
      <c r="FTX70" s="157"/>
      <c r="FTY70" s="158"/>
      <c r="FTZ70" s="158"/>
      <c r="FUA70" s="157"/>
      <c r="FUB70" s="159"/>
      <c r="FUC70" s="157"/>
      <c r="FUD70" s="159"/>
      <c r="FUE70" s="160"/>
      <c r="FUF70" s="161"/>
      <c r="FUG70"/>
      <c r="FUH70" s="162"/>
      <c r="FUI70"/>
      <c r="FUJ70" s="155"/>
      <c r="FUK70" s="163"/>
      <c r="FUL70"/>
      <c r="FUM70" s="156"/>
      <c r="FUN70" s="157"/>
      <c r="FUO70" s="158"/>
      <c r="FUP70" s="158"/>
      <c r="FUQ70" s="157"/>
      <c r="FUR70" s="159"/>
      <c r="FUS70" s="157"/>
      <c r="FUT70" s="159"/>
      <c r="FUU70" s="160"/>
      <c r="FUV70" s="161"/>
      <c r="FUW70"/>
      <c r="FUX70" s="162"/>
      <c r="FUY70"/>
      <c r="FUZ70" s="155"/>
      <c r="FVA70" s="163"/>
      <c r="FVB70"/>
      <c r="FVC70" s="156"/>
      <c r="FVD70" s="157"/>
      <c r="FVE70" s="158"/>
      <c r="FVF70" s="158"/>
      <c r="FVG70" s="157"/>
      <c r="FVH70" s="159"/>
      <c r="FVI70" s="157"/>
      <c r="FVJ70" s="159"/>
      <c r="FVK70" s="160"/>
      <c r="FVL70" s="161"/>
      <c r="FVM70"/>
      <c r="FVN70" s="162"/>
      <c r="FVO70"/>
      <c r="FVP70" s="155"/>
      <c r="FVQ70" s="163"/>
      <c r="FVR70"/>
      <c r="FVS70" s="156"/>
      <c r="FVT70" s="157"/>
      <c r="FVU70" s="158"/>
      <c r="FVV70" s="158"/>
      <c r="FVW70" s="157"/>
      <c r="FVX70" s="159"/>
      <c r="FVY70" s="157"/>
      <c r="FVZ70" s="159"/>
      <c r="FWA70" s="160"/>
      <c r="FWB70" s="161"/>
      <c r="FWC70"/>
      <c r="FWD70" s="162"/>
      <c r="FWE70"/>
      <c r="FWF70" s="155"/>
      <c r="FWG70" s="163"/>
      <c r="FWH70"/>
      <c r="FWI70" s="156"/>
      <c r="FWJ70" s="157"/>
      <c r="FWK70" s="158"/>
      <c r="FWL70" s="158"/>
      <c r="FWM70" s="157"/>
      <c r="FWN70" s="159"/>
      <c r="FWO70" s="157"/>
      <c r="FWP70" s="159"/>
      <c r="FWQ70" s="160"/>
      <c r="FWR70" s="161"/>
      <c r="FWS70"/>
      <c r="FWT70" s="162"/>
      <c r="FWU70"/>
      <c r="FWV70" s="155"/>
      <c r="FWW70" s="163"/>
      <c r="FWX70"/>
      <c r="FWY70" s="156"/>
      <c r="FWZ70" s="157"/>
      <c r="FXA70" s="158"/>
      <c r="FXB70" s="158"/>
      <c r="FXC70" s="157"/>
      <c r="FXD70" s="159"/>
      <c r="FXE70" s="157"/>
      <c r="FXF70" s="159"/>
      <c r="FXG70" s="160"/>
      <c r="FXH70" s="161"/>
      <c r="FXI70"/>
      <c r="FXJ70" s="162"/>
      <c r="FXK70"/>
      <c r="FXL70" s="155"/>
      <c r="FXM70" s="163"/>
      <c r="FXN70"/>
      <c r="FXO70" s="156"/>
      <c r="FXP70" s="157"/>
      <c r="FXQ70" s="158"/>
      <c r="FXR70" s="158"/>
      <c r="FXS70" s="157"/>
      <c r="FXT70" s="159"/>
      <c r="FXU70" s="157"/>
      <c r="FXV70" s="159"/>
      <c r="FXW70" s="160"/>
      <c r="FXX70" s="161"/>
      <c r="FXY70"/>
      <c r="FXZ70" s="162"/>
      <c r="FYA70"/>
      <c r="FYB70" s="155"/>
      <c r="FYC70" s="163"/>
      <c r="FYD70"/>
      <c r="FYE70" s="156"/>
      <c r="FYF70" s="157"/>
      <c r="FYG70" s="158"/>
      <c r="FYH70" s="158"/>
      <c r="FYI70" s="157"/>
      <c r="FYJ70" s="159"/>
      <c r="FYK70" s="157"/>
      <c r="FYL70" s="159"/>
      <c r="FYM70" s="160"/>
      <c r="FYN70" s="161"/>
      <c r="FYO70"/>
      <c r="FYP70" s="162"/>
      <c r="FYQ70"/>
      <c r="FYR70" s="155"/>
      <c r="FYS70" s="163"/>
      <c r="FYT70"/>
      <c r="FYU70" s="156"/>
      <c r="FYV70" s="157"/>
      <c r="FYW70" s="158"/>
      <c r="FYX70" s="158"/>
      <c r="FYY70" s="157"/>
      <c r="FYZ70" s="159"/>
      <c r="FZA70" s="157"/>
      <c r="FZB70" s="159"/>
      <c r="FZC70" s="160"/>
      <c r="FZD70" s="161"/>
      <c r="FZE70"/>
      <c r="FZF70" s="162"/>
      <c r="FZG70"/>
      <c r="FZH70" s="155"/>
      <c r="FZI70" s="163"/>
      <c r="FZJ70"/>
      <c r="FZK70" s="156"/>
      <c r="FZL70" s="157"/>
      <c r="FZM70" s="158"/>
      <c r="FZN70" s="158"/>
      <c r="FZO70" s="157"/>
      <c r="FZP70" s="159"/>
      <c r="FZQ70" s="157"/>
      <c r="FZR70" s="159"/>
      <c r="FZS70" s="160"/>
      <c r="FZT70" s="161"/>
      <c r="FZU70"/>
      <c r="FZV70" s="162"/>
      <c r="FZW70"/>
      <c r="FZX70" s="155"/>
      <c r="FZY70" s="163"/>
      <c r="FZZ70"/>
      <c r="GAA70" s="156"/>
      <c r="GAB70" s="157"/>
      <c r="GAC70" s="158"/>
      <c r="GAD70" s="158"/>
      <c r="GAE70" s="157"/>
      <c r="GAF70" s="159"/>
      <c r="GAG70" s="157"/>
      <c r="GAH70" s="159"/>
      <c r="GAI70" s="160"/>
      <c r="GAJ70" s="161"/>
      <c r="GAK70"/>
      <c r="GAL70" s="162"/>
      <c r="GAM70"/>
      <c r="GAN70" s="155"/>
      <c r="GAO70" s="163"/>
      <c r="GAP70"/>
      <c r="GAQ70" s="156"/>
      <c r="GAR70" s="157"/>
      <c r="GAS70" s="158"/>
      <c r="GAT70" s="158"/>
      <c r="GAU70" s="157"/>
      <c r="GAV70" s="159"/>
      <c r="GAW70" s="157"/>
      <c r="GAX70" s="159"/>
      <c r="GAY70" s="160"/>
      <c r="GAZ70" s="161"/>
      <c r="GBA70"/>
      <c r="GBB70" s="162"/>
      <c r="GBC70"/>
      <c r="GBD70" s="155"/>
      <c r="GBE70" s="163"/>
      <c r="GBF70"/>
      <c r="GBG70" s="156"/>
      <c r="GBH70" s="157"/>
      <c r="GBI70" s="158"/>
      <c r="GBJ70" s="158"/>
      <c r="GBK70" s="157"/>
      <c r="GBL70" s="159"/>
      <c r="GBM70" s="157"/>
      <c r="GBN70" s="159"/>
      <c r="GBO70" s="160"/>
      <c r="GBP70" s="161"/>
      <c r="GBQ70"/>
      <c r="GBR70" s="162"/>
      <c r="GBS70"/>
      <c r="GBT70" s="155"/>
      <c r="GBU70" s="163"/>
      <c r="GBV70"/>
      <c r="GBW70" s="156"/>
      <c r="GBX70" s="157"/>
      <c r="GBY70" s="158"/>
      <c r="GBZ70" s="158"/>
      <c r="GCA70" s="157"/>
      <c r="GCB70" s="159"/>
      <c r="GCC70" s="157"/>
      <c r="GCD70" s="159"/>
      <c r="GCE70" s="160"/>
      <c r="GCF70" s="161"/>
      <c r="GCG70"/>
      <c r="GCH70" s="162"/>
      <c r="GCI70"/>
      <c r="GCJ70" s="155"/>
      <c r="GCK70" s="163"/>
      <c r="GCL70"/>
      <c r="GCM70" s="156"/>
      <c r="GCN70" s="157"/>
      <c r="GCO70" s="158"/>
      <c r="GCP70" s="158"/>
      <c r="GCQ70" s="157"/>
      <c r="GCR70" s="159"/>
      <c r="GCS70" s="157"/>
      <c r="GCT70" s="159"/>
      <c r="GCU70" s="160"/>
      <c r="GCV70" s="161"/>
      <c r="GCW70"/>
      <c r="GCX70" s="162"/>
      <c r="GCY70"/>
      <c r="GCZ70" s="155"/>
      <c r="GDA70" s="163"/>
      <c r="GDB70"/>
      <c r="GDC70" s="156"/>
      <c r="GDD70" s="157"/>
      <c r="GDE70" s="158"/>
      <c r="GDF70" s="158"/>
      <c r="GDG70" s="157"/>
      <c r="GDH70" s="159"/>
      <c r="GDI70" s="157"/>
      <c r="GDJ70" s="159"/>
      <c r="GDK70" s="160"/>
      <c r="GDL70" s="161"/>
      <c r="GDM70"/>
      <c r="GDN70" s="162"/>
      <c r="GDO70"/>
      <c r="GDP70" s="155"/>
      <c r="GDQ70" s="163"/>
      <c r="GDR70"/>
      <c r="GDS70" s="156"/>
      <c r="GDT70" s="157"/>
      <c r="GDU70" s="158"/>
      <c r="GDV70" s="158"/>
      <c r="GDW70" s="157"/>
      <c r="GDX70" s="159"/>
      <c r="GDY70" s="157"/>
      <c r="GDZ70" s="159"/>
      <c r="GEA70" s="160"/>
      <c r="GEB70" s="161"/>
      <c r="GEC70"/>
      <c r="GED70" s="162"/>
      <c r="GEE70"/>
      <c r="GEF70" s="155"/>
      <c r="GEG70" s="163"/>
      <c r="GEH70"/>
      <c r="GEI70" s="156"/>
      <c r="GEJ70" s="157"/>
      <c r="GEK70" s="158"/>
      <c r="GEL70" s="158"/>
      <c r="GEM70" s="157"/>
      <c r="GEN70" s="159"/>
      <c r="GEO70" s="157"/>
      <c r="GEP70" s="159"/>
      <c r="GEQ70" s="160"/>
      <c r="GER70" s="161"/>
      <c r="GES70"/>
      <c r="GET70" s="162"/>
      <c r="GEU70"/>
      <c r="GEV70" s="155"/>
      <c r="GEW70" s="163"/>
      <c r="GEX70"/>
      <c r="GEY70" s="156"/>
      <c r="GEZ70" s="157"/>
      <c r="GFA70" s="158"/>
      <c r="GFB70" s="158"/>
      <c r="GFC70" s="157"/>
      <c r="GFD70" s="159"/>
      <c r="GFE70" s="157"/>
      <c r="GFF70" s="159"/>
      <c r="GFG70" s="160"/>
      <c r="GFH70" s="161"/>
      <c r="GFI70"/>
      <c r="GFJ70" s="162"/>
      <c r="GFK70"/>
      <c r="GFL70" s="155"/>
      <c r="GFM70" s="163"/>
      <c r="GFN70"/>
      <c r="GFO70" s="156"/>
      <c r="GFP70" s="157"/>
      <c r="GFQ70" s="158"/>
      <c r="GFR70" s="158"/>
      <c r="GFS70" s="157"/>
      <c r="GFT70" s="159"/>
      <c r="GFU70" s="157"/>
      <c r="GFV70" s="159"/>
      <c r="GFW70" s="160"/>
      <c r="GFX70" s="161"/>
      <c r="GFY70"/>
      <c r="GFZ70" s="162"/>
      <c r="GGA70"/>
      <c r="GGB70" s="155"/>
      <c r="GGC70" s="163"/>
      <c r="GGD70"/>
      <c r="GGE70" s="156"/>
      <c r="GGF70" s="157"/>
      <c r="GGG70" s="158"/>
      <c r="GGH70" s="158"/>
      <c r="GGI70" s="157"/>
      <c r="GGJ70" s="159"/>
      <c r="GGK70" s="157"/>
      <c r="GGL70" s="159"/>
      <c r="GGM70" s="160"/>
      <c r="GGN70" s="161"/>
      <c r="GGO70"/>
      <c r="GGP70" s="162"/>
      <c r="GGQ70"/>
      <c r="GGR70" s="155"/>
      <c r="GGS70" s="163"/>
      <c r="GGT70"/>
      <c r="GGU70" s="156"/>
      <c r="GGV70" s="157"/>
      <c r="GGW70" s="158"/>
      <c r="GGX70" s="158"/>
      <c r="GGY70" s="157"/>
      <c r="GGZ70" s="159"/>
      <c r="GHA70" s="157"/>
      <c r="GHB70" s="159"/>
      <c r="GHC70" s="160"/>
      <c r="GHD70" s="161"/>
      <c r="GHE70"/>
      <c r="GHF70" s="162"/>
      <c r="GHG70"/>
      <c r="GHH70" s="155"/>
      <c r="GHI70" s="163"/>
      <c r="GHJ70"/>
      <c r="GHK70" s="156"/>
      <c r="GHL70" s="157"/>
      <c r="GHM70" s="158"/>
      <c r="GHN70" s="158"/>
      <c r="GHO70" s="157"/>
      <c r="GHP70" s="159"/>
      <c r="GHQ70" s="157"/>
      <c r="GHR70" s="159"/>
      <c r="GHS70" s="160"/>
      <c r="GHT70" s="161"/>
      <c r="GHU70"/>
      <c r="GHV70" s="162"/>
      <c r="GHW70"/>
      <c r="GHX70" s="155"/>
      <c r="GHY70" s="163"/>
      <c r="GHZ70"/>
      <c r="GIA70" s="156"/>
      <c r="GIB70" s="157"/>
      <c r="GIC70" s="158"/>
      <c r="GID70" s="158"/>
      <c r="GIE70" s="157"/>
      <c r="GIF70" s="159"/>
      <c r="GIG70" s="157"/>
      <c r="GIH70" s="159"/>
      <c r="GII70" s="160"/>
      <c r="GIJ70" s="161"/>
      <c r="GIK70"/>
      <c r="GIL70" s="162"/>
      <c r="GIM70"/>
      <c r="GIN70" s="155"/>
      <c r="GIO70" s="163"/>
      <c r="GIP70"/>
      <c r="GIQ70" s="156"/>
      <c r="GIR70" s="157"/>
      <c r="GIS70" s="158"/>
      <c r="GIT70" s="158"/>
      <c r="GIU70" s="157"/>
      <c r="GIV70" s="159"/>
      <c r="GIW70" s="157"/>
      <c r="GIX70" s="159"/>
      <c r="GIY70" s="160"/>
      <c r="GIZ70" s="161"/>
      <c r="GJA70"/>
      <c r="GJB70" s="162"/>
      <c r="GJC70"/>
      <c r="GJD70" s="155"/>
      <c r="GJE70" s="163"/>
      <c r="GJF70"/>
      <c r="GJG70" s="156"/>
      <c r="GJH70" s="157"/>
      <c r="GJI70" s="158"/>
      <c r="GJJ70" s="158"/>
      <c r="GJK70" s="157"/>
      <c r="GJL70" s="159"/>
      <c r="GJM70" s="157"/>
      <c r="GJN70" s="159"/>
      <c r="GJO70" s="160"/>
      <c r="GJP70" s="161"/>
      <c r="GJQ70"/>
      <c r="GJR70" s="162"/>
      <c r="GJS70"/>
      <c r="GJT70" s="155"/>
      <c r="GJU70" s="163"/>
      <c r="GJV70"/>
      <c r="GJW70" s="156"/>
      <c r="GJX70" s="157"/>
      <c r="GJY70" s="158"/>
      <c r="GJZ70" s="158"/>
      <c r="GKA70" s="157"/>
      <c r="GKB70" s="159"/>
      <c r="GKC70" s="157"/>
      <c r="GKD70" s="159"/>
      <c r="GKE70" s="160"/>
      <c r="GKF70" s="161"/>
      <c r="GKG70"/>
      <c r="GKH70" s="162"/>
      <c r="GKI70"/>
      <c r="GKJ70" s="155"/>
      <c r="GKK70" s="163"/>
      <c r="GKL70"/>
      <c r="GKM70" s="156"/>
      <c r="GKN70" s="157"/>
      <c r="GKO70" s="158"/>
      <c r="GKP70" s="158"/>
      <c r="GKQ70" s="157"/>
      <c r="GKR70" s="159"/>
      <c r="GKS70" s="157"/>
      <c r="GKT70" s="159"/>
      <c r="GKU70" s="160"/>
      <c r="GKV70" s="161"/>
      <c r="GKW70"/>
      <c r="GKX70" s="162"/>
      <c r="GKY70"/>
      <c r="GKZ70" s="155"/>
      <c r="GLA70" s="163"/>
      <c r="GLB70"/>
      <c r="GLC70" s="156"/>
      <c r="GLD70" s="157"/>
      <c r="GLE70" s="158"/>
      <c r="GLF70" s="158"/>
      <c r="GLG70" s="157"/>
      <c r="GLH70" s="159"/>
      <c r="GLI70" s="157"/>
      <c r="GLJ70" s="159"/>
      <c r="GLK70" s="160"/>
      <c r="GLL70" s="161"/>
      <c r="GLM70"/>
      <c r="GLN70" s="162"/>
      <c r="GLO70"/>
      <c r="GLP70" s="155"/>
      <c r="GLQ70" s="163"/>
      <c r="GLR70"/>
      <c r="GLS70" s="156"/>
      <c r="GLT70" s="157"/>
      <c r="GLU70" s="158"/>
      <c r="GLV70" s="158"/>
      <c r="GLW70" s="157"/>
      <c r="GLX70" s="159"/>
      <c r="GLY70" s="157"/>
      <c r="GLZ70" s="159"/>
      <c r="GMA70" s="160"/>
      <c r="GMB70" s="161"/>
      <c r="GMC70"/>
      <c r="GMD70" s="162"/>
      <c r="GME70"/>
      <c r="GMF70" s="155"/>
      <c r="GMG70" s="163"/>
      <c r="GMH70"/>
      <c r="GMI70" s="156"/>
      <c r="GMJ70" s="157"/>
      <c r="GMK70" s="158"/>
      <c r="GML70" s="158"/>
      <c r="GMM70" s="157"/>
      <c r="GMN70" s="159"/>
      <c r="GMO70" s="157"/>
      <c r="GMP70" s="159"/>
      <c r="GMQ70" s="160"/>
      <c r="GMR70" s="161"/>
      <c r="GMS70"/>
      <c r="GMT70" s="162"/>
      <c r="GMU70"/>
      <c r="GMV70" s="155"/>
      <c r="GMW70" s="163"/>
      <c r="GMX70"/>
      <c r="GMY70" s="156"/>
      <c r="GMZ70" s="157"/>
      <c r="GNA70" s="158"/>
      <c r="GNB70" s="158"/>
      <c r="GNC70" s="157"/>
      <c r="GND70" s="159"/>
      <c r="GNE70" s="157"/>
      <c r="GNF70" s="159"/>
      <c r="GNG70" s="160"/>
      <c r="GNH70" s="161"/>
      <c r="GNI70"/>
      <c r="GNJ70" s="162"/>
      <c r="GNK70"/>
      <c r="GNL70" s="155"/>
      <c r="GNM70" s="163"/>
      <c r="GNN70"/>
      <c r="GNO70" s="156"/>
      <c r="GNP70" s="157"/>
      <c r="GNQ70" s="158"/>
      <c r="GNR70" s="158"/>
      <c r="GNS70" s="157"/>
      <c r="GNT70" s="159"/>
      <c r="GNU70" s="157"/>
      <c r="GNV70" s="159"/>
      <c r="GNW70" s="160"/>
      <c r="GNX70" s="161"/>
      <c r="GNY70"/>
      <c r="GNZ70" s="162"/>
      <c r="GOA70"/>
      <c r="GOB70" s="155"/>
      <c r="GOC70" s="163"/>
      <c r="GOD70"/>
      <c r="GOE70" s="156"/>
      <c r="GOF70" s="157"/>
      <c r="GOG70" s="158"/>
      <c r="GOH70" s="158"/>
      <c r="GOI70" s="157"/>
      <c r="GOJ70" s="159"/>
      <c r="GOK70" s="157"/>
      <c r="GOL70" s="159"/>
      <c r="GOM70" s="160"/>
      <c r="GON70" s="161"/>
      <c r="GOO70"/>
      <c r="GOP70" s="162"/>
      <c r="GOQ70"/>
      <c r="GOR70" s="155"/>
      <c r="GOS70" s="163"/>
      <c r="GOT70"/>
      <c r="GOU70" s="156"/>
      <c r="GOV70" s="157"/>
      <c r="GOW70" s="158"/>
      <c r="GOX70" s="158"/>
      <c r="GOY70" s="157"/>
      <c r="GOZ70" s="159"/>
      <c r="GPA70" s="157"/>
      <c r="GPB70" s="159"/>
      <c r="GPC70" s="160"/>
      <c r="GPD70" s="161"/>
      <c r="GPE70"/>
      <c r="GPF70" s="162"/>
      <c r="GPG70"/>
      <c r="GPH70" s="155"/>
      <c r="GPI70" s="163"/>
      <c r="GPJ70"/>
      <c r="GPK70" s="156"/>
      <c r="GPL70" s="157"/>
      <c r="GPM70" s="158"/>
      <c r="GPN70" s="158"/>
      <c r="GPO70" s="157"/>
      <c r="GPP70" s="159"/>
      <c r="GPQ70" s="157"/>
      <c r="GPR70" s="159"/>
      <c r="GPS70" s="160"/>
      <c r="GPT70" s="161"/>
      <c r="GPU70"/>
      <c r="GPV70" s="162"/>
      <c r="GPW70"/>
      <c r="GPX70" s="155"/>
      <c r="GPY70" s="163"/>
      <c r="GPZ70"/>
      <c r="GQA70" s="156"/>
      <c r="GQB70" s="157"/>
      <c r="GQC70" s="158"/>
      <c r="GQD70" s="158"/>
      <c r="GQE70" s="157"/>
      <c r="GQF70" s="159"/>
      <c r="GQG70" s="157"/>
      <c r="GQH70" s="159"/>
      <c r="GQI70" s="160"/>
      <c r="GQJ70" s="161"/>
      <c r="GQK70"/>
      <c r="GQL70" s="162"/>
      <c r="GQM70"/>
      <c r="GQN70" s="155"/>
      <c r="GQO70" s="163"/>
      <c r="GQP70"/>
      <c r="GQQ70" s="156"/>
      <c r="GQR70" s="157"/>
      <c r="GQS70" s="158"/>
      <c r="GQT70" s="158"/>
      <c r="GQU70" s="157"/>
      <c r="GQV70" s="159"/>
      <c r="GQW70" s="157"/>
      <c r="GQX70" s="159"/>
      <c r="GQY70" s="160"/>
      <c r="GQZ70" s="161"/>
      <c r="GRA70"/>
      <c r="GRB70" s="162"/>
      <c r="GRC70"/>
      <c r="GRD70" s="155"/>
      <c r="GRE70" s="163"/>
      <c r="GRF70"/>
      <c r="GRG70" s="156"/>
      <c r="GRH70" s="157"/>
      <c r="GRI70" s="158"/>
      <c r="GRJ70" s="158"/>
      <c r="GRK70" s="157"/>
      <c r="GRL70" s="159"/>
      <c r="GRM70" s="157"/>
      <c r="GRN70" s="159"/>
      <c r="GRO70" s="160"/>
      <c r="GRP70" s="161"/>
      <c r="GRQ70"/>
      <c r="GRR70" s="162"/>
      <c r="GRS70"/>
      <c r="GRT70" s="155"/>
      <c r="GRU70" s="163"/>
      <c r="GRV70"/>
      <c r="GRW70" s="156"/>
      <c r="GRX70" s="157"/>
      <c r="GRY70" s="158"/>
      <c r="GRZ70" s="158"/>
      <c r="GSA70" s="157"/>
      <c r="GSB70" s="159"/>
      <c r="GSC70" s="157"/>
      <c r="GSD70" s="159"/>
      <c r="GSE70" s="160"/>
      <c r="GSF70" s="161"/>
      <c r="GSG70"/>
      <c r="GSH70" s="162"/>
      <c r="GSI70"/>
      <c r="GSJ70" s="155"/>
      <c r="GSK70" s="163"/>
      <c r="GSL70"/>
      <c r="GSM70" s="156"/>
      <c r="GSN70" s="157"/>
      <c r="GSO70" s="158"/>
      <c r="GSP70" s="158"/>
      <c r="GSQ70" s="157"/>
      <c r="GSR70" s="159"/>
      <c r="GSS70" s="157"/>
      <c r="GST70" s="159"/>
      <c r="GSU70" s="160"/>
      <c r="GSV70" s="161"/>
      <c r="GSW70"/>
      <c r="GSX70" s="162"/>
      <c r="GSY70"/>
      <c r="GSZ70" s="155"/>
      <c r="GTA70" s="163"/>
      <c r="GTB70"/>
      <c r="GTC70" s="156"/>
      <c r="GTD70" s="157"/>
      <c r="GTE70" s="158"/>
      <c r="GTF70" s="158"/>
      <c r="GTG70" s="157"/>
      <c r="GTH70" s="159"/>
      <c r="GTI70" s="157"/>
      <c r="GTJ70" s="159"/>
      <c r="GTK70" s="160"/>
      <c r="GTL70" s="161"/>
      <c r="GTM70"/>
      <c r="GTN70" s="162"/>
      <c r="GTO70"/>
      <c r="GTP70" s="155"/>
      <c r="GTQ70" s="163"/>
      <c r="GTR70"/>
      <c r="GTS70" s="156"/>
      <c r="GTT70" s="157"/>
      <c r="GTU70" s="158"/>
      <c r="GTV70" s="158"/>
      <c r="GTW70" s="157"/>
      <c r="GTX70" s="159"/>
      <c r="GTY70" s="157"/>
      <c r="GTZ70" s="159"/>
      <c r="GUA70" s="160"/>
      <c r="GUB70" s="161"/>
      <c r="GUC70"/>
      <c r="GUD70" s="162"/>
      <c r="GUE70"/>
      <c r="GUF70" s="155"/>
      <c r="GUG70" s="163"/>
      <c r="GUH70"/>
      <c r="GUI70" s="156"/>
      <c r="GUJ70" s="157"/>
      <c r="GUK70" s="158"/>
      <c r="GUL70" s="158"/>
      <c r="GUM70" s="157"/>
      <c r="GUN70" s="159"/>
      <c r="GUO70" s="157"/>
      <c r="GUP70" s="159"/>
      <c r="GUQ70" s="160"/>
      <c r="GUR70" s="161"/>
      <c r="GUS70"/>
      <c r="GUT70" s="162"/>
      <c r="GUU70"/>
      <c r="GUV70" s="155"/>
      <c r="GUW70" s="163"/>
      <c r="GUX70"/>
      <c r="GUY70" s="156"/>
      <c r="GUZ70" s="157"/>
      <c r="GVA70" s="158"/>
      <c r="GVB70" s="158"/>
      <c r="GVC70" s="157"/>
      <c r="GVD70" s="159"/>
      <c r="GVE70" s="157"/>
      <c r="GVF70" s="159"/>
      <c r="GVG70" s="160"/>
      <c r="GVH70" s="161"/>
      <c r="GVI70"/>
      <c r="GVJ70" s="162"/>
      <c r="GVK70"/>
      <c r="GVL70" s="155"/>
      <c r="GVM70" s="163"/>
      <c r="GVN70"/>
      <c r="GVO70" s="156"/>
      <c r="GVP70" s="157"/>
      <c r="GVQ70" s="158"/>
      <c r="GVR70" s="158"/>
      <c r="GVS70" s="157"/>
      <c r="GVT70" s="159"/>
      <c r="GVU70" s="157"/>
      <c r="GVV70" s="159"/>
      <c r="GVW70" s="160"/>
      <c r="GVX70" s="161"/>
      <c r="GVY70"/>
      <c r="GVZ70" s="162"/>
      <c r="GWA70"/>
      <c r="GWB70" s="155"/>
      <c r="GWC70" s="163"/>
      <c r="GWD70"/>
      <c r="GWE70" s="156"/>
      <c r="GWF70" s="157"/>
      <c r="GWG70" s="158"/>
      <c r="GWH70" s="158"/>
      <c r="GWI70" s="157"/>
      <c r="GWJ70" s="159"/>
      <c r="GWK70" s="157"/>
      <c r="GWL70" s="159"/>
      <c r="GWM70" s="160"/>
      <c r="GWN70" s="161"/>
      <c r="GWO70"/>
      <c r="GWP70" s="162"/>
      <c r="GWQ70"/>
      <c r="GWR70" s="155"/>
      <c r="GWS70" s="163"/>
      <c r="GWT70"/>
      <c r="GWU70" s="156"/>
      <c r="GWV70" s="157"/>
      <c r="GWW70" s="158"/>
      <c r="GWX70" s="158"/>
      <c r="GWY70" s="157"/>
      <c r="GWZ70" s="159"/>
      <c r="GXA70" s="157"/>
      <c r="GXB70" s="159"/>
      <c r="GXC70" s="160"/>
      <c r="GXD70" s="161"/>
      <c r="GXE70"/>
      <c r="GXF70" s="162"/>
      <c r="GXG70"/>
      <c r="GXH70" s="155"/>
      <c r="GXI70" s="163"/>
      <c r="GXJ70"/>
      <c r="GXK70" s="156"/>
      <c r="GXL70" s="157"/>
      <c r="GXM70" s="158"/>
      <c r="GXN70" s="158"/>
      <c r="GXO70" s="157"/>
      <c r="GXP70" s="159"/>
      <c r="GXQ70" s="157"/>
      <c r="GXR70" s="159"/>
      <c r="GXS70" s="160"/>
      <c r="GXT70" s="161"/>
      <c r="GXU70"/>
      <c r="GXV70" s="162"/>
      <c r="GXW70"/>
      <c r="GXX70" s="155"/>
      <c r="GXY70" s="163"/>
      <c r="GXZ70"/>
      <c r="GYA70" s="156"/>
      <c r="GYB70" s="157"/>
      <c r="GYC70" s="158"/>
      <c r="GYD70" s="158"/>
      <c r="GYE70" s="157"/>
      <c r="GYF70" s="159"/>
      <c r="GYG70" s="157"/>
      <c r="GYH70" s="159"/>
      <c r="GYI70" s="160"/>
      <c r="GYJ70" s="161"/>
      <c r="GYK70"/>
      <c r="GYL70" s="162"/>
      <c r="GYM70"/>
      <c r="GYN70" s="155"/>
      <c r="GYO70" s="163"/>
      <c r="GYP70"/>
      <c r="GYQ70" s="156"/>
      <c r="GYR70" s="157"/>
      <c r="GYS70" s="158"/>
      <c r="GYT70" s="158"/>
      <c r="GYU70" s="157"/>
      <c r="GYV70" s="159"/>
      <c r="GYW70" s="157"/>
      <c r="GYX70" s="159"/>
      <c r="GYY70" s="160"/>
      <c r="GYZ70" s="161"/>
      <c r="GZA70"/>
      <c r="GZB70" s="162"/>
      <c r="GZC70"/>
      <c r="GZD70" s="155"/>
      <c r="GZE70" s="163"/>
      <c r="GZF70"/>
      <c r="GZG70" s="156"/>
      <c r="GZH70" s="157"/>
      <c r="GZI70" s="158"/>
      <c r="GZJ70" s="158"/>
      <c r="GZK70" s="157"/>
      <c r="GZL70" s="159"/>
      <c r="GZM70" s="157"/>
      <c r="GZN70" s="159"/>
      <c r="GZO70" s="160"/>
      <c r="GZP70" s="161"/>
      <c r="GZQ70"/>
      <c r="GZR70" s="162"/>
      <c r="GZS70"/>
      <c r="GZT70" s="155"/>
      <c r="GZU70" s="163"/>
      <c r="GZV70"/>
      <c r="GZW70" s="156"/>
      <c r="GZX70" s="157"/>
      <c r="GZY70" s="158"/>
      <c r="GZZ70" s="158"/>
      <c r="HAA70" s="157"/>
      <c r="HAB70" s="159"/>
      <c r="HAC70" s="157"/>
      <c r="HAD70" s="159"/>
      <c r="HAE70" s="160"/>
      <c r="HAF70" s="161"/>
      <c r="HAG70"/>
      <c r="HAH70" s="162"/>
      <c r="HAI70"/>
      <c r="HAJ70" s="155"/>
      <c r="HAK70" s="163"/>
      <c r="HAL70"/>
      <c r="HAM70" s="156"/>
      <c r="HAN70" s="157"/>
      <c r="HAO70" s="158"/>
      <c r="HAP70" s="158"/>
      <c r="HAQ70" s="157"/>
      <c r="HAR70" s="159"/>
      <c r="HAS70" s="157"/>
      <c r="HAT70" s="159"/>
      <c r="HAU70" s="160"/>
      <c r="HAV70" s="161"/>
      <c r="HAW70"/>
      <c r="HAX70" s="162"/>
      <c r="HAY70"/>
      <c r="HAZ70" s="155"/>
      <c r="HBA70" s="163"/>
      <c r="HBB70"/>
      <c r="HBC70" s="156"/>
      <c r="HBD70" s="157"/>
      <c r="HBE70" s="158"/>
      <c r="HBF70" s="158"/>
      <c r="HBG70" s="157"/>
      <c r="HBH70" s="159"/>
      <c r="HBI70" s="157"/>
      <c r="HBJ70" s="159"/>
      <c r="HBK70" s="160"/>
      <c r="HBL70" s="161"/>
      <c r="HBM70"/>
      <c r="HBN70" s="162"/>
      <c r="HBO70"/>
      <c r="HBP70" s="155"/>
      <c r="HBQ70" s="163"/>
      <c r="HBR70"/>
      <c r="HBS70" s="156"/>
      <c r="HBT70" s="157"/>
      <c r="HBU70" s="158"/>
      <c r="HBV70" s="158"/>
      <c r="HBW70" s="157"/>
      <c r="HBX70" s="159"/>
      <c r="HBY70" s="157"/>
      <c r="HBZ70" s="159"/>
      <c r="HCA70" s="160"/>
      <c r="HCB70" s="161"/>
      <c r="HCC70"/>
      <c r="HCD70" s="162"/>
      <c r="HCE70"/>
      <c r="HCF70" s="155"/>
      <c r="HCG70" s="163"/>
      <c r="HCH70"/>
      <c r="HCI70" s="156"/>
      <c r="HCJ70" s="157"/>
      <c r="HCK70" s="158"/>
      <c r="HCL70" s="158"/>
      <c r="HCM70" s="157"/>
      <c r="HCN70" s="159"/>
      <c r="HCO70" s="157"/>
      <c r="HCP70" s="159"/>
      <c r="HCQ70" s="160"/>
      <c r="HCR70" s="161"/>
      <c r="HCS70"/>
      <c r="HCT70" s="162"/>
      <c r="HCU70"/>
      <c r="HCV70" s="155"/>
      <c r="HCW70" s="163"/>
      <c r="HCX70"/>
      <c r="HCY70" s="156"/>
      <c r="HCZ70" s="157"/>
      <c r="HDA70" s="158"/>
      <c r="HDB70" s="158"/>
      <c r="HDC70" s="157"/>
      <c r="HDD70" s="159"/>
      <c r="HDE70" s="157"/>
      <c r="HDF70" s="159"/>
      <c r="HDG70" s="160"/>
      <c r="HDH70" s="161"/>
      <c r="HDI70"/>
      <c r="HDJ70" s="162"/>
      <c r="HDK70"/>
      <c r="HDL70" s="155"/>
      <c r="HDM70" s="163"/>
      <c r="HDN70"/>
      <c r="HDO70" s="156"/>
      <c r="HDP70" s="157"/>
      <c r="HDQ70" s="158"/>
      <c r="HDR70" s="158"/>
      <c r="HDS70" s="157"/>
      <c r="HDT70" s="159"/>
      <c r="HDU70" s="157"/>
      <c r="HDV70" s="159"/>
      <c r="HDW70" s="160"/>
      <c r="HDX70" s="161"/>
      <c r="HDY70"/>
      <c r="HDZ70" s="162"/>
      <c r="HEA70"/>
      <c r="HEB70" s="155"/>
      <c r="HEC70" s="163"/>
      <c r="HED70"/>
      <c r="HEE70" s="156"/>
      <c r="HEF70" s="157"/>
      <c r="HEG70" s="158"/>
      <c r="HEH70" s="158"/>
      <c r="HEI70" s="157"/>
      <c r="HEJ70" s="159"/>
      <c r="HEK70" s="157"/>
      <c r="HEL70" s="159"/>
      <c r="HEM70" s="160"/>
      <c r="HEN70" s="161"/>
      <c r="HEO70"/>
      <c r="HEP70" s="162"/>
      <c r="HEQ70"/>
      <c r="HER70" s="155"/>
      <c r="HES70" s="163"/>
      <c r="HET70"/>
      <c r="HEU70" s="156"/>
      <c r="HEV70" s="157"/>
      <c r="HEW70" s="158"/>
      <c r="HEX70" s="158"/>
      <c r="HEY70" s="157"/>
      <c r="HEZ70" s="159"/>
      <c r="HFA70" s="157"/>
      <c r="HFB70" s="159"/>
      <c r="HFC70" s="160"/>
      <c r="HFD70" s="161"/>
      <c r="HFE70"/>
      <c r="HFF70" s="162"/>
      <c r="HFG70"/>
      <c r="HFH70" s="155"/>
      <c r="HFI70" s="163"/>
      <c r="HFJ70"/>
      <c r="HFK70" s="156"/>
      <c r="HFL70" s="157"/>
      <c r="HFM70" s="158"/>
      <c r="HFN70" s="158"/>
      <c r="HFO70" s="157"/>
      <c r="HFP70" s="159"/>
      <c r="HFQ70" s="157"/>
      <c r="HFR70" s="159"/>
      <c r="HFS70" s="160"/>
      <c r="HFT70" s="161"/>
      <c r="HFU70"/>
      <c r="HFV70" s="162"/>
      <c r="HFW70"/>
      <c r="HFX70" s="155"/>
      <c r="HFY70" s="163"/>
      <c r="HFZ70"/>
      <c r="HGA70" s="156"/>
      <c r="HGB70" s="157"/>
      <c r="HGC70" s="158"/>
      <c r="HGD70" s="158"/>
      <c r="HGE70" s="157"/>
      <c r="HGF70" s="159"/>
      <c r="HGG70" s="157"/>
      <c r="HGH70" s="159"/>
      <c r="HGI70" s="160"/>
      <c r="HGJ70" s="161"/>
      <c r="HGK70"/>
      <c r="HGL70" s="162"/>
      <c r="HGM70"/>
      <c r="HGN70" s="155"/>
      <c r="HGO70" s="163"/>
      <c r="HGP70"/>
      <c r="HGQ70" s="156"/>
      <c r="HGR70" s="157"/>
      <c r="HGS70" s="158"/>
      <c r="HGT70" s="158"/>
      <c r="HGU70" s="157"/>
      <c r="HGV70" s="159"/>
      <c r="HGW70" s="157"/>
      <c r="HGX70" s="159"/>
      <c r="HGY70" s="160"/>
      <c r="HGZ70" s="161"/>
      <c r="HHA70"/>
      <c r="HHB70" s="162"/>
      <c r="HHC70"/>
      <c r="HHD70" s="155"/>
      <c r="HHE70" s="163"/>
      <c r="HHF70"/>
      <c r="HHG70" s="156"/>
      <c r="HHH70" s="157"/>
      <c r="HHI70" s="158"/>
      <c r="HHJ70" s="158"/>
      <c r="HHK70" s="157"/>
      <c r="HHL70" s="159"/>
      <c r="HHM70" s="157"/>
      <c r="HHN70" s="159"/>
      <c r="HHO70" s="160"/>
      <c r="HHP70" s="161"/>
      <c r="HHQ70"/>
      <c r="HHR70" s="162"/>
      <c r="HHS70"/>
      <c r="HHT70" s="155"/>
      <c r="HHU70" s="163"/>
      <c r="HHV70"/>
      <c r="HHW70" s="156"/>
      <c r="HHX70" s="157"/>
      <c r="HHY70" s="158"/>
      <c r="HHZ70" s="158"/>
      <c r="HIA70" s="157"/>
      <c r="HIB70" s="159"/>
      <c r="HIC70" s="157"/>
      <c r="HID70" s="159"/>
      <c r="HIE70" s="160"/>
      <c r="HIF70" s="161"/>
      <c r="HIG70"/>
      <c r="HIH70" s="162"/>
      <c r="HII70"/>
      <c r="HIJ70" s="155"/>
      <c r="HIK70" s="163"/>
      <c r="HIL70"/>
      <c r="HIM70" s="156"/>
      <c r="HIN70" s="157"/>
      <c r="HIO70" s="158"/>
      <c r="HIP70" s="158"/>
      <c r="HIQ70" s="157"/>
      <c r="HIR70" s="159"/>
      <c r="HIS70" s="157"/>
      <c r="HIT70" s="159"/>
      <c r="HIU70" s="160"/>
      <c r="HIV70" s="161"/>
      <c r="HIW70"/>
      <c r="HIX70" s="162"/>
      <c r="HIY70"/>
      <c r="HIZ70" s="155"/>
      <c r="HJA70" s="163"/>
      <c r="HJB70"/>
      <c r="HJC70" s="156"/>
      <c r="HJD70" s="157"/>
      <c r="HJE70" s="158"/>
      <c r="HJF70" s="158"/>
      <c r="HJG70" s="157"/>
      <c r="HJH70" s="159"/>
      <c r="HJI70" s="157"/>
      <c r="HJJ70" s="159"/>
      <c r="HJK70" s="160"/>
      <c r="HJL70" s="161"/>
      <c r="HJM70"/>
      <c r="HJN70" s="162"/>
      <c r="HJO70"/>
      <c r="HJP70" s="155"/>
      <c r="HJQ70" s="163"/>
      <c r="HJR70"/>
      <c r="HJS70" s="156"/>
      <c r="HJT70" s="157"/>
      <c r="HJU70" s="158"/>
      <c r="HJV70" s="158"/>
      <c r="HJW70" s="157"/>
      <c r="HJX70" s="159"/>
      <c r="HJY70" s="157"/>
      <c r="HJZ70" s="159"/>
      <c r="HKA70" s="160"/>
      <c r="HKB70" s="161"/>
      <c r="HKC70"/>
      <c r="HKD70" s="162"/>
      <c r="HKE70"/>
      <c r="HKF70" s="155"/>
      <c r="HKG70" s="163"/>
      <c r="HKH70"/>
      <c r="HKI70" s="156"/>
      <c r="HKJ70" s="157"/>
      <c r="HKK70" s="158"/>
      <c r="HKL70" s="158"/>
      <c r="HKM70" s="157"/>
      <c r="HKN70" s="159"/>
      <c r="HKO70" s="157"/>
      <c r="HKP70" s="159"/>
      <c r="HKQ70" s="160"/>
      <c r="HKR70" s="161"/>
      <c r="HKS70"/>
      <c r="HKT70" s="162"/>
      <c r="HKU70"/>
      <c r="HKV70" s="155"/>
      <c r="HKW70" s="163"/>
      <c r="HKX70"/>
      <c r="HKY70" s="156"/>
      <c r="HKZ70" s="157"/>
      <c r="HLA70" s="158"/>
      <c r="HLB70" s="158"/>
      <c r="HLC70" s="157"/>
      <c r="HLD70" s="159"/>
      <c r="HLE70" s="157"/>
      <c r="HLF70" s="159"/>
      <c r="HLG70" s="160"/>
      <c r="HLH70" s="161"/>
      <c r="HLI70"/>
      <c r="HLJ70" s="162"/>
      <c r="HLK70"/>
      <c r="HLL70" s="155"/>
      <c r="HLM70" s="163"/>
      <c r="HLN70"/>
      <c r="HLO70" s="156"/>
      <c r="HLP70" s="157"/>
      <c r="HLQ70" s="158"/>
      <c r="HLR70" s="158"/>
      <c r="HLS70" s="157"/>
      <c r="HLT70" s="159"/>
      <c r="HLU70" s="157"/>
      <c r="HLV70" s="159"/>
      <c r="HLW70" s="160"/>
      <c r="HLX70" s="161"/>
      <c r="HLY70"/>
      <c r="HLZ70" s="162"/>
      <c r="HMA70"/>
      <c r="HMB70" s="155"/>
      <c r="HMC70" s="163"/>
      <c r="HMD70"/>
      <c r="HME70" s="156"/>
      <c r="HMF70" s="157"/>
      <c r="HMG70" s="158"/>
      <c r="HMH70" s="158"/>
      <c r="HMI70" s="157"/>
      <c r="HMJ70" s="159"/>
      <c r="HMK70" s="157"/>
      <c r="HML70" s="159"/>
      <c r="HMM70" s="160"/>
      <c r="HMN70" s="161"/>
      <c r="HMO70"/>
      <c r="HMP70" s="162"/>
      <c r="HMQ70"/>
      <c r="HMR70" s="155"/>
      <c r="HMS70" s="163"/>
      <c r="HMT70"/>
      <c r="HMU70" s="156"/>
      <c r="HMV70" s="157"/>
      <c r="HMW70" s="158"/>
      <c r="HMX70" s="158"/>
      <c r="HMY70" s="157"/>
      <c r="HMZ70" s="159"/>
      <c r="HNA70" s="157"/>
      <c r="HNB70" s="159"/>
      <c r="HNC70" s="160"/>
      <c r="HND70" s="161"/>
      <c r="HNE70"/>
      <c r="HNF70" s="162"/>
      <c r="HNG70"/>
      <c r="HNH70" s="155"/>
      <c r="HNI70" s="163"/>
      <c r="HNJ70"/>
      <c r="HNK70" s="156"/>
      <c r="HNL70" s="157"/>
      <c r="HNM70" s="158"/>
      <c r="HNN70" s="158"/>
      <c r="HNO70" s="157"/>
      <c r="HNP70" s="159"/>
      <c r="HNQ70" s="157"/>
      <c r="HNR70" s="159"/>
      <c r="HNS70" s="160"/>
      <c r="HNT70" s="161"/>
      <c r="HNU70"/>
      <c r="HNV70" s="162"/>
      <c r="HNW70"/>
      <c r="HNX70" s="155"/>
      <c r="HNY70" s="163"/>
      <c r="HNZ70"/>
      <c r="HOA70" s="156"/>
      <c r="HOB70" s="157"/>
      <c r="HOC70" s="158"/>
      <c r="HOD70" s="158"/>
      <c r="HOE70" s="157"/>
      <c r="HOF70" s="159"/>
      <c r="HOG70" s="157"/>
      <c r="HOH70" s="159"/>
      <c r="HOI70" s="160"/>
      <c r="HOJ70" s="161"/>
      <c r="HOK70"/>
      <c r="HOL70" s="162"/>
      <c r="HOM70"/>
      <c r="HON70" s="155"/>
      <c r="HOO70" s="163"/>
      <c r="HOP70"/>
      <c r="HOQ70" s="156"/>
      <c r="HOR70" s="157"/>
      <c r="HOS70" s="158"/>
      <c r="HOT70" s="158"/>
      <c r="HOU70" s="157"/>
      <c r="HOV70" s="159"/>
      <c r="HOW70" s="157"/>
      <c r="HOX70" s="159"/>
      <c r="HOY70" s="160"/>
      <c r="HOZ70" s="161"/>
      <c r="HPA70"/>
      <c r="HPB70" s="162"/>
      <c r="HPC70"/>
      <c r="HPD70" s="155"/>
      <c r="HPE70" s="163"/>
      <c r="HPF70"/>
      <c r="HPG70" s="156"/>
      <c r="HPH70" s="157"/>
      <c r="HPI70" s="158"/>
      <c r="HPJ70" s="158"/>
      <c r="HPK70" s="157"/>
      <c r="HPL70" s="159"/>
      <c r="HPM70" s="157"/>
      <c r="HPN70" s="159"/>
      <c r="HPO70" s="160"/>
      <c r="HPP70" s="161"/>
      <c r="HPQ70"/>
      <c r="HPR70" s="162"/>
      <c r="HPS70"/>
      <c r="HPT70" s="155"/>
      <c r="HPU70" s="163"/>
      <c r="HPV70"/>
      <c r="HPW70" s="156"/>
      <c r="HPX70" s="157"/>
      <c r="HPY70" s="158"/>
      <c r="HPZ70" s="158"/>
      <c r="HQA70" s="157"/>
      <c r="HQB70" s="159"/>
      <c r="HQC70" s="157"/>
      <c r="HQD70" s="159"/>
      <c r="HQE70" s="160"/>
      <c r="HQF70" s="161"/>
      <c r="HQG70"/>
      <c r="HQH70" s="162"/>
      <c r="HQI70"/>
      <c r="HQJ70" s="155"/>
      <c r="HQK70" s="163"/>
      <c r="HQL70"/>
      <c r="HQM70" s="156"/>
      <c r="HQN70" s="157"/>
      <c r="HQO70" s="158"/>
      <c r="HQP70" s="158"/>
      <c r="HQQ70" s="157"/>
      <c r="HQR70" s="159"/>
      <c r="HQS70" s="157"/>
      <c r="HQT70" s="159"/>
      <c r="HQU70" s="160"/>
      <c r="HQV70" s="161"/>
      <c r="HQW70"/>
      <c r="HQX70" s="162"/>
      <c r="HQY70"/>
      <c r="HQZ70" s="155"/>
      <c r="HRA70" s="163"/>
      <c r="HRB70"/>
      <c r="HRC70" s="156"/>
      <c r="HRD70" s="157"/>
      <c r="HRE70" s="158"/>
      <c r="HRF70" s="158"/>
      <c r="HRG70" s="157"/>
      <c r="HRH70" s="159"/>
      <c r="HRI70" s="157"/>
      <c r="HRJ70" s="159"/>
      <c r="HRK70" s="160"/>
      <c r="HRL70" s="161"/>
      <c r="HRM70"/>
      <c r="HRN70" s="162"/>
      <c r="HRO70"/>
      <c r="HRP70" s="155"/>
      <c r="HRQ70" s="163"/>
      <c r="HRR70"/>
      <c r="HRS70" s="156"/>
      <c r="HRT70" s="157"/>
      <c r="HRU70" s="158"/>
      <c r="HRV70" s="158"/>
      <c r="HRW70" s="157"/>
      <c r="HRX70" s="159"/>
      <c r="HRY70" s="157"/>
      <c r="HRZ70" s="159"/>
      <c r="HSA70" s="160"/>
      <c r="HSB70" s="161"/>
      <c r="HSC70"/>
      <c r="HSD70" s="162"/>
      <c r="HSE70"/>
      <c r="HSF70" s="155"/>
      <c r="HSG70" s="163"/>
      <c r="HSH70"/>
      <c r="HSI70" s="156"/>
      <c r="HSJ70" s="157"/>
      <c r="HSK70" s="158"/>
      <c r="HSL70" s="158"/>
      <c r="HSM70" s="157"/>
      <c r="HSN70" s="159"/>
      <c r="HSO70" s="157"/>
      <c r="HSP70" s="159"/>
      <c r="HSQ70" s="160"/>
      <c r="HSR70" s="161"/>
      <c r="HSS70"/>
      <c r="HST70" s="162"/>
      <c r="HSU70"/>
      <c r="HSV70" s="155"/>
      <c r="HSW70" s="163"/>
      <c r="HSX70"/>
      <c r="HSY70" s="156"/>
      <c r="HSZ70" s="157"/>
      <c r="HTA70" s="158"/>
      <c r="HTB70" s="158"/>
      <c r="HTC70" s="157"/>
      <c r="HTD70" s="159"/>
      <c r="HTE70" s="157"/>
      <c r="HTF70" s="159"/>
      <c r="HTG70" s="160"/>
      <c r="HTH70" s="161"/>
      <c r="HTI70"/>
      <c r="HTJ70" s="162"/>
      <c r="HTK70"/>
      <c r="HTL70" s="155"/>
      <c r="HTM70" s="163"/>
      <c r="HTN70"/>
      <c r="HTO70" s="156"/>
      <c r="HTP70" s="157"/>
      <c r="HTQ70" s="158"/>
      <c r="HTR70" s="158"/>
      <c r="HTS70" s="157"/>
      <c r="HTT70" s="159"/>
      <c r="HTU70" s="157"/>
      <c r="HTV70" s="159"/>
      <c r="HTW70" s="160"/>
      <c r="HTX70" s="161"/>
      <c r="HTY70"/>
      <c r="HTZ70" s="162"/>
      <c r="HUA70"/>
      <c r="HUB70" s="155"/>
      <c r="HUC70" s="163"/>
      <c r="HUD70"/>
      <c r="HUE70" s="156"/>
      <c r="HUF70" s="157"/>
      <c r="HUG70" s="158"/>
      <c r="HUH70" s="158"/>
      <c r="HUI70" s="157"/>
      <c r="HUJ70" s="159"/>
      <c r="HUK70" s="157"/>
      <c r="HUL70" s="159"/>
      <c r="HUM70" s="160"/>
      <c r="HUN70" s="161"/>
      <c r="HUO70"/>
      <c r="HUP70" s="162"/>
      <c r="HUQ70"/>
      <c r="HUR70" s="155"/>
      <c r="HUS70" s="163"/>
      <c r="HUT70"/>
      <c r="HUU70" s="156"/>
      <c r="HUV70" s="157"/>
      <c r="HUW70" s="158"/>
      <c r="HUX70" s="158"/>
      <c r="HUY70" s="157"/>
      <c r="HUZ70" s="159"/>
      <c r="HVA70" s="157"/>
      <c r="HVB70" s="159"/>
      <c r="HVC70" s="160"/>
      <c r="HVD70" s="161"/>
      <c r="HVE70"/>
      <c r="HVF70" s="162"/>
      <c r="HVG70"/>
      <c r="HVH70" s="155"/>
      <c r="HVI70" s="163"/>
      <c r="HVJ70"/>
      <c r="HVK70" s="156"/>
      <c r="HVL70" s="157"/>
      <c r="HVM70" s="158"/>
      <c r="HVN70" s="158"/>
      <c r="HVO70" s="157"/>
      <c r="HVP70" s="159"/>
      <c r="HVQ70" s="157"/>
      <c r="HVR70" s="159"/>
      <c r="HVS70" s="160"/>
      <c r="HVT70" s="161"/>
      <c r="HVU70"/>
      <c r="HVV70" s="162"/>
      <c r="HVW70"/>
      <c r="HVX70" s="155"/>
      <c r="HVY70" s="163"/>
      <c r="HVZ70"/>
      <c r="HWA70" s="156"/>
      <c r="HWB70" s="157"/>
      <c r="HWC70" s="158"/>
      <c r="HWD70" s="158"/>
      <c r="HWE70" s="157"/>
      <c r="HWF70" s="159"/>
      <c r="HWG70" s="157"/>
      <c r="HWH70" s="159"/>
      <c r="HWI70" s="160"/>
      <c r="HWJ70" s="161"/>
      <c r="HWK70"/>
      <c r="HWL70" s="162"/>
      <c r="HWM70"/>
      <c r="HWN70" s="155"/>
      <c r="HWO70" s="163"/>
      <c r="HWP70"/>
      <c r="HWQ70" s="156"/>
      <c r="HWR70" s="157"/>
      <c r="HWS70" s="158"/>
      <c r="HWT70" s="158"/>
      <c r="HWU70" s="157"/>
      <c r="HWV70" s="159"/>
      <c r="HWW70" s="157"/>
      <c r="HWX70" s="159"/>
      <c r="HWY70" s="160"/>
      <c r="HWZ70" s="161"/>
      <c r="HXA70"/>
      <c r="HXB70" s="162"/>
      <c r="HXC70"/>
      <c r="HXD70" s="155"/>
      <c r="HXE70" s="163"/>
      <c r="HXF70"/>
      <c r="HXG70" s="156"/>
      <c r="HXH70" s="157"/>
      <c r="HXI70" s="158"/>
      <c r="HXJ70" s="158"/>
      <c r="HXK70" s="157"/>
      <c r="HXL70" s="159"/>
      <c r="HXM70" s="157"/>
      <c r="HXN70" s="159"/>
      <c r="HXO70" s="160"/>
      <c r="HXP70" s="161"/>
      <c r="HXQ70"/>
      <c r="HXR70" s="162"/>
      <c r="HXS70"/>
      <c r="HXT70" s="155"/>
      <c r="HXU70" s="163"/>
      <c r="HXV70"/>
      <c r="HXW70" s="156"/>
      <c r="HXX70" s="157"/>
      <c r="HXY70" s="158"/>
      <c r="HXZ70" s="158"/>
      <c r="HYA70" s="157"/>
      <c r="HYB70" s="159"/>
      <c r="HYC70" s="157"/>
      <c r="HYD70" s="159"/>
      <c r="HYE70" s="160"/>
      <c r="HYF70" s="161"/>
      <c r="HYG70"/>
      <c r="HYH70" s="162"/>
      <c r="HYI70"/>
      <c r="HYJ70" s="155"/>
      <c r="HYK70" s="163"/>
      <c r="HYL70"/>
      <c r="HYM70" s="156"/>
      <c r="HYN70" s="157"/>
      <c r="HYO70" s="158"/>
      <c r="HYP70" s="158"/>
      <c r="HYQ70" s="157"/>
      <c r="HYR70" s="159"/>
      <c r="HYS70" s="157"/>
      <c r="HYT70" s="159"/>
      <c r="HYU70" s="160"/>
      <c r="HYV70" s="161"/>
      <c r="HYW70"/>
      <c r="HYX70" s="162"/>
      <c r="HYY70"/>
      <c r="HYZ70" s="155"/>
      <c r="HZA70" s="163"/>
      <c r="HZB70"/>
      <c r="HZC70" s="156"/>
      <c r="HZD70" s="157"/>
      <c r="HZE70" s="158"/>
      <c r="HZF70" s="158"/>
      <c r="HZG70" s="157"/>
      <c r="HZH70" s="159"/>
      <c r="HZI70" s="157"/>
      <c r="HZJ70" s="159"/>
      <c r="HZK70" s="160"/>
      <c r="HZL70" s="161"/>
      <c r="HZM70"/>
      <c r="HZN70" s="162"/>
      <c r="HZO70"/>
      <c r="HZP70" s="155"/>
      <c r="HZQ70" s="163"/>
      <c r="HZR70"/>
      <c r="HZS70" s="156"/>
      <c r="HZT70" s="157"/>
      <c r="HZU70" s="158"/>
      <c r="HZV70" s="158"/>
      <c r="HZW70" s="157"/>
      <c r="HZX70" s="159"/>
      <c r="HZY70" s="157"/>
      <c r="HZZ70" s="159"/>
      <c r="IAA70" s="160"/>
      <c r="IAB70" s="161"/>
      <c r="IAC70"/>
      <c r="IAD70" s="162"/>
      <c r="IAE70"/>
      <c r="IAF70" s="155"/>
      <c r="IAG70" s="163"/>
      <c r="IAH70"/>
      <c r="IAI70" s="156"/>
      <c r="IAJ70" s="157"/>
      <c r="IAK70" s="158"/>
      <c r="IAL70" s="158"/>
      <c r="IAM70" s="157"/>
      <c r="IAN70" s="159"/>
      <c r="IAO70" s="157"/>
      <c r="IAP70" s="159"/>
      <c r="IAQ70" s="160"/>
      <c r="IAR70" s="161"/>
      <c r="IAS70"/>
      <c r="IAT70" s="162"/>
      <c r="IAU70"/>
      <c r="IAV70" s="155"/>
      <c r="IAW70" s="163"/>
      <c r="IAX70"/>
      <c r="IAY70" s="156"/>
      <c r="IAZ70" s="157"/>
      <c r="IBA70" s="158"/>
      <c r="IBB70" s="158"/>
      <c r="IBC70" s="157"/>
      <c r="IBD70" s="159"/>
      <c r="IBE70" s="157"/>
      <c r="IBF70" s="159"/>
      <c r="IBG70" s="160"/>
      <c r="IBH70" s="161"/>
      <c r="IBI70"/>
      <c r="IBJ70" s="162"/>
      <c r="IBK70"/>
      <c r="IBL70" s="155"/>
      <c r="IBM70" s="163"/>
      <c r="IBN70"/>
      <c r="IBO70" s="156"/>
      <c r="IBP70" s="157"/>
      <c r="IBQ70" s="158"/>
      <c r="IBR70" s="158"/>
      <c r="IBS70" s="157"/>
      <c r="IBT70" s="159"/>
      <c r="IBU70" s="157"/>
      <c r="IBV70" s="159"/>
      <c r="IBW70" s="160"/>
      <c r="IBX70" s="161"/>
      <c r="IBY70"/>
      <c r="IBZ70" s="162"/>
      <c r="ICA70"/>
      <c r="ICB70" s="155"/>
      <c r="ICC70" s="163"/>
      <c r="ICD70"/>
      <c r="ICE70" s="156"/>
      <c r="ICF70" s="157"/>
      <c r="ICG70" s="158"/>
      <c r="ICH70" s="158"/>
      <c r="ICI70" s="157"/>
      <c r="ICJ70" s="159"/>
      <c r="ICK70" s="157"/>
      <c r="ICL70" s="159"/>
      <c r="ICM70" s="160"/>
      <c r="ICN70" s="161"/>
      <c r="ICO70"/>
      <c r="ICP70" s="162"/>
      <c r="ICQ70"/>
      <c r="ICR70" s="155"/>
      <c r="ICS70" s="163"/>
      <c r="ICT70"/>
      <c r="ICU70" s="156"/>
      <c r="ICV70" s="157"/>
      <c r="ICW70" s="158"/>
      <c r="ICX70" s="158"/>
      <c r="ICY70" s="157"/>
      <c r="ICZ70" s="159"/>
      <c r="IDA70" s="157"/>
      <c r="IDB70" s="159"/>
      <c r="IDC70" s="160"/>
      <c r="IDD70" s="161"/>
      <c r="IDE70"/>
      <c r="IDF70" s="162"/>
      <c r="IDG70"/>
      <c r="IDH70" s="155"/>
      <c r="IDI70" s="163"/>
      <c r="IDJ70"/>
      <c r="IDK70" s="156"/>
      <c r="IDL70" s="157"/>
      <c r="IDM70" s="158"/>
      <c r="IDN70" s="158"/>
      <c r="IDO70" s="157"/>
      <c r="IDP70" s="159"/>
      <c r="IDQ70" s="157"/>
      <c r="IDR70" s="159"/>
      <c r="IDS70" s="160"/>
      <c r="IDT70" s="161"/>
      <c r="IDU70"/>
      <c r="IDV70" s="162"/>
      <c r="IDW70"/>
      <c r="IDX70" s="155"/>
      <c r="IDY70" s="163"/>
      <c r="IDZ70"/>
      <c r="IEA70" s="156"/>
      <c r="IEB70" s="157"/>
      <c r="IEC70" s="158"/>
      <c r="IED70" s="158"/>
      <c r="IEE70" s="157"/>
      <c r="IEF70" s="159"/>
      <c r="IEG70" s="157"/>
      <c r="IEH70" s="159"/>
      <c r="IEI70" s="160"/>
      <c r="IEJ70" s="161"/>
      <c r="IEK70"/>
      <c r="IEL70" s="162"/>
      <c r="IEM70"/>
      <c r="IEN70" s="155"/>
      <c r="IEO70" s="163"/>
      <c r="IEP70"/>
      <c r="IEQ70" s="156"/>
      <c r="IER70" s="157"/>
      <c r="IES70" s="158"/>
      <c r="IET70" s="158"/>
      <c r="IEU70" s="157"/>
      <c r="IEV70" s="159"/>
      <c r="IEW70" s="157"/>
      <c r="IEX70" s="159"/>
      <c r="IEY70" s="160"/>
      <c r="IEZ70" s="161"/>
      <c r="IFA70"/>
      <c r="IFB70" s="162"/>
      <c r="IFC70"/>
      <c r="IFD70" s="155"/>
      <c r="IFE70" s="163"/>
      <c r="IFF70"/>
      <c r="IFG70" s="156"/>
      <c r="IFH70" s="157"/>
      <c r="IFI70" s="158"/>
      <c r="IFJ70" s="158"/>
      <c r="IFK70" s="157"/>
      <c r="IFL70" s="159"/>
      <c r="IFM70" s="157"/>
      <c r="IFN70" s="159"/>
      <c r="IFO70" s="160"/>
      <c r="IFP70" s="161"/>
      <c r="IFQ70"/>
      <c r="IFR70" s="162"/>
      <c r="IFS70"/>
      <c r="IFT70" s="155"/>
      <c r="IFU70" s="163"/>
      <c r="IFV70"/>
      <c r="IFW70" s="156"/>
      <c r="IFX70" s="157"/>
      <c r="IFY70" s="158"/>
      <c r="IFZ70" s="158"/>
      <c r="IGA70" s="157"/>
      <c r="IGB70" s="159"/>
      <c r="IGC70" s="157"/>
      <c r="IGD70" s="159"/>
      <c r="IGE70" s="160"/>
      <c r="IGF70" s="161"/>
      <c r="IGG70"/>
      <c r="IGH70" s="162"/>
      <c r="IGI70"/>
      <c r="IGJ70" s="155"/>
      <c r="IGK70" s="163"/>
      <c r="IGL70"/>
      <c r="IGM70" s="156"/>
      <c r="IGN70" s="157"/>
      <c r="IGO70" s="158"/>
      <c r="IGP70" s="158"/>
      <c r="IGQ70" s="157"/>
      <c r="IGR70" s="159"/>
      <c r="IGS70" s="157"/>
      <c r="IGT70" s="159"/>
      <c r="IGU70" s="160"/>
      <c r="IGV70" s="161"/>
      <c r="IGW70"/>
      <c r="IGX70" s="162"/>
      <c r="IGY70"/>
      <c r="IGZ70" s="155"/>
      <c r="IHA70" s="163"/>
      <c r="IHB70"/>
      <c r="IHC70" s="156"/>
      <c r="IHD70" s="157"/>
      <c r="IHE70" s="158"/>
      <c r="IHF70" s="158"/>
      <c r="IHG70" s="157"/>
      <c r="IHH70" s="159"/>
      <c r="IHI70" s="157"/>
      <c r="IHJ70" s="159"/>
      <c r="IHK70" s="160"/>
      <c r="IHL70" s="161"/>
      <c r="IHM70"/>
      <c r="IHN70" s="162"/>
      <c r="IHO70"/>
      <c r="IHP70" s="155"/>
      <c r="IHQ70" s="163"/>
      <c r="IHR70"/>
      <c r="IHS70" s="156"/>
      <c r="IHT70" s="157"/>
      <c r="IHU70" s="158"/>
      <c r="IHV70" s="158"/>
      <c r="IHW70" s="157"/>
      <c r="IHX70" s="159"/>
      <c r="IHY70" s="157"/>
      <c r="IHZ70" s="159"/>
      <c r="IIA70" s="160"/>
      <c r="IIB70" s="161"/>
      <c r="IIC70"/>
      <c r="IID70" s="162"/>
      <c r="IIE70"/>
      <c r="IIF70" s="155"/>
      <c r="IIG70" s="163"/>
      <c r="IIH70"/>
      <c r="III70" s="156"/>
      <c r="IIJ70" s="157"/>
      <c r="IIK70" s="158"/>
      <c r="IIL70" s="158"/>
      <c r="IIM70" s="157"/>
      <c r="IIN70" s="159"/>
      <c r="IIO70" s="157"/>
      <c r="IIP70" s="159"/>
      <c r="IIQ70" s="160"/>
      <c r="IIR70" s="161"/>
      <c r="IIS70"/>
      <c r="IIT70" s="162"/>
      <c r="IIU70"/>
      <c r="IIV70" s="155"/>
      <c r="IIW70" s="163"/>
      <c r="IIX70"/>
      <c r="IIY70" s="156"/>
      <c r="IIZ70" s="157"/>
      <c r="IJA70" s="158"/>
      <c r="IJB70" s="158"/>
      <c r="IJC70" s="157"/>
      <c r="IJD70" s="159"/>
      <c r="IJE70" s="157"/>
      <c r="IJF70" s="159"/>
      <c r="IJG70" s="160"/>
      <c r="IJH70" s="161"/>
      <c r="IJI70"/>
      <c r="IJJ70" s="162"/>
      <c r="IJK70"/>
      <c r="IJL70" s="155"/>
      <c r="IJM70" s="163"/>
      <c r="IJN70"/>
      <c r="IJO70" s="156"/>
      <c r="IJP70" s="157"/>
      <c r="IJQ70" s="158"/>
      <c r="IJR70" s="158"/>
      <c r="IJS70" s="157"/>
      <c r="IJT70" s="159"/>
      <c r="IJU70" s="157"/>
      <c r="IJV70" s="159"/>
      <c r="IJW70" s="160"/>
      <c r="IJX70" s="161"/>
      <c r="IJY70"/>
      <c r="IJZ70" s="162"/>
      <c r="IKA70"/>
      <c r="IKB70" s="155"/>
      <c r="IKC70" s="163"/>
      <c r="IKD70"/>
      <c r="IKE70" s="156"/>
      <c r="IKF70" s="157"/>
      <c r="IKG70" s="158"/>
      <c r="IKH70" s="158"/>
      <c r="IKI70" s="157"/>
      <c r="IKJ70" s="159"/>
      <c r="IKK70" s="157"/>
      <c r="IKL70" s="159"/>
      <c r="IKM70" s="160"/>
      <c r="IKN70" s="161"/>
      <c r="IKO70"/>
      <c r="IKP70" s="162"/>
      <c r="IKQ70"/>
      <c r="IKR70" s="155"/>
      <c r="IKS70" s="163"/>
      <c r="IKT70"/>
      <c r="IKU70" s="156"/>
      <c r="IKV70" s="157"/>
      <c r="IKW70" s="158"/>
      <c r="IKX70" s="158"/>
      <c r="IKY70" s="157"/>
      <c r="IKZ70" s="159"/>
      <c r="ILA70" s="157"/>
      <c r="ILB70" s="159"/>
      <c r="ILC70" s="160"/>
      <c r="ILD70" s="161"/>
      <c r="ILE70"/>
      <c r="ILF70" s="162"/>
      <c r="ILG70"/>
      <c r="ILH70" s="155"/>
      <c r="ILI70" s="163"/>
      <c r="ILJ70"/>
      <c r="ILK70" s="156"/>
      <c r="ILL70" s="157"/>
      <c r="ILM70" s="158"/>
      <c r="ILN70" s="158"/>
      <c r="ILO70" s="157"/>
      <c r="ILP70" s="159"/>
      <c r="ILQ70" s="157"/>
      <c r="ILR70" s="159"/>
      <c r="ILS70" s="160"/>
      <c r="ILT70" s="161"/>
      <c r="ILU70"/>
      <c r="ILV70" s="162"/>
      <c r="ILW70"/>
      <c r="ILX70" s="155"/>
      <c r="ILY70" s="163"/>
      <c r="ILZ70"/>
      <c r="IMA70" s="156"/>
      <c r="IMB70" s="157"/>
      <c r="IMC70" s="158"/>
      <c r="IMD70" s="158"/>
      <c r="IME70" s="157"/>
      <c r="IMF70" s="159"/>
      <c r="IMG70" s="157"/>
      <c r="IMH70" s="159"/>
      <c r="IMI70" s="160"/>
      <c r="IMJ70" s="161"/>
      <c r="IMK70"/>
      <c r="IML70" s="162"/>
      <c r="IMM70"/>
      <c r="IMN70" s="155"/>
      <c r="IMO70" s="163"/>
      <c r="IMP70"/>
      <c r="IMQ70" s="156"/>
      <c r="IMR70" s="157"/>
      <c r="IMS70" s="158"/>
      <c r="IMT70" s="158"/>
      <c r="IMU70" s="157"/>
      <c r="IMV70" s="159"/>
      <c r="IMW70" s="157"/>
      <c r="IMX70" s="159"/>
      <c r="IMY70" s="160"/>
      <c r="IMZ70" s="161"/>
      <c r="INA70"/>
      <c r="INB70" s="162"/>
      <c r="INC70"/>
      <c r="IND70" s="155"/>
      <c r="INE70" s="163"/>
      <c r="INF70"/>
      <c r="ING70" s="156"/>
      <c r="INH70" s="157"/>
      <c r="INI70" s="158"/>
      <c r="INJ70" s="158"/>
      <c r="INK70" s="157"/>
      <c r="INL70" s="159"/>
      <c r="INM70" s="157"/>
      <c r="INN70" s="159"/>
      <c r="INO70" s="160"/>
      <c r="INP70" s="161"/>
      <c r="INQ70"/>
      <c r="INR70" s="162"/>
      <c r="INS70"/>
      <c r="INT70" s="155"/>
      <c r="INU70" s="163"/>
      <c r="INV70"/>
      <c r="INW70" s="156"/>
      <c r="INX70" s="157"/>
      <c r="INY70" s="158"/>
      <c r="INZ70" s="158"/>
      <c r="IOA70" s="157"/>
      <c r="IOB70" s="159"/>
      <c r="IOC70" s="157"/>
      <c r="IOD70" s="159"/>
      <c r="IOE70" s="160"/>
      <c r="IOF70" s="161"/>
      <c r="IOG70"/>
      <c r="IOH70" s="162"/>
      <c r="IOI70"/>
      <c r="IOJ70" s="155"/>
      <c r="IOK70" s="163"/>
      <c r="IOL70"/>
      <c r="IOM70" s="156"/>
      <c r="ION70" s="157"/>
      <c r="IOO70" s="158"/>
      <c r="IOP70" s="158"/>
      <c r="IOQ70" s="157"/>
      <c r="IOR70" s="159"/>
      <c r="IOS70" s="157"/>
      <c r="IOT70" s="159"/>
      <c r="IOU70" s="160"/>
      <c r="IOV70" s="161"/>
      <c r="IOW70"/>
      <c r="IOX70" s="162"/>
      <c r="IOY70"/>
      <c r="IOZ70" s="155"/>
      <c r="IPA70" s="163"/>
      <c r="IPB70"/>
      <c r="IPC70" s="156"/>
      <c r="IPD70" s="157"/>
      <c r="IPE70" s="158"/>
      <c r="IPF70" s="158"/>
      <c r="IPG70" s="157"/>
      <c r="IPH70" s="159"/>
      <c r="IPI70" s="157"/>
      <c r="IPJ70" s="159"/>
      <c r="IPK70" s="160"/>
      <c r="IPL70" s="161"/>
      <c r="IPM70"/>
      <c r="IPN70" s="162"/>
      <c r="IPO70"/>
      <c r="IPP70" s="155"/>
      <c r="IPQ70" s="163"/>
      <c r="IPR70"/>
      <c r="IPS70" s="156"/>
      <c r="IPT70" s="157"/>
      <c r="IPU70" s="158"/>
      <c r="IPV70" s="158"/>
      <c r="IPW70" s="157"/>
      <c r="IPX70" s="159"/>
      <c r="IPY70" s="157"/>
      <c r="IPZ70" s="159"/>
      <c r="IQA70" s="160"/>
      <c r="IQB70" s="161"/>
      <c r="IQC70"/>
      <c r="IQD70" s="162"/>
      <c r="IQE70"/>
      <c r="IQF70" s="155"/>
      <c r="IQG70" s="163"/>
      <c r="IQH70"/>
      <c r="IQI70" s="156"/>
      <c r="IQJ70" s="157"/>
      <c r="IQK70" s="158"/>
      <c r="IQL70" s="158"/>
      <c r="IQM70" s="157"/>
      <c r="IQN70" s="159"/>
      <c r="IQO70" s="157"/>
      <c r="IQP70" s="159"/>
      <c r="IQQ70" s="160"/>
      <c r="IQR70" s="161"/>
      <c r="IQS70"/>
      <c r="IQT70" s="162"/>
      <c r="IQU70"/>
      <c r="IQV70" s="155"/>
      <c r="IQW70" s="163"/>
      <c r="IQX70"/>
      <c r="IQY70" s="156"/>
      <c r="IQZ70" s="157"/>
      <c r="IRA70" s="158"/>
      <c r="IRB70" s="158"/>
      <c r="IRC70" s="157"/>
      <c r="IRD70" s="159"/>
      <c r="IRE70" s="157"/>
      <c r="IRF70" s="159"/>
      <c r="IRG70" s="160"/>
      <c r="IRH70" s="161"/>
      <c r="IRI70"/>
      <c r="IRJ70" s="162"/>
      <c r="IRK70"/>
      <c r="IRL70" s="155"/>
      <c r="IRM70" s="163"/>
      <c r="IRN70"/>
      <c r="IRO70" s="156"/>
      <c r="IRP70" s="157"/>
      <c r="IRQ70" s="158"/>
      <c r="IRR70" s="158"/>
      <c r="IRS70" s="157"/>
      <c r="IRT70" s="159"/>
      <c r="IRU70" s="157"/>
      <c r="IRV70" s="159"/>
      <c r="IRW70" s="160"/>
      <c r="IRX70" s="161"/>
      <c r="IRY70"/>
      <c r="IRZ70" s="162"/>
      <c r="ISA70"/>
      <c r="ISB70" s="155"/>
      <c r="ISC70" s="163"/>
      <c r="ISD70"/>
      <c r="ISE70" s="156"/>
      <c r="ISF70" s="157"/>
      <c r="ISG70" s="158"/>
      <c r="ISH70" s="158"/>
      <c r="ISI70" s="157"/>
      <c r="ISJ70" s="159"/>
      <c r="ISK70" s="157"/>
      <c r="ISL70" s="159"/>
      <c r="ISM70" s="160"/>
      <c r="ISN70" s="161"/>
      <c r="ISO70"/>
      <c r="ISP70" s="162"/>
      <c r="ISQ70"/>
      <c r="ISR70" s="155"/>
      <c r="ISS70" s="163"/>
      <c r="IST70"/>
      <c r="ISU70" s="156"/>
      <c r="ISV70" s="157"/>
      <c r="ISW70" s="158"/>
      <c r="ISX70" s="158"/>
      <c r="ISY70" s="157"/>
      <c r="ISZ70" s="159"/>
      <c r="ITA70" s="157"/>
      <c r="ITB70" s="159"/>
      <c r="ITC70" s="160"/>
      <c r="ITD70" s="161"/>
      <c r="ITE70"/>
      <c r="ITF70" s="162"/>
      <c r="ITG70"/>
      <c r="ITH70" s="155"/>
      <c r="ITI70" s="163"/>
      <c r="ITJ70"/>
      <c r="ITK70" s="156"/>
      <c r="ITL70" s="157"/>
      <c r="ITM70" s="158"/>
      <c r="ITN70" s="158"/>
      <c r="ITO70" s="157"/>
      <c r="ITP70" s="159"/>
      <c r="ITQ70" s="157"/>
      <c r="ITR70" s="159"/>
      <c r="ITS70" s="160"/>
      <c r="ITT70" s="161"/>
      <c r="ITU70"/>
      <c r="ITV70" s="162"/>
      <c r="ITW70"/>
      <c r="ITX70" s="155"/>
      <c r="ITY70" s="163"/>
      <c r="ITZ70"/>
      <c r="IUA70" s="156"/>
      <c r="IUB70" s="157"/>
      <c r="IUC70" s="158"/>
      <c r="IUD70" s="158"/>
      <c r="IUE70" s="157"/>
      <c r="IUF70" s="159"/>
      <c r="IUG70" s="157"/>
      <c r="IUH70" s="159"/>
      <c r="IUI70" s="160"/>
      <c r="IUJ70" s="161"/>
      <c r="IUK70"/>
      <c r="IUL70" s="162"/>
      <c r="IUM70"/>
      <c r="IUN70" s="155"/>
      <c r="IUO70" s="163"/>
      <c r="IUP70"/>
      <c r="IUQ70" s="156"/>
      <c r="IUR70" s="157"/>
      <c r="IUS70" s="158"/>
      <c r="IUT70" s="158"/>
      <c r="IUU70" s="157"/>
      <c r="IUV70" s="159"/>
      <c r="IUW70" s="157"/>
      <c r="IUX70" s="159"/>
      <c r="IUY70" s="160"/>
      <c r="IUZ70" s="161"/>
      <c r="IVA70"/>
      <c r="IVB70" s="162"/>
      <c r="IVC70"/>
      <c r="IVD70" s="155"/>
      <c r="IVE70" s="163"/>
      <c r="IVF70"/>
      <c r="IVG70" s="156"/>
      <c r="IVH70" s="157"/>
      <c r="IVI70" s="158"/>
      <c r="IVJ70" s="158"/>
      <c r="IVK70" s="157"/>
      <c r="IVL70" s="159"/>
      <c r="IVM70" s="157"/>
      <c r="IVN70" s="159"/>
      <c r="IVO70" s="160"/>
      <c r="IVP70" s="161"/>
      <c r="IVQ70"/>
      <c r="IVR70" s="162"/>
      <c r="IVS70"/>
      <c r="IVT70" s="155"/>
      <c r="IVU70" s="163"/>
      <c r="IVV70"/>
      <c r="IVW70" s="156"/>
      <c r="IVX70" s="157"/>
      <c r="IVY70" s="158"/>
      <c r="IVZ70" s="158"/>
      <c r="IWA70" s="157"/>
      <c r="IWB70" s="159"/>
      <c r="IWC70" s="157"/>
      <c r="IWD70" s="159"/>
      <c r="IWE70" s="160"/>
      <c r="IWF70" s="161"/>
      <c r="IWG70"/>
      <c r="IWH70" s="162"/>
      <c r="IWI70"/>
      <c r="IWJ70" s="155"/>
      <c r="IWK70" s="163"/>
      <c r="IWL70"/>
      <c r="IWM70" s="156"/>
      <c r="IWN70" s="157"/>
      <c r="IWO70" s="158"/>
      <c r="IWP70" s="158"/>
      <c r="IWQ70" s="157"/>
      <c r="IWR70" s="159"/>
      <c r="IWS70" s="157"/>
      <c r="IWT70" s="159"/>
      <c r="IWU70" s="160"/>
      <c r="IWV70" s="161"/>
      <c r="IWW70"/>
      <c r="IWX70" s="162"/>
      <c r="IWY70"/>
      <c r="IWZ70" s="155"/>
      <c r="IXA70" s="163"/>
      <c r="IXB70"/>
      <c r="IXC70" s="156"/>
      <c r="IXD70" s="157"/>
      <c r="IXE70" s="158"/>
      <c r="IXF70" s="158"/>
      <c r="IXG70" s="157"/>
      <c r="IXH70" s="159"/>
      <c r="IXI70" s="157"/>
      <c r="IXJ70" s="159"/>
      <c r="IXK70" s="160"/>
      <c r="IXL70" s="161"/>
      <c r="IXM70"/>
      <c r="IXN70" s="162"/>
      <c r="IXO70"/>
      <c r="IXP70" s="155"/>
      <c r="IXQ70" s="163"/>
      <c r="IXR70"/>
      <c r="IXS70" s="156"/>
      <c r="IXT70" s="157"/>
      <c r="IXU70" s="158"/>
      <c r="IXV70" s="158"/>
      <c r="IXW70" s="157"/>
      <c r="IXX70" s="159"/>
      <c r="IXY70" s="157"/>
      <c r="IXZ70" s="159"/>
      <c r="IYA70" s="160"/>
      <c r="IYB70" s="161"/>
      <c r="IYC70"/>
      <c r="IYD70" s="162"/>
      <c r="IYE70"/>
      <c r="IYF70" s="155"/>
      <c r="IYG70" s="163"/>
      <c r="IYH70"/>
      <c r="IYI70" s="156"/>
      <c r="IYJ70" s="157"/>
      <c r="IYK70" s="158"/>
      <c r="IYL70" s="158"/>
      <c r="IYM70" s="157"/>
      <c r="IYN70" s="159"/>
      <c r="IYO70" s="157"/>
      <c r="IYP70" s="159"/>
      <c r="IYQ70" s="160"/>
      <c r="IYR70" s="161"/>
      <c r="IYS70"/>
      <c r="IYT70" s="162"/>
      <c r="IYU70"/>
      <c r="IYV70" s="155"/>
      <c r="IYW70" s="163"/>
      <c r="IYX70"/>
      <c r="IYY70" s="156"/>
      <c r="IYZ70" s="157"/>
      <c r="IZA70" s="158"/>
      <c r="IZB70" s="158"/>
      <c r="IZC70" s="157"/>
      <c r="IZD70" s="159"/>
      <c r="IZE70" s="157"/>
      <c r="IZF70" s="159"/>
      <c r="IZG70" s="160"/>
      <c r="IZH70" s="161"/>
      <c r="IZI70"/>
      <c r="IZJ70" s="162"/>
      <c r="IZK70"/>
      <c r="IZL70" s="155"/>
      <c r="IZM70" s="163"/>
      <c r="IZN70"/>
      <c r="IZO70" s="156"/>
      <c r="IZP70" s="157"/>
      <c r="IZQ70" s="158"/>
      <c r="IZR70" s="158"/>
      <c r="IZS70" s="157"/>
      <c r="IZT70" s="159"/>
      <c r="IZU70" s="157"/>
      <c r="IZV70" s="159"/>
      <c r="IZW70" s="160"/>
      <c r="IZX70" s="161"/>
      <c r="IZY70"/>
      <c r="IZZ70" s="162"/>
      <c r="JAA70"/>
      <c r="JAB70" s="155"/>
      <c r="JAC70" s="163"/>
      <c r="JAD70"/>
      <c r="JAE70" s="156"/>
      <c r="JAF70" s="157"/>
      <c r="JAG70" s="158"/>
      <c r="JAH70" s="158"/>
      <c r="JAI70" s="157"/>
      <c r="JAJ70" s="159"/>
      <c r="JAK70" s="157"/>
      <c r="JAL70" s="159"/>
      <c r="JAM70" s="160"/>
      <c r="JAN70" s="161"/>
      <c r="JAO70"/>
      <c r="JAP70" s="162"/>
      <c r="JAQ70"/>
      <c r="JAR70" s="155"/>
      <c r="JAS70" s="163"/>
      <c r="JAT70"/>
      <c r="JAU70" s="156"/>
      <c r="JAV70" s="157"/>
      <c r="JAW70" s="158"/>
      <c r="JAX70" s="158"/>
      <c r="JAY70" s="157"/>
      <c r="JAZ70" s="159"/>
      <c r="JBA70" s="157"/>
      <c r="JBB70" s="159"/>
      <c r="JBC70" s="160"/>
      <c r="JBD70" s="161"/>
      <c r="JBE70"/>
      <c r="JBF70" s="162"/>
      <c r="JBG70"/>
      <c r="JBH70" s="155"/>
      <c r="JBI70" s="163"/>
      <c r="JBJ70"/>
      <c r="JBK70" s="156"/>
      <c r="JBL70" s="157"/>
      <c r="JBM70" s="158"/>
      <c r="JBN70" s="158"/>
      <c r="JBO70" s="157"/>
      <c r="JBP70" s="159"/>
      <c r="JBQ70" s="157"/>
      <c r="JBR70" s="159"/>
      <c r="JBS70" s="160"/>
      <c r="JBT70" s="161"/>
      <c r="JBU70"/>
      <c r="JBV70" s="162"/>
      <c r="JBW70"/>
      <c r="JBX70" s="155"/>
      <c r="JBY70" s="163"/>
      <c r="JBZ70"/>
      <c r="JCA70" s="156"/>
      <c r="JCB70" s="157"/>
      <c r="JCC70" s="158"/>
      <c r="JCD70" s="158"/>
      <c r="JCE70" s="157"/>
      <c r="JCF70" s="159"/>
      <c r="JCG70" s="157"/>
      <c r="JCH70" s="159"/>
      <c r="JCI70" s="160"/>
      <c r="JCJ70" s="161"/>
      <c r="JCK70"/>
      <c r="JCL70" s="162"/>
      <c r="JCM70"/>
      <c r="JCN70" s="155"/>
      <c r="JCO70" s="163"/>
      <c r="JCP70"/>
      <c r="JCQ70" s="156"/>
      <c r="JCR70" s="157"/>
      <c r="JCS70" s="158"/>
      <c r="JCT70" s="158"/>
      <c r="JCU70" s="157"/>
      <c r="JCV70" s="159"/>
      <c r="JCW70" s="157"/>
      <c r="JCX70" s="159"/>
      <c r="JCY70" s="160"/>
      <c r="JCZ70" s="161"/>
      <c r="JDA70"/>
      <c r="JDB70" s="162"/>
      <c r="JDC70"/>
      <c r="JDD70" s="155"/>
      <c r="JDE70" s="163"/>
      <c r="JDF70"/>
      <c r="JDG70" s="156"/>
      <c r="JDH70" s="157"/>
      <c r="JDI70" s="158"/>
      <c r="JDJ70" s="158"/>
      <c r="JDK70" s="157"/>
      <c r="JDL70" s="159"/>
      <c r="JDM70" s="157"/>
      <c r="JDN70" s="159"/>
      <c r="JDO70" s="160"/>
      <c r="JDP70" s="161"/>
      <c r="JDQ70"/>
      <c r="JDR70" s="162"/>
      <c r="JDS70"/>
      <c r="JDT70" s="155"/>
      <c r="JDU70" s="163"/>
      <c r="JDV70"/>
      <c r="JDW70" s="156"/>
      <c r="JDX70" s="157"/>
      <c r="JDY70" s="158"/>
      <c r="JDZ70" s="158"/>
      <c r="JEA70" s="157"/>
      <c r="JEB70" s="159"/>
      <c r="JEC70" s="157"/>
      <c r="JED70" s="159"/>
      <c r="JEE70" s="160"/>
      <c r="JEF70" s="161"/>
      <c r="JEG70"/>
      <c r="JEH70" s="162"/>
      <c r="JEI70"/>
      <c r="JEJ70" s="155"/>
      <c r="JEK70" s="163"/>
      <c r="JEL70"/>
      <c r="JEM70" s="156"/>
      <c r="JEN70" s="157"/>
      <c r="JEO70" s="158"/>
      <c r="JEP70" s="158"/>
      <c r="JEQ70" s="157"/>
      <c r="JER70" s="159"/>
      <c r="JES70" s="157"/>
      <c r="JET70" s="159"/>
      <c r="JEU70" s="160"/>
      <c r="JEV70" s="161"/>
      <c r="JEW70"/>
      <c r="JEX70" s="162"/>
      <c r="JEY70"/>
      <c r="JEZ70" s="155"/>
      <c r="JFA70" s="163"/>
      <c r="JFB70"/>
      <c r="JFC70" s="156"/>
      <c r="JFD70" s="157"/>
      <c r="JFE70" s="158"/>
      <c r="JFF70" s="158"/>
      <c r="JFG70" s="157"/>
      <c r="JFH70" s="159"/>
      <c r="JFI70" s="157"/>
      <c r="JFJ70" s="159"/>
      <c r="JFK70" s="160"/>
      <c r="JFL70" s="161"/>
      <c r="JFM70"/>
      <c r="JFN70" s="162"/>
      <c r="JFO70"/>
      <c r="JFP70" s="155"/>
      <c r="JFQ70" s="163"/>
      <c r="JFR70"/>
      <c r="JFS70" s="156"/>
      <c r="JFT70" s="157"/>
      <c r="JFU70" s="158"/>
      <c r="JFV70" s="158"/>
      <c r="JFW70" s="157"/>
      <c r="JFX70" s="159"/>
      <c r="JFY70" s="157"/>
      <c r="JFZ70" s="159"/>
      <c r="JGA70" s="160"/>
      <c r="JGB70" s="161"/>
      <c r="JGC70"/>
      <c r="JGD70" s="162"/>
      <c r="JGE70"/>
      <c r="JGF70" s="155"/>
      <c r="JGG70" s="163"/>
      <c r="JGH70"/>
      <c r="JGI70" s="156"/>
      <c r="JGJ70" s="157"/>
      <c r="JGK70" s="158"/>
      <c r="JGL70" s="158"/>
      <c r="JGM70" s="157"/>
      <c r="JGN70" s="159"/>
      <c r="JGO70" s="157"/>
      <c r="JGP70" s="159"/>
      <c r="JGQ70" s="160"/>
      <c r="JGR70" s="161"/>
      <c r="JGS70"/>
      <c r="JGT70" s="162"/>
      <c r="JGU70"/>
      <c r="JGV70" s="155"/>
      <c r="JGW70" s="163"/>
      <c r="JGX70"/>
      <c r="JGY70" s="156"/>
      <c r="JGZ70" s="157"/>
      <c r="JHA70" s="158"/>
      <c r="JHB70" s="158"/>
      <c r="JHC70" s="157"/>
      <c r="JHD70" s="159"/>
      <c r="JHE70" s="157"/>
      <c r="JHF70" s="159"/>
      <c r="JHG70" s="160"/>
      <c r="JHH70" s="161"/>
      <c r="JHI70"/>
      <c r="JHJ70" s="162"/>
      <c r="JHK70"/>
      <c r="JHL70" s="155"/>
      <c r="JHM70" s="163"/>
      <c r="JHN70"/>
      <c r="JHO70" s="156"/>
      <c r="JHP70" s="157"/>
      <c r="JHQ70" s="158"/>
      <c r="JHR70" s="158"/>
      <c r="JHS70" s="157"/>
      <c r="JHT70" s="159"/>
      <c r="JHU70" s="157"/>
      <c r="JHV70" s="159"/>
      <c r="JHW70" s="160"/>
      <c r="JHX70" s="161"/>
      <c r="JHY70"/>
      <c r="JHZ70" s="162"/>
      <c r="JIA70"/>
      <c r="JIB70" s="155"/>
      <c r="JIC70" s="163"/>
      <c r="JID70"/>
      <c r="JIE70" s="156"/>
      <c r="JIF70" s="157"/>
      <c r="JIG70" s="158"/>
      <c r="JIH70" s="158"/>
      <c r="JII70" s="157"/>
      <c r="JIJ70" s="159"/>
      <c r="JIK70" s="157"/>
      <c r="JIL70" s="159"/>
      <c r="JIM70" s="160"/>
      <c r="JIN70" s="161"/>
      <c r="JIO70"/>
      <c r="JIP70" s="162"/>
      <c r="JIQ70"/>
      <c r="JIR70" s="155"/>
      <c r="JIS70" s="163"/>
      <c r="JIT70"/>
      <c r="JIU70" s="156"/>
      <c r="JIV70" s="157"/>
      <c r="JIW70" s="158"/>
      <c r="JIX70" s="158"/>
      <c r="JIY70" s="157"/>
      <c r="JIZ70" s="159"/>
      <c r="JJA70" s="157"/>
      <c r="JJB70" s="159"/>
      <c r="JJC70" s="160"/>
      <c r="JJD70" s="161"/>
      <c r="JJE70"/>
      <c r="JJF70" s="162"/>
      <c r="JJG70"/>
      <c r="JJH70" s="155"/>
      <c r="JJI70" s="163"/>
      <c r="JJJ70"/>
      <c r="JJK70" s="156"/>
      <c r="JJL70" s="157"/>
      <c r="JJM70" s="158"/>
      <c r="JJN70" s="158"/>
      <c r="JJO70" s="157"/>
      <c r="JJP70" s="159"/>
      <c r="JJQ70" s="157"/>
      <c r="JJR70" s="159"/>
      <c r="JJS70" s="160"/>
      <c r="JJT70" s="161"/>
      <c r="JJU70"/>
      <c r="JJV70" s="162"/>
      <c r="JJW70"/>
      <c r="JJX70" s="155"/>
      <c r="JJY70" s="163"/>
      <c r="JJZ70"/>
      <c r="JKA70" s="156"/>
      <c r="JKB70" s="157"/>
      <c r="JKC70" s="158"/>
      <c r="JKD70" s="158"/>
      <c r="JKE70" s="157"/>
      <c r="JKF70" s="159"/>
      <c r="JKG70" s="157"/>
      <c r="JKH70" s="159"/>
      <c r="JKI70" s="160"/>
      <c r="JKJ70" s="161"/>
      <c r="JKK70"/>
      <c r="JKL70" s="162"/>
      <c r="JKM70"/>
      <c r="JKN70" s="155"/>
      <c r="JKO70" s="163"/>
      <c r="JKP70"/>
      <c r="JKQ70" s="156"/>
      <c r="JKR70" s="157"/>
      <c r="JKS70" s="158"/>
      <c r="JKT70" s="158"/>
      <c r="JKU70" s="157"/>
      <c r="JKV70" s="159"/>
      <c r="JKW70" s="157"/>
      <c r="JKX70" s="159"/>
      <c r="JKY70" s="160"/>
      <c r="JKZ70" s="161"/>
      <c r="JLA70"/>
      <c r="JLB70" s="162"/>
      <c r="JLC70"/>
      <c r="JLD70" s="155"/>
      <c r="JLE70" s="163"/>
      <c r="JLF70"/>
      <c r="JLG70" s="156"/>
      <c r="JLH70" s="157"/>
      <c r="JLI70" s="158"/>
      <c r="JLJ70" s="158"/>
      <c r="JLK70" s="157"/>
      <c r="JLL70" s="159"/>
      <c r="JLM70" s="157"/>
      <c r="JLN70" s="159"/>
      <c r="JLO70" s="160"/>
      <c r="JLP70" s="161"/>
      <c r="JLQ70"/>
      <c r="JLR70" s="162"/>
      <c r="JLS70"/>
      <c r="JLT70" s="155"/>
      <c r="JLU70" s="163"/>
      <c r="JLV70"/>
      <c r="JLW70" s="156"/>
      <c r="JLX70" s="157"/>
      <c r="JLY70" s="158"/>
      <c r="JLZ70" s="158"/>
      <c r="JMA70" s="157"/>
      <c r="JMB70" s="159"/>
      <c r="JMC70" s="157"/>
      <c r="JMD70" s="159"/>
      <c r="JME70" s="160"/>
      <c r="JMF70" s="161"/>
      <c r="JMG70"/>
      <c r="JMH70" s="162"/>
      <c r="JMI70"/>
      <c r="JMJ70" s="155"/>
      <c r="JMK70" s="163"/>
      <c r="JML70"/>
      <c r="JMM70" s="156"/>
      <c r="JMN70" s="157"/>
      <c r="JMO70" s="158"/>
      <c r="JMP70" s="158"/>
      <c r="JMQ70" s="157"/>
      <c r="JMR70" s="159"/>
      <c r="JMS70" s="157"/>
      <c r="JMT70" s="159"/>
      <c r="JMU70" s="160"/>
      <c r="JMV70" s="161"/>
      <c r="JMW70"/>
      <c r="JMX70" s="162"/>
      <c r="JMY70"/>
      <c r="JMZ70" s="155"/>
      <c r="JNA70" s="163"/>
      <c r="JNB70"/>
      <c r="JNC70" s="156"/>
      <c r="JND70" s="157"/>
      <c r="JNE70" s="158"/>
      <c r="JNF70" s="158"/>
      <c r="JNG70" s="157"/>
      <c r="JNH70" s="159"/>
      <c r="JNI70" s="157"/>
      <c r="JNJ70" s="159"/>
      <c r="JNK70" s="160"/>
      <c r="JNL70" s="161"/>
      <c r="JNM70"/>
      <c r="JNN70" s="162"/>
      <c r="JNO70"/>
      <c r="JNP70" s="155"/>
      <c r="JNQ70" s="163"/>
      <c r="JNR70"/>
      <c r="JNS70" s="156"/>
      <c r="JNT70" s="157"/>
      <c r="JNU70" s="158"/>
      <c r="JNV70" s="158"/>
      <c r="JNW70" s="157"/>
      <c r="JNX70" s="159"/>
      <c r="JNY70" s="157"/>
      <c r="JNZ70" s="159"/>
      <c r="JOA70" s="160"/>
      <c r="JOB70" s="161"/>
      <c r="JOC70"/>
      <c r="JOD70" s="162"/>
      <c r="JOE70"/>
      <c r="JOF70" s="155"/>
      <c r="JOG70" s="163"/>
      <c r="JOH70"/>
      <c r="JOI70" s="156"/>
      <c r="JOJ70" s="157"/>
      <c r="JOK70" s="158"/>
      <c r="JOL70" s="158"/>
      <c r="JOM70" s="157"/>
      <c r="JON70" s="159"/>
      <c r="JOO70" s="157"/>
      <c r="JOP70" s="159"/>
      <c r="JOQ70" s="160"/>
      <c r="JOR70" s="161"/>
      <c r="JOS70"/>
      <c r="JOT70" s="162"/>
      <c r="JOU70"/>
      <c r="JOV70" s="155"/>
      <c r="JOW70" s="163"/>
      <c r="JOX70"/>
      <c r="JOY70" s="156"/>
      <c r="JOZ70" s="157"/>
      <c r="JPA70" s="158"/>
      <c r="JPB70" s="158"/>
      <c r="JPC70" s="157"/>
      <c r="JPD70" s="159"/>
      <c r="JPE70" s="157"/>
      <c r="JPF70" s="159"/>
      <c r="JPG70" s="160"/>
      <c r="JPH70" s="161"/>
      <c r="JPI70"/>
      <c r="JPJ70" s="162"/>
      <c r="JPK70"/>
      <c r="JPL70" s="155"/>
      <c r="JPM70" s="163"/>
      <c r="JPN70"/>
      <c r="JPO70" s="156"/>
      <c r="JPP70" s="157"/>
      <c r="JPQ70" s="158"/>
      <c r="JPR70" s="158"/>
      <c r="JPS70" s="157"/>
      <c r="JPT70" s="159"/>
      <c r="JPU70" s="157"/>
      <c r="JPV70" s="159"/>
      <c r="JPW70" s="160"/>
      <c r="JPX70" s="161"/>
      <c r="JPY70"/>
      <c r="JPZ70" s="162"/>
      <c r="JQA70"/>
      <c r="JQB70" s="155"/>
      <c r="JQC70" s="163"/>
      <c r="JQD70"/>
      <c r="JQE70" s="156"/>
      <c r="JQF70" s="157"/>
      <c r="JQG70" s="158"/>
      <c r="JQH70" s="158"/>
      <c r="JQI70" s="157"/>
      <c r="JQJ70" s="159"/>
      <c r="JQK70" s="157"/>
      <c r="JQL70" s="159"/>
      <c r="JQM70" s="160"/>
      <c r="JQN70" s="161"/>
      <c r="JQO70"/>
      <c r="JQP70" s="162"/>
      <c r="JQQ70"/>
      <c r="JQR70" s="155"/>
      <c r="JQS70" s="163"/>
      <c r="JQT70"/>
      <c r="JQU70" s="156"/>
      <c r="JQV70" s="157"/>
      <c r="JQW70" s="158"/>
      <c r="JQX70" s="158"/>
      <c r="JQY70" s="157"/>
      <c r="JQZ70" s="159"/>
      <c r="JRA70" s="157"/>
      <c r="JRB70" s="159"/>
      <c r="JRC70" s="160"/>
      <c r="JRD70" s="161"/>
      <c r="JRE70"/>
      <c r="JRF70" s="162"/>
      <c r="JRG70"/>
      <c r="JRH70" s="155"/>
      <c r="JRI70" s="163"/>
      <c r="JRJ70"/>
      <c r="JRK70" s="156"/>
      <c r="JRL70" s="157"/>
      <c r="JRM70" s="158"/>
      <c r="JRN70" s="158"/>
      <c r="JRO70" s="157"/>
      <c r="JRP70" s="159"/>
      <c r="JRQ70" s="157"/>
      <c r="JRR70" s="159"/>
      <c r="JRS70" s="160"/>
      <c r="JRT70" s="161"/>
      <c r="JRU70"/>
      <c r="JRV70" s="162"/>
      <c r="JRW70"/>
      <c r="JRX70" s="155"/>
      <c r="JRY70" s="163"/>
      <c r="JRZ70"/>
      <c r="JSA70" s="156"/>
      <c r="JSB70" s="157"/>
      <c r="JSC70" s="158"/>
      <c r="JSD70" s="158"/>
      <c r="JSE70" s="157"/>
      <c r="JSF70" s="159"/>
      <c r="JSG70" s="157"/>
      <c r="JSH70" s="159"/>
      <c r="JSI70" s="160"/>
      <c r="JSJ70" s="161"/>
      <c r="JSK70"/>
      <c r="JSL70" s="162"/>
      <c r="JSM70"/>
      <c r="JSN70" s="155"/>
      <c r="JSO70" s="163"/>
      <c r="JSP70"/>
      <c r="JSQ70" s="156"/>
      <c r="JSR70" s="157"/>
      <c r="JSS70" s="158"/>
      <c r="JST70" s="158"/>
      <c r="JSU70" s="157"/>
      <c r="JSV70" s="159"/>
      <c r="JSW70" s="157"/>
      <c r="JSX70" s="159"/>
      <c r="JSY70" s="160"/>
      <c r="JSZ70" s="161"/>
      <c r="JTA70"/>
      <c r="JTB70" s="162"/>
      <c r="JTC70"/>
      <c r="JTD70" s="155"/>
      <c r="JTE70" s="163"/>
      <c r="JTF70"/>
      <c r="JTG70" s="156"/>
      <c r="JTH70" s="157"/>
      <c r="JTI70" s="158"/>
      <c r="JTJ70" s="158"/>
      <c r="JTK70" s="157"/>
      <c r="JTL70" s="159"/>
      <c r="JTM70" s="157"/>
      <c r="JTN70" s="159"/>
      <c r="JTO70" s="160"/>
      <c r="JTP70" s="161"/>
      <c r="JTQ70"/>
      <c r="JTR70" s="162"/>
      <c r="JTS70"/>
      <c r="JTT70" s="155"/>
      <c r="JTU70" s="163"/>
      <c r="JTV70"/>
      <c r="JTW70" s="156"/>
      <c r="JTX70" s="157"/>
      <c r="JTY70" s="158"/>
      <c r="JTZ70" s="158"/>
      <c r="JUA70" s="157"/>
      <c r="JUB70" s="159"/>
      <c r="JUC70" s="157"/>
      <c r="JUD70" s="159"/>
      <c r="JUE70" s="160"/>
      <c r="JUF70" s="161"/>
      <c r="JUG70"/>
      <c r="JUH70" s="162"/>
      <c r="JUI70"/>
      <c r="JUJ70" s="155"/>
      <c r="JUK70" s="163"/>
      <c r="JUL70"/>
      <c r="JUM70" s="156"/>
      <c r="JUN70" s="157"/>
      <c r="JUO70" s="158"/>
      <c r="JUP70" s="158"/>
      <c r="JUQ70" s="157"/>
      <c r="JUR70" s="159"/>
      <c r="JUS70" s="157"/>
      <c r="JUT70" s="159"/>
      <c r="JUU70" s="160"/>
      <c r="JUV70" s="161"/>
      <c r="JUW70"/>
      <c r="JUX70" s="162"/>
      <c r="JUY70"/>
      <c r="JUZ70" s="155"/>
      <c r="JVA70" s="163"/>
      <c r="JVB70"/>
      <c r="JVC70" s="156"/>
      <c r="JVD70" s="157"/>
      <c r="JVE70" s="158"/>
      <c r="JVF70" s="158"/>
      <c r="JVG70" s="157"/>
      <c r="JVH70" s="159"/>
      <c r="JVI70" s="157"/>
      <c r="JVJ70" s="159"/>
      <c r="JVK70" s="160"/>
      <c r="JVL70" s="161"/>
      <c r="JVM70"/>
      <c r="JVN70" s="162"/>
      <c r="JVO70"/>
      <c r="JVP70" s="155"/>
      <c r="JVQ70" s="163"/>
      <c r="JVR70"/>
      <c r="JVS70" s="156"/>
      <c r="JVT70" s="157"/>
      <c r="JVU70" s="158"/>
      <c r="JVV70" s="158"/>
      <c r="JVW70" s="157"/>
      <c r="JVX70" s="159"/>
      <c r="JVY70" s="157"/>
      <c r="JVZ70" s="159"/>
      <c r="JWA70" s="160"/>
      <c r="JWB70" s="161"/>
      <c r="JWC70"/>
      <c r="JWD70" s="162"/>
      <c r="JWE70"/>
      <c r="JWF70" s="155"/>
      <c r="JWG70" s="163"/>
      <c r="JWH70"/>
      <c r="JWI70" s="156"/>
      <c r="JWJ70" s="157"/>
      <c r="JWK70" s="158"/>
      <c r="JWL70" s="158"/>
      <c r="JWM70" s="157"/>
      <c r="JWN70" s="159"/>
      <c r="JWO70" s="157"/>
      <c r="JWP70" s="159"/>
      <c r="JWQ70" s="160"/>
      <c r="JWR70" s="161"/>
      <c r="JWS70"/>
      <c r="JWT70" s="162"/>
      <c r="JWU70"/>
      <c r="JWV70" s="155"/>
      <c r="JWW70" s="163"/>
      <c r="JWX70"/>
      <c r="JWY70" s="156"/>
      <c r="JWZ70" s="157"/>
      <c r="JXA70" s="158"/>
      <c r="JXB70" s="158"/>
      <c r="JXC70" s="157"/>
      <c r="JXD70" s="159"/>
      <c r="JXE70" s="157"/>
      <c r="JXF70" s="159"/>
      <c r="JXG70" s="160"/>
      <c r="JXH70" s="161"/>
      <c r="JXI70"/>
      <c r="JXJ70" s="162"/>
      <c r="JXK70"/>
      <c r="JXL70" s="155"/>
      <c r="JXM70" s="163"/>
      <c r="JXN70"/>
      <c r="JXO70" s="156"/>
      <c r="JXP70" s="157"/>
      <c r="JXQ70" s="158"/>
      <c r="JXR70" s="158"/>
      <c r="JXS70" s="157"/>
      <c r="JXT70" s="159"/>
      <c r="JXU70" s="157"/>
      <c r="JXV70" s="159"/>
      <c r="JXW70" s="160"/>
      <c r="JXX70" s="161"/>
      <c r="JXY70"/>
      <c r="JXZ70" s="162"/>
      <c r="JYA70"/>
      <c r="JYB70" s="155"/>
      <c r="JYC70" s="163"/>
      <c r="JYD70"/>
      <c r="JYE70" s="156"/>
      <c r="JYF70" s="157"/>
      <c r="JYG70" s="158"/>
      <c r="JYH70" s="158"/>
      <c r="JYI70" s="157"/>
      <c r="JYJ70" s="159"/>
      <c r="JYK70" s="157"/>
      <c r="JYL70" s="159"/>
      <c r="JYM70" s="160"/>
      <c r="JYN70" s="161"/>
      <c r="JYO70"/>
      <c r="JYP70" s="162"/>
      <c r="JYQ70"/>
      <c r="JYR70" s="155"/>
      <c r="JYS70" s="163"/>
      <c r="JYT70"/>
      <c r="JYU70" s="156"/>
      <c r="JYV70" s="157"/>
      <c r="JYW70" s="158"/>
      <c r="JYX70" s="158"/>
      <c r="JYY70" s="157"/>
      <c r="JYZ70" s="159"/>
      <c r="JZA70" s="157"/>
      <c r="JZB70" s="159"/>
      <c r="JZC70" s="160"/>
      <c r="JZD70" s="161"/>
      <c r="JZE70"/>
      <c r="JZF70" s="162"/>
      <c r="JZG70"/>
      <c r="JZH70" s="155"/>
      <c r="JZI70" s="163"/>
      <c r="JZJ70"/>
      <c r="JZK70" s="156"/>
      <c r="JZL70" s="157"/>
      <c r="JZM70" s="158"/>
      <c r="JZN70" s="158"/>
      <c r="JZO70" s="157"/>
      <c r="JZP70" s="159"/>
      <c r="JZQ70" s="157"/>
      <c r="JZR70" s="159"/>
      <c r="JZS70" s="160"/>
      <c r="JZT70" s="161"/>
      <c r="JZU70"/>
      <c r="JZV70" s="162"/>
      <c r="JZW70"/>
      <c r="JZX70" s="155"/>
      <c r="JZY70" s="163"/>
      <c r="JZZ70"/>
      <c r="KAA70" s="156"/>
      <c r="KAB70" s="157"/>
      <c r="KAC70" s="158"/>
      <c r="KAD70" s="158"/>
      <c r="KAE70" s="157"/>
      <c r="KAF70" s="159"/>
      <c r="KAG70" s="157"/>
      <c r="KAH70" s="159"/>
      <c r="KAI70" s="160"/>
      <c r="KAJ70" s="161"/>
      <c r="KAK70"/>
      <c r="KAL70" s="162"/>
      <c r="KAM70"/>
      <c r="KAN70" s="155"/>
      <c r="KAO70" s="163"/>
      <c r="KAP70"/>
      <c r="KAQ70" s="156"/>
      <c r="KAR70" s="157"/>
      <c r="KAS70" s="158"/>
      <c r="KAT70" s="158"/>
      <c r="KAU70" s="157"/>
      <c r="KAV70" s="159"/>
      <c r="KAW70" s="157"/>
      <c r="KAX70" s="159"/>
      <c r="KAY70" s="160"/>
      <c r="KAZ70" s="161"/>
      <c r="KBA70"/>
      <c r="KBB70" s="162"/>
      <c r="KBC70"/>
      <c r="KBD70" s="155"/>
      <c r="KBE70" s="163"/>
      <c r="KBF70"/>
      <c r="KBG70" s="156"/>
      <c r="KBH70" s="157"/>
      <c r="KBI70" s="158"/>
      <c r="KBJ70" s="158"/>
      <c r="KBK70" s="157"/>
      <c r="KBL70" s="159"/>
      <c r="KBM70" s="157"/>
      <c r="KBN70" s="159"/>
      <c r="KBO70" s="160"/>
      <c r="KBP70" s="161"/>
      <c r="KBQ70"/>
      <c r="KBR70" s="162"/>
      <c r="KBS70"/>
      <c r="KBT70" s="155"/>
      <c r="KBU70" s="163"/>
      <c r="KBV70"/>
      <c r="KBW70" s="156"/>
      <c r="KBX70" s="157"/>
      <c r="KBY70" s="158"/>
      <c r="KBZ70" s="158"/>
      <c r="KCA70" s="157"/>
      <c r="KCB70" s="159"/>
      <c r="KCC70" s="157"/>
      <c r="KCD70" s="159"/>
      <c r="KCE70" s="160"/>
      <c r="KCF70" s="161"/>
      <c r="KCG70"/>
      <c r="KCH70" s="162"/>
      <c r="KCI70"/>
      <c r="KCJ70" s="155"/>
      <c r="KCK70" s="163"/>
      <c r="KCL70"/>
      <c r="KCM70" s="156"/>
      <c r="KCN70" s="157"/>
      <c r="KCO70" s="158"/>
      <c r="KCP70" s="158"/>
      <c r="KCQ70" s="157"/>
      <c r="KCR70" s="159"/>
      <c r="KCS70" s="157"/>
      <c r="KCT70" s="159"/>
      <c r="KCU70" s="160"/>
      <c r="KCV70" s="161"/>
      <c r="KCW70"/>
      <c r="KCX70" s="162"/>
      <c r="KCY70"/>
      <c r="KCZ70" s="155"/>
      <c r="KDA70" s="163"/>
      <c r="KDB70"/>
      <c r="KDC70" s="156"/>
      <c r="KDD70" s="157"/>
      <c r="KDE70" s="158"/>
      <c r="KDF70" s="158"/>
      <c r="KDG70" s="157"/>
      <c r="KDH70" s="159"/>
      <c r="KDI70" s="157"/>
      <c r="KDJ70" s="159"/>
      <c r="KDK70" s="160"/>
      <c r="KDL70" s="161"/>
      <c r="KDM70"/>
      <c r="KDN70" s="162"/>
      <c r="KDO70"/>
      <c r="KDP70" s="155"/>
      <c r="KDQ70" s="163"/>
      <c r="KDR70"/>
      <c r="KDS70" s="156"/>
      <c r="KDT70" s="157"/>
      <c r="KDU70" s="158"/>
      <c r="KDV70" s="158"/>
      <c r="KDW70" s="157"/>
      <c r="KDX70" s="159"/>
      <c r="KDY70" s="157"/>
      <c r="KDZ70" s="159"/>
      <c r="KEA70" s="160"/>
      <c r="KEB70" s="161"/>
      <c r="KEC70"/>
      <c r="KED70" s="162"/>
      <c r="KEE70"/>
      <c r="KEF70" s="155"/>
      <c r="KEG70" s="163"/>
      <c r="KEH70"/>
      <c r="KEI70" s="156"/>
      <c r="KEJ70" s="157"/>
      <c r="KEK70" s="158"/>
      <c r="KEL70" s="158"/>
      <c r="KEM70" s="157"/>
      <c r="KEN70" s="159"/>
      <c r="KEO70" s="157"/>
      <c r="KEP70" s="159"/>
      <c r="KEQ70" s="160"/>
      <c r="KER70" s="161"/>
      <c r="KES70"/>
      <c r="KET70" s="162"/>
      <c r="KEU70"/>
      <c r="KEV70" s="155"/>
      <c r="KEW70" s="163"/>
      <c r="KEX70"/>
      <c r="KEY70" s="156"/>
      <c r="KEZ70" s="157"/>
      <c r="KFA70" s="158"/>
      <c r="KFB70" s="158"/>
      <c r="KFC70" s="157"/>
      <c r="KFD70" s="159"/>
      <c r="KFE70" s="157"/>
      <c r="KFF70" s="159"/>
      <c r="KFG70" s="160"/>
      <c r="KFH70" s="161"/>
      <c r="KFI70"/>
      <c r="KFJ70" s="162"/>
      <c r="KFK70"/>
      <c r="KFL70" s="155"/>
      <c r="KFM70" s="163"/>
      <c r="KFN70"/>
      <c r="KFO70" s="156"/>
      <c r="KFP70" s="157"/>
      <c r="KFQ70" s="158"/>
      <c r="KFR70" s="158"/>
      <c r="KFS70" s="157"/>
      <c r="KFT70" s="159"/>
      <c r="KFU70" s="157"/>
      <c r="KFV70" s="159"/>
      <c r="KFW70" s="160"/>
      <c r="KFX70" s="161"/>
      <c r="KFY70"/>
      <c r="KFZ70" s="162"/>
      <c r="KGA70"/>
      <c r="KGB70" s="155"/>
      <c r="KGC70" s="163"/>
      <c r="KGD70"/>
      <c r="KGE70" s="156"/>
      <c r="KGF70" s="157"/>
      <c r="KGG70" s="158"/>
      <c r="KGH70" s="158"/>
      <c r="KGI70" s="157"/>
      <c r="KGJ70" s="159"/>
      <c r="KGK70" s="157"/>
      <c r="KGL70" s="159"/>
      <c r="KGM70" s="160"/>
      <c r="KGN70" s="161"/>
      <c r="KGO70"/>
      <c r="KGP70" s="162"/>
      <c r="KGQ70"/>
      <c r="KGR70" s="155"/>
      <c r="KGS70" s="163"/>
      <c r="KGT70"/>
      <c r="KGU70" s="156"/>
      <c r="KGV70" s="157"/>
      <c r="KGW70" s="158"/>
      <c r="KGX70" s="158"/>
      <c r="KGY70" s="157"/>
      <c r="KGZ70" s="159"/>
      <c r="KHA70" s="157"/>
      <c r="KHB70" s="159"/>
      <c r="KHC70" s="160"/>
      <c r="KHD70" s="161"/>
      <c r="KHE70"/>
      <c r="KHF70" s="162"/>
      <c r="KHG70"/>
      <c r="KHH70" s="155"/>
      <c r="KHI70" s="163"/>
      <c r="KHJ70"/>
      <c r="KHK70" s="156"/>
      <c r="KHL70" s="157"/>
      <c r="KHM70" s="158"/>
      <c r="KHN70" s="158"/>
      <c r="KHO70" s="157"/>
      <c r="KHP70" s="159"/>
      <c r="KHQ70" s="157"/>
      <c r="KHR70" s="159"/>
      <c r="KHS70" s="160"/>
      <c r="KHT70" s="161"/>
      <c r="KHU70"/>
      <c r="KHV70" s="162"/>
      <c r="KHW70"/>
      <c r="KHX70" s="155"/>
      <c r="KHY70" s="163"/>
      <c r="KHZ70"/>
      <c r="KIA70" s="156"/>
      <c r="KIB70" s="157"/>
      <c r="KIC70" s="158"/>
      <c r="KID70" s="158"/>
      <c r="KIE70" s="157"/>
      <c r="KIF70" s="159"/>
      <c r="KIG70" s="157"/>
      <c r="KIH70" s="159"/>
      <c r="KII70" s="160"/>
      <c r="KIJ70" s="161"/>
      <c r="KIK70"/>
      <c r="KIL70" s="162"/>
      <c r="KIM70"/>
      <c r="KIN70" s="155"/>
      <c r="KIO70" s="163"/>
      <c r="KIP70"/>
      <c r="KIQ70" s="156"/>
      <c r="KIR70" s="157"/>
      <c r="KIS70" s="158"/>
      <c r="KIT70" s="158"/>
      <c r="KIU70" s="157"/>
      <c r="KIV70" s="159"/>
      <c r="KIW70" s="157"/>
      <c r="KIX70" s="159"/>
      <c r="KIY70" s="160"/>
      <c r="KIZ70" s="161"/>
      <c r="KJA70"/>
      <c r="KJB70" s="162"/>
      <c r="KJC70"/>
      <c r="KJD70" s="155"/>
      <c r="KJE70" s="163"/>
      <c r="KJF70"/>
      <c r="KJG70" s="156"/>
      <c r="KJH70" s="157"/>
      <c r="KJI70" s="158"/>
      <c r="KJJ70" s="158"/>
      <c r="KJK70" s="157"/>
      <c r="KJL70" s="159"/>
      <c r="KJM70" s="157"/>
      <c r="KJN70" s="159"/>
      <c r="KJO70" s="160"/>
      <c r="KJP70" s="161"/>
      <c r="KJQ70"/>
      <c r="KJR70" s="162"/>
      <c r="KJS70"/>
      <c r="KJT70" s="155"/>
      <c r="KJU70" s="163"/>
      <c r="KJV70"/>
      <c r="KJW70" s="156"/>
      <c r="KJX70" s="157"/>
      <c r="KJY70" s="158"/>
      <c r="KJZ70" s="158"/>
      <c r="KKA70" s="157"/>
      <c r="KKB70" s="159"/>
      <c r="KKC70" s="157"/>
      <c r="KKD70" s="159"/>
      <c r="KKE70" s="160"/>
      <c r="KKF70" s="161"/>
      <c r="KKG70"/>
      <c r="KKH70" s="162"/>
      <c r="KKI70"/>
      <c r="KKJ70" s="155"/>
      <c r="KKK70" s="163"/>
      <c r="KKL70"/>
      <c r="KKM70" s="156"/>
      <c r="KKN70" s="157"/>
      <c r="KKO70" s="158"/>
      <c r="KKP70" s="158"/>
      <c r="KKQ70" s="157"/>
      <c r="KKR70" s="159"/>
      <c r="KKS70" s="157"/>
      <c r="KKT70" s="159"/>
      <c r="KKU70" s="160"/>
      <c r="KKV70" s="161"/>
      <c r="KKW70"/>
      <c r="KKX70" s="162"/>
      <c r="KKY70"/>
      <c r="KKZ70" s="155"/>
      <c r="KLA70" s="163"/>
      <c r="KLB70"/>
      <c r="KLC70" s="156"/>
      <c r="KLD70" s="157"/>
      <c r="KLE70" s="158"/>
      <c r="KLF70" s="158"/>
      <c r="KLG70" s="157"/>
      <c r="KLH70" s="159"/>
      <c r="KLI70" s="157"/>
      <c r="KLJ70" s="159"/>
      <c r="KLK70" s="160"/>
      <c r="KLL70" s="161"/>
      <c r="KLM70"/>
      <c r="KLN70" s="162"/>
      <c r="KLO70"/>
      <c r="KLP70" s="155"/>
      <c r="KLQ70" s="163"/>
      <c r="KLR70"/>
      <c r="KLS70" s="156"/>
      <c r="KLT70" s="157"/>
      <c r="KLU70" s="158"/>
      <c r="KLV70" s="158"/>
      <c r="KLW70" s="157"/>
      <c r="KLX70" s="159"/>
      <c r="KLY70" s="157"/>
      <c r="KLZ70" s="159"/>
      <c r="KMA70" s="160"/>
      <c r="KMB70" s="161"/>
      <c r="KMC70"/>
      <c r="KMD70" s="162"/>
      <c r="KME70"/>
      <c r="KMF70" s="155"/>
      <c r="KMG70" s="163"/>
      <c r="KMH70"/>
      <c r="KMI70" s="156"/>
      <c r="KMJ70" s="157"/>
      <c r="KMK70" s="158"/>
      <c r="KML70" s="158"/>
      <c r="KMM70" s="157"/>
      <c r="KMN70" s="159"/>
      <c r="KMO70" s="157"/>
      <c r="KMP70" s="159"/>
      <c r="KMQ70" s="160"/>
      <c r="KMR70" s="161"/>
      <c r="KMS70"/>
      <c r="KMT70" s="162"/>
      <c r="KMU70"/>
      <c r="KMV70" s="155"/>
      <c r="KMW70" s="163"/>
      <c r="KMX70"/>
      <c r="KMY70" s="156"/>
      <c r="KMZ70" s="157"/>
      <c r="KNA70" s="158"/>
      <c r="KNB70" s="158"/>
      <c r="KNC70" s="157"/>
      <c r="KND70" s="159"/>
      <c r="KNE70" s="157"/>
      <c r="KNF70" s="159"/>
      <c r="KNG70" s="160"/>
      <c r="KNH70" s="161"/>
      <c r="KNI70"/>
      <c r="KNJ70" s="162"/>
      <c r="KNK70"/>
      <c r="KNL70" s="155"/>
      <c r="KNM70" s="163"/>
      <c r="KNN70"/>
      <c r="KNO70" s="156"/>
      <c r="KNP70" s="157"/>
      <c r="KNQ70" s="158"/>
      <c r="KNR70" s="158"/>
      <c r="KNS70" s="157"/>
      <c r="KNT70" s="159"/>
      <c r="KNU70" s="157"/>
      <c r="KNV70" s="159"/>
      <c r="KNW70" s="160"/>
      <c r="KNX70" s="161"/>
      <c r="KNY70"/>
      <c r="KNZ70" s="162"/>
      <c r="KOA70"/>
      <c r="KOB70" s="155"/>
      <c r="KOC70" s="163"/>
      <c r="KOD70"/>
      <c r="KOE70" s="156"/>
      <c r="KOF70" s="157"/>
      <c r="KOG70" s="158"/>
      <c r="KOH70" s="158"/>
      <c r="KOI70" s="157"/>
      <c r="KOJ70" s="159"/>
      <c r="KOK70" s="157"/>
      <c r="KOL70" s="159"/>
      <c r="KOM70" s="160"/>
      <c r="KON70" s="161"/>
      <c r="KOO70"/>
      <c r="KOP70" s="162"/>
      <c r="KOQ70"/>
      <c r="KOR70" s="155"/>
      <c r="KOS70" s="163"/>
      <c r="KOT70"/>
      <c r="KOU70" s="156"/>
      <c r="KOV70" s="157"/>
      <c r="KOW70" s="158"/>
      <c r="KOX70" s="158"/>
      <c r="KOY70" s="157"/>
      <c r="KOZ70" s="159"/>
      <c r="KPA70" s="157"/>
      <c r="KPB70" s="159"/>
      <c r="KPC70" s="160"/>
      <c r="KPD70" s="161"/>
      <c r="KPE70"/>
      <c r="KPF70" s="162"/>
      <c r="KPG70"/>
      <c r="KPH70" s="155"/>
      <c r="KPI70" s="163"/>
      <c r="KPJ70"/>
      <c r="KPK70" s="156"/>
      <c r="KPL70" s="157"/>
      <c r="KPM70" s="158"/>
      <c r="KPN70" s="158"/>
      <c r="KPO70" s="157"/>
      <c r="KPP70" s="159"/>
      <c r="KPQ70" s="157"/>
      <c r="KPR70" s="159"/>
      <c r="KPS70" s="160"/>
      <c r="KPT70" s="161"/>
      <c r="KPU70"/>
      <c r="KPV70" s="162"/>
      <c r="KPW70"/>
      <c r="KPX70" s="155"/>
      <c r="KPY70" s="163"/>
      <c r="KPZ70"/>
      <c r="KQA70" s="156"/>
      <c r="KQB70" s="157"/>
      <c r="KQC70" s="158"/>
      <c r="KQD70" s="158"/>
      <c r="KQE70" s="157"/>
      <c r="KQF70" s="159"/>
      <c r="KQG70" s="157"/>
      <c r="KQH70" s="159"/>
      <c r="KQI70" s="160"/>
      <c r="KQJ70" s="161"/>
      <c r="KQK70"/>
      <c r="KQL70" s="162"/>
      <c r="KQM70"/>
      <c r="KQN70" s="155"/>
      <c r="KQO70" s="163"/>
      <c r="KQP70"/>
      <c r="KQQ70" s="156"/>
      <c r="KQR70" s="157"/>
      <c r="KQS70" s="158"/>
      <c r="KQT70" s="158"/>
      <c r="KQU70" s="157"/>
      <c r="KQV70" s="159"/>
      <c r="KQW70" s="157"/>
      <c r="KQX70" s="159"/>
      <c r="KQY70" s="160"/>
      <c r="KQZ70" s="161"/>
      <c r="KRA70"/>
      <c r="KRB70" s="162"/>
      <c r="KRC70"/>
      <c r="KRD70" s="155"/>
      <c r="KRE70" s="163"/>
      <c r="KRF70"/>
      <c r="KRG70" s="156"/>
      <c r="KRH70" s="157"/>
      <c r="KRI70" s="158"/>
      <c r="KRJ70" s="158"/>
      <c r="KRK70" s="157"/>
      <c r="KRL70" s="159"/>
      <c r="KRM70" s="157"/>
      <c r="KRN70" s="159"/>
      <c r="KRO70" s="160"/>
      <c r="KRP70" s="161"/>
      <c r="KRQ70"/>
      <c r="KRR70" s="162"/>
      <c r="KRS70"/>
      <c r="KRT70" s="155"/>
      <c r="KRU70" s="163"/>
      <c r="KRV70"/>
      <c r="KRW70" s="156"/>
      <c r="KRX70" s="157"/>
      <c r="KRY70" s="158"/>
      <c r="KRZ70" s="158"/>
      <c r="KSA70" s="157"/>
      <c r="KSB70" s="159"/>
      <c r="KSC70" s="157"/>
      <c r="KSD70" s="159"/>
      <c r="KSE70" s="160"/>
      <c r="KSF70" s="161"/>
      <c r="KSG70"/>
      <c r="KSH70" s="162"/>
      <c r="KSI70"/>
      <c r="KSJ70" s="155"/>
      <c r="KSK70" s="163"/>
      <c r="KSL70"/>
      <c r="KSM70" s="156"/>
      <c r="KSN70" s="157"/>
      <c r="KSO70" s="158"/>
      <c r="KSP70" s="158"/>
      <c r="KSQ70" s="157"/>
      <c r="KSR70" s="159"/>
      <c r="KSS70" s="157"/>
      <c r="KST70" s="159"/>
      <c r="KSU70" s="160"/>
      <c r="KSV70" s="161"/>
      <c r="KSW70"/>
      <c r="KSX70" s="162"/>
      <c r="KSY70"/>
      <c r="KSZ70" s="155"/>
      <c r="KTA70" s="163"/>
      <c r="KTB70"/>
      <c r="KTC70" s="156"/>
      <c r="KTD70" s="157"/>
      <c r="KTE70" s="158"/>
      <c r="KTF70" s="158"/>
      <c r="KTG70" s="157"/>
      <c r="KTH70" s="159"/>
      <c r="KTI70" s="157"/>
      <c r="KTJ70" s="159"/>
      <c r="KTK70" s="160"/>
      <c r="KTL70" s="161"/>
      <c r="KTM70"/>
      <c r="KTN70" s="162"/>
      <c r="KTO70"/>
      <c r="KTP70" s="155"/>
      <c r="KTQ70" s="163"/>
      <c r="KTR70"/>
      <c r="KTS70" s="156"/>
      <c r="KTT70" s="157"/>
      <c r="KTU70" s="158"/>
      <c r="KTV70" s="158"/>
      <c r="KTW70" s="157"/>
      <c r="KTX70" s="159"/>
      <c r="KTY70" s="157"/>
      <c r="KTZ70" s="159"/>
      <c r="KUA70" s="160"/>
      <c r="KUB70" s="161"/>
      <c r="KUC70"/>
      <c r="KUD70" s="162"/>
      <c r="KUE70"/>
      <c r="KUF70" s="155"/>
      <c r="KUG70" s="163"/>
      <c r="KUH70"/>
      <c r="KUI70" s="156"/>
      <c r="KUJ70" s="157"/>
      <c r="KUK70" s="158"/>
      <c r="KUL70" s="158"/>
      <c r="KUM70" s="157"/>
      <c r="KUN70" s="159"/>
      <c r="KUO70" s="157"/>
      <c r="KUP70" s="159"/>
      <c r="KUQ70" s="160"/>
      <c r="KUR70" s="161"/>
      <c r="KUS70"/>
      <c r="KUT70" s="162"/>
      <c r="KUU70"/>
      <c r="KUV70" s="155"/>
      <c r="KUW70" s="163"/>
      <c r="KUX70"/>
      <c r="KUY70" s="156"/>
      <c r="KUZ70" s="157"/>
      <c r="KVA70" s="158"/>
      <c r="KVB70" s="158"/>
      <c r="KVC70" s="157"/>
      <c r="KVD70" s="159"/>
      <c r="KVE70" s="157"/>
      <c r="KVF70" s="159"/>
      <c r="KVG70" s="160"/>
      <c r="KVH70" s="161"/>
      <c r="KVI70"/>
      <c r="KVJ70" s="162"/>
      <c r="KVK70"/>
      <c r="KVL70" s="155"/>
      <c r="KVM70" s="163"/>
      <c r="KVN70"/>
      <c r="KVO70" s="156"/>
      <c r="KVP70" s="157"/>
      <c r="KVQ70" s="158"/>
      <c r="KVR70" s="158"/>
      <c r="KVS70" s="157"/>
      <c r="KVT70" s="159"/>
      <c r="KVU70" s="157"/>
      <c r="KVV70" s="159"/>
      <c r="KVW70" s="160"/>
      <c r="KVX70" s="161"/>
      <c r="KVY70"/>
      <c r="KVZ70" s="162"/>
      <c r="KWA70"/>
      <c r="KWB70" s="155"/>
      <c r="KWC70" s="163"/>
      <c r="KWD70"/>
      <c r="KWE70" s="156"/>
      <c r="KWF70" s="157"/>
      <c r="KWG70" s="158"/>
      <c r="KWH70" s="158"/>
      <c r="KWI70" s="157"/>
      <c r="KWJ70" s="159"/>
      <c r="KWK70" s="157"/>
      <c r="KWL70" s="159"/>
      <c r="KWM70" s="160"/>
      <c r="KWN70" s="161"/>
      <c r="KWO70"/>
      <c r="KWP70" s="162"/>
      <c r="KWQ70"/>
      <c r="KWR70" s="155"/>
      <c r="KWS70" s="163"/>
      <c r="KWT70"/>
      <c r="KWU70" s="156"/>
      <c r="KWV70" s="157"/>
      <c r="KWW70" s="158"/>
      <c r="KWX70" s="158"/>
      <c r="KWY70" s="157"/>
      <c r="KWZ70" s="159"/>
      <c r="KXA70" s="157"/>
      <c r="KXB70" s="159"/>
      <c r="KXC70" s="160"/>
      <c r="KXD70" s="161"/>
      <c r="KXE70"/>
      <c r="KXF70" s="162"/>
      <c r="KXG70"/>
      <c r="KXH70" s="155"/>
      <c r="KXI70" s="163"/>
      <c r="KXJ70"/>
      <c r="KXK70" s="156"/>
      <c r="KXL70" s="157"/>
      <c r="KXM70" s="158"/>
      <c r="KXN70" s="158"/>
      <c r="KXO70" s="157"/>
      <c r="KXP70" s="159"/>
      <c r="KXQ70" s="157"/>
      <c r="KXR70" s="159"/>
      <c r="KXS70" s="160"/>
      <c r="KXT70" s="161"/>
      <c r="KXU70"/>
      <c r="KXV70" s="162"/>
      <c r="KXW70"/>
      <c r="KXX70" s="155"/>
      <c r="KXY70" s="163"/>
      <c r="KXZ70"/>
      <c r="KYA70" s="156"/>
      <c r="KYB70" s="157"/>
      <c r="KYC70" s="158"/>
      <c r="KYD70" s="158"/>
      <c r="KYE70" s="157"/>
      <c r="KYF70" s="159"/>
      <c r="KYG70" s="157"/>
      <c r="KYH70" s="159"/>
      <c r="KYI70" s="160"/>
      <c r="KYJ70" s="161"/>
      <c r="KYK70"/>
      <c r="KYL70" s="162"/>
      <c r="KYM70"/>
      <c r="KYN70" s="155"/>
      <c r="KYO70" s="163"/>
      <c r="KYP70"/>
      <c r="KYQ70" s="156"/>
      <c r="KYR70" s="157"/>
      <c r="KYS70" s="158"/>
      <c r="KYT70" s="158"/>
      <c r="KYU70" s="157"/>
      <c r="KYV70" s="159"/>
      <c r="KYW70" s="157"/>
      <c r="KYX70" s="159"/>
      <c r="KYY70" s="160"/>
      <c r="KYZ70" s="161"/>
      <c r="KZA70"/>
      <c r="KZB70" s="162"/>
      <c r="KZC70"/>
      <c r="KZD70" s="155"/>
      <c r="KZE70" s="163"/>
      <c r="KZF70"/>
      <c r="KZG70" s="156"/>
      <c r="KZH70" s="157"/>
      <c r="KZI70" s="158"/>
      <c r="KZJ70" s="158"/>
      <c r="KZK70" s="157"/>
      <c r="KZL70" s="159"/>
      <c r="KZM70" s="157"/>
      <c r="KZN70" s="159"/>
      <c r="KZO70" s="160"/>
      <c r="KZP70" s="161"/>
      <c r="KZQ70"/>
      <c r="KZR70" s="162"/>
      <c r="KZS70"/>
      <c r="KZT70" s="155"/>
      <c r="KZU70" s="163"/>
      <c r="KZV70"/>
      <c r="KZW70" s="156"/>
      <c r="KZX70" s="157"/>
      <c r="KZY70" s="158"/>
      <c r="KZZ70" s="158"/>
      <c r="LAA70" s="157"/>
      <c r="LAB70" s="159"/>
      <c r="LAC70" s="157"/>
      <c r="LAD70" s="159"/>
      <c r="LAE70" s="160"/>
      <c r="LAF70" s="161"/>
      <c r="LAG70"/>
      <c r="LAH70" s="162"/>
      <c r="LAI70"/>
      <c r="LAJ70" s="155"/>
      <c r="LAK70" s="163"/>
      <c r="LAL70"/>
      <c r="LAM70" s="156"/>
      <c r="LAN70" s="157"/>
      <c r="LAO70" s="158"/>
      <c r="LAP70" s="158"/>
      <c r="LAQ70" s="157"/>
      <c r="LAR70" s="159"/>
      <c r="LAS70" s="157"/>
      <c r="LAT70" s="159"/>
      <c r="LAU70" s="160"/>
      <c r="LAV70" s="161"/>
      <c r="LAW70"/>
      <c r="LAX70" s="162"/>
      <c r="LAY70"/>
      <c r="LAZ70" s="155"/>
      <c r="LBA70" s="163"/>
      <c r="LBB70"/>
      <c r="LBC70" s="156"/>
      <c r="LBD70" s="157"/>
      <c r="LBE70" s="158"/>
      <c r="LBF70" s="158"/>
      <c r="LBG70" s="157"/>
      <c r="LBH70" s="159"/>
      <c r="LBI70" s="157"/>
      <c r="LBJ70" s="159"/>
      <c r="LBK70" s="160"/>
      <c r="LBL70" s="161"/>
      <c r="LBM70"/>
      <c r="LBN70" s="162"/>
      <c r="LBO70"/>
      <c r="LBP70" s="155"/>
      <c r="LBQ70" s="163"/>
      <c r="LBR70"/>
      <c r="LBS70" s="156"/>
      <c r="LBT70" s="157"/>
      <c r="LBU70" s="158"/>
      <c r="LBV70" s="158"/>
      <c r="LBW70" s="157"/>
      <c r="LBX70" s="159"/>
      <c r="LBY70" s="157"/>
      <c r="LBZ70" s="159"/>
      <c r="LCA70" s="160"/>
      <c r="LCB70" s="161"/>
      <c r="LCC70"/>
      <c r="LCD70" s="162"/>
      <c r="LCE70"/>
      <c r="LCF70" s="155"/>
      <c r="LCG70" s="163"/>
      <c r="LCH70"/>
      <c r="LCI70" s="156"/>
      <c r="LCJ70" s="157"/>
      <c r="LCK70" s="158"/>
      <c r="LCL70" s="158"/>
      <c r="LCM70" s="157"/>
      <c r="LCN70" s="159"/>
      <c r="LCO70" s="157"/>
      <c r="LCP70" s="159"/>
      <c r="LCQ70" s="160"/>
      <c r="LCR70" s="161"/>
      <c r="LCS70"/>
      <c r="LCT70" s="162"/>
      <c r="LCU70"/>
      <c r="LCV70" s="155"/>
      <c r="LCW70" s="163"/>
      <c r="LCX70"/>
      <c r="LCY70" s="156"/>
      <c r="LCZ70" s="157"/>
      <c r="LDA70" s="158"/>
      <c r="LDB70" s="158"/>
      <c r="LDC70" s="157"/>
      <c r="LDD70" s="159"/>
      <c r="LDE70" s="157"/>
      <c r="LDF70" s="159"/>
      <c r="LDG70" s="160"/>
      <c r="LDH70" s="161"/>
      <c r="LDI70"/>
      <c r="LDJ70" s="162"/>
      <c r="LDK70"/>
      <c r="LDL70" s="155"/>
      <c r="LDM70" s="163"/>
      <c r="LDN70"/>
      <c r="LDO70" s="156"/>
      <c r="LDP70" s="157"/>
      <c r="LDQ70" s="158"/>
      <c r="LDR70" s="158"/>
      <c r="LDS70" s="157"/>
      <c r="LDT70" s="159"/>
      <c r="LDU70" s="157"/>
      <c r="LDV70" s="159"/>
      <c r="LDW70" s="160"/>
      <c r="LDX70" s="161"/>
      <c r="LDY70"/>
      <c r="LDZ70" s="162"/>
      <c r="LEA70"/>
      <c r="LEB70" s="155"/>
      <c r="LEC70" s="163"/>
      <c r="LED70"/>
      <c r="LEE70" s="156"/>
      <c r="LEF70" s="157"/>
      <c r="LEG70" s="158"/>
      <c r="LEH70" s="158"/>
      <c r="LEI70" s="157"/>
      <c r="LEJ70" s="159"/>
      <c r="LEK70" s="157"/>
      <c r="LEL70" s="159"/>
      <c r="LEM70" s="160"/>
      <c r="LEN70" s="161"/>
      <c r="LEO70"/>
      <c r="LEP70" s="162"/>
      <c r="LEQ70"/>
      <c r="LER70" s="155"/>
      <c r="LES70" s="163"/>
      <c r="LET70"/>
      <c r="LEU70" s="156"/>
      <c r="LEV70" s="157"/>
      <c r="LEW70" s="158"/>
      <c r="LEX70" s="158"/>
      <c r="LEY70" s="157"/>
      <c r="LEZ70" s="159"/>
      <c r="LFA70" s="157"/>
      <c r="LFB70" s="159"/>
      <c r="LFC70" s="160"/>
      <c r="LFD70" s="161"/>
      <c r="LFE70"/>
      <c r="LFF70" s="162"/>
      <c r="LFG70"/>
      <c r="LFH70" s="155"/>
      <c r="LFI70" s="163"/>
      <c r="LFJ70"/>
      <c r="LFK70" s="156"/>
      <c r="LFL70" s="157"/>
      <c r="LFM70" s="158"/>
      <c r="LFN70" s="158"/>
      <c r="LFO70" s="157"/>
      <c r="LFP70" s="159"/>
      <c r="LFQ70" s="157"/>
      <c r="LFR70" s="159"/>
      <c r="LFS70" s="160"/>
      <c r="LFT70" s="161"/>
      <c r="LFU70"/>
      <c r="LFV70" s="162"/>
      <c r="LFW70"/>
      <c r="LFX70" s="155"/>
      <c r="LFY70" s="163"/>
      <c r="LFZ70"/>
      <c r="LGA70" s="156"/>
      <c r="LGB70" s="157"/>
      <c r="LGC70" s="158"/>
      <c r="LGD70" s="158"/>
      <c r="LGE70" s="157"/>
      <c r="LGF70" s="159"/>
      <c r="LGG70" s="157"/>
      <c r="LGH70" s="159"/>
      <c r="LGI70" s="160"/>
      <c r="LGJ70" s="161"/>
      <c r="LGK70"/>
      <c r="LGL70" s="162"/>
      <c r="LGM70"/>
      <c r="LGN70" s="155"/>
      <c r="LGO70" s="163"/>
      <c r="LGP70"/>
      <c r="LGQ70" s="156"/>
      <c r="LGR70" s="157"/>
      <c r="LGS70" s="158"/>
      <c r="LGT70" s="158"/>
      <c r="LGU70" s="157"/>
      <c r="LGV70" s="159"/>
      <c r="LGW70" s="157"/>
      <c r="LGX70" s="159"/>
      <c r="LGY70" s="160"/>
      <c r="LGZ70" s="161"/>
      <c r="LHA70"/>
      <c r="LHB70" s="162"/>
      <c r="LHC70"/>
      <c r="LHD70" s="155"/>
      <c r="LHE70" s="163"/>
      <c r="LHF70"/>
      <c r="LHG70" s="156"/>
      <c r="LHH70" s="157"/>
      <c r="LHI70" s="158"/>
      <c r="LHJ70" s="158"/>
      <c r="LHK70" s="157"/>
      <c r="LHL70" s="159"/>
      <c r="LHM70" s="157"/>
      <c r="LHN70" s="159"/>
      <c r="LHO70" s="160"/>
      <c r="LHP70" s="161"/>
      <c r="LHQ70"/>
      <c r="LHR70" s="162"/>
      <c r="LHS70"/>
      <c r="LHT70" s="155"/>
      <c r="LHU70" s="163"/>
      <c r="LHV70"/>
      <c r="LHW70" s="156"/>
      <c r="LHX70" s="157"/>
      <c r="LHY70" s="158"/>
      <c r="LHZ70" s="158"/>
      <c r="LIA70" s="157"/>
      <c r="LIB70" s="159"/>
      <c r="LIC70" s="157"/>
      <c r="LID70" s="159"/>
      <c r="LIE70" s="160"/>
      <c r="LIF70" s="161"/>
      <c r="LIG70"/>
      <c r="LIH70" s="162"/>
      <c r="LII70"/>
      <c r="LIJ70" s="155"/>
      <c r="LIK70" s="163"/>
      <c r="LIL70"/>
      <c r="LIM70" s="156"/>
      <c r="LIN70" s="157"/>
      <c r="LIO70" s="158"/>
      <c r="LIP70" s="158"/>
      <c r="LIQ70" s="157"/>
      <c r="LIR70" s="159"/>
      <c r="LIS70" s="157"/>
      <c r="LIT70" s="159"/>
      <c r="LIU70" s="160"/>
      <c r="LIV70" s="161"/>
      <c r="LIW70"/>
      <c r="LIX70" s="162"/>
      <c r="LIY70"/>
      <c r="LIZ70" s="155"/>
      <c r="LJA70" s="163"/>
      <c r="LJB70"/>
      <c r="LJC70" s="156"/>
      <c r="LJD70" s="157"/>
      <c r="LJE70" s="158"/>
      <c r="LJF70" s="158"/>
      <c r="LJG70" s="157"/>
      <c r="LJH70" s="159"/>
      <c r="LJI70" s="157"/>
      <c r="LJJ70" s="159"/>
      <c r="LJK70" s="160"/>
      <c r="LJL70" s="161"/>
      <c r="LJM70"/>
      <c r="LJN70" s="162"/>
      <c r="LJO70"/>
      <c r="LJP70" s="155"/>
      <c r="LJQ70" s="163"/>
      <c r="LJR70"/>
      <c r="LJS70" s="156"/>
      <c r="LJT70" s="157"/>
      <c r="LJU70" s="158"/>
      <c r="LJV70" s="158"/>
      <c r="LJW70" s="157"/>
      <c r="LJX70" s="159"/>
      <c r="LJY70" s="157"/>
      <c r="LJZ70" s="159"/>
      <c r="LKA70" s="160"/>
      <c r="LKB70" s="161"/>
      <c r="LKC70"/>
      <c r="LKD70" s="162"/>
      <c r="LKE70"/>
      <c r="LKF70" s="155"/>
      <c r="LKG70" s="163"/>
      <c r="LKH70"/>
      <c r="LKI70" s="156"/>
      <c r="LKJ70" s="157"/>
      <c r="LKK70" s="158"/>
      <c r="LKL70" s="158"/>
      <c r="LKM70" s="157"/>
      <c r="LKN70" s="159"/>
      <c r="LKO70" s="157"/>
      <c r="LKP70" s="159"/>
      <c r="LKQ70" s="160"/>
      <c r="LKR70" s="161"/>
      <c r="LKS70"/>
      <c r="LKT70" s="162"/>
      <c r="LKU70"/>
      <c r="LKV70" s="155"/>
      <c r="LKW70" s="163"/>
      <c r="LKX70"/>
      <c r="LKY70" s="156"/>
      <c r="LKZ70" s="157"/>
      <c r="LLA70" s="158"/>
      <c r="LLB70" s="158"/>
      <c r="LLC70" s="157"/>
      <c r="LLD70" s="159"/>
      <c r="LLE70" s="157"/>
      <c r="LLF70" s="159"/>
      <c r="LLG70" s="160"/>
      <c r="LLH70" s="161"/>
      <c r="LLI70"/>
      <c r="LLJ70" s="162"/>
      <c r="LLK70"/>
      <c r="LLL70" s="155"/>
      <c r="LLM70" s="163"/>
      <c r="LLN70"/>
      <c r="LLO70" s="156"/>
      <c r="LLP70" s="157"/>
      <c r="LLQ70" s="158"/>
      <c r="LLR70" s="158"/>
      <c r="LLS70" s="157"/>
      <c r="LLT70" s="159"/>
      <c r="LLU70" s="157"/>
      <c r="LLV70" s="159"/>
      <c r="LLW70" s="160"/>
      <c r="LLX70" s="161"/>
      <c r="LLY70"/>
      <c r="LLZ70" s="162"/>
      <c r="LMA70"/>
      <c r="LMB70" s="155"/>
      <c r="LMC70" s="163"/>
      <c r="LMD70"/>
      <c r="LME70" s="156"/>
      <c r="LMF70" s="157"/>
      <c r="LMG70" s="158"/>
      <c r="LMH70" s="158"/>
      <c r="LMI70" s="157"/>
      <c r="LMJ70" s="159"/>
      <c r="LMK70" s="157"/>
      <c r="LML70" s="159"/>
      <c r="LMM70" s="160"/>
      <c r="LMN70" s="161"/>
      <c r="LMO70"/>
      <c r="LMP70" s="162"/>
      <c r="LMQ70"/>
      <c r="LMR70" s="155"/>
      <c r="LMS70" s="163"/>
      <c r="LMT70"/>
      <c r="LMU70" s="156"/>
      <c r="LMV70" s="157"/>
      <c r="LMW70" s="158"/>
      <c r="LMX70" s="158"/>
      <c r="LMY70" s="157"/>
      <c r="LMZ70" s="159"/>
      <c r="LNA70" s="157"/>
      <c r="LNB70" s="159"/>
      <c r="LNC70" s="160"/>
      <c r="LND70" s="161"/>
      <c r="LNE70"/>
      <c r="LNF70" s="162"/>
      <c r="LNG70"/>
      <c r="LNH70" s="155"/>
      <c r="LNI70" s="163"/>
      <c r="LNJ70"/>
      <c r="LNK70" s="156"/>
      <c r="LNL70" s="157"/>
      <c r="LNM70" s="158"/>
      <c r="LNN70" s="158"/>
      <c r="LNO70" s="157"/>
      <c r="LNP70" s="159"/>
      <c r="LNQ70" s="157"/>
      <c r="LNR70" s="159"/>
      <c r="LNS70" s="160"/>
      <c r="LNT70" s="161"/>
      <c r="LNU70"/>
      <c r="LNV70" s="162"/>
      <c r="LNW70"/>
      <c r="LNX70" s="155"/>
      <c r="LNY70" s="163"/>
      <c r="LNZ70"/>
      <c r="LOA70" s="156"/>
      <c r="LOB70" s="157"/>
      <c r="LOC70" s="158"/>
      <c r="LOD70" s="158"/>
      <c r="LOE70" s="157"/>
      <c r="LOF70" s="159"/>
      <c r="LOG70" s="157"/>
      <c r="LOH70" s="159"/>
      <c r="LOI70" s="160"/>
      <c r="LOJ70" s="161"/>
      <c r="LOK70"/>
      <c r="LOL70" s="162"/>
      <c r="LOM70"/>
      <c r="LON70" s="155"/>
      <c r="LOO70" s="163"/>
      <c r="LOP70"/>
      <c r="LOQ70" s="156"/>
      <c r="LOR70" s="157"/>
      <c r="LOS70" s="158"/>
      <c r="LOT70" s="158"/>
      <c r="LOU70" s="157"/>
      <c r="LOV70" s="159"/>
      <c r="LOW70" s="157"/>
      <c r="LOX70" s="159"/>
      <c r="LOY70" s="160"/>
      <c r="LOZ70" s="161"/>
      <c r="LPA70"/>
      <c r="LPB70" s="162"/>
      <c r="LPC70"/>
      <c r="LPD70" s="155"/>
      <c r="LPE70" s="163"/>
      <c r="LPF70"/>
      <c r="LPG70" s="156"/>
      <c r="LPH70" s="157"/>
      <c r="LPI70" s="158"/>
      <c r="LPJ70" s="158"/>
      <c r="LPK70" s="157"/>
      <c r="LPL70" s="159"/>
      <c r="LPM70" s="157"/>
      <c r="LPN70" s="159"/>
      <c r="LPO70" s="160"/>
      <c r="LPP70" s="161"/>
      <c r="LPQ70"/>
      <c r="LPR70" s="162"/>
      <c r="LPS70"/>
      <c r="LPT70" s="155"/>
      <c r="LPU70" s="163"/>
      <c r="LPV70"/>
      <c r="LPW70" s="156"/>
      <c r="LPX70" s="157"/>
      <c r="LPY70" s="158"/>
      <c r="LPZ70" s="158"/>
      <c r="LQA70" s="157"/>
      <c r="LQB70" s="159"/>
      <c r="LQC70" s="157"/>
      <c r="LQD70" s="159"/>
      <c r="LQE70" s="160"/>
      <c r="LQF70" s="161"/>
      <c r="LQG70"/>
      <c r="LQH70" s="162"/>
      <c r="LQI70"/>
      <c r="LQJ70" s="155"/>
      <c r="LQK70" s="163"/>
      <c r="LQL70"/>
      <c r="LQM70" s="156"/>
      <c r="LQN70" s="157"/>
      <c r="LQO70" s="158"/>
      <c r="LQP70" s="158"/>
      <c r="LQQ70" s="157"/>
      <c r="LQR70" s="159"/>
      <c r="LQS70" s="157"/>
      <c r="LQT70" s="159"/>
      <c r="LQU70" s="160"/>
      <c r="LQV70" s="161"/>
      <c r="LQW70"/>
      <c r="LQX70" s="162"/>
      <c r="LQY70"/>
      <c r="LQZ70" s="155"/>
      <c r="LRA70" s="163"/>
      <c r="LRB70"/>
      <c r="LRC70" s="156"/>
      <c r="LRD70" s="157"/>
      <c r="LRE70" s="158"/>
      <c r="LRF70" s="158"/>
      <c r="LRG70" s="157"/>
      <c r="LRH70" s="159"/>
      <c r="LRI70" s="157"/>
      <c r="LRJ70" s="159"/>
      <c r="LRK70" s="160"/>
      <c r="LRL70" s="161"/>
      <c r="LRM70"/>
      <c r="LRN70" s="162"/>
      <c r="LRO70"/>
      <c r="LRP70" s="155"/>
      <c r="LRQ70" s="163"/>
      <c r="LRR70"/>
      <c r="LRS70" s="156"/>
      <c r="LRT70" s="157"/>
      <c r="LRU70" s="158"/>
      <c r="LRV70" s="158"/>
      <c r="LRW70" s="157"/>
      <c r="LRX70" s="159"/>
      <c r="LRY70" s="157"/>
      <c r="LRZ70" s="159"/>
      <c r="LSA70" s="160"/>
      <c r="LSB70" s="161"/>
      <c r="LSC70"/>
      <c r="LSD70" s="162"/>
      <c r="LSE70"/>
      <c r="LSF70" s="155"/>
      <c r="LSG70" s="163"/>
      <c r="LSH70"/>
      <c r="LSI70" s="156"/>
      <c r="LSJ70" s="157"/>
      <c r="LSK70" s="158"/>
      <c r="LSL70" s="158"/>
      <c r="LSM70" s="157"/>
      <c r="LSN70" s="159"/>
      <c r="LSO70" s="157"/>
      <c r="LSP70" s="159"/>
      <c r="LSQ70" s="160"/>
      <c r="LSR70" s="161"/>
      <c r="LSS70"/>
      <c r="LST70" s="162"/>
      <c r="LSU70"/>
      <c r="LSV70" s="155"/>
      <c r="LSW70" s="163"/>
      <c r="LSX70"/>
      <c r="LSY70" s="156"/>
      <c r="LSZ70" s="157"/>
      <c r="LTA70" s="158"/>
      <c r="LTB70" s="158"/>
      <c r="LTC70" s="157"/>
      <c r="LTD70" s="159"/>
      <c r="LTE70" s="157"/>
      <c r="LTF70" s="159"/>
      <c r="LTG70" s="160"/>
      <c r="LTH70" s="161"/>
      <c r="LTI70"/>
      <c r="LTJ70" s="162"/>
      <c r="LTK70"/>
      <c r="LTL70" s="155"/>
      <c r="LTM70" s="163"/>
      <c r="LTN70"/>
      <c r="LTO70" s="156"/>
      <c r="LTP70" s="157"/>
      <c r="LTQ70" s="158"/>
      <c r="LTR70" s="158"/>
      <c r="LTS70" s="157"/>
      <c r="LTT70" s="159"/>
      <c r="LTU70" s="157"/>
      <c r="LTV70" s="159"/>
      <c r="LTW70" s="160"/>
      <c r="LTX70" s="161"/>
      <c r="LTY70"/>
      <c r="LTZ70" s="162"/>
      <c r="LUA70"/>
      <c r="LUB70" s="155"/>
      <c r="LUC70" s="163"/>
      <c r="LUD70"/>
      <c r="LUE70" s="156"/>
      <c r="LUF70" s="157"/>
      <c r="LUG70" s="158"/>
      <c r="LUH70" s="158"/>
      <c r="LUI70" s="157"/>
      <c r="LUJ70" s="159"/>
      <c r="LUK70" s="157"/>
      <c r="LUL70" s="159"/>
      <c r="LUM70" s="160"/>
      <c r="LUN70" s="161"/>
      <c r="LUO70"/>
      <c r="LUP70" s="162"/>
      <c r="LUQ70"/>
      <c r="LUR70" s="155"/>
      <c r="LUS70" s="163"/>
      <c r="LUT70"/>
      <c r="LUU70" s="156"/>
      <c r="LUV70" s="157"/>
      <c r="LUW70" s="158"/>
      <c r="LUX70" s="158"/>
      <c r="LUY70" s="157"/>
      <c r="LUZ70" s="159"/>
      <c r="LVA70" s="157"/>
      <c r="LVB70" s="159"/>
      <c r="LVC70" s="160"/>
      <c r="LVD70" s="161"/>
      <c r="LVE70"/>
      <c r="LVF70" s="162"/>
      <c r="LVG70"/>
      <c r="LVH70" s="155"/>
      <c r="LVI70" s="163"/>
      <c r="LVJ70"/>
      <c r="LVK70" s="156"/>
      <c r="LVL70" s="157"/>
      <c r="LVM70" s="158"/>
      <c r="LVN70" s="158"/>
      <c r="LVO70" s="157"/>
      <c r="LVP70" s="159"/>
      <c r="LVQ70" s="157"/>
      <c r="LVR70" s="159"/>
      <c r="LVS70" s="160"/>
      <c r="LVT70" s="161"/>
      <c r="LVU70"/>
      <c r="LVV70" s="162"/>
      <c r="LVW70"/>
      <c r="LVX70" s="155"/>
      <c r="LVY70" s="163"/>
      <c r="LVZ70"/>
      <c r="LWA70" s="156"/>
      <c r="LWB70" s="157"/>
      <c r="LWC70" s="158"/>
      <c r="LWD70" s="158"/>
      <c r="LWE70" s="157"/>
      <c r="LWF70" s="159"/>
      <c r="LWG70" s="157"/>
      <c r="LWH70" s="159"/>
      <c r="LWI70" s="160"/>
      <c r="LWJ70" s="161"/>
      <c r="LWK70"/>
      <c r="LWL70" s="162"/>
      <c r="LWM70"/>
      <c r="LWN70" s="155"/>
      <c r="LWO70" s="163"/>
      <c r="LWP70"/>
      <c r="LWQ70" s="156"/>
      <c r="LWR70" s="157"/>
      <c r="LWS70" s="158"/>
      <c r="LWT70" s="158"/>
      <c r="LWU70" s="157"/>
      <c r="LWV70" s="159"/>
      <c r="LWW70" s="157"/>
      <c r="LWX70" s="159"/>
      <c r="LWY70" s="160"/>
      <c r="LWZ70" s="161"/>
      <c r="LXA70"/>
      <c r="LXB70" s="162"/>
      <c r="LXC70"/>
      <c r="LXD70" s="155"/>
      <c r="LXE70" s="163"/>
      <c r="LXF70"/>
      <c r="LXG70" s="156"/>
      <c r="LXH70" s="157"/>
      <c r="LXI70" s="158"/>
      <c r="LXJ70" s="158"/>
      <c r="LXK70" s="157"/>
      <c r="LXL70" s="159"/>
      <c r="LXM70" s="157"/>
      <c r="LXN70" s="159"/>
      <c r="LXO70" s="160"/>
      <c r="LXP70" s="161"/>
      <c r="LXQ70"/>
      <c r="LXR70" s="162"/>
      <c r="LXS70"/>
      <c r="LXT70" s="155"/>
      <c r="LXU70" s="163"/>
      <c r="LXV70"/>
      <c r="LXW70" s="156"/>
      <c r="LXX70" s="157"/>
      <c r="LXY70" s="158"/>
      <c r="LXZ70" s="158"/>
      <c r="LYA70" s="157"/>
      <c r="LYB70" s="159"/>
      <c r="LYC70" s="157"/>
      <c r="LYD70" s="159"/>
      <c r="LYE70" s="160"/>
      <c r="LYF70" s="161"/>
      <c r="LYG70"/>
      <c r="LYH70" s="162"/>
      <c r="LYI70"/>
      <c r="LYJ70" s="155"/>
      <c r="LYK70" s="163"/>
      <c r="LYL70"/>
      <c r="LYM70" s="156"/>
      <c r="LYN70" s="157"/>
      <c r="LYO70" s="158"/>
      <c r="LYP70" s="158"/>
      <c r="LYQ70" s="157"/>
      <c r="LYR70" s="159"/>
      <c r="LYS70" s="157"/>
      <c r="LYT70" s="159"/>
      <c r="LYU70" s="160"/>
      <c r="LYV70" s="161"/>
      <c r="LYW70"/>
      <c r="LYX70" s="162"/>
      <c r="LYY70"/>
      <c r="LYZ70" s="155"/>
      <c r="LZA70" s="163"/>
      <c r="LZB70"/>
      <c r="LZC70" s="156"/>
      <c r="LZD70" s="157"/>
      <c r="LZE70" s="158"/>
      <c r="LZF70" s="158"/>
      <c r="LZG70" s="157"/>
      <c r="LZH70" s="159"/>
      <c r="LZI70" s="157"/>
      <c r="LZJ70" s="159"/>
      <c r="LZK70" s="160"/>
      <c r="LZL70" s="161"/>
      <c r="LZM70"/>
      <c r="LZN70" s="162"/>
      <c r="LZO70"/>
      <c r="LZP70" s="155"/>
      <c r="LZQ70" s="163"/>
      <c r="LZR70"/>
      <c r="LZS70" s="156"/>
      <c r="LZT70" s="157"/>
      <c r="LZU70" s="158"/>
      <c r="LZV70" s="158"/>
      <c r="LZW70" s="157"/>
      <c r="LZX70" s="159"/>
      <c r="LZY70" s="157"/>
      <c r="LZZ70" s="159"/>
      <c r="MAA70" s="160"/>
      <c r="MAB70" s="161"/>
      <c r="MAC70"/>
      <c r="MAD70" s="162"/>
      <c r="MAE70"/>
      <c r="MAF70" s="155"/>
      <c r="MAG70" s="163"/>
      <c r="MAH70"/>
      <c r="MAI70" s="156"/>
      <c r="MAJ70" s="157"/>
      <c r="MAK70" s="158"/>
      <c r="MAL70" s="158"/>
      <c r="MAM70" s="157"/>
      <c r="MAN70" s="159"/>
      <c r="MAO70" s="157"/>
      <c r="MAP70" s="159"/>
      <c r="MAQ70" s="160"/>
      <c r="MAR70" s="161"/>
      <c r="MAS70"/>
      <c r="MAT70" s="162"/>
      <c r="MAU70"/>
      <c r="MAV70" s="155"/>
      <c r="MAW70" s="163"/>
      <c r="MAX70"/>
      <c r="MAY70" s="156"/>
      <c r="MAZ70" s="157"/>
      <c r="MBA70" s="158"/>
      <c r="MBB70" s="158"/>
      <c r="MBC70" s="157"/>
      <c r="MBD70" s="159"/>
      <c r="MBE70" s="157"/>
      <c r="MBF70" s="159"/>
      <c r="MBG70" s="160"/>
      <c r="MBH70" s="161"/>
      <c r="MBI70"/>
      <c r="MBJ70" s="162"/>
      <c r="MBK70"/>
      <c r="MBL70" s="155"/>
      <c r="MBM70" s="163"/>
      <c r="MBN70"/>
      <c r="MBO70" s="156"/>
      <c r="MBP70" s="157"/>
      <c r="MBQ70" s="158"/>
      <c r="MBR70" s="158"/>
      <c r="MBS70" s="157"/>
      <c r="MBT70" s="159"/>
      <c r="MBU70" s="157"/>
      <c r="MBV70" s="159"/>
      <c r="MBW70" s="160"/>
      <c r="MBX70" s="161"/>
      <c r="MBY70"/>
      <c r="MBZ70" s="162"/>
      <c r="MCA70"/>
      <c r="MCB70" s="155"/>
      <c r="MCC70" s="163"/>
      <c r="MCD70"/>
      <c r="MCE70" s="156"/>
      <c r="MCF70" s="157"/>
      <c r="MCG70" s="158"/>
      <c r="MCH70" s="158"/>
      <c r="MCI70" s="157"/>
      <c r="MCJ70" s="159"/>
      <c r="MCK70" s="157"/>
      <c r="MCL70" s="159"/>
      <c r="MCM70" s="160"/>
      <c r="MCN70" s="161"/>
      <c r="MCO70"/>
      <c r="MCP70" s="162"/>
      <c r="MCQ70"/>
      <c r="MCR70" s="155"/>
      <c r="MCS70" s="163"/>
      <c r="MCT70"/>
      <c r="MCU70" s="156"/>
      <c r="MCV70" s="157"/>
      <c r="MCW70" s="158"/>
      <c r="MCX70" s="158"/>
      <c r="MCY70" s="157"/>
      <c r="MCZ70" s="159"/>
      <c r="MDA70" s="157"/>
      <c r="MDB70" s="159"/>
      <c r="MDC70" s="160"/>
      <c r="MDD70" s="161"/>
      <c r="MDE70"/>
      <c r="MDF70" s="162"/>
      <c r="MDG70"/>
      <c r="MDH70" s="155"/>
      <c r="MDI70" s="163"/>
      <c r="MDJ70"/>
      <c r="MDK70" s="156"/>
      <c r="MDL70" s="157"/>
      <c r="MDM70" s="158"/>
      <c r="MDN70" s="158"/>
      <c r="MDO70" s="157"/>
      <c r="MDP70" s="159"/>
      <c r="MDQ70" s="157"/>
      <c r="MDR70" s="159"/>
      <c r="MDS70" s="160"/>
      <c r="MDT70" s="161"/>
      <c r="MDU70"/>
      <c r="MDV70" s="162"/>
      <c r="MDW70"/>
      <c r="MDX70" s="155"/>
      <c r="MDY70" s="163"/>
      <c r="MDZ70"/>
      <c r="MEA70" s="156"/>
      <c r="MEB70" s="157"/>
      <c r="MEC70" s="158"/>
      <c r="MED70" s="158"/>
      <c r="MEE70" s="157"/>
      <c r="MEF70" s="159"/>
      <c r="MEG70" s="157"/>
      <c r="MEH70" s="159"/>
      <c r="MEI70" s="160"/>
      <c r="MEJ70" s="161"/>
      <c r="MEK70"/>
      <c r="MEL70" s="162"/>
      <c r="MEM70"/>
      <c r="MEN70" s="155"/>
      <c r="MEO70" s="163"/>
      <c r="MEP70"/>
      <c r="MEQ70" s="156"/>
      <c r="MER70" s="157"/>
      <c r="MES70" s="158"/>
      <c r="MET70" s="158"/>
      <c r="MEU70" s="157"/>
      <c r="MEV70" s="159"/>
      <c r="MEW70" s="157"/>
      <c r="MEX70" s="159"/>
      <c r="MEY70" s="160"/>
      <c r="MEZ70" s="161"/>
      <c r="MFA70"/>
      <c r="MFB70" s="162"/>
      <c r="MFC70"/>
      <c r="MFD70" s="155"/>
      <c r="MFE70" s="163"/>
      <c r="MFF70"/>
      <c r="MFG70" s="156"/>
      <c r="MFH70" s="157"/>
      <c r="MFI70" s="158"/>
      <c r="MFJ70" s="158"/>
      <c r="MFK70" s="157"/>
      <c r="MFL70" s="159"/>
      <c r="MFM70" s="157"/>
      <c r="MFN70" s="159"/>
      <c r="MFO70" s="160"/>
      <c r="MFP70" s="161"/>
      <c r="MFQ70"/>
      <c r="MFR70" s="162"/>
      <c r="MFS70"/>
      <c r="MFT70" s="155"/>
      <c r="MFU70" s="163"/>
      <c r="MFV70"/>
      <c r="MFW70" s="156"/>
      <c r="MFX70" s="157"/>
      <c r="MFY70" s="158"/>
      <c r="MFZ70" s="158"/>
      <c r="MGA70" s="157"/>
      <c r="MGB70" s="159"/>
      <c r="MGC70" s="157"/>
      <c r="MGD70" s="159"/>
      <c r="MGE70" s="160"/>
      <c r="MGF70" s="161"/>
      <c r="MGG70"/>
      <c r="MGH70" s="162"/>
      <c r="MGI70"/>
      <c r="MGJ70" s="155"/>
      <c r="MGK70" s="163"/>
      <c r="MGL70"/>
      <c r="MGM70" s="156"/>
      <c r="MGN70" s="157"/>
      <c r="MGO70" s="158"/>
      <c r="MGP70" s="158"/>
      <c r="MGQ70" s="157"/>
      <c r="MGR70" s="159"/>
      <c r="MGS70" s="157"/>
      <c r="MGT70" s="159"/>
      <c r="MGU70" s="160"/>
      <c r="MGV70" s="161"/>
      <c r="MGW70"/>
      <c r="MGX70" s="162"/>
      <c r="MGY70"/>
      <c r="MGZ70" s="155"/>
      <c r="MHA70" s="163"/>
      <c r="MHB70"/>
      <c r="MHC70" s="156"/>
      <c r="MHD70" s="157"/>
      <c r="MHE70" s="158"/>
      <c r="MHF70" s="158"/>
      <c r="MHG70" s="157"/>
      <c r="MHH70" s="159"/>
      <c r="MHI70" s="157"/>
      <c r="MHJ70" s="159"/>
      <c r="MHK70" s="160"/>
      <c r="MHL70" s="161"/>
      <c r="MHM70"/>
      <c r="MHN70" s="162"/>
      <c r="MHO70"/>
      <c r="MHP70" s="155"/>
      <c r="MHQ70" s="163"/>
      <c r="MHR70"/>
      <c r="MHS70" s="156"/>
      <c r="MHT70" s="157"/>
      <c r="MHU70" s="158"/>
      <c r="MHV70" s="158"/>
      <c r="MHW70" s="157"/>
      <c r="MHX70" s="159"/>
      <c r="MHY70" s="157"/>
      <c r="MHZ70" s="159"/>
      <c r="MIA70" s="160"/>
      <c r="MIB70" s="161"/>
      <c r="MIC70"/>
      <c r="MID70" s="162"/>
      <c r="MIE70"/>
      <c r="MIF70" s="155"/>
      <c r="MIG70" s="163"/>
      <c r="MIH70"/>
      <c r="MII70" s="156"/>
      <c r="MIJ70" s="157"/>
      <c r="MIK70" s="158"/>
      <c r="MIL70" s="158"/>
      <c r="MIM70" s="157"/>
      <c r="MIN70" s="159"/>
      <c r="MIO70" s="157"/>
      <c r="MIP70" s="159"/>
      <c r="MIQ70" s="160"/>
      <c r="MIR70" s="161"/>
      <c r="MIS70"/>
      <c r="MIT70" s="162"/>
      <c r="MIU70"/>
      <c r="MIV70" s="155"/>
      <c r="MIW70" s="163"/>
      <c r="MIX70"/>
      <c r="MIY70" s="156"/>
      <c r="MIZ70" s="157"/>
      <c r="MJA70" s="158"/>
      <c r="MJB70" s="158"/>
      <c r="MJC70" s="157"/>
      <c r="MJD70" s="159"/>
      <c r="MJE70" s="157"/>
      <c r="MJF70" s="159"/>
      <c r="MJG70" s="160"/>
      <c r="MJH70" s="161"/>
      <c r="MJI70"/>
      <c r="MJJ70" s="162"/>
      <c r="MJK70"/>
      <c r="MJL70" s="155"/>
      <c r="MJM70" s="163"/>
      <c r="MJN70"/>
      <c r="MJO70" s="156"/>
      <c r="MJP70" s="157"/>
      <c r="MJQ70" s="158"/>
      <c r="MJR70" s="158"/>
      <c r="MJS70" s="157"/>
      <c r="MJT70" s="159"/>
      <c r="MJU70" s="157"/>
      <c r="MJV70" s="159"/>
      <c r="MJW70" s="160"/>
      <c r="MJX70" s="161"/>
      <c r="MJY70"/>
      <c r="MJZ70" s="162"/>
      <c r="MKA70"/>
      <c r="MKB70" s="155"/>
      <c r="MKC70" s="163"/>
      <c r="MKD70"/>
      <c r="MKE70" s="156"/>
      <c r="MKF70" s="157"/>
      <c r="MKG70" s="158"/>
      <c r="MKH70" s="158"/>
      <c r="MKI70" s="157"/>
      <c r="MKJ70" s="159"/>
      <c r="MKK70" s="157"/>
      <c r="MKL70" s="159"/>
      <c r="MKM70" s="160"/>
      <c r="MKN70" s="161"/>
      <c r="MKO70"/>
      <c r="MKP70" s="162"/>
      <c r="MKQ70"/>
      <c r="MKR70" s="155"/>
      <c r="MKS70" s="163"/>
      <c r="MKT70"/>
      <c r="MKU70" s="156"/>
      <c r="MKV70" s="157"/>
      <c r="MKW70" s="158"/>
      <c r="MKX70" s="158"/>
      <c r="MKY70" s="157"/>
      <c r="MKZ70" s="159"/>
      <c r="MLA70" s="157"/>
      <c r="MLB70" s="159"/>
      <c r="MLC70" s="160"/>
      <c r="MLD70" s="161"/>
      <c r="MLE70"/>
      <c r="MLF70" s="162"/>
      <c r="MLG70"/>
      <c r="MLH70" s="155"/>
      <c r="MLI70" s="163"/>
      <c r="MLJ70"/>
      <c r="MLK70" s="156"/>
      <c r="MLL70" s="157"/>
      <c r="MLM70" s="158"/>
      <c r="MLN70" s="158"/>
      <c r="MLO70" s="157"/>
      <c r="MLP70" s="159"/>
      <c r="MLQ70" s="157"/>
      <c r="MLR70" s="159"/>
      <c r="MLS70" s="160"/>
      <c r="MLT70" s="161"/>
      <c r="MLU70"/>
      <c r="MLV70" s="162"/>
      <c r="MLW70"/>
      <c r="MLX70" s="155"/>
      <c r="MLY70" s="163"/>
      <c r="MLZ70"/>
      <c r="MMA70" s="156"/>
      <c r="MMB70" s="157"/>
      <c r="MMC70" s="158"/>
      <c r="MMD70" s="158"/>
      <c r="MME70" s="157"/>
      <c r="MMF70" s="159"/>
      <c r="MMG70" s="157"/>
      <c r="MMH70" s="159"/>
      <c r="MMI70" s="160"/>
      <c r="MMJ70" s="161"/>
      <c r="MMK70"/>
      <c r="MML70" s="162"/>
      <c r="MMM70"/>
      <c r="MMN70" s="155"/>
      <c r="MMO70" s="163"/>
      <c r="MMP70"/>
      <c r="MMQ70" s="156"/>
      <c r="MMR70" s="157"/>
      <c r="MMS70" s="158"/>
      <c r="MMT70" s="158"/>
      <c r="MMU70" s="157"/>
      <c r="MMV70" s="159"/>
      <c r="MMW70" s="157"/>
      <c r="MMX70" s="159"/>
      <c r="MMY70" s="160"/>
      <c r="MMZ70" s="161"/>
      <c r="MNA70"/>
      <c r="MNB70" s="162"/>
      <c r="MNC70"/>
      <c r="MND70" s="155"/>
      <c r="MNE70" s="163"/>
      <c r="MNF70"/>
      <c r="MNG70" s="156"/>
      <c r="MNH70" s="157"/>
      <c r="MNI70" s="158"/>
      <c r="MNJ70" s="158"/>
      <c r="MNK70" s="157"/>
      <c r="MNL70" s="159"/>
      <c r="MNM70" s="157"/>
      <c r="MNN70" s="159"/>
      <c r="MNO70" s="160"/>
      <c r="MNP70" s="161"/>
      <c r="MNQ70"/>
      <c r="MNR70" s="162"/>
      <c r="MNS70"/>
      <c r="MNT70" s="155"/>
      <c r="MNU70" s="163"/>
      <c r="MNV70"/>
      <c r="MNW70" s="156"/>
      <c r="MNX70" s="157"/>
      <c r="MNY70" s="158"/>
      <c r="MNZ70" s="158"/>
      <c r="MOA70" s="157"/>
      <c r="MOB70" s="159"/>
      <c r="MOC70" s="157"/>
      <c r="MOD70" s="159"/>
      <c r="MOE70" s="160"/>
      <c r="MOF70" s="161"/>
      <c r="MOG70"/>
      <c r="MOH70" s="162"/>
      <c r="MOI70"/>
      <c r="MOJ70" s="155"/>
      <c r="MOK70" s="163"/>
      <c r="MOL70"/>
      <c r="MOM70" s="156"/>
      <c r="MON70" s="157"/>
      <c r="MOO70" s="158"/>
      <c r="MOP70" s="158"/>
      <c r="MOQ70" s="157"/>
      <c r="MOR70" s="159"/>
      <c r="MOS70" s="157"/>
      <c r="MOT70" s="159"/>
      <c r="MOU70" s="160"/>
      <c r="MOV70" s="161"/>
      <c r="MOW70"/>
      <c r="MOX70" s="162"/>
      <c r="MOY70"/>
      <c r="MOZ70" s="155"/>
      <c r="MPA70" s="163"/>
      <c r="MPB70"/>
      <c r="MPC70" s="156"/>
      <c r="MPD70" s="157"/>
      <c r="MPE70" s="158"/>
      <c r="MPF70" s="158"/>
      <c r="MPG70" s="157"/>
      <c r="MPH70" s="159"/>
      <c r="MPI70" s="157"/>
      <c r="MPJ70" s="159"/>
      <c r="MPK70" s="160"/>
      <c r="MPL70" s="161"/>
      <c r="MPM70"/>
      <c r="MPN70" s="162"/>
      <c r="MPO70"/>
      <c r="MPP70" s="155"/>
      <c r="MPQ70" s="163"/>
      <c r="MPR70"/>
      <c r="MPS70" s="156"/>
      <c r="MPT70" s="157"/>
      <c r="MPU70" s="158"/>
      <c r="MPV70" s="158"/>
      <c r="MPW70" s="157"/>
      <c r="MPX70" s="159"/>
      <c r="MPY70" s="157"/>
      <c r="MPZ70" s="159"/>
      <c r="MQA70" s="160"/>
      <c r="MQB70" s="161"/>
      <c r="MQC70"/>
      <c r="MQD70" s="162"/>
      <c r="MQE70"/>
      <c r="MQF70" s="155"/>
      <c r="MQG70" s="163"/>
      <c r="MQH70"/>
      <c r="MQI70" s="156"/>
      <c r="MQJ70" s="157"/>
      <c r="MQK70" s="158"/>
      <c r="MQL70" s="158"/>
      <c r="MQM70" s="157"/>
      <c r="MQN70" s="159"/>
      <c r="MQO70" s="157"/>
      <c r="MQP70" s="159"/>
      <c r="MQQ70" s="160"/>
      <c r="MQR70" s="161"/>
      <c r="MQS70"/>
      <c r="MQT70" s="162"/>
      <c r="MQU70"/>
      <c r="MQV70" s="155"/>
      <c r="MQW70" s="163"/>
      <c r="MQX70"/>
      <c r="MQY70" s="156"/>
      <c r="MQZ70" s="157"/>
      <c r="MRA70" s="158"/>
      <c r="MRB70" s="158"/>
      <c r="MRC70" s="157"/>
      <c r="MRD70" s="159"/>
      <c r="MRE70" s="157"/>
      <c r="MRF70" s="159"/>
      <c r="MRG70" s="160"/>
      <c r="MRH70" s="161"/>
      <c r="MRI70"/>
      <c r="MRJ70" s="162"/>
      <c r="MRK70"/>
      <c r="MRL70" s="155"/>
      <c r="MRM70" s="163"/>
      <c r="MRN70"/>
      <c r="MRO70" s="156"/>
      <c r="MRP70" s="157"/>
      <c r="MRQ70" s="158"/>
      <c r="MRR70" s="158"/>
      <c r="MRS70" s="157"/>
      <c r="MRT70" s="159"/>
      <c r="MRU70" s="157"/>
      <c r="MRV70" s="159"/>
      <c r="MRW70" s="160"/>
      <c r="MRX70" s="161"/>
      <c r="MRY70"/>
      <c r="MRZ70" s="162"/>
      <c r="MSA70"/>
      <c r="MSB70" s="155"/>
      <c r="MSC70" s="163"/>
      <c r="MSD70"/>
      <c r="MSE70" s="156"/>
      <c r="MSF70" s="157"/>
      <c r="MSG70" s="158"/>
      <c r="MSH70" s="158"/>
      <c r="MSI70" s="157"/>
      <c r="MSJ70" s="159"/>
      <c r="MSK70" s="157"/>
      <c r="MSL70" s="159"/>
      <c r="MSM70" s="160"/>
      <c r="MSN70" s="161"/>
      <c r="MSO70"/>
      <c r="MSP70" s="162"/>
      <c r="MSQ70"/>
      <c r="MSR70" s="155"/>
      <c r="MSS70" s="163"/>
      <c r="MST70"/>
      <c r="MSU70" s="156"/>
      <c r="MSV70" s="157"/>
      <c r="MSW70" s="158"/>
      <c r="MSX70" s="158"/>
      <c r="MSY70" s="157"/>
      <c r="MSZ70" s="159"/>
      <c r="MTA70" s="157"/>
      <c r="MTB70" s="159"/>
      <c r="MTC70" s="160"/>
      <c r="MTD70" s="161"/>
      <c r="MTE70"/>
      <c r="MTF70" s="162"/>
      <c r="MTG70"/>
      <c r="MTH70" s="155"/>
      <c r="MTI70" s="163"/>
      <c r="MTJ70"/>
      <c r="MTK70" s="156"/>
      <c r="MTL70" s="157"/>
      <c r="MTM70" s="158"/>
      <c r="MTN70" s="158"/>
      <c r="MTO70" s="157"/>
      <c r="MTP70" s="159"/>
      <c r="MTQ70" s="157"/>
      <c r="MTR70" s="159"/>
      <c r="MTS70" s="160"/>
      <c r="MTT70" s="161"/>
      <c r="MTU70"/>
      <c r="MTV70" s="162"/>
      <c r="MTW70"/>
      <c r="MTX70" s="155"/>
      <c r="MTY70" s="163"/>
      <c r="MTZ70"/>
      <c r="MUA70" s="156"/>
      <c r="MUB70" s="157"/>
      <c r="MUC70" s="158"/>
      <c r="MUD70" s="158"/>
      <c r="MUE70" s="157"/>
      <c r="MUF70" s="159"/>
      <c r="MUG70" s="157"/>
      <c r="MUH70" s="159"/>
      <c r="MUI70" s="160"/>
      <c r="MUJ70" s="161"/>
      <c r="MUK70"/>
      <c r="MUL70" s="162"/>
      <c r="MUM70"/>
      <c r="MUN70" s="155"/>
      <c r="MUO70" s="163"/>
      <c r="MUP70"/>
      <c r="MUQ70" s="156"/>
      <c r="MUR70" s="157"/>
      <c r="MUS70" s="158"/>
      <c r="MUT70" s="158"/>
      <c r="MUU70" s="157"/>
      <c r="MUV70" s="159"/>
      <c r="MUW70" s="157"/>
      <c r="MUX70" s="159"/>
      <c r="MUY70" s="160"/>
      <c r="MUZ70" s="161"/>
      <c r="MVA70"/>
      <c r="MVB70" s="162"/>
      <c r="MVC70"/>
      <c r="MVD70" s="155"/>
      <c r="MVE70" s="163"/>
      <c r="MVF70"/>
      <c r="MVG70" s="156"/>
      <c r="MVH70" s="157"/>
      <c r="MVI70" s="158"/>
      <c r="MVJ70" s="158"/>
      <c r="MVK70" s="157"/>
      <c r="MVL70" s="159"/>
      <c r="MVM70" s="157"/>
      <c r="MVN70" s="159"/>
      <c r="MVO70" s="160"/>
      <c r="MVP70" s="161"/>
      <c r="MVQ70"/>
      <c r="MVR70" s="162"/>
      <c r="MVS70"/>
      <c r="MVT70" s="155"/>
      <c r="MVU70" s="163"/>
      <c r="MVV70"/>
      <c r="MVW70" s="156"/>
      <c r="MVX70" s="157"/>
      <c r="MVY70" s="158"/>
      <c r="MVZ70" s="158"/>
      <c r="MWA70" s="157"/>
      <c r="MWB70" s="159"/>
      <c r="MWC70" s="157"/>
      <c r="MWD70" s="159"/>
      <c r="MWE70" s="160"/>
      <c r="MWF70" s="161"/>
      <c r="MWG70"/>
      <c r="MWH70" s="162"/>
      <c r="MWI70"/>
      <c r="MWJ70" s="155"/>
      <c r="MWK70" s="163"/>
      <c r="MWL70"/>
      <c r="MWM70" s="156"/>
      <c r="MWN70" s="157"/>
      <c r="MWO70" s="158"/>
      <c r="MWP70" s="158"/>
      <c r="MWQ70" s="157"/>
      <c r="MWR70" s="159"/>
      <c r="MWS70" s="157"/>
      <c r="MWT70" s="159"/>
      <c r="MWU70" s="160"/>
      <c r="MWV70" s="161"/>
      <c r="MWW70"/>
      <c r="MWX70" s="162"/>
      <c r="MWY70"/>
      <c r="MWZ70" s="155"/>
      <c r="MXA70" s="163"/>
      <c r="MXB70"/>
      <c r="MXC70" s="156"/>
      <c r="MXD70" s="157"/>
      <c r="MXE70" s="158"/>
      <c r="MXF70" s="158"/>
      <c r="MXG70" s="157"/>
      <c r="MXH70" s="159"/>
      <c r="MXI70" s="157"/>
      <c r="MXJ70" s="159"/>
      <c r="MXK70" s="160"/>
      <c r="MXL70" s="161"/>
      <c r="MXM70"/>
      <c r="MXN70" s="162"/>
      <c r="MXO70"/>
      <c r="MXP70" s="155"/>
      <c r="MXQ70" s="163"/>
      <c r="MXR70"/>
      <c r="MXS70" s="156"/>
      <c r="MXT70" s="157"/>
      <c r="MXU70" s="158"/>
      <c r="MXV70" s="158"/>
      <c r="MXW70" s="157"/>
      <c r="MXX70" s="159"/>
      <c r="MXY70" s="157"/>
      <c r="MXZ70" s="159"/>
      <c r="MYA70" s="160"/>
      <c r="MYB70" s="161"/>
      <c r="MYC70"/>
      <c r="MYD70" s="162"/>
      <c r="MYE70"/>
      <c r="MYF70" s="155"/>
      <c r="MYG70" s="163"/>
      <c r="MYH70"/>
      <c r="MYI70" s="156"/>
      <c r="MYJ70" s="157"/>
      <c r="MYK70" s="158"/>
      <c r="MYL70" s="158"/>
      <c r="MYM70" s="157"/>
      <c r="MYN70" s="159"/>
      <c r="MYO70" s="157"/>
      <c r="MYP70" s="159"/>
      <c r="MYQ70" s="160"/>
      <c r="MYR70" s="161"/>
      <c r="MYS70"/>
      <c r="MYT70" s="162"/>
      <c r="MYU70"/>
      <c r="MYV70" s="155"/>
      <c r="MYW70" s="163"/>
      <c r="MYX70"/>
      <c r="MYY70" s="156"/>
      <c r="MYZ70" s="157"/>
      <c r="MZA70" s="158"/>
      <c r="MZB70" s="158"/>
      <c r="MZC70" s="157"/>
      <c r="MZD70" s="159"/>
      <c r="MZE70" s="157"/>
      <c r="MZF70" s="159"/>
      <c r="MZG70" s="160"/>
      <c r="MZH70" s="161"/>
      <c r="MZI70"/>
      <c r="MZJ70" s="162"/>
      <c r="MZK70"/>
      <c r="MZL70" s="155"/>
      <c r="MZM70" s="163"/>
      <c r="MZN70"/>
      <c r="MZO70" s="156"/>
      <c r="MZP70" s="157"/>
      <c r="MZQ70" s="158"/>
      <c r="MZR70" s="158"/>
      <c r="MZS70" s="157"/>
      <c r="MZT70" s="159"/>
      <c r="MZU70" s="157"/>
      <c r="MZV70" s="159"/>
      <c r="MZW70" s="160"/>
      <c r="MZX70" s="161"/>
      <c r="MZY70"/>
      <c r="MZZ70" s="162"/>
      <c r="NAA70"/>
      <c r="NAB70" s="155"/>
      <c r="NAC70" s="163"/>
      <c r="NAD70"/>
      <c r="NAE70" s="156"/>
      <c r="NAF70" s="157"/>
      <c r="NAG70" s="158"/>
      <c r="NAH70" s="158"/>
      <c r="NAI70" s="157"/>
      <c r="NAJ70" s="159"/>
      <c r="NAK70" s="157"/>
      <c r="NAL70" s="159"/>
      <c r="NAM70" s="160"/>
      <c r="NAN70" s="161"/>
      <c r="NAO70"/>
      <c r="NAP70" s="162"/>
      <c r="NAQ70"/>
      <c r="NAR70" s="155"/>
      <c r="NAS70" s="163"/>
      <c r="NAT70"/>
      <c r="NAU70" s="156"/>
      <c r="NAV70" s="157"/>
      <c r="NAW70" s="158"/>
      <c r="NAX70" s="158"/>
      <c r="NAY70" s="157"/>
      <c r="NAZ70" s="159"/>
      <c r="NBA70" s="157"/>
      <c r="NBB70" s="159"/>
      <c r="NBC70" s="160"/>
      <c r="NBD70" s="161"/>
      <c r="NBE70"/>
      <c r="NBF70" s="162"/>
      <c r="NBG70"/>
      <c r="NBH70" s="155"/>
      <c r="NBI70" s="163"/>
      <c r="NBJ70"/>
      <c r="NBK70" s="156"/>
      <c r="NBL70" s="157"/>
      <c r="NBM70" s="158"/>
      <c r="NBN70" s="158"/>
      <c r="NBO70" s="157"/>
      <c r="NBP70" s="159"/>
      <c r="NBQ70" s="157"/>
      <c r="NBR70" s="159"/>
      <c r="NBS70" s="160"/>
      <c r="NBT70" s="161"/>
      <c r="NBU70"/>
      <c r="NBV70" s="162"/>
      <c r="NBW70"/>
      <c r="NBX70" s="155"/>
      <c r="NBY70" s="163"/>
      <c r="NBZ70"/>
      <c r="NCA70" s="156"/>
      <c r="NCB70" s="157"/>
      <c r="NCC70" s="158"/>
      <c r="NCD70" s="158"/>
      <c r="NCE70" s="157"/>
      <c r="NCF70" s="159"/>
      <c r="NCG70" s="157"/>
      <c r="NCH70" s="159"/>
      <c r="NCI70" s="160"/>
      <c r="NCJ70" s="161"/>
      <c r="NCK70"/>
      <c r="NCL70" s="162"/>
      <c r="NCM70"/>
      <c r="NCN70" s="155"/>
      <c r="NCO70" s="163"/>
      <c r="NCP70"/>
      <c r="NCQ70" s="156"/>
      <c r="NCR70" s="157"/>
      <c r="NCS70" s="158"/>
      <c r="NCT70" s="158"/>
      <c r="NCU70" s="157"/>
      <c r="NCV70" s="159"/>
      <c r="NCW70" s="157"/>
      <c r="NCX70" s="159"/>
      <c r="NCY70" s="160"/>
      <c r="NCZ70" s="161"/>
      <c r="NDA70"/>
      <c r="NDB70" s="162"/>
      <c r="NDC70"/>
      <c r="NDD70" s="155"/>
      <c r="NDE70" s="163"/>
      <c r="NDF70"/>
      <c r="NDG70" s="156"/>
      <c r="NDH70" s="157"/>
      <c r="NDI70" s="158"/>
      <c r="NDJ70" s="158"/>
      <c r="NDK70" s="157"/>
      <c r="NDL70" s="159"/>
      <c r="NDM70" s="157"/>
      <c r="NDN70" s="159"/>
      <c r="NDO70" s="160"/>
      <c r="NDP70" s="161"/>
      <c r="NDQ70"/>
      <c r="NDR70" s="162"/>
      <c r="NDS70"/>
      <c r="NDT70" s="155"/>
      <c r="NDU70" s="163"/>
      <c r="NDV70"/>
      <c r="NDW70" s="156"/>
      <c r="NDX70" s="157"/>
      <c r="NDY70" s="158"/>
      <c r="NDZ70" s="158"/>
      <c r="NEA70" s="157"/>
      <c r="NEB70" s="159"/>
      <c r="NEC70" s="157"/>
      <c r="NED70" s="159"/>
      <c r="NEE70" s="160"/>
      <c r="NEF70" s="161"/>
      <c r="NEG70"/>
      <c r="NEH70" s="162"/>
      <c r="NEI70"/>
      <c r="NEJ70" s="155"/>
      <c r="NEK70" s="163"/>
      <c r="NEL70"/>
      <c r="NEM70" s="156"/>
      <c r="NEN70" s="157"/>
      <c r="NEO70" s="158"/>
      <c r="NEP70" s="158"/>
      <c r="NEQ70" s="157"/>
      <c r="NER70" s="159"/>
      <c r="NES70" s="157"/>
      <c r="NET70" s="159"/>
      <c r="NEU70" s="160"/>
      <c r="NEV70" s="161"/>
      <c r="NEW70"/>
      <c r="NEX70" s="162"/>
      <c r="NEY70"/>
      <c r="NEZ70" s="155"/>
      <c r="NFA70" s="163"/>
      <c r="NFB70"/>
      <c r="NFC70" s="156"/>
      <c r="NFD70" s="157"/>
      <c r="NFE70" s="158"/>
      <c r="NFF70" s="158"/>
      <c r="NFG70" s="157"/>
      <c r="NFH70" s="159"/>
      <c r="NFI70" s="157"/>
      <c r="NFJ70" s="159"/>
      <c r="NFK70" s="160"/>
      <c r="NFL70" s="161"/>
      <c r="NFM70"/>
      <c r="NFN70" s="162"/>
      <c r="NFO70"/>
      <c r="NFP70" s="155"/>
      <c r="NFQ70" s="163"/>
      <c r="NFR70"/>
      <c r="NFS70" s="156"/>
      <c r="NFT70" s="157"/>
      <c r="NFU70" s="158"/>
      <c r="NFV70" s="158"/>
      <c r="NFW70" s="157"/>
      <c r="NFX70" s="159"/>
      <c r="NFY70" s="157"/>
      <c r="NFZ70" s="159"/>
      <c r="NGA70" s="160"/>
      <c r="NGB70" s="161"/>
      <c r="NGC70"/>
      <c r="NGD70" s="162"/>
      <c r="NGE70"/>
      <c r="NGF70" s="155"/>
      <c r="NGG70" s="163"/>
      <c r="NGH70"/>
      <c r="NGI70" s="156"/>
      <c r="NGJ70" s="157"/>
      <c r="NGK70" s="158"/>
      <c r="NGL70" s="158"/>
      <c r="NGM70" s="157"/>
      <c r="NGN70" s="159"/>
      <c r="NGO70" s="157"/>
      <c r="NGP70" s="159"/>
      <c r="NGQ70" s="160"/>
      <c r="NGR70" s="161"/>
      <c r="NGS70"/>
      <c r="NGT70" s="162"/>
      <c r="NGU70"/>
      <c r="NGV70" s="155"/>
      <c r="NGW70" s="163"/>
      <c r="NGX70"/>
      <c r="NGY70" s="156"/>
      <c r="NGZ70" s="157"/>
      <c r="NHA70" s="158"/>
      <c r="NHB70" s="158"/>
      <c r="NHC70" s="157"/>
      <c r="NHD70" s="159"/>
      <c r="NHE70" s="157"/>
      <c r="NHF70" s="159"/>
      <c r="NHG70" s="160"/>
      <c r="NHH70" s="161"/>
      <c r="NHI70"/>
      <c r="NHJ70" s="162"/>
      <c r="NHK70"/>
      <c r="NHL70" s="155"/>
      <c r="NHM70" s="163"/>
      <c r="NHN70"/>
      <c r="NHO70" s="156"/>
      <c r="NHP70" s="157"/>
      <c r="NHQ70" s="158"/>
      <c r="NHR70" s="158"/>
      <c r="NHS70" s="157"/>
      <c r="NHT70" s="159"/>
      <c r="NHU70" s="157"/>
      <c r="NHV70" s="159"/>
      <c r="NHW70" s="160"/>
      <c r="NHX70" s="161"/>
      <c r="NHY70"/>
      <c r="NHZ70" s="162"/>
      <c r="NIA70"/>
      <c r="NIB70" s="155"/>
      <c r="NIC70" s="163"/>
      <c r="NID70"/>
      <c r="NIE70" s="156"/>
      <c r="NIF70" s="157"/>
      <c r="NIG70" s="158"/>
      <c r="NIH70" s="158"/>
      <c r="NII70" s="157"/>
      <c r="NIJ70" s="159"/>
      <c r="NIK70" s="157"/>
      <c r="NIL70" s="159"/>
      <c r="NIM70" s="160"/>
      <c r="NIN70" s="161"/>
      <c r="NIO70"/>
      <c r="NIP70" s="162"/>
      <c r="NIQ70"/>
      <c r="NIR70" s="155"/>
      <c r="NIS70" s="163"/>
      <c r="NIT70"/>
      <c r="NIU70" s="156"/>
      <c r="NIV70" s="157"/>
      <c r="NIW70" s="158"/>
      <c r="NIX70" s="158"/>
      <c r="NIY70" s="157"/>
      <c r="NIZ70" s="159"/>
      <c r="NJA70" s="157"/>
      <c r="NJB70" s="159"/>
      <c r="NJC70" s="160"/>
      <c r="NJD70" s="161"/>
      <c r="NJE70"/>
      <c r="NJF70" s="162"/>
      <c r="NJG70"/>
      <c r="NJH70" s="155"/>
      <c r="NJI70" s="163"/>
      <c r="NJJ70"/>
      <c r="NJK70" s="156"/>
      <c r="NJL70" s="157"/>
      <c r="NJM70" s="158"/>
      <c r="NJN70" s="158"/>
      <c r="NJO70" s="157"/>
      <c r="NJP70" s="159"/>
      <c r="NJQ70" s="157"/>
      <c r="NJR70" s="159"/>
      <c r="NJS70" s="160"/>
      <c r="NJT70" s="161"/>
      <c r="NJU70"/>
      <c r="NJV70" s="162"/>
      <c r="NJW70"/>
      <c r="NJX70" s="155"/>
      <c r="NJY70" s="163"/>
      <c r="NJZ70"/>
      <c r="NKA70" s="156"/>
      <c r="NKB70" s="157"/>
      <c r="NKC70" s="158"/>
      <c r="NKD70" s="158"/>
      <c r="NKE70" s="157"/>
      <c r="NKF70" s="159"/>
      <c r="NKG70" s="157"/>
      <c r="NKH70" s="159"/>
      <c r="NKI70" s="160"/>
      <c r="NKJ70" s="161"/>
      <c r="NKK70"/>
      <c r="NKL70" s="162"/>
      <c r="NKM70"/>
      <c r="NKN70" s="155"/>
      <c r="NKO70" s="163"/>
      <c r="NKP70"/>
      <c r="NKQ70" s="156"/>
      <c r="NKR70" s="157"/>
      <c r="NKS70" s="158"/>
      <c r="NKT70" s="158"/>
      <c r="NKU70" s="157"/>
      <c r="NKV70" s="159"/>
      <c r="NKW70" s="157"/>
      <c r="NKX70" s="159"/>
      <c r="NKY70" s="160"/>
      <c r="NKZ70" s="161"/>
      <c r="NLA70"/>
      <c r="NLB70" s="162"/>
      <c r="NLC70"/>
      <c r="NLD70" s="155"/>
      <c r="NLE70" s="163"/>
      <c r="NLF70"/>
      <c r="NLG70" s="156"/>
      <c r="NLH70" s="157"/>
      <c r="NLI70" s="158"/>
      <c r="NLJ70" s="158"/>
      <c r="NLK70" s="157"/>
      <c r="NLL70" s="159"/>
      <c r="NLM70" s="157"/>
      <c r="NLN70" s="159"/>
      <c r="NLO70" s="160"/>
      <c r="NLP70" s="161"/>
      <c r="NLQ70"/>
      <c r="NLR70" s="162"/>
      <c r="NLS70"/>
      <c r="NLT70" s="155"/>
      <c r="NLU70" s="163"/>
      <c r="NLV70"/>
      <c r="NLW70" s="156"/>
      <c r="NLX70" s="157"/>
      <c r="NLY70" s="158"/>
      <c r="NLZ70" s="158"/>
      <c r="NMA70" s="157"/>
      <c r="NMB70" s="159"/>
      <c r="NMC70" s="157"/>
      <c r="NMD70" s="159"/>
      <c r="NME70" s="160"/>
      <c r="NMF70" s="161"/>
      <c r="NMG70"/>
      <c r="NMH70" s="162"/>
      <c r="NMI70"/>
      <c r="NMJ70" s="155"/>
      <c r="NMK70" s="163"/>
      <c r="NML70"/>
      <c r="NMM70" s="156"/>
      <c r="NMN70" s="157"/>
      <c r="NMO70" s="158"/>
      <c r="NMP70" s="158"/>
      <c r="NMQ70" s="157"/>
      <c r="NMR70" s="159"/>
      <c r="NMS70" s="157"/>
      <c r="NMT70" s="159"/>
      <c r="NMU70" s="160"/>
      <c r="NMV70" s="161"/>
      <c r="NMW70"/>
      <c r="NMX70" s="162"/>
      <c r="NMY70"/>
      <c r="NMZ70" s="155"/>
      <c r="NNA70" s="163"/>
      <c r="NNB70"/>
      <c r="NNC70" s="156"/>
      <c r="NND70" s="157"/>
      <c r="NNE70" s="158"/>
      <c r="NNF70" s="158"/>
      <c r="NNG70" s="157"/>
      <c r="NNH70" s="159"/>
      <c r="NNI70" s="157"/>
      <c r="NNJ70" s="159"/>
      <c r="NNK70" s="160"/>
      <c r="NNL70" s="161"/>
      <c r="NNM70"/>
      <c r="NNN70" s="162"/>
      <c r="NNO70"/>
      <c r="NNP70" s="155"/>
      <c r="NNQ70" s="163"/>
      <c r="NNR70"/>
      <c r="NNS70" s="156"/>
      <c r="NNT70" s="157"/>
      <c r="NNU70" s="158"/>
      <c r="NNV70" s="158"/>
      <c r="NNW70" s="157"/>
      <c r="NNX70" s="159"/>
      <c r="NNY70" s="157"/>
      <c r="NNZ70" s="159"/>
      <c r="NOA70" s="160"/>
      <c r="NOB70" s="161"/>
      <c r="NOC70"/>
      <c r="NOD70" s="162"/>
      <c r="NOE70"/>
      <c r="NOF70" s="155"/>
      <c r="NOG70" s="163"/>
      <c r="NOH70"/>
      <c r="NOI70" s="156"/>
      <c r="NOJ70" s="157"/>
      <c r="NOK70" s="158"/>
      <c r="NOL70" s="158"/>
      <c r="NOM70" s="157"/>
      <c r="NON70" s="159"/>
      <c r="NOO70" s="157"/>
      <c r="NOP70" s="159"/>
      <c r="NOQ70" s="160"/>
      <c r="NOR70" s="161"/>
      <c r="NOS70"/>
      <c r="NOT70" s="162"/>
      <c r="NOU70"/>
      <c r="NOV70" s="155"/>
      <c r="NOW70" s="163"/>
      <c r="NOX70"/>
      <c r="NOY70" s="156"/>
      <c r="NOZ70" s="157"/>
      <c r="NPA70" s="158"/>
      <c r="NPB70" s="158"/>
      <c r="NPC70" s="157"/>
      <c r="NPD70" s="159"/>
      <c r="NPE70" s="157"/>
      <c r="NPF70" s="159"/>
      <c r="NPG70" s="160"/>
      <c r="NPH70" s="161"/>
      <c r="NPI70"/>
      <c r="NPJ70" s="162"/>
      <c r="NPK70"/>
      <c r="NPL70" s="155"/>
      <c r="NPM70" s="163"/>
      <c r="NPN70"/>
      <c r="NPO70" s="156"/>
      <c r="NPP70" s="157"/>
      <c r="NPQ70" s="158"/>
      <c r="NPR70" s="158"/>
      <c r="NPS70" s="157"/>
      <c r="NPT70" s="159"/>
      <c r="NPU70" s="157"/>
      <c r="NPV70" s="159"/>
      <c r="NPW70" s="160"/>
      <c r="NPX70" s="161"/>
      <c r="NPY70"/>
      <c r="NPZ70" s="162"/>
      <c r="NQA70"/>
      <c r="NQB70" s="155"/>
      <c r="NQC70" s="163"/>
      <c r="NQD70"/>
      <c r="NQE70" s="156"/>
      <c r="NQF70" s="157"/>
      <c r="NQG70" s="158"/>
      <c r="NQH70" s="158"/>
      <c r="NQI70" s="157"/>
      <c r="NQJ70" s="159"/>
      <c r="NQK70" s="157"/>
      <c r="NQL70" s="159"/>
      <c r="NQM70" s="160"/>
      <c r="NQN70" s="161"/>
      <c r="NQO70"/>
      <c r="NQP70" s="162"/>
      <c r="NQQ70"/>
      <c r="NQR70" s="155"/>
      <c r="NQS70" s="163"/>
      <c r="NQT70"/>
      <c r="NQU70" s="156"/>
      <c r="NQV70" s="157"/>
      <c r="NQW70" s="158"/>
      <c r="NQX70" s="158"/>
      <c r="NQY70" s="157"/>
      <c r="NQZ70" s="159"/>
      <c r="NRA70" s="157"/>
      <c r="NRB70" s="159"/>
      <c r="NRC70" s="160"/>
      <c r="NRD70" s="161"/>
      <c r="NRE70"/>
      <c r="NRF70" s="162"/>
      <c r="NRG70"/>
      <c r="NRH70" s="155"/>
      <c r="NRI70" s="163"/>
      <c r="NRJ70"/>
      <c r="NRK70" s="156"/>
      <c r="NRL70" s="157"/>
      <c r="NRM70" s="158"/>
      <c r="NRN70" s="158"/>
      <c r="NRO70" s="157"/>
      <c r="NRP70" s="159"/>
      <c r="NRQ70" s="157"/>
      <c r="NRR70" s="159"/>
      <c r="NRS70" s="160"/>
      <c r="NRT70" s="161"/>
      <c r="NRU70"/>
      <c r="NRV70" s="162"/>
      <c r="NRW70"/>
      <c r="NRX70" s="155"/>
      <c r="NRY70" s="163"/>
      <c r="NRZ70"/>
      <c r="NSA70" s="156"/>
      <c r="NSB70" s="157"/>
      <c r="NSC70" s="158"/>
      <c r="NSD70" s="158"/>
      <c r="NSE70" s="157"/>
      <c r="NSF70" s="159"/>
      <c r="NSG70" s="157"/>
      <c r="NSH70" s="159"/>
      <c r="NSI70" s="160"/>
      <c r="NSJ70" s="161"/>
      <c r="NSK70"/>
      <c r="NSL70" s="162"/>
      <c r="NSM70"/>
      <c r="NSN70" s="155"/>
      <c r="NSO70" s="163"/>
      <c r="NSP70"/>
      <c r="NSQ70" s="156"/>
      <c r="NSR70" s="157"/>
      <c r="NSS70" s="158"/>
      <c r="NST70" s="158"/>
      <c r="NSU70" s="157"/>
      <c r="NSV70" s="159"/>
      <c r="NSW70" s="157"/>
      <c r="NSX70" s="159"/>
      <c r="NSY70" s="160"/>
      <c r="NSZ70" s="161"/>
      <c r="NTA70"/>
      <c r="NTB70" s="162"/>
      <c r="NTC70"/>
      <c r="NTD70" s="155"/>
      <c r="NTE70" s="163"/>
      <c r="NTF70"/>
      <c r="NTG70" s="156"/>
      <c r="NTH70" s="157"/>
      <c r="NTI70" s="158"/>
      <c r="NTJ70" s="158"/>
      <c r="NTK70" s="157"/>
      <c r="NTL70" s="159"/>
      <c r="NTM70" s="157"/>
      <c r="NTN70" s="159"/>
      <c r="NTO70" s="160"/>
      <c r="NTP70" s="161"/>
      <c r="NTQ70"/>
      <c r="NTR70" s="162"/>
      <c r="NTS70"/>
      <c r="NTT70" s="155"/>
      <c r="NTU70" s="163"/>
      <c r="NTV70"/>
      <c r="NTW70" s="156"/>
      <c r="NTX70" s="157"/>
      <c r="NTY70" s="158"/>
      <c r="NTZ70" s="158"/>
      <c r="NUA70" s="157"/>
      <c r="NUB70" s="159"/>
      <c r="NUC70" s="157"/>
      <c r="NUD70" s="159"/>
      <c r="NUE70" s="160"/>
      <c r="NUF70" s="161"/>
      <c r="NUG70"/>
      <c r="NUH70" s="162"/>
      <c r="NUI70"/>
      <c r="NUJ70" s="155"/>
      <c r="NUK70" s="163"/>
      <c r="NUL70"/>
      <c r="NUM70" s="156"/>
      <c r="NUN70" s="157"/>
      <c r="NUO70" s="158"/>
      <c r="NUP70" s="158"/>
      <c r="NUQ70" s="157"/>
      <c r="NUR70" s="159"/>
      <c r="NUS70" s="157"/>
      <c r="NUT70" s="159"/>
      <c r="NUU70" s="160"/>
      <c r="NUV70" s="161"/>
      <c r="NUW70"/>
      <c r="NUX70" s="162"/>
      <c r="NUY70"/>
      <c r="NUZ70" s="155"/>
      <c r="NVA70" s="163"/>
      <c r="NVB70"/>
      <c r="NVC70" s="156"/>
      <c r="NVD70" s="157"/>
      <c r="NVE70" s="158"/>
      <c r="NVF70" s="158"/>
      <c r="NVG70" s="157"/>
      <c r="NVH70" s="159"/>
      <c r="NVI70" s="157"/>
      <c r="NVJ70" s="159"/>
      <c r="NVK70" s="160"/>
      <c r="NVL70" s="161"/>
      <c r="NVM70"/>
      <c r="NVN70" s="162"/>
      <c r="NVO70"/>
      <c r="NVP70" s="155"/>
      <c r="NVQ70" s="163"/>
      <c r="NVR70"/>
      <c r="NVS70" s="156"/>
      <c r="NVT70" s="157"/>
      <c r="NVU70" s="158"/>
      <c r="NVV70" s="158"/>
      <c r="NVW70" s="157"/>
      <c r="NVX70" s="159"/>
      <c r="NVY70" s="157"/>
      <c r="NVZ70" s="159"/>
      <c r="NWA70" s="160"/>
      <c r="NWB70" s="161"/>
      <c r="NWC70"/>
      <c r="NWD70" s="162"/>
      <c r="NWE70"/>
      <c r="NWF70" s="155"/>
      <c r="NWG70" s="163"/>
      <c r="NWH70"/>
      <c r="NWI70" s="156"/>
      <c r="NWJ70" s="157"/>
      <c r="NWK70" s="158"/>
      <c r="NWL70" s="158"/>
      <c r="NWM70" s="157"/>
      <c r="NWN70" s="159"/>
      <c r="NWO70" s="157"/>
      <c r="NWP70" s="159"/>
      <c r="NWQ70" s="160"/>
      <c r="NWR70" s="161"/>
      <c r="NWS70"/>
      <c r="NWT70" s="162"/>
      <c r="NWU70"/>
      <c r="NWV70" s="155"/>
      <c r="NWW70" s="163"/>
      <c r="NWX70"/>
      <c r="NWY70" s="156"/>
      <c r="NWZ70" s="157"/>
      <c r="NXA70" s="158"/>
      <c r="NXB70" s="158"/>
      <c r="NXC70" s="157"/>
      <c r="NXD70" s="159"/>
      <c r="NXE70" s="157"/>
      <c r="NXF70" s="159"/>
      <c r="NXG70" s="160"/>
      <c r="NXH70" s="161"/>
      <c r="NXI70"/>
      <c r="NXJ70" s="162"/>
      <c r="NXK70"/>
      <c r="NXL70" s="155"/>
      <c r="NXM70" s="163"/>
      <c r="NXN70"/>
      <c r="NXO70" s="156"/>
      <c r="NXP70" s="157"/>
      <c r="NXQ70" s="158"/>
      <c r="NXR70" s="158"/>
      <c r="NXS70" s="157"/>
      <c r="NXT70" s="159"/>
      <c r="NXU70" s="157"/>
      <c r="NXV70" s="159"/>
      <c r="NXW70" s="160"/>
      <c r="NXX70" s="161"/>
      <c r="NXY70"/>
      <c r="NXZ70" s="162"/>
      <c r="NYA70"/>
      <c r="NYB70" s="155"/>
      <c r="NYC70" s="163"/>
      <c r="NYD70"/>
      <c r="NYE70" s="156"/>
      <c r="NYF70" s="157"/>
      <c r="NYG70" s="158"/>
      <c r="NYH70" s="158"/>
      <c r="NYI70" s="157"/>
      <c r="NYJ70" s="159"/>
      <c r="NYK70" s="157"/>
      <c r="NYL70" s="159"/>
      <c r="NYM70" s="160"/>
      <c r="NYN70" s="161"/>
      <c r="NYO70"/>
      <c r="NYP70" s="162"/>
      <c r="NYQ70"/>
      <c r="NYR70" s="155"/>
      <c r="NYS70" s="163"/>
      <c r="NYT70"/>
      <c r="NYU70" s="156"/>
      <c r="NYV70" s="157"/>
      <c r="NYW70" s="158"/>
      <c r="NYX70" s="158"/>
      <c r="NYY70" s="157"/>
      <c r="NYZ70" s="159"/>
      <c r="NZA70" s="157"/>
      <c r="NZB70" s="159"/>
      <c r="NZC70" s="160"/>
      <c r="NZD70" s="161"/>
      <c r="NZE70"/>
      <c r="NZF70" s="162"/>
      <c r="NZG70"/>
      <c r="NZH70" s="155"/>
      <c r="NZI70" s="163"/>
      <c r="NZJ70"/>
      <c r="NZK70" s="156"/>
      <c r="NZL70" s="157"/>
      <c r="NZM70" s="158"/>
      <c r="NZN70" s="158"/>
      <c r="NZO70" s="157"/>
      <c r="NZP70" s="159"/>
      <c r="NZQ70" s="157"/>
      <c r="NZR70" s="159"/>
      <c r="NZS70" s="160"/>
      <c r="NZT70" s="161"/>
      <c r="NZU70"/>
      <c r="NZV70" s="162"/>
      <c r="NZW70"/>
      <c r="NZX70" s="155"/>
      <c r="NZY70" s="163"/>
      <c r="NZZ70"/>
      <c r="OAA70" s="156"/>
      <c r="OAB70" s="157"/>
      <c r="OAC70" s="158"/>
      <c r="OAD70" s="158"/>
      <c r="OAE70" s="157"/>
      <c r="OAF70" s="159"/>
      <c r="OAG70" s="157"/>
      <c r="OAH70" s="159"/>
      <c r="OAI70" s="160"/>
      <c r="OAJ70" s="161"/>
      <c r="OAK70"/>
      <c r="OAL70" s="162"/>
      <c r="OAM70"/>
      <c r="OAN70" s="155"/>
      <c r="OAO70" s="163"/>
      <c r="OAP70"/>
      <c r="OAQ70" s="156"/>
      <c r="OAR70" s="157"/>
      <c r="OAS70" s="158"/>
      <c r="OAT70" s="158"/>
      <c r="OAU70" s="157"/>
      <c r="OAV70" s="159"/>
      <c r="OAW70" s="157"/>
      <c r="OAX70" s="159"/>
      <c r="OAY70" s="160"/>
      <c r="OAZ70" s="161"/>
      <c r="OBA70"/>
      <c r="OBB70" s="162"/>
      <c r="OBC70"/>
      <c r="OBD70" s="155"/>
      <c r="OBE70" s="163"/>
      <c r="OBF70"/>
      <c r="OBG70" s="156"/>
      <c r="OBH70" s="157"/>
      <c r="OBI70" s="158"/>
      <c r="OBJ70" s="158"/>
      <c r="OBK70" s="157"/>
      <c r="OBL70" s="159"/>
      <c r="OBM70" s="157"/>
      <c r="OBN70" s="159"/>
      <c r="OBO70" s="160"/>
      <c r="OBP70" s="161"/>
      <c r="OBQ70"/>
      <c r="OBR70" s="162"/>
      <c r="OBS70"/>
      <c r="OBT70" s="155"/>
      <c r="OBU70" s="163"/>
      <c r="OBV70"/>
      <c r="OBW70" s="156"/>
      <c r="OBX70" s="157"/>
      <c r="OBY70" s="158"/>
      <c r="OBZ70" s="158"/>
      <c r="OCA70" s="157"/>
      <c r="OCB70" s="159"/>
      <c r="OCC70" s="157"/>
      <c r="OCD70" s="159"/>
      <c r="OCE70" s="160"/>
      <c r="OCF70" s="161"/>
      <c r="OCG70"/>
      <c r="OCH70" s="162"/>
      <c r="OCI70"/>
      <c r="OCJ70" s="155"/>
      <c r="OCK70" s="163"/>
      <c r="OCL70"/>
      <c r="OCM70" s="156"/>
      <c r="OCN70" s="157"/>
      <c r="OCO70" s="158"/>
      <c r="OCP70" s="158"/>
      <c r="OCQ70" s="157"/>
      <c r="OCR70" s="159"/>
      <c r="OCS70" s="157"/>
      <c r="OCT70" s="159"/>
      <c r="OCU70" s="160"/>
      <c r="OCV70" s="161"/>
      <c r="OCW70"/>
      <c r="OCX70" s="162"/>
      <c r="OCY70"/>
      <c r="OCZ70" s="155"/>
      <c r="ODA70" s="163"/>
      <c r="ODB70"/>
      <c r="ODC70" s="156"/>
      <c r="ODD70" s="157"/>
      <c r="ODE70" s="158"/>
      <c r="ODF70" s="158"/>
      <c r="ODG70" s="157"/>
      <c r="ODH70" s="159"/>
      <c r="ODI70" s="157"/>
      <c r="ODJ70" s="159"/>
      <c r="ODK70" s="160"/>
      <c r="ODL70" s="161"/>
      <c r="ODM70"/>
      <c r="ODN70" s="162"/>
      <c r="ODO70"/>
      <c r="ODP70" s="155"/>
      <c r="ODQ70" s="163"/>
      <c r="ODR70"/>
      <c r="ODS70" s="156"/>
      <c r="ODT70" s="157"/>
      <c r="ODU70" s="158"/>
      <c r="ODV70" s="158"/>
      <c r="ODW70" s="157"/>
      <c r="ODX70" s="159"/>
      <c r="ODY70" s="157"/>
      <c r="ODZ70" s="159"/>
      <c r="OEA70" s="160"/>
      <c r="OEB70" s="161"/>
      <c r="OEC70"/>
      <c r="OED70" s="162"/>
      <c r="OEE70"/>
      <c r="OEF70" s="155"/>
      <c r="OEG70" s="163"/>
      <c r="OEH70"/>
      <c r="OEI70" s="156"/>
      <c r="OEJ70" s="157"/>
      <c r="OEK70" s="158"/>
      <c r="OEL70" s="158"/>
      <c r="OEM70" s="157"/>
      <c r="OEN70" s="159"/>
      <c r="OEO70" s="157"/>
      <c r="OEP70" s="159"/>
      <c r="OEQ70" s="160"/>
      <c r="OER70" s="161"/>
      <c r="OES70"/>
      <c r="OET70" s="162"/>
      <c r="OEU70"/>
      <c r="OEV70" s="155"/>
      <c r="OEW70" s="163"/>
      <c r="OEX70"/>
      <c r="OEY70" s="156"/>
      <c r="OEZ70" s="157"/>
      <c r="OFA70" s="158"/>
      <c r="OFB70" s="158"/>
      <c r="OFC70" s="157"/>
      <c r="OFD70" s="159"/>
      <c r="OFE70" s="157"/>
      <c r="OFF70" s="159"/>
      <c r="OFG70" s="160"/>
      <c r="OFH70" s="161"/>
      <c r="OFI70"/>
      <c r="OFJ70" s="162"/>
      <c r="OFK70"/>
      <c r="OFL70" s="155"/>
      <c r="OFM70" s="163"/>
      <c r="OFN70"/>
      <c r="OFO70" s="156"/>
      <c r="OFP70" s="157"/>
      <c r="OFQ70" s="158"/>
      <c r="OFR70" s="158"/>
      <c r="OFS70" s="157"/>
      <c r="OFT70" s="159"/>
      <c r="OFU70" s="157"/>
      <c r="OFV70" s="159"/>
      <c r="OFW70" s="160"/>
      <c r="OFX70" s="161"/>
      <c r="OFY70"/>
      <c r="OFZ70" s="162"/>
      <c r="OGA70"/>
      <c r="OGB70" s="155"/>
      <c r="OGC70" s="163"/>
      <c r="OGD70"/>
      <c r="OGE70" s="156"/>
      <c r="OGF70" s="157"/>
      <c r="OGG70" s="158"/>
      <c r="OGH70" s="158"/>
      <c r="OGI70" s="157"/>
      <c r="OGJ70" s="159"/>
      <c r="OGK70" s="157"/>
      <c r="OGL70" s="159"/>
      <c r="OGM70" s="160"/>
      <c r="OGN70" s="161"/>
      <c r="OGO70"/>
      <c r="OGP70" s="162"/>
      <c r="OGQ70"/>
      <c r="OGR70" s="155"/>
      <c r="OGS70" s="163"/>
      <c r="OGT70"/>
      <c r="OGU70" s="156"/>
      <c r="OGV70" s="157"/>
      <c r="OGW70" s="158"/>
      <c r="OGX70" s="158"/>
      <c r="OGY70" s="157"/>
      <c r="OGZ70" s="159"/>
      <c r="OHA70" s="157"/>
      <c r="OHB70" s="159"/>
      <c r="OHC70" s="160"/>
      <c r="OHD70" s="161"/>
      <c r="OHE70"/>
      <c r="OHF70" s="162"/>
      <c r="OHG70"/>
      <c r="OHH70" s="155"/>
      <c r="OHI70" s="163"/>
      <c r="OHJ70"/>
      <c r="OHK70" s="156"/>
      <c r="OHL70" s="157"/>
      <c r="OHM70" s="158"/>
      <c r="OHN70" s="158"/>
      <c r="OHO70" s="157"/>
      <c r="OHP70" s="159"/>
      <c r="OHQ70" s="157"/>
      <c r="OHR70" s="159"/>
      <c r="OHS70" s="160"/>
      <c r="OHT70" s="161"/>
      <c r="OHU70"/>
      <c r="OHV70" s="162"/>
      <c r="OHW70"/>
      <c r="OHX70" s="155"/>
      <c r="OHY70" s="163"/>
      <c r="OHZ70"/>
      <c r="OIA70" s="156"/>
      <c r="OIB70" s="157"/>
      <c r="OIC70" s="158"/>
      <c r="OID70" s="158"/>
      <c r="OIE70" s="157"/>
      <c r="OIF70" s="159"/>
      <c r="OIG70" s="157"/>
      <c r="OIH70" s="159"/>
      <c r="OII70" s="160"/>
      <c r="OIJ70" s="161"/>
      <c r="OIK70"/>
      <c r="OIL70" s="162"/>
      <c r="OIM70"/>
      <c r="OIN70" s="155"/>
      <c r="OIO70" s="163"/>
      <c r="OIP70"/>
      <c r="OIQ70" s="156"/>
      <c r="OIR70" s="157"/>
      <c r="OIS70" s="158"/>
      <c r="OIT70" s="158"/>
      <c r="OIU70" s="157"/>
      <c r="OIV70" s="159"/>
      <c r="OIW70" s="157"/>
      <c r="OIX70" s="159"/>
      <c r="OIY70" s="160"/>
      <c r="OIZ70" s="161"/>
      <c r="OJA70"/>
      <c r="OJB70" s="162"/>
      <c r="OJC70"/>
      <c r="OJD70" s="155"/>
      <c r="OJE70" s="163"/>
      <c r="OJF70"/>
      <c r="OJG70" s="156"/>
      <c r="OJH70" s="157"/>
      <c r="OJI70" s="158"/>
      <c r="OJJ70" s="158"/>
      <c r="OJK70" s="157"/>
      <c r="OJL70" s="159"/>
      <c r="OJM70" s="157"/>
      <c r="OJN70" s="159"/>
      <c r="OJO70" s="160"/>
      <c r="OJP70" s="161"/>
      <c r="OJQ70"/>
      <c r="OJR70" s="162"/>
      <c r="OJS70"/>
      <c r="OJT70" s="155"/>
      <c r="OJU70" s="163"/>
      <c r="OJV70"/>
      <c r="OJW70" s="156"/>
      <c r="OJX70" s="157"/>
      <c r="OJY70" s="158"/>
      <c r="OJZ70" s="158"/>
      <c r="OKA70" s="157"/>
      <c r="OKB70" s="159"/>
      <c r="OKC70" s="157"/>
      <c r="OKD70" s="159"/>
      <c r="OKE70" s="160"/>
      <c r="OKF70" s="161"/>
      <c r="OKG70"/>
      <c r="OKH70" s="162"/>
      <c r="OKI70"/>
      <c r="OKJ70" s="155"/>
      <c r="OKK70" s="163"/>
      <c r="OKL70"/>
      <c r="OKM70" s="156"/>
      <c r="OKN70" s="157"/>
      <c r="OKO70" s="158"/>
      <c r="OKP70" s="158"/>
      <c r="OKQ70" s="157"/>
      <c r="OKR70" s="159"/>
      <c r="OKS70" s="157"/>
      <c r="OKT70" s="159"/>
      <c r="OKU70" s="160"/>
      <c r="OKV70" s="161"/>
      <c r="OKW70"/>
      <c r="OKX70" s="162"/>
      <c r="OKY70"/>
      <c r="OKZ70" s="155"/>
      <c r="OLA70" s="163"/>
      <c r="OLB70"/>
      <c r="OLC70" s="156"/>
      <c r="OLD70" s="157"/>
      <c r="OLE70" s="158"/>
      <c r="OLF70" s="158"/>
      <c r="OLG70" s="157"/>
      <c r="OLH70" s="159"/>
      <c r="OLI70" s="157"/>
      <c r="OLJ70" s="159"/>
      <c r="OLK70" s="160"/>
      <c r="OLL70" s="161"/>
      <c r="OLM70"/>
      <c r="OLN70" s="162"/>
      <c r="OLO70"/>
      <c r="OLP70" s="155"/>
      <c r="OLQ70" s="163"/>
      <c r="OLR70"/>
      <c r="OLS70" s="156"/>
      <c r="OLT70" s="157"/>
      <c r="OLU70" s="158"/>
      <c r="OLV70" s="158"/>
      <c r="OLW70" s="157"/>
      <c r="OLX70" s="159"/>
      <c r="OLY70" s="157"/>
      <c r="OLZ70" s="159"/>
      <c r="OMA70" s="160"/>
      <c r="OMB70" s="161"/>
      <c r="OMC70"/>
      <c r="OMD70" s="162"/>
      <c r="OME70"/>
      <c r="OMF70" s="155"/>
      <c r="OMG70" s="163"/>
      <c r="OMH70"/>
      <c r="OMI70" s="156"/>
      <c r="OMJ70" s="157"/>
      <c r="OMK70" s="158"/>
      <c r="OML70" s="158"/>
      <c r="OMM70" s="157"/>
      <c r="OMN70" s="159"/>
      <c r="OMO70" s="157"/>
      <c r="OMP70" s="159"/>
      <c r="OMQ70" s="160"/>
      <c r="OMR70" s="161"/>
      <c r="OMS70"/>
      <c r="OMT70" s="162"/>
      <c r="OMU70"/>
      <c r="OMV70" s="155"/>
      <c r="OMW70" s="163"/>
      <c r="OMX70"/>
      <c r="OMY70" s="156"/>
      <c r="OMZ70" s="157"/>
      <c r="ONA70" s="158"/>
      <c r="ONB70" s="158"/>
      <c r="ONC70" s="157"/>
      <c r="OND70" s="159"/>
      <c r="ONE70" s="157"/>
      <c r="ONF70" s="159"/>
      <c r="ONG70" s="160"/>
      <c r="ONH70" s="161"/>
      <c r="ONI70"/>
      <c r="ONJ70" s="162"/>
      <c r="ONK70"/>
      <c r="ONL70" s="155"/>
      <c r="ONM70" s="163"/>
      <c r="ONN70"/>
      <c r="ONO70" s="156"/>
      <c r="ONP70" s="157"/>
      <c r="ONQ70" s="158"/>
      <c r="ONR70" s="158"/>
      <c r="ONS70" s="157"/>
      <c r="ONT70" s="159"/>
      <c r="ONU70" s="157"/>
      <c r="ONV70" s="159"/>
      <c r="ONW70" s="160"/>
      <c r="ONX70" s="161"/>
      <c r="ONY70"/>
      <c r="ONZ70" s="162"/>
      <c r="OOA70"/>
      <c r="OOB70" s="155"/>
      <c r="OOC70" s="163"/>
      <c r="OOD70"/>
      <c r="OOE70" s="156"/>
      <c r="OOF70" s="157"/>
      <c r="OOG70" s="158"/>
      <c r="OOH70" s="158"/>
      <c r="OOI70" s="157"/>
      <c r="OOJ70" s="159"/>
      <c r="OOK70" s="157"/>
      <c r="OOL70" s="159"/>
      <c r="OOM70" s="160"/>
      <c r="OON70" s="161"/>
      <c r="OOO70"/>
      <c r="OOP70" s="162"/>
      <c r="OOQ70"/>
      <c r="OOR70" s="155"/>
      <c r="OOS70" s="163"/>
      <c r="OOT70"/>
      <c r="OOU70" s="156"/>
      <c r="OOV70" s="157"/>
      <c r="OOW70" s="158"/>
      <c r="OOX70" s="158"/>
      <c r="OOY70" s="157"/>
      <c r="OOZ70" s="159"/>
      <c r="OPA70" s="157"/>
      <c r="OPB70" s="159"/>
      <c r="OPC70" s="160"/>
      <c r="OPD70" s="161"/>
      <c r="OPE70"/>
      <c r="OPF70" s="162"/>
      <c r="OPG70"/>
      <c r="OPH70" s="155"/>
      <c r="OPI70" s="163"/>
      <c r="OPJ70"/>
      <c r="OPK70" s="156"/>
      <c r="OPL70" s="157"/>
      <c r="OPM70" s="158"/>
      <c r="OPN70" s="158"/>
      <c r="OPO70" s="157"/>
      <c r="OPP70" s="159"/>
      <c r="OPQ70" s="157"/>
      <c r="OPR70" s="159"/>
      <c r="OPS70" s="160"/>
      <c r="OPT70" s="161"/>
      <c r="OPU70"/>
      <c r="OPV70" s="162"/>
      <c r="OPW70"/>
      <c r="OPX70" s="155"/>
      <c r="OPY70" s="163"/>
      <c r="OPZ70"/>
      <c r="OQA70" s="156"/>
      <c r="OQB70" s="157"/>
      <c r="OQC70" s="158"/>
      <c r="OQD70" s="158"/>
      <c r="OQE70" s="157"/>
      <c r="OQF70" s="159"/>
      <c r="OQG70" s="157"/>
      <c r="OQH70" s="159"/>
      <c r="OQI70" s="160"/>
      <c r="OQJ70" s="161"/>
      <c r="OQK70"/>
      <c r="OQL70" s="162"/>
      <c r="OQM70"/>
      <c r="OQN70" s="155"/>
      <c r="OQO70" s="163"/>
      <c r="OQP70"/>
      <c r="OQQ70" s="156"/>
      <c r="OQR70" s="157"/>
      <c r="OQS70" s="158"/>
      <c r="OQT70" s="158"/>
      <c r="OQU70" s="157"/>
      <c r="OQV70" s="159"/>
      <c r="OQW70" s="157"/>
      <c r="OQX70" s="159"/>
      <c r="OQY70" s="160"/>
      <c r="OQZ70" s="161"/>
      <c r="ORA70"/>
      <c r="ORB70" s="162"/>
      <c r="ORC70"/>
      <c r="ORD70" s="155"/>
      <c r="ORE70" s="163"/>
      <c r="ORF70"/>
      <c r="ORG70" s="156"/>
      <c r="ORH70" s="157"/>
      <c r="ORI70" s="158"/>
      <c r="ORJ70" s="158"/>
      <c r="ORK70" s="157"/>
      <c r="ORL70" s="159"/>
      <c r="ORM70" s="157"/>
      <c r="ORN70" s="159"/>
      <c r="ORO70" s="160"/>
      <c r="ORP70" s="161"/>
      <c r="ORQ70"/>
      <c r="ORR70" s="162"/>
      <c r="ORS70"/>
      <c r="ORT70" s="155"/>
      <c r="ORU70" s="163"/>
      <c r="ORV70"/>
      <c r="ORW70" s="156"/>
      <c r="ORX70" s="157"/>
      <c r="ORY70" s="158"/>
      <c r="ORZ70" s="158"/>
      <c r="OSA70" s="157"/>
      <c r="OSB70" s="159"/>
      <c r="OSC70" s="157"/>
      <c r="OSD70" s="159"/>
      <c r="OSE70" s="160"/>
      <c r="OSF70" s="161"/>
      <c r="OSG70"/>
      <c r="OSH70" s="162"/>
      <c r="OSI70"/>
      <c r="OSJ70" s="155"/>
      <c r="OSK70" s="163"/>
      <c r="OSL70"/>
      <c r="OSM70" s="156"/>
      <c r="OSN70" s="157"/>
      <c r="OSO70" s="158"/>
      <c r="OSP70" s="158"/>
      <c r="OSQ70" s="157"/>
      <c r="OSR70" s="159"/>
      <c r="OSS70" s="157"/>
      <c r="OST70" s="159"/>
      <c r="OSU70" s="160"/>
      <c r="OSV70" s="161"/>
      <c r="OSW70"/>
      <c r="OSX70" s="162"/>
      <c r="OSY70"/>
      <c r="OSZ70" s="155"/>
      <c r="OTA70" s="163"/>
      <c r="OTB70"/>
      <c r="OTC70" s="156"/>
      <c r="OTD70" s="157"/>
      <c r="OTE70" s="158"/>
      <c r="OTF70" s="158"/>
      <c r="OTG70" s="157"/>
      <c r="OTH70" s="159"/>
      <c r="OTI70" s="157"/>
      <c r="OTJ70" s="159"/>
      <c r="OTK70" s="160"/>
      <c r="OTL70" s="161"/>
      <c r="OTM70"/>
      <c r="OTN70" s="162"/>
      <c r="OTO70"/>
      <c r="OTP70" s="155"/>
      <c r="OTQ70" s="163"/>
      <c r="OTR70"/>
      <c r="OTS70" s="156"/>
      <c r="OTT70" s="157"/>
      <c r="OTU70" s="158"/>
      <c r="OTV70" s="158"/>
      <c r="OTW70" s="157"/>
      <c r="OTX70" s="159"/>
      <c r="OTY70" s="157"/>
      <c r="OTZ70" s="159"/>
      <c r="OUA70" s="160"/>
      <c r="OUB70" s="161"/>
      <c r="OUC70"/>
      <c r="OUD70" s="162"/>
      <c r="OUE70"/>
      <c r="OUF70" s="155"/>
      <c r="OUG70" s="163"/>
      <c r="OUH70"/>
      <c r="OUI70" s="156"/>
      <c r="OUJ70" s="157"/>
      <c r="OUK70" s="158"/>
      <c r="OUL70" s="158"/>
      <c r="OUM70" s="157"/>
      <c r="OUN70" s="159"/>
      <c r="OUO70" s="157"/>
      <c r="OUP70" s="159"/>
      <c r="OUQ70" s="160"/>
      <c r="OUR70" s="161"/>
      <c r="OUS70"/>
      <c r="OUT70" s="162"/>
      <c r="OUU70"/>
      <c r="OUV70" s="155"/>
      <c r="OUW70" s="163"/>
      <c r="OUX70"/>
      <c r="OUY70" s="156"/>
      <c r="OUZ70" s="157"/>
      <c r="OVA70" s="158"/>
      <c r="OVB70" s="158"/>
      <c r="OVC70" s="157"/>
      <c r="OVD70" s="159"/>
      <c r="OVE70" s="157"/>
      <c r="OVF70" s="159"/>
      <c r="OVG70" s="160"/>
      <c r="OVH70" s="161"/>
      <c r="OVI70"/>
      <c r="OVJ70" s="162"/>
      <c r="OVK70"/>
      <c r="OVL70" s="155"/>
      <c r="OVM70" s="163"/>
      <c r="OVN70"/>
      <c r="OVO70" s="156"/>
      <c r="OVP70" s="157"/>
      <c r="OVQ70" s="158"/>
      <c r="OVR70" s="158"/>
      <c r="OVS70" s="157"/>
      <c r="OVT70" s="159"/>
      <c r="OVU70" s="157"/>
      <c r="OVV70" s="159"/>
      <c r="OVW70" s="160"/>
      <c r="OVX70" s="161"/>
      <c r="OVY70"/>
      <c r="OVZ70" s="162"/>
      <c r="OWA70"/>
      <c r="OWB70" s="155"/>
      <c r="OWC70" s="163"/>
      <c r="OWD70"/>
      <c r="OWE70" s="156"/>
      <c r="OWF70" s="157"/>
      <c r="OWG70" s="158"/>
      <c r="OWH70" s="158"/>
      <c r="OWI70" s="157"/>
      <c r="OWJ70" s="159"/>
      <c r="OWK70" s="157"/>
      <c r="OWL70" s="159"/>
      <c r="OWM70" s="160"/>
      <c r="OWN70" s="161"/>
      <c r="OWO70"/>
      <c r="OWP70" s="162"/>
      <c r="OWQ70"/>
      <c r="OWR70" s="155"/>
      <c r="OWS70" s="163"/>
      <c r="OWT70"/>
      <c r="OWU70" s="156"/>
      <c r="OWV70" s="157"/>
      <c r="OWW70" s="158"/>
      <c r="OWX70" s="158"/>
      <c r="OWY70" s="157"/>
      <c r="OWZ70" s="159"/>
      <c r="OXA70" s="157"/>
      <c r="OXB70" s="159"/>
      <c r="OXC70" s="160"/>
      <c r="OXD70" s="161"/>
      <c r="OXE70"/>
      <c r="OXF70" s="162"/>
      <c r="OXG70"/>
      <c r="OXH70" s="155"/>
      <c r="OXI70" s="163"/>
      <c r="OXJ70"/>
      <c r="OXK70" s="156"/>
      <c r="OXL70" s="157"/>
      <c r="OXM70" s="158"/>
      <c r="OXN70" s="158"/>
      <c r="OXO70" s="157"/>
      <c r="OXP70" s="159"/>
      <c r="OXQ70" s="157"/>
      <c r="OXR70" s="159"/>
      <c r="OXS70" s="160"/>
      <c r="OXT70" s="161"/>
      <c r="OXU70"/>
      <c r="OXV70" s="162"/>
      <c r="OXW70"/>
      <c r="OXX70" s="155"/>
      <c r="OXY70" s="163"/>
      <c r="OXZ70"/>
      <c r="OYA70" s="156"/>
      <c r="OYB70" s="157"/>
      <c r="OYC70" s="158"/>
      <c r="OYD70" s="158"/>
      <c r="OYE70" s="157"/>
      <c r="OYF70" s="159"/>
      <c r="OYG70" s="157"/>
      <c r="OYH70" s="159"/>
      <c r="OYI70" s="160"/>
      <c r="OYJ70" s="161"/>
      <c r="OYK70"/>
      <c r="OYL70" s="162"/>
      <c r="OYM70"/>
      <c r="OYN70" s="155"/>
      <c r="OYO70" s="163"/>
      <c r="OYP70"/>
      <c r="OYQ70" s="156"/>
      <c r="OYR70" s="157"/>
      <c r="OYS70" s="158"/>
      <c r="OYT70" s="158"/>
      <c r="OYU70" s="157"/>
      <c r="OYV70" s="159"/>
      <c r="OYW70" s="157"/>
      <c r="OYX70" s="159"/>
      <c r="OYY70" s="160"/>
      <c r="OYZ70" s="161"/>
      <c r="OZA70"/>
      <c r="OZB70" s="162"/>
      <c r="OZC70"/>
      <c r="OZD70" s="155"/>
      <c r="OZE70" s="163"/>
      <c r="OZF70"/>
      <c r="OZG70" s="156"/>
      <c r="OZH70" s="157"/>
      <c r="OZI70" s="158"/>
      <c r="OZJ70" s="158"/>
      <c r="OZK70" s="157"/>
      <c r="OZL70" s="159"/>
      <c r="OZM70" s="157"/>
      <c r="OZN70" s="159"/>
      <c r="OZO70" s="160"/>
      <c r="OZP70" s="161"/>
      <c r="OZQ70"/>
      <c r="OZR70" s="162"/>
      <c r="OZS70"/>
      <c r="OZT70" s="155"/>
      <c r="OZU70" s="163"/>
      <c r="OZV70"/>
      <c r="OZW70" s="156"/>
      <c r="OZX70" s="157"/>
      <c r="OZY70" s="158"/>
      <c r="OZZ70" s="158"/>
      <c r="PAA70" s="157"/>
      <c r="PAB70" s="159"/>
      <c r="PAC70" s="157"/>
      <c r="PAD70" s="159"/>
      <c r="PAE70" s="160"/>
      <c r="PAF70" s="161"/>
      <c r="PAG70"/>
      <c r="PAH70" s="162"/>
      <c r="PAI70"/>
      <c r="PAJ70" s="155"/>
      <c r="PAK70" s="163"/>
      <c r="PAL70"/>
      <c r="PAM70" s="156"/>
      <c r="PAN70" s="157"/>
      <c r="PAO70" s="158"/>
      <c r="PAP70" s="158"/>
      <c r="PAQ70" s="157"/>
      <c r="PAR70" s="159"/>
      <c r="PAS70" s="157"/>
      <c r="PAT70" s="159"/>
      <c r="PAU70" s="160"/>
      <c r="PAV70" s="161"/>
      <c r="PAW70"/>
      <c r="PAX70" s="162"/>
      <c r="PAY70"/>
      <c r="PAZ70" s="155"/>
      <c r="PBA70" s="163"/>
      <c r="PBB70"/>
      <c r="PBC70" s="156"/>
      <c r="PBD70" s="157"/>
      <c r="PBE70" s="158"/>
      <c r="PBF70" s="158"/>
      <c r="PBG70" s="157"/>
      <c r="PBH70" s="159"/>
      <c r="PBI70" s="157"/>
      <c r="PBJ70" s="159"/>
      <c r="PBK70" s="160"/>
      <c r="PBL70" s="161"/>
      <c r="PBM70"/>
      <c r="PBN70" s="162"/>
      <c r="PBO70"/>
      <c r="PBP70" s="155"/>
      <c r="PBQ70" s="163"/>
      <c r="PBR70"/>
      <c r="PBS70" s="156"/>
      <c r="PBT70" s="157"/>
      <c r="PBU70" s="158"/>
      <c r="PBV70" s="158"/>
      <c r="PBW70" s="157"/>
      <c r="PBX70" s="159"/>
      <c r="PBY70" s="157"/>
      <c r="PBZ70" s="159"/>
      <c r="PCA70" s="160"/>
      <c r="PCB70" s="161"/>
      <c r="PCC70"/>
      <c r="PCD70" s="162"/>
      <c r="PCE70"/>
      <c r="PCF70" s="155"/>
      <c r="PCG70" s="163"/>
      <c r="PCH70"/>
      <c r="PCI70" s="156"/>
      <c r="PCJ70" s="157"/>
      <c r="PCK70" s="158"/>
      <c r="PCL70" s="158"/>
      <c r="PCM70" s="157"/>
      <c r="PCN70" s="159"/>
      <c r="PCO70" s="157"/>
      <c r="PCP70" s="159"/>
      <c r="PCQ70" s="160"/>
      <c r="PCR70" s="161"/>
      <c r="PCS70"/>
      <c r="PCT70" s="162"/>
      <c r="PCU70"/>
      <c r="PCV70" s="155"/>
      <c r="PCW70" s="163"/>
      <c r="PCX70"/>
      <c r="PCY70" s="156"/>
      <c r="PCZ70" s="157"/>
      <c r="PDA70" s="158"/>
      <c r="PDB70" s="158"/>
      <c r="PDC70" s="157"/>
      <c r="PDD70" s="159"/>
      <c r="PDE70" s="157"/>
      <c r="PDF70" s="159"/>
      <c r="PDG70" s="160"/>
      <c r="PDH70" s="161"/>
      <c r="PDI70"/>
      <c r="PDJ70" s="162"/>
      <c r="PDK70"/>
      <c r="PDL70" s="155"/>
      <c r="PDM70" s="163"/>
      <c r="PDN70"/>
      <c r="PDO70" s="156"/>
      <c r="PDP70" s="157"/>
      <c r="PDQ70" s="158"/>
      <c r="PDR70" s="158"/>
      <c r="PDS70" s="157"/>
      <c r="PDT70" s="159"/>
      <c r="PDU70" s="157"/>
      <c r="PDV70" s="159"/>
      <c r="PDW70" s="160"/>
      <c r="PDX70" s="161"/>
      <c r="PDY70"/>
      <c r="PDZ70" s="162"/>
      <c r="PEA70"/>
      <c r="PEB70" s="155"/>
      <c r="PEC70" s="163"/>
      <c r="PED70"/>
      <c r="PEE70" s="156"/>
      <c r="PEF70" s="157"/>
      <c r="PEG70" s="158"/>
      <c r="PEH70" s="158"/>
      <c r="PEI70" s="157"/>
      <c r="PEJ70" s="159"/>
      <c r="PEK70" s="157"/>
      <c r="PEL70" s="159"/>
      <c r="PEM70" s="160"/>
      <c r="PEN70" s="161"/>
      <c r="PEO70"/>
      <c r="PEP70" s="162"/>
      <c r="PEQ70"/>
      <c r="PER70" s="155"/>
      <c r="PES70" s="163"/>
      <c r="PET70"/>
      <c r="PEU70" s="156"/>
      <c r="PEV70" s="157"/>
      <c r="PEW70" s="158"/>
      <c r="PEX70" s="158"/>
      <c r="PEY70" s="157"/>
      <c r="PEZ70" s="159"/>
      <c r="PFA70" s="157"/>
      <c r="PFB70" s="159"/>
      <c r="PFC70" s="160"/>
      <c r="PFD70" s="161"/>
      <c r="PFE70"/>
      <c r="PFF70" s="162"/>
      <c r="PFG70"/>
      <c r="PFH70" s="155"/>
      <c r="PFI70" s="163"/>
      <c r="PFJ70"/>
      <c r="PFK70" s="156"/>
      <c r="PFL70" s="157"/>
      <c r="PFM70" s="158"/>
      <c r="PFN70" s="158"/>
      <c r="PFO70" s="157"/>
      <c r="PFP70" s="159"/>
      <c r="PFQ70" s="157"/>
      <c r="PFR70" s="159"/>
      <c r="PFS70" s="160"/>
      <c r="PFT70" s="161"/>
      <c r="PFU70"/>
      <c r="PFV70" s="162"/>
      <c r="PFW70"/>
      <c r="PFX70" s="155"/>
      <c r="PFY70" s="163"/>
      <c r="PFZ70"/>
      <c r="PGA70" s="156"/>
      <c r="PGB70" s="157"/>
      <c r="PGC70" s="158"/>
      <c r="PGD70" s="158"/>
      <c r="PGE70" s="157"/>
      <c r="PGF70" s="159"/>
      <c r="PGG70" s="157"/>
      <c r="PGH70" s="159"/>
      <c r="PGI70" s="160"/>
      <c r="PGJ70" s="161"/>
      <c r="PGK70"/>
      <c r="PGL70" s="162"/>
      <c r="PGM70"/>
      <c r="PGN70" s="155"/>
      <c r="PGO70" s="163"/>
      <c r="PGP70"/>
      <c r="PGQ70" s="156"/>
      <c r="PGR70" s="157"/>
      <c r="PGS70" s="158"/>
      <c r="PGT70" s="158"/>
      <c r="PGU70" s="157"/>
      <c r="PGV70" s="159"/>
      <c r="PGW70" s="157"/>
      <c r="PGX70" s="159"/>
      <c r="PGY70" s="160"/>
      <c r="PGZ70" s="161"/>
      <c r="PHA70"/>
      <c r="PHB70" s="162"/>
      <c r="PHC70"/>
      <c r="PHD70" s="155"/>
      <c r="PHE70" s="163"/>
      <c r="PHF70"/>
      <c r="PHG70" s="156"/>
      <c r="PHH70" s="157"/>
      <c r="PHI70" s="158"/>
      <c r="PHJ70" s="158"/>
      <c r="PHK70" s="157"/>
      <c r="PHL70" s="159"/>
      <c r="PHM70" s="157"/>
      <c r="PHN70" s="159"/>
      <c r="PHO70" s="160"/>
      <c r="PHP70" s="161"/>
      <c r="PHQ70"/>
      <c r="PHR70" s="162"/>
      <c r="PHS70"/>
      <c r="PHT70" s="155"/>
      <c r="PHU70" s="163"/>
      <c r="PHV70"/>
      <c r="PHW70" s="156"/>
      <c r="PHX70" s="157"/>
      <c r="PHY70" s="158"/>
      <c r="PHZ70" s="158"/>
      <c r="PIA70" s="157"/>
      <c r="PIB70" s="159"/>
      <c r="PIC70" s="157"/>
      <c r="PID70" s="159"/>
      <c r="PIE70" s="160"/>
      <c r="PIF70" s="161"/>
      <c r="PIG70"/>
      <c r="PIH70" s="162"/>
      <c r="PII70"/>
      <c r="PIJ70" s="155"/>
      <c r="PIK70" s="163"/>
      <c r="PIL70"/>
      <c r="PIM70" s="156"/>
      <c r="PIN70" s="157"/>
      <c r="PIO70" s="158"/>
      <c r="PIP70" s="158"/>
      <c r="PIQ70" s="157"/>
      <c r="PIR70" s="159"/>
      <c r="PIS70" s="157"/>
      <c r="PIT70" s="159"/>
      <c r="PIU70" s="160"/>
      <c r="PIV70" s="161"/>
      <c r="PIW70"/>
      <c r="PIX70" s="162"/>
      <c r="PIY70"/>
      <c r="PIZ70" s="155"/>
      <c r="PJA70" s="163"/>
      <c r="PJB70"/>
      <c r="PJC70" s="156"/>
      <c r="PJD70" s="157"/>
      <c r="PJE70" s="158"/>
      <c r="PJF70" s="158"/>
      <c r="PJG70" s="157"/>
      <c r="PJH70" s="159"/>
      <c r="PJI70" s="157"/>
      <c r="PJJ70" s="159"/>
      <c r="PJK70" s="160"/>
      <c r="PJL70" s="161"/>
      <c r="PJM70"/>
      <c r="PJN70" s="162"/>
      <c r="PJO70"/>
      <c r="PJP70" s="155"/>
      <c r="PJQ70" s="163"/>
      <c r="PJR70"/>
      <c r="PJS70" s="156"/>
      <c r="PJT70" s="157"/>
      <c r="PJU70" s="158"/>
      <c r="PJV70" s="158"/>
      <c r="PJW70" s="157"/>
      <c r="PJX70" s="159"/>
      <c r="PJY70" s="157"/>
      <c r="PJZ70" s="159"/>
      <c r="PKA70" s="160"/>
      <c r="PKB70" s="161"/>
      <c r="PKC70"/>
      <c r="PKD70" s="162"/>
      <c r="PKE70"/>
      <c r="PKF70" s="155"/>
      <c r="PKG70" s="163"/>
      <c r="PKH70"/>
      <c r="PKI70" s="156"/>
      <c r="PKJ70" s="157"/>
      <c r="PKK70" s="158"/>
      <c r="PKL70" s="158"/>
      <c r="PKM70" s="157"/>
      <c r="PKN70" s="159"/>
      <c r="PKO70" s="157"/>
      <c r="PKP70" s="159"/>
      <c r="PKQ70" s="160"/>
      <c r="PKR70" s="161"/>
      <c r="PKS70"/>
      <c r="PKT70" s="162"/>
      <c r="PKU70"/>
      <c r="PKV70" s="155"/>
      <c r="PKW70" s="163"/>
      <c r="PKX70"/>
      <c r="PKY70" s="156"/>
      <c r="PKZ70" s="157"/>
      <c r="PLA70" s="158"/>
      <c r="PLB70" s="158"/>
      <c r="PLC70" s="157"/>
      <c r="PLD70" s="159"/>
      <c r="PLE70" s="157"/>
      <c r="PLF70" s="159"/>
      <c r="PLG70" s="160"/>
      <c r="PLH70" s="161"/>
      <c r="PLI70"/>
      <c r="PLJ70" s="162"/>
      <c r="PLK70"/>
      <c r="PLL70" s="155"/>
      <c r="PLM70" s="163"/>
      <c r="PLN70"/>
      <c r="PLO70" s="156"/>
      <c r="PLP70" s="157"/>
      <c r="PLQ70" s="158"/>
      <c r="PLR70" s="158"/>
      <c r="PLS70" s="157"/>
      <c r="PLT70" s="159"/>
      <c r="PLU70" s="157"/>
      <c r="PLV70" s="159"/>
      <c r="PLW70" s="160"/>
      <c r="PLX70" s="161"/>
      <c r="PLY70"/>
      <c r="PLZ70" s="162"/>
      <c r="PMA70"/>
      <c r="PMB70" s="155"/>
      <c r="PMC70" s="163"/>
      <c r="PMD70"/>
      <c r="PME70" s="156"/>
      <c r="PMF70" s="157"/>
      <c r="PMG70" s="158"/>
      <c r="PMH70" s="158"/>
      <c r="PMI70" s="157"/>
      <c r="PMJ70" s="159"/>
      <c r="PMK70" s="157"/>
      <c r="PML70" s="159"/>
      <c r="PMM70" s="160"/>
      <c r="PMN70" s="161"/>
      <c r="PMO70"/>
      <c r="PMP70" s="162"/>
      <c r="PMQ70"/>
      <c r="PMR70" s="155"/>
      <c r="PMS70" s="163"/>
      <c r="PMT70"/>
      <c r="PMU70" s="156"/>
      <c r="PMV70" s="157"/>
      <c r="PMW70" s="158"/>
      <c r="PMX70" s="158"/>
      <c r="PMY70" s="157"/>
      <c r="PMZ70" s="159"/>
      <c r="PNA70" s="157"/>
      <c r="PNB70" s="159"/>
      <c r="PNC70" s="160"/>
      <c r="PND70" s="161"/>
      <c r="PNE70"/>
      <c r="PNF70" s="162"/>
      <c r="PNG70"/>
      <c r="PNH70" s="155"/>
      <c r="PNI70" s="163"/>
      <c r="PNJ70"/>
      <c r="PNK70" s="156"/>
      <c r="PNL70" s="157"/>
      <c r="PNM70" s="158"/>
      <c r="PNN70" s="158"/>
      <c r="PNO70" s="157"/>
      <c r="PNP70" s="159"/>
      <c r="PNQ70" s="157"/>
      <c r="PNR70" s="159"/>
      <c r="PNS70" s="160"/>
      <c r="PNT70" s="161"/>
      <c r="PNU70"/>
      <c r="PNV70" s="162"/>
      <c r="PNW70"/>
      <c r="PNX70" s="155"/>
      <c r="PNY70" s="163"/>
      <c r="PNZ70"/>
      <c r="POA70" s="156"/>
      <c r="POB70" s="157"/>
      <c r="POC70" s="158"/>
      <c r="POD70" s="158"/>
      <c r="POE70" s="157"/>
      <c r="POF70" s="159"/>
      <c r="POG70" s="157"/>
      <c r="POH70" s="159"/>
      <c r="POI70" s="160"/>
      <c r="POJ70" s="161"/>
      <c r="POK70"/>
      <c r="POL70" s="162"/>
      <c r="POM70"/>
      <c r="PON70" s="155"/>
      <c r="POO70" s="163"/>
      <c r="POP70"/>
      <c r="POQ70" s="156"/>
      <c r="POR70" s="157"/>
      <c r="POS70" s="158"/>
      <c r="POT70" s="158"/>
      <c r="POU70" s="157"/>
      <c r="POV70" s="159"/>
      <c r="POW70" s="157"/>
      <c r="POX70" s="159"/>
      <c r="POY70" s="160"/>
      <c r="POZ70" s="161"/>
      <c r="PPA70"/>
      <c r="PPB70" s="162"/>
      <c r="PPC70"/>
      <c r="PPD70" s="155"/>
      <c r="PPE70" s="163"/>
      <c r="PPF70"/>
      <c r="PPG70" s="156"/>
      <c r="PPH70" s="157"/>
      <c r="PPI70" s="158"/>
      <c r="PPJ70" s="158"/>
      <c r="PPK70" s="157"/>
      <c r="PPL70" s="159"/>
      <c r="PPM70" s="157"/>
      <c r="PPN70" s="159"/>
      <c r="PPO70" s="160"/>
      <c r="PPP70" s="161"/>
      <c r="PPQ70"/>
      <c r="PPR70" s="162"/>
      <c r="PPS70"/>
      <c r="PPT70" s="155"/>
      <c r="PPU70" s="163"/>
      <c r="PPV70"/>
      <c r="PPW70" s="156"/>
      <c r="PPX70" s="157"/>
      <c r="PPY70" s="158"/>
      <c r="PPZ70" s="158"/>
      <c r="PQA70" s="157"/>
      <c r="PQB70" s="159"/>
      <c r="PQC70" s="157"/>
      <c r="PQD70" s="159"/>
      <c r="PQE70" s="160"/>
      <c r="PQF70" s="161"/>
      <c r="PQG70"/>
      <c r="PQH70" s="162"/>
      <c r="PQI70"/>
      <c r="PQJ70" s="155"/>
      <c r="PQK70" s="163"/>
      <c r="PQL70"/>
      <c r="PQM70" s="156"/>
      <c r="PQN70" s="157"/>
      <c r="PQO70" s="158"/>
      <c r="PQP70" s="158"/>
      <c r="PQQ70" s="157"/>
      <c r="PQR70" s="159"/>
      <c r="PQS70" s="157"/>
      <c r="PQT70" s="159"/>
      <c r="PQU70" s="160"/>
      <c r="PQV70" s="161"/>
      <c r="PQW70"/>
      <c r="PQX70" s="162"/>
      <c r="PQY70"/>
      <c r="PQZ70" s="155"/>
      <c r="PRA70" s="163"/>
      <c r="PRB70"/>
      <c r="PRC70" s="156"/>
      <c r="PRD70" s="157"/>
      <c r="PRE70" s="158"/>
      <c r="PRF70" s="158"/>
      <c r="PRG70" s="157"/>
      <c r="PRH70" s="159"/>
      <c r="PRI70" s="157"/>
      <c r="PRJ70" s="159"/>
      <c r="PRK70" s="160"/>
      <c r="PRL70" s="161"/>
      <c r="PRM70"/>
      <c r="PRN70" s="162"/>
      <c r="PRO70"/>
      <c r="PRP70" s="155"/>
      <c r="PRQ70" s="163"/>
      <c r="PRR70"/>
      <c r="PRS70" s="156"/>
      <c r="PRT70" s="157"/>
      <c r="PRU70" s="158"/>
      <c r="PRV70" s="158"/>
      <c r="PRW70" s="157"/>
      <c r="PRX70" s="159"/>
      <c r="PRY70" s="157"/>
      <c r="PRZ70" s="159"/>
      <c r="PSA70" s="160"/>
      <c r="PSB70" s="161"/>
      <c r="PSC70"/>
      <c r="PSD70" s="162"/>
      <c r="PSE70"/>
      <c r="PSF70" s="155"/>
      <c r="PSG70" s="163"/>
      <c r="PSH70"/>
      <c r="PSI70" s="156"/>
      <c r="PSJ70" s="157"/>
      <c r="PSK70" s="158"/>
      <c r="PSL70" s="158"/>
      <c r="PSM70" s="157"/>
      <c r="PSN70" s="159"/>
      <c r="PSO70" s="157"/>
      <c r="PSP70" s="159"/>
      <c r="PSQ70" s="160"/>
      <c r="PSR70" s="161"/>
      <c r="PSS70"/>
      <c r="PST70" s="162"/>
      <c r="PSU70"/>
      <c r="PSV70" s="155"/>
      <c r="PSW70" s="163"/>
      <c r="PSX70"/>
      <c r="PSY70" s="156"/>
      <c r="PSZ70" s="157"/>
      <c r="PTA70" s="158"/>
      <c r="PTB70" s="158"/>
      <c r="PTC70" s="157"/>
      <c r="PTD70" s="159"/>
      <c r="PTE70" s="157"/>
      <c r="PTF70" s="159"/>
      <c r="PTG70" s="160"/>
      <c r="PTH70" s="161"/>
      <c r="PTI70"/>
      <c r="PTJ70" s="162"/>
      <c r="PTK70"/>
      <c r="PTL70" s="155"/>
      <c r="PTM70" s="163"/>
      <c r="PTN70"/>
      <c r="PTO70" s="156"/>
      <c r="PTP70" s="157"/>
      <c r="PTQ70" s="158"/>
      <c r="PTR70" s="158"/>
      <c r="PTS70" s="157"/>
      <c r="PTT70" s="159"/>
      <c r="PTU70" s="157"/>
      <c r="PTV70" s="159"/>
      <c r="PTW70" s="160"/>
      <c r="PTX70" s="161"/>
      <c r="PTY70"/>
      <c r="PTZ70" s="162"/>
      <c r="PUA70"/>
      <c r="PUB70" s="155"/>
      <c r="PUC70" s="163"/>
      <c r="PUD70"/>
      <c r="PUE70" s="156"/>
      <c r="PUF70" s="157"/>
      <c r="PUG70" s="158"/>
      <c r="PUH70" s="158"/>
      <c r="PUI70" s="157"/>
      <c r="PUJ70" s="159"/>
      <c r="PUK70" s="157"/>
      <c r="PUL70" s="159"/>
      <c r="PUM70" s="160"/>
      <c r="PUN70" s="161"/>
      <c r="PUO70"/>
      <c r="PUP70" s="162"/>
      <c r="PUQ70"/>
      <c r="PUR70" s="155"/>
      <c r="PUS70" s="163"/>
      <c r="PUT70"/>
      <c r="PUU70" s="156"/>
      <c r="PUV70" s="157"/>
      <c r="PUW70" s="158"/>
      <c r="PUX70" s="158"/>
      <c r="PUY70" s="157"/>
      <c r="PUZ70" s="159"/>
      <c r="PVA70" s="157"/>
      <c r="PVB70" s="159"/>
      <c r="PVC70" s="160"/>
      <c r="PVD70" s="161"/>
      <c r="PVE70"/>
      <c r="PVF70" s="162"/>
      <c r="PVG70"/>
      <c r="PVH70" s="155"/>
      <c r="PVI70" s="163"/>
      <c r="PVJ70"/>
      <c r="PVK70" s="156"/>
      <c r="PVL70" s="157"/>
      <c r="PVM70" s="158"/>
      <c r="PVN70" s="158"/>
      <c r="PVO70" s="157"/>
      <c r="PVP70" s="159"/>
      <c r="PVQ70" s="157"/>
      <c r="PVR70" s="159"/>
      <c r="PVS70" s="160"/>
      <c r="PVT70" s="161"/>
      <c r="PVU70"/>
      <c r="PVV70" s="162"/>
      <c r="PVW70"/>
      <c r="PVX70" s="155"/>
      <c r="PVY70" s="163"/>
      <c r="PVZ70"/>
      <c r="PWA70" s="156"/>
      <c r="PWB70" s="157"/>
      <c r="PWC70" s="158"/>
      <c r="PWD70" s="158"/>
      <c r="PWE70" s="157"/>
      <c r="PWF70" s="159"/>
      <c r="PWG70" s="157"/>
      <c r="PWH70" s="159"/>
      <c r="PWI70" s="160"/>
      <c r="PWJ70" s="161"/>
      <c r="PWK70"/>
      <c r="PWL70" s="162"/>
      <c r="PWM70"/>
      <c r="PWN70" s="155"/>
      <c r="PWO70" s="163"/>
      <c r="PWP70"/>
      <c r="PWQ70" s="156"/>
      <c r="PWR70" s="157"/>
      <c r="PWS70" s="158"/>
      <c r="PWT70" s="158"/>
      <c r="PWU70" s="157"/>
      <c r="PWV70" s="159"/>
      <c r="PWW70" s="157"/>
      <c r="PWX70" s="159"/>
      <c r="PWY70" s="160"/>
      <c r="PWZ70" s="161"/>
      <c r="PXA70"/>
      <c r="PXB70" s="162"/>
      <c r="PXC70"/>
      <c r="PXD70" s="155"/>
      <c r="PXE70" s="163"/>
      <c r="PXF70"/>
      <c r="PXG70" s="156"/>
      <c r="PXH70" s="157"/>
      <c r="PXI70" s="158"/>
      <c r="PXJ70" s="158"/>
      <c r="PXK70" s="157"/>
      <c r="PXL70" s="159"/>
      <c r="PXM70" s="157"/>
      <c r="PXN70" s="159"/>
      <c r="PXO70" s="160"/>
      <c r="PXP70" s="161"/>
      <c r="PXQ70"/>
      <c r="PXR70" s="162"/>
      <c r="PXS70"/>
      <c r="PXT70" s="155"/>
      <c r="PXU70" s="163"/>
      <c r="PXV70"/>
      <c r="PXW70" s="156"/>
      <c r="PXX70" s="157"/>
      <c r="PXY70" s="158"/>
      <c r="PXZ70" s="158"/>
      <c r="PYA70" s="157"/>
      <c r="PYB70" s="159"/>
      <c r="PYC70" s="157"/>
      <c r="PYD70" s="159"/>
      <c r="PYE70" s="160"/>
      <c r="PYF70" s="161"/>
      <c r="PYG70"/>
      <c r="PYH70" s="162"/>
      <c r="PYI70"/>
      <c r="PYJ70" s="155"/>
      <c r="PYK70" s="163"/>
      <c r="PYL70"/>
      <c r="PYM70" s="156"/>
      <c r="PYN70" s="157"/>
      <c r="PYO70" s="158"/>
      <c r="PYP70" s="158"/>
      <c r="PYQ70" s="157"/>
      <c r="PYR70" s="159"/>
      <c r="PYS70" s="157"/>
      <c r="PYT70" s="159"/>
      <c r="PYU70" s="160"/>
      <c r="PYV70" s="161"/>
      <c r="PYW70"/>
      <c r="PYX70" s="162"/>
      <c r="PYY70"/>
      <c r="PYZ70" s="155"/>
      <c r="PZA70" s="163"/>
      <c r="PZB70"/>
      <c r="PZC70" s="156"/>
      <c r="PZD70" s="157"/>
      <c r="PZE70" s="158"/>
      <c r="PZF70" s="158"/>
      <c r="PZG70" s="157"/>
      <c r="PZH70" s="159"/>
      <c r="PZI70" s="157"/>
      <c r="PZJ70" s="159"/>
      <c r="PZK70" s="160"/>
      <c r="PZL70" s="161"/>
      <c r="PZM70"/>
      <c r="PZN70" s="162"/>
      <c r="PZO70"/>
      <c r="PZP70" s="155"/>
      <c r="PZQ70" s="163"/>
      <c r="PZR70"/>
      <c r="PZS70" s="156"/>
      <c r="PZT70" s="157"/>
      <c r="PZU70" s="158"/>
      <c r="PZV70" s="158"/>
      <c r="PZW70" s="157"/>
      <c r="PZX70" s="159"/>
      <c r="PZY70" s="157"/>
      <c r="PZZ70" s="159"/>
      <c r="QAA70" s="160"/>
      <c r="QAB70" s="161"/>
      <c r="QAC70"/>
      <c r="QAD70" s="162"/>
      <c r="QAE70"/>
      <c r="QAF70" s="155"/>
      <c r="QAG70" s="163"/>
      <c r="QAH70"/>
      <c r="QAI70" s="156"/>
      <c r="QAJ70" s="157"/>
      <c r="QAK70" s="158"/>
      <c r="QAL70" s="158"/>
      <c r="QAM70" s="157"/>
      <c r="QAN70" s="159"/>
      <c r="QAO70" s="157"/>
      <c r="QAP70" s="159"/>
      <c r="QAQ70" s="160"/>
      <c r="QAR70" s="161"/>
      <c r="QAS70"/>
      <c r="QAT70" s="162"/>
      <c r="QAU70"/>
      <c r="QAV70" s="155"/>
      <c r="QAW70" s="163"/>
      <c r="QAX70"/>
      <c r="QAY70" s="156"/>
      <c r="QAZ70" s="157"/>
      <c r="QBA70" s="158"/>
      <c r="QBB70" s="158"/>
      <c r="QBC70" s="157"/>
      <c r="QBD70" s="159"/>
      <c r="QBE70" s="157"/>
      <c r="QBF70" s="159"/>
      <c r="QBG70" s="160"/>
      <c r="QBH70" s="161"/>
      <c r="QBI70"/>
      <c r="QBJ70" s="162"/>
      <c r="QBK70"/>
      <c r="QBL70" s="155"/>
      <c r="QBM70" s="163"/>
      <c r="QBN70"/>
      <c r="QBO70" s="156"/>
      <c r="QBP70" s="157"/>
      <c r="QBQ70" s="158"/>
      <c r="QBR70" s="158"/>
      <c r="QBS70" s="157"/>
      <c r="QBT70" s="159"/>
      <c r="QBU70" s="157"/>
      <c r="QBV70" s="159"/>
      <c r="QBW70" s="160"/>
      <c r="QBX70" s="161"/>
      <c r="QBY70"/>
      <c r="QBZ70" s="162"/>
      <c r="QCA70"/>
      <c r="QCB70" s="155"/>
      <c r="QCC70" s="163"/>
      <c r="QCD70"/>
      <c r="QCE70" s="156"/>
      <c r="QCF70" s="157"/>
      <c r="QCG70" s="158"/>
      <c r="QCH70" s="158"/>
      <c r="QCI70" s="157"/>
      <c r="QCJ70" s="159"/>
      <c r="QCK70" s="157"/>
      <c r="QCL70" s="159"/>
      <c r="QCM70" s="160"/>
      <c r="QCN70" s="161"/>
      <c r="QCO70"/>
      <c r="QCP70" s="162"/>
      <c r="QCQ70"/>
      <c r="QCR70" s="155"/>
      <c r="QCS70" s="163"/>
      <c r="QCT70"/>
      <c r="QCU70" s="156"/>
      <c r="QCV70" s="157"/>
      <c r="QCW70" s="158"/>
      <c r="QCX70" s="158"/>
      <c r="QCY70" s="157"/>
      <c r="QCZ70" s="159"/>
      <c r="QDA70" s="157"/>
      <c r="QDB70" s="159"/>
      <c r="QDC70" s="160"/>
      <c r="QDD70" s="161"/>
      <c r="QDE70"/>
      <c r="QDF70" s="162"/>
      <c r="QDG70"/>
      <c r="QDH70" s="155"/>
      <c r="QDI70" s="163"/>
      <c r="QDJ70"/>
      <c r="QDK70" s="156"/>
      <c r="QDL70" s="157"/>
      <c r="QDM70" s="158"/>
      <c r="QDN70" s="158"/>
      <c r="QDO70" s="157"/>
      <c r="QDP70" s="159"/>
      <c r="QDQ70" s="157"/>
      <c r="QDR70" s="159"/>
      <c r="QDS70" s="160"/>
      <c r="QDT70" s="161"/>
      <c r="QDU70"/>
      <c r="QDV70" s="162"/>
      <c r="QDW70"/>
      <c r="QDX70" s="155"/>
      <c r="QDY70" s="163"/>
      <c r="QDZ70"/>
      <c r="QEA70" s="156"/>
      <c r="QEB70" s="157"/>
      <c r="QEC70" s="158"/>
      <c r="QED70" s="158"/>
      <c r="QEE70" s="157"/>
      <c r="QEF70" s="159"/>
      <c r="QEG70" s="157"/>
      <c r="QEH70" s="159"/>
      <c r="QEI70" s="160"/>
      <c r="QEJ70" s="161"/>
      <c r="QEK70"/>
      <c r="QEL70" s="162"/>
      <c r="QEM70"/>
      <c r="QEN70" s="155"/>
      <c r="QEO70" s="163"/>
      <c r="QEP70"/>
      <c r="QEQ70" s="156"/>
      <c r="QER70" s="157"/>
      <c r="QES70" s="158"/>
      <c r="QET70" s="158"/>
      <c r="QEU70" s="157"/>
      <c r="QEV70" s="159"/>
      <c r="QEW70" s="157"/>
      <c r="QEX70" s="159"/>
      <c r="QEY70" s="160"/>
      <c r="QEZ70" s="161"/>
      <c r="QFA70"/>
      <c r="QFB70" s="162"/>
      <c r="QFC70"/>
      <c r="QFD70" s="155"/>
      <c r="QFE70" s="163"/>
      <c r="QFF70"/>
      <c r="QFG70" s="156"/>
      <c r="QFH70" s="157"/>
      <c r="QFI70" s="158"/>
      <c r="QFJ70" s="158"/>
      <c r="QFK70" s="157"/>
      <c r="QFL70" s="159"/>
      <c r="QFM70" s="157"/>
      <c r="QFN70" s="159"/>
      <c r="QFO70" s="160"/>
      <c r="QFP70" s="161"/>
      <c r="QFQ70"/>
      <c r="QFR70" s="162"/>
      <c r="QFS70"/>
      <c r="QFT70" s="155"/>
      <c r="QFU70" s="163"/>
      <c r="QFV70"/>
      <c r="QFW70" s="156"/>
      <c r="QFX70" s="157"/>
      <c r="QFY70" s="158"/>
      <c r="QFZ70" s="158"/>
      <c r="QGA70" s="157"/>
      <c r="QGB70" s="159"/>
      <c r="QGC70" s="157"/>
      <c r="QGD70" s="159"/>
      <c r="QGE70" s="160"/>
      <c r="QGF70" s="161"/>
      <c r="QGG70"/>
      <c r="QGH70" s="162"/>
      <c r="QGI70"/>
      <c r="QGJ70" s="155"/>
      <c r="QGK70" s="163"/>
      <c r="QGL70"/>
      <c r="QGM70" s="156"/>
      <c r="QGN70" s="157"/>
      <c r="QGO70" s="158"/>
      <c r="QGP70" s="158"/>
      <c r="QGQ70" s="157"/>
      <c r="QGR70" s="159"/>
      <c r="QGS70" s="157"/>
      <c r="QGT70" s="159"/>
      <c r="QGU70" s="160"/>
      <c r="QGV70" s="161"/>
      <c r="QGW70"/>
      <c r="QGX70" s="162"/>
      <c r="QGY70"/>
      <c r="QGZ70" s="155"/>
      <c r="QHA70" s="163"/>
      <c r="QHB70"/>
      <c r="QHC70" s="156"/>
      <c r="QHD70" s="157"/>
      <c r="QHE70" s="158"/>
      <c r="QHF70" s="158"/>
      <c r="QHG70" s="157"/>
      <c r="QHH70" s="159"/>
      <c r="QHI70" s="157"/>
      <c r="QHJ70" s="159"/>
      <c r="QHK70" s="160"/>
      <c r="QHL70" s="161"/>
      <c r="QHM70"/>
      <c r="QHN70" s="162"/>
      <c r="QHO70"/>
      <c r="QHP70" s="155"/>
      <c r="QHQ70" s="163"/>
      <c r="QHR70"/>
      <c r="QHS70" s="156"/>
      <c r="QHT70" s="157"/>
      <c r="QHU70" s="158"/>
      <c r="QHV70" s="158"/>
      <c r="QHW70" s="157"/>
      <c r="QHX70" s="159"/>
      <c r="QHY70" s="157"/>
      <c r="QHZ70" s="159"/>
      <c r="QIA70" s="160"/>
      <c r="QIB70" s="161"/>
      <c r="QIC70"/>
      <c r="QID70" s="162"/>
      <c r="QIE70"/>
      <c r="QIF70" s="155"/>
      <c r="QIG70" s="163"/>
      <c r="QIH70"/>
      <c r="QII70" s="156"/>
      <c r="QIJ70" s="157"/>
      <c r="QIK70" s="158"/>
      <c r="QIL70" s="158"/>
      <c r="QIM70" s="157"/>
      <c r="QIN70" s="159"/>
      <c r="QIO70" s="157"/>
      <c r="QIP70" s="159"/>
      <c r="QIQ70" s="160"/>
      <c r="QIR70" s="161"/>
      <c r="QIS70"/>
      <c r="QIT70" s="162"/>
      <c r="QIU70"/>
      <c r="QIV70" s="155"/>
      <c r="QIW70" s="163"/>
      <c r="QIX70"/>
      <c r="QIY70" s="156"/>
      <c r="QIZ70" s="157"/>
      <c r="QJA70" s="158"/>
      <c r="QJB70" s="158"/>
      <c r="QJC70" s="157"/>
      <c r="QJD70" s="159"/>
      <c r="QJE70" s="157"/>
      <c r="QJF70" s="159"/>
      <c r="QJG70" s="160"/>
      <c r="QJH70" s="161"/>
      <c r="QJI70"/>
      <c r="QJJ70" s="162"/>
      <c r="QJK70"/>
      <c r="QJL70" s="155"/>
      <c r="QJM70" s="163"/>
      <c r="QJN70"/>
      <c r="QJO70" s="156"/>
      <c r="QJP70" s="157"/>
      <c r="QJQ70" s="158"/>
      <c r="QJR70" s="158"/>
      <c r="QJS70" s="157"/>
      <c r="QJT70" s="159"/>
      <c r="QJU70" s="157"/>
      <c r="QJV70" s="159"/>
      <c r="QJW70" s="160"/>
      <c r="QJX70" s="161"/>
      <c r="QJY70"/>
      <c r="QJZ70" s="162"/>
      <c r="QKA70"/>
      <c r="QKB70" s="155"/>
      <c r="QKC70" s="163"/>
      <c r="QKD70"/>
      <c r="QKE70" s="156"/>
      <c r="QKF70" s="157"/>
      <c r="QKG70" s="158"/>
      <c r="QKH70" s="158"/>
      <c r="QKI70" s="157"/>
      <c r="QKJ70" s="159"/>
      <c r="QKK70" s="157"/>
      <c r="QKL70" s="159"/>
      <c r="QKM70" s="160"/>
      <c r="QKN70" s="161"/>
      <c r="QKO70"/>
      <c r="QKP70" s="162"/>
      <c r="QKQ70"/>
      <c r="QKR70" s="155"/>
      <c r="QKS70" s="163"/>
      <c r="QKT70"/>
      <c r="QKU70" s="156"/>
      <c r="QKV70" s="157"/>
      <c r="QKW70" s="158"/>
      <c r="QKX70" s="158"/>
      <c r="QKY70" s="157"/>
      <c r="QKZ70" s="159"/>
      <c r="QLA70" s="157"/>
      <c r="QLB70" s="159"/>
      <c r="QLC70" s="160"/>
      <c r="QLD70" s="161"/>
      <c r="QLE70"/>
      <c r="QLF70" s="162"/>
      <c r="QLG70"/>
      <c r="QLH70" s="155"/>
      <c r="QLI70" s="163"/>
      <c r="QLJ70"/>
      <c r="QLK70" s="156"/>
      <c r="QLL70" s="157"/>
      <c r="QLM70" s="158"/>
      <c r="QLN70" s="158"/>
      <c r="QLO70" s="157"/>
      <c r="QLP70" s="159"/>
      <c r="QLQ70" s="157"/>
      <c r="QLR70" s="159"/>
      <c r="QLS70" s="160"/>
      <c r="QLT70" s="161"/>
      <c r="QLU70"/>
      <c r="QLV70" s="162"/>
      <c r="QLW70"/>
      <c r="QLX70" s="155"/>
      <c r="QLY70" s="163"/>
      <c r="QLZ70"/>
      <c r="QMA70" s="156"/>
      <c r="QMB70" s="157"/>
      <c r="QMC70" s="158"/>
      <c r="QMD70" s="158"/>
      <c r="QME70" s="157"/>
      <c r="QMF70" s="159"/>
      <c r="QMG70" s="157"/>
      <c r="QMH70" s="159"/>
      <c r="QMI70" s="160"/>
      <c r="QMJ70" s="161"/>
      <c r="QMK70"/>
      <c r="QML70" s="162"/>
      <c r="QMM70"/>
      <c r="QMN70" s="155"/>
      <c r="QMO70" s="163"/>
      <c r="QMP70"/>
      <c r="QMQ70" s="156"/>
      <c r="QMR70" s="157"/>
      <c r="QMS70" s="158"/>
      <c r="QMT70" s="158"/>
      <c r="QMU70" s="157"/>
      <c r="QMV70" s="159"/>
      <c r="QMW70" s="157"/>
      <c r="QMX70" s="159"/>
      <c r="QMY70" s="160"/>
      <c r="QMZ70" s="161"/>
      <c r="QNA70"/>
      <c r="QNB70" s="162"/>
      <c r="QNC70"/>
      <c r="QND70" s="155"/>
      <c r="QNE70" s="163"/>
      <c r="QNF70"/>
      <c r="QNG70" s="156"/>
      <c r="QNH70" s="157"/>
      <c r="QNI70" s="158"/>
      <c r="QNJ70" s="158"/>
      <c r="QNK70" s="157"/>
      <c r="QNL70" s="159"/>
      <c r="QNM70" s="157"/>
      <c r="QNN70" s="159"/>
      <c r="QNO70" s="160"/>
      <c r="QNP70" s="161"/>
      <c r="QNQ70"/>
      <c r="QNR70" s="162"/>
      <c r="QNS70"/>
      <c r="QNT70" s="155"/>
      <c r="QNU70" s="163"/>
      <c r="QNV70"/>
      <c r="QNW70" s="156"/>
      <c r="QNX70" s="157"/>
      <c r="QNY70" s="158"/>
      <c r="QNZ70" s="158"/>
      <c r="QOA70" s="157"/>
      <c r="QOB70" s="159"/>
      <c r="QOC70" s="157"/>
      <c r="QOD70" s="159"/>
      <c r="QOE70" s="160"/>
      <c r="QOF70" s="161"/>
      <c r="QOG70"/>
      <c r="QOH70" s="162"/>
      <c r="QOI70"/>
      <c r="QOJ70" s="155"/>
      <c r="QOK70" s="163"/>
      <c r="QOL70"/>
      <c r="QOM70" s="156"/>
      <c r="QON70" s="157"/>
      <c r="QOO70" s="158"/>
      <c r="QOP70" s="158"/>
      <c r="QOQ70" s="157"/>
      <c r="QOR70" s="159"/>
      <c r="QOS70" s="157"/>
      <c r="QOT70" s="159"/>
      <c r="QOU70" s="160"/>
      <c r="QOV70" s="161"/>
      <c r="QOW70"/>
      <c r="QOX70" s="162"/>
      <c r="QOY70"/>
      <c r="QOZ70" s="155"/>
      <c r="QPA70" s="163"/>
      <c r="QPB70"/>
      <c r="QPC70" s="156"/>
      <c r="QPD70" s="157"/>
      <c r="QPE70" s="158"/>
      <c r="QPF70" s="158"/>
      <c r="QPG70" s="157"/>
      <c r="QPH70" s="159"/>
      <c r="QPI70" s="157"/>
      <c r="QPJ70" s="159"/>
      <c r="QPK70" s="160"/>
      <c r="QPL70" s="161"/>
      <c r="QPM70"/>
      <c r="QPN70" s="162"/>
      <c r="QPO70"/>
      <c r="QPP70" s="155"/>
      <c r="QPQ70" s="163"/>
      <c r="QPR70"/>
      <c r="QPS70" s="156"/>
      <c r="QPT70" s="157"/>
      <c r="QPU70" s="158"/>
      <c r="QPV70" s="158"/>
      <c r="QPW70" s="157"/>
      <c r="QPX70" s="159"/>
      <c r="QPY70" s="157"/>
      <c r="QPZ70" s="159"/>
      <c r="QQA70" s="160"/>
      <c r="QQB70" s="161"/>
      <c r="QQC70"/>
      <c r="QQD70" s="162"/>
      <c r="QQE70"/>
      <c r="QQF70" s="155"/>
      <c r="QQG70" s="163"/>
      <c r="QQH70"/>
      <c r="QQI70" s="156"/>
      <c r="QQJ70" s="157"/>
      <c r="QQK70" s="158"/>
      <c r="QQL70" s="158"/>
      <c r="QQM70" s="157"/>
      <c r="QQN70" s="159"/>
      <c r="QQO70" s="157"/>
      <c r="QQP70" s="159"/>
      <c r="QQQ70" s="160"/>
      <c r="QQR70" s="161"/>
      <c r="QQS70"/>
      <c r="QQT70" s="162"/>
      <c r="QQU70"/>
      <c r="QQV70" s="155"/>
      <c r="QQW70" s="163"/>
      <c r="QQX70"/>
      <c r="QQY70" s="156"/>
      <c r="QQZ70" s="157"/>
      <c r="QRA70" s="158"/>
      <c r="QRB70" s="158"/>
      <c r="QRC70" s="157"/>
      <c r="QRD70" s="159"/>
      <c r="QRE70" s="157"/>
      <c r="QRF70" s="159"/>
      <c r="QRG70" s="160"/>
      <c r="QRH70" s="161"/>
      <c r="QRI70"/>
      <c r="QRJ70" s="162"/>
      <c r="QRK70"/>
      <c r="QRL70" s="155"/>
      <c r="QRM70" s="163"/>
      <c r="QRN70"/>
      <c r="QRO70" s="156"/>
      <c r="QRP70" s="157"/>
      <c r="QRQ70" s="158"/>
      <c r="QRR70" s="158"/>
      <c r="QRS70" s="157"/>
      <c r="QRT70" s="159"/>
      <c r="QRU70" s="157"/>
      <c r="QRV70" s="159"/>
      <c r="QRW70" s="160"/>
      <c r="QRX70" s="161"/>
      <c r="QRY70"/>
      <c r="QRZ70" s="162"/>
      <c r="QSA70"/>
      <c r="QSB70" s="155"/>
      <c r="QSC70" s="163"/>
      <c r="QSD70"/>
      <c r="QSE70" s="156"/>
      <c r="QSF70" s="157"/>
      <c r="QSG70" s="158"/>
      <c r="QSH70" s="158"/>
      <c r="QSI70" s="157"/>
      <c r="QSJ70" s="159"/>
      <c r="QSK70" s="157"/>
      <c r="QSL70" s="159"/>
      <c r="QSM70" s="160"/>
      <c r="QSN70" s="161"/>
      <c r="QSO70"/>
      <c r="QSP70" s="162"/>
      <c r="QSQ70"/>
      <c r="QSR70" s="155"/>
      <c r="QSS70" s="163"/>
      <c r="QST70"/>
      <c r="QSU70" s="156"/>
      <c r="QSV70" s="157"/>
      <c r="QSW70" s="158"/>
      <c r="QSX70" s="158"/>
      <c r="QSY70" s="157"/>
      <c r="QSZ70" s="159"/>
      <c r="QTA70" s="157"/>
      <c r="QTB70" s="159"/>
      <c r="QTC70" s="160"/>
      <c r="QTD70" s="161"/>
      <c r="QTE70"/>
      <c r="QTF70" s="162"/>
      <c r="QTG70"/>
      <c r="QTH70" s="155"/>
      <c r="QTI70" s="163"/>
      <c r="QTJ70"/>
      <c r="QTK70" s="156"/>
      <c r="QTL70" s="157"/>
      <c r="QTM70" s="158"/>
      <c r="QTN70" s="158"/>
      <c r="QTO70" s="157"/>
      <c r="QTP70" s="159"/>
      <c r="QTQ70" s="157"/>
      <c r="QTR70" s="159"/>
      <c r="QTS70" s="160"/>
      <c r="QTT70" s="161"/>
      <c r="QTU70"/>
      <c r="QTV70" s="162"/>
      <c r="QTW70"/>
      <c r="QTX70" s="155"/>
      <c r="QTY70" s="163"/>
      <c r="QTZ70"/>
      <c r="QUA70" s="156"/>
      <c r="QUB70" s="157"/>
      <c r="QUC70" s="158"/>
      <c r="QUD70" s="158"/>
      <c r="QUE70" s="157"/>
      <c r="QUF70" s="159"/>
      <c r="QUG70" s="157"/>
      <c r="QUH70" s="159"/>
      <c r="QUI70" s="160"/>
      <c r="QUJ70" s="161"/>
      <c r="QUK70"/>
      <c r="QUL70" s="162"/>
      <c r="QUM70"/>
      <c r="QUN70" s="155"/>
      <c r="QUO70" s="163"/>
      <c r="QUP70"/>
      <c r="QUQ70" s="156"/>
      <c r="QUR70" s="157"/>
      <c r="QUS70" s="158"/>
      <c r="QUT70" s="158"/>
      <c r="QUU70" s="157"/>
      <c r="QUV70" s="159"/>
      <c r="QUW70" s="157"/>
      <c r="QUX70" s="159"/>
      <c r="QUY70" s="160"/>
      <c r="QUZ70" s="161"/>
      <c r="QVA70"/>
      <c r="QVB70" s="162"/>
      <c r="QVC70"/>
      <c r="QVD70" s="155"/>
      <c r="QVE70" s="163"/>
      <c r="QVF70"/>
      <c r="QVG70" s="156"/>
      <c r="QVH70" s="157"/>
      <c r="QVI70" s="158"/>
      <c r="QVJ70" s="158"/>
      <c r="QVK70" s="157"/>
      <c r="QVL70" s="159"/>
      <c r="QVM70" s="157"/>
      <c r="QVN70" s="159"/>
      <c r="QVO70" s="160"/>
      <c r="QVP70" s="161"/>
      <c r="QVQ70"/>
      <c r="QVR70" s="162"/>
      <c r="QVS70"/>
      <c r="QVT70" s="155"/>
      <c r="QVU70" s="163"/>
      <c r="QVV70"/>
      <c r="QVW70" s="156"/>
      <c r="QVX70" s="157"/>
      <c r="QVY70" s="158"/>
      <c r="QVZ70" s="158"/>
      <c r="QWA70" s="157"/>
      <c r="QWB70" s="159"/>
      <c r="QWC70" s="157"/>
      <c r="QWD70" s="159"/>
      <c r="QWE70" s="160"/>
      <c r="QWF70" s="161"/>
      <c r="QWG70"/>
      <c r="QWH70" s="162"/>
      <c r="QWI70"/>
      <c r="QWJ70" s="155"/>
      <c r="QWK70" s="163"/>
      <c r="QWL70"/>
      <c r="QWM70" s="156"/>
      <c r="QWN70" s="157"/>
      <c r="QWO70" s="158"/>
      <c r="QWP70" s="158"/>
      <c r="QWQ70" s="157"/>
      <c r="QWR70" s="159"/>
      <c r="QWS70" s="157"/>
      <c r="QWT70" s="159"/>
      <c r="QWU70" s="160"/>
      <c r="QWV70" s="161"/>
      <c r="QWW70"/>
      <c r="QWX70" s="162"/>
      <c r="QWY70"/>
      <c r="QWZ70" s="155"/>
      <c r="QXA70" s="163"/>
      <c r="QXB70"/>
      <c r="QXC70" s="156"/>
      <c r="QXD70" s="157"/>
      <c r="QXE70" s="158"/>
      <c r="QXF70" s="158"/>
      <c r="QXG70" s="157"/>
      <c r="QXH70" s="159"/>
      <c r="QXI70" s="157"/>
      <c r="QXJ70" s="159"/>
      <c r="QXK70" s="160"/>
      <c r="QXL70" s="161"/>
      <c r="QXM70"/>
      <c r="QXN70" s="162"/>
      <c r="QXO70"/>
      <c r="QXP70" s="155"/>
      <c r="QXQ70" s="163"/>
      <c r="QXR70"/>
      <c r="QXS70" s="156"/>
      <c r="QXT70" s="157"/>
      <c r="QXU70" s="158"/>
      <c r="QXV70" s="158"/>
      <c r="QXW70" s="157"/>
      <c r="QXX70" s="159"/>
      <c r="QXY70" s="157"/>
      <c r="QXZ70" s="159"/>
      <c r="QYA70" s="160"/>
      <c r="QYB70" s="161"/>
      <c r="QYC70"/>
      <c r="QYD70" s="162"/>
      <c r="QYE70"/>
      <c r="QYF70" s="155"/>
      <c r="QYG70" s="163"/>
      <c r="QYH70"/>
      <c r="QYI70" s="156"/>
      <c r="QYJ70" s="157"/>
      <c r="QYK70" s="158"/>
      <c r="QYL70" s="158"/>
      <c r="QYM70" s="157"/>
      <c r="QYN70" s="159"/>
      <c r="QYO70" s="157"/>
      <c r="QYP70" s="159"/>
      <c r="QYQ70" s="160"/>
      <c r="QYR70" s="161"/>
      <c r="QYS70"/>
      <c r="QYT70" s="162"/>
      <c r="QYU70"/>
      <c r="QYV70" s="155"/>
      <c r="QYW70" s="163"/>
      <c r="QYX70"/>
      <c r="QYY70" s="156"/>
      <c r="QYZ70" s="157"/>
      <c r="QZA70" s="158"/>
      <c r="QZB70" s="158"/>
      <c r="QZC70" s="157"/>
      <c r="QZD70" s="159"/>
      <c r="QZE70" s="157"/>
      <c r="QZF70" s="159"/>
      <c r="QZG70" s="160"/>
      <c r="QZH70" s="161"/>
      <c r="QZI70"/>
      <c r="QZJ70" s="162"/>
      <c r="QZK70"/>
      <c r="QZL70" s="155"/>
      <c r="QZM70" s="163"/>
      <c r="QZN70"/>
      <c r="QZO70" s="156"/>
      <c r="QZP70" s="157"/>
      <c r="QZQ70" s="158"/>
      <c r="QZR70" s="158"/>
      <c r="QZS70" s="157"/>
      <c r="QZT70" s="159"/>
      <c r="QZU70" s="157"/>
      <c r="QZV70" s="159"/>
      <c r="QZW70" s="160"/>
      <c r="QZX70" s="161"/>
      <c r="QZY70"/>
      <c r="QZZ70" s="162"/>
      <c r="RAA70"/>
      <c r="RAB70" s="155"/>
      <c r="RAC70" s="163"/>
      <c r="RAD70"/>
      <c r="RWW70" s="163"/>
      <c r="RWX70"/>
      <c r="RWY70" s="156"/>
      <c r="RWZ70" s="157"/>
      <c r="RXA70" s="158"/>
      <c r="RXB70" s="158"/>
      <c r="RXC70" s="157"/>
      <c r="RXD70" s="159"/>
      <c r="RXE70" s="157"/>
      <c r="RXF70" s="159"/>
      <c r="RXG70" s="160"/>
      <c r="RXH70" s="161"/>
      <c r="RXI70"/>
      <c r="RXJ70" s="162"/>
      <c r="RXK70"/>
      <c r="RXL70" s="155"/>
      <c r="RXM70" s="163"/>
      <c r="RXN70"/>
      <c r="RXO70" s="156"/>
      <c r="RXP70" s="157"/>
      <c r="RXQ70" s="158"/>
      <c r="RXR70" s="158"/>
      <c r="RXS70" s="157"/>
      <c r="RXT70" s="159"/>
      <c r="RXU70" s="157"/>
      <c r="RXV70" s="159"/>
      <c r="RXW70" s="160"/>
      <c r="RXX70" s="161"/>
      <c r="RXY70"/>
      <c r="RXZ70" s="162"/>
      <c r="RYA70"/>
      <c r="RYB70" s="155"/>
      <c r="RYC70" s="163"/>
      <c r="RYD70"/>
      <c r="RYE70" s="156"/>
      <c r="RYF70" s="157"/>
      <c r="RYG70" s="158"/>
      <c r="RYH70" s="158"/>
      <c r="RYI70" s="157"/>
      <c r="RYJ70" s="159"/>
      <c r="RYK70" s="157"/>
      <c r="RYL70" s="159"/>
      <c r="RYM70" s="160"/>
      <c r="RYN70" s="161"/>
      <c r="RYO70"/>
      <c r="RYP70" s="162"/>
      <c r="RYQ70"/>
      <c r="RYR70" s="155"/>
      <c r="RYS70" s="163"/>
      <c r="RYT70"/>
      <c r="RYU70" s="156"/>
      <c r="RYV70" s="157"/>
      <c r="RYW70" s="158"/>
      <c r="RYX70" s="158"/>
      <c r="RYY70" s="157"/>
      <c r="RYZ70" s="159"/>
      <c r="RZA70" s="157"/>
      <c r="RZB70" s="159"/>
      <c r="RZC70" s="160"/>
      <c r="RZD70" s="161"/>
      <c r="RZE70"/>
      <c r="RZF70" s="162"/>
      <c r="RZG70"/>
      <c r="RZH70" s="155"/>
      <c r="RZI70" s="163"/>
      <c r="RZJ70"/>
      <c r="RZK70" s="156"/>
      <c r="RZL70" s="157"/>
      <c r="RZM70" s="158"/>
      <c r="RZN70" s="158"/>
      <c r="RZO70" s="157"/>
      <c r="RZP70" s="159"/>
      <c r="RZQ70" s="157"/>
      <c r="RZR70" s="159"/>
      <c r="RZS70" s="160"/>
      <c r="RZT70" s="161"/>
      <c r="RZU70"/>
      <c r="RZV70" s="162"/>
      <c r="RZW70"/>
      <c r="RZX70" s="155"/>
      <c r="RZY70" s="163"/>
      <c r="RZZ70"/>
      <c r="SAA70" s="156"/>
      <c r="SAB70" s="157"/>
      <c r="SAC70" s="158"/>
      <c r="SAD70" s="158"/>
      <c r="SAE70" s="157"/>
      <c r="SAF70" s="159"/>
      <c r="SAG70" s="157"/>
      <c r="SAH70" s="159"/>
      <c r="SAI70" s="160"/>
      <c r="SAJ70" s="161"/>
      <c r="SAK70"/>
      <c r="SAL70" s="162"/>
      <c r="SAM70"/>
      <c r="SAN70" s="155"/>
      <c r="SAO70" s="163"/>
      <c r="SAP70"/>
      <c r="SAQ70" s="156"/>
      <c r="SAR70" s="157"/>
      <c r="SAS70" s="158"/>
      <c r="SAT70" s="158"/>
      <c r="SAU70" s="157"/>
      <c r="SAV70" s="159"/>
      <c r="SAW70" s="157"/>
      <c r="SAX70" s="159"/>
      <c r="SAY70" s="160"/>
      <c r="SAZ70" s="161"/>
      <c r="SBA70"/>
      <c r="SBB70" s="162"/>
      <c r="SBC70"/>
      <c r="SBD70" s="155"/>
      <c r="SBE70" s="163"/>
      <c r="SBF70"/>
      <c r="SBG70" s="156"/>
      <c r="SBH70" s="157"/>
      <c r="SBI70" s="158"/>
      <c r="SBJ70" s="158"/>
      <c r="SBK70" s="157"/>
      <c r="SBL70" s="159"/>
      <c r="SBM70" s="157"/>
      <c r="SBN70" s="159"/>
      <c r="SBO70" s="160"/>
      <c r="SBP70" s="161"/>
      <c r="SBQ70"/>
      <c r="SBR70" s="162"/>
      <c r="SBS70"/>
      <c r="SBT70" s="155"/>
      <c r="SBU70" s="163"/>
      <c r="SBV70"/>
      <c r="SBW70" s="156"/>
      <c r="SBX70" s="157"/>
      <c r="SBY70" s="158"/>
      <c r="SBZ70" s="158"/>
      <c r="SCA70" s="157"/>
      <c r="SCB70" s="159"/>
      <c r="SCC70" s="157"/>
      <c r="SCD70" s="159"/>
      <c r="SCE70" s="160"/>
      <c r="SCF70" s="161"/>
      <c r="SCG70"/>
      <c r="SCH70" s="162"/>
      <c r="SCI70"/>
      <c r="SCJ70" s="155"/>
      <c r="SCK70" s="163"/>
      <c r="SCL70"/>
      <c r="SCM70" s="156"/>
      <c r="SCN70" s="157"/>
      <c r="SCO70" s="158"/>
      <c r="SCP70" s="158"/>
      <c r="SCQ70" s="157"/>
      <c r="SCR70" s="159"/>
      <c r="SCS70" s="157"/>
      <c r="SCT70" s="159"/>
      <c r="SCU70" s="160"/>
      <c r="SCV70" s="161"/>
      <c r="SCW70"/>
      <c r="SCX70" s="162"/>
      <c r="SCY70"/>
      <c r="SCZ70" s="155"/>
      <c r="SDA70" s="163"/>
      <c r="SDB70"/>
      <c r="SDC70" s="156"/>
      <c r="SDD70" s="157"/>
      <c r="SDE70" s="158"/>
      <c r="SDF70" s="158"/>
      <c r="SDG70" s="157"/>
      <c r="SDH70" s="159"/>
      <c r="SDI70" s="157"/>
      <c r="SDJ70" s="159"/>
      <c r="SDK70" s="160"/>
      <c r="SDL70" s="161"/>
      <c r="SDM70"/>
      <c r="SDN70" s="162"/>
      <c r="SDO70"/>
      <c r="SDP70" s="155"/>
      <c r="SDQ70" s="163"/>
      <c r="SDR70"/>
      <c r="SDS70" s="156"/>
      <c r="SDT70" s="157"/>
      <c r="SDU70" s="158"/>
      <c r="SDV70" s="158"/>
      <c r="SDW70" s="157"/>
      <c r="SDX70" s="159"/>
      <c r="SDY70" s="157"/>
      <c r="SDZ70" s="159"/>
      <c r="SEA70" s="160"/>
      <c r="SEB70" s="161"/>
      <c r="SEC70"/>
      <c r="SED70" s="162"/>
      <c r="SEE70"/>
      <c r="SEF70" s="155"/>
      <c r="SEG70" s="163"/>
      <c r="SEH70"/>
      <c r="SEI70" s="156"/>
      <c r="SEJ70" s="157"/>
      <c r="SEK70" s="158"/>
      <c r="SEL70" s="158"/>
      <c r="SEM70" s="157"/>
      <c r="SEN70" s="159"/>
      <c r="SEO70" s="157"/>
      <c r="SEP70" s="159"/>
      <c r="SEQ70" s="160"/>
      <c r="SER70" s="161"/>
      <c r="SES70"/>
      <c r="SET70" s="162"/>
      <c r="SEU70"/>
      <c r="SEV70" s="155"/>
      <c r="SEW70" s="163"/>
      <c r="SEX70"/>
      <c r="SEY70" s="156"/>
      <c r="SEZ70" s="157"/>
      <c r="SFA70" s="158"/>
      <c r="SFB70" s="158"/>
      <c r="SFC70" s="157"/>
      <c r="SFD70" s="159"/>
      <c r="SFE70" s="157"/>
      <c r="SFF70" s="159"/>
      <c r="SFG70" s="160"/>
      <c r="SFH70" s="161"/>
      <c r="SFI70"/>
      <c r="SFJ70" s="162"/>
      <c r="SFK70"/>
      <c r="SFL70" s="155"/>
      <c r="SFM70" s="163"/>
      <c r="SFN70"/>
      <c r="SFO70" s="156"/>
      <c r="SFP70" s="157"/>
      <c r="SFQ70" s="158"/>
      <c r="SFR70" s="158"/>
      <c r="SFS70" s="157"/>
      <c r="SFT70" s="159"/>
      <c r="SFU70" s="157"/>
      <c r="SFV70" s="159"/>
      <c r="SFW70" s="160"/>
      <c r="SFX70" s="161"/>
      <c r="SFY70"/>
      <c r="SFZ70" s="162"/>
      <c r="SGA70"/>
      <c r="SGB70" s="155"/>
      <c r="SGC70" s="163"/>
      <c r="SGD70"/>
      <c r="SGE70" s="156"/>
      <c r="SGF70" s="157"/>
      <c r="SGG70" s="158"/>
      <c r="SGH70" s="158"/>
      <c r="SGI70" s="157"/>
      <c r="SGJ70" s="159"/>
      <c r="SGK70" s="157"/>
      <c r="SGL70" s="159"/>
      <c r="SGM70" s="160"/>
      <c r="SGN70" s="161"/>
      <c r="SGO70"/>
      <c r="SGP70" s="162"/>
      <c r="SGQ70"/>
      <c r="SGR70" s="155"/>
      <c r="SGS70" s="163"/>
      <c r="SGT70"/>
      <c r="SGU70" s="156"/>
      <c r="SGV70" s="157"/>
      <c r="SGW70" s="158"/>
      <c r="SGX70" s="158"/>
      <c r="SGY70" s="157"/>
      <c r="SGZ70" s="159"/>
      <c r="SHA70" s="157"/>
      <c r="SHB70" s="159"/>
      <c r="SHC70" s="160"/>
      <c r="SHD70" s="161"/>
      <c r="SHE70"/>
      <c r="SHF70" s="162"/>
      <c r="SHG70"/>
      <c r="SHH70" s="155"/>
      <c r="SHI70" s="163"/>
      <c r="SHJ70"/>
      <c r="SHK70" s="156"/>
      <c r="SHL70" s="157"/>
      <c r="SHM70" s="158"/>
      <c r="SHN70" s="158"/>
      <c r="SHO70" s="157"/>
      <c r="SHP70" s="159"/>
      <c r="SHQ70" s="157"/>
      <c r="SHR70" s="159"/>
      <c r="SHS70" s="160"/>
      <c r="SHT70" s="161"/>
      <c r="SHU70"/>
      <c r="SHV70" s="162"/>
      <c r="SHW70"/>
      <c r="SHX70" s="155"/>
      <c r="SHY70" s="163"/>
      <c r="SHZ70"/>
      <c r="SIA70" s="156"/>
      <c r="SIB70" s="157"/>
      <c r="SIC70" s="158"/>
      <c r="SID70" s="158"/>
      <c r="SIE70" s="157"/>
      <c r="SIF70" s="159"/>
      <c r="SIG70" s="157"/>
      <c r="SIH70" s="159"/>
      <c r="SII70" s="160"/>
      <c r="SIJ70" s="161"/>
      <c r="SIK70"/>
      <c r="SIL70" s="162"/>
      <c r="SIM70"/>
      <c r="SIN70" s="155"/>
      <c r="SIO70" s="163"/>
      <c r="SIP70"/>
      <c r="SIQ70" s="156"/>
      <c r="SIR70" s="157"/>
      <c r="SIS70" s="158"/>
      <c r="SIT70" s="158"/>
      <c r="SIU70" s="157"/>
      <c r="SIV70" s="159"/>
      <c r="SIW70" s="157"/>
      <c r="SIX70" s="159"/>
      <c r="SIY70" s="160"/>
      <c r="SIZ70" s="161"/>
      <c r="SJA70"/>
      <c r="SJB70" s="162"/>
      <c r="SJC70"/>
      <c r="SJD70" s="155"/>
      <c r="SJE70" s="163"/>
      <c r="SJF70"/>
      <c r="SJG70" s="156"/>
      <c r="SJH70" s="157"/>
      <c r="SJI70" s="158"/>
      <c r="SJJ70" s="158"/>
      <c r="SJK70" s="157"/>
      <c r="SJL70" s="159"/>
      <c r="SJM70" s="157"/>
      <c r="SJN70" s="159"/>
      <c r="SJO70" s="160"/>
      <c r="SJP70" s="161"/>
      <c r="SJQ70"/>
      <c r="SJR70" s="162"/>
      <c r="SJS70"/>
      <c r="SJT70" s="155"/>
      <c r="SJU70" s="163"/>
      <c r="SJV70"/>
      <c r="SJW70" s="156"/>
      <c r="SJX70" s="157"/>
      <c r="SJY70" s="158"/>
      <c r="SJZ70" s="158"/>
      <c r="SKA70" s="157"/>
      <c r="SKB70" s="159"/>
      <c r="SKC70" s="157"/>
      <c r="SKD70" s="159"/>
      <c r="SKE70" s="160"/>
      <c r="SKF70" s="161"/>
      <c r="SKG70"/>
      <c r="SKH70" s="162"/>
      <c r="SKI70"/>
      <c r="SKJ70" s="155"/>
      <c r="SKK70" s="163"/>
      <c r="SKL70"/>
      <c r="SKM70" s="156"/>
      <c r="SKN70" s="157"/>
      <c r="SKO70" s="158"/>
      <c r="SKP70" s="158"/>
      <c r="SKQ70" s="157"/>
      <c r="SKR70" s="159"/>
      <c r="SKS70" s="157"/>
      <c r="SKT70" s="159"/>
      <c r="SKU70" s="160"/>
      <c r="SKV70" s="161"/>
      <c r="SKW70"/>
      <c r="SKX70" s="162"/>
      <c r="SKY70"/>
      <c r="SKZ70" s="155"/>
      <c r="SLA70" s="163"/>
      <c r="SLB70"/>
      <c r="SLC70" s="156"/>
      <c r="SLD70" s="157"/>
      <c r="SLE70" s="158"/>
      <c r="SLF70" s="158"/>
      <c r="SLG70" s="157"/>
      <c r="SLH70" s="159"/>
      <c r="SLI70" s="157"/>
      <c r="SLJ70" s="159"/>
      <c r="SLK70" s="160"/>
      <c r="SLL70" s="161"/>
      <c r="SLM70"/>
      <c r="SLN70" s="162"/>
      <c r="SLO70"/>
      <c r="SLP70" s="155"/>
      <c r="SLQ70" s="163"/>
      <c r="SLR70"/>
      <c r="SLS70" s="156"/>
      <c r="SLT70" s="157"/>
      <c r="SLU70" s="158"/>
      <c r="SLV70" s="158"/>
      <c r="SLW70" s="157"/>
      <c r="SLX70" s="159"/>
      <c r="SLY70" s="157"/>
      <c r="SLZ70" s="159"/>
      <c r="SMA70" s="160"/>
      <c r="SMB70" s="161"/>
      <c r="SMC70"/>
      <c r="SMD70" s="162"/>
      <c r="SME70"/>
      <c r="SMF70" s="155"/>
      <c r="SMG70" s="163"/>
      <c r="SMH70"/>
      <c r="SMI70" s="156"/>
      <c r="SMJ70" s="157"/>
      <c r="SMK70" s="158"/>
      <c r="SML70" s="158"/>
      <c r="SMM70" s="157"/>
      <c r="SMN70" s="159"/>
      <c r="SMO70" s="157"/>
      <c r="SMP70" s="159"/>
      <c r="SMQ70" s="160"/>
      <c r="SMR70" s="161"/>
      <c r="SMS70"/>
      <c r="SMT70" s="162"/>
      <c r="SMU70"/>
      <c r="SMV70" s="155"/>
      <c r="SMW70" s="163"/>
      <c r="SMX70"/>
      <c r="SMY70" s="156"/>
      <c r="SMZ70" s="157"/>
      <c r="SNA70" s="158"/>
      <c r="SNB70" s="158"/>
      <c r="SNC70" s="157"/>
      <c r="SND70" s="159"/>
      <c r="SNE70" s="157"/>
      <c r="SNF70" s="159"/>
      <c r="SNG70" s="160"/>
      <c r="SNH70" s="161"/>
      <c r="SNI70"/>
      <c r="SNJ70" s="162"/>
      <c r="SNK70"/>
      <c r="SNL70" s="155"/>
      <c r="SNM70" s="163"/>
      <c r="SNN70"/>
      <c r="SNO70" s="156"/>
      <c r="SNP70" s="157"/>
      <c r="SNQ70" s="158"/>
      <c r="SNR70" s="158"/>
      <c r="SNS70" s="157"/>
      <c r="SNT70" s="159"/>
      <c r="SNU70" s="157"/>
      <c r="SNV70" s="159"/>
      <c r="SNW70" s="160"/>
      <c r="SNX70" s="161"/>
      <c r="SNY70"/>
      <c r="SNZ70" s="162"/>
      <c r="SOA70"/>
      <c r="SOB70" s="155"/>
      <c r="SOC70" s="163"/>
      <c r="SOD70"/>
      <c r="SOE70" s="156"/>
      <c r="SOF70" s="157"/>
      <c r="SOG70" s="158"/>
      <c r="SOH70" s="158"/>
      <c r="SOI70" s="157"/>
      <c r="SOJ70" s="159"/>
      <c r="SOK70" s="157"/>
      <c r="SOL70" s="159"/>
      <c r="SOM70" s="160"/>
      <c r="SON70" s="161"/>
      <c r="SOO70"/>
      <c r="SOP70" s="162"/>
      <c r="SOQ70"/>
      <c r="SOR70" s="155"/>
      <c r="SOS70" s="163"/>
      <c r="SOT70"/>
      <c r="SOU70" s="156"/>
      <c r="SOV70" s="157"/>
      <c r="SOW70" s="158"/>
      <c r="SOX70" s="158"/>
      <c r="SOY70" s="157"/>
      <c r="SOZ70" s="159"/>
      <c r="SPA70" s="157"/>
      <c r="SPB70" s="159"/>
      <c r="SPC70" s="160"/>
      <c r="SPD70" s="161"/>
      <c r="SPE70"/>
      <c r="SPF70" s="162"/>
      <c r="SPG70"/>
      <c r="SPH70" s="155"/>
      <c r="SPI70" s="163"/>
      <c r="SPJ70"/>
      <c r="SPK70" s="156"/>
      <c r="SPL70" s="157"/>
      <c r="SPM70" s="158"/>
      <c r="SPN70" s="158"/>
      <c r="SPO70" s="157"/>
      <c r="SPP70" s="159"/>
      <c r="SPQ70" s="157"/>
      <c r="SPR70" s="159"/>
      <c r="SPS70" s="160"/>
      <c r="SPT70" s="161"/>
      <c r="SPU70"/>
      <c r="SPV70" s="162"/>
      <c r="SPW70"/>
      <c r="SPX70" s="155"/>
      <c r="SPY70" s="163"/>
      <c r="SPZ70"/>
      <c r="SQA70" s="156"/>
      <c r="SQB70" s="157"/>
      <c r="SQC70" s="158"/>
      <c r="SQD70" s="158"/>
      <c r="SQE70" s="157"/>
      <c r="SQF70" s="159"/>
      <c r="SQG70" s="157"/>
      <c r="SQH70" s="159"/>
      <c r="SQI70" s="160"/>
      <c r="SQJ70" s="161"/>
      <c r="SQK70"/>
      <c r="SQL70" s="162"/>
      <c r="SQM70"/>
      <c r="SQN70" s="155"/>
      <c r="SQO70" s="163"/>
      <c r="SQP70"/>
      <c r="SQQ70" s="156"/>
      <c r="SQR70" s="157"/>
      <c r="SQS70" s="158"/>
      <c r="SQT70" s="158"/>
      <c r="SQU70" s="157"/>
      <c r="SQV70" s="159"/>
      <c r="SQW70" s="157"/>
      <c r="SQX70" s="159"/>
      <c r="SQY70" s="160"/>
      <c r="SQZ70" s="161"/>
      <c r="SRA70"/>
      <c r="SRB70" s="162"/>
      <c r="SRC70"/>
      <c r="SRD70" s="155"/>
      <c r="SRE70" s="163"/>
      <c r="SRF70"/>
      <c r="SRG70" s="156"/>
      <c r="SRH70" s="157"/>
      <c r="SRI70" s="158"/>
      <c r="SRJ70" s="158"/>
      <c r="SRK70" s="157"/>
      <c r="SRL70" s="159"/>
      <c r="SRM70" s="157"/>
      <c r="SRN70" s="159"/>
      <c r="SRO70" s="160"/>
      <c r="SRP70" s="161"/>
      <c r="SRQ70"/>
      <c r="SRR70" s="162"/>
      <c r="SRS70"/>
      <c r="SRT70" s="155"/>
      <c r="SRU70" s="163"/>
      <c r="SRV70"/>
      <c r="SRW70" s="156"/>
      <c r="SRX70" s="157"/>
      <c r="SRY70" s="158"/>
      <c r="SRZ70" s="158"/>
      <c r="SSA70" s="157"/>
      <c r="SSB70" s="159"/>
      <c r="SSC70" s="157"/>
      <c r="SSD70" s="159"/>
      <c r="SSE70" s="160"/>
      <c r="SSF70" s="161"/>
      <c r="SSG70"/>
      <c r="SSH70" s="162"/>
      <c r="SSI70"/>
      <c r="SSJ70" s="155"/>
      <c r="SSK70" s="163"/>
      <c r="SSL70"/>
      <c r="SSM70" s="156"/>
      <c r="SSN70" s="157"/>
      <c r="SSO70" s="158"/>
      <c r="SSP70" s="158"/>
      <c r="SSQ70" s="157"/>
      <c r="SSR70" s="159"/>
      <c r="SSS70" s="157"/>
      <c r="SST70" s="159"/>
      <c r="SSU70" s="160"/>
      <c r="SSV70" s="161"/>
      <c r="SSW70"/>
      <c r="SSX70" s="162"/>
      <c r="SSY70"/>
      <c r="SSZ70" s="155"/>
      <c r="STA70" s="163"/>
      <c r="STB70"/>
      <c r="STC70" s="156"/>
      <c r="STD70" s="157"/>
      <c r="STE70" s="158"/>
      <c r="STF70" s="158"/>
      <c r="STG70" s="157"/>
      <c r="STH70" s="159"/>
      <c r="STI70" s="157"/>
      <c r="STJ70" s="159"/>
      <c r="STK70" s="160"/>
      <c r="STL70" s="161"/>
      <c r="STM70"/>
      <c r="STN70" s="162"/>
      <c r="STO70"/>
      <c r="STP70" s="155"/>
      <c r="STQ70" s="163"/>
      <c r="STR70"/>
      <c r="STS70" s="156"/>
      <c r="STT70" s="157"/>
      <c r="STU70" s="158"/>
      <c r="STV70" s="158"/>
      <c r="STW70" s="157"/>
      <c r="STX70" s="159"/>
      <c r="STY70" s="157"/>
      <c r="STZ70" s="159"/>
      <c r="SUA70" s="160"/>
      <c r="SUB70" s="161"/>
      <c r="SUC70"/>
      <c r="SUD70" s="162"/>
      <c r="SUE70"/>
      <c r="SUF70" s="155"/>
      <c r="SUG70" s="163"/>
      <c r="SUH70"/>
      <c r="SUI70" s="156"/>
      <c r="SUJ70" s="157"/>
      <c r="SUK70" s="158"/>
      <c r="SUL70" s="158"/>
      <c r="SUM70" s="157"/>
      <c r="SUN70" s="159"/>
      <c r="SUO70" s="157"/>
      <c r="SUP70" s="159"/>
      <c r="SUQ70" s="160"/>
      <c r="SUR70" s="161"/>
      <c r="SUS70"/>
      <c r="SUT70" s="162"/>
      <c r="SUU70"/>
      <c r="SUV70" s="155"/>
      <c r="SUW70" s="163"/>
      <c r="SUX70"/>
      <c r="SUY70" s="156"/>
      <c r="SUZ70" s="157"/>
      <c r="SVA70" s="158"/>
      <c r="SVB70" s="158"/>
      <c r="SVC70" s="157"/>
      <c r="SVD70" s="159"/>
      <c r="SVE70" s="157"/>
      <c r="SVF70" s="159"/>
      <c r="SVG70" s="160"/>
      <c r="SVH70" s="161"/>
      <c r="SVI70"/>
      <c r="SVJ70" s="162"/>
      <c r="SVK70"/>
      <c r="SVL70" s="155"/>
      <c r="SVM70" s="163"/>
      <c r="SVN70"/>
      <c r="SVO70" s="156"/>
      <c r="SVP70" s="157"/>
      <c r="SVQ70" s="158"/>
      <c r="SVR70" s="158"/>
      <c r="SVS70" s="157"/>
      <c r="SVT70" s="159"/>
      <c r="SVU70" s="157"/>
      <c r="SVV70" s="159"/>
      <c r="SVW70" s="160"/>
      <c r="SVX70" s="161"/>
      <c r="SVY70"/>
      <c r="SVZ70" s="162"/>
      <c r="SWA70"/>
      <c r="SWB70" s="155"/>
      <c r="SWC70" s="163"/>
      <c r="SWD70"/>
      <c r="SWE70" s="156"/>
      <c r="SWF70" s="157"/>
      <c r="SWG70" s="158"/>
      <c r="SWH70" s="158"/>
      <c r="SWI70" s="157"/>
      <c r="SWJ70" s="159"/>
      <c r="SWK70" s="157"/>
      <c r="SWL70" s="159"/>
      <c r="SWM70" s="160"/>
      <c r="SWN70" s="161"/>
      <c r="SWO70"/>
      <c r="SWP70" s="162"/>
      <c r="SWQ70"/>
      <c r="SWR70" s="155"/>
      <c r="SWS70" s="163"/>
      <c r="SWT70"/>
      <c r="SWU70" s="156"/>
      <c r="SWV70" s="157"/>
      <c r="SWW70" s="158"/>
      <c r="SWX70" s="158"/>
      <c r="SWY70" s="157"/>
      <c r="SWZ70" s="159"/>
      <c r="SXA70" s="157"/>
      <c r="SXB70" s="159"/>
      <c r="SXC70" s="160"/>
      <c r="SXD70" s="161"/>
      <c r="SXE70"/>
      <c r="SXF70" s="162"/>
      <c r="SXG70"/>
      <c r="SXH70" s="155"/>
      <c r="SXI70" s="163"/>
      <c r="SXJ70"/>
      <c r="SXK70" s="156"/>
      <c r="SXL70" s="157"/>
      <c r="SXM70" s="158"/>
      <c r="SXN70" s="158"/>
      <c r="SXO70" s="157"/>
      <c r="SXP70" s="159"/>
      <c r="SXQ70" s="157"/>
      <c r="SXR70" s="159"/>
      <c r="SXS70" s="160"/>
      <c r="SXT70" s="161"/>
      <c r="SXU70"/>
      <c r="SXV70" s="162"/>
      <c r="SXW70"/>
      <c r="SXX70" s="155"/>
      <c r="SXY70" s="163"/>
      <c r="SXZ70"/>
      <c r="SYA70" s="156"/>
      <c r="SYB70" s="157"/>
      <c r="SYC70" s="158"/>
      <c r="SYD70" s="158"/>
      <c r="SYE70" s="157"/>
      <c r="SYF70" s="159"/>
      <c r="SYG70" s="157"/>
      <c r="SYH70" s="159"/>
      <c r="SYI70" s="160"/>
      <c r="SYJ70" s="161"/>
      <c r="SYK70"/>
      <c r="SYL70" s="162"/>
      <c r="SYM70"/>
      <c r="SYN70" s="155"/>
      <c r="SYO70" s="163"/>
      <c r="SYP70"/>
      <c r="SYQ70" s="156"/>
      <c r="SYR70" s="157"/>
      <c r="SYS70" s="158"/>
      <c r="SYT70" s="158"/>
      <c r="SYU70" s="157"/>
      <c r="SYV70" s="159"/>
      <c r="SYW70" s="157"/>
      <c r="SYX70" s="159"/>
      <c r="SYY70" s="160"/>
      <c r="SYZ70" s="161"/>
      <c r="SZA70"/>
      <c r="SZB70" s="162"/>
      <c r="SZC70"/>
      <c r="SZD70" s="155"/>
      <c r="SZE70" s="163"/>
      <c r="SZF70"/>
      <c r="SZG70" s="156"/>
      <c r="SZH70" s="157"/>
      <c r="SZI70" s="158"/>
      <c r="SZJ70" s="158"/>
      <c r="SZK70" s="157"/>
      <c r="SZL70" s="159"/>
      <c r="SZM70" s="157"/>
      <c r="SZN70" s="159"/>
      <c r="SZO70" s="160"/>
      <c r="SZP70" s="161"/>
      <c r="SZQ70"/>
      <c r="SZR70" s="162"/>
      <c r="SZS70"/>
      <c r="SZT70" s="155"/>
      <c r="SZU70" s="163"/>
      <c r="SZV70"/>
      <c r="SZW70" s="156"/>
      <c r="SZX70" s="157"/>
      <c r="SZY70" s="158"/>
      <c r="SZZ70" s="158"/>
      <c r="TAA70" s="157"/>
      <c r="TAB70" s="159"/>
      <c r="TAC70" s="157"/>
      <c r="TAD70" s="159"/>
      <c r="TAE70" s="160"/>
      <c r="TAF70" s="161"/>
      <c r="TAG70"/>
      <c r="TAH70" s="162"/>
      <c r="TAI70"/>
      <c r="TAJ70" s="155"/>
      <c r="TAK70" s="163"/>
      <c r="TAL70"/>
      <c r="TAM70" s="156"/>
      <c r="TAN70" s="157"/>
      <c r="TAO70" s="158"/>
      <c r="TAP70" s="158"/>
      <c r="TAQ70" s="157"/>
      <c r="TAR70" s="159"/>
      <c r="TAS70" s="157"/>
      <c r="TAT70" s="159"/>
      <c r="TAU70" s="160"/>
      <c r="TAV70" s="161"/>
      <c r="TAW70"/>
      <c r="TAX70" s="162"/>
      <c r="TAY70"/>
      <c r="TAZ70" s="155"/>
      <c r="TBA70" s="163"/>
      <c r="TBB70"/>
      <c r="TBC70" s="156"/>
      <c r="TBD70" s="157"/>
      <c r="TBE70" s="158"/>
      <c r="TBF70" s="158"/>
      <c r="TBG70" s="157"/>
      <c r="TBH70" s="159"/>
      <c r="TBI70" s="157"/>
      <c r="TBJ70" s="159"/>
      <c r="TBK70" s="160"/>
      <c r="TBL70" s="161"/>
      <c r="TBM70"/>
      <c r="TBN70" s="162"/>
      <c r="TBO70"/>
      <c r="TBP70" s="155"/>
      <c r="TBQ70" s="163"/>
      <c r="TBR70"/>
      <c r="TBS70" s="156"/>
      <c r="TBT70" s="157"/>
      <c r="TBU70" s="158"/>
      <c r="TBV70" s="158"/>
      <c r="TBW70" s="157"/>
      <c r="TBX70" s="159"/>
      <c r="TBY70" s="157"/>
      <c r="TBZ70" s="159"/>
      <c r="TCA70" s="160"/>
      <c r="TCB70" s="161"/>
      <c r="TCC70"/>
      <c r="TCD70" s="162"/>
      <c r="TCE70"/>
      <c r="TCF70" s="155"/>
      <c r="TCG70" s="163"/>
      <c r="TCH70"/>
      <c r="TCI70" s="156"/>
      <c r="TCJ70" s="157"/>
      <c r="TCK70" s="158"/>
      <c r="TCL70" s="158"/>
      <c r="TCM70" s="157"/>
      <c r="TCN70" s="159"/>
      <c r="TCO70" s="157"/>
      <c r="TCP70" s="159"/>
      <c r="TCQ70" s="160"/>
      <c r="TCR70" s="161"/>
      <c r="TCS70"/>
      <c r="TCT70" s="162"/>
      <c r="TCU70"/>
      <c r="TCV70" s="155"/>
      <c r="TCW70" s="163"/>
      <c r="TCX70"/>
      <c r="TCY70" s="156"/>
      <c r="TCZ70" s="157"/>
      <c r="TDA70" s="158"/>
      <c r="TDB70" s="158"/>
      <c r="TDC70" s="157"/>
      <c r="TDD70" s="159"/>
      <c r="TDE70" s="157"/>
      <c r="TDF70" s="159"/>
      <c r="TDG70" s="160"/>
      <c r="TDH70" s="161"/>
      <c r="TDI70"/>
      <c r="TDJ70" s="162"/>
      <c r="TDK70"/>
      <c r="TDL70" s="155"/>
      <c r="TDM70" s="163"/>
      <c r="TDN70"/>
      <c r="TDO70" s="156"/>
      <c r="TDP70" s="157"/>
      <c r="TDQ70" s="158"/>
      <c r="TDR70" s="158"/>
      <c r="TDS70" s="157"/>
      <c r="TDT70" s="159"/>
      <c r="TDU70" s="157"/>
      <c r="TDV70" s="159"/>
      <c r="TDW70" s="160"/>
      <c r="TDX70" s="161"/>
      <c r="TDY70"/>
      <c r="TDZ70" s="162"/>
      <c r="TEA70"/>
      <c r="TEB70" s="155"/>
      <c r="TEC70" s="163"/>
      <c r="TED70"/>
      <c r="TEE70" s="156"/>
      <c r="TEF70" s="157"/>
      <c r="TEG70" s="158"/>
      <c r="TEH70" s="158"/>
      <c r="TEI70" s="157"/>
      <c r="TEJ70" s="159"/>
      <c r="TEK70" s="157"/>
      <c r="TEL70" s="159"/>
      <c r="TEM70" s="160"/>
      <c r="TEN70" s="161"/>
      <c r="TEO70"/>
      <c r="TEP70" s="162"/>
      <c r="TEQ70"/>
      <c r="TER70" s="155"/>
      <c r="TES70" s="163"/>
      <c r="TET70"/>
      <c r="TEU70" s="156"/>
      <c r="TEV70" s="157"/>
      <c r="TEW70" s="158"/>
      <c r="TEX70" s="158"/>
      <c r="TEY70" s="157"/>
      <c r="TEZ70" s="159"/>
      <c r="TFA70" s="157"/>
      <c r="TFB70" s="159"/>
      <c r="TFC70" s="160"/>
      <c r="TFD70" s="161"/>
      <c r="TFE70"/>
      <c r="TFF70" s="162"/>
      <c r="TFG70"/>
      <c r="TFH70" s="155"/>
      <c r="TFI70" s="163"/>
      <c r="TFJ70"/>
      <c r="TFK70" s="156"/>
      <c r="TFL70" s="157"/>
      <c r="TFM70" s="158"/>
      <c r="TFN70" s="158"/>
      <c r="TFO70" s="157"/>
      <c r="TFP70" s="159"/>
      <c r="TFQ70" s="157"/>
      <c r="TFR70" s="159"/>
      <c r="TFS70" s="160"/>
      <c r="TFT70" s="161"/>
      <c r="TFU70"/>
      <c r="TFV70" s="162"/>
      <c r="TFW70"/>
      <c r="TFX70" s="155"/>
      <c r="TFY70" s="163"/>
      <c r="TFZ70"/>
      <c r="TGA70" s="156"/>
      <c r="TGB70" s="157"/>
      <c r="TGC70" s="158"/>
      <c r="TGD70" s="158"/>
      <c r="TGE70" s="157"/>
      <c r="TGF70" s="159"/>
      <c r="TGG70" s="157"/>
      <c r="TGH70" s="159"/>
      <c r="TGI70" s="160"/>
      <c r="TGJ70" s="161"/>
      <c r="TGK70"/>
      <c r="TGL70" s="162"/>
      <c r="TGM70"/>
      <c r="TGN70" s="155"/>
      <c r="TGO70" s="163"/>
      <c r="TGP70"/>
      <c r="TGQ70" s="156"/>
      <c r="TGR70" s="157"/>
      <c r="TGS70" s="158"/>
      <c r="TGT70" s="158"/>
      <c r="TGU70" s="157"/>
      <c r="TGV70" s="159"/>
      <c r="TGW70" s="157"/>
      <c r="TGX70" s="159"/>
      <c r="TGY70" s="160"/>
      <c r="TGZ70" s="161"/>
      <c r="THA70"/>
      <c r="THB70" s="162"/>
      <c r="THC70"/>
      <c r="THD70" s="155"/>
      <c r="THE70" s="163"/>
      <c r="THF70"/>
      <c r="THG70" s="156"/>
      <c r="THH70" s="157"/>
      <c r="THI70" s="158"/>
      <c r="THJ70" s="158"/>
      <c r="THK70" s="157"/>
      <c r="THL70" s="159"/>
      <c r="THM70" s="157"/>
      <c r="THN70" s="159"/>
      <c r="THO70" s="160"/>
      <c r="THP70" s="161"/>
      <c r="THQ70"/>
      <c r="THR70" s="162"/>
      <c r="THS70"/>
      <c r="THT70" s="155"/>
      <c r="THU70" s="163"/>
      <c r="THV70"/>
      <c r="THW70" s="156"/>
      <c r="THX70" s="157"/>
      <c r="THY70" s="158"/>
      <c r="THZ70" s="158"/>
      <c r="TIA70" s="157"/>
      <c r="TIB70" s="159"/>
      <c r="TIC70" s="157"/>
      <c r="TID70" s="159"/>
      <c r="TIE70" s="160"/>
      <c r="TIF70" s="161"/>
      <c r="TIG70"/>
      <c r="TIH70" s="162"/>
      <c r="TII70"/>
      <c r="TIJ70" s="155"/>
      <c r="TIK70" s="163"/>
      <c r="TIL70"/>
      <c r="TIM70" s="156"/>
      <c r="TIN70" s="157"/>
      <c r="TIO70" s="158"/>
      <c r="TIP70" s="158"/>
      <c r="TIQ70" s="157"/>
      <c r="TIR70" s="159"/>
      <c r="TIS70" s="157"/>
      <c r="TIT70" s="159"/>
      <c r="TIU70" s="160"/>
      <c r="TIV70" s="161"/>
      <c r="TIW70"/>
      <c r="TIX70" s="162"/>
      <c r="TIY70"/>
      <c r="TIZ70" s="155"/>
      <c r="TJA70" s="163"/>
      <c r="TJB70"/>
      <c r="TJC70" s="156"/>
      <c r="TJD70" s="157"/>
      <c r="TJE70" s="158"/>
      <c r="TJF70" s="158"/>
      <c r="TJG70" s="157"/>
      <c r="TJH70" s="159"/>
      <c r="TJI70" s="157"/>
      <c r="TJJ70" s="159"/>
      <c r="TJK70" s="160"/>
      <c r="TJL70" s="161"/>
      <c r="TJM70"/>
      <c r="TJN70" s="162"/>
      <c r="TJO70"/>
      <c r="TJP70" s="155"/>
      <c r="TJQ70" s="163"/>
      <c r="TJR70"/>
      <c r="TJS70" s="156"/>
      <c r="TJT70" s="157"/>
      <c r="TJU70" s="158"/>
      <c r="TJV70" s="158"/>
      <c r="TJW70" s="157"/>
      <c r="TJX70" s="159"/>
      <c r="TJY70" s="157"/>
      <c r="TJZ70" s="159"/>
      <c r="TKA70" s="160"/>
      <c r="TKB70" s="161"/>
      <c r="TKC70"/>
      <c r="TKD70" s="162"/>
      <c r="TKE70"/>
      <c r="TKF70" s="155"/>
      <c r="TKG70" s="163"/>
      <c r="TKH70"/>
      <c r="TKI70" s="156"/>
      <c r="TKJ70" s="157"/>
      <c r="TKK70" s="158"/>
      <c r="TKL70" s="158"/>
      <c r="TKM70" s="157"/>
      <c r="TKN70" s="159"/>
      <c r="TKO70" s="157"/>
      <c r="TKP70" s="159"/>
      <c r="TKQ70" s="160"/>
      <c r="TKR70" s="161"/>
      <c r="TKS70"/>
      <c r="TKT70" s="162"/>
      <c r="TKU70"/>
      <c r="TKV70" s="155"/>
      <c r="TKW70" s="163"/>
      <c r="TKX70"/>
      <c r="TKY70" s="156"/>
      <c r="TKZ70" s="157"/>
      <c r="TLA70" s="158"/>
      <c r="TLB70" s="158"/>
      <c r="TLC70" s="157"/>
      <c r="TLD70" s="159"/>
      <c r="TLE70" s="157"/>
      <c r="TLF70" s="159"/>
      <c r="TLG70" s="160"/>
      <c r="TLH70" s="161"/>
      <c r="TLI70"/>
      <c r="TLJ70" s="162"/>
      <c r="TLK70"/>
      <c r="TLL70" s="155"/>
      <c r="TLM70" s="163"/>
      <c r="TLN70"/>
      <c r="TLO70" s="156"/>
      <c r="TLP70" s="157"/>
      <c r="TLQ70" s="158"/>
      <c r="TLR70" s="158"/>
      <c r="TLS70" s="157"/>
      <c r="TLT70" s="159"/>
      <c r="TLU70" s="157"/>
      <c r="TLV70" s="159"/>
      <c r="TLW70" s="160"/>
      <c r="TLX70" s="161"/>
      <c r="TLY70"/>
      <c r="TLZ70" s="162"/>
      <c r="TMA70"/>
      <c r="TMB70" s="155"/>
      <c r="TMC70" s="163"/>
      <c r="TMD70"/>
      <c r="TME70" s="156"/>
      <c r="TMF70" s="157"/>
      <c r="TMG70" s="158"/>
      <c r="TMH70" s="158"/>
      <c r="TMI70" s="157"/>
      <c r="TMJ70" s="159"/>
      <c r="TMK70" s="157"/>
      <c r="TML70" s="159"/>
      <c r="TMM70" s="160"/>
      <c r="TMN70" s="161"/>
      <c r="TMO70"/>
      <c r="TMP70" s="162"/>
      <c r="TMQ70"/>
      <c r="TMR70" s="155"/>
      <c r="TMS70" s="163"/>
      <c r="TMT70"/>
      <c r="TMU70" s="156"/>
      <c r="TMV70" s="157"/>
      <c r="TMW70" s="158"/>
      <c r="TMX70" s="158"/>
      <c r="TMY70" s="157"/>
      <c r="TMZ70" s="159"/>
      <c r="TNA70" s="157"/>
      <c r="TNB70" s="159"/>
      <c r="TNC70" s="160"/>
      <c r="TND70" s="161"/>
      <c r="TNE70"/>
      <c r="TNF70" s="162"/>
      <c r="TNG70"/>
      <c r="TNH70" s="155"/>
      <c r="TNI70" s="163"/>
      <c r="TNJ70"/>
      <c r="TNK70" s="156"/>
      <c r="TNL70" s="157"/>
      <c r="TNM70" s="158"/>
      <c r="TNN70" s="158"/>
      <c r="TNO70" s="157"/>
      <c r="TNP70" s="159"/>
      <c r="TNQ70" s="157"/>
      <c r="TNR70" s="159"/>
      <c r="TNS70" s="160"/>
      <c r="TNT70" s="161"/>
      <c r="TNU70"/>
      <c r="TNV70" s="162"/>
      <c r="TNW70"/>
      <c r="TNX70" s="155"/>
      <c r="TNY70" s="163"/>
      <c r="TNZ70"/>
      <c r="TOA70" s="156"/>
      <c r="TOB70" s="157"/>
      <c r="TOC70" s="158"/>
      <c r="TOD70" s="158"/>
      <c r="TOE70" s="157"/>
      <c r="TOF70" s="159"/>
      <c r="TOG70" s="157"/>
      <c r="TOH70" s="159"/>
      <c r="TOI70" s="160"/>
      <c r="TOJ70" s="161"/>
      <c r="TOK70"/>
      <c r="TOL70" s="162"/>
      <c r="TOM70"/>
      <c r="TON70" s="155"/>
      <c r="TOO70" s="163"/>
      <c r="TOP70"/>
      <c r="TOQ70" s="156"/>
      <c r="TOR70" s="157"/>
      <c r="TOS70" s="158"/>
      <c r="TOT70" s="158"/>
      <c r="TOU70" s="157"/>
      <c r="TOV70" s="159"/>
      <c r="TOW70" s="157"/>
      <c r="TOX70" s="159"/>
      <c r="TOY70" s="160"/>
      <c r="TOZ70" s="161"/>
      <c r="TPA70"/>
      <c r="TPB70" s="162"/>
      <c r="TPC70"/>
      <c r="TPD70" s="155"/>
      <c r="TPE70" s="163"/>
      <c r="TPF70"/>
      <c r="TPG70" s="156"/>
      <c r="TPH70" s="157"/>
      <c r="TPI70" s="158"/>
      <c r="TPJ70" s="158"/>
      <c r="TPK70" s="157"/>
      <c r="TPL70" s="159"/>
      <c r="TPM70" s="157"/>
      <c r="TPN70" s="159"/>
      <c r="TPO70" s="160"/>
      <c r="TPP70" s="161"/>
      <c r="TPQ70"/>
      <c r="TPR70" s="162"/>
      <c r="TPS70"/>
      <c r="TPT70" s="155"/>
      <c r="TPU70" s="163"/>
      <c r="TPV70"/>
      <c r="TPW70" s="156"/>
      <c r="TPX70" s="157"/>
      <c r="TPY70" s="158"/>
      <c r="TPZ70" s="158"/>
      <c r="TQA70" s="157"/>
      <c r="TQB70" s="159"/>
      <c r="TQC70" s="157"/>
      <c r="TQD70" s="159"/>
      <c r="TQE70" s="160"/>
      <c r="TQF70" s="161"/>
      <c r="TQG70"/>
      <c r="TQH70" s="162"/>
      <c r="TQI70"/>
      <c r="TQJ70" s="155"/>
      <c r="TQK70" s="163"/>
      <c r="TQL70"/>
      <c r="TQM70" s="156"/>
      <c r="TQN70" s="157"/>
      <c r="TQO70" s="158"/>
      <c r="TQP70" s="158"/>
      <c r="TQQ70" s="157"/>
      <c r="TQR70" s="159"/>
      <c r="TQS70" s="157"/>
      <c r="TQT70" s="159"/>
      <c r="TQU70" s="160"/>
      <c r="TQV70" s="161"/>
      <c r="TQW70"/>
      <c r="TQX70" s="162"/>
      <c r="TQY70"/>
      <c r="TQZ70" s="155"/>
      <c r="TRA70" s="163"/>
      <c r="TRB70"/>
      <c r="TRC70" s="156"/>
      <c r="TRD70" s="157"/>
      <c r="TRE70" s="158"/>
      <c r="TRF70" s="158"/>
      <c r="TRG70" s="157"/>
      <c r="TRH70" s="159"/>
      <c r="TRI70" s="157"/>
      <c r="TRJ70" s="159"/>
      <c r="TRK70" s="160"/>
      <c r="TRL70" s="161"/>
      <c r="TRM70"/>
      <c r="TRN70" s="162"/>
      <c r="TRO70"/>
      <c r="TRP70" s="155"/>
      <c r="TRQ70" s="163"/>
      <c r="TRR70"/>
      <c r="TRS70" s="156"/>
      <c r="TRT70" s="157"/>
      <c r="TRU70" s="158"/>
      <c r="TRV70" s="158"/>
      <c r="TRW70" s="157"/>
      <c r="TRX70" s="159"/>
      <c r="TRY70" s="157"/>
      <c r="TRZ70" s="159"/>
      <c r="TSA70" s="160"/>
      <c r="TSB70" s="161"/>
      <c r="TSC70"/>
      <c r="TSD70" s="162"/>
      <c r="TSE70"/>
      <c r="TSF70" s="155"/>
      <c r="TSG70" s="163"/>
      <c r="TSH70"/>
      <c r="TSI70" s="156"/>
      <c r="TSJ70" s="157"/>
      <c r="TSK70" s="158"/>
      <c r="TSL70" s="158"/>
      <c r="TSM70" s="157"/>
      <c r="TSN70" s="159"/>
      <c r="TSO70" s="157"/>
      <c r="TSP70" s="159"/>
      <c r="TSQ70" s="160"/>
      <c r="TSR70" s="161"/>
      <c r="TSS70"/>
      <c r="TST70" s="162"/>
      <c r="TSU70"/>
      <c r="TSV70" s="155"/>
      <c r="TSW70" s="163"/>
      <c r="TSX70"/>
      <c r="TSY70" s="156"/>
      <c r="TSZ70" s="157"/>
      <c r="TTA70" s="158"/>
      <c r="TTB70" s="158"/>
      <c r="TTC70" s="157"/>
      <c r="TTD70" s="159"/>
      <c r="TTE70" s="157"/>
      <c r="TTF70" s="159"/>
      <c r="TTG70" s="160"/>
      <c r="TTH70" s="161"/>
      <c r="TTI70"/>
      <c r="TTJ70" s="162"/>
      <c r="TTK70"/>
      <c r="TTL70" s="155"/>
      <c r="TTM70" s="163"/>
      <c r="TTN70"/>
      <c r="TTO70" s="156"/>
      <c r="TTP70" s="157"/>
      <c r="TTQ70" s="158"/>
      <c r="TTR70" s="158"/>
      <c r="TTS70" s="157"/>
      <c r="TTT70" s="159"/>
      <c r="TTU70" s="157"/>
      <c r="TTV70" s="159"/>
      <c r="TTW70" s="160"/>
      <c r="TTX70" s="161"/>
      <c r="TTY70"/>
      <c r="TTZ70" s="162"/>
      <c r="TUA70"/>
      <c r="TUB70" s="155"/>
      <c r="TUC70" s="163"/>
      <c r="TUD70"/>
      <c r="TUE70" s="156"/>
      <c r="TUF70" s="157"/>
      <c r="TUG70" s="158"/>
      <c r="TUH70" s="158"/>
      <c r="TUI70" s="157"/>
      <c r="TUJ70" s="159"/>
      <c r="TUK70" s="157"/>
      <c r="TUL70" s="159"/>
      <c r="TUM70" s="160"/>
      <c r="TUN70" s="161"/>
      <c r="TUO70"/>
      <c r="TUP70" s="162"/>
      <c r="TUQ70"/>
      <c r="TUR70" s="155"/>
      <c r="TUS70" s="163"/>
      <c r="TUT70"/>
      <c r="TUU70" s="156"/>
      <c r="TUV70" s="157"/>
      <c r="TUW70" s="158"/>
      <c r="TUX70" s="158"/>
      <c r="TUY70" s="157"/>
      <c r="TUZ70" s="159"/>
      <c r="TVA70" s="157"/>
      <c r="TVB70" s="159"/>
      <c r="TVC70" s="160"/>
      <c r="TVD70" s="161"/>
      <c r="TVE70"/>
      <c r="TVF70" s="162"/>
      <c r="TVG70"/>
      <c r="TVH70" s="155"/>
      <c r="TVI70" s="163"/>
      <c r="TVJ70"/>
      <c r="TVK70" s="156"/>
      <c r="TVL70" s="157"/>
      <c r="TVM70" s="158"/>
      <c r="TVN70" s="158"/>
      <c r="TVO70" s="157"/>
      <c r="TVP70" s="159"/>
      <c r="TVQ70" s="157"/>
      <c r="TVR70" s="159"/>
      <c r="TVS70" s="160"/>
      <c r="TVT70" s="161"/>
      <c r="TVU70"/>
      <c r="TVV70" s="162"/>
      <c r="TVW70"/>
      <c r="TVX70" s="155"/>
      <c r="TVY70" s="163"/>
      <c r="TVZ70"/>
      <c r="TWA70" s="156"/>
      <c r="TWB70" s="157"/>
      <c r="TWC70" s="158"/>
      <c r="TWD70" s="158"/>
      <c r="TWE70" s="157"/>
      <c r="TWF70" s="159"/>
      <c r="TWG70" s="157"/>
      <c r="TWH70" s="159"/>
      <c r="TWI70" s="160"/>
      <c r="TWJ70" s="161"/>
      <c r="TWK70"/>
      <c r="TWL70" s="162"/>
      <c r="TWM70"/>
      <c r="TWN70" s="155"/>
      <c r="TWO70" s="163"/>
      <c r="TWP70"/>
      <c r="TWQ70" s="156"/>
      <c r="TWR70" s="157"/>
      <c r="TWS70" s="158"/>
      <c r="TWT70" s="158"/>
      <c r="TWU70" s="157"/>
      <c r="TWV70" s="159"/>
      <c r="TWW70" s="157"/>
      <c r="TWX70" s="159"/>
      <c r="TWY70" s="160"/>
      <c r="TWZ70" s="161"/>
      <c r="TXA70"/>
      <c r="TXB70" s="162"/>
      <c r="TXC70"/>
      <c r="TXD70" s="155"/>
      <c r="TXE70" s="163"/>
      <c r="TXF70"/>
      <c r="TXG70" s="156"/>
      <c r="TXH70" s="157"/>
      <c r="TXI70" s="158"/>
      <c r="TXJ70" s="158"/>
      <c r="TXK70" s="157"/>
      <c r="TXL70" s="159"/>
      <c r="TXM70" s="157"/>
      <c r="TXN70" s="159"/>
      <c r="TXO70" s="160"/>
      <c r="TXP70" s="161"/>
      <c r="TXQ70"/>
      <c r="TXR70" s="162"/>
      <c r="TXS70"/>
      <c r="TXT70" s="155"/>
      <c r="TXU70" s="163"/>
      <c r="TXV70"/>
      <c r="TXW70" s="156"/>
      <c r="TXX70" s="157"/>
      <c r="TXY70" s="158"/>
      <c r="TXZ70" s="158"/>
      <c r="TYA70" s="157"/>
      <c r="TYB70" s="159"/>
      <c r="TYC70" s="157"/>
      <c r="TYD70" s="159"/>
      <c r="TYE70" s="160"/>
      <c r="TYF70" s="161"/>
      <c r="TYG70"/>
      <c r="TYH70" s="162"/>
      <c r="TYI70"/>
      <c r="TYJ70" s="155"/>
      <c r="TYK70" s="163"/>
      <c r="TYL70"/>
      <c r="TYM70" s="156"/>
      <c r="TYN70" s="157"/>
      <c r="TYO70" s="158"/>
      <c r="TYP70" s="158"/>
      <c r="TYQ70" s="157"/>
      <c r="TYR70" s="159"/>
      <c r="TYS70" s="157"/>
      <c r="TYT70" s="159"/>
      <c r="TYU70" s="160"/>
      <c r="TYV70" s="161"/>
      <c r="TYW70"/>
      <c r="TYX70" s="162"/>
      <c r="TYY70"/>
      <c r="TYZ70" s="155"/>
      <c r="TZA70" s="163"/>
      <c r="TZB70"/>
      <c r="TZC70" s="156"/>
      <c r="TZD70" s="157"/>
      <c r="TZE70" s="158"/>
      <c r="TZF70" s="158"/>
      <c r="TZG70" s="157"/>
      <c r="TZH70" s="159"/>
      <c r="TZI70" s="157"/>
      <c r="TZJ70" s="159"/>
      <c r="TZK70" s="160"/>
      <c r="TZL70" s="161"/>
      <c r="TZM70"/>
      <c r="TZN70" s="162"/>
      <c r="TZO70"/>
      <c r="TZP70" s="155"/>
      <c r="TZQ70" s="163"/>
      <c r="TZR70"/>
      <c r="TZS70" s="156"/>
      <c r="TZT70" s="157"/>
      <c r="TZU70" s="158"/>
      <c r="TZV70" s="158"/>
      <c r="TZW70" s="157"/>
      <c r="TZX70" s="159"/>
      <c r="TZY70" s="157"/>
      <c r="TZZ70" s="159"/>
      <c r="UAA70" s="160"/>
      <c r="UAB70" s="161"/>
      <c r="UAC70"/>
      <c r="UAD70" s="162"/>
      <c r="UAE70"/>
      <c r="UAF70" s="155"/>
      <c r="UAG70" s="163"/>
      <c r="UAH70"/>
      <c r="UAI70" s="156"/>
      <c r="UAJ70" s="157"/>
      <c r="UAK70" s="158"/>
      <c r="UAL70" s="158"/>
      <c r="UAM70" s="157"/>
      <c r="UAN70" s="159"/>
      <c r="UAO70" s="157"/>
      <c r="UAP70" s="159"/>
      <c r="UAQ70" s="160"/>
      <c r="UAR70" s="161"/>
      <c r="UAS70"/>
      <c r="UAT70" s="162"/>
      <c r="UAU70"/>
      <c r="UAV70" s="155"/>
      <c r="UAW70" s="163"/>
      <c r="UAX70"/>
      <c r="UAY70" s="156"/>
      <c r="UAZ70" s="157"/>
      <c r="UBA70" s="158"/>
      <c r="UBB70" s="158"/>
      <c r="UBC70" s="157"/>
      <c r="UBD70" s="159"/>
      <c r="UBE70" s="157"/>
      <c r="UBF70" s="159"/>
      <c r="UBG70" s="160"/>
      <c r="UBH70" s="161"/>
      <c r="UBI70"/>
      <c r="UBJ70" s="162"/>
      <c r="UBK70"/>
      <c r="UBL70" s="155"/>
      <c r="UBM70" s="163"/>
      <c r="UBN70"/>
      <c r="UBO70" s="156"/>
      <c r="UBP70" s="157"/>
      <c r="UBQ70" s="158"/>
      <c r="UBR70" s="158"/>
      <c r="UBS70" s="157"/>
      <c r="UBT70" s="159"/>
      <c r="UBU70" s="157"/>
      <c r="UBV70" s="159"/>
      <c r="UBW70" s="160"/>
      <c r="UBX70" s="161"/>
      <c r="UBY70"/>
      <c r="UBZ70" s="162"/>
      <c r="UCA70"/>
      <c r="UCB70" s="155"/>
      <c r="UCC70" s="163"/>
      <c r="UCD70"/>
      <c r="UCE70" s="156"/>
      <c r="UCF70" s="157"/>
      <c r="UCG70" s="158"/>
      <c r="UCH70" s="158"/>
      <c r="UCI70" s="157"/>
      <c r="UCJ70" s="159"/>
      <c r="UCK70" s="157"/>
      <c r="UCL70" s="159"/>
      <c r="UCM70" s="160"/>
      <c r="UCN70" s="161"/>
      <c r="UCO70"/>
      <c r="UCP70" s="162"/>
      <c r="UCQ70"/>
      <c r="UCR70" s="155"/>
      <c r="UCS70" s="163"/>
      <c r="UCT70"/>
      <c r="UCU70" s="156"/>
      <c r="UCV70" s="157"/>
      <c r="UCW70" s="158"/>
      <c r="UCX70" s="158"/>
      <c r="UCY70" s="157"/>
      <c r="UCZ70" s="159"/>
      <c r="UDA70" s="157"/>
      <c r="UDB70" s="159"/>
      <c r="UDC70" s="160"/>
      <c r="UDD70" s="161"/>
      <c r="UDE70"/>
      <c r="UDF70" s="162"/>
      <c r="UDG70"/>
      <c r="UDH70" s="155"/>
      <c r="UDI70" s="163"/>
      <c r="UDJ70"/>
      <c r="UDK70" s="156"/>
      <c r="UDL70" s="157"/>
      <c r="UDM70" s="158"/>
      <c r="UDN70" s="158"/>
      <c r="UDO70" s="157"/>
      <c r="UDP70" s="159"/>
      <c r="UDQ70" s="157"/>
      <c r="UDR70" s="159"/>
      <c r="UDS70" s="160"/>
      <c r="UDT70" s="161"/>
      <c r="UDU70"/>
      <c r="UDV70" s="162"/>
      <c r="UDW70"/>
      <c r="UDX70" s="155"/>
      <c r="UDY70" s="163"/>
      <c r="UDZ70"/>
      <c r="UEA70" s="156"/>
      <c r="UEB70" s="157"/>
      <c r="UEC70" s="158"/>
      <c r="UED70" s="158"/>
      <c r="UEE70" s="157"/>
      <c r="UEF70" s="159"/>
      <c r="UEG70" s="157"/>
      <c r="UEH70" s="159"/>
      <c r="UEI70" s="160"/>
      <c r="UEJ70" s="161"/>
      <c r="UEK70"/>
      <c r="UEL70" s="162"/>
      <c r="UEM70"/>
      <c r="UEN70" s="155"/>
      <c r="UEO70" s="163"/>
      <c r="UEP70"/>
      <c r="UEQ70" s="156"/>
      <c r="UER70" s="157"/>
      <c r="UES70" s="158"/>
      <c r="UET70" s="158"/>
      <c r="UEU70" s="157"/>
      <c r="UEV70" s="159"/>
      <c r="UEW70" s="157"/>
      <c r="UEX70" s="159"/>
      <c r="UEY70" s="160"/>
      <c r="UEZ70" s="161"/>
      <c r="UFA70"/>
      <c r="UFB70" s="162"/>
      <c r="UFC70"/>
      <c r="UFD70" s="155"/>
      <c r="UFE70" s="163"/>
      <c r="UFF70"/>
      <c r="UFG70" s="156"/>
      <c r="UFH70" s="157"/>
      <c r="UFI70" s="158"/>
      <c r="UFJ70" s="158"/>
      <c r="UFK70" s="157"/>
      <c r="UFL70" s="159"/>
      <c r="UFM70" s="157"/>
      <c r="UFN70" s="159"/>
      <c r="UFO70" s="160"/>
      <c r="UFP70" s="161"/>
      <c r="UFQ70"/>
      <c r="UFR70" s="162"/>
      <c r="UFS70"/>
      <c r="UFT70" s="155"/>
      <c r="UFU70" s="163"/>
      <c r="UFV70"/>
      <c r="UFW70" s="156"/>
      <c r="UFX70" s="157"/>
      <c r="UFY70" s="158"/>
      <c r="UFZ70" s="158"/>
      <c r="UGA70" s="157"/>
      <c r="UGB70" s="159"/>
      <c r="UGC70" s="157"/>
      <c r="UGD70" s="159"/>
      <c r="UGE70" s="160"/>
      <c r="UGF70" s="161"/>
      <c r="UGG70"/>
      <c r="UGH70" s="162"/>
      <c r="UGI70"/>
      <c r="UGJ70" s="155"/>
      <c r="UGK70" s="163"/>
      <c r="UGL70"/>
      <c r="UGM70" s="156"/>
      <c r="UGN70" s="157"/>
      <c r="UGO70" s="158"/>
      <c r="UGP70" s="158"/>
      <c r="UGQ70" s="157"/>
      <c r="UGR70" s="159"/>
      <c r="UGS70" s="157"/>
      <c r="UGT70" s="159"/>
      <c r="UGU70" s="160"/>
      <c r="UGV70" s="161"/>
      <c r="UGW70"/>
      <c r="UGX70" s="162"/>
      <c r="UGY70"/>
      <c r="UGZ70" s="155"/>
      <c r="UHA70" s="163"/>
      <c r="UHB70"/>
      <c r="UHC70" s="156"/>
      <c r="UHD70" s="157"/>
      <c r="UHE70" s="158"/>
      <c r="UHF70" s="158"/>
      <c r="UHG70" s="157"/>
      <c r="UHH70" s="159"/>
      <c r="UHI70" s="157"/>
      <c r="UHJ70" s="159"/>
      <c r="UHK70" s="160"/>
      <c r="UHL70" s="161"/>
      <c r="UHM70"/>
      <c r="UHN70" s="162"/>
      <c r="UHO70"/>
      <c r="UHP70" s="155"/>
      <c r="UHQ70" s="163"/>
      <c r="UHR70"/>
      <c r="UHS70" s="156"/>
      <c r="UHT70" s="157"/>
      <c r="UHU70" s="158"/>
      <c r="UHV70" s="158"/>
      <c r="UHW70" s="157"/>
      <c r="UHX70" s="159"/>
      <c r="UHY70" s="157"/>
      <c r="UHZ70" s="159"/>
      <c r="UIA70" s="160"/>
      <c r="UIB70" s="161"/>
      <c r="UIC70"/>
      <c r="UID70" s="162"/>
      <c r="UIE70"/>
      <c r="UIF70" s="155"/>
      <c r="UIG70" s="163"/>
      <c r="UIH70"/>
      <c r="UII70" s="156"/>
      <c r="UIJ70" s="157"/>
      <c r="UIK70" s="158"/>
      <c r="UIL70" s="158"/>
      <c r="UIM70" s="157"/>
      <c r="UIN70" s="159"/>
      <c r="UIO70" s="157"/>
      <c r="UIP70" s="159"/>
      <c r="UIQ70" s="160"/>
      <c r="UIR70" s="161"/>
      <c r="UIS70"/>
      <c r="UIT70" s="162"/>
      <c r="UIU70"/>
      <c r="UIV70" s="155"/>
      <c r="UIW70" s="163"/>
      <c r="UIX70"/>
      <c r="UIY70" s="156"/>
      <c r="UIZ70" s="157"/>
      <c r="UJA70" s="158"/>
      <c r="UJB70" s="158"/>
      <c r="UJC70" s="157"/>
      <c r="UJD70" s="159"/>
      <c r="UJE70" s="157"/>
      <c r="UJF70" s="159"/>
      <c r="UJG70" s="160"/>
      <c r="UJH70" s="161"/>
      <c r="UJI70"/>
      <c r="UJJ70" s="162"/>
      <c r="UJK70"/>
      <c r="UJL70" s="155"/>
      <c r="UJM70" s="163"/>
      <c r="UJN70"/>
      <c r="UJO70" s="156"/>
      <c r="UJP70" s="157"/>
      <c r="UJQ70" s="158"/>
      <c r="UJR70" s="158"/>
      <c r="UJS70" s="157"/>
      <c r="UJT70" s="159"/>
      <c r="UJU70" s="157"/>
      <c r="UJV70" s="159"/>
      <c r="UJW70" s="160"/>
      <c r="UJX70" s="161"/>
      <c r="UJY70"/>
      <c r="UJZ70" s="162"/>
      <c r="UKA70"/>
      <c r="UKB70" s="155"/>
      <c r="UKC70" s="163"/>
      <c r="UKD70"/>
      <c r="UKE70" s="156"/>
      <c r="UKF70" s="157"/>
      <c r="UKG70" s="158"/>
      <c r="UKH70" s="158"/>
      <c r="UKI70" s="157"/>
      <c r="UKJ70" s="159"/>
      <c r="UKK70" s="157"/>
      <c r="UKL70" s="159"/>
      <c r="UKM70" s="160"/>
      <c r="UKN70" s="161"/>
      <c r="UKO70"/>
      <c r="UKP70" s="162"/>
      <c r="UKQ70"/>
      <c r="UKR70" s="155"/>
      <c r="UKS70" s="163"/>
      <c r="UKT70"/>
      <c r="UKU70" s="156"/>
      <c r="UKV70" s="157"/>
      <c r="UKW70" s="158"/>
      <c r="UKX70" s="158"/>
      <c r="UKY70" s="157"/>
      <c r="UKZ70" s="159"/>
      <c r="ULA70" s="157"/>
      <c r="ULB70" s="159"/>
      <c r="ULC70" s="160"/>
      <c r="ULD70" s="161"/>
      <c r="ULE70"/>
      <c r="ULF70" s="162"/>
      <c r="ULG70"/>
      <c r="ULH70" s="155"/>
      <c r="ULI70" s="163"/>
      <c r="ULJ70"/>
      <c r="ULK70" s="156"/>
      <c r="ULL70" s="157"/>
      <c r="ULM70" s="158"/>
      <c r="ULN70" s="158"/>
      <c r="ULO70" s="157"/>
      <c r="ULP70" s="159"/>
      <c r="ULQ70" s="157"/>
      <c r="ULR70" s="159"/>
      <c r="ULS70" s="160"/>
      <c r="ULT70" s="161"/>
      <c r="ULU70"/>
      <c r="ULV70" s="162"/>
      <c r="ULW70"/>
      <c r="ULX70" s="155"/>
      <c r="ULY70" s="163"/>
      <c r="ULZ70"/>
      <c r="UMA70" s="156"/>
      <c r="UMB70" s="157"/>
      <c r="UMC70" s="158"/>
      <c r="UMD70" s="158"/>
      <c r="UME70" s="157"/>
      <c r="UMF70" s="159"/>
      <c r="UMG70" s="157"/>
      <c r="UMH70" s="159"/>
      <c r="UMI70" s="160"/>
      <c r="UMJ70" s="161"/>
      <c r="UMK70"/>
      <c r="UML70" s="162"/>
      <c r="UMM70"/>
      <c r="UMN70" s="155"/>
      <c r="UMO70" s="163"/>
      <c r="UMP70"/>
      <c r="UMQ70" s="156"/>
      <c r="UMR70" s="157"/>
      <c r="UMS70" s="158"/>
      <c r="UMT70" s="158"/>
      <c r="UMU70" s="157"/>
      <c r="UMV70" s="159"/>
      <c r="UMW70" s="157"/>
      <c r="UMX70" s="159"/>
      <c r="UMY70" s="160"/>
      <c r="UMZ70" s="161"/>
      <c r="UNA70"/>
      <c r="UNB70" s="162"/>
      <c r="UNC70"/>
      <c r="UND70" s="155"/>
      <c r="UNE70" s="163"/>
      <c r="UNF70"/>
      <c r="UNG70" s="156"/>
      <c r="UNH70" s="157"/>
      <c r="UNI70" s="158"/>
      <c r="UNJ70" s="158"/>
      <c r="UNK70" s="157"/>
      <c r="UNL70" s="159"/>
      <c r="UNM70" s="157"/>
      <c r="UNN70" s="159"/>
      <c r="UNO70" s="160"/>
      <c r="UNP70" s="161"/>
      <c r="UNQ70"/>
      <c r="UNR70" s="162"/>
      <c r="UNS70"/>
      <c r="UNT70" s="155"/>
      <c r="UNU70" s="163"/>
      <c r="UNV70"/>
      <c r="UNW70" s="156"/>
      <c r="UNX70" s="157"/>
      <c r="UNY70" s="158"/>
      <c r="UNZ70" s="158"/>
      <c r="UOA70" s="157"/>
      <c r="UOB70" s="159"/>
      <c r="UOC70" s="157"/>
      <c r="UOD70" s="159"/>
      <c r="UOE70" s="160"/>
      <c r="UOF70" s="161"/>
      <c r="UOG70"/>
      <c r="UOH70" s="162"/>
      <c r="UOI70"/>
      <c r="UOJ70" s="155"/>
      <c r="UOK70" s="163"/>
      <c r="UOL70"/>
      <c r="UOM70" s="156"/>
      <c r="UON70" s="157"/>
      <c r="UOO70" s="158"/>
      <c r="UOP70" s="158"/>
      <c r="UOQ70" s="157"/>
      <c r="UOR70" s="159"/>
      <c r="UOS70" s="157"/>
      <c r="UOT70" s="159"/>
      <c r="UOU70" s="160"/>
      <c r="UOV70" s="161"/>
      <c r="UOW70"/>
      <c r="UOX70" s="162"/>
      <c r="UOY70"/>
      <c r="UOZ70" s="155"/>
      <c r="UPA70" s="163"/>
      <c r="UPB70"/>
      <c r="UPC70" s="156"/>
      <c r="UPD70" s="157"/>
      <c r="UPE70" s="158"/>
      <c r="UPF70" s="158"/>
      <c r="UPG70" s="157"/>
      <c r="UPH70" s="159"/>
      <c r="UPI70" s="157"/>
      <c r="UPJ70" s="159"/>
      <c r="UPK70" s="160"/>
      <c r="UPL70" s="161"/>
      <c r="UPM70"/>
      <c r="UPN70" s="162"/>
      <c r="UPO70"/>
      <c r="UPP70" s="155"/>
      <c r="UPQ70" s="163"/>
      <c r="UPR70"/>
      <c r="UPS70" s="156"/>
      <c r="UPT70" s="157"/>
      <c r="UPU70" s="158"/>
      <c r="UPV70" s="158"/>
      <c r="UPW70" s="157"/>
      <c r="UPX70" s="159"/>
      <c r="UPY70" s="157"/>
      <c r="UPZ70" s="159"/>
      <c r="UQA70" s="160"/>
      <c r="UQB70" s="161"/>
      <c r="UQC70"/>
      <c r="UQD70" s="162"/>
      <c r="UQE70"/>
      <c r="UQF70" s="155"/>
      <c r="UQG70" s="163"/>
      <c r="UQH70"/>
      <c r="UQI70" s="156"/>
      <c r="UQJ70" s="157"/>
      <c r="UQK70" s="158"/>
      <c r="UQL70" s="158"/>
      <c r="UQM70" s="157"/>
      <c r="UQN70" s="159"/>
      <c r="UQO70" s="157"/>
      <c r="UQP70" s="159"/>
      <c r="UQQ70" s="160"/>
      <c r="UQR70" s="161"/>
      <c r="UQS70"/>
      <c r="UQT70" s="162"/>
      <c r="UQU70"/>
      <c r="UQV70" s="155"/>
      <c r="UQW70" s="163"/>
      <c r="UQX70"/>
      <c r="UQY70" s="156"/>
      <c r="UQZ70" s="157"/>
      <c r="URA70" s="158"/>
      <c r="URB70" s="158"/>
      <c r="URC70" s="157"/>
      <c r="URD70" s="159"/>
      <c r="URE70" s="157"/>
      <c r="URF70" s="159"/>
      <c r="URG70" s="160"/>
      <c r="URH70" s="161"/>
      <c r="URI70"/>
      <c r="URJ70" s="162"/>
      <c r="URK70"/>
      <c r="URL70" s="155"/>
      <c r="URM70" s="163"/>
      <c r="URN70"/>
      <c r="URO70" s="156"/>
      <c r="URP70" s="157"/>
      <c r="URQ70" s="158"/>
      <c r="URR70" s="158"/>
      <c r="URS70" s="157"/>
      <c r="URT70" s="159"/>
      <c r="URU70" s="157"/>
      <c r="URV70" s="159"/>
      <c r="URW70" s="160"/>
      <c r="URX70" s="161"/>
      <c r="URY70"/>
      <c r="URZ70" s="162"/>
      <c r="USA70"/>
      <c r="USB70" s="155"/>
      <c r="USC70" s="163"/>
      <c r="USD70"/>
      <c r="USE70" s="156"/>
      <c r="USF70" s="157"/>
      <c r="USG70" s="158"/>
      <c r="USH70" s="158"/>
      <c r="USI70" s="157"/>
      <c r="USJ70" s="159"/>
      <c r="USK70" s="157"/>
      <c r="USL70" s="159"/>
      <c r="USM70" s="160"/>
      <c r="USN70" s="161"/>
      <c r="USO70"/>
      <c r="USP70" s="162"/>
      <c r="USQ70"/>
      <c r="USR70" s="155"/>
      <c r="USS70" s="163"/>
      <c r="UST70"/>
      <c r="USU70" s="156"/>
      <c r="USV70" s="157"/>
      <c r="USW70" s="158"/>
      <c r="USX70" s="158"/>
      <c r="USY70" s="157"/>
      <c r="USZ70" s="159"/>
      <c r="UTA70" s="157"/>
      <c r="UTB70" s="159"/>
      <c r="UTC70" s="160"/>
      <c r="UTD70" s="161"/>
      <c r="UTE70"/>
      <c r="UTF70" s="162"/>
      <c r="UTG70"/>
      <c r="UTH70" s="155"/>
      <c r="UTI70" s="163"/>
      <c r="UTJ70"/>
      <c r="UTK70" s="156"/>
      <c r="UTL70" s="157"/>
      <c r="UTM70" s="158"/>
      <c r="UTN70" s="158"/>
      <c r="UTO70" s="157"/>
      <c r="UTP70" s="159"/>
      <c r="UTQ70" s="157"/>
      <c r="UTR70" s="159"/>
      <c r="UTS70" s="160"/>
      <c r="UTT70" s="161"/>
      <c r="UTU70"/>
      <c r="UTV70" s="162"/>
      <c r="UTW70"/>
      <c r="UTX70" s="155"/>
      <c r="UTY70" s="163"/>
      <c r="UTZ70"/>
      <c r="UUA70" s="156"/>
      <c r="UUB70" s="157"/>
      <c r="UUC70" s="158"/>
      <c r="UUD70" s="158"/>
      <c r="UUE70" s="157"/>
      <c r="UUF70" s="159"/>
      <c r="UUG70" s="157"/>
      <c r="UUH70" s="159"/>
      <c r="UUI70" s="160"/>
      <c r="UUJ70" s="161"/>
      <c r="UUK70"/>
      <c r="UUL70" s="162"/>
      <c r="UUM70"/>
      <c r="UUN70" s="155"/>
      <c r="UUO70" s="163"/>
      <c r="UUP70"/>
      <c r="UUQ70" s="156"/>
      <c r="UUR70" s="157"/>
      <c r="UUS70" s="158"/>
      <c r="UUT70" s="158"/>
      <c r="UUU70" s="157"/>
      <c r="UUV70" s="159"/>
      <c r="UUW70" s="157"/>
      <c r="UUX70" s="159"/>
      <c r="UUY70" s="160"/>
      <c r="UUZ70" s="161"/>
      <c r="UVA70"/>
      <c r="UVB70" s="162"/>
      <c r="UVC70"/>
      <c r="UVD70" s="155"/>
      <c r="UVE70" s="163"/>
      <c r="UVF70"/>
      <c r="UVG70" s="156"/>
      <c r="UVH70" s="157"/>
      <c r="UVI70" s="158"/>
      <c r="UVJ70" s="158"/>
      <c r="UVK70" s="157"/>
      <c r="UVL70" s="159"/>
      <c r="UVM70" s="157"/>
      <c r="UVN70" s="159"/>
      <c r="UVO70" s="160"/>
      <c r="UVP70" s="161"/>
      <c r="UVQ70"/>
      <c r="UVR70" s="162"/>
      <c r="UVS70"/>
      <c r="UVT70" s="155"/>
      <c r="UVU70" s="163"/>
      <c r="UVV70"/>
      <c r="UVW70" s="156"/>
      <c r="UVX70" s="157"/>
      <c r="UVY70" s="158"/>
      <c r="UVZ70" s="158"/>
      <c r="UWA70" s="157"/>
      <c r="UWB70" s="159"/>
      <c r="UWC70" s="157"/>
      <c r="UWD70" s="159"/>
      <c r="UWE70" s="160"/>
      <c r="UWF70" s="161"/>
      <c r="UWG70"/>
      <c r="UWH70" s="162"/>
      <c r="UWI70"/>
      <c r="UWJ70" s="155"/>
      <c r="UWK70" s="163"/>
      <c r="UWL70"/>
      <c r="UWM70" s="156"/>
      <c r="UWN70" s="157"/>
      <c r="UWO70" s="158"/>
      <c r="UWP70" s="158"/>
      <c r="UWQ70" s="157"/>
      <c r="UWR70" s="159"/>
      <c r="UWS70" s="157"/>
      <c r="UWT70" s="159"/>
      <c r="UWU70" s="160"/>
      <c r="UWV70" s="161"/>
      <c r="UWW70"/>
      <c r="UWX70" s="162"/>
      <c r="UWY70"/>
      <c r="UWZ70" s="155"/>
      <c r="UXA70" s="163"/>
      <c r="UXB70"/>
      <c r="UXC70" s="156"/>
      <c r="UXD70" s="157"/>
      <c r="UXE70" s="158"/>
      <c r="UXF70" s="158"/>
      <c r="UXG70" s="157"/>
      <c r="UXH70" s="159"/>
      <c r="UXI70" s="157"/>
      <c r="UXJ70" s="159"/>
      <c r="UXK70" s="160"/>
      <c r="UXL70" s="161"/>
      <c r="UXM70"/>
      <c r="UXN70" s="162"/>
      <c r="UXO70"/>
      <c r="UXP70" s="155"/>
      <c r="UXQ70" s="163"/>
      <c r="UXR70"/>
      <c r="UXS70" s="156"/>
      <c r="UXT70" s="157"/>
      <c r="UXU70" s="158"/>
      <c r="UXV70" s="158"/>
      <c r="UXW70" s="157"/>
      <c r="UXX70" s="159"/>
      <c r="UXY70" s="157"/>
      <c r="UXZ70" s="159"/>
      <c r="UYA70" s="160"/>
      <c r="UYB70" s="161"/>
      <c r="UYC70"/>
      <c r="UYD70" s="162"/>
      <c r="UYE70"/>
      <c r="UYF70" s="155"/>
      <c r="UYG70" s="163"/>
      <c r="UYH70"/>
      <c r="UYI70" s="156"/>
      <c r="UYJ70" s="157"/>
      <c r="UYK70" s="158"/>
      <c r="UYL70" s="158"/>
      <c r="UYM70" s="157"/>
      <c r="UYN70" s="159"/>
      <c r="UYO70" s="157"/>
      <c r="UYP70" s="159"/>
      <c r="UYQ70" s="160"/>
      <c r="UYR70" s="161"/>
      <c r="UYS70"/>
      <c r="UYT70" s="162"/>
      <c r="UYU70"/>
      <c r="UYV70" s="155"/>
      <c r="UYW70" s="163"/>
      <c r="UYX70"/>
      <c r="UYY70" s="156"/>
      <c r="UYZ70" s="157"/>
      <c r="UZA70" s="158"/>
      <c r="UZB70" s="158"/>
      <c r="UZC70" s="157"/>
      <c r="UZD70" s="159"/>
      <c r="UZE70" s="157"/>
      <c r="UZF70" s="159"/>
      <c r="UZG70" s="160"/>
      <c r="UZH70" s="161"/>
      <c r="UZI70"/>
      <c r="UZJ70" s="162"/>
      <c r="UZK70"/>
      <c r="UZL70" s="155"/>
      <c r="UZM70" s="163"/>
      <c r="UZN70"/>
      <c r="UZO70" s="156"/>
      <c r="UZP70" s="157"/>
      <c r="UZQ70" s="158"/>
      <c r="UZR70" s="158"/>
      <c r="UZS70" s="157"/>
      <c r="UZT70" s="159"/>
      <c r="UZU70" s="157"/>
      <c r="UZV70" s="159"/>
      <c r="UZW70" s="160"/>
      <c r="UZX70" s="161"/>
      <c r="UZY70"/>
      <c r="UZZ70" s="162"/>
      <c r="VAA70"/>
      <c r="VAB70" s="155"/>
      <c r="VAC70" s="163"/>
      <c r="VAD70"/>
      <c r="VAE70" s="156"/>
      <c r="VAF70" s="157"/>
      <c r="VAG70" s="158"/>
      <c r="VAH70" s="158"/>
      <c r="VAI70" s="157"/>
      <c r="VAJ70" s="159"/>
      <c r="VAK70" s="157"/>
      <c r="VAL70" s="159"/>
      <c r="VAM70" s="160"/>
      <c r="VAN70" s="161"/>
      <c r="VAO70"/>
      <c r="VAP70" s="162"/>
      <c r="VAQ70"/>
      <c r="VAR70" s="155"/>
      <c r="VAS70" s="163"/>
      <c r="VAT70"/>
      <c r="VAU70" s="156"/>
      <c r="VAV70" s="157"/>
      <c r="VAW70" s="158"/>
      <c r="VAX70" s="158"/>
      <c r="VAY70" s="157"/>
      <c r="VAZ70" s="159"/>
      <c r="VBA70" s="157"/>
      <c r="VBB70" s="159"/>
      <c r="VBC70" s="160"/>
      <c r="VBD70" s="161"/>
      <c r="VBE70"/>
      <c r="VBF70" s="162"/>
      <c r="VBG70"/>
      <c r="VBH70" s="155"/>
      <c r="VBI70" s="163"/>
      <c r="VBJ70"/>
      <c r="VBK70" s="156"/>
      <c r="VBL70" s="157"/>
      <c r="VBM70" s="158"/>
      <c r="VBN70" s="158"/>
      <c r="VBO70" s="157"/>
      <c r="VBP70" s="159"/>
      <c r="VBQ70" s="157"/>
      <c r="VBR70" s="159"/>
      <c r="VBS70" s="160"/>
      <c r="VBT70" s="161"/>
      <c r="VBU70"/>
      <c r="VBV70" s="162"/>
      <c r="VBW70"/>
      <c r="VBX70" s="155"/>
      <c r="VBY70" s="163"/>
      <c r="VBZ70"/>
      <c r="VCA70" s="156"/>
      <c r="VCB70" s="157"/>
      <c r="VCC70" s="158"/>
      <c r="VCD70" s="158"/>
      <c r="VCE70" s="157"/>
      <c r="VCF70" s="159"/>
      <c r="VCG70" s="157"/>
      <c r="VCH70" s="159"/>
      <c r="VCI70" s="160"/>
      <c r="VCJ70" s="161"/>
      <c r="VCK70"/>
      <c r="VCL70" s="162"/>
      <c r="VCM70"/>
      <c r="VCN70" s="155"/>
      <c r="VCO70" s="163"/>
      <c r="VCP70"/>
      <c r="VCQ70" s="156"/>
      <c r="VCR70" s="157"/>
      <c r="VCS70" s="158"/>
      <c r="VCT70" s="158"/>
      <c r="VCU70" s="157"/>
      <c r="VCV70" s="159"/>
      <c r="VCW70" s="157"/>
      <c r="VCX70" s="159"/>
      <c r="VCY70" s="160"/>
      <c r="VCZ70" s="161"/>
      <c r="VDA70"/>
      <c r="VDB70" s="162"/>
      <c r="VDC70"/>
      <c r="VDD70" s="155"/>
      <c r="VDE70" s="163"/>
      <c r="VDF70"/>
      <c r="VDG70" s="156"/>
      <c r="VDH70" s="157"/>
      <c r="VDI70" s="158"/>
      <c r="VDJ70" s="158"/>
      <c r="VDK70" s="157"/>
      <c r="VDL70" s="159"/>
      <c r="VDM70" s="157"/>
      <c r="VDN70" s="159"/>
      <c r="VDO70" s="160"/>
      <c r="VDP70" s="161"/>
      <c r="VDQ70"/>
      <c r="VDR70" s="162"/>
      <c r="VDS70"/>
      <c r="VDT70" s="155"/>
      <c r="VDU70" s="163"/>
      <c r="VDV70"/>
      <c r="VDW70" s="156"/>
      <c r="VDX70" s="157"/>
      <c r="VDY70" s="158"/>
      <c r="VDZ70" s="158"/>
      <c r="VEA70" s="157"/>
      <c r="VEB70" s="159"/>
      <c r="VEC70" s="157"/>
      <c r="VED70" s="159"/>
      <c r="VEE70" s="160"/>
      <c r="VEF70" s="161"/>
      <c r="VEG70"/>
      <c r="VEH70" s="162"/>
      <c r="VEI70"/>
      <c r="VEJ70" s="155"/>
      <c r="VEK70" s="163"/>
      <c r="VEL70"/>
      <c r="VEM70" s="156"/>
      <c r="VEN70" s="157"/>
      <c r="VEO70" s="158"/>
      <c r="VEP70" s="158"/>
      <c r="VEQ70" s="157"/>
      <c r="VER70" s="159"/>
      <c r="VES70" s="157"/>
      <c r="VET70" s="159"/>
      <c r="VEU70" s="160"/>
      <c r="VEV70" s="161"/>
      <c r="VEW70"/>
      <c r="VEX70" s="162"/>
      <c r="VEY70"/>
      <c r="VEZ70" s="155"/>
      <c r="VFA70" s="163"/>
      <c r="VFB70"/>
      <c r="VFC70" s="156"/>
      <c r="VFD70" s="157"/>
      <c r="VFE70" s="158"/>
      <c r="VFF70" s="158"/>
      <c r="VFG70" s="157"/>
      <c r="VFH70" s="159"/>
      <c r="VFI70" s="157"/>
      <c r="VFJ70" s="159"/>
      <c r="VFK70" s="160"/>
      <c r="VFL70" s="161"/>
      <c r="VFM70"/>
      <c r="VFN70" s="162"/>
      <c r="VFO70"/>
      <c r="VFP70" s="155"/>
      <c r="VFQ70" s="163"/>
      <c r="VFR70"/>
      <c r="VFS70" s="156"/>
      <c r="VFT70" s="157"/>
      <c r="VFU70" s="158"/>
      <c r="VFV70" s="158"/>
      <c r="VFW70" s="157"/>
      <c r="VFX70" s="159"/>
      <c r="VFY70" s="157"/>
      <c r="VFZ70" s="159"/>
      <c r="VGA70" s="160"/>
      <c r="VGB70" s="161"/>
      <c r="VGC70"/>
      <c r="VGD70" s="162"/>
      <c r="VGE70"/>
      <c r="VGF70" s="155"/>
      <c r="VGG70" s="163"/>
      <c r="VGH70"/>
      <c r="VGI70" s="156"/>
      <c r="VGJ70" s="157"/>
      <c r="VGK70" s="158"/>
      <c r="VGL70" s="158"/>
      <c r="VGM70" s="157"/>
      <c r="VGN70" s="159"/>
      <c r="VGO70" s="157"/>
      <c r="VGP70" s="159"/>
      <c r="VGQ70" s="160"/>
      <c r="VGR70" s="161"/>
      <c r="VGS70"/>
      <c r="VGT70" s="162"/>
      <c r="VGU70"/>
      <c r="VGV70" s="155"/>
      <c r="VGW70" s="163"/>
      <c r="VGX70"/>
      <c r="VGY70" s="156"/>
      <c r="VGZ70" s="157"/>
      <c r="VHA70" s="158"/>
      <c r="VHB70" s="158"/>
    </row>
    <row r="71" spans="2:62 3072:12198 12789:15082" ht="28.8" x14ac:dyDescent="0.3">
      <c r="B71" s="221" t="s">
        <v>155</v>
      </c>
      <c r="C71" s="221"/>
      <c r="D71" s="221"/>
      <c r="E71" s="221"/>
      <c r="F71" s="221"/>
      <c r="G71" s="221"/>
      <c r="H71" s="221"/>
      <c r="I71" s="221"/>
      <c r="J71" s="221"/>
      <c r="K71" s="221"/>
      <c r="L71" s="221"/>
      <c r="M71" s="221"/>
      <c r="N71" s="221"/>
      <c r="O71" s="221"/>
      <c r="P71" s="221"/>
      <c r="Q71" s="221"/>
    </row>
    <row r="72" spans="2:62 3072:12198 12789:15082" ht="28.8" x14ac:dyDescent="0.3">
      <c r="B72" s="98" t="s">
        <v>1</v>
      </c>
      <c r="C72" s="223" t="s">
        <v>2</v>
      </c>
      <c r="D72" s="223"/>
      <c r="E72" s="8" t="s">
        <v>3</v>
      </c>
      <c r="F72" s="8" t="s">
        <v>4</v>
      </c>
      <c r="G72" s="8" t="s">
        <v>116</v>
      </c>
      <c r="H72" s="1" t="s">
        <v>52</v>
      </c>
      <c r="I72" s="93" t="s">
        <v>144</v>
      </c>
      <c r="J72" s="2" t="s">
        <v>9</v>
      </c>
      <c r="K72" s="2" t="s">
        <v>10</v>
      </c>
      <c r="L72" s="2" t="s">
        <v>11</v>
      </c>
      <c r="M72" s="8" t="s">
        <v>12</v>
      </c>
      <c r="N72" s="125" t="s">
        <v>13</v>
      </c>
      <c r="O72" s="125" t="s">
        <v>14</v>
      </c>
      <c r="P72" s="125" t="s">
        <v>145</v>
      </c>
      <c r="Q72" s="104" t="s">
        <v>146</v>
      </c>
    </row>
    <row r="73" spans="2:62 3072:12198 12789:15082" x14ac:dyDescent="0.3">
      <c r="B73" s="279" t="s">
        <v>156</v>
      </c>
      <c r="C73" s="208" t="s">
        <v>113</v>
      </c>
      <c r="D73" s="144" t="s">
        <v>17</v>
      </c>
      <c r="E73" s="145">
        <f>CEILING((((10900+297+50+85)*1.12)- 85)-150,50)</f>
        <v>12500</v>
      </c>
      <c r="F73" s="145">
        <v>85</v>
      </c>
      <c r="G73" s="145">
        <v>215</v>
      </c>
      <c r="H73" s="145">
        <v>75</v>
      </c>
      <c r="I73" s="145">
        <v>150</v>
      </c>
      <c r="J73" s="204">
        <f>SUM(E73:I73)</f>
        <v>13025</v>
      </c>
      <c r="K73" s="145">
        <v>200</v>
      </c>
      <c r="L73" s="204">
        <f>SUM(J73:K73)</f>
        <v>13225</v>
      </c>
      <c r="M73" s="147" t="s">
        <v>99</v>
      </c>
      <c r="N73" s="210" t="s">
        <v>57</v>
      </c>
      <c r="O73" s="205" t="s">
        <v>46</v>
      </c>
      <c r="P73" s="297" t="s">
        <v>58</v>
      </c>
      <c r="Q73" s="149" t="s">
        <v>125</v>
      </c>
    </row>
    <row r="74" spans="2:62 3072:12198 12789:15082" ht="15" thickBot="1" x14ac:dyDescent="0.35">
      <c r="B74" s="311"/>
      <c r="C74" s="208" t="s">
        <v>113</v>
      </c>
      <c r="D74" s="144" t="s">
        <v>22</v>
      </c>
      <c r="E74" s="145">
        <f>CEILING((((10900+297+50+85)*1.12)- 85)-150,50)</f>
        <v>12500</v>
      </c>
      <c r="F74" s="145">
        <v>85</v>
      </c>
      <c r="G74" s="145">
        <v>215</v>
      </c>
      <c r="H74" s="145">
        <v>75</v>
      </c>
      <c r="I74" s="145">
        <v>150</v>
      </c>
      <c r="J74" s="204">
        <f>SUM(E74:I74)</f>
        <v>13025</v>
      </c>
      <c r="K74" s="145">
        <v>200</v>
      </c>
      <c r="L74" s="204">
        <f>SUM(J74:K74)</f>
        <v>13225</v>
      </c>
      <c r="M74" s="147" t="s">
        <v>99</v>
      </c>
      <c r="N74" s="210" t="s">
        <v>57</v>
      </c>
      <c r="O74" s="205" t="s">
        <v>46</v>
      </c>
      <c r="P74" s="298"/>
      <c r="Q74" s="149" t="s">
        <v>125</v>
      </c>
    </row>
    <row r="75" spans="2:62 3072:12198 12789:15082" x14ac:dyDescent="0.3">
      <c r="B75" s="27"/>
      <c r="C75" s="27"/>
      <c r="E75" s="62"/>
      <c r="F75" s="63"/>
      <c r="G75" s="63"/>
      <c r="H75" s="63"/>
      <c r="I75" s="63"/>
      <c r="J75" s="64"/>
      <c r="K75" s="64"/>
      <c r="L75" s="64"/>
      <c r="M75" s="64"/>
      <c r="N75" s="119"/>
      <c r="O75" s="64"/>
      <c r="P75" s="65"/>
      <c r="Q75" s="66"/>
    </row>
    <row r="77" spans="2:62 3072:12198 12789:15082" ht="15.6" x14ac:dyDescent="0.3">
      <c r="B77" s="5" t="s">
        <v>32</v>
      </c>
      <c r="C77" s="6"/>
      <c r="D77" s="6"/>
      <c r="E77" s="6"/>
      <c r="F77" s="6"/>
      <c r="G77" s="6"/>
      <c r="H77" s="6"/>
      <c r="I77" s="6"/>
      <c r="J77" s="6"/>
      <c r="K77" s="6"/>
      <c r="L77" s="6"/>
      <c r="M77" s="6"/>
      <c r="N77" s="6"/>
      <c r="O77" s="6"/>
      <c r="P77" s="6"/>
      <c r="Q77" s="6"/>
      <c r="R77" s="6"/>
      <c r="S77" s="6"/>
      <c r="T77" s="6"/>
    </row>
    <row r="78" spans="2:62 3072:12198 12789:15082" x14ac:dyDescent="0.3">
      <c r="B78" s="243" t="s">
        <v>33</v>
      </c>
      <c r="C78" s="243"/>
      <c r="D78" s="243"/>
      <c r="E78" s="243"/>
      <c r="F78" s="243"/>
      <c r="G78" s="243"/>
      <c r="H78" s="243"/>
      <c r="I78" s="243"/>
      <c r="J78" s="243"/>
      <c r="K78" s="243"/>
      <c r="L78" s="243"/>
      <c r="M78" s="243"/>
      <c r="N78" s="243"/>
      <c r="O78" s="243"/>
      <c r="P78" s="243"/>
      <c r="Q78" s="243"/>
      <c r="R78" s="243"/>
      <c r="S78" s="243"/>
      <c r="T78" s="243"/>
    </row>
    <row r="79" spans="2:62 3072:12198 12789:15082" x14ac:dyDescent="0.3">
      <c r="B79" s="243"/>
      <c r="C79" s="243"/>
      <c r="D79" s="243"/>
      <c r="E79" s="243"/>
      <c r="F79" s="243"/>
      <c r="G79" s="243"/>
      <c r="H79" s="243"/>
      <c r="I79" s="243"/>
      <c r="J79" s="243"/>
      <c r="K79" s="243"/>
      <c r="L79" s="243"/>
      <c r="M79" s="243"/>
      <c r="N79" s="243"/>
      <c r="O79" s="243"/>
      <c r="P79" s="243"/>
      <c r="Q79" s="243"/>
      <c r="R79" s="243"/>
      <c r="S79" s="243"/>
      <c r="T79" s="243"/>
    </row>
    <row r="80" spans="2:62 3072:12198 12789:15082" x14ac:dyDescent="0.3">
      <c r="B80" s="243"/>
      <c r="C80" s="243"/>
      <c r="D80" s="243"/>
      <c r="E80" s="243"/>
      <c r="F80" s="243"/>
      <c r="G80" s="243"/>
      <c r="H80" s="243"/>
      <c r="I80" s="243"/>
      <c r="J80" s="243"/>
      <c r="K80" s="243"/>
      <c r="L80" s="243"/>
      <c r="M80" s="243"/>
      <c r="N80" s="243"/>
      <c r="O80" s="243"/>
      <c r="P80" s="243"/>
      <c r="Q80" s="243"/>
      <c r="R80" s="243"/>
      <c r="S80" s="243"/>
      <c r="T80" s="243"/>
    </row>
    <row r="81" spans="2:20" x14ac:dyDescent="0.3">
      <c r="B81" s="243"/>
      <c r="C81" s="243"/>
      <c r="D81" s="243"/>
      <c r="E81" s="243"/>
      <c r="F81" s="243"/>
      <c r="G81" s="243"/>
      <c r="H81" s="243"/>
      <c r="I81" s="243"/>
      <c r="J81" s="243"/>
      <c r="K81" s="243"/>
      <c r="L81" s="243"/>
      <c r="M81" s="243"/>
      <c r="N81" s="243"/>
      <c r="O81" s="243"/>
      <c r="P81" s="243"/>
      <c r="Q81" s="243"/>
      <c r="R81" s="243"/>
      <c r="S81" s="243"/>
      <c r="T81" s="243"/>
    </row>
    <row r="90" spans="2:20" ht="28.8" x14ac:dyDescent="0.3">
      <c r="B90" s="220" t="s">
        <v>157</v>
      </c>
      <c r="C90" s="220"/>
      <c r="D90" s="220"/>
      <c r="E90" s="220"/>
      <c r="F90" s="220"/>
      <c r="G90" s="220"/>
      <c r="H90" s="220"/>
      <c r="I90" s="220"/>
      <c r="J90" s="220"/>
      <c r="K90" s="220"/>
      <c r="L90" s="220"/>
      <c r="M90" s="220"/>
      <c r="N90" s="220"/>
      <c r="O90" s="220"/>
      <c r="P90" s="220"/>
      <c r="Q90" s="220"/>
      <c r="R90" s="220"/>
      <c r="S90" s="220"/>
    </row>
    <row r="91" spans="2:20" ht="27" customHeight="1" x14ac:dyDescent="0.3">
      <c r="B91" s="1" t="s">
        <v>1</v>
      </c>
      <c r="C91" s="310" t="s">
        <v>2</v>
      </c>
      <c r="D91" s="310"/>
      <c r="E91" s="128" t="s">
        <v>130</v>
      </c>
      <c r="F91" s="12" t="s">
        <v>131</v>
      </c>
      <c r="G91" s="13" t="s">
        <v>91</v>
      </c>
      <c r="H91" s="12" t="s">
        <v>6</v>
      </c>
      <c r="I91" s="2" t="s">
        <v>158</v>
      </c>
      <c r="J91" s="2" t="s">
        <v>9</v>
      </c>
      <c r="K91" s="2" t="s">
        <v>10</v>
      </c>
      <c r="L91" s="2" t="s">
        <v>11</v>
      </c>
      <c r="M91" s="8" t="s">
        <v>12</v>
      </c>
      <c r="N91" s="10" t="s">
        <v>13</v>
      </c>
      <c r="O91" s="188" t="s">
        <v>14</v>
      </c>
      <c r="P91" s="17" t="s">
        <v>122</v>
      </c>
      <c r="Q91" s="223" t="s">
        <v>36</v>
      </c>
      <c r="R91" s="223"/>
      <c r="S91" s="223"/>
    </row>
    <row r="92" spans="2:20" ht="28.95" customHeight="1" x14ac:dyDescent="0.3">
      <c r="B92" s="226" t="s">
        <v>92</v>
      </c>
      <c r="C92" s="232" t="s">
        <v>113</v>
      </c>
      <c r="D92" s="53" t="s">
        <v>17</v>
      </c>
      <c r="E92" s="36">
        <v>1500</v>
      </c>
      <c r="F92" s="54">
        <v>175</v>
      </c>
      <c r="G92" s="36">
        <v>150</v>
      </c>
      <c r="H92" s="36">
        <v>14</v>
      </c>
      <c r="I92" s="56">
        <v>300</v>
      </c>
      <c r="J92" s="58">
        <f>SUM(E92:I92)</f>
        <v>2139</v>
      </c>
      <c r="K92" s="56">
        <v>200</v>
      </c>
      <c r="L92" s="58">
        <f>J92+K92</f>
        <v>2339</v>
      </c>
      <c r="M92" s="103" t="s">
        <v>159</v>
      </c>
      <c r="N92" s="214" t="s">
        <v>61</v>
      </c>
      <c r="O92" s="40" t="s">
        <v>43</v>
      </c>
      <c r="P92" s="53" t="s">
        <v>160</v>
      </c>
      <c r="Q92" s="240" t="s">
        <v>44</v>
      </c>
      <c r="R92" s="240"/>
      <c r="S92" s="240"/>
    </row>
    <row r="93" spans="2:20" x14ac:dyDescent="0.3">
      <c r="B93" s="225"/>
      <c r="C93" s="232"/>
      <c r="D93" s="53" t="s">
        <v>22</v>
      </c>
      <c r="E93" s="37">
        <v>1950</v>
      </c>
      <c r="F93" s="54">
        <v>225</v>
      </c>
      <c r="G93" s="36">
        <v>150</v>
      </c>
      <c r="H93" s="36">
        <v>14</v>
      </c>
      <c r="I93" s="56">
        <v>600</v>
      </c>
      <c r="J93" s="58">
        <f>SUM(E93:I93)</f>
        <v>2939</v>
      </c>
      <c r="K93" s="56">
        <v>200</v>
      </c>
      <c r="L93" s="58">
        <f>J93+K93</f>
        <v>3139</v>
      </c>
      <c r="M93" s="103" t="s">
        <v>159</v>
      </c>
      <c r="N93" s="214" t="s">
        <v>61</v>
      </c>
      <c r="O93" s="40" t="s">
        <v>43</v>
      </c>
      <c r="P93" s="53" t="s">
        <v>160</v>
      </c>
      <c r="Q93" s="240"/>
      <c r="R93" s="240"/>
      <c r="S93" s="240"/>
    </row>
    <row r="95" spans="2:20" ht="15.6" x14ac:dyDescent="0.3">
      <c r="B95" s="5" t="s">
        <v>32</v>
      </c>
      <c r="C95" s="6"/>
      <c r="D95" s="6"/>
      <c r="E95" s="6"/>
      <c r="F95" s="6"/>
      <c r="G95" s="6"/>
      <c r="H95" s="6"/>
      <c r="I95" s="6"/>
      <c r="J95" s="6"/>
      <c r="K95" s="6"/>
      <c r="L95" s="6"/>
      <c r="M95" s="6"/>
      <c r="N95" s="6"/>
      <c r="O95" s="6"/>
      <c r="P95" s="6"/>
      <c r="Q95" s="6"/>
      <c r="R95" s="6"/>
      <c r="S95" s="6"/>
      <c r="T95" s="6"/>
    </row>
    <row r="96" spans="2:20" x14ac:dyDescent="0.3">
      <c r="B96" s="243" t="s">
        <v>33</v>
      </c>
      <c r="C96" s="243"/>
      <c r="D96" s="243"/>
      <c r="E96" s="243"/>
      <c r="F96" s="243"/>
      <c r="G96" s="243"/>
      <c r="H96" s="243"/>
      <c r="I96" s="243"/>
      <c r="J96" s="243"/>
      <c r="K96" s="243"/>
      <c r="L96" s="243"/>
      <c r="M96" s="243"/>
      <c r="N96" s="243"/>
      <c r="O96" s="243"/>
      <c r="P96" s="243"/>
      <c r="Q96" s="243"/>
      <c r="R96" s="243"/>
      <c r="S96" s="243"/>
      <c r="T96" s="243"/>
    </row>
    <row r="97" spans="2:20" x14ac:dyDescent="0.3">
      <c r="B97" s="243"/>
      <c r="C97" s="243"/>
      <c r="D97" s="243"/>
      <c r="E97" s="243"/>
      <c r="F97" s="243"/>
      <c r="G97" s="243"/>
      <c r="H97" s="243"/>
      <c r="I97" s="243"/>
      <c r="J97" s="243"/>
      <c r="K97" s="243"/>
      <c r="L97" s="243"/>
      <c r="M97" s="243"/>
      <c r="N97" s="243"/>
      <c r="O97" s="243"/>
      <c r="P97" s="243"/>
      <c r="Q97" s="243"/>
      <c r="R97" s="243"/>
      <c r="S97" s="243"/>
      <c r="T97" s="243"/>
    </row>
    <row r="98" spans="2:20" x14ac:dyDescent="0.3">
      <c r="B98" s="243"/>
      <c r="C98" s="243"/>
      <c r="D98" s="243"/>
      <c r="E98" s="243"/>
      <c r="F98" s="243"/>
      <c r="G98" s="243"/>
      <c r="H98" s="243"/>
      <c r="I98" s="243"/>
      <c r="J98" s="243"/>
      <c r="K98" s="243"/>
      <c r="L98" s="243"/>
      <c r="M98" s="243"/>
      <c r="N98" s="243"/>
      <c r="O98" s="243"/>
      <c r="P98" s="243"/>
      <c r="Q98" s="243"/>
      <c r="R98" s="243"/>
      <c r="S98" s="243"/>
      <c r="T98" s="243"/>
    </row>
    <row r="99" spans="2:20" x14ac:dyDescent="0.3">
      <c r="B99" s="243"/>
      <c r="C99" s="243"/>
      <c r="D99" s="243"/>
      <c r="E99" s="243"/>
      <c r="F99" s="243"/>
      <c r="G99" s="243"/>
      <c r="H99" s="243"/>
      <c r="I99" s="243"/>
      <c r="J99" s="243"/>
      <c r="K99" s="243"/>
      <c r="L99" s="243"/>
      <c r="M99" s="243"/>
      <c r="N99" s="243"/>
      <c r="O99" s="243"/>
      <c r="P99" s="243"/>
      <c r="Q99" s="243"/>
      <c r="R99" s="243"/>
      <c r="S99" s="243"/>
      <c r="T99" s="243"/>
    </row>
    <row r="109" spans="2:20" ht="15" thickBot="1" x14ac:dyDescent="0.35"/>
    <row r="110" spans="2:20" ht="28.8" x14ac:dyDescent="0.3">
      <c r="B110" s="221" t="s">
        <v>161</v>
      </c>
      <c r="C110" s="221"/>
      <c r="D110" s="221"/>
      <c r="E110" s="221"/>
      <c r="F110" s="221"/>
      <c r="G110" s="221"/>
      <c r="H110" s="221"/>
      <c r="I110" s="221"/>
      <c r="J110" s="221"/>
      <c r="K110" s="221"/>
      <c r="L110" s="221"/>
      <c r="M110" s="221"/>
      <c r="N110" s="221"/>
      <c r="O110" s="221"/>
      <c r="P110" s="221"/>
      <c r="Q110" s="221"/>
    </row>
    <row r="111" spans="2:20" ht="28.8" x14ac:dyDescent="0.3">
      <c r="B111" s="98" t="s">
        <v>1</v>
      </c>
      <c r="C111" s="223" t="s">
        <v>2</v>
      </c>
      <c r="D111" s="223"/>
      <c r="E111" s="8" t="s">
        <v>3</v>
      </c>
      <c r="F111" s="8" t="s">
        <v>4</v>
      </c>
      <c r="G111" s="8" t="s">
        <v>116</v>
      </c>
      <c r="H111" s="1" t="s">
        <v>52</v>
      </c>
      <c r="I111" s="93" t="s">
        <v>144</v>
      </c>
      <c r="J111" s="2" t="s">
        <v>9</v>
      </c>
      <c r="K111" s="2" t="s">
        <v>10</v>
      </c>
      <c r="L111" s="2" t="s">
        <v>11</v>
      </c>
      <c r="M111" s="8" t="s">
        <v>12</v>
      </c>
      <c r="N111" s="125" t="s">
        <v>13</v>
      </c>
      <c r="O111" s="125" t="s">
        <v>14</v>
      </c>
      <c r="P111" s="125" t="s">
        <v>145</v>
      </c>
      <c r="Q111" s="104" t="s">
        <v>146</v>
      </c>
    </row>
    <row r="112" spans="2:20" x14ac:dyDescent="0.3">
      <c r="B112" s="312" t="s">
        <v>162</v>
      </c>
      <c r="C112" s="232" t="s">
        <v>113</v>
      </c>
      <c r="D112" s="53" t="s">
        <v>17</v>
      </c>
      <c r="E112" s="83">
        <v>3350</v>
      </c>
      <c r="F112" s="56">
        <v>85</v>
      </c>
      <c r="G112" s="54">
        <v>215</v>
      </c>
      <c r="H112" s="54">
        <v>75</v>
      </c>
      <c r="I112" s="56">
        <v>150</v>
      </c>
      <c r="J112" s="58">
        <f>SUM(E112:I112)</f>
        <v>3875</v>
      </c>
      <c r="K112" s="56">
        <v>200</v>
      </c>
      <c r="L112" s="58">
        <f>SUM(J112:K112)</f>
        <v>4075</v>
      </c>
      <c r="M112" s="59" t="s">
        <v>163</v>
      </c>
      <c r="N112" s="214" t="s">
        <v>61</v>
      </c>
      <c r="O112" s="53" t="s">
        <v>46</v>
      </c>
      <c r="P112" s="94" t="s">
        <v>164</v>
      </c>
      <c r="Q112" s="105" t="s">
        <v>165</v>
      </c>
    </row>
    <row r="113" spans="2:17" x14ac:dyDescent="0.3">
      <c r="B113" s="312"/>
      <c r="C113" s="232"/>
      <c r="D113" s="53" t="s">
        <v>22</v>
      </c>
      <c r="E113" s="83">
        <v>4400</v>
      </c>
      <c r="F113" s="56">
        <v>85</v>
      </c>
      <c r="G113" s="54">
        <v>215</v>
      </c>
      <c r="H113" s="54">
        <v>75</v>
      </c>
      <c r="I113" s="56">
        <v>150</v>
      </c>
      <c r="J113" s="58">
        <f>SUM(E113:I113)</f>
        <v>4925</v>
      </c>
      <c r="K113" s="56">
        <v>200</v>
      </c>
      <c r="L113" s="58">
        <f>SUM(J113:K113)</f>
        <v>5125</v>
      </c>
      <c r="M113" s="59" t="s">
        <v>163</v>
      </c>
      <c r="N113" s="214" t="s">
        <v>61</v>
      </c>
      <c r="O113" s="53" t="s">
        <v>46</v>
      </c>
      <c r="P113" s="94" t="s">
        <v>164</v>
      </c>
      <c r="Q113" s="105" t="s">
        <v>165</v>
      </c>
    </row>
    <row r="122" spans="2:17" ht="15" thickBot="1" x14ac:dyDescent="0.35"/>
    <row r="123" spans="2:17" ht="28.8" x14ac:dyDescent="0.3">
      <c r="B123" s="221" t="s">
        <v>166</v>
      </c>
      <c r="C123" s="221"/>
      <c r="D123" s="221"/>
      <c r="E123" s="221"/>
      <c r="F123" s="221"/>
      <c r="G123" s="221"/>
      <c r="H123" s="221"/>
      <c r="I123" s="221"/>
      <c r="J123" s="221"/>
      <c r="K123" s="221"/>
      <c r="L123" s="221"/>
      <c r="M123" s="221"/>
      <c r="N123" s="221"/>
      <c r="O123" s="221"/>
      <c r="P123" s="221"/>
      <c r="Q123" s="221"/>
    </row>
    <row r="124" spans="2:17" ht="28.8" x14ac:dyDescent="0.3">
      <c r="B124" s="98" t="s">
        <v>1</v>
      </c>
      <c r="C124" s="223" t="s">
        <v>2</v>
      </c>
      <c r="D124" s="223"/>
      <c r="E124" s="8" t="s">
        <v>3</v>
      </c>
      <c r="F124" s="8" t="s">
        <v>4</v>
      </c>
      <c r="G124" s="8" t="s">
        <v>116</v>
      </c>
      <c r="H124" s="1" t="s">
        <v>52</v>
      </c>
      <c r="I124" s="93" t="s">
        <v>144</v>
      </c>
      <c r="J124" s="2" t="s">
        <v>9</v>
      </c>
      <c r="K124" s="2" t="s">
        <v>10</v>
      </c>
      <c r="L124" s="2" t="s">
        <v>11</v>
      </c>
      <c r="M124" s="8" t="s">
        <v>12</v>
      </c>
      <c r="N124" s="125" t="s">
        <v>13</v>
      </c>
      <c r="O124" s="125" t="s">
        <v>14</v>
      </c>
      <c r="P124" s="125" t="s">
        <v>145</v>
      </c>
      <c r="Q124" s="104" t="s">
        <v>146</v>
      </c>
    </row>
    <row r="125" spans="2:17" x14ac:dyDescent="0.3">
      <c r="B125" s="312" t="s">
        <v>167</v>
      </c>
      <c r="C125" s="232" t="s">
        <v>113</v>
      </c>
      <c r="D125" s="53" t="s">
        <v>17</v>
      </c>
      <c r="E125" s="54">
        <v>2575</v>
      </c>
      <c r="F125" s="54">
        <v>370</v>
      </c>
      <c r="G125" s="54">
        <v>150</v>
      </c>
      <c r="H125" s="54">
        <v>75</v>
      </c>
      <c r="I125" s="54">
        <v>150</v>
      </c>
      <c r="J125" s="54">
        <f>SUM(E125:I125)</f>
        <v>3320</v>
      </c>
      <c r="K125" s="54">
        <v>200</v>
      </c>
      <c r="L125" s="54">
        <f>SUM(J125:K125)</f>
        <v>3520</v>
      </c>
      <c r="M125" s="201">
        <v>30</v>
      </c>
      <c r="N125" s="214" t="s">
        <v>61</v>
      </c>
      <c r="O125" s="201" t="s">
        <v>39</v>
      </c>
      <c r="P125" s="94" t="s">
        <v>164</v>
      </c>
      <c r="Q125" s="202" t="s">
        <v>31</v>
      </c>
    </row>
    <row r="126" spans="2:17" x14ac:dyDescent="0.3">
      <c r="B126" s="312" t="s">
        <v>167</v>
      </c>
      <c r="C126" s="232" t="s">
        <v>113</v>
      </c>
      <c r="D126" s="53" t="s">
        <v>22</v>
      </c>
      <c r="E126" s="54">
        <v>3000</v>
      </c>
      <c r="F126" s="54">
        <v>370</v>
      </c>
      <c r="G126" s="54">
        <v>150</v>
      </c>
      <c r="H126" s="54">
        <v>75</v>
      </c>
      <c r="I126" s="54">
        <v>150</v>
      </c>
      <c r="J126" s="54">
        <f>SUM(E126:I126)</f>
        <v>3745</v>
      </c>
      <c r="K126" s="54">
        <v>200</v>
      </c>
      <c r="L126" s="54">
        <f>SUM(J126:K126)</f>
        <v>3945</v>
      </c>
      <c r="M126" s="201">
        <v>30</v>
      </c>
      <c r="N126" s="214" t="s">
        <v>61</v>
      </c>
      <c r="O126" s="201" t="s">
        <v>39</v>
      </c>
      <c r="P126" s="94" t="s">
        <v>164</v>
      </c>
      <c r="Q126" s="202" t="s">
        <v>31</v>
      </c>
    </row>
    <row r="127" spans="2:17" x14ac:dyDescent="0.3">
      <c r="B127" s="312" t="s">
        <v>168</v>
      </c>
      <c r="C127" s="232" t="s">
        <v>113</v>
      </c>
      <c r="D127" s="53" t="s">
        <v>17</v>
      </c>
      <c r="E127" s="54">
        <f>CEILING((((1300+130+10+72+20+100)*1.15)-100)-150,50)</f>
        <v>1650</v>
      </c>
      <c r="F127" s="54">
        <v>100</v>
      </c>
      <c r="G127" s="54">
        <v>215</v>
      </c>
      <c r="H127" s="54">
        <v>75</v>
      </c>
      <c r="I127" s="54">
        <v>150</v>
      </c>
      <c r="J127" s="54">
        <f>SUM(E127:I127)</f>
        <v>2190</v>
      </c>
      <c r="K127" s="54">
        <v>200</v>
      </c>
      <c r="L127" s="54">
        <f>SUM(J127:K127)</f>
        <v>2390</v>
      </c>
      <c r="M127" s="59">
        <v>30</v>
      </c>
      <c r="N127" s="214" t="s">
        <v>61</v>
      </c>
      <c r="O127" s="59" t="s">
        <v>62</v>
      </c>
      <c r="P127" s="94" t="s">
        <v>164</v>
      </c>
      <c r="Q127" s="202" t="s">
        <v>165</v>
      </c>
    </row>
    <row r="128" spans="2:17" x14ac:dyDescent="0.3">
      <c r="B128" s="312"/>
      <c r="C128" s="232"/>
      <c r="D128" s="53" t="s">
        <v>22</v>
      </c>
      <c r="E128" s="54">
        <f>CEILING((((1400+260+10+72+20+150)*1.15)-150)-150,50)</f>
        <v>1900</v>
      </c>
      <c r="F128" s="54">
        <v>150</v>
      </c>
      <c r="G128" s="54">
        <v>215</v>
      </c>
      <c r="H128" s="54">
        <v>75</v>
      </c>
      <c r="I128" s="54">
        <v>150</v>
      </c>
      <c r="J128" s="54">
        <f>SUM(E128:I128)</f>
        <v>2490</v>
      </c>
      <c r="K128" s="54">
        <v>200</v>
      </c>
      <c r="L128" s="54">
        <f>SUM(J128:K128)</f>
        <v>2690</v>
      </c>
      <c r="M128" s="59">
        <v>30</v>
      </c>
      <c r="N128" s="214" t="s">
        <v>61</v>
      </c>
      <c r="O128" s="59" t="s">
        <v>62</v>
      </c>
      <c r="P128" s="94" t="s">
        <v>164</v>
      </c>
      <c r="Q128" s="105" t="s">
        <v>165</v>
      </c>
    </row>
  </sheetData>
  <mergeCells count="59">
    <mergeCell ref="B127:B128"/>
    <mergeCell ref="C127:C128"/>
    <mergeCell ref="B125:B126"/>
    <mergeCell ref="C125:C126"/>
    <mergeCell ref="B20:R20"/>
    <mergeCell ref="B21:R24"/>
    <mergeCell ref="B112:B113"/>
    <mergeCell ref="C112:C113"/>
    <mergeCell ref="B92:B93"/>
    <mergeCell ref="C92:C93"/>
    <mergeCell ref="Q92:S93"/>
    <mergeCell ref="B96:T99"/>
    <mergeCell ref="B110:Q110"/>
    <mergeCell ref="C111:D111"/>
    <mergeCell ref="B123:Q123"/>
    <mergeCell ref="C124:D124"/>
    <mergeCell ref="Q91:S91"/>
    <mergeCell ref="B90:S90"/>
    <mergeCell ref="C91:D91"/>
    <mergeCell ref="C68:D68"/>
    <mergeCell ref="B65:B66"/>
    <mergeCell ref="C65:C66"/>
    <mergeCell ref="B67:Q67"/>
    <mergeCell ref="C72:D72"/>
    <mergeCell ref="B78:T81"/>
    <mergeCell ref="B69:B70"/>
    <mergeCell ref="B71:Q71"/>
    <mergeCell ref="B73:B74"/>
    <mergeCell ref="P69:P70"/>
    <mergeCell ref="P73:P74"/>
    <mergeCell ref="B9:Q9"/>
    <mergeCell ref="C63:C64"/>
    <mergeCell ref="B13:B14"/>
    <mergeCell ref="C13:C14"/>
    <mergeCell ref="B59:B60"/>
    <mergeCell ref="C59:C60"/>
    <mergeCell ref="B44:S47"/>
    <mergeCell ref="B57:Q57"/>
    <mergeCell ref="C58:D58"/>
    <mergeCell ref="B34:R34"/>
    <mergeCell ref="C35:D35"/>
    <mergeCell ref="P35:R35"/>
    <mergeCell ref="P38:R38"/>
    <mergeCell ref="B61:B62"/>
    <mergeCell ref="C61:C62"/>
    <mergeCell ref="C10:D10"/>
    <mergeCell ref="P59:P62"/>
    <mergeCell ref="P63:P66"/>
    <mergeCell ref="B11:B12"/>
    <mergeCell ref="C11:C12"/>
    <mergeCell ref="B63:B64"/>
    <mergeCell ref="P41:R41"/>
    <mergeCell ref="B15:B16"/>
    <mergeCell ref="C15:C16"/>
    <mergeCell ref="B17:B18"/>
    <mergeCell ref="C17:C18"/>
    <mergeCell ref="B36:B37"/>
    <mergeCell ref="C36:C37"/>
    <mergeCell ref="P36:R37"/>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0"/>
  <sheetViews>
    <sheetView topLeftCell="C75" zoomScaleNormal="100" zoomScaleSheetLayoutView="100" workbookViewId="0">
      <selection activeCell="S75" sqref="S1:S1048576"/>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9.21875" style="19" customWidth="1"/>
    <col min="19" max="16384" width="9.109375" style="19"/>
  </cols>
  <sheetData>
    <row r="8" spans="2:18" x14ac:dyDescent="0.3">
      <c r="B8" s="127"/>
      <c r="C8" s="127"/>
      <c r="D8" s="326"/>
      <c r="E8" s="326"/>
      <c r="F8" s="127"/>
      <c r="G8" s="127"/>
      <c r="H8" s="127"/>
      <c r="I8" s="127"/>
      <c r="J8" s="127"/>
      <c r="K8" s="127"/>
      <c r="L8" s="127"/>
      <c r="M8" s="127"/>
      <c r="N8" s="127"/>
      <c r="O8" s="127"/>
      <c r="P8" s="127"/>
      <c r="Q8" s="127"/>
      <c r="R8" s="127"/>
    </row>
    <row r="9" spans="2:18" ht="28.8" x14ac:dyDescent="0.55000000000000004">
      <c r="B9" s="335" t="s">
        <v>169</v>
      </c>
      <c r="C9" s="335"/>
      <c r="D9" s="335"/>
      <c r="E9" s="335"/>
      <c r="F9" s="335"/>
      <c r="G9" s="335"/>
      <c r="H9" s="335"/>
      <c r="I9" s="335"/>
      <c r="J9" s="335"/>
      <c r="K9" s="335"/>
      <c r="L9" s="335"/>
      <c r="M9" s="335"/>
      <c r="N9" s="335"/>
      <c r="O9" s="335"/>
      <c r="P9" s="335"/>
    </row>
    <row r="10" spans="2:18" ht="28.8" x14ac:dyDescent="0.3">
      <c r="B10" s="128" t="s">
        <v>1</v>
      </c>
      <c r="C10" s="344" t="s">
        <v>2</v>
      </c>
      <c r="D10" s="345"/>
      <c r="E10" s="12" t="s">
        <v>3</v>
      </c>
      <c r="F10" s="12" t="s">
        <v>4</v>
      </c>
      <c r="G10" s="13" t="s">
        <v>5</v>
      </c>
      <c r="H10" s="12" t="s">
        <v>170</v>
      </c>
      <c r="I10" s="13" t="s">
        <v>171</v>
      </c>
      <c r="J10" s="13" t="s">
        <v>121</v>
      </c>
      <c r="K10" s="13" t="s">
        <v>9</v>
      </c>
      <c r="L10" s="13" t="s">
        <v>10</v>
      </c>
      <c r="M10" s="13" t="s">
        <v>11</v>
      </c>
      <c r="N10" s="12" t="s">
        <v>12</v>
      </c>
      <c r="O10" s="12" t="s">
        <v>13</v>
      </c>
      <c r="P10" s="14" t="s">
        <v>14</v>
      </c>
      <c r="Q10" s="127"/>
    </row>
    <row r="11" spans="2:18" x14ac:dyDescent="0.3">
      <c r="B11" s="346" t="s">
        <v>172</v>
      </c>
      <c r="C11" s="346" t="s">
        <v>173</v>
      </c>
      <c r="D11" s="41" t="s">
        <v>17</v>
      </c>
      <c r="E11" s="38">
        <f>(2025)+500</f>
        <v>2525</v>
      </c>
      <c r="F11" s="38">
        <v>175</v>
      </c>
      <c r="G11" s="38">
        <v>85</v>
      </c>
      <c r="H11" s="38">
        <v>175</v>
      </c>
      <c r="I11" s="38">
        <v>75</v>
      </c>
      <c r="J11" s="38">
        <v>150</v>
      </c>
      <c r="K11" s="68">
        <f t="shared" ref="K11:K16" si="0">SUM(E11:J11)</f>
        <v>3185</v>
      </c>
      <c r="L11" s="38">
        <v>200</v>
      </c>
      <c r="M11" s="68">
        <f>K11+L11</f>
        <v>3385</v>
      </c>
      <c r="N11" s="41" t="s">
        <v>174</v>
      </c>
      <c r="O11" s="214" t="s">
        <v>61</v>
      </c>
      <c r="P11" s="45" t="s">
        <v>23</v>
      </c>
      <c r="Q11" s="127"/>
    </row>
    <row r="12" spans="2:18" x14ac:dyDescent="0.3">
      <c r="B12" s="347"/>
      <c r="C12" s="347"/>
      <c r="D12" s="41" t="s">
        <v>22</v>
      </c>
      <c r="E12" s="38">
        <f>(2850)+650</f>
        <v>3500</v>
      </c>
      <c r="F12" s="38">
        <v>235</v>
      </c>
      <c r="G12" s="38">
        <v>85</v>
      </c>
      <c r="H12" s="38">
        <v>175</v>
      </c>
      <c r="I12" s="38">
        <v>150</v>
      </c>
      <c r="J12" s="38">
        <v>300</v>
      </c>
      <c r="K12" s="68">
        <f t="shared" si="0"/>
        <v>4445</v>
      </c>
      <c r="L12" s="38">
        <v>200</v>
      </c>
      <c r="M12" s="68">
        <f t="shared" ref="M12:M16" si="1">K12+L12</f>
        <v>4645</v>
      </c>
      <c r="N12" s="41" t="s">
        <v>174</v>
      </c>
      <c r="O12" s="214" t="s">
        <v>61</v>
      </c>
      <c r="P12" s="69" t="s">
        <v>23</v>
      </c>
      <c r="Q12" s="127"/>
    </row>
    <row r="13" spans="2:18" x14ac:dyDescent="0.3">
      <c r="B13" s="346" t="s">
        <v>175</v>
      </c>
      <c r="C13" s="346" t="s">
        <v>173</v>
      </c>
      <c r="D13" s="41" t="s">
        <v>17</v>
      </c>
      <c r="E13" s="38">
        <f>(2725)+500</f>
        <v>3225</v>
      </c>
      <c r="F13" s="38">
        <v>175</v>
      </c>
      <c r="G13" s="38">
        <v>85</v>
      </c>
      <c r="H13" s="38">
        <v>175</v>
      </c>
      <c r="I13" s="38">
        <v>75</v>
      </c>
      <c r="J13" s="38">
        <v>150</v>
      </c>
      <c r="K13" s="68">
        <f t="shared" si="0"/>
        <v>3885</v>
      </c>
      <c r="L13" s="38">
        <v>200</v>
      </c>
      <c r="M13" s="68">
        <f t="shared" si="1"/>
        <v>4085</v>
      </c>
      <c r="N13" s="41" t="s">
        <v>176</v>
      </c>
      <c r="O13" s="214" t="s">
        <v>61</v>
      </c>
      <c r="P13" s="69" t="s">
        <v>23</v>
      </c>
      <c r="Q13" s="127"/>
    </row>
    <row r="14" spans="2:18" x14ac:dyDescent="0.3">
      <c r="B14" s="347"/>
      <c r="C14" s="347"/>
      <c r="D14" s="41" t="s">
        <v>22</v>
      </c>
      <c r="E14" s="38">
        <f>(4025)+600</f>
        <v>4625</v>
      </c>
      <c r="F14" s="38">
        <v>235</v>
      </c>
      <c r="G14" s="38">
        <v>85</v>
      </c>
      <c r="H14" s="38">
        <v>175</v>
      </c>
      <c r="I14" s="38">
        <v>150</v>
      </c>
      <c r="J14" s="38">
        <v>300</v>
      </c>
      <c r="K14" s="68">
        <f t="shared" si="0"/>
        <v>5570</v>
      </c>
      <c r="L14" s="38">
        <v>200</v>
      </c>
      <c r="M14" s="68">
        <f t="shared" si="1"/>
        <v>5770</v>
      </c>
      <c r="N14" s="41" t="s">
        <v>151</v>
      </c>
      <c r="O14" s="214" t="s">
        <v>61</v>
      </c>
      <c r="P14" s="69" t="s">
        <v>23</v>
      </c>
      <c r="Q14" s="127"/>
    </row>
    <row r="15" spans="2:18" x14ac:dyDescent="0.3">
      <c r="B15" s="346" t="s">
        <v>127</v>
      </c>
      <c r="C15" s="346" t="s">
        <v>173</v>
      </c>
      <c r="D15" s="41" t="s">
        <v>17</v>
      </c>
      <c r="E15" s="38">
        <f>(2725)+500</f>
        <v>3225</v>
      </c>
      <c r="F15" s="38">
        <v>175</v>
      </c>
      <c r="G15" s="38">
        <v>85</v>
      </c>
      <c r="H15" s="38">
        <v>175</v>
      </c>
      <c r="I15" s="38">
        <v>75</v>
      </c>
      <c r="J15" s="38">
        <v>150</v>
      </c>
      <c r="K15" s="68">
        <f t="shared" si="0"/>
        <v>3885</v>
      </c>
      <c r="L15" s="38">
        <v>200</v>
      </c>
      <c r="M15" s="68">
        <f t="shared" si="1"/>
        <v>4085</v>
      </c>
      <c r="N15" s="41" t="s">
        <v>151</v>
      </c>
      <c r="O15" s="214" t="s">
        <v>61</v>
      </c>
      <c r="P15" s="69" t="s">
        <v>23</v>
      </c>
      <c r="Q15" s="127"/>
    </row>
    <row r="16" spans="2:18" x14ac:dyDescent="0.3">
      <c r="B16" s="347"/>
      <c r="C16" s="347"/>
      <c r="D16" s="41" t="s">
        <v>22</v>
      </c>
      <c r="E16" s="38">
        <f>(4025)+600</f>
        <v>4625</v>
      </c>
      <c r="F16" s="38">
        <v>235</v>
      </c>
      <c r="G16" s="38">
        <v>85</v>
      </c>
      <c r="H16" s="38">
        <v>175</v>
      </c>
      <c r="I16" s="38">
        <v>150</v>
      </c>
      <c r="J16" s="38">
        <v>300</v>
      </c>
      <c r="K16" s="68">
        <f t="shared" si="0"/>
        <v>5570</v>
      </c>
      <c r="L16" s="38">
        <v>200</v>
      </c>
      <c r="M16" s="68">
        <f t="shared" si="1"/>
        <v>5770</v>
      </c>
      <c r="N16" s="41" t="s">
        <v>27</v>
      </c>
      <c r="O16" s="214" t="s">
        <v>61</v>
      </c>
      <c r="P16" s="69" t="s">
        <v>23</v>
      </c>
      <c r="Q16" s="127"/>
    </row>
    <row r="17" spans="2:17" x14ac:dyDescent="0.3">
      <c r="B17" s="27"/>
      <c r="C17" s="61"/>
      <c r="E17" s="67"/>
      <c r="F17" s="63"/>
      <c r="G17" s="63"/>
      <c r="H17" s="63"/>
      <c r="I17" s="64"/>
      <c r="J17" s="62"/>
      <c r="K17" s="64"/>
      <c r="L17" s="64"/>
      <c r="M17" s="65"/>
      <c r="N17" s="34"/>
    </row>
    <row r="18" spans="2:17" ht="15.6" x14ac:dyDescent="0.3">
      <c r="B18" s="350" t="s">
        <v>32</v>
      </c>
      <c r="C18" s="351"/>
      <c r="D18" s="351"/>
      <c r="E18" s="351"/>
      <c r="F18" s="351"/>
      <c r="G18" s="351"/>
      <c r="H18" s="351"/>
      <c r="I18" s="351"/>
      <c r="J18" s="351"/>
      <c r="K18" s="351"/>
      <c r="L18" s="351"/>
      <c r="M18" s="351"/>
      <c r="N18" s="351"/>
      <c r="O18" s="351"/>
      <c r="P18" s="352"/>
    </row>
    <row r="19" spans="2:17" ht="14.4" customHeight="1" x14ac:dyDescent="0.3">
      <c r="B19" s="316" t="s">
        <v>33</v>
      </c>
      <c r="C19" s="317"/>
      <c r="D19" s="317"/>
      <c r="E19" s="317"/>
      <c r="F19" s="317"/>
      <c r="G19" s="317"/>
      <c r="H19" s="317"/>
      <c r="I19" s="317"/>
      <c r="J19" s="317"/>
      <c r="K19" s="317"/>
      <c r="L19" s="317"/>
      <c r="M19" s="317"/>
      <c r="N19" s="317"/>
      <c r="O19" s="317"/>
      <c r="P19" s="318"/>
    </row>
    <row r="20" spans="2:17" x14ac:dyDescent="0.3">
      <c r="B20" s="319"/>
      <c r="C20" s="291"/>
      <c r="D20" s="291"/>
      <c r="E20" s="291"/>
      <c r="F20" s="291"/>
      <c r="G20" s="291"/>
      <c r="H20" s="291"/>
      <c r="I20" s="291"/>
      <c r="J20" s="291"/>
      <c r="K20" s="291"/>
      <c r="L20" s="291"/>
      <c r="M20" s="291"/>
      <c r="N20" s="291"/>
      <c r="O20" s="291"/>
      <c r="P20" s="320"/>
    </row>
    <row r="21" spans="2:17" x14ac:dyDescent="0.3">
      <c r="B21" s="319"/>
      <c r="C21" s="291"/>
      <c r="D21" s="291"/>
      <c r="E21" s="291"/>
      <c r="F21" s="291"/>
      <c r="G21" s="291"/>
      <c r="H21" s="291"/>
      <c r="I21" s="291"/>
      <c r="J21" s="291"/>
      <c r="K21" s="291"/>
      <c r="L21" s="291"/>
      <c r="M21" s="291"/>
      <c r="N21" s="291"/>
      <c r="O21" s="291"/>
      <c r="P21" s="320"/>
    </row>
    <row r="22" spans="2:17" x14ac:dyDescent="0.3">
      <c r="B22" s="321"/>
      <c r="C22" s="322"/>
      <c r="D22" s="322"/>
      <c r="E22" s="322"/>
      <c r="F22" s="322"/>
      <c r="G22" s="322"/>
      <c r="H22" s="322"/>
      <c r="I22" s="322"/>
      <c r="J22" s="322"/>
      <c r="K22" s="322"/>
      <c r="L22" s="322"/>
      <c r="M22" s="322"/>
      <c r="N22" s="322"/>
      <c r="O22" s="322"/>
      <c r="P22" s="323"/>
    </row>
    <row r="23" spans="2:17" x14ac:dyDescent="0.3">
      <c r="B23" s="27"/>
      <c r="C23" s="61"/>
      <c r="E23" s="67"/>
      <c r="F23" s="63"/>
      <c r="G23" s="63"/>
      <c r="H23" s="63"/>
      <c r="I23" s="64"/>
      <c r="J23" s="62"/>
      <c r="K23" s="64"/>
      <c r="L23" s="64"/>
      <c r="M23" s="65"/>
      <c r="N23" s="34"/>
    </row>
    <row r="24" spans="2:17" x14ac:dyDescent="0.3">
      <c r="B24" s="27"/>
      <c r="C24" s="61"/>
      <c r="D24" s="129"/>
      <c r="E24" s="67"/>
      <c r="F24" s="63"/>
      <c r="G24" s="63"/>
      <c r="H24" s="63"/>
      <c r="I24" s="64"/>
      <c r="J24" s="62"/>
      <c r="K24" s="64"/>
      <c r="L24" s="64"/>
      <c r="M24" s="65"/>
      <c r="N24" s="34"/>
    </row>
    <row r="25" spans="2:17" x14ac:dyDescent="0.3">
      <c r="B25" s="27"/>
      <c r="C25" s="61"/>
      <c r="E25" s="67"/>
      <c r="F25" s="63"/>
      <c r="G25" s="63"/>
      <c r="H25" s="63"/>
      <c r="I25" s="64"/>
      <c r="J25" s="62"/>
      <c r="K25" s="64"/>
      <c r="L25" s="64"/>
      <c r="M25" s="65"/>
      <c r="N25" s="34"/>
    </row>
    <row r="26" spans="2:17" x14ac:dyDescent="0.3">
      <c r="B26" s="27"/>
      <c r="C26" s="61"/>
      <c r="E26" s="67"/>
      <c r="F26" s="63"/>
      <c r="G26" s="63"/>
      <c r="H26" s="63"/>
      <c r="I26" s="64"/>
      <c r="J26" s="62"/>
      <c r="K26" s="64"/>
      <c r="L26" s="64"/>
      <c r="M26" s="65"/>
      <c r="N26" s="34"/>
    </row>
    <row r="27" spans="2:17" x14ac:dyDescent="0.3">
      <c r="B27" s="27"/>
      <c r="C27" s="61"/>
      <c r="E27" s="67"/>
      <c r="F27" s="63"/>
      <c r="G27" s="63"/>
      <c r="H27" s="63"/>
      <c r="I27" s="64"/>
      <c r="J27" s="62"/>
      <c r="K27" s="64"/>
      <c r="L27" s="64"/>
      <c r="M27" s="65"/>
      <c r="N27" s="34"/>
    </row>
    <row r="28" spans="2:17" x14ac:dyDescent="0.3">
      <c r="B28" s="27"/>
      <c r="C28" s="61"/>
      <c r="E28" s="67"/>
      <c r="F28" s="63"/>
      <c r="G28" s="63"/>
      <c r="H28" s="63"/>
      <c r="I28" s="64"/>
      <c r="J28" s="62"/>
      <c r="K28" s="64"/>
      <c r="L28" s="64"/>
      <c r="M28" s="65"/>
      <c r="N28" s="34"/>
    </row>
    <row r="29" spans="2:17" x14ac:dyDescent="0.3">
      <c r="B29" s="27"/>
      <c r="C29" s="61"/>
      <c r="E29" s="67"/>
      <c r="F29" s="63"/>
      <c r="G29" s="63"/>
      <c r="H29" s="63"/>
      <c r="I29" s="64"/>
      <c r="J29" s="62"/>
      <c r="K29" s="64"/>
      <c r="L29" s="64"/>
      <c r="M29" s="65"/>
      <c r="N29" s="34"/>
    </row>
    <row r="30" spans="2:17" x14ac:dyDescent="0.3">
      <c r="B30" s="27"/>
      <c r="C30" s="61"/>
      <c r="E30" s="67"/>
      <c r="F30" s="63"/>
      <c r="G30" s="63"/>
      <c r="H30" s="63"/>
      <c r="I30" s="64"/>
      <c r="J30" s="62"/>
      <c r="K30" s="64"/>
      <c r="L30" s="64"/>
      <c r="M30" s="65"/>
      <c r="N30" s="34"/>
    </row>
    <row r="31" spans="2:17" x14ac:dyDescent="0.3">
      <c r="B31" s="27"/>
      <c r="C31" s="61"/>
      <c r="E31" s="67"/>
      <c r="F31" s="63"/>
      <c r="G31" s="63"/>
      <c r="H31" s="63"/>
      <c r="I31" s="64"/>
      <c r="J31" s="62"/>
      <c r="K31" s="64"/>
      <c r="L31" s="64"/>
      <c r="M31" s="65"/>
      <c r="N31" s="34"/>
    </row>
    <row r="32" spans="2:17" ht="28.8" x14ac:dyDescent="0.55000000000000004">
      <c r="B32" s="348" t="s">
        <v>177</v>
      </c>
      <c r="C32" s="329"/>
      <c r="D32" s="329"/>
      <c r="E32" s="329"/>
      <c r="F32" s="329"/>
      <c r="G32" s="329"/>
      <c r="H32" s="329"/>
      <c r="I32" s="329"/>
      <c r="J32" s="329"/>
      <c r="K32" s="329"/>
      <c r="L32" s="329"/>
      <c r="M32" s="329"/>
      <c r="N32" s="329"/>
      <c r="O32" s="329"/>
      <c r="P32" s="329"/>
      <c r="Q32" s="349"/>
    </row>
    <row r="33" spans="2:17" ht="28.8" x14ac:dyDescent="0.3">
      <c r="B33" s="128" t="s">
        <v>1</v>
      </c>
      <c r="C33" s="353" t="s">
        <v>2</v>
      </c>
      <c r="D33" s="353"/>
      <c r="E33" s="128" t="s">
        <v>130</v>
      </c>
      <c r="F33" s="128" t="s">
        <v>131</v>
      </c>
      <c r="G33" s="11" t="s">
        <v>91</v>
      </c>
      <c r="H33" s="11" t="s">
        <v>178</v>
      </c>
      <c r="I33" s="11" t="s">
        <v>179</v>
      </c>
      <c r="J33" s="11" t="s">
        <v>9</v>
      </c>
      <c r="K33" s="11" t="s">
        <v>180</v>
      </c>
      <c r="L33" s="11" t="s">
        <v>11</v>
      </c>
      <c r="M33" s="128" t="s">
        <v>12</v>
      </c>
      <c r="N33" s="128" t="s">
        <v>13</v>
      </c>
      <c r="O33" s="128" t="s">
        <v>14</v>
      </c>
      <c r="P33" s="275" t="s">
        <v>36</v>
      </c>
      <c r="Q33" s="276"/>
    </row>
    <row r="34" spans="2:17" ht="14.4" customHeight="1" x14ac:dyDescent="0.3">
      <c r="B34" s="342" t="s">
        <v>181</v>
      </c>
      <c r="C34" s="343" t="s">
        <v>173</v>
      </c>
      <c r="D34" s="40" t="s">
        <v>17</v>
      </c>
      <c r="E34" s="36">
        <v>4200</v>
      </c>
      <c r="F34" s="38">
        <v>175</v>
      </c>
      <c r="G34" s="38">
        <v>85</v>
      </c>
      <c r="H34" s="36">
        <v>175</v>
      </c>
      <c r="I34" s="36">
        <v>75</v>
      </c>
      <c r="J34" s="107">
        <f>SUM(E34:I34)</f>
        <v>4710</v>
      </c>
      <c r="K34" s="36">
        <v>200</v>
      </c>
      <c r="L34" s="107">
        <f t="shared" ref="L34:L36" si="2">J34+K34</f>
        <v>4910</v>
      </c>
      <c r="M34" s="108">
        <v>35</v>
      </c>
      <c r="N34" s="214" t="s">
        <v>61</v>
      </c>
      <c r="O34" s="40" t="s">
        <v>43</v>
      </c>
      <c r="P34" s="236" t="s">
        <v>182</v>
      </c>
      <c r="Q34" s="237"/>
    </row>
    <row r="35" spans="2:17" x14ac:dyDescent="0.3">
      <c r="B35" s="342"/>
      <c r="C35" s="343"/>
      <c r="D35" s="40" t="s">
        <v>22</v>
      </c>
      <c r="E35" s="36">
        <v>4500</v>
      </c>
      <c r="F35" s="38">
        <v>235</v>
      </c>
      <c r="G35" s="38">
        <v>85</v>
      </c>
      <c r="H35" s="36">
        <v>175</v>
      </c>
      <c r="I35" s="36">
        <v>150</v>
      </c>
      <c r="J35" s="107">
        <f t="shared" ref="J35" si="3">SUM(E35:I35)</f>
        <v>5145</v>
      </c>
      <c r="K35" s="36">
        <v>200</v>
      </c>
      <c r="L35" s="107">
        <f t="shared" si="2"/>
        <v>5345</v>
      </c>
      <c r="M35" s="108">
        <v>35</v>
      </c>
      <c r="N35" s="214" t="s">
        <v>61</v>
      </c>
      <c r="O35" s="40" t="s">
        <v>43</v>
      </c>
      <c r="P35" s="306"/>
      <c r="Q35" s="308"/>
    </row>
    <row r="36" spans="2:17" x14ac:dyDescent="0.3">
      <c r="B36" s="121" t="s">
        <v>183</v>
      </c>
      <c r="C36" s="40" t="s">
        <v>173</v>
      </c>
      <c r="D36" s="40" t="s">
        <v>17</v>
      </c>
      <c r="E36" s="144">
        <v>4100</v>
      </c>
      <c r="F36" s="36" t="s">
        <v>184</v>
      </c>
      <c r="G36" s="36">
        <v>175</v>
      </c>
      <c r="H36" s="36">
        <v>175</v>
      </c>
      <c r="I36" s="36">
        <v>75</v>
      </c>
      <c r="J36" s="107">
        <f>SUM(E36:I36)</f>
        <v>4525</v>
      </c>
      <c r="K36" s="36">
        <v>200</v>
      </c>
      <c r="L36" s="107">
        <f t="shared" si="2"/>
        <v>4725</v>
      </c>
      <c r="M36" s="108">
        <v>35</v>
      </c>
      <c r="N36" s="214" t="s">
        <v>185</v>
      </c>
      <c r="O36" s="40" t="s">
        <v>43</v>
      </c>
      <c r="P36" s="238"/>
      <c r="Q36" s="239"/>
    </row>
    <row r="37" spans="2:17" x14ac:dyDescent="0.3">
      <c r="B37" s="73"/>
      <c r="C37" s="127"/>
      <c r="D37" s="127"/>
      <c r="E37" s="43"/>
      <c r="F37" s="43"/>
      <c r="G37" s="43"/>
      <c r="H37" s="43"/>
      <c r="I37" s="43"/>
      <c r="J37" s="71"/>
      <c r="K37" s="43"/>
      <c r="L37" s="43"/>
      <c r="M37" s="71"/>
      <c r="N37" s="44"/>
      <c r="O37" s="72"/>
      <c r="P37" s="127"/>
    </row>
    <row r="38" spans="2:17" x14ac:dyDescent="0.3">
      <c r="B38" s="42"/>
      <c r="E38" s="43"/>
      <c r="F38" s="43"/>
      <c r="G38" s="43"/>
      <c r="H38" s="43"/>
      <c r="I38" s="64"/>
      <c r="J38" s="62"/>
      <c r="K38" s="64"/>
      <c r="L38" s="64"/>
      <c r="M38" s="127"/>
      <c r="N38" s="34"/>
      <c r="O38" s="127"/>
    </row>
    <row r="39" spans="2:17" ht="15.6" x14ac:dyDescent="0.3">
      <c r="B39" s="5" t="s">
        <v>32</v>
      </c>
      <c r="C39" s="6"/>
      <c r="D39" s="6"/>
      <c r="E39" s="6"/>
      <c r="F39" s="6"/>
      <c r="G39" s="6"/>
      <c r="H39" s="6"/>
      <c r="I39" s="6"/>
      <c r="J39" s="6"/>
      <c r="K39" s="6"/>
      <c r="L39" s="6"/>
      <c r="M39" s="6"/>
      <c r="N39" s="6"/>
      <c r="O39" s="6"/>
      <c r="P39" s="7"/>
    </row>
    <row r="40" spans="2:17" x14ac:dyDescent="0.3">
      <c r="B40" s="244" t="s">
        <v>33</v>
      </c>
      <c r="C40" s="245"/>
      <c r="D40" s="245"/>
      <c r="E40" s="245"/>
      <c r="F40" s="245"/>
      <c r="G40" s="245"/>
      <c r="H40" s="245"/>
      <c r="I40" s="245"/>
      <c r="J40" s="245"/>
      <c r="K40" s="245"/>
      <c r="L40" s="245"/>
      <c r="M40" s="245"/>
      <c r="N40" s="245"/>
      <c r="O40" s="245"/>
      <c r="P40" s="246"/>
    </row>
    <row r="41" spans="2:17" x14ac:dyDescent="0.3">
      <c r="B41" s="244"/>
      <c r="C41" s="245"/>
      <c r="D41" s="245"/>
      <c r="E41" s="245"/>
      <c r="F41" s="245"/>
      <c r="G41" s="245"/>
      <c r="H41" s="245"/>
      <c r="I41" s="245"/>
      <c r="J41" s="245"/>
      <c r="K41" s="245"/>
      <c r="L41" s="245"/>
      <c r="M41" s="245"/>
      <c r="N41" s="245"/>
      <c r="O41" s="245"/>
      <c r="P41" s="246"/>
    </row>
    <row r="42" spans="2:17" x14ac:dyDescent="0.3">
      <c r="B42" s="244"/>
      <c r="C42" s="245"/>
      <c r="D42" s="245"/>
      <c r="E42" s="245"/>
      <c r="F42" s="245"/>
      <c r="G42" s="245"/>
      <c r="H42" s="245"/>
      <c r="I42" s="245"/>
      <c r="J42" s="245"/>
      <c r="K42" s="245"/>
      <c r="L42" s="245"/>
      <c r="M42" s="245"/>
      <c r="N42" s="245"/>
      <c r="O42" s="245"/>
      <c r="P42" s="246"/>
    </row>
    <row r="43" spans="2:17" x14ac:dyDescent="0.3">
      <c r="B43" s="247"/>
      <c r="C43" s="248"/>
      <c r="D43" s="248"/>
      <c r="E43" s="248"/>
      <c r="F43" s="248"/>
      <c r="G43" s="248"/>
      <c r="H43" s="248"/>
      <c r="I43" s="248"/>
      <c r="J43" s="248"/>
      <c r="K43" s="248"/>
      <c r="L43" s="248"/>
      <c r="M43" s="248"/>
      <c r="N43" s="248"/>
      <c r="O43" s="248"/>
      <c r="P43" s="249"/>
    </row>
    <row r="44" spans="2:17" x14ac:dyDescent="0.3">
      <c r="B44" s="42"/>
      <c r="E44" s="43"/>
      <c r="F44" s="43"/>
      <c r="G44" s="43"/>
      <c r="H44" s="43"/>
      <c r="I44" s="64"/>
      <c r="J44" s="62"/>
      <c r="K44" s="64"/>
      <c r="L44" s="64"/>
      <c r="M44" s="127"/>
      <c r="N44" s="34"/>
      <c r="O44" s="127"/>
    </row>
    <row r="45" spans="2:17" x14ac:dyDescent="0.3">
      <c r="B45" s="42"/>
      <c r="E45" s="43"/>
      <c r="F45" s="43"/>
      <c r="G45" s="43"/>
      <c r="H45" s="43"/>
      <c r="I45" s="64"/>
      <c r="J45" s="62"/>
      <c r="K45" s="64"/>
      <c r="L45" s="64"/>
      <c r="M45" s="127"/>
      <c r="N45" s="34"/>
      <c r="O45" s="127"/>
    </row>
    <row r="46" spans="2:17" x14ac:dyDescent="0.3">
      <c r="B46" s="42"/>
      <c r="E46" s="43"/>
      <c r="F46" s="43"/>
      <c r="G46" s="43"/>
      <c r="H46" s="43"/>
      <c r="I46" s="64"/>
      <c r="J46" s="62"/>
      <c r="K46" s="64"/>
      <c r="L46" s="64"/>
      <c r="M46" s="127"/>
      <c r="N46" s="34"/>
      <c r="O46" s="127"/>
    </row>
    <row r="47" spans="2:17" x14ac:dyDescent="0.3">
      <c r="B47" s="42"/>
      <c r="E47" s="43"/>
      <c r="F47" s="43"/>
      <c r="G47" s="43"/>
      <c r="H47" s="43"/>
      <c r="I47" s="64"/>
      <c r="J47" s="62"/>
      <c r="K47" s="64"/>
      <c r="L47" s="64"/>
      <c r="M47" s="127"/>
      <c r="N47" s="34"/>
      <c r="O47" s="127"/>
    </row>
    <row r="48" spans="2:17" x14ac:dyDescent="0.3">
      <c r="B48" s="42"/>
      <c r="E48" s="43"/>
      <c r="F48" s="43"/>
      <c r="G48" s="43"/>
      <c r="H48" s="43"/>
      <c r="I48" s="64"/>
      <c r="J48" s="62"/>
      <c r="K48" s="64"/>
      <c r="L48" s="64"/>
      <c r="M48" s="127"/>
      <c r="N48" s="34"/>
      <c r="O48" s="127"/>
    </row>
    <row r="49" spans="2:17" x14ac:dyDescent="0.3">
      <c r="B49" s="42"/>
      <c r="E49" s="43"/>
      <c r="F49" s="43"/>
      <c r="G49" s="43"/>
      <c r="H49" s="43"/>
      <c r="I49" s="64"/>
      <c r="J49" s="62"/>
      <c r="K49" s="64"/>
      <c r="L49" s="64"/>
      <c r="M49" s="127"/>
      <c r="N49" s="34"/>
      <c r="O49" s="127"/>
    </row>
    <row r="50" spans="2:17" x14ac:dyDescent="0.3">
      <c r="B50" s="42"/>
      <c r="E50" s="43"/>
      <c r="F50" s="43"/>
      <c r="G50" s="43"/>
      <c r="H50" s="43"/>
      <c r="I50" s="64"/>
      <c r="J50" s="62"/>
      <c r="K50" s="64"/>
      <c r="L50" s="64"/>
      <c r="M50" s="127"/>
      <c r="N50" s="34"/>
      <c r="O50" s="127"/>
    </row>
    <row r="51" spans="2:17" ht="15" thickBot="1" x14ac:dyDescent="0.35">
      <c r="B51" s="42"/>
      <c r="E51" s="43"/>
      <c r="F51" s="43"/>
      <c r="G51" s="43"/>
      <c r="H51" s="43"/>
      <c r="I51" s="64"/>
      <c r="J51" s="62"/>
      <c r="K51" s="64"/>
      <c r="L51" s="64"/>
      <c r="M51" s="127"/>
      <c r="N51" s="34"/>
      <c r="O51" s="127"/>
    </row>
    <row r="52" spans="2:17" ht="28.8" x14ac:dyDescent="0.55000000000000004">
      <c r="B52" s="339" t="s">
        <v>186</v>
      </c>
      <c r="C52" s="340"/>
      <c r="D52" s="340"/>
      <c r="E52" s="340"/>
      <c r="F52" s="340"/>
      <c r="G52" s="340"/>
      <c r="H52" s="340"/>
      <c r="I52" s="340"/>
      <c r="J52" s="340"/>
      <c r="K52" s="340"/>
      <c r="L52" s="340"/>
      <c r="M52" s="340"/>
      <c r="N52" s="340"/>
      <c r="O52" s="340"/>
      <c r="P52" s="340"/>
      <c r="Q52" s="341"/>
    </row>
    <row r="53" spans="2:17" ht="28.8" x14ac:dyDescent="0.3">
      <c r="B53" s="98" t="s">
        <v>1</v>
      </c>
      <c r="C53" s="223" t="s">
        <v>2</v>
      </c>
      <c r="D53" s="223"/>
      <c r="E53" s="122" t="s">
        <v>3</v>
      </c>
      <c r="F53" s="122" t="s">
        <v>4</v>
      </c>
      <c r="G53" s="122" t="s">
        <v>178</v>
      </c>
      <c r="H53" s="122" t="s">
        <v>116</v>
      </c>
      <c r="I53" s="3" t="s">
        <v>179</v>
      </c>
      <c r="J53" s="3" t="s">
        <v>51</v>
      </c>
      <c r="K53" s="3" t="s">
        <v>9</v>
      </c>
      <c r="L53" s="3" t="s">
        <v>10</v>
      </c>
      <c r="M53" s="3" t="s">
        <v>11</v>
      </c>
      <c r="N53" s="3" t="s">
        <v>12</v>
      </c>
      <c r="O53" s="122" t="s">
        <v>13</v>
      </c>
      <c r="P53" s="122" t="s">
        <v>14</v>
      </c>
      <c r="Q53" s="123" t="s">
        <v>145</v>
      </c>
    </row>
    <row r="54" spans="2:17" ht="40.950000000000003" customHeight="1" x14ac:dyDescent="0.3">
      <c r="B54" s="224" t="s">
        <v>187</v>
      </c>
      <c r="C54" s="324" t="s">
        <v>173</v>
      </c>
      <c r="D54" s="53" t="s">
        <v>17</v>
      </c>
      <c r="E54" s="83">
        <f>CEILING((((10340+40+115)*1.12))-150,50)</f>
        <v>11650</v>
      </c>
      <c r="F54" s="56">
        <v>160</v>
      </c>
      <c r="G54" s="54">
        <v>175</v>
      </c>
      <c r="H54" s="54">
        <v>215</v>
      </c>
      <c r="I54" s="54">
        <v>75</v>
      </c>
      <c r="J54" s="54">
        <v>50</v>
      </c>
      <c r="K54" s="58">
        <f t="shared" ref="K54:K55" si="4">SUM(E54:J54)</f>
        <v>12325</v>
      </c>
      <c r="L54" s="56">
        <v>200</v>
      </c>
      <c r="M54" s="146">
        <f>SUM(K54:L54)</f>
        <v>12525</v>
      </c>
      <c r="N54" s="59" t="s">
        <v>188</v>
      </c>
      <c r="O54" s="214" t="s">
        <v>150</v>
      </c>
      <c r="P54" s="53" t="s">
        <v>62</v>
      </c>
      <c r="Q54" s="111" t="s">
        <v>189</v>
      </c>
    </row>
    <row r="55" spans="2:17" ht="42" customHeight="1" thickBot="1" x14ac:dyDescent="0.35">
      <c r="B55" s="224"/>
      <c r="C55" s="324"/>
      <c r="D55" s="53" t="s">
        <v>22</v>
      </c>
      <c r="E55" s="83">
        <f>CEILING((((10580+115)*1.12))-150,50)</f>
        <v>11850</v>
      </c>
      <c r="F55" s="56">
        <v>160</v>
      </c>
      <c r="G55" s="54">
        <v>175</v>
      </c>
      <c r="H55" s="54">
        <v>215</v>
      </c>
      <c r="I55" s="54">
        <v>150</v>
      </c>
      <c r="J55" s="54">
        <v>50</v>
      </c>
      <c r="K55" s="58">
        <f t="shared" si="4"/>
        <v>12600</v>
      </c>
      <c r="L55" s="56">
        <v>200</v>
      </c>
      <c r="M55" s="146">
        <f>SUM(K55:L55)</f>
        <v>12800</v>
      </c>
      <c r="N55" s="59" t="s">
        <v>188</v>
      </c>
      <c r="O55" s="214" t="s">
        <v>150</v>
      </c>
      <c r="P55" s="53" t="s">
        <v>62</v>
      </c>
      <c r="Q55" s="111" t="s">
        <v>189</v>
      </c>
    </row>
    <row r="56" spans="2:17" ht="28.8" x14ac:dyDescent="0.55000000000000004">
      <c r="B56" s="339" t="s">
        <v>190</v>
      </c>
      <c r="C56" s="340"/>
      <c r="D56" s="340"/>
      <c r="E56" s="340"/>
      <c r="F56" s="340"/>
      <c r="G56" s="340"/>
      <c r="H56" s="340"/>
      <c r="I56" s="340"/>
      <c r="J56" s="340"/>
      <c r="K56" s="340"/>
      <c r="L56" s="340"/>
      <c r="M56" s="340"/>
      <c r="N56" s="340"/>
      <c r="O56" s="340"/>
      <c r="P56" s="340"/>
      <c r="Q56" s="341"/>
    </row>
    <row r="57" spans="2:17" ht="28.8" x14ac:dyDescent="0.3">
      <c r="B57" s="98" t="s">
        <v>1</v>
      </c>
      <c r="C57" s="223" t="s">
        <v>2</v>
      </c>
      <c r="D57" s="223"/>
      <c r="E57" s="122" t="s">
        <v>3</v>
      </c>
      <c r="F57" s="122" t="s">
        <v>4</v>
      </c>
      <c r="G57" s="122" t="s">
        <v>178</v>
      </c>
      <c r="H57" s="122" t="s">
        <v>116</v>
      </c>
      <c r="I57" s="3" t="s">
        <v>179</v>
      </c>
      <c r="J57" s="3" t="s">
        <v>51</v>
      </c>
      <c r="K57" s="3" t="s">
        <v>9</v>
      </c>
      <c r="L57" s="3" t="s">
        <v>10</v>
      </c>
      <c r="M57" s="3" t="s">
        <v>11</v>
      </c>
      <c r="N57" s="3" t="s">
        <v>12</v>
      </c>
      <c r="O57" s="122" t="s">
        <v>13</v>
      </c>
      <c r="P57" s="122" t="s">
        <v>14</v>
      </c>
      <c r="Q57" s="123" t="s">
        <v>145</v>
      </c>
    </row>
    <row r="58" spans="2:17" ht="28.95" customHeight="1" x14ac:dyDescent="0.3">
      <c r="B58" s="224" t="s">
        <v>76</v>
      </c>
      <c r="C58" s="324" t="s">
        <v>173</v>
      </c>
      <c r="D58" s="53" t="s">
        <v>17</v>
      </c>
      <c r="E58" s="83">
        <f>CEILING((((10840+40+115)*1.12))-150,50)</f>
        <v>12200</v>
      </c>
      <c r="F58" s="150">
        <v>130</v>
      </c>
      <c r="G58" s="151">
        <v>175</v>
      </c>
      <c r="H58" s="151">
        <v>275</v>
      </c>
      <c r="I58" s="151">
        <v>75</v>
      </c>
      <c r="J58" s="151">
        <v>50</v>
      </c>
      <c r="K58" s="146">
        <f t="shared" ref="K58:K59" si="5">SUM(E58:J58)</f>
        <v>12905</v>
      </c>
      <c r="L58" s="145">
        <v>200</v>
      </c>
      <c r="M58" s="146">
        <f>SUM(K58:L58)</f>
        <v>13105</v>
      </c>
      <c r="N58" s="147" t="s">
        <v>188</v>
      </c>
      <c r="O58" s="214" t="s">
        <v>150</v>
      </c>
      <c r="P58" s="53" t="s">
        <v>62</v>
      </c>
      <c r="Q58" s="331" t="s">
        <v>191</v>
      </c>
    </row>
    <row r="59" spans="2:17" x14ac:dyDescent="0.3">
      <c r="B59" s="224"/>
      <c r="C59" s="324"/>
      <c r="D59" s="53" t="s">
        <v>22</v>
      </c>
      <c r="E59" s="83">
        <f>CEILING((((11080+80+115)*1.12))-150,50)</f>
        <v>12500</v>
      </c>
      <c r="F59" s="150">
        <v>160</v>
      </c>
      <c r="G59" s="151">
        <v>175</v>
      </c>
      <c r="H59" s="151">
        <v>275</v>
      </c>
      <c r="I59" s="151">
        <v>150</v>
      </c>
      <c r="J59" s="151">
        <v>50</v>
      </c>
      <c r="K59" s="146">
        <f t="shared" si="5"/>
        <v>13310</v>
      </c>
      <c r="L59" s="145">
        <v>200</v>
      </c>
      <c r="M59" s="146">
        <f>SUM(K59:L59)</f>
        <v>13510</v>
      </c>
      <c r="N59" s="147" t="s">
        <v>188</v>
      </c>
      <c r="O59" s="214" t="s">
        <v>150</v>
      </c>
      <c r="P59" s="53" t="s">
        <v>62</v>
      </c>
      <c r="Q59" s="332"/>
    </row>
    <row r="60" spans="2:17" ht="28.8" x14ac:dyDescent="0.55000000000000004">
      <c r="B60" s="328" t="s">
        <v>192</v>
      </c>
      <c r="C60" s="329"/>
      <c r="D60" s="329"/>
      <c r="E60" s="329"/>
      <c r="F60" s="329"/>
      <c r="G60" s="329"/>
      <c r="H60" s="329"/>
      <c r="I60" s="329"/>
      <c r="J60" s="329"/>
      <c r="K60" s="329"/>
      <c r="L60" s="329"/>
      <c r="M60" s="329"/>
      <c r="N60" s="329"/>
      <c r="O60" s="329"/>
      <c r="P60" s="329"/>
      <c r="Q60" s="330"/>
    </row>
    <row r="61" spans="2:17" ht="28.8" x14ac:dyDescent="0.3">
      <c r="B61" s="110" t="s">
        <v>1</v>
      </c>
      <c r="C61" s="310" t="s">
        <v>2</v>
      </c>
      <c r="D61" s="310"/>
      <c r="E61" s="8" t="s">
        <v>3</v>
      </c>
      <c r="F61" s="1" t="s">
        <v>4</v>
      </c>
      <c r="G61" s="9" t="s">
        <v>178</v>
      </c>
      <c r="H61" s="9" t="s">
        <v>116</v>
      </c>
      <c r="I61" s="3" t="s">
        <v>179</v>
      </c>
      <c r="J61" s="2" t="s">
        <v>51</v>
      </c>
      <c r="K61" s="2" t="s">
        <v>9</v>
      </c>
      <c r="L61" s="2" t="s">
        <v>10</v>
      </c>
      <c r="M61" s="2" t="s">
        <v>11</v>
      </c>
      <c r="N61" s="8" t="s">
        <v>12</v>
      </c>
      <c r="O61" s="9" t="s">
        <v>13</v>
      </c>
      <c r="P61" s="125" t="s">
        <v>14</v>
      </c>
      <c r="Q61" s="104" t="s">
        <v>145</v>
      </c>
    </row>
    <row r="62" spans="2:17" ht="14.4" customHeight="1" x14ac:dyDescent="0.3">
      <c r="B62" s="336" t="s">
        <v>193</v>
      </c>
      <c r="C62" s="324" t="s">
        <v>173</v>
      </c>
      <c r="D62" s="53" t="s">
        <v>17</v>
      </c>
      <c r="E62" s="83">
        <f>CEILING((((10840+40+115)*1.12))-150,50)</f>
        <v>12200</v>
      </c>
      <c r="F62" s="150">
        <v>130</v>
      </c>
      <c r="G62" s="151">
        <v>175</v>
      </c>
      <c r="H62" s="151">
        <v>275</v>
      </c>
      <c r="I62" s="151">
        <v>75</v>
      </c>
      <c r="J62" s="151">
        <v>50</v>
      </c>
      <c r="K62" s="146">
        <f t="shared" ref="K62:K63" si="6">SUM(E62:J62)</f>
        <v>12905</v>
      </c>
      <c r="L62" s="145">
        <v>200</v>
      </c>
      <c r="M62" s="146">
        <f>SUM(K62:L62)</f>
        <v>13105</v>
      </c>
      <c r="N62" s="147" t="s">
        <v>188</v>
      </c>
      <c r="O62" s="214" t="s">
        <v>150</v>
      </c>
      <c r="P62" s="53" t="s">
        <v>62</v>
      </c>
      <c r="Q62" s="331" t="s">
        <v>191</v>
      </c>
    </row>
    <row r="63" spans="2:17" x14ac:dyDescent="0.3">
      <c r="B63" s="336"/>
      <c r="C63" s="324"/>
      <c r="D63" s="53" t="s">
        <v>22</v>
      </c>
      <c r="E63" s="83">
        <f>CEILING((((11080+80+115)*1.12))-150,50)</f>
        <v>12500</v>
      </c>
      <c r="F63" s="150">
        <v>160</v>
      </c>
      <c r="G63" s="151">
        <v>175</v>
      </c>
      <c r="H63" s="151">
        <v>275</v>
      </c>
      <c r="I63" s="151">
        <v>150</v>
      </c>
      <c r="J63" s="151">
        <v>50</v>
      </c>
      <c r="K63" s="146">
        <f t="shared" si="6"/>
        <v>13310</v>
      </c>
      <c r="L63" s="145">
        <v>200</v>
      </c>
      <c r="M63" s="146">
        <f>SUM(K63:L63)</f>
        <v>13510</v>
      </c>
      <c r="N63" s="147" t="s">
        <v>188</v>
      </c>
      <c r="O63" s="214" t="s">
        <v>150</v>
      </c>
      <c r="P63" s="53" t="s">
        <v>62</v>
      </c>
      <c r="Q63" s="332"/>
    </row>
    <row r="64" spans="2:17" ht="28.8" x14ac:dyDescent="0.55000000000000004">
      <c r="B64" s="328" t="s">
        <v>194</v>
      </c>
      <c r="C64" s="329"/>
      <c r="D64" s="329"/>
      <c r="E64" s="329"/>
      <c r="F64" s="329"/>
      <c r="G64" s="329"/>
      <c r="H64" s="329"/>
      <c r="I64" s="329"/>
      <c r="J64" s="329"/>
      <c r="K64" s="329"/>
      <c r="L64" s="329"/>
      <c r="M64" s="329"/>
      <c r="N64" s="329"/>
      <c r="O64" s="329"/>
      <c r="P64" s="329"/>
      <c r="Q64" s="330"/>
    </row>
    <row r="65" spans="2:18" ht="28.8" x14ac:dyDescent="0.3">
      <c r="B65" s="110" t="s">
        <v>1</v>
      </c>
      <c r="C65" s="310" t="s">
        <v>2</v>
      </c>
      <c r="D65" s="310"/>
      <c r="E65" s="8" t="s">
        <v>3</v>
      </c>
      <c r="F65" s="1" t="s">
        <v>4</v>
      </c>
      <c r="G65" s="9" t="s">
        <v>178</v>
      </c>
      <c r="H65" s="9" t="s">
        <v>116</v>
      </c>
      <c r="I65" s="3" t="s">
        <v>179</v>
      </c>
      <c r="J65" s="2" t="s">
        <v>51</v>
      </c>
      <c r="K65" s="2" t="s">
        <v>9</v>
      </c>
      <c r="L65" s="2" t="s">
        <v>10</v>
      </c>
      <c r="M65" s="2" t="s">
        <v>11</v>
      </c>
      <c r="N65" s="8" t="s">
        <v>12</v>
      </c>
      <c r="O65" s="9" t="s">
        <v>13</v>
      </c>
      <c r="P65" s="125" t="s">
        <v>14</v>
      </c>
      <c r="Q65" s="104" t="s">
        <v>145</v>
      </c>
    </row>
    <row r="66" spans="2:18" x14ac:dyDescent="0.3">
      <c r="B66" s="336" t="s">
        <v>195</v>
      </c>
      <c r="C66" s="324" t="s">
        <v>173</v>
      </c>
      <c r="D66" s="53" t="s">
        <v>17</v>
      </c>
      <c r="E66" s="83">
        <f>CEILING((((10840+40+115)*1.12))-150,50)</f>
        <v>12200</v>
      </c>
      <c r="F66" s="150">
        <v>130</v>
      </c>
      <c r="G66" s="151">
        <v>175</v>
      </c>
      <c r="H66" s="151">
        <v>275</v>
      </c>
      <c r="I66" s="151">
        <v>75</v>
      </c>
      <c r="J66" s="151">
        <v>50</v>
      </c>
      <c r="K66" s="146">
        <f t="shared" ref="K66:K67" si="7">SUM(E66:J66)</f>
        <v>12905</v>
      </c>
      <c r="L66" s="145">
        <v>200</v>
      </c>
      <c r="M66" s="146">
        <f>SUM(K66:L66)</f>
        <v>13105</v>
      </c>
      <c r="N66" s="147" t="s">
        <v>188</v>
      </c>
      <c r="O66" s="214" t="s">
        <v>150</v>
      </c>
      <c r="P66" s="53" t="s">
        <v>62</v>
      </c>
      <c r="Q66" s="333" t="s">
        <v>196</v>
      </c>
    </row>
    <row r="67" spans="2:18" x14ac:dyDescent="0.3">
      <c r="B67" s="336"/>
      <c r="C67" s="324"/>
      <c r="D67" s="53" t="s">
        <v>22</v>
      </c>
      <c r="E67" s="83">
        <f>CEILING((((11080+80+115)*1.12))-150,50)</f>
        <v>12500</v>
      </c>
      <c r="F67" s="150">
        <v>160</v>
      </c>
      <c r="G67" s="151">
        <v>175</v>
      </c>
      <c r="H67" s="151">
        <v>275</v>
      </c>
      <c r="I67" s="151">
        <v>150</v>
      </c>
      <c r="J67" s="151">
        <v>50</v>
      </c>
      <c r="K67" s="146">
        <f t="shared" si="7"/>
        <v>13310</v>
      </c>
      <c r="L67" s="145">
        <v>200</v>
      </c>
      <c r="M67" s="146">
        <f>SUM(K67:L67)</f>
        <v>13510</v>
      </c>
      <c r="N67" s="147" t="s">
        <v>188</v>
      </c>
      <c r="O67" s="214" t="s">
        <v>150</v>
      </c>
      <c r="P67" s="53" t="s">
        <v>62</v>
      </c>
      <c r="Q67" s="337"/>
    </row>
    <row r="68" spans="2:18" ht="28.8" x14ac:dyDescent="0.55000000000000004">
      <c r="B68" s="328" t="s">
        <v>197</v>
      </c>
      <c r="C68" s="329"/>
      <c r="D68" s="329"/>
      <c r="E68" s="329"/>
      <c r="F68" s="329"/>
      <c r="G68" s="329"/>
      <c r="H68" s="329"/>
      <c r="I68" s="329"/>
      <c r="J68" s="329"/>
      <c r="K68" s="329"/>
      <c r="L68" s="329"/>
      <c r="M68" s="329"/>
      <c r="N68" s="329"/>
      <c r="O68" s="329"/>
      <c r="P68" s="329"/>
      <c r="Q68" s="330"/>
    </row>
    <row r="69" spans="2:18" ht="28.8" x14ac:dyDescent="0.3">
      <c r="B69" s="110" t="s">
        <v>1</v>
      </c>
      <c r="C69" s="310" t="s">
        <v>2</v>
      </c>
      <c r="D69" s="310"/>
      <c r="E69" s="8" t="s">
        <v>3</v>
      </c>
      <c r="F69" s="1" t="s">
        <v>4</v>
      </c>
      <c r="G69" s="9" t="s">
        <v>178</v>
      </c>
      <c r="H69" s="9" t="s">
        <v>116</v>
      </c>
      <c r="I69" s="3" t="s">
        <v>179</v>
      </c>
      <c r="J69" s="2" t="s">
        <v>51</v>
      </c>
      <c r="K69" s="2" t="s">
        <v>9</v>
      </c>
      <c r="L69" s="2" t="s">
        <v>10</v>
      </c>
      <c r="M69" s="2" t="s">
        <v>11</v>
      </c>
      <c r="N69" s="8" t="s">
        <v>12</v>
      </c>
      <c r="O69" s="9" t="s">
        <v>13</v>
      </c>
      <c r="P69" s="125" t="s">
        <v>14</v>
      </c>
      <c r="Q69" s="104" t="s">
        <v>145</v>
      </c>
    </row>
    <row r="70" spans="2:18" ht="14.4" customHeight="1" x14ac:dyDescent="0.3">
      <c r="B70" s="224" t="s">
        <v>198</v>
      </c>
      <c r="C70" s="324" t="s">
        <v>173</v>
      </c>
      <c r="D70" s="53" t="s">
        <v>17</v>
      </c>
      <c r="E70" s="83">
        <f>CEILING((((10640+297+50+85)*1.12)- 85)-150,50)</f>
        <v>12200</v>
      </c>
      <c r="F70" s="150">
        <v>130</v>
      </c>
      <c r="G70" s="151">
        <v>175</v>
      </c>
      <c r="H70" s="151">
        <v>275</v>
      </c>
      <c r="I70" s="151">
        <v>75</v>
      </c>
      <c r="J70" s="151">
        <v>50</v>
      </c>
      <c r="K70" s="58">
        <f t="shared" ref="K70:K71" si="8">SUM(E70:J70)</f>
        <v>12905</v>
      </c>
      <c r="L70" s="56">
        <v>200</v>
      </c>
      <c r="M70" s="146">
        <f>SUM(K70:L70)</f>
        <v>13105</v>
      </c>
      <c r="N70" s="59" t="s">
        <v>188</v>
      </c>
      <c r="O70" s="214" t="s">
        <v>150</v>
      </c>
      <c r="P70" s="53" t="s">
        <v>46</v>
      </c>
      <c r="Q70" s="333" t="s">
        <v>196</v>
      </c>
    </row>
    <row r="71" spans="2:18" x14ac:dyDescent="0.3">
      <c r="B71" s="224"/>
      <c r="C71" s="324"/>
      <c r="D71" s="53" t="s">
        <v>22</v>
      </c>
      <c r="E71" s="83">
        <f>CEILING((((11180+297+50+160)*1.12)- 160)-150,50)</f>
        <v>12800</v>
      </c>
      <c r="F71" s="150">
        <v>160</v>
      </c>
      <c r="G71" s="151">
        <v>175</v>
      </c>
      <c r="H71" s="151">
        <v>275</v>
      </c>
      <c r="I71" s="151">
        <v>150</v>
      </c>
      <c r="J71" s="151">
        <v>50</v>
      </c>
      <c r="K71" s="58">
        <f t="shared" si="8"/>
        <v>13610</v>
      </c>
      <c r="L71" s="56">
        <v>200</v>
      </c>
      <c r="M71" s="146">
        <f>SUM(K71:L71)</f>
        <v>13810</v>
      </c>
      <c r="N71" s="59" t="s">
        <v>188</v>
      </c>
      <c r="O71" s="214" t="s">
        <v>150</v>
      </c>
      <c r="P71" s="53" t="s">
        <v>46</v>
      </c>
      <c r="Q71" s="338"/>
    </row>
    <row r="72" spans="2:18" ht="28.8" x14ac:dyDescent="0.55000000000000004">
      <c r="B72" s="328" t="s">
        <v>199</v>
      </c>
      <c r="C72" s="329"/>
      <c r="D72" s="329"/>
      <c r="E72" s="329"/>
      <c r="F72" s="329"/>
      <c r="G72" s="329"/>
      <c r="H72" s="329"/>
      <c r="I72" s="329"/>
      <c r="J72" s="329"/>
      <c r="K72" s="329"/>
      <c r="L72" s="329"/>
      <c r="M72" s="329"/>
      <c r="N72" s="335"/>
      <c r="O72" s="329"/>
      <c r="P72" s="329"/>
      <c r="Q72" s="330"/>
    </row>
    <row r="73" spans="2:18" ht="28.8" x14ac:dyDescent="0.3">
      <c r="B73" s="110" t="s">
        <v>1</v>
      </c>
      <c r="C73" s="310" t="s">
        <v>2</v>
      </c>
      <c r="D73" s="310"/>
      <c r="E73" s="8" t="s">
        <v>3</v>
      </c>
      <c r="F73" s="1" t="s">
        <v>4</v>
      </c>
      <c r="G73" s="9" t="s">
        <v>178</v>
      </c>
      <c r="H73" s="9" t="s">
        <v>116</v>
      </c>
      <c r="I73" s="3" t="s">
        <v>179</v>
      </c>
      <c r="J73" s="2" t="s">
        <v>51</v>
      </c>
      <c r="K73" s="2" t="s">
        <v>9</v>
      </c>
      <c r="L73" s="2" t="s">
        <v>10</v>
      </c>
      <c r="M73" s="2" t="s">
        <v>11</v>
      </c>
      <c r="N73" s="8" t="s">
        <v>12</v>
      </c>
      <c r="O73" s="9" t="s">
        <v>13</v>
      </c>
      <c r="P73" s="125" t="s">
        <v>14</v>
      </c>
      <c r="Q73" s="104" t="s">
        <v>145</v>
      </c>
    </row>
    <row r="74" spans="2:18" x14ac:dyDescent="0.3">
      <c r="B74" s="224" t="s">
        <v>200</v>
      </c>
      <c r="C74" s="324" t="s">
        <v>173</v>
      </c>
      <c r="D74" s="53" t="s">
        <v>17</v>
      </c>
      <c r="E74" s="83">
        <f>CEILING((((10840+40+115)*1.12))-150,50)</f>
        <v>12200</v>
      </c>
      <c r="F74" s="150">
        <v>130</v>
      </c>
      <c r="G74" s="151">
        <v>175</v>
      </c>
      <c r="H74" s="151">
        <v>275</v>
      </c>
      <c r="I74" s="151">
        <v>75</v>
      </c>
      <c r="J74" s="151">
        <v>50</v>
      </c>
      <c r="K74" s="146">
        <f t="shared" ref="K74:K75" si="9">SUM(E74:J74)</f>
        <v>12905</v>
      </c>
      <c r="L74" s="145">
        <v>200</v>
      </c>
      <c r="M74" s="146">
        <f>SUM(K74:L74)</f>
        <v>13105</v>
      </c>
      <c r="N74" s="147" t="s">
        <v>188</v>
      </c>
      <c r="O74" s="214" t="s">
        <v>150</v>
      </c>
      <c r="P74" s="53" t="s">
        <v>62</v>
      </c>
      <c r="Q74" s="333" t="s">
        <v>196</v>
      </c>
    </row>
    <row r="75" spans="2:18" ht="15" thickBot="1" x14ac:dyDescent="0.35">
      <c r="B75" s="327"/>
      <c r="C75" s="325"/>
      <c r="D75" s="91" t="s">
        <v>22</v>
      </c>
      <c r="E75" s="83">
        <f>CEILING((((11080+80+115)*1.12))-150,50)</f>
        <v>12500</v>
      </c>
      <c r="F75" s="176">
        <v>160</v>
      </c>
      <c r="G75" s="177">
        <v>175</v>
      </c>
      <c r="H75" s="177">
        <v>275</v>
      </c>
      <c r="I75" s="177">
        <v>150</v>
      </c>
      <c r="J75" s="177">
        <v>50</v>
      </c>
      <c r="K75" s="178">
        <f t="shared" si="9"/>
        <v>13310</v>
      </c>
      <c r="L75" s="179">
        <v>200</v>
      </c>
      <c r="M75" s="178">
        <f>SUM(K75:L75)</f>
        <v>13510</v>
      </c>
      <c r="N75" s="180" t="s">
        <v>188</v>
      </c>
      <c r="O75" s="214" t="s">
        <v>150</v>
      </c>
      <c r="P75" s="91" t="s">
        <v>62</v>
      </c>
      <c r="Q75" s="334"/>
    </row>
    <row r="76" spans="2:18" ht="15" thickBot="1" x14ac:dyDescent="0.35">
      <c r="B76" s="127"/>
      <c r="C76" s="127"/>
      <c r="D76" s="326" t="s">
        <v>201</v>
      </c>
      <c r="E76" s="326"/>
      <c r="F76" s="127"/>
      <c r="G76" s="127"/>
      <c r="H76" s="127"/>
      <c r="I76" s="127"/>
      <c r="J76" s="70"/>
      <c r="K76" s="127"/>
      <c r="L76" s="127"/>
      <c r="M76" s="70"/>
      <c r="N76" s="127"/>
      <c r="O76" s="127"/>
      <c r="P76" s="127"/>
      <c r="Q76" s="127"/>
      <c r="R76" s="127"/>
    </row>
    <row r="77" spans="2:18" ht="15.6" x14ac:dyDescent="0.3">
      <c r="B77" s="287" t="s">
        <v>32</v>
      </c>
      <c r="C77" s="288"/>
      <c r="D77" s="288"/>
      <c r="E77" s="288"/>
      <c r="F77" s="288"/>
      <c r="G77" s="288"/>
      <c r="H77" s="288"/>
      <c r="I77" s="288"/>
      <c r="J77" s="288"/>
      <c r="K77" s="288"/>
      <c r="L77" s="288"/>
      <c r="M77" s="288"/>
      <c r="N77" s="288"/>
      <c r="O77" s="288"/>
      <c r="P77" s="288"/>
      <c r="Q77" s="288"/>
      <c r="R77" s="289"/>
    </row>
    <row r="78" spans="2:18" x14ac:dyDescent="0.3">
      <c r="B78" s="290" t="s">
        <v>33</v>
      </c>
      <c r="C78" s="291"/>
      <c r="D78" s="291"/>
      <c r="E78" s="291"/>
      <c r="F78" s="291"/>
      <c r="G78" s="291"/>
      <c r="H78" s="291"/>
      <c r="I78" s="291"/>
      <c r="J78" s="291"/>
      <c r="K78" s="291"/>
      <c r="L78" s="291"/>
      <c r="M78" s="291"/>
      <c r="N78" s="291"/>
      <c r="O78" s="291"/>
      <c r="P78" s="291"/>
      <c r="Q78" s="291"/>
      <c r="R78" s="292"/>
    </row>
    <row r="79" spans="2:18" x14ac:dyDescent="0.3">
      <c r="B79" s="290"/>
      <c r="C79" s="291"/>
      <c r="D79" s="291"/>
      <c r="E79" s="291"/>
      <c r="F79" s="291"/>
      <c r="G79" s="291"/>
      <c r="H79" s="291"/>
      <c r="I79" s="291"/>
      <c r="J79" s="291"/>
      <c r="K79" s="291"/>
      <c r="L79" s="291"/>
      <c r="M79" s="291"/>
      <c r="N79" s="291"/>
      <c r="O79" s="291"/>
      <c r="P79" s="291"/>
      <c r="Q79" s="291"/>
      <c r="R79" s="292"/>
    </row>
    <row r="80" spans="2:18" x14ac:dyDescent="0.3">
      <c r="B80" s="290"/>
      <c r="C80" s="291"/>
      <c r="D80" s="291"/>
      <c r="E80" s="291"/>
      <c r="F80" s="291"/>
      <c r="G80" s="291"/>
      <c r="H80" s="291"/>
      <c r="I80" s="291"/>
      <c r="J80" s="291"/>
      <c r="K80" s="291"/>
      <c r="L80" s="291"/>
      <c r="M80" s="291"/>
      <c r="N80" s="291"/>
      <c r="O80" s="291"/>
      <c r="P80" s="291"/>
      <c r="Q80" s="291"/>
      <c r="R80" s="292"/>
    </row>
    <row r="81" spans="2:18" ht="15" thickBot="1" x14ac:dyDescent="0.35">
      <c r="B81" s="293"/>
      <c r="C81" s="294"/>
      <c r="D81" s="294"/>
      <c r="E81" s="294"/>
      <c r="F81" s="294"/>
      <c r="G81" s="294"/>
      <c r="H81" s="294"/>
      <c r="I81" s="294"/>
      <c r="J81" s="294"/>
      <c r="K81" s="294"/>
      <c r="L81" s="294"/>
      <c r="M81" s="294"/>
      <c r="N81" s="294"/>
      <c r="O81" s="294"/>
      <c r="P81" s="294"/>
      <c r="Q81" s="294"/>
      <c r="R81" s="295"/>
    </row>
    <row r="89" spans="2:18" ht="28.8" x14ac:dyDescent="0.3">
      <c r="B89" s="296" t="s">
        <v>202</v>
      </c>
      <c r="C89" s="296"/>
      <c r="D89" s="296"/>
      <c r="E89" s="296"/>
      <c r="F89" s="296"/>
      <c r="G89" s="296"/>
      <c r="H89" s="296"/>
      <c r="I89" s="296"/>
      <c r="J89" s="296"/>
      <c r="K89" s="296"/>
      <c r="L89" s="296"/>
      <c r="M89" s="296"/>
      <c r="N89" s="296"/>
      <c r="O89" s="296"/>
      <c r="P89" s="296"/>
      <c r="Q89" s="296"/>
      <c r="R89" s="296"/>
    </row>
    <row r="90" spans="2:18" ht="28.8" x14ac:dyDescent="0.3">
      <c r="B90" s="1" t="s">
        <v>1</v>
      </c>
      <c r="C90" s="310" t="s">
        <v>2</v>
      </c>
      <c r="D90" s="310"/>
      <c r="E90" s="128" t="s">
        <v>130</v>
      </c>
      <c r="F90" s="1" t="s">
        <v>4</v>
      </c>
      <c r="G90" s="9" t="s">
        <v>178</v>
      </c>
      <c r="H90" s="9" t="s">
        <v>116</v>
      </c>
      <c r="I90" s="2" t="s">
        <v>203</v>
      </c>
      <c r="J90" s="2" t="s">
        <v>9</v>
      </c>
      <c r="K90" s="2" t="s">
        <v>10</v>
      </c>
      <c r="L90" s="2" t="s">
        <v>11</v>
      </c>
      <c r="M90" s="8" t="s">
        <v>12</v>
      </c>
      <c r="N90" s="9" t="s">
        <v>13</v>
      </c>
      <c r="O90" s="9" t="s">
        <v>14</v>
      </c>
      <c r="P90" s="125" t="s">
        <v>122</v>
      </c>
      <c r="Q90" s="223" t="s">
        <v>36</v>
      </c>
      <c r="R90" s="223"/>
    </row>
    <row r="91" spans="2:18" x14ac:dyDescent="0.3">
      <c r="B91" s="225" t="s">
        <v>92</v>
      </c>
      <c r="C91" s="232" t="s">
        <v>173</v>
      </c>
      <c r="D91" s="53" t="s">
        <v>17</v>
      </c>
      <c r="E91" s="36">
        <v>1400</v>
      </c>
      <c r="F91" s="38">
        <v>175</v>
      </c>
      <c r="G91" s="54">
        <v>150</v>
      </c>
      <c r="H91" s="54">
        <v>175</v>
      </c>
      <c r="I91" s="54">
        <v>75</v>
      </c>
      <c r="J91" s="58">
        <f>SUM(E91:I91)</f>
        <v>1975</v>
      </c>
      <c r="K91" s="56">
        <v>200</v>
      </c>
      <c r="L91" s="58">
        <f>J91+K91</f>
        <v>2175</v>
      </c>
      <c r="M91" s="103" t="s">
        <v>159</v>
      </c>
      <c r="N91" s="214" t="s">
        <v>61</v>
      </c>
      <c r="O91" s="40" t="s">
        <v>43</v>
      </c>
      <c r="P91" s="53" t="s">
        <v>160</v>
      </c>
      <c r="Q91" s="240" t="s">
        <v>44</v>
      </c>
      <c r="R91" s="240"/>
    </row>
    <row r="92" spans="2:18" x14ac:dyDescent="0.3">
      <c r="B92" s="225"/>
      <c r="C92" s="232"/>
      <c r="D92" s="53" t="s">
        <v>22</v>
      </c>
      <c r="E92" s="36">
        <v>1800</v>
      </c>
      <c r="F92" s="38">
        <v>235</v>
      </c>
      <c r="G92" s="54">
        <v>150</v>
      </c>
      <c r="H92" s="54">
        <v>175</v>
      </c>
      <c r="I92" s="54">
        <v>75</v>
      </c>
      <c r="J92" s="58">
        <f>SUM(E92:I92)</f>
        <v>2435</v>
      </c>
      <c r="K92" s="56">
        <v>200</v>
      </c>
      <c r="L92" s="58">
        <f>J92+K92</f>
        <v>2635</v>
      </c>
      <c r="M92" s="103" t="s">
        <v>159</v>
      </c>
      <c r="N92" s="214" t="s">
        <v>61</v>
      </c>
      <c r="O92" s="40" t="s">
        <v>43</v>
      </c>
      <c r="P92" s="53" t="s">
        <v>160</v>
      </c>
      <c r="Q92" s="240"/>
      <c r="R92" s="240"/>
    </row>
    <row r="94" spans="2:18" ht="15.6" x14ac:dyDescent="0.3">
      <c r="B94" s="5" t="s">
        <v>32</v>
      </c>
      <c r="C94" s="6"/>
      <c r="D94" s="6"/>
      <c r="E94" s="6"/>
      <c r="F94" s="6"/>
      <c r="G94" s="6"/>
      <c r="H94" s="6"/>
      <c r="I94" s="6"/>
      <c r="J94" s="6"/>
      <c r="K94" s="6"/>
      <c r="L94" s="6"/>
      <c r="M94" s="6"/>
      <c r="N94" s="6"/>
      <c r="O94" s="6"/>
      <c r="P94" s="6"/>
      <c r="Q94" s="6"/>
      <c r="R94" s="6"/>
    </row>
    <row r="95" spans="2:18" x14ac:dyDescent="0.3">
      <c r="B95" s="243" t="s">
        <v>33</v>
      </c>
      <c r="C95" s="243"/>
      <c r="D95" s="243"/>
      <c r="E95" s="243"/>
      <c r="F95" s="243"/>
      <c r="G95" s="243"/>
      <c r="H95" s="243"/>
      <c r="I95" s="243"/>
      <c r="J95" s="243"/>
      <c r="K95" s="243"/>
      <c r="L95" s="243"/>
      <c r="M95" s="243"/>
      <c r="N95" s="243"/>
      <c r="O95" s="243"/>
      <c r="P95" s="243"/>
      <c r="Q95" s="243"/>
      <c r="R95" s="243"/>
    </row>
    <row r="96" spans="2:18" x14ac:dyDescent="0.3">
      <c r="B96" s="243"/>
      <c r="C96" s="243"/>
      <c r="D96" s="243"/>
      <c r="E96" s="243"/>
      <c r="F96" s="243"/>
      <c r="G96" s="243"/>
      <c r="H96" s="243"/>
      <c r="I96" s="243"/>
      <c r="J96" s="243"/>
      <c r="K96" s="243"/>
      <c r="L96" s="243"/>
      <c r="M96" s="243"/>
      <c r="N96" s="243"/>
      <c r="O96" s="243"/>
      <c r="P96" s="243"/>
      <c r="Q96" s="243"/>
      <c r="R96" s="243"/>
    </row>
    <row r="97" spans="2:18" x14ac:dyDescent="0.3">
      <c r="B97" s="243"/>
      <c r="C97" s="243"/>
      <c r="D97" s="243"/>
      <c r="E97" s="243"/>
      <c r="F97" s="243"/>
      <c r="G97" s="243"/>
      <c r="H97" s="243"/>
      <c r="I97" s="243"/>
      <c r="J97" s="243"/>
      <c r="K97" s="243"/>
      <c r="L97" s="243"/>
      <c r="M97" s="243"/>
      <c r="N97" s="243"/>
      <c r="O97" s="243"/>
      <c r="P97" s="243"/>
      <c r="Q97" s="243"/>
      <c r="R97" s="243"/>
    </row>
    <row r="98" spans="2:18" x14ac:dyDescent="0.3">
      <c r="B98" s="243"/>
      <c r="C98" s="243"/>
      <c r="D98" s="243"/>
      <c r="E98" s="243"/>
      <c r="F98" s="243"/>
      <c r="G98" s="243"/>
      <c r="H98" s="243"/>
      <c r="I98" s="243"/>
      <c r="J98" s="243"/>
      <c r="K98" s="243"/>
      <c r="L98" s="243"/>
      <c r="M98" s="243"/>
      <c r="N98" s="243"/>
      <c r="O98" s="243"/>
      <c r="P98" s="243"/>
      <c r="Q98" s="243"/>
      <c r="R98" s="243"/>
    </row>
    <row r="99" spans="2:18" x14ac:dyDescent="0.3">
      <c r="B99" s="124"/>
      <c r="C99" s="124"/>
      <c r="D99" s="124"/>
      <c r="E99" s="124"/>
      <c r="F99" s="124"/>
      <c r="G99" s="124"/>
      <c r="H99" s="124"/>
      <c r="I99" s="124"/>
      <c r="J99" s="124"/>
      <c r="K99" s="124"/>
      <c r="L99" s="124"/>
      <c r="M99" s="124"/>
      <c r="N99" s="124"/>
      <c r="O99" s="124"/>
      <c r="P99" s="124"/>
      <c r="Q99" s="124"/>
      <c r="R99" s="124"/>
    </row>
    <row r="100" spans="2:18" x14ac:dyDescent="0.3">
      <c r="C100" s="28"/>
    </row>
    <row r="101" spans="2:18" x14ac:dyDescent="0.3">
      <c r="C101" s="28"/>
    </row>
    <row r="102" spans="2:18" x14ac:dyDescent="0.3">
      <c r="C102" s="28"/>
    </row>
    <row r="103" spans="2:18" x14ac:dyDescent="0.3">
      <c r="C103" s="28"/>
    </row>
    <row r="104" spans="2:18" x14ac:dyDescent="0.3">
      <c r="C104" s="28"/>
    </row>
    <row r="105" spans="2:18" ht="28.8" x14ac:dyDescent="0.3">
      <c r="B105" s="219" t="s">
        <v>204</v>
      </c>
      <c r="C105" s="220"/>
      <c r="D105" s="220"/>
      <c r="E105" s="220"/>
      <c r="F105" s="220"/>
      <c r="G105" s="220"/>
      <c r="H105" s="220"/>
      <c r="I105" s="220"/>
      <c r="J105" s="220"/>
      <c r="K105" s="220"/>
      <c r="L105" s="220"/>
      <c r="M105" s="220"/>
      <c r="N105" s="220"/>
      <c r="O105" s="220"/>
      <c r="P105" s="220"/>
      <c r="Q105" s="220"/>
      <c r="R105" s="220"/>
    </row>
    <row r="106" spans="2:18" ht="28.8" x14ac:dyDescent="0.3">
      <c r="B106" s="98" t="s">
        <v>1</v>
      </c>
      <c r="C106" s="223" t="s">
        <v>2</v>
      </c>
      <c r="D106" s="223"/>
      <c r="E106" s="8" t="s">
        <v>3</v>
      </c>
      <c r="F106" s="122" t="s">
        <v>4</v>
      </c>
      <c r="G106" s="122" t="s">
        <v>178</v>
      </c>
      <c r="H106" s="122" t="s">
        <v>116</v>
      </c>
      <c r="I106" s="3" t="s">
        <v>179</v>
      </c>
      <c r="J106" s="3" t="s">
        <v>51</v>
      </c>
      <c r="K106" s="2" t="s">
        <v>9</v>
      </c>
      <c r="L106" s="2" t="s">
        <v>10</v>
      </c>
      <c r="M106" s="2" t="s">
        <v>11</v>
      </c>
      <c r="N106" s="8" t="s">
        <v>12</v>
      </c>
      <c r="O106" s="125" t="s">
        <v>13</v>
      </c>
      <c r="P106" s="125" t="s">
        <v>14</v>
      </c>
      <c r="Q106" s="125" t="s">
        <v>145</v>
      </c>
      <c r="R106" s="104" t="s">
        <v>146</v>
      </c>
    </row>
    <row r="107" spans="2:18" x14ac:dyDescent="0.3">
      <c r="B107" s="312" t="s">
        <v>102</v>
      </c>
      <c r="C107" s="232" t="s">
        <v>173</v>
      </c>
      <c r="D107" s="53" t="s">
        <v>17</v>
      </c>
      <c r="E107" s="54">
        <v>1900</v>
      </c>
      <c r="F107" s="54">
        <v>300</v>
      </c>
      <c r="G107" s="54">
        <v>175</v>
      </c>
      <c r="H107" s="54">
        <v>150</v>
      </c>
      <c r="I107" s="54">
        <v>75</v>
      </c>
      <c r="J107" s="54">
        <v>50</v>
      </c>
      <c r="K107" s="203">
        <f>SUM(E107:J107)</f>
        <v>2650</v>
      </c>
      <c r="L107" s="54">
        <v>200</v>
      </c>
      <c r="M107" s="203">
        <f>SUM(K107:L107)</f>
        <v>2850</v>
      </c>
      <c r="N107" s="59">
        <v>30</v>
      </c>
      <c r="O107" s="214" t="s">
        <v>61</v>
      </c>
      <c r="P107" s="53" t="s">
        <v>62</v>
      </c>
      <c r="Q107" s="94" t="s">
        <v>164</v>
      </c>
      <c r="R107" s="105" t="s">
        <v>165</v>
      </c>
    </row>
    <row r="108" spans="2:18" x14ac:dyDescent="0.3">
      <c r="B108" s="312"/>
      <c r="C108" s="232"/>
      <c r="D108" s="53" t="s">
        <v>22</v>
      </c>
      <c r="E108" s="54">
        <v>2100</v>
      </c>
      <c r="F108" s="54">
        <v>300</v>
      </c>
      <c r="G108" s="54">
        <v>175</v>
      </c>
      <c r="H108" s="54">
        <v>150</v>
      </c>
      <c r="I108" s="54">
        <v>150</v>
      </c>
      <c r="J108" s="54">
        <v>50</v>
      </c>
      <c r="K108" s="203">
        <f>SUM(E108:J108)</f>
        <v>2925</v>
      </c>
      <c r="L108" s="54">
        <v>200</v>
      </c>
      <c r="M108" s="203">
        <f>SUM(K108:L108)</f>
        <v>3125</v>
      </c>
      <c r="N108" s="59">
        <v>30</v>
      </c>
      <c r="O108" s="214" t="s">
        <v>61</v>
      </c>
      <c r="P108" s="53" t="s">
        <v>62</v>
      </c>
      <c r="Q108" s="94" t="s">
        <v>164</v>
      </c>
      <c r="R108" s="105" t="s">
        <v>165</v>
      </c>
    </row>
    <row r="109" spans="2:18" x14ac:dyDescent="0.3">
      <c r="B109" s="312" t="s">
        <v>168</v>
      </c>
      <c r="C109" s="232" t="s">
        <v>173</v>
      </c>
      <c r="D109" s="53" t="s">
        <v>17</v>
      </c>
      <c r="E109" s="54">
        <f>CEILING((((1300+130+10+72+20+100)*1.15)-100)-150,50)</f>
        <v>1650</v>
      </c>
      <c r="F109" s="54">
        <v>160</v>
      </c>
      <c r="G109" s="54">
        <v>175</v>
      </c>
      <c r="H109" s="54">
        <v>215</v>
      </c>
      <c r="I109" s="54">
        <v>75</v>
      </c>
      <c r="J109" s="54">
        <v>50</v>
      </c>
      <c r="K109" s="203">
        <f>SUM(E109:J109)</f>
        <v>2325</v>
      </c>
      <c r="L109" s="54">
        <v>200</v>
      </c>
      <c r="M109" s="203">
        <f>SUM(K109:L109)</f>
        <v>2525</v>
      </c>
      <c r="N109" s="59">
        <v>30</v>
      </c>
      <c r="O109" s="214" t="s">
        <v>61</v>
      </c>
      <c r="P109" s="53" t="s">
        <v>62</v>
      </c>
      <c r="Q109" s="94" t="s">
        <v>164</v>
      </c>
      <c r="R109" s="105" t="s">
        <v>165</v>
      </c>
    </row>
    <row r="110" spans="2:18" x14ac:dyDescent="0.3">
      <c r="B110" s="312"/>
      <c r="C110" s="232"/>
      <c r="D110" s="53" t="s">
        <v>22</v>
      </c>
      <c r="E110" s="54">
        <f>CEILING((((1400+260+10+72+20+150)*1.15)-150)-150,50)</f>
        <v>1900</v>
      </c>
      <c r="F110" s="54">
        <v>160</v>
      </c>
      <c r="G110" s="54">
        <v>175</v>
      </c>
      <c r="H110" s="54">
        <v>215</v>
      </c>
      <c r="I110" s="54">
        <v>150</v>
      </c>
      <c r="J110" s="54">
        <v>50</v>
      </c>
      <c r="K110" s="203">
        <f>SUM(E110:J110)</f>
        <v>2650</v>
      </c>
      <c r="L110" s="54">
        <v>200</v>
      </c>
      <c r="M110" s="203">
        <f>SUM(K110:L110)</f>
        <v>2850</v>
      </c>
      <c r="N110" s="59">
        <v>30</v>
      </c>
      <c r="O110" s="214" t="s">
        <v>61</v>
      </c>
      <c r="P110" s="53" t="s">
        <v>62</v>
      </c>
      <c r="Q110" s="94" t="s">
        <v>164</v>
      </c>
      <c r="R110" s="105" t="s">
        <v>165</v>
      </c>
    </row>
  </sheetData>
  <mergeCells count="63">
    <mergeCell ref="B15:B16"/>
    <mergeCell ref="C15:C16"/>
    <mergeCell ref="P33:Q33"/>
    <mergeCell ref="B32:Q32"/>
    <mergeCell ref="B18:P18"/>
    <mergeCell ref="B19:P22"/>
    <mergeCell ref="C33:D33"/>
    <mergeCell ref="D8:E8"/>
    <mergeCell ref="C10:D10"/>
    <mergeCell ref="B11:B12"/>
    <mergeCell ref="C11:C12"/>
    <mergeCell ref="B13:B14"/>
    <mergeCell ref="C13:C14"/>
    <mergeCell ref="B9:P9"/>
    <mergeCell ref="B54:B55"/>
    <mergeCell ref="C54:C55"/>
    <mergeCell ref="B56:Q56"/>
    <mergeCell ref="B34:B35"/>
    <mergeCell ref="C34:C35"/>
    <mergeCell ref="B40:P43"/>
    <mergeCell ref="B52:Q52"/>
    <mergeCell ref="C53:D53"/>
    <mergeCell ref="P34:Q36"/>
    <mergeCell ref="C57:D57"/>
    <mergeCell ref="B68:Q68"/>
    <mergeCell ref="C69:D69"/>
    <mergeCell ref="B70:B71"/>
    <mergeCell ref="C70:C71"/>
    <mergeCell ref="C58:C59"/>
    <mergeCell ref="B60:Q60"/>
    <mergeCell ref="C61:D61"/>
    <mergeCell ref="B62:B63"/>
    <mergeCell ref="C62:C63"/>
    <mergeCell ref="Q62:Q63"/>
    <mergeCell ref="B66:B67"/>
    <mergeCell ref="C66:C67"/>
    <mergeCell ref="B58:B59"/>
    <mergeCell ref="Q66:Q67"/>
    <mergeCell ref="Q70:Q71"/>
    <mergeCell ref="B64:Q64"/>
    <mergeCell ref="C65:D65"/>
    <mergeCell ref="Q58:Q59"/>
    <mergeCell ref="B95:R98"/>
    <mergeCell ref="Q90:R90"/>
    <mergeCell ref="B91:B92"/>
    <mergeCell ref="C91:C92"/>
    <mergeCell ref="Q91:R92"/>
    <mergeCell ref="Q74:Q75"/>
    <mergeCell ref="B72:Q72"/>
    <mergeCell ref="C73:D73"/>
    <mergeCell ref="C106:D106"/>
    <mergeCell ref="B109:B110"/>
    <mergeCell ref="C109:C110"/>
    <mergeCell ref="C74:C75"/>
    <mergeCell ref="B89:R89"/>
    <mergeCell ref="D76:E76"/>
    <mergeCell ref="B77:R77"/>
    <mergeCell ref="B78:R81"/>
    <mergeCell ref="B74:B75"/>
    <mergeCell ref="C90:D90"/>
    <mergeCell ref="B107:B108"/>
    <mergeCell ref="C107:C108"/>
    <mergeCell ref="B105:R105"/>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7:S42"/>
  <sheetViews>
    <sheetView topLeftCell="A3" zoomScale="90" zoomScaleNormal="90" zoomScaleSheetLayoutView="100" workbookViewId="0">
      <selection activeCell="I24" sqref="I24"/>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11" style="19" bestFit="1" customWidth="1"/>
    <col min="19" max="19" width="7.109375" style="19" bestFit="1" customWidth="1"/>
    <col min="20" max="20" width="15.5546875" style="19" customWidth="1"/>
    <col min="21" max="21" width="8.5546875" style="19" customWidth="1"/>
    <col min="22" max="23" width="9.109375" style="19"/>
    <col min="24" max="24" width="10.33203125" style="19" bestFit="1" customWidth="1"/>
    <col min="25" max="16384" width="9.109375" style="19"/>
  </cols>
  <sheetData>
    <row r="7" spans="2:19" ht="28.8" x14ac:dyDescent="0.3">
      <c r="B7" s="219" t="s">
        <v>205</v>
      </c>
      <c r="C7" s="220"/>
      <c r="D7" s="220"/>
      <c r="E7" s="220"/>
      <c r="F7" s="220"/>
      <c r="G7" s="220"/>
      <c r="H7" s="220"/>
      <c r="I7" s="220"/>
      <c r="J7" s="220"/>
      <c r="K7" s="220"/>
      <c r="L7" s="220"/>
      <c r="M7" s="220"/>
      <c r="N7" s="220"/>
      <c r="O7" s="220"/>
      <c r="P7" s="220"/>
      <c r="Q7" s="220"/>
    </row>
    <row r="8" spans="2:19" ht="57.6" x14ac:dyDescent="0.3">
      <c r="B8" s="98" t="s">
        <v>1</v>
      </c>
      <c r="C8" s="223" t="s">
        <v>2</v>
      </c>
      <c r="D8" s="223"/>
      <c r="E8" s="122" t="s">
        <v>3</v>
      </c>
      <c r="F8" s="3" t="s">
        <v>206</v>
      </c>
      <c r="G8" s="122" t="s">
        <v>207</v>
      </c>
      <c r="H8" s="122" t="s">
        <v>208</v>
      </c>
      <c r="I8" s="3" t="s">
        <v>111</v>
      </c>
      <c r="J8" s="3" t="s">
        <v>96</v>
      </c>
      <c r="K8" s="3" t="s">
        <v>110</v>
      </c>
      <c r="L8" s="3" t="s">
        <v>53</v>
      </c>
      <c r="M8" s="3" t="s">
        <v>10</v>
      </c>
      <c r="N8" s="3" t="s">
        <v>11</v>
      </c>
      <c r="O8" s="3" t="s">
        <v>12</v>
      </c>
      <c r="P8" s="122" t="s">
        <v>13</v>
      </c>
      <c r="Q8" s="122" t="s">
        <v>14</v>
      </c>
    </row>
    <row r="9" spans="2:19" x14ac:dyDescent="0.3">
      <c r="B9" s="136" t="s">
        <v>16</v>
      </c>
      <c r="C9" s="136" t="s">
        <v>113</v>
      </c>
      <c r="D9" s="118" t="s">
        <v>22</v>
      </c>
      <c r="E9" s="144">
        <v>1300</v>
      </c>
      <c r="F9" s="144" t="s">
        <v>184</v>
      </c>
      <c r="G9" s="96">
        <v>410</v>
      </c>
      <c r="H9" s="96">
        <v>54.2</v>
      </c>
      <c r="I9" s="96" t="s">
        <v>184</v>
      </c>
      <c r="J9" s="96">
        <v>40</v>
      </c>
      <c r="K9" s="189">
        <v>65</v>
      </c>
      <c r="L9" s="97">
        <f>SUM(E9:K9)</f>
        <v>1869.2</v>
      </c>
      <c r="M9" s="96">
        <v>200</v>
      </c>
      <c r="N9" s="97">
        <f>L9+M9</f>
        <v>2069.1999999999998</v>
      </c>
      <c r="O9" s="183" t="s">
        <v>114</v>
      </c>
      <c r="P9" s="210" t="s">
        <v>61</v>
      </c>
      <c r="Q9" s="95" t="s">
        <v>21</v>
      </c>
    </row>
    <row r="10" spans="2:19" ht="28.8" x14ac:dyDescent="0.3">
      <c r="B10" s="219" t="s">
        <v>205</v>
      </c>
      <c r="C10" s="220"/>
      <c r="D10" s="220"/>
      <c r="E10" s="220"/>
      <c r="F10" s="220"/>
      <c r="G10" s="220"/>
      <c r="H10" s="220"/>
      <c r="I10" s="220"/>
      <c r="J10" s="220"/>
      <c r="K10" s="220"/>
      <c r="L10" s="220"/>
      <c r="M10" s="220"/>
      <c r="N10" s="220"/>
      <c r="O10" s="220"/>
      <c r="P10" s="220"/>
      <c r="Q10" s="220"/>
    </row>
    <row r="11" spans="2:19" ht="57.6" x14ac:dyDescent="0.3">
      <c r="B11" s="98" t="s">
        <v>1</v>
      </c>
      <c r="C11" s="223" t="s">
        <v>2</v>
      </c>
      <c r="D11" s="223"/>
      <c r="E11" s="122" t="s">
        <v>3</v>
      </c>
      <c r="F11" s="3" t="s">
        <v>206</v>
      </c>
      <c r="G11" s="122" t="s">
        <v>207</v>
      </c>
      <c r="H11" s="122" t="s">
        <v>208</v>
      </c>
      <c r="I11" s="3" t="s">
        <v>111</v>
      </c>
      <c r="J11" s="3" t="s">
        <v>96</v>
      </c>
      <c r="K11" s="3" t="s">
        <v>110</v>
      </c>
      <c r="L11" s="3" t="s">
        <v>53</v>
      </c>
      <c r="M11" s="3" t="s">
        <v>10</v>
      </c>
      <c r="N11" s="3" t="s">
        <v>11</v>
      </c>
      <c r="O11" s="3" t="s">
        <v>12</v>
      </c>
      <c r="P11" s="122" t="s">
        <v>13</v>
      </c>
      <c r="Q11" s="122" t="s">
        <v>14</v>
      </c>
    </row>
    <row r="12" spans="2:19" x14ac:dyDescent="0.3">
      <c r="B12" s="226" t="s">
        <v>29</v>
      </c>
      <c r="C12" s="225" t="s">
        <v>113</v>
      </c>
      <c r="D12" s="118" t="s">
        <v>17</v>
      </c>
      <c r="E12" s="144">
        <v>450</v>
      </c>
      <c r="F12" s="144">
        <v>120</v>
      </c>
      <c r="G12" s="96">
        <v>340</v>
      </c>
      <c r="H12" s="96">
        <v>97.87</v>
      </c>
      <c r="I12" s="96">
        <v>160</v>
      </c>
      <c r="J12" s="96">
        <v>60</v>
      </c>
      <c r="K12" s="189">
        <v>62.7</v>
      </c>
      <c r="L12" s="97">
        <f>SUM(E12:K12)</f>
        <v>1290.57</v>
      </c>
      <c r="M12" s="96">
        <v>200</v>
      </c>
      <c r="N12" s="97">
        <f>L12+M12</f>
        <v>1490.57</v>
      </c>
      <c r="O12" s="183" t="s">
        <v>114</v>
      </c>
      <c r="P12" s="210" t="s">
        <v>61</v>
      </c>
      <c r="Q12" s="95" t="s">
        <v>70</v>
      </c>
    </row>
    <row r="13" spans="2:19" x14ac:dyDescent="0.3">
      <c r="B13" s="227"/>
      <c r="C13" s="225"/>
      <c r="D13" s="118" t="s">
        <v>22</v>
      </c>
      <c r="E13" s="144">
        <v>600</v>
      </c>
      <c r="F13" s="144">
        <v>240</v>
      </c>
      <c r="G13" s="96">
        <v>340</v>
      </c>
      <c r="H13" s="96">
        <v>97.87</v>
      </c>
      <c r="I13" s="96">
        <v>210</v>
      </c>
      <c r="J13" s="96">
        <v>60</v>
      </c>
      <c r="K13" s="189">
        <v>62.7</v>
      </c>
      <c r="L13" s="97">
        <f>SUM(E13:K13)</f>
        <v>1610.57</v>
      </c>
      <c r="M13" s="96">
        <v>200</v>
      </c>
      <c r="N13" s="97">
        <f>L13+M13</f>
        <v>1810.57</v>
      </c>
      <c r="O13" s="183" t="s">
        <v>114</v>
      </c>
      <c r="P13" s="210" t="s">
        <v>61</v>
      </c>
      <c r="Q13" s="95" t="s">
        <v>70</v>
      </c>
    </row>
    <row r="14" spans="2:19" ht="28.8" x14ac:dyDescent="0.3">
      <c r="B14" s="219" t="s">
        <v>209</v>
      </c>
      <c r="C14" s="220"/>
      <c r="D14" s="220"/>
      <c r="E14" s="220"/>
      <c r="F14" s="220"/>
      <c r="G14" s="220"/>
      <c r="H14" s="220"/>
      <c r="I14" s="220"/>
      <c r="J14" s="220"/>
      <c r="K14" s="220"/>
      <c r="L14" s="220"/>
      <c r="M14" s="220"/>
      <c r="N14" s="220"/>
      <c r="O14" s="220"/>
      <c r="P14" s="220"/>
      <c r="Q14" s="220"/>
      <c r="R14" s="220"/>
    </row>
    <row r="15" spans="2:19" ht="57.6" x14ac:dyDescent="0.3">
      <c r="B15" s="98" t="s">
        <v>1</v>
      </c>
      <c r="C15" s="223" t="s">
        <v>2</v>
      </c>
      <c r="D15" s="223"/>
      <c r="E15" s="122" t="s">
        <v>3</v>
      </c>
      <c r="F15" s="3" t="s">
        <v>206</v>
      </c>
      <c r="G15" s="122" t="s">
        <v>207</v>
      </c>
      <c r="H15" s="122" t="s">
        <v>208</v>
      </c>
      <c r="I15" s="3" t="s">
        <v>111</v>
      </c>
      <c r="J15" s="3" t="s">
        <v>96</v>
      </c>
      <c r="K15" s="3" t="s">
        <v>210</v>
      </c>
      <c r="L15" s="3" t="s">
        <v>211</v>
      </c>
      <c r="M15" s="3" t="s">
        <v>212</v>
      </c>
      <c r="N15" s="3" t="s">
        <v>53</v>
      </c>
      <c r="O15" s="3" t="s">
        <v>10</v>
      </c>
      <c r="P15" s="3" t="s">
        <v>11</v>
      </c>
      <c r="Q15" s="3" t="s">
        <v>12</v>
      </c>
      <c r="R15" s="122" t="s">
        <v>13</v>
      </c>
      <c r="S15" s="122" t="s">
        <v>14</v>
      </c>
    </row>
    <row r="16" spans="2:19" x14ac:dyDescent="0.3">
      <c r="B16" s="225" t="s">
        <v>29</v>
      </c>
      <c r="C16" s="225" t="s">
        <v>173</v>
      </c>
      <c r="D16" s="118" t="s">
        <v>17</v>
      </c>
      <c r="E16" s="120">
        <v>400</v>
      </c>
      <c r="F16" s="144">
        <v>120</v>
      </c>
      <c r="G16" s="96">
        <v>340</v>
      </c>
      <c r="H16" s="96">
        <v>97.87</v>
      </c>
      <c r="I16" s="96">
        <v>150</v>
      </c>
      <c r="J16" s="96">
        <v>50</v>
      </c>
      <c r="K16" s="96">
        <v>165</v>
      </c>
      <c r="L16" s="96">
        <v>175</v>
      </c>
      <c r="M16" s="189">
        <v>66</v>
      </c>
      <c r="N16" s="97">
        <f>SUM(E16:M16)</f>
        <v>1563.87</v>
      </c>
      <c r="O16" s="96">
        <v>200</v>
      </c>
      <c r="P16" s="97">
        <f>N16+O16</f>
        <v>1763.87</v>
      </c>
      <c r="Q16" s="183" t="s">
        <v>114</v>
      </c>
      <c r="R16" s="210" t="s">
        <v>61</v>
      </c>
      <c r="S16" s="95" t="s">
        <v>70</v>
      </c>
    </row>
    <row r="17" spans="2:19" x14ac:dyDescent="0.3">
      <c r="B17" s="225"/>
      <c r="C17" s="225"/>
      <c r="D17" s="118" t="s">
        <v>22</v>
      </c>
      <c r="E17" s="120">
        <v>550</v>
      </c>
      <c r="F17" s="144">
        <v>240</v>
      </c>
      <c r="G17" s="96">
        <v>340</v>
      </c>
      <c r="H17" s="96">
        <v>97.87</v>
      </c>
      <c r="I17" s="96">
        <v>200</v>
      </c>
      <c r="J17" s="96">
        <v>50</v>
      </c>
      <c r="K17" s="96">
        <v>165</v>
      </c>
      <c r="L17" s="96">
        <v>175</v>
      </c>
      <c r="M17" s="189">
        <v>66</v>
      </c>
      <c r="N17" s="97">
        <f>SUM(E17:M17)</f>
        <v>1883.87</v>
      </c>
      <c r="O17" s="96">
        <v>200</v>
      </c>
      <c r="P17" s="97">
        <f>N17+O17</f>
        <v>2083.87</v>
      </c>
      <c r="Q17" s="183" t="s">
        <v>114</v>
      </c>
      <c r="R17" s="210" t="s">
        <v>61</v>
      </c>
      <c r="S17" s="95" t="s">
        <v>70</v>
      </c>
    </row>
    <row r="18" spans="2:19" ht="28.8" x14ac:dyDescent="0.3">
      <c r="B18" s="356" t="s">
        <v>213</v>
      </c>
      <c r="C18" s="357"/>
      <c r="D18" s="357"/>
      <c r="E18" s="357"/>
      <c r="F18" s="357"/>
      <c r="G18" s="357"/>
      <c r="H18" s="357"/>
      <c r="I18" s="357"/>
      <c r="J18" s="357"/>
      <c r="K18" s="357"/>
      <c r="L18" s="357"/>
      <c r="M18" s="357"/>
      <c r="N18" s="357"/>
      <c r="O18" s="357"/>
      <c r="P18" s="357"/>
      <c r="Q18" s="357"/>
    </row>
    <row r="19" spans="2:19" ht="28.8" x14ac:dyDescent="0.3">
      <c r="B19" s="98" t="s">
        <v>1</v>
      </c>
      <c r="C19" s="223" t="s">
        <v>2</v>
      </c>
      <c r="D19" s="223"/>
      <c r="E19" s="122" t="s">
        <v>3</v>
      </c>
      <c r="F19" s="3" t="s">
        <v>206</v>
      </c>
      <c r="G19" s="122" t="s">
        <v>207</v>
      </c>
      <c r="H19" s="122" t="s">
        <v>208</v>
      </c>
      <c r="I19" s="3" t="s">
        <v>96</v>
      </c>
      <c r="J19" s="3" t="s">
        <v>53</v>
      </c>
      <c r="K19" s="3" t="s">
        <v>10</v>
      </c>
      <c r="L19" s="3" t="s">
        <v>11</v>
      </c>
      <c r="M19" s="3" t="s">
        <v>12</v>
      </c>
      <c r="N19" s="122" t="s">
        <v>13</v>
      </c>
      <c r="O19" s="122" t="s">
        <v>14</v>
      </c>
      <c r="P19" s="354" t="s">
        <v>145</v>
      </c>
      <c r="Q19" s="355"/>
    </row>
    <row r="20" spans="2:19" x14ac:dyDescent="0.3">
      <c r="B20" s="225" t="s">
        <v>29</v>
      </c>
      <c r="C20" s="225" t="s">
        <v>214</v>
      </c>
      <c r="D20" s="118" t="s">
        <v>17</v>
      </c>
      <c r="E20" s="120">
        <v>1000</v>
      </c>
      <c r="F20" s="96">
        <v>130</v>
      </c>
      <c r="G20" s="96">
        <v>355</v>
      </c>
      <c r="H20" s="96">
        <v>76.5</v>
      </c>
      <c r="I20" s="96">
        <v>50</v>
      </c>
      <c r="J20" s="97">
        <f>SUM(E20:I20)</f>
        <v>1611.5</v>
      </c>
      <c r="K20" s="96">
        <v>200</v>
      </c>
      <c r="L20" s="97">
        <f>J20+K20</f>
        <v>1811.5</v>
      </c>
      <c r="M20" s="183" t="s">
        <v>114</v>
      </c>
      <c r="N20" s="210" t="s">
        <v>61</v>
      </c>
      <c r="O20" s="95" t="s">
        <v>43</v>
      </c>
      <c r="P20" s="187" t="s">
        <v>215</v>
      </c>
      <c r="Q20" s="53"/>
    </row>
    <row r="21" spans="2:19" x14ac:dyDescent="0.3">
      <c r="B21" s="225"/>
      <c r="C21" s="225"/>
      <c r="D21" s="118" t="s">
        <v>22</v>
      </c>
      <c r="E21" s="120">
        <v>2000</v>
      </c>
      <c r="F21" s="96">
        <v>260</v>
      </c>
      <c r="G21" s="96">
        <v>355</v>
      </c>
      <c r="H21" s="96">
        <v>76.5</v>
      </c>
      <c r="I21" s="96">
        <v>50</v>
      </c>
      <c r="J21" s="97">
        <f>SUM(E21:I21)</f>
        <v>2741.5</v>
      </c>
      <c r="K21" s="96">
        <v>200</v>
      </c>
      <c r="L21" s="97">
        <f>J21+K21</f>
        <v>2941.5</v>
      </c>
      <c r="M21" s="183" t="s">
        <v>114</v>
      </c>
      <c r="N21" s="210" t="s">
        <v>61</v>
      </c>
      <c r="O21" s="95" t="s">
        <v>43</v>
      </c>
      <c r="P21" s="187" t="s">
        <v>215</v>
      </c>
      <c r="Q21" s="53"/>
    </row>
    <row r="22" spans="2:19" ht="28.95" customHeight="1" x14ac:dyDescent="0.3">
      <c r="B22" s="283" t="s">
        <v>216</v>
      </c>
      <c r="C22" s="234"/>
      <c r="D22" s="234"/>
      <c r="E22" s="234"/>
      <c r="F22" s="234"/>
      <c r="G22" s="234"/>
      <c r="H22" s="234"/>
      <c r="I22" s="234"/>
      <c r="J22" s="234"/>
      <c r="K22" s="234"/>
      <c r="L22" s="234"/>
      <c r="M22" s="234"/>
      <c r="N22" s="234"/>
      <c r="O22" s="234"/>
      <c r="P22" s="213"/>
    </row>
    <row r="23" spans="2:19" ht="28.8" x14ac:dyDescent="0.3">
      <c r="B23" s="98" t="s">
        <v>1</v>
      </c>
      <c r="C23" s="223" t="s">
        <v>2</v>
      </c>
      <c r="D23" s="223"/>
      <c r="E23" s="122" t="s">
        <v>3</v>
      </c>
      <c r="F23" s="122" t="s">
        <v>207</v>
      </c>
      <c r="G23" s="122" t="s">
        <v>208</v>
      </c>
      <c r="H23" s="3" t="s">
        <v>96</v>
      </c>
      <c r="I23" s="3" t="s">
        <v>53</v>
      </c>
      <c r="J23" s="3" t="s">
        <v>10</v>
      </c>
      <c r="K23" s="3" t="s">
        <v>11</v>
      </c>
      <c r="L23" s="3" t="s">
        <v>12</v>
      </c>
      <c r="M23" s="122" t="s">
        <v>13</v>
      </c>
      <c r="N23" s="122" t="s">
        <v>14</v>
      </c>
      <c r="O23" s="122" t="s">
        <v>145</v>
      </c>
      <c r="P23" s="358"/>
      <c r="Q23" s="359"/>
    </row>
    <row r="24" spans="2:19" x14ac:dyDescent="0.3">
      <c r="B24" s="225" t="s">
        <v>16</v>
      </c>
      <c r="C24" s="225" t="s">
        <v>217</v>
      </c>
      <c r="D24" s="118" t="s">
        <v>17</v>
      </c>
      <c r="E24" s="140">
        <f>CEILING((((725)*1.5)-355),100)</f>
        <v>800</v>
      </c>
      <c r="F24" s="96">
        <v>355</v>
      </c>
      <c r="G24" s="96">
        <v>76.5</v>
      </c>
      <c r="H24" s="96">
        <v>50</v>
      </c>
      <c r="I24" s="97">
        <f>SUM(E24:H24)</f>
        <v>1281.5</v>
      </c>
      <c r="J24" s="96">
        <v>200</v>
      </c>
      <c r="K24" s="97">
        <f>I24+J24</f>
        <v>1481.5</v>
      </c>
      <c r="L24" s="183" t="s">
        <v>218</v>
      </c>
      <c r="M24" s="210" t="s">
        <v>61</v>
      </c>
      <c r="N24" s="95" t="s">
        <v>43</v>
      </c>
      <c r="O24" s="212" t="s">
        <v>215</v>
      </c>
      <c r="P24" s="211"/>
    </row>
    <row r="25" spans="2:19" x14ac:dyDescent="0.3">
      <c r="B25" s="225"/>
      <c r="C25" s="225"/>
      <c r="D25" s="118" t="s">
        <v>22</v>
      </c>
      <c r="E25" s="140">
        <f>CEILING((((1200)*1.4)-289),50)</f>
        <v>1400</v>
      </c>
      <c r="F25" s="96">
        <v>355</v>
      </c>
      <c r="G25" s="96">
        <v>76.5</v>
      </c>
      <c r="H25" s="96">
        <v>50</v>
      </c>
      <c r="I25" s="97">
        <f>SUM(E25:H25)</f>
        <v>1881.5</v>
      </c>
      <c r="J25" s="96">
        <v>200</v>
      </c>
      <c r="K25" s="97">
        <f>I25+J25</f>
        <v>2081.5</v>
      </c>
      <c r="L25" s="183" t="s">
        <v>218</v>
      </c>
      <c r="M25" s="210" t="s">
        <v>61</v>
      </c>
      <c r="N25" s="95" t="s">
        <v>43</v>
      </c>
      <c r="O25" s="212" t="s">
        <v>215</v>
      </c>
      <c r="P25" s="211"/>
    </row>
    <row r="26" spans="2:19" ht="28.8" x14ac:dyDescent="0.3">
      <c r="B26" s="219" t="s">
        <v>219</v>
      </c>
      <c r="C26" s="220"/>
      <c r="D26" s="220"/>
      <c r="E26" s="220"/>
      <c r="F26" s="220"/>
      <c r="G26" s="220"/>
      <c r="H26" s="220"/>
      <c r="I26" s="220"/>
      <c r="J26" s="220"/>
      <c r="K26" s="220"/>
      <c r="L26" s="220"/>
      <c r="M26" s="220"/>
      <c r="N26" s="220"/>
      <c r="O26" s="220"/>
      <c r="P26" s="61"/>
    </row>
    <row r="27" spans="2:19" ht="28.8" x14ac:dyDescent="0.3">
      <c r="B27" s="98" t="s">
        <v>1</v>
      </c>
      <c r="C27" s="223" t="s">
        <v>2</v>
      </c>
      <c r="D27" s="223"/>
      <c r="E27" s="122" t="s">
        <v>3</v>
      </c>
      <c r="F27" s="122" t="s">
        <v>207</v>
      </c>
      <c r="G27" s="122" t="s">
        <v>208</v>
      </c>
      <c r="H27" s="3" t="s">
        <v>96</v>
      </c>
      <c r="I27" s="3" t="s">
        <v>53</v>
      </c>
      <c r="J27" s="3" t="s">
        <v>10</v>
      </c>
      <c r="K27" s="3" t="s">
        <v>11</v>
      </c>
      <c r="L27" s="3" t="s">
        <v>12</v>
      </c>
      <c r="M27" s="122" t="s">
        <v>13</v>
      </c>
      <c r="N27" s="122" t="s">
        <v>14</v>
      </c>
      <c r="O27" s="122" t="s">
        <v>145</v>
      </c>
      <c r="P27" s="61"/>
    </row>
    <row r="28" spans="2:19" ht="15" customHeight="1" x14ac:dyDescent="0.3">
      <c r="B28" s="225" t="s">
        <v>16</v>
      </c>
      <c r="C28" s="225" t="s">
        <v>117</v>
      </c>
      <c r="D28" s="118" t="s">
        <v>17</v>
      </c>
      <c r="E28" s="140">
        <f>CEILING((((490+5+85+15)*1.15)),75)</f>
        <v>750</v>
      </c>
      <c r="F28" s="96">
        <v>259</v>
      </c>
      <c r="G28" s="96">
        <f>60*1.125</f>
        <v>67.5</v>
      </c>
      <c r="H28" s="96">
        <v>60</v>
      </c>
      <c r="I28" s="97">
        <f>SUM(E28:H28)</f>
        <v>1136.5</v>
      </c>
      <c r="J28" s="96">
        <v>200</v>
      </c>
      <c r="K28" s="97">
        <f>I28+J28</f>
        <v>1336.5</v>
      </c>
      <c r="L28" s="183" t="s">
        <v>25</v>
      </c>
      <c r="M28" s="210" t="s">
        <v>61</v>
      </c>
      <c r="N28" s="95" t="s">
        <v>220</v>
      </c>
      <c r="O28" s="187" t="s">
        <v>215</v>
      </c>
      <c r="P28" s="61"/>
    </row>
    <row r="29" spans="2:19" x14ac:dyDescent="0.3">
      <c r="B29" s="225"/>
      <c r="C29" s="225"/>
      <c r="D29" s="118" t="s">
        <v>22</v>
      </c>
      <c r="E29" s="140">
        <f>CEILING((((500+5+175+15)*1.15)),75)</f>
        <v>825</v>
      </c>
      <c r="F29" s="96">
        <v>259</v>
      </c>
      <c r="G29" s="96">
        <f>60*1.125</f>
        <v>67.5</v>
      </c>
      <c r="H29" s="96">
        <v>60</v>
      </c>
      <c r="I29" s="97">
        <f>SUM(E29:H29)</f>
        <v>1211.5</v>
      </c>
      <c r="J29" s="96">
        <v>200</v>
      </c>
      <c r="K29" s="97">
        <f>I29+J29</f>
        <v>1411.5</v>
      </c>
      <c r="L29" s="183" t="s">
        <v>25</v>
      </c>
      <c r="M29" s="210" t="s">
        <v>61</v>
      </c>
      <c r="N29" s="95" t="s">
        <v>220</v>
      </c>
      <c r="O29" s="187" t="s">
        <v>215</v>
      </c>
      <c r="P29" s="61"/>
    </row>
    <row r="31" spans="2:19" ht="15.6" x14ac:dyDescent="0.3">
      <c r="B31" s="5" t="s">
        <v>32</v>
      </c>
      <c r="C31" s="6"/>
      <c r="D31" s="6"/>
      <c r="E31" s="6"/>
      <c r="F31" s="6"/>
      <c r="G31" s="6"/>
      <c r="H31" s="6"/>
      <c r="I31" s="6"/>
      <c r="J31" s="6"/>
      <c r="K31" s="6"/>
      <c r="L31" s="6"/>
      <c r="M31" s="6"/>
      <c r="N31" s="6"/>
      <c r="O31" s="6"/>
      <c r="P31" s="6"/>
      <c r="Q31" s="7"/>
    </row>
    <row r="32" spans="2:19" x14ac:dyDescent="0.3">
      <c r="B32" s="244" t="s">
        <v>33</v>
      </c>
      <c r="C32" s="245"/>
      <c r="D32" s="245"/>
      <c r="E32" s="245"/>
      <c r="F32" s="245"/>
      <c r="G32" s="245"/>
      <c r="H32" s="245"/>
      <c r="I32" s="245"/>
      <c r="J32" s="245"/>
      <c r="K32" s="245"/>
      <c r="L32" s="245"/>
      <c r="M32" s="245"/>
      <c r="N32" s="245"/>
      <c r="O32" s="245"/>
      <c r="P32" s="245"/>
      <c r="Q32" s="246"/>
    </row>
    <row r="33" spans="2:17" x14ac:dyDescent="0.3">
      <c r="B33" s="244"/>
      <c r="C33" s="245"/>
      <c r="D33" s="245"/>
      <c r="E33" s="245"/>
      <c r="F33" s="245"/>
      <c r="G33" s="245"/>
      <c r="H33" s="245"/>
      <c r="I33" s="245"/>
      <c r="J33" s="245"/>
      <c r="K33" s="245"/>
      <c r="L33" s="245"/>
      <c r="M33" s="245"/>
      <c r="N33" s="245"/>
      <c r="O33" s="245"/>
      <c r="P33" s="245"/>
      <c r="Q33" s="246"/>
    </row>
    <row r="34" spans="2:17" x14ac:dyDescent="0.3">
      <c r="B34" s="244"/>
      <c r="C34" s="245"/>
      <c r="D34" s="245"/>
      <c r="E34" s="245"/>
      <c r="F34" s="245"/>
      <c r="G34" s="245"/>
      <c r="H34" s="245"/>
      <c r="I34" s="245"/>
      <c r="J34" s="245"/>
      <c r="K34" s="245"/>
      <c r="L34" s="245"/>
      <c r="M34" s="245"/>
      <c r="N34" s="245"/>
      <c r="O34" s="245"/>
      <c r="P34" s="245"/>
      <c r="Q34" s="246"/>
    </row>
    <row r="35" spans="2:17" x14ac:dyDescent="0.3">
      <c r="B35" s="247"/>
      <c r="C35" s="248"/>
      <c r="D35" s="248"/>
      <c r="E35" s="248"/>
      <c r="F35" s="248"/>
      <c r="G35" s="248"/>
      <c r="H35" s="248"/>
      <c r="I35" s="248"/>
      <c r="J35" s="248"/>
      <c r="K35" s="248"/>
      <c r="L35" s="248"/>
      <c r="M35" s="248"/>
      <c r="N35" s="248"/>
      <c r="O35" s="248"/>
      <c r="P35" s="248"/>
      <c r="Q35" s="249"/>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row r="41" spans="2:17" x14ac:dyDescent="0.3">
      <c r="B41" s="35"/>
      <c r="C41" s="35"/>
      <c r="D41" s="35"/>
      <c r="E41" s="35"/>
      <c r="F41" s="35"/>
      <c r="G41" s="35"/>
      <c r="H41" s="35"/>
      <c r="I41" s="35"/>
      <c r="J41" s="35"/>
      <c r="K41" s="35"/>
      <c r="L41" s="35"/>
      <c r="M41" s="35"/>
      <c r="N41" s="35"/>
      <c r="O41" s="35"/>
      <c r="P41" s="35"/>
      <c r="Q41" s="35"/>
    </row>
    <row r="42" spans="2:17" x14ac:dyDescent="0.3">
      <c r="B42" s="35"/>
      <c r="C42" s="35"/>
      <c r="D42" s="35"/>
      <c r="E42" s="35"/>
      <c r="F42" s="35"/>
      <c r="G42" s="35"/>
      <c r="H42" s="35"/>
      <c r="I42" s="35"/>
      <c r="J42" s="35"/>
      <c r="K42" s="35"/>
      <c r="L42" s="35"/>
      <c r="M42" s="35"/>
      <c r="N42" s="35"/>
      <c r="O42" s="35"/>
      <c r="P42" s="35"/>
      <c r="Q42" s="35"/>
    </row>
  </sheetData>
  <sheetProtection algorithmName="SHA-512" hashValue="uqBaJ23vp8SLcSHAxcJeB7LezyPFl1Qz3pHzcDy0b3a73+IeezQrTHBjaySBzCCwVAhtCa4ax8iBM/yNieTx4A==" saltValue="NmfG5/yd5aaks1QtW7wAFg==" spinCount="100000" sheet="1" objects="1" scenarios="1"/>
  <mergeCells count="25">
    <mergeCell ref="B32:Q35"/>
    <mergeCell ref="C23:D23"/>
    <mergeCell ref="B26:O26"/>
    <mergeCell ref="C27:D27"/>
    <mergeCell ref="B28:B29"/>
    <mergeCell ref="C28:C29"/>
    <mergeCell ref="B24:B25"/>
    <mergeCell ref="C24:C25"/>
    <mergeCell ref="P23:Q23"/>
    <mergeCell ref="P19:Q19"/>
    <mergeCell ref="B18:Q18"/>
    <mergeCell ref="B22:O22"/>
    <mergeCell ref="B7:Q7"/>
    <mergeCell ref="C8:D8"/>
    <mergeCell ref="B10:Q10"/>
    <mergeCell ref="C15:D15"/>
    <mergeCell ref="C19:D19"/>
    <mergeCell ref="B14:R14"/>
    <mergeCell ref="C11:D11"/>
    <mergeCell ref="C20:C21"/>
    <mergeCell ref="B16:B17"/>
    <mergeCell ref="C16:C17"/>
    <mergeCell ref="B20:B21"/>
    <mergeCell ref="B12:B13"/>
    <mergeCell ref="C12:C13"/>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5" t="s">
        <v>221</v>
      </c>
      <c r="C9" s="76"/>
      <c r="D9" s="76"/>
      <c r="E9" s="76"/>
      <c r="F9" s="76"/>
      <c r="G9" s="76"/>
      <c r="H9" s="76"/>
      <c r="I9" s="76"/>
      <c r="J9" s="76"/>
      <c r="K9" s="76"/>
      <c r="L9" s="76"/>
      <c r="M9" s="76"/>
      <c r="N9" s="76"/>
      <c r="O9" s="76"/>
      <c r="P9" s="77"/>
    </row>
    <row r="10" spans="2:16" ht="28.8" x14ac:dyDescent="0.3">
      <c r="B10" s="78" t="s">
        <v>1</v>
      </c>
      <c r="C10" s="372" t="s">
        <v>2</v>
      </c>
      <c r="D10" s="372"/>
      <c r="E10" s="15" t="s">
        <v>3</v>
      </c>
      <c r="F10" s="15" t="s">
        <v>4</v>
      </c>
      <c r="G10" s="15" t="s">
        <v>5</v>
      </c>
      <c r="H10" s="15" t="s">
        <v>6</v>
      </c>
      <c r="I10" s="16" t="s">
        <v>50</v>
      </c>
      <c r="J10" s="16" t="s">
        <v>53</v>
      </c>
      <c r="K10" s="16" t="s">
        <v>10</v>
      </c>
      <c r="L10" s="16" t="s">
        <v>11</v>
      </c>
      <c r="M10" s="16" t="s">
        <v>12</v>
      </c>
      <c r="N10" s="15" t="s">
        <v>13</v>
      </c>
      <c r="O10" s="15" t="s">
        <v>14</v>
      </c>
      <c r="P10" s="79" t="s">
        <v>36</v>
      </c>
    </row>
    <row r="11" spans="2:16" ht="28.8" x14ac:dyDescent="0.3">
      <c r="B11" s="368" t="s">
        <v>222</v>
      </c>
      <c r="C11" s="370" t="s">
        <v>29</v>
      </c>
      <c r="D11" s="45" t="s">
        <v>17</v>
      </c>
      <c r="E11" s="46">
        <v>11500</v>
      </c>
      <c r="F11" s="47">
        <v>335</v>
      </c>
      <c r="G11" s="47">
        <v>76.5</v>
      </c>
      <c r="H11" s="47">
        <v>14</v>
      </c>
      <c r="I11" s="47">
        <v>10</v>
      </c>
      <c r="J11" s="48">
        <f t="shared" ref="J11:J16" si="0">SUM(E11:I11)</f>
        <v>11935.5</v>
      </c>
      <c r="K11" s="24">
        <v>200</v>
      </c>
      <c r="L11" s="48">
        <f t="shared" ref="L11:L27" si="1">SUM(J11:K11)</f>
        <v>12135.5</v>
      </c>
      <c r="M11" s="49" t="s">
        <v>99</v>
      </c>
      <c r="N11" s="50">
        <v>45504</v>
      </c>
      <c r="O11" s="49" t="s">
        <v>108</v>
      </c>
      <c r="P11" s="80" t="s">
        <v>223</v>
      </c>
    </row>
    <row r="12" spans="2:16" ht="28.8" x14ac:dyDescent="0.3">
      <c r="B12" s="373"/>
      <c r="C12" s="370"/>
      <c r="D12" s="45" t="s">
        <v>22</v>
      </c>
      <c r="E12" s="46">
        <v>12000</v>
      </c>
      <c r="F12" s="47">
        <v>335</v>
      </c>
      <c r="G12" s="47">
        <v>76.5</v>
      </c>
      <c r="H12" s="47">
        <v>14</v>
      </c>
      <c r="I12" s="47">
        <v>10</v>
      </c>
      <c r="J12" s="48">
        <f t="shared" si="0"/>
        <v>12435.5</v>
      </c>
      <c r="K12" s="24">
        <v>200</v>
      </c>
      <c r="L12" s="48">
        <f t="shared" si="1"/>
        <v>12635.5</v>
      </c>
      <c r="M12" s="49" t="s">
        <v>99</v>
      </c>
      <c r="N12" s="50">
        <v>45504</v>
      </c>
      <c r="O12" s="49" t="s">
        <v>108</v>
      </c>
      <c r="P12" s="80" t="s">
        <v>223</v>
      </c>
    </row>
    <row r="13" spans="2:16" ht="28.8" x14ac:dyDescent="0.3">
      <c r="B13" s="373"/>
      <c r="C13" s="370" t="s">
        <v>16</v>
      </c>
      <c r="D13" s="45" t="s">
        <v>17</v>
      </c>
      <c r="E13" s="46">
        <v>11500</v>
      </c>
      <c r="F13" s="47">
        <v>335</v>
      </c>
      <c r="G13" s="47">
        <v>76.5</v>
      </c>
      <c r="H13" s="47">
        <v>14</v>
      </c>
      <c r="I13" s="47">
        <v>10</v>
      </c>
      <c r="J13" s="48">
        <f t="shared" si="0"/>
        <v>11935.5</v>
      </c>
      <c r="K13" s="24">
        <v>200</v>
      </c>
      <c r="L13" s="48">
        <f t="shared" si="1"/>
        <v>12135.5</v>
      </c>
      <c r="M13" s="49" t="s">
        <v>99</v>
      </c>
      <c r="N13" s="50">
        <v>45504</v>
      </c>
      <c r="O13" s="49" t="s">
        <v>108</v>
      </c>
      <c r="P13" s="80" t="s">
        <v>223</v>
      </c>
    </row>
    <row r="14" spans="2:16" ht="28.8" x14ac:dyDescent="0.3">
      <c r="B14" s="373"/>
      <c r="C14" s="370"/>
      <c r="D14" s="45" t="s">
        <v>22</v>
      </c>
      <c r="E14" s="46">
        <v>12000</v>
      </c>
      <c r="F14" s="47">
        <v>335</v>
      </c>
      <c r="G14" s="47">
        <v>76.5</v>
      </c>
      <c r="H14" s="47">
        <v>14</v>
      </c>
      <c r="I14" s="47">
        <v>10</v>
      </c>
      <c r="J14" s="48">
        <f t="shared" si="0"/>
        <v>12435.5</v>
      </c>
      <c r="K14" s="24">
        <v>200</v>
      </c>
      <c r="L14" s="48">
        <f t="shared" si="1"/>
        <v>12635.5</v>
      </c>
      <c r="M14" s="49" t="s">
        <v>99</v>
      </c>
      <c r="N14" s="50">
        <v>45504</v>
      </c>
      <c r="O14" s="49" t="s">
        <v>108</v>
      </c>
      <c r="P14" s="80" t="s">
        <v>223</v>
      </c>
    </row>
    <row r="15" spans="2:16" ht="28.8" x14ac:dyDescent="0.3">
      <c r="B15" s="373"/>
      <c r="C15" s="370" t="s">
        <v>29</v>
      </c>
      <c r="D15" s="45" t="s">
        <v>17</v>
      </c>
      <c r="E15" s="46">
        <v>11550</v>
      </c>
      <c r="F15" s="47">
        <v>300</v>
      </c>
      <c r="G15" s="47">
        <v>97.88</v>
      </c>
      <c r="H15" s="47" t="s">
        <v>118</v>
      </c>
      <c r="I15" s="51">
        <v>55</v>
      </c>
      <c r="J15" s="48">
        <f t="shared" si="0"/>
        <v>12002.88</v>
      </c>
      <c r="K15" s="24">
        <v>200</v>
      </c>
      <c r="L15" s="48">
        <f t="shared" si="1"/>
        <v>12202.88</v>
      </c>
      <c r="M15" s="49" t="s">
        <v>99</v>
      </c>
      <c r="N15" s="50">
        <v>45487</v>
      </c>
      <c r="O15" s="49" t="s">
        <v>70</v>
      </c>
      <c r="P15" s="81" t="s">
        <v>224</v>
      </c>
    </row>
    <row r="16" spans="2:16" ht="28.8" x14ac:dyDescent="0.3">
      <c r="B16" s="373"/>
      <c r="C16" s="370"/>
      <c r="D16" s="45" t="s">
        <v>22</v>
      </c>
      <c r="E16" s="46">
        <v>11750</v>
      </c>
      <c r="F16" s="47">
        <v>300</v>
      </c>
      <c r="G16" s="47">
        <v>97.88</v>
      </c>
      <c r="H16" s="47" t="s">
        <v>118</v>
      </c>
      <c r="I16" s="51">
        <v>55</v>
      </c>
      <c r="J16" s="48">
        <f t="shared" si="0"/>
        <v>12202.88</v>
      </c>
      <c r="K16" s="24">
        <v>200</v>
      </c>
      <c r="L16" s="48">
        <f>SUM(J16:K16)</f>
        <v>12402.88</v>
      </c>
      <c r="M16" s="49" t="s">
        <v>99</v>
      </c>
      <c r="N16" s="50">
        <v>45487</v>
      </c>
      <c r="O16" s="49" t="s">
        <v>70</v>
      </c>
      <c r="P16" s="81" t="s">
        <v>224</v>
      </c>
    </row>
    <row r="17" spans="2:16" ht="28.8" x14ac:dyDescent="0.3">
      <c r="B17" s="373"/>
      <c r="C17" s="370" t="s">
        <v>29</v>
      </c>
      <c r="D17" s="45" t="s">
        <v>17</v>
      </c>
      <c r="E17" s="46">
        <v>10900</v>
      </c>
      <c r="F17" s="47">
        <v>259</v>
      </c>
      <c r="G17" s="47">
        <v>61.88</v>
      </c>
      <c r="H17" s="47" t="s">
        <v>118</v>
      </c>
      <c r="I17" s="47" t="s">
        <v>118</v>
      </c>
      <c r="J17" s="48">
        <f>SUM(F17:I17)</f>
        <v>320.88</v>
      </c>
      <c r="K17" s="24">
        <v>200</v>
      </c>
      <c r="L17" s="48">
        <f t="shared" ref="L17:L18" si="2">SUM(J17:K17)</f>
        <v>520.88</v>
      </c>
      <c r="M17" s="49" t="s">
        <v>99</v>
      </c>
      <c r="N17" s="50">
        <v>45487</v>
      </c>
      <c r="O17" s="49" t="s">
        <v>62</v>
      </c>
      <c r="P17" s="80" t="s">
        <v>225</v>
      </c>
    </row>
    <row r="18" spans="2:16" ht="28.8" x14ac:dyDescent="0.3">
      <c r="B18" s="373"/>
      <c r="C18" s="370"/>
      <c r="D18" s="45" t="s">
        <v>22</v>
      </c>
      <c r="E18" s="46">
        <v>11900</v>
      </c>
      <c r="F18" s="47">
        <v>259</v>
      </c>
      <c r="G18" s="47">
        <v>61.88</v>
      </c>
      <c r="H18" s="47" t="s">
        <v>118</v>
      </c>
      <c r="I18" s="47" t="s">
        <v>118</v>
      </c>
      <c r="J18" s="48">
        <f>SUM(F18:I18)</f>
        <v>320.88</v>
      </c>
      <c r="K18" s="24">
        <v>200</v>
      </c>
      <c r="L18" s="48">
        <f t="shared" si="2"/>
        <v>520.88</v>
      </c>
      <c r="M18" s="49" t="s">
        <v>99</v>
      </c>
      <c r="N18" s="50">
        <v>45487</v>
      </c>
      <c r="O18" s="49" t="s">
        <v>62</v>
      </c>
      <c r="P18" s="80" t="s">
        <v>225</v>
      </c>
    </row>
    <row r="19" spans="2:16" ht="43.2" x14ac:dyDescent="0.3">
      <c r="B19" s="373"/>
      <c r="C19" s="370" t="s">
        <v>29</v>
      </c>
      <c r="D19" s="45" t="s">
        <v>17</v>
      </c>
      <c r="E19" s="46">
        <v>10900</v>
      </c>
      <c r="F19" s="47">
        <v>270</v>
      </c>
      <c r="G19" s="47">
        <v>70</v>
      </c>
      <c r="H19" s="51">
        <v>18</v>
      </c>
      <c r="I19" s="47" t="s">
        <v>118</v>
      </c>
      <c r="J19" s="48">
        <f>SUM(E19:I19)</f>
        <v>11258</v>
      </c>
      <c r="K19" s="24">
        <v>200</v>
      </c>
      <c r="L19" s="48">
        <f t="shared" si="1"/>
        <v>11458</v>
      </c>
      <c r="M19" s="49" t="s">
        <v>99</v>
      </c>
      <c r="N19" s="50">
        <v>45487</v>
      </c>
      <c r="O19" s="49" t="s">
        <v>46</v>
      </c>
      <c r="P19" s="80" t="s">
        <v>226</v>
      </c>
    </row>
    <row r="20" spans="2:16" ht="43.2" x14ac:dyDescent="0.3">
      <c r="B20" s="369"/>
      <c r="C20" s="370"/>
      <c r="D20" s="45" t="s">
        <v>22</v>
      </c>
      <c r="E20" s="46">
        <v>12350</v>
      </c>
      <c r="F20" s="47">
        <v>270</v>
      </c>
      <c r="G20" s="47">
        <v>70</v>
      </c>
      <c r="H20" s="51">
        <v>18</v>
      </c>
      <c r="I20" s="47" t="s">
        <v>118</v>
      </c>
      <c r="J20" s="48">
        <f>SUM(E20:I20)</f>
        <v>12708</v>
      </c>
      <c r="K20" s="24">
        <v>200</v>
      </c>
      <c r="L20" s="48">
        <f t="shared" si="1"/>
        <v>12908</v>
      </c>
      <c r="M20" s="49" t="s">
        <v>99</v>
      </c>
      <c r="N20" s="50">
        <v>45487</v>
      </c>
      <c r="O20" s="49" t="s">
        <v>46</v>
      </c>
      <c r="P20" s="80" t="s">
        <v>226</v>
      </c>
    </row>
    <row r="21" spans="2:16" ht="28.8" x14ac:dyDescent="0.3">
      <c r="B21" s="368" t="s">
        <v>227</v>
      </c>
      <c r="C21" s="370" t="s">
        <v>29</v>
      </c>
      <c r="D21" s="45" t="s">
        <v>17</v>
      </c>
      <c r="E21" s="46">
        <v>11650</v>
      </c>
      <c r="F21" s="47">
        <v>335</v>
      </c>
      <c r="G21" s="47">
        <v>76.5</v>
      </c>
      <c r="H21" s="47">
        <v>14</v>
      </c>
      <c r="I21" s="47">
        <v>10</v>
      </c>
      <c r="J21" s="48">
        <f>SUM(E21:I21)</f>
        <v>12085.5</v>
      </c>
      <c r="K21" s="24">
        <v>200</v>
      </c>
      <c r="L21" s="48">
        <f t="shared" si="1"/>
        <v>12285.5</v>
      </c>
      <c r="M21" s="49" t="s">
        <v>99</v>
      </c>
      <c r="N21" s="50">
        <v>45504</v>
      </c>
      <c r="O21" s="49" t="s">
        <v>108</v>
      </c>
      <c r="P21" s="80" t="s">
        <v>223</v>
      </c>
    </row>
    <row r="22" spans="2:16" ht="28.8" x14ac:dyDescent="0.3">
      <c r="B22" s="369"/>
      <c r="C22" s="370"/>
      <c r="D22" s="45" t="s">
        <v>22</v>
      </c>
      <c r="E22" s="46">
        <v>12300</v>
      </c>
      <c r="F22" s="47">
        <v>335</v>
      </c>
      <c r="G22" s="47">
        <v>76.5</v>
      </c>
      <c r="H22" s="47">
        <v>14</v>
      </c>
      <c r="I22" s="47">
        <v>10</v>
      </c>
      <c r="J22" s="48">
        <f>SUM(E22:I22)</f>
        <v>12735.5</v>
      </c>
      <c r="K22" s="24">
        <v>200</v>
      </c>
      <c r="L22" s="48">
        <f t="shared" si="1"/>
        <v>12935.5</v>
      </c>
      <c r="M22" s="49" t="s">
        <v>99</v>
      </c>
      <c r="N22" s="50">
        <v>45504</v>
      </c>
      <c r="O22" s="49" t="s">
        <v>108</v>
      </c>
      <c r="P22" s="80" t="s">
        <v>223</v>
      </c>
    </row>
    <row r="23" spans="2:16" ht="28.8" x14ac:dyDescent="0.3">
      <c r="B23" s="368" t="s">
        <v>228</v>
      </c>
      <c r="C23" s="370" t="s">
        <v>29</v>
      </c>
      <c r="D23" s="45" t="s">
        <v>17</v>
      </c>
      <c r="E23" s="46">
        <v>11800</v>
      </c>
      <c r="F23" s="47">
        <v>270</v>
      </c>
      <c r="G23" s="47">
        <v>70</v>
      </c>
      <c r="H23" s="47" t="s">
        <v>118</v>
      </c>
      <c r="I23" s="47" t="s">
        <v>118</v>
      </c>
      <c r="J23" s="48">
        <f t="shared" ref="J23:J25" si="3">SUM(E23:I23)</f>
        <v>12140</v>
      </c>
      <c r="K23" s="24">
        <v>200</v>
      </c>
      <c r="L23" s="48">
        <f t="shared" si="1"/>
        <v>12340</v>
      </c>
      <c r="M23" s="49" t="s">
        <v>99</v>
      </c>
      <c r="N23" s="50">
        <v>45504</v>
      </c>
      <c r="O23" s="49" t="s">
        <v>46</v>
      </c>
      <c r="P23" s="80" t="s">
        <v>229</v>
      </c>
    </row>
    <row r="24" spans="2:16" ht="28.8" x14ac:dyDescent="0.3">
      <c r="B24" s="369"/>
      <c r="C24" s="370"/>
      <c r="D24" s="45" t="s">
        <v>22</v>
      </c>
      <c r="E24" s="46">
        <v>13500</v>
      </c>
      <c r="F24" s="47">
        <v>270</v>
      </c>
      <c r="G24" s="47">
        <v>70</v>
      </c>
      <c r="H24" s="47" t="s">
        <v>118</v>
      </c>
      <c r="I24" s="47" t="s">
        <v>118</v>
      </c>
      <c r="J24" s="48">
        <f t="shared" si="3"/>
        <v>13840</v>
      </c>
      <c r="K24" s="24">
        <v>200</v>
      </c>
      <c r="L24" s="48">
        <f t="shared" si="1"/>
        <v>14040</v>
      </c>
      <c r="M24" s="74" t="s">
        <v>99</v>
      </c>
      <c r="N24" s="50">
        <v>45504</v>
      </c>
      <c r="O24" s="49" t="s">
        <v>46</v>
      </c>
      <c r="P24" s="80" t="s">
        <v>229</v>
      </c>
    </row>
    <row r="25" spans="2:16" ht="28.8" hidden="1" x14ac:dyDescent="0.3">
      <c r="B25" s="224" t="s">
        <v>230</v>
      </c>
      <c r="C25" s="225" t="s">
        <v>29</v>
      </c>
      <c r="D25" s="40" t="s">
        <v>17</v>
      </c>
      <c r="E25" s="83">
        <v>5300</v>
      </c>
      <c r="F25" s="56">
        <v>259</v>
      </c>
      <c r="G25" s="56">
        <v>60</v>
      </c>
      <c r="H25" s="56" t="s">
        <v>118</v>
      </c>
      <c r="I25" s="56" t="s">
        <v>118</v>
      </c>
      <c r="J25" s="58">
        <f t="shared" si="3"/>
        <v>5619</v>
      </c>
      <c r="K25" s="24">
        <v>200</v>
      </c>
      <c r="L25" s="58">
        <f t="shared" si="1"/>
        <v>5819</v>
      </c>
      <c r="M25" s="59" t="s">
        <v>231</v>
      </c>
      <c r="N25" s="60">
        <v>45493</v>
      </c>
      <c r="O25" s="53" t="s">
        <v>232</v>
      </c>
      <c r="P25" s="84" t="s">
        <v>233</v>
      </c>
    </row>
    <row r="26" spans="2:16" ht="28.8" hidden="1" x14ac:dyDescent="0.3">
      <c r="B26" s="224"/>
      <c r="C26" s="225"/>
      <c r="D26" s="40" t="s">
        <v>22</v>
      </c>
      <c r="E26" s="83">
        <v>7500</v>
      </c>
      <c r="F26" s="56">
        <v>259</v>
      </c>
      <c r="G26" s="56">
        <v>60</v>
      </c>
      <c r="H26" s="56" t="s">
        <v>118</v>
      </c>
      <c r="I26" s="56" t="s">
        <v>118</v>
      </c>
      <c r="J26" s="58">
        <f>SUM(E26:I26)</f>
        <v>7819</v>
      </c>
      <c r="K26" s="24">
        <v>200</v>
      </c>
      <c r="L26" s="58">
        <f t="shared" si="1"/>
        <v>8019</v>
      </c>
      <c r="M26" s="59" t="s">
        <v>231</v>
      </c>
      <c r="N26" s="60">
        <v>45493</v>
      </c>
      <c r="O26" s="53" t="s">
        <v>232</v>
      </c>
      <c r="P26" s="84" t="s">
        <v>233</v>
      </c>
    </row>
    <row r="27" spans="2:16" ht="15" thickBot="1" x14ac:dyDescent="0.35">
      <c r="B27" s="327"/>
      <c r="C27" s="371"/>
      <c r="D27" s="85" t="s">
        <v>17</v>
      </c>
      <c r="E27" s="86">
        <v>14200</v>
      </c>
      <c r="F27" s="87">
        <v>335</v>
      </c>
      <c r="G27" s="87">
        <v>76.5</v>
      </c>
      <c r="H27" s="87">
        <v>14</v>
      </c>
      <c r="I27" s="87">
        <v>10</v>
      </c>
      <c r="J27" s="88">
        <f>SUM(E27:I27)</f>
        <v>14635.5</v>
      </c>
      <c r="K27" s="82">
        <v>200</v>
      </c>
      <c r="L27" s="88">
        <f t="shared" si="1"/>
        <v>14835.5</v>
      </c>
      <c r="M27" s="89" t="s">
        <v>99</v>
      </c>
      <c r="N27" s="90">
        <v>45493</v>
      </c>
      <c r="O27" s="91" t="s">
        <v>108</v>
      </c>
      <c r="P27" s="92" t="s">
        <v>234</v>
      </c>
    </row>
    <row r="28" spans="2:16" ht="15" thickBot="1" x14ac:dyDescent="0.35">
      <c r="B28" s="27"/>
      <c r="C28" s="27"/>
      <c r="D28" s="28"/>
      <c r="E28" s="29"/>
      <c r="F28" s="30"/>
      <c r="G28" s="30"/>
      <c r="H28" s="30"/>
      <c r="I28" s="30"/>
      <c r="J28" s="31"/>
      <c r="K28" s="32"/>
      <c r="L28" s="31"/>
      <c r="M28" s="33"/>
      <c r="N28" s="34"/>
      <c r="O28" s="28"/>
    </row>
    <row r="29" spans="2:16" ht="15.6" x14ac:dyDescent="0.3">
      <c r="B29" s="360" t="s">
        <v>32</v>
      </c>
      <c r="C29" s="361"/>
      <c r="D29" s="361"/>
      <c r="E29" s="361"/>
      <c r="F29" s="361"/>
      <c r="G29" s="361"/>
      <c r="H29" s="361"/>
      <c r="I29" s="361"/>
      <c r="J29" s="361"/>
      <c r="K29" s="361"/>
      <c r="L29" s="361"/>
      <c r="M29" s="361"/>
      <c r="N29" s="361"/>
      <c r="O29" s="361"/>
      <c r="P29" s="362"/>
    </row>
    <row r="30" spans="2:16" x14ac:dyDescent="0.3">
      <c r="B30" s="363" t="s">
        <v>33</v>
      </c>
      <c r="C30" s="245"/>
      <c r="D30" s="245"/>
      <c r="E30" s="245"/>
      <c r="F30" s="245"/>
      <c r="G30" s="245"/>
      <c r="H30" s="245"/>
      <c r="I30" s="245"/>
      <c r="J30" s="245"/>
      <c r="K30" s="245"/>
      <c r="L30" s="245"/>
      <c r="M30" s="245"/>
      <c r="N30" s="245"/>
      <c r="O30" s="245"/>
      <c r="P30" s="364"/>
    </row>
    <row r="31" spans="2:16" x14ac:dyDescent="0.3">
      <c r="B31" s="363"/>
      <c r="C31" s="245"/>
      <c r="D31" s="245"/>
      <c r="E31" s="245"/>
      <c r="F31" s="245"/>
      <c r="G31" s="245"/>
      <c r="H31" s="245"/>
      <c r="I31" s="245"/>
      <c r="J31" s="245"/>
      <c r="K31" s="245"/>
      <c r="L31" s="245"/>
      <c r="M31" s="245"/>
      <c r="N31" s="245"/>
      <c r="O31" s="245"/>
      <c r="P31" s="364"/>
    </row>
    <row r="32" spans="2:16" x14ac:dyDescent="0.3">
      <c r="B32" s="363"/>
      <c r="C32" s="245"/>
      <c r="D32" s="245"/>
      <c r="E32" s="245"/>
      <c r="F32" s="245"/>
      <c r="G32" s="245"/>
      <c r="H32" s="245"/>
      <c r="I32" s="245"/>
      <c r="J32" s="245"/>
      <c r="K32" s="245"/>
      <c r="L32" s="245"/>
      <c r="M32" s="245"/>
      <c r="N32" s="245"/>
      <c r="O32" s="245"/>
      <c r="P32" s="364"/>
    </row>
    <row r="33" spans="2:16" ht="15" thickBot="1" x14ac:dyDescent="0.35">
      <c r="B33" s="365"/>
      <c r="C33" s="366"/>
      <c r="D33" s="366"/>
      <c r="E33" s="366"/>
      <c r="F33" s="366"/>
      <c r="G33" s="366"/>
      <c r="H33" s="366"/>
      <c r="I33" s="366"/>
      <c r="J33" s="366"/>
      <c r="K33" s="366"/>
      <c r="L33" s="366"/>
      <c r="M33" s="366"/>
      <c r="N33" s="366"/>
      <c r="O33" s="366"/>
      <c r="P33" s="367"/>
    </row>
  </sheetData>
  <mergeCells count="15">
    <mergeCell ref="C10:D10"/>
    <mergeCell ref="B11:B20"/>
    <mergeCell ref="C11:C12"/>
    <mergeCell ref="C13:C14"/>
    <mergeCell ref="C15:C16"/>
    <mergeCell ref="C17:C18"/>
    <mergeCell ref="C19:C20"/>
    <mergeCell ref="B29:P29"/>
    <mergeCell ref="B30:P33"/>
    <mergeCell ref="B21:B22"/>
    <mergeCell ref="C21:C22"/>
    <mergeCell ref="B23:B24"/>
    <mergeCell ref="C23:C24"/>
    <mergeCell ref="B25:B27"/>
    <mergeCell ref="C25:C27"/>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3.xml><?xml version="1.0" encoding="utf-8"?>
<ds:datastoreItem xmlns:ds="http://schemas.openxmlformats.org/officeDocument/2006/customXml" ds:itemID="{6AAFA3EB-B8AB-4135-B122-0B0233A6C0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2026-09-23T19:57:32Z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