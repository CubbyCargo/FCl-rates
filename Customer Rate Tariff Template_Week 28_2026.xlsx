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1EA0FAAA-FFF6-42C7-9189-390F5A85A304}" xr6:coauthVersionLast="47" xr6:coauthVersionMax="47" xr10:uidLastSave="{00000000-0000-0000-0000-000000000000}"/>
  <bookViews>
    <workbookView xWindow="-108" yWindow="-108" windowWidth="23256" windowHeight="12456" activeTab="2" xr2:uid="{493693A0-0616-4273-B364-7C8DEB21885C}"/>
  </bookViews>
  <sheets>
    <sheet name="TT" sheetId="28" r:id="rId1"/>
    <sheet name="GUY" sheetId="25" r:id="rId2"/>
    <sheet name="SUR" sheetId="21" r:id="rId3"/>
    <sheet name="Trinidad Exports" sheetId="27" r:id="rId4"/>
    <sheet name="Print FE-TT" sheetId="16" state="hidden" r:id="rId5"/>
  </sheet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3" i="28" l="1"/>
  <c r="E102" i="28"/>
  <c r="E95" i="28"/>
  <c r="E94" i="28"/>
  <c r="E99" i="28"/>
  <c r="E98" i="28"/>
  <c r="E91" i="28"/>
  <c r="E90" i="28"/>
  <c r="E87" i="28"/>
  <c r="E86" i="28"/>
  <c r="E83" i="28"/>
  <c r="E82" i="28"/>
  <c r="E79" i="28"/>
  <c r="E78" i="28"/>
  <c r="E77" i="28"/>
  <c r="E76" i="28"/>
  <c r="E75" i="28"/>
  <c r="E74" i="28"/>
  <c r="E71" i="28"/>
  <c r="E70" i="28"/>
  <c r="E69" i="28"/>
  <c r="E68" i="28"/>
  <c r="E65" i="28"/>
  <c r="E64" i="28"/>
  <c r="E61" i="28"/>
  <c r="E60" i="28"/>
  <c r="E59" i="28"/>
  <c r="E58" i="28"/>
  <c r="E23" i="27"/>
  <c r="E22" i="27"/>
  <c r="E80" i="21"/>
  <c r="E79" i="21"/>
  <c r="E75" i="21"/>
  <c r="E74" i="21"/>
  <c r="E71" i="21"/>
  <c r="E70" i="21"/>
  <c r="E67" i="21"/>
  <c r="E66" i="21"/>
  <c r="E63" i="21"/>
  <c r="E62" i="21"/>
  <c r="E59" i="21"/>
  <c r="E58" i="21"/>
  <c r="E60" i="25"/>
  <c r="E59" i="25"/>
  <c r="E58" i="25"/>
  <c r="E57" i="25"/>
  <c r="E67" i="28"/>
  <c r="E66" i="28"/>
  <c r="E73" i="28"/>
  <c r="E72" i="28"/>
  <c r="E63" i="28"/>
  <c r="E62" i="28"/>
  <c r="L58" i="28"/>
  <c r="N58" i="28"/>
  <c r="E39" i="25"/>
  <c r="E37" i="25"/>
  <c r="E36" i="25"/>
  <c r="E40" i="28"/>
  <c r="E38" i="28"/>
  <c r="E37" i="28"/>
  <c r="K188" i="28"/>
  <c r="M188" i="28"/>
  <c r="K189" i="28"/>
  <c r="M189" i="28"/>
  <c r="E76" i="25"/>
  <c r="E75" i="25"/>
  <c r="E72" i="25"/>
  <c r="E71" i="25"/>
  <c r="E68" i="25"/>
  <c r="E67" i="25"/>
  <c r="E64" i="25"/>
  <c r="E63" i="25"/>
  <c r="E62" i="25"/>
  <c r="E61" i="25"/>
  <c r="L176" i="28"/>
  <c r="N176" i="28"/>
  <c r="L175" i="28"/>
  <c r="N175" i="28"/>
  <c r="L59" i="28"/>
  <c r="N59" i="28"/>
  <c r="K163" i="28"/>
  <c r="M163" i="28"/>
  <c r="K162" i="28"/>
  <c r="M162" i="28"/>
  <c r="I39" i="25"/>
  <c r="K39" i="25"/>
  <c r="I38" i="25"/>
  <c r="K38" i="25"/>
  <c r="I37" i="25"/>
  <c r="K37" i="25"/>
  <c r="I36" i="25"/>
  <c r="K36" i="25"/>
  <c r="K134" i="21"/>
  <c r="M134" i="21"/>
  <c r="K133" i="21"/>
  <c r="M133" i="21"/>
  <c r="J128" i="25"/>
  <c r="L128" i="25"/>
  <c r="J127" i="25"/>
  <c r="L127" i="25"/>
  <c r="K144" i="28"/>
  <c r="M144" i="28"/>
  <c r="K143" i="28"/>
  <c r="M143" i="28"/>
  <c r="L95" i="28"/>
  <c r="N95" i="28"/>
  <c r="L94" i="28"/>
  <c r="N94" i="28"/>
  <c r="L90" i="28"/>
  <c r="N90" i="28"/>
  <c r="L87" i="28"/>
  <c r="N87" i="28"/>
  <c r="L86" i="28"/>
  <c r="N86" i="28"/>
  <c r="L82" i="28"/>
  <c r="N82" i="28"/>
  <c r="L67" i="28"/>
  <c r="N67" i="28"/>
  <c r="L66" i="28"/>
  <c r="N66" i="28"/>
  <c r="L63" i="28"/>
  <c r="N63" i="28"/>
  <c r="L62" i="28"/>
  <c r="N62" i="28"/>
  <c r="L76" i="28"/>
  <c r="N76" i="28"/>
  <c r="L71" i="28"/>
  <c r="N71" i="28"/>
  <c r="L70" i="28"/>
  <c r="N70" i="28"/>
  <c r="L69" i="28"/>
  <c r="N69" i="28"/>
  <c r="L64" i="28"/>
  <c r="N64" i="28"/>
  <c r="L61" i="28"/>
  <c r="N61" i="28"/>
  <c r="L60" i="28"/>
  <c r="N60" i="28"/>
  <c r="J76" i="25"/>
  <c r="L76" i="25"/>
  <c r="J75" i="25"/>
  <c r="L75" i="25"/>
  <c r="I40" i="28"/>
  <c r="K40" i="28"/>
  <c r="I38" i="28"/>
  <c r="K38" i="28"/>
  <c r="I37" i="28"/>
  <c r="K37" i="28"/>
  <c r="K80" i="21"/>
  <c r="M80" i="21"/>
  <c r="K79" i="21"/>
  <c r="M79" i="21"/>
  <c r="K75" i="21"/>
  <c r="M75" i="21"/>
  <c r="K74" i="21"/>
  <c r="M74" i="21"/>
  <c r="K71" i="21"/>
  <c r="M71" i="21"/>
  <c r="K70" i="21"/>
  <c r="M70" i="21"/>
  <c r="K58" i="21"/>
  <c r="M58" i="21"/>
  <c r="J63" i="25"/>
  <c r="L63" i="25"/>
  <c r="J62" i="25"/>
  <c r="L62" i="25"/>
  <c r="L91" i="28"/>
  <c r="N91" i="28"/>
  <c r="L72" i="28"/>
  <c r="N72" i="28"/>
  <c r="L65" i="28"/>
  <c r="N65" i="28"/>
  <c r="E16" i="21"/>
  <c r="E15" i="21"/>
  <c r="K15" i="21"/>
  <c r="M15" i="21"/>
  <c r="E14" i="21"/>
  <c r="E13" i="21"/>
  <c r="E12" i="21"/>
  <c r="E11" i="21"/>
  <c r="E21" i="28"/>
  <c r="E20" i="28"/>
  <c r="E19" i="28"/>
  <c r="K19" i="28"/>
  <c r="M19" i="28"/>
  <c r="E18" i="28"/>
  <c r="K18" i="28"/>
  <c r="M18" i="28"/>
  <c r="E17" i="28"/>
  <c r="K17" i="28"/>
  <c r="M17" i="28"/>
  <c r="E16" i="28"/>
  <c r="K16" i="28"/>
  <c r="M16" i="28"/>
  <c r="E15" i="28"/>
  <c r="K15" i="28"/>
  <c r="M15" i="28"/>
  <c r="E14" i="28"/>
  <c r="E18" i="25"/>
  <c r="E17" i="25"/>
  <c r="K17" i="25"/>
  <c r="M17" i="25"/>
  <c r="E16" i="25"/>
  <c r="E15" i="25"/>
  <c r="E14" i="25"/>
  <c r="K14" i="25"/>
  <c r="M14" i="25"/>
  <c r="E13" i="25"/>
  <c r="E12" i="25"/>
  <c r="K12" i="25"/>
  <c r="M12" i="25"/>
  <c r="E11" i="25"/>
  <c r="E13" i="28"/>
  <c r="E12" i="28"/>
  <c r="E136" i="21"/>
  <c r="K136" i="21"/>
  <c r="E135" i="21"/>
  <c r="K135" i="21"/>
  <c r="M135" i="21"/>
  <c r="M136" i="21"/>
  <c r="K146" i="28"/>
  <c r="M146" i="28"/>
  <c r="E130" i="25"/>
  <c r="J130" i="25"/>
  <c r="L130" i="25"/>
  <c r="E129" i="25"/>
  <c r="J129" i="25"/>
  <c r="L129" i="25"/>
  <c r="J19" i="27"/>
  <c r="L19" i="27"/>
  <c r="J18" i="27"/>
  <c r="L18" i="27"/>
  <c r="I39" i="28"/>
  <c r="K39" i="28"/>
  <c r="E137" i="28"/>
  <c r="K137" i="28"/>
  <c r="E138" i="28"/>
  <c r="K138" i="28"/>
  <c r="M138" i="28"/>
  <c r="K145" i="28"/>
  <c r="M145" i="28"/>
  <c r="K136" i="28"/>
  <c r="I120" i="28"/>
  <c r="K120" i="28"/>
  <c r="I121" i="28"/>
  <c r="K121" i="28"/>
  <c r="L68" i="28"/>
  <c r="N68" i="28"/>
  <c r="L73" i="28"/>
  <c r="N73" i="28"/>
  <c r="L74" i="28"/>
  <c r="N74" i="28"/>
  <c r="L75" i="28"/>
  <c r="N75" i="28"/>
  <c r="L77" i="28"/>
  <c r="N77" i="28"/>
  <c r="L78" i="28"/>
  <c r="N78" i="28"/>
  <c r="L79" i="28"/>
  <c r="N79" i="28"/>
  <c r="L83" i="28"/>
  <c r="N83" i="28"/>
  <c r="L98" i="28"/>
  <c r="N98" i="28"/>
  <c r="L99" i="28"/>
  <c r="N99" i="28"/>
  <c r="L102" i="28"/>
  <c r="N102" i="28"/>
  <c r="L103" i="28"/>
  <c r="N103" i="28"/>
  <c r="K10" i="28"/>
  <c r="M10" i="28"/>
  <c r="K11" i="28"/>
  <c r="M11" i="28"/>
  <c r="K12" i="28"/>
  <c r="M12" i="28"/>
  <c r="K13" i="28"/>
  <c r="M13" i="28"/>
  <c r="K14" i="28"/>
  <c r="M14" i="28"/>
  <c r="K20" i="28"/>
  <c r="M20" i="28"/>
  <c r="K21" i="28"/>
  <c r="M21" i="28"/>
  <c r="L11" i="27"/>
  <c r="L10" i="27"/>
  <c r="J61" i="25"/>
  <c r="L61" i="25"/>
  <c r="G27" i="27"/>
  <c r="G26" i="27"/>
  <c r="E27" i="27"/>
  <c r="E26" i="27"/>
  <c r="I27" i="27"/>
  <c r="K27" i="27"/>
  <c r="I26" i="27"/>
  <c r="K26" i="27"/>
  <c r="I23" i="27"/>
  <c r="K23" i="27"/>
  <c r="I22" i="27"/>
  <c r="K22" i="27"/>
  <c r="N14" i="27"/>
  <c r="N15" i="27"/>
  <c r="P15" i="27"/>
  <c r="P14" i="27"/>
  <c r="N11" i="27"/>
  <c r="N10" i="27"/>
  <c r="K59" i="21"/>
  <c r="M59" i="21"/>
  <c r="J72" i="25"/>
  <c r="L72" i="25"/>
  <c r="J71" i="25"/>
  <c r="L71" i="25"/>
  <c r="J68" i="25"/>
  <c r="L68" i="25"/>
  <c r="J67" i="25"/>
  <c r="L67" i="25"/>
  <c r="J64" i="25"/>
  <c r="L64" i="25"/>
  <c r="J58" i="25"/>
  <c r="L58" i="25"/>
  <c r="J57" i="25"/>
  <c r="L57" i="25"/>
  <c r="J60" i="25"/>
  <c r="L60" i="25"/>
  <c r="J59" i="25"/>
  <c r="L59" i="25"/>
  <c r="K115" i="21"/>
  <c r="M115" i="21"/>
  <c r="K114" i="21"/>
  <c r="M114" i="21"/>
  <c r="K67" i="21"/>
  <c r="M67" i="21"/>
  <c r="K66" i="21"/>
  <c r="M66" i="21"/>
  <c r="K63" i="21"/>
  <c r="M63" i="21"/>
  <c r="K62" i="21"/>
  <c r="M62" i="21"/>
  <c r="K11" i="21"/>
  <c r="M11" i="21"/>
  <c r="J115" i="25"/>
  <c r="L115" i="25"/>
  <c r="J114" i="25"/>
  <c r="L114" i="25"/>
  <c r="J95" i="25"/>
  <c r="L95" i="25"/>
  <c r="J94" i="25"/>
  <c r="L94" i="25"/>
  <c r="VGO67" i="25"/>
  <c r="VGQ67" i="25"/>
  <c r="VFY67" i="25"/>
  <c r="VGA67" i="25"/>
  <c r="VFI67" i="25"/>
  <c r="VFK67" i="25"/>
  <c r="VES67" i="25"/>
  <c r="VEU67" i="25"/>
  <c r="VEC67" i="25"/>
  <c r="VEE67" i="25"/>
  <c r="VDM67" i="25"/>
  <c r="VDO67" i="25"/>
  <c r="VCW67" i="25"/>
  <c r="VCY67" i="25"/>
  <c r="VCG67" i="25"/>
  <c r="VCI67" i="25"/>
  <c r="VBQ67" i="25"/>
  <c r="VBS67" i="25"/>
  <c r="VBA67" i="25"/>
  <c r="VBC67" i="25"/>
  <c r="VAK67" i="25"/>
  <c r="VAM67" i="25"/>
  <c r="UZU67" i="25"/>
  <c r="UZW67" i="25"/>
  <c r="UZE67" i="25"/>
  <c r="UZG67" i="25"/>
  <c r="UYO67" i="25"/>
  <c r="UYQ67" i="25"/>
  <c r="UXY67" i="25"/>
  <c r="UYA67" i="25"/>
  <c r="UXI67" i="25"/>
  <c r="UXK67" i="25"/>
  <c r="UWS67" i="25"/>
  <c r="UWU67" i="25"/>
  <c r="UWC67" i="25"/>
  <c r="UWE67" i="25"/>
  <c r="UVM67" i="25"/>
  <c r="UVO67" i="25"/>
  <c r="UUW67" i="25"/>
  <c r="UUY67" i="25"/>
  <c r="UUG67" i="25"/>
  <c r="UUI67" i="25"/>
  <c r="UTQ67" i="25"/>
  <c r="UTS67" i="25"/>
  <c r="UTA67" i="25"/>
  <c r="UTC67" i="25"/>
  <c r="USK67" i="25"/>
  <c r="USM67" i="25"/>
  <c r="URU67" i="25"/>
  <c r="URW67" i="25"/>
  <c r="URE67" i="25"/>
  <c r="URG67" i="25"/>
  <c r="UQO67" i="25"/>
  <c r="UQQ67" i="25"/>
  <c r="UPY67" i="25"/>
  <c r="UQA67" i="25"/>
  <c r="UPI67" i="25"/>
  <c r="UPK67" i="25"/>
  <c r="UOS67" i="25"/>
  <c r="UOU67" i="25"/>
  <c r="UOC67" i="25"/>
  <c r="UOE67" i="25"/>
  <c r="UNM67" i="25"/>
  <c r="UNO67" i="25"/>
  <c r="UMW67" i="25"/>
  <c r="UMY67" i="25"/>
  <c r="UMG67" i="25"/>
  <c r="UMI67" i="25"/>
  <c r="ULQ67" i="25"/>
  <c r="ULS67" i="25"/>
  <c r="ULA67" i="25"/>
  <c r="ULC67" i="25"/>
  <c r="UKK67" i="25"/>
  <c r="UKM67" i="25"/>
  <c r="UJU67" i="25"/>
  <c r="UJW67" i="25"/>
  <c r="UJE67" i="25"/>
  <c r="UJG67" i="25"/>
  <c r="UIO67" i="25"/>
  <c r="UIQ67" i="25"/>
  <c r="UHY67" i="25"/>
  <c r="UIA67" i="25"/>
  <c r="UHI67" i="25"/>
  <c r="UHK67" i="25"/>
  <c r="UGS67" i="25"/>
  <c r="UGU67" i="25"/>
  <c r="UGC67" i="25"/>
  <c r="UGE67" i="25"/>
  <c r="UFM67" i="25"/>
  <c r="UFO67" i="25"/>
  <c r="UEW67" i="25"/>
  <c r="UEY67" i="25"/>
  <c r="UEG67" i="25"/>
  <c r="UEI67" i="25"/>
  <c r="UDQ67" i="25"/>
  <c r="UDS67" i="25"/>
  <c r="UDA67" i="25"/>
  <c r="UDC67" i="25"/>
  <c r="UCK67" i="25"/>
  <c r="UCM67" i="25"/>
  <c r="UBU67" i="25"/>
  <c r="UBW67" i="25"/>
  <c r="UBE67" i="25"/>
  <c r="UBG67" i="25"/>
  <c r="UAO67" i="25"/>
  <c r="UAQ67" i="25"/>
  <c r="TZY67" i="25"/>
  <c r="UAA67" i="25"/>
  <c r="TZI67" i="25"/>
  <c r="TZK67" i="25"/>
  <c r="TYS67" i="25"/>
  <c r="TYU67" i="25"/>
  <c r="TYC67" i="25"/>
  <c r="TYE67" i="25"/>
  <c r="TXM67" i="25"/>
  <c r="TXO67" i="25"/>
  <c r="TWW67" i="25"/>
  <c r="TWY67" i="25"/>
  <c r="TWG67" i="25"/>
  <c r="TWI67" i="25"/>
  <c r="TVQ67" i="25"/>
  <c r="TVS67" i="25"/>
  <c r="TVA67" i="25"/>
  <c r="TVC67" i="25"/>
  <c r="TUK67" i="25"/>
  <c r="TUM67" i="25"/>
  <c r="TTU67" i="25"/>
  <c r="TTW67" i="25"/>
  <c r="TTE67" i="25"/>
  <c r="TTG67" i="25"/>
  <c r="TSO67" i="25"/>
  <c r="TSQ67" i="25"/>
  <c r="TRY67" i="25"/>
  <c r="TSA67" i="25"/>
  <c r="TRI67" i="25"/>
  <c r="TRK67" i="25"/>
  <c r="TQS67" i="25"/>
  <c r="TQU67" i="25"/>
  <c r="TQC67" i="25"/>
  <c r="TQE67" i="25"/>
  <c r="TPM67" i="25"/>
  <c r="TPO67" i="25"/>
  <c r="TOW67" i="25"/>
  <c r="TOY67" i="25"/>
  <c r="TOG67" i="25"/>
  <c r="TOI67" i="25"/>
  <c r="TNQ67" i="25"/>
  <c r="TNS67" i="25"/>
  <c r="TNA67" i="25"/>
  <c r="TNC67" i="25"/>
  <c r="TMK67" i="25"/>
  <c r="TMM67" i="25"/>
  <c r="TLU67" i="25"/>
  <c r="TLW67" i="25"/>
  <c r="TLE67" i="25"/>
  <c r="TLG67" i="25"/>
  <c r="TKO67" i="25"/>
  <c r="TKQ67" i="25"/>
  <c r="TJY67" i="25"/>
  <c r="TKA67" i="25"/>
  <c r="TJI67" i="25"/>
  <c r="TJK67" i="25"/>
  <c r="TIS67" i="25"/>
  <c r="TIU67" i="25"/>
  <c r="TIC67" i="25"/>
  <c r="TIE67" i="25"/>
  <c r="THM67" i="25"/>
  <c r="THO67" i="25"/>
  <c r="TGW67" i="25"/>
  <c r="TGY67" i="25"/>
  <c r="TGG67" i="25"/>
  <c r="TGI67" i="25"/>
  <c r="TFQ67" i="25"/>
  <c r="TFS67" i="25"/>
  <c r="TFA67" i="25"/>
  <c r="TFC67" i="25"/>
  <c r="TEK67" i="25"/>
  <c r="TEM67" i="25"/>
  <c r="TDU67" i="25"/>
  <c r="TDW67" i="25"/>
  <c r="TDE67" i="25"/>
  <c r="TDG67" i="25"/>
  <c r="TCO67" i="25"/>
  <c r="TCQ67" i="25"/>
  <c r="TBY67" i="25"/>
  <c r="TCA67" i="25"/>
  <c r="TBI67" i="25"/>
  <c r="TBK67" i="25"/>
  <c r="TAS67" i="25"/>
  <c r="TAU67" i="25"/>
  <c r="TAC67" i="25"/>
  <c r="TAE67" i="25"/>
  <c r="SZM67" i="25"/>
  <c r="SZO67" i="25"/>
  <c r="SYW67" i="25"/>
  <c r="SYY67" i="25"/>
  <c r="SYG67" i="25"/>
  <c r="SYI67" i="25"/>
  <c r="SXQ67" i="25"/>
  <c r="SXS67" i="25"/>
  <c r="SXA67" i="25"/>
  <c r="SXC67" i="25"/>
  <c r="SWK67" i="25"/>
  <c r="SWM67" i="25"/>
  <c r="SVU67" i="25"/>
  <c r="SVW67" i="25"/>
  <c r="SVE67" i="25"/>
  <c r="SVG67" i="25"/>
  <c r="SUO67" i="25"/>
  <c r="SUQ67" i="25"/>
  <c r="STY67" i="25"/>
  <c r="SUA67" i="25"/>
  <c r="STI67" i="25"/>
  <c r="STK67" i="25"/>
  <c r="SSS67" i="25"/>
  <c r="SSU67" i="25"/>
  <c r="SSC67" i="25"/>
  <c r="SSE67" i="25"/>
  <c r="SRM67" i="25"/>
  <c r="SRO67" i="25"/>
  <c r="SQW67" i="25"/>
  <c r="SQY67" i="25"/>
  <c r="SQG67" i="25"/>
  <c r="SQI67" i="25"/>
  <c r="SPQ67" i="25"/>
  <c r="SPS67" i="25"/>
  <c r="SPA67" i="25"/>
  <c r="SPC67" i="25"/>
  <c r="SOK67" i="25"/>
  <c r="SOM67" i="25"/>
  <c r="SNU67" i="25"/>
  <c r="SNW67" i="25"/>
  <c r="SNE67" i="25"/>
  <c r="SNG67" i="25"/>
  <c r="SMO67" i="25"/>
  <c r="SMQ67" i="25"/>
  <c r="SLY67" i="25"/>
  <c r="SMA67" i="25"/>
  <c r="SLI67" i="25"/>
  <c r="SLK67" i="25"/>
  <c r="SKS67" i="25"/>
  <c r="SKU67" i="25"/>
  <c r="SKC67" i="25"/>
  <c r="SKE67" i="25"/>
  <c r="SJM67" i="25"/>
  <c r="SJO67" i="25"/>
  <c r="SIW67" i="25"/>
  <c r="SIY67" i="25"/>
  <c r="SIG67" i="25"/>
  <c r="SII67" i="25"/>
  <c r="SHQ67" i="25"/>
  <c r="SHS67" i="25"/>
  <c r="SHA67" i="25"/>
  <c r="SHC67" i="25"/>
  <c r="SGK67" i="25"/>
  <c r="SGM67" i="25"/>
  <c r="SFU67" i="25"/>
  <c r="SFW67" i="25"/>
  <c r="SFE67" i="25"/>
  <c r="SFG67" i="25"/>
  <c r="SEO67" i="25"/>
  <c r="SEQ67" i="25"/>
  <c r="SDY67" i="25"/>
  <c r="SEA67" i="25"/>
  <c r="SDI67" i="25"/>
  <c r="SDK67" i="25"/>
  <c r="SCS67" i="25"/>
  <c r="SCU67" i="25"/>
  <c r="SCC67" i="25"/>
  <c r="SCE67" i="25"/>
  <c r="SBM67" i="25"/>
  <c r="SBO67" i="25"/>
  <c r="SAW67" i="25"/>
  <c r="SAY67" i="25"/>
  <c r="SAG67" i="25"/>
  <c r="SAI67" i="25"/>
  <c r="RZQ67" i="25"/>
  <c r="RZS67" i="25"/>
  <c r="RZA67" i="25"/>
  <c r="RZC67" i="25"/>
  <c r="RYK67" i="25"/>
  <c r="RYM67" i="25"/>
  <c r="RXU67" i="25"/>
  <c r="RXW67" i="25"/>
  <c r="RXE67" i="25"/>
  <c r="RXG67" i="25"/>
  <c r="QZU67" i="25"/>
  <c r="QZW67" i="25"/>
  <c r="QZE67" i="25"/>
  <c r="QZG67" i="25"/>
  <c r="QYO67" i="25"/>
  <c r="QYQ67" i="25"/>
  <c r="QXY67" i="25"/>
  <c r="QYA67" i="25"/>
  <c r="QXI67" i="25"/>
  <c r="QXK67" i="25"/>
  <c r="QWS67" i="25"/>
  <c r="QWU67" i="25"/>
  <c r="QWC67" i="25"/>
  <c r="QWE67" i="25"/>
  <c r="QVM67" i="25"/>
  <c r="QVO67" i="25"/>
  <c r="QUW67" i="25"/>
  <c r="QUY67" i="25"/>
  <c r="QUG67" i="25"/>
  <c r="QUI67" i="25"/>
  <c r="QTQ67" i="25"/>
  <c r="QTS67" i="25"/>
  <c r="QTA67" i="25"/>
  <c r="QTC67" i="25"/>
  <c r="QSK67" i="25"/>
  <c r="QSM67" i="25"/>
  <c r="QRU67" i="25"/>
  <c r="QRW67" i="25"/>
  <c r="QRE67" i="25"/>
  <c r="QRG67" i="25"/>
  <c r="QQO67" i="25"/>
  <c r="QQQ67" i="25"/>
  <c r="QPY67" i="25"/>
  <c r="QQA67" i="25"/>
  <c r="QPI67" i="25"/>
  <c r="QPK67" i="25"/>
  <c r="QOS67" i="25"/>
  <c r="QOU67" i="25"/>
  <c r="QOC67" i="25"/>
  <c r="QOE67" i="25"/>
  <c r="QNM67" i="25"/>
  <c r="QNO67" i="25"/>
  <c r="QMW67" i="25"/>
  <c r="QMY67" i="25"/>
  <c r="QMG67" i="25"/>
  <c r="QMI67" i="25"/>
  <c r="QLQ67" i="25"/>
  <c r="QLS67" i="25"/>
  <c r="QLA67" i="25"/>
  <c r="QLC67" i="25"/>
  <c r="QKK67" i="25"/>
  <c r="QKM67" i="25"/>
  <c r="QJU67" i="25"/>
  <c r="QJW67" i="25"/>
  <c r="QJE67" i="25"/>
  <c r="QJG67" i="25"/>
  <c r="QIO67" i="25"/>
  <c r="QIQ67" i="25"/>
  <c r="QHY67" i="25"/>
  <c r="QIA67" i="25"/>
  <c r="QHI67" i="25"/>
  <c r="QHK67" i="25"/>
  <c r="QGS67" i="25"/>
  <c r="QGU67" i="25"/>
  <c r="QGC67" i="25"/>
  <c r="QGE67" i="25"/>
  <c r="QFM67" i="25"/>
  <c r="QFO67" i="25"/>
  <c r="QEW67" i="25"/>
  <c r="QEY67" i="25"/>
  <c r="QEG67" i="25"/>
  <c r="QEI67" i="25"/>
  <c r="QDQ67" i="25"/>
  <c r="QDS67" i="25"/>
  <c r="QDA67" i="25"/>
  <c r="QDC67" i="25"/>
  <c r="QCK67" i="25"/>
  <c r="QCM67" i="25"/>
  <c r="QBU67" i="25"/>
  <c r="QBW67" i="25"/>
  <c r="QBE67" i="25"/>
  <c r="QBG67" i="25"/>
  <c r="QAO67" i="25"/>
  <c r="QAQ67" i="25"/>
  <c r="PZY67" i="25"/>
  <c r="QAA67" i="25"/>
  <c r="PZI67" i="25"/>
  <c r="PZK67" i="25"/>
  <c r="PYS67" i="25"/>
  <c r="PYU67" i="25"/>
  <c r="PYC67" i="25"/>
  <c r="PYE67" i="25"/>
  <c r="PXM67" i="25"/>
  <c r="PXO67" i="25"/>
  <c r="PWW67" i="25"/>
  <c r="PWY67" i="25"/>
  <c r="PWG67" i="25"/>
  <c r="PWI67" i="25"/>
  <c r="PVQ67" i="25"/>
  <c r="PVS67" i="25"/>
  <c r="PVA67" i="25"/>
  <c r="PVC67" i="25"/>
  <c r="PUK67" i="25"/>
  <c r="PUM67" i="25"/>
  <c r="PTU67" i="25"/>
  <c r="PTW67" i="25"/>
  <c r="PTE67" i="25"/>
  <c r="PTG67" i="25"/>
  <c r="PSO67" i="25"/>
  <c r="PSQ67" i="25"/>
  <c r="PRY67" i="25"/>
  <c r="PSA67" i="25"/>
  <c r="PRI67" i="25"/>
  <c r="PRK67" i="25"/>
  <c r="PQS67" i="25"/>
  <c r="PQU67" i="25"/>
  <c r="PQC67" i="25"/>
  <c r="PQE67" i="25"/>
  <c r="PPM67" i="25"/>
  <c r="PPO67" i="25"/>
  <c r="POW67" i="25"/>
  <c r="POY67" i="25"/>
  <c r="POG67" i="25"/>
  <c r="POI67" i="25"/>
  <c r="PNQ67" i="25"/>
  <c r="PNS67" i="25"/>
  <c r="PNA67" i="25"/>
  <c r="PNC67" i="25"/>
  <c r="PMK67" i="25"/>
  <c r="PMM67" i="25"/>
  <c r="PLU67" i="25"/>
  <c r="PLW67" i="25"/>
  <c r="PLE67" i="25"/>
  <c r="PLG67" i="25"/>
  <c r="PKO67" i="25"/>
  <c r="PKQ67" i="25"/>
  <c r="PJY67" i="25"/>
  <c r="PKA67" i="25"/>
  <c r="PJI67" i="25"/>
  <c r="PJK67" i="25"/>
  <c r="PIS67" i="25"/>
  <c r="PIU67" i="25"/>
  <c r="PIC67" i="25"/>
  <c r="PIE67" i="25"/>
  <c r="PHM67" i="25"/>
  <c r="PHO67" i="25"/>
  <c r="PGW67" i="25"/>
  <c r="PGY67" i="25"/>
  <c r="PGG67" i="25"/>
  <c r="PGI67" i="25"/>
  <c r="PFQ67" i="25"/>
  <c r="PFS67" i="25"/>
  <c r="PFA67" i="25"/>
  <c r="PFC67" i="25"/>
  <c r="PEK67" i="25"/>
  <c r="PEM67" i="25"/>
  <c r="PDU67" i="25"/>
  <c r="PDW67" i="25"/>
  <c r="PDE67" i="25"/>
  <c r="PDG67" i="25"/>
  <c r="PCO67" i="25"/>
  <c r="PCQ67" i="25"/>
  <c r="PBY67" i="25"/>
  <c r="PCA67" i="25"/>
  <c r="PBI67" i="25"/>
  <c r="PBK67" i="25"/>
  <c r="PAS67" i="25"/>
  <c r="PAU67" i="25"/>
  <c r="PAC67" i="25"/>
  <c r="PAE67" i="25"/>
  <c r="OZM67" i="25"/>
  <c r="OZO67" i="25"/>
  <c r="OYW67" i="25"/>
  <c r="OYY67" i="25"/>
  <c r="OYG67" i="25"/>
  <c r="OYI67" i="25"/>
  <c r="OXQ67" i="25"/>
  <c r="OXS67" i="25"/>
  <c r="OXA67" i="25"/>
  <c r="OXC67" i="25"/>
  <c r="OWK67" i="25"/>
  <c r="OWM67" i="25"/>
  <c r="OVU67" i="25"/>
  <c r="OVW67" i="25"/>
  <c r="OVE67" i="25"/>
  <c r="OVG67" i="25"/>
  <c r="OUO67" i="25"/>
  <c r="OUQ67" i="25"/>
  <c r="OTY67" i="25"/>
  <c r="OUA67" i="25"/>
  <c r="OTI67" i="25"/>
  <c r="OTK67" i="25"/>
  <c r="OSS67" i="25"/>
  <c r="OSU67" i="25"/>
  <c r="OSC67" i="25"/>
  <c r="OSE67" i="25"/>
  <c r="ORM67" i="25"/>
  <c r="ORO67" i="25"/>
  <c r="OQW67" i="25"/>
  <c r="OQY67" i="25"/>
  <c r="OQG67" i="25"/>
  <c r="OQI67" i="25"/>
  <c r="OPQ67" i="25"/>
  <c r="OPS67" i="25"/>
  <c r="OPA67" i="25"/>
  <c r="OPC67" i="25"/>
  <c r="OOK67" i="25"/>
  <c r="OOM67" i="25"/>
  <c r="ONU67" i="25"/>
  <c r="ONW67" i="25"/>
  <c r="ONE67" i="25"/>
  <c r="ONG67" i="25"/>
  <c r="OMO67" i="25"/>
  <c r="OMQ67" i="25"/>
  <c r="OLY67" i="25"/>
  <c r="OMA67" i="25"/>
  <c r="OLI67" i="25"/>
  <c r="OLK67" i="25"/>
  <c r="OKS67" i="25"/>
  <c r="OKU67" i="25"/>
  <c r="OKC67" i="25"/>
  <c r="OKE67" i="25"/>
  <c r="OJM67" i="25"/>
  <c r="OJO67" i="25"/>
  <c r="OIW67" i="25"/>
  <c r="OIY67" i="25"/>
  <c r="OIG67" i="25"/>
  <c r="OII67" i="25"/>
  <c r="OHQ67" i="25"/>
  <c r="OHS67" i="25"/>
  <c r="OHA67" i="25"/>
  <c r="OHC67" i="25"/>
  <c r="OGK67" i="25"/>
  <c r="OGM67" i="25"/>
  <c r="OFU67" i="25"/>
  <c r="OFW67" i="25"/>
  <c r="OFE67" i="25"/>
  <c r="OFG67" i="25"/>
  <c r="OEO67" i="25"/>
  <c r="OEQ67" i="25"/>
  <c r="ODY67" i="25"/>
  <c r="OEA67" i="25"/>
  <c r="ODI67" i="25"/>
  <c r="ODK67" i="25"/>
  <c r="OCS67" i="25"/>
  <c r="OCU67" i="25"/>
  <c r="OCC67" i="25"/>
  <c r="OCE67" i="25"/>
  <c r="OBM67" i="25"/>
  <c r="OBO67" i="25"/>
  <c r="OAW67" i="25"/>
  <c r="OAY67" i="25"/>
  <c r="OAG67" i="25"/>
  <c r="OAI67" i="25"/>
  <c r="NZQ67" i="25"/>
  <c r="NZS67" i="25"/>
  <c r="NZA67" i="25"/>
  <c r="NZC67" i="25"/>
  <c r="NYK67" i="25"/>
  <c r="NYM67" i="25"/>
  <c r="NXU67" i="25"/>
  <c r="NXW67" i="25"/>
  <c r="NXE67" i="25"/>
  <c r="NXG67" i="25"/>
  <c r="NWO67" i="25"/>
  <c r="NWQ67" i="25"/>
  <c r="NVY67" i="25"/>
  <c r="NWA67" i="25"/>
  <c r="NVI67" i="25"/>
  <c r="NVK67" i="25"/>
  <c r="NUS67" i="25"/>
  <c r="NUU67" i="25"/>
  <c r="NUC67" i="25"/>
  <c r="NUE67" i="25"/>
  <c r="NTM67" i="25"/>
  <c r="NTO67" i="25"/>
  <c r="NSW67" i="25"/>
  <c r="NSY67" i="25"/>
  <c r="NSG67" i="25"/>
  <c r="NSI67" i="25"/>
  <c r="NRQ67" i="25"/>
  <c r="NRS67" i="25"/>
  <c r="NRA67" i="25"/>
  <c r="NRC67" i="25"/>
  <c r="NQK67" i="25"/>
  <c r="NQM67" i="25"/>
  <c r="NPU67" i="25"/>
  <c r="NPW67" i="25"/>
  <c r="NPE67" i="25"/>
  <c r="NPG67" i="25"/>
  <c r="NOO67" i="25"/>
  <c r="NOQ67" i="25"/>
  <c r="NNY67" i="25"/>
  <c r="NOA67" i="25"/>
  <c r="NNI67" i="25"/>
  <c r="NNK67" i="25"/>
  <c r="NMS67" i="25"/>
  <c r="NMU67" i="25"/>
  <c r="NMC67" i="25"/>
  <c r="NME67" i="25"/>
  <c r="NLM67" i="25"/>
  <c r="NLO67" i="25"/>
  <c r="NKW67" i="25"/>
  <c r="NKY67" i="25"/>
  <c r="NKG67" i="25"/>
  <c r="NKI67" i="25"/>
  <c r="NJQ67" i="25"/>
  <c r="NJS67" i="25"/>
  <c r="NJA67" i="25"/>
  <c r="NJC67" i="25"/>
  <c r="NIK67" i="25"/>
  <c r="NIM67" i="25"/>
  <c r="NHU67" i="25"/>
  <c r="NHW67" i="25"/>
  <c r="NHE67" i="25"/>
  <c r="NHG67" i="25"/>
  <c r="NGO67" i="25"/>
  <c r="NGQ67" i="25"/>
  <c r="NFY67" i="25"/>
  <c r="NGA67" i="25"/>
  <c r="NFI67" i="25"/>
  <c r="NFK67" i="25"/>
  <c r="NES67" i="25"/>
  <c r="NEU67" i="25"/>
  <c r="NEC67" i="25"/>
  <c r="NEE67" i="25"/>
  <c r="NDM67" i="25"/>
  <c r="NDO67" i="25"/>
  <c r="NCW67" i="25"/>
  <c r="NCY67" i="25"/>
  <c r="NCG67" i="25"/>
  <c r="NCI67" i="25"/>
  <c r="NBQ67" i="25"/>
  <c r="NBS67" i="25"/>
  <c r="NBA67" i="25"/>
  <c r="NBC67" i="25"/>
  <c r="NAK67" i="25"/>
  <c r="NAM67" i="25"/>
  <c r="MZU67" i="25"/>
  <c r="MZW67" i="25"/>
  <c r="MZE67" i="25"/>
  <c r="MZG67" i="25"/>
  <c r="MYO67" i="25"/>
  <c r="MYQ67" i="25"/>
  <c r="MXY67" i="25"/>
  <c r="MYA67" i="25"/>
  <c r="MXI67" i="25"/>
  <c r="MXK67" i="25"/>
  <c r="MWS67" i="25"/>
  <c r="MWU67" i="25"/>
  <c r="MWC67" i="25"/>
  <c r="MWE67" i="25"/>
  <c r="MVM67" i="25"/>
  <c r="MVO67" i="25"/>
  <c r="MUW67" i="25"/>
  <c r="MUY67" i="25"/>
  <c r="MUG67" i="25"/>
  <c r="MUI67" i="25"/>
  <c r="MTQ67" i="25"/>
  <c r="MTS67" i="25"/>
  <c r="MTA67" i="25"/>
  <c r="MTC67" i="25"/>
  <c r="MSK67" i="25"/>
  <c r="MSM67" i="25"/>
  <c r="MRU67" i="25"/>
  <c r="MRW67" i="25"/>
  <c r="MRE67" i="25"/>
  <c r="MRG67" i="25"/>
  <c r="MQO67" i="25"/>
  <c r="MQQ67" i="25"/>
  <c r="MPY67" i="25"/>
  <c r="MQA67" i="25"/>
  <c r="MPI67" i="25"/>
  <c r="MPK67" i="25"/>
  <c r="MOS67" i="25"/>
  <c r="MOU67" i="25"/>
  <c r="MOC67" i="25"/>
  <c r="MOE67" i="25"/>
  <c r="MNM67" i="25"/>
  <c r="MNO67" i="25"/>
  <c r="MMW67" i="25"/>
  <c r="MMY67" i="25"/>
  <c r="MMG67" i="25"/>
  <c r="MMI67" i="25"/>
  <c r="MLQ67" i="25"/>
  <c r="MLS67" i="25"/>
  <c r="MLA67" i="25"/>
  <c r="MLC67" i="25"/>
  <c r="MKK67" i="25"/>
  <c r="MKM67" i="25"/>
  <c r="MJU67" i="25"/>
  <c r="MJW67" i="25"/>
  <c r="MJE67" i="25"/>
  <c r="MJG67" i="25"/>
  <c r="MIO67" i="25"/>
  <c r="MIQ67" i="25"/>
  <c r="MHY67" i="25"/>
  <c r="MIA67" i="25"/>
  <c r="MHI67" i="25"/>
  <c r="MHK67" i="25"/>
  <c r="MGS67" i="25"/>
  <c r="MGU67" i="25"/>
  <c r="MGC67" i="25"/>
  <c r="MGE67" i="25"/>
  <c r="MFM67" i="25"/>
  <c r="MFO67" i="25"/>
  <c r="MEW67" i="25"/>
  <c r="MEY67" i="25"/>
  <c r="MEG67" i="25"/>
  <c r="MEI67" i="25"/>
  <c r="MDQ67" i="25"/>
  <c r="MDS67" i="25"/>
  <c r="MDA67" i="25"/>
  <c r="MDC67" i="25"/>
  <c r="MCK67" i="25"/>
  <c r="MCM67" i="25"/>
  <c r="MBU67" i="25"/>
  <c r="MBW67" i="25"/>
  <c r="MBE67" i="25"/>
  <c r="MBG67" i="25"/>
  <c r="MAO67" i="25"/>
  <c r="MAQ67" i="25"/>
  <c r="LZY67" i="25"/>
  <c r="MAA67" i="25"/>
  <c r="LZI67" i="25"/>
  <c r="LZK67" i="25"/>
  <c r="LYS67" i="25"/>
  <c r="LYU67" i="25"/>
  <c r="LYC67" i="25"/>
  <c r="LYE67" i="25"/>
  <c r="LXM67" i="25"/>
  <c r="LXO67" i="25"/>
  <c r="LWW67" i="25"/>
  <c r="LWY67" i="25"/>
  <c r="LWG67" i="25"/>
  <c r="LWI67" i="25"/>
  <c r="LVQ67" i="25"/>
  <c r="LVS67" i="25"/>
  <c r="LVA67" i="25"/>
  <c r="LVC67" i="25"/>
  <c r="LUK67" i="25"/>
  <c r="LUM67" i="25"/>
  <c r="LTU67" i="25"/>
  <c r="LTW67" i="25"/>
  <c r="LTE67" i="25"/>
  <c r="LTG67" i="25"/>
  <c r="LSO67" i="25"/>
  <c r="LSQ67" i="25"/>
  <c r="LRY67" i="25"/>
  <c r="LSA67" i="25"/>
  <c r="LRI67" i="25"/>
  <c r="LRK67" i="25"/>
  <c r="LQS67" i="25"/>
  <c r="LQU67" i="25"/>
  <c r="LQC67" i="25"/>
  <c r="LQE67" i="25"/>
  <c r="LPM67" i="25"/>
  <c r="LPO67" i="25"/>
  <c r="LOW67" i="25"/>
  <c r="LOY67" i="25"/>
  <c r="LOG67" i="25"/>
  <c r="LOI67" i="25"/>
  <c r="LNQ67" i="25"/>
  <c r="LNS67" i="25"/>
  <c r="LNA67" i="25"/>
  <c r="LNC67" i="25"/>
  <c r="LMK67" i="25"/>
  <c r="LMM67" i="25"/>
  <c r="LLU67" i="25"/>
  <c r="LLW67" i="25"/>
  <c r="LLE67" i="25"/>
  <c r="LLG67" i="25"/>
  <c r="LKO67" i="25"/>
  <c r="LKQ67" i="25"/>
  <c r="LJY67" i="25"/>
  <c r="LKA67" i="25"/>
  <c r="LJI67" i="25"/>
  <c r="LJK67" i="25"/>
  <c r="LIS67" i="25"/>
  <c r="LIU67" i="25"/>
  <c r="LIC67" i="25"/>
  <c r="LIE67" i="25"/>
  <c r="LHM67" i="25"/>
  <c r="LHO67" i="25"/>
  <c r="LGW67" i="25"/>
  <c r="LGY67" i="25"/>
  <c r="LGG67" i="25"/>
  <c r="LGI67" i="25"/>
  <c r="LFQ67" i="25"/>
  <c r="LFS67" i="25"/>
  <c r="LFA67" i="25"/>
  <c r="LFC67" i="25"/>
  <c r="LEK67" i="25"/>
  <c r="LEM67" i="25"/>
  <c r="LDU67" i="25"/>
  <c r="LDW67" i="25"/>
  <c r="LDE67" i="25"/>
  <c r="LDG67" i="25"/>
  <c r="LCO67" i="25"/>
  <c r="LCQ67" i="25"/>
  <c r="LBY67" i="25"/>
  <c r="LCA67" i="25"/>
  <c r="LBI67" i="25"/>
  <c r="LBK67" i="25"/>
  <c r="LAS67" i="25"/>
  <c r="LAU67" i="25"/>
  <c r="LAC67" i="25"/>
  <c r="LAE67" i="25"/>
  <c r="KZM67" i="25"/>
  <c r="KZO67" i="25"/>
  <c r="KYW67" i="25"/>
  <c r="KYY67" i="25"/>
  <c r="KYG67" i="25"/>
  <c r="KYI67" i="25"/>
  <c r="KXQ67" i="25"/>
  <c r="KXS67" i="25"/>
  <c r="KXA67" i="25"/>
  <c r="KXC67" i="25"/>
  <c r="KWK67" i="25"/>
  <c r="KWM67" i="25"/>
  <c r="KVU67" i="25"/>
  <c r="KVW67" i="25"/>
  <c r="KVE67" i="25"/>
  <c r="KVG67" i="25"/>
  <c r="KUO67" i="25"/>
  <c r="KUQ67" i="25"/>
  <c r="KTY67" i="25"/>
  <c r="KUA67" i="25"/>
  <c r="KTI67" i="25"/>
  <c r="KTK67" i="25"/>
  <c r="KSS67" i="25"/>
  <c r="KSU67" i="25"/>
  <c r="KSC67" i="25"/>
  <c r="KSE67" i="25"/>
  <c r="KRM67" i="25"/>
  <c r="KRO67" i="25"/>
  <c r="KQW67" i="25"/>
  <c r="KQY67" i="25"/>
  <c r="KQG67" i="25"/>
  <c r="KQI67" i="25"/>
  <c r="KPQ67" i="25"/>
  <c r="KPS67" i="25"/>
  <c r="KPA67" i="25"/>
  <c r="KPC67" i="25"/>
  <c r="KOK67" i="25"/>
  <c r="KOM67" i="25"/>
  <c r="KNU67" i="25"/>
  <c r="KNW67" i="25"/>
  <c r="KNE67" i="25"/>
  <c r="KNG67" i="25"/>
  <c r="KMO67" i="25"/>
  <c r="KMQ67" i="25"/>
  <c r="KLY67" i="25"/>
  <c r="KMA67" i="25"/>
  <c r="KLI67" i="25"/>
  <c r="KLK67" i="25"/>
  <c r="KKS67" i="25"/>
  <c r="KKU67" i="25"/>
  <c r="KKC67" i="25"/>
  <c r="KKE67" i="25"/>
  <c r="KJM67" i="25"/>
  <c r="KJO67" i="25"/>
  <c r="KIW67" i="25"/>
  <c r="KIY67" i="25"/>
  <c r="KIG67" i="25"/>
  <c r="KII67" i="25"/>
  <c r="KHQ67" i="25"/>
  <c r="KHS67" i="25"/>
  <c r="KHA67" i="25"/>
  <c r="KHC67" i="25"/>
  <c r="KGK67" i="25"/>
  <c r="KGM67" i="25"/>
  <c r="KFU67" i="25"/>
  <c r="KFW67" i="25"/>
  <c r="KFE67" i="25"/>
  <c r="KFG67" i="25"/>
  <c r="KEO67" i="25"/>
  <c r="KEQ67" i="25"/>
  <c r="KDY67" i="25"/>
  <c r="KEA67" i="25"/>
  <c r="KDI67" i="25"/>
  <c r="KDK67" i="25"/>
  <c r="KCS67" i="25"/>
  <c r="KCU67" i="25"/>
  <c r="KCC67" i="25"/>
  <c r="KCE67" i="25"/>
  <c r="KBM67" i="25"/>
  <c r="KBO67" i="25"/>
  <c r="KAW67" i="25"/>
  <c r="KAY67" i="25"/>
  <c r="KAG67" i="25"/>
  <c r="KAI67" i="25"/>
  <c r="JZQ67" i="25"/>
  <c r="JZS67" i="25"/>
  <c r="JZA67" i="25"/>
  <c r="JZC67" i="25"/>
  <c r="JYK67" i="25"/>
  <c r="JYM67" i="25"/>
  <c r="JXU67" i="25"/>
  <c r="JXW67" i="25"/>
  <c r="JXE67" i="25"/>
  <c r="JXG67" i="25"/>
  <c r="JWO67" i="25"/>
  <c r="JWQ67" i="25"/>
  <c r="JVY67" i="25"/>
  <c r="JWA67" i="25"/>
  <c r="JVI67" i="25"/>
  <c r="JVK67" i="25"/>
  <c r="JUS67" i="25"/>
  <c r="JUU67" i="25"/>
  <c r="JUC67" i="25"/>
  <c r="JUE67" i="25"/>
  <c r="JTM67" i="25"/>
  <c r="JTO67" i="25"/>
  <c r="JSW67" i="25"/>
  <c r="JSY67" i="25"/>
  <c r="JSG67" i="25"/>
  <c r="JSI67" i="25"/>
  <c r="JRQ67" i="25"/>
  <c r="JRS67" i="25"/>
  <c r="JRA67" i="25"/>
  <c r="JRC67" i="25"/>
  <c r="JQK67" i="25"/>
  <c r="JQM67" i="25"/>
  <c r="JPU67" i="25"/>
  <c r="JPW67" i="25"/>
  <c r="JPE67" i="25"/>
  <c r="JPG67" i="25"/>
  <c r="JOO67" i="25"/>
  <c r="JOQ67" i="25"/>
  <c r="JNY67" i="25"/>
  <c r="JOA67" i="25"/>
  <c r="JNI67" i="25"/>
  <c r="JNK67" i="25"/>
  <c r="JMS67" i="25"/>
  <c r="JMU67" i="25"/>
  <c r="JMC67" i="25"/>
  <c r="JME67" i="25"/>
  <c r="JLM67" i="25"/>
  <c r="JLO67" i="25"/>
  <c r="JKW67" i="25"/>
  <c r="JKY67" i="25"/>
  <c r="JKG67" i="25"/>
  <c r="JKI67" i="25"/>
  <c r="JJQ67" i="25"/>
  <c r="JJS67" i="25"/>
  <c r="JJA67" i="25"/>
  <c r="JJC67" i="25"/>
  <c r="JIK67" i="25"/>
  <c r="JIM67" i="25"/>
  <c r="JHU67" i="25"/>
  <c r="JHW67" i="25"/>
  <c r="JHE67" i="25"/>
  <c r="JHG67" i="25"/>
  <c r="JGO67" i="25"/>
  <c r="JGQ67" i="25"/>
  <c r="JFY67" i="25"/>
  <c r="JGA67" i="25"/>
  <c r="JFI67" i="25"/>
  <c r="JFK67" i="25"/>
  <c r="JES67" i="25"/>
  <c r="JEU67" i="25"/>
  <c r="JEC67" i="25"/>
  <c r="JEE67" i="25"/>
  <c r="JDM67" i="25"/>
  <c r="JDO67" i="25"/>
  <c r="JCW67" i="25"/>
  <c r="JCY67" i="25"/>
  <c r="JCG67" i="25"/>
  <c r="JCI67" i="25"/>
  <c r="JBQ67" i="25"/>
  <c r="JBS67" i="25"/>
  <c r="JBA67" i="25"/>
  <c r="JBC67" i="25"/>
  <c r="JAK67" i="25"/>
  <c r="JAM67" i="25"/>
  <c r="IZU67" i="25"/>
  <c r="IZW67" i="25"/>
  <c r="IZE67" i="25"/>
  <c r="IZG67" i="25"/>
  <c r="IYO67" i="25"/>
  <c r="IYQ67" i="25"/>
  <c r="IXY67" i="25"/>
  <c r="IYA67" i="25"/>
  <c r="IXI67" i="25"/>
  <c r="IXK67" i="25"/>
  <c r="IWS67" i="25"/>
  <c r="IWU67" i="25"/>
  <c r="IWC67" i="25"/>
  <c r="IWE67" i="25"/>
  <c r="IVM67" i="25"/>
  <c r="IVO67" i="25"/>
  <c r="IUW67" i="25"/>
  <c r="IUY67" i="25"/>
  <c r="IUG67" i="25"/>
  <c r="IUI67" i="25"/>
  <c r="ITQ67" i="25"/>
  <c r="ITS67" i="25"/>
  <c r="ITA67" i="25"/>
  <c r="ITC67" i="25"/>
  <c r="ISK67" i="25"/>
  <c r="ISM67" i="25"/>
  <c r="IRU67" i="25"/>
  <c r="IRW67" i="25"/>
  <c r="IRE67" i="25"/>
  <c r="IRG67" i="25"/>
  <c r="IQO67" i="25"/>
  <c r="IQQ67" i="25"/>
  <c r="IPY67" i="25"/>
  <c r="IQA67" i="25"/>
  <c r="IPI67" i="25"/>
  <c r="IPK67" i="25"/>
  <c r="IOS67" i="25"/>
  <c r="IOU67" i="25"/>
  <c r="IOC67" i="25"/>
  <c r="IOE67" i="25"/>
  <c r="INM67" i="25"/>
  <c r="INO67" i="25"/>
  <c r="IMW67" i="25"/>
  <c r="IMY67" i="25"/>
  <c r="IMG67" i="25"/>
  <c r="IMI67" i="25"/>
  <c r="ILQ67" i="25"/>
  <c r="ILS67" i="25"/>
  <c r="ILA67" i="25"/>
  <c r="ILC67" i="25"/>
  <c r="IKK67" i="25"/>
  <c r="IKM67" i="25"/>
  <c r="IJU67" i="25"/>
  <c r="IJW67" i="25"/>
  <c r="IJE67" i="25"/>
  <c r="IJG67" i="25"/>
  <c r="IIO67" i="25"/>
  <c r="IIQ67" i="25"/>
  <c r="IHY67" i="25"/>
  <c r="IIA67" i="25"/>
  <c r="IHI67" i="25"/>
  <c r="IHK67" i="25"/>
  <c r="IGS67" i="25"/>
  <c r="IGU67" i="25"/>
  <c r="IGC67" i="25"/>
  <c r="IGE67" i="25"/>
  <c r="IFM67" i="25"/>
  <c r="IFO67" i="25"/>
  <c r="IEW67" i="25"/>
  <c r="IEY67" i="25"/>
  <c r="IEG67" i="25"/>
  <c r="IEI67" i="25"/>
  <c r="IDQ67" i="25"/>
  <c r="IDS67" i="25"/>
  <c r="IDA67" i="25"/>
  <c r="IDC67" i="25"/>
  <c r="ICK67" i="25"/>
  <c r="ICM67" i="25"/>
  <c r="IBU67" i="25"/>
  <c r="IBW67" i="25"/>
  <c r="IBE67" i="25"/>
  <c r="IBG67" i="25"/>
  <c r="IAO67" i="25"/>
  <c r="IAQ67" i="25"/>
  <c r="HZY67" i="25"/>
  <c r="IAA67" i="25"/>
  <c r="HZI67" i="25"/>
  <c r="HZK67" i="25"/>
  <c r="HYS67" i="25"/>
  <c r="HYU67" i="25"/>
  <c r="HYC67" i="25"/>
  <c r="HYE67" i="25"/>
  <c r="HXM67" i="25"/>
  <c r="HXO67" i="25"/>
  <c r="HWW67" i="25"/>
  <c r="HWY67" i="25"/>
  <c r="HWG67" i="25"/>
  <c r="HWI67" i="25"/>
  <c r="HVQ67" i="25"/>
  <c r="HVS67" i="25"/>
  <c r="HVA67" i="25"/>
  <c r="HVC67" i="25"/>
  <c r="HUK67" i="25"/>
  <c r="HUM67" i="25"/>
  <c r="HTU67" i="25"/>
  <c r="HTW67" i="25"/>
  <c r="HTE67" i="25"/>
  <c r="HTG67" i="25"/>
  <c r="HSO67" i="25"/>
  <c r="HSQ67" i="25"/>
  <c r="HRY67" i="25"/>
  <c r="HSA67" i="25"/>
  <c r="HRI67" i="25"/>
  <c r="HRK67" i="25"/>
  <c r="HQS67" i="25"/>
  <c r="HQU67" i="25"/>
  <c r="HQC67" i="25"/>
  <c r="HQE67" i="25"/>
  <c r="HPM67" i="25"/>
  <c r="HPO67" i="25"/>
  <c r="HOW67" i="25"/>
  <c r="HOY67" i="25"/>
  <c r="HOG67" i="25"/>
  <c r="HOI67" i="25"/>
  <c r="HNQ67" i="25"/>
  <c r="HNS67" i="25"/>
  <c r="HNA67" i="25"/>
  <c r="HNC67" i="25"/>
  <c r="HMK67" i="25"/>
  <c r="HMM67" i="25"/>
  <c r="HLU67" i="25"/>
  <c r="HLW67" i="25"/>
  <c r="HLE67" i="25"/>
  <c r="HLG67" i="25"/>
  <c r="HKO67" i="25"/>
  <c r="HKQ67" i="25"/>
  <c r="HJY67" i="25"/>
  <c r="HKA67" i="25"/>
  <c r="HJI67" i="25"/>
  <c r="HJK67" i="25"/>
  <c r="HIS67" i="25"/>
  <c r="HIU67" i="25"/>
  <c r="HIC67" i="25"/>
  <c r="HIE67" i="25"/>
  <c r="HHM67" i="25"/>
  <c r="HHO67" i="25"/>
  <c r="HGW67" i="25"/>
  <c r="HGY67" i="25"/>
  <c r="HGG67" i="25"/>
  <c r="HGI67" i="25"/>
  <c r="HFQ67" i="25"/>
  <c r="HFS67" i="25"/>
  <c r="HFA67" i="25"/>
  <c r="HFC67" i="25"/>
  <c r="HEK67" i="25"/>
  <c r="HEM67" i="25"/>
  <c r="HDU67" i="25"/>
  <c r="HDW67" i="25"/>
  <c r="HDE67" i="25"/>
  <c r="HDG67" i="25"/>
  <c r="HCO67" i="25"/>
  <c r="HCQ67" i="25"/>
  <c r="HBY67" i="25"/>
  <c r="HCA67" i="25"/>
  <c r="HBI67" i="25"/>
  <c r="HBK67" i="25"/>
  <c r="HAS67" i="25"/>
  <c r="HAU67" i="25"/>
  <c r="HAC67" i="25"/>
  <c r="HAE67" i="25"/>
  <c r="GZM67" i="25"/>
  <c r="GZO67" i="25"/>
  <c r="GYW67" i="25"/>
  <c r="GYY67" i="25"/>
  <c r="GYG67" i="25"/>
  <c r="GYI67" i="25"/>
  <c r="GXQ67" i="25"/>
  <c r="GXS67" i="25"/>
  <c r="GXA67" i="25"/>
  <c r="GXC67" i="25"/>
  <c r="GWK67" i="25"/>
  <c r="GWM67" i="25"/>
  <c r="GVU67" i="25"/>
  <c r="GVW67" i="25"/>
  <c r="GVE67" i="25"/>
  <c r="GVG67" i="25"/>
  <c r="GUO67" i="25"/>
  <c r="GUQ67" i="25"/>
  <c r="GTY67" i="25"/>
  <c r="GUA67" i="25"/>
  <c r="GTI67" i="25"/>
  <c r="GTK67" i="25"/>
  <c r="GSS67" i="25"/>
  <c r="GSU67" i="25"/>
  <c r="GSC67" i="25"/>
  <c r="GSE67" i="25"/>
  <c r="GRM67" i="25"/>
  <c r="GRO67" i="25"/>
  <c r="GQW67" i="25"/>
  <c r="GQY67" i="25"/>
  <c r="GQG67" i="25"/>
  <c r="GQI67" i="25"/>
  <c r="GPQ67" i="25"/>
  <c r="GPS67" i="25"/>
  <c r="GPA67" i="25"/>
  <c r="GPC67" i="25"/>
  <c r="GOK67" i="25"/>
  <c r="GOM67" i="25"/>
  <c r="GNU67" i="25"/>
  <c r="GNW67" i="25"/>
  <c r="GNE67" i="25"/>
  <c r="GNG67" i="25"/>
  <c r="GMO67" i="25"/>
  <c r="GMQ67" i="25"/>
  <c r="GLY67" i="25"/>
  <c r="GMA67" i="25"/>
  <c r="GLI67" i="25"/>
  <c r="GLK67" i="25"/>
  <c r="GKS67" i="25"/>
  <c r="GKU67" i="25"/>
  <c r="GKC67" i="25"/>
  <c r="GKE67" i="25"/>
  <c r="GJM67" i="25"/>
  <c r="GJO67" i="25"/>
  <c r="GIW67" i="25"/>
  <c r="GIY67" i="25"/>
  <c r="GIG67" i="25"/>
  <c r="GII67" i="25"/>
  <c r="GHQ67" i="25"/>
  <c r="GHS67" i="25"/>
  <c r="GHA67" i="25"/>
  <c r="GHC67" i="25"/>
  <c r="GGK67" i="25"/>
  <c r="GGM67" i="25"/>
  <c r="GFU67" i="25"/>
  <c r="GFW67" i="25"/>
  <c r="GFE67" i="25"/>
  <c r="GFG67" i="25"/>
  <c r="GEO67" i="25"/>
  <c r="GEQ67" i="25"/>
  <c r="GDY67" i="25"/>
  <c r="GEA67" i="25"/>
  <c r="GDI67" i="25"/>
  <c r="GDK67" i="25"/>
  <c r="GCS67" i="25"/>
  <c r="GCU67" i="25"/>
  <c r="GCC67" i="25"/>
  <c r="GCE67" i="25"/>
  <c r="GBM67" i="25"/>
  <c r="GBO67" i="25"/>
  <c r="GAW67" i="25"/>
  <c r="GAY67" i="25"/>
  <c r="GAG67" i="25"/>
  <c r="GAI67" i="25"/>
  <c r="FZQ67" i="25"/>
  <c r="FZS67" i="25"/>
  <c r="FZA67" i="25"/>
  <c r="FZC67" i="25"/>
  <c r="FYK67" i="25"/>
  <c r="FYM67" i="25"/>
  <c r="FXU67" i="25"/>
  <c r="FXW67" i="25"/>
  <c r="FXE67" i="25"/>
  <c r="FXG67" i="25"/>
  <c r="FWO67" i="25"/>
  <c r="FWQ67" i="25"/>
  <c r="FVY67" i="25"/>
  <c r="FWA67" i="25"/>
  <c r="FVI67" i="25"/>
  <c r="FVK67" i="25"/>
  <c r="FUS67" i="25"/>
  <c r="FUU67" i="25"/>
  <c r="FUC67" i="25"/>
  <c r="FUE67" i="25"/>
  <c r="FTM67" i="25"/>
  <c r="FTO67" i="25"/>
  <c r="FSW67" i="25"/>
  <c r="FSY67" i="25"/>
  <c r="FSG67" i="25"/>
  <c r="FSI67" i="25"/>
  <c r="FRQ67" i="25"/>
  <c r="FRS67" i="25"/>
  <c r="FRA67" i="25"/>
  <c r="FRC67" i="25"/>
  <c r="FQK67" i="25"/>
  <c r="FQM67" i="25"/>
  <c r="FPU67" i="25"/>
  <c r="FPW67" i="25"/>
  <c r="FPE67" i="25"/>
  <c r="FPG67" i="25"/>
  <c r="FOO67" i="25"/>
  <c r="FOQ67" i="25"/>
  <c r="FNY67" i="25"/>
  <c r="FOA67" i="25"/>
  <c r="FNI67" i="25"/>
  <c r="FNK67" i="25"/>
  <c r="FMS67" i="25"/>
  <c r="FMU67" i="25"/>
  <c r="FMC67" i="25"/>
  <c r="FME67" i="25"/>
  <c r="FLM67" i="25"/>
  <c r="FLO67" i="25"/>
  <c r="FKW67" i="25"/>
  <c r="FKY67" i="25"/>
  <c r="FKG67" i="25"/>
  <c r="FKI67" i="25"/>
  <c r="FJQ67" i="25"/>
  <c r="FJS67" i="25"/>
  <c r="FJA67" i="25"/>
  <c r="FJC67" i="25"/>
  <c r="FIK67" i="25"/>
  <c r="FIM67" i="25"/>
  <c r="FHU67" i="25"/>
  <c r="FHW67" i="25"/>
  <c r="FHE67" i="25"/>
  <c r="FHG67" i="25"/>
  <c r="FGO67" i="25"/>
  <c r="FGQ67" i="25"/>
  <c r="FFY67" i="25"/>
  <c r="FGA67" i="25"/>
  <c r="FFI67" i="25"/>
  <c r="FFK67" i="25"/>
  <c r="FES67" i="25"/>
  <c r="FEU67" i="25"/>
  <c r="FEC67" i="25"/>
  <c r="FEE67" i="25"/>
  <c r="FDM67" i="25"/>
  <c r="FDO67" i="25"/>
  <c r="FCW67" i="25"/>
  <c r="FCY67" i="25"/>
  <c r="FCG67" i="25"/>
  <c r="FCI67" i="25"/>
  <c r="FBQ67" i="25"/>
  <c r="FBS67" i="25"/>
  <c r="FBA67" i="25"/>
  <c r="FBC67" i="25"/>
  <c r="FAK67" i="25"/>
  <c r="FAM67" i="25"/>
  <c r="EZU67" i="25"/>
  <c r="EZW67" i="25"/>
  <c r="EZE67" i="25"/>
  <c r="EZG67" i="25"/>
  <c r="EYO67" i="25"/>
  <c r="EYQ67" i="25"/>
  <c r="EXY67" i="25"/>
  <c r="EYA67" i="25"/>
  <c r="EXI67" i="25"/>
  <c r="EXK67" i="25"/>
  <c r="EWS67" i="25"/>
  <c r="EWU67" i="25"/>
  <c r="EWC67" i="25"/>
  <c r="EWE67" i="25"/>
  <c r="EVM67" i="25"/>
  <c r="EVO67" i="25"/>
  <c r="EUW67" i="25"/>
  <c r="EUY67" i="25"/>
  <c r="EUG67" i="25"/>
  <c r="EUI67" i="25"/>
  <c r="ETQ67" i="25"/>
  <c r="ETS67" i="25"/>
  <c r="ETA67" i="25"/>
  <c r="ETC67" i="25"/>
  <c r="ESK67" i="25"/>
  <c r="ESM67" i="25"/>
  <c r="ERU67" i="25"/>
  <c r="ERW67" i="25"/>
  <c r="ERE67" i="25"/>
  <c r="ERG67" i="25"/>
  <c r="EQO67" i="25"/>
  <c r="EQQ67" i="25"/>
  <c r="EPY67" i="25"/>
  <c r="EQA67" i="25"/>
  <c r="EPI67" i="25"/>
  <c r="EPK67" i="25"/>
  <c r="EOS67" i="25"/>
  <c r="EOU67" i="25"/>
  <c r="EOC67" i="25"/>
  <c r="EOE67" i="25"/>
  <c r="ENM67" i="25"/>
  <c r="ENO67" i="25"/>
  <c r="EMW67" i="25"/>
  <c r="EMY67" i="25"/>
  <c r="EMG67" i="25"/>
  <c r="EMI67" i="25"/>
  <c r="ELQ67" i="25"/>
  <c r="ELS67" i="25"/>
  <c r="ELA67" i="25"/>
  <c r="ELC67" i="25"/>
  <c r="EKK67" i="25"/>
  <c r="EKM67" i="25"/>
  <c r="EJU67" i="25"/>
  <c r="EJW67" i="25"/>
  <c r="EJE67" i="25"/>
  <c r="EJG67" i="25"/>
  <c r="EIO67" i="25"/>
  <c r="EIQ67" i="25"/>
  <c r="EHY67" i="25"/>
  <c r="EIA67" i="25"/>
  <c r="EHI67" i="25"/>
  <c r="EHK67" i="25"/>
  <c r="EGS67" i="25"/>
  <c r="EGU67" i="25"/>
  <c r="EGC67" i="25"/>
  <c r="EGE67" i="25"/>
  <c r="EFM67" i="25"/>
  <c r="EFO67" i="25"/>
  <c r="EEW67" i="25"/>
  <c r="EEY67" i="25"/>
  <c r="EEG67" i="25"/>
  <c r="EEI67" i="25"/>
  <c r="EDQ67" i="25"/>
  <c r="EDS67" i="25"/>
  <c r="EDA67" i="25"/>
  <c r="EDC67" i="25"/>
  <c r="ECK67" i="25"/>
  <c r="ECM67" i="25"/>
  <c r="EBU67" i="25"/>
  <c r="EBW67" i="25"/>
  <c r="EBE67" i="25"/>
  <c r="EBG67" i="25"/>
  <c r="EAO67" i="25"/>
  <c r="EAQ67" i="25"/>
  <c r="DZY67" i="25"/>
  <c r="EAA67" i="25"/>
  <c r="DZI67" i="25"/>
  <c r="DZK67" i="25"/>
  <c r="DYS67" i="25"/>
  <c r="DYU67" i="25"/>
  <c r="DYC67" i="25"/>
  <c r="DYE67" i="25"/>
  <c r="DXM67" i="25"/>
  <c r="DXO67" i="25"/>
  <c r="DWW67" i="25"/>
  <c r="DWY67" i="25"/>
  <c r="DWG67" i="25"/>
  <c r="DWI67" i="25"/>
  <c r="DVQ67" i="25"/>
  <c r="DVS67" i="25"/>
  <c r="DVA67" i="25"/>
  <c r="DVC67" i="25"/>
  <c r="DUK67" i="25"/>
  <c r="DUM67" i="25"/>
  <c r="DTU67" i="25"/>
  <c r="DTW67" i="25"/>
  <c r="DTE67" i="25"/>
  <c r="DTG67" i="25"/>
  <c r="DSO67" i="25"/>
  <c r="DSQ67" i="25"/>
  <c r="DRY67" i="25"/>
  <c r="DSA67" i="25"/>
  <c r="DRI67" i="25"/>
  <c r="DRK67" i="25"/>
  <c r="DQS67" i="25"/>
  <c r="DQU67" i="25"/>
  <c r="DQC67" i="25"/>
  <c r="DQE67" i="25"/>
  <c r="DPM67" i="25"/>
  <c r="DPO67" i="25"/>
  <c r="DOW67" i="25"/>
  <c r="DOY67" i="25"/>
  <c r="DOG67" i="25"/>
  <c r="DOI67" i="25"/>
  <c r="DNQ67" i="25"/>
  <c r="DNS67" i="25"/>
  <c r="K18" i="25"/>
  <c r="M18" i="25"/>
  <c r="K16" i="25"/>
  <c r="M16" i="25"/>
  <c r="K15" i="25"/>
  <c r="M15" i="25"/>
  <c r="K13" i="25"/>
  <c r="M13" i="25"/>
  <c r="K11" i="25"/>
  <c r="M11" i="25"/>
  <c r="J38" i="21"/>
  <c r="L38" i="21"/>
  <c r="J37" i="21"/>
  <c r="L37" i="21"/>
  <c r="J36" i="21"/>
  <c r="L36" i="21"/>
  <c r="K76" i="21"/>
  <c r="M76" i="21"/>
  <c r="J35" i="21"/>
  <c r="L35" i="21"/>
  <c r="J34" i="21"/>
  <c r="L34" i="21"/>
  <c r="J97" i="21"/>
  <c r="L97" i="21"/>
  <c r="J96" i="21"/>
  <c r="L96" i="21"/>
  <c r="K57" i="21"/>
  <c r="M57" i="21"/>
  <c r="K56" i="21"/>
  <c r="M56" i="21"/>
  <c r="K16" i="21"/>
  <c r="M16" i="21"/>
  <c r="K14" i="21"/>
  <c r="M14" i="21"/>
  <c r="K13" i="21"/>
  <c r="M13" i="21"/>
  <c r="K12" i="21"/>
  <c r="M12" i="2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M137" i="28"/>
  <c r="M136" i="28"/>
</calcChain>
</file>

<file path=xl/sharedStrings.xml><?xml version="1.0" encoding="utf-8"?>
<sst xmlns="http://schemas.openxmlformats.org/spreadsheetml/2006/main" count="4569" uniqueCount="264">
  <si>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</si>
  <si>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</si>
  <si>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</si>
  <si>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</si>
  <si>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</si>
  <si>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</si>
  <si>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</si>
  <si>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</si>
  <si>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</si>
  <si>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</si>
  <si>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</si>
  <si>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</si>
  <si>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</si>
  <si>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</si>
  <si>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</si>
  <si>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Agent</t>
  </si>
  <si>
    <t>Port Everglades</t>
  </si>
  <si>
    <t>Point Lisas</t>
  </si>
  <si>
    <t>20ft</t>
  </si>
  <si>
    <t>N/A</t>
  </si>
  <si>
    <t xml:space="preserve">6 days </t>
  </si>
  <si>
    <t>31/07/2026</t>
  </si>
  <si>
    <t>King Ocean</t>
  </si>
  <si>
    <t>Ramps is the agent - 18 free days</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</si>
  <si>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</si>
  <si>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</si>
  <si>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</si>
  <si>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</si>
  <si>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</si>
  <si>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</si>
  <si>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</si>
  <si>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</si>
  <si>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</si>
  <si>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</si>
  <si>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</si>
  <si>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</si>
  <si>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</si>
  <si>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</si>
  <si>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</si>
  <si>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</si>
  <si>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</si>
  <si>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Maersk</t>
  </si>
  <si>
    <t>Space is available, there is an increase in demand this month so advanced bookings are recommended.</t>
  </si>
  <si>
    <t>Amtrans- 14 free days</t>
  </si>
  <si>
    <t>Santos/Imbituba (TILES)</t>
  </si>
  <si>
    <t>23-28</t>
  </si>
  <si>
    <t>CMA CGM</t>
  </si>
  <si>
    <t>Space is available</t>
  </si>
  <si>
    <t>ES - 14 free days</t>
  </si>
  <si>
    <t>Santos/Itajai/Paranagua/Rio Grande(Lumber)</t>
  </si>
  <si>
    <t>CHINA / TRINIDAD SHIPPING TARIFF</t>
  </si>
  <si>
    <t>Other Port Charges</t>
  </si>
  <si>
    <t>Local Handling</t>
  </si>
  <si>
    <t>Admin</t>
  </si>
  <si>
    <t>Total w/out Insurance</t>
  </si>
  <si>
    <t>Shenzhen/Shanghai/Ningbo/Xiamen/Shekou/Yantian/Qingdao)</t>
  </si>
  <si>
    <t>Port of Spain/Point Lisas</t>
  </si>
  <si>
    <t>-</t>
  </si>
  <si>
    <t>45-55</t>
  </si>
  <si>
    <t>21/07/2026</t>
  </si>
  <si>
    <t>MSC</t>
  </si>
  <si>
    <t xml:space="preserve">Space is becoming more available, advanced bookings are still high advised.
</t>
  </si>
  <si>
    <t>Peter - 14 free days</t>
  </si>
  <si>
    <t xml:space="preserve">Gaoming </t>
  </si>
  <si>
    <t>Shanghai/Xiamen/Tianjin/Shenzhen/Ningbo/Qingdao/Hong Kong/Xingang/Yantian</t>
  </si>
  <si>
    <t>14/07/2026</t>
  </si>
  <si>
    <t>COSCO</t>
  </si>
  <si>
    <t>Severe Space issues, booking need to be made 7 days before ETA</t>
  </si>
  <si>
    <t>Wahsen - 17 free days</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</si>
  <si>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</si>
  <si>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</si>
  <si>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</si>
  <si>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</si>
  <si>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</si>
  <si>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</si>
  <si>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</si>
  <si>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Wahsen - 14 Free</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</si>
  <si>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</si>
  <si>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</si>
  <si>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</si>
  <si>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</si>
  <si>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</si>
  <si>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</si>
  <si>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</si>
  <si>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</si>
  <si>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</si>
  <si>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</si>
  <si>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</si>
  <si>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</si>
  <si>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</si>
  <si>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</si>
  <si>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Port-of-Spain</t>
  </si>
  <si>
    <t>CMA</t>
  </si>
  <si>
    <t>MALAYSIA / TRINIDAD SHIPPING TARIFF</t>
  </si>
  <si>
    <t xml:space="preserve">Port Klang, Pasir Gudang </t>
  </si>
  <si>
    <t>Space is ok, space released once booking form is completed</t>
  </si>
  <si>
    <t>THAILAND/ TRINIDAD SHIPPING TARIFF</t>
  </si>
  <si>
    <t xml:space="preserve">Bangkok </t>
  </si>
  <si>
    <t>peter - 14 free days</t>
  </si>
  <si>
    <t>PANAMA / TRINIDAD SHIPPING TARIFF</t>
  </si>
  <si>
    <t>LAC/Local charges</t>
  </si>
  <si>
    <t>Manzanillo</t>
  </si>
  <si>
    <t>Upcargo - 11 free days</t>
  </si>
  <si>
    <t>TURKEY / TRINIDAD SHIPPING TARIFF</t>
  </si>
  <si>
    <t>Docs</t>
  </si>
  <si>
    <t>Gemlik (TILES)</t>
  </si>
  <si>
    <t>55-65</t>
  </si>
  <si>
    <t>BATI Logistics - 11 free days</t>
  </si>
  <si>
    <t>Gebze/ Gemilk / Aliaga/ Istanbul</t>
  </si>
  <si>
    <t>COLOMBIA / TRINIDAD SHIPPING TARIFF</t>
  </si>
  <si>
    <t>Buenaventura</t>
  </si>
  <si>
    <t>16-20</t>
  </si>
  <si>
    <t>Cartagena</t>
  </si>
  <si>
    <t>MEXICO / TRINIDAD SHIPPING TARIFF</t>
  </si>
  <si>
    <t>Altamira</t>
  </si>
  <si>
    <t>Port-of-Spain/ Point Lisas</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</si>
  <si>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</si>
  <si>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</si>
  <si>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</si>
  <si>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</si>
  <si>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</si>
  <si>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</si>
  <si>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</si>
  <si>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</si>
  <si>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</si>
  <si>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</si>
  <si>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</si>
  <si>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2-4</t>
  </si>
  <si>
    <t>USA / GUYANA SHIPPING TARIFF</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</si>
  <si>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</si>
  <si>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</si>
  <si>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</si>
  <si>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</si>
  <si>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</si>
  <si>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</si>
  <si>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</si>
  <si>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</si>
  <si>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</si>
  <si>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</si>
  <si>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</si>
  <si>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</si>
  <si>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</si>
  <si>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Fast shipping</t>
  </si>
  <si>
    <t>Santos (TILES)</t>
  </si>
  <si>
    <t xml:space="preserve"> Included </t>
  </si>
  <si>
    <t>21 Days</t>
  </si>
  <si>
    <t>Space is available, sailings are booking quickly so advanced bookings are recommended.</t>
  </si>
  <si>
    <t>DSV</t>
  </si>
  <si>
    <t>Paranagua (Lumber)</t>
  </si>
  <si>
    <t xml:space="preserve">
</t>
  </si>
  <si>
    <t>CHINA / GUYANA SHIPPING TARIFF</t>
  </si>
  <si>
    <t>Handling Fee</t>
  </si>
  <si>
    <t>Comments</t>
  </si>
  <si>
    <t>Free time</t>
  </si>
  <si>
    <t xml:space="preserve">Shenzhen/ Shanghai/ Ningbo/ Qingdao/ Xiamen/ Hong Kong/ Chiwan/Yantian/Xingang </t>
  </si>
  <si>
    <t>Peter</t>
  </si>
  <si>
    <t xml:space="preserve">Foshan/Gaoming/Yunfu/Tianjin/Guangzhou </t>
  </si>
  <si>
    <t>Shenzhen/ Shanghai/ Ningbo/ Qingdao/ Xiamen/ Hong Kong/ Chiwan/Yantian/Xingang/Tianjin</t>
  </si>
  <si>
    <t>17 days</t>
  </si>
  <si>
    <t>Wahsen/COSCO</t>
  </si>
  <si>
    <t>Yunfu/Gaoming</t>
  </si>
  <si>
    <t>JAPAN / GUYANA SHIPPING TARIFF</t>
  </si>
  <si>
    <t>Yokohama, Osaka, Nagoya, Tokyo</t>
  </si>
  <si>
    <t>MALAYSIA / GUYANA SHIPPING TARIFF</t>
  </si>
  <si>
    <t>Port Klang, Tanjung</t>
  </si>
  <si>
    <t>INDIA / GUYANA SHIPPING TARIFF</t>
  </si>
  <si>
    <t>Mundra</t>
  </si>
  <si>
    <t>65-75</t>
  </si>
  <si>
    <t>MSK</t>
  </si>
  <si>
    <t>Space is LIMITED, BOOK NOW</t>
  </si>
  <si>
    <t>28 days</t>
  </si>
  <si>
    <t xml:space="preserve">Orca Shipping </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</si>
  <si>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</si>
  <si>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</si>
  <si>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</si>
  <si>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</si>
  <si>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</si>
  <si>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</si>
  <si>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</si>
  <si>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</si>
  <si>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</si>
  <si>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</si>
  <si>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</si>
  <si>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</si>
  <si>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</si>
  <si>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</si>
  <si>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</si>
  <si>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</si>
  <si>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</si>
  <si>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</si>
  <si>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</si>
  <si>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</si>
  <si>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</si>
  <si>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</si>
  <si>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</si>
  <si>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</si>
  <si>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</si>
  <si>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</si>
  <si>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DC</t>
  </si>
  <si>
    <t>Navegantes</t>
  </si>
  <si>
    <t>31/03/2026</t>
  </si>
  <si>
    <t>Hapag Lloyd</t>
  </si>
  <si>
    <t>Wahsen</t>
  </si>
  <si>
    <t>Santos (Tiles)</t>
  </si>
  <si>
    <t>Included</t>
  </si>
  <si>
    <t>CHINA / SURINAME SHIPPING TARIFF</t>
  </si>
  <si>
    <t>Shenzhen/ Shanghai/ Ningbo/ Qingdao/ Xiamen/ Yantian</t>
  </si>
  <si>
    <t>14/6/2025</t>
  </si>
  <si>
    <t>Port Charges does not incl. storage fees or taxes</t>
  </si>
  <si>
    <t>becky</t>
  </si>
  <si>
    <t>Shenzhen/ Shanghai/ Ningbo/ Qingdao/ Xiamen/ Hong Kong/ Chiwan/Yantian</t>
  </si>
  <si>
    <t xml:space="preserve">Port Charges does not incl. storage fees. </t>
  </si>
  <si>
    <t>KOREA / SURINAME SHIPPING TARIFF</t>
  </si>
  <si>
    <t xml:space="preserve">Space is LIMITED, BOOK NOW
Port Charges does not incl. storage fees. </t>
  </si>
  <si>
    <t>COSCO local SR</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</si>
  <si>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</si>
  <si>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</si>
  <si>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</si>
  <si>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</si>
  <si>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</si>
  <si>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</si>
  <si>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</si>
  <si>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Nagoya</t>
  </si>
  <si>
    <t>70-80</t>
  </si>
  <si>
    <t>30/4/2025</t>
  </si>
  <si>
    <t>ZIM</t>
  </si>
  <si>
    <t>75-85</t>
  </si>
  <si>
    <t>THAILAND/ SURINAME SHIPPING TARIFF</t>
  </si>
  <si>
    <t>Bangkok</t>
  </si>
  <si>
    <t> </t>
  </si>
  <si>
    <t>PANAMA / SURINAME SHIPPING TARIFF</t>
  </si>
  <si>
    <t>Administration</t>
  </si>
  <si>
    <t>TURKEY / SURINAME SHIPPING TARIFF</t>
  </si>
  <si>
    <t>Gemlik/ Gebze</t>
  </si>
  <si>
    <t>Space available</t>
  </si>
  <si>
    <t>65-85</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</si>
  <si>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</si>
  <si>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</si>
  <si>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</si>
  <si>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</si>
  <si>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</si>
  <si>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</si>
  <si>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</si>
  <si>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</si>
  <si>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</si>
  <si>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</si>
  <si>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</si>
  <si>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</si>
  <si>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</si>
  <si>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30/06/2026</t>
  </si>
  <si>
    <t>TRINIDAD TO DOMINICAN REPUBLIC SHIPPING TARIFF</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</si>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</sst>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83">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14" fontId="0" fillId="5" borderId="5" xfId="0" applyNumberForma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14" fontId="0" fillId="5" borderId="0" xfId="0" applyNumberFormat="1" applyFill="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44" fontId="0" fillId="5" borderId="30" xfId="1" applyFont="1" applyFill="1" applyBorder="1" applyAlignment="1">
      <alignment horizontal="right"/>
    </xf>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44" fontId="0" fillId="5" borderId="22" xfId="1" applyFont="1" applyFill="1" applyBorder="1"/>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4" fillId="2" borderId="16" xfId="0" applyFont="1" applyFill="1" applyBorder="1" applyAlignment="1">
      <alignment vertical="center"/>
    </xf>
    <xf numFmtId="0" fontId="0" fillId="5" borderId="16" xfId="0" applyFill="1" applyBorder="1"/>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7" fillId="5" borderId="1" xfId="0" applyFont="1" applyFill="1" applyBorder="1" applyAlignment="1">
      <alignment vertical="center"/>
    </xf>
    <xf numFmtId="8" fontId="9" fillId="5" borderId="63" xfId="0" applyNumberFormat="1" applyFont="1" applyFill="1" applyBorder="1"/>
    <xf numFmtId="0" fontId="0" fillId="5" borderId="36" xfId="0" applyFill="1" applyBorder="1" applyAlignment="1">
      <alignment horizontal="center" vertical="center" wrapText="1"/>
    </xf>
    <xf numFmtId="14" fontId="7" fillId="5" borderId="1" xfId="0" applyNumberFormat="1" applyFont="1" applyFill="1" applyBorder="1"/>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0" fillId="0" borderId="16" xfId="0" applyBorder="1"/>
    <xf numFmtId="14" fontId="0" fillId="5" borderId="5" xfId="0" applyNumberFormat="1" applyFill="1" applyBorder="1" applyAlignment="1">
      <alignment horizontal="right" vertic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4" fillId="2" borderId="1"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15" fillId="0" borderId="1" xfId="1" applyFont="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0" fontId="0" fillId="5" borderId="37" xfId="0" applyFill="1" applyBorder="1" applyAlignment="1">
      <alignment horizontal="left" vertical="center"/>
    </xf>
    <xf numFmtId="0" fontId="0" fillId="5" borderId="39" xfId="0" applyFill="1" applyBorder="1" applyAlignment="1">
      <alignment horizontal="left" vertical="center"/>
    </xf>
    <xf numFmtId="49" fontId="0" fillId="5" borderId="1" xfId="0" applyNumberFormat="1" applyFill="1" applyBorder="1" applyAlignment="1">
      <alignment horizontal="center"/>
    </xf>
    <xf numFmtId="0" fontId="0" fillId="5" borderId="36" xfId="0" applyFill="1" applyBorder="1" applyAlignment="1">
      <alignment horizontal="center" vertical="center"/>
    </xf>
    <xf numFmtId="0" fontId="0" fillId="5" borderId="1"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0" xfId="0" applyFill="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7" fillId="5" borderId="2" xfId="0" applyFont="1" applyFill="1" applyBorder="1" applyAlignment="1">
      <alignment horizontal="center" vertical="center"/>
    </xf>
    <xf numFmtId="0" fontId="7" fillId="5" borderId="1" xfId="0" applyFont="1" applyFill="1" applyBorder="1" applyAlignment="1">
      <alignment horizontal="center" vertical="center"/>
    </xf>
    <xf numFmtId="0" fontId="2" fillId="5" borderId="1" xfId="0" applyFont="1" applyFill="1" applyBorder="1" applyAlignment="1">
      <alignment horizontal="center" vertical="center" wrapText="1"/>
    </xf>
    <xf numFmtId="0" fontId="0" fillId="5" borderId="1" xfId="0" applyFill="1" applyBorder="1" applyAlignment="1">
      <alignment horizontal="center" wrapText="1"/>
    </xf>
    <xf numFmtId="0" fontId="5" fillId="3" borderId="40" xfId="0" applyFont="1" applyFill="1" applyBorder="1" applyAlignment="1">
      <alignment horizontal="center" vertical="center"/>
    </xf>
    <xf numFmtId="0" fontId="4" fillId="2" borderId="1" xfId="0" applyFont="1" applyFill="1" applyBorder="1" applyAlignment="1">
      <alignment horizontal="center" vertical="center"/>
    </xf>
    <xf numFmtId="0" fontId="0" fillId="5" borderId="38" xfId="0" applyFill="1" applyBorder="1" applyAlignment="1">
      <alignment horizontal="center" vertical="center"/>
    </xf>
    <xf numFmtId="0" fontId="0" fillId="5" borderId="30" xfId="0" applyFill="1" applyBorder="1" applyAlignment="1">
      <alignment horizontal="center" vertical="center"/>
    </xf>
    <xf numFmtId="0" fontId="5" fillId="3" borderId="13" xfId="0" applyFont="1" applyFill="1" applyBorder="1" applyAlignment="1">
      <alignment horizontal="center" vertical="center"/>
    </xf>
    <xf numFmtId="0" fontId="4" fillId="2" borderId="1" xfId="0" applyFont="1" applyFill="1" applyBorder="1" applyAlignment="1">
      <alignment horizontal="left"/>
    </xf>
    <xf numFmtId="0" fontId="0" fillId="0" borderId="36" xfId="0" applyBorder="1" applyAlignment="1">
      <alignment horizontal="center" vertical="center" wrapText="1"/>
    </xf>
    <xf numFmtId="0" fontId="0" fillId="0" borderId="1" xfId="0" applyBorder="1" applyAlignment="1">
      <alignment horizontal="center" vertical="center"/>
    </xf>
    <xf numFmtId="0" fontId="5" fillId="3" borderId="43" xfId="0" applyFont="1" applyFill="1" applyBorder="1" applyAlignment="1">
      <alignment horizontal="center" vertical="center"/>
    </xf>
    <xf numFmtId="0" fontId="5" fillId="3" borderId="48" xfId="0" applyFont="1" applyFill="1" applyBorder="1" applyAlignment="1">
      <alignment horizontal="center" vertical="center"/>
    </xf>
    <xf numFmtId="0" fontId="2" fillId="5" borderId="2" xfId="0" applyFont="1" applyFill="1" applyBorder="1" applyAlignment="1">
      <alignment horizontal="center" vertical="center" wrapText="1"/>
    </xf>
    <xf numFmtId="0" fontId="2" fillId="5" borderId="30" xfId="0" applyFont="1" applyFill="1" applyBorder="1" applyAlignment="1">
      <alignment horizontal="center" vertical="center" wrapText="1"/>
    </xf>
    <xf numFmtId="0" fontId="0" fillId="0" borderId="45" xfId="0" applyBorder="1" applyAlignment="1">
      <alignment horizontal="center" vertical="center" wrapText="1"/>
    </xf>
    <xf numFmtId="0" fontId="0" fillId="0" borderId="60" xfId="0" applyBorder="1" applyAlignment="1">
      <alignment horizontal="center" vertical="center" wrapText="1"/>
    </xf>
    <xf numFmtId="0" fontId="5" fillId="3" borderId="31" xfId="0" applyFont="1" applyFill="1" applyBorder="1" applyAlignment="1">
      <alignment horizontal="center" vertical="center"/>
    </xf>
    <xf numFmtId="0" fontId="2" fillId="0" borderId="2" xfId="0" applyFont="1" applyBorder="1" applyAlignment="1">
      <alignment horizontal="center" wrapText="1"/>
    </xf>
    <xf numFmtId="0" fontId="2" fillId="0" borderId="3" xfId="0" applyFont="1" applyBorder="1" applyAlignment="1">
      <alignment horizontal="center" wrapText="1"/>
    </xf>
    <xf numFmtId="0" fontId="0" fillId="5" borderId="11" xfId="0" applyFill="1" applyBorder="1" applyAlignment="1">
      <alignment horizontal="left" wrapText="1"/>
    </xf>
    <xf numFmtId="0" fontId="0" fillId="5" borderId="7" xfId="0" applyFill="1" applyBorder="1" applyAlignment="1">
      <alignment horizontal="left" wrapText="1"/>
    </xf>
    <xf numFmtId="0" fontId="5" fillId="3" borderId="5" xfId="0" applyFont="1" applyFill="1" applyBorder="1" applyAlignment="1">
      <alignment horizontal="center" vertical="center"/>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5" borderId="2" xfId="0"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5" fillId="3" borderId="41" xfId="0" applyFont="1" applyFill="1" applyBorder="1" applyAlignment="1">
      <alignment horizontal="center" vertical="center"/>
    </xf>
    <xf numFmtId="0" fontId="0" fillId="5" borderId="36" xfId="0" applyFill="1" applyBorder="1" applyAlignment="1">
      <alignment horizontal="center" vertical="center"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5" fillId="3" borderId="42"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 fillId="3" borderId="20" xfId="0" applyFont="1" applyFill="1" applyBorder="1" applyAlignment="1">
      <alignment horizontal="center" vertical="center"/>
    </xf>
    <xf numFmtId="0" fontId="5" fillId="3" borderId="44"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5" fillId="3" borderId="59"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7" fillId="5" borderId="4" xfId="0" applyFont="1" applyFill="1" applyBorder="1" applyAlignment="1">
      <alignment horizontal="center" vertical="center"/>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4" xfId="0" applyFill="1" applyBorder="1" applyAlignment="1">
      <alignment horizontal="center" vertical="center"/>
    </xf>
    <xf numFmtId="0" fontId="0" fillId="5" borderId="3" xfId="0" applyFill="1" applyBorder="1" applyAlignment="1">
      <alignment horizontal="center" vertical="center"/>
    </xf>
    <xf numFmtId="0" fontId="7" fillId="5" borderId="0" xfId="0" applyFont="1" applyFill="1"/>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13" xfId="0" applyFont="1" applyFill="1" applyBorder="1" applyAlignment="1">
      <alignment horizontal="center"/>
    </xf>
    <xf numFmtId="0" fontId="11" fillId="3" borderId="5" xfId="0" applyFont="1" applyFill="1" applyBorder="1" applyAlignment="1">
      <alignment horizontal="center"/>
    </xf>
    <xf numFmtId="0" fontId="11" fillId="3" borderId="20"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8" fillId="4" borderId="1" xfId="0" applyFont="1" applyFill="1" applyBorder="1"/>
    <xf numFmtId="0" fontId="7" fillId="5" borderId="1" xfId="0" applyFont="1" applyFill="1" applyBorder="1" applyAlignment="1">
      <alignment vertical="center"/>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7" fillId="5" borderId="1" xfId="0" applyFont="1" applyFill="1" applyBorder="1" applyAlignment="1">
      <alignment horizontal="center" wrapText="1"/>
    </xf>
    <xf numFmtId="0" fontId="11" fillId="3" borderId="43" xfId="0" applyFont="1" applyFill="1" applyBorder="1" applyAlignment="1">
      <alignment horizontal="center"/>
    </xf>
    <xf numFmtId="0" fontId="11" fillId="3" borderId="44" xfId="0" applyFont="1" applyFill="1" applyBorder="1" applyAlignment="1">
      <alignment horizontal="center"/>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7" fillId="5" borderId="30" xfId="0" applyFont="1" applyFill="1" applyBorder="1" applyAlignment="1">
      <alignment vertical="center"/>
    </xf>
    <xf numFmtId="0" fontId="0" fillId="5" borderId="38" xfId="0" applyFill="1" applyBorder="1" applyAlignment="1">
      <alignment horizontal="center" vertical="center" wrapText="1"/>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6" xfId="0" applyFill="1" applyBorder="1" applyAlignment="1">
      <alignment horizontal="center" vertical="center" wrapText="1"/>
    </xf>
    <xf numFmtId="0" fontId="0" fillId="5" borderId="27"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7" fillId="5" borderId="30" xfId="0" applyFont="1" applyFill="1" applyBorder="1" applyAlignment="1">
      <alignment horizontal="center" vertical="center"/>
    </xf>
    <xf numFmtId="49" fontId="0" fillId="5" borderId="5" xfId="0" applyNumberFormat="1" applyFill="1" applyBorder="1" applyAlignment="1">
      <alignment vertical="center"/>
    </xf>
    <xf numFmtId="49" fontId="0" fillId="5" borderId="1" xfId="0" applyNumberFormat="1" applyFill="1" applyBorder="1" applyAlignment="1">
      <alignment vertical="center"/>
    </xf>
    <xf numFmtId="49" fontId="15" fillId="0" borderId="1" xfId="0" applyNumberFormat="1" applyFont="1" applyBorder="1" applyAlignment="1">
      <alignment horizontal="left" vertical="center"/>
    </xf>
    <xf numFmtId="49" fontId="0" fillId="5" borderId="1" xfId="0" applyNumberFormat="1" applyFill="1" applyBorder="1" applyAlignment="1">
      <alignment horizontal="right" vertical="center"/>
    </xf>
    <xf numFmtId="49" fontId="0" fillId="5" borderId="5" xfId="0" applyNumberFormat="1" applyFill="1" applyBorder="1" applyAlignment="1">
      <alignment horizontal="right" vertical="center"/>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110</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128</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154</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180</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84</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104</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118</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47</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87</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124</xdr:row>
      <xdr:rowOff>22633</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U1048571"/>
  <sheetViews>
    <sheetView topLeftCell="A89" zoomScale="105" zoomScaleNormal="100" workbookViewId="0">
      <selection activeCell="E94" sqref="E94"/>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3" bestFit="1" customWidth="1"/>
    <col min="7" max="8" width="13" style="53" customWidth="1"/>
    <col min="9" max="9" width="16.6640625" style="53" bestFit="1" customWidth="1"/>
    <col min="10" max="10" width="17.44140625" style="19" customWidth="1"/>
    <col min="11" max="11" width="16.6640625" style="19" bestFit="1" customWidth="1"/>
    <col min="12" max="12" width="13.6640625" style="19" customWidth="1"/>
    <col min="13" max="13" width="17.88671875" style="19" customWidth="1"/>
    <col min="14" max="14" width="16.33203125" style="19" customWidth="1"/>
    <col min="15" max="15" width="13" style="19" customWidth="1"/>
    <col min="16" max="16" width="21.5546875" style="19" customWidth="1"/>
    <col min="17" max="17" width="14.44140625" style="19" customWidth="1"/>
    <col min="18" max="18" width="42" style="19" customWidth="1"/>
    <col min="19" max="19" width="15.33203125" style="19" customWidth="1"/>
    <col min="20" max="20" width="27.33203125" style="19" hidden="1" customWidth="1"/>
    <col min="21" max="21" width="8.88671875" style="19" customWidth="1"/>
    <col min="22" max="23" width="9.109375" style="19" bestFit="1" customWidth="1"/>
    <col min="24" max="24" width="10.33203125" style="19" bestFit="1" customWidth="1"/>
    <col min="25" max="16384" width="8.88671875" style="19"/>
  </cols>
  <sheetData>
    <row r="7" spans="2:20" x14ac:dyDescent="0.3">
      <c r="B7" s="18"/>
      <c r="C7" s="18"/>
      <c r="D7" s="18"/>
      <c r="E7" s="18"/>
      <c r="F7" s="18"/>
      <c r="G7" s="18"/>
      <c r="H7" s="18"/>
      <c r="I7" s="18"/>
      <c r="J7" s="18"/>
      <c r="K7" s="18"/>
      <c r="L7" s="18"/>
      <c r="M7" s="18"/>
      <c r="N7" s="18"/>
      <c r="O7" s="18"/>
      <c r="P7" s="18"/>
    </row>
    <row r="8" spans="2:20" ht="28.8" x14ac:dyDescent="0.3">
      <c r="B8" s="245" t="s">
        <v>0</v>
      </c>
      <c r="C8" s="245"/>
      <c r="D8" s="245"/>
      <c r="E8" s="245"/>
      <c r="F8" s="245"/>
      <c r="G8" s="245"/>
      <c r="H8" s="245"/>
      <c r="I8" s="245"/>
      <c r="J8" s="245"/>
      <c r="K8" s="245"/>
      <c r="L8" s="245"/>
      <c r="M8" s="245"/>
      <c r="N8" s="245"/>
      <c r="O8" s="245"/>
      <c r="P8" s="245"/>
    </row>
    <row r="9" spans="2:20" ht="28.8" x14ac:dyDescent="0.3">
      <c r="B9" s="4" t="s">
        <v>1</v>
      </c>
      <c r="C9" s="242" t="s">
        <v>2</v>
      </c>
      <c r="D9" s="242"/>
      <c r="E9" s="124" t="s">
        <v>3</v>
      </c>
      <c r="F9" s="124" t="s">
        <v>4</v>
      </c>
      <c r="G9" s="124" t="s">
        <v>5</v>
      </c>
      <c r="H9" s="124" t="s">
        <v>6</v>
      </c>
      <c r="I9" s="3" t="s">
        <v>7</v>
      </c>
      <c r="J9" s="3" t="s">
        <v>8</v>
      </c>
      <c r="K9" s="3" t="s">
        <v>9</v>
      </c>
      <c r="L9" s="3" t="s">
        <v>10</v>
      </c>
      <c r="M9" s="3" t="s">
        <v>11</v>
      </c>
      <c r="N9" s="124" t="s">
        <v>12</v>
      </c>
      <c r="O9" s="124" t="s">
        <v>13</v>
      </c>
      <c r="P9" s="4" t="s">
        <v>14</v>
      </c>
      <c r="T9" s="133" t="s">
        <v>15</v>
      </c>
    </row>
    <row r="10" spans="2:20" x14ac:dyDescent="0.3">
      <c r="B10" s="325" t="s">
        <v>16</v>
      </c>
      <c r="C10" s="325" t="s">
        <v>17</v>
      </c>
      <c r="D10" s="20" t="s">
        <v>18</v>
      </c>
      <c r="E10" s="21">
        <v>1800</v>
      </c>
      <c r="F10" s="22">
        <v>410</v>
      </c>
      <c r="G10" s="22">
        <v>76.5</v>
      </c>
      <c r="H10" s="22">
        <v>14</v>
      </c>
      <c r="I10" s="22">
        <v>10</v>
      </c>
      <c r="J10" s="22" t="s">
        <v>19</v>
      </c>
      <c r="K10" s="23">
        <f t="shared" ref="K10:K21" si="0">SUM(E10:J10)</f>
        <v>2310.5</v>
      </c>
      <c r="L10" s="24">
        <v>200</v>
      </c>
      <c r="M10" s="23">
        <f t="shared" ref="M10:M21" si="1">K10+L10</f>
        <v>2510.5</v>
      </c>
      <c r="N10" s="118" t="s">
        <v>20</v>
      </c>
      <c r="O10" s="378" t="s">
        <v>21</v>
      </c>
      <c r="P10" s="26" t="s">
        <v>22</v>
      </c>
      <c r="T10" s="134" t="s">
        <v>23</v>
      </c>
    </row>
    <row r="11" spans="2:20" x14ac:dyDescent="0.3">
      <c r="B11" s="326"/>
      <c r="C11" s="326"/>
      <c r="D11" s="20" t="s">
        <v>24</v>
      </c>
      <c r="E11" s="21">
        <v>2800</v>
      </c>
      <c r="F11" s="22">
        <v>410</v>
      </c>
      <c r="G11" s="22">
        <v>76.5</v>
      </c>
      <c r="H11" s="22">
        <v>14</v>
      </c>
      <c r="I11" s="22">
        <v>10</v>
      </c>
      <c r="J11" s="22" t="s">
        <v>19</v>
      </c>
      <c r="K11" s="23">
        <f t="shared" si="0"/>
        <v>3310.5</v>
      </c>
      <c r="L11" s="24">
        <v>200</v>
      </c>
      <c r="M11" s="23">
        <f t="shared" si="1"/>
        <v>3510.5</v>
      </c>
      <c r="N11" s="118" t="s">
        <v>20</v>
      </c>
      <c r="O11" s="378" t="s">
        <v>21</v>
      </c>
      <c r="P11" s="26" t="s">
        <v>22</v>
      </c>
      <c r="T11" s="134" t="s">
        <v>23</v>
      </c>
    </row>
    <row r="12" spans="2:20" x14ac:dyDescent="0.3">
      <c r="B12" s="326"/>
      <c r="C12" s="325" t="s">
        <v>17</v>
      </c>
      <c r="D12" s="114" t="s">
        <v>18</v>
      </c>
      <c r="E12" s="21">
        <f>(1125+265)+510</f>
        <v>1900</v>
      </c>
      <c r="F12" s="22">
        <v>355</v>
      </c>
      <c r="G12" s="22">
        <v>76.5</v>
      </c>
      <c r="H12" s="22">
        <v>14</v>
      </c>
      <c r="I12" s="22">
        <v>10</v>
      </c>
      <c r="J12" s="22">
        <v>150</v>
      </c>
      <c r="K12" s="23">
        <f t="shared" si="0"/>
        <v>2505.5</v>
      </c>
      <c r="L12" s="24">
        <v>200</v>
      </c>
      <c r="M12" s="23">
        <f t="shared" si="1"/>
        <v>2705.5</v>
      </c>
      <c r="N12" s="118" t="s">
        <v>20</v>
      </c>
      <c r="O12" s="378" t="s">
        <v>21</v>
      </c>
      <c r="P12" s="26" t="s">
        <v>25</v>
      </c>
      <c r="T12" s="134" t="s">
        <v>23</v>
      </c>
    </row>
    <row r="13" spans="2:20" x14ac:dyDescent="0.3">
      <c r="B13" s="326"/>
      <c r="C13" s="326"/>
      <c r="D13" s="114" t="s">
        <v>24</v>
      </c>
      <c r="E13" s="21">
        <f>(1735+530)+535</f>
        <v>2800</v>
      </c>
      <c r="F13" s="22">
        <v>355</v>
      </c>
      <c r="G13" s="22">
        <v>76.5</v>
      </c>
      <c r="H13" s="22">
        <v>14</v>
      </c>
      <c r="I13" s="22">
        <v>10</v>
      </c>
      <c r="J13" s="22">
        <v>300</v>
      </c>
      <c r="K13" s="23">
        <f t="shared" si="0"/>
        <v>3555.5</v>
      </c>
      <c r="L13" s="24">
        <v>200</v>
      </c>
      <c r="M13" s="23">
        <f t="shared" si="1"/>
        <v>3755.5</v>
      </c>
      <c r="N13" s="118" t="s">
        <v>20</v>
      </c>
      <c r="O13" s="378" t="s">
        <v>21</v>
      </c>
      <c r="P13" s="26" t="s">
        <v>25</v>
      </c>
      <c r="Q13" s="27"/>
      <c r="T13" s="134" t="s">
        <v>23</v>
      </c>
    </row>
    <row r="14" spans="2:20" x14ac:dyDescent="0.3">
      <c r="B14" s="268" t="s">
        <v>26</v>
      </c>
      <c r="C14" s="224" t="s">
        <v>17</v>
      </c>
      <c r="D14" s="20" t="s">
        <v>18</v>
      </c>
      <c r="E14" s="21">
        <f>(1225+265)+500</f>
        <v>1990</v>
      </c>
      <c r="F14" s="22">
        <v>355</v>
      </c>
      <c r="G14" s="22">
        <v>76.5</v>
      </c>
      <c r="H14" s="22">
        <v>14</v>
      </c>
      <c r="I14" s="22">
        <v>10</v>
      </c>
      <c r="J14" s="22">
        <v>150</v>
      </c>
      <c r="K14" s="23">
        <f t="shared" si="0"/>
        <v>2595.5</v>
      </c>
      <c r="L14" s="24">
        <v>200</v>
      </c>
      <c r="M14" s="23">
        <f t="shared" si="1"/>
        <v>2795.5</v>
      </c>
      <c r="N14" s="118" t="s">
        <v>27</v>
      </c>
      <c r="O14" s="378" t="s">
        <v>21</v>
      </c>
      <c r="P14" s="26" t="s">
        <v>25</v>
      </c>
      <c r="T14" s="134" t="s">
        <v>23</v>
      </c>
    </row>
    <row r="15" spans="2:20" x14ac:dyDescent="0.3">
      <c r="B15" s="327"/>
      <c r="C15" s="224"/>
      <c r="D15" s="20" t="s">
        <v>24</v>
      </c>
      <c r="E15" s="21">
        <f>(1950+530)+500</f>
        <v>2980</v>
      </c>
      <c r="F15" s="22">
        <v>355</v>
      </c>
      <c r="G15" s="22">
        <v>76.5</v>
      </c>
      <c r="H15" s="22">
        <v>14</v>
      </c>
      <c r="I15" s="22">
        <v>10</v>
      </c>
      <c r="J15" s="22">
        <v>300</v>
      </c>
      <c r="K15" s="23">
        <f t="shared" si="0"/>
        <v>3735.5</v>
      </c>
      <c r="L15" s="24">
        <v>200</v>
      </c>
      <c r="M15" s="23">
        <f t="shared" si="1"/>
        <v>3935.5</v>
      </c>
      <c r="N15" s="118" t="s">
        <v>27</v>
      </c>
      <c r="O15" s="378" t="s">
        <v>21</v>
      </c>
      <c r="P15" s="26" t="s">
        <v>25</v>
      </c>
      <c r="T15" s="134" t="s">
        <v>23</v>
      </c>
    </row>
    <row r="16" spans="2:20" x14ac:dyDescent="0.3">
      <c r="B16" s="268" t="s">
        <v>28</v>
      </c>
      <c r="C16" s="268" t="s">
        <v>17</v>
      </c>
      <c r="D16" s="20" t="s">
        <v>18</v>
      </c>
      <c r="E16" s="21">
        <f>(1425+265)+500</f>
        <v>2190</v>
      </c>
      <c r="F16" s="22">
        <v>355</v>
      </c>
      <c r="G16" s="22">
        <v>76.5</v>
      </c>
      <c r="H16" s="22">
        <v>14</v>
      </c>
      <c r="I16" s="22">
        <v>10</v>
      </c>
      <c r="J16" s="22">
        <v>150</v>
      </c>
      <c r="K16" s="23">
        <f t="shared" si="0"/>
        <v>2795.5</v>
      </c>
      <c r="L16" s="24">
        <v>200</v>
      </c>
      <c r="M16" s="23">
        <f t="shared" si="1"/>
        <v>2995.5</v>
      </c>
      <c r="N16" s="118" t="s">
        <v>29</v>
      </c>
      <c r="O16" s="378" t="s">
        <v>21</v>
      </c>
      <c r="P16" s="26" t="s">
        <v>25</v>
      </c>
      <c r="T16" s="134" t="s">
        <v>23</v>
      </c>
    </row>
    <row r="17" spans="2:20" x14ac:dyDescent="0.3">
      <c r="B17" s="327"/>
      <c r="C17" s="327"/>
      <c r="D17" s="20" t="s">
        <v>24</v>
      </c>
      <c r="E17" s="21">
        <f>(2350+530)+500</f>
        <v>3380</v>
      </c>
      <c r="F17" s="22">
        <v>355</v>
      </c>
      <c r="G17" s="22">
        <v>76.5</v>
      </c>
      <c r="H17" s="22">
        <v>14</v>
      </c>
      <c r="I17" s="22">
        <v>10</v>
      </c>
      <c r="J17" s="22">
        <v>300</v>
      </c>
      <c r="K17" s="23">
        <f t="shared" si="0"/>
        <v>4135.5</v>
      </c>
      <c r="L17" s="24">
        <v>200</v>
      </c>
      <c r="M17" s="23">
        <f t="shared" si="1"/>
        <v>4335.5</v>
      </c>
      <c r="N17" s="118" t="s">
        <v>29</v>
      </c>
      <c r="O17" s="378" t="s">
        <v>21</v>
      </c>
      <c r="P17" s="26" t="s">
        <v>25</v>
      </c>
      <c r="T17" s="134" t="s">
        <v>23</v>
      </c>
    </row>
    <row r="18" spans="2:20" x14ac:dyDescent="0.3">
      <c r="B18" s="268" t="s">
        <v>30</v>
      </c>
      <c r="C18" s="224" t="s">
        <v>31</v>
      </c>
      <c r="D18" s="20" t="s">
        <v>18</v>
      </c>
      <c r="E18" s="21">
        <f>(1225+265)+500</f>
        <v>1990</v>
      </c>
      <c r="F18" s="22">
        <v>355</v>
      </c>
      <c r="G18" s="22">
        <v>76.5</v>
      </c>
      <c r="H18" s="22">
        <v>14</v>
      </c>
      <c r="I18" s="22">
        <v>10</v>
      </c>
      <c r="J18" s="22">
        <v>150</v>
      </c>
      <c r="K18" s="23">
        <f t="shared" si="0"/>
        <v>2595.5</v>
      </c>
      <c r="L18" s="24">
        <v>200</v>
      </c>
      <c r="M18" s="23">
        <f t="shared" si="1"/>
        <v>2795.5</v>
      </c>
      <c r="N18" s="118" t="s">
        <v>32</v>
      </c>
      <c r="O18" s="378" t="s">
        <v>21</v>
      </c>
      <c r="P18" s="26" t="s">
        <v>25</v>
      </c>
      <c r="Q18" s="27"/>
      <c r="T18" s="134" t="s">
        <v>23</v>
      </c>
    </row>
    <row r="19" spans="2:20" x14ac:dyDescent="0.3">
      <c r="B19" s="328"/>
      <c r="C19" s="224"/>
      <c r="D19" s="20" t="s">
        <v>24</v>
      </c>
      <c r="E19" s="21">
        <f>(1950+530)+500</f>
        <v>2980</v>
      </c>
      <c r="F19" s="22">
        <v>355</v>
      </c>
      <c r="G19" s="22">
        <v>76.5</v>
      </c>
      <c r="H19" s="22">
        <v>14</v>
      </c>
      <c r="I19" s="22">
        <v>10</v>
      </c>
      <c r="J19" s="22">
        <v>300</v>
      </c>
      <c r="K19" s="23">
        <f t="shared" si="0"/>
        <v>3735.5</v>
      </c>
      <c r="L19" s="24">
        <v>200</v>
      </c>
      <c r="M19" s="23">
        <f t="shared" si="1"/>
        <v>3935.5</v>
      </c>
      <c r="N19" s="118" t="s">
        <v>32</v>
      </c>
      <c r="O19" s="378" t="s">
        <v>21</v>
      </c>
      <c r="P19" s="26" t="s">
        <v>25</v>
      </c>
      <c r="Q19" s="27"/>
      <c r="T19" s="134" t="s">
        <v>23</v>
      </c>
    </row>
    <row r="20" spans="2:20" x14ac:dyDescent="0.3">
      <c r="B20" s="328"/>
      <c r="C20" s="224" t="s">
        <v>17</v>
      </c>
      <c r="D20" s="20" t="s">
        <v>18</v>
      </c>
      <c r="E20" s="21">
        <f>(1225+265)+500</f>
        <v>1990</v>
      </c>
      <c r="F20" s="22">
        <v>355</v>
      </c>
      <c r="G20" s="22">
        <v>76.5</v>
      </c>
      <c r="H20" s="22">
        <v>14</v>
      </c>
      <c r="I20" s="22">
        <v>10</v>
      </c>
      <c r="J20" s="22">
        <v>150</v>
      </c>
      <c r="K20" s="23">
        <f t="shared" si="0"/>
        <v>2595.5</v>
      </c>
      <c r="L20" s="24">
        <v>200</v>
      </c>
      <c r="M20" s="23">
        <f t="shared" si="1"/>
        <v>2795.5</v>
      </c>
      <c r="N20" s="118" t="s">
        <v>33</v>
      </c>
      <c r="O20" s="378" t="s">
        <v>21</v>
      </c>
      <c r="P20" s="26" t="s">
        <v>25</v>
      </c>
      <c r="T20" s="134" t="s">
        <v>23</v>
      </c>
    </row>
    <row r="21" spans="2:20" x14ac:dyDescent="0.3">
      <c r="B21" s="327"/>
      <c r="C21" s="224"/>
      <c r="D21" s="20" t="s">
        <v>24</v>
      </c>
      <c r="E21" s="21">
        <f>(1950+530)+500</f>
        <v>2980</v>
      </c>
      <c r="F21" s="22">
        <v>355</v>
      </c>
      <c r="G21" s="22">
        <v>76.5</v>
      </c>
      <c r="H21" s="22">
        <v>14</v>
      </c>
      <c r="I21" s="22">
        <v>10</v>
      </c>
      <c r="J21" s="22">
        <v>300</v>
      </c>
      <c r="K21" s="23">
        <f t="shared" si="0"/>
        <v>3735.5</v>
      </c>
      <c r="L21" s="24">
        <v>200</v>
      </c>
      <c r="M21" s="23">
        <f t="shared" si="1"/>
        <v>3935.5</v>
      </c>
      <c r="N21" s="118" t="s">
        <v>33</v>
      </c>
      <c r="O21" s="378" t="s">
        <v>21</v>
      </c>
      <c r="P21" s="26" t="s">
        <v>25</v>
      </c>
      <c r="T21" s="134" t="s">
        <v>23</v>
      </c>
    </row>
    <row r="22" spans="2:20" x14ac:dyDescent="0.3">
      <c r="B22" s="28"/>
      <c r="C22" s="28"/>
      <c r="D22" s="29"/>
      <c r="E22" s="119"/>
      <c r="F22" s="100"/>
      <c r="G22" s="100"/>
      <c r="H22" s="100"/>
      <c r="I22" s="100"/>
      <c r="J22" s="103"/>
      <c r="K22" s="103"/>
      <c r="L22" s="103"/>
      <c r="M22" s="102"/>
      <c r="N22" s="103"/>
      <c r="O22" s="102"/>
      <c r="P22" s="35"/>
      <c r="Q22" s="29"/>
    </row>
    <row r="23" spans="2:20" ht="15.6" x14ac:dyDescent="0.3">
      <c r="B23" s="199" t="s">
        <v>34</v>
      </c>
      <c r="C23" s="200"/>
      <c r="D23" s="200"/>
      <c r="E23" s="200"/>
      <c r="F23" s="200"/>
      <c r="G23" s="200"/>
      <c r="H23" s="200"/>
      <c r="I23" s="200"/>
      <c r="J23" s="200"/>
      <c r="K23" s="200"/>
      <c r="L23" s="200"/>
      <c r="M23" s="200"/>
      <c r="N23" s="200"/>
      <c r="O23" s="200"/>
      <c r="P23" s="200"/>
    </row>
    <row r="24" spans="2:20" ht="14.4" customHeight="1" x14ac:dyDescent="0.3">
      <c r="B24" s="240" t="s">
        <v>35</v>
      </c>
      <c r="C24" s="240"/>
      <c r="D24" s="240"/>
      <c r="E24" s="240"/>
      <c r="F24" s="240"/>
      <c r="G24" s="240"/>
      <c r="H24" s="240"/>
      <c r="I24" s="240"/>
      <c r="J24" s="240"/>
      <c r="K24" s="240"/>
      <c r="L24" s="240"/>
      <c r="M24" s="240"/>
      <c r="N24" s="240"/>
      <c r="O24" s="240"/>
      <c r="P24" s="240"/>
    </row>
    <row r="25" spans="2:20" x14ac:dyDescent="0.3">
      <c r="B25" s="240"/>
      <c r="C25" s="240"/>
      <c r="D25" s="240"/>
      <c r="E25" s="240"/>
      <c r="F25" s="240"/>
      <c r="G25" s="240"/>
      <c r="H25" s="240"/>
      <c r="I25" s="240"/>
      <c r="J25" s="240"/>
      <c r="K25" s="240"/>
      <c r="L25" s="240"/>
      <c r="M25" s="240"/>
      <c r="N25" s="240"/>
      <c r="O25" s="240"/>
      <c r="P25" s="240"/>
    </row>
    <row r="26" spans="2:20" x14ac:dyDescent="0.3">
      <c r="B26" s="240"/>
      <c r="C26" s="240"/>
      <c r="D26" s="240"/>
      <c r="E26" s="240"/>
      <c r="F26" s="240"/>
      <c r="G26" s="240"/>
      <c r="H26" s="240"/>
      <c r="I26" s="240"/>
      <c r="J26" s="240"/>
      <c r="K26" s="240"/>
      <c r="L26" s="240"/>
      <c r="M26" s="240"/>
      <c r="N26" s="240"/>
      <c r="O26" s="240"/>
      <c r="P26" s="240"/>
    </row>
    <row r="27" spans="2:20" x14ac:dyDescent="0.3">
      <c r="B27" s="240"/>
      <c r="C27" s="240"/>
      <c r="D27" s="240"/>
      <c r="E27" s="240"/>
      <c r="F27" s="240"/>
      <c r="G27" s="240"/>
      <c r="H27" s="240"/>
      <c r="I27" s="240"/>
      <c r="J27" s="240"/>
      <c r="K27" s="240"/>
      <c r="L27" s="240"/>
      <c r="M27" s="240"/>
      <c r="N27" s="240"/>
      <c r="O27" s="240"/>
      <c r="P27" s="240"/>
    </row>
    <row r="28" spans="2:20" x14ac:dyDescent="0.3">
      <c r="B28" s="36"/>
      <c r="C28" s="36"/>
      <c r="D28" s="36"/>
      <c r="E28" s="36"/>
      <c r="F28" s="36"/>
      <c r="G28" s="36"/>
      <c r="H28" s="36"/>
      <c r="I28" s="36"/>
      <c r="J28" s="36"/>
      <c r="K28" s="36"/>
      <c r="L28" s="36"/>
      <c r="M28" s="36"/>
      <c r="N28" s="36"/>
      <c r="O28" s="36"/>
      <c r="P28" s="36"/>
      <c r="Q28" s="36"/>
    </row>
    <row r="29" spans="2:20" x14ac:dyDescent="0.3">
      <c r="B29" s="36"/>
      <c r="C29" s="36"/>
      <c r="D29" s="36"/>
      <c r="E29" s="36"/>
      <c r="F29" s="36"/>
      <c r="G29" s="36"/>
      <c r="H29" s="36"/>
      <c r="I29" s="36"/>
      <c r="J29" s="36"/>
      <c r="K29" s="36"/>
      <c r="L29" s="36"/>
      <c r="M29" s="36"/>
      <c r="N29" s="36"/>
      <c r="O29" s="36"/>
      <c r="P29" s="36"/>
      <c r="Q29" s="36"/>
    </row>
    <row r="30" spans="2:20" x14ac:dyDescent="0.3">
      <c r="B30" s="36"/>
      <c r="C30" s="36"/>
      <c r="D30" s="36"/>
      <c r="E30" s="36"/>
      <c r="F30" s="36"/>
      <c r="G30" s="36"/>
      <c r="H30" s="36"/>
      <c r="I30" s="36"/>
      <c r="J30" s="36"/>
      <c r="K30" s="36"/>
      <c r="L30" s="36"/>
      <c r="M30" s="36"/>
      <c r="N30" s="36"/>
      <c r="O30" s="36"/>
      <c r="P30" s="36"/>
      <c r="Q30" s="36"/>
    </row>
    <row r="31" spans="2:20" x14ac:dyDescent="0.3">
      <c r="B31" s="36"/>
      <c r="C31" s="36"/>
      <c r="D31" s="36"/>
      <c r="E31" s="36"/>
      <c r="F31" s="36"/>
      <c r="G31" s="36"/>
      <c r="H31" s="36"/>
      <c r="I31" s="36"/>
      <c r="J31" s="36"/>
      <c r="K31" s="36"/>
      <c r="L31" s="36"/>
      <c r="M31" s="36"/>
      <c r="N31" s="36"/>
      <c r="O31" s="36"/>
      <c r="P31" s="36"/>
      <c r="Q31" s="36"/>
    </row>
    <row r="32" spans="2:20" x14ac:dyDescent="0.3">
      <c r="B32" s="36"/>
      <c r="C32" s="36"/>
      <c r="D32" s="36"/>
      <c r="E32" s="36"/>
      <c r="F32" s="36"/>
      <c r="G32" s="36"/>
      <c r="H32" s="36"/>
      <c r="I32" s="36"/>
      <c r="J32" s="36"/>
      <c r="K32" s="36"/>
      <c r="L32" s="36"/>
      <c r="M32" s="36"/>
      <c r="N32" s="36"/>
      <c r="O32" s="36"/>
      <c r="P32" s="36"/>
      <c r="Q32" s="36"/>
    </row>
    <row r="33" spans="2:20" x14ac:dyDescent="0.3">
      <c r="B33" s="36"/>
      <c r="C33" s="36"/>
      <c r="D33" s="36"/>
      <c r="E33" s="36"/>
      <c r="F33" s="36"/>
      <c r="G33" s="36"/>
      <c r="H33" s="36"/>
      <c r="I33" s="36"/>
      <c r="J33" s="36"/>
      <c r="K33" s="36"/>
      <c r="L33" s="36"/>
      <c r="M33" s="36"/>
      <c r="N33" s="36"/>
      <c r="O33" s="36"/>
      <c r="P33" s="36"/>
      <c r="Q33" s="36"/>
    </row>
    <row r="34" spans="2:20" x14ac:dyDescent="0.3">
      <c r="B34" s="28"/>
      <c r="C34" s="28"/>
      <c r="D34" s="29"/>
      <c r="E34" s="119"/>
      <c r="F34" s="100"/>
      <c r="G34" s="100"/>
      <c r="H34" s="100"/>
      <c r="I34" s="100"/>
      <c r="J34" s="103"/>
      <c r="K34" s="103"/>
      <c r="L34" s="103"/>
      <c r="M34" s="102"/>
      <c r="N34" s="103"/>
      <c r="O34" s="102"/>
      <c r="P34" s="35"/>
      <c r="Q34" s="29"/>
    </row>
    <row r="35" spans="2:20" ht="28.8" x14ac:dyDescent="0.3">
      <c r="B35" s="260" t="s">
        <v>36</v>
      </c>
      <c r="C35" s="301"/>
      <c r="D35" s="301"/>
      <c r="E35" s="301"/>
      <c r="F35" s="301"/>
      <c r="G35" s="301"/>
      <c r="H35" s="301"/>
      <c r="I35" s="301"/>
      <c r="J35" s="301"/>
      <c r="K35" s="301"/>
      <c r="L35" s="301"/>
      <c r="M35" s="301"/>
      <c r="N35" s="301"/>
      <c r="O35" s="301"/>
      <c r="P35" s="301"/>
    </row>
    <row r="36" spans="2:20" ht="28.8" x14ac:dyDescent="0.3">
      <c r="B36" s="124" t="s">
        <v>1</v>
      </c>
      <c r="C36" s="242" t="s">
        <v>2</v>
      </c>
      <c r="D36" s="242"/>
      <c r="E36" s="124" t="s">
        <v>3</v>
      </c>
      <c r="F36" s="124" t="s">
        <v>4</v>
      </c>
      <c r="G36" s="11" t="s">
        <v>37</v>
      </c>
      <c r="H36" s="131" t="s">
        <v>6</v>
      </c>
      <c r="I36" s="3" t="s">
        <v>9</v>
      </c>
      <c r="J36" s="3" t="s">
        <v>10</v>
      </c>
      <c r="K36" s="3" t="s">
        <v>11</v>
      </c>
      <c r="L36" s="124" t="s">
        <v>12</v>
      </c>
      <c r="M36" s="124" t="s">
        <v>13</v>
      </c>
      <c r="N36" s="124" t="s">
        <v>14</v>
      </c>
      <c r="O36" s="242" t="s">
        <v>38</v>
      </c>
      <c r="P36" s="242"/>
      <c r="T36" s="201" t="s">
        <v>15</v>
      </c>
    </row>
    <row r="37" spans="2:20" x14ac:dyDescent="0.3">
      <c r="B37" s="269" t="s">
        <v>39</v>
      </c>
      <c r="C37" s="145" t="s">
        <v>17</v>
      </c>
      <c r="D37" s="20" t="s">
        <v>18</v>
      </c>
      <c r="E37" s="151">
        <f>CEILING((((3400+50)*1.15)),50)</f>
        <v>4000</v>
      </c>
      <c r="F37" s="204">
        <v>335</v>
      </c>
      <c r="G37" s="204">
        <v>80</v>
      </c>
      <c r="H37" s="204">
        <v>18</v>
      </c>
      <c r="I37" s="40">
        <f>SUM(E37:H37)</f>
        <v>4433</v>
      </c>
      <c r="J37" s="24">
        <v>200</v>
      </c>
      <c r="K37" s="23">
        <f>I37+J37</f>
        <v>4633</v>
      </c>
      <c r="L37" s="41" t="s">
        <v>40</v>
      </c>
      <c r="M37" s="379" t="s">
        <v>21</v>
      </c>
      <c r="N37" s="96" t="s">
        <v>41</v>
      </c>
      <c r="O37" s="270" t="s">
        <v>42</v>
      </c>
      <c r="P37" s="272"/>
      <c r="T37" s="54" t="s">
        <v>43</v>
      </c>
    </row>
    <row r="38" spans="2:20" x14ac:dyDescent="0.3">
      <c r="B38" s="269"/>
      <c r="C38" s="145" t="s">
        <v>17</v>
      </c>
      <c r="D38" s="20" t="s">
        <v>24</v>
      </c>
      <c r="E38" s="151">
        <f>CEILING((((3600+50)*1.15)),50)</f>
        <v>4200</v>
      </c>
      <c r="F38" s="204">
        <v>335</v>
      </c>
      <c r="G38" s="204">
        <v>80</v>
      </c>
      <c r="H38" s="204">
        <v>18</v>
      </c>
      <c r="I38" s="40">
        <f>SUM(E38:H38)</f>
        <v>4633</v>
      </c>
      <c r="J38" s="24">
        <v>200</v>
      </c>
      <c r="K38" s="23">
        <f>I38+J38</f>
        <v>4833</v>
      </c>
      <c r="L38" s="41" t="s">
        <v>40</v>
      </c>
      <c r="M38" s="379" t="s">
        <v>21</v>
      </c>
      <c r="N38" s="96" t="s">
        <v>41</v>
      </c>
      <c r="O38" s="310"/>
      <c r="P38" s="311"/>
      <c r="T38" s="54" t="s">
        <v>43</v>
      </c>
    </row>
    <row r="39" spans="2:20" ht="14.4" customHeight="1" x14ac:dyDescent="0.3">
      <c r="B39" s="202" t="s">
        <v>44</v>
      </c>
      <c r="C39" s="145" t="s">
        <v>31</v>
      </c>
      <c r="D39" s="20" t="s">
        <v>18</v>
      </c>
      <c r="E39" s="151">
        <v>3095</v>
      </c>
      <c r="F39" s="22">
        <v>355</v>
      </c>
      <c r="G39" s="22">
        <v>76.5</v>
      </c>
      <c r="H39" s="22">
        <v>24</v>
      </c>
      <c r="I39" s="40">
        <f>SUM(E39:H39)</f>
        <v>3550.5</v>
      </c>
      <c r="J39" s="24">
        <v>200</v>
      </c>
      <c r="K39" s="23">
        <f>I39+J39</f>
        <v>3750.5</v>
      </c>
      <c r="L39" s="41" t="s">
        <v>45</v>
      </c>
      <c r="M39" s="379" t="s">
        <v>21</v>
      </c>
      <c r="N39" s="96" t="s">
        <v>46</v>
      </c>
      <c r="O39" s="239" t="s">
        <v>47</v>
      </c>
      <c r="P39" s="239"/>
      <c r="T39" s="54" t="s">
        <v>48</v>
      </c>
    </row>
    <row r="40" spans="2:20" ht="14.4" customHeight="1" x14ac:dyDescent="0.3">
      <c r="B40" s="202" t="s">
        <v>49</v>
      </c>
      <c r="C40" s="145" t="s">
        <v>17</v>
      </c>
      <c r="D40" s="20" t="s">
        <v>24</v>
      </c>
      <c r="E40" s="151">
        <f>CEILING((((3550+50)*1.15)),50)</f>
        <v>4150</v>
      </c>
      <c r="F40" s="204">
        <v>335</v>
      </c>
      <c r="G40" s="204">
        <v>80</v>
      </c>
      <c r="H40" s="204">
        <v>18</v>
      </c>
      <c r="I40" s="40">
        <f>SUM(E40:H40)</f>
        <v>4583</v>
      </c>
      <c r="J40" s="24">
        <v>200</v>
      </c>
      <c r="K40" s="23">
        <f>I40+J40</f>
        <v>4783</v>
      </c>
      <c r="L40" s="41" t="s">
        <v>40</v>
      </c>
      <c r="M40" s="379" t="s">
        <v>21</v>
      </c>
      <c r="N40" s="96" t="s">
        <v>41</v>
      </c>
      <c r="O40" s="239" t="s">
        <v>47</v>
      </c>
      <c r="P40" s="239"/>
      <c r="T40" s="54" t="s">
        <v>43</v>
      </c>
    </row>
    <row r="41" spans="2:20" x14ac:dyDescent="0.3">
      <c r="B41" s="43"/>
      <c r="C41" s="130"/>
      <c r="D41" s="29"/>
      <c r="E41" s="44"/>
      <c r="F41" s="44"/>
      <c r="G41" s="44"/>
      <c r="H41" s="130"/>
      <c r="I41" s="100"/>
      <c r="J41" s="101"/>
      <c r="K41" s="101"/>
      <c r="L41" s="101"/>
      <c r="M41" s="102"/>
      <c r="N41" s="103"/>
      <c r="O41" s="45"/>
      <c r="P41" s="35"/>
      <c r="Q41" s="130"/>
    </row>
    <row r="42" spans="2:20" ht="15.6" x14ac:dyDescent="0.3">
      <c r="B42" s="5" t="s">
        <v>34</v>
      </c>
      <c r="C42" s="6"/>
      <c r="D42" s="6"/>
      <c r="E42" s="6"/>
      <c r="F42" s="6"/>
      <c r="G42" s="6"/>
      <c r="H42" s="6"/>
      <c r="I42" s="6"/>
      <c r="J42" s="6"/>
      <c r="K42" s="6"/>
      <c r="L42" s="6"/>
      <c r="M42" s="6"/>
      <c r="N42" s="6"/>
      <c r="O42" s="6"/>
      <c r="P42" s="6"/>
      <c r="Q42" s="7"/>
    </row>
    <row r="43" spans="2:20" x14ac:dyDescent="0.3">
      <c r="B43" s="258" t="s">
        <v>35</v>
      </c>
      <c r="C43" s="278"/>
      <c r="D43" s="278"/>
      <c r="E43" s="278"/>
      <c r="F43" s="278"/>
      <c r="G43" s="278"/>
      <c r="H43" s="278"/>
      <c r="I43" s="278"/>
      <c r="J43" s="278"/>
      <c r="K43" s="278"/>
      <c r="L43" s="278"/>
      <c r="M43" s="278"/>
      <c r="N43" s="278"/>
      <c r="O43" s="278"/>
      <c r="P43" s="278"/>
      <c r="Q43" s="279"/>
    </row>
    <row r="44" spans="2:20" x14ac:dyDescent="0.3">
      <c r="B44" s="258"/>
      <c r="C44" s="278"/>
      <c r="D44" s="278"/>
      <c r="E44" s="278"/>
      <c r="F44" s="278"/>
      <c r="G44" s="278"/>
      <c r="H44" s="278"/>
      <c r="I44" s="278"/>
      <c r="J44" s="278"/>
      <c r="K44" s="278"/>
      <c r="L44" s="278"/>
      <c r="M44" s="278"/>
      <c r="N44" s="278"/>
      <c r="O44" s="278"/>
      <c r="P44" s="278"/>
      <c r="Q44" s="279"/>
    </row>
    <row r="45" spans="2:20" x14ac:dyDescent="0.3">
      <c r="B45" s="258"/>
      <c r="C45" s="278"/>
      <c r="D45" s="278"/>
      <c r="E45" s="278"/>
      <c r="F45" s="278"/>
      <c r="G45" s="278"/>
      <c r="H45" s="278"/>
      <c r="I45" s="278"/>
      <c r="J45" s="278"/>
      <c r="K45" s="278"/>
      <c r="L45" s="278"/>
      <c r="M45" s="278"/>
      <c r="N45" s="278"/>
      <c r="O45" s="278"/>
      <c r="P45" s="278"/>
      <c r="Q45" s="279"/>
    </row>
    <row r="46" spans="2:20" x14ac:dyDescent="0.3">
      <c r="B46" s="259"/>
      <c r="C46" s="280"/>
      <c r="D46" s="280"/>
      <c r="E46" s="280"/>
      <c r="F46" s="280"/>
      <c r="G46" s="280"/>
      <c r="H46" s="280"/>
      <c r="I46" s="280"/>
      <c r="J46" s="280"/>
      <c r="K46" s="280"/>
      <c r="L46" s="280"/>
      <c r="M46" s="280"/>
      <c r="N46" s="280"/>
      <c r="O46" s="280"/>
      <c r="P46" s="280"/>
      <c r="Q46" s="281"/>
    </row>
    <row r="47" spans="2:20" x14ac:dyDescent="0.3">
      <c r="B47" s="36"/>
      <c r="C47" s="36"/>
      <c r="D47" s="36"/>
      <c r="E47" s="36"/>
      <c r="F47" s="36"/>
      <c r="G47" s="36"/>
      <c r="H47" s="36"/>
      <c r="I47" s="36"/>
      <c r="J47" s="36"/>
      <c r="K47" s="36"/>
      <c r="L47" s="36"/>
      <c r="M47" s="36"/>
      <c r="N47" s="36"/>
      <c r="O47" s="36"/>
      <c r="P47" s="36"/>
      <c r="Q47" s="117"/>
    </row>
    <row r="48" spans="2:20" x14ac:dyDescent="0.3">
      <c r="B48" s="36"/>
      <c r="C48" s="36"/>
      <c r="D48" s="36"/>
      <c r="E48" s="36"/>
      <c r="F48" s="36"/>
      <c r="G48" s="36"/>
      <c r="H48" s="36"/>
      <c r="I48" s="36"/>
      <c r="J48" s="36"/>
      <c r="K48" s="36"/>
      <c r="L48" s="36"/>
      <c r="M48" s="36"/>
      <c r="N48" s="36"/>
      <c r="O48" s="36"/>
      <c r="P48" s="36"/>
      <c r="Q48" s="36"/>
    </row>
    <row r="49" spans="2:20" x14ac:dyDescent="0.3">
      <c r="B49" s="36"/>
      <c r="C49" s="36"/>
      <c r="D49" s="36"/>
      <c r="E49" s="36"/>
      <c r="F49" s="36"/>
      <c r="G49" s="36"/>
      <c r="H49" s="36"/>
      <c r="I49" s="36"/>
      <c r="J49" s="36"/>
      <c r="K49" s="36"/>
      <c r="L49" s="36"/>
      <c r="M49" s="36"/>
      <c r="N49" s="36"/>
      <c r="O49" s="36"/>
      <c r="P49" s="36"/>
      <c r="Q49" s="36"/>
    </row>
    <row r="50" spans="2:20" x14ac:dyDescent="0.3">
      <c r="B50" s="36"/>
      <c r="C50" s="36"/>
      <c r="D50" s="36"/>
      <c r="E50" s="36"/>
      <c r="F50" s="36"/>
      <c r="G50" s="36"/>
      <c r="H50" s="36"/>
      <c r="I50" s="36"/>
      <c r="J50" s="36"/>
      <c r="K50" s="36"/>
      <c r="L50" s="36"/>
      <c r="M50" s="36"/>
      <c r="N50" s="36"/>
      <c r="O50" s="36"/>
      <c r="P50" s="36"/>
      <c r="Q50" s="36"/>
    </row>
    <row r="51" spans="2:20" x14ac:dyDescent="0.3">
      <c r="B51" s="36"/>
      <c r="C51" s="36"/>
      <c r="D51" s="36"/>
      <c r="E51" s="36"/>
      <c r="F51" s="36"/>
      <c r="G51" s="36"/>
      <c r="H51" s="36"/>
      <c r="I51" s="36"/>
      <c r="J51" s="36"/>
      <c r="K51" s="36"/>
      <c r="L51" s="36"/>
      <c r="M51" s="36"/>
      <c r="N51" s="36"/>
      <c r="O51" s="36"/>
      <c r="P51" s="36"/>
      <c r="Q51" s="36"/>
    </row>
    <row r="52" spans="2:20" x14ac:dyDescent="0.3">
      <c r="B52" s="36"/>
      <c r="C52" s="36"/>
      <c r="D52" s="36"/>
      <c r="E52" s="36"/>
      <c r="F52" s="36"/>
      <c r="G52" s="36"/>
      <c r="H52" s="36"/>
      <c r="I52" s="36"/>
      <c r="J52" s="36"/>
      <c r="K52" s="36"/>
      <c r="L52" s="36"/>
      <c r="M52" s="36"/>
      <c r="N52" s="36"/>
      <c r="O52" s="36"/>
      <c r="P52" s="36"/>
      <c r="Q52" s="36"/>
    </row>
    <row r="53" spans="2:20" x14ac:dyDescent="0.3">
      <c r="B53" s="36"/>
      <c r="C53" s="36"/>
      <c r="D53" s="36"/>
      <c r="E53" s="36"/>
      <c r="F53" s="36"/>
      <c r="G53" s="36"/>
      <c r="H53" s="36"/>
      <c r="I53" s="36"/>
      <c r="J53" s="36"/>
      <c r="K53" s="36"/>
      <c r="L53" s="36"/>
      <c r="M53" s="36"/>
      <c r="N53" s="36"/>
      <c r="O53" s="36"/>
      <c r="P53" s="36"/>
      <c r="Q53" s="36"/>
    </row>
    <row r="54" spans="2:20" x14ac:dyDescent="0.3">
      <c r="B54" s="36"/>
      <c r="C54" s="36"/>
      <c r="D54" s="36"/>
      <c r="E54" s="36"/>
      <c r="F54" s="36"/>
      <c r="G54" s="36"/>
      <c r="H54" s="36"/>
      <c r="I54" s="36"/>
      <c r="J54" s="36"/>
      <c r="K54" s="36"/>
      <c r="L54" s="36"/>
      <c r="M54" s="36"/>
      <c r="N54" s="36"/>
      <c r="O54" s="36"/>
      <c r="P54" s="36"/>
      <c r="Q54" s="36"/>
    </row>
    <row r="55" spans="2:20" ht="15" thickBot="1" x14ac:dyDescent="0.35">
      <c r="B55" s="28"/>
      <c r="C55" s="28"/>
      <c r="D55" s="29"/>
      <c r="E55" s="119"/>
      <c r="F55" s="100"/>
      <c r="G55" s="100"/>
      <c r="H55" s="100"/>
      <c r="I55" s="100"/>
      <c r="J55" s="103"/>
      <c r="K55" s="103"/>
      <c r="L55" s="103"/>
      <c r="M55" s="102"/>
      <c r="N55" s="103"/>
      <c r="O55" s="102"/>
      <c r="P55" s="35"/>
      <c r="Q55" s="29"/>
      <c r="R55" s="29"/>
    </row>
    <row r="56" spans="2:20" ht="28.8" x14ac:dyDescent="0.3">
      <c r="B56" s="241" t="s">
        <v>50</v>
      </c>
      <c r="C56" s="276"/>
      <c r="D56" s="276"/>
      <c r="E56" s="276"/>
      <c r="F56" s="276"/>
      <c r="G56" s="276"/>
      <c r="H56" s="276"/>
      <c r="I56" s="276"/>
      <c r="J56" s="276"/>
      <c r="K56" s="276"/>
      <c r="L56" s="276"/>
      <c r="M56" s="276"/>
      <c r="N56" s="276"/>
      <c r="O56" s="276"/>
      <c r="P56" s="276"/>
      <c r="Q56" s="276"/>
      <c r="R56" s="276"/>
      <c r="S56" s="291"/>
    </row>
    <row r="57" spans="2:20" ht="28.8" x14ac:dyDescent="0.3">
      <c r="B57" s="99" t="s">
        <v>1</v>
      </c>
      <c r="C57" s="242" t="s">
        <v>2</v>
      </c>
      <c r="D57" s="242"/>
      <c r="E57" s="124" t="s">
        <v>3</v>
      </c>
      <c r="F57" s="124" t="s">
        <v>4</v>
      </c>
      <c r="G57" s="124" t="s">
        <v>5</v>
      </c>
      <c r="H57" s="124" t="s">
        <v>6</v>
      </c>
      <c r="I57" s="3" t="s">
        <v>51</v>
      </c>
      <c r="J57" s="3" t="s">
        <v>52</v>
      </c>
      <c r="K57" s="3" t="s">
        <v>53</v>
      </c>
      <c r="L57" s="3" t="s">
        <v>54</v>
      </c>
      <c r="M57" s="3" t="s">
        <v>10</v>
      </c>
      <c r="N57" s="189" t="s">
        <v>11</v>
      </c>
      <c r="O57" s="189" t="s">
        <v>12</v>
      </c>
      <c r="P57" s="4" t="s">
        <v>13</v>
      </c>
      <c r="Q57" s="4" t="s">
        <v>14</v>
      </c>
      <c r="R57" s="323" t="s">
        <v>38</v>
      </c>
      <c r="S57" s="324"/>
      <c r="T57" s="133" t="s">
        <v>15</v>
      </c>
    </row>
    <row r="58" spans="2:20" ht="14.4" customHeight="1" x14ac:dyDescent="0.3">
      <c r="B58" s="295" t="s">
        <v>55</v>
      </c>
      <c r="C58" s="296" t="s">
        <v>56</v>
      </c>
      <c r="D58" s="146" t="s">
        <v>18</v>
      </c>
      <c r="E58" s="147">
        <f>CEILING((((6900+297+115)*1.13)-340)-150,50)</f>
        <v>7800</v>
      </c>
      <c r="F58" s="217">
        <v>340</v>
      </c>
      <c r="G58" s="217">
        <v>80</v>
      </c>
      <c r="H58" s="217">
        <v>18</v>
      </c>
      <c r="I58" s="217" t="s">
        <v>57</v>
      </c>
      <c r="J58" s="217">
        <v>75</v>
      </c>
      <c r="K58" s="217">
        <v>75</v>
      </c>
      <c r="L58" s="148">
        <f t="shared" ref="L58:L79" si="2">SUM(E58:K58)</f>
        <v>8388</v>
      </c>
      <c r="M58" s="218">
        <v>200</v>
      </c>
      <c r="N58" s="148">
        <f t="shared" ref="N58:N79" si="3">SUM(L58:M58)</f>
        <v>8588</v>
      </c>
      <c r="O58" s="149" t="s">
        <v>58</v>
      </c>
      <c r="P58" s="380" t="s">
        <v>59</v>
      </c>
      <c r="Q58" s="149" t="s">
        <v>60</v>
      </c>
      <c r="R58" s="297" t="s">
        <v>61</v>
      </c>
      <c r="S58" s="298"/>
      <c r="T58" s="134" t="s">
        <v>62</v>
      </c>
    </row>
    <row r="59" spans="2:20" x14ac:dyDescent="0.3">
      <c r="B59" s="295"/>
      <c r="C59" s="296"/>
      <c r="D59" s="146" t="s">
        <v>24</v>
      </c>
      <c r="E59" s="147">
        <f>CEILING((((7050+297+115)*1.13)-340)-150,50)</f>
        <v>7950</v>
      </c>
      <c r="F59" s="217">
        <v>340</v>
      </c>
      <c r="G59" s="217">
        <v>80</v>
      </c>
      <c r="H59" s="217">
        <v>18</v>
      </c>
      <c r="I59" s="217" t="s">
        <v>57</v>
      </c>
      <c r="J59" s="217">
        <v>75</v>
      </c>
      <c r="K59" s="217">
        <v>75</v>
      </c>
      <c r="L59" s="148">
        <f t="shared" si="2"/>
        <v>8538</v>
      </c>
      <c r="M59" s="218">
        <v>200</v>
      </c>
      <c r="N59" s="148">
        <f t="shared" si="3"/>
        <v>8738</v>
      </c>
      <c r="O59" s="149" t="s">
        <v>58</v>
      </c>
      <c r="P59" s="380" t="s">
        <v>59</v>
      </c>
      <c r="Q59" s="149" t="s">
        <v>60</v>
      </c>
      <c r="R59" s="299"/>
      <c r="S59" s="300"/>
      <c r="T59" s="134" t="s">
        <v>62</v>
      </c>
    </row>
    <row r="60" spans="2:20" ht="14.4" customHeight="1" x14ac:dyDescent="0.3">
      <c r="B60" s="295" t="s">
        <v>63</v>
      </c>
      <c r="C60" s="296" t="s">
        <v>56</v>
      </c>
      <c r="D60" s="146" t="s">
        <v>18</v>
      </c>
      <c r="E60" s="147">
        <f>CEILING((((7100+297+115)*1.12)-340)-150,50)</f>
        <v>7950</v>
      </c>
      <c r="F60" s="217">
        <v>340</v>
      </c>
      <c r="G60" s="217">
        <v>80</v>
      </c>
      <c r="H60" s="217">
        <v>18</v>
      </c>
      <c r="I60" s="217" t="s">
        <v>57</v>
      </c>
      <c r="J60" s="217">
        <v>75</v>
      </c>
      <c r="K60" s="217">
        <v>75</v>
      </c>
      <c r="L60" s="148">
        <f t="shared" si="2"/>
        <v>8538</v>
      </c>
      <c r="M60" s="218">
        <v>200</v>
      </c>
      <c r="N60" s="148">
        <f t="shared" si="3"/>
        <v>8738</v>
      </c>
      <c r="O60" s="149" t="s">
        <v>58</v>
      </c>
      <c r="P60" s="380" t="s">
        <v>59</v>
      </c>
      <c r="Q60" s="149" t="s">
        <v>60</v>
      </c>
      <c r="R60" s="299"/>
      <c r="S60" s="300"/>
      <c r="T60" s="134" t="s">
        <v>62</v>
      </c>
    </row>
    <row r="61" spans="2:20" x14ac:dyDescent="0.3">
      <c r="B61" s="295"/>
      <c r="C61" s="296"/>
      <c r="D61" s="146" t="s">
        <v>24</v>
      </c>
      <c r="E61" s="147">
        <f>CEILING((((7270+297+115)*1.12)-340)-150,50)</f>
        <v>8150</v>
      </c>
      <c r="F61" s="217">
        <v>340</v>
      </c>
      <c r="G61" s="217">
        <v>80</v>
      </c>
      <c r="H61" s="217">
        <v>18</v>
      </c>
      <c r="I61" s="217" t="s">
        <v>57</v>
      </c>
      <c r="J61" s="217">
        <v>75</v>
      </c>
      <c r="K61" s="217">
        <v>75</v>
      </c>
      <c r="L61" s="148">
        <f t="shared" si="2"/>
        <v>8738</v>
      </c>
      <c r="M61" s="218">
        <v>200</v>
      </c>
      <c r="N61" s="148">
        <f t="shared" si="3"/>
        <v>8938</v>
      </c>
      <c r="O61" s="149" t="s">
        <v>58</v>
      </c>
      <c r="P61" s="380" t="s">
        <v>59</v>
      </c>
      <c r="Q61" s="149" t="s">
        <v>60</v>
      </c>
      <c r="R61" s="308"/>
      <c r="S61" s="309"/>
      <c r="T61" s="134" t="s">
        <v>62</v>
      </c>
    </row>
    <row r="62" spans="2:20" ht="14.4" customHeight="1" x14ac:dyDescent="0.3">
      <c r="B62" s="312" t="s">
        <v>64</v>
      </c>
      <c r="C62" s="237" t="s">
        <v>31</v>
      </c>
      <c r="D62" s="120" t="s">
        <v>18</v>
      </c>
      <c r="E62" s="122">
        <f>CEILING(((7840+115+289)*1.12)-439,50)</f>
        <v>8800</v>
      </c>
      <c r="F62" s="97">
        <v>289</v>
      </c>
      <c r="G62" s="97">
        <v>84.38</v>
      </c>
      <c r="H62" s="97">
        <v>15</v>
      </c>
      <c r="I62" s="97">
        <v>40</v>
      </c>
      <c r="J62" s="97">
        <v>75</v>
      </c>
      <c r="K62" s="97">
        <v>75</v>
      </c>
      <c r="L62" s="98">
        <f t="shared" si="2"/>
        <v>9378.3799999999992</v>
      </c>
      <c r="M62" s="188">
        <v>200</v>
      </c>
      <c r="N62" s="98">
        <f t="shared" si="3"/>
        <v>9578.3799999999992</v>
      </c>
      <c r="O62" s="96" t="s">
        <v>58</v>
      </c>
      <c r="P62" s="380" t="s">
        <v>65</v>
      </c>
      <c r="Q62" s="96" t="s">
        <v>66</v>
      </c>
      <c r="R62" s="270" t="s">
        <v>67</v>
      </c>
      <c r="S62" s="272"/>
      <c r="T62" s="134" t="s">
        <v>68</v>
      </c>
    </row>
    <row r="63" spans="2:20" x14ac:dyDescent="0.3">
      <c r="B63" s="313"/>
      <c r="C63" s="314"/>
      <c r="D63" s="120" t="s">
        <v>24</v>
      </c>
      <c r="E63" s="122">
        <f>CEILING(((7880+115+289)*1.12)-439,50)</f>
        <v>8850</v>
      </c>
      <c r="F63" s="97">
        <v>289</v>
      </c>
      <c r="G63" s="97">
        <v>84.38</v>
      </c>
      <c r="H63" s="97">
        <v>15</v>
      </c>
      <c r="I63" s="97">
        <v>40</v>
      </c>
      <c r="J63" s="97">
        <v>75</v>
      </c>
      <c r="K63" s="97">
        <v>75</v>
      </c>
      <c r="L63" s="98">
        <f t="shared" si="2"/>
        <v>9428.3799999999992</v>
      </c>
      <c r="M63" s="188">
        <v>200</v>
      </c>
      <c r="N63" s="98">
        <f t="shared" si="3"/>
        <v>9628.3799999999992</v>
      </c>
      <c r="O63" s="96" t="s">
        <v>58</v>
      </c>
      <c r="P63" s="380" t="s">
        <v>65</v>
      </c>
      <c r="Q63" s="96" t="s">
        <v>66</v>
      </c>
      <c r="R63" s="310"/>
      <c r="S63" s="311"/>
      <c r="T63" s="134" t="s">
        <v>68</v>
      </c>
    </row>
    <row r="64" spans="2:20" ht="24" customHeight="1" x14ac:dyDescent="0.3">
      <c r="B64" s="295" t="s">
        <v>69</v>
      </c>
      <c r="C64" s="296" t="s">
        <v>56</v>
      </c>
      <c r="D64" s="146" t="s">
        <v>18</v>
      </c>
      <c r="E64" s="147">
        <f>CEILING((((7050+297+115)*1.12)-340)-150,50)</f>
        <v>7900</v>
      </c>
      <c r="F64" s="217">
        <v>340</v>
      </c>
      <c r="G64" s="217">
        <v>80</v>
      </c>
      <c r="H64" s="217">
        <v>18</v>
      </c>
      <c r="I64" s="217" t="s">
        <v>57</v>
      </c>
      <c r="J64" s="217">
        <v>75</v>
      </c>
      <c r="K64" s="217">
        <v>75</v>
      </c>
      <c r="L64" s="148">
        <f t="shared" si="2"/>
        <v>8488</v>
      </c>
      <c r="M64" s="218">
        <v>200</v>
      </c>
      <c r="N64" s="148">
        <f t="shared" si="3"/>
        <v>8688</v>
      </c>
      <c r="O64" s="149" t="s">
        <v>58</v>
      </c>
      <c r="P64" s="380" t="s">
        <v>59</v>
      </c>
      <c r="Q64" s="149" t="s">
        <v>60</v>
      </c>
      <c r="R64" s="297" t="s">
        <v>61</v>
      </c>
      <c r="S64" s="298"/>
      <c r="T64" s="134" t="s">
        <v>62</v>
      </c>
    </row>
    <row r="65" spans="2:20" x14ac:dyDescent="0.3">
      <c r="B65" s="295"/>
      <c r="C65" s="296"/>
      <c r="D65" s="146" t="s">
        <v>24</v>
      </c>
      <c r="E65" s="147">
        <f>CEILING((((7150+297+115)*1.12)-340)-150,50)</f>
        <v>8000</v>
      </c>
      <c r="F65" s="217">
        <v>340</v>
      </c>
      <c r="G65" s="217">
        <v>80</v>
      </c>
      <c r="H65" s="217">
        <v>18</v>
      </c>
      <c r="I65" s="217" t="s">
        <v>57</v>
      </c>
      <c r="J65" s="217">
        <v>75</v>
      </c>
      <c r="K65" s="217">
        <v>75</v>
      </c>
      <c r="L65" s="148">
        <f t="shared" si="2"/>
        <v>8588</v>
      </c>
      <c r="M65" s="218">
        <v>200</v>
      </c>
      <c r="N65" s="148">
        <f t="shared" si="3"/>
        <v>8788</v>
      </c>
      <c r="O65" s="149" t="s">
        <v>58</v>
      </c>
      <c r="P65" s="380" t="s">
        <v>59</v>
      </c>
      <c r="Q65" s="149" t="s">
        <v>60</v>
      </c>
      <c r="R65" s="299"/>
      <c r="S65" s="300"/>
      <c r="T65" s="134" t="s">
        <v>62</v>
      </c>
    </row>
    <row r="66" spans="2:20" ht="14.4" customHeight="1" x14ac:dyDescent="0.3">
      <c r="B66" s="312" t="s">
        <v>70</v>
      </c>
      <c r="C66" s="237" t="s">
        <v>31</v>
      </c>
      <c r="D66" s="120" t="s">
        <v>18</v>
      </c>
      <c r="E66" s="122">
        <f>CEILING(((7890+115+289)*1.12)-439,50)</f>
        <v>8900</v>
      </c>
      <c r="F66" s="203">
        <v>289</v>
      </c>
      <c r="G66" s="203">
        <v>84.38</v>
      </c>
      <c r="H66" s="203">
        <v>15</v>
      </c>
      <c r="I66" s="203">
        <v>40</v>
      </c>
      <c r="J66" s="203">
        <v>75</v>
      </c>
      <c r="K66" s="203">
        <v>75</v>
      </c>
      <c r="L66" s="98">
        <f t="shared" si="2"/>
        <v>9478.3799999999992</v>
      </c>
      <c r="M66" s="188">
        <v>200</v>
      </c>
      <c r="N66" s="98">
        <f t="shared" si="3"/>
        <v>9678.3799999999992</v>
      </c>
      <c r="O66" s="96" t="s">
        <v>58</v>
      </c>
      <c r="P66" s="380" t="s">
        <v>65</v>
      </c>
      <c r="Q66" s="96" t="s">
        <v>66</v>
      </c>
      <c r="R66" s="270" t="s">
        <v>67</v>
      </c>
      <c r="S66" s="272"/>
      <c r="T66" s="134" t="s">
        <v>68</v>
      </c>
    </row>
    <row r="67" spans="2:20" x14ac:dyDescent="0.3">
      <c r="B67" s="313"/>
      <c r="C67" s="314"/>
      <c r="D67" s="120" t="s">
        <v>24</v>
      </c>
      <c r="E67" s="122">
        <f>CEILING(((7980+115+289)*1.12)-439,50)</f>
        <v>9000</v>
      </c>
      <c r="F67" s="203">
        <v>289</v>
      </c>
      <c r="G67" s="203">
        <v>84.38</v>
      </c>
      <c r="H67" s="203">
        <v>15</v>
      </c>
      <c r="I67" s="203">
        <v>40</v>
      </c>
      <c r="J67" s="203">
        <v>75</v>
      </c>
      <c r="K67" s="203">
        <v>75</v>
      </c>
      <c r="L67" s="98">
        <f t="shared" si="2"/>
        <v>9578.3799999999992</v>
      </c>
      <c r="M67" s="188">
        <v>200</v>
      </c>
      <c r="N67" s="98">
        <f t="shared" si="3"/>
        <v>9778.3799999999992</v>
      </c>
      <c r="O67" s="96" t="s">
        <v>58</v>
      </c>
      <c r="P67" s="380" t="s">
        <v>65</v>
      </c>
      <c r="Q67" s="96" t="s">
        <v>66</v>
      </c>
      <c r="R67" s="310"/>
      <c r="S67" s="311"/>
      <c r="T67" s="134" t="s">
        <v>68</v>
      </c>
    </row>
    <row r="68" spans="2:20" x14ac:dyDescent="0.3">
      <c r="B68" s="318" t="s">
        <v>71</v>
      </c>
      <c r="C68" s="296" t="s">
        <v>56</v>
      </c>
      <c r="D68" s="146" t="s">
        <v>18</v>
      </c>
      <c r="E68" s="147">
        <f>CEILING((((7080+297+115)*1.12)-340)-150,50)</f>
        <v>7950</v>
      </c>
      <c r="F68" s="217">
        <v>340</v>
      </c>
      <c r="G68" s="217">
        <v>80</v>
      </c>
      <c r="H68" s="217">
        <v>18</v>
      </c>
      <c r="I68" s="217" t="s">
        <v>57</v>
      </c>
      <c r="J68" s="217">
        <v>75</v>
      </c>
      <c r="K68" s="217">
        <v>75</v>
      </c>
      <c r="L68" s="148">
        <f t="shared" si="2"/>
        <v>8538</v>
      </c>
      <c r="M68" s="218">
        <v>200</v>
      </c>
      <c r="N68" s="148">
        <f t="shared" si="3"/>
        <v>8738</v>
      </c>
      <c r="O68" s="149" t="s">
        <v>58</v>
      </c>
      <c r="P68" s="380" t="s">
        <v>59</v>
      </c>
      <c r="Q68" s="149" t="s">
        <v>60</v>
      </c>
      <c r="R68" s="297" t="s">
        <v>61</v>
      </c>
      <c r="S68" s="298"/>
      <c r="T68" s="134" t="s">
        <v>62</v>
      </c>
    </row>
    <row r="69" spans="2:20" x14ac:dyDescent="0.3">
      <c r="B69" s="319"/>
      <c r="C69" s="296"/>
      <c r="D69" s="146" t="s">
        <v>24</v>
      </c>
      <c r="E69" s="147">
        <f>CEILING((((7305+297+115)*1.12)-340)-150,50)</f>
        <v>8200</v>
      </c>
      <c r="F69" s="217">
        <v>340</v>
      </c>
      <c r="G69" s="217">
        <v>80</v>
      </c>
      <c r="H69" s="217">
        <v>18</v>
      </c>
      <c r="I69" s="217" t="s">
        <v>57</v>
      </c>
      <c r="J69" s="217">
        <v>75</v>
      </c>
      <c r="K69" s="217">
        <v>75</v>
      </c>
      <c r="L69" s="148">
        <f t="shared" si="2"/>
        <v>8788</v>
      </c>
      <c r="M69" s="218">
        <v>200</v>
      </c>
      <c r="N69" s="148">
        <f t="shared" si="3"/>
        <v>8988</v>
      </c>
      <c r="O69" s="149" t="s">
        <v>58</v>
      </c>
      <c r="P69" s="380" t="s">
        <v>59</v>
      </c>
      <c r="Q69" s="149" t="s">
        <v>60</v>
      </c>
      <c r="R69" s="299"/>
      <c r="S69" s="300"/>
      <c r="T69" s="134" t="s">
        <v>62</v>
      </c>
    </row>
    <row r="70" spans="2:20" ht="14.4" customHeight="1" x14ac:dyDescent="0.3">
      <c r="B70" s="295" t="s">
        <v>72</v>
      </c>
      <c r="C70" s="296" t="s">
        <v>56</v>
      </c>
      <c r="D70" s="146" t="s">
        <v>18</v>
      </c>
      <c r="E70" s="147">
        <f>CEILING((((7150+297+115)*1.12)-340)-150,50)</f>
        <v>8000</v>
      </c>
      <c r="F70" s="217">
        <v>340</v>
      </c>
      <c r="G70" s="217">
        <v>80</v>
      </c>
      <c r="H70" s="217">
        <v>18</v>
      </c>
      <c r="I70" s="217" t="s">
        <v>57</v>
      </c>
      <c r="J70" s="217">
        <v>75</v>
      </c>
      <c r="K70" s="217">
        <v>75</v>
      </c>
      <c r="L70" s="148">
        <f t="shared" si="2"/>
        <v>8588</v>
      </c>
      <c r="M70" s="218">
        <v>200</v>
      </c>
      <c r="N70" s="148">
        <f t="shared" si="3"/>
        <v>8788</v>
      </c>
      <c r="O70" s="149" t="s">
        <v>58</v>
      </c>
      <c r="P70" s="380" t="s">
        <v>59</v>
      </c>
      <c r="Q70" s="149" t="s">
        <v>60</v>
      </c>
      <c r="R70" s="299"/>
      <c r="S70" s="300"/>
      <c r="T70" s="134" t="s">
        <v>62</v>
      </c>
    </row>
    <row r="71" spans="2:20" x14ac:dyDescent="0.3">
      <c r="B71" s="295"/>
      <c r="C71" s="296"/>
      <c r="D71" s="146" t="s">
        <v>24</v>
      </c>
      <c r="E71" s="147">
        <f>CEILING((((7430+297+115)*1.12)-340)-150,50)</f>
        <v>8300</v>
      </c>
      <c r="F71" s="217">
        <v>340</v>
      </c>
      <c r="G71" s="217">
        <v>80</v>
      </c>
      <c r="H71" s="217">
        <v>18</v>
      </c>
      <c r="I71" s="217" t="s">
        <v>57</v>
      </c>
      <c r="J71" s="217">
        <v>75</v>
      </c>
      <c r="K71" s="217">
        <v>75</v>
      </c>
      <c r="L71" s="148">
        <f t="shared" si="2"/>
        <v>8888</v>
      </c>
      <c r="M71" s="218">
        <v>200</v>
      </c>
      <c r="N71" s="148">
        <f t="shared" si="3"/>
        <v>9088</v>
      </c>
      <c r="O71" s="149" t="s">
        <v>58</v>
      </c>
      <c r="P71" s="380" t="s">
        <v>59</v>
      </c>
      <c r="Q71" s="149" t="s">
        <v>60</v>
      </c>
      <c r="R71" s="308"/>
      <c r="S71" s="309"/>
      <c r="T71" s="134" t="s">
        <v>62</v>
      </c>
    </row>
    <row r="72" spans="2:20" x14ac:dyDescent="0.3">
      <c r="B72" s="315" t="s">
        <v>73</v>
      </c>
      <c r="C72" s="316" t="s">
        <v>31</v>
      </c>
      <c r="D72" s="193" t="s">
        <v>18</v>
      </c>
      <c r="E72" s="147">
        <f>CEILING(((7900+115+340)*1.12)-490,50)</f>
        <v>8900</v>
      </c>
      <c r="F72" s="194">
        <v>340</v>
      </c>
      <c r="G72" s="194">
        <v>97.87</v>
      </c>
      <c r="H72" s="194">
        <v>15</v>
      </c>
      <c r="I72" s="194">
        <v>40</v>
      </c>
      <c r="J72" s="194">
        <v>75</v>
      </c>
      <c r="K72" s="194">
        <v>75</v>
      </c>
      <c r="L72" s="98">
        <f t="shared" si="2"/>
        <v>9542.8700000000008</v>
      </c>
      <c r="M72" s="188">
        <v>200</v>
      </c>
      <c r="N72" s="98">
        <f t="shared" si="3"/>
        <v>9742.8700000000008</v>
      </c>
      <c r="O72" s="96" t="s">
        <v>58</v>
      </c>
      <c r="P72" s="380" t="s">
        <v>65</v>
      </c>
      <c r="Q72" s="195" t="s">
        <v>74</v>
      </c>
      <c r="R72" s="303" t="s">
        <v>75</v>
      </c>
      <c r="S72" s="304"/>
      <c r="T72" s="134" t="s">
        <v>76</v>
      </c>
    </row>
    <row r="73" spans="2:20" x14ac:dyDescent="0.3">
      <c r="B73" s="315"/>
      <c r="C73" s="317"/>
      <c r="D73" s="193" t="s">
        <v>24</v>
      </c>
      <c r="E73" s="147">
        <f>CEILING(((8000+115+340)*1.12)-490,50)</f>
        <v>9000</v>
      </c>
      <c r="F73" s="194">
        <v>340</v>
      </c>
      <c r="G73" s="194">
        <v>97.87</v>
      </c>
      <c r="H73" s="194">
        <v>15</v>
      </c>
      <c r="I73" s="194">
        <v>40</v>
      </c>
      <c r="J73" s="194">
        <v>75</v>
      </c>
      <c r="K73" s="194">
        <v>75</v>
      </c>
      <c r="L73" s="98">
        <f t="shared" si="2"/>
        <v>9642.8700000000008</v>
      </c>
      <c r="M73" s="188">
        <v>200</v>
      </c>
      <c r="N73" s="98">
        <f t="shared" si="3"/>
        <v>9842.8700000000008</v>
      </c>
      <c r="O73" s="96" t="s">
        <v>58</v>
      </c>
      <c r="P73" s="380" t="s">
        <v>65</v>
      </c>
      <c r="Q73" s="195" t="s">
        <v>74</v>
      </c>
      <c r="R73" s="305"/>
      <c r="S73" s="306"/>
      <c r="T73" s="134" t="s">
        <v>76</v>
      </c>
    </row>
    <row r="74" spans="2:20" ht="14.4" customHeight="1" x14ac:dyDescent="0.3">
      <c r="B74" s="295" t="s">
        <v>77</v>
      </c>
      <c r="C74" s="296" t="s">
        <v>56</v>
      </c>
      <c r="D74" s="146" t="s">
        <v>18</v>
      </c>
      <c r="E74" s="147">
        <f>CEILING((((7181+297+115)*1.12)-340)-150,50)</f>
        <v>8050</v>
      </c>
      <c r="F74" s="217">
        <v>340</v>
      </c>
      <c r="G74" s="217">
        <v>80</v>
      </c>
      <c r="H74" s="217">
        <v>18</v>
      </c>
      <c r="I74" s="217" t="s">
        <v>57</v>
      </c>
      <c r="J74" s="217">
        <v>75</v>
      </c>
      <c r="K74" s="217">
        <v>75</v>
      </c>
      <c r="L74" s="148">
        <f t="shared" si="2"/>
        <v>8638</v>
      </c>
      <c r="M74" s="218">
        <v>200</v>
      </c>
      <c r="N74" s="148">
        <f t="shared" si="3"/>
        <v>8838</v>
      </c>
      <c r="O74" s="149" t="s">
        <v>58</v>
      </c>
      <c r="P74" s="380" t="s">
        <v>59</v>
      </c>
      <c r="Q74" s="149" t="s">
        <v>60</v>
      </c>
      <c r="R74" s="297" t="s">
        <v>61</v>
      </c>
      <c r="S74" s="298"/>
      <c r="T74" s="134" t="s">
        <v>62</v>
      </c>
    </row>
    <row r="75" spans="2:20" x14ac:dyDescent="0.3">
      <c r="B75" s="295"/>
      <c r="C75" s="296"/>
      <c r="D75" s="146" t="s">
        <v>24</v>
      </c>
      <c r="E75" s="147">
        <f>CEILING((((7512+297+115)*1.12)-340)-150,50)</f>
        <v>8400</v>
      </c>
      <c r="F75" s="217">
        <v>340</v>
      </c>
      <c r="G75" s="217">
        <v>80</v>
      </c>
      <c r="H75" s="217">
        <v>18</v>
      </c>
      <c r="I75" s="217" t="s">
        <v>57</v>
      </c>
      <c r="J75" s="217">
        <v>75</v>
      </c>
      <c r="K75" s="217">
        <v>75</v>
      </c>
      <c r="L75" s="148">
        <f t="shared" si="2"/>
        <v>8988</v>
      </c>
      <c r="M75" s="218">
        <v>200</v>
      </c>
      <c r="N75" s="148">
        <f t="shared" si="3"/>
        <v>9188</v>
      </c>
      <c r="O75" s="149" t="s">
        <v>58</v>
      </c>
      <c r="P75" s="380" t="s">
        <v>59</v>
      </c>
      <c r="Q75" s="149" t="s">
        <v>60</v>
      </c>
      <c r="R75" s="299"/>
      <c r="S75" s="300"/>
      <c r="T75" s="134" t="s">
        <v>62</v>
      </c>
    </row>
    <row r="76" spans="2:20" ht="14.4" customHeight="1" x14ac:dyDescent="0.3">
      <c r="B76" s="295" t="s">
        <v>78</v>
      </c>
      <c r="C76" s="296" t="s">
        <v>56</v>
      </c>
      <c r="D76" s="146" t="s">
        <v>18</v>
      </c>
      <c r="E76" s="147">
        <f>CEILING((((7010+297+115)*1.12)-340)-150,50)</f>
        <v>7850</v>
      </c>
      <c r="F76" s="217">
        <v>340</v>
      </c>
      <c r="G76" s="217">
        <v>80</v>
      </c>
      <c r="H76" s="217">
        <v>18</v>
      </c>
      <c r="I76" s="217" t="s">
        <v>57</v>
      </c>
      <c r="J76" s="217">
        <v>75</v>
      </c>
      <c r="K76" s="217">
        <v>75</v>
      </c>
      <c r="L76" s="148">
        <f t="shared" si="2"/>
        <v>8438</v>
      </c>
      <c r="M76" s="218">
        <v>200</v>
      </c>
      <c r="N76" s="148">
        <f t="shared" si="3"/>
        <v>8638</v>
      </c>
      <c r="O76" s="149" t="s">
        <v>58</v>
      </c>
      <c r="P76" s="380" t="s">
        <v>59</v>
      </c>
      <c r="Q76" s="149" t="s">
        <v>60</v>
      </c>
      <c r="R76" s="299"/>
      <c r="S76" s="300"/>
      <c r="T76" s="134" t="s">
        <v>62</v>
      </c>
    </row>
    <row r="77" spans="2:20" x14ac:dyDescent="0.3">
      <c r="B77" s="295"/>
      <c r="C77" s="296"/>
      <c r="D77" s="146" t="s">
        <v>24</v>
      </c>
      <c r="E77" s="147">
        <f>CEILING((((7170+297+115)*1.12)-340)-150,50)</f>
        <v>8050</v>
      </c>
      <c r="F77" s="217">
        <v>340</v>
      </c>
      <c r="G77" s="217">
        <v>80</v>
      </c>
      <c r="H77" s="217">
        <v>18</v>
      </c>
      <c r="I77" s="217" t="s">
        <v>57</v>
      </c>
      <c r="J77" s="217">
        <v>75</v>
      </c>
      <c r="K77" s="217">
        <v>75</v>
      </c>
      <c r="L77" s="148">
        <f t="shared" si="2"/>
        <v>8638</v>
      </c>
      <c r="M77" s="218">
        <v>200</v>
      </c>
      <c r="N77" s="148">
        <f t="shared" si="3"/>
        <v>8838</v>
      </c>
      <c r="O77" s="149" t="s">
        <v>58</v>
      </c>
      <c r="P77" s="380" t="s">
        <v>59</v>
      </c>
      <c r="Q77" s="149" t="s">
        <v>60</v>
      </c>
      <c r="R77" s="299"/>
      <c r="S77" s="300"/>
      <c r="T77" s="134" t="s">
        <v>62</v>
      </c>
    </row>
    <row r="78" spans="2:20" ht="14.4" customHeight="1" x14ac:dyDescent="0.3">
      <c r="B78" s="295" t="s">
        <v>79</v>
      </c>
      <c r="C78" s="296" t="s">
        <v>56</v>
      </c>
      <c r="D78" s="146" t="s">
        <v>18</v>
      </c>
      <c r="E78" s="147">
        <f>CEILING((((7232+297+115)*1.12)-340)-150,50)</f>
        <v>8100</v>
      </c>
      <c r="F78" s="217">
        <v>340</v>
      </c>
      <c r="G78" s="217">
        <v>80</v>
      </c>
      <c r="H78" s="217">
        <v>18</v>
      </c>
      <c r="I78" s="217" t="s">
        <v>57</v>
      </c>
      <c r="J78" s="217">
        <v>75</v>
      </c>
      <c r="K78" s="217">
        <v>75</v>
      </c>
      <c r="L78" s="148">
        <f t="shared" si="2"/>
        <v>8688</v>
      </c>
      <c r="M78" s="218">
        <v>200</v>
      </c>
      <c r="N78" s="148">
        <f t="shared" si="3"/>
        <v>8888</v>
      </c>
      <c r="O78" s="149" t="s">
        <v>58</v>
      </c>
      <c r="P78" s="380" t="s">
        <v>59</v>
      </c>
      <c r="Q78" s="149" t="s">
        <v>60</v>
      </c>
      <c r="R78" s="299"/>
      <c r="S78" s="300"/>
      <c r="T78" s="134" t="s">
        <v>62</v>
      </c>
    </row>
    <row r="79" spans="2:20" ht="15" customHeight="1" thickBot="1" x14ac:dyDescent="0.35">
      <c r="B79" s="295"/>
      <c r="C79" s="296"/>
      <c r="D79" s="146" t="s">
        <v>24</v>
      </c>
      <c r="E79" s="147">
        <f>CEILING((((7554+297+115)*1.12)-340)-150,50)</f>
        <v>8450</v>
      </c>
      <c r="F79" s="217">
        <v>340</v>
      </c>
      <c r="G79" s="217">
        <v>80</v>
      </c>
      <c r="H79" s="217">
        <v>18</v>
      </c>
      <c r="I79" s="217" t="s">
        <v>57</v>
      </c>
      <c r="J79" s="217">
        <v>75</v>
      </c>
      <c r="K79" s="217">
        <v>75</v>
      </c>
      <c r="L79" s="148">
        <f t="shared" si="2"/>
        <v>9038</v>
      </c>
      <c r="M79" s="218">
        <v>200</v>
      </c>
      <c r="N79" s="148">
        <f t="shared" si="3"/>
        <v>9238</v>
      </c>
      <c r="O79" s="149" t="s">
        <v>58</v>
      </c>
      <c r="P79" s="380" t="s">
        <v>59</v>
      </c>
      <c r="Q79" s="149" t="s">
        <v>60</v>
      </c>
      <c r="R79" s="308"/>
      <c r="S79" s="309"/>
      <c r="T79" s="134" t="s">
        <v>62</v>
      </c>
    </row>
    <row r="80" spans="2:20" ht="28.8" x14ac:dyDescent="0.3">
      <c r="B80" s="241" t="s">
        <v>80</v>
      </c>
      <c r="C80" s="276"/>
      <c r="D80" s="276"/>
      <c r="E80" s="276"/>
      <c r="F80" s="276"/>
      <c r="G80" s="276"/>
      <c r="H80" s="276"/>
      <c r="I80" s="276"/>
      <c r="J80" s="276"/>
      <c r="K80" s="276"/>
      <c r="L80" s="276"/>
      <c r="M80" s="276"/>
      <c r="N80" s="276"/>
      <c r="O80" s="276"/>
      <c r="P80" s="276"/>
      <c r="Q80" s="276"/>
      <c r="R80" s="245"/>
      <c r="S80" s="307"/>
      <c r="T80" s="134"/>
    </row>
    <row r="81" spans="2:20" ht="28.8" x14ac:dyDescent="0.3">
      <c r="B81" s="99" t="s">
        <v>1</v>
      </c>
      <c r="C81" s="292" t="s">
        <v>2</v>
      </c>
      <c r="D81" s="293"/>
      <c r="E81" s="124" t="s">
        <v>3</v>
      </c>
      <c r="F81" s="124" t="s">
        <v>4</v>
      </c>
      <c r="G81" s="124" t="s">
        <v>5</v>
      </c>
      <c r="H81" s="124" t="s">
        <v>6</v>
      </c>
      <c r="I81" s="3" t="s">
        <v>51</v>
      </c>
      <c r="J81" s="3" t="s">
        <v>52</v>
      </c>
      <c r="K81" s="3" t="s">
        <v>53</v>
      </c>
      <c r="L81" s="3" t="s">
        <v>54</v>
      </c>
      <c r="M81" s="3" t="s">
        <v>10</v>
      </c>
      <c r="N81" s="3" t="s">
        <v>11</v>
      </c>
      <c r="O81" s="3" t="s">
        <v>12</v>
      </c>
      <c r="P81" s="124" t="s">
        <v>13</v>
      </c>
      <c r="Q81" s="124" t="s">
        <v>14</v>
      </c>
      <c r="R81" s="292" t="s">
        <v>38</v>
      </c>
      <c r="S81" s="294"/>
      <c r="T81" s="134"/>
    </row>
    <row r="82" spans="2:20" ht="14.4" customHeight="1" x14ac:dyDescent="0.3">
      <c r="B82" s="253" t="s">
        <v>81</v>
      </c>
      <c r="C82" s="321" t="s">
        <v>82</v>
      </c>
      <c r="D82" s="146" t="s">
        <v>18</v>
      </c>
      <c r="E82" s="147">
        <f>CEILING((((7150+297+115)*1.12)-340)-150,50)</f>
        <v>8000</v>
      </c>
      <c r="F82" s="217">
        <v>340</v>
      </c>
      <c r="G82" s="217">
        <v>80</v>
      </c>
      <c r="H82" s="217">
        <v>18</v>
      </c>
      <c r="I82" s="217" t="s">
        <v>57</v>
      </c>
      <c r="J82" s="217">
        <v>75</v>
      </c>
      <c r="K82" s="217">
        <v>75</v>
      </c>
      <c r="L82" s="182">
        <f>SUM(E82:K82)</f>
        <v>8588</v>
      </c>
      <c r="M82" s="205">
        <v>200</v>
      </c>
      <c r="N82" s="182">
        <f>SUM(L82:M82)</f>
        <v>8788</v>
      </c>
      <c r="O82" s="96" t="s">
        <v>58</v>
      </c>
      <c r="P82" s="380" t="s">
        <v>59</v>
      </c>
      <c r="Q82" s="149" t="s">
        <v>60</v>
      </c>
      <c r="R82" s="303" t="s">
        <v>83</v>
      </c>
      <c r="S82" s="304"/>
      <c r="T82" s="134" t="s">
        <v>76</v>
      </c>
    </row>
    <row r="83" spans="2:20" ht="15" thickBot="1" x14ac:dyDescent="0.35">
      <c r="B83" s="320"/>
      <c r="C83" s="322"/>
      <c r="D83" s="146" t="s">
        <v>24</v>
      </c>
      <c r="E83" s="147">
        <f>CEILING((((7250+297+115)*1.12)-340)-150,50)</f>
        <v>8100</v>
      </c>
      <c r="F83" s="217">
        <v>340</v>
      </c>
      <c r="G83" s="217">
        <v>80</v>
      </c>
      <c r="H83" s="217">
        <v>18</v>
      </c>
      <c r="I83" s="217" t="s">
        <v>57</v>
      </c>
      <c r="J83" s="217">
        <v>75</v>
      </c>
      <c r="K83" s="217">
        <v>75</v>
      </c>
      <c r="L83" s="182">
        <f>SUM(E83:K83)</f>
        <v>8688</v>
      </c>
      <c r="M83" s="205">
        <v>200</v>
      </c>
      <c r="N83" s="182">
        <f>SUM(L83:M83)</f>
        <v>8888</v>
      </c>
      <c r="O83" s="96" t="s">
        <v>58</v>
      </c>
      <c r="P83" s="380" t="s">
        <v>59</v>
      </c>
      <c r="Q83" s="149" t="s">
        <v>60</v>
      </c>
      <c r="R83" s="305"/>
      <c r="S83" s="306"/>
      <c r="T83" s="134" t="s">
        <v>76</v>
      </c>
    </row>
    <row r="84" spans="2:20" ht="28.8" x14ac:dyDescent="0.3">
      <c r="B84" s="241" t="s">
        <v>84</v>
      </c>
      <c r="C84" s="276"/>
      <c r="D84" s="276"/>
      <c r="E84" s="276"/>
      <c r="F84" s="276"/>
      <c r="G84" s="276"/>
      <c r="H84" s="276"/>
      <c r="I84" s="276"/>
      <c r="J84" s="276"/>
      <c r="K84" s="276"/>
      <c r="L84" s="276"/>
      <c r="M84" s="276"/>
      <c r="N84" s="276"/>
      <c r="O84" s="276"/>
      <c r="P84" s="276"/>
      <c r="Q84" s="276"/>
      <c r="R84" s="276"/>
      <c r="S84" s="291"/>
      <c r="T84" s="134"/>
    </row>
    <row r="85" spans="2:20" ht="28.8" x14ac:dyDescent="0.3">
      <c r="B85" s="99" t="s">
        <v>1</v>
      </c>
      <c r="C85" s="292" t="s">
        <v>2</v>
      </c>
      <c r="D85" s="293"/>
      <c r="E85" s="124" t="s">
        <v>3</v>
      </c>
      <c r="F85" s="124" t="s">
        <v>4</v>
      </c>
      <c r="G85" s="124" t="s">
        <v>5</v>
      </c>
      <c r="H85" s="124" t="s">
        <v>6</v>
      </c>
      <c r="I85" s="3" t="s">
        <v>51</v>
      </c>
      <c r="J85" s="3" t="s">
        <v>52</v>
      </c>
      <c r="K85" s="3" t="s">
        <v>53</v>
      </c>
      <c r="L85" s="3" t="s">
        <v>54</v>
      </c>
      <c r="M85" s="3" t="s">
        <v>10</v>
      </c>
      <c r="N85" s="3" t="s">
        <v>11</v>
      </c>
      <c r="O85" s="3" t="s">
        <v>12</v>
      </c>
      <c r="P85" s="124" t="s">
        <v>13</v>
      </c>
      <c r="Q85" s="124" t="s">
        <v>14</v>
      </c>
      <c r="R85" s="292" t="s">
        <v>38</v>
      </c>
      <c r="S85" s="294"/>
      <c r="T85" s="134"/>
    </row>
    <row r="86" spans="2:20" ht="14.4" customHeight="1" x14ac:dyDescent="0.3">
      <c r="B86" s="295" t="s">
        <v>85</v>
      </c>
      <c r="C86" s="296" t="s">
        <v>82</v>
      </c>
      <c r="D86" s="146" t="s">
        <v>18</v>
      </c>
      <c r="E86" s="147">
        <f>CEILING((((7158+297+115)*1.12)-340)-150,50)</f>
        <v>8000</v>
      </c>
      <c r="F86" s="217">
        <v>340</v>
      </c>
      <c r="G86" s="217">
        <v>80</v>
      </c>
      <c r="H86" s="217">
        <v>18</v>
      </c>
      <c r="I86" s="217" t="s">
        <v>57</v>
      </c>
      <c r="J86" s="217">
        <v>75</v>
      </c>
      <c r="K86" s="217">
        <v>75</v>
      </c>
      <c r="L86" s="148">
        <f>SUM(E86:K86)</f>
        <v>8588</v>
      </c>
      <c r="M86" s="218">
        <v>200</v>
      </c>
      <c r="N86" s="148">
        <f>SUM(L86:M86)</f>
        <v>8788</v>
      </c>
      <c r="O86" s="149" t="s">
        <v>86</v>
      </c>
      <c r="P86" s="380" t="s">
        <v>59</v>
      </c>
      <c r="Q86" s="149" t="s">
        <v>60</v>
      </c>
      <c r="R86" s="303" t="s">
        <v>83</v>
      </c>
      <c r="S86" s="304"/>
      <c r="T86" s="134" t="s">
        <v>62</v>
      </c>
    </row>
    <row r="87" spans="2:20" x14ac:dyDescent="0.3">
      <c r="B87" s="295"/>
      <c r="C87" s="296"/>
      <c r="D87" s="146" t="s">
        <v>24</v>
      </c>
      <c r="E87" s="147">
        <f>CEILING((((7416+297+115)*1.12)-340)-150,50)</f>
        <v>8300</v>
      </c>
      <c r="F87" s="217">
        <v>340</v>
      </c>
      <c r="G87" s="217">
        <v>80</v>
      </c>
      <c r="H87" s="217">
        <v>18</v>
      </c>
      <c r="I87" s="217" t="s">
        <v>57</v>
      </c>
      <c r="J87" s="217">
        <v>75</v>
      </c>
      <c r="K87" s="217">
        <v>75</v>
      </c>
      <c r="L87" s="148">
        <f>SUM(E87:K87)</f>
        <v>8888</v>
      </c>
      <c r="M87" s="218">
        <v>200</v>
      </c>
      <c r="N87" s="148">
        <f>SUM(L87:M87)</f>
        <v>9088</v>
      </c>
      <c r="O87" s="149" t="s">
        <v>86</v>
      </c>
      <c r="P87" s="380" t="s">
        <v>59</v>
      </c>
      <c r="Q87" s="149" t="s">
        <v>60</v>
      </c>
      <c r="R87" s="305"/>
      <c r="S87" s="306"/>
      <c r="T87" s="134" t="s">
        <v>62</v>
      </c>
    </row>
    <row r="88" spans="2:20" ht="28.8" x14ac:dyDescent="0.3">
      <c r="B88" s="249" t="s">
        <v>87</v>
      </c>
      <c r="C88" s="301"/>
      <c r="D88" s="301"/>
      <c r="E88" s="301"/>
      <c r="F88" s="301"/>
      <c r="G88" s="301"/>
      <c r="H88" s="301"/>
      <c r="I88" s="301"/>
      <c r="J88" s="301"/>
      <c r="K88" s="301"/>
      <c r="L88" s="301"/>
      <c r="M88" s="301"/>
      <c r="N88" s="301"/>
      <c r="O88" s="301"/>
      <c r="P88" s="301"/>
      <c r="Q88" s="301"/>
      <c r="R88" s="301"/>
      <c r="S88" s="302"/>
      <c r="T88" s="134"/>
    </row>
    <row r="89" spans="2:20" ht="28.8" x14ac:dyDescent="0.3">
      <c r="B89" s="99" t="s">
        <v>1</v>
      </c>
      <c r="C89" s="292" t="s">
        <v>2</v>
      </c>
      <c r="D89" s="293"/>
      <c r="E89" s="124" t="s">
        <v>3</v>
      </c>
      <c r="F89" s="124" t="s">
        <v>4</v>
      </c>
      <c r="G89" s="124" t="s">
        <v>5</v>
      </c>
      <c r="H89" s="124" t="s">
        <v>6</v>
      </c>
      <c r="I89" s="3" t="s">
        <v>51</v>
      </c>
      <c r="J89" s="3" t="s">
        <v>52</v>
      </c>
      <c r="K89" s="3" t="s">
        <v>53</v>
      </c>
      <c r="L89" s="3" t="s">
        <v>54</v>
      </c>
      <c r="M89" s="3" t="s">
        <v>10</v>
      </c>
      <c r="N89" s="3" t="s">
        <v>11</v>
      </c>
      <c r="O89" s="3" t="s">
        <v>12</v>
      </c>
      <c r="P89" s="124" t="s">
        <v>13</v>
      </c>
      <c r="Q89" s="124" t="s">
        <v>14</v>
      </c>
      <c r="R89" s="292" t="s">
        <v>38</v>
      </c>
      <c r="S89" s="294"/>
      <c r="T89" s="134"/>
    </row>
    <row r="90" spans="2:20" ht="14.4" customHeight="1" x14ac:dyDescent="0.3">
      <c r="B90" s="295" t="s">
        <v>88</v>
      </c>
      <c r="C90" s="296" t="s">
        <v>82</v>
      </c>
      <c r="D90" s="146" t="s">
        <v>18</v>
      </c>
      <c r="E90" s="147">
        <f>CEILING((((7150+297+115)*1.12)-340)-150,50)</f>
        <v>8000</v>
      </c>
      <c r="F90" s="217">
        <v>340</v>
      </c>
      <c r="G90" s="217">
        <v>80</v>
      </c>
      <c r="H90" s="217">
        <v>18</v>
      </c>
      <c r="I90" s="217" t="s">
        <v>57</v>
      </c>
      <c r="J90" s="217">
        <v>75</v>
      </c>
      <c r="K90" s="217">
        <v>75</v>
      </c>
      <c r="L90" s="148">
        <f>SUM(E90:K90)</f>
        <v>8588</v>
      </c>
      <c r="M90" s="218">
        <v>200</v>
      </c>
      <c r="N90" s="148">
        <f>SUM(L90:M90)</f>
        <v>8788</v>
      </c>
      <c r="O90" s="149" t="s">
        <v>86</v>
      </c>
      <c r="P90" s="380" t="s">
        <v>59</v>
      </c>
      <c r="Q90" s="149" t="s">
        <v>60</v>
      </c>
      <c r="R90" s="303" t="s">
        <v>83</v>
      </c>
      <c r="S90" s="304"/>
      <c r="T90" s="134" t="s">
        <v>62</v>
      </c>
    </row>
    <row r="91" spans="2:20" ht="14.4" customHeight="1" x14ac:dyDescent="0.3">
      <c r="B91" s="295"/>
      <c r="C91" s="296"/>
      <c r="D91" s="146" t="s">
        <v>24</v>
      </c>
      <c r="E91" s="147">
        <f>CEILING((((7250+297+115)*1.12)-340)-150,50)</f>
        <v>8100</v>
      </c>
      <c r="F91" s="217">
        <v>340</v>
      </c>
      <c r="G91" s="217">
        <v>80</v>
      </c>
      <c r="H91" s="217">
        <v>18</v>
      </c>
      <c r="I91" s="217">
        <v>0</v>
      </c>
      <c r="J91" s="217">
        <v>75</v>
      </c>
      <c r="K91" s="217">
        <v>75</v>
      </c>
      <c r="L91" s="148">
        <f>SUM(E91:K91)</f>
        <v>8688</v>
      </c>
      <c r="M91" s="218">
        <v>200</v>
      </c>
      <c r="N91" s="148">
        <f>SUM(L91:M91)</f>
        <v>8888</v>
      </c>
      <c r="O91" s="149" t="s">
        <v>86</v>
      </c>
      <c r="P91" s="380" t="s">
        <v>59</v>
      </c>
      <c r="Q91" s="149" t="s">
        <v>60</v>
      </c>
      <c r="R91" s="305"/>
      <c r="S91" s="306"/>
      <c r="T91" s="134" t="s">
        <v>62</v>
      </c>
    </row>
    <row r="92" spans="2:20" ht="28.8" x14ac:dyDescent="0.3">
      <c r="B92" s="249" t="s">
        <v>89</v>
      </c>
      <c r="C92" s="301"/>
      <c r="D92" s="301"/>
      <c r="E92" s="301"/>
      <c r="F92" s="301"/>
      <c r="G92" s="301"/>
      <c r="H92" s="301"/>
      <c r="I92" s="301"/>
      <c r="J92" s="301"/>
      <c r="K92" s="301"/>
      <c r="L92" s="301"/>
      <c r="M92" s="301"/>
      <c r="N92" s="301"/>
      <c r="O92" s="301"/>
      <c r="P92" s="301"/>
      <c r="Q92" s="301"/>
      <c r="R92" s="301"/>
      <c r="S92" s="302"/>
      <c r="T92" s="134"/>
    </row>
    <row r="93" spans="2:20" ht="28.8" x14ac:dyDescent="0.3">
      <c r="B93" s="99" t="s">
        <v>1</v>
      </c>
      <c r="C93" s="292" t="s">
        <v>2</v>
      </c>
      <c r="D93" s="293"/>
      <c r="E93" s="124" t="s">
        <v>3</v>
      </c>
      <c r="F93" s="124" t="s">
        <v>4</v>
      </c>
      <c r="G93" s="124" t="s">
        <v>5</v>
      </c>
      <c r="H93" s="124" t="s">
        <v>6</v>
      </c>
      <c r="I93" s="3" t="s">
        <v>51</v>
      </c>
      <c r="J93" s="3" t="s">
        <v>52</v>
      </c>
      <c r="K93" s="3" t="s">
        <v>53</v>
      </c>
      <c r="L93" s="3" t="s">
        <v>54</v>
      </c>
      <c r="M93" s="3" t="s">
        <v>10</v>
      </c>
      <c r="N93" s="3" t="s">
        <v>11</v>
      </c>
      <c r="O93" s="3" t="s">
        <v>12</v>
      </c>
      <c r="P93" s="124" t="s">
        <v>13</v>
      </c>
      <c r="Q93" s="124" t="s">
        <v>14</v>
      </c>
      <c r="R93" s="292" t="s">
        <v>38</v>
      </c>
      <c r="S93" s="294"/>
      <c r="T93" s="134"/>
    </row>
    <row r="94" spans="2:20" ht="21" customHeight="1" x14ac:dyDescent="0.3">
      <c r="B94" s="295" t="s">
        <v>90</v>
      </c>
      <c r="C94" s="296" t="s">
        <v>82</v>
      </c>
      <c r="D94" s="146" t="s">
        <v>18</v>
      </c>
      <c r="E94" s="147">
        <f>CEILING((((7270+297+115)*1.12)-340)-150,50)</f>
        <v>8150</v>
      </c>
      <c r="F94" s="217">
        <v>340</v>
      </c>
      <c r="G94" s="217">
        <v>80</v>
      </c>
      <c r="H94" s="217">
        <v>18</v>
      </c>
      <c r="I94" s="217" t="s">
        <v>57</v>
      </c>
      <c r="J94" s="217">
        <v>75</v>
      </c>
      <c r="K94" s="217">
        <v>75</v>
      </c>
      <c r="L94" s="148">
        <f>SUM(E94:K94)</f>
        <v>8738</v>
      </c>
      <c r="M94" s="218">
        <v>200</v>
      </c>
      <c r="N94" s="148">
        <f>SUM(L94:M94)</f>
        <v>8938</v>
      </c>
      <c r="O94" s="149" t="s">
        <v>86</v>
      </c>
      <c r="P94" s="380" t="s">
        <v>59</v>
      </c>
      <c r="Q94" s="149" t="s">
        <v>60</v>
      </c>
      <c r="R94" s="303" t="s">
        <v>83</v>
      </c>
      <c r="S94" s="304"/>
      <c r="T94" s="134" t="s">
        <v>62</v>
      </c>
    </row>
    <row r="95" spans="2:20" ht="15" thickBot="1" x14ac:dyDescent="0.35">
      <c r="B95" s="295"/>
      <c r="C95" s="296"/>
      <c r="D95" s="146" t="s">
        <v>24</v>
      </c>
      <c r="E95" s="147">
        <f>CEILING((((7270+297+115)*1.12)-340)-150,50)</f>
        <v>8150</v>
      </c>
      <c r="F95" s="217">
        <v>340</v>
      </c>
      <c r="G95" s="217">
        <v>80</v>
      </c>
      <c r="H95" s="217">
        <v>18</v>
      </c>
      <c r="I95" s="217">
        <v>0</v>
      </c>
      <c r="J95" s="217">
        <v>75</v>
      </c>
      <c r="K95" s="217">
        <v>75</v>
      </c>
      <c r="L95" s="148">
        <f>SUM(E95:K95)</f>
        <v>8738</v>
      </c>
      <c r="M95" s="218">
        <v>200</v>
      </c>
      <c r="N95" s="148">
        <f>SUM(L95:M95)</f>
        <v>8938</v>
      </c>
      <c r="O95" s="149" t="s">
        <v>86</v>
      </c>
      <c r="P95" s="380" t="s">
        <v>59</v>
      </c>
      <c r="Q95" s="149" t="s">
        <v>60</v>
      </c>
      <c r="R95" s="305"/>
      <c r="S95" s="306"/>
      <c r="T95" s="134" t="s">
        <v>62</v>
      </c>
    </row>
    <row r="96" spans="2:20" ht="28.8" x14ac:dyDescent="0.3">
      <c r="B96" s="241" t="s">
        <v>93</v>
      </c>
      <c r="C96" s="276"/>
      <c r="D96" s="276"/>
      <c r="E96" s="276"/>
      <c r="F96" s="276"/>
      <c r="G96" s="276"/>
      <c r="H96" s="276"/>
      <c r="I96" s="276"/>
      <c r="J96" s="276"/>
      <c r="K96" s="276"/>
      <c r="L96" s="276"/>
      <c r="M96" s="276"/>
      <c r="N96" s="276"/>
      <c r="O96" s="276"/>
      <c r="P96" s="276"/>
      <c r="Q96" s="276"/>
      <c r="R96" s="245"/>
      <c r="S96" s="245"/>
    </row>
    <row r="97" spans="2:21" ht="28.8" x14ac:dyDescent="0.3">
      <c r="B97" s="99" t="s">
        <v>1</v>
      </c>
      <c r="C97" s="292" t="s">
        <v>2</v>
      </c>
      <c r="D97" s="293"/>
      <c r="E97" s="124" t="s">
        <v>3</v>
      </c>
      <c r="F97" s="124" t="s">
        <v>4</v>
      </c>
      <c r="G97" s="124" t="s">
        <v>5</v>
      </c>
      <c r="H97" s="124" t="s">
        <v>6</v>
      </c>
      <c r="I97" s="3" t="s">
        <v>51</v>
      </c>
      <c r="J97" s="3" t="s">
        <v>52</v>
      </c>
      <c r="K97" s="3" t="s">
        <v>53</v>
      </c>
      <c r="L97" s="3" t="s">
        <v>54</v>
      </c>
      <c r="M97" s="3" t="s">
        <v>10</v>
      </c>
      <c r="N97" s="3" t="s">
        <v>11</v>
      </c>
      <c r="O97" s="3" t="s">
        <v>12</v>
      </c>
      <c r="P97" s="124" t="s">
        <v>13</v>
      </c>
      <c r="Q97" s="124" t="s">
        <v>14</v>
      </c>
      <c r="R97" s="292" t="s">
        <v>38</v>
      </c>
      <c r="S97" s="294"/>
    </row>
    <row r="98" spans="2:21" x14ac:dyDescent="0.3">
      <c r="B98" s="295" t="s">
        <v>94</v>
      </c>
      <c r="C98" s="296" t="s">
        <v>82</v>
      </c>
      <c r="D98" s="146" t="s">
        <v>18</v>
      </c>
      <c r="E98" s="147">
        <f>CEILING((((7150+297+115)*1.12)-340)-150,50)</f>
        <v>8000</v>
      </c>
      <c r="F98" s="217">
        <v>340</v>
      </c>
      <c r="G98" s="217">
        <v>80</v>
      </c>
      <c r="H98" s="217">
        <v>18</v>
      </c>
      <c r="I98" s="217" t="s">
        <v>57</v>
      </c>
      <c r="J98" s="217">
        <v>75</v>
      </c>
      <c r="K98" s="217">
        <v>75</v>
      </c>
      <c r="L98" s="148">
        <f>SUM(E98:K98)</f>
        <v>8588</v>
      </c>
      <c r="M98" s="218">
        <v>200</v>
      </c>
      <c r="N98" s="148">
        <f>SUM(L98:M98)</f>
        <v>8788</v>
      </c>
      <c r="O98" s="149" t="s">
        <v>86</v>
      </c>
      <c r="P98" s="380" t="s">
        <v>59</v>
      </c>
      <c r="Q98" s="149" t="s">
        <v>60</v>
      </c>
      <c r="R98" s="297" t="s">
        <v>95</v>
      </c>
      <c r="S98" s="298"/>
      <c r="T98" s="134" t="s">
        <v>62</v>
      </c>
      <c r="U98"/>
    </row>
    <row r="99" spans="2:21" ht="15" thickBot="1" x14ac:dyDescent="0.35">
      <c r="B99" s="295"/>
      <c r="C99" s="296"/>
      <c r="D99" s="146" t="s">
        <v>24</v>
      </c>
      <c r="E99" s="147">
        <f>CEILING((((7250+297+115)*1.12)-340)-150,50)</f>
        <v>8100</v>
      </c>
      <c r="F99" s="217">
        <v>340</v>
      </c>
      <c r="G99" s="217">
        <v>80</v>
      </c>
      <c r="H99" s="217">
        <v>18</v>
      </c>
      <c r="I99" s="217">
        <v>0</v>
      </c>
      <c r="J99" s="217">
        <v>75</v>
      </c>
      <c r="K99" s="217">
        <v>75</v>
      </c>
      <c r="L99" s="148">
        <f>SUM(E99:K99)</f>
        <v>8688</v>
      </c>
      <c r="M99" s="218">
        <v>200</v>
      </c>
      <c r="N99" s="148">
        <f>SUM(L99:M99)</f>
        <v>8888</v>
      </c>
      <c r="O99" s="149" t="s">
        <v>86</v>
      </c>
      <c r="P99" s="380" t="s">
        <v>59</v>
      </c>
      <c r="Q99" s="149" t="s">
        <v>60</v>
      </c>
      <c r="R99" s="299"/>
      <c r="S99" s="300"/>
      <c r="T99" s="134" t="s">
        <v>62</v>
      </c>
      <c r="U99"/>
    </row>
    <row r="100" spans="2:21" ht="28.8" x14ac:dyDescent="0.3">
      <c r="B100" s="241" t="s">
        <v>96</v>
      </c>
      <c r="C100" s="276"/>
      <c r="D100" s="276"/>
      <c r="E100" s="276"/>
      <c r="F100" s="276"/>
      <c r="G100" s="276"/>
      <c r="H100" s="276"/>
      <c r="I100" s="276"/>
      <c r="J100" s="276"/>
      <c r="K100" s="276"/>
      <c r="L100" s="276"/>
      <c r="M100" s="276"/>
      <c r="N100" s="276"/>
      <c r="O100" s="276"/>
      <c r="P100" s="276"/>
      <c r="Q100" s="276"/>
      <c r="R100" s="276"/>
      <c r="S100" s="291"/>
    </row>
    <row r="101" spans="2:21" ht="28.8" x14ac:dyDescent="0.3">
      <c r="B101" s="99" t="s">
        <v>1</v>
      </c>
      <c r="C101" s="292" t="s">
        <v>2</v>
      </c>
      <c r="D101" s="293"/>
      <c r="E101" s="124" t="s">
        <v>3</v>
      </c>
      <c r="F101" s="124" t="s">
        <v>4</v>
      </c>
      <c r="G101" s="124" t="s">
        <v>5</v>
      </c>
      <c r="H101" s="124" t="s">
        <v>6</v>
      </c>
      <c r="I101" s="3" t="s">
        <v>51</v>
      </c>
      <c r="J101" s="3" t="s">
        <v>52</v>
      </c>
      <c r="K101" s="3" t="s">
        <v>53</v>
      </c>
      <c r="L101" s="3" t="s">
        <v>54</v>
      </c>
      <c r="M101" s="3" t="s">
        <v>10</v>
      </c>
      <c r="N101" s="3" t="s">
        <v>11</v>
      </c>
      <c r="O101" s="3" t="s">
        <v>12</v>
      </c>
      <c r="P101" s="124" t="s">
        <v>13</v>
      </c>
      <c r="Q101" s="124" t="s">
        <v>14</v>
      </c>
      <c r="R101" s="292" t="s">
        <v>38</v>
      </c>
      <c r="S101" s="294"/>
    </row>
    <row r="102" spans="2:21" x14ac:dyDescent="0.3">
      <c r="B102" s="295" t="s">
        <v>97</v>
      </c>
      <c r="C102" s="296" t="s">
        <v>31</v>
      </c>
      <c r="D102" s="146" t="s">
        <v>18</v>
      </c>
      <c r="E102" s="147">
        <f>CEILING((((7300+297+115)*1.12)-340)-150,50)</f>
        <v>8150</v>
      </c>
      <c r="F102" s="217">
        <v>340</v>
      </c>
      <c r="G102" s="217">
        <v>80</v>
      </c>
      <c r="H102" s="217">
        <v>18</v>
      </c>
      <c r="I102" s="217" t="s">
        <v>57</v>
      </c>
      <c r="J102" s="217">
        <v>75</v>
      </c>
      <c r="K102" s="217">
        <v>75</v>
      </c>
      <c r="L102" s="148">
        <f>SUM(E102:K102)</f>
        <v>8738</v>
      </c>
      <c r="M102" s="218">
        <v>200</v>
      </c>
      <c r="N102" s="148">
        <f>SUM(L102:M102)</f>
        <v>8938</v>
      </c>
      <c r="O102" s="149" t="s">
        <v>86</v>
      </c>
      <c r="P102" s="380" t="s">
        <v>59</v>
      </c>
      <c r="Q102" s="149" t="s">
        <v>60</v>
      </c>
      <c r="R102" s="297" t="s">
        <v>95</v>
      </c>
      <c r="S102" s="298"/>
      <c r="T102" s="191" t="s">
        <v>98</v>
      </c>
      <c r="U102"/>
    </row>
    <row r="103" spans="2:21" x14ac:dyDescent="0.3">
      <c r="B103" s="295"/>
      <c r="C103" s="296"/>
      <c r="D103" s="146" t="s">
        <v>24</v>
      </c>
      <c r="E103" s="147">
        <f>CEILING((((7500+297+115)*1.12)-340)-150,50)</f>
        <v>8400</v>
      </c>
      <c r="F103" s="217">
        <v>340</v>
      </c>
      <c r="G103" s="217">
        <v>80</v>
      </c>
      <c r="H103" s="217">
        <v>18</v>
      </c>
      <c r="I103" s="217">
        <v>0</v>
      </c>
      <c r="J103" s="217">
        <v>75</v>
      </c>
      <c r="K103" s="217">
        <v>75</v>
      </c>
      <c r="L103" s="148">
        <f>SUM(E103:K103)</f>
        <v>8988</v>
      </c>
      <c r="M103" s="218">
        <v>200</v>
      </c>
      <c r="N103" s="148">
        <f>SUM(L103:M103)</f>
        <v>9188</v>
      </c>
      <c r="O103" s="149" t="s">
        <v>86</v>
      </c>
      <c r="P103" s="380" t="s">
        <v>59</v>
      </c>
      <c r="Q103" s="149" t="s">
        <v>60</v>
      </c>
      <c r="R103" s="299"/>
      <c r="S103" s="300"/>
      <c r="T103" s="191" t="s">
        <v>98</v>
      </c>
      <c r="U103"/>
    </row>
    <row r="104" spans="2:21" ht="15" thickBot="1" x14ac:dyDescent="0.35">
      <c r="B104" s="139"/>
      <c r="C104" s="43"/>
      <c r="D104" s="136"/>
      <c r="E104" s="137"/>
      <c r="F104" s="206"/>
      <c r="G104" s="206"/>
      <c r="H104" s="206"/>
      <c r="I104" s="206"/>
      <c r="J104" s="206"/>
      <c r="K104" s="206"/>
      <c r="L104" s="207"/>
      <c r="M104" s="206"/>
      <c r="N104" s="207"/>
      <c r="O104" s="62"/>
      <c r="P104" s="35"/>
      <c r="Q104" s="62"/>
      <c r="R104" s="138"/>
      <c r="S104" s="140"/>
    </row>
    <row r="105" spans="2:21" ht="15.6" x14ac:dyDescent="0.3">
      <c r="B105" s="282" t="s">
        <v>34</v>
      </c>
      <c r="C105" s="283"/>
      <c r="D105" s="283"/>
      <c r="E105" s="283"/>
      <c r="F105" s="283"/>
      <c r="G105" s="283"/>
      <c r="H105" s="283"/>
      <c r="I105" s="283"/>
      <c r="J105" s="283"/>
      <c r="K105" s="283"/>
      <c r="L105" s="283"/>
      <c r="M105" s="283"/>
      <c r="N105" s="283"/>
      <c r="O105" s="283"/>
      <c r="P105" s="283"/>
      <c r="Q105" s="283"/>
      <c r="R105" s="283"/>
      <c r="S105" s="284"/>
    </row>
    <row r="106" spans="2:21" x14ac:dyDescent="0.3">
      <c r="B106" s="285" t="s">
        <v>35</v>
      </c>
      <c r="C106" s="232"/>
      <c r="D106" s="232"/>
      <c r="E106" s="232"/>
      <c r="F106" s="232"/>
      <c r="G106" s="232"/>
      <c r="H106" s="232"/>
      <c r="I106" s="232"/>
      <c r="J106" s="232"/>
      <c r="K106" s="232"/>
      <c r="L106" s="232"/>
      <c r="M106" s="232"/>
      <c r="N106" s="232"/>
      <c r="O106" s="232"/>
      <c r="P106" s="232"/>
      <c r="Q106" s="232"/>
      <c r="R106" s="232"/>
      <c r="S106" s="286"/>
    </row>
    <row r="107" spans="2:21" x14ac:dyDescent="0.3">
      <c r="B107" s="285"/>
      <c r="C107" s="232"/>
      <c r="D107" s="232"/>
      <c r="E107" s="232"/>
      <c r="F107" s="232"/>
      <c r="G107" s="232"/>
      <c r="H107" s="232"/>
      <c r="I107" s="232"/>
      <c r="J107" s="232"/>
      <c r="K107" s="232"/>
      <c r="L107" s="232"/>
      <c r="M107" s="232"/>
      <c r="N107" s="232"/>
      <c r="O107" s="232"/>
      <c r="P107" s="232"/>
      <c r="Q107" s="232"/>
      <c r="R107" s="232"/>
      <c r="S107" s="286"/>
    </row>
    <row r="108" spans="2:21" x14ac:dyDescent="0.3">
      <c r="B108" s="285"/>
      <c r="C108" s="232"/>
      <c r="D108" s="232"/>
      <c r="E108" s="232"/>
      <c r="F108" s="232"/>
      <c r="G108" s="232"/>
      <c r="H108" s="232"/>
      <c r="I108" s="232"/>
      <c r="J108" s="232"/>
      <c r="K108" s="232"/>
      <c r="L108" s="232"/>
      <c r="M108" s="232"/>
      <c r="N108" s="232"/>
      <c r="O108" s="232"/>
      <c r="P108" s="232"/>
      <c r="Q108" s="232"/>
      <c r="R108" s="232"/>
      <c r="S108" s="286"/>
    </row>
    <row r="109" spans="2:21" ht="15" thickBot="1" x14ac:dyDescent="0.35">
      <c r="B109" s="287"/>
      <c r="C109" s="288"/>
      <c r="D109" s="288"/>
      <c r="E109" s="288"/>
      <c r="F109" s="288"/>
      <c r="G109" s="288"/>
      <c r="H109" s="288"/>
      <c r="I109" s="288"/>
      <c r="J109" s="288"/>
      <c r="K109" s="288"/>
      <c r="L109" s="288"/>
      <c r="M109" s="288"/>
      <c r="N109" s="288"/>
      <c r="O109" s="288"/>
      <c r="P109" s="288"/>
      <c r="Q109" s="288"/>
      <c r="R109" s="288"/>
      <c r="S109" s="289"/>
    </row>
    <row r="118" spans="2:20" ht="28.8" x14ac:dyDescent="0.3">
      <c r="B118" s="290" t="s">
        <v>99</v>
      </c>
      <c r="C118" s="290"/>
      <c r="D118" s="290"/>
      <c r="E118" s="290"/>
      <c r="F118" s="290"/>
      <c r="G118" s="290"/>
      <c r="H118" s="290"/>
      <c r="I118" s="290"/>
      <c r="J118" s="290"/>
      <c r="K118" s="290"/>
      <c r="L118" s="290"/>
      <c r="M118" s="290"/>
      <c r="N118" s="290"/>
      <c r="O118" s="290"/>
      <c r="P118" s="290"/>
      <c r="Q118" s="135"/>
    </row>
    <row r="119" spans="2:20" ht="28.8" x14ac:dyDescent="0.3">
      <c r="B119" s="124" t="s">
        <v>1</v>
      </c>
      <c r="C119" s="242" t="s">
        <v>2</v>
      </c>
      <c r="D119" s="242"/>
      <c r="E119" s="124" t="s">
        <v>3</v>
      </c>
      <c r="F119" s="124" t="s">
        <v>4</v>
      </c>
      <c r="G119" s="11" t="s">
        <v>100</v>
      </c>
      <c r="H119" s="131" t="s">
        <v>6</v>
      </c>
      <c r="I119" s="3" t="s">
        <v>9</v>
      </c>
      <c r="J119" s="3" t="s">
        <v>10</v>
      </c>
      <c r="K119" s="3" t="s">
        <v>11</v>
      </c>
      <c r="L119" s="124" t="s">
        <v>12</v>
      </c>
      <c r="M119" s="124" t="s">
        <v>13</v>
      </c>
      <c r="N119" s="124" t="s">
        <v>14</v>
      </c>
      <c r="O119" s="242" t="s">
        <v>38</v>
      </c>
      <c r="P119" s="242"/>
      <c r="Q119" s="242"/>
      <c r="T119" s="133" t="s">
        <v>15</v>
      </c>
    </row>
    <row r="120" spans="2:20" ht="14.4" customHeight="1" x14ac:dyDescent="0.3">
      <c r="B120" s="238" t="s">
        <v>101</v>
      </c>
      <c r="C120" s="224" t="s">
        <v>17</v>
      </c>
      <c r="D120" s="20" t="s">
        <v>18</v>
      </c>
      <c r="E120" s="37">
        <v>1600</v>
      </c>
      <c r="F120" s="37">
        <v>335</v>
      </c>
      <c r="G120" s="217">
        <v>80</v>
      </c>
      <c r="H120" s="217">
        <v>18</v>
      </c>
      <c r="I120" s="40">
        <f>SUM(E120:H120)</f>
        <v>2033</v>
      </c>
      <c r="J120" s="24">
        <v>200</v>
      </c>
      <c r="K120" s="23">
        <f>I120+J120</f>
        <v>2233</v>
      </c>
      <c r="L120" s="41">
        <v>7</v>
      </c>
      <c r="M120" s="379" t="s">
        <v>21</v>
      </c>
      <c r="N120" s="20" t="s">
        <v>41</v>
      </c>
      <c r="O120" s="239" t="s">
        <v>47</v>
      </c>
      <c r="P120" s="239"/>
      <c r="Q120" s="239"/>
      <c r="T120" s="134" t="s">
        <v>102</v>
      </c>
    </row>
    <row r="121" spans="2:20" x14ac:dyDescent="0.3">
      <c r="B121" s="238"/>
      <c r="C121" s="224"/>
      <c r="D121" s="20" t="s">
        <v>24</v>
      </c>
      <c r="E121" s="37">
        <v>1900</v>
      </c>
      <c r="F121" s="37">
        <v>335</v>
      </c>
      <c r="G121" s="217">
        <v>80</v>
      </c>
      <c r="H121" s="217">
        <v>18</v>
      </c>
      <c r="I121" s="40">
        <f>SUM(E121:H121)</f>
        <v>2333</v>
      </c>
      <c r="J121" s="24">
        <v>200</v>
      </c>
      <c r="K121" s="23">
        <f>I121+J121</f>
        <v>2533</v>
      </c>
      <c r="L121" s="41">
        <v>7</v>
      </c>
      <c r="M121" s="379" t="s">
        <v>21</v>
      </c>
      <c r="N121" s="20" t="s">
        <v>41</v>
      </c>
      <c r="O121" s="239"/>
      <c r="P121" s="239"/>
      <c r="Q121" s="239"/>
      <c r="T121" s="134" t="s">
        <v>102</v>
      </c>
    </row>
    <row r="122" spans="2:20" x14ac:dyDescent="0.3">
      <c r="B122" s="43"/>
      <c r="C122" s="130"/>
      <c r="D122" s="29"/>
      <c r="E122" s="44"/>
      <c r="F122" s="44"/>
      <c r="G122" s="44"/>
      <c r="H122" s="130"/>
      <c r="I122" s="100"/>
      <c r="J122" s="101"/>
      <c r="K122" s="101"/>
      <c r="L122" s="101"/>
      <c r="M122" s="102"/>
      <c r="N122" s="103"/>
      <c r="O122" s="45"/>
      <c r="P122" s="35"/>
      <c r="Q122" s="130"/>
    </row>
    <row r="123" spans="2:20" ht="15.6" x14ac:dyDescent="0.3">
      <c r="B123" s="5" t="s">
        <v>34</v>
      </c>
      <c r="C123" s="6"/>
      <c r="D123" s="6"/>
      <c r="E123" s="6"/>
      <c r="F123" s="6"/>
      <c r="G123" s="6"/>
      <c r="H123" s="6"/>
      <c r="I123" s="6"/>
      <c r="J123" s="6"/>
      <c r="K123" s="6"/>
      <c r="L123" s="6"/>
      <c r="M123" s="6"/>
      <c r="N123" s="6"/>
      <c r="O123" s="6"/>
      <c r="P123" s="6"/>
      <c r="Q123" s="7"/>
    </row>
    <row r="124" spans="2:20" x14ac:dyDescent="0.3">
      <c r="B124" s="258" t="s">
        <v>35</v>
      </c>
      <c r="C124" s="278"/>
      <c r="D124" s="278"/>
      <c r="E124" s="278"/>
      <c r="F124" s="278"/>
      <c r="G124" s="278"/>
      <c r="H124" s="278"/>
      <c r="I124" s="278"/>
      <c r="J124" s="278"/>
      <c r="K124" s="278"/>
      <c r="L124" s="278"/>
      <c r="M124" s="278"/>
      <c r="N124" s="278"/>
      <c r="O124" s="278"/>
      <c r="P124" s="278"/>
      <c r="Q124" s="279"/>
    </row>
    <row r="125" spans="2:20" x14ac:dyDescent="0.3">
      <c r="B125" s="258"/>
      <c r="C125" s="278"/>
      <c r="D125" s="278"/>
      <c r="E125" s="278"/>
      <c r="F125" s="278"/>
      <c r="G125" s="278"/>
      <c r="H125" s="278"/>
      <c r="I125" s="278"/>
      <c r="J125" s="278"/>
      <c r="K125" s="278"/>
      <c r="L125" s="278"/>
      <c r="M125" s="278"/>
      <c r="N125" s="278"/>
      <c r="O125" s="278"/>
      <c r="P125" s="278"/>
      <c r="Q125" s="279"/>
    </row>
    <row r="126" spans="2:20" x14ac:dyDescent="0.3">
      <c r="B126" s="258"/>
      <c r="C126" s="278"/>
      <c r="D126" s="278"/>
      <c r="E126" s="278"/>
      <c r="F126" s="278"/>
      <c r="G126" s="278"/>
      <c r="H126" s="278"/>
      <c r="I126" s="278"/>
      <c r="J126" s="278"/>
      <c r="K126" s="278"/>
      <c r="L126" s="278"/>
      <c r="M126" s="278"/>
      <c r="N126" s="278"/>
      <c r="O126" s="278"/>
      <c r="P126" s="278"/>
      <c r="Q126" s="279"/>
    </row>
    <row r="127" spans="2:20" x14ac:dyDescent="0.3">
      <c r="B127" s="259"/>
      <c r="C127" s="280"/>
      <c r="D127" s="280"/>
      <c r="E127" s="280"/>
      <c r="F127" s="280"/>
      <c r="G127" s="280"/>
      <c r="H127" s="280"/>
      <c r="I127" s="280"/>
      <c r="J127" s="280"/>
      <c r="K127" s="280"/>
      <c r="L127" s="280"/>
      <c r="M127" s="280"/>
      <c r="N127" s="280"/>
      <c r="O127" s="280"/>
      <c r="P127" s="280"/>
      <c r="Q127" s="281"/>
    </row>
    <row r="128" spans="2:20" x14ac:dyDescent="0.3">
      <c r="B128" s="36"/>
      <c r="C128" s="36"/>
      <c r="D128" s="36"/>
      <c r="E128" s="36"/>
      <c r="F128" s="36"/>
      <c r="G128" s="36"/>
      <c r="H128" s="36"/>
      <c r="I128" s="36"/>
      <c r="J128" s="36"/>
      <c r="K128" s="36"/>
      <c r="L128" s="36"/>
      <c r="M128" s="36"/>
      <c r="N128" s="36"/>
      <c r="O128" s="36"/>
      <c r="P128" s="36"/>
      <c r="Q128" s="36"/>
    </row>
    <row r="133" spans="2:20" ht="15" thickBot="1" x14ac:dyDescent="0.35"/>
    <row r="134" spans="2:20" ht="28.8" x14ac:dyDescent="0.3">
      <c r="B134" s="241" t="s">
        <v>103</v>
      </c>
      <c r="C134" s="276"/>
      <c r="D134" s="276"/>
      <c r="E134" s="276"/>
      <c r="F134" s="276"/>
      <c r="G134" s="276"/>
      <c r="H134" s="276"/>
      <c r="I134" s="276"/>
      <c r="J134" s="276"/>
      <c r="K134" s="276"/>
      <c r="L134" s="276"/>
      <c r="M134" s="276"/>
      <c r="N134" s="276"/>
      <c r="O134" s="276"/>
      <c r="P134" s="276"/>
    </row>
    <row r="135" spans="2:20" ht="28.8" x14ac:dyDescent="0.3">
      <c r="B135" s="99" t="s">
        <v>1</v>
      </c>
      <c r="C135" s="242" t="s">
        <v>2</v>
      </c>
      <c r="D135" s="242"/>
      <c r="E135" s="124" t="s">
        <v>3</v>
      </c>
      <c r="F135" s="124" t="s">
        <v>4</v>
      </c>
      <c r="G135" s="124" t="s">
        <v>5</v>
      </c>
      <c r="H135" s="124" t="s">
        <v>6</v>
      </c>
      <c r="I135" s="3" t="s">
        <v>52</v>
      </c>
      <c r="J135" s="3" t="s">
        <v>104</v>
      </c>
      <c r="K135" s="3" t="s">
        <v>54</v>
      </c>
      <c r="L135" s="3" t="s">
        <v>10</v>
      </c>
      <c r="M135" s="3" t="s">
        <v>11</v>
      </c>
      <c r="N135" s="3" t="s">
        <v>12</v>
      </c>
      <c r="O135" s="124" t="s">
        <v>13</v>
      </c>
      <c r="P135" s="124" t="s">
        <v>14</v>
      </c>
      <c r="T135" s="133" t="s">
        <v>15</v>
      </c>
    </row>
    <row r="136" spans="2:20" x14ac:dyDescent="0.3">
      <c r="B136" s="143" t="s">
        <v>105</v>
      </c>
      <c r="C136" s="129" t="s">
        <v>91</v>
      </c>
      <c r="D136" s="120" t="s">
        <v>18</v>
      </c>
      <c r="E136" s="122">
        <v>1500</v>
      </c>
      <c r="F136" s="97">
        <v>340</v>
      </c>
      <c r="G136" s="97">
        <v>80</v>
      </c>
      <c r="H136" s="97">
        <v>18</v>
      </c>
      <c r="I136" s="97">
        <v>75</v>
      </c>
      <c r="J136" s="97">
        <v>75</v>
      </c>
      <c r="K136" s="98">
        <f>SUM(E136:J136)</f>
        <v>2088</v>
      </c>
      <c r="L136" s="97">
        <v>200</v>
      </c>
      <c r="M136" s="98">
        <f>SUM(K137:L137)</f>
        <v>3088</v>
      </c>
      <c r="N136" s="96" t="s">
        <v>106</v>
      </c>
      <c r="O136" s="379" t="s">
        <v>21</v>
      </c>
      <c r="P136" s="96" t="s">
        <v>60</v>
      </c>
      <c r="T136" s="134" t="s">
        <v>107</v>
      </c>
    </row>
    <row r="137" spans="2:20" x14ac:dyDescent="0.3">
      <c r="B137" s="277" t="s">
        <v>108</v>
      </c>
      <c r="C137" s="238" t="s">
        <v>31</v>
      </c>
      <c r="D137" s="120" t="s">
        <v>18</v>
      </c>
      <c r="E137" s="122">
        <f>CEILING(((1997+75+340)*1.15)-(340+150),50)</f>
        <v>2300</v>
      </c>
      <c r="F137" s="97">
        <v>340</v>
      </c>
      <c r="G137" s="97">
        <v>80</v>
      </c>
      <c r="H137" s="97">
        <v>18</v>
      </c>
      <c r="I137" s="97">
        <v>75</v>
      </c>
      <c r="J137" s="97">
        <v>75</v>
      </c>
      <c r="K137" s="98">
        <f>SUM(E137:J137)</f>
        <v>2888</v>
      </c>
      <c r="L137" s="97">
        <v>200</v>
      </c>
      <c r="M137" s="98">
        <f>SUM(K137:L137)</f>
        <v>3088</v>
      </c>
      <c r="N137" s="96" t="s">
        <v>106</v>
      </c>
      <c r="O137" s="379" t="s">
        <v>21</v>
      </c>
      <c r="P137" s="96" t="s">
        <v>60</v>
      </c>
      <c r="T137" s="134" t="s">
        <v>107</v>
      </c>
    </row>
    <row r="138" spans="2:20" x14ac:dyDescent="0.3">
      <c r="B138" s="277"/>
      <c r="C138" s="238"/>
      <c r="D138" s="120" t="s">
        <v>24</v>
      </c>
      <c r="E138" s="122">
        <f>CEILING(((2929+75+340)*1.15)-(340+150),50)</f>
        <v>3400</v>
      </c>
      <c r="F138" s="97">
        <v>340</v>
      </c>
      <c r="G138" s="97">
        <v>80</v>
      </c>
      <c r="H138" s="97">
        <v>18</v>
      </c>
      <c r="I138" s="97">
        <v>75</v>
      </c>
      <c r="J138" s="97">
        <v>75</v>
      </c>
      <c r="K138" s="98">
        <f>SUM(E138:J138)</f>
        <v>3988</v>
      </c>
      <c r="L138" s="97">
        <v>200</v>
      </c>
      <c r="M138" s="98">
        <f>SUM(K138:L138)</f>
        <v>4188</v>
      </c>
      <c r="N138" s="96" t="s">
        <v>106</v>
      </c>
      <c r="O138" s="379" t="s">
        <v>21</v>
      </c>
      <c r="P138" s="96" t="s">
        <v>60</v>
      </c>
      <c r="T138" s="134" t="s">
        <v>107</v>
      </c>
    </row>
    <row r="140" spans="2:20" ht="15" thickBot="1" x14ac:dyDescent="0.35"/>
    <row r="141" spans="2:20" ht="28.8" x14ac:dyDescent="0.3">
      <c r="B141" s="241" t="s">
        <v>109</v>
      </c>
      <c r="C141" s="276"/>
      <c r="D141" s="276"/>
      <c r="E141" s="276"/>
      <c r="F141" s="276"/>
      <c r="G141" s="276"/>
      <c r="H141" s="276"/>
      <c r="I141" s="276"/>
      <c r="J141" s="276"/>
      <c r="K141" s="276"/>
      <c r="L141" s="276"/>
      <c r="M141" s="276"/>
      <c r="N141" s="276"/>
      <c r="O141" s="276"/>
      <c r="P141" s="276"/>
    </row>
    <row r="142" spans="2:20" ht="28.8" x14ac:dyDescent="0.3">
      <c r="B142" s="99" t="s">
        <v>1</v>
      </c>
      <c r="C142" s="242" t="s">
        <v>2</v>
      </c>
      <c r="D142" s="242"/>
      <c r="E142" s="124" t="s">
        <v>3</v>
      </c>
      <c r="F142" s="124" t="s">
        <v>4</v>
      </c>
      <c r="G142" s="124" t="s">
        <v>5</v>
      </c>
      <c r="H142" s="124" t="s">
        <v>6</v>
      </c>
      <c r="I142" s="3" t="s">
        <v>52</v>
      </c>
      <c r="J142" s="3" t="s">
        <v>104</v>
      </c>
      <c r="K142" s="3" t="s">
        <v>54</v>
      </c>
      <c r="L142" s="3" t="s">
        <v>10</v>
      </c>
      <c r="M142" s="3" t="s">
        <v>11</v>
      </c>
      <c r="N142" s="3" t="s">
        <v>12</v>
      </c>
      <c r="O142" s="124" t="s">
        <v>13</v>
      </c>
      <c r="P142" s="124" t="s">
        <v>14</v>
      </c>
    </row>
    <row r="143" spans="2:20" x14ac:dyDescent="0.3">
      <c r="B143" s="238" t="s">
        <v>110</v>
      </c>
      <c r="C143" s="238" t="s">
        <v>17</v>
      </c>
      <c r="D143" s="120" t="s">
        <v>18</v>
      </c>
      <c r="E143" s="97">
        <v>1800</v>
      </c>
      <c r="F143" s="97">
        <v>370</v>
      </c>
      <c r="G143" s="97">
        <v>50</v>
      </c>
      <c r="H143" s="97">
        <v>0</v>
      </c>
      <c r="I143" s="97">
        <v>75</v>
      </c>
      <c r="J143" s="97">
        <v>75</v>
      </c>
      <c r="K143" s="98">
        <f>SUM(E143:J143)</f>
        <v>2370</v>
      </c>
      <c r="L143" s="97">
        <v>200</v>
      </c>
      <c r="M143" s="98">
        <f>SUM(K143:L143)</f>
        <v>2570</v>
      </c>
      <c r="N143" s="96" t="s">
        <v>111</v>
      </c>
      <c r="O143" s="380" t="s">
        <v>21</v>
      </c>
      <c r="P143" s="96" t="s">
        <v>41</v>
      </c>
    </row>
    <row r="144" spans="2:20" x14ac:dyDescent="0.3">
      <c r="B144" s="238"/>
      <c r="C144" s="238"/>
      <c r="D144" s="120" t="s">
        <v>24</v>
      </c>
      <c r="E144" s="97">
        <v>2200</v>
      </c>
      <c r="F144" s="97">
        <v>370</v>
      </c>
      <c r="G144" s="97">
        <v>50</v>
      </c>
      <c r="H144" s="97">
        <v>0</v>
      </c>
      <c r="I144" s="97">
        <v>75</v>
      </c>
      <c r="J144" s="97">
        <v>75</v>
      </c>
      <c r="K144" s="98">
        <f>SUM(E144:J144)</f>
        <v>2770</v>
      </c>
      <c r="L144" s="97">
        <v>200</v>
      </c>
      <c r="M144" s="98">
        <f>SUM(K144:L144)</f>
        <v>2970</v>
      </c>
      <c r="N144" s="96" t="s">
        <v>111</v>
      </c>
      <c r="O144" s="380" t="s">
        <v>21</v>
      </c>
      <c r="P144" s="96" t="s">
        <v>41</v>
      </c>
    </row>
    <row r="145" spans="2:17" x14ac:dyDescent="0.3">
      <c r="B145" s="238" t="s">
        <v>112</v>
      </c>
      <c r="C145" s="238" t="s">
        <v>31</v>
      </c>
      <c r="D145" s="120" t="s">
        <v>18</v>
      </c>
      <c r="E145" s="97">
        <v>950</v>
      </c>
      <c r="F145" s="97">
        <v>289</v>
      </c>
      <c r="G145" s="97">
        <v>84.38</v>
      </c>
      <c r="H145" s="97">
        <v>55</v>
      </c>
      <c r="I145" s="97">
        <v>75</v>
      </c>
      <c r="J145" s="97">
        <v>75</v>
      </c>
      <c r="K145" s="98">
        <f>SUM(E145:J145)</f>
        <v>1528.38</v>
      </c>
      <c r="L145" s="97">
        <v>200</v>
      </c>
      <c r="M145" s="98">
        <f>SUM(K145:L145)</f>
        <v>1728.38</v>
      </c>
      <c r="N145" s="96" t="s">
        <v>111</v>
      </c>
      <c r="O145" s="380" t="s">
        <v>21</v>
      </c>
      <c r="P145" s="96" t="s">
        <v>66</v>
      </c>
    </row>
    <row r="146" spans="2:17" x14ac:dyDescent="0.3">
      <c r="B146" s="238"/>
      <c r="C146" s="238"/>
      <c r="D146" s="120" t="s">
        <v>24</v>
      </c>
      <c r="E146" s="97">
        <v>1350</v>
      </c>
      <c r="F146" s="97">
        <v>289</v>
      </c>
      <c r="G146" s="97">
        <v>84.38</v>
      </c>
      <c r="H146" s="97">
        <v>55</v>
      </c>
      <c r="I146" s="97">
        <v>75</v>
      </c>
      <c r="J146" s="97">
        <v>75</v>
      </c>
      <c r="K146" s="98">
        <f>SUM(E146:J146)</f>
        <v>1928.38</v>
      </c>
      <c r="L146" s="97">
        <v>200</v>
      </c>
      <c r="M146" s="98">
        <f>SUM(K146:L146)</f>
        <v>2128.38</v>
      </c>
      <c r="N146" s="96" t="s">
        <v>111</v>
      </c>
      <c r="O146" s="380" t="s">
        <v>21</v>
      </c>
      <c r="P146" s="96" t="s">
        <v>66</v>
      </c>
    </row>
    <row r="147" spans="2:17" x14ac:dyDescent="0.3">
      <c r="F147" s="19"/>
      <c r="G147" s="19"/>
      <c r="H147" s="19"/>
      <c r="I147" s="19"/>
    </row>
    <row r="148" spans="2:17" ht="15.6" x14ac:dyDescent="0.3">
      <c r="B148" s="5" t="s">
        <v>34</v>
      </c>
      <c r="C148" s="6"/>
      <c r="D148" s="6"/>
      <c r="E148" s="6"/>
      <c r="F148" s="6"/>
      <c r="G148" s="6"/>
      <c r="H148" s="6"/>
      <c r="I148" s="6"/>
      <c r="J148" s="6"/>
      <c r="K148" s="6"/>
      <c r="L148" s="6"/>
      <c r="M148" s="6"/>
      <c r="N148" s="6"/>
      <c r="O148" s="6"/>
      <c r="P148" s="6"/>
      <c r="Q148" s="7"/>
    </row>
    <row r="149" spans="2:17" x14ac:dyDescent="0.3">
      <c r="B149" s="258" t="s">
        <v>35</v>
      </c>
      <c r="C149" s="278"/>
      <c r="D149" s="278"/>
      <c r="E149" s="278"/>
      <c r="F149" s="278"/>
      <c r="G149" s="278"/>
      <c r="H149" s="278"/>
      <c r="I149" s="278"/>
      <c r="J149" s="278"/>
      <c r="K149" s="278"/>
      <c r="L149" s="278"/>
      <c r="M149" s="278"/>
      <c r="N149" s="278"/>
      <c r="O149" s="278"/>
      <c r="P149" s="278"/>
      <c r="Q149" s="279"/>
    </row>
    <row r="150" spans="2:17" x14ac:dyDescent="0.3">
      <c r="B150" s="258"/>
      <c r="C150" s="278"/>
      <c r="D150" s="278"/>
      <c r="E150" s="278"/>
      <c r="F150" s="278"/>
      <c r="G150" s="278"/>
      <c r="H150" s="278"/>
      <c r="I150" s="278"/>
      <c r="J150" s="278"/>
      <c r="K150" s="278"/>
      <c r="L150" s="278"/>
      <c r="M150" s="278"/>
      <c r="N150" s="278"/>
      <c r="O150" s="278"/>
      <c r="P150" s="278"/>
      <c r="Q150" s="279"/>
    </row>
    <row r="151" spans="2:17" x14ac:dyDescent="0.3">
      <c r="B151" s="258"/>
      <c r="C151" s="278"/>
      <c r="D151" s="278"/>
      <c r="E151" s="278"/>
      <c r="F151" s="278"/>
      <c r="G151" s="278"/>
      <c r="H151" s="278"/>
      <c r="I151" s="278"/>
      <c r="J151" s="278"/>
      <c r="K151" s="278"/>
      <c r="L151" s="278"/>
      <c r="M151" s="278"/>
      <c r="N151" s="278"/>
      <c r="O151" s="278"/>
      <c r="P151" s="278"/>
      <c r="Q151" s="279"/>
    </row>
    <row r="152" spans="2:17" x14ac:dyDescent="0.3">
      <c r="B152" s="259"/>
      <c r="C152" s="280"/>
      <c r="D152" s="280"/>
      <c r="E152" s="280"/>
      <c r="F152" s="280"/>
      <c r="G152" s="280"/>
      <c r="H152" s="280"/>
      <c r="I152" s="280"/>
      <c r="J152" s="280"/>
      <c r="K152" s="280"/>
      <c r="L152" s="280"/>
      <c r="M152" s="280"/>
      <c r="N152" s="280"/>
      <c r="O152" s="280"/>
      <c r="P152" s="280"/>
      <c r="Q152" s="281"/>
    </row>
    <row r="154" spans="2:17" x14ac:dyDescent="0.3">
      <c r="B154" s="36"/>
      <c r="C154" s="36"/>
      <c r="D154" s="36"/>
      <c r="E154" s="36"/>
      <c r="F154" s="36"/>
      <c r="G154" s="36"/>
      <c r="H154" s="36"/>
      <c r="I154" s="36"/>
      <c r="J154" s="36"/>
      <c r="K154" s="36"/>
      <c r="L154" s="36"/>
      <c r="M154" s="36"/>
      <c r="N154" s="36"/>
      <c r="O154" s="36"/>
      <c r="P154" s="36"/>
    </row>
    <row r="159" spans="2:17" ht="15" thickBot="1" x14ac:dyDescent="0.35"/>
    <row r="160" spans="2:17" ht="28.8" x14ac:dyDescent="0.3">
      <c r="B160" s="241" t="s">
        <v>113</v>
      </c>
      <c r="C160" s="276"/>
      <c r="D160" s="276"/>
      <c r="E160" s="276"/>
      <c r="F160" s="276"/>
      <c r="G160" s="276"/>
      <c r="H160" s="276"/>
      <c r="I160" s="276"/>
      <c r="J160" s="276"/>
      <c r="K160" s="276"/>
      <c r="L160" s="276"/>
      <c r="M160" s="276"/>
      <c r="N160" s="276"/>
      <c r="O160" s="276"/>
      <c r="P160" s="276"/>
    </row>
    <row r="161" spans="2:17" ht="28.8" x14ac:dyDescent="0.3">
      <c r="B161" s="99" t="s">
        <v>1</v>
      </c>
      <c r="C161" s="242" t="s">
        <v>2</v>
      </c>
      <c r="D161" s="242"/>
      <c r="E161" s="124" t="s">
        <v>3</v>
      </c>
      <c r="F161" s="124" t="s">
        <v>4</v>
      </c>
      <c r="G161" s="124" t="s">
        <v>5</v>
      </c>
      <c r="H161" s="124" t="s">
        <v>6</v>
      </c>
      <c r="I161" s="3" t="s">
        <v>52</v>
      </c>
      <c r="J161" s="3" t="s">
        <v>104</v>
      </c>
      <c r="K161" s="3" t="s">
        <v>54</v>
      </c>
      <c r="L161" s="3" t="s">
        <v>10</v>
      </c>
      <c r="M161" s="3" t="s">
        <v>11</v>
      </c>
      <c r="N161" s="3" t="s">
        <v>12</v>
      </c>
      <c r="O161" s="124" t="s">
        <v>13</v>
      </c>
      <c r="P161" s="124" t="s">
        <v>14</v>
      </c>
    </row>
    <row r="162" spans="2:17" x14ac:dyDescent="0.3">
      <c r="B162" s="277" t="s">
        <v>114</v>
      </c>
      <c r="C162" s="238" t="s">
        <v>115</v>
      </c>
      <c r="D162" s="120" t="s">
        <v>18</v>
      </c>
      <c r="E162" s="122">
        <v>1950</v>
      </c>
      <c r="F162" s="97">
        <v>340</v>
      </c>
      <c r="G162" s="97">
        <v>80</v>
      </c>
      <c r="H162" s="97">
        <v>18</v>
      </c>
      <c r="I162" s="97">
        <v>75</v>
      </c>
      <c r="J162" s="97">
        <v>75</v>
      </c>
      <c r="K162" s="98">
        <f>SUM(E162:J162)</f>
        <v>2538</v>
      </c>
      <c r="L162" s="97">
        <v>200</v>
      </c>
      <c r="M162" s="98">
        <f>SUM(K162:L162)</f>
        <v>2738</v>
      </c>
      <c r="N162" s="96" t="s">
        <v>106</v>
      </c>
      <c r="O162" s="380" t="s">
        <v>21</v>
      </c>
      <c r="P162" s="96" t="s">
        <v>92</v>
      </c>
    </row>
    <row r="163" spans="2:17" x14ac:dyDescent="0.3">
      <c r="B163" s="277"/>
      <c r="C163" s="238"/>
      <c r="D163" s="120" t="s">
        <v>24</v>
      </c>
      <c r="E163" s="122">
        <v>2250</v>
      </c>
      <c r="F163" s="97">
        <v>340</v>
      </c>
      <c r="G163" s="97">
        <v>80</v>
      </c>
      <c r="H163" s="97">
        <v>18</v>
      </c>
      <c r="I163" s="97">
        <v>75</v>
      </c>
      <c r="J163" s="97">
        <v>75</v>
      </c>
      <c r="K163" s="98">
        <f>SUM(E163:J163)</f>
        <v>2838</v>
      </c>
      <c r="L163" s="97">
        <v>200</v>
      </c>
      <c r="M163" s="98">
        <f>SUM(K163:L163)</f>
        <v>3038</v>
      </c>
      <c r="N163" s="96" t="s">
        <v>106</v>
      </c>
      <c r="O163" s="380" t="s">
        <v>21</v>
      </c>
      <c r="P163" s="96" t="s">
        <v>92</v>
      </c>
    </row>
    <row r="165" spans="2:17" ht="15.6" x14ac:dyDescent="0.3">
      <c r="B165" s="5" t="s">
        <v>34</v>
      </c>
      <c r="C165" s="6"/>
      <c r="D165" s="6"/>
      <c r="E165" s="6"/>
      <c r="F165" s="6"/>
      <c r="G165" s="6"/>
      <c r="H165" s="6"/>
      <c r="I165" s="6"/>
      <c r="J165" s="6"/>
      <c r="K165" s="6"/>
      <c r="L165" s="6"/>
      <c r="M165" s="6"/>
      <c r="N165" s="6"/>
      <c r="O165" s="6"/>
      <c r="P165" s="6"/>
      <c r="Q165" s="7"/>
    </row>
    <row r="166" spans="2:17" x14ac:dyDescent="0.3">
      <c r="B166" s="258" t="s">
        <v>35</v>
      </c>
      <c r="C166" s="278"/>
      <c r="D166" s="278"/>
      <c r="E166" s="278"/>
      <c r="F166" s="278"/>
      <c r="G166" s="278"/>
      <c r="H166" s="278"/>
      <c r="I166" s="278"/>
      <c r="J166" s="278"/>
      <c r="K166" s="278"/>
      <c r="L166" s="278"/>
      <c r="M166" s="278"/>
      <c r="N166" s="278"/>
      <c r="O166" s="278"/>
      <c r="P166" s="278"/>
      <c r="Q166" s="279"/>
    </row>
    <row r="167" spans="2:17" x14ac:dyDescent="0.3">
      <c r="B167" s="258"/>
      <c r="C167" s="278"/>
      <c r="D167" s="278"/>
      <c r="E167" s="278"/>
      <c r="F167" s="278"/>
      <c r="G167" s="278"/>
      <c r="H167" s="278"/>
      <c r="I167" s="278"/>
      <c r="J167" s="278"/>
      <c r="K167" s="278"/>
      <c r="L167" s="278"/>
      <c r="M167" s="278"/>
      <c r="N167" s="278"/>
      <c r="O167" s="278"/>
      <c r="P167" s="278"/>
      <c r="Q167" s="279"/>
    </row>
    <row r="168" spans="2:17" x14ac:dyDescent="0.3">
      <c r="B168" s="258"/>
      <c r="C168" s="278"/>
      <c r="D168" s="278"/>
      <c r="E168" s="278"/>
      <c r="F168" s="278"/>
      <c r="G168" s="278"/>
      <c r="H168" s="278"/>
      <c r="I168" s="278"/>
      <c r="J168" s="278"/>
      <c r="K168" s="278"/>
      <c r="L168" s="278"/>
      <c r="M168" s="278"/>
      <c r="N168" s="278"/>
      <c r="O168" s="278"/>
      <c r="P168" s="278"/>
      <c r="Q168" s="279"/>
    </row>
    <row r="169" spans="2:17" x14ac:dyDescent="0.3">
      <c r="B169" s="259"/>
      <c r="C169" s="280"/>
      <c r="D169" s="280"/>
      <c r="E169" s="280"/>
      <c r="F169" s="280"/>
      <c r="G169" s="280"/>
      <c r="H169" s="280"/>
      <c r="I169" s="280"/>
      <c r="J169" s="280"/>
      <c r="K169" s="280"/>
      <c r="L169" s="280"/>
      <c r="M169" s="280"/>
      <c r="N169" s="280"/>
      <c r="O169" s="280"/>
      <c r="P169" s="280"/>
      <c r="Q169" s="281"/>
    </row>
    <row r="170" spans="2:17" x14ac:dyDescent="0.3">
      <c r="B170" s="36"/>
      <c r="C170" s="36"/>
      <c r="D170" s="36"/>
      <c r="E170" s="36"/>
      <c r="F170" s="36"/>
      <c r="G170" s="36"/>
      <c r="H170" s="36"/>
      <c r="I170" s="36"/>
      <c r="J170" s="36"/>
      <c r="K170" s="36"/>
      <c r="L170" s="36"/>
      <c r="M170" s="36"/>
      <c r="N170" s="36"/>
      <c r="O170" s="36"/>
      <c r="P170" s="36"/>
      <c r="Q170" s="36"/>
    </row>
    <row r="171" spans="2:17" x14ac:dyDescent="0.3">
      <c r="B171" s="36"/>
      <c r="C171" s="36"/>
      <c r="D171" s="36"/>
      <c r="E171" s="36"/>
      <c r="F171" s="36"/>
      <c r="G171" s="36"/>
      <c r="H171" s="36"/>
      <c r="I171" s="36"/>
      <c r="J171" s="36"/>
      <c r="K171" s="36"/>
      <c r="L171" s="36"/>
      <c r="M171" s="36"/>
      <c r="N171" s="36"/>
      <c r="O171" s="36"/>
      <c r="P171" s="36"/>
      <c r="Q171" s="36"/>
    </row>
    <row r="173" spans="2:17" ht="28.8" x14ac:dyDescent="0.3">
      <c r="B173" s="250" t="s">
        <v>116</v>
      </c>
      <c r="C173" s="245"/>
      <c r="D173" s="245"/>
      <c r="E173" s="245"/>
      <c r="F173" s="245"/>
      <c r="G173" s="245"/>
      <c r="H173" s="245"/>
      <c r="I173" s="245"/>
      <c r="J173" s="245"/>
      <c r="K173" s="245"/>
      <c r="L173" s="245"/>
      <c r="M173" s="245"/>
      <c r="N173" s="245"/>
      <c r="O173" s="245"/>
      <c r="P173" s="245"/>
      <c r="Q173" s="245"/>
    </row>
    <row r="174" spans="2:17" ht="43.2" x14ac:dyDescent="0.3">
      <c r="B174" s="99" t="s">
        <v>1</v>
      </c>
      <c r="C174" s="242" t="s">
        <v>2</v>
      </c>
      <c r="D174" s="242"/>
      <c r="E174" s="124" t="s">
        <v>3</v>
      </c>
      <c r="F174" s="3" t="s">
        <v>117</v>
      </c>
      <c r="G174" s="124" t="s">
        <v>118</v>
      </c>
      <c r="H174" s="3" t="s">
        <v>119</v>
      </c>
      <c r="I174" s="3" t="s">
        <v>120</v>
      </c>
      <c r="J174" s="3" t="s">
        <v>104</v>
      </c>
      <c r="K174" s="3" t="s">
        <v>121</v>
      </c>
      <c r="L174" s="3" t="s">
        <v>54</v>
      </c>
      <c r="M174" s="3" t="s">
        <v>10</v>
      </c>
      <c r="N174" s="3" t="s">
        <v>11</v>
      </c>
      <c r="O174" s="3" t="s">
        <v>12</v>
      </c>
      <c r="P174" s="124" t="s">
        <v>13</v>
      </c>
      <c r="Q174" s="124" t="s">
        <v>14</v>
      </c>
    </row>
    <row r="175" spans="2:17" x14ac:dyDescent="0.3">
      <c r="B175" s="237" t="s">
        <v>122</v>
      </c>
      <c r="C175" s="238" t="s">
        <v>31</v>
      </c>
      <c r="D175" s="120" t="s">
        <v>18</v>
      </c>
      <c r="E175" s="151">
        <v>450</v>
      </c>
      <c r="F175" s="151">
        <v>160</v>
      </c>
      <c r="G175" s="97">
        <v>160</v>
      </c>
      <c r="H175" s="97">
        <v>97.87</v>
      </c>
      <c r="I175" s="97">
        <v>340</v>
      </c>
      <c r="J175" s="97">
        <v>60</v>
      </c>
      <c r="K175" s="198">
        <v>97.87</v>
      </c>
      <c r="L175" s="98">
        <f>SUM(E175:K175)</f>
        <v>1365.7399999999998</v>
      </c>
      <c r="M175" s="97">
        <v>200</v>
      </c>
      <c r="N175" s="98">
        <f>L175+M175</f>
        <v>1565.7399999999998</v>
      </c>
      <c r="O175" s="190" t="s">
        <v>123</v>
      </c>
      <c r="P175" s="380" t="s">
        <v>21</v>
      </c>
      <c r="Q175" s="96" t="s">
        <v>74</v>
      </c>
    </row>
    <row r="176" spans="2:17" x14ac:dyDescent="0.3">
      <c r="B176" s="314"/>
      <c r="C176" s="238"/>
      <c r="D176" s="120" t="s">
        <v>24</v>
      </c>
      <c r="E176" s="151">
        <v>600</v>
      </c>
      <c r="F176" s="151">
        <v>320</v>
      </c>
      <c r="G176" s="97">
        <v>210</v>
      </c>
      <c r="H176" s="97">
        <v>97.87</v>
      </c>
      <c r="I176" s="97">
        <v>340</v>
      </c>
      <c r="J176" s="97">
        <v>60</v>
      </c>
      <c r="K176" s="198">
        <v>97.87</v>
      </c>
      <c r="L176" s="98">
        <f>SUM(E176:K176)</f>
        <v>1725.7399999999998</v>
      </c>
      <c r="M176" s="97">
        <v>200</v>
      </c>
      <c r="N176" s="98">
        <f>L176+M176</f>
        <v>1925.7399999999998</v>
      </c>
      <c r="O176" s="190" t="s">
        <v>123</v>
      </c>
      <c r="P176" s="380" t="s">
        <v>21</v>
      </c>
      <c r="Q176" s="96" t="s">
        <v>74</v>
      </c>
    </row>
    <row r="180" spans="2:16" x14ac:dyDescent="0.3">
      <c r="B180" s="36"/>
      <c r="C180" s="36"/>
      <c r="D180" s="36"/>
      <c r="E180" s="36"/>
      <c r="F180" s="36"/>
      <c r="G180" s="36"/>
      <c r="H180" s="36"/>
      <c r="I180" s="36"/>
      <c r="J180" s="36"/>
      <c r="K180" s="36"/>
      <c r="L180" s="36"/>
      <c r="M180" s="36"/>
      <c r="N180" s="36"/>
      <c r="O180" s="36"/>
      <c r="P180" s="36"/>
    </row>
    <row r="185" spans="2:16" ht="15" thickBot="1" x14ac:dyDescent="0.35"/>
    <row r="186" spans="2:16" ht="28.8" x14ac:dyDescent="0.3">
      <c r="B186" s="241" t="s">
        <v>124</v>
      </c>
      <c r="C186" s="276"/>
      <c r="D186" s="276"/>
      <c r="E186" s="276"/>
      <c r="F186" s="276"/>
      <c r="G186" s="276"/>
      <c r="H186" s="276"/>
      <c r="I186" s="276"/>
      <c r="J186" s="276"/>
      <c r="K186" s="276"/>
      <c r="L186" s="276"/>
      <c r="M186" s="276"/>
      <c r="N186" s="276"/>
      <c r="O186" s="276"/>
      <c r="P186" s="276"/>
    </row>
    <row r="187" spans="2:16" ht="28.8" x14ac:dyDescent="0.3">
      <c r="B187" s="99" t="s">
        <v>1</v>
      </c>
      <c r="C187" s="242" t="s">
        <v>2</v>
      </c>
      <c r="D187" s="242"/>
      <c r="E187" s="124" t="s">
        <v>3</v>
      </c>
      <c r="F187" s="124" t="s">
        <v>4</v>
      </c>
      <c r="G187" s="124" t="s">
        <v>5</v>
      </c>
      <c r="H187" s="124" t="s">
        <v>125</v>
      </c>
      <c r="I187" s="3" t="s">
        <v>52</v>
      </c>
      <c r="J187" s="3" t="s">
        <v>104</v>
      </c>
      <c r="K187" s="3" t="s">
        <v>54</v>
      </c>
      <c r="L187" s="3" t="s">
        <v>10</v>
      </c>
      <c r="M187" s="3" t="s">
        <v>11</v>
      </c>
      <c r="N187" s="3" t="s">
        <v>12</v>
      </c>
      <c r="O187" s="124" t="s">
        <v>13</v>
      </c>
      <c r="P187" s="124" t="s">
        <v>14</v>
      </c>
    </row>
    <row r="188" spans="2:16" x14ac:dyDescent="0.3">
      <c r="B188" s="277" t="s">
        <v>126</v>
      </c>
      <c r="C188" s="238" t="s">
        <v>91</v>
      </c>
      <c r="D188" s="120" t="s">
        <v>18</v>
      </c>
      <c r="E188" s="122">
        <v>1900</v>
      </c>
      <c r="F188" s="97">
        <v>340</v>
      </c>
      <c r="G188" s="97">
        <v>97.87</v>
      </c>
      <c r="H188" s="97">
        <v>55</v>
      </c>
      <c r="I188" s="97" t="s">
        <v>57</v>
      </c>
      <c r="J188" s="97" t="s">
        <v>57</v>
      </c>
      <c r="K188" s="98">
        <f>SUM(E188:J188)</f>
        <v>2392.87</v>
      </c>
      <c r="L188" s="97">
        <v>200</v>
      </c>
      <c r="M188" s="98">
        <f>SUM(K188:L188)</f>
        <v>2592.87</v>
      </c>
      <c r="N188" s="222" t="s">
        <v>127</v>
      </c>
      <c r="O188" s="380" t="s">
        <v>21</v>
      </c>
      <c r="P188" s="96" t="s">
        <v>74</v>
      </c>
    </row>
    <row r="189" spans="2:16" x14ac:dyDescent="0.3">
      <c r="B189" s="277"/>
      <c r="C189" s="238"/>
      <c r="D189" s="120" t="s">
        <v>24</v>
      </c>
      <c r="E189" s="122">
        <v>2200</v>
      </c>
      <c r="F189" s="97">
        <v>340</v>
      </c>
      <c r="G189" s="97">
        <v>97.87</v>
      </c>
      <c r="H189" s="97">
        <v>55</v>
      </c>
      <c r="I189" s="97" t="s">
        <v>57</v>
      </c>
      <c r="J189" s="97" t="s">
        <v>57</v>
      </c>
      <c r="K189" s="98">
        <f>SUM(E189:J189)</f>
        <v>2692.87</v>
      </c>
      <c r="L189" s="97">
        <v>200</v>
      </c>
      <c r="M189" s="98">
        <f>SUM(K189:L189)</f>
        <v>2892.87</v>
      </c>
      <c r="N189" s="222" t="s">
        <v>127</v>
      </c>
      <c r="O189" s="380" t="s">
        <v>21</v>
      </c>
      <c r="P189" s="96" t="s">
        <v>74</v>
      </c>
    </row>
    <row r="1048571" spans="3:3" x14ac:dyDescent="0.3">
      <c r="C1048571" s="129"/>
    </row>
  </sheetData>
  <mergeCells count="122">
    <mergeCell ref="B186:P186"/>
    <mergeCell ref="C187:D187"/>
    <mergeCell ref="B188:B189"/>
    <mergeCell ref="C188:C189"/>
    <mergeCell ref="C174:D174"/>
    <mergeCell ref="B175:B176"/>
    <mergeCell ref="C175:C176"/>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 ref="C20:C21"/>
    <mergeCell ref="B24:P27"/>
    <mergeCell ref="O40:P40"/>
    <mergeCell ref="B43:Q46"/>
    <mergeCell ref="B56:S56"/>
    <mergeCell ref="C57:D57"/>
    <mergeCell ref="R57:S57"/>
    <mergeCell ref="B58:B59"/>
    <mergeCell ref="C58:C59"/>
    <mergeCell ref="R58:S61"/>
    <mergeCell ref="B60:B61"/>
    <mergeCell ref="C60:C61"/>
    <mergeCell ref="B173:Q173"/>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2:B83"/>
    <mergeCell ref="C82:C83"/>
    <mergeCell ref="R82:S83"/>
    <mergeCell ref="B78:B79"/>
    <mergeCell ref="C78:C79"/>
    <mergeCell ref="B80:S80"/>
    <mergeCell ref="C81:D81"/>
    <mergeCell ref="R81:S81"/>
    <mergeCell ref="R74:S79"/>
    <mergeCell ref="B74:B75"/>
    <mergeCell ref="C74:C75"/>
    <mergeCell ref="B76:B77"/>
    <mergeCell ref="C76:C77"/>
    <mergeCell ref="B88:S88"/>
    <mergeCell ref="C89:D89"/>
    <mergeCell ref="R89:S89"/>
    <mergeCell ref="B90:B91"/>
    <mergeCell ref="C90:C91"/>
    <mergeCell ref="R90:S91"/>
    <mergeCell ref="B84:S84"/>
    <mergeCell ref="C85:D85"/>
    <mergeCell ref="R85:S85"/>
    <mergeCell ref="B86:B87"/>
    <mergeCell ref="C86:C87"/>
    <mergeCell ref="R86:S87"/>
    <mergeCell ref="B92:S92"/>
    <mergeCell ref="C93:D93"/>
    <mergeCell ref="R93:S93"/>
    <mergeCell ref="B94:B95"/>
    <mergeCell ref="C94:C95"/>
    <mergeCell ref="R94:S95"/>
    <mergeCell ref="B100:S100"/>
    <mergeCell ref="C101:D101"/>
    <mergeCell ref="R101:S101"/>
    <mergeCell ref="B102:B103"/>
    <mergeCell ref="C102:C103"/>
    <mergeCell ref="R102:S103"/>
    <mergeCell ref="B96:S96"/>
    <mergeCell ref="C97:D97"/>
    <mergeCell ref="R97:S97"/>
    <mergeCell ref="B98:B99"/>
    <mergeCell ref="C98:C99"/>
    <mergeCell ref="R98:S99"/>
    <mergeCell ref="B124:Q127"/>
    <mergeCell ref="B134:P134"/>
    <mergeCell ref="C135:D135"/>
    <mergeCell ref="B137:B138"/>
    <mergeCell ref="C137:C138"/>
    <mergeCell ref="B141:P141"/>
    <mergeCell ref="B143:B144"/>
    <mergeCell ref="C143:C144"/>
    <mergeCell ref="B105:S105"/>
    <mergeCell ref="B106:S109"/>
    <mergeCell ref="B118:P118"/>
    <mergeCell ref="C119:D119"/>
    <mergeCell ref="O119:Q119"/>
    <mergeCell ref="B120:B121"/>
    <mergeCell ref="C120:C121"/>
    <mergeCell ref="O120:Q121"/>
    <mergeCell ref="B160:P160"/>
    <mergeCell ref="C161:D161"/>
    <mergeCell ref="B162:B163"/>
    <mergeCell ref="C162:C163"/>
    <mergeCell ref="B166:Q169"/>
    <mergeCell ref="C142:D142"/>
    <mergeCell ref="B145:B146"/>
    <mergeCell ref="C145:C146"/>
    <mergeCell ref="B149:Q152"/>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C130"/>
  <sheetViews>
    <sheetView topLeftCell="I110" zoomScaleNormal="100" zoomScaleSheetLayoutView="100" workbookViewId="0">
      <selection activeCell="N127" activeCellId="9" sqref="O11:O18 M36:M39 N57:N64 N67:N68 N71:N72 N75 N76 N94:N95 N114:N115 N127:N130"/>
    </sheetView>
  </sheetViews>
  <sheetFormatPr defaultColWidth="8.5546875" defaultRowHeight="14.4" x14ac:dyDescent="0.3"/>
  <cols>
    <col min="1" max="1" width="8.88671875" style="19" customWidth="1"/>
    <col min="2" max="2" width="41.6640625" style="19" customWidth="1"/>
    <col min="3" max="3" width="11.6640625" style="29"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21" width="35.33203125" style="19" hidden="1" customWidth="1"/>
    <col min="22" max="16384" width="8.5546875" style="19"/>
  </cols>
  <sheetData>
    <row r="9" spans="2:17" ht="28.8" x14ac:dyDescent="0.3">
      <c r="B9" s="245" t="s">
        <v>128</v>
      </c>
      <c r="C9" s="245"/>
      <c r="D9" s="245"/>
      <c r="E9" s="245"/>
      <c r="F9" s="245"/>
      <c r="G9" s="245"/>
      <c r="H9" s="245"/>
      <c r="I9" s="245"/>
      <c r="J9" s="245"/>
      <c r="K9" s="245"/>
      <c r="L9" s="245"/>
      <c r="M9" s="245"/>
      <c r="N9" s="245"/>
      <c r="O9" s="245"/>
      <c r="P9" s="245"/>
      <c r="Q9" s="245"/>
    </row>
    <row r="10" spans="2:17" ht="28.8" x14ac:dyDescent="0.3">
      <c r="B10" s="1" t="s">
        <v>1</v>
      </c>
      <c r="C10" s="246" t="s">
        <v>2</v>
      </c>
      <c r="D10" s="246"/>
      <c r="E10" s="8" t="s">
        <v>3</v>
      </c>
      <c r="F10" s="9" t="s">
        <v>4</v>
      </c>
      <c r="G10" s="9" t="s">
        <v>5</v>
      </c>
      <c r="H10" s="9" t="s">
        <v>6</v>
      </c>
      <c r="I10" s="111" t="s">
        <v>7</v>
      </c>
      <c r="J10" s="9" t="s">
        <v>8</v>
      </c>
      <c r="K10" s="2" t="s">
        <v>9</v>
      </c>
      <c r="L10" s="2" t="s">
        <v>10</v>
      </c>
      <c r="M10" s="2" t="s">
        <v>11</v>
      </c>
      <c r="N10" s="8" t="s">
        <v>12</v>
      </c>
      <c r="O10" s="9" t="s">
        <v>13</v>
      </c>
      <c r="P10" s="10" t="s">
        <v>14</v>
      </c>
      <c r="Q10" s="17" t="s">
        <v>129</v>
      </c>
    </row>
    <row r="11" spans="2:17" x14ac:dyDescent="0.3">
      <c r="B11" s="224" t="s">
        <v>16</v>
      </c>
      <c r="C11" s="224" t="s">
        <v>122</v>
      </c>
      <c r="D11" s="54" t="s">
        <v>18</v>
      </c>
      <c r="E11" s="159">
        <f>(1825+265)+550</f>
        <v>2640</v>
      </c>
      <c r="F11" s="159">
        <v>175</v>
      </c>
      <c r="G11" s="159">
        <v>75</v>
      </c>
      <c r="H11" s="159">
        <v>14</v>
      </c>
      <c r="I11" s="159">
        <v>50</v>
      </c>
      <c r="J11" s="159">
        <v>150</v>
      </c>
      <c r="K11" s="159">
        <f t="shared" ref="K11:K18" si="0">SUM(D11:J11)</f>
        <v>3104</v>
      </c>
      <c r="L11" s="57">
        <v>200</v>
      </c>
      <c r="M11" s="56">
        <f t="shared" ref="M11:M18" si="1">K11+L11</f>
        <v>3304</v>
      </c>
      <c r="N11" s="58" t="s">
        <v>130</v>
      </c>
      <c r="O11" s="378" t="s">
        <v>21</v>
      </c>
      <c r="P11" s="50" t="s">
        <v>25</v>
      </c>
      <c r="Q11" s="50" t="s">
        <v>131</v>
      </c>
    </row>
    <row r="12" spans="2:17" x14ac:dyDescent="0.3">
      <c r="B12" s="224"/>
      <c r="C12" s="224"/>
      <c r="D12" s="54" t="s">
        <v>24</v>
      </c>
      <c r="E12" s="159">
        <f>(2690+530)+680</f>
        <v>3900</v>
      </c>
      <c r="F12" s="159">
        <v>225</v>
      </c>
      <c r="G12" s="159">
        <v>75</v>
      </c>
      <c r="H12" s="159">
        <v>14</v>
      </c>
      <c r="I12" s="159">
        <v>50</v>
      </c>
      <c r="J12" s="159">
        <v>300</v>
      </c>
      <c r="K12" s="159">
        <f t="shared" si="0"/>
        <v>4564</v>
      </c>
      <c r="L12" s="57">
        <v>200</v>
      </c>
      <c r="M12" s="56">
        <f t="shared" si="1"/>
        <v>4764</v>
      </c>
      <c r="N12" s="58" t="s">
        <v>130</v>
      </c>
      <c r="O12" s="378" t="s">
        <v>21</v>
      </c>
      <c r="P12" s="50" t="s">
        <v>25</v>
      </c>
      <c r="Q12" s="50" t="s">
        <v>131</v>
      </c>
    </row>
    <row r="13" spans="2:17" x14ac:dyDescent="0.3">
      <c r="B13" s="224" t="s">
        <v>26</v>
      </c>
      <c r="C13" s="224" t="s">
        <v>122</v>
      </c>
      <c r="D13" s="54" t="s">
        <v>18</v>
      </c>
      <c r="E13" s="159">
        <f>(2375+265)+560</f>
        <v>3200</v>
      </c>
      <c r="F13" s="159">
        <v>175</v>
      </c>
      <c r="G13" s="159">
        <v>75</v>
      </c>
      <c r="H13" s="159">
        <v>14</v>
      </c>
      <c r="I13" s="159">
        <v>50</v>
      </c>
      <c r="J13" s="159">
        <v>150</v>
      </c>
      <c r="K13" s="159">
        <f t="shared" si="0"/>
        <v>3664</v>
      </c>
      <c r="L13" s="57">
        <v>200</v>
      </c>
      <c r="M13" s="56">
        <f t="shared" si="1"/>
        <v>3864</v>
      </c>
      <c r="N13" s="58" t="s">
        <v>132</v>
      </c>
      <c r="O13" s="378" t="s">
        <v>21</v>
      </c>
      <c r="P13" s="50" t="s">
        <v>25</v>
      </c>
      <c r="Q13" s="50" t="s">
        <v>131</v>
      </c>
    </row>
    <row r="14" spans="2:17" x14ac:dyDescent="0.3">
      <c r="B14" s="224"/>
      <c r="C14" s="224"/>
      <c r="D14" s="54" t="s">
        <v>24</v>
      </c>
      <c r="E14" s="159">
        <f>(3375+530)+600</f>
        <v>4505</v>
      </c>
      <c r="F14" s="159">
        <v>225</v>
      </c>
      <c r="G14" s="159">
        <v>75</v>
      </c>
      <c r="H14" s="159">
        <v>14</v>
      </c>
      <c r="I14" s="159">
        <v>50</v>
      </c>
      <c r="J14" s="159">
        <v>300</v>
      </c>
      <c r="K14" s="159">
        <f t="shared" si="0"/>
        <v>5169</v>
      </c>
      <c r="L14" s="57">
        <v>200</v>
      </c>
      <c r="M14" s="56">
        <f t="shared" si="1"/>
        <v>5369</v>
      </c>
      <c r="N14" s="58" t="s">
        <v>132</v>
      </c>
      <c r="O14" s="378" t="s">
        <v>21</v>
      </c>
      <c r="P14" s="50" t="s">
        <v>25</v>
      </c>
      <c r="Q14" s="50" t="s">
        <v>131</v>
      </c>
    </row>
    <row r="15" spans="2:17" x14ac:dyDescent="0.3">
      <c r="B15" s="268" t="s">
        <v>28</v>
      </c>
      <c r="C15" s="224" t="s">
        <v>122</v>
      </c>
      <c r="D15" s="54" t="s">
        <v>18</v>
      </c>
      <c r="E15" s="159">
        <f>(2675+265)+550</f>
        <v>3490</v>
      </c>
      <c r="F15" s="159">
        <v>175</v>
      </c>
      <c r="G15" s="159">
        <v>75</v>
      </c>
      <c r="H15" s="159">
        <v>14</v>
      </c>
      <c r="I15" s="159">
        <v>50</v>
      </c>
      <c r="J15" s="159">
        <v>150</v>
      </c>
      <c r="K15" s="159">
        <f t="shared" si="0"/>
        <v>3954</v>
      </c>
      <c r="L15" s="57">
        <v>200</v>
      </c>
      <c r="M15" s="56">
        <f t="shared" si="1"/>
        <v>4154</v>
      </c>
      <c r="N15" s="58" t="s">
        <v>133</v>
      </c>
      <c r="O15" s="378" t="s">
        <v>21</v>
      </c>
      <c r="P15" s="50" t="s">
        <v>25</v>
      </c>
      <c r="Q15" s="50" t="s">
        <v>131</v>
      </c>
    </row>
    <row r="16" spans="2:17" x14ac:dyDescent="0.3">
      <c r="B16" s="268"/>
      <c r="C16" s="224"/>
      <c r="D16" s="54" t="s">
        <v>24</v>
      </c>
      <c r="E16" s="159">
        <f>(3750+530)+725</f>
        <v>5005</v>
      </c>
      <c r="F16" s="159">
        <v>225</v>
      </c>
      <c r="G16" s="159">
        <v>75</v>
      </c>
      <c r="H16" s="159">
        <v>14</v>
      </c>
      <c r="I16" s="159">
        <v>50</v>
      </c>
      <c r="J16" s="159">
        <v>300</v>
      </c>
      <c r="K16" s="159">
        <f t="shared" si="0"/>
        <v>5669</v>
      </c>
      <c r="L16" s="57">
        <v>200</v>
      </c>
      <c r="M16" s="56">
        <f t="shared" si="1"/>
        <v>5869</v>
      </c>
      <c r="N16" s="58" t="s">
        <v>133</v>
      </c>
      <c r="O16" s="378" t="s">
        <v>21</v>
      </c>
      <c r="P16" s="50" t="s">
        <v>25</v>
      </c>
      <c r="Q16" s="50" t="s">
        <v>131</v>
      </c>
    </row>
    <row r="17" spans="2:18" x14ac:dyDescent="0.3">
      <c r="B17" s="224" t="s">
        <v>134</v>
      </c>
      <c r="C17" s="224" t="s">
        <v>122</v>
      </c>
      <c r="D17" s="54" t="s">
        <v>18</v>
      </c>
      <c r="E17" s="159">
        <f>(2375+265)+560</f>
        <v>3200</v>
      </c>
      <c r="F17" s="159">
        <v>175</v>
      </c>
      <c r="G17" s="159">
        <v>75</v>
      </c>
      <c r="H17" s="159">
        <v>14</v>
      </c>
      <c r="I17" s="159">
        <v>50</v>
      </c>
      <c r="J17" s="159">
        <v>150</v>
      </c>
      <c r="K17" s="159">
        <f t="shared" si="0"/>
        <v>3664</v>
      </c>
      <c r="L17" s="57">
        <v>200</v>
      </c>
      <c r="M17" s="56">
        <f t="shared" si="1"/>
        <v>3864</v>
      </c>
      <c r="N17" s="58" t="s">
        <v>135</v>
      </c>
      <c r="O17" s="378" t="s">
        <v>21</v>
      </c>
      <c r="P17" s="50" t="s">
        <v>25</v>
      </c>
      <c r="Q17" s="50" t="s">
        <v>131</v>
      </c>
    </row>
    <row r="18" spans="2:18" x14ac:dyDescent="0.3">
      <c r="B18" s="224"/>
      <c r="C18" s="224"/>
      <c r="D18" s="54" t="s">
        <v>24</v>
      </c>
      <c r="E18" s="159">
        <f>(3375+530)+600</f>
        <v>4505</v>
      </c>
      <c r="F18" s="159">
        <v>225</v>
      </c>
      <c r="G18" s="159">
        <v>75</v>
      </c>
      <c r="H18" s="159">
        <v>14</v>
      </c>
      <c r="I18" s="159">
        <v>50</v>
      </c>
      <c r="J18" s="159">
        <v>300</v>
      </c>
      <c r="K18" s="159">
        <f t="shared" si="0"/>
        <v>5169</v>
      </c>
      <c r="L18" s="57">
        <v>200</v>
      </c>
      <c r="M18" s="56">
        <f t="shared" si="1"/>
        <v>5369</v>
      </c>
      <c r="N18" s="58" t="s">
        <v>135</v>
      </c>
      <c r="O18" s="378" t="s">
        <v>21</v>
      </c>
      <c r="P18" s="50" t="s">
        <v>25</v>
      </c>
      <c r="Q18" s="50" t="s">
        <v>131</v>
      </c>
    </row>
    <row r="19" spans="2:18" x14ac:dyDescent="0.3">
      <c r="B19" s="28"/>
      <c r="C19" s="28"/>
      <c r="E19" s="68"/>
      <c r="F19" s="64"/>
      <c r="G19" s="64"/>
      <c r="H19" s="64"/>
      <c r="I19" s="64"/>
      <c r="J19" s="65"/>
      <c r="K19" s="65"/>
      <c r="L19" s="65"/>
      <c r="M19" s="65"/>
      <c r="N19" s="63"/>
      <c r="O19" s="65"/>
      <c r="P19" s="66"/>
      <c r="Q19" s="35"/>
    </row>
    <row r="20" spans="2:18" ht="15.6" x14ac:dyDescent="0.3">
      <c r="B20" s="225" t="s">
        <v>34</v>
      </c>
      <c r="C20" s="226"/>
      <c r="D20" s="226"/>
      <c r="E20" s="226"/>
      <c r="F20" s="226"/>
      <c r="G20" s="226"/>
      <c r="H20" s="226"/>
      <c r="I20" s="226"/>
      <c r="J20" s="226"/>
      <c r="K20" s="226"/>
      <c r="L20" s="226"/>
      <c r="M20" s="226"/>
      <c r="N20" s="226"/>
      <c r="O20" s="226"/>
      <c r="P20" s="226"/>
      <c r="Q20" s="226"/>
      <c r="R20" s="227"/>
    </row>
    <row r="21" spans="2:18" ht="14.4" customHeight="1" x14ac:dyDescent="0.3">
      <c r="B21" s="228" t="s">
        <v>35</v>
      </c>
      <c r="C21" s="229"/>
      <c r="D21" s="229"/>
      <c r="E21" s="229"/>
      <c r="F21" s="229"/>
      <c r="G21" s="229"/>
      <c r="H21" s="229"/>
      <c r="I21" s="229"/>
      <c r="J21" s="229"/>
      <c r="K21" s="229"/>
      <c r="L21" s="229"/>
      <c r="M21" s="229"/>
      <c r="N21" s="229"/>
      <c r="O21" s="229"/>
      <c r="P21" s="229"/>
      <c r="Q21" s="229"/>
      <c r="R21" s="230"/>
    </row>
    <row r="22" spans="2:18" x14ac:dyDescent="0.3">
      <c r="B22" s="231"/>
      <c r="C22" s="232"/>
      <c r="D22" s="232"/>
      <c r="E22" s="232"/>
      <c r="F22" s="232"/>
      <c r="G22" s="232"/>
      <c r="H22" s="232"/>
      <c r="I22" s="232"/>
      <c r="J22" s="232"/>
      <c r="K22" s="232"/>
      <c r="L22" s="232"/>
      <c r="M22" s="232"/>
      <c r="N22" s="232"/>
      <c r="O22" s="232"/>
      <c r="P22" s="232"/>
      <c r="Q22" s="232"/>
      <c r="R22" s="233"/>
    </row>
    <row r="23" spans="2:18" x14ac:dyDescent="0.3">
      <c r="B23" s="231"/>
      <c r="C23" s="232"/>
      <c r="D23" s="232"/>
      <c r="E23" s="232"/>
      <c r="F23" s="232"/>
      <c r="G23" s="232"/>
      <c r="H23" s="232"/>
      <c r="I23" s="232"/>
      <c r="J23" s="232"/>
      <c r="K23" s="232"/>
      <c r="L23" s="232"/>
      <c r="M23" s="232"/>
      <c r="N23" s="232"/>
      <c r="O23" s="232"/>
      <c r="P23" s="232"/>
      <c r="Q23" s="232"/>
      <c r="R23" s="233"/>
    </row>
    <row r="24" spans="2:18" x14ac:dyDescent="0.3">
      <c r="B24" s="234"/>
      <c r="C24" s="235"/>
      <c r="D24" s="235"/>
      <c r="E24" s="235"/>
      <c r="F24" s="235"/>
      <c r="G24" s="235"/>
      <c r="H24" s="235"/>
      <c r="I24" s="235"/>
      <c r="J24" s="235"/>
      <c r="K24" s="235"/>
      <c r="L24" s="235"/>
      <c r="M24" s="235"/>
      <c r="N24" s="235"/>
      <c r="O24" s="235"/>
      <c r="P24" s="235"/>
      <c r="Q24" s="235"/>
      <c r="R24" s="236"/>
    </row>
    <row r="25" spans="2:18" x14ac:dyDescent="0.3">
      <c r="B25" s="28"/>
      <c r="C25" s="28"/>
      <c r="E25" s="68"/>
      <c r="F25" s="64"/>
      <c r="G25" s="64"/>
      <c r="H25" s="64"/>
      <c r="I25" s="64"/>
      <c r="J25" s="65"/>
      <c r="K25" s="65"/>
      <c r="L25" s="65"/>
      <c r="M25" s="65"/>
      <c r="N25" s="63"/>
      <c r="O25" s="65"/>
      <c r="P25" s="66"/>
      <c r="Q25" s="35"/>
    </row>
    <row r="26" spans="2:18" x14ac:dyDescent="0.3">
      <c r="B26" s="28"/>
      <c r="C26" s="28"/>
      <c r="E26" s="68"/>
      <c r="F26" s="64"/>
      <c r="G26" s="64"/>
      <c r="H26" s="64"/>
      <c r="I26" s="64"/>
      <c r="J26" s="65"/>
      <c r="K26" s="65"/>
      <c r="L26" s="65"/>
      <c r="M26" s="65"/>
      <c r="N26" s="63"/>
      <c r="O26" s="65"/>
      <c r="P26" s="66"/>
      <c r="Q26" s="35"/>
    </row>
    <row r="27" spans="2:18" x14ac:dyDescent="0.3">
      <c r="B27" s="28"/>
      <c r="C27" s="28"/>
      <c r="E27" s="68"/>
      <c r="F27" s="64"/>
      <c r="G27" s="64"/>
      <c r="H27" s="64"/>
      <c r="I27" s="64"/>
      <c r="J27" s="65"/>
      <c r="K27" s="65"/>
      <c r="L27" s="65"/>
      <c r="M27" s="65"/>
      <c r="N27" s="63"/>
      <c r="O27" s="65"/>
      <c r="P27" s="66"/>
      <c r="Q27" s="35"/>
    </row>
    <row r="28" spans="2:18" x14ac:dyDescent="0.3">
      <c r="B28" s="28"/>
      <c r="C28" s="28"/>
      <c r="E28" s="68"/>
      <c r="F28" s="64"/>
      <c r="G28" s="64"/>
      <c r="H28" s="64"/>
      <c r="I28" s="64"/>
      <c r="J28" s="65"/>
      <c r="K28" s="65"/>
      <c r="L28" s="65"/>
      <c r="M28" s="65"/>
      <c r="N28" s="63"/>
      <c r="O28" s="65"/>
      <c r="P28" s="66"/>
      <c r="Q28" s="35"/>
    </row>
    <row r="29" spans="2:18" x14ac:dyDescent="0.3">
      <c r="B29" s="28"/>
      <c r="C29" s="28"/>
      <c r="E29" s="68"/>
      <c r="F29" s="64"/>
      <c r="G29" s="64"/>
      <c r="H29" s="64"/>
      <c r="I29" s="64"/>
      <c r="J29" s="65"/>
      <c r="K29" s="65"/>
      <c r="L29" s="65"/>
      <c r="M29" s="65"/>
      <c r="N29" s="63"/>
      <c r="O29" s="65"/>
      <c r="P29" s="66"/>
      <c r="Q29" s="35"/>
    </row>
    <row r="30" spans="2:18" x14ac:dyDescent="0.3">
      <c r="B30" s="28"/>
      <c r="C30" s="28"/>
      <c r="E30" s="68"/>
      <c r="F30" s="64"/>
      <c r="G30" s="64"/>
      <c r="H30" s="64"/>
      <c r="I30" s="64"/>
      <c r="J30" s="65"/>
      <c r="K30" s="65"/>
      <c r="L30" s="65"/>
      <c r="M30" s="65"/>
      <c r="N30" s="63"/>
      <c r="O30" s="65"/>
      <c r="P30" s="66"/>
      <c r="Q30" s="35"/>
    </row>
    <row r="31" spans="2:18" x14ac:dyDescent="0.3">
      <c r="B31" s="28"/>
      <c r="C31" s="28"/>
      <c r="E31" s="68"/>
      <c r="F31" s="64"/>
      <c r="G31" s="64"/>
      <c r="H31" s="64"/>
      <c r="I31" s="64"/>
      <c r="J31" s="65"/>
      <c r="K31" s="65"/>
      <c r="L31" s="65"/>
      <c r="M31" s="65"/>
      <c r="N31" s="63"/>
      <c r="O31" s="65"/>
      <c r="P31" s="66"/>
      <c r="Q31" s="35"/>
    </row>
    <row r="32" spans="2:18" x14ac:dyDescent="0.3">
      <c r="B32" s="28"/>
      <c r="C32" s="28"/>
      <c r="E32" s="68"/>
      <c r="F32" s="64"/>
      <c r="G32" s="64"/>
      <c r="H32" s="64"/>
      <c r="I32" s="64"/>
      <c r="J32" s="65"/>
      <c r="K32" s="65"/>
      <c r="L32" s="65"/>
      <c r="M32" s="65"/>
      <c r="N32" s="63"/>
      <c r="O32" s="65"/>
      <c r="P32" s="66"/>
      <c r="Q32" s="35"/>
    </row>
    <row r="33" spans="2:21" x14ac:dyDescent="0.3">
      <c r="B33" s="28"/>
      <c r="C33" s="28"/>
      <c r="E33" s="68"/>
      <c r="F33" s="64"/>
      <c r="G33" s="64"/>
      <c r="H33" s="64"/>
      <c r="I33" s="64"/>
      <c r="J33" s="65"/>
      <c r="K33" s="65"/>
      <c r="L33" s="65"/>
      <c r="M33" s="65"/>
      <c r="N33" s="63"/>
      <c r="O33" s="65"/>
      <c r="P33" s="66"/>
      <c r="Q33" s="35"/>
    </row>
    <row r="34" spans="2:21" ht="28.8" x14ac:dyDescent="0.3">
      <c r="B34" s="260" t="s">
        <v>136</v>
      </c>
      <c r="C34" s="260"/>
      <c r="D34" s="260"/>
      <c r="E34" s="260"/>
      <c r="F34" s="260"/>
      <c r="G34" s="260"/>
      <c r="H34" s="260"/>
      <c r="I34" s="260"/>
      <c r="J34" s="260"/>
      <c r="K34" s="260"/>
      <c r="L34" s="260"/>
      <c r="M34" s="260"/>
      <c r="N34" s="260"/>
      <c r="O34" s="260"/>
      <c r="P34" s="260"/>
      <c r="Q34" s="260"/>
      <c r="R34" s="260"/>
    </row>
    <row r="35" spans="2:21" ht="28.8" x14ac:dyDescent="0.3">
      <c r="B35" s="1" t="s">
        <v>1</v>
      </c>
      <c r="C35" s="246" t="s">
        <v>2</v>
      </c>
      <c r="D35" s="246"/>
      <c r="E35" s="131" t="s">
        <v>137</v>
      </c>
      <c r="F35" s="131" t="s">
        <v>138</v>
      </c>
      <c r="G35" s="11" t="s">
        <v>100</v>
      </c>
      <c r="H35" s="131" t="s">
        <v>6</v>
      </c>
      <c r="I35" s="2" t="s">
        <v>9</v>
      </c>
      <c r="J35" s="2" t="s">
        <v>10</v>
      </c>
      <c r="K35" s="2" t="s">
        <v>11</v>
      </c>
      <c r="L35" s="8" t="s">
        <v>12</v>
      </c>
      <c r="M35" s="9" t="s">
        <v>13</v>
      </c>
      <c r="N35" s="9" t="s">
        <v>14</v>
      </c>
      <c r="O35" s="128" t="s">
        <v>129</v>
      </c>
      <c r="P35" s="242" t="s">
        <v>38</v>
      </c>
      <c r="Q35" s="242"/>
      <c r="R35" s="242"/>
      <c r="U35" s="124" t="s">
        <v>15</v>
      </c>
    </row>
    <row r="36" spans="2:21" ht="14.4" customHeight="1" x14ac:dyDescent="0.3">
      <c r="B36" s="269" t="s">
        <v>139</v>
      </c>
      <c r="C36" s="224" t="s">
        <v>122</v>
      </c>
      <c r="D36" s="54" t="s">
        <v>18</v>
      </c>
      <c r="E36" s="159">
        <f>CEILING((((2200+75)*1.15)),50)</f>
        <v>2650</v>
      </c>
      <c r="F36" s="159">
        <v>200</v>
      </c>
      <c r="G36" s="159">
        <v>150</v>
      </c>
      <c r="H36" s="159">
        <v>35</v>
      </c>
      <c r="I36" s="211">
        <f t="shared" ref="I36:I39" si="2">SUM(E36:H36)</f>
        <v>3035</v>
      </c>
      <c r="J36" s="159">
        <v>200</v>
      </c>
      <c r="K36" s="211">
        <f t="shared" ref="K36:K39" si="3">I36+J36</f>
        <v>3235</v>
      </c>
      <c r="L36" s="41" t="s">
        <v>140</v>
      </c>
      <c r="M36" s="378" t="s">
        <v>21</v>
      </c>
      <c r="N36" s="20" t="s">
        <v>66</v>
      </c>
      <c r="O36" s="54" t="s">
        <v>131</v>
      </c>
      <c r="P36" s="270" t="s">
        <v>141</v>
      </c>
      <c r="Q36" s="271"/>
      <c r="R36" s="272"/>
      <c r="U36" s="54" t="s">
        <v>142</v>
      </c>
    </row>
    <row r="37" spans="2:21" x14ac:dyDescent="0.3">
      <c r="B37" s="269"/>
      <c r="C37" s="224"/>
      <c r="D37" s="54" t="s">
        <v>24</v>
      </c>
      <c r="E37" s="159">
        <f>CEILING((((2600+75)*1.15)),50)</f>
        <v>3100</v>
      </c>
      <c r="F37" s="159">
        <v>200</v>
      </c>
      <c r="G37" s="159">
        <v>100</v>
      </c>
      <c r="H37" s="159">
        <v>30</v>
      </c>
      <c r="I37" s="211">
        <f t="shared" si="2"/>
        <v>3430</v>
      </c>
      <c r="J37" s="159">
        <v>200</v>
      </c>
      <c r="K37" s="211">
        <f t="shared" si="3"/>
        <v>3630</v>
      </c>
      <c r="L37" s="110" t="s">
        <v>140</v>
      </c>
      <c r="M37" s="378" t="s">
        <v>21</v>
      </c>
      <c r="N37" s="20" t="s">
        <v>66</v>
      </c>
      <c r="O37" s="54" t="s">
        <v>131</v>
      </c>
      <c r="P37" s="273"/>
      <c r="Q37" s="274"/>
      <c r="R37" s="275"/>
      <c r="U37" s="54" t="s">
        <v>142</v>
      </c>
    </row>
    <row r="38" spans="2:21" x14ac:dyDescent="0.3">
      <c r="B38" s="127" t="s">
        <v>143</v>
      </c>
      <c r="C38" s="20" t="s">
        <v>122</v>
      </c>
      <c r="D38" s="54" t="s">
        <v>18</v>
      </c>
      <c r="E38" s="159">
        <v>3450</v>
      </c>
      <c r="F38" s="159" t="s">
        <v>144</v>
      </c>
      <c r="G38" s="159">
        <v>100</v>
      </c>
      <c r="H38" s="159">
        <v>18</v>
      </c>
      <c r="I38" s="211">
        <f t="shared" si="2"/>
        <v>3568</v>
      </c>
      <c r="J38" s="159">
        <v>200</v>
      </c>
      <c r="K38" s="211">
        <f t="shared" si="3"/>
        <v>3768</v>
      </c>
      <c r="L38" s="110">
        <v>35</v>
      </c>
      <c r="M38" s="378" t="s">
        <v>21</v>
      </c>
      <c r="N38" s="20" t="s">
        <v>46</v>
      </c>
      <c r="O38" s="54" t="s">
        <v>145</v>
      </c>
      <c r="P38" s="261" t="s">
        <v>146</v>
      </c>
      <c r="Q38" s="262"/>
      <c r="R38" s="263"/>
      <c r="U38" s="54" t="s">
        <v>147</v>
      </c>
    </row>
    <row r="39" spans="2:21" ht="27" customHeight="1" x14ac:dyDescent="0.3">
      <c r="B39" s="129" t="s">
        <v>148</v>
      </c>
      <c r="C39" s="20" t="s">
        <v>122</v>
      </c>
      <c r="D39" s="54" t="s">
        <v>24</v>
      </c>
      <c r="E39" s="159">
        <f>CEILING((((2600+50)*1.15)),50)</f>
        <v>3050</v>
      </c>
      <c r="F39" s="159">
        <v>200</v>
      </c>
      <c r="G39" s="159">
        <v>100</v>
      </c>
      <c r="H39" s="159">
        <v>30</v>
      </c>
      <c r="I39" s="211">
        <f t="shared" si="2"/>
        <v>3380</v>
      </c>
      <c r="J39" s="159">
        <v>200</v>
      </c>
      <c r="K39" s="211">
        <f t="shared" si="3"/>
        <v>3580</v>
      </c>
      <c r="L39" s="110" t="s">
        <v>140</v>
      </c>
      <c r="M39" s="378" t="s">
        <v>21</v>
      </c>
      <c r="N39" s="20" t="s">
        <v>66</v>
      </c>
      <c r="O39" s="54" t="s">
        <v>131</v>
      </c>
      <c r="P39" s="261" t="s">
        <v>146</v>
      </c>
      <c r="Q39" s="262"/>
      <c r="R39" s="263"/>
      <c r="U39" s="54" t="s">
        <v>142</v>
      </c>
    </row>
    <row r="40" spans="2:21" x14ac:dyDescent="0.3">
      <c r="B40" s="43"/>
      <c r="E40" s="44"/>
      <c r="F40" s="44"/>
      <c r="G40" s="44"/>
      <c r="H40" s="44"/>
      <c r="I40" s="44"/>
      <c r="J40" s="65"/>
      <c r="K40" s="65"/>
      <c r="L40" s="65"/>
      <c r="M40" s="65"/>
      <c r="N40" s="63"/>
      <c r="O40" s="65"/>
      <c r="P40" s="130"/>
      <c r="Q40" s="115"/>
      <c r="R40" s="108"/>
      <c r="S40" s="116"/>
    </row>
    <row r="41" spans="2:21" ht="15.6" x14ac:dyDescent="0.3">
      <c r="B41" s="5" t="s">
        <v>34</v>
      </c>
      <c r="C41" s="6"/>
      <c r="D41" s="6"/>
      <c r="E41" s="6"/>
      <c r="F41" s="6"/>
      <c r="G41" s="6"/>
      <c r="H41" s="6"/>
      <c r="I41" s="6"/>
      <c r="J41" s="6"/>
      <c r="K41" s="6"/>
      <c r="L41" s="6"/>
      <c r="M41" s="6"/>
      <c r="N41" s="6"/>
      <c r="O41" s="6"/>
      <c r="P41" s="6"/>
      <c r="Q41" s="6"/>
      <c r="R41" s="6"/>
      <c r="S41" s="7"/>
    </row>
    <row r="42" spans="2:21" x14ac:dyDescent="0.3">
      <c r="B42" s="258" t="s">
        <v>35</v>
      </c>
      <c r="C42" s="258"/>
      <c r="D42" s="258"/>
      <c r="E42" s="258"/>
      <c r="F42" s="258"/>
      <c r="G42" s="258"/>
      <c r="H42" s="258"/>
      <c r="I42" s="258"/>
      <c r="J42" s="258"/>
      <c r="K42" s="258"/>
      <c r="L42" s="258"/>
      <c r="M42" s="258"/>
      <c r="N42" s="258"/>
      <c r="O42" s="258"/>
      <c r="P42" s="258"/>
      <c r="Q42" s="258"/>
      <c r="R42" s="258"/>
      <c r="S42" s="258"/>
    </row>
    <row r="43" spans="2:21" x14ac:dyDescent="0.3">
      <c r="B43" s="258"/>
      <c r="C43" s="258"/>
      <c r="D43" s="258"/>
      <c r="E43" s="258"/>
      <c r="F43" s="258"/>
      <c r="G43" s="258"/>
      <c r="H43" s="258"/>
      <c r="I43" s="258"/>
      <c r="J43" s="258"/>
      <c r="K43" s="258"/>
      <c r="L43" s="258"/>
      <c r="M43" s="258"/>
      <c r="N43" s="258"/>
      <c r="O43" s="258"/>
      <c r="P43" s="258"/>
      <c r="Q43" s="258"/>
      <c r="R43" s="258"/>
      <c r="S43" s="258"/>
    </row>
    <row r="44" spans="2:21" x14ac:dyDescent="0.3">
      <c r="B44" s="258"/>
      <c r="C44" s="258"/>
      <c r="D44" s="258"/>
      <c r="E44" s="258"/>
      <c r="F44" s="258"/>
      <c r="G44" s="258"/>
      <c r="H44" s="258"/>
      <c r="I44" s="258"/>
      <c r="J44" s="258"/>
      <c r="K44" s="258"/>
      <c r="L44" s="258"/>
      <c r="M44" s="258"/>
      <c r="N44" s="258"/>
      <c r="O44" s="258"/>
      <c r="P44" s="258"/>
      <c r="Q44" s="258"/>
      <c r="R44" s="258"/>
      <c r="S44" s="258"/>
    </row>
    <row r="45" spans="2:21" x14ac:dyDescent="0.3">
      <c r="B45" s="259"/>
      <c r="C45" s="259"/>
      <c r="D45" s="259"/>
      <c r="E45" s="259"/>
      <c r="F45" s="259"/>
      <c r="G45" s="259"/>
      <c r="H45" s="259"/>
      <c r="I45" s="259"/>
      <c r="J45" s="259"/>
      <c r="K45" s="259"/>
      <c r="L45" s="259"/>
      <c r="M45" s="259"/>
      <c r="N45" s="259"/>
      <c r="O45" s="259"/>
      <c r="P45" s="259"/>
      <c r="Q45" s="259"/>
      <c r="R45" s="259"/>
      <c r="S45" s="259"/>
    </row>
    <row r="46" spans="2:21" x14ac:dyDescent="0.3">
      <c r="B46" s="43"/>
      <c r="E46" s="44"/>
      <c r="F46" s="44"/>
      <c r="G46" s="44"/>
      <c r="H46" s="44"/>
      <c r="I46" s="44"/>
      <c r="J46" s="65"/>
      <c r="K46" s="65"/>
      <c r="L46" s="65"/>
      <c r="M46" s="65"/>
      <c r="N46" s="63"/>
      <c r="O46" s="65"/>
      <c r="P46" s="130"/>
      <c r="Q46" s="35"/>
      <c r="R46" s="130"/>
    </row>
    <row r="47" spans="2:21" x14ac:dyDescent="0.3">
      <c r="B47" s="43"/>
      <c r="E47" s="44"/>
      <c r="F47" s="44"/>
      <c r="G47" s="44"/>
      <c r="H47" s="44"/>
      <c r="I47" s="44"/>
      <c r="J47" s="65"/>
      <c r="K47" s="65"/>
      <c r="L47" s="65"/>
      <c r="M47" s="65"/>
      <c r="N47" s="63"/>
      <c r="O47" s="65"/>
      <c r="P47" s="130"/>
      <c r="Q47" s="35"/>
      <c r="R47" s="130"/>
    </row>
    <row r="48" spans="2:21" x14ac:dyDescent="0.3">
      <c r="B48" s="43"/>
      <c r="E48" s="44"/>
      <c r="F48" s="44"/>
      <c r="G48" s="44"/>
      <c r="H48" s="44"/>
      <c r="I48" s="44"/>
      <c r="J48" s="65"/>
      <c r="K48" s="65"/>
      <c r="L48" s="65"/>
      <c r="M48" s="65"/>
      <c r="N48" s="63"/>
      <c r="O48" s="65"/>
      <c r="P48" s="130"/>
      <c r="Q48" s="35"/>
      <c r="R48" s="130"/>
    </row>
    <row r="49" spans="2:21" x14ac:dyDescent="0.3">
      <c r="B49" s="43"/>
      <c r="E49" s="44"/>
      <c r="F49" s="44"/>
      <c r="G49" s="44"/>
      <c r="H49" s="44"/>
      <c r="I49" s="44"/>
      <c r="J49" s="65"/>
      <c r="K49" s="65"/>
      <c r="L49" s="65"/>
      <c r="M49" s="65"/>
      <c r="N49" s="63"/>
      <c r="O49" s="65"/>
      <c r="P49" s="130"/>
      <c r="Q49" s="35"/>
      <c r="R49" s="130"/>
    </row>
    <row r="50" spans="2:21" ht="14.4" customHeight="1" x14ac:dyDescent="0.3">
      <c r="B50" s="43"/>
      <c r="E50" s="44"/>
      <c r="F50" s="44"/>
      <c r="G50" s="44"/>
      <c r="H50" s="44"/>
      <c r="I50" s="44"/>
      <c r="J50" s="65"/>
      <c r="K50" s="65"/>
      <c r="L50" s="63" t="s">
        <v>149</v>
      </c>
      <c r="M50" s="63"/>
      <c r="N50" s="63"/>
      <c r="O50" s="65"/>
      <c r="P50" s="130"/>
      <c r="Q50" s="35"/>
      <c r="R50" s="130"/>
    </row>
    <row r="51" spans="2:21" x14ac:dyDescent="0.3">
      <c r="B51" s="43"/>
      <c r="E51" s="44"/>
      <c r="F51" s="44"/>
      <c r="G51" s="44"/>
      <c r="H51" s="44"/>
      <c r="I51" s="44"/>
      <c r="J51" s="65"/>
      <c r="K51" s="65"/>
      <c r="L51" s="63"/>
      <c r="M51" s="63"/>
      <c r="N51" s="63"/>
      <c r="O51" s="65"/>
      <c r="P51" s="130"/>
      <c r="Q51" s="35"/>
      <c r="R51" s="130"/>
    </row>
    <row r="52" spans="2:21" x14ac:dyDescent="0.3">
      <c r="B52" s="43"/>
      <c r="E52" s="44"/>
      <c r="F52" s="44"/>
      <c r="G52" s="44"/>
      <c r="H52" s="44"/>
      <c r="I52" s="44"/>
      <c r="J52" s="65"/>
      <c r="K52" s="65"/>
      <c r="L52" s="63"/>
      <c r="M52" s="63"/>
      <c r="N52" s="63"/>
      <c r="O52" s="65"/>
      <c r="P52" s="130"/>
      <c r="Q52" s="35"/>
      <c r="R52" s="130"/>
    </row>
    <row r="53" spans="2:21" x14ac:dyDescent="0.3">
      <c r="B53" s="43"/>
      <c r="E53" s="44"/>
      <c r="F53" s="44"/>
      <c r="G53" s="44"/>
      <c r="H53" s="44"/>
      <c r="I53" s="44"/>
      <c r="J53" s="65"/>
      <c r="K53" s="65"/>
      <c r="L53" s="63"/>
      <c r="M53" s="63"/>
      <c r="N53" s="63"/>
      <c r="O53" s="65"/>
      <c r="P53" s="130"/>
      <c r="Q53" s="35"/>
      <c r="R53" s="130"/>
    </row>
    <row r="54" spans="2:21" ht="15" thickBot="1" x14ac:dyDescent="0.35">
      <c r="B54" s="43"/>
      <c r="E54" s="44"/>
      <c r="F54" s="44"/>
      <c r="G54" s="44"/>
      <c r="H54" s="44"/>
      <c r="I54" s="44"/>
      <c r="J54" s="65"/>
      <c r="K54" s="65"/>
      <c r="L54" s="65"/>
      <c r="M54" s="65"/>
      <c r="N54" s="63"/>
      <c r="O54" s="65"/>
      <c r="P54" s="130"/>
      <c r="Q54" s="35"/>
      <c r="R54" s="130"/>
    </row>
    <row r="55" spans="2:21" ht="28.8" x14ac:dyDescent="0.3">
      <c r="B55" s="241" t="s">
        <v>150</v>
      </c>
      <c r="C55" s="241"/>
      <c r="D55" s="241"/>
      <c r="E55" s="241"/>
      <c r="F55" s="241"/>
      <c r="G55" s="241"/>
      <c r="H55" s="241"/>
      <c r="I55" s="241"/>
      <c r="J55" s="241"/>
      <c r="K55" s="241"/>
      <c r="L55" s="241"/>
      <c r="M55" s="241"/>
      <c r="N55" s="241"/>
      <c r="O55" s="241"/>
      <c r="P55" s="241"/>
      <c r="Q55" s="241"/>
    </row>
    <row r="56" spans="2:21" ht="28.8" x14ac:dyDescent="0.3">
      <c r="B56" s="99" t="s">
        <v>1</v>
      </c>
      <c r="C56" s="242" t="s">
        <v>2</v>
      </c>
      <c r="D56" s="242"/>
      <c r="E56" s="124" t="s">
        <v>3</v>
      </c>
      <c r="F56" s="124" t="s">
        <v>4</v>
      </c>
      <c r="G56" s="124" t="s">
        <v>125</v>
      </c>
      <c r="H56" s="124" t="s">
        <v>53</v>
      </c>
      <c r="I56" s="3" t="s">
        <v>151</v>
      </c>
      <c r="J56" s="3" t="s">
        <v>54</v>
      </c>
      <c r="K56" s="3" t="s">
        <v>10</v>
      </c>
      <c r="L56" s="3" t="s">
        <v>11</v>
      </c>
      <c r="M56" s="3" t="s">
        <v>12</v>
      </c>
      <c r="N56" s="124" t="s">
        <v>13</v>
      </c>
      <c r="O56" s="124" t="s">
        <v>14</v>
      </c>
      <c r="P56" s="124" t="s">
        <v>152</v>
      </c>
      <c r="Q56" s="125" t="s">
        <v>153</v>
      </c>
      <c r="U56" s="124" t="s">
        <v>15</v>
      </c>
    </row>
    <row r="57" spans="2:21" ht="22.95" customHeight="1" x14ac:dyDescent="0.3">
      <c r="B57" s="247" t="s">
        <v>154</v>
      </c>
      <c r="C57" s="248" t="s">
        <v>122</v>
      </c>
      <c r="D57" s="150" t="s">
        <v>18</v>
      </c>
      <c r="E57" s="152">
        <f>CEILING((((9100+297+115)*1.12)- 85)-150,50)</f>
        <v>10450</v>
      </c>
      <c r="F57" s="152">
        <v>85</v>
      </c>
      <c r="G57" s="152">
        <v>215</v>
      </c>
      <c r="H57" s="152">
        <v>75</v>
      </c>
      <c r="I57" s="152">
        <v>150</v>
      </c>
      <c r="J57" s="215">
        <f t="shared" ref="J57:J64" si="4">SUM(E57:I57)</f>
        <v>10975</v>
      </c>
      <c r="K57" s="152">
        <v>200</v>
      </c>
      <c r="L57" s="215">
        <f t="shared" ref="L57:L64" si="5">SUM(J57:K57)</f>
        <v>11175</v>
      </c>
      <c r="M57" s="154" t="s">
        <v>106</v>
      </c>
      <c r="N57" s="380" t="s">
        <v>65</v>
      </c>
      <c r="O57" s="216" t="s">
        <v>60</v>
      </c>
      <c r="P57" s="256" t="s">
        <v>83</v>
      </c>
      <c r="Q57" s="150" t="s">
        <v>132</v>
      </c>
      <c r="U57" s="54" t="s">
        <v>155</v>
      </c>
    </row>
    <row r="58" spans="2:21" x14ac:dyDescent="0.3">
      <c r="B58" s="247"/>
      <c r="C58" s="248"/>
      <c r="D58" s="150" t="s">
        <v>24</v>
      </c>
      <c r="E58" s="152">
        <f>CEILING((((9600+297+115)*1.12)- 85)-150,50)</f>
        <v>11000</v>
      </c>
      <c r="F58" s="152">
        <v>85</v>
      </c>
      <c r="G58" s="152">
        <v>215</v>
      </c>
      <c r="H58" s="152">
        <v>75</v>
      </c>
      <c r="I58" s="152">
        <v>150</v>
      </c>
      <c r="J58" s="215">
        <f t="shared" si="4"/>
        <v>11525</v>
      </c>
      <c r="K58" s="152">
        <v>200</v>
      </c>
      <c r="L58" s="215">
        <f t="shared" si="5"/>
        <v>11725</v>
      </c>
      <c r="M58" s="154" t="s">
        <v>106</v>
      </c>
      <c r="N58" s="380" t="s">
        <v>65</v>
      </c>
      <c r="O58" s="216" t="s">
        <v>60</v>
      </c>
      <c r="P58" s="257"/>
      <c r="Q58" s="150" t="s">
        <v>132</v>
      </c>
      <c r="U58" s="54" t="s">
        <v>155</v>
      </c>
    </row>
    <row r="59" spans="2:21" x14ac:dyDescent="0.3">
      <c r="B59" s="247" t="s">
        <v>156</v>
      </c>
      <c r="C59" s="248" t="s">
        <v>122</v>
      </c>
      <c r="D59" s="150" t="s">
        <v>18</v>
      </c>
      <c r="E59" s="152">
        <f>CEILING((((9250+297+115)*1.12)- 85)-150,50)</f>
        <v>10600</v>
      </c>
      <c r="F59" s="152">
        <v>85</v>
      </c>
      <c r="G59" s="152">
        <v>215</v>
      </c>
      <c r="H59" s="152">
        <v>75</v>
      </c>
      <c r="I59" s="152">
        <v>150</v>
      </c>
      <c r="J59" s="215">
        <f t="shared" ref="J59:J62" si="6">SUM(E59:I59)</f>
        <v>11125</v>
      </c>
      <c r="K59" s="152">
        <v>200</v>
      </c>
      <c r="L59" s="215">
        <f t="shared" ref="L59:L62" si="7">SUM(J59:K59)</f>
        <v>11325</v>
      </c>
      <c r="M59" s="154" t="s">
        <v>106</v>
      </c>
      <c r="N59" s="380" t="s">
        <v>65</v>
      </c>
      <c r="O59" s="216" t="s">
        <v>60</v>
      </c>
      <c r="P59" s="257"/>
      <c r="Q59" s="150" t="s">
        <v>132</v>
      </c>
      <c r="U59" s="54"/>
    </row>
    <row r="60" spans="2:21" ht="28.95" customHeight="1" x14ac:dyDescent="0.3">
      <c r="B60" s="247"/>
      <c r="C60" s="248"/>
      <c r="D60" s="150" t="s">
        <v>24</v>
      </c>
      <c r="E60" s="152">
        <f>CEILING((((9820+297+115)*1.12)- 85)-150,50)</f>
        <v>11250</v>
      </c>
      <c r="F60" s="152">
        <v>85</v>
      </c>
      <c r="G60" s="152">
        <v>215</v>
      </c>
      <c r="H60" s="152">
        <v>75</v>
      </c>
      <c r="I60" s="152">
        <v>150</v>
      </c>
      <c r="J60" s="215">
        <f t="shared" si="6"/>
        <v>11775</v>
      </c>
      <c r="K60" s="152">
        <v>200</v>
      </c>
      <c r="L60" s="215">
        <f t="shared" si="7"/>
        <v>11975</v>
      </c>
      <c r="M60" s="154" t="s">
        <v>106</v>
      </c>
      <c r="N60" s="380" t="s">
        <v>65</v>
      </c>
      <c r="O60" s="216" t="s">
        <v>60</v>
      </c>
      <c r="P60" s="264"/>
      <c r="Q60" s="150" t="s">
        <v>132</v>
      </c>
      <c r="U60" s="54"/>
    </row>
    <row r="61" spans="2:21" ht="14.4" customHeight="1" x14ac:dyDescent="0.3">
      <c r="B61" s="247" t="s">
        <v>157</v>
      </c>
      <c r="C61" s="248" t="s">
        <v>122</v>
      </c>
      <c r="D61" s="150" t="s">
        <v>18</v>
      </c>
      <c r="E61" s="152">
        <f>CEILING((((8440+40+115)*1.12)- 150)-150,50)</f>
        <v>9350</v>
      </c>
      <c r="F61" s="152">
        <v>150</v>
      </c>
      <c r="G61" s="152">
        <v>150</v>
      </c>
      <c r="H61" s="152">
        <v>75</v>
      </c>
      <c r="I61" s="152">
        <v>150</v>
      </c>
      <c r="J61" s="215">
        <f>SUM(E61:I61)</f>
        <v>9875</v>
      </c>
      <c r="K61" s="152">
        <v>200</v>
      </c>
      <c r="L61" s="215">
        <f t="shared" si="7"/>
        <v>10075</v>
      </c>
      <c r="M61" s="154" t="s">
        <v>106</v>
      </c>
      <c r="N61" s="380" t="s">
        <v>65</v>
      </c>
      <c r="O61" s="216" t="s">
        <v>66</v>
      </c>
      <c r="P61" s="265" t="s">
        <v>67</v>
      </c>
      <c r="Q61" s="150" t="s">
        <v>158</v>
      </c>
      <c r="U61" s="54" t="s">
        <v>159</v>
      </c>
    </row>
    <row r="62" spans="2:21" x14ac:dyDescent="0.3">
      <c r="B62" s="247"/>
      <c r="C62" s="248"/>
      <c r="D62" s="150" t="s">
        <v>24</v>
      </c>
      <c r="E62" s="152">
        <f>CEILING((((8580+80+115)*1.12)- 150)-150,50)</f>
        <v>9550</v>
      </c>
      <c r="F62" s="152">
        <v>150</v>
      </c>
      <c r="G62" s="152">
        <v>150</v>
      </c>
      <c r="H62" s="152">
        <v>75</v>
      </c>
      <c r="I62" s="152">
        <v>150</v>
      </c>
      <c r="J62" s="215">
        <f t="shared" si="6"/>
        <v>10075</v>
      </c>
      <c r="K62" s="152">
        <v>200</v>
      </c>
      <c r="L62" s="215">
        <f t="shared" si="7"/>
        <v>10275</v>
      </c>
      <c r="M62" s="154" t="s">
        <v>106</v>
      </c>
      <c r="N62" s="380" t="s">
        <v>65</v>
      </c>
      <c r="O62" s="216" t="s">
        <v>66</v>
      </c>
      <c r="P62" s="266"/>
      <c r="Q62" s="150" t="s">
        <v>158</v>
      </c>
      <c r="U62" s="54" t="s">
        <v>159</v>
      </c>
    </row>
    <row r="63" spans="2:21" x14ac:dyDescent="0.3">
      <c r="B63" s="247" t="s">
        <v>160</v>
      </c>
      <c r="C63" s="248" t="s">
        <v>122</v>
      </c>
      <c r="D63" s="150" t="s">
        <v>18</v>
      </c>
      <c r="E63" s="152">
        <f>CEILING((((8490+40+115)*1.12)- 85)-150,50)</f>
        <v>9450</v>
      </c>
      <c r="F63" s="152">
        <v>150</v>
      </c>
      <c r="G63" s="152">
        <v>150</v>
      </c>
      <c r="H63" s="152">
        <v>75</v>
      </c>
      <c r="I63" s="152">
        <v>150</v>
      </c>
      <c r="J63" s="215">
        <f t="shared" si="4"/>
        <v>9975</v>
      </c>
      <c r="K63" s="152">
        <v>200</v>
      </c>
      <c r="L63" s="215">
        <f t="shared" si="5"/>
        <v>10175</v>
      </c>
      <c r="M63" s="154" t="s">
        <v>106</v>
      </c>
      <c r="N63" s="380" t="s">
        <v>65</v>
      </c>
      <c r="O63" s="216" t="s">
        <v>66</v>
      </c>
      <c r="P63" s="266"/>
      <c r="Q63" s="150" t="s">
        <v>158</v>
      </c>
      <c r="U63" s="54" t="s">
        <v>159</v>
      </c>
    </row>
    <row r="64" spans="2:21" x14ac:dyDescent="0.3">
      <c r="B64" s="247"/>
      <c r="C64" s="248"/>
      <c r="D64" s="150" t="s">
        <v>24</v>
      </c>
      <c r="E64" s="152">
        <f>CEILING((((8680+80+115)*1.12)- 85)-150,50)</f>
        <v>9750</v>
      </c>
      <c r="F64" s="152">
        <v>150</v>
      </c>
      <c r="G64" s="152">
        <v>150</v>
      </c>
      <c r="H64" s="152">
        <v>75</v>
      </c>
      <c r="I64" s="152">
        <v>150</v>
      </c>
      <c r="J64" s="215">
        <f t="shared" si="4"/>
        <v>10275</v>
      </c>
      <c r="K64" s="152">
        <v>200</v>
      </c>
      <c r="L64" s="215">
        <f t="shared" si="5"/>
        <v>10475</v>
      </c>
      <c r="M64" s="154" t="s">
        <v>106</v>
      </c>
      <c r="N64" s="380" t="s">
        <v>65</v>
      </c>
      <c r="O64" s="216" t="s">
        <v>66</v>
      </c>
      <c r="P64" s="267"/>
      <c r="Q64" s="150" t="s">
        <v>158</v>
      </c>
      <c r="U64" s="54" t="s">
        <v>159</v>
      </c>
    </row>
    <row r="65" spans="2:63 3073:12199 12790:15083" ht="28.8" x14ac:dyDescent="0.3">
      <c r="B65" s="249" t="s">
        <v>161</v>
      </c>
      <c r="C65" s="249"/>
      <c r="D65" s="250"/>
      <c r="E65" s="250"/>
      <c r="F65" s="249"/>
      <c r="G65" s="250"/>
      <c r="H65" s="250"/>
      <c r="I65" s="249"/>
      <c r="J65" s="250"/>
      <c r="K65" s="250"/>
      <c r="L65" s="250"/>
      <c r="M65" s="249"/>
      <c r="N65" s="250"/>
      <c r="O65" s="250"/>
      <c r="P65" s="250"/>
      <c r="Q65" s="250"/>
      <c r="U65" s="54"/>
    </row>
    <row r="66" spans="2:63 3073:12199 12790:15083" ht="28.8" x14ac:dyDescent="0.3">
      <c r="B66" s="99" t="s">
        <v>1</v>
      </c>
      <c r="C66" s="242" t="s">
        <v>2</v>
      </c>
      <c r="D66" s="242"/>
      <c r="E66" s="8" t="s">
        <v>3</v>
      </c>
      <c r="F66" s="8" t="s">
        <v>4</v>
      </c>
      <c r="G66" s="8" t="s">
        <v>125</v>
      </c>
      <c r="H66" s="1" t="s">
        <v>53</v>
      </c>
      <c r="I66" s="94" t="s">
        <v>151</v>
      </c>
      <c r="J66" s="2" t="s">
        <v>9</v>
      </c>
      <c r="K66" s="2" t="s">
        <v>10</v>
      </c>
      <c r="L66" s="2" t="s">
        <v>11</v>
      </c>
      <c r="M66" s="8" t="s">
        <v>12</v>
      </c>
      <c r="N66" s="128" t="s">
        <v>13</v>
      </c>
      <c r="O66" s="128" t="s">
        <v>14</v>
      </c>
      <c r="P66" s="180" t="s">
        <v>152</v>
      </c>
      <c r="Q66" s="105" t="s">
        <v>153</v>
      </c>
      <c r="U66" s="54"/>
    </row>
    <row r="67" spans="2:63 3073:12199 12790:15083" x14ac:dyDescent="0.3">
      <c r="B67" s="253" t="s">
        <v>162</v>
      </c>
      <c r="C67" s="219" t="s">
        <v>122</v>
      </c>
      <c r="D67" s="151" t="s">
        <v>18</v>
      </c>
      <c r="E67" s="152">
        <f>CEILING((((9300+297+50+85)*1.12)- 85)-150,50)</f>
        <v>10700</v>
      </c>
      <c r="F67" s="152">
        <v>85</v>
      </c>
      <c r="G67" s="152">
        <v>215</v>
      </c>
      <c r="H67" s="152">
        <v>75</v>
      </c>
      <c r="I67" s="152">
        <v>150</v>
      </c>
      <c r="J67" s="215">
        <f t="shared" ref="J67:J68" si="8">SUM(E67:I67)</f>
        <v>11225</v>
      </c>
      <c r="K67" s="152">
        <v>200</v>
      </c>
      <c r="L67" s="215">
        <f t="shared" ref="L67:L68" si="9">SUM(J67:K67)</f>
        <v>11425</v>
      </c>
      <c r="M67" s="154" t="s">
        <v>106</v>
      </c>
      <c r="N67" s="380" t="s">
        <v>65</v>
      </c>
      <c r="O67" s="216" t="s">
        <v>60</v>
      </c>
      <c r="P67" s="256" t="s">
        <v>83</v>
      </c>
      <c r="Q67" s="156" t="s">
        <v>132</v>
      </c>
      <c r="R67" s="179"/>
      <c r="S67" s="172"/>
      <c r="T67" s="173"/>
      <c r="U67" s="54" t="s">
        <v>155</v>
      </c>
      <c r="V67" s="174"/>
      <c r="W67" s="173"/>
      <c r="X67" s="175"/>
      <c r="Y67" s="173"/>
      <c r="Z67" s="175"/>
      <c r="AA67" s="176"/>
      <c r="AB67" s="177"/>
      <c r="AC67" s="171"/>
      <c r="AD67" s="178"/>
      <c r="AE67" s="181"/>
      <c r="AF67" s="162"/>
      <c r="AG67" s="170"/>
      <c r="AH67"/>
      <c r="AI67" s="163"/>
      <c r="AJ67" s="164"/>
      <c r="AK67" s="165"/>
      <c r="AL67" s="165"/>
      <c r="AM67" s="164"/>
      <c r="AN67" s="166"/>
      <c r="AO67" s="164"/>
      <c r="AP67" s="166"/>
      <c r="AQ67" s="167"/>
      <c r="AR67" s="168"/>
      <c r="AS67"/>
      <c r="AT67" s="169"/>
      <c r="AU67"/>
      <c r="AV67" s="162"/>
      <c r="AW67" s="170"/>
      <c r="AX67"/>
      <c r="AY67" s="163"/>
      <c r="AZ67" s="164"/>
      <c r="BA67" s="165"/>
      <c r="BB67" s="165"/>
      <c r="BC67" s="164"/>
      <c r="BD67" s="166"/>
      <c r="BE67" s="164"/>
      <c r="BF67" s="166"/>
      <c r="BG67" s="167"/>
      <c r="BH67" s="168"/>
      <c r="BI67"/>
      <c r="BJ67" s="169"/>
      <c r="BK67"/>
      <c r="DNE67" s="155">
        <v>45845</v>
      </c>
      <c r="DNF67" s="150" t="s">
        <v>60</v>
      </c>
      <c r="DNG67" s="210"/>
      <c r="DNH67" s="156" t="s">
        <v>132</v>
      </c>
      <c r="DNI67" s="208"/>
      <c r="DNJ67" s="209"/>
      <c r="DNK67" s="150" t="s">
        <v>24</v>
      </c>
      <c r="DNL67" s="151">
        <v>8150</v>
      </c>
      <c r="DNM67" s="159">
        <v>85</v>
      </c>
      <c r="DNN67" s="160">
        <v>215</v>
      </c>
      <c r="DNO67" s="160">
        <v>75</v>
      </c>
      <c r="DNP67" s="159">
        <v>150</v>
      </c>
      <c r="DNQ67" s="161">
        <f>SUM(DNL67:DNP67)</f>
        <v>8675</v>
      </c>
      <c r="DNR67" s="159">
        <v>200</v>
      </c>
      <c r="DNS67" s="161">
        <f>SUM(DNQ67:DNR67)</f>
        <v>8875</v>
      </c>
      <c r="DNT67" s="154" t="s">
        <v>106</v>
      </c>
      <c r="DNU67" s="155">
        <v>45845</v>
      </c>
      <c r="DNV67" s="150" t="s">
        <v>60</v>
      </c>
      <c r="DNW67" s="210"/>
      <c r="DNX67" s="156" t="s">
        <v>132</v>
      </c>
      <c r="DNY67" s="208"/>
      <c r="DNZ67" s="209"/>
      <c r="DOA67" s="150" t="s">
        <v>24</v>
      </c>
      <c r="DOB67" s="151">
        <v>8150</v>
      </c>
      <c r="DOC67" s="159">
        <v>85</v>
      </c>
      <c r="DOD67" s="160">
        <v>215</v>
      </c>
      <c r="DOE67" s="160">
        <v>75</v>
      </c>
      <c r="DOF67" s="159">
        <v>150</v>
      </c>
      <c r="DOG67" s="161">
        <f>SUM(DOB67:DOF67)</f>
        <v>8675</v>
      </c>
      <c r="DOH67" s="159">
        <v>200</v>
      </c>
      <c r="DOI67" s="161">
        <f>SUM(DOG67:DOH67)</f>
        <v>8875</v>
      </c>
      <c r="DOJ67" s="154" t="s">
        <v>106</v>
      </c>
      <c r="DOK67" s="155">
        <v>45845</v>
      </c>
      <c r="DOL67" s="150" t="s">
        <v>60</v>
      </c>
      <c r="DOM67" s="210"/>
      <c r="DON67" s="156" t="s">
        <v>132</v>
      </c>
      <c r="DOO67" s="208"/>
      <c r="DOP67" s="209"/>
      <c r="DOQ67" s="150" t="s">
        <v>24</v>
      </c>
      <c r="DOR67" s="151">
        <v>8150</v>
      </c>
      <c r="DOS67" s="159">
        <v>85</v>
      </c>
      <c r="DOT67" s="160">
        <v>215</v>
      </c>
      <c r="DOU67" s="160">
        <v>75</v>
      </c>
      <c r="DOV67" s="159">
        <v>150</v>
      </c>
      <c r="DOW67" s="161">
        <f>SUM(DOR67:DOV67)</f>
        <v>8675</v>
      </c>
      <c r="DOX67" s="159">
        <v>200</v>
      </c>
      <c r="DOY67" s="161">
        <f>SUM(DOW67:DOX67)</f>
        <v>8875</v>
      </c>
      <c r="DOZ67" s="154" t="s">
        <v>106</v>
      </c>
      <c r="DPA67" s="155">
        <v>45845</v>
      </c>
      <c r="DPB67" s="150" t="s">
        <v>60</v>
      </c>
      <c r="DPC67" s="210"/>
      <c r="DPD67" s="156" t="s">
        <v>132</v>
      </c>
      <c r="DPE67" s="208"/>
      <c r="DPF67" s="209"/>
      <c r="DPG67" s="150" t="s">
        <v>24</v>
      </c>
      <c r="DPH67" s="151">
        <v>8150</v>
      </c>
      <c r="DPI67" s="159">
        <v>85</v>
      </c>
      <c r="DPJ67" s="160">
        <v>215</v>
      </c>
      <c r="DPK67" s="160">
        <v>75</v>
      </c>
      <c r="DPL67" s="159">
        <v>150</v>
      </c>
      <c r="DPM67" s="161">
        <f>SUM(DPH67:DPL67)</f>
        <v>8675</v>
      </c>
      <c r="DPN67" s="159">
        <v>200</v>
      </c>
      <c r="DPO67" s="161">
        <f>SUM(DPM67:DPN67)</f>
        <v>8875</v>
      </c>
      <c r="DPP67" s="154" t="s">
        <v>106</v>
      </c>
      <c r="DPQ67" s="155">
        <v>45845</v>
      </c>
      <c r="DPR67" s="150" t="s">
        <v>60</v>
      </c>
      <c r="DPS67" s="210"/>
      <c r="DPT67" s="156" t="s">
        <v>132</v>
      </c>
      <c r="DPU67" s="208"/>
      <c r="DPV67" s="209"/>
      <c r="DPW67" s="150" t="s">
        <v>24</v>
      </c>
      <c r="DPX67" s="151">
        <v>8150</v>
      </c>
      <c r="DPY67" s="159">
        <v>85</v>
      </c>
      <c r="DPZ67" s="160">
        <v>215</v>
      </c>
      <c r="DQA67" s="160">
        <v>75</v>
      </c>
      <c r="DQB67" s="159">
        <v>150</v>
      </c>
      <c r="DQC67" s="161">
        <f>SUM(DPX67:DQB67)</f>
        <v>8675</v>
      </c>
      <c r="DQD67" s="159">
        <v>200</v>
      </c>
      <c r="DQE67" s="161">
        <f>SUM(DQC67:DQD67)</f>
        <v>8875</v>
      </c>
      <c r="DQF67" s="154" t="s">
        <v>106</v>
      </c>
      <c r="DQG67" s="155">
        <v>45845</v>
      </c>
      <c r="DQH67" s="150" t="s">
        <v>60</v>
      </c>
      <c r="DQI67" s="210"/>
      <c r="DQJ67" s="156" t="s">
        <v>132</v>
      </c>
      <c r="DQK67" s="208"/>
      <c r="DQL67" s="209"/>
      <c r="DQM67" s="150" t="s">
        <v>24</v>
      </c>
      <c r="DQN67" s="151">
        <v>8150</v>
      </c>
      <c r="DQO67" s="159">
        <v>85</v>
      </c>
      <c r="DQP67" s="160">
        <v>215</v>
      </c>
      <c r="DQQ67" s="160">
        <v>75</v>
      </c>
      <c r="DQR67" s="159">
        <v>150</v>
      </c>
      <c r="DQS67" s="161">
        <f>SUM(DQN67:DQR67)</f>
        <v>8675</v>
      </c>
      <c r="DQT67" s="159">
        <v>200</v>
      </c>
      <c r="DQU67" s="161">
        <f>SUM(DQS67:DQT67)</f>
        <v>8875</v>
      </c>
      <c r="DQV67" s="154" t="s">
        <v>106</v>
      </c>
      <c r="DQW67" s="155">
        <v>45845</v>
      </c>
      <c r="DQX67" s="150" t="s">
        <v>60</v>
      </c>
      <c r="DQY67" s="210"/>
      <c r="DQZ67" s="156" t="s">
        <v>132</v>
      </c>
      <c r="DRA67" s="208"/>
      <c r="DRB67" s="209"/>
      <c r="DRC67" s="150" t="s">
        <v>24</v>
      </c>
      <c r="DRD67" s="151">
        <v>8150</v>
      </c>
      <c r="DRE67" s="159">
        <v>85</v>
      </c>
      <c r="DRF67" s="160">
        <v>215</v>
      </c>
      <c r="DRG67" s="160">
        <v>75</v>
      </c>
      <c r="DRH67" s="159">
        <v>150</v>
      </c>
      <c r="DRI67" s="161">
        <f>SUM(DRD67:DRH67)</f>
        <v>8675</v>
      </c>
      <c r="DRJ67" s="159">
        <v>200</v>
      </c>
      <c r="DRK67" s="161">
        <f>SUM(DRI67:DRJ67)</f>
        <v>8875</v>
      </c>
      <c r="DRL67" s="154" t="s">
        <v>106</v>
      </c>
      <c r="DRM67" s="155">
        <v>45845</v>
      </c>
      <c r="DRN67" s="150" t="s">
        <v>60</v>
      </c>
      <c r="DRO67" s="210"/>
      <c r="DRP67" s="156" t="s">
        <v>132</v>
      </c>
      <c r="DRQ67" s="208"/>
      <c r="DRR67" s="209"/>
      <c r="DRS67" s="150" t="s">
        <v>24</v>
      </c>
      <c r="DRT67" s="151">
        <v>8150</v>
      </c>
      <c r="DRU67" s="159">
        <v>85</v>
      </c>
      <c r="DRV67" s="160">
        <v>215</v>
      </c>
      <c r="DRW67" s="160">
        <v>75</v>
      </c>
      <c r="DRX67" s="159">
        <v>150</v>
      </c>
      <c r="DRY67" s="161">
        <f>SUM(DRT67:DRX67)</f>
        <v>8675</v>
      </c>
      <c r="DRZ67" s="159">
        <v>200</v>
      </c>
      <c r="DSA67" s="161">
        <f>SUM(DRY67:DRZ67)</f>
        <v>8875</v>
      </c>
      <c r="DSB67" s="154" t="s">
        <v>106</v>
      </c>
      <c r="DSC67" s="155">
        <v>45845</v>
      </c>
      <c r="DSD67" s="150" t="s">
        <v>60</v>
      </c>
      <c r="DSE67" s="210"/>
      <c r="DSF67" s="156" t="s">
        <v>132</v>
      </c>
      <c r="DSG67" s="208"/>
      <c r="DSH67" s="209"/>
      <c r="DSI67" s="150" t="s">
        <v>24</v>
      </c>
      <c r="DSJ67" s="151">
        <v>8150</v>
      </c>
      <c r="DSK67" s="159">
        <v>85</v>
      </c>
      <c r="DSL67" s="160">
        <v>215</v>
      </c>
      <c r="DSM67" s="160">
        <v>75</v>
      </c>
      <c r="DSN67" s="159">
        <v>150</v>
      </c>
      <c r="DSO67" s="161">
        <f>SUM(DSJ67:DSN67)</f>
        <v>8675</v>
      </c>
      <c r="DSP67" s="159">
        <v>200</v>
      </c>
      <c r="DSQ67" s="161">
        <f>SUM(DSO67:DSP67)</f>
        <v>8875</v>
      </c>
      <c r="DSR67" s="154" t="s">
        <v>106</v>
      </c>
      <c r="DSS67" s="155">
        <v>45845</v>
      </c>
      <c r="DST67" s="150" t="s">
        <v>60</v>
      </c>
      <c r="DSU67" s="210"/>
      <c r="DSV67" s="156" t="s">
        <v>132</v>
      </c>
      <c r="DSW67" s="208"/>
      <c r="DSX67" s="209"/>
      <c r="DSY67" s="150" t="s">
        <v>24</v>
      </c>
      <c r="DSZ67" s="151">
        <v>8150</v>
      </c>
      <c r="DTA67" s="159">
        <v>85</v>
      </c>
      <c r="DTB67" s="160">
        <v>215</v>
      </c>
      <c r="DTC67" s="160">
        <v>75</v>
      </c>
      <c r="DTD67" s="159">
        <v>150</v>
      </c>
      <c r="DTE67" s="161">
        <f>SUM(DSZ67:DTD67)</f>
        <v>8675</v>
      </c>
      <c r="DTF67" s="159">
        <v>200</v>
      </c>
      <c r="DTG67" s="161">
        <f>SUM(DTE67:DTF67)</f>
        <v>8875</v>
      </c>
      <c r="DTH67" s="154" t="s">
        <v>106</v>
      </c>
      <c r="DTI67" s="155">
        <v>45845</v>
      </c>
      <c r="DTJ67" s="150" t="s">
        <v>60</v>
      </c>
      <c r="DTK67" s="210"/>
      <c r="DTL67" s="156" t="s">
        <v>132</v>
      </c>
      <c r="DTM67" s="208"/>
      <c r="DTN67" s="209"/>
      <c r="DTO67" s="150" t="s">
        <v>24</v>
      </c>
      <c r="DTP67" s="151">
        <v>8150</v>
      </c>
      <c r="DTQ67" s="159">
        <v>85</v>
      </c>
      <c r="DTR67" s="160">
        <v>215</v>
      </c>
      <c r="DTS67" s="160">
        <v>75</v>
      </c>
      <c r="DTT67" s="159">
        <v>150</v>
      </c>
      <c r="DTU67" s="161">
        <f>SUM(DTP67:DTT67)</f>
        <v>8675</v>
      </c>
      <c r="DTV67" s="159">
        <v>200</v>
      </c>
      <c r="DTW67" s="161">
        <f>SUM(DTU67:DTV67)</f>
        <v>8875</v>
      </c>
      <c r="DTX67" s="154" t="s">
        <v>106</v>
      </c>
      <c r="DTY67" s="155">
        <v>45845</v>
      </c>
      <c r="DTZ67" s="150" t="s">
        <v>60</v>
      </c>
      <c r="DUA67" s="210"/>
      <c r="DUB67" s="156" t="s">
        <v>132</v>
      </c>
      <c r="DUC67" s="208"/>
      <c r="DUD67" s="209"/>
      <c r="DUE67" s="150" t="s">
        <v>24</v>
      </c>
      <c r="DUF67" s="151">
        <v>8150</v>
      </c>
      <c r="DUG67" s="159">
        <v>85</v>
      </c>
      <c r="DUH67" s="160">
        <v>215</v>
      </c>
      <c r="DUI67" s="160">
        <v>75</v>
      </c>
      <c r="DUJ67" s="159">
        <v>150</v>
      </c>
      <c r="DUK67" s="161">
        <f>SUM(DUF67:DUJ67)</f>
        <v>8675</v>
      </c>
      <c r="DUL67" s="159">
        <v>200</v>
      </c>
      <c r="DUM67" s="161">
        <f>SUM(DUK67:DUL67)</f>
        <v>8875</v>
      </c>
      <c r="DUN67" s="154" t="s">
        <v>106</v>
      </c>
      <c r="DUO67" s="155">
        <v>45845</v>
      </c>
      <c r="DUP67" s="150" t="s">
        <v>60</v>
      </c>
      <c r="DUQ67" s="210"/>
      <c r="DUR67" s="156" t="s">
        <v>132</v>
      </c>
      <c r="DUS67" s="208"/>
      <c r="DUT67" s="209"/>
      <c r="DUU67" s="150" t="s">
        <v>24</v>
      </c>
      <c r="DUV67" s="151">
        <v>8150</v>
      </c>
      <c r="DUW67" s="159">
        <v>85</v>
      </c>
      <c r="DUX67" s="160">
        <v>215</v>
      </c>
      <c r="DUY67" s="160">
        <v>75</v>
      </c>
      <c r="DUZ67" s="159">
        <v>150</v>
      </c>
      <c r="DVA67" s="161">
        <f>SUM(DUV67:DUZ67)</f>
        <v>8675</v>
      </c>
      <c r="DVB67" s="159">
        <v>200</v>
      </c>
      <c r="DVC67" s="161">
        <f>SUM(DVA67:DVB67)</f>
        <v>8875</v>
      </c>
      <c r="DVD67" s="154" t="s">
        <v>106</v>
      </c>
      <c r="DVE67" s="155">
        <v>45845</v>
      </c>
      <c r="DVF67" s="150" t="s">
        <v>60</v>
      </c>
      <c r="DVG67" s="210"/>
      <c r="DVH67" s="156" t="s">
        <v>132</v>
      </c>
      <c r="DVI67" s="208"/>
      <c r="DVJ67" s="209"/>
      <c r="DVK67" s="150" t="s">
        <v>24</v>
      </c>
      <c r="DVL67" s="151">
        <v>8150</v>
      </c>
      <c r="DVM67" s="159">
        <v>85</v>
      </c>
      <c r="DVN67" s="160">
        <v>215</v>
      </c>
      <c r="DVO67" s="160">
        <v>75</v>
      </c>
      <c r="DVP67" s="159">
        <v>150</v>
      </c>
      <c r="DVQ67" s="161">
        <f>SUM(DVL67:DVP67)</f>
        <v>8675</v>
      </c>
      <c r="DVR67" s="159">
        <v>200</v>
      </c>
      <c r="DVS67" s="161">
        <f>SUM(DVQ67:DVR67)</f>
        <v>8875</v>
      </c>
      <c r="DVT67" s="154" t="s">
        <v>106</v>
      </c>
      <c r="DVU67" s="155">
        <v>45845</v>
      </c>
      <c r="DVV67" s="150" t="s">
        <v>60</v>
      </c>
      <c r="DVW67" s="210"/>
      <c r="DVX67" s="156" t="s">
        <v>132</v>
      </c>
      <c r="DVY67" s="208"/>
      <c r="DVZ67" s="209"/>
      <c r="DWA67" s="150" t="s">
        <v>24</v>
      </c>
      <c r="DWB67" s="151">
        <v>8150</v>
      </c>
      <c r="DWC67" s="159">
        <v>85</v>
      </c>
      <c r="DWD67" s="160">
        <v>215</v>
      </c>
      <c r="DWE67" s="160">
        <v>75</v>
      </c>
      <c r="DWF67" s="159">
        <v>150</v>
      </c>
      <c r="DWG67" s="161">
        <f>SUM(DWB67:DWF67)</f>
        <v>8675</v>
      </c>
      <c r="DWH67" s="159">
        <v>200</v>
      </c>
      <c r="DWI67" s="161">
        <f>SUM(DWG67:DWH67)</f>
        <v>8875</v>
      </c>
      <c r="DWJ67" s="154" t="s">
        <v>106</v>
      </c>
      <c r="DWK67" s="155">
        <v>45845</v>
      </c>
      <c r="DWL67" s="150" t="s">
        <v>60</v>
      </c>
      <c r="DWM67" s="210"/>
      <c r="DWN67" s="156" t="s">
        <v>132</v>
      </c>
      <c r="DWO67" s="208"/>
      <c r="DWP67" s="209"/>
      <c r="DWQ67" s="150" t="s">
        <v>24</v>
      </c>
      <c r="DWR67" s="151">
        <v>8150</v>
      </c>
      <c r="DWS67" s="159">
        <v>85</v>
      </c>
      <c r="DWT67" s="160">
        <v>215</v>
      </c>
      <c r="DWU67" s="160">
        <v>75</v>
      </c>
      <c r="DWV67" s="159">
        <v>150</v>
      </c>
      <c r="DWW67" s="161">
        <f>SUM(DWR67:DWV67)</f>
        <v>8675</v>
      </c>
      <c r="DWX67" s="159">
        <v>200</v>
      </c>
      <c r="DWY67" s="161">
        <f>SUM(DWW67:DWX67)</f>
        <v>8875</v>
      </c>
      <c r="DWZ67" s="154" t="s">
        <v>106</v>
      </c>
      <c r="DXA67" s="155">
        <v>45845</v>
      </c>
      <c r="DXB67" s="150" t="s">
        <v>60</v>
      </c>
      <c r="DXC67" s="210"/>
      <c r="DXD67" s="156" t="s">
        <v>132</v>
      </c>
      <c r="DXE67" s="208"/>
      <c r="DXF67" s="209"/>
      <c r="DXG67" s="150" t="s">
        <v>24</v>
      </c>
      <c r="DXH67" s="151">
        <v>8150</v>
      </c>
      <c r="DXI67" s="159">
        <v>85</v>
      </c>
      <c r="DXJ67" s="160">
        <v>215</v>
      </c>
      <c r="DXK67" s="160">
        <v>75</v>
      </c>
      <c r="DXL67" s="159">
        <v>150</v>
      </c>
      <c r="DXM67" s="161">
        <f>SUM(DXH67:DXL67)</f>
        <v>8675</v>
      </c>
      <c r="DXN67" s="159">
        <v>200</v>
      </c>
      <c r="DXO67" s="161">
        <f>SUM(DXM67:DXN67)</f>
        <v>8875</v>
      </c>
      <c r="DXP67" s="154" t="s">
        <v>106</v>
      </c>
      <c r="DXQ67" s="155">
        <v>45845</v>
      </c>
      <c r="DXR67" s="150" t="s">
        <v>60</v>
      </c>
      <c r="DXS67" s="210"/>
      <c r="DXT67" s="156" t="s">
        <v>132</v>
      </c>
      <c r="DXU67" s="208"/>
      <c r="DXV67" s="209"/>
      <c r="DXW67" s="150" t="s">
        <v>24</v>
      </c>
      <c r="DXX67" s="151">
        <v>8150</v>
      </c>
      <c r="DXY67" s="159">
        <v>85</v>
      </c>
      <c r="DXZ67" s="160">
        <v>215</v>
      </c>
      <c r="DYA67" s="160">
        <v>75</v>
      </c>
      <c r="DYB67" s="159">
        <v>150</v>
      </c>
      <c r="DYC67" s="161">
        <f>SUM(DXX67:DYB67)</f>
        <v>8675</v>
      </c>
      <c r="DYD67" s="159">
        <v>200</v>
      </c>
      <c r="DYE67" s="161">
        <f>SUM(DYC67:DYD67)</f>
        <v>8875</v>
      </c>
      <c r="DYF67" s="154" t="s">
        <v>106</v>
      </c>
      <c r="DYG67" s="155">
        <v>45845</v>
      </c>
      <c r="DYH67" s="150" t="s">
        <v>60</v>
      </c>
      <c r="DYI67" s="210"/>
      <c r="DYJ67" s="156" t="s">
        <v>132</v>
      </c>
      <c r="DYK67" s="208"/>
      <c r="DYL67" s="209"/>
      <c r="DYM67" s="150" t="s">
        <v>24</v>
      </c>
      <c r="DYN67" s="151">
        <v>8150</v>
      </c>
      <c r="DYO67" s="159">
        <v>85</v>
      </c>
      <c r="DYP67" s="160">
        <v>215</v>
      </c>
      <c r="DYQ67" s="160">
        <v>75</v>
      </c>
      <c r="DYR67" s="159">
        <v>150</v>
      </c>
      <c r="DYS67" s="161">
        <f>SUM(DYN67:DYR67)</f>
        <v>8675</v>
      </c>
      <c r="DYT67" s="159">
        <v>200</v>
      </c>
      <c r="DYU67" s="161">
        <f>SUM(DYS67:DYT67)</f>
        <v>8875</v>
      </c>
      <c r="DYV67" s="154" t="s">
        <v>106</v>
      </c>
      <c r="DYW67" s="155">
        <v>45845</v>
      </c>
      <c r="DYX67" s="150" t="s">
        <v>60</v>
      </c>
      <c r="DYY67" s="210"/>
      <c r="DYZ67" s="156" t="s">
        <v>132</v>
      </c>
      <c r="DZA67" s="208"/>
      <c r="DZB67" s="209"/>
      <c r="DZC67" s="150" t="s">
        <v>24</v>
      </c>
      <c r="DZD67" s="151">
        <v>8150</v>
      </c>
      <c r="DZE67" s="159">
        <v>85</v>
      </c>
      <c r="DZF67" s="160">
        <v>215</v>
      </c>
      <c r="DZG67" s="160">
        <v>75</v>
      </c>
      <c r="DZH67" s="159">
        <v>150</v>
      </c>
      <c r="DZI67" s="161">
        <f>SUM(DZD67:DZH67)</f>
        <v>8675</v>
      </c>
      <c r="DZJ67" s="159">
        <v>200</v>
      </c>
      <c r="DZK67" s="161">
        <f>SUM(DZI67:DZJ67)</f>
        <v>8875</v>
      </c>
      <c r="DZL67" s="154" t="s">
        <v>106</v>
      </c>
      <c r="DZM67" s="155">
        <v>45845</v>
      </c>
      <c r="DZN67" s="150" t="s">
        <v>60</v>
      </c>
      <c r="DZO67" s="210"/>
      <c r="DZP67" s="156" t="s">
        <v>132</v>
      </c>
      <c r="DZQ67" s="208"/>
      <c r="DZR67" s="209"/>
      <c r="DZS67" s="150" t="s">
        <v>24</v>
      </c>
      <c r="DZT67" s="151">
        <v>8150</v>
      </c>
      <c r="DZU67" s="159">
        <v>85</v>
      </c>
      <c r="DZV67" s="160">
        <v>215</v>
      </c>
      <c r="DZW67" s="160">
        <v>75</v>
      </c>
      <c r="DZX67" s="159">
        <v>150</v>
      </c>
      <c r="DZY67" s="161">
        <f>SUM(DZT67:DZX67)</f>
        <v>8675</v>
      </c>
      <c r="DZZ67" s="159">
        <v>200</v>
      </c>
      <c r="EAA67" s="161">
        <f>SUM(DZY67:DZZ67)</f>
        <v>8875</v>
      </c>
      <c r="EAB67" s="154" t="s">
        <v>106</v>
      </c>
      <c r="EAC67" s="155">
        <v>45845</v>
      </c>
      <c r="EAD67" s="150" t="s">
        <v>60</v>
      </c>
      <c r="EAE67" s="210"/>
      <c r="EAF67" s="156" t="s">
        <v>132</v>
      </c>
      <c r="EAG67" s="208"/>
      <c r="EAH67" s="209"/>
      <c r="EAI67" s="150" t="s">
        <v>24</v>
      </c>
      <c r="EAJ67" s="151">
        <v>8150</v>
      </c>
      <c r="EAK67" s="159">
        <v>85</v>
      </c>
      <c r="EAL67" s="160">
        <v>215</v>
      </c>
      <c r="EAM67" s="160">
        <v>75</v>
      </c>
      <c r="EAN67" s="159">
        <v>150</v>
      </c>
      <c r="EAO67" s="161">
        <f>SUM(EAJ67:EAN67)</f>
        <v>8675</v>
      </c>
      <c r="EAP67" s="159">
        <v>200</v>
      </c>
      <c r="EAQ67" s="161">
        <f>SUM(EAO67:EAP67)</f>
        <v>8875</v>
      </c>
      <c r="EAR67" s="154" t="s">
        <v>106</v>
      </c>
      <c r="EAS67" s="155">
        <v>45845</v>
      </c>
      <c r="EAT67" s="150" t="s">
        <v>60</v>
      </c>
      <c r="EAU67" s="210"/>
      <c r="EAV67" s="156" t="s">
        <v>132</v>
      </c>
      <c r="EAW67" s="208"/>
      <c r="EAX67" s="209"/>
      <c r="EAY67" s="150" t="s">
        <v>24</v>
      </c>
      <c r="EAZ67" s="151">
        <v>8150</v>
      </c>
      <c r="EBA67" s="159">
        <v>85</v>
      </c>
      <c r="EBB67" s="160">
        <v>215</v>
      </c>
      <c r="EBC67" s="160">
        <v>75</v>
      </c>
      <c r="EBD67" s="159">
        <v>150</v>
      </c>
      <c r="EBE67" s="161">
        <f>SUM(EAZ67:EBD67)</f>
        <v>8675</v>
      </c>
      <c r="EBF67" s="159">
        <v>200</v>
      </c>
      <c r="EBG67" s="161">
        <f>SUM(EBE67:EBF67)</f>
        <v>8875</v>
      </c>
      <c r="EBH67" s="154" t="s">
        <v>106</v>
      </c>
      <c r="EBI67" s="155">
        <v>45845</v>
      </c>
      <c r="EBJ67" s="150" t="s">
        <v>60</v>
      </c>
      <c r="EBK67" s="210"/>
      <c r="EBL67" s="156" t="s">
        <v>132</v>
      </c>
      <c r="EBM67" s="208"/>
      <c r="EBN67" s="209"/>
      <c r="EBO67" s="150" t="s">
        <v>24</v>
      </c>
      <c r="EBP67" s="151">
        <v>8150</v>
      </c>
      <c r="EBQ67" s="159">
        <v>85</v>
      </c>
      <c r="EBR67" s="160">
        <v>215</v>
      </c>
      <c r="EBS67" s="160">
        <v>75</v>
      </c>
      <c r="EBT67" s="159">
        <v>150</v>
      </c>
      <c r="EBU67" s="161">
        <f>SUM(EBP67:EBT67)</f>
        <v>8675</v>
      </c>
      <c r="EBV67" s="159">
        <v>200</v>
      </c>
      <c r="EBW67" s="161">
        <f>SUM(EBU67:EBV67)</f>
        <v>8875</v>
      </c>
      <c r="EBX67" s="154" t="s">
        <v>106</v>
      </c>
      <c r="EBY67" s="155">
        <v>45845</v>
      </c>
      <c r="EBZ67" s="150" t="s">
        <v>60</v>
      </c>
      <c r="ECA67" s="210"/>
      <c r="ECB67" s="156" t="s">
        <v>132</v>
      </c>
      <c r="ECC67" s="208"/>
      <c r="ECD67" s="209"/>
      <c r="ECE67" s="150" t="s">
        <v>24</v>
      </c>
      <c r="ECF67" s="151">
        <v>8150</v>
      </c>
      <c r="ECG67" s="159">
        <v>85</v>
      </c>
      <c r="ECH67" s="160">
        <v>215</v>
      </c>
      <c r="ECI67" s="160">
        <v>75</v>
      </c>
      <c r="ECJ67" s="159">
        <v>150</v>
      </c>
      <c r="ECK67" s="161">
        <f>SUM(ECF67:ECJ67)</f>
        <v>8675</v>
      </c>
      <c r="ECL67" s="159">
        <v>200</v>
      </c>
      <c r="ECM67" s="161">
        <f>SUM(ECK67:ECL67)</f>
        <v>8875</v>
      </c>
      <c r="ECN67" s="154" t="s">
        <v>106</v>
      </c>
      <c r="ECO67" s="155">
        <v>45845</v>
      </c>
      <c r="ECP67" s="150" t="s">
        <v>60</v>
      </c>
      <c r="ECQ67" s="210"/>
      <c r="ECR67" s="156" t="s">
        <v>132</v>
      </c>
      <c r="ECS67" s="208"/>
      <c r="ECT67" s="209"/>
      <c r="ECU67" s="150" t="s">
        <v>24</v>
      </c>
      <c r="ECV67" s="151">
        <v>8150</v>
      </c>
      <c r="ECW67" s="159">
        <v>85</v>
      </c>
      <c r="ECX67" s="160">
        <v>215</v>
      </c>
      <c r="ECY67" s="160">
        <v>75</v>
      </c>
      <c r="ECZ67" s="159">
        <v>150</v>
      </c>
      <c r="EDA67" s="161">
        <f>SUM(ECV67:ECZ67)</f>
        <v>8675</v>
      </c>
      <c r="EDB67" s="159">
        <v>200</v>
      </c>
      <c r="EDC67" s="161">
        <f>SUM(EDA67:EDB67)</f>
        <v>8875</v>
      </c>
      <c r="EDD67" s="154" t="s">
        <v>106</v>
      </c>
      <c r="EDE67" s="155">
        <v>45845</v>
      </c>
      <c r="EDF67" s="150" t="s">
        <v>60</v>
      </c>
      <c r="EDG67" s="210"/>
      <c r="EDH67" s="156" t="s">
        <v>132</v>
      </c>
      <c r="EDI67" s="208"/>
      <c r="EDJ67" s="209"/>
      <c r="EDK67" s="150" t="s">
        <v>24</v>
      </c>
      <c r="EDL67" s="151">
        <v>8150</v>
      </c>
      <c r="EDM67" s="159">
        <v>85</v>
      </c>
      <c r="EDN67" s="160">
        <v>215</v>
      </c>
      <c r="EDO67" s="160">
        <v>75</v>
      </c>
      <c r="EDP67" s="159">
        <v>150</v>
      </c>
      <c r="EDQ67" s="161">
        <f>SUM(EDL67:EDP67)</f>
        <v>8675</v>
      </c>
      <c r="EDR67" s="159">
        <v>200</v>
      </c>
      <c r="EDS67" s="161">
        <f>SUM(EDQ67:EDR67)</f>
        <v>8875</v>
      </c>
      <c r="EDT67" s="154" t="s">
        <v>106</v>
      </c>
      <c r="EDU67" s="155">
        <v>45845</v>
      </c>
      <c r="EDV67" s="150" t="s">
        <v>60</v>
      </c>
      <c r="EDW67" s="210"/>
      <c r="EDX67" s="156" t="s">
        <v>132</v>
      </c>
      <c r="EDY67" s="208"/>
      <c r="EDZ67" s="209"/>
      <c r="EEA67" s="150" t="s">
        <v>24</v>
      </c>
      <c r="EEB67" s="151">
        <v>8150</v>
      </c>
      <c r="EEC67" s="159">
        <v>85</v>
      </c>
      <c r="EED67" s="160">
        <v>215</v>
      </c>
      <c r="EEE67" s="160">
        <v>75</v>
      </c>
      <c r="EEF67" s="159">
        <v>150</v>
      </c>
      <c r="EEG67" s="161">
        <f>SUM(EEB67:EEF67)</f>
        <v>8675</v>
      </c>
      <c r="EEH67" s="159">
        <v>200</v>
      </c>
      <c r="EEI67" s="161">
        <f>SUM(EEG67:EEH67)</f>
        <v>8875</v>
      </c>
      <c r="EEJ67" s="154" t="s">
        <v>106</v>
      </c>
      <c r="EEK67" s="155">
        <v>45845</v>
      </c>
      <c r="EEL67" s="150" t="s">
        <v>60</v>
      </c>
      <c r="EEM67" s="210"/>
      <c r="EEN67" s="156" t="s">
        <v>132</v>
      </c>
      <c r="EEO67" s="208"/>
      <c r="EEP67" s="209"/>
      <c r="EEQ67" s="150" t="s">
        <v>24</v>
      </c>
      <c r="EER67" s="151">
        <v>8150</v>
      </c>
      <c r="EES67" s="159">
        <v>85</v>
      </c>
      <c r="EET67" s="160">
        <v>215</v>
      </c>
      <c r="EEU67" s="160">
        <v>75</v>
      </c>
      <c r="EEV67" s="159">
        <v>150</v>
      </c>
      <c r="EEW67" s="161">
        <f>SUM(EER67:EEV67)</f>
        <v>8675</v>
      </c>
      <c r="EEX67" s="159">
        <v>200</v>
      </c>
      <c r="EEY67" s="161">
        <f>SUM(EEW67:EEX67)</f>
        <v>8875</v>
      </c>
      <c r="EEZ67" s="154" t="s">
        <v>106</v>
      </c>
      <c r="EFA67" s="155">
        <v>45845</v>
      </c>
      <c r="EFB67" s="150" t="s">
        <v>60</v>
      </c>
      <c r="EFC67" s="210"/>
      <c r="EFD67" s="156" t="s">
        <v>132</v>
      </c>
      <c r="EFE67" s="208"/>
      <c r="EFF67" s="209"/>
      <c r="EFG67" s="150" t="s">
        <v>24</v>
      </c>
      <c r="EFH67" s="151">
        <v>8150</v>
      </c>
      <c r="EFI67" s="159">
        <v>85</v>
      </c>
      <c r="EFJ67" s="160">
        <v>215</v>
      </c>
      <c r="EFK67" s="160">
        <v>75</v>
      </c>
      <c r="EFL67" s="159">
        <v>150</v>
      </c>
      <c r="EFM67" s="161">
        <f>SUM(EFH67:EFL67)</f>
        <v>8675</v>
      </c>
      <c r="EFN67" s="159">
        <v>200</v>
      </c>
      <c r="EFO67" s="161">
        <f>SUM(EFM67:EFN67)</f>
        <v>8875</v>
      </c>
      <c r="EFP67" s="154" t="s">
        <v>106</v>
      </c>
      <c r="EFQ67" s="155">
        <v>45845</v>
      </c>
      <c r="EFR67" s="150" t="s">
        <v>60</v>
      </c>
      <c r="EFS67" s="210"/>
      <c r="EFT67" s="156" t="s">
        <v>132</v>
      </c>
      <c r="EFU67" s="208"/>
      <c r="EFV67" s="209"/>
      <c r="EFW67" s="150" t="s">
        <v>24</v>
      </c>
      <c r="EFX67" s="151">
        <v>8150</v>
      </c>
      <c r="EFY67" s="159">
        <v>85</v>
      </c>
      <c r="EFZ67" s="160">
        <v>215</v>
      </c>
      <c r="EGA67" s="160">
        <v>75</v>
      </c>
      <c r="EGB67" s="159">
        <v>150</v>
      </c>
      <c r="EGC67" s="161">
        <f>SUM(EFX67:EGB67)</f>
        <v>8675</v>
      </c>
      <c r="EGD67" s="159">
        <v>200</v>
      </c>
      <c r="EGE67" s="161">
        <f>SUM(EGC67:EGD67)</f>
        <v>8875</v>
      </c>
      <c r="EGF67" s="154" t="s">
        <v>106</v>
      </c>
      <c r="EGG67" s="155">
        <v>45845</v>
      </c>
      <c r="EGH67" s="150" t="s">
        <v>60</v>
      </c>
      <c r="EGI67" s="210"/>
      <c r="EGJ67" s="156" t="s">
        <v>132</v>
      </c>
      <c r="EGK67" s="208"/>
      <c r="EGL67" s="209"/>
      <c r="EGM67" s="150" t="s">
        <v>24</v>
      </c>
      <c r="EGN67" s="151">
        <v>8150</v>
      </c>
      <c r="EGO67" s="159">
        <v>85</v>
      </c>
      <c r="EGP67" s="160">
        <v>215</v>
      </c>
      <c r="EGQ67" s="160">
        <v>75</v>
      </c>
      <c r="EGR67" s="159">
        <v>150</v>
      </c>
      <c r="EGS67" s="161">
        <f>SUM(EGN67:EGR67)</f>
        <v>8675</v>
      </c>
      <c r="EGT67" s="159">
        <v>200</v>
      </c>
      <c r="EGU67" s="161">
        <f>SUM(EGS67:EGT67)</f>
        <v>8875</v>
      </c>
      <c r="EGV67" s="154" t="s">
        <v>106</v>
      </c>
      <c r="EGW67" s="155">
        <v>45845</v>
      </c>
      <c r="EGX67" s="150" t="s">
        <v>60</v>
      </c>
      <c r="EGY67" s="210"/>
      <c r="EGZ67" s="156" t="s">
        <v>132</v>
      </c>
      <c r="EHA67" s="208"/>
      <c r="EHB67" s="209"/>
      <c r="EHC67" s="150" t="s">
        <v>24</v>
      </c>
      <c r="EHD67" s="151">
        <v>8150</v>
      </c>
      <c r="EHE67" s="159">
        <v>85</v>
      </c>
      <c r="EHF67" s="160">
        <v>215</v>
      </c>
      <c r="EHG67" s="160">
        <v>75</v>
      </c>
      <c r="EHH67" s="159">
        <v>150</v>
      </c>
      <c r="EHI67" s="161">
        <f>SUM(EHD67:EHH67)</f>
        <v>8675</v>
      </c>
      <c r="EHJ67" s="159">
        <v>200</v>
      </c>
      <c r="EHK67" s="161">
        <f>SUM(EHI67:EHJ67)</f>
        <v>8875</v>
      </c>
      <c r="EHL67" s="154" t="s">
        <v>106</v>
      </c>
      <c r="EHM67" s="155">
        <v>45845</v>
      </c>
      <c r="EHN67" s="150" t="s">
        <v>60</v>
      </c>
      <c r="EHO67" s="210"/>
      <c r="EHP67" s="156" t="s">
        <v>132</v>
      </c>
      <c r="EHQ67" s="208"/>
      <c r="EHR67" s="209"/>
      <c r="EHS67" s="150" t="s">
        <v>24</v>
      </c>
      <c r="EHT67" s="151">
        <v>8150</v>
      </c>
      <c r="EHU67" s="159">
        <v>85</v>
      </c>
      <c r="EHV67" s="160">
        <v>215</v>
      </c>
      <c r="EHW67" s="160">
        <v>75</v>
      </c>
      <c r="EHX67" s="159">
        <v>150</v>
      </c>
      <c r="EHY67" s="161">
        <f>SUM(EHT67:EHX67)</f>
        <v>8675</v>
      </c>
      <c r="EHZ67" s="159">
        <v>200</v>
      </c>
      <c r="EIA67" s="161">
        <f>SUM(EHY67:EHZ67)</f>
        <v>8875</v>
      </c>
      <c r="EIB67" s="154" t="s">
        <v>106</v>
      </c>
      <c r="EIC67" s="155">
        <v>45845</v>
      </c>
      <c r="EID67" s="150" t="s">
        <v>60</v>
      </c>
      <c r="EIE67" s="210"/>
      <c r="EIF67" s="156" t="s">
        <v>132</v>
      </c>
      <c r="EIG67" s="208"/>
      <c r="EIH67" s="209"/>
      <c r="EII67" s="150" t="s">
        <v>24</v>
      </c>
      <c r="EIJ67" s="151">
        <v>8150</v>
      </c>
      <c r="EIK67" s="159">
        <v>85</v>
      </c>
      <c r="EIL67" s="160">
        <v>215</v>
      </c>
      <c r="EIM67" s="160">
        <v>75</v>
      </c>
      <c r="EIN67" s="159">
        <v>150</v>
      </c>
      <c r="EIO67" s="161">
        <f>SUM(EIJ67:EIN67)</f>
        <v>8675</v>
      </c>
      <c r="EIP67" s="159">
        <v>200</v>
      </c>
      <c r="EIQ67" s="161">
        <f>SUM(EIO67:EIP67)</f>
        <v>8875</v>
      </c>
      <c r="EIR67" s="154" t="s">
        <v>106</v>
      </c>
      <c r="EIS67" s="155">
        <v>45845</v>
      </c>
      <c r="EIT67" s="150" t="s">
        <v>60</v>
      </c>
      <c r="EIU67" s="210"/>
      <c r="EIV67" s="156" t="s">
        <v>132</v>
      </c>
      <c r="EIW67" s="208"/>
      <c r="EIX67" s="209"/>
      <c r="EIY67" s="150" t="s">
        <v>24</v>
      </c>
      <c r="EIZ67" s="151">
        <v>8150</v>
      </c>
      <c r="EJA67" s="159">
        <v>85</v>
      </c>
      <c r="EJB67" s="160">
        <v>215</v>
      </c>
      <c r="EJC67" s="160">
        <v>75</v>
      </c>
      <c r="EJD67" s="159">
        <v>150</v>
      </c>
      <c r="EJE67" s="161">
        <f>SUM(EIZ67:EJD67)</f>
        <v>8675</v>
      </c>
      <c r="EJF67" s="159">
        <v>200</v>
      </c>
      <c r="EJG67" s="161">
        <f>SUM(EJE67:EJF67)</f>
        <v>8875</v>
      </c>
      <c r="EJH67" s="154" t="s">
        <v>106</v>
      </c>
      <c r="EJI67" s="155">
        <v>45845</v>
      </c>
      <c r="EJJ67" s="150" t="s">
        <v>60</v>
      </c>
      <c r="EJK67" s="210"/>
      <c r="EJL67" s="156" t="s">
        <v>132</v>
      </c>
      <c r="EJM67" s="208"/>
      <c r="EJN67" s="209"/>
      <c r="EJO67" s="150" t="s">
        <v>24</v>
      </c>
      <c r="EJP67" s="151">
        <v>8150</v>
      </c>
      <c r="EJQ67" s="159">
        <v>85</v>
      </c>
      <c r="EJR67" s="160">
        <v>215</v>
      </c>
      <c r="EJS67" s="160">
        <v>75</v>
      </c>
      <c r="EJT67" s="159">
        <v>150</v>
      </c>
      <c r="EJU67" s="161">
        <f>SUM(EJP67:EJT67)</f>
        <v>8675</v>
      </c>
      <c r="EJV67" s="159">
        <v>200</v>
      </c>
      <c r="EJW67" s="161">
        <f>SUM(EJU67:EJV67)</f>
        <v>8875</v>
      </c>
      <c r="EJX67" s="154" t="s">
        <v>106</v>
      </c>
      <c r="EJY67" s="155">
        <v>45845</v>
      </c>
      <c r="EJZ67" s="150" t="s">
        <v>60</v>
      </c>
      <c r="EKA67" s="210"/>
      <c r="EKB67" s="156" t="s">
        <v>132</v>
      </c>
      <c r="EKC67" s="208"/>
      <c r="EKD67" s="209"/>
      <c r="EKE67" s="150" t="s">
        <v>24</v>
      </c>
      <c r="EKF67" s="151">
        <v>8150</v>
      </c>
      <c r="EKG67" s="159">
        <v>85</v>
      </c>
      <c r="EKH67" s="160">
        <v>215</v>
      </c>
      <c r="EKI67" s="160">
        <v>75</v>
      </c>
      <c r="EKJ67" s="159">
        <v>150</v>
      </c>
      <c r="EKK67" s="161">
        <f>SUM(EKF67:EKJ67)</f>
        <v>8675</v>
      </c>
      <c r="EKL67" s="159">
        <v>200</v>
      </c>
      <c r="EKM67" s="161">
        <f>SUM(EKK67:EKL67)</f>
        <v>8875</v>
      </c>
      <c r="EKN67" s="154" t="s">
        <v>106</v>
      </c>
      <c r="EKO67" s="155">
        <v>45845</v>
      </c>
      <c r="EKP67" s="150" t="s">
        <v>60</v>
      </c>
      <c r="EKQ67" s="210"/>
      <c r="EKR67" s="156" t="s">
        <v>132</v>
      </c>
      <c r="EKS67" s="208"/>
      <c r="EKT67" s="209"/>
      <c r="EKU67" s="150" t="s">
        <v>24</v>
      </c>
      <c r="EKV67" s="151">
        <v>8150</v>
      </c>
      <c r="EKW67" s="159">
        <v>85</v>
      </c>
      <c r="EKX67" s="160">
        <v>215</v>
      </c>
      <c r="EKY67" s="160">
        <v>75</v>
      </c>
      <c r="EKZ67" s="159">
        <v>150</v>
      </c>
      <c r="ELA67" s="161">
        <f>SUM(EKV67:EKZ67)</f>
        <v>8675</v>
      </c>
      <c r="ELB67" s="159">
        <v>200</v>
      </c>
      <c r="ELC67" s="161">
        <f>SUM(ELA67:ELB67)</f>
        <v>8875</v>
      </c>
      <c r="ELD67" s="154" t="s">
        <v>106</v>
      </c>
      <c r="ELE67" s="155">
        <v>45845</v>
      </c>
      <c r="ELF67" s="150" t="s">
        <v>60</v>
      </c>
      <c r="ELG67" s="210"/>
      <c r="ELH67" s="156" t="s">
        <v>132</v>
      </c>
      <c r="ELI67" s="208"/>
      <c r="ELJ67" s="209"/>
      <c r="ELK67" s="150" t="s">
        <v>24</v>
      </c>
      <c r="ELL67" s="151">
        <v>8150</v>
      </c>
      <c r="ELM67" s="159">
        <v>85</v>
      </c>
      <c r="ELN67" s="160">
        <v>215</v>
      </c>
      <c r="ELO67" s="160">
        <v>75</v>
      </c>
      <c r="ELP67" s="159">
        <v>150</v>
      </c>
      <c r="ELQ67" s="161">
        <f>SUM(ELL67:ELP67)</f>
        <v>8675</v>
      </c>
      <c r="ELR67" s="159">
        <v>200</v>
      </c>
      <c r="ELS67" s="161">
        <f>SUM(ELQ67:ELR67)</f>
        <v>8875</v>
      </c>
      <c r="ELT67" s="154" t="s">
        <v>106</v>
      </c>
      <c r="ELU67" s="155">
        <v>45845</v>
      </c>
      <c r="ELV67" s="150" t="s">
        <v>60</v>
      </c>
      <c r="ELW67" s="210"/>
      <c r="ELX67" s="156" t="s">
        <v>132</v>
      </c>
      <c r="ELY67" s="208"/>
      <c r="ELZ67" s="209"/>
      <c r="EMA67" s="150" t="s">
        <v>24</v>
      </c>
      <c r="EMB67" s="151">
        <v>8150</v>
      </c>
      <c r="EMC67" s="159">
        <v>85</v>
      </c>
      <c r="EMD67" s="160">
        <v>215</v>
      </c>
      <c r="EME67" s="160">
        <v>75</v>
      </c>
      <c r="EMF67" s="159">
        <v>150</v>
      </c>
      <c r="EMG67" s="161">
        <f>SUM(EMB67:EMF67)</f>
        <v>8675</v>
      </c>
      <c r="EMH67" s="159">
        <v>200</v>
      </c>
      <c r="EMI67" s="161">
        <f>SUM(EMG67:EMH67)</f>
        <v>8875</v>
      </c>
      <c r="EMJ67" s="154" t="s">
        <v>106</v>
      </c>
      <c r="EMK67" s="155">
        <v>45845</v>
      </c>
      <c r="EML67" s="150" t="s">
        <v>60</v>
      </c>
      <c r="EMM67" s="210"/>
      <c r="EMN67" s="156" t="s">
        <v>132</v>
      </c>
      <c r="EMO67" s="208"/>
      <c r="EMP67" s="209"/>
      <c r="EMQ67" s="150" t="s">
        <v>24</v>
      </c>
      <c r="EMR67" s="151">
        <v>8150</v>
      </c>
      <c r="EMS67" s="159">
        <v>85</v>
      </c>
      <c r="EMT67" s="160">
        <v>215</v>
      </c>
      <c r="EMU67" s="160">
        <v>75</v>
      </c>
      <c r="EMV67" s="159">
        <v>150</v>
      </c>
      <c r="EMW67" s="161">
        <f>SUM(EMR67:EMV67)</f>
        <v>8675</v>
      </c>
      <c r="EMX67" s="159">
        <v>200</v>
      </c>
      <c r="EMY67" s="161">
        <f>SUM(EMW67:EMX67)</f>
        <v>8875</v>
      </c>
      <c r="EMZ67" s="154" t="s">
        <v>106</v>
      </c>
      <c r="ENA67" s="155">
        <v>45845</v>
      </c>
      <c r="ENB67" s="150" t="s">
        <v>60</v>
      </c>
      <c r="ENC67" s="210"/>
      <c r="END67" s="156" t="s">
        <v>132</v>
      </c>
      <c r="ENE67" s="208"/>
      <c r="ENF67" s="209"/>
      <c r="ENG67" s="150" t="s">
        <v>24</v>
      </c>
      <c r="ENH67" s="151">
        <v>8150</v>
      </c>
      <c r="ENI67" s="159">
        <v>85</v>
      </c>
      <c r="ENJ67" s="160">
        <v>215</v>
      </c>
      <c r="ENK67" s="160">
        <v>75</v>
      </c>
      <c r="ENL67" s="159">
        <v>150</v>
      </c>
      <c r="ENM67" s="161">
        <f>SUM(ENH67:ENL67)</f>
        <v>8675</v>
      </c>
      <c r="ENN67" s="159">
        <v>200</v>
      </c>
      <c r="ENO67" s="161">
        <f>SUM(ENM67:ENN67)</f>
        <v>8875</v>
      </c>
      <c r="ENP67" s="154" t="s">
        <v>106</v>
      </c>
      <c r="ENQ67" s="155">
        <v>45845</v>
      </c>
      <c r="ENR67" s="150" t="s">
        <v>60</v>
      </c>
      <c r="ENS67" s="210"/>
      <c r="ENT67" s="156" t="s">
        <v>132</v>
      </c>
      <c r="ENU67" s="208"/>
      <c r="ENV67" s="209"/>
      <c r="ENW67" s="150" t="s">
        <v>24</v>
      </c>
      <c r="ENX67" s="151">
        <v>8150</v>
      </c>
      <c r="ENY67" s="159">
        <v>85</v>
      </c>
      <c r="ENZ67" s="160">
        <v>215</v>
      </c>
      <c r="EOA67" s="160">
        <v>75</v>
      </c>
      <c r="EOB67" s="159">
        <v>150</v>
      </c>
      <c r="EOC67" s="161">
        <f>SUM(ENX67:EOB67)</f>
        <v>8675</v>
      </c>
      <c r="EOD67" s="159">
        <v>200</v>
      </c>
      <c r="EOE67" s="161">
        <f>SUM(EOC67:EOD67)</f>
        <v>8875</v>
      </c>
      <c r="EOF67" s="154" t="s">
        <v>106</v>
      </c>
      <c r="EOG67" s="155">
        <v>45845</v>
      </c>
      <c r="EOH67" s="150" t="s">
        <v>60</v>
      </c>
      <c r="EOI67" s="210"/>
      <c r="EOJ67" s="156" t="s">
        <v>132</v>
      </c>
      <c r="EOK67" s="208"/>
      <c r="EOL67" s="209"/>
      <c r="EOM67" s="150" t="s">
        <v>24</v>
      </c>
      <c r="EON67" s="151">
        <v>8150</v>
      </c>
      <c r="EOO67" s="159">
        <v>85</v>
      </c>
      <c r="EOP67" s="160">
        <v>215</v>
      </c>
      <c r="EOQ67" s="160">
        <v>75</v>
      </c>
      <c r="EOR67" s="159">
        <v>150</v>
      </c>
      <c r="EOS67" s="161">
        <f>SUM(EON67:EOR67)</f>
        <v>8675</v>
      </c>
      <c r="EOT67" s="159">
        <v>200</v>
      </c>
      <c r="EOU67" s="161">
        <f>SUM(EOS67:EOT67)</f>
        <v>8875</v>
      </c>
      <c r="EOV67" s="154" t="s">
        <v>106</v>
      </c>
      <c r="EOW67" s="155">
        <v>45845</v>
      </c>
      <c r="EOX67" s="150" t="s">
        <v>60</v>
      </c>
      <c r="EOY67" s="210"/>
      <c r="EOZ67" s="156" t="s">
        <v>132</v>
      </c>
      <c r="EPA67" s="208"/>
      <c r="EPB67" s="209"/>
      <c r="EPC67" s="150" t="s">
        <v>24</v>
      </c>
      <c r="EPD67" s="151">
        <v>8150</v>
      </c>
      <c r="EPE67" s="159">
        <v>85</v>
      </c>
      <c r="EPF67" s="160">
        <v>215</v>
      </c>
      <c r="EPG67" s="160">
        <v>75</v>
      </c>
      <c r="EPH67" s="159">
        <v>150</v>
      </c>
      <c r="EPI67" s="161">
        <f>SUM(EPD67:EPH67)</f>
        <v>8675</v>
      </c>
      <c r="EPJ67" s="159">
        <v>200</v>
      </c>
      <c r="EPK67" s="161">
        <f>SUM(EPI67:EPJ67)</f>
        <v>8875</v>
      </c>
      <c r="EPL67" s="154" t="s">
        <v>106</v>
      </c>
      <c r="EPM67" s="155">
        <v>45845</v>
      </c>
      <c r="EPN67" s="150" t="s">
        <v>60</v>
      </c>
      <c r="EPO67" s="210"/>
      <c r="EPP67" s="156" t="s">
        <v>132</v>
      </c>
      <c r="EPQ67" s="208"/>
      <c r="EPR67" s="209"/>
      <c r="EPS67" s="150" t="s">
        <v>24</v>
      </c>
      <c r="EPT67" s="151">
        <v>8150</v>
      </c>
      <c r="EPU67" s="159">
        <v>85</v>
      </c>
      <c r="EPV67" s="160">
        <v>215</v>
      </c>
      <c r="EPW67" s="160">
        <v>75</v>
      </c>
      <c r="EPX67" s="159">
        <v>150</v>
      </c>
      <c r="EPY67" s="161">
        <f>SUM(EPT67:EPX67)</f>
        <v>8675</v>
      </c>
      <c r="EPZ67" s="159">
        <v>200</v>
      </c>
      <c r="EQA67" s="161">
        <f>SUM(EPY67:EPZ67)</f>
        <v>8875</v>
      </c>
      <c r="EQB67" s="154" t="s">
        <v>106</v>
      </c>
      <c r="EQC67" s="155">
        <v>45845</v>
      </c>
      <c r="EQD67" s="150" t="s">
        <v>60</v>
      </c>
      <c r="EQE67" s="210"/>
      <c r="EQF67" s="156" t="s">
        <v>132</v>
      </c>
      <c r="EQG67" s="208"/>
      <c r="EQH67" s="209"/>
      <c r="EQI67" s="150" t="s">
        <v>24</v>
      </c>
      <c r="EQJ67" s="151">
        <v>8150</v>
      </c>
      <c r="EQK67" s="159">
        <v>85</v>
      </c>
      <c r="EQL67" s="160">
        <v>215</v>
      </c>
      <c r="EQM67" s="160">
        <v>75</v>
      </c>
      <c r="EQN67" s="159">
        <v>150</v>
      </c>
      <c r="EQO67" s="161">
        <f>SUM(EQJ67:EQN67)</f>
        <v>8675</v>
      </c>
      <c r="EQP67" s="159">
        <v>200</v>
      </c>
      <c r="EQQ67" s="161">
        <f>SUM(EQO67:EQP67)</f>
        <v>8875</v>
      </c>
      <c r="EQR67" s="154" t="s">
        <v>106</v>
      </c>
      <c r="EQS67" s="155">
        <v>45845</v>
      </c>
      <c r="EQT67" s="150" t="s">
        <v>60</v>
      </c>
      <c r="EQU67" s="210"/>
      <c r="EQV67" s="156" t="s">
        <v>132</v>
      </c>
      <c r="EQW67" s="208"/>
      <c r="EQX67" s="209"/>
      <c r="EQY67" s="150" t="s">
        <v>24</v>
      </c>
      <c r="EQZ67" s="151">
        <v>8150</v>
      </c>
      <c r="ERA67" s="159">
        <v>85</v>
      </c>
      <c r="ERB67" s="160">
        <v>215</v>
      </c>
      <c r="ERC67" s="160">
        <v>75</v>
      </c>
      <c r="ERD67" s="159">
        <v>150</v>
      </c>
      <c r="ERE67" s="161">
        <f>SUM(EQZ67:ERD67)</f>
        <v>8675</v>
      </c>
      <c r="ERF67" s="159">
        <v>200</v>
      </c>
      <c r="ERG67" s="161">
        <f>SUM(ERE67:ERF67)</f>
        <v>8875</v>
      </c>
      <c r="ERH67" s="154" t="s">
        <v>106</v>
      </c>
      <c r="ERI67" s="155">
        <v>45845</v>
      </c>
      <c r="ERJ67" s="150" t="s">
        <v>60</v>
      </c>
      <c r="ERK67" s="210"/>
      <c r="ERL67" s="156" t="s">
        <v>132</v>
      </c>
      <c r="ERM67" s="208"/>
      <c r="ERN67" s="209"/>
      <c r="ERO67" s="150" t="s">
        <v>24</v>
      </c>
      <c r="ERP67" s="151">
        <v>8150</v>
      </c>
      <c r="ERQ67" s="159">
        <v>85</v>
      </c>
      <c r="ERR67" s="160">
        <v>215</v>
      </c>
      <c r="ERS67" s="160">
        <v>75</v>
      </c>
      <c r="ERT67" s="159">
        <v>150</v>
      </c>
      <c r="ERU67" s="161">
        <f>SUM(ERP67:ERT67)</f>
        <v>8675</v>
      </c>
      <c r="ERV67" s="159">
        <v>200</v>
      </c>
      <c r="ERW67" s="161">
        <f>SUM(ERU67:ERV67)</f>
        <v>8875</v>
      </c>
      <c r="ERX67" s="154" t="s">
        <v>106</v>
      </c>
      <c r="ERY67" s="155">
        <v>45845</v>
      </c>
      <c r="ERZ67" s="150" t="s">
        <v>60</v>
      </c>
      <c r="ESA67" s="210"/>
      <c r="ESB67" s="156" t="s">
        <v>132</v>
      </c>
      <c r="ESC67" s="208"/>
      <c r="ESD67" s="209"/>
      <c r="ESE67" s="150" t="s">
        <v>24</v>
      </c>
      <c r="ESF67" s="151">
        <v>8150</v>
      </c>
      <c r="ESG67" s="159">
        <v>85</v>
      </c>
      <c r="ESH67" s="160">
        <v>215</v>
      </c>
      <c r="ESI67" s="160">
        <v>75</v>
      </c>
      <c r="ESJ67" s="159">
        <v>150</v>
      </c>
      <c r="ESK67" s="161">
        <f>SUM(ESF67:ESJ67)</f>
        <v>8675</v>
      </c>
      <c r="ESL67" s="159">
        <v>200</v>
      </c>
      <c r="ESM67" s="161">
        <f>SUM(ESK67:ESL67)</f>
        <v>8875</v>
      </c>
      <c r="ESN67" s="154" t="s">
        <v>106</v>
      </c>
      <c r="ESO67" s="155">
        <v>45845</v>
      </c>
      <c r="ESP67" s="150" t="s">
        <v>60</v>
      </c>
      <c r="ESQ67" s="210"/>
      <c r="ESR67" s="156" t="s">
        <v>132</v>
      </c>
      <c r="ESS67" s="208"/>
      <c r="EST67" s="209"/>
      <c r="ESU67" s="150" t="s">
        <v>24</v>
      </c>
      <c r="ESV67" s="151">
        <v>8150</v>
      </c>
      <c r="ESW67" s="159">
        <v>85</v>
      </c>
      <c r="ESX67" s="160">
        <v>215</v>
      </c>
      <c r="ESY67" s="160">
        <v>75</v>
      </c>
      <c r="ESZ67" s="159">
        <v>150</v>
      </c>
      <c r="ETA67" s="161">
        <f>SUM(ESV67:ESZ67)</f>
        <v>8675</v>
      </c>
      <c r="ETB67" s="159">
        <v>200</v>
      </c>
      <c r="ETC67" s="161">
        <f>SUM(ETA67:ETB67)</f>
        <v>8875</v>
      </c>
      <c r="ETD67" s="154" t="s">
        <v>106</v>
      </c>
      <c r="ETE67" s="155">
        <v>45845</v>
      </c>
      <c r="ETF67" s="150" t="s">
        <v>60</v>
      </c>
      <c r="ETG67" s="210"/>
      <c r="ETH67" s="156" t="s">
        <v>132</v>
      </c>
      <c r="ETI67" s="208"/>
      <c r="ETJ67" s="209"/>
      <c r="ETK67" s="150" t="s">
        <v>24</v>
      </c>
      <c r="ETL67" s="151">
        <v>8150</v>
      </c>
      <c r="ETM67" s="159">
        <v>85</v>
      </c>
      <c r="ETN67" s="160">
        <v>215</v>
      </c>
      <c r="ETO67" s="160">
        <v>75</v>
      </c>
      <c r="ETP67" s="159">
        <v>150</v>
      </c>
      <c r="ETQ67" s="161">
        <f>SUM(ETL67:ETP67)</f>
        <v>8675</v>
      </c>
      <c r="ETR67" s="159">
        <v>200</v>
      </c>
      <c r="ETS67" s="161">
        <f>SUM(ETQ67:ETR67)</f>
        <v>8875</v>
      </c>
      <c r="ETT67" s="154" t="s">
        <v>106</v>
      </c>
      <c r="ETU67" s="155">
        <v>45845</v>
      </c>
      <c r="ETV67" s="150" t="s">
        <v>60</v>
      </c>
      <c r="ETW67" s="210"/>
      <c r="ETX67" s="156" t="s">
        <v>132</v>
      </c>
      <c r="ETY67" s="208"/>
      <c r="ETZ67" s="209"/>
      <c r="EUA67" s="150" t="s">
        <v>24</v>
      </c>
      <c r="EUB67" s="151">
        <v>8150</v>
      </c>
      <c r="EUC67" s="159">
        <v>85</v>
      </c>
      <c r="EUD67" s="160">
        <v>215</v>
      </c>
      <c r="EUE67" s="160">
        <v>75</v>
      </c>
      <c r="EUF67" s="159">
        <v>150</v>
      </c>
      <c r="EUG67" s="161">
        <f>SUM(EUB67:EUF67)</f>
        <v>8675</v>
      </c>
      <c r="EUH67" s="159">
        <v>200</v>
      </c>
      <c r="EUI67" s="161">
        <f>SUM(EUG67:EUH67)</f>
        <v>8875</v>
      </c>
      <c r="EUJ67" s="154" t="s">
        <v>106</v>
      </c>
      <c r="EUK67" s="155">
        <v>45845</v>
      </c>
      <c r="EUL67" s="150" t="s">
        <v>60</v>
      </c>
      <c r="EUM67" s="210"/>
      <c r="EUN67" s="156" t="s">
        <v>132</v>
      </c>
      <c r="EUO67" s="208"/>
      <c r="EUP67" s="209"/>
      <c r="EUQ67" s="150" t="s">
        <v>24</v>
      </c>
      <c r="EUR67" s="151">
        <v>8150</v>
      </c>
      <c r="EUS67" s="159">
        <v>85</v>
      </c>
      <c r="EUT67" s="160">
        <v>215</v>
      </c>
      <c r="EUU67" s="160">
        <v>75</v>
      </c>
      <c r="EUV67" s="159">
        <v>150</v>
      </c>
      <c r="EUW67" s="161">
        <f>SUM(EUR67:EUV67)</f>
        <v>8675</v>
      </c>
      <c r="EUX67" s="159">
        <v>200</v>
      </c>
      <c r="EUY67" s="161">
        <f>SUM(EUW67:EUX67)</f>
        <v>8875</v>
      </c>
      <c r="EUZ67" s="154" t="s">
        <v>106</v>
      </c>
      <c r="EVA67" s="155">
        <v>45845</v>
      </c>
      <c r="EVB67" s="150" t="s">
        <v>60</v>
      </c>
      <c r="EVC67" s="210"/>
      <c r="EVD67" s="156" t="s">
        <v>132</v>
      </c>
      <c r="EVE67" s="208"/>
      <c r="EVF67" s="209"/>
      <c r="EVG67" s="150" t="s">
        <v>24</v>
      </c>
      <c r="EVH67" s="151">
        <v>8150</v>
      </c>
      <c r="EVI67" s="159">
        <v>85</v>
      </c>
      <c r="EVJ67" s="160">
        <v>215</v>
      </c>
      <c r="EVK67" s="160">
        <v>75</v>
      </c>
      <c r="EVL67" s="159">
        <v>150</v>
      </c>
      <c r="EVM67" s="161">
        <f>SUM(EVH67:EVL67)</f>
        <v>8675</v>
      </c>
      <c r="EVN67" s="159">
        <v>200</v>
      </c>
      <c r="EVO67" s="161">
        <f>SUM(EVM67:EVN67)</f>
        <v>8875</v>
      </c>
      <c r="EVP67" s="154" t="s">
        <v>106</v>
      </c>
      <c r="EVQ67" s="155">
        <v>45845</v>
      </c>
      <c r="EVR67" s="150" t="s">
        <v>60</v>
      </c>
      <c r="EVS67" s="210"/>
      <c r="EVT67" s="156" t="s">
        <v>132</v>
      </c>
      <c r="EVU67" s="208"/>
      <c r="EVV67" s="209"/>
      <c r="EVW67" s="150" t="s">
        <v>24</v>
      </c>
      <c r="EVX67" s="151">
        <v>8150</v>
      </c>
      <c r="EVY67" s="159">
        <v>85</v>
      </c>
      <c r="EVZ67" s="160">
        <v>215</v>
      </c>
      <c r="EWA67" s="160">
        <v>75</v>
      </c>
      <c r="EWB67" s="159">
        <v>150</v>
      </c>
      <c r="EWC67" s="161">
        <f>SUM(EVX67:EWB67)</f>
        <v>8675</v>
      </c>
      <c r="EWD67" s="159">
        <v>200</v>
      </c>
      <c r="EWE67" s="161">
        <f>SUM(EWC67:EWD67)</f>
        <v>8875</v>
      </c>
      <c r="EWF67" s="154" t="s">
        <v>106</v>
      </c>
      <c r="EWG67" s="155">
        <v>45845</v>
      </c>
      <c r="EWH67" s="150" t="s">
        <v>60</v>
      </c>
      <c r="EWI67" s="210"/>
      <c r="EWJ67" s="156" t="s">
        <v>132</v>
      </c>
      <c r="EWK67" s="208"/>
      <c r="EWL67" s="209"/>
      <c r="EWM67" s="150" t="s">
        <v>24</v>
      </c>
      <c r="EWN67" s="151">
        <v>8150</v>
      </c>
      <c r="EWO67" s="159">
        <v>85</v>
      </c>
      <c r="EWP67" s="160">
        <v>215</v>
      </c>
      <c r="EWQ67" s="160">
        <v>75</v>
      </c>
      <c r="EWR67" s="159">
        <v>150</v>
      </c>
      <c r="EWS67" s="161">
        <f>SUM(EWN67:EWR67)</f>
        <v>8675</v>
      </c>
      <c r="EWT67" s="159">
        <v>200</v>
      </c>
      <c r="EWU67" s="161">
        <f>SUM(EWS67:EWT67)</f>
        <v>8875</v>
      </c>
      <c r="EWV67" s="154" t="s">
        <v>106</v>
      </c>
      <c r="EWW67" s="155">
        <v>45845</v>
      </c>
      <c r="EWX67" s="150" t="s">
        <v>60</v>
      </c>
      <c r="EWY67" s="210"/>
      <c r="EWZ67" s="156" t="s">
        <v>132</v>
      </c>
      <c r="EXA67" s="208"/>
      <c r="EXB67" s="209"/>
      <c r="EXC67" s="150" t="s">
        <v>24</v>
      </c>
      <c r="EXD67" s="151">
        <v>8150</v>
      </c>
      <c r="EXE67" s="159">
        <v>85</v>
      </c>
      <c r="EXF67" s="160">
        <v>215</v>
      </c>
      <c r="EXG67" s="160">
        <v>75</v>
      </c>
      <c r="EXH67" s="159">
        <v>150</v>
      </c>
      <c r="EXI67" s="161">
        <f>SUM(EXD67:EXH67)</f>
        <v>8675</v>
      </c>
      <c r="EXJ67" s="159">
        <v>200</v>
      </c>
      <c r="EXK67" s="161">
        <f>SUM(EXI67:EXJ67)</f>
        <v>8875</v>
      </c>
      <c r="EXL67" s="154" t="s">
        <v>106</v>
      </c>
      <c r="EXM67" s="155">
        <v>45845</v>
      </c>
      <c r="EXN67" s="150" t="s">
        <v>60</v>
      </c>
      <c r="EXO67" s="210"/>
      <c r="EXP67" s="156" t="s">
        <v>132</v>
      </c>
      <c r="EXQ67" s="208"/>
      <c r="EXR67" s="209"/>
      <c r="EXS67" s="150" t="s">
        <v>24</v>
      </c>
      <c r="EXT67" s="151">
        <v>8150</v>
      </c>
      <c r="EXU67" s="159">
        <v>85</v>
      </c>
      <c r="EXV67" s="160">
        <v>215</v>
      </c>
      <c r="EXW67" s="160">
        <v>75</v>
      </c>
      <c r="EXX67" s="159">
        <v>150</v>
      </c>
      <c r="EXY67" s="161">
        <f>SUM(EXT67:EXX67)</f>
        <v>8675</v>
      </c>
      <c r="EXZ67" s="159">
        <v>200</v>
      </c>
      <c r="EYA67" s="161">
        <f>SUM(EXY67:EXZ67)</f>
        <v>8875</v>
      </c>
      <c r="EYB67" s="154" t="s">
        <v>106</v>
      </c>
      <c r="EYC67" s="155">
        <v>45845</v>
      </c>
      <c r="EYD67" s="150" t="s">
        <v>60</v>
      </c>
      <c r="EYE67" s="210"/>
      <c r="EYF67" s="156" t="s">
        <v>132</v>
      </c>
      <c r="EYG67" s="208"/>
      <c r="EYH67" s="209"/>
      <c r="EYI67" s="150" t="s">
        <v>24</v>
      </c>
      <c r="EYJ67" s="151">
        <v>8150</v>
      </c>
      <c r="EYK67" s="159">
        <v>85</v>
      </c>
      <c r="EYL67" s="160">
        <v>215</v>
      </c>
      <c r="EYM67" s="160">
        <v>75</v>
      </c>
      <c r="EYN67" s="159">
        <v>150</v>
      </c>
      <c r="EYO67" s="161">
        <f>SUM(EYJ67:EYN67)</f>
        <v>8675</v>
      </c>
      <c r="EYP67" s="159">
        <v>200</v>
      </c>
      <c r="EYQ67" s="161">
        <f>SUM(EYO67:EYP67)</f>
        <v>8875</v>
      </c>
      <c r="EYR67" s="154" t="s">
        <v>106</v>
      </c>
      <c r="EYS67" s="155">
        <v>45845</v>
      </c>
      <c r="EYT67" s="150" t="s">
        <v>60</v>
      </c>
      <c r="EYU67" s="210"/>
      <c r="EYV67" s="156" t="s">
        <v>132</v>
      </c>
      <c r="EYW67" s="208"/>
      <c r="EYX67" s="209"/>
      <c r="EYY67" s="150" t="s">
        <v>24</v>
      </c>
      <c r="EYZ67" s="151">
        <v>8150</v>
      </c>
      <c r="EZA67" s="159">
        <v>85</v>
      </c>
      <c r="EZB67" s="160">
        <v>215</v>
      </c>
      <c r="EZC67" s="160">
        <v>75</v>
      </c>
      <c r="EZD67" s="159">
        <v>150</v>
      </c>
      <c r="EZE67" s="161">
        <f>SUM(EYZ67:EZD67)</f>
        <v>8675</v>
      </c>
      <c r="EZF67" s="159">
        <v>200</v>
      </c>
      <c r="EZG67" s="161">
        <f>SUM(EZE67:EZF67)</f>
        <v>8875</v>
      </c>
      <c r="EZH67" s="154" t="s">
        <v>106</v>
      </c>
      <c r="EZI67" s="155">
        <v>45845</v>
      </c>
      <c r="EZJ67" s="150" t="s">
        <v>60</v>
      </c>
      <c r="EZK67" s="210"/>
      <c r="EZL67" s="156" t="s">
        <v>132</v>
      </c>
      <c r="EZM67" s="208"/>
      <c r="EZN67" s="209"/>
      <c r="EZO67" s="150" t="s">
        <v>24</v>
      </c>
      <c r="EZP67" s="151">
        <v>8150</v>
      </c>
      <c r="EZQ67" s="159">
        <v>85</v>
      </c>
      <c r="EZR67" s="160">
        <v>215</v>
      </c>
      <c r="EZS67" s="160">
        <v>75</v>
      </c>
      <c r="EZT67" s="159">
        <v>150</v>
      </c>
      <c r="EZU67" s="161">
        <f>SUM(EZP67:EZT67)</f>
        <v>8675</v>
      </c>
      <c r="EZV67" s="159">
        <v>200</v>
      </c>
      <c r="EZW67" s="161">
        <f>SUM(EZU67:EZV67)</f>
        <v>8875</v>
      </c>
      <c r="EZX67" s="154" t="s">
        <v>106</v>
      </c>
      <c r="EZY67" s="155">
        <v>45845</v>
      </c>
      <c r="EZZ67" s="150" t="s">
        <v>60</v>
      </c>
      <c r="FAA67" s="210"/>
      <c r="FAB67" s="156" t="s">
        <v>132</v>
      </c>
      <c r="FAC67" s="208"/>
      <c r="FAD67" s="209"/>
      <c r="FAE67" s="150" t="s">
        <v>24</v>
      </c>
      <c r="FAF67" s="151">
        <v>8150</v>
      </c>
      <c r="FAG67" s="159">
        <v>85</v>
      </c>
      <c r="FAH67" s="160">
        <v>215</v>
      </c>
      <c r="FAI67" s="160">
        <v>75</v>
      </c>
      <c r="FAJ67" s="159">
        <v>150</v>
      </c>
      <c r="FAK67" s="161">
        <f>SUM(FAF67:FAJ67)</f>
        <v>8675</v>
      </c>
      <c r="FAL67" s="159">
        <v>200</v>
      </c>
      <c r="FAM67" s="161">
        <f>SUM(FAK67:FAL67)</f>
        <v>8875</v>
      </c>
      <c r="FAN67" s="154" t="s">
        <v>106</v>
      </c>
      <c r="FAO67" s="155">
        <v>45845</v>
      </c>
      <c r="FAP67" s="150" t="s">
        <v>60</v>
      </c>
      <c r="FAQ67" s="210"/>
      <c r="FAR67" s="156" t="s">
        <v>132</v>
      </c>
      <c r="FAS67" s="208"/>
      <c r="FAT67" s="209"/>
      <c r="FAU67" s="150" t="s">
        <v>24</v>
      </c>
      <c r="FAV67" s="151">
        <v>8150</v>
      </c>
      <c r="FAW67" s="159">
        <v>85</v>
      </c>
      <c r="FAX67" s="160">
        <v>215</v>
      </c>
      <c r="FAY67" s="160">
        <v>75</v>
      </c>
      <c r="FAZ67" s="159">
        <v>150</v>
      </c>
      <c r="FBA67" s="161">
        <f>SUM(FAV67:FAZ67)</f>
        <v>8675</v>
      </c>
      <c r="FBB67" s="159">
        <v>200</v>
      </c>
      <c r="FBC67" s="161">
        <f>SUM(FBA67:FBB67)</f>
        <v>8875</v>
      </c>
      <c r="FBD67" s="154" t="s">
        <v>106</v>
      </c>
      <c r="FBE67" s="155">
        <v>45845</v>
      </c>
      <c r="FBF67" s="150" t="s">
        <v>60</v>
      </c>
      <c r="FBG67" s="210"/>
      <c r="FBH67" s="156" t="s">
        <v>132</v>
      </c>
      <c r="FBI67" s="208"/>
      <c r="FBJ67" s="209"/>
      <c r="FBK67" s="150" t="s">
        <v>24</v>
      </c>
      <c r="FBL67" s="151">
        <v>8150</v>
      </c>
      <c r="FBM67" s="159">
        <v>85</v>
      </c>
      <c r="FBN67" s="160">
        <v>215</v>
      </c>
      <c r="FBO67" s="160">
        <v>75</v>
      </c>
      <c r="FBP67" s="159">
        <v>150</v>
      </c>
      <c r="FBQ67" s="161">
        <f>SUM(FBL67:FBP67)</f>
        <v>8675</v>
      </c>
      <c r="FBR67" s="159">
        <v>200</v>
      </c>
      <c r="FBS67" s="161">
        <f>SUM(FBQ67:FBR67)</f>
        <v>8875</v>
      </c>
      <c r="FBT67" s="154" t="s">
        <v>106</v>
      </c>
      <c r="FBU67" s="155">
        <v>45845</v>
      </c>
      <c r="FBV67" s="150" t="s">
        <v>60</v>
      </c>
      <c r="FBW67" s="210"/>
      <c r="FBX67" s="156" t="s">
        <v>132</v>
      </c>
      <c r="FBY67" s="208"/>
      <c r="FBZ67" s="209"/>
      <c r="FCA67" s="150" t="s">
        <v>24</v>
      </c>
      <c r="FCB67" s="151">
        <v>8150</v>
      </c>
      <c r="FCC67" s="159">
        <v>85</v>
      </c>
      <c r="FCD67" s="160">
        <v>215</v>
      </c>
      <c r="FCE67" s="160">
        <v>75</v>
      </c>
      <c r="FCF67" s="159">
        <v>150</v>
      </c>
      <c r="FCG67" s="161">
        <f>SUM(FCB67:FCF67)</f>
        <v>8675</v>
      </c>
      <c r="FCH67" s="159">
        <v>200</v>
      </c>
      <c r="FCI67" s="161">
        <f>SUM(FCG67:FCH67)</f>
        <v>8875</v>
      </c>
      <c r="FCJ67" s="154" t="s">
        <v>106</v>
      </c>
      <c r="FCK67" s="155">
        <v>45845</v>
      </c>
      <c r="FCL67" s="150" t="s">
        <v>60</v>
      </c>
      <c r="FCM67" s="210"/>
      <c r="FCN67" s="156" t="s">
        <v>132</v>
      </c>
      <c r="FCO67" s="208"/>
      <c r="FCP67" s="209"/>
      <c r="FCQ67" s="150" t="s">
        <v>24</v>
      </c>
      <c r="FCR67" s="151">
        <v>8150</v>
      </c>
      <c r="FCS67" s="159">
        <v>85</v>
      </c>
      <c r="FCT67" s="160">
        <v>215</v>
      </c>
      <c r="FCU67" s="160">
        <v>75</v>
      </c>
      <c r="FCV67" s="159">
        <v>150</v>
      </c>
      <c r="FCW67" s="161">
        <f>SUM(FCR67:FCV67)</f>
        <v>8675</v>
      </c>
      <c r="FCX67" s="159">
        <v>200</v>
      </c>
      <c r="FCY67" s="161">
        <f>SUM(FCW67:FCX67)</f>
        <v>8875</v>
      </c>
      <c r="FCZ67" s="154" t="s">
        <v>106</v>
      </c>
      <c r="FDA67" s="155">
        <v>45845</v>
      </c>
      <c r="FDB67" s="150" t="s">
        <v>60</v>
      </c>
      <c r="FDC67" s="210"/>
      <c r="FDD67" s="156" t="s">
        <v>132</v>
      </c>
      <c r="FDE67" s="208"/>
      <c r="FDF67" s="209"/>
      <c r="FDG67" s="150" t="s">
        <v>24</v>
      </c>
      <c r="FDH67" s="151">
        <v>8150</v>
      </c>
      <c r="FDI67" s="159">
        <v>85</v>
      </c>
      <c r="FDJ67" s="160">
        <v>215</v>
      </c>
      <c r="FDK67" s="160">
        <v>75</v>
      </c>
      <c r="FDL67" s="159">
        <v>150</v>
      </c>
      <c r="FDM67" s="161">
        <f>SUM(FDH67:FDL67)</f>
        <v>8675</v>
      </c>
      <c r="FDN67" s="159">
        <v>200</v>
      </c>
      <c r="FDO67" s="161">
        <f>SUM(FDM67:FDN67)</f>
        <v>8875</v>
      </c>
      <c r="FDP67" s="154" t="s">
        <v>106</v>
      </c>
      <c r="FDQ67" s="155">
        <v>45845</v>
      </c>
      <c r="FDR67" s="150" t="s">
        <v>60</v>
      </c>
      <c r="FDS67" s="210"/>
      <c r="FDT67" s="156" t="s">
        <v>132</v>
      </c>
      <c r="FDU67" s="208"/>
      <c r="FDV67" s="209"/>
      <c r="FDW67" s="150" t="s">
        <v>24</v>
      </c>
      <c r="FDX67" s="151">
        <v>8150</v>
      </c>
      <c r="FDY67" s="159">
        <v>85</v>
      </c>
      <c r="FDZ67" s="160">
        <v>215</v>
      </c>
      <c r="FEA67" s="160">
        <v>75</v>
      </c>
      <c r="FEB67" s="159">
        <v>150</v>
      </c>
      <c r="FEC67" s="161">
        <f>SUM(FDX67:FEB67)</f>
        <v>8675</v>
      </c>
      <c r="FED67" s="159">
        <v>200</v>
      </c>
      <c r="FEE67" s="161">
        <f>SUM(FEC67:FED67)</f>
        <v>8875</v>
      </c>
      <c r="FEF67" s="154" t="s">
        <v>106</v>
      </c>
      <c r="FEG67" s="155">
        <v>45845</v>
      </c>
      <c r="FEH67" s="150" t="s">
        <v>60</v>
      </c>
      <c r="FEI67" s="210"/>
      <c r="FEJ67" s="156" t="s">
        <v>132</v>
      </c>
      <c r="FEK67" s="208"/>
      <c r="FEL67" s="209"/>
      <c r="FEM67" s="150" t="s">
        <v>24</v>
      </c>
      <c r="FEN67" s="151">
        <v>8150</v>
      </c>
      <c r="FEO67" s="159">
        <v>85</v>
      </c>
      <c r="FEP67" s="160">
        <v>215</v>
      </c>
      <c r="FEQ67" s="160">
        <v>75</v>
      </c>
      <c r="FER67" s="159">
        <v>150</v>
      </c>
      <c r="FES67" s="161">
        <f>SUM(FEN67:FER67)</f>
        <v>8675</v>
      </c>
      <c r="FET67" s="159">
        <v>200</v>
      </c>
      <c r="FEU67" s="161">
        <f>SUM(FES67:FET67)</f>
        <v>8875</v>
      </c>
      <c r="FEV67" s="154" t="s">
        <v>106</v>
      </c>
      <c r="FEW67" s="155">
        <v>45845</v>
      </c>
      <c r="FEX67" s="150" t="s">
        <v>60</v>
      </c>
      <c r="FEY67" s="210"/>
      <c r="FEZ67" s="156" t="s">
        <v>132</v>
      </c>
      <c r="FFA67" s="208"/>
      <c r="FFB67" s="209"/>
      <c r="FFC67" s="150" t="s">
        <v>24</v>
      </c>
      <c r="FFD67" s="151">
        <v>8150</v>
      </c>
      <c r="FFE67" s="159">
        <v>85</v>
      </c>
      <c r="FFF67" s="160">
        <v>215</v>
      </c>
      <c r="FFG67" s="160">
        <v>75</v>
      </c>
      <c r="FFH67" s="159">
        <v>150</v>
      </c>
      <c r="FFI67" s="161">
        <f>SUM(FFD67:FFH67)</f>
        <v>8675</v>
      </c>
      <c r="FFJ67" s="159">
        <v>200</v>
      </c>
      <c r="FFK67" s="161">
        <f>SUM(FFI67:FFJ67)</f>
        <v>8875</v>
      </c>
      <c r="FFL67" s="154" t="s">
        <v>106</v>
      </c>
      <c r="FFM67" s="155">
        <v>45845</v>
      </c>
      <c r="FFN67" s="150" t="s">
        <v>60</v>
      </c>
      <c r="FFO67" s="210"/>
      <c r="FFP67" s="156" t="s">
        <v>132</v>
      </c>
      <c r="FFQ67" s="208"/>
      <c r="FFR67" s="209"/>
      <c r="FFS67" s="150" t="s">
        <v>24</v>
      </c>
      <c r="FFT67" s="151">
        <v>8150</v>
      </c>
      <c r="FFU67" s="159">
        <v>85</v>
      </c>
      <c r="FFV67" s="160">
        <v>215</v>
      </c>
      <c r="FFW67" s="160">
        <v>75</v>
      </c>
      <c r="FFX67" s="159">
        <v>150</v>
      </c>
      <c r="FFY67" s="161">
        <f>SUM(FFT67:FFX67)</f>
        <v>8675</v>
      </c>
      <c r="FFZ67" s="159">
        <v>200</v>
      </c>
      <c r="FGA67" s="161">
        <f>SUM(FFY67:FFZ67)</f>
        <v>8875</v>
      </c>
      <c r="FGB67" s="154" t="s">
        <v>106</v>
      </c>
      <c r="FGC67" s="155">
        <v>45845</v>
      </c>
      <c r="FGD67" s="150" t="s">
        <v>60</v>
      </c>
      <c r="FGE67" s="210"/>
      <c r="FGF67" s="156" t="s">
        <v>132</v>
      </c>
      <c r="FGG67" s="208"/>
      <c r="FGH67" s="209"/>
      <c r="FGI67" s="150" t="s">
        <v>24</v>
      </c>
      <c r="FGJ67" s="151">
        <v>8150</v>
      </c>
      <c r="FGK67" s="159">
        <v>85</v>
      </c>
      <c r="FGL67" s="160">
        <v>215</v>
      </c>
      <c r="FGM67" s="160">
        <v>75</v>
      </c>
      <c r="FGN67" s="159">
        <v>150</v>
      </c>
      <c r="FGO67" s="161">
        <f>SUM(FGJ67:FGN67)</f>
        <v>8675</v>
      </c>
      <c r="FGP67" s="159">
        <v>200</v>
      </c>
      <c r="FGQ67" s="161">
        <f>SUM(FGO67:FGP67)</f>
        <v>8875</v>
      </c>
      <c r="FGR67" s="154" t="s">
        <v>106</v>
      </c>
      <c r="FGS67" s="155">
        <v>45845</v>
      </c>
      <c r="FGT67" s="150" t="s">
        <v>60</v>
      </c>
      <c r="FGU67" s="210"/>
      <c r="FGV67" s="156" t="s">
        <v>132</v>
      </c>
      <c r="FGW67" s="208"/>
      <c r="FGX67" s="209"/>
      <c r="FGY67" s="150" t="s">
        <v>24</v>
      </c>
      <c r="FGZ67" s="151">
        <v>8150</v>
      </c>
      <c r="FHA67" s="159">
        <v>85</v>
      </c>
      <c r="FHB67" s="160">
        <v>215</v>
      </c>
      <c r="FHC67" s="160">
        <v>75</v>
      </c>
      <c r="FHD67" s="159">
        <v>150</v>
      </c>
      <c r="FHE67" s="161">
        <f>SUM(FGZ67:FHD67)</f>
        <v>8675</v>
      </c>
      <c r="FHF67" s="159">
        <v>200</v>
      </c>
      <c r="FHG67" s="161">
        <f>SUM(FHE67:FHF67)</f>
        <v>8875</v>
      </c>
      <c r="FHH67" s="154" t="s">
        <v>106</v>
      </c>
      <c r="FHI67" s="155">
        <v>45845</v>
      </c>
      <c r="FHJ67" s="150" t="s">
        <v>60</v>
      </c>
      <c r="FHK67" s="210"/>
      <c r="FHL67" s="156" t="s">
        <v>132</v>
      </c>
      <c r="FHM67" s="208"/>
      <c r="FHN67" s="209"/>
      <c r="FHO67" s="150" t="s">
        <v>24</v>
      </c>
      <c r="FHP67" s="151">
        <v>8150</v>
      </c>
      <c r="FHQ67" s="159">
        <v>85</v>
      </c>
      <c r="FHR67" s="160">
        <v>215</v>
      </c>
      <c r="FHS67" s="160">
        <v>75</v>
      </c>
      <c r="FHT67" s="159">
        <v>150</v>
      </c>
      <c r="FHU67" s="161">
        <f>SUM(FHP67:FHT67)</f>
        <v>8675</v>
      </c>
      <c r="FHV67" s="159">
        <v>200</v>
      </c>
      <c r="FHW67" s="161">
        <f>SUM(FHU67:FHV67)</f>
        <v>8875</v>
      </c>
      <c r="FHX67" s="154" t="s">
        <v>106</v>
      </c>
      <c r="FHY67" s="155">
        <v>45845</v>
      </c>
      <c r="FHZ67" s="150" t="s">
        <v>60</v>
      </c>
      <c r="FIA67" s="210"/>
      <c r="FIB67" s="156" t="s">
        <v>132</v>
      </c>
      <c r="FIC67" s="208"/>
      <c r="FID67" s="209"/>
      <c r="FIE67" s="150" t="s">
        <v>24</v>
      </c>
      <c r="FIF67" s="151">
        <v>8150</v>
      </c>
      <c r="FIG67" s="159">
        <v>85</v>
      </c>
      <c r="FIH67" s="160">
        <v>215</v>
      </c>
      <c r="FII67" s="160">
        <v>75</v>
      </c>
      <c r="FIJ67" s="159">
        <v>150</v>
      </c>
      <c r="FIK67" s="161">
        <f>SUM(FIF67:FIJ67)</f>
        <v>8675</v>
      </c>
      <c r="FIL67" s="159">
        <v>200</v>
      </c>
      <c r="FIM67" s="161">
        <f>SUM(FIK67:FIL67)</f>
        <v>8875</v>
      </c>
      <c r="FIN67" s="154" t="s">
        <v>106</v>
      </c>
      <c r="FIO67" s="155">
        <v>45845</v>
      </c>
      <c r="FIP67" s="150" t="s">
        <v>60</v>
      </c>
      <c r="FIQ67" s="210"/>
      <c r="FIR67" s="156" t="s">
        <v>132</v>
      </c>
      <c r="FIS67" s="208"/>
      <c r="FIT67" s="209"/>
      <c r="FIU67" s="150" t="s">
        <v>24</v>
      </c>
      <c r="FIV67" s="151">
        <v>8150</v>
      </c>
      <c r="FIW67" s="159">
        <v>85</v>
      </c>
      <c r="FIX67" s="160">
        <v>215</v>
      </c>
      <c r="FIY67" s="160">
        <v>75</v>
      </c>
      <c r="FIZ67" s="159">
        <v>150</v>
      </c>
      <c r="FJA67" s="161">
        <f>SUM(FIV67:FIZ67)</f>
        <v>8675</v>
      </c>
      <c r="FJB67" s="159">
        <v>200</v>
      </c>
      <c r="FJC67" s="161">
        <f>SUM(FJA67:FJB67)</f>
        <v>8875</v>
      </c>
      <c r="FJD67" s="154" t="s">
        <v>106</v>
      </c>
      <c r="FJE67" s="155">
        <v>45845</v>
      </c>
      <c r="FJF67" s="150" t="s">
        <v>60</v>
      </c>
      <c r="FJG67" s="210"/>
      <c r="FJH67" s="156" t="s">
        <v>132</v>
      </c>
      <c r="FJI67" s="208"/>
      <c r="FJJ67" s="209"/>
      <c r="FJK67" s="150" t="s">
        <v>24</v>
      </c>
      <c r="FJL67" s="151">
        <v>8150</v>
      </c>
      <c r="FJM67" s="159">
        <v>85</v>
      </c>
      <c r="FJN67" s="160">
        <v>215</v>
      </c>
      <c r="FJO67" s="160">
        <v>75</v>
      </c>
      <c r="FJP67" s="159">
        <v>150</v>
      </c>
      <c r="FJQ67" s="161">
        <f>SUM(FJL67:FJP67)</f>
        <v>8675</v>
      </c>
      <c r="FJR67" s="159">
        <v>200</v>
      </c>
      <c r="FJS67" s="161">
        <f>SUM(FJQ67:FJR67)</f>
        <v>8875</v>
      </c>
      <c r="FJT67" s="154" t="s">
        <v>106</v>
      </c>
      <c r="FJU67" s="155">
        <v>45845</v>
      </c>
      <c r="FJV67" s="150" t="s">
        <v>60</v>
      </c>
      <c r="FJW67" s="210"/>
      <c r="FJX67" s="156" t="s">
        <v>132</v>
      </c>
      <c r="FJY67" s="208"/>
      <c r="FJZ67" s="209"/>
      <c r="FKA67" s="150" t="s">
        <v>24</v>
      </c>
      <c r="FKB67" s="151">
        <v>8150</v>
      </c>
      <c r="FKC67" s="159">
        <v>85</v>
      </c>
      <c r="FKD67" s="160">
        <v>215</v>
      </c>
      <c r="FKE67" s="160">
        <v>75</v>
      </c>
      <c r="FKF67" s="159">
        <v>150</v>
      </c>
      <c r="FKG67" s="161">
        <f>SUM(FKB67:FKF67)</f>
        <v>8675</v>
      </c>
      <c r="FKH67" s="159">
        <v>200</v>
      </c>
      <c r="FKI67" s="161">
        <f>SUM(FKG67:FKH67)</f>
        <v>8875</v>
      </c>
      <c r="FKJ67" s="154" t="s">
        <v>106</v>
      </c>
      <c r="FKK67" s="155">
        <v>45845</v>
      </c>
      <c r="FKL67" s="150" t="s">
        <v>60</v>
      </c>
      <c r="FKM67" s="210"/>
      <c r="FKN67" s="156" t="s">
        <v>132</v>
      </c>
      <c r="FKO67" s="208"/>
      <c r="FKP67" s="209"/>
      <c r="FKQ67" s="150" t="s">
        <v>24</v>
      </c>
      <c r="FKR67" s="151">
        <v>8150</v>
      </c>
      <c r="FKS67" s="159">
        <v>85</v>
      </c>
      <c r="FKT67" s="160">
        <v>215</v>
      </c>
      <c r="FKU67" s="160">
        <v>75</v>
      </c>
      <c r="FKV67" s="159">
        <v>150</v>
      </c>
      <c r="FKW67" s="161">
        <f>SUM(FKR67:FKV67)</f>
        <v>8675</v>
      </c>
      <c r="FKX67" s="159">
        <v>200</v>
      </c>
      <c r="FKY67" s="161">
        <f>SUM(FKW67:FKX67)</f>
        <v>8875</v>
      </c>
      <c r="FKZ67" s="154" t="s">
        <v>106</v>
      </c>
      <c r="FLA67" s="155">
        <v>45845</v>
      </c>
      <c r="FLB67" s="150" t="s">
        <v>60</v>
      </c>
      <c r="FLC67" s="210"/>
      <c r="FLD67" s="156" t="s">
        <v>132</v>
      </c>
      <c r="FLE67" s="208"/>
      <c r="FLF67" s="209"/>
      <c r="FLG67" s="150" t="s">
        <v>24</v>
      </c>
      <c r="FLH67" s="151">
        <v>8150</v>
      </c>
      <c r="FLI67" s="159">
        <v>85</v>
      </c>
      <c r="FLJ67" s="160">
        <v>215</v>
      </c>
      <c r="FLK67" s="160">
        <v>75</v>
      </c>
      <c r="FLL67" s="159">
        <v>150</v>
      </c>
      <c r="FLM67" s="161">
        <f>SUM(FLH67:FLL67)</f>
        <v>8675</v>
      </c>
      <c r="FLN67" s="159">
        <v>200</v>
      </c>
      <c r="FLO67" s="161">
        <f>SUM(FLM67:FLN67)</f>
        <v>8875</v>
      </c>
      <c r="FLP67" s="154" t="s">
        <v>106</v>
      </c>
      <c r="FLQ67" s="155">
        <v>45845</v>
      </c>
      <c r="FLR67" s="150" t="s">
        <v>60</v>
      </c>
      <c r="FLS67" s="210"/>
      <c r="FLT67" s="156" t="s">
        <v>132</v>
      </c>
      <c r="FLU67" s="208"/>
      <c r="FLV67" s="209"/>
      <c r="FLW67" s="150" t="s">
        <v>24</v>
      </c>
      <c r="FLX67" s="151">
        <v>8150</v>
      </c>
      <c r="FLY67" s="159">
        <v>85</v>
      </c>
      <c r="FLZ67" s="160">
        <v>215</v>
      </c>
      <c r="FMA67" s="160">
        <v>75</v>
      </c>
      <c r="FMB67" s="159">
        <v>150</v>
      </c>
      <c r="FMC67" s="161">
        <f>SUM(FLX67:FMB67)</f>
        <v>8675</v>
      </c>
      <c r="FMD67" s="159">
        <v>200</v>
      </c>
      <c r="FME67" s="161">
        <f>SUM(FMC67:FMD67)</f>
        <v>8875</v>
      </c>
      <c r="FMF67" s="154" t="s">
        <v>106</v>
      </c>
      <c r="FMG67" s="155">
        <v>45845</v>
      </c>
      <c r="FMH67" s="150" t="s">
        <v>60</v>
      </c>
      <c r="FMI67" s="210"/>
      <c r="FMJ67" s="156" t="s">
        <v>132</v>
      </c>
      <c r="FMK67" s="208"/>
      <c r="FML67" s="209"/>
      <c r="FMM67" s="150" t="s">
        <v>24</v>
      </c>
      <c r="FMN67" s="151">
        <v>8150</v>
      </c>
      <c r="FMO67" s="159">
        <v>85</v>
      </c>
      <c r="FMP67" s="160">
        <v>215</v>
      </c>
      <c r="FMQ67" s="160">
        <v>75</v>
      </c>
      <c r="FMR67" s="159">
        <v>150</v>
      </c>
      <c r="FMS67" s="161">
        <f>SUM(FMN67:FMR67)</f>
        <v>8675</v>
      </c>
      <c r="FMT67" s="159">
        <v>200</v>
      </c>
      <c r="FMU67" s="161">
        <f>SUM(FMS67:FMT67)</f>
        <v>8875</v>
      </c>
      <c r="FMV67" s="154" t="s">
        <v>106</v>
      </c>
      <c r="FMW67" s="155">
        <v>45845</v>
      </c>
      <c r="FMX67" s="150" t="s">
        <v>60</v>
      </c>
      <c r="FMY67" s="210"/>
      <c r="FMZ67" s="156" t="s">
        <v>132</v>
      </c>
      <c r="FNA67" s="208"/>
      <c r="FNB67" s="209"/>
      <c r="FNC67" s="150" t="s">
        <v>24</v>
      </c>
      <c r="FND67" s="151">
        <v>8150</v>
      </c>
      <c r="FNE67" s="159">
        <v>85</v>
      </c>
      <c r="FNF67" s="160">
        <v>215</v>
      </c>
      <c r="FNG67" s="160">
        <v>75</v>
      </c>
      <c r="FNH67" s="159">
        <v>150</v>
      </c>
      <c r="FNI67" s="161">
        <f>SUM(FND67:FNH67)</f>
        <v>8675</v>
      </c>
      <c r="FNJ67" s="159">
        <v>200</v>
      </c>
      <c r="FNK67" s="161">
        <f>SUM(FNI67:FNJ67)</f>
        <v>8875</v>
      </c>
      <c r="FNL67" s="154" t="s">
        <v>106</v>
      </c>
      <c r="FNM67" s="155">
        <v>45845</v>
      </c>
      <c r="FNN67" s="150" t="s">
        <v>60</v>
      </c>
      <c r="FNO67" s="210"/>
      <c r="FNP67" s="156" t="s">
        <v>132</v>
      </c>
      <c r="FNQ67" s="208"/>
      <c r="FNR67" s="209"/>
      <c r="FNS67" s="150" t="s">
        <v>24</v>
      </c>
      <c r="FNT67" s="151">
        <v>8150</v>
      </c>
      <c r="FNU67" s="159">
        <v>85</v>
      </c>
      <c r="FNV67" s="160">
        <v>215</v>
      </c>
      <c r="FNW67" s="160">
        <v>75</v>
      </c>
      <c r="FNX67" s="159">
        <v>150</v>
      </c>
      <c r="FNY67" s="161">
        <f>SUM(FNT67:FNX67)</f>
        <v>8675</v>
      </c>
      <c r="FNZ67" s="159">
        <v>200</v>
      </c>
      <c r="FOA67" s="161">
        <f>SUM(FNY67:FNZ67)</f>
        <v>8875</v>
      </c>
      <c r="FOB67" s="154" t="s">
        <v>106</v>
      </c>
      <c r="FOC67" s="155">
        <v>45845</v>
      </c>
      <c r="FOD67" s="150" t="s">
        <v>60</v>
      </c>
      <c r="FOE67" s="210"/>
      <c r="FOF67" s="156" t="s">
        <v>132</v>
      </c>
      <c r="FOG67" s="208"/>
      <c r="FOH67" s="209"/>
      <c r="FOI67" s="150" t="s">
        <v>24</v>
      </c>
      <c r="FOJ67" s="151">
        <v>8150</v>
      </c>
      <c r="FOK67" s="159">
        <v>85</v>
      </c>
      <c r="FOL67" s="160">
        <v>215</v>
      </c>
      <c r="FOM67" s="160">
        <v>75</v>
      </c>
      <c r="FON67" s="159">
        <v>150</v>
      </c>
      <c r="FOO67" s="161">
        <f>SUM(FOJ67:FON67)</f>
        <v>8675</v>
      </c>
      <c r="FOP67" s="159">
        <v>200</v>
      </c>
      <c r="FOQ67" s="161">
        <f>SUM(FOO67:FOP67)</f>
        <v>8875</v>
      </c>
      <c r="FOR67" s="154" t="s">
        <v>106</v>
      </c>
      <c r="FOS67" s="155">
        <v>45845</v>
      </c>
      <c r="FOT67" s="150" t="s">
        <v>60</v>
      </c>
      <c r="FOU67" s="210"/>
      <c r="FOV67" s="156" t="s">
        <v>132</v>
      </c>
      <c r="FOW67" s="208"/>
      <c r="FOX67" s="209"/>
      <c r="FOY67" s="150" t="s">
        <v>24</v>
      </c>
      <c r="FOZ67" s="151">
        <v>8150</v>
      </c>
      <c r="FPA67" s="159">
        <v>85</v>
      </c>
      <c r="FPB67" s="160">
        <v>215</v>
      </c>
      <c r="FPC67" s="160">
        <v>75</v>
      </c>
      <c r="FPD67" s="159">
        <v>150</v>
      </c>
      <c r="FPE67" s="161">
        <f>SUM(FOZ67:FPD67)</f>
        <v>8675</v>
      </c>
      <c r="FPF67" s="159">
        <v>200</v>
      </c>
      <c r="FPG67" s="161">
        <f>SUM(FPE67:FPF67)</f>
        <v>8875</v>
      </c>
      <c r="FPH67" s="154" t="s">
        <v>106</v>
      </c>
      <c r="FPI67" s="155">
        <v>45845</v>
      </c>
      <c r="FPJ67" s="150" t="s">
        <v>60</v>
      </c>
      <c r="FPK67" s="210"/>
      <c r="FPL67" s="156" t="s">
        <v>132</v>
      </c>
      <c r="FPM67" s="208"/>
      <c r="FPN67" s="209"/>
      <c r="FPO67" s="150" t="s">
        <v>24</v>
      </c>
      <c r="FPP67" s="151">
        <v>8150</v>
      </c>
      <c r="FPQ67" s="159">
        <v>85</v>
      </c>
      <c r="FPR67" s="160">
        <v>215</v>
      </c>
      <c r="FPS67" s="160">
        <v>75</v>
      </c>
      <c r="FPT67" s="159">
        <v>150</v>
      </c>
      <c r="FPU67" s="161">
        <f>SUM(FPP67:FPT67)</f>
        <v>8675</v>
      </c>
      <c r="FPV67" s="159">
        <v>200</v>
      </c>
      <c r="FPW67" s="161">
        <f>SUM(FPU67:FPV67)</f>
        <v>8875</v>
      </c>
      <c r="FPX67" s="154" t="s">
        <v>106</v>
      </c>
      <c r="FPY67" s="155">
        <v>45845</v>
      </c>
      <c r="FPZ67" s="150" t="s">
        <v>60</v>
      </c>
      <c r="FQA67" s="210"/>
      <c r="FQB67" s="156" t="s">
        <v>132</v>
      </c>
      <c r="FQC67" s="208"/>
      <c r="FQD67" s="209"/>
      <c r="FQE67" s="150" t="s">
        <v>24</v>
      </c>
      <c r="FQF67" s="151">
        <v>8150</v>
      </c>
      <c r="FQG67" s="159">
        <v>85</v>
      </c>
      <c r="FQH67" s="160">
        <v>215</v>
      </c>
      <c r="FQI67" s="160">
        <v>75</v>
      </c>
      <c r="FQJ67" s="159">
        <v>150</v>
      </c>
      <c r="FQK67" s="161">
        <f>SUM(FQF67:FQJ67)</f>
        <v>8675</v>
      </c>
      <c r="FQL67" s="159">
        <v>200</v>
      </c>
      <c r="FQM67" s="161">
        <f>SUM(FQK67:FQL67)</f>
        <v>8875</v>
      </c>
      <c r="FQN67" s="154" t="s">
        <v>106</v>
      </c>
      <c r="FQO67" s="155">
        <v>45845</v>
      </c>
      <c r="FQP67" s="150" t="s">
        <v>60</v>
      </c>
      <c r="FQQ67" s="210"/>
      <c r="FQR67" s="156" t="s">
        <v>132</v>
      </c>
      <c r="FQS67" s="208"/>
      <c r="FQT67" s="209"/>
      <c r="FQU67" s="150" t="s">
        <v>24</v>
      </c>
      <c r="FQV67" s="151">
        <v>8150</v>
      </c>
      <c r="FQW67" s="159">
        <v>85</v>
      </c>
      <c r="FQX67" s="160">
        <v>215</v>
      </c>
      <c r="FQY67" s="160">
        <v>75</v>
      </c>
      <c r="FQZ67" s="159">
        <v>150</v>
      </c>
      <c r="FRA67" s="161">
        <f>SUM(FQV67:FQZ67)</f>
        <v>8675</v>
      </c>
      <c r="FRB67" s="159">
        <v>200</v>
      </c>
      <c r="FRC67" s="161">
        <f>SUM(FRA67:FRB67)</f>
        <v>8875</v>
      </c>
      <c r="FRD67" s="154" t="s">
        <v>106</v>
      </c>
      <c r="FRE67" s="155">
        <v>45845</v>
      </c>
      <c r="FRF67" s="150" t="s">
        <v>60</v>
      </c>
      <c r="FRG67" s="210"/>
      <c r="FRH67" s="156" t="s">
        <v>132</v>
      </c>
      <c r="FRI67" s="208"/>
      <c r="FRJ67" s="209"/>
      <c r="FRK67" s="150" t="s">
        <v>24</v>
      </c>
      <c r="FRL67" s="151">
        <v>8150</v>
      </c>
      <c r="FRM67" s="159">
        <v>85</v>
      </c>
      <c r="FRN67" s="160">
        <v>215</v>
      </c>
      <c r="FRO67" s="160">
        <v>75</v>
      </c>
      <c r="FRP67" s="159">
        <v>150</v>
      </c>
      <c r="FRQ67" s="161">
        <f>SUM(FRL67:FRP67)</f>
        <v>8675</v>
      </c>
      <c r="FRR67" s="159">
        <v>200</v>
      </c>
      <c r="FRS67" s="161">
        <f>SUM(FRQ67:FRR67)</f>
        <v>8875</v>
      </c>
      <c r="FRT67" s="154" t="s">
        <v>106</v>
      </c>
      <c r="FRU67" s="155">
        <v>45845</v>
      </c>
      <c r="FRV67" s="150" t="s">
        <v>60</v>
      </c>
      <c r="FRW67" s="210"/>
      <c r="FRX67" s="156" t="s">
        <v>132</v>
      </c>
      <c r="FRY67" s="208"/>
      <c r="FRZ67" s="209"/>
      <c r="FSA67" s="150" t="s">
        <v>24</v>
      </c>
      <c r="FSB67" s="151">
        <v>8150</v>
      </c>
      <c r="FSC67" s="159">
        <v>85</v>
      </c>
      <c r="FSD67" s="160">
        <v>215</v>
      </c>
      <c r="FSE67" s="160">
        <v>75</v>
      </c>
      <c r="FSF67" s="159">
        <v>150</v>
      </c>
      <c r="FSG67" s="161">
        <f>SUM(FSB67:FSF67)</f>
        <v>8675</v>
      </c>
      <c r="FSH67" s="159">
        <v>200</v>
      </c>
      <c r="FSI67" s="161">
        <f>SUM(FSG67:FSH67)</f>
        <v>8875</v>
      </c>
      <c r="FSJ67" s="154" t="s">
        <v>106</v>
      </c>
      <c r="FSK67" s="155">
        <v>45845</v>
      </c>
      <c r="FSL67" s="150" t="s">
        <v>60</v>
      </c>
      <c r="FSM67" s="210"/>
      <c r="FSN67" s="156" t="s">
        <v>132</v>
      </c>
      <c r="FSO67" s="208"/>
      <c r="FSP67" s="209"/>
      <c r="FSQ67" s="150" t="s">
        <v>24</v>
      </c>
      <c r="FSR67" s="151">
        <v>8150</v>
      </c>
      <c r="FSS67" s="159">
        <v>85</v>
      </c>
      <c r="FST67" s="160">
        <v>215</v>
      </c>
      <c r="FSU67" s="160">
        <v>75</v>
      </c>
      <c r="FSV67" s="159">
        <v>150</v>
      </c>
      <c r="FSW67" s="161">
        <f>SUM(FSR67:FSV67)</f>
        <v>8675</v>
      </c>
      <c r="FSX67" s="159">
        <v>200</v>
      </c>
      <c r="FSY67" s="161">
        <f>SUM(FSW67:FSX67)</f>
        <v>8875</v>
      </c>
      <c r="FSZ67" s="154" t="s">
        <v>106</v>
      </c>
      <c r="FTA67" s="155">
        <v>45845</v>
      </c>
      <c r="FTB67" s="150" t="s">
        <v>60</v>
      </c>
      <c r="FTC67" s="210"/>
      <c r="FTD67" s="156" t="s">
        <v>132</v>
      </c>
      <c r="FTE67" s="208"/>
      <c r="FTF67" s="209"/>
      <c r="FTG67" s="150" t="s">
        <v>24</v>
      </c>
      <c r="FTH67" s="151">
        <v>8150</v>
      </c>
      <c r="FTI67" s="159">
        <v>85</v>
      </c>
      <c r="FTJ67" s="160">
        <v>215</v>
      </c>
      <c r="FTK67" s="160">
        <v>75</v>
      </c>
      <c r="FTL67" s="159">
        <v>150</v>
      </c>
      <c r="FTM67" s="161">
        <f>SUM(FTH67:FTL67)</f>
        <v>8675</v>
      </c>
      <c r="FTN67" s="159">
        <v>200</v>
      </c>
      <c r="FTO67" s="161">
        <f>SUM(FTM67:FTN67)</f>
        <v>8875</v>
      </c>
      <c r="FTP67" s="154" t="s">
        <v>106</v>
      </c>
      <c r="FTQ67" s="155">
        <v>45845</v>
      </c>
      <c r="FTR67" s="150" t="s">
        <v>60</v>
      </c>
      <c r="FTS67" s="210"/>
      <c r="FTT67" s="156" t="s">
        <v>132</v>
      </c>
      <c r="FTU67" s="208"/>
      <c r="FTV67" s="209"/>
      <c r="FTW67" s="150" t="s">
        <v>24</v>
      </c>
      <c r="FTX67" s="151">
        <v>8150</v>
      </c>
      <c r="FTY67" s="159">
        <v>85</v>
      </c>
      <c r="FTZ67" s="160">
        <v>215</v>
      </c>
      <c r="FUA67" s="160">
        <v>75</v>
      </c>
      <c r="FUB67" s="159">
        <v>150</v>
      </c>
      <c r="FUC67" s="161">
        <f>SUM(FTX67:FUB67)</f>
        <v>8675</v>
      </c>
      <c r="FUD67" s="159">
        <v>200</v>
      </c>
      <c r="FUE67" s="161">
        <f>SUM(FUC67:FUD67)</f>
        <v>8875</v>
      </c>
      <c r="FUF67" s="154" t="s">
        <v>106</v>
      </c>
      <c r="FUG67" s="155">
        <v>45845</v>
      </c>
      <c r="FUH67" s="150" t="s">
        <v>60</v>
      </c>
      <c r="FUI67" s="210"/>
      <c r="FUJ67" s="156" t="s">
        <v>132</v>
      </c>
      <c r="FUK67" s="208"/>
      <c r="FUL67" s="209"/>
      <c r="FUM67" s="150" t="s">
        <v>24</v>
      </c>
      <c r="FUN67" s="151">
        <v>8150</v>
      </c>
      <c r="FUO67" s="159">
        <v>85</v>
      </c>
      <c r="FUP67" s="160">
        <v>215</v>
      </c>
      <c r="FUQ67" s="160">
        <v>75</v>
      </c>
      <c r="FUR67" s="159">
        <v>150</v>
      </c>
      <c r="FUS67" s="161">
        <f>SUM(FUN67:FUR67)</f>
        <v>8675</v>
      </c>
      <c r="FUT67" s="159">
        <v>200</v>
      </c>
      <c r="FUU67" s="161">
        <f>SUM(FUS67:FUT67)</f>
        <v>8875</v>
      </c>
      <c r="FUV67" s="154" t="s">
        <v>106</v>
      </c>
      <c r="FUW67" s="155">
        <v>45845</v>
      </c>
      <c r="FUX67" s="150" t="s">
        <v>60</v>
      </c>
      <c r="FUY67" s="210"/>
      <c r="FUZ67" s="156" t="s">
        <v>132</v>
      </c>
      <c r="FVA67" s="208"/>
      <c r="FVB67" s="209"/>
      <c r="FVC67" s="150" t="s">
        <v>24</v>
      </c>
      <c r="FVD67" s="151">
        <v>8150</v>
      </c>
      <c r="FVE67" s="159">
        <v>85</v>
      </c>
      <c r="FVF67" s="160">
        <v>215</v>
      </c>
      <c r="FVG67" s="160">
        <v>75</v>
      </c>
      <c r="FVH67" s="159">
        <v>150</v>
      </c>
      <c r="FVI67" s="161">
        <f>SUM(FVD67:FVH67)</f>
        <v>8675</v>
      </c>
      <c r="FVJ67" s="159">
        <v>200</v>
      </c>
      <c r="FVK67" s="161">
        <f>SUM(FVI67:FVJ67)</f>
        <v>8875</v>
      </c>
      <c r="FVL67" s="154" t="s">
        <v>106</v>
      </c>
      <c r="FVM67" s="155">
        <v>45845</v>
      </c>
      <c r="FVN67" s="150" t="s">
        <v>60</v>
      </c>
      <c r="FVO67" s="210"/>
      <c r="FVP67" s="156" t="s">
        <v>132</v>
      </c>
      <c r="FVQ67" s="208"/>
      <c r="FVR67" s="209"/>
      <c r="FVS67" s="150" t="s">
        <v>24</v>
      </c>
      <c r="FVT67" s="151">
        <v>8150</v>
      </c>
      <c r="FVU67" s="159">
        <v>85</v>
      </c>
      <c r="FVV67" s="160">
        <v>215</v>
      </c>
      <c r="FVW67" s="160">
        <v>75</v>
      </c>
      <c r="FVX67" s="159">
        <v>150</v>
      </c>
      <c r="FVY67" s="161">
        <f>SUM(FVT67:FVX67)</f>
        <v>8675</v>
      </c>
      <c r="FVZ67" s="159">
        <v>200</v>
      </c>
      <c r="FWA67" s="161">
        <f>SUM(FVY67:FVZ67)</f>
        <v>8875</v>
      </c>
      <c r="FWB67" s="154" t="s">
        <v>106</v>
      </c>
      <c r="FWC67" s="155">
        <v>45845</v>
      </c>
      <c r="FWD67" s="150" t="s">
        <v>60</v>
      </c>
      <c r="FWE67" s="210"/>
      <c r="FWF67" s="156" t="s">
        <v>132</v>
      </c>
      <c r="FWG67" s="208"/>
      <c r="FWH67" s="209"/>
      <c r="FWI67" s="150" t="s">
        <v>24</v>
      </c>
      <c r="FWJ67" s="151">
        <v>8150</v>
      </c>
      <c r="FWK67" s="159">
        <v>85</v>
      </c>
      <c r="FWL67" s="160">
        <v>215</v>
      </c>
      <c r="FWM67" s="160">
        <v>75</v>
      </c>
      <c r="FWN67" s="159">
        <v>150</v>
      </c>
      <c r="FWO67" s="161">
        <f>SUM(FWJ67:FWN67)</f>
        <v>8675</v>
      </c>
      <c r="FWP67" s="159">
        <v>200</v>
      </c>
      <c r="FWQ67" s="161">
        <f>SUM(FWO67:FWP67)</f>
        <v>8875</v>
      </c>
      <c r="FWR67" s="154" t="s">
        <v>106</v>
      </c>
      <c r="FWS67" s="155">
        <v>45845</v>
      </c>
      <c r="FWT67" s="150" t="s">
        <v>60</v>
      </c>
      <c r="FWU67" s="210"/>
      <c r="FWV67" s="156" t="s">
        <v>132</v>
      </c>
      <c r="FWW67" s="208"/>
      <c r="FWX67" s="209"/>
      <c r="FWY67" s="150" t="s">
        <v>24</v>
      </c>
      <c r="FWZ67" s="151">
        <v>8150</v>
      </c>
      <c r="FXA67" s="159">
        <v>85</v>
      </c>
      <c r="FXB67" s="160">
        <v>215</v>
      </c>
      <c r="FXC67" s="160">
        <v>75</v>
      </c>
      <c r="FXD67" s="159">
        <v>150</v>
      </c>
      <c r="FXE67" s="161">
        <f>SUM(FWZ67:FXD67)</f>
        <v>8675</v>
      </c>
      <c r="FXF67" s="159">
        <v>200</v>
      </c>
      <c r="FXG67" s="161">
        <f>SUM(FXE67:FXF67)</f>
        <v>8875</v>
      </c>
      <c r="FXH67" s="154" t="s">
        <v>106</v>
      </c>
      <c r="FXI67" s="155">
        <v>45845</v>
      </c>
      <c r="FXJ67" s="150" t="s">
        <v>60</v>
      </c>
      <c r="FXK67" s="210"/>
      <c r="FXL67" s="156" t="s">
        <v>132</v>
      </c>
      <c r="FXM67" s="208"/>
      <c r="FXN67" s="209"/>
      <c r="FXO67" s="150" t="s">
        <v>24</v>
      </c>
      <c r="FXP67" s="151">
        <v>8150</v>
      </c>
      <c r="FXQ67" s="159">
        <v>85</v>
      </c>
      <c r="FXR67" s="160">
        <v>215</v>
      </c>
      <c r="FXS67" s="160">
        <v>75</v>
      </c>
      <c r="FXT67" s="159">
        <v>150</v>
      </c>
      <c r="FXU67" s="161">
        <f>SUM(FXP67:FXT67)</f>
        <v>8675</v>
      </c>
      <c r="FXV67" s="159">
        <v>200</v>
      </c>
      <c r="FXW67" s="161">
        <f>SUM(FXU67:FXV67)</f>
        <v>8875</v>
      </c>
      <c r="FXX67" s="154" t="s">
        <v>106</v>
      </c>
      <c r="FXY67" s="155">
        <v>45845</v>
      </c>
      <c r="FXZ67" s="150" t="s">
        <v>60</v>
      </c>
      <c r="FYA67" s="210"/>
      <c r="FYB67" s="156" t="s">
        <v>132</v>
      </c>
      <c r="FYC67" s="208"/>
      <c r="FYD67" s="209"/>
      <c r="FYE67" s="150" t="s">
        <v>24</v>
      </c>
      <c r="FYF67" s="151">
        <v>8150</v>
      </c>
      <c r="FYG67" s="159">
        <v>85</v>
      </c>
      <c r="FYH67" s="160">
        <v>215</v>
      </c>
      <c r="FYI67" s="160">
        <v>75</v>
      </c>
      <c r="FYJ67" s="159">
        <v>150</v>
      </c>
      <c r="FYK67" s="161">
        <f>SUM(FYF67:FYJ67)</f>
        <v>8675</v>
      </c>
      <c r="FYL67" s="159">
        <v>200</v>
      </c>
      <c r="FYM67" s="161">
        <f>SUM(FYK67:FYL67)</f>
        <v>8875</v>
      </c>
      <c r="FYN67" s="154" t="s">
        <v>106</v>
      </c>
      <c r="FYO67" s="155">
        <v>45845</v>
      </c>
      <c r="FYP67" s="150" t="s">
        <v>60</v>
      </c>
      <c r="FYQ67" s="210"/>
      <c r="FYR67" s="156" t="s">
        <v>132</v>
      </c>
      <c r="FYS67" s="208"/>
      <c r="FYT67" s="209"/>
      <c r="FYU67" s="150" t="s">
        <v>24</v>
      </c>
      <c r="FYV67" s="151">
        <v>8150</v>
      </c>
      <c r="FYW67" s="159">
        <v>85</v>
      </c>
      <c r="FYX67" s="160">
        <v>215</v>
      </c>
      <c r="FYY67" s="160">
        <v>75</v>
      </c>
      <c r="FYZ67" s="159">
        <v>150</v>
      </c>
      <c r="FZA67" s="161">
        <f>SUM(FYV67:FYZ67)</f>
        <v>8675</v>
      </c>
      <c r="FZB67" s="159">
        <v>200</v>
      </c>
      <c r="FZC67" s="161">
        <f>SUM(FZA67:FZB67)</f>
        <v>8875</v>
      </c>
      <c r="FZD67" s="154" t="s">
        <v>106</v>
      </c>
      <c r="FZE67" s="155">
        <v>45845</v>
      </c>
      <c r="FZF67" s="150" t="s">
        <v>60</v>
      </c>
      <c r="FZG67" s="210"/>
      <c r="FZH67" s="156" t="s">
        <v>132</v>
      </c>
      <c r="FZI67" s="208"/>
      <c r="FZJ67" s="209"/>
      <c r="FZK67" s="150" t="s">
        <v>24</v>
      </c>
      <c r="FZL67" s="151">
        <v>8150</v>
      </c>
      <c r="FZM67" s="159">
        <v>85</v>
      </c>
      <c r="FZN67" s="160">
        <v>215</v>
      </c>
      <c r="FZO67" s="160">
        <v>75</v>
      </c>
      <c r="FZP67" s="159">
        <v>150</v>
      </c>
      <c r="FZQ67" s="161">
        <f>SUM(FZL67:FZP67)</f>
        <v>8675</v>
      </c>
      <c r="FZR67" s="159">
        <v>200</v>
      </c>
      <c r="FZS67" s="161">
        <f>SUM(FZQ67:FZR67)</f>
        <v>8875</v>
      </c>
      <c r="FZT67" s="154" t="s">
        <v>106</v>
      </c>
      <c r="FZU67" s="155">
        <v>45845</v>
      </c>
      <c r="FZV67" s="150" t="s">
        <v>60</v>
      </c>
      <c r="FZW67" s="210"/>
      <c r="FZX67" s="156" t="s">
        <v>132</v>
      </c>
      <c r="FZY67" s="208"/>
      <c r="FZZ67" s="209"/>
      <c r="GAA67" s="150" t="s">
        <v>24</v>
      </c>
      <c r="GAB67" s="151">
        <v>8150</v>
      </c>
      <c r="GAC67" s="159">
        <v>85</v>
      </c>
      <c r="GAD67" s="160">
        <v>215</v>
      </c>
      <c r="GAE67" s="160">
        <v>75</v>
      </c>
      <c r="GAF67" s="159">
        <v>150</v>
      </c>
      <c r="GAG67" s="161">
        <f>SUM(GAB67:GAF67)</f>
        <v>8675</v>
      </c>
      <c r="GAH67" s="159">
        <v>200</v>
      </c>
      <c r="GAI67" s="161">
        <f>SUM(GAG67:GAH67)</f>
        <v>8875</v>
      </c>
      <c r="GAJ67" s="154" t="s">
        <v>106</v>
      </c>
      <c r="GAK67" s="155">
        <v>45845</v>
      </c>
      <c r="GAL67" s="150" t="s">
        <v>60</v>
      </c>
      <c r="GAM67" s="210"/>
      <c r="GAN67" s="156" t="s">
        <v>132</v>
      </c>
      <c r="GAO67" s="208"/>
      <c r="GAP67" s="209"/>
      <c r="GAQ67" s="150" t="s">
        <v>24</v>
      </c>
      <c r="GAR67" s="151">
        <v>8150</v>
      </c>
      <c r="GAS67" s="159">
        <v>85</v>
      </c>
      <c r="GAT67" s="160">
        <v>215</v>
      </c>
      <c r="GAU67" s="160">
        <v>75</v>
      </c>
      <c r="GAV67" s="159">
        <v>150</v>
      </c>
      <c r="GAW67" s="161">
        <f>SUM(GAR67:GAV67)</f>
        <v>8675</v>
      </c>
      <c r="GAX67" s="159">
        <v>200</v>
      </c>
      <c r="GAY67" s="161">
        <f>SUM(GAW67:GAX67)</f>
        <v>8875</v>
      </c>
      <c r="GAZ67" s="154" t="s">
        <v>106</v>
      </c>
      <c r="GBA67" s="155">
        <v>45845</v>
      </c>
      <c r="GBB67" s="150" t="s">
        <v>60</v>
      </c>
      <c r="GBC67" s="210"/>
      <c r="GBD67" s="156" t="s">
        <v>132</v>
      </c>
      <c r="GBE67" s="208"/>
      <c r="GBF67" s="209"/>
      <c r="GBG67" s="150" t="s">
        <v>24</v>
      </c>
      <c r="GBH67" s="151">
        <v>8150</v>
      </c>
      <c r="GBI67" s="159">
        <v>85</v>
      </c>
      <c r="GBJ67" s="160">
        <v>215</v>
      </c>
      <c r="GBK67" s="160">
        <v>75</v>
      </c>
      <c r="GBL67" s="159">
        <v>150</v>
      </c>
      <c r="GBM67" s="161">
        <f>SUM(GBH67:GBL67)</f>
        <v>8675</v>
      </c>
      <c r="GBN67" s="159">
        <v>200</v>
      </c>
      <c r="GBO67" s="161">
        <f>SUM(GBM67:GBN67)</f>
        <v>8875</v>
      </c>
      <c r="GBP67" s="154" t="s">
        <v>106</v>
      </c>
      <c r="GBQ67" s="155">
        <v>45845</v>
      </c>
      <c r="GBR67" s="150" t="s">
        <v>60</v>
      </c>
      <c r="GBS67" s="210"/>
      <c r="GBT67" s="156" t="s">
        <v>132</v>
      </c>
      <c r="GBU67" s="208"/>
      <c r="GBV67" s="209"/>
      <c r="GBW67" s="150" t="s">
        <v>24</v>
      </c>
      <c r="GBX67" s="151">
        <v>8150</v>
      </c>
      <c r="GBY67" s="159">
        <v>85</v>
      </c>
      <c r="GBZ67" s="160">
        <v>215</v>
      </c>
      <c r="GCA67" s="160">
        <v>75</v>
      </c>
      <c r="GCB67" s="159">
        <v>150</v>
      </c>
      <c r="GCC67" s="161">
        <f>SUM(GBX67:GCB67)</f>
        <v>8675</v>
      </c>
      <c r="GCD67" s="159">
        <v>200</v>
      </c>
      <c r="GCE67" s="161">
        <f>SUM(GCC67:GCD67)</f>
        <v>8875</v>
      </c>
      <c r="GCF67" s="154" t="s">
        <v>106</v>
      </c>
      <c r="GCG67" s="155">
        <v>45845</v>
      </c>
      <c r="GCH67" s="150" t="s">
        <v>60</v>
      </c>
      <c r="GCI67" s="210"/>
      <c r="GCJ67" s="156" t="s">
        <v>132</v>
      </c>
      <c r="GCK67" s="208"/>
      <c r="GCL67" s="209"/>
      <c r="GCM67" s="150" t="s">
        <v>24</v>
      </c>
      <c r="GCN67" s="151">
        <v>8150</v>
      </c>
      <c r="GCO67" s="159">
        <v>85</v>
      </c>
      <c r="GCP67" s="160">
        <v>215</v>
      </c>
      <c r="GCQ67" s="160">
        <v>75</v>
      </c>
      <c r="GCR67" s="159">
        <v>150</v>
      </c>
      <c r="GCS67" s="161">
        <f>SUM(GCN67:GCR67)</f>
        <v>8675</v>
      </c>
      <c r="GCT67" s="159">
        <v>200</v>
      </c>
      <c r="GCU67" s="161">
        <f>SUM(GCS67:GCT67)</f>
        <v>8875</v>
      </c>
      <c r="GCV67" s="154" t="s">
        <v>106</v>
      </c>
      <c r="GCW67" s="155">
        <v>45845</v>
      </c>
      <c r="GCX67" s="150" t="s">
        <v>60</v>
      </c>
      <c r="GCY67" s="210"/>
      <c r="GCZ67" s="156" t="s">
        <v>132</v>
      </c>
      <c r="GDA67" s="208"/>
      <c r="GDB67" s="209"/>
      <c r="GDC67" s="150" t="s">
        <v>24</v>
      </c>
      <c r="GDD67" s="151">
        <v>8150</v>
      </c>
      <c r="GDE67" s="159">
        <v>85</v>
      </c>
      <c r="GDF67" s="160">
        <v>215</v>
      </c>
      <c r="GDG67" s="160">
        <v>75</v>
      </c>
      <c r="GDH67" s="159">
        <v>150</v>
      </c>
      <c r="GDI67" s="161">
        <f>SUM(GDD67:GDH67)</f>
        <v>8675</v>
      </c>
      <c r="GDJ67" s="159">
        <v>200</v>
      </c>
      <c r="GDK67" s="161">
        <f>SUM(GDI67:GDJ67)</f>
        <v>8875</v>
      </c>
      <c r="GDL67" s="154" t="s">
        <v>106</v>
      </c>
      <c r="GDM67" s="155">
        <v>45845</v>
      </c>
      <c r="GDN67" s="150" t="s">
        <v>60</v>
      </c>
      <c r="GDO67" s="210"/>
      <c r="GDP67" s="156" t="s">
        <v>132</v>
      </c>
      <c r="GDQ67" s="208"/>
      <c r="GDR67" s="209"/>
      <c r="GDS67" s="150" t="s">
        <v>24</v>
      </c>
      <c r="GDT67" s="151">
        <v>8150</v>
      </c>
      <c r="GDU67" s="159">
        <v>85</v>
      </c>
      <c r="GDV67" s="160">
        <v>215</v>
      </c>
      <c r="GDW67" s="160">
        <v>75</v>
      </c>
      <c r="GDX67" s="159">
        <v>150</v>
      </c>
      <c r="GDY67" s="161">
        <f>SUM(GDT67:GDX67)</f>
        <v>8675</v>
      </c>
      <c r="GDZ67" s="159">
        <v>200</v>
      </c>
      <c r="GEA67" s="161">
        <f>SUM(GDY67:GDZ67)</f>
        <v>8875</v>
      </c>
      <c r="GEB67" s="154" t="s">
        <v>106</v>
      </c>
      <c r="GEC67" s="155">
        <v>45845</v>
      </c>
      <c r="GED67" s="150" t="s">
        <v>60</v>
      </c>
      <c r="GEE67" s="210"/>
      <c r="GEF67" s="156" t="s">
        <v>132</v>
      </c>
      <c r="GEG67" s="208"/>
      <c r="GEH67" s="209"/>
      <c r="GEI67" s="150" t="s">
        <v>24</v>
      </c>
      <c r="GEJ67" s="151">
        <v>8150</v>
      </c>
      <c r="GEK67" s="159">
        <v>85</v>
      </c>
      <c r="GEL67" s="160">
        <v>215</v>
      </c>
      <c r="GEM67" s="160">
        <v>75</v>
      </c>
      <c r="GEN67" s="159">
        <v>150</v>
      </c>
      <c r="GEO67" s="161">
        <f>SUM(GEJ67:GEN67)</f>
        <v>8675</v>
      </c>
      <c r="GEP67" s="159">
        <v>200</v>
      </c>
      <c r="GEQ67" s="161">
        <f>SUM(GEO67:GEP67)</f>
        <v>8875</v>
      </c>
      <c r="GER67" s="154" t="s">
        <v>106</v>
      </c>
      <c r="GES67" s="155">
        <v>45845</v>
      </c>
      <c r="GET67" s="150" t="s">
        <v>60</v>
      </c>
      <c r="GEU67" s="210"/>
      <c r="GEV67" s="156" t="s">
        <v>132</v>
      </c>
      <c r="GEW67" s="208"/>
      <c r="GEX67" s="209"/>
      <c r="GEY67" s="150" t="s">
        <v>24</v>
      </c>
      <c r="GEZ67" s="151">
        <v>8150</v>
      </c>
      <c r="GFA67" s="159">
        <v>85</v>
      </c>
      <c r="GFB67" s="160">
        <v>215</v>
      </c>
      <c r="GFC67" s="160">
        <v>75</v>
      </c>
      <c r="GFD67" s="159">
        <v>150</v>
      </c>
      <c r="GFE67" s="161">
        <f>SUM(GEZ67:GFD67)</f>
        <v>8675</v>
      </c>
      <c r="GFF67" s="159">
        <v>200</v>
      </c>
      <c r="GFG67" s="161">
        <f>SUM(GFE67:GFF67)</f>
        <v>8875</v>
      </c>
      <c r="GFH67" s="154" t="s">
        <v>106</v>
      </c>
      <c r="GFI67" s="155">
        <v>45845</v>
      </c>
      <c r="GFJ67" s="150" t="s">
        <v>60</v>
      </c>
      <c r="GFK67" s="210"/>
      <c r="GFL67" s="156" t="s">
        <v>132</v>
      </c>
      <c r="GFM67" s="208"/>
      <c r="GFN67" s="209"/>
      <c r="GFO67" s="150" t="s">
        <v>24</v>
      </c>
      <c r="GFP67" s="151">
        <v>8150</v>
      </c>
      <c r="GFQ67" s="159">
        <v>85</v>
      </c>
      <c r="GFR67" s="160">
        <v>215</v>
      </c>
      <c r="GFS67" s="160">
        <v>75</v>
      </c>
      <c r="GFT67" s="159">
        <v>150</v>
      </c>
      <c r="GFU67" s="161">
        <f>SUM(GFP67:GFT67)</f>
        <v>8675</v>
      </c>
      <c r="GFV67" s="159">
        <v>200</v>
      </c>
      <c r="GFW67" s="161">
        <f>SUM(GFU67:GFV67)</f>
        <v>8875</v>
      </c>
      <c r="GFX67" s="154" t="s">
        <v>106</v>
      </c>
      <c r="GFY67" s="155">
        <v>45845</v>
      </c>
      <c r="GFZ67" s="150" t="s">
        <v>60</v>
      </c>
      <c r="GGA67" s="210"/>
      <c r="GGB67" s="156" t="s">
        <v>132</v>
      </c>
      <c r="GGC67" s="208"/>
      <c r="GGD67" s="209"/>
      <c r="GGE67" s="150" t="s">
        <v>24</v>
      </c>
      <c r="GGF67" s="151">
        <v>8150</v>
      </c>
      <c r="GGG67" s="159">
        <v>85</v>
      </c>
      <c r="GGH67" s="160">
        <v>215</v>
      </c>
      <c r="GGI67" s="160">
        <v>75</v>
      </c>
      <c r="GGJ67" s="159">
        <v>150</v>
      </c>
      <c r="GGK67" s="161">
        <f>SUM(GGF67:GGJ67)</f>
        <v>8675</v>
      </c>
      <c r="GGL67" s="159">
        <v>200</v>
      </c>
      <c r="GGM67" s="161">
        <f>SUM(GGK67:GGL67)</f>
        <v>8875</v>
      </c>
      <c r="GGN67" s="154" t="s">
        <v>106</v>
      </c>
      <c r="GGO67" s="155">
        <v>45845</v>
      </c>
      <c r="GGP67" s="150" t="s">
        <v>60</v>
      </c>
      <c r="GGQ67" s="210"/>
      <c r="GGR67" s="156" t="s">
        <v>132</v>
      </c>
      <c r="GGS67" s="208"/>
      <c r="GGT67" s="209"/>
      <c r="GGU67" s="150" t="s">
        <v>24</v>
      </c>
      <c r="GGV67" s="151">
        <v>8150</v>
      </c>
      <c r="GGW67" s="159">
        <v>85</v>
      </c>
      <c r="GGX67" s="160">
        <v>215</v>
      </c>
      <c r="GGY67" s="160">
        <v>75</v>
      </c>
      <c r="GGZ67" s="159">
        <v>150</v>
      </c>
      <c r="GHA67" s="161">
        <f>SUM(GGV67:GGZ67)</f>
        <v>8675</v>
      </c>
      <c r="GHB67" s="159">
        <v>200</v>
      </c>
      <c r="GHC67" s="161">
        <f>SUM(GHA67:GHB67)</f>
        <v>8875</v>
      </c>
      <c r="GHD67" s="154" t="s">
        <v>106</v>
      </c>
      <c r="GHE67" s="155">
        <v>45845</v>
      </c>
      <c r="GHF67" s="150" t="s">
        <v>60</v>
      </c>
      <c r="GHG67" s="210"/>
      <c r="GHH67" s="156" t="s">
        <v>132</v>
      </c>
      <c r="GHI67" s="208"/>
      <c r="GHJ67" s="209"/>
      <c r="GHK67" s="150" t="s">
        <v>24</v>
      </c>
      <c r="GHL67" s="151">
        <v>8150</v>
      </c>
      <c r="GHM67" s="159">
        <v>85</v>
      </c>
      <c r="GHN67" s="160">
        <v>215</v>
      </c>
      <c r="GHO67" s="160">
        <v>75</v>
      </c>
      <c r="GHP67" s="159">
        <v>150</v>
      </c>
      <c r="GHQ67" s="161">
        <f>SUM(GHL67:GHP67)</f>
        <v>8675</v>
      </c>
      <c r="GHR67" s="159">
        <v>200</v>
      </c>
      <c r="GHS67" s="161">
        <f>SUM(GHQ67:GHR67)</f>
        <v>8875</v>
      </c>
      <c r="GHT67" s="154" t="s">
        <v>106</v>
      </c>
      <c r="GHU67" s="155">
        <v>45845</v>
      </c>
      <c r="GHV67" s="150" t="s">
        <v>60</v>
      </c>
      <c r="GHW67" s="210"/>
      <c r="GHX67" s="156" t="s">
        <v>132</v>
      </c>
      <c r="GHY67" s="208"/>
      <c r="GHZ67" s="209"/>
      <c r="GIA67" s="150" t="s">
        <v>24</v>
      </c>
      <c r="GIB67" s="151">
        <v>8150</v>
      </c>
      <c r="GIC67" s="159">
        <v>85</v>
      </c>
      <c r="GID67" s="160">
        <v>215</v>
      </c>
      <c r="GIE67" s="160">
        <v>75</v>
      </c>
      <c r="GIF67" s="159">
        <v>150</v>
      </c>
      <c r="GIG67" s="161">
        <f>SUM(GIB67:GIF67)</f>
        <v>8675</v>
      </c>
      <c r="GIH67" s="159">
        <v>200</v>
      </c>
      <c r="GII67" s="161">
        <f>SUM(GIG67:GIH67)</f>
        <v>8875</v>
      </c>
      <c r="GIJ67" s="154" t="s">
        <v>106</v>
      </c>
      <c r="GIK67" s="155">
        <v>45845</v>
      </c>
      <c r="GIL67" s="150" t="s">
        <v>60</v>
      </c>
      <c r="GIM67" s="210"/>
      <c r="GIN67" s="156" t="s">
        <v>132</v>
      </c>
      <c r="GIO67" s="208"/>
      <c r="GIP67" s="209"/>
      <c r="GIQ67" s="150" t="s">
        <v>24</v>
      </c>
      <c r="GIR67" s="151">
        <v>8150</v>
      </c>
      <c r="GIS67" s="159">
        <v>85</v>
      </c>
      <c r="GIT67" s="160">
        <v>215</v>
      </c>
      <c r="GIU67" s="160">
        <v>75</v>
      </c>
      <c r="GIV67" s="159">
        <v>150</v>
      </c>
      <c r="GIW67" s="161">
        <f>SUM(GIR67:GIV67)</f>
        <v>8675</v>
      </c>
      <c r="GIX67" s="159">
        <v>200</v>
      </c>
      <c r="GIY67" s="161">
        <f>SUM(GIW67:GIX67)</f>
        <v>8875</v>
      </c>
      <c r="GIZ67" s="154" t="s">
        <v>106</v>
      </c>
      <c r="GJA67" s="155">
        <v>45845</v>
      </c>
      <c r="GJB67" s="150" t="s">
        <v>60</v>
      </c>
      <c r="GJC67" s="210"/>
      <c r="GJD67" s="156" t="s">
        <v>132</v>
      </c>
      <c r="GJE67" s="208"/>
      <c r="GJF67" s="209"/>
      <c r="GJG67" s="150" t="s">
        <v>24</v>
      </c>
      <c r="GJH67" s="151">
        <v>8150</v>
      </c>
      <c r="GJI67" s="159">
        <v>85</v>
      </c>
      <c r="GJJ67" s="160">
        <v>215</v>
      </c>
      <c r="GJK67" s="160">
        <v>75</v>
      </c>
      <c r="GJL67" s="159">
        <v>150</v>
      </c>
      <c r="GJM67" s="161">
        <f>SUM(GJH67:GJL67)</f>
        <v>8675</v>
      </c>
      <c r="GJN67" s="159">
        <v>200</v>
      </c>
      <c r="GJO67" s="161">
        <f>SUM(GJM67:GJN67)</f>
        <v>8875</v>
      </c>
      <c r="GJP67" s="154" t="s">
        <v>106</v>
      </c>
      <c r="GJQ67" s="155">
        <v>45845</v>
      </c>
      <c r="GJR67" s="150" t="s">
        <v>60</v>
      </c>
      <c r="GJS67" s="210"/>
      <c r="GJT67" s="156" t="s">
        <v>132</v>
      </c>
      <c r="GJU67" s="208"/>
      <c r="GJV67" s="209"/>
      <c r="GJW67" s="150" t="s">
        <v>24</v>
      </c>
      <c r="GJX67" s="151">
        <v>8150</v>
      </c>
      <c r="GJY67" s="159">
        <v>85</v>
      </c>
      <c r="GJZ67" s="160">
        <v>215</v>
      </c>
      <c r="GKA67" s="160">
        <v>75</v>
      </c>
      <c r="GKB67" s="159">
        <v>150</v>
      </c>
      <c r="GKC67" s="161">
        <f>SUM(GJX67:GKB67)</f>
        <v>8675</v>
      </c>
      <c r="GKD67" s="159">
        <v>200</v>
      </c>
      <c r="GKE67" s="161">
        <f>SUM(GKC67:GKD67)</f>
        <v>8875</v>
      </c>
      <c r="GKF67" s="154" t="s">
        <v>106</v>
      </c>
      <c r="GKG67" s="155">
        <v>45845</v>
      </c>
      <c r="GKH67" s="150" t="s">
        <v>60</v>
      </c>
      <c r="GKI67" s="210"/>
      <c r="GKJ67" s="156" t="s">
        <v>132</v>
      </c>
      <c r="GKK67" s="208"/>
      <c r="GKL67" s="209"/>
      <c r="GKM67" s="150" t="s">
        <v>24</v>
      </c>
      <c r="GKN67" s="151">
        <v>8150</v>
      </c>
      <c r="GKO67" s="159">
        <v>85</v>
      </c>
      <c r="GKP67" s="160">
        <v>215</v>
      </c>
      <c r="GKQ67" s="160">
        <v>75</v>
      </c>
      <c r="GKR67" s="159">
        <v>150</v>
      </c>
      <c r="GKS67" s="161">
        <f>SUM(GKN67:GKR67)</f>
        <v>8675</v>
      </c>
      <c r="GKT67" s="159">
        <v>200</v>
      </c>
      <c r="GKU67" s="161">
        <f>SUM(GKS67:GKT67)</f>
        <v>8875</v>
      </c>
      <c r="GKV67" s="154" t="s">
        <v>106</v>
      </c>
      <c r="GKW67" s="155">
        <v>45845</v>
      </c>
      <c r="GKX67" s="150" t="s">
        <v>60</v>
      </c>
      <c r="GKY67" s="210"/>
      <c r="GKZ67" s="156" t="s">
        <v>132</v>
      </c>
      <c r="GLA67" s="208"/>
      <c r="GLB67" s="209"/>
      <c r="GLC67" s="150" t="s">
        <v>24</v>
      </c>
      <c r="GLD67" s="151">
        <v>8150</v>
      </c>
      <c r="GLE67" s="159">
        <v>85</v>
      </c>
      <c r="GLF67" s="160">
        <v>215</v>
      </c>
      <c r="GLG67" s="160">
        <v>75</v>
      </c>
      <c r="GLH67" s="159">
        <v>150</v>
      </c>
      <c r="GLI67" s="161">
        <f>SUM(GLD67:GLH67)</f>
        <v>8675</v>
      </c>
      <c r="GLJ67" s="159">
        <v>200</v>
      </c>
      <c r="GLK67" s="161">
        <f>SUM(GLI67:GLJ67)</f>
        <v>8875</v>
      </c>
      <c r="GLL67" s="154" t="s">
        <v>106</v>
      </c>
      <c r="GLM67" s="155">
        <v>45845</v>
      </c>
      <c r="GLN67" s="150" t="s">
        <v>60</v>
      </c>
      <c r="GLO67" s="210"/>
      <c r="GLP67" s="156" t="s">
        <v>132</v>
      </c>
      <c r="GLQ67" s="208"/>
      <c r="GLR67" s="209"/>
      <c r="GLS67" s="150" t="s">
        <v>24</v>
      </c>
      <c r="GLT67" s="151">
        <v>8150</v>
      </c>
      <c r="GLU67" s="159">
        <v>85</v>
      </c>
      <c r="GLV67" s="160">
        <v>215</v>
      </c>
      <c r="GLW67" s="160">
        <v>75</v>
      </c>
      <c r="GLX67" s="159">
        <v>150</v>
      </c>
      <c r="GLY67" s="161">
        <f>SUM(GLT67:GLX67)</f>
        <v>8675</v>
      </c>
      <c r="GLZ67" s="159">
        <v>200</v>
      </c>
      <c r="GMA67" s="161">
        <f>SUM(GLY67:GLZ67)</f>
        <v>8875</v>
      </c>
      <c r="GMB67" s="154" t="s">
        <v>106</v>
      </c>
      <c r="GMC67" s="155">
        <v>45845</v>
      </c>
      <c r="GMD67" s="150" t="s">
        <v>60</v>
      </c>
      <c r="GME67" s="210"/>
      <c r="GMF67" s="156" t="s">
        <v>132</v>
      </c>
      <c r="GMG67" s="208"/>
      <c r="GMH67" s="209"/>
      <c r="GMI67" s="150" t="s">
        <v>24</v>
      </c>
      <c r="GMJ67" s="151">
        <v>8150</v>
      </c>
      <c r="GMK67" s="159">
        <v>85</v>
      </c>
      <c r="GML67" s="160">
        <v>215</v>
      </c>
      <c r="GMM67" s="160">
        <v>75</v>
      </c>
      <c r="GMN67" s="159">
        <v>150</v>
      </c>
      <c r="GMO67" s="161">
        <f>SUM(GMJ67:GMN67)</f>
        <v>8675</v>
      </c>
      <c r="GMP67" s="159">
        <v>200</v>
      </c>
      <c r="GMQ67" s="161">
        <f>SUM(GMO67:GMP67)</f>
        <v>8875</v>
      </c>
      <c r="GMR67" s="154" t="s">
        <v>106</v>
      </c>
      <c r="GMS67" s="155">
        <v>45845</v>
      </c>
      <c r="GMT67" s="150" t="s">
        <v>60</v>
      </c>
      <c r="GMU67" s="210"/>
      <c r="GMV67" s="156" t="s">
        <v>132</v>
      </c>
      <c r="GMW67" s="208"/>
      <c r="GMX67" s="209"/>
      <c r="GMY67" s="150" t="s">
        <v>24</v>
      </c>
      <c r="GMZ67" s="151">
        <v>8150</v>
      </c>
      <c r="GNA67" s="159">
        <v>85</v>
      </c>
      <c r="GNB67" s="160">
        <v>215</v>
      </c>
      <c r="GNC67" s="160">
        <v>75</v>
      </c>
      <c r="GND67" s="159">
        <v>150</v>
      </c>
      <c r="GNE67" s="161">
        <f>SUM(GMZ67:GND67)</f>
        <v>8675</v>
      </c>
      <c r="GNF67" s="159">
        <v>200</v>
      </c>
      <c r="GNG67" s="161">
        <f>SUM(GNE67:GNF67)</f>
        <v>8875</v>
      </c>
      <c r="GNH67" s="154" t="s">
        <v>106</v>
      </c>
      <c r="GNI67" s="155">
        <v>45845</v>
      </c>
      <c r="GNJ67" s="150" t="s">
        <v>60</v>
      </c>
      <c r="GNK67" s="210"/>
      <c r="GNL67" s="156" t="s">
        <v>132</v>
      </c>
      <c r="GNM67" s="208"/>
      <c r="GNN67" s="209"/>
      <c r="GNO67" s="150" t="s">
        <v>24</v>
      </c>
      <c r="GNP67" s="151">
        <v>8150</v>
      </c>
      <c r="GNQ67" s="159">
        <v>85</v>
      </c>
      <c r="GNR67" s="160">
        <v>215</v>
      </c>
      <c r="GNS67" s="160">
        <v>75</v>
      </c>
      <c r="GNT67" s="159">
        <v>150</v>
      </c>
      <c r="GNU67" s="161">
        <f>SUM(GNP67:GNT67)</f>
        <v>8675</v>
      </c>
      <c r="GNV67" s="159">
        <v>200</v>
      </c>
      <c r="GNW67" s="161">
        <f>SUM(GNU67:GNV67)</f>
        <v>8875</v>
      </c>
      <c r="GNX67" s="154" t="s">
        <v>106</v>
      </c>
      <c r="GNY67" s="155">
        <v>45845</v>
      </c>
      <c r="GNZ67" s="150" t="s">
        <v>60</v>
      </c>
      <c r="GOA67" s="210"/>
      <c r="GOB67" s="156" t="s">
        <v>132</v>
      </c>
      <c r="GOC67" s="208"/>
      <c r="GOD67" s="209"/>
      <c r="GOE67" s="150" t="s">
        <v>24</v>
      </c>
      <c r="GOF67" s="151">
        <v>8150</v>
      </c>
      <c r="GOG67" s="159">
        <v>85</v>
      </c>
      <c r="GOH67" s="160">
        <v>215</v>
      </c>
      <c r="GOI67" s="160">
        <v>75</v>
      </c>
      <c r="GOJ67" s="159">
        <v>150</v>
      </c>
      <c r="GOK67" s="161">
        <f>SUM(GOF67:GOJ67)</f>
        <v>8675</v>
      </c>
      <c r="GOL67" s="159">
        <v>200</v>
      </c>
      <c r="GOM67" s="161">
        <f>SUM(GOK67:GOL67)</f>
        <v>8875</v>
      </c>
      <c r="GON67" s="154" t="s">
        <v>106</v>
      </c>
      <c r="GOO67" s="155">
        <v>45845</v>
      </c>
      <c r="GOP67" s="150" t="s">
        <v>60</v>
      </c>
      <c r="GOQ67" s="210"/>
      <c r="GOR67" s="156" t="s">
        <v>132</v>
      </c>
      <c r="GOS67" s="208"/>
      <c r="GOT67" s="209"/>
      <c r="GOU67" s="150" t="s">
        <v>24</v>
      </c>
      <c r="GOV67" s="151">
        <v>8150</v>
      </c>
      <c r="GOW67" s="159">
        <v>85</v>
      </c>
      <c r="GOX67" s="160">
        <v>215</v>
      </c>
      <c r="GOY67" s="160">
        <v>75</v>
      </c>
      <c r="GOZ67" s="159">
        <v>150</v>
      </c>
      <c r="GPA67" s="161">
        <f>SUM(GOV67:GOZ67)</f>
        <v>8675</v>
      </c>
      <c r="GPB67" s="159">
        <v>200</v>
      </c>
      <c r="GPC67" s="161">
        <f>SUM(GPA67:GPB67)</f>
        <v>8875</v>
      </c>
      <c r="GPD67" s="154" t="s">
        <v>106</v>
      </c>
      <c r="GPE67" s="155">
        <v>45845</v>
      </c>
      <c r="GPF67" s="150" t="s">
        <v>60</v>
      </c>
      <c r="GPG67" s="210"/>
      <c r="GPH67" s="156" t="s">
        <v>132</v>
      </c>
      <c r="GPI67" s="208"/>
      <c r="GPJ67" s="209"/>
      <c r="GPK67" s="150" t="s">
        <v>24</v>
      </c>
      <c r="GPL67" s="151">
        <v>8150</v>
      </c>
      <c r="GPM67" s="159">
        <v>85</v>
      </c>
      <c r="GPN67" s="160">
        <v>215</v>
      </c>
      <c r="GPO67" s="160">
        <v>75</v>
      </c>
      <c r="GPP67" s="159">
        <v>150</v>
      </c>
      <c r="GPQ67" s="161">
        <f>SUM(GPL67:GPP67)</f>
        <v>8675</v>
      </c>
      <c r="GPR67" s="159">
        <v>200</v>
      </c>
      <c r="GPS67" s="161">
        <f>SUM(GPQ67:GPR67)</f>
        <v>8875</v>
      </c>
      <c r="GPT67" s="154" t="s">
        <v>106</v>
      </c>
      <c r="GPU67" s="155">
        <v>45845</v>
      </c>
      <c r="GPV67" s="150" t="s">
        <v>60</v>
      </c>
      <c r="GPW67" s="210"/>
      <c r="GPX67" s="156" t="s">
        <v>132</v>
      </c>
      <c r="GPY67" s="208"/>
      <c r="GPZ67" s="209"/>
      <c r="GQA67" s="150" t="s">
        <v>24</v>
      </c>
      <c r="GQB67" s="151">
        <v>8150</v>
      </c>
      <c r="GQC67" s="159">
        <v>85</v>
      </c>
      <c r="GQD67" s="160">
        <v>215</v>
      </c>
      <c r="GQE67" s="160">
        <v>75</v>
      </c>
      <c r="GQF67" s="159">
        <v>150</v>
      </c>
      <c r="GQG67" s="161">
        <f>SUM(GQB67:GQF67)</f>
        <v>8675</v>
      </c>
      <c r="GQH67" s="159">
        <v>200</v>
      </c>
      <c r="GQI67" s="161">
        <f>SUM(GQG67:GQH67)</f>
        <v>8875</v>
      </c>
      <c r="GQJ67" s="154" t="s">
        <v>106</v>
      </c>
      <c r="GQK67" s="155">
        <v>45845</v>
      </c>
      <c r="GQL67" s="150" t="s">
        <v>60</v>
      </c>
      <c r="GQM67" s="210"/>
      <c r="GQN67" s="156" t="s">
        <v>132</v>
      </c>
      <c r="GQO67" s="208"/>
      <c r="GQP67" s="209"/>
      <c r="GQQ67" s="150" t="s">
        <v>24</v>
      </c>
      <c r="GQR67" s="151">
        <v>8150</v>
      </c>
      <c r="GQS67" s="159">
        <v>85</v>
      </c>
      <c r="GQT67" s="160">
        <v>215</v>
      </c>
      <c r="GQU67" s="160">
        <v>75</v>
      </c>
      <c r="GQV67" s="159">
        <v>150</v>
      </c>
      <c r="GQW67" s="161">
        <f>SUM(GQR67:GQV67)</f>
        <v>8675</v>
      </c>
      <c r="GQX67" s="159">
        <v>200</v>
      </c>
      <c r="GQY67" s="161">
        <f>SUM(GQW67:GQX67)</f>
        <v>8875</v>
      </c>
      <c r="GQZ67" s="154" t="s">
        <v>106</v>
      </c>
      <c r="GRA67" s="155">
        <v>45845</v>
      </c>
      <c r="GRB67" s="150" t="s">
        <v>60</v>
      </c>
      <c r="GRC67" s="210"/>
      <c r="GRD67" s="156" t="s">
        <v>132</v>
      </c>
      <c r="GRE67" s="208"/>
      <c r="GRF67" s="209"/>
      <c r="GRG67" s="150" t="s">
        <v>24</v>
      </c>
      <c r="GRH67" s="151">
        <v>8150</v>
      </c>
      <c r="GRI67" s="159">
        <v>85</v>
      </c>
      <c r="GRJ67" s="160">
        <v>215</v>
      </c>
      <c r="GRK67" s="160">
        <v>75</v>
      </c>
      <c r="GRL67" s="159">
        <v>150</v>
      </c>
      <c r="GRM67" s="161">
        <f>SUM(GRH67:GRL67)</f>
        <v>8675</v>
      </c>
      <c r="GRN67" s="159">
        <v>200</v>
      </c>
      <c r="GRO67" s="161">
        <f>SUM(GRM67:GRN67)</f>
        <v>8875</v>
      </c>
      <c r="GRP67" s="154" t="s">
        <v>106</v>
      </c>
      <c r="GRQ67" s="155">
        <v>45845</v>
      </c>
      <c r="GRR67" s="150" t="s">
        <v>60</v>
      </c>
      <c r="GRS67" s="210"/>
      <c r="GRT67" s="156" t="s">
        <v>132</v>
      </c>
      <c r="GRU67" s="208"/>
      <c r="GRV67" s="209"/>
      <c r="GRW67" s="150" t="s">
        <v>24</v>
      </c>
      <c r="GRX67" s="151">
        <v>8150</v>
      </c>
      <c r="GRY67" s="159">
        <v>85</v>
      </c>
      <c r="GRZ67" s="160">
        <v>215</v>
      </c>
      <c r="GSA67" s="160">
        <v>75</v>
      </c>
      <c r="GSB67" s="159">
        <v>150</v>
      </c>
      <c r="GSC67" s="161">
        <f>SUM(GRX67:GSB67)</f>
        <v>8675</v>
      </c>
      <c r="GSD67" s="159">
        <v>200</v>
      </c>
      <c r="GSE67" s="161">
        <f>SUM(GSC67:GSD67)</f>
        <v>8875</v>
      </c>
      <c r="GSF67" s="154" t="s">
        <v>106</v>
      </c>
      <c r="GSG67" s="155">
        <v>45845</v>
      </c>
      <c r="GSH67" s="150" t="s">
        <v>60</v>
      </c>
      <c r="GSI67" s="210"/>
      <c r="GSJ67" s="156" t="s">
        <v>132</v>
      </c>
      <c r="GSK67" s="208"/>
      <c r="GSL67" s="209"/>
      <c r="GSM67" s="150" t="s">
        <v>24</v>
      </c>
      <c r="GSN67" s="151">
        <v>8150</v>
      </c>
      <c r="GSO67" s="159">
        <v>85</v>
      </c>
      <c r="GSP67" s="160">
        <v>215</v>
      </c>
      <c r="GSQ67" s="160">
        <v>75</v>
      </c>
      <c r="GSR67" s="159">
        <v>150</v>
      </c>
      <c r="GSS67" s="161">
        <f>SUM(GSN67:GSR67)</f>
        <v>8675</v>
      </c>
      <c r="GST67" s="159">
        <v>200</v>
      </c>
      <c r="GSU67" s="161">
        <f>SUM(GSS67:GST67)</f>
        <v>8875</v>
      </c>
      <c r="GSV67" s="154" t="s">
        <v>106</v>
      </c>
      <c r="GSW67" s="155">
        <v>45845</v>
      </c>
      <c r="GSX67" s="150" t="s">
        <v>60</v>
      </c>
      <c r="GSY67" s="210"/>
      <c r="GSZ67" s="156" t="s">
        <v>132</v>
      </c>
      <c r="GTA67" s="208"/>
      <c r="GTB67" s="209"/>
      <c r="GTC67" s="150" t="s">
        <v>24</v>
      </c>
      <c r="GTD67" s="151">
        <v>8150</v>
      </c>
      <c r="GTE67" s="159">
        <v>85</v>
      </c>
      <c r="GTF67" s="160">
        <v>215</v>
      </c>
      <c r="GTG67" s="160">
        <v>75</v>
      </c>
      <c r="GTH67" s="159">
        <v>150</v>
      </c>
      <c r="GTI67" s="161">
        <f>SUM(GTD67:GTH67)</f>
        <v>8675</v>
      </c>
      <c r="GTJ67" s="159">
        <v>200</v>
      </c>
      <c r="GTK67" s="161">
        <f>SUM(GTI67:GTJ67)</f>
        <v>8875</v>
      </c>
      <c r="GTL67" s="154" t="s">
        <v>106</v>
      </c>
      <c r="GTM67" s="155">
        <v>45845</v>
      </c>
      <c r="GTN67" s="150" t="s">
        <v>60</v>
      </c>
      <c r="GTO67" s="210"/>
      <c r="GTP67" s="156" t="s">
        <v>132</v>
      </c>
      <c r="GTQ67" s="208"/>
      <c r="GTR67" s="209"/>
      <c r="GTS67" s="150" t="s">
        <v>24</v>
      </c>
      <c r="GTT67" s="151">
        <v>8150</v>
      </c>
      <c r="GTU67" s="159">
        <v>85</v>
      </c>
      <c r="GTV67" s="160">
        <v>215</v>
      </c>
      <c r="GTW67" s="160">
        <v>75</v>
      </c>
      <c r="GTX67" s="159">
        <v>150</v>
      </c>
      <c r="GTY67" s="161">
        <f>SUM(GTT67:GTX67)</f>
        <v>8675</v>
      </c>
      <c r="GTZ67" s="159">
        <v>200</v>
      </c>
      <c r="GUA67" s="161">
        <f>SUM(GTY67:GTZ67)</f>
        <v>8875</v>
      </c>
      <c r="GUB67" s="154" t="s">
        <v>106</v>
      </c>
      <c r="GUC67" s="155">
        <v>45845</v>
      </c>
      <c r="GUD67" s="150" t="s">
        <v>60</v>
      </c>
      <c r="GUE67" s="210"/>
      <c r="GUF67" s="156" t="s">
        <v>132</v>
      </c>
      <c r="GUG67" s="208"/>
      <c r="GUH67" s="209"/>
      <c r="GUI67" s="150" t="s">
        <v>24</v>
      </c>
      <c r="GUJ67" s="151">
        <v>8150</v>
      </c>
      <c r="GUK67" s="159">
        <v>85</v>
      </c>
      <c r="GUL67" s="160">
        <v>215</v>
      </c>
      <c r="GUM67" s="160">
        <v>75</v>
      </c>
      <c r="GUN67" s="159">
        <v>150</v>
      </c>
      <c r="GUO67" s="161">
        <f>SUM(GUJ67:GUN67)</f>
        <v>8675</v>
      </c>
      <c r="GUP67" s="159">
        <v>200</v>
      </c>
      <c r="GUQ67" s="161">
        <f>SUM(GUO67:GUP67)</f>
        <v>8875</v>
      </c>
      <c r="GUR67" s="154" t="s">
        <v>106</v>
      </c>
      <c r="GUS67" s="155">
        <v>45845</v>
      </c>
      <c r="GUT67" s="150" t="s">
        <v>60</v>
      </c>
      <c r="GUU67" s="210"/>
      <c r="GUV67" s="156" t="s">
        <v>132</v>
      </c>
      <c r="GUW67" s="208"/>
      <c r="GUX67" s="209"/>
      <c r="GUY67" s="150" t="s">
        <v>24</v>
      </c>
      <c r="GUZ67" s="151">
        <v>8150</v>
      </c>
      <c r="GVA67" s="159">
        <v>85</v>
      </c>
      <c r="GVB67" s="160">
        <v>215</v>
      </c>
      <c r="GVC67" s="160">
        <v>75</v>
      </c>
      <c r="GVD67" s="159">
        <v>150</v>
      </c>
      <c r="GVE67" s="161">
        <f>SUM(GUZ67:GVD67)</f>
        <v>8675</v>
      </c>
      <c r="GVF67" s="159">
        <v>200</v>
      </c>
      <c r="GVG67" s="161">
        <f>SUM(GVE67:GVF67)</f>
        <v>8875</v>
      </c>
      <c r="GVH67" s="154" t="s">
        <v>106</v>
      </c>
      <c r="GVI67" s="155">
        <v>45845</v>
      </c>
      <c r="GVJ67" s="150" t="s">
        <v>60</v>
      </c>
      <c r="GVK67" s="210"/>
      <c r="GVL67" s="156" t="s">
        <v>132</v>
      </c>
      <c r="GVM67" s="208"/>
      <c r="GVN67" s="209"/>
      <c r="GVO67" s="150" t="s">
        <v>24</v>
      </c>
      <c r="GVP67" s="151">
        <v>8150</v>
      </c>
      <c r="GVQ67" s="159">
        <v>85</v>
      </c>
      <c r="GVR67" s="160">
        <v>215</v>
      </c>
      <c r="GVS67" s="160">
        <v>75</v>
      </c>
      <c r="GVT67" s="159">
        <v>150</v>
      </c>
      <c r="GVU67" s="161">
        <f>SUM(GVP67:GVT67)</f>
        <v>8675</v>
      </c>
      <c r="GVV67" s="159">
        <v>200</v>
      </c>
      <c r="GVW67" s="161">
        <f>SUM(GVU67:GVV67)</f>
        <v>8875</v>
      </c>
      <c r="GVX67" s="154" t="s">
        <v>106</v>
      </c>
      <c r="GVY67" s="155">
        <v>45845</v>
      </c>
      <c r="GVZ67" s="150" t="s">
        <v>60</v>
      </c>
      <c r="GWA67" s="210"/>
      <c r="GWB67" s="156" t="s">
        <v>132</v>
      </c>
      <c r="GWC67" s="208"/>
      <c r="GWD67" s="209"/>
      <c r="GWE67" s="150" t="s">
        <v>24</v>
      </c>
      <c r="GWF67" s="151">
        <v>8150</v>
      </c>
      <c r="GWG67" s="159">
        <v>85</v>
      </c>
      <c r="GWH67" s="160">
        <v>215</v>
      </c>
      <c r="GWI67" s="160">
        <v>75</v>
      </c>
      <c r="GWJ67" s="159">
        <v>150</v>
      </c>
      <c r="GWK67" s="161">
        <f>SUM(GWF67:GWJ67)</f>
        <v>8675</v>
      </c>
      <c r="GWL67" s="159">
        <v>200</v>
      </c>
      <c r="GWM67" s="161">
        <f>SUM(GWK67:GWL67)</f>
        <v>8875</v>
      </c>
      <c r="GWN67" s="154" t="s">
        <v>106</v>
      </c>
      <c r="GWO67" s="155">
        <v>45845</v>
      </c>
      <c r="GWP67" s="150" t="s">
        <v>60</v>
      </c>
      <c r="GWQ67" s="210"/>
      <c r="GWR67" s="156" t="s">
        <v>132</v>
      </c>
      <c r="GWS67" s="208"/>
      <c r="GWT67" s="209"/>
      <c r="GWU67" s="150" t="s">
        <v>24</v>
      </c>
      <c r="GWV67" s="151">
        <v>8150</v>
      </c>
      <c r="GWW67" s="159">
        <v>85</v>
      </c>
      <c r="GWX67" s="160">
        <v>215</v>
      </c>
      <c r="GWY67" s="160">
        <v>75</v>
      </c>
      <c r="GWZ67" s="159">
        <v>150</v>
      </c>
      <c r="GXA67" s="161">
        <f>SUM(GWV67:GWZ67)</f>
        <v>8675</v>
      </c>
      <c r="GXB67" s="159">
        <v>200</v>
      </c>
      <c r="GXC67" s="161">
        <f>SUM(GXA67:GXB67)</f>
        <v>8875</v>
      </c>
      <c r="GXD67" s="154" t="s">
        <v>106</v>
      </c>
      <c r="GXE67" s="155">
        <v>45845</v>
      </c>
      <c r="GXF67" s="150" t="s">
        <v>60</v>
      </c>
      <c r="GXG67" s="210"/>
      <c r="GXH67" s="156" t="s">
        <v>132</v>
      </c>
      <c r="GXI67" s="208"/>
      <c r="GXJ67" s="209"/>
      <c r="GXK67" s="150" t="s">
        <v>24</v>
      </c>
      <c r="GXL67" s="151">
        <v>8150</v>
      </c>
      <c r="GXM67" s="159">
        <v>85</v>
      </c>
      <c r="GXN67" s="160">
        <v>215</v>
      </c>
      <c r="GXO67" s="160">
        <v>75</v>
      </c>
      <c r="GXP67" s="159">
        <v>150</v>
      </c>
      <c r="GXQ67" s="161">
        <f>SUM(GXL67:GXP67)</f>
        <v>8675</v>
      </c>
      <c r="GXR67" s="159">
        <v>200</v>
      </c>
      <c r="GXS67" s="161">
        <f>SUM(GXQ67:GXR67)</f>
        <v>8875</v>
      </c>
      <c r="GXT67" s="154" t="s">
        <v>106</v>
      </c>
      <c r="GXU67" s="155">
        <v>45845</v>
      </c>
      <c r="GXV67" s="150" t="s">
        <v>60</v>
      </c>
      <c r="GXW67" s="210"/>
      <c r="GXX67" s="156" t="s">
        <v>132</v>
      </c>
      <c r="GXY67" s="208"/>
      <c r="GXZ67" s="209"/>
      <c r="GYA67" s="150" t="s">
        <v>24</v>
      </c>
      <c r="GYB67" s="151">
        <v>8150</v>
      </c>
      <c r="GYC67" s="159">
        <v>85</v>
      </c>
      <c r="GYD67" s="160">
        <v>215</v>
      </c>
      <c r="GYE67" s="160">
        <v>75</v>
      </c>
      <c r="GYF67" s="159">
        <v>150</v>
      </c>
      <c r="GYG67" s="161">
        <f>SUM(GYB67:GYF67)</f>
        <v>8675</v>
      </c>
      <c r="GYH67" s="159">
        <v>200</v>
      </c>
      <c r="GYI67" s="161">
        <f>SUM(GYG67:GYH67)</f>
        <v>8875</v>
      </c>
      <c r="GYJ67" s="154" t="s">
        <v>106</v>
      </c>
      <c r="GYK67" s="155">
        <v>45845</v>
      </c>
      <c r="GYL67" s="150" t="s">
        <v>60</v>
      </c>
      <c r="GYM67" s="210"/>
      <c r="GYN67" s="156" t="s">
        <v>132</v>
      </c>
      <c r="GYO67" s="208"/>
      <c r="GYP67" s="209"/>
      <c r="GYQ67" s="150" t="s">
        <v>24</v>
      </c>
      <c r="GYR67" s="151">
        <v>8150</v>
      </c>
      <c r="GYS67" s="159">
        <v>85</v>
      </c>
      <c r="GYT67" s="160">
        <v>215</v>
      </c>
      <c r="GYU67" s="160">
        <v>75</v>
      </c>
      <c r="GYV67" s="159">
        <v>150</v>
      </c>
      <c r="GYW67" s="161">
        <f>SUM(GYR67:GYV67)</f>
        <v>8675</v>
      </c>
      <c r="GYX67" s="159">
        <v>200</v>
      </c>
      <c r="GYY67" s="161">
        <f>SUM(GYW67:GYX67)</f>
        <v>8875</v>
      </c>
      <c r="GYZ67" s="154" t="s">
        <v>106</v>
      </c>
      <c r="GZA67" s="155">
        <v>45845</v>
      </c>
      <c r="GZB67" s="150" t="s">
        <v>60</v>
      </c>
      <c r="GZC67" s="210"/>
      <c r="GZD67" s="156" t="s">
        <v>132</v>
      </c>
      <c r="GZE67" s="208"/>
      <c r="GZF67" s="209"/>
      <c r="GZG67" s="150" t="s">
        <v>24</v>
      </c>
      <c r="GZH67" s="151">
        <v>8150</v>
      </c>
      <c r="GZI67" s="159">
        <v>85</v>
      </c>
      <c r="GZJ67" s="160">
        <v>215</v>
      </c>
      <c r="GZK67" s="160">
        <v>75</v>
      </c>
      <c r="GZL67" s="159">
        <v>150</v>
      </c>
      <c r="GZM67" s="161">
        <f>SUM(GZH67:GZL67)</f>
        <v>8675</v>
      </c>
      <c r="GZN67" s="159">
        <v>200</v>
      </c>
      <c r="GZO67" s="161">
        <f>SUM(GZM67:GZN67)</f>
        <v>8875</v>
      </c>
      <c r="GZP67" s="154" t="s">
        <v>106</v>
      </c>
      <c r="GZQ67" s="155">
        <v>45845</v>
      </c>
      <c r="GZR67" s="150" t="s">
        <v>60</v>
      </c>
      <c r="GZS67" s="210"/>
      <c r="GZT67" s="156" t="s">
        <v>132</v>
      </c>
      <c r="GZU67" s="208"/>
      <c r="GZV67" s="209"/>
      <c r="GZW67" s="150" t="s">
        <v>24</v>
      </c>
      <c r="GZX67" s="151">
        <v>8150</v>
      </c>
      <c r="GZY67" s="159">
        <v>85</v>
      </c>
      <c r="GZZ67" s="160">
        <v>215</v>
      </c>
      <c r="HAA67" s="160">
        <v>75</v>
      </c>
      <c r="HAB67" s="159">
        <v>150</v>
      </c>
      <c r="HAC67" s="161">
        <f>SUM(GZX67:HAB67)</f>
        <v>8675</v>
      </c>
      <c r="HAD67" s="159">
        <v>200</v>
      </c>
      <c r="HAE67" s="161">
        <f>SUM(HAC67:HAD67)</f>
        <v>8875</v>
      </c>
      <c r="HAF67" s="154" t="s">
        <v>106</v>
      </c>
      <c r="HAG67" s="155">
        <v>45845</v>
      </c>
      <c r="HAH67" s="150" t="s">
        <v>60</v>
      </c>
      <c r="HAI67" s="210"/>
      <c r="HAJ67" s="156" t="s">
        <v>132</v>
      </c>
      <c r="HAK67" s="208"/>
      <c r="HAL67" s="209"/>
      <c r="HAM67" s="150" t="s">
        <v>24</v>
      </c>
      <c r="HAN67" s="151">
        <v>8150</v>
      </c>
      <c r="HAO67" s="159">
        <v>85</v>
      </c>
      <c r="HAP67" s="160">
        <v>215</v>
      </c>
      <c r="HAQ67" s="160">
        <v>75</v>
      </c>
      <c r="HAR67" s="159">
        <v>150</v>
      </c>
      <c r="HAS67" s="161">
        <f>SUM(HAN67:HAR67)</f>
        <v>8675</v>
      </c>
      <c r="HAT67" s="159">
        <v>200</v>
      </c>
      <c r="HAU67" s="161">
        <f>SUM(HAS67:HAT67)</f>
        <v>8875</v>
      </c>
      <c r="HAV67" s="154" t="s">
        <v>106</v>
      </c>
      <c r="HAW67" s="155">
        <v>45845</v>
      </c>
      <c r="HAX67" s="150" t="s">
        <v>60</v>
      </c>
      <c r="HAY67" s="210"/>
      <c r="HAZ67" s="156" t="s">
        <v>132</v>
      </c>
      <c r="HBA67" s="208"/>
      <c r="HBB67" s="209"/>
      <c r="HBC67" s="150" t="s">
        <v>24</v>
      </c>
      <c r="HBD67" s="151">
        <v>8150</v>
      </c>
      <c r="HBE67" s="159">
        <v>85</v>
      </c>
      <c r="HBF67" s="160">
        <v>215</v>
      </c>
      <c r="HBG67" s="160">
        <v>75</v>
      </c>
      <c r="HBH67" s="159">
        <v>150</v>
      </c>
      <c r="HBI67" s="161">
        <f>SUM(HBD67:HBH67)</f>
        <v>8675</v>
      </c>
      <c r="HBJ67" s="159">
        <v>200</v>
      </c>
      <c r="HBK67" s="161">
        <f>SUM(HBI67:HBJ67)</f>
        <v>8875</v>
      </c>
      <c r="HBL67" s="154" t="s">
        <v>106</v>
      </c>
      <c r="HBM67" s="155">
        <v>45845</v>
      </c>
      <c r="HBN67" s="150" t="s">
        <v>60</v>
      </c>
      <c r="HBO67" s="210"/>
      <c r="HBP67" s="156" t="s">
        <v>132</v>
      </c>
      <c r="HBQ67" s="208"/>
      <c r="HBR67" s="209"/>
      <c r="HBS67" s="150" t="s">
        <v>24</v>
      </c>
      <c r="HBT67" s="151">
        <v>8150</v>
      </c>
      <c r="HBU67" s="159">
        <v>85</v>
      </c>
      <c r="HBV67" s="160">
        <v>215</v>
      </c>
      <c r="HBW67" s="160">
        <v>75</v>
      </c>
      <c r="HBX67" s="159">
        <v>150</v>
      </c>
      <c r="HBY67" s="161">
        <f>SUM(HBT67:HBX67)</f>
        <v>8675</v>
      </c>
      <c r="HBZ67" s="159">
        <v>200</v>
      </c>
      <c r="HCA67" s="161">
        <f>SUM(HBY67:HBZ67)</f>
        <v>8875</v>
      </c>
      <c r="HCB67" s="154" t="s">
        <v>106</v>
      </c>
      <c r="HCC67" s="155">
        <v>45845</v>
      </c>
      <c r="HCD67" s="150" t="s">
        <v>60</v>
      </c>
      <c r="HCE67" s="210"/>
      <c r="HCF67" s="156" t="s">
        <v>132</v>
      </c>
      <c r="HCG67" s="208"/>
      <c r="HCH67" s="209"/>
      <c r="HCI67" s="150" t="s">
        <v>24</v>
      </c>
      <c r="HCJ67" s="151">
        <v>8150</v>
      </c>
      <c r="HCK67" s="159">
        <v>85</v>
      </c>
      <c r="HCL67" s="160">
        <v>215</v>
      </c>
      <c r="HCM67" s="160">
        <v>75</v>
      </c>
      <c r="HCN67" s="159">
        <v>150</v>
      </c>
      <c r="HCO67" s="161">
        <f>SUM(HCJ67:HCN67)</f>
        <v>8675</v>
      </c>
      <c r="HCP67" s="159">
        <v>200</v>
      </c>
      <c r="HCQ67" s="161">
        <f>SUM(HCO67:HCP67)</f>
        <v>8875</v>
      </c>
      <c r="HCR67" s="154" t="s">
        <v>106</v>
      </c>
      <c r="HCS67" s="155">
        <v>45845</v>
      </c>
      <c r="HCT67" s="150" t="s">
        <v>60</v>
      </c>
      <c r="HCU67" s="210"/>
      <c r="HCV67" s="156" t="s">
        <v>132</v>
      </c>
      <c r="HCW67" s="208"/>
      <c r="HCX67" s="209"/>
      <c r="HCY67" s="150" t="s">
        <v>24</v>
      </c>
      <c r="HCZ67" s="151">
        <v>8150</v>
      </c>
      <c r="HDA67" s="159">
        <v>85</v>
      </c>
      <c r="HDB67" s="160">
        <v>215</v>
      </c>
      <c r="HDC67" s="160">
        <v>75</v>
      </c>
      <c r="HDD67" s="159">
        <v>150</v>
      </c>
      <c r="HDE67" s="161">
        <f>SUM(HCZ67:HDD67)</f>
        <v>8675</v>
      </c>
      <c r="HDF67" s="159">
        <v>200</v>
      </c>
      <c r="HDG67" s="161">
        <f>SUM(HDE67:HDF67)</f>
        <v>8875</v>
      </c>
      <c r="HDH67" s="154" t="s">
        <v>106</v>
      </c>
      <c r="HDI67" s="155">
        <v>45845</v>
      </c>
      <c r="HDJ67" s="150" t="s">
        <v>60</v>
      </c>
      <c r="HDK67" s="210"/>
      <c r="HDL67" s="156" t="s">
        <v>132</v>
      </c>
      <c r="HDM67" s="208"/>
      <c r="HDN67" s="209"/>
      <c r="HDO67" s="150" t="s">
        <v>24</v>
      </c>
      <c r="HDP67" s="151">
        <v>8150</v>
      </c>
      <c r="HDQ67" s="159">
        <v>85</v>
      </c>
      <c r="HDR67" s="160">
        <v>215</v>
      </c>
      <c r="HDS67" s="160">
        <v>75</v>
      </c>
      <c r="HDT67" s="159">
        <v>150</v>
      </c>
      <c r="HDU67" s="161">
        <f>SUM(HDP67:HDT67)</f>
        <v>8675</v>
      </c>
      <c r="HDV67" s="159">
        <v>200</v>
      </c>
      <c r="HDW67" s="161">
        <f>SUM(HDU67:HDV67)</f>
        <v>8875</v>
      </c>
      <c r="HDX67" s="154" t="s">
        <v>106</v>
      </c>
      <c r="HDY67" s="155">
        <v>45845</v>
      </c>
      <c r="HDZ67" s="150" t="s">
        <v>60</v>
      </c>
      <c r="HEA67" s="210"/>
      <c r="HEB67" s="156" t="s">
        <v>132</v>
      </c>
      <c r="HEC67" s="208"/>
      <c r="HED67" s="209"/>
      <c r="HEE67" s="150" t="s">
        <v>24</v>
      </c>
      <c r="HEF67" s="151">
        <v>8150</v>
      </c>
      <c r="HEG67" s="159">
        <v>85</v>
      </c>
      <c r="HEH67" s="160">
        <v>215</v>
      </c>
      <c r="HEI67" s="160">
        <v>75</v>
      </c>
      <c r="HEJ67" s="159">
        <v>150</v>
      </c>
      <c r="HEK67" s="161">
        <f>SUM(HEF67:HEJ67)</f>
        <v>8675</v>
      </c>
      <c r="HEL67" s="159">
        <v>200</v>
      </c>
      <c r="HEM67" s="161">
        <f>SUM(HEK67:HEL67)</f>
        <v>8875</v>
      </c>
      <c r="HEN67" s="154" t="s">
        <v>106</v>
      </c>
      <c r="HEO67" s="155">
        <v>45845</v>
      </c>
      <c r="HEP67" s="150" t="s">
        <v>60</v>
      </c>
      <c r="HEQ67" s="210"/>
      <c r="HER67" s="156" t="s">
        <v>132</v>
      </c>
      <c r="HES67" s="208"/>
      <c r="HET67" s="209"/>
      <c r="HEU67" s="150" t="s">
        <v>24</v>
      </c>
      <c r="HEV67" s="151">
        <v>8150</v>
      </c>
      <c r="HEW67" s="159">
        <v>85</v>
      </c>
      <c r="HEX67" s="160">
        <v>215</v>
      </c>
      <c r="HEY67" s="160">
        <v>75</v>
      </c>
      <c r="HEZ67" s="159">
        <v>150</v>
      </c>
      <c r="HFA67" s="161">
        <f>SUM(HEV67:HEZ67)</f>
        <v>8675</v>
      </c>
      <c r="HFB67" s="159">
        <v>200</v>
      </c>
      <c r="HFC67" s="161">
        <f>SUM(HFA67:HFB67)</f>
        <v>8875</v>
      </c>
      <c r="HFD67" s="154" t="s">
        <v>106</v>
      </c>
      <c r="HFE67" s="155">
        <v>45845</v>
      </c>
      <c r="HFF67" s="150" t="s">
        <v>60</v>
      </c>
      <c r="HFG67" s="210"/>
      <c r="HFH67" s="156" t="s">
        <v>132</v>
      </c>
      <c r="HFI67" s="208"/>
      <c r="HFJ67" s="209"/>
      <c r="HFK67" s="150" t="s">
        <v>24</v>
      </c>
      <c r="HFL67" s="151">
        <v>8150</v>
      </c>
      <c r="HFM67" s="159">
        <v>85</v>
      </c>
      <c r="HFN67" s="160">
        <v>215</v>
      </c>
      <c r="HFO67" s="160">
        <v>75</v>
      </c>
      <c r="HFP67" s="159">
        <v>150</v>
      </c>
      <c r="HFQ67" s="161">
        <f>SUM(HFL67:HFP67)</f>
        <v>8675</v>
      </c>
      <c r="HFR67" s="159">
        <v>200</v>
      </c>
      <c r="HFS67" s="161">
        <f>SUM(HFQ67:HFR67)</f>
        <v>8875</v>
      </c>
      <c r="HFT67" s="154" t="s">
        <v>106</v>
      </c>
      <c r="HFU67" s="155">
        <v>45845</v>
      </c>
      <c r="HFV67" s="150" t="s">
        <v>60</v>
      </c>
      <c r="HFW67" s="210"/>
      <c r="HFX67" s="156" t="s">
        <v>132</v>
      </c>
      <c r="HFY67" s="208"/>
      <c r="HFZ67" s="209"/>
      <c r="HGA67" s="150" t="s">
        <v>24</v>
      </c>
      <c r="HGB67" s="151">
        <v>8150</v>
      </c>
      <c r="HGC67" s="159">
        <v>85</v>
      </c>
      <c r="HGD67" s="160">
        <v>215</v>
      </c>
      <c r="HGE67" s="160">
        <v>75</v>
      </c>
      <c r="HGF67" s="159">
        <v>150</v>
      </c>
      <c r="HGG67" s="161">
        <f>SUM(HGB67:HGF67)</f>
        <v>8675</v>
      </c>
      <c r="HGH67" s="159">
        <v>200</v>
      </c>
      <c r="HGI67" s="161">
        <f>SUM(HGG67:HGH67)</f>
        <v>8875</v>
      </c>
      <c r="HGJ67" s="154" t="s">
        <v>106</v>
      </c>
      <c r="HGK67" s="155">
        <v>45845</v>
      </c>
      <c r="HGL67" s="150" t="s">
        <v>60</v>
      </c>
      <c r="HGM67" s="210"/>
      <c r="HGN67" s="156" t="s">
        <v>132</v>
      </c>
      <c r="HGO67" s="208"/>
      <c r="HGP67" s="209"/>
      <c r="HGQ67" s="150" t="s">
        <v>24</v>
      </c>
      <c r="HGR67" s="151">
        <v>8150</v>
      </c>
      <c r="HGS67" s="159">
        <v>85</v>
      </c>
      <c r="HGT67" s="160">
        <v>215</v>
      </c>
      <c r="HGU67" s="160">
        <v>75</v>
      </c>
      <c r="HGV67" s="159">
        <v>150</v>
      </c>
      <c r="HGW67" s="161">
        <f>SUM(HGR67:HGV67)</f>
        <v>8675</v>
      </c>
      <c r="HGX67" s="159">
        <v>200</v>
      </c>
      <c r="HGY67" s="161">
        <f>SUM(HGW67:HGX67)</f>
        <v>8875</v>
      </c>
      <c r="HGZ67" s="154" t="s">
        <v>106</v>
      </c>
      <c r="HHA67" s="155">
        <v>45845</v>
      </c>
      <c r="HHB67" s="150" t="s">
        <v>60</v>
      </c>
      <c r="HHC67" s="210"/>
      <c r="HHD67" s="156" t="s">
        <v>132</v>
      </c>
      <c r="HHE67" s="208"/>
      <c r="HHF67" s="209"/>
      <c r="HHG67" s="150" t="s">
        <v>24</v>
      </c>
      <c r="HHH67" s="151">
        <v>8150</v>
      </c>
      <c r="HHI67" s="159">
        <v>85</v>
      </c>
      <c r="HHJ67" s="160">
        <v>215</v>
      </c>
      <c r="HHK67" s="160">
        <v>75</v>
      </c>
      <c r="HHL67" s="159">
        <v>150</v>
      </c>
      <c r="HHM67" s="161">
        <f>SUM(HHH67:HHL67)</f>
        <v>8675</v>
      </c>
      <c r="HHN67" s="159">
        <v>200</v>
      </c>
      <c r="HHO67" s="161">
        <f>SUM(HHM67:HHN67)</f>
        <v>8875</v>
      </c>
      <c r="HHP67" s="154" t="s">
        <v>106</v>
      </c>
      <c r="HHQ67" s="155">
        <v>45845</v>
      </c>
      <c r="HHR67" s="150" t="s">
        <v>60</v>
      </c>
      <c r="HHS67" s="210"/>
      <c r="HHT67" s="156" t="s">
        <v>132</v>
      </c>
      <c r="HHU67" s="208"/>
      <c r="HHV67" s="209"/>
      <c r="HHW67" s="150" t="s">
        <v>24</v>
      </c>
      <c r="HHX67" s="151">
        <v>8150</v>
      </c>
      <c r="HHY67" s="159">
        <v>85</v>
      </c>
      <c r="HHZ67" s="160">
        <v>215</v>
      </c>
      <c r="HIA67" s="160">
        <v>75</v>
      </c>
      <c r="HIB67" s="159">
        <v>150</v>
      </c>
      <c r="HIC67" s="161">
        <f>SUM(HHX67:HIB67)</f>
        <v>8675</v>
      </c>
      <c r="HID67" s="159">
        <v>200</v>
      </c>
      <c r="HIE67" s="161">
        <f>SUM(HIC67:HID67)</f>
        <v>8875</v>
      </c>
      <c r="HIF67" s="154" t="s">
        <v>106</v>
      </c>
      <c r="HIG67" s="155">
        <v>45845</v>
      </c>
      <c r="HIH67" s="150" t="s">
        <v>60</v>
      </c>
      <c r="HII67" s="210"/>
      <c r="HIJ67" s="156" t="s">
        <v>132</v>
      </c>
      <c r="HIK67" s="208"/>
      <c r="HIL67" s="209"/>
      <c r="HIM67" s="150" t="s">
        <v>24</v>
      </c>
      <c r="HIN67" s="151">
        <v>8150</v>
      </c>
      <c r="HIO67" s="159">
        <v>85</v>
      </c>
      <c r="HIP67" s="160">
        <v>215</v>
      </c>
      <c r="HIQ67" s="160">
        <v>75</v>
      </c>
      <c r="HIR67" s="159">
        <v>150</v>
      </c>
      <c r="HIS67" s="161">
        <f>SUM(HIN67:HIR67)</f>
        <v>8675</v>
      </c>
      <c r="HIT67" s="159">
        <v>200</v>
      </c>
      <c r="HIU67" s="161">
        <f>SUM(HIS67:HIT67)</f>
        <v>8875</v>
      </c>
      <c r="HIV67" s="154" t="s">
        <v>106</v>
      </c>
      <c r="HIW67" s="155">
        <v>45845</v>
      </c>
      <c r="HIX67" s="150" t="s">
        <v>60</v>
      </c>
      <c r="HIY67" s="210"/>
      <c r="HIZ67" s="156" t="s">
        <v>132</v>
      </c>
      <c r="HJA67" s="208"/>
      <c r="HJB67" s="209"/>
      <c r="HJC67" s="150" t="s">
        <v>24</v>
      </c>
      <c r="HJD67" s="151">
        <v>8150</v>
      </c>
      <c r="HJE67" s="159">
        <v>85</v>
      </c>
      <c r="HJF67" s="160">
        <v>215</v>
      </c>
      <c r="HJG67" s="160">
        <v>75</v>
      </c>
      <c r="HJH67" s="159">
        <v>150</v>
      </c>
      <c r="HJI67" s="161">
        <f>SUM(HJD67:HJH67)</f>
        <v>8675</v>
      </c>
      <c r="HJJ67" s="159">
        <v>200</v>
      </c>
      <c r="HJK67" s="161">
        <f>SUM(HJI67:HJJ67)</f>
        <v>8875</v>
      </c>
      <c r="HJL67" s="154" t="s">
        <v>106</v>
      </c>
      <c r="HJM67" s="155">
        <v>45845</v>
      </c>
      <c r="HJN67" s="150" t="s">
        <v>60</v>
      </c>
      <c r="HJO67" s="210"/>
      <c r="HJP67" s="156" t="s">
        <v>132</v>
      </c>
      <c r="HJQ67" s="208"/>
      <c r="HJR67" s="209"/>
      <c r="HJS67" s="150" t="s">
        <v>24</v>
      </c>
      <c r="HJT67" s="151">
        <v>8150</v>
      </c>
      <c r="HJU67" s="159">
        <v>85</v>
      </c>
      <c r="HJV67" s="160">
        <v>215</v>
      </c>
      <c r="HJW67" s="160">
        <v>75</v>
      </c>
      <c r="HJX67" s="159">
        <v>150</v>
      </c>
      <c r="HJY67" s="161">
        <f>SUM(HJT67:HJX67)</f>
        <v>8675</v>
      </c>
      <c r="HJZ67" s="159">
        <v>200</v>
      </c>
      <c r="HKA67" s="161">
        <f>SUM(HJY67:HJZ67)</f>
        <v>8875</v>
      </c>
      <c r="HKB67" s="154" t="s">
        <v>106</v>
      </c>
      <c r="HKC67" s="155">
        <v>45845</v>
      </c>
      <c r="HKD67" s="150" t="s">
        <v>60</v>
      </c>
      <c r="HKE67" s="210"/>
      <c r="HKF67" s="156" t="s">
        <v>132</v>
      </c>
      <c r="HKG67" s="208"/>
      <c r="HKH67" s="209"/>
      <c r="HKI67" s="150" t="s">
        <v>24</v>
      </c>
      <c r="HKJ67" s="151">
        <v>8150</v>
      </c>
      <c r="HKK67" s="159">
        <v>85</v>
      </c>
      <c r="HKL67" s="160">
        <v>215</v>
      </c>
      <c r="HKM67" s="160">
        <v>75</v>
      </c>
      <c r="HKN67" s="159">
        <v>150</v>
      </c>
      <c r="HKO67" s="161">
        <f>SUM(HKJ67:HKN67)</f>
        <v>8675</v>
      </c>
      <c r="HKP67" s="159">
        <v>200</v>
      </c>
      <c r="HKQ67" s="161">
        <f>SUM(HKO67:HKP67)</f>
        <v>8875</v>
      </c>
      <c r="HKR67" s="154" t="s">
        <v>106</v>
      </c>
      <c r="HKS67" s="155">
        <v>45845</v>
      </c>
      <c r="HKT67" s="150" t="s">
        <v>60</v>
      </c>
      <c r="HKU67" s="210"/>
      <c r="HKV67" s="156" t="s">
        <v>132</v>
      </c>
      <c r="HKW67" s="208"/>
      <c r="HKX67" s="209"/>
      <c r="HKY67" s="150" t="s">
        <v>24</v>
      </c>
      <c r="HKZ67" s="151">
        <v>8150</v>
      </c>
      <c r="HLA67" s="159">
        <v>85</v>
      </c>
      <c r="HLB67" s="160">
        <v>215</v>
      </c>
      <c r="HLC67" s="160">
        <v>75</v>
      </c>
      <c r="HLD67" s="159">
        <v>150</v>
      </c>
      <c r="HLE67" s="161">
        <f>SUM(HKZ67:HLD67)</f>
        <v>8675</v>
      </c>
      <c r="HLF67" s="159">
        <v>200</v>
      </c>
      <c r="HLG67" s="161">
        <f>SUM(HLE67:HLF67)</f>
        <v>8875</v>
      </c>
      <c r="HLH67" s="154" t="s">
        <v>106</v>
      </c>
      <c r="HLI67" s="155">
        <v>45845</v>
      </c>
      <c r="HLJ67" s="150" t="s">
        <v>60</v>
      </c>
      <c r="HLK67" s="210"/>
      <c r="HLL67" s="156" t="s">
        <v>132</v>
      </c>
      <c r="HLM67" s="208"/>
      <c r="HLN67" s="209"/>
      <c r="HLO67" s="150" t="s">
        <v>24</v>
      </c>
      <c r="HLP67" s="151">
        <v>8150</v>
      </c>
      <c r="HLQ67" s="159">
        <v>85</v>
      </c>
      <c r="HLR67" s="160">
        <v>215</v>
      </c>
      <c r="HLS67" s="160">
        <v>75</v>
      </c>
      <c r="HLT67" s="159">
        <v>150</v>
      </c>
      <c r="HLU67" s="161">
        <f>SUM(HLP67:HLT67)</f>
        <v>8675</v>
      </c>
      <c r="HLV67" s="159">
        <v>200</v>
      </c>
      <c r="HLW67" s="161">
        <f>SUM(HLU67:HLV67)</f>
        <v>8875</v>
      </c>
      <c r="HLX67" s="154" t="s">
        <v>106</v>
      </c>
      <c r="HLY67" s="155">
        <v>45845</v>
      </c>
      <c r="HLZ67" s="150" t="s">
        <v>60</v>
      </c>
      <c r="HMA67" s="210"/>
      <c r="HMB67" s="156" t="s">
        <v>132</v>
      </c>
      <c r="HMC67" s="208"/>
      <c r="HMD67" s="209"/>
      <c r="HME67" s="150" t="s">
        <v>24</v>
      </c>
      <c r="HMF67" s="151">
        <v>8150</v>
      </c>
      <c r="HMG67" s="159">
        <v>85</v>
      </c>
      <c r="HMH67" s="160">
        <v>215</v>
      </c>
      <c r="HMI67" s="160">
        <v>75</v>
      </c>
      <c r="HMJ67" s="159">
        <v>150</v>
      </c>
      <c r="HMK67" s="161">
        <f>SUM(HMF67:HMJ67)</f>
        <v>8675</v>
      </c>
      <c r="HML67" s="159">
        <v>200</v>
      </c>
      <c r="HMM67" s="161">
        <f>SUM(HMK67:HML67)</f>
        <v>8875</v>
      </c>
      <c r="HMN67" s="154" t="s">
        <v>106</v>
      </c>
      <c r="HMO67" s="155">
        <v>45845</v>
      </c>
      <c r="HMP67" s="150" t="s">
        <v>60</v>
      </c>
      <c r="HMQ67" s="210"/>
      <c r="HMR67" s="156" t="s">
        <v>132</v>
      </c>
      <c r="HMS67" s="208"/>
      <c r="HMT67" s="209"/>
      <c r="HMU67" s="150" t="s">
        <v>24</v>
      </c>
      <c r="HMV67" s="151">
        <v>8150</v>
      </c>
      <c r="HMW67" s="159">
        <v>85</v>
      </c>
      <c r="HMX67" s="160">
        <v>215</v>
      </c>
      <c r="HMY67" s="160">
        <v>75</v>
      </c>
      <c r="HMZ67" s="159">
        <v>150</v>
      </c>
      <c r="HNA67" s="161">
        <f>SUM(HMV67:HMZ67)</f>
        <v>8675</v>
      </c>
      <c r="HNB67" s="159">
        <v>200</v>
      </c>
      <c r="HNC67" s="161">
        <f>SUM(HNA67:HNB67)</f>
        <v>8875</v>
      </c>
      <c r="HND67" s="154" t="s">
        <v>106</v>
      </c>
      <c r="HNE67" s="155">
        <v>45845</v>
      </c>
      <c r="HNF67" s="150" t="s">
        <v>60</v>
      </c>
      <c r="HNG67" s="210"/>
      <c r="HNH67" s="156" t="s">
        <v>132</v>
      </c>
      <c r="HNI67" s="208"/>
      <c r="HNJ67" s="209"/>
      <c r="HNK67" s="150" t="s">
        <v>24</v>
      </c>
      <c r="HNL67" s="151">
        <v>8150</v>
      </c>
      <c r="HNM67" s="159">
        <v>85</v>
      </c>
      <c r="HNN67" s="160">
        <v>215</v>
      </c>
      <c r="HNO67" s="160">
        <v>75</v>
      </c>
      <c r="HNP67" s="159">
        <v>150</v>
      </c>
      <c r="HNQ67" s="161">
        <f>SUM(HNL67:HNP67)</f>
        <v>8675</v>
      </c>
      <c r="HNR67" s="159">
        <v>200</v>
      </c>
      <c r="HNS67" s="161">
        <f>SUM(HNQ67:HNR67)</f>
        <v>8875</v>
      </c>
      <c r="HNT67" s="154" t="s">
        <v>106</v>
      </c>
      <c r="HNU67" s="155">
        <v>45845</v>
      </c>
      <c r="HNV67" s="150" t="s">
        <v>60</v>
      </c>
      <c r="HNW67" s="210"/>
      <c r="HNX67" s="156" t="s">
        <v>132</v>
      </c>
      <c r="HNY67" s="208"/>
      <c r="HNZ67" s="209"/>
      <c r="HOA67" s="150" t="s">
        <v>24</v>
      </c>
      <c r="HOB67" s="151">
        <v>8150</v>
      </c>
      <c r="HOC67" s="159">
        <v>85</v>
      </c>
      <c r="HOD67" s="160">
        <v>215</v>
      </c>
      <c r="HOE67" s="160">
        <v>75</v>
      </c>
      <c r="HOF67" s="159">
        <v>150</v>
      </c>
      <c r="HOG67" s="161">
        <f>SUM(HOB67:HOF67)</f>
        <v>8675</v>
      </c>
      <c r="HOH67" s="159">
        <v>200</v>
      </c>
      <c r="HOI67" s="161">
        <f>SUM(HOG67:HOH67)</f>
        <v>8875</v>
      </c>
      <c r="HOJ67" s="154" t="s">
        <v>106</v>
      </c>
      <c r="HOK67" s="155">
        <v>45845</v>
      </c>
      <c r="HOL67" s="150" t="s">
        <v>60</v>
      </c>
      <c r="HOM67" s="210"/>
      <c r="HON67" s="156" t="s">
        <v>132</v>
      </c>
      <c r="HOO67" s="208"/>
      <c r="HOP67" s="209"/>
      <c r="HOQ67" s="150" t="s">
        <v>24</v>
      </c>
      <c r="HOR67" s="151">
        <v>8150</v>
      </c>
      <c r="HOS67" s="159">
        <v>85</v>
      </c>
      <c r="HOT67" s="160">
        <v>215</v>
      </c>
      <c r="HOU67" s="160">
        <v>75</v>
      </c>
      <c r="HOV67" s="159">
        <v>150</v>
      </c>
      <c r="HOW67" s="161">
        <f>SUM(HOR67:HOV67)</f>
        <v>8675</v>
      </c>
      <c r="HOX67" s="159">
        <v>200</v>
      </c>
      <c r="HOY67" s="161">
        <f>SUM(HOW67:HOX67)</f>
        <v>8875</v>
      </c>
      <c r="HOZ67" s="154" t="s">
        <v>106</v>
      </c>
      <c r="HPA67" s="155">
        <v>45845</v>
      </c>
      <c r="HPB67" s="150" t="s">
        <v>60</v>
      </c>
      <c r="HPC67" s="210"/>
      <c r="HPD67" s="156" t="s">
        <v>132</v>
      </c>
      <c r="HPE67" s="208"/>
      <c r="HPF67" s="209"/>
      <c r="HPG67" s="150" t="s">
        <v>24</v>
      </c>
      <c r="HPH67" s="151">
        <v>8150</v>
      </c>
      <c r="HPI67" s="159">
        <v>85</v>
      </c>
      <c r="HPJ67" s="160">
        <v>215</v>
      </c>
      <c r="HPK67" s="160">
        <v>75</v>
      </c>
      <c r="HPL67" s="159">
        <v>150</v>
      </c>
      <c r="HPM67" s="161">
        <f>SUM(HPH67:HPL67)</f>
        <v>8675</v>
      </c>
      <c r="HPN67" s="159">
        <v>200</v>
      </c>
      <c r="HPO67" s="161">
        <f>SUM(HPM67:HPN67)</f>
        <v>8875</v>
      </c>
      <c r="HPP67" s="154" t="s">
        <v>106</v>
      </c>
      <c r="HPQ67" s="155">
        <v>45845</v>
      </c>
      <c r="HPR67" s="150" t="s">
        <v>60</v>
      </c>
      <c r="HPS67" s="210"/>
      <c r="HPT67" s="156" t="s">
        <v>132</v>
      </c>
      <c r="HPU67" s="208"/>
      <c r="HPV67" s="209"/>
      <c r="HPW67" s="150" t="s">
        <v>24</v>
      </c>
      <c r="HPX67" s="151">
        <v>8150</v>
      </c>
      <c r="HPY67" s="159">
        <v>85</v>
      </c>
      <c r="HPZ67" s="160">
        <v>215</v>
      </c>
      <c r="HQA67" s="160">
        <v>75</v>
      </c>
      <c r="HQB67" s="159">
        <v>150</v>
      </c>
      <c r="HQC67" s="161">
        <f>SUM(HPX67:HQB67)</f>
        <v>8675</v>
      </c>
      <c r="HQD67" s="159">
        <v>200</v>
      </c>
      <c r="HQE67" s="161">
        <f>SUM(HQC67:HQD67)</f>
        <v>8875</v>
      </c>
      <c r="HQF67" s="154" t="s">
        <v>106</v>
      </c>
      <c r="HQG67" s="155">
        <v>45845</v>
      </c>
      <c r="HQH67" s="150" t="s">
        <v>60</v>
      </c>
      <c r="HQI67" s="210"/>
      <c r="HQJ67" s="156" t="s">
        <v>132</v>
      </c>
      <c r="HQK67" s="208"/>
      <c r="HQL67" s="209"/>
      <c r="HQM67" s="150" t="s">
        <v>24</v>
      </c>
      <c r="HQN67" s="151">
        <v>8150</v>
      </c>
      <c r="HQO67" s="159">
        <v>85</v>
      </c>
      <c r="HQP67" s="160">
        <v>215</v>
      </c>
      <c r="HQQ67" s="160">
        <v>75</v>
      </c>
      <c r="HQR67" s="159">
        <v>150</v>
      </c>
      <c r="HQS67" s="161">
        <f>SUM(HQN67:HQR67)</f>
        <v>8675</v>
      </c>
      <c r="HQT67" s="159">
        <v>200</v>
      </c>
      <c r="HQU67" s="161">
        <f>SUM(HQS67:HQT67)</f>
        <v>8875</v>
      </c>
      <c r="HQV67" s="154" t="s">
        <v>106</v>
      </c>
      <c r="HQW67" s="155">
        <v>45845</v>
      </c>
      <c r="HQX67" s="150" t="s">
        <v>60</v>
      </c>
      <c r="HQY67" s="210"/>
      <c r="HQZ67" s="156" t="s">
        <v>132</v>
      </c>
      <c r="HRA67" s="208"/>
      <c r="HRB67" s="209"/>
      <c r="HRC67" s="150" t="s">
        <v>24</v>
      </c>
      <c r="HRD67" s="151">
        <v>8150</v>
      </c>
      <c r="HRE67" s="159">
        <v>85</v>
      </c>
      <c r="HRF67" s="160">
        <v>215</v>
      </c>
      <c r="HRG67" s="160">
        <v>75</v>
      </c>
      <c r="HRH67" s="159">
        <v>150</v>
      </c>
      <c r="HRI67" s="161">
        <f>SUM(HRD67:HRH67)</f>
        <v>8675</v>
      </c>
      <c r="HRJ67" s="159">
        <v>200</v>
      </c>
      <c r="HRK67" s="161">
        <f>SUM(HRI67:HRJ67)</f>
        <v>8875</v>
      </c>
      <c r="HRL67" s="154" t="s">
        <v>106</v>
      </c>
      <c r="HRM67" s="155">
        <v>45845</v>
      </c>
      <c r="HRN67" s="150" t="s">
        <v>60</v>
      </c>
      <c r="HRO67" s="210"/>
      <c r="HRP67" s="156" t="s">
        <v>132</v>
      </c>
      <c r="HRQ67" s="208"/>
      <c r="HRR67" s="209"/>
      <c r="HRS67" s="150" t="s">
        <v>24</v>
      </c>
      <c r="HRT67" s="151">
        <v>8150</v>
      </c>
      <c r="HRU67" s="159">
        <v>85</v>
      </c>
      <c r="HRV67" s="160">
        <v>215</v>
      </c>
      <c r="HRW67" s="160">
        <v>75</v>
      </c>
      <c r="HRX67" s="159">
        <v>150</v>
      </c>
      <c r="HRY67" s="161">
        <f>SUM(HRT67:HRX67)</f>
        <v>8675</v>
      </c>
      <c r="HRZ67" s="159">
        <v>200</v>
      </c>
      <c r="HSA67" s="161">
        <f>SUM(HRY67:HRZ67)</f>
        <v>8875</v>
      </c>
      <c r="HSB67" s="154" t="s">
        <v>106</v>
      </c>
      <c r="HSC67" s="155">
        <v>45845</v>
      </c>
      <c r="HSD67" s="150" t="s">
        <v>60</v>
      </c>
      <c r="HSE67" s="210"/>
      <c r="HSF67" s="156" t="s">
        <v>132</v>
      </c>
      <c r="HSG67" s="208"/>
      <c r="HSH67" s="209"/>
      <c r="HSI67" s="150" t="s">
        <v>24</v>
      </c>
      <c r="HSJ67" s="151">
        <v>8150</v>
      </c>
      <c r="HSK67" s="159">
        <v>85</v>
      </c>
      <c r="HSL67" s="160">
        <v>215</v>
      </c>
      <c r="HSM67" s="160">
        <v>75</v>
      </c>
      <c r="HSN67" s="159">
        <v>150</v>
      </c>
      <c r="HSO67" s="161">
        <f>SUM(HSJ67:HSN67)</f>
        <v>8675</v>
      </c>
      <c r="HSP67" s="159">
        <v>200</v>
      </c>
      <c r="HSQ67" s="161">
        <f>SUM(HSO67:HSP67)</f>
        <v>8875</v>
      </c>
      <c r="HSR67" s="154" t="s">
        <v>106</v>
      </c>
      <c r="HSS67" s="155">
        <v>45845</v>
      </c>
      <c r="HST67" s="150" t="s">
        <v>60</v>
      </c>
      <c r="HSU67" s="210"/>
      <c r="HSV67" s="156" t="s">
        <v>132</v>
      </c>
      <c r="HSW67" s="208"/>
      <c r="HSX67" s="209"/>
      <c r="HSY67" s="150" t="s">
        <v>24</v>
      </c>
      <c r="HSZ67" s="151">
        <v>8150</v>
      </c>
      <c r="HTA67" s="159">
        <v>85</v>
      </c>
      <c r="HTB67" s="160">
        <v>215</v>
      </c>
      <c r="HTC67" s="160">
        <v>75</v>
      </c>
      <c r="HTD67" s="159">
        <v>150</v>
      </c>
      <c r="HTE67" s="161">
        <f>SUM(HSZ67:HTD67)</f>
        <v>8675</v>
      </c>
      <c r="HTF67" s="159">
        <v>200</v>
      </c>
      <c r="HTG67" s="161">
        <f>SUM(HTE67:HTF67)</f>
        <v>8875</v>
      </c>
      <c r="HTH67" s="154" t="s">
        <v>106</v>
      </c>
      <c r="HTI67" s="155">
        <v>45845</v>
      </c>
      <c r="HTJ67" s="150" t="s">
        <v>60</v>
      </c>
      <c r="HTK67" s="210"/>
      <c r="HTL67" s="156" t="s">
        <v>132</v>
      </c>
      <c r="HTM67" s="208"/>
      <c r="HTN67" s="209"/>
      <c r="HTO67" s="150" t="s">
        <v>24</v>
      </c>
      <c r="HTP67" s="151">
        <v>8150</v>
      </c>
      <c r="HTQ67" s="159">
        <v>85</v>
      </c>
      <c r="HTR67" s="160">
        <v>215</v>
      </c>
      <c r="HTS67" s="160">
        <v>75</v>
      </c>
      <c r="HTT67" s="159">
        <v>150</v>
      </c>
      <c r="HTU67" s="161">
        <f>SUM(HTP67:HTT67)</f>
        <v>8675</v>
      </c>
      <c r="HTV67" s="159">
        <v>200</v>
      </c>
      <c r="HTW67" s="161">
        <f>SUM(HTU67:HTV67)</f>
        <v>8875</v>
      </c>
      <c r="HTX67" s="154" t="s">
        <v>106</v>
      </c>
      <c r="HTY67" s="155">
        <v>45845</v>
      </c>
      <c r="HTZ67" s="150" t="s">
        <v>60</v>
      </c>
      <c r="HUA67" s="210"/>
      <c r="HUB67" s="156" t="s">
        <v>132</v>
      </c>
      <c r="HUC67" s="208"/>
      <c r="HUD67" s="209"/>
      <c r="HUE67" s="150" t="s">
        <v>24</v>
      </c>
      <c r="HUF67" s="151">
        <v>8150</v>
      </c>
      <c r="HUG67" s="159">
        <v>85</v>
      </c>
      <c r="HUH67" s="160">
        <v>215</v>
      </c>
      <c r="HUI67" s="160">
        <v>75</v>
      </c>
      <c r="HUJ67" s="159">
        <v>150</v>
      </c>
      <c r="HUK67" s="161">
        <f>SUM(HUF67:HUJ67)</f>
        <v>8675</v>
      </c>
      <c r="HUL67" s="159">
        <v>200</v>
      </c>
      <c r="HUM67" s="161">
        <f>SUM(HUK67:HUL67)</f>
        <v>8875</v>
      </c>
      <c r="HUN67" s="154" t="s">
        <v>106</v>
      </c>
      <c r="HUO67" s="155">
        <v>45845</v>
      </c>
      <c r="HUP67" s="150" t="s">
        <v>60</v>
      </c>
      <c r="HUQ67" s="210"/>
      <c r="HUR67" s="156" t="s">
        <v>132</v>
      </c>
      <c r="HUS67" s="208"/>
      <c r="HUT67" s="209"/>
      <c r="HUU67" s="150" t="s">
        <v>24</v>
      </c>
      <c r="HUV67" s="151">
        <v>8150</v>
      </c>
      <c r="HUW67" s="159">
        <v>85</v>
      </c>
      <c r="HUX67" s="160">
        <v>215</v>
      </c>
      <c r="HUY67" s="160">
        <v>75</v>
      </c>
      <c r="HUZ67" s="159">
        <v>150</v>
      </c>
      <c r="HVA67" s="161">
        <f>SUM(HUV67:HUZ67)</f>
        <v>8675</v>
      </c>
      <c r="HVB67" s="159">
        <v>200</v>
      </c>
      <c r="HVC67" s="161">
        <f>SUM(HVA67:HVB67)</f>
        <v>8875</v>
      </c>
      <c r="HVD67" s="154" t="s">
        <v>106</v>
      </c>
      <c r="HVE67" s="155">
        <v>45845</v>
      </c>
      <c r="HVF67" s="150" t="s">
        <v>60</v>
      </c>
      <c r="HVG67" s="210"/>
      <c r="HVH67" s="156" t="s">
        <v>132</v>
      </c>
      <c r="HVI67" s="208"/>
      <c r="HVJ67" s="209"/>
      <c r="HVK67" s="150" t="s">
        <v>24</v>
      </c>
      <c r="HVL67" s="151">
        <v>8150</v>
      </c>
      <c r="HVM67" s="159">
        <v>85</v>
      </c>
      <c r="HVN67" s="160">
        <v>215</v>
      </c>
      <c r="HVO67" s="160">
        <v>75</v>
      </c>
      <c r="HVP67" s="159">
        <v>150</v>
      </c>
      <c r="HVQ67" s="161">
        <f>SUM(HVL67:HVP67)</f>
        <v>8675</v>
      </c>
      <c r="HVR67" s="159">
        <v>200</v>
      </c>
      <c r="HVS67" s="161">
        <f>SUM(HVQ67:HVR67)</f>
        <v>8875</v>
      </c>
      <c r="HVT67" s="154" t="s">
        <v>106</v>
      </c>
      <c r="HVU67" s="155">
        <v>45845</v>
      </c>
      <c r="HVV67" s="150" t="s">
        <v>60</v>
      </c>
      <c r="HVW67" s="210"/>
      <c r="HVX67" s="156" t="s">
        <v>132</v>
      </c>
      <c r="HVY67" s="208"/>
      <c r="HVZ67" s="209"/>
      <c r="HWA67" s="150" t="s">
        <v>24</v>
      </c>
      <c r="HWB67" s="151">
        <v>8150</v>
      </c>
      <c r="HWC67" s="159">
        <v>85</v>
      </c>
      <c r="HWD67" s="160">
        <v>215</v>
      </c>
      <c r="HWE67" s="160">
        <v>75</v>
      </c>
      <c r="HWF67" s="159">
        <v>150</v>
      </c>
      <c r="HWG67" s="161">
        <f>SUM(HWB67:HWF67)</f>
        <v>8675</v>
      </c>
      <c r="HWH67" s="159">
        <v>200</v>
      </c>
      <c r="HWI67" s="161">
        <f>SUM(HWG67:HWH67)</f>
        <v>8875</v>
      </c>
      <c r="HWJ67" s="154" t="s">
        <v>106</v>
      </c>
      <c r="HWK67" s="155">
        <v>45845</v>
      </c>
      <c r="HWL67" s="150" t="s">
        <v>60</v>
      </c>
      <c r="HWM67" s="210"/>
      <c r="HWN67" s="156" t="s">
        <v>132</v>
      </c>
      <c r="HWO67" s="208"/>
      <c r="HWP67" s="209"/>
      <c r="HWQ67" s="150" t="s">
        <v>24</v>
      </c>
      <c r="HWR67" s="151">
        <v>8150</v>
      </c>
      <c r="HWS67" s="159">
        <v>85</v>
      </c>
      <c r="HWT67" s="160">
        <v>215</v>
      </c>
      <c r="HWU67" s="160">
        <v>75</v>
      </c>
      <c r="HWV67" s="159">
        <v>150</v>
      </c>
      <c r="HWW67" s="161">
        <f>SUM(HWR67:HWV67)</f>
        <v>8675</v>
      </c>
      <c r="HWX67" s="159">
        <v>200</v>
      </c>
      <c r="HWY67" s="161">
        <f>SUM(HWW67:HWX67)</f>
        <v>8875</v>
      </c>
      <c r="HWZ67" s="154" t="s">
        <v>106</v>
      </c>
      <c r="HXA67" s="155">
        <v>45845</v>
      </c>
      <c r="HXB67" s="150" t="s">
        <v>60</v>
      </c>
      <c r="HXC67" s="210"/>
      <c r="HXD67" s="156" t="s">
        <v>132</v>
      </c>
      <c r="HXE67" s="208"/>
      <c r="HXF67" s="209"/>
      <c r="HXG67" s="150" t="s">
        <v>24</v>
      </c>
      <c r="HXH67" s="151">
        <v>8150</v>
      </c>
      <c r="HXI67" s="159">
        <v>85</v>
      </c>
      <c r="HXJ67" s="160">
        <v>215</v>
      </c>
      <c r="HXK67" s="160">
        <v>75</v>
      </c>
      <c r="HXL67" s="159">
        <v>150</v>
      </c>
      <c r="HXM67" s="161">
        <f>SUM(HXH67:HXL67)</f>
        <v>8675</v>
      </c>
      <c r="HXN67" s="159">
        <v>200</v>
      </c>
      <c r="HXO67" s="161">
        <f>SUM(HXM67:HXN67)</f>
        <v>8875</v>
      </c>
      <c r="HXP67" s="154" t="s">
        <v>106</v>
      </c>
      <c r="HXQ67" s="155">
        <v>45845</v>
      </c>
      <c r="HXR67" s="150" t="s">
        <v>60</v>
      </c>
      <c r="HXS67" s="210"/>
      <c r="HXT67" s="156" t="s">
        <v>132</v>
      </c>
      <c r="HXU67" s="208"/>
      <c r="HXV67" s="209"/>
      <c r="HXW67" s="150" t="s">
        <v>24</v>
      </c>
      <c r="HXX67" s="151">
        <v>8150</v>
      </c>
      <c r="HXY67" s="159">
        <v>85</v>
      </c>
      <c r="HXZ67" s="160">
        <v>215</v>
      </c>
      <c r="HYA67" s="160">
        <v>75</v>
      </c>
      <c r="HYB67" s="159">
        <v>150</v>
      </c>
      <c r="HYC67" s="161">
        <f>SUM(HXX67:HYB67)</f>
        <v>8675</v>
      </c>
      <c r="HYD67" s="159">
        <v>200</v>
      </c>
      <c r="HYE67" s="161">
        <f>SUM(HYC67:HYD67)</f>
        <v>8875</v>
      </c>
      <c r="HYF67" s="154" t="s">
        <v>106</v>
      </c>
      <c r="HYG67" s="155">
        <v>45845</v>
      </c>
      <c r="HYH67" s="150" t="s">
        <v>60</v>
      </c>
      <c r="HYI67" s="210"/>
      <c r="HYJ67" s="156" t="s">
        <v>132</v>
      </c>
      <c r="HYK67" s="208"/>
      <c r="HYL67" s="209"/>
      <c r="HYM67" s="150" t="s">
        <v>24</v>
      </c>
      <c r="HYN67" s="151">
        <v>8150</v>
      </c>
      <c r="HYO67" s="159">
        <v>85</v>
      </c>
      <c r="HYP67" s="160">
        <v>215</v>
      </c>
      <c r="HYQ67" s="160">
        <v>75</v>
      </c>
      <c r="HYR67" s="159">
        <v>150</v>
      </c>
      <c r="HYS67" s="161">
        <f>SUM(HYN67:HYR67)</f>
        <v>8675</v>
      </c>
      <c r="HYT67" s="159">
        <v>200</v>
      </c>
      <c r="HYU67" s="161">
        <f>SUM(HYS67:HYT67)</f>
        <v>8875</v>
      </c>
      <c r="HYV67" s="154" t="s">
        <v>106</v>
      </c>
      <c r="HYW67" s="155">
        <v>45845</v>
      </c>
      <c r="HYX67" s="150" t="s">
        <v>60</v>
      </c>
      <c r="HYY67" s="210"/>
      <c r="HYZ67" s="156" t="s">
        <v>132</v>
      </c>
      <c r="HZA67" s="208"/>
      <c r="HZB67" s="209"/>
      <c r="HZC67" s="150" t="s">
        <v>24</v>
      </c>
      <c r="HZD67" s="151">
        <v>8150</v>
      </c>
      <c r="HZE67" s="159">
        <v>85</v>
      </c>
      <c r="HZF67" s="160">
        <v>215</v>
      </c>
      <c r="HZG67" s="160">
        <v>75</v>
      </c>
      <c r="HZH67" s="159">
        <v>150</v>
      </c>
      <c r="HZI67" s="161">
        <f>SUM(HZD67:HZH67)</f>
        <v>8675</v>
      </c>
      <c r="HZJ67" s="159">
        <v>200</v>
      </c>
      <c r="HZK67" s="161">
        <f>SUM(HZI67:HZJ67)</f>
        <v>8875</v>
      </c>
      <c r="HZL67" s="154" t="s">
        <v>106</v>
      </c>
      <c r="HZM67" s="155">
        <v>45845</v>
      </c>
      <c r="HZN67" s="150" t="s">
        <v>60</v>
      </c>
      <c r="HZO67" s="210"/>
      <c r="HZP67" s="156" t="s">
        <v>132</v>
      </c>
      <c r="HZQ67" s="208"/>
      <c r="HZR67" s="209"/>
      <c r="HZS67" s="150" t="s">
        <v>24</v>
      </c>
      <c r="HZT67" s="151">
        <v>8150</v>
      </c>
      <c r="HZU67" s="159">
        <v>85</v>
      </c>
      <c r="HZV67" s="160">
        <v>215</v>
      </c>
      <c r="HZW67" s="160">
        <v>75</v>
      </c>
      <c r="HZX67" s="159">
        <v>150</v>
      </c>
      <c r="HZY67" s="161">
        <f>SUM(HZT67:HZX67)</f>
        <v>8675</v>
      </c>
      <c r="HZZ67" s="159">
        <v>200</v>
      </c>
      <c r="IAA67" s="161">
        <f>SUM(HZY67:HZZ67)</f>
        <v>8875</v>
      </c>
      <c r="IAB67" s="154" t="s">
        <v>106</v>
      </c>
      <c r="IAC67" s="155">
        <v>45845</v>
      </c>
      <c r="IAD67" s="150" t="s">
        <v>60</v>
      </c>
      <c r="IAE67" s="210"/>
      <c r="IAF67" s="156" t="s">
        <v>132</v>
      </c>
      <c r="IAG67" s="208"/>
      <c r="IAH67" s="209"/>
      <c r="IAI67" s="150" t="s">
        <v>24</v>
      </c>
      <c r="IAJ67" s="151">
        <v>8150</v>
      </c>
      <c r="IAK67" s="159">
        <v>85</v>
      </c>
      <c r="IAL67" s="160">
        <v>215</v>
      </c>
      <c r="IAM67" s="160">
        <v>75</v>
      </c>
      <c r="IAN67" s="159">
        <v>150</v>
      </c>
      <c r="IAO67" s="161">
        <f>SUM(IAJ67:IAN67)</f>
        <v>8675</v>
      </c>
      <c r="IAP67" s="159">
        <v>200</v>
      </c>
      <c r="IAQ67" s="161">
        <f>SUM(IAO67:IAP67)</f>
        <v>8875</v>
      </c>
      <c r="IAR67" s="154" t="s">
        <v>106</v>
      </c>
      <c r="IAS67" s="155">
        <v>45845</v>
      </c>
      <c r="IAT67" s="150" t="s">
        <v>60</v>
      </c>
      <c r="IAU67" s="210"/>
      <c r="IAV67" s="156" t="s">
        <v>132</v>
      </c>
      <c r="IAW67" s="208"/>
      <c r="IAX67" s="209"/>
      <c r="IAY67" s="150" t="s">
        <v>24</v>
      </c>
      <c r="IAZ67" s="151">
        <v>8150</v>
      </c>
      <c r="IBA67" s="159">
        <v>85</v>
      </c>
      <c r="IBB67" s="160">
        <v>215</v>
      </c>
      <c r="IBC67" s="160">
        <v>75</v>
      </c>
      <c r="IBD67" s="159">
        <v>150</v>
      </c>
      <c r="IBE67" s="161">
        <f>SUM(IAZ67:IBD67)</f>
        <v>8675</v>
      </c>
      <c r="IBF67" s="159">
        <v>200</v>
      </c>
      <c r="IBG67" s="161">
        <f>SUM(IBE67:IBF67)</f>
        <v>8875</v>
      </c>
      <c r="IBH67" s="154" t="s">
        <v>106</v>
      </c>
      <c r="IBI67" s="155">
        <v>45845</v>
      </c>
      <c r="IBJ67" s="150" t="s">
        <v>60</v>
      </c>
      <c r="IBK67" s="210"/>
      <c r="IBL67" s="156" t="s">
        <v>132</v>
      </c>
      <c r="IBM67" s="208"/>
      <c r="IBN67" s="209"/>
      <c r="IBO67" s="150" t="s">
        <v>24</v>
      </c>
      <c r="IBP67" s="151">
        <v>8150</v>
      </c>
      <c r="IBQ67" s="159">
        <v>85</v>
      </c>
      <c r="IBR67" s="160">
        <v>215</v>
      </c>
      <c r="IBS67" s="160">
        <v>75</v>
      </c>
      <c r="IBT67" s="159">
        <v>150</v>
      </c>
      <c r="IBU67" s="161">
        <f>SUM(IBP67:IBT67)</f>
        <v>8675</v>
      </c>
      <c r="IBV67" s="159">
        <v>200</v>
      </c>
      <c r="IBW67" s="161">
        <f>SUM(IBU67:IBV67)</f>
        <v>8875</v>
      </c>
      <c r="IBX67" s="154" t="s">
        <v>106</v>
      </c>
      <c r="IBY67" s="155">
        <v>45845</v>
      </c>
      <c r="IBZ67" s="150" t="s">
        <v>60</v>
      </c>
      <c r="ICA67" s="210"/>
      <c r="ICB67" s="156" t="s">
        <v>132</v>
      </c>
      <c r="ICC67" s="208"/>
      <c r="ICD67" s="209"/>
      <c r="ICE67" s="150" t="s">
        <v>24</v>
      </c>
      <c r="ICF67" s="151">
        <v>8150</v>
      </c>
      <c r="ICG67" s="159">
        <v>85</v>
      </c>
      <c r="ICH67" s="160">
        <v>215</v>
      </c>
      <c r="ICI67" s="160">
        <v>75</v>
      </c>
      <c r="ICJ67" s="159">
        <v>150</v>
      </c>
      <c r="ICK67" s="161">
        <f>SUM(ICF67:ICJ67)</f>
        <v>8675</v>
      </c>
      <c r="ICL67" s="159">
        <v>200</v>
      </c>
      <c r="ICM67" s="161">
        <f>SUM(ICK67:ICL67)</f>
        <v>8875</v>
      </c>
      <c r="ICN67" s="154" t="s">
        <v>106</v>
      </c>
      <c r="ICO67" s="155">
        <v>45845</v>
      </c>
      <c r="ICP67" s="150" t="s">
        <v>60</v>
      </c>
      <c r="ICQ67" s="210"/>
      <c r="ICR67" s="156" t="s">
        <v>132</v>
      </c>
      <c r="ICS67" s="208"/>
      <c r="ICT67" s="209"/>
      <c r="ICU67" s="150" t="s">
        <v>24</v>
      </c>
      <c r="ICV67" s="151">
        <v>8150</v>
      </c>
      <c r="ICW67" s="159">
        <v>85</v>
      </c>
      <c r="ICX67" s="160">
        <v>215</v>
      </c>
      <c r="ICY67" s="160">
        <v>75</v>
      </c>
      <c r="ICZ67" s="159">
        <v>150</v>
      </c>
      <c r="IDA67" s="161">
        <f>SUM(ICV67:ICZ67)</f>
        <v>8675</v>
      </c>
      <c r="IDB67" s="159">
        <v>200</v>
      </c>
      <c r="IDC67" s="161">
        <f>SUM(IDA67:IDB67)</f>
        <v>8875</v>
      </c>
      <c r="IDD67" s="154" t="s">
        <v>106</v>
      </c>
      <c r="IDE67" s="155">
        <v>45845</v>
      </c>
      <c r="IDF67" s="150" t="s">
        <v>60</v>
      </c>
      <c r="IDG67" s="210"/>
      <c r="IDH67" s="156" t="s">
        <v>132</v>
      </c>
      <c r="IDI67" s="208"/>
      <c r="IDJ67" s="209"/>
      <c r="IDK67" s="150" t="s">
        <v>24</v>
      </c>
      <c r="IDL67" s="151">
        <v>8150</v>
      </c>
      <c r="IDM67" s="159">
        <v>85</v>
      </c>
      <c r="IDN67" s="160">
        <v>215</v>
      </c>
      <c r="IDO67" s="160">
        <v>75</v>
      </c>
      <c r="IDP67" s="159">
        <v>150</v>
      </c>
      <c r="IDQ67" s="161">
        <f>SUM(IDL67:IDP67)</f>
        <v>8675</v>
      </c>
      <c r="IDR67" s="159">
        <v>200</v>
      </c>
      <c r="IDS67" s="161">
        <f>SUM(IDQ67:IDR67)</f>
        <v>8875</v>
      </c>
      <c r="IDT67" s="154" t="s">
        <v>106</v>
      </c>
      <c r="IDU67" s="155">
        <v>45845</v>
      </c>
      <c r="IDV67" s="150" t="s">
        <v>60</v>
      </c>
      <c r="IDW67" s="210"/>
      <c r="IDX67" s="156" t="s">
        <v>132</v>
      </c>
      <c r="IDY67" s="208"/>
      <c r="IDZ67" s="209"/>
      <c r="IEA67" s="150" t="s">
        <v>24</v>
      </c>
      <c r="IEB67" s="151">
        <v>8150</v>
      </c>
      <c r="IEC67" s="159">
        <v>85</v>
      </c>
      <c r="IED67" s="160">
        <v>215</v>
      </c>
      <c r="IEE67" s="160">
        <v>75</v>
      </c>
      <c r="IEF67" s="159">
        <v>150</v>
      </c>
      <c r="IEG67" s="161">
        <f>SUM(IEB67:IEF67)</f>
        <v>8675</v>
      </c>
      <c r="IEH67" s="159">
        <v>200</v>
      </c>
      <c r="IEI67" s="161">
        <f>SUM(IEG67:IEH67)</f>
        <v>8875</v>
      </c>
      <c r="IEJ67" s="154" t="s">
        <v>106</v>
      </c>
      <c r="IEK67" s="155">
        <v>45845</v>
      </c>
      <c r="IEL67" s="150" t="s">
        <v>60</v>
      </c>
      <c r="IEM67" s="210"/>
      <c r="IEN67" s="156" t="s">
        <v>132</v>
      </c>
      <c r="IEO67" s="208"/>
      <c r="IEP67" s="209"/>
      <c r="IEQ67" s="150" t="s">
        <v>24</v>
      </c>
      <c r="IER67" s="151">
        <v>8150</v>
      </c>
      <c r="IES67" s="159">
        <v>85</v>
      </c>
      <c r="IET67" s="160">
        <v>215</v>
      </c>
      <c r="IEU67" s="160">
        <v>75</v>
      </c>
      <c r="IEV67" s="159">
        <v>150</v>
      </c>
      <c r="IEW67" s="161">
        <f>SUM(IER67:IEV67)</f>
        <v>8675</v>
      </c>
      <c r="IEX67" s="159">
        <v>200</v>
      </c>
      <c r="IEY67" s="161">
        <f>SUM(IEW67:IEX67)</f>
        <v>8875</v>
      </c>
      <c r="IEZ67" s="154" t="s">
        <v>106</v>
      </c>
      <c r="IFA67" s="155">
        <v>45845</v>
      </c>
      <c r="IFB67" s="150" t="s">
        <v>60</v>
      </c>
      <c r="IFC67" s="210"/>
      <c r="IFD67" s="156" t="s">
        <v>132</v>
      </c>
      <c r="IFE67" s="208"/>
      <c r="IFF67" s="209"/>
      <c r="IFG67" s="150" t="s">
        <v>24</v>
      </c>
      <c r="IFH67" s="151">
        <v>8150</v>
      </c>
      <c r="IFI67" s="159">
        <v>85</v>
      </c>
      <c r="IFJ67" s="160">
        <v>215</v>
      </c>
      <c r="IFK67" s="160">
        <v>75</v>
      </c>
      <c r="IFL67" s="159">
        <v>150</v>
      </c>
      <c r="IFM67" s="161">
        <f>SUM(IFH67:IFL67)</f>
        <v>8675</v>
      </c>
      <c r="IFN67" s="159">
        <v>200</v>
      </c>
      <c r="IFO67" s="161">
        <f>SUM(IFM67:IFN67)</f>
        <v>8875</v>
      </c>
      <c r="IFP67" s="154" t="s">
        <v>106</v>
      </c>
      <c r="IFQ67" s="155">
        <v>45845</v>
      </c>
      <c r="IFR67" s="150" t="s">
        <v>60</v>
      </c>
      <c r="IFS67" s="210"/>
      <c r="IFT67" s="156" t="s">
        <v>132</v>
      </c>
      <c r="IFU67" s="208"/>
      <c r="IFV67" s="209"/>
      <c r="IFW67" s="150" t="s">
        <v>24</v>
      </c>
      <c r="IFX67" s="151">
        <v>8150</v>
      </c>
      <c r="IFY67" s="159">
        <v>85</v>
      </c>
      <c r="IFZ67" s="160">
        <v>215</v>
      </c>
      <c r="IGA67" s="160">
        <v>75</v>
      </c>
      <c r="IGB67" s="159">
        <v>150</v>
      </c>
      <c r="IGC67" s="161">
        <f>SUM(IFX67:IGB67)</f>
        <v>8675</v>
      </c>
      <c r="IGD67" s="159">
        <v>200</v>
      </c>
      <c r="IGE67" s="161">
        <f>SUM(IGC67:IGD67)</f>
        <v>8875</v>
      </c>
      <c r="IGF67" s="154" t="s">
        <v>106</v>
      </c>
      <c r="IGG67" s="155">
        <v>45845</v>
      </c>
      <c r="IGH67" s="150" t="s">
        <v>60</v>
      </c>
      <c r="IGI67" s="210"/>
      <c r="IGJ67" s="156" t="s">
        <v>132</v>
      </c>
      <c r="IGK67" s="208"/>
      <c r="IGL67" s="209"/>
      <c r="IGM67" s="150" t="s">
        <v>24</v>
      </c>
      <c r="IGN67" s="151">
        <v>8150</v>
      </c>
      <c r="IGO67" s="159">
        <v>85</v>
      </c>
      <c r="IGP67" s="160">
        <v>215</v>
      </c>
      <c r="IGQ67" s="160">
        <v>75</v>
      </c>
      <c r="IGR67" s="159">
        <v>150</v>
      </c>
      <c r="IGS67" s="161">
        <f>SUM(IGN67:IGR67)</f>
        <v>8675</v>
      </c>
      <c r="IGT67" s="159">
        <v>200</v>
      </c>
      <c r="IGU67" s="161">
        <f>SUM(IGS67:IGT67)</f>
        <v>8875</v>
      </c>
      <c r="IGV67" s="154" t="s">
        <v>106</v>
      </c>
      <c r="IGW67" s="155">
        <v>45845</v>
      </c>
      <c r="IGX67" s="150" t="s">
        <v>60</v>
      </c>
      <c r="IGY67" s="210"/>
      <c r="IGZ67" s="156" t="s">
        <v>132</v>
      </c>
      <c r="IHA67" s="208"/>
      <c r="IHB67" s="209"/>
      <c r="IHC67" s="150" t="s">
        <v>24</v>
      </c>
      <c r="IHD67" s="151">
        <v>8150</v>
      </c>
      <c r="IHE67" s="159">
        <v>85</v>
      </c>
      <c r="IHF67" s="160">
        <v>215</v>
      </c>
      <c r="IHG67" s="160">
        <v>75</v>
      </c>
      <c r="IHH67" s="159">
        <v>150</v>
      </c>
      <c r="IHI67" s="161">
        <f>SUM(IHD67:IHH67)</f>
        <v>8675</v>
      </c>
      <c r="IHJ67" s="159">
        <v>200</v>
      </c>
      <c r="IHK67" s="161">
        <f>SUM(IHI67:IHJ67)</f>
        <v>8875</v>
      </c>
      <c r="IHL67" s="154" t="s">
        <v>106</v>
      </c>
      <c r="IHM67" s="155">
        <v>45845</v>
      </c>
      <c r="IHN67" s="150" t="s">
        <v>60</v>
      </c>
      <c r="IHO67" s="210"/>
      <c r="IHP67" s="156" t="s">
        <v>132</v>
      </c>
      <c r="IHQ67" s="208"/>
      <c r="IHR67" s="209"/>
      <c r="IHS67" s="150" t="s">
        <v>24</v>
      </c>
      <c r="IHT67" s="151">
        <v>8150</v>
      </c>
      <c r="IHU67" s="159">
        <v>85</v>
      </c>
      <c r="IHV67" s="160">
        <v>215</v>
      </c>
      <c r="IHW67" s="160">
        <v>75</v>
      </c>
      <c r="IHX67" s="159">
        <v>150</v>
      </c>
      <c r="IHY67" s="161">
        <f>SUM(IHT67:IHX67)</f>
        <v>8675</v>
      </c>
      <c r="IHZ67" s="159">
        <v>200</v>
      </c>
      <c r="IIA67" s="161">
        <f>SUM(IHY67:IHZ67)</f>
        <v>8875</v>
      </c>
      <c r="IIB67" s="154" t="s">
        <v>106</v>
      </c>
      <c r="IIC67" s="155">
        <v>45845</v>
      </c>
      <c r="IID67" s="150" t="s">
        <v>60</v>
      </c>
      <c r="IIE67" s="210"/>
      <c r="IIF67" s="156" t="s">
        <v>132</v>
      </c>
      <c r="IIG67" s="208"/>
      <c r="IIH67" s="209"/>
      <c r="III67" s="150" t="s">
        <v>24</v>
      </c>
      <c r="IIJ67" s="151">
        <v>8150</v>
      </c>
      <c r="IIK67" s="159">
        <v>85</v>
      </c>
      <c r="IIL67" s="160">
        <v>215</v>
      </c>
      <c r="IIM67" s="160">
        <v>75</v>
      </c>
      <c r="IIN67" s="159">
        <v>150</v>
      </c>
      <c r="IIO67" s="161">
        <f>SUM(IIJ67:IIN67)</f>
        <v>8675</v>
      </c>
      <c r="IIP67" s="159">
        <v>200</v>
      </c>
      <c r="IIQ67" s="161">
        <f>SUM(IIO67:IIP67)</f>
        <v>8875</v>
      </c>
      <c r="IIR67" s="154" t="s">
        <v>106</v>
      </c>
      <c r="IIS67" s="155">
        <v>45845</v>
      </c>
      <c r="IIT67" s="150" t="s">
        <v>60</v>
      </c>
      <c r="IIU67" s="210"/>
      <c r="IIV67" s="156" t="s">
        <v>132</v>
      </c>
      <c r="IIW67" s="208"/>
      <c r="IIX67" s="209"/>
      <c r="IIY67" s="150" t="s">
        <v>24</v>
      </c>
      <c r="IIZ67" s="151">
        <v>8150</v>
      </c>
      <c r="IJA67" s="159">
        <v>85</v>
      </c>
      <c r="IJB67" s="160">
        <v>215</v>
      </c>
      <c r="IJC67" s="160">
        <v>75</v>
      </c>
      <c r="IJD67" s="159">
        <v>150</v>
      </c>
      <c r="IJE67" s="161">
        <f>SUM(IIZ67:IJD67)</f>
        <v>8675</v>
      </c>
      <c r="IJF67" s="159">
        <v>200</v>
      </c>
      <c r="IJG67" s="161">
        <f>SUM(IJE67:IJF67)</f>
        <v>8875</v>
      </c>
      <c r="IJH67" s="154" t="s">
        <v>106</v>
      </c>
      <c r="IJI67" s="155">
        <v>45845</v>
      </c>
      <c r="IJJ67" s="150" t="s">
        <v>60</v>
      </c>
      <c r="IJK67" s="210"/>
      <c r="IJL67" s="156" t="s">
        <v>132</v>
      </c>
      <c r="IJM67" s="208"/>
      <c r="IJN67" s="209"/>
      <c r="IJO67" s="150" t="s">
        <v>24</v>
      </c>
      <c r="IJP67" s="151">
        <v>8150</v>
      </c>
      <c r="IJQ67" s="159">
        <v>85</v>
      </c>
      <c r="IJR67" s="160">
        <v>215</v>
      </c>
      <c r="IJS67" s="160">
        <v>75</v>
      </c>
      <c r="IJT67" s="159">
        <v>150</v>
      </c>
      <c r="IJU67" s="161">
        <f>SUM(IJP67:IJT67)</f>
        <v>8675</v>
      </c>
      <c r="IJV67" s="159">
        <v>200</v>
      </c>
      <c r="IJW67" s="161">
        <f>SUM(IJU67:IJV67)</f>
        <v>8875</v>
      </c>
      <c r="IJX67" s="154" t="s">
        <v>106</v>
      </c>
      <c r="IJY67" s="155">
        <v>45845</v>
      </c>
      <c r="IJZ67" s="150" t="s">
        <v>60</v>
      </c>
      <c r="IKA67" s="210"/>
      <c r="IKB67" s="156" t="s">
        <v>132</v>
      </c>
      <c r="IKC67" s="208"/>
      <c r="IKD67" s="209"/>
      <c r="IKE67" s="150" t="s">
        <v>24</v>
      </c>
      <c r="IKF67" s="151">
        <v>8150</v>
      </c>
      <c r="IKG67" s="159">
        <v>85</v>
      </c>
      <c r="IKH67" s="160">
        <v>215</v>
      </c>
      <c r="IKI67" s="160">
        <v>75</v>
      </c>
      <c r="IKJ67" s="159">
        <v>150</v>
      </c>
      <c r="IKK67" s="161">
        <f>SUM(IKF67:IKJ67)</f>
        <v>8675</v>
      </c>
      <c r="IKL67" s="159">
        <v>200</v>
      </c>
      <c r="IKM67" s="161">
        <f>SUM(IKK67:IKL67)</f>
        <v>8875</v>
      </c>
      <c r="IKN67" s="154" t="s">
        <v>106</v>
      </c>
      <c r="IKO67" s="155">
        <v>45845</v>
      </c>
      <c r="IKP67" s="150" t="s">
        <v>60</v>
      </c>
      <c r="IKQ67" s="210"/>
      <c r="IKR67" s="156" t="s">
        <v>132</v>
      </c>
      <c r="IKS67" s="208"/>
      <c r="IKT67" s="209"/>
      <c r="IKU67" s="150" t="s">
        <v>24</v>
      </c>
      <c r="IKV67" s="151">
        <v>8150</v>
      </c>
      <c r="IKW67" s="159">
        <v>85</v>
      </c>
      <c r="IKX67" s="160">
        <v>215</v>
      </c>
      <c r="IKY67" s="160">
        <v>75</v>
      </c>
      <c r="IKZ67" s="159">
        <v>150</v>
      </c>
      <c r="ILA67" s="161">
        <f>SUM(IKV67:IKZ67)</f>
        <v>8675</v>
      </c>
      <c r="ILB67" s="159">
        <v>200</v>
      </c>
      <c r="ILC67" s="161">
        <f>SUM(ILA67:ILB67)</f>
        <v>8875</v>
      </c>
      <c r="ILD67" s="154" t="s">
        <v>106</v>
      </c>
      <c r="ILE67" s="155">
        <v>45845</v>
      </c>
      <c r="ILF67" s="150" t="s">
        <v>60</v>
      </c>
      <c r="ILG67" s="210"/>
      <c r="ILH67" s="156" t="s">
        <v>132</v>
      </c>
      <c r="ILI67" s="208"/>
      <c r="ILJ67" s="209"/>
      <c r="ILK67" s="150" t="s">
        <v>24</v>
      </c>
      <c r="ILL67" s="151">
        <v>8150</v>
      </c>
      <c r="ILM67" s="159">
        <v>85</v>
      </c>
      <c r="ILN67" s="160">
        <v>215</v>
      </c>
      <c r="ILO67" s="160">
        <v>75</v>
      </c>
      <c r="ILP67" s="159">
        <v>150</v>
      </c>
      <c r="ILQ67" s="161">
        <f>SUM(ILL67:ILP67)</f>
        <v>8675</v>
      </c>
      <c r="ILR67" s="159">
        <v>200</v>
      </c>
      <c r="ILS67" s="161">
        <f>SUM(ILQ67:ILR67)</f>
        <v>8875</v>
      </c>
      <c r="ILT67" s="154" t="s">
        <v>106</v>
      </c>
      <c r="ILU67" s="155">
        <v>45845</v>
      </c>
      <c r="ILV67" s="150" t="s">
        <v>60</v>
      </c>
      <c r="ILW67" s="210"/>
      <c r="ILX67" s="156" t="s">
        <v>132</v>
      </c>
      <c r="ILY67" s="208"/>
      <c r="ILZ67" s="209"/>
      <c r="IMA67" s="150" t="s">
        <v>24</v>
      </c>
      <c r="IMB67" s="151">
        <v>8150</v>
      </c>
      <c r="IMC67" s="159">
        <v>85</v>
      </c>
      <c r="IMD67" s="160">
        <v>215</v>
      </c>
      <c r="IME67" s="160">
        <v>75</v>
      </c>
      <c r="IMF67" s="159">
        <v>150</v>
      </c>
      <c r="IMG67" s="161">
        <f>SUM(IMB67:IMF67)</f>
        <v>8675</v>
      </c>
      <c r="IMH67" s="159">
        <v>200</v>
      </c>
      <c r="IMI67" s="161">
        <f>SUM(IMG67:IMH67)</f>
        <v>8875</v>
      </c>
      <c r="IMJ67" s="154" t="s">
        <v>106</v>
      </c>
      <c r="IMK67" s="155">
        <v>45845</v>
      </c>
      <c r="IML67" s="150" t="s">
        <v>60</v>
      </c>
      <c r="IMM67" s="210"/>
      <c r="IMN67" s="156" t="s">
        <v>132</v>
      </c>
      <c r="IMO67" s="208"/>
      <c r="IMP67" s="209"/>
      <c r="IMQ67" s="150" t="s">
        <v>24</v>
      </c>
      <c r="IMR67" s="151">
        <v>8150</v>
      </c>
      <c r="IMS67" s="159">
        <v>85</v>
      </c>
      <c r="IMT67" s="160">
        <v>215</v>
      </c>
      <c r="IMU67" s="160">
        <v>75</v>
      </c>
      <c r="IMV67" s="159">
        <v>150</v>
      </c>
      <c r="IMW67" s="161">
        <f>SUM(IMR67:IMV67)</f>
        <v>8675</v>
      </c>
      <c r="IMX67" s="159">
        <v>200</v>
      </c>
      <c r="IMY67" s="161">
        <f>SUM(IMW67:IMX67)</f>
        <v>8875</v>
      </c>
      <c r="IMZ67" s="154" t="s">
        <v>106</v>
      </c>
      <c r="INA67" s="155">
        <v>45845</v>
      </c>
      <c r="INB67" s="150" t="s">
        <v>60</v>
      </c>
      <c r="INC67" s="210"/>
      <c r="IND67" s="156" t="s">
        <v>132</v>
      </c>
      <c r="INE67" s="208"/>
      <c r="INF67" s="209"/>
      <c r="ING67" s="150" t="s">
        <v>24</v>
      </c>
      <c r="INH67" s="151">
        <v>8150</v>
      </c>
      <c r="INI67" s="159">
        <v>85</v>
      </c>
      <c r="INJ67" s="160">
        <v>215</v>
      </c>
      <c r="INK67" s="160">
        <v>75</v>
      </c>
      <c r="INL67" s="159">
        <v>150</v>
      </c>
      <c r="INM67" s="161">
        <f>SUM(INH67:INL67)</f>
        <v>8675</v>
      </c>
      <c r="INN67" s="159">
        <v>200</v>
      </c>
      <c r="INO67" s="161">
        <f>SUM(INM67:INN67)</f>
        <v>8875</v>
      </c>
      <c r="INP67" s="154" t="s">
        <v>106</v>
      </c>
      <c r="INQ67" s="155">
        <v>45845</v>
      </c>
      <c r="INR67" s="150" t="s">
        <v>60</v>
      </c>
      <c r="INS67" s="210"/>
      <c r="INT67" s="156" t="s">
        <v>132</v>
      </c>
      <c r="INU67" s="208"/>
      <c r="INV67" s="209"/>
      <c r="INW67" s="150" t="s">
        <v>24</v>
      </c>
      <c r="INX67" s="151">
        <v>8150</v>
      </c>
      <c r="INY67" s="159">
        <v>85</v>
      </c>
      <c r="INZ67" s="160">
        <v>215</v>
      </c>
      <c r="IOA67" s="160">
        <v>75</v>
      </c>
      <c r="IOB67" s="159">
        <v>150</v>
      </c>
      <c r="IOC67" s="161">
        <f>SUM(INX67:IOB67)</f>
        <v>8675</v>
      </c>
      <c r="IOD67" s="159">
        <v>200</v>
      </c>
      <c r="IOE67" s="161">
        <f>SUM(IOC67:IOD67)</f>
        <v>8875</v>
      </c>
      <c r="IOF67" s="154" t="s">
        <v>106</v>
      </c>
      <c r="IOG67" s="155">
        <v>45845</v>
      </c>
      <c r="IOH67" s="150" t="s">
        <v>60</v>
      </c>
      <c r="IOI67" s="210"/>
      <c r="IOJ67" s="156" t="s">
        <v>132</v>
      </c>
      <c r="IOK67" s="208"/>
      <c r="IOL67" s="209"/>
      <c r="IOM67" s="150" t="s">
        <v>24</v>
      </c>
      <c r="ION67" s="151">
        <v>8150</v>
      </c>
      <c r="IOO67" s="159">
        <v>85</v>
      </c>
      <c r="IOP67" s="160">
        <v>215</v>
      </c>
      <c r="IOQ67" s="160">
        <v>75</v>
      </c>
      <c r="IOR67" s="159">
        <v>150</v>
      </c>
      <c r="IOS67" s="161">
        <f>SUM(ION67:IOR67)</f>
        <v>8675</v>
      </c>
      <c r="IOT67" s="159">
        <v>200</v>
      </c>
      <c r="IOU67" s="161">
        <f>SUM(IOS67:IOT67)</f>
        <v>8875</v>
      </c>
      <c r="IOV67" s="154" t="s">
        <v>106</v>
      </c>
      <c r="IOW67" s="155">
        <v>45845</v>
      </c>
      <c r="IOX67" s="150" t="s">
        <v>60</v>
      </c>
      <c r="IOY67" s="210"/>
      <c r="IOZ67" s="156" t="s">
        <v>132</v>
      </c>
      <c r="IPA67" s="208"/>
      <c r="IPB67" s="209"/>
      <c r="IPC67" s="150" t="s">
        <v>24</v>
      </c>
      <c r="IPD67" s="151">
        <v>8150</v>
      </c>
      <c r="IPE67" s="159">
        <v>85</v>
      </c>
      <c r="IPF67" s="160">
        <v>215</v>
      </c>
      <c r="IPG67" s="160">
        <v>75</v>
      </c>
      <c r="IPH67" s="159">
        <v>150</v>
      </c>
      <c r="IPI67" s="161">
        <f>SUM(IPD67:IPH67)</f>
        <v>8675</v>
      </c>
      <c r="IPJ67" s="159">
        <v>200</v>
      </c>
      <c r="IPK67" s="161">
        <f>SUM(IPI67:IPJ67)</f>
        <v>8875</v>
      </c>
      <c r="IPL67" s="154" t="s">
        <v>106</v>
      </c>
      <c r="IPM67" s="155">
        <v>45845</v>
      </c>
      <c r="IPN67" s="150" t="s">
        <v>60</v>
      </c>
      <c r="IPO67" s="210"/>
      <c r="IPP67" s="156" t="s">
        <v>132</v>
      </c>
      <c r="IPQ67" s="208"/>
      <c r="IPR67" s="209"/>
      <c r="IPS67" s="150" t="s">
        <v>24</v>
      </c>
      <c r="IPT67" s="151">
        <v>8150</v>
      </c>
      <c r="IPU67" s="159">
        <v>85</v>
      </c>
      <c r="IPV67" s="160">
        <v>215</v>
      </c>
      <c r="IPW67" s="160">
        <v>75</v>
      </c>
      <c r="IPX67" s="159">
        <v>150</v>
      </c>
      <c r="IPY67" s="161">
        <f>SUM(IPT67:IPX67)</f>
        <v>8675</v>
      </c>
      <c r="IPZ67" s="159">
        <v>200</v>
      </c>
      <c r="IQA67" s="161">
        <f>SUM(IPY67:IPZ67)</f>
        <v>8875</v>
      </c>
      <c r="IQB67" s="154" t="s">
        <v>106</v>
      </c>
      <c r="IQC67" s="155">
        <v>45845</v>
      </c>
      <c r="IQD67" s="150" t="s">
        <v>60</v>
      </c>
      <c r="IQE67" s="210"/>
      <c r="IQF67" s="156" t="s">
        <v>132</v>
      </c>
      <c r="IQG67" s="208"/>
      <c r="IQH67" s="209"/>
      <c r="IQI67" s="150" t="s">
        <v>24</v>
      </c>
      <c r="IQJ67" s="151">
        <v>8150</v>
      </c>
      <c r="IQK67" s="159">
        <v>85</v>
      </c>
      <c r="IQL67" s="160">
        <v>215</v>
      </c>
      <c r="IQM67" s="160">
        <v>75</v>
      </c>
      <c r="IQN67" s="159">
        <v>150</v>
      </c>
      <c r="IQO67" s="161">
        <f>SUM(IQJ67:IQN67)</f>
        <v>8675</v>
      </c>
      <c r="IQP67" s="159">
        <v>200</v>
      </c>
      <c r="IQQ67" s="161">
        <f>SUM(IQO67:IQP67)</f>
        <v>8875</v>
      </c>
      <c r="IQR67" s="154" t="s">
        <v>106</v>
      </c>
      <c r="IQS67" s="155">
        <v>45845</v>
      </c>
      <c r="IQT67" s="150" t="s">
        <v>60</v>
      </c>
      <c r="IQU67" s="210"/>
      <c r="IQV67" s="156" t="s">
        <v>132</v>
      </c>
      <c r="IQW67" s="208"/>
      <c r="IQX67" s="209"/>
      <c r="IQY67" s="150" t="s">
        <v>24</v>
      </c>
      <c r="IQZ67" s="151">
        <v>8150</v>
      </c>
      <c r="IRA67" s="159">
        <v>85</v>
      </c>
      <c r="IRB67" s="160">
        <v>215</v>
      </c>
      <c r="IRC67" s="160">
        <v>75</v>
      </c>
      <c r="IRD67" s="159">
        <v>150</v>
      </c>
      <c r="IRE67" s="161">
        <f>SUM(IQZ67:IRD67)</f>
        <v>8675</v>
      </c>
      <c r="IRF67" s="159">
        <v>200</v>
      </c>
      <c r="IRG67" s="161">
        <f>SUM(IRE67:IRF67)</f>
        <v>8875</v>
      </c>
      <c r="IRH67" s="154" t="s">
        <v>106</v>
      </c>
      <c r="IRI67" s="155">
        <v>45845</v>
      </c>
      <c r="IRJ67" s="150" t="s">
        <v>60</v>
      </c>
      <c r="IRK67" s="210"/>
      <c r="IRL67" s="156" t="s">
        <v>132</v>
      </c>
      <c r="IRM67" s="208"/>
      <c r="IRN67" s="209"/>
      <c r="IRO67" s="150" t="s">
        <v>24</v>
      </c>
      <c r="IRP67" s="151">
        <v>8150</v>
      </c>
      <c r="IRQ67" s="159">
        <v>85</v>
      </c>
      <c r="IRR67" s="160">
        <v>215</v>
      </c>
      <c r="IRS67" s="160">
        <v>75</v>
      </c>
      <c r="IRT67" s="159">
        <v>150</v>
      </c>
      <c r="IRU67" s="161">
        <f>SUM(IRP67:IRT67)</f>
        <v>8675</v>
      </c>
      <c r="IRV67" s="159">
        <v>200</v>
      </c>
      <c r="IRW67" s="161">
        <f>SUM(IRU67:IRV67)</f>
        <v>8875</v>
      </c>
      <c r="IRX67" s="154" t="s">
        <v>106</v>
      </c>
      <c r="IRY67" s="155">
        <v>45845</v>
      </c>
      <c r="IRZ67" s="150" t="s">
        <v>60</v>
      </c>
      <c r="ISA67" s="210"/>
      <c r="ISB67" s="156" t="s">
        <v>132</v>
      </c>
      <c r="ISC67" s="208"/>
      <c r="ISD67" s="209"/>
      <c r="ISE67" s="150" t="s">
        <v>24</v>
      </c>
      <c r="ISF67" s="151">
        <v>8150</v>
      </c>
      <c r="ISG67" s="159">
        <v>85</v>
      </c>
      <c r="ISH67" s="160">
        <v>215</v>
      </c>
      <c r="ISI67" s="160">
        <v>75</v>
      </c>
      <c r="ISJ67" s="159">
        <v>150</v>
      </c>
      <c r="ISK67" s="161">
        <f>SUM(ISF67:ISJ67)</f>
        <v>8675</v>
      </c>
      <c r="ISL67" s="159">
        <v>200</v>
      </c>
      <c r="ISM67" s="161">
        <f>SUM(ISK67:ISL67)</f>
        <v>8875</v>
      </c>
      <c r="ISN67" s="154" t="s">
        <v>106</v>
      </c>
      <c r="ISO67" s="155">
        <v>45845</v>
      </c>
      <c r="ISP67" s="150" t="s">
        <v>60</v>
      </c>
      <c r="ISQ67" s="210"/>
      <c r="ISR67" s="156" t="s">
        <v>132</v>
      </c>
      <c r="ISS67" s="208"/>
      <c r="IST67" s="209"/>
      <c r="ISU67" s="150" t="s">
        <v>24</v>
      </c>
      <c r="ISV67" s="151">
        <v>8150</v>
      </c>
      <c r="ISW67" s="159">
        <v>85</v>
      </c>
      <c r="ISX67" s="160">
        <v>215</v>
      </c>
      <c r="ISY67" s="160">
        <v>75</v>
      </c>
      <c r="ISZ67" s="159">
        <v>150</v>
      </c>
      <c r="ITA67" s="161">
        <f>SUM(ISV67:ISZ67)</f>
        <v>8675</v>
      </c>
      <c r="ITB67" s="159">
        <v>200</v>
      </c>
      <c r="ITC67" s="161">
        <f>SUM(ITA67:ITB67)</f>
        <v>8875</v>
      </c>
      <c r="ITD67" s="154" t="s">
        <v>106</v>
      </c>
      <c r="ITE67" s="155">
        <v>45845</v>
      </c>
      <c r="ITF67" s="150" t="s">
        <v>60</v>
      </c>
      <c r="ITG67" s="210"/>
      <c r="ITH67" s="156" t="s">
        <v>132</v>
      </c>
      <c r="ITI67" s="208"/>
      <c r="ITJ67" s="209"/>
      <c r="ITK67" s="150" t="s">
        <v>24</v>
      </c>
      <c r="ITL67" s="151">
        <v>8150</v>
      </c>
      <c r="ITM67" s="159">
        <v>85</v>
      </c>
      <c r="ITN67" s="160">
        <v>215</v>
      </c>
      <c r="ITO67" s="160">
        <v>75</v>
      </c>
      <c r="ITP67" s="159">
        <v>150</v>
      </c>
      <c r="ITQ67" s="161">
        <f>SUM(ITL67:ITP67)</f>
        <v>8675</v>
      </c>
      <c r="ITR67" s="159">
        <v>200</v>
      </c>
      <c r="ITS67" s="161">
        <f>SUM(ITQ67:ITR67)</f>
        <v>8875</v>
      </c>
      <c r="ITT67" s="154" t="s">
        <v>106</v>
      </c>
      <c r="ITU67" s="155">
        <v>45845</v>
      </c>
      <c r="ITV67" s="150" t="s">
        <v>60</v>
      </c>
      <c r="ITW67" s="210"/>
      <c r="ITX67" s="156" t="s">
        <v>132</v>
      </c>
      <c r="ITY67" s="208"/>
      <c r="ITZ67" s="209"/>
      <c r="IUA67" s="150" t="s">
        <v>24</v>
      </c>
      <c r="IUB67" s="151">
        <v>8150</v>
      </c>
      <c r="IUC67" s="159">
        <v>85</v>
      </c>
      <c r="IUD67" s="160">
        <v>215</v>
      </c>
      <c r="IUE67" s="160">
        <v>75</v>
      </c>
      <c r="IUF67" s="159">
        <v>150</v>
      </c>
      <c r="IUG67" s="161">
        <f>SUM(IUB67:IUF67)</f>
        <v>8675</v>
      </c>
      <c r="IUH67" s="159">
        <v>200</v>
      </c>
      <c r="IUI67" s="161">
        <f>SUM(IUG67:IUH67)</f>
        <v>8875</v>
      </c>
      <c r="IUJ67" s="154" t="s">
        <v>106</v>
      </c>
      <c r="IUK67" s="155">
        <v>45845</v>
      </c>
      <c r="IUL67" s="150" t="s">
        <v>60</v>
      </c>
      <c r="IUM67" s="210"/>
      <c r="IUN67" s="156" t="s">
        <v>132</v>
      </c>
      <c r="IUO67" s="208"/>
      <c r="IUP67" s="209"/>
      <c r="IUQ67" s="150" t="s">
        <v>24</v>
      </c>
      <c r="IUR67" s="151">
        <v>8150</v>
      </c>
      <c r="IUS67" s="159">
        <v>85</v>
      </c>
      <c r="IUT67" s="160">
        <v>215</v>
      </c>
      <c r="IUU67" s="160">
        <v>75</v>
      </c>
      <c r="IUV67" s="159">
        <v>150</v>
      </c>
      <c r="IUW67" s="161">
        <f>SUM(IUR67:IUV67)</f>
        <v>8675</v>
      </c>
      <c r="IUX67" s="159">
        <v>200</v>
      </c>
      <c r="IUY67" s="161">
        <f>SUM(IUW67:IUX67)</f>
        <v>8875</v>
      </c>
      <c r="IUZ67" s="154" t="s">
        <v>106</v>
      </c>
      <c r="IVA67" s="155">
        <v>45845</v>
      </c>
      <c r="IVB67" s="150" t="s">
        <v>60</v>
      </c>
      <c r="IVC67" s="210"/>
      <c r="IVD67" s="156" t="s">
        <v>132</v>
      </c>
      <c r="IVE67" s="208"/>
      <c r="IVF67" s="209"/>
      <c r="IVG67" s="150" t="s">
        <v>24</v>
      </c>
      <c r="IVH67" s="151">
        <v>8150</v>
      </c>
      <c r="IVI67" s="159">
        <v>85</v>
      </c>
      <c r="IVJ67" s="160">
        <v>215</v>
      </c>
      <c r="IVK67" s="160">
        <v>75</v>
      </c>
      <c r="IVL67" s="159">
        <v>150</v>
      </c>
      <c r="IVM67" s="161">
        <f>SUM(IVH67:IVL67)</f>
        <v>8675</v>
      </c>
      <c r="IVN67" s="159">
        <v>200</v>
      </c>
      <c r="IVO67" s="161">
        <f>SUM(IVM67:IVN67)</f>
        <v>8875</v>
      </c>
      <c r="IVP67" s="154" t="s">
        <v>106</v>
      </c>
      <c r="IVQ67" s="155">
        <v>45845</v>
      </c>
      <c r="IVR67" s="150" t="s">
        <v>60</v>
      </c>
      <c r="IVS67" s="210"/>
      <c r="IVT67" s="156" t="s">
        <v>132</v>
      </c>
      <c r="IVU67" s="208"/>
      <c r="IVV67" s="209"/>
      <c r="IVW67" s="150" t="s">
        <v>24</v>
      </c>
      <c r="IVX67" s="151">
        <v>8150</v>
      </c>
      <c r="IVY67" s="159">
        <v>85</v>
      </c>
      <c r="IVZ67" s="160">
        <v>215</v>
      </c>
      <c r="IWA67" s="160">
        <v>75</v>
      </c>
      <c r="IWB67" s="159">
        <v>150</v>
      </c>
      <c r="IWC67" s="161">
        <f>SUM(IVX67:IWB67)</f>
        <v>8675</v>
      </c>
      <c r="IWD67" s="159">
        <v>200</v>
      </c>
      <c r="IWE67" s="161">
        <f>SUM(IWC67:IWD67)</f>
        <v>8875</v>
      </c>
      <c r="IWF67" s="154" t="s">
        <v>106</v>
      </c>
      <c r="IWG67" s="155">
        <v>45845</v>
      </c>
      <c r="IWH67" s="150" t="s">
        <v>60</v>
      </c>
      <c r="IWI67" s="210"/>
      <c r="IWJ67" s="156" t="s">
        <v>132</v>
      </c>
      <c r="IWK67" s="208"/>
      <c r="IWL67" s="209"/>
      <c r="IWM67" s="150" t="s">
        <v>24</v>
      </c>
      <c r="IWN67" s="151">
        <v>8150</v>
      </c>
      <c r="IWO67" s="159">
        <v>85</v>
      </c>
      <c r="IWP67" s="160">
        <v>215</v>
      </c>
      <c r="IWQ67" s="160">
        <v>75</v>
      </c>
      <c r="IWR67" s="159">
        <v>150</v>
      </c>
      <c r="IWS67" s="161">
        <f>SUM(IWN67:IWR67)</f>
        <v>8675</v>
      </c>
      <c r="IWT67" s="159">
        <v>200</v>
      </c>
      <c r="IWU67" s="161">
        <f>SUM(IWS67:IWT67)</f>
        <v>8875</v>
      </c>
      <c r="IWV67" s="154" t="s">
        <v>106</v>
      </c>
      <c r="IWW67" s="155">
        <v>45845</v>
      </c>
      <c r="IWX67" s="150" t="s">
        <v>60</v>
      </c>
      <c r="IWY67" s="210"/>
      <c r="IWZ67" s="156" t="s">
        <v>132</v>
      </c>
      <c r="IXA67" s="208"/>
      <c r="IXB67" s="209"/>
      <c r="IXC67" s="150" t="s">
        <v>24</v>
      </c>
      <c r="IXD67" s="151">
        <v>8150</v>
      </c>
      <c r="IXE67" s="159">
        <v>85</v>
      </c>
      <c r="IXF67" s="160">
        <v>215</v>
      </c>
      <c r="IXG67" s="160">
        <v>75</v>
      </c>
      <c r="IXH67" s="159">
        <v>150</v>
      </c>
      <c r="IXI67" s="161">
        <f>SUM(IXD67:IXH67)</f>
        <v>8675</v>
      </c>
      <c r="IXJ67" s="159">
        <v>200</v>
      </c>
      <c r="IXK67" s="161">
        <f>SUM(IXI67:IXJ67)</f>
        <v>8875</v>
      </c>
      <c r="IXL67" s="154" t="s">
        <v>106</v>
      </c>
      <c r="IXM67" s="155">
        <v>45845</v>
      </c>
      <c r="IXN67" s="150" t="s">
        <v>60</v>
      </c>
      <c r="IXO67" s="210"/>
      <c r="IXP67" s="156" t="s">
        <v>132</v>
      </c>
      <c r="IXQ67" s="208"/>
      <c r="IXR67" s="209"/>
      <c r="IXS67" s="150" t="s">
        <v>24</v>
      </c>
      <c r="IXT67" s="151">
        <v>8150</v>
      </c>
      <c r="IXU67" s="159">
        <v>85</v>
      </c>
      <c r="IXV67" s="160">
        <v>215</v>
      </c>
      <c r="IXW67" s="160">
        <v>75</v>
      </c>
      <c r="IXX67" s="159">
        <v>150</v>
      </c>
      <c r="IXY67" s="161">
        <f>SUM(IXT67:IXX67)</f>
        <v>8675</v>
      </c>
      <c r="IXZ67" s="159">
        <v>200</v>
      </c>
      <c r="IYA67" s="161">
        <f>SUM(IXY67:IXZ67)</f>
        <v>8875</v>
      </c>
      <c r="IYB67" s="154" t="s">
        <v>106</v>
      </c>
      <c r="IYC67" s="155">
        <v>45845</v>
      </c>
      <c r="IYD67" s="150" t="s">
        <v>60</v>
      </c>
      <c r="IYE67" s="210"/>
      <c r="IYF67" s="156" t="s">
        <v>132</v>
      </c>
      <c r="IYG67" s="208"/>
      <c r="IYH67" s="209"/>
      <c r="IYI67" s="150" t="s">
        <v>24</v>
      </c>
      <c r="IYJ67" s="151">
        <v>8150</v>
      </c>
      <c r="IYK67" s="159">
        <v>85</v>
      </c>
      <c r="IYL67" s="160">
        <v>215</v>
      </c>
      <c r="IYM67" s="160">
        <v>75</v>
      </c>
      <c r="IYN67" s="159">
        <v>150</v>
      </c>
      <c r="IYO67" s="161">
        <f>SUM(IYJ67:IYN67)</f>
        <v>8675</v>
      </c>
      <c r="IYP67" s="159">
        <v>200</v>
      </c>
      <c r="IYQ67" s="161">
        <f>SUM(IYO67:IYP67)</f>
        <v>8875</v>
      </c>
      <c r="IYR67" s="154" t="s">
        <v>106</v>
      </c>
      <c r="IYS67" s="155">
        <v>45845</v>
      </c>
      <c r="IYT67" s="150" t="s">
        <v>60</v>
      </c>
      <c r="IYU67" s="210"/>
      <c r="IYV67" s="156" t="s">
        <v>132</v>
      </c>
      <c r="IYW67" s="208"/>
      <c r="IYX67" s="209"/>
      <c r="IYY67" s="150" t="s">
        <v>24</v>
      </c>
      <c r="IYZ67" s="151">
        <v>8150</v>
      </c>
      <c r="IZA67" s="159">
        <v>85</v>
      </c>
      <c r="IZB67" s="160">
        <v>215</v>
      </c>
      <c r="IZC67" s="160">
        <v>75</v>
      </c>
      <c r="IZD67" s="159">
        <v>150</v>
      </c>
      <c r="IZE67" s="161">
        <f>SUM(IYZ67:IZD67)</f>
        <v>8675</v>
      </c>
      <c r="IZF67" s="159">
        <v>200</v>
      </c>
      <c r="IZG67" s="161">
        <f>SUM(IZE67:IZF67)</f>
        <v>8875</v>
      </c>
      <c r="IZH67" s="154" t="s">
        <v>106</v>
      </c>
      <c r="IZI67" s="155">
        <v>45845</v>
      </c>
      <c r="IZJ67" s="150" t="s">
        <v>60</v>
      </c>
      <c r="IZK67" s="210"/>
      <c r="IZL67" s="156" t="s">
        <v>132</v>
      </c>
      <c r="IZM67" s="208"/>
      <c r="IZN67" s="209"/>
      <c r="IZO67" s="150" t="s">
        <v>24</v>
      </c>
      <c r="IZP67" s="151">
        <v>8150</v>
      </c>
      <c r="IZQ67" s="159">
        <v>85</v>
      </c>
      <c r="IZR67" s="160">
        <v>215</v>
      </c>
      <c r="IZS67" s="160">
        <v>75</v>
      </c>
      <c r="IZT67" s="159">
        <v>150</v>
      </c>
      <c r="IZU67" s="161">
        <f>SUM(IZP67:IZT67)</f>
        <v>8675</v>
      </c>
      <c r="IZV67" s="159">
        <v>200</v>
      </c>
      <c r="IZW67" s="161">
        <f>SUM(IZU67:IZV67)</f>
        <v>8875</v>
      </c>
      <c r="IZX67" s="154" t="s">
        <v>106</v>
      </c>
      <c r="IZY67" s="155">
        <v>45845</v>
      </c>
      <c r="IZZ67" s="150" t="s">
        <v>60</v>
      </c>
      <c r="JAA67" s="210"/>
      <c r="JAB67" s="156" t="s">
        <v>132</v>
      </c>
      <c r="JAC67" s="208"/>
      <c r="JAD67" s="209"/>
      <c r="JAE67" s="150" t="s">
        <v>24</v>
      </c>
      <c r="JAF67" s="151">
        <v>8150</v>
      </c>
      <c r="JAG67" s="159">
        <v>85</v>
      </c>
      <c r="JAH67" s="160">
        <v>215</v>
      </c>
      <c r="JAI67" s="160">
        <v>75</v>
      </c>
      <c r="JAJ67" s="159">
        <v>150</v>
      </c>
      <c r="JAK67" s="161">
        <f>SUM(JAF67:JAJ67)</f>
        <v>8675</v>
      </c>
      <c r="JAL67" s="159">
        <v>200</v>
      </c>
      <c r="JAM67" s="161">
        <f>SUM(JAK67:JAL67)</f>
        <v>8875</v>
      </c>
      <c r="JAN67" s="154" t="s">
        <v>106</v>
      </c>
      <c r="JAO67" s="155">
        <v>45845</v>
      </c>
      <c r="JAP67" s="150" t="s">
        <v>60</v>
      </c>
      <c r="JAQ67" s="210"/>
      <c r="JAR67" s="156" t="s">
        <v>132</v>
      </c>
      <c r="JAS67" s="208"/>
      <c r="JAT67" s="209"/>
      <c r="JAU67" s="150" t="s">
        <v>24</v>
      </c>
      <c r="JAV67" s="151">
        <v>8150</v>
      </c>
      <c r="JAW67" s="159">
        <v>85</v>
      </c>
      <c r="JAX67" s="160">
        <v>215</v>
      </c>
      <c r="JAY67" s="160">
        <v>75</v>
      </c>
      <c r="JAZ67" s="159">
        <v>150</v>
      </c>
      <c r="JBA67" s="161">
        <f>SUM(JAV67:JAZ67)</f>
        <v>8675</v>
      </c>
      <c r="JBB67" s="159">
        <v>200</v>
      </c>
      <c r="JBC67" s="161">
        <f>SUM(JBA67:JBB67)</f>
        <v>8875</v>
      </c>
      <c r="JBD67" s="154" t="s">
        <v>106</v>
      </c>
      <c r="JBE67" s="155">
        <v>45845</v>
      </c>
      <c r="JBF67" s="150" t="s">
        <v>60</v>
      </c>
      <c r="JBG67" s="210"/>
      <c r="JBH67" s="156" t="s">
        <v>132</v>
      </c>
      <c r="JBI67" s="208"/>
      <c r="JBJ67" s="209"/>
      <c r="JBK67" s="150" t="s">
        <v>24</v>
      </c>
      <c r="JBL67" s="151">
        <v>8150</v>
      </c>
      <c r="JBM67" s="159">
        <v>85</v>
      </c>
      <c r="JBN67" s="160">
        <v>215</v>
      </c>
      <c r="JBO67" s="160">
        <v>75</v>
      </c>
      <c r="JBP67" s="159">
        <v>150</v>
      </c>
      <c r="JBQ67" s="161">
        <f>SUM(JBL67:JBP67)</f>
        <v>8675</v>
      </c>
      <c r="JBR67" s="159">
        <v>200</v>
      </c>
      <c r="JBS67" s="161">
        <f>SUM(JBQ67:JBR67)</f>
        <v>8875</v>
      </c>
      <c r="JBT67" s="154" t="s">
        <v>106</v>
      </c>
      <c r="JBU67" s="155">
        <v>45845</v>
      </c>
      <c r="JBV67" s="150" t="s">
        <v>60</v>
      </c>
      <c r="JBW67" s="210"/>
      <c r="JBX67" s="156" t="s">
        <v>132</v>
      </c>
      <c r="JBY67" s="208"/>
      <c r="JBZ67" s="209"/>
      <c r="JCA67" s="150" t="s">
        <v>24</v>
      </c>
      <c r="JCB67" s="151">
        <v>8150</v>
      </c>
      <c r="JCC67" s="159">
        <v>85</v>
      </c>
      <c r="JCD67" s="160">
        <v>215</v>
      </c>
      <c r="JCE67" s="160">
        <v>75</v>
      </c>
      <c r="JCF67" s="159">
        <v>150</v>
      </c>
      <c r="JCG67" s="161">
        <f>SUM(JCB67:JCF67)</f>
        <v>8675</v>
      </c>
      <c r="JCH67" s="159">
        <v>200</v>
      </c>
      <c r="JCI67" s="161">
        <f>SUM(JCG67:JCH67)</f>
        <v>8875</v>
      </c>
      <c r="JCJ67" s="154" t="s">
        <v>106</v>
      </c>
      <c r="JCK67" s="155">
        <v>45845</v>
      </c>
      <c r="JCL67" s="150" t="s">
        <v>60</v>
      </c>
      <c r="JCM67" s="210"/>
      <c r="JCN67" s="156" t="s">
        <v>132</v>
      </c>
      <c r="JCO67" s="208"/>
      <c r="JCP67" s="209"/>
      <c r="JCQ67" s="150" t="s">
        <v>24</v>
      </c>
      <c r="JCR67" s="151">
        <v>8150</v>
      </c>
      <c r="JCS67" s="159">
        <v>85</v>
      </c>
      <c r="JCT67" s="160">
        <v>215</v>
      </c>
      <c r="JCU67" s="160">
        <v>75</v>
      </c>
      <c r="JCV67" s="159">
        <v>150</v>
      </c>
      <c r="JCW67" s="161">
        <f>SUM(JCR67:JCV67)</f>
        <v>8675</v>
      </c>
      <c r="JCX67" s="159">
        <v>200</v>
      </c>
      <c r="JCY67" s="161">
        <f>SUM(JCW67:JCX67)</f>
        <v>8875</v>
      </c>
      <c r="JCZ67" s="154" t="s">
        <v>106</v>
      </c>
      <c r="JDA67" s="155">
        <v>45845</v>
      </c>
      <c r="JDB67" s="150" t="s">
        <v>60</v>
      </c>
      <c r="JDC67" s="210"/>
      <c r="JDD67" s="156" t="s">
        <v>132</v>
      </c>
      <c r="JDE67" s="208"/>
      <c r="JDF67" s="209"/>
      <c r="JDG67" s="150" t="s">
        <v>24</v>
      </c>
      <c r="JDH67" s="151">
        <v>8150</v>
      </c>
      <c r="JDI67" s="159">
        <v>85</v>
      </c>
      <c r="JDJ67" s="160">
        <v>215</v>
      </c>
      <c r="JDK67" s="160">
        <v>75</v>
      </c>
      <c r="JDL67" s="159">
        <v>150</v>
      </c>
      <c r="JDM67" s="161">
        <f>SUM(JDH67:JDL67)</f>
        <v>8675</v>
      </c>
      <c r="JDN67" s="159">
        <v>200</v>
      </c>
      <c r="JDO67" s="161">
        <f>SUM(JDM67:JDN67)</f>
        <v>8875</v>
      </c>
      <c r="JDP67" s="154" t="s">
        <v>106</v>
      </c>
      <c r="JDQ67" s="155">
        <v>45845</v>
      </c>
      <c r="JDR67" s="150" t="s">
        <v>60</v>
      </c>
      <c r="JDS67" s="210"/>
      <c r="JDT67" s="156" t="s">
        <v>132</v>
      </c>
      <c r="JDU67" s="208"/>
      <c r="JDV67" s="209"/>
      <c r="JDW67" s="150" t="s">
        <v>24</v>
      </c>
      <c r="JDX67" s="151">
        <v>8150</v>
      </c>
      <c r="JDY67" s="159">
        <v>85</v>
      </c>
      <c r="JDZ67" s="160">
        <v>215</v>
      </c>
      <c r="JEA67" s="160">
        <v>75</v>
      </c>
      <c r="JEB67" s="159">
        <v>150</v>
      </c>
      <c r="JEC67" s="161">
        <f>SUM(JDX67:JEB67)</f>
        <v>8675</v>
      </c>
      <c r="JED67" s="159">
        <v>200</v>
      </c>
      <c r="JEE67" s="161">
        <f>SUM(JEC67:JED67)</f>
        <v>8875</v>
      </c>
      <c r="JEF67" s="154" t="s">
        <v>106</v>
      </c>
      <c r="JEG67" s="155">
        <v>45845</v>
      </c>
      <c r="JEH67" s="150" t="s">
        <v>60</v>
      </c>
      <c r="JEI67" s="210"/>
      <c r="JEJ67" s="156" t="s">
        <v>132</v>
      </c>
      <c r="JEK67" s="208"/>
      <c r="JEL67" s="209"/>
      <c r="JEM67" s="150" t="s">
        <v>24</v>
      </c>
      <c r="JEN67" s="151">
        <v>8150</v>
      </c>
      <c r="JEO67" s="159">
        <v>85</v>
      </c>
      <c r="JEP67" s="160">
        <v>215</v>
      </c>
      <c r="JEQ67" s="160">
        <v>75</v>
      </c>
      <c r="JER67" s="159">
        <v>150</v>
      </c>
      <c r="JES67" s="161">
        <f>SUM(JEN67:JER67)</f>
        <v>8675</v>
      </c>
      <c r="JET67" s="159">
        <v>200</v>
      </c>
      <c r="JEU67" s="161">
        <f>SUM(JES67:JET67)</f>
        <v>8875</v>
      </c>
      <c r="JEV67" s="154" t="s">
        <v>106</v>
      </c>
      <c r="JEW67" s="155">
        <v>45845</v>
      </c>
      <c r="JEX67" s="150" t="s">
        <v>60</v>
      </c>
      <c r="JEY67" s="210"/>
      <c r="JEZ67" s="156" t="s">
        <v>132</v>
      </c>
      <c r="JFA67" s="208"/>
      <c r="JFB67" s="209"/>
      <c r="JFC67" s="150" t="s">
        <v>24</v>
      </c>
      <c r="JFD67" s="151">
        <v>8150</v>
      </c>
      <c r="JFE67" s="159">
        <v>85</v>
      </c>
      <c r="JFF67" s="160">
        <v>215</v>
      </c>
      <c r="JFG67" s="160">
        <v>75</v>
      </c>
      <c r="JFH67" s="159">
        <v>150</v>
      </c>
      <c r="JFI67" s="161">
        <f>SUM(JFD67:JFH67)</f>
        <v>8675</v>
      </c>
      <c r="JFJ67" s="159">
        <v>200</v>
      </c>
      <c r="JFK67" s="161">
        <f>SUM(JFI67:JFJ67)</f>
        <v>8875</v>
      </c>
      <c r="JFL67" s="154" t="s">
        <v>106</v>
      </c>
      <c r="JFM67" s="155">
        <v>45845</v>
      </c>
      <c r="JFN67" s="150" t="s">
        <v>60</v>
      </c>
      <c r="JFO67" s="210"/>
      <c r="JFP67" s="156" t="s">
        <v>132</v>
      </c>
      <c r="JFQ67" s="208"/>
      <c r="JFR67" s="209"/>
      <c r="JFS67" s="150" t="s">
        <v>24</v>
      </c>
      <c r="JFT67" s="151">
        <v>8150</v>
      </c>
      <c r="JFU67" s="159">
        <v>85</v>
      </c>
      <c r="JFV67" s="160">
        <v>215</v>
      </c>
      <c r="JFW67" s="160">
        <v>75</v>
      </c>
      <c r="JFX67" s="159">
        <v>150</v>
      </c>
      <c r="JFY67" s="161">
        <f>SUM(JFT67:JFX67)</f>
        <v>8675</v>
      </c>
      <c r="JFZ67" s="159">
        <v>200</v>
      </c>
      <c r="JGA67" s="161">
        <f>SUM(JFY67:JFZ67)</f>
        <v>8875</v>
      </c>
      <c r="JGB67" s="154" t="s">
        <v>106</v>
      </c>
      <c r="JGC67" s="155">
        <v>45845</v>
      </c>
      <c r="JGD67" s="150" t="s">
        <v>60</v>
      </c>
      <c r="JGE67" s="210"/>
      <c r="JGF67" s="156" t="s">
        <v>132</v>
      </c>
      <c r="JGG67" s="208"/>
      <c r="JGH67" s="209"/>
      <c r="JGI67" s="150" t="s">
        <v>24</v>
      </c>
      <c r="JGJ67" s="151">
        <v>8150</v>
      </c>
      <c r="JGK67" s="159">
        <v>85</v>
      </c>
      <c r="JGL67" s="160">
        <v>215</v>
      </c>
      <c r="JGM67" s="160">
        <v>75</v>
      </c>
      <c r="JGN67" s="159">
        <v>150</v>
      </c>
      <c r="JGO67" s="161">
        <f>SUM(JGJ67:JGN67)</f>
        <v>8675</v>
      </c>
      <c r="JGP67" s="159">
        <v>200</v>
      </c>
      <c r="JGQ67" s="161">
        <f>SUM(JGO67:JGP67)</f>
        <v>8875</v>
      </c>
      <c r="JGR67" s="154" t="s">
        <v>106</v>
      </c>
      <c r="JGS67" s="155">
        <v>45845</v>
      </c>
      <c r="JGT67" s="150" t="s">
        <v>60</v>
      </c>
      <c r="JGU67" s="210"/>
      <c r="JGV67" s="156" t="s">
        <v>132</v>
      </c>
      <c r="JGW67" s="208"/>
      <c r="JGX67" s="209"/>
      <c r="JGY67" s="150" t="s">
        <v>24</v>
      </c>
      <c r="JGZ67" s="151">
        <v>8150</v>
      </c>
      <c r="JHA67" s="159">
        <v>85</v>
      </c>
      <c r="JHB67" s="160">
        <v>215</v>
      </c>
      <c r="JHC67" s="160">
        <v>75</v>
      </c>
      <c r="JHD67" s="159">
        <v>150</v>
      </c>
      <c r="JHE67" s="161">
        <f>SUM(JGZ67:JHD67)</f>
        <v>8675</v>
      </c>
      <c r="JHF67" s="159">
        <v>200</v>
      </c>
      <c r="JHG67" s="161">
        <f>SUM(JHE67:JHF67)</f>
        <v>8875</v>
      </c>
      <c r="JHH67" s="154" t="s">
        <v>106</v>
      </c>
      <c r="JHI67" s="155">
        <v>45845</v>
      </c>
      <c r="JHJ67" s="150" t="s">
        <v>60</v>
      </c>
      <c r="JHK67" s="210"/>
      <c r="JHL67" s="156" t="s">
        <v>132</v>
      </c>
      <c r="JHM67" s="208"/>
      <c r="JHN67" s="209"/>
      <c r="JHO67" s="150" t="s">
        <v>24</v>
      </c>
      <c r="JHP67" s="151">
        <v>8150</v>
      </c>
      <c r="JHQ67" s="159">
        <v>85</v>
      </c>
      <c r="JHR67" s="160">
        <v>215</v>
      </c>
      <c r="JHS67" s="160">
        <v>75</v>
      </c>
      <c r="JHT67" s="159">
        <v>150</v>
      </c>
      <c r="JHU67" s="161">
        <f>SUM(JHP67:JHT67)</f>
        <v>8675</v>
      </c>
      <c r="JHV67" s="159">
        <v>200</v>
      </c>
      <c r="JHW67" s="161">
        <f>SUM(JHU67:JHV67)</f>
        <v>8875</v>
      </c>
      <c r="JHX67" s="154" t="s">
        <v>106</v>
      </c>
      <c r="JHY67" s="155">
        <v>45845</v>
      </c>
      <c r="JHZ67" s="150" t="s">
        <v>60</v>
      </c>
      <c r="JIA67" s="210"/>
      <c r="JIB67" s="156" t="s">
        <v>132</v>
      </c>
      <c r="JIC67" s="208"/>
      <c r="JID67" s="209"/>
      <c r="JIE67" s="150" t="s">
        <v>24</v>
      </c>
      <c r="JIF67" s="151">
        <v>8150</v>
      </c>
      <c r="JIG67" s="159">
        <v>85</v>
      </c>
      <c r="JIH67" s="160">
        <v>215</v>
      </c>
      <c r="JII67" s="160">
        <v>75</v>
      </c>
      <c r="JIJ67" s="159">
        <v>150</v>
      </c>
      <c r="JIK67" s="161">
        <f>SUM(JIF67:JIJ67)</f>
        <v>8675</v>
      </c>
      <c r="JIL67" s="159">
        <v>200</v>
      </c>
      <c r="JIM67" s="161">
        <f>SUM(JIK67:JIL67)</f>
        <v>8875</v>
      </c>
      <c r="JIN67" s="154" t="s">
        <v>106</v>
      </c>
      <c r="JIO67" s="155">
        <v>45845</v>
      </c>
      <c r="JIP67" s="150" t="s">
        <v>60</v>
      </c>
      <c r="JIQ67" s="210"/>
      <c r="JIR67" s="156" t="s">
        <v>132</v>
      </c>
      <c r="JIS67" s="208"/>
      <c r="JIT67" s="209"/>
      <c r="JIU67" s="150" t="s">
        <v>24</v>
      </c>
      <c r="JIV67" s="151">
        <v>8150</v>
      </c>
      <c r="JIW67" s="159">
        <v>85</v>
      </c>
      <c r="JIX67" s="160">
        <v>215</v>
      </c>
      <c r="JIY67" s="160">
        <v>75</v>
      </c>
      <c r="JIZ67" s="159">
        <v>150</v>
      </c>
      <c r="JJA67" s="161">
        <f>SUM(JIV67:JIZ67)</f>
        <v>8675</v>
      </c>
      <c r="JJB67" s="159">
        <v>200</v>
      </c>
      <c r="JJC67" s="161">
        <f>SUM(JJA67:JJB67)</f>
        <v>8875</v>
      </c>
      <c r="JJD67" s="154" t="s">
        <v>106</v>
      </c>
      <c r="JJE67" s="155">
        <v>45845</v>
      </c>
      <c r="JJF67" s="150" t="s">
        <v>60</v>
      </c>
      <c r="JJG67" s="210"/>
      <c r="JJH67" s="156" t="s">
        <v>132</v>
      </c>
      <c r="JJI67" s="208"/>
      <c r="JJJ67" s="209"/>
      <c r="JJK67" s="150" t="s">
        <v>24</v>
      </c>
      <c r="JJL67" s="151">
        <v>8150</v>
      </c>
      <c r="JJM67" s="159">
        <v>85</v>
      </c>
      <c r="JJN67" s="160">
        <v>215</v>
      </c>
      <c r="JJO67" s="160">
        <v>75</v>
      </c>
      <c r="JJP67" s="159">
        <v>150</v>
      </c>
      <c r="JJQ67" s="161">
        <f>SUM(JJL67:JJP67)</f>
        <v>8675</v>
      </c>
      <c r="JJR67" s="159">
        <v>200</v>
      </c>
      <c r="JJS67" s="161">
        <f>SUM(JJQ67:JJR67)</f>
        <v>8875</v>
      </c>
      <c r="JJT67" s="154" t="s">
        <v>106</v>
      </c>
      <c r="JJU67" s="155">
        <v>45845</v>
      </c>
      <c r="JJV67" s="150" t="s">
        <v>60</v>
      </c>
      <c r="JJW67" s="210"/>
      <c r="JJX67" s="156" t="s">
        <v>132</v>
      </c>
      <c r="JJY67" s="208"/>
      <c r="JJZ67" s="209"/>
      <c r="JKA67" s="150" t="s">
        <v>24</v>
      </c>
      <c r="JKB67" s="151">
        <v>8150</v>
      </c>
      <c r="JKC67" s="159">
        <v>85</v>
      </c>
      <c r="JKD67" s="160">
        <v>215</v>
      </c>
      <c r="JKE67" s="160">
        <v>75</v>
      </c>
      <c r="JKF67" s="159">
        <v>150</v>
      </c>
      <c r="JKG67" s="161">
        <f>SUM(JKB67:JKF67)</f>
        <v>8675</v>
      </c>
      <c r="JKH67" s="159">
        <v>200</v>
      </c>
      <c r="JKI67" s="161">
        <f>SUM(JKG67:JKH67)</f>
        <v>8875</v>
      </c>
      <c r="JKJ67" s="154" t="s">
        <v>106</v>
      </c>
      <c r="JKK67" s="155">
        <v>45845</v>
      </c>
      <c r="JKL67" s="150" t="s">
        <v>60</v>
      </c>
      <c r="JKM67" s="210"/>
      <c r="JKN67" s="156" t="s">
        <v>132</v>
      </c>
      <c r="JKO67" s="208"/>
      <c r="JKP67" s="209"/>
      <c r="JKQ67" s="150" t="s">
        <v>24</v>
      </c>
      <c r="JKR67" s="151">
        <v>8150</v>
      </c>
      <c r="JKS67" s="159">
        <v>85</v>
      </c>
      <c r="JKT67" s="160">
        <v>215</v>
      </c>
      <c r="JKU67" s="160">
        <v>75</v>
      </c>
      <c r="JKV67" s="159">
        <v>150</v>
      </c>
      <c r="JKW67" s="161">
        <f>SUM(JKR67:JKV67)</f>
        <v>8675</v>
      </c>
      <c r="JKX67" s="159">
        <v>200</v>
      </c>
      <c r="JKY67" s="161">
        <f>SUM(JKW67:JKX67)</f>
        <v>8875</v>
      </c>
      <c r="JKZ67" s="154" t="s">
        <v>106</v>
      </c>
      <c r="JLA67" s="155">
        <v>45845</v>
      </c>
      <c r="JLB67" s="150" t="s">
        <v>60</v>
      </c>
      <c r="JLC67" s="210"/>
      <c r="JLD67" s="156" t="s">
        <v>132</v>
      </c>
      <c r="JLE67" s="208"/>
      <c r="JLF67" s="209"/>
      <c r="JLG67" s="150" t="s">
        <v>24</v>
      </c>
      <c r="JLH67" s="151">
        <v>8150</v>
      </c>
      <c r="JLI67" s="159">
        <v>85</v>
      </c>
      <c r="JLJ67" s="160">
        <v>215</v>
      </c>
      <c r="JLK67" s="160">
        <v>75</v>
      </c>
      <c r="JLL67" s="159">
        <v>150</v>
      </c>
      <c r="JLM67" s="161">
        <f>SUM(JLH67:JLL67)</f>
        <v>8675</v>
      </c>
      <c r="JLN67" s="159">
        <v>200</v>
      </c>
      <c r="JLO67" s="161">
        <f>SUM(JLM67:JLN67)</f>
        <v>8875</v>
      </c>
      <c r="JLP67" s="154" t="s">
        <v>106</v>
      </c>
      <c r="JLQ67" s="155">
        <v>45845</v>
      </c>
      <c r="JLR67" s="150" t="s">
        <v>60</v>
      </c>
      <c r="JLS67" s="210"/>
      <c r="JLT67" s="156" t="s">
        <v>132</v>
      </c>
      <c r="JLU67" s="208"/>
      <c r="JLV67" s="209"/>
      <c r="JLW67" s="150" t="s">
        <v>24</v>
      </c>
      <c r="JLX67" s="151">
        <v>8150</v>
      </c>
      <c r="JLY67" s="159">
        <v>85</v>
      </c>
      <c r="JLZ67" s="160">
        <v>215</v>
      </c>
      <c r="JMA67" s="160">
        <v>75</v>
      </c>
      <c r="JMB67" s="159">
        <v>150</v>
      </c>
      <c r="JMC67" s="161">
        <f>SUM(JLX67:JMB67)</f>
        <v>8675</v>
      </c>
      <c r="JMD67" s="159">
        <v>200</v>
      </c>
      <c r="JME67" s="161">
        <f>SUM(JMC67:JMD67)</f>
        <v>8875</v>
      </c>
      <c r="JMF67" s="154" t="s">
        <v>106</v>
      </c>
      <c r="JMG67" s="155">
        <v>45845</v>
      </c>
      <c r="JMH67" s="150" t="s">
        <v>60</v>
      </c>
      <c r="JMI67" s="210"/>
      <c r="JMJ67" s="156" t="s">
        <v>132</v>
      </c>
      <c r="JMK67" s="208"/>
      <c r="JML67" s="209"/>
      <c r="JMM67" s="150" t="s">
        <v>24</v>
      </c>
      <c r="JMN67" s="151">
        <v>8150</v>
      </c>
      <c r="JMO67" s="159">
        <v>85</v>
      </c>
      <c r="JMP67" s="160">
        <v>215</v>
      </c>
      <c r="JMQ67" s="160">
        <v>75</v>
      </c>
      <c r="JMR67" s="159">
        <v>150</v>
      </c>
      <c r="JMS67" s="161">
        <f>SUM(JMN67:JMR67)</f>
        <v>8675</v>
      </c>
      <c r="JMT67" s="159">
        <v>200</v>
      </c>
      <c r="JMU67" s="161">
        <f>SUM(JMS67:JMT67)</f>
        <v>8875</v>
      </c>
      <c r="JMV67" s="154" t="s">
        <v>106</v>
      </c>
      <c r="JMW67" s="155">
        <v>45845</v>
      </c>
      <c r="JMX67" s="150" t="s">
        <v>60</v>
      </c>
      <c r="JMY67" s="210"/>
      <c r="JMZ67" s="156" t="s">
        <v>132</v>
      </c>
      <c r="JNA67" s="208"/>
      <c r="JNB67" s="209"/>
      <c r="JNC67" s="150" t="s">
        <v>24</v>
      </c>
      <c r="JND67" s="151">
        <v>8150</v>
      </c>
      <c r="JNE67" s="159">
        <v>85</v>
      </c>
      <c r="JNF67" s="160">
        <v>215</v>
      </c>
      <c r="JNG67" s="160">
        <v>75</v>
      </c>
      <c r="JNH67" s="159">
        <v>150</v>
      </c>
      <c r="JNI67" s="161">
        <f>SUM(JND67:JNH67)</f>
        <v>8675</v>
      </c>
      <c r="JNJ67" s="159">
        <v>200</v>
      </c>
      <c r="JNK67" s="161">
        <f>SUM(JNI67:JNJ67)</f>
        <v>8875</v>
      </c>
      <c r="JNL67" s="154" t="s">
        <v>106</v>
      </c>
      <c r="JNM67" s="155">
        <v>45845</v>
      </c>
      <c r="JNN67" s="150" t="s">
        <v>60</v>
      </c>
      <c r="JNO67" s="210"/>
      <c r="JNP67" s="156" t="s">
        <v>132</v>
      </c>
      <c r="JNQ67" s="208"/>
      <c r="JNR67" s="209"/>
      <c r="JNS67" s="150" t="s">
        <v>24</v>
      </c>
      <c r="JNT67" s="151">
        <v>8150</v>
      </c>
      <c r="JNU67" s="159">
        <v>85</v>
      </c>
      <c r="JNV67" s="160">
        <v>215</v>
      </c>
      <c r="JNW67" s="160">
        <v>75</v>
      </c>
      <c r="JNX67" s="159">
        <v>150</v>
      </c>
      <c r="JNY67" s="161">
        <f>SUM(JNT67:JNX67)</f>
        <v>8675</v>
      </c>
      <c r="JNZ67" s="159">
        <v>200</v>
      </c>
      <c r="JOA67" s="161">
        <f>SUM(JNY67:JNZ67)</f>
        <v>8875</v>
      </c>
      <c r="JOB67" s="154" t="s">
        <v>106</v>
      </c>
      <c r="JOC67" s="155">
        <v>45845</v>
      </c>
      <c r="JOD67" s="150" t="s">
        <v>60</v>
      </c>
      <c r="JOE67" s="210"/>
      <c r="JOF67" s="156" t="s">
        <v>132</v>
      </c>
      <c r="JOG67" s="208"/>
      <c r="JOH67" s="209"/>
      <c r="JOI67" s="150" t="s">
        <v>24</v>
      </c>
      <c r="JOJ67" s="151">
        <v>8150</v>
      </c>
      <c r="JOK67" s="159">
        <v>85</v>
      </c>
      <c r="JOL67" s="160">
        <v>215</v>
      </c>
      <c r="JOM67" s="160">
        <v>75</v>
      </c>
      <c r="JON67" s="159">
        <v>150</v>
      </c>
      <c r="JOO67" s="161">
        <f>SUM(JOJ67:JON67)</f>
        <v>8675</v>
      </c>
      <c r="JOP67" s="159">
        <v>200</v>
      </c>
      <c r="JOQ67" s="161">
        <f>SUM(JOO67:JOP67)</f>
        <v>8875</v>
      </c>
      <c r="JOR67" s="154" t="s">
        <v>106</v>
      </c>
      <c r="JOS67" s="155">
        <v>45845</v>
      </c>
      <c r="JOT67" s="150" t="s">
        <v>60</v>
      </c>
      <c r="JOU67" s="210"/>
      <c r="JOV67" s="156" t="s">
        <v>132</v>
      </c>
      <c r="JOW67" s="208"/>
      <c r="JOX67" s="209"/>
      <c r="JOY67" s="150" t="s">
        <v>24</v>
      </c>
      <c r="JOZ67" s="151">
        <v>8150</v>
      </c>
      <c r="JPA67" s="159">
        <v>85</v>
      </c>
      <c r="JPB67" s="160">
        <v>215</v>
      </c>
      <c r="JPC67" s="160">
        <v>75</v>
      </c>
      <c r="JPD67" s="159">
        <v>150</v>
      </c>
      <c r="JPE67" s="161">
        <f>SUM(JOZ67:JPD67)</f>
        <v>8675</v>
      </c>
      <c r="JPF67" s="159">
        <v>200</v>
      </c>
      <c r="JPG67" s="161">
        <f>SUM(JPE67:JPF67)</f>
        <v>8875</v>
      </c>
      <c r="JPH67" s="154" t="s">
        <v>106</v>
      </c>
      <c r="JPI67" s="155">
        <v>45845</v>
      </c>
      <c r="JPJ67" s="150" t="s">
        <v>60</v>
      </c>
      <c r="JPK67" s="210"/>
      <c r="JPL67" s="156" t="s">
        <v>132</v>
      </c>
      <c r="JPM67" s="208"/>
      <c r="JPN67" s="209"/>
      <c r="JPO67" s="150" t="s">
        <v>24</v>
      </c>
      <c r="JPP67" s="151">
        <v>8150</v>
      </c>
      <c r="JPQ67" s="159">
        <v>85</v>
      </c>
      <c r="JPR67" s="160">
        <v>215</v>
      </c>
      <c r="JPS67" s="160">
        <v>75</v>
      </c>
      <c r="JPT67" s="159">
        <v>150</v>
      </c>
      <c r="JPU67" s="161">
        <f>SUM(JPP67:JPT67)</f>
        <v>8675</v>
      </c>
      <c r="JPV67" s="159">
        <v>200</v>
      </c>
      <c r="JPW67" s="161">
        <f>SUM(JPU67:JPV67)</f>
        <v>8875</v>
      </c>
      <c r="JPX67" s="154" t="s">
        <v>106</v>
      </c>
      <c r="JPY67" s="155">
        <v>45845</v>
      </c>
      <c r="JPZ67" s="150" t="s">
        <v>60</v>
      </c>
      <c r="JQA67" s="210"/>
      <c r="JQB67" s="156" t="s">
        <v>132</v>
      </c>
      <c r="JQC67" s="208"/>
      <c r="JQD67" s="209"/>
      <c r="JQE67" s="150" t="s">
        <v>24</v>
      </c>
      <c r="JQF67" s="151">
        <v>8150</v>
      </c>
      <c r="JQG67" s="159">
        <v>85</v>
      </c>
      <c r="JQH67" s="160">
        <v>215</v>
      </c>
      <c r="JQI67" s="160">
        <v>75</v>
      </c>
      <c r="JQJ67" s="159">
        <v>150</v>
      </c>
      <c r="JQK67" s="161">
        <f>SUM(JQF67:JQJ67)</f>
        <v>8675</v>
      </c>
      <c r="JQL67" s="159">
        <v>200</v>
      </c>
      <c r="JQM67" s="161">
        <f>SUM(JQK67:JQL67)</f>
        <v>8875</v>
      </c>
      <c r="JQN67" s="154" t="s">
        <v>106</v>
      </c>
      <c r="JQO67" s="155">
        <v>45845</v>
      </c>
      <c r="JQP67" s="150" t="s">
        <v>60</v>
      </c>
      <c r="JQQ67" s="210"/>
      <c r="JQR67" s="156" t="s">
        <v>132</v>
      </c>
      <c r="JQS67" s="208"/>
      <c r="JQT67" s="209"/>
      <c r="JQU67" s="150" t="s">
        <v>24</v>
      </c>
      <c r="JQV67" s="151">
        <v>8150</v>
      </c>
      <c r="JQW67" s="159">
        <v>85</v>
      </c>
      <c r="JQX67" s="160">
        <v>215</v>
      </c>
      <c r="JQY67" s="160">
        <v>75</v>
      </c>
      <c r="JQZ67" s="159">
        <v>150</v>
      </c>
      <c r="JRA67" s="161">
        <f>SUM(JQV67:JQZ67)</f>
        <v>8675</v>
      </c>
      <c r="JRB67" s="159">
        <v>200</v>
      </c>
      <c r="JRC67" s="161">
        <f>SUM(JRA67:JRB67)</f>
        <v>8875</v>
      </c>
      <c r="JRD67" s="154" t="s">
        <v>106</v>
      </c>
      <c r="JRE67" s="155">
        <v>45845</v>
      </c>
      <c r="JRF67" s="150" t="s">
        <v>60</v>
      </c>
      <c r="JRG67" s="210"/>
      <c r="JRH67" s="156" t="s">
        <v>132</v>
      </c>
      <c r="JRI67" s="208"/>
      <c r="JRJ67" s="209"/>
      <c r="JRK67" s="150" t="s">
        <v>24</v>
      </c>
      <c r="JRL67" s="151">
        <v>8150</v>
      </c>
      <c r="JRM67" s="159">
        <v>85</v>
      </c>
      <c r="JRN67" s="160">
        <v>215</v>
      </c>
      <c r="JRO67" s="160">
        <v>75</v>
      </c>
      <c r="JRP67" s="159">
        <v>150</v>
      </c>
      <c r="JRQ67" s="161">
        <f>SUM(JRL67:JRP67)</f>
        <v>8675</v>
      </c>
      <c r="JRR67" s="159">
        <v>200</v>
      </c>
      <c r="JRS67" s="161">
        <f>SUM(JRQ67:JRR67)</f>
        <v>8875</v>
      </c>
      <c r="JRT67" s="154" t="s">
        <v>106</v>
      </c>
      <c r="JRU67" s="155">
        <v>45845</v>
      </c>
      <c r="JRV67" s="150" t="s">
        <v>60</v>
      </c>
      <c r="JRW67" s="210"/>
      <c r="JRX67" s="156" t="s">
        <v>132</v>
      </c>
      <c r="JRY67" s="208"/>
      <c r="JRZ67" s="209"/>
      <c r="JSA67" s="150" t="s">
        <v>24</v>
      </c>
      <c r="JSB67" s="151">
        <v>8150</v>
      </c>
      <c r="JSC67" s="159">
        <v>85</v>
      </c>
      <c r="JSD67" s="160">
        <v>215</v>
      </c>
      <c r="JSE67" s="160">
        <v>75</v>
      </c>
      <c r="JSF67" s="159">
        <v>150</v>
      </c>
      <c r="JSG67" s="161">
        <f>SUM(JSB67:JSF67)</f>
        <v>8675</v>
      </c>
      <c r="JSH67" s="159">
        <v>200</v>
      </c>
      <c r="JSI67" s="161">
        <f>SUM(JSG67:JSH67)</f>
        <v>8875</v>
      </c>
      <c r="JSJ67" s="154" t="s">
        <v>106</v>
      </c>
      <c r="JSK67" s="155">
        <v>45845</v>
      </c>
      <c r="JSL67" s="150" t="s">
        <v>60</v>
      </c>
      <c r="JSM67" s="210"/>
      <c r="JSN67" s="156" t="s">
        <v>132</v>
      </c>
      <c r="JSO67" s="208"/>
      <c r="JSP67" s="209"/>
      <c r="JSQ67" s="150" t="s">
        <v>24</v>
      </c>
      <c r="JSR67" s="151">
        <v>8150</v>
      </c>
      <c r="JSS67" s="159">
        <v>85</v>
      </c>
      <c r="JST67" s="160">
        <v>215</v>
      </c>
      <c r="JSU67" s="160">
        <v>75</v>
      </c>
      <c r="JSV67" s="159">
        <v>150</v>
      </c>
      <c r="JSW67" s="161">
        <f>SUM(JSR67:JSV67)</f>
        <v>8675</v>
      </c>
      <c r="JSX67" s="159">
        <v>200</v>
      </c>
      <c r="JSY67" s="161">
        <f>SUM(JSW67:JSX67)</f>
        <v>8875</v>
      </c>
      <c r="JSZ67" s="154" t="s">
        <v>106</v>
      </c>
      <c r="JTA67" s="155">
        <v>45845</v>
      </c>
      <c r="JTB67" s="150" t="s">
        <v>60</v>
      </c>
      <c r="JTC67" s="210"/>
      <c r="JTD67" s="156" t="s">
        <v>132</v>
      </c>
      <c r="JTE67" s="208"/>
      <c r="JTF67" s="209"/>
      <c r="JTG67" s="150" t="s">
        <v>24</v>
      </c>
      <c r="JTH67" s="151">
        <v>8150</v>
      </c>
      <c r="JTI67" s="159">
        <v>85</v>
      </c>
      <c r="JTJ67" s="160">
        <v>215</v>
      </c>
      <c r="JTK67" s="160">
        <v>75</v>
      </c>
      <c r="JTL67" s="159">
        <v>150</v>
      </c>
      <c r="JTM67" s="161">
        <f>SUM(JTH67:JTL67)</f>
        <v>8675</v>
      </c>
      <c r="JTN67" s="159">
        <v>200</v>
      </c>
      <c r="JTO67" s="161">
        <f>SUM(JTM67:JTN67)</f>
        <v>8875</v>
      </c>
      <c r="JTP67" s="154" t="s">
        <v>106</v>
      </c>
      <c r="JTQ67" s="155">
        <v>45845</v>
      </c>
      <c r="JTR67" s="150" t="s">
        <v>60</v>
      </c>
      <c r="JTS67" s="210"/>
      <c r="JTT67" s="156" t="s">
        <v>132</v>
      </c>
      <c r="JTU67" s="208"/>
      <c r="JTV67" s="209"/>
      <c r="JTW67" s="150" t="s">
        <v>24</v>
      </c>
      <c r="JTX67" s="151">
        <v>8150</v>
      </c>
      <c r="JTY67" s="159">
        <v>85</v>
      </c>
      <c r="JTZ67" s="160">
        <v>215</v>
      </c>
      <c r="JUA67" s="160">
        <v>75</v>
      </c>
      <c r="JUB67" s="159">
        <v>150</v>
      </c>
      <c r="JUC67" s="161">
        <f>SUM(JTX67:JUB67)</f>
        <v>8675</v>
      </c>
      <c r="JUD67" s="159">
        <v>200</v>
      </c>
      <c r="JUE67" s="161">
        <f>SUM(JUC67:JUD67)</f>
        <v>8875</v>
      </c>
      <c r="JUF67" s="154" t="s">
        <v>106</v>
      </c>
      <c r="JUG67" s="155">
        <v>45845</v>
      </c>
      <c r="JUH67" s="150" t="s">
        <v>60</v>
      </c>
      <c r="JUI67" s="210"/>
      <c r="JUJ67" s="156" t="s">
        <v>132</v>
      </c>
      <c r="JUK67" s="208"/>
      <c r="JUL67" s="209"/>
      <c r="JUM67" s="150" t="s">
        <v>24</v>
      </c>
      <c r="JUN67" s="151">
        <v>8150</v>
      </c>
      <c r="JUO67" s="159">
        <v>85</v>
      </c>
      <c r="JUP67" s="160">
        <v>215</v>
      </c>
      <c r="JUQ67" s="160">
        <v>75</v>
      </c>
      <c r="JUR67" s="159">
        <v>150</v>
      </c>
      <c r="JUS67" s="161">
        <f>SUM(JUN67:JUR67)</f>
        <v>8675</v>
      </c>
      <c r="JUT67" s="159">
        <v>200</v>
      </c>
      <c r="JUU67" s="161">
        <f>SUM(JUS67:JUT67)</f>
        <v>8875</v>
      </c>
      <c r="JUV67" s="154" t="s">
        <v>106</v>
      </c>
      <c r="JUW67" s="155">
        <v>45845</v>
      </c>
      <c r="JUX67" s="150" t="s">
        <v>60</v>
      </c>
      <c r="JUY67" s="210"/>
      <c r="JUZ67" s="156" t="s">
        <v>132</v>
      </c>
      <c r="JVA67" s="208"/>
      <c r="JVB67" s="209"/>
      <c r="JVC67" s="150" t="s">
        <v>24</v>
      </c>
      <c r="JVD67" s="151">
        <v>8150</v>
      </c>
      <c r="JVE67" s="159">
        <v>85</v>
      </c>
      <c r="JVF67" s="160">
        <v>215</v>
      </c>
      <c r="JVG67" s="160">
        <v>75</v>
      </c>
      <c r="JVH67" s="159">
        <v>150</v>
      </c>
      <c r="JVI67" s="161">
        <f>SUM(JVD67:JVH67)</f>
        <v>8675</v>
      </c>
      <c r="JVJ67" s="159">
        <v>200</v>
      </c>
      <c r="JVK67" s="161">
        <f>SUM(JVI67:JVJ67)</f>
        <v>8875</v>
      </c>
      <c r="JVL67" s="154" t="s">
        <v>106</v>
      </c>
      <c r="JVM67" s="155">
        <v>45845</v>
      </c>
      <c r="JVN67" s="150" t="s">
        <v>60</v>
      </c>
      <c r="JVO67" s="210"/>
      <c r="JVP67" s="156" t="s">
        <v>132</v>
      </c>
      <c r="JVQ67" s="208"/>
      <c r="JVR67" s="209"/>
      <c r="JVS67" s="150" t="s">
        <v>24</v>
      </c>
      <c r="JVT67" s="151">
        <v>8150</v>
      </c>
      <c r="JVU67" s="159">
        <v>85</v>
      </c>
      <c r="JVV67" s="160">
        <v>215</v>
      </c>
      <c r="JVW67" s="160">
        <v>75</v>
      </c>
      <c r="JVX67" s="159">
        <v>150</v>
      </c>
      <c r="JVY67" s="161">
        <f>SUM(JVT67:JVX67)</f>
        <v>8675</v>
      </c>
      <c r="JVZ67" s="159">
        <v>200</v>
      </c>
      <c r="JWA67" s="161">
        <f>SUM(JVY67:JVZ67)</f>
        <v>8875</v>
      </c>
      <c r="JWB67" s="154" t="s">
        <v>106</v>
      </c>
      <c r="JWC67" s="155">
        <v>45845</v>
      </c>
      <c r="JWD67" s="150" t="s">
        <v>60</v>
      </c>
      <c r="JWE67" s="210"/>
      <c r="JWF67" s="156" t="s">
        <v>132</v>
      </c>
      <c r="JWG67" s="208"/>
      <c r="JWH67" s="209"/>
      <c r="JWI67" s="150" t="s">
        <v>24</v>
      </c>
      <c r="JWJ67" s="151">
        <v>8150</v>
      </c>
      <c r="JWK67" s="159">
        <v>85</v>
      </c>
      <c r="JWL67" s="160">
        <v>215</v>
      </c>
      <c r="JWM67" s="160">
        <v>75</v>
      </c>
      <c r="JWN67" s="159">
        <v>150</v>
      </c>
      <c r="JWO67" s="161">
        <f>SUM(JWJ67:JWN67)</f>
        <v>8675</v>
      </c>
      <c r="JWP67" s="159">
        <v>200</v>
      </c>
      <c r="JWQ67" s="161">
        <f>SUM(JWO67:JWP67)</f>
        <v>8875</v>
      </c>
      <c r="JWR67" s="154" t="s">
        <v>106</v>
      </c>
      <c r="JWS67" s="155">
        <v>45845</v>
      </c>
      <c r="JWT67" s="150" t="s">
        <v>60</v>
      </c>
      <c r="JWU67" s="210"/>
      <c r="JWV67" s="156" t="s">
        <v>132</v>
      </c>
      <c r="JWW67" s="208"/>
      <c r="JWX67" s="209"/>
      <c r="JWY67" s="150" t="s">
        <v>24</v>
      </c>
      <c r="JWZ67" s="151">
        <v>8150</v>
      </c>
      <c r="JXA67" s="159">
        <v>85</v>
      </c>
      <c r="JXB67" s="160">
        <v>215</v>
      </c>
      <c r="JXC67" s="160">
        <v>75</v>
      </c>
      <c r="JXD67" s="159">
        <v>150</v>
      </c>
      <c r="JXE67" s="161">
        <f>SUM(JWZ67:JXD67)</f>
        <v>8675</v>
      </c>
      <c r="JXF67" s="159">
        <v>200</v>
      </c>
      <c r="JXG67" s="161">
        <f>SUM(JXE67:JXF67)</f>
        <v>8875</v>
      </c>
      <c r="JXH67" s="154" t="s">
        <v>106</v>
      </c>
      <c r="JXI67" s="155">
        <v>45845</v>
      </c>
      <c r="JXJ67" s="150" t="s">
        <v>60</v>
      </c>
      <c r="JXK67" s="210"/>
      <c r="JXL67" s="156" t="s">
        <v>132</v>
      </c>
      <c r="JXM67" s="208"/>
      <c r="JXN67" s="209"/>
      <c r="JXO67" s="150" t="s">
        <v>24</v>
      </c>
      <c r="JXP67" s="151">
        <v>8150</v>
      </c>
      <c r="JXQ67" s="159">
        <v>85</v>
      </c>
      <c r="JXR67" s="160">
        <v>215</v>
      </c>
      <c r="JXS67" s="160">
        <v>75</v>
      </c>
      <c r="JXT67" s="159">
        <v>150</v>
      </c>
      <c r="JXU67" s="161">
        <f>SUM(JXP67:JXT67)</f>
        <v>8675</v>
      </c>
      <c r="JXV67" s="159">
        <v>200</v>
      </c>
      <c r="JXW67" s="161">
        <f>SUM(JXU67:JXV67)</f>
        <v>8875</v>
      </c>
      <c r="JXX67" s="154" t="s">
        <v>106</v>
      </c>
      <c r="JXY67" s="155">
        <v>45845</v>
      </c>
      <c r="JXZ67" s="150" t="s">
        <v>60</v>
      </c>
      <c r="JYA67" s="210"/>
      <c r="JYB67" s="156" t="s">
        <v>132</v>
      </c>
      <c r="JYC67" s="208"/>
      <c r="JYD67" s="209"/>
      <c r="JYE67" s="150" t="s">
        <v>24</v>
      </c>
      <c r="JYF67" s="151">
        <v>8150</v>
      </c>
      <c r="JYG67" s="159">
        <v>85</v>
      </c>
      <c r="JYH67" s="160">
        <v>215</v>
      </c>
      <c r="JYI67" s="160">
        <v>75</v>
      </c>
      <c r="JYJ67" s="159">
        <v>150</v>
      </c>
      <c r="JYK67" s="161">
        <f>SUM(JYF67:JYJ67)</f>
        <v>8675</v>
      </c>
      <c r="JYL67" s="159">
        <v>200</v>
      </c>
      <c r="JYM67" s="161">
        <f>SUM(JYK67:JYL67)</f>
        <v>8875</v>
      </c>
      <c r="JYN67" s="154" t="s">
        <v>106</v>
      </c>
      <c r="JYO67" s="155">
        <v>45845</v>
      </c>
      <c r="JYP67" s="150" t="s">
        <v>60</v>
      </c>
      <c r="JYQ67" s="210"/>
      <c r="JYR67" s="156" t="s">
        <v>132</v>
      </c>
      <c r="JYS67" s="208"/>
      <c r="JYT67" s="209"/>
      <c r="JYU67" s="150" t="s">
        <v>24</v>
      </c>
      <c r="JYV67" s="151">
        <v>8150</v>
      </c>
      <c r="JYW67" s="159">
        <v>85</v>
      </c>
      <c r="JYX67" s="160">
        <v>215</v>
      </c>
      <c r="JYY67" s="160">
        <v>75</v>
      </c>
      <c r="JYZ67" s="159">
        <v>150</v>
      </c>
      <c r="JZA67" s="161">
        <f>SUM(JYV67:JYZ67)</f>
        <v>8675</v>
      </c>
      <c r="JZB67" s="159">
        <v>200</v>
      </c>
      <c r="JZC67" s="161">
        <f>SUM(JZA67:JZB67)</f>
        <v>8875</v>
      </c>
      <c r="JZD67" s="154" t="s">
        <v>106</v>
      </c>
      <c r="JZE67" s="155">
        <v>45845</v>
      </c>
      <c r="JZF67" s="150" t="s">
        <v>60</v>
      </c>
      <c r="JZG67" s="210"/>
      <c r="JZH67" s="156" t="s">
        <v>132</v>
      </c>
      <c r="JZI67" s="208"/>
      <c r="JZJ67" s="209"/>
      <c r="JZK67" s="150" t="s">
        <v>24</v>
      </c>
      <c r="JZL67" s="151">
        <v>8150</v>
      </c>
      <c r="JZM67" s="159">
        <v>85</v>
      </c>
      <c r="JZN67" s="160">
        <v>215</v>
      </c>
      <c r="JZO67" s="160">
        <v>75</v>
      </c>
      <c r="JZP67" s="159">
        <v>150</v>
      </c>
      <c r="JZQ67" s="161">
        <f>SUM(JZL67:JZP67)</f>
        <v>8675</v>
      </c>
      <c r="JZR67" s="159">
        <v>200</v>
      </c>
      <c r="JZS67" s="161">
        <f>SUM(JZQ67:JZR67)</f>
        <v>8875</v>
      </c>
      <c r="JZT67" s="154" t="s">
        <v>106</v>
      </c>
      <c r="JZU67" s="155">
        <v>45845</v>
      </c>
      <c r="JZV67" s="150" t="s">
        <v>60</v>
      </c>
      <c r="JZW67" s="210"/>
      <c r="JZX67" s="156" t="s">
        <v>132</v>
      </c>
      <c r="JZY67" s="208"/>
      <c r="JZZ67" s="209"/>
      <c r="KAA67" s="150" t="s">
        <v>24</v>
      </c>
      <c r="KAB67" s="151">
        <v>8150</v>
      </c>
      <c r="KAC67" s="159">
        <v>85</v>
      </c>
      <c r="KAD67" s="160">
        <v>215</v>
      </c>
      <c r="KAE67" s="160">
        <v>75</v>
      </c>
      <c r="KAF67" s="159">
        <v>150</v>
      </c>
      <c r="KAG67" s="161">
        <f>SUM(KAB67:KAF67)</f>
        <v>8675</v>
      </c>
      <c r="KAH67" s="159">
        <v>200</v>
      </c>
      <c r="KAI67" s="161">
        <f>SUM(KAG67:KAH67)</f>
        <v>8875</v>
      </c>
      <c r="KAJ67" s="154" t="s">
        <v>106</v>
      </c>
      <c r="KAK67" s="155">
        <v>45845</v>
      </c>
      <c r="KAL67" s="150" t="s">
        <v>60</v>
      </c>
      <c r="KAM67" s="210"/>
      <c r="KAN67" s="156" t="s">
        <v>132</v>
      </c>
      <c r="KAO67" s="208"/>
      <c r="KAP67" s="209"/>
      <c r="KAQ67" s="150" t="s">
        <v>24</v>
      </c>
      <c r="KAR67" s="151">
        <v>8150</v>
      </c>
      <c r="KAS67" s="159">
        <v>85</v>
      </c>
      <c r="KAT67" s="160">
        <v>215</v>
      </c>
      <c r="KAU67" s="160">
        <v>75</v>
      </c>
      <c r="KAV67" s="159">
        <v>150</v>
      </c>
      <c r="KAW67" s="161">
        <f>SUM(KAR67:KAV67)</f>
        <v>8675</v>
      </c>
      <c r="KAX67" s="159">
        <v>200</v>
      </c>
      <c r="KAY67" s="161">
        <f>SUM(KAW67:KAX67)</f>
        <v>8875</v>
      </c>
      <c r="KAZ67" s="154" t="s">
        <v>106</v>
      </c>
      <c r="KBA67" s="155">
        <v>45845</v>
      </c>
      <c r="KBB67" s="150" t="s">
        <v>60</v>
      </c>
      <c r="KBC67" s="210"/>
      <c r="KBD67" s="156" t="s">
        <v>132</v>
      </c>
      <c r="KBE67" s="208"/>
      <c r="KBF67" s="209"/>
      <c r="KBG67" s="150" t="s">
        <v>24</v>
      </c>
      <c r="KBH67" s="151">
        <v>8150</v>
      </c>
      <c r="KBI67" s="159">
        <v>85</v>
      </c>
      <c r="KBJ67" s="160">
        <v>215</v>
      </c>
      <c r="KBK67" s="160">
        <v>75</v>
      </c>
      <c r="KBL67" s="159">
        <v>150</v>
      </c>
      <c r="KBM67" s="161">
        <f>SUM(KBH67:KBL67)</f>
        <v>8675</v>
      </c>
      <c r="KBN67" s="159">
        <v>200</v>
      </c>
      <c r="KBO67" s="161">
        <f>SUM(KBM67:KBN67)</f>
        <v>8875</v>
      </c>
      <c r="KBP67" s="154" t="s">
        <v>106</v>
      </c>
      <c r="KBQ67" s="155">
        <v>45845</v>
      </c>
      <c r="KBR67" s="150" t="s">
        <v>60</v>
      </c>
      <c r="KBS67" s="210"/>
      <c r="KBT67" s="156" t="s">
        <v>132</v>
      </c>
      <c r="KBU67" s="208"/>
      <c r="KBV67" s="209"/>
      <c r="KBW67" s="150" t="s">
        <v>24</v>
      </c>
      <c r="KBX67" s="151">
        <v>8150</v>
      </c>
      <c r="KBY67" s="159">
        <v>85</v>
      </c>
      <c r="KBZ67" s="160">
        <v>215</v>
      </c>
      <c r="KCA67" s="160">
        <v>75</v>
      </c>
      <c r="KCB67" s="159">
        <v>150</v>
      </c>
      <c r="KCC67" s="161">
        <f>SUM(KBX67:KCB67)</f>
        <v>8675</v>
      </c>
      <c r="KCD67" s="159">
        <v>200</v>
      </c>
      <c r="KCE67" s="161">
        <f>SUM(KCC67:KCD67)</f>
        <v>8875</v>
      </c>
      <c r="KCF67" s="154" t="s">
        <v>106</v>
      </c>
      <c r="KCG67" s="155">
        <v>45845</v>
      </c>
      <c r="KCH67" s="150" t="s">
        <v>60</v>
      </c>
      <c r="KCI67" s="210"/>
      <c r="KCJ67" s="156" t="s">
        <v>132</v>
      </c>
      <c r="KCK67" s="208"/>
      <c r="KCL67" s="209"/>
      <c r="KCM67" s="150" t="s">
        <v>24</v>
      </c>
      <c r="KCN67" s="151">
        <v>8150</v>
      </c>
      <c r="KCO67" s="159">
        <v>85</v>
      </c>
      <c r="KCP67" s="160">
        <v>215</v>
      </c>
      <c r="KCQ67" s="160">
        <v>75</v>
      </c>
      <c r="KCR67" s="159">
        <v>150</v>
      </c>
      <c r="KCS67" s="161">
        <f>SUM(KCN67:KCR67)</f>
        <v>8675</v>
      </c>
      <c r="KCT67" s="159">
        <v>200</v>
      </c>
      <c r="KCU67" s="161">
        <f>SUM(KCS67:KCT67)</f>
        <v>8875</v>
      </c>
      <c r="KCV67" s="154" t="s">
        <v>106</v>
      </c>
      <c r="KCW67" s="155">
        <v>45845</v>
      </c>
      <c r="KCX67" s="150" t="s">
        <v>60</v>
      </c>
      <c r="KCY67" s="210"/>
      <c r="KCZ67" s="156" t="s">
        <v>132</v>
      </c>
      <c r="KDA67" s="208"/>
      <c r="KDB67" s="209"/>
      <c r="KDC67" s="150" t="s">
        <v>24</v>
      </c>
      <c r="KDD67" s="151">
        <v>8150</v>
      </c>
      <c r="KDE67" s="159">
        <v>85</v>
      </c>
      <c r="KDF67" s="160">
        <v>215</v>
      </c>
      <c r="KDG67" s="160">
        <v>75</v>
      </c>
      <c r="KDH67" s="159">
        <v>150</v>
      </c>
      <c r="KDI67" s="161">
        <f>SUM(KDD67:KDH67)</f>
        <v>8675</v>
      </c>
      <c r="KDJ67" s="159">
        <v>200</v>
      </c>
      <c r="KDK67" s="161">
        <f>SUM(KDI67:KDJ67)</f>
        <v>8875</v>
      </c>
      <c r="KDL67" s="154" t="s">
        <v>106</v>
      </c>
      <c r="KDM67" s="155">
        <v>45845</v>
      </c>
      <c r="KDN67" s="150" t="s">
        <v>60</v>
      </c>
      <c r="KDO67" s="210"/>
      <c r="KDP67" s="156" t="s">
        <v>132</v>
      </c>
      <c r="KDQ67" s="208"/>
      <c r="KDR67" s="209"/>
      <c r="KDS67" s="150" t="s">
        <v>24</v>
      </c>
      <c r="KDT67" s="151">
        <v>8150</v>
      </c>
      <c r="KDU67" s="159">
        <v>85</v>
      </c>
      <c r="KDV67" s="160">
        <v>215</v>
      </c>
      <c r="KDW67" s="160">
        <v>75</v>
      </c>
      <c r="KDX67" s="159">
        <v>150</v>
      </c>
      <c r="KDY67" s="161">
        <f>SUM(KDT67:KDX67)</f>
        <v>8675</v>
      </c>
      <c r="KDZ67" s="159">
        <v>200</v>
      </c>
      <c r="KEA67" s="161">
        <f>SUM(KDY67:KDZ67)</f>
        <v>8875</v>
      </c>
      <c r="KEB67" s="154" t="s">
        <v>106</v>
      </c>
      <c r="KEC67" s="155">
        <v>45845</v>
      </c>
      <c r="KED67" s="150" t="s">
        <v>60</v>
      </c>
      <c r="KEE67" s="210"/>
      <c r="KEF67" s="156" t="s">
        <v>132</v>
      </c>
      <c r="KEG67" s="208"/>
      <c r="KEH67" s="209"/>
      <c r="KEI67" s="150" t="s">
        <v>24</v>
      </c>
      <c r="KEJ67" s="151">
        <v>8150</v>
      </c>
      <c r="KEK67" s="159">
        <v>85</v>
      </c>
      <c r="KEL67" s="160">
        <v>215</v>
      </c>
      <c r="KEM67" s="160">
        <v>75</v>
      </c>
      <c r="KEN67" s="159">
        <v>150</v>
      </c>
      <c r="KEO67" s="161">
        <f>SUM(KEJ67:KEN67)</f>
        <v>8675</v>
      </c>
      <c r="KEP67" s="159">
        <v>200</v>
      </c>
      <c r="KEQ67" s="161">
        <f>SUM(KEO67:KEP67)</f>
        <v>8875</v>
      </c>
      <c r="KER67" s="154" t="s">
        <v>106</v>
      </c>
      <c r="KES67" s="155">
        <v>45845</v>
      </c>
      <c r="KET67" s="150" t="s">
        <v>60</v>
      </c>
      <c r="KEU67" s="210"/>
      <c r="KEV67" s="156" t="s">
        <v>132</v>
      </c>
      <c r="KEW67" s="208"/>
      <c r="KEX67" s="209"/>
      <c r="KEY67" s="150" t="s">
        <v>24</v>
      </c>
      <c r="KEZ67" s="151">
        <v>8150</v>
      </c>
      <c r="KFA67" s="159">
        <v>85</v>
      </c>
      <c r="KFB67" s="160">
        <v>215</v>
      </c>
      <c r="KFC67" s="160">
        <v>75</v>
      </c>
      <c r="KFD67" s="159">
        <v>150</v>
      </c>
      <c r="KFE67" s="161">
        <f>SUM(KEZ67:KFD67)</f>
        <v>8675</v>
      </c>
      <c r="KFF67" s="159">
        <v>200</v>
      </c>
      <c r="KFG67" s="161">
        <f>SUM(KFE67:KFF67)</f>
        <v>8875</v>
      </c>
      <c r="KFH67" s="154" t="s">
        <v>106</v>
      </c>
      <c r="KFI67" s="155">
        <v>45845</v>
      </c>
      <c r="KFJ67" s="150" t="s">
        <v>60</v>
      </c>
      <c r="KFK67" s="210"/>
      <c r="KFL67" s="156" t="s">
        <v>132</v>
      </c>
      <c r="KFM67" s="208"/>
      <c r="KFN67" s="209"/>
      <c r="KFO67" s="150" t="s">
        <v>24</v>
      </c>
      <c r="KFP67" s="151">
        <v>8150</v>
      </c>
      <c r="KFQ67" s="159">
        <v>85</v>
      </c>
      <c r="KFR67" s="160">
        <v>215</v>
      </c>
      <c r="KFS67" s="160">
        <v>75</v>
      </c>
      <c r="KFT67" s="159">
        <v>150</v>
      </c>
      <c r="KFU67" s="161">
        <f>SUM(KFP67:KFT67)</f>
        <v>8675</v>
      </c>
      <c r="KFV67" s="159">
        <v>200</v>
      </c>
      <c r="KFW67" s="161">
        <f>SUM(KFU67:KFV67)</f>
        <v>8875</v>
      </c>
      <c r="KFX67" s="154" t="s">
        <v>106</v>
      </c>
      <c r="KFY67" s="155">
        <v>45845</v>
      </c>
      <c r="KFZ67" s="150" t="s">
        <v>60</v>
      </c>
      <c r="KGA67" s="210"/>
      <c r="KGB67" s="156" t="s">
        <v>132</v>
      </c>
      <c r="KGC67" s="208"/>
      <c r="KGD67" s="209"/>
      <c r="KGE67" s="150" t="s">
        <v>24</v>
      </c>
      <c r="KGF67" s="151">
        <v>8150</v>
      </c>
      <c r="KGG67" s="159">
        <v>85</v>
      </c>
      <c r="KGH67" s="160">
        <v>215</v>
      </c>
      <c r="KGI67" s="160">
        <v>75</v>
      </c>
      <c r="KGJ67" s="159">
        <v>150</v>
      </c>
      <c r="KGK67" s="161">
        <f>SUM(KGF67:KGJ67)</f>
        <v>8675</v>
      </c>
      <c r="KGL67" s="159">
        <v>200</v>
      </c>
      <c r="KGM67" s="161">
        <f>SUM(KGK67:KGL67)</f>
        <v>8875</v>
      </c>
      <c r="KGN67" s="154" t="s">
        <v>106</v>
      </c>
      <c r="KGO67" s="155">
        <v>45845</v>
      </c>
      <c r="KGP67" s="150" t="s">
        <v>60</v>
      </c>
      <c r="KGQ67" s="210"/>
      <c r="KGR67" s="156" t="s">
        <v>132</v>
      </c>
      <c r="KGS67" s="208"/>
      <c r="KGT67" s="209"/>
      <c r="KGU67" s="150" t="s">
        <v>24</v>
      </c>
      <c r="KGV67" s="151">
        <v>8150</v>
      </c>
      <c r="KGW67" s="159">
        <v>85</v>
      </c>
      <c r="KGX67" s="160">
        <v>215</v>
      </c>
      <c r="KGY67" s="160">
        <v>75</v>
      </c>
      <c r="KGZ67" s="159">
        <v>150</v>
      </c>
      <c r="KHA67" s="161">
        <f>SUM(KGV67:KGZ67)</f>
        <v>8675</v>
      </c>
      <c r="KHB67" s="159">
        <v>200</v>
      </c>
      <c r="KHC67" s="161">
        <f>SUM(KHA67:KHB67)</f>
        <v>8875</v>
      </c>
      <c r="KHD67" s="154" t="s">
        <v>106</v>
      </c>
      <c r="KHE67" s="155">
        <v>45845</v>
      </c>
      <c r="KHF67" s="150" t="s">
        <v>60</v>
      </c>
      <c r="KHG67" s="210"/>
      <c r="KHH67" s="156" t="s">
        <v>132</v>
      </c>
      <c r="KHI67" s="208"/>
      <c r="KHJ67" s="209"/>
      <c r="KHK67" s="150" t="s">
        <v>24</v>
      </c>
      <c r="KHL67" s="151">
        <v>8150</v>
      </c>
      <c r="KHM67" s="159">
        <v>85</v>
      </c>
      <c r="KHN67" s="160">
        <v>215</v>
      </c>
      <c r="KHO67" s="160">
        <v>75</v>
      </c>
      <c r="KHP67" s="159">
        <v>150</v>
      </c>
      <c r="KHQ67" s="161">
        <f>SUM(KHL67:KHP67)</f>
        <v>8675</v>
      </c>
      <c r="KHR67" s="159">
        <v>200</v>
      </c>
      <c r="KHS67" s="161">
        <f>SUM(KHQ67:KHR67)</f>
        <v>8875</v>
      </c>
      <c r="KHT67" s="154" t="s">
        <v>106</v>
      </c>
      <c r="KHU67" s="155">
        <v>45845</v>
      </c>
      <c r="KHV67" s="150" t="s">
        <v>60</v>
      </c>
      <c r="KHW67" s="210"/>
      <c r="KHX67" s="156" t="s">
        <v>132</v>
      </c>
      <c r="KHY67" s="208"/>
      <c r="KHZ67" s="209"/>
      <c r="KIA67" s="150" t="s">
        <v>24</v>
      </c>
      <c r="KIB67" s="151">
        <v>8150</v>
      </c>
      <c r="KIC67" s="159">
        <v>85</v>
      </c>
      <c r="KID67" s="160">
        <v>215</v>
      </c>
      <c r="KIE67" s="160">
        <v>75</v>
      </c>
      <c r="KIF67" s="159">
        <v>150</v>
      </c>
      <c r="KIG67" s="161">
        <f>SUM(KIB67:KIF67)</f>
        <v>8675</v>
      </c>
      <c r="KIH67" s="159">
        <v>200</v>
      </c>
      <c r="KII67" s="161">
        <f>SUM(KIG67:KIH67)</f>
        <v>8875</v>
      </c>
      <c r="KIJ67" s="154" t="s">
        <v>106</v>
      </c>
      <c r="KIK67" s="155">
        <v>45845</v>
      </c>
      <c r="KIL67" s="150" t="s">
        <v>60</v>
      </c>
      <c r="KIM67" s="210"/>
      <c r="KIN67" s="156" t="s">
        <v>132</v>
      </c>
      <c r="KIO67" s="208"/>
      <c r="KIP67" s="209"/>
      <c r="KIQ67" s="150" t="s">
        <v>24</v>
      </c>
      <c r="KIR67" s="151">
        <v>8150</v>
      </c>
      <c r="KIS67" s="159">
        <v>85</v>
      </c>
      <c r="KIT67" s="160">
        <v>215</v>
      </c>
      <c r="KIU67" s="160">
        <v>75</v>
      </c>
      <c r="KIV67" s="159">
        <v>150</v>
      </c>
      <c r="KIW67" s="161">
        <f>SUM(KIR67:KIV67)</f>
        <v>8675</v>
      </c>
      <c r="KIX67" s="159">
        <v>200</v>
      </c>
      <c r="KIY67" s="161">
        <f>SUM(KIW67:KIX67)</f>
        <v>8875</v>
      </c>
      <c r="KIZ67" s="154" t="s">
        <v>106</v>
      </c>
      <c r="KJA67" s="155">
        <v>45845</v>
      </c>
      <c r="KJB67" s="150" t="s">
        <v>60</v>
      </c>
      <c r="KJC67" s="210"/>
      <c r="KJD67" s="156" t="s">
        <v>132</v>
      </c>
      <c r="KJE67" s="208"/>
      <c r="KJF67" s="209"/>
      <c r="KJG67" s="150" t="s">
        <v>24</v>
      </c>
      <c r="KJH67" s="151">
        <v>8150</v>
      </c>
      <c r="KJI67" s="159">
        <v>85</v>
      </c>
      <c r="KJJ67" s="160">
        <v>215</v>
      </c>
      <c r="KJK67" s="160">
        <v>75</v>
      </c>
      <c r="KJL67" s="159">
        <v>150</v>
      </c>
      <c r="KJM67" s="161">
        <f>SUM(KJH67:KJL67)</f>
        <v>8675</v>
      </c>
      <c r="KJN67" s="159">
        <v>200</v>
      </c>
      <c r="KJO67" s="161">
        <f>SUM(KJM67:KJN67)</f>
        <v>8875</v>
      </c>
      <c r="KJP67" s="154" t="s">
        <v>106</v>
      </c>
      <c r="KJQ67" s="155">
        <v>45845</v>
      </c>
      <c r="KJR67" s="150" t="s">
        <v>60</v>
      </c>
      <c r="KJS67" s="210"/>
      <c r="KJT67" s="156" t="s">
        <v>132</v>
      </c>
      <c r="KJU67" s="208"/>
      <c r="KJV67" s="209"/>
      <c r="KJW67" s="150" t="s">
        <v>24</v>
      </c>
      <c r="KJX67" s="151">
        <v>8150</v>
      </c>
      <c r="KJY67" s="159">
        <v>85</v>
      </c>
      <c r="KJZ67" s="160">
        <v>215</v>
      </c>
      <c r="KKA67" s="160">
        <v>75</v>
      </c>
      <c r="KKB67" s="159">
        <v>150</v>
      </c>
      <c r="KKC67" s="161">
        <f>SUM(KJX67:KKB67)</f>
        <v>8675</v>
      </c>
      <c r="KKD67" s="159">
        <v>200</v>
      </c>
      <c r="KKE67" s="161">
        <f>SUM(KKC67:KKD67)</f>
        <v>8875</v>
      </c>
      <c r="KKF67" s="154" t="s">
        <v>106</v>
      </c>
      <c r="KKG67" s="155">
        <v>45845</v>
      </c>
      <c r="KKH67" s="150" t="s">
        <v>60</v>
      </c>
      <c r="KKI67" s="210"/>
      <c r="KKJ67" s="156" t="s">
        <v>132</v>
      </c>
      <c r="KKK67" s="208"/>
      <c r="KKL67" s="209"/>
      <c r="KKM67" s="150" t="s">
        <v>24</v>
      </c>
      <c r="KKN67" s="151">
        <v>8150</v>
      </c>
      <c r="KKO67" s="159">
        <v>85</v>
      </c>
      <c r="KKP67" s="160">
        <v>215</v>
      </c>
      <c r="KKQ67" s="160">
        <v>75</v>
      </c>
      <c r="KKR67" s="159">
        <v>150</v>
      </c>
      <c r="KKS67" s="161">
        <f>SUM(KKN67:KKR67)</f>
        <v>8675</v>
      </c>
      <c r="KKT67" s="159">
        <v>200</v>
      </c>
      <c r="KKU67" s="161">
        <f>SUM(KKS67:KKT67)</f>
        <v>8875</v>
      </c>
      <c r="KKV67" s="154" t="s">
        <v>106</v>
      </c>
      <c r="KKW67" s="155">
        <v>45845</v>
      </c>
      <c r="KKX67" s="150" t="s">
        <v>60</v>
      </c>
      <c r="KKY67" s="210"/>
      <c r="KKZ67" s="156" t="s">
        <v>132</v>
      </c>
      <c r="KLA67" s="208"/>
      <c r="KLB67" s="209"/>
      <c r="KLC67" s="150" t="s">
        <v>24</v>
      </c>
      <c r="KLD67" s="151">
        <v>8150</v>
      </c>
      <c r="KLE67" s="159">
        <v>85</v>
      </c>
      <c r="KLF67" s="160">
        <v>215</v>
      </c>
      <c r="KLG67" s="160">
        <v>75</v>
      </c>
      <c r="KLH67" s="159">
        <v>150</v>
      </c>
      <c r="KLI67" s="161">
        <f>SUM(KLD67:KLH67)</f>
        <v>8675</v>
      </c>
      <c r="KLJ67" s="159">
        <v>200</v>
      </c>
      <c r="KLK67" s="161">
        <f>SUM(KLI67:KLJ67)</f>
        <v>8875</v>
      </c>
      <c r="KLL67" s="154" t="s">
        <v>106</v>
      </c>
      <c r="KLM67" s="155">
        <v>45845</v>
      </c>
      <c r="KLN67" s="150" t="s">
        <v>60</v>
      </c>
      <c r="KLO67" s="210"/>
      <c r="KLP67" s="156" t="s">
        <v>132</v>
      </c>
      <c r="KLQ67" s="208"/>
      <c r="KLR67" s="209"/>
      <c r="KLS67" s="150" t="s">
        <v>24</v>
      </c>
      <c r="KLT67" s="151">
        <v>8150</v>
      </c>
      <c r="KLU67" s="159">
        <v>85</v>
      </c>
      <c r="KLV67" s="160">
        <v>215</v>
      </c>
      <c r="KLW67" s="160">
        <v>75</v>
      </c>
      <c r="KLX67" s="159">
        <v>150</v>
      </c>
      <c r="KLY67" s="161">
        <f>SUM(KLT67:KLX67)</f>
        <v>8675</v>
      </c>
      <c r="KLZ67" s="159">
        <v>200</v>
      </c>
      <c r="KMA67" s="161">
        <f>SUM(KLY67:KLZ67)</f>
        <v>8875</v>
      </c>
      <c r="KMB67" s="154" t="s">
        <v>106</v>
      </c>
      <c r="KMC67" s="155">
        <v>45845</v>
      </c>
      <c r="KMD67" s="150" t="s">
        <v>60</v>
      </c>
      <c r="KME67" s="210"/>
      <c r="KMF67" s="156" t="s">
        <v>132</v>
      </c>
      <c r="KMG67" s="208"/>
      <c r="KMH67" s="209"/>
      <c r="KMI67" s="150" t="s">
        <v>24</v>
      </c>
      <c r="KMJ67" s="151">
        <v>8150</v>
      </c>
      <c r="KMK67" s="159">
        <v>85</v>
      </c>
      <c r="KML67" s="160">
        <v>215</v>
      </c>
      <c r="KMM67" s="160">
        <v>75</v>
      </c>
      <c r="KMN67" s="159">
        <v>150</v>
      </c>
      <c r="KMO67" s="161">
        <f>SUM(KMJ67:KMN67)</f>
        <v>8675</v>
      </c>
      <c r="KMP67" s="159">
        <v>200</v>
      </c>
      <c r="KMQ67" s="161">
        <f>SUM(KMO67:KMP67)</f>
        <v>8875</v>
      </c>
      <c r="KMR67" s="154" t="s">
        <v>106</v>
      </c>
      <c r="KMS67" s="155">
        <v>45845</v>
      </c>
      <c r="KMT67" s="150" t="s">
        <v>60</v>
      </c>
      <c r="KMU67" s="210"/>
      <c r="KMV67" s="156" t="s">
        <v>132</v>
      </c>
      <c r="KMW67" s="208"/>
      <c r="KMX67" s="209"/>
      <c r="KMY67" s="150" t="s">
        <v>24</v>
      </c>
      <c r="KMZ67" s="151">
        <v>8150</v>
      </c>
      <c r="KNA67" s="159">
        <v>85</v>
      </c>
      <c r="KNB67" s="160">
        <v>215</v>
      </c>
      <c r="KNC67" s="160">
        <v>75</v>
      </c>
      <c r="KND67" s="159">
        <v>150</v>
      </c>
      <c r="KNE67" s="161">
        <f>SUM(KMZ67:KND67)</f>
        <v>8675</v>
      </c>
      <c r="KNF67" s="159">
        <v>200</v>
      </c>
      <c r="KNG67" s="161">
        <f>SUM(KNE67:KNF67)</f>
        <v>8875</v>
      </c>
      <c r="KNH67" s="154" t="s">
        <v>106</v>
      </c>
      <c r="KNI67" s="155">
        <v>45845</v>
      </c>
      <c r="KNJ67" s="150" t="s">
        <v>60</v>
      </c>
      <c r="KNK67" s="210"/>
      <c r="KNL67" s="156" t="s">
        <v>132</v>
      </c>
      <c r="KNM67" s="208"/>
      <c r="KNN67" s="209"/>
      <c r="KNO67" s="150" t="s">
        <v>24</v>
      </c>
      <c r="KNP67" s="151">
        <v>8150</v>
      </c>
      <c r="KNQ67" s="159">
        <v>85</v>
      </c>
      <c r="KNR67" s="160">
        <v>215</v>
      </c>
      <c r="KNS67" s="160">
        <v>75</v>
      </c>
      <c r="KNT67" s="159">
        <v>150</v>
      </c>
      <c r="KNU67" s="161">
        <f>SUM(KNP67:KNT67)</f>
        <v>8675</v>
      </c>
      <c r="KNV67" s="159">
        <v>200</v>
      </c>
      <c r="KNW67" s="161">
        <f>SUM(KNU67:KNV67)</f>
        <v>8875</v>
      </c>
      <c r="KNX67" s="154" t="s">
        <v>106</v>
      </c>
      <c r="KNY67" s="155">
        <v>45845</v>
      </c>
      <c r="KNZ67" s="150" t="s">
        <v>60</v>
      </c>
      <c r="KOA67" s="210"/>
      <c r="KOB67" s="156" t="s">
        <v>132</v>
      </c>
      <c r="KOC67" s="208"/>
      <c r="KOD67" s="209"/>
      <c r="KOE67" s="150" t="s">
        <v>24</v>
      </c>
      <c r="KOF67" s="151">
        <v>8150</v>
      </c>
      <c r="KOG67" s="159">
        <v>85</v>
      </c>
      <c r="KOH67" s="160">
        <v>215</v>
      </c>
      <c r="KOI67" s="160">
        <v>75</v>
      </c>
      <c r="KOJ67" s="159">
        <v>150</v>
      </c>
      <c r="KOK67" s="161">
        <f>SUM(KOF67:KOJ67)</f>
        <v>8675</v>
      </c>
      <c r="KOL67" s="159">
        <v>200</v>
      </c>
      <c r="KOM67" s="161">
        <f>SUM(KOK67:KOL67)</f>
        <v>8875</v>
      </c>
      <c r="KON67" s="154" t="s">
        <v>106</v>
      </c>
      <c r="KOO67" s="155">
        <v>45845</v>
      </c>
      <c r="KOP67" s="150" t="s">
        <v>60</v>
      </c>
      <c r="KOQ67" s="210"/>
      <c r="KOR67" s="156" t="s">
        <v>132</v>
      </c>
      <c r="KOS67" s="208"/>
      <c r="KOT67" s="209"/>
      <c r="KOU67" s="150" t="s">
        <v>24</v>
      </c>
      <c r="KOV67" s="151">
        <v>8150</v>
      </c>
      <c r="KOW67" s="159">
        <v>85</v>
      </c>
      <c r="KOX67" s="160">
        <v>215</v>
      </c>
      <c r="KOY67" s="160">
        <v>75</v>
      </c>
      <c r="KOZ67" s="159">
        <v>150</v>
      </c>
      <c r="KPA67" s="161">
        <f>SUM(KOV67:KOZ67)</f>
        <v>8675</v>
      </c>
      <c r="KPB67" s="159">
        <v>200</v>
      </c>
      <c r="KPC67" s="161">
        <f>SUM(KPA67:KPB67)</f>
        <v>8875</v>
      </c>
      <c r="KPD67" s="154" t="s">
        <v>106</v>
      </c>
      <c r="KPE67" s="155">
        <v>45845</v>
      </c>
      <c r="KPF67" s="150" t="s">
        <v>60</v>
      </c>
      <c r="KPG67" s="210"/>
      <c r="KPH67" s="156" t="s">
        <v>132</v>
      </c>
      <c r="KPI67" s="208"/>
      <c r="KPJ67" s="209"/>
      <c r="KPK67" s="150" t="s">
        <v>24</v>
      </c>
      <c r="KPL67" s="151">
        <v>8150</v>
      </c>
      <c r="KPM67" s="159">
        <v>85</v>
      </c>
      <c r="KPN67" s="160">
        <v>215</v>
      </c>
      <c r="KPO67" s="160">
        <v>75</v>
      </c>
      <c r="KPP67" s="159">
        <v>150</v>
      </c>
      <c r="KPQ67" s="161">
        <f>SUM(KPL67:KPP67)</f>
        <v>8675</v>
      </c>
      <c r="KPR67" s="159">
        <v>200</v>
      </c>
      <c r="KPS67" s="161">
        <f>SUM(KPQ67:KPR67)</f>
        <v>8875</v>
      </c>
      <c r="KPT67" s="154" t="s">
        <v>106</v>
      </c>
      <c r="KPU67" s="155">
        <v>45845</v>
      </c>
      <c r="KPV67" s="150" t="s">
        <v>60</v>
      </c>
      <c r="KPW67" s="210"/>
      <c r="KPX67" s="156" t="s">
        <v>132</v>
      </c>
      <c r="KPY67" s="208"/>
      <c r="KPZ67" s="209"/>
      <c r="KQA67" s="150" t="s">
        <v>24</v>
      </c>
      <c r="KQB67" s="151">
        <v>8150</v>
      </c>
      <c r="KQC67" s="159">
        <v>85</v>
      </c>
      <c r="KQD67" s="160">
        <v>215</v>
      </c>
      <c r="KQE67" s="160">
        <v>75</v>
      </c>
      <c r="KQF67" s="159">
        <v>150</v>
      </c>
      <c r="KQG67" s="161">
        <f>SUM(KQB67:KQF67)</f>
        <v>8675</v>
      </c>
      <c r="KQH67" s="159">
        <v>200</v>
      </c>
      <c r="KQI67" s="161">
        <f>SUM(KQG67:KQH67)</f>
        <v>8875</v>
      </c>
      <c r="KQJ67" s="154" t="s">
        <v>106</v>
      </c>
      <c r="KQK67" s="155">
        <v>45845</v>
      </c>
      <c r="KQL67" s="150" t="s">
        <v>60</v>
      </c>
      <c r="KQM67" s="210"/>
      <c r="KQN67" s="156" t="s">
        <v>132</v>
      </c>
      <c r="KQO67" s="208"/>
      <c r="KQP67" s="209"/>
      <c r="KQQ67" s="150" t="s">
        <v>24</v>
      </c>
      <c r="KQR67" s="151">
        <v>8150</v>
      </c>
      <c r="KQS67" s="159">
        <v>85</v>
      </c>
      <c r="KQT67" s="160">
        <v>215</v>
      </c>
      <c r="KQU67" s="160">
        <v>75</v>
      </c>
      <c r="KQV67" s="159">
        <v>150</v>
      </c>
      <c r="KQW67" s="161">
        <f>SUM(KQR67:KQV67)</f>
        <v>8675</v>
      </c>
      <c r="KQX67" s="159">
        <v>200</v>
      </c>
      <c r="KQY67" s="161">
        <f>SUM(KQW67:KQX67)</f>
        <v>8875</v>
      </c>
      <c r="KQZ67" s="154" t="s">
        <v>106</v>
      </c>
      <c r="KRA67" s="155">
        <v>45845</v>
      </c>
      <c r="KRB67" s="150" t="s">
        <v>60</v>
      </c>
      <c r="KRC67" s="210"/>
      <c r="KRD67" s="156" t="s">
        <v>132</v>
      </c>
      <c r="KRE67" s="208"/>
      <c r="KRF67" s="209"/>
      <c r="KRG67" s="150" t="s">
        <v>24</v>
      </c>
      <c r="KRH67" s="151">
        <v>8150</v>
      </c>
      <c r="KRI67" s="159">
        <v>85</v>
      </c>
      <c r="KRJ67" s="160">
        <v>215</v>
      </c>
      <c r="KRK67" s="160">
        <v>75</v>
      </c>
      <c r="KRL67" s="159">
        <v>150</v>
      </c>
      <c r="KRM67" s="161">
        <f>SUM(KRH67:KRL67)</f>
        <v>8675</v>
      </c>
      <c r="KRN67" s="159">
        <v>200</v>
      </c>
      <c r="KRO67" s="161">
        <f>SUM(KRM67:KRN67)</f>
        <v>8875</v>
      </c>
      <c r="KRP67" s="154" t="s">
        <v>106</v>
      </c>
      <c r="KRQ67" s="155">
        <v>45845</v>
      </c>
      <c r="KRR67" s="150" t="s">
        <v>60</v>
      </c>
      <c r="KRS67" s="210"/>
      <c r="KRT67" s="156" t="s">
        <v>132</v>
      </c>
      <c r="KRU67" s="208"/>
      <c r="KRV67" s="209"/>
      <c r="KRW67" s="150" t="s">
        <v>24</v>
      </c>
      <c r="KRX67" s="151">
        <v>8150</v>
      </c>
      <c r="KRY67" s="159">
        <v>85</v>
      </c>
      <c r="KRZ67" s="160">
        <v>215</v>
      </c>
      <c r="KSA67" s="160">
        <v>75</v>
      </c>
      <c r="KSB67" s="159">
        <v>150</v>
      </c>
      <c r="KSC67" s="161">
        <f>SUM(KRX67:KSB67)</f>
        <v>8675</v>
      </c>
      <c r="KSD67" s="159">
        <v>200</v>
      </c>
      <c r="KSE67" s="161">
        <f>SUM(KSC67:KSD67)</f>
        <v>8875</v>
      </c>
      <c r="KSF67" s="154" t="s">
        <v>106</v>
      </c>
      <c r="KSG67" s="155">
        <v>45845</v>
      </c>
      <c r="KSH67" s="150" t="s">
        <v>60</v>
      </c>
      <c r="KSI67" s="210"/>
      <c r="KSJ67" s="156" t="s">
        <v>132</v>
      </c>
      <c r="KSK67" s="208"/>
      <c r="KSL67" s="209"/>
      <c r="KSM67" s="150" t="s">
        <v>24</v>
      </c>
      <c r="KSN67" s="151">
        <v>8150</v>
      </c>
      <c r="KSO67" s="159">
        <v>85</v>
      </c>
      <c r="KSP67" s="160">
        <v>215</v>
      </c>
      <c r="KSQ67" s="160">
        <v>75</v>
      </c>
      <c r="KSR67" s="159">
        <v>150</v>
      </c>
      <c r="KSS67" s="161">
        <f>SUM(KSN67:KSR67)</f>
        <v>8675</v>
      </c>
      <c r="KST67" s="159">
        <v>200</v>
      </c>
      <c r="KSU67" s="161">
        <f>SUM(KSS67:KST67)</f>
        <v>8875</v>
      </c>
      <c r="KSV67" s="154" t="s">
        <v>106</v>
      </c>
      <c r="KSW67" s="155">
        <v>45845</v>
      </c>
      <c r="KSX67" s="150" t="s">
        <v>60</v>
      </c>
      <c r="KSY67" s="210"/>
      <c r="KSZ67" s="156" t="s">
        <v>132</v>
      </c>
      <c r="KTA67" s="208"/>
      <c r="KTB67" s="209"/>
      <c r="KTC67" s="150" t="s">
        <v>24</v>
      </c>
      <c r="KTD67" s="151">
        <v>8150</v>
      </c>
      <c r="KTE67" s="159">
        <v>85</v>
      </c>
      <c r="KTF67" s="160">
        <v>215</v>
      </c>
      <c r="KTG67" s="160">
        <v>75</v>
      </c>
      <c r="KTH67" s="159">
        <v>150</v>
      </c>
      <c r="KTI67" s="161">
        <f>SUM(KTD67:KTH67)</f>
        <v>8675</v>
      </c>
      <c r="KTJ67" s="159">
        <v>200</v>
      </c>
      <c r="KTK67" s="161">
        <f>SUM(KTI67:KTJ67)</f>
        <v>8875</v>
      </c>
      <c r="KTL67" s="154" t="s">
        <v>106</v>
      </c>
      <c r="KTM67" s="155">
        <v>45845</v>
      </c>
      <c r="KTN67" s="150" t="s">
        <v>60</v>
      </c>
      <c r="KTO67" s="210"/>
      <c r="KTP67" s="156" t="s">
        <v>132</v>
      </c>
      <c r="KTQ67" s="208"/>
      <c r="KTR67" s="209"/>
      <c r="KTS67" s="150" t="s">
        <v>24</v>
      </c>
      <c r="KTT67" s="151">
        <v>8150</v>
      </c>
      <c r="KTU67" s="159">
        <v>85</v>
      </c>
      <c r="KTV67" s="160">
        <v>215</v>
      </c>
      <c r="KTW67" s="160">
        <v>75</v>
      </c>
      <c r="KTX67" s="159">
        <v>150</v>
      </c>
      <c r="KTY67" s="161">
        <f>SUM(KTT67:KTX67)</f>
        <v>8675</v>
      </c>
      <c r="KTZ67" s="159">
        <v>200</v>
      </c>
      <c r="KUA67" s="161">
        <f>SUM(KTY67:KTZ67)</f>
        <v>8875</v>
      </c>
      <c r="KUB67" s="154" t="s">
        <v>106</v>
      </c>
      <c r="KUC67" s="155">
        <v>45845</v>
      </c>
      <c r="KUD67" s="150" t="s">
        <v>60</v>
      </c>
      <c r="KUE67" s="210"/>
      <c r="KUF67" s="156" t="s">
        <v>132</v>
      </c>
      <c r="KUG67" s="208"/>
      <c r="KUH67" s="209"/>
      <c r="KUI67" s="150" t="s">
        <v>24</v>
      </c>
      <c r="KUJ67" s="151">
        <v>8150</v>
      </c>
      <c r="KUK67" s="159">
        <v>85</v>
      </c>
      <c r="KUL67" s="160">
        <v>215</v>
      </c>
      <c r="KUM67" s="160">
        <v>75</v>
      </c>
      <c r="KUN67" s="159">
        <v>150</v>
      </c>
      <c r="KUO67" s="161">
        <f>SUM(KUJ67:KUN67)</f>
        <v>8675</v>
      </c>
      <c r="KUP67" s="159">
        <v>200</v>
      </c>
      <c r="KUQ67" s="161">
        <f>SUM(KUO67:KUP67)</f>
        <v>8875</v>
      </c>
      <c r="KUR67" s="154" t="s">
        <v>106</v>
      </c>
      <c r="KUS67" s="155">
        <v>45845</v>
      </c>
      <c r="KUT67" s="150" t="s">
        <v>60</v>
      </c>
      <c r="KUU67" s="210"/>
      <c r="KUV67" s="156" t="s">
        <v>132</v>
      </c>
      <c r="KUW67" s="208"/>
      <c r="KUX67" s="209"/>
      <c r="KUY67" s="150" t="s">
        <v>24</v>
      </c>
      <c r="KUZ67" s="151">
        <v>8150</v>
      </c>
      <c r="KVA67" s="159">
        <v>85</v>
      </c>
      <c r="KVB67" s="160">
        <v>215</v>
      </c>
      <c r="KVC67" s="160">
        <v>75</v>
      </c>
      <c r="KVD67" s="159">
        <v>150</v>
      </c>
      <c r="KVE67" s="161">
        <f>SUM(KUZ67:KVD67)</f>
        <v>8675</v>
      </c>
      <c r="KVF67" s="159">
        <v>200</v>
      </c>
      <c r="KVG67" s="161">
        <f>SUM(KVE67:KVF67)</f>
        <v>8875</v>
      </c>
      <c r="KVH67" s="154" t="s">
        <v>106</v>
      </c>
      <c r="KVI67" s="155">
        <v>45845</v>
      </c>
      <c r="KVJ67" s="150" t="s">
        <v>60</v>
      </c>
      <c r="KVK67" s="210"/>
      <c r="KVL67" s="156" t="s">
        <v>132</v>
      </c>
      <c r="KVM67" s="208"/>
      <c r="KVN67" s="209"/>
      <c r="KVO67" s="150" t="s">
        <v>24</v>
      </c>
      <c r="KVP67" s="151">
        <v>8150</v>
      </c>
      <c r="KVQ67" s="159">
        <v>85</v>
      </c>
      <c r="KVR67" s="160">
        <v>215</v>
      </c>
      <c r="KVS67" s="160">
        <v>75</v>
      </c>
      <c r="KVT67" s="159">
        <v>150</v>
      </c>
      <c r="KVU67" s="161">
        <f>SUM(KVP67:KVT67)</f>
        <v>8675</v>
      </c>
      <c r="KVV67" s="159">
        <v>200</v>
      </c>
      <c r="KVW67" s="161">
        <f>SUM(KVU67:KVV67)</f>
        <v>8875</v>
      </c>
      <c r="KVX67" s="154" t="s">
        <v>106</v>
      </c>
      <c r="KVY67" s="155">
        <v>45845</v>
      </c>
      <c r="KVZ67" s="150" t="s">
        <v>60</v>
      </c>
      <c r="KWA67" s="210"/>
      <c r="KWB67" s="156" t="s">
        <v>132</v>
      </c>
      <c r="KWC67" s="208"/>
      <c r="KWD67" s="209"/>
      <c r="KWE67" s="150" t="s">
        <v>24</v>
      </c>
      <c r="KWF67" s="151">
        <v>8150</v>
      </c>
      <c r="KWG67" s="159">
        <v>85</v>
      </c>
      <c r="KWH67" s="160">
        <v>215</v>
      </c>
      <c r="KWI67" s="160">
        <v>75</v>
      </c>
      <c r="KWJ67" s="159">
        <v>150</v>
      </c>
      <c r="KWK67" s="161">
        <f>SUM(KWF67:KWJ67)</f>
        <v>8675</v>
      </c>
      <c r="KWL67" s="159">
        <v>200</v>
      </c>
      <c r="KWM67" s="161">
        <f>SUM(KWK67:KWL67)</f>
        <v>8875</v>
      </c>
      <c r="KWN67" s="154" t="s">
        <v>106</v>
      </c>
      <c r="KWO67" s="155">
        <v>45845</v>
      </c>
      <c r="KWP67" s="150" t="s">
        <v>60</v>
      </c>
      <c r="KWQ67" s="210"/>
      <c r="KWR67" s="156" t="s">
        <v>132</v>
      </c>
      <c r="KWS67" s="208"/>
      <c r="KWT67" s="209"/>
      <c r="KWU67" s="150" t="s">
        <v>24</v>
      </c>
      <c r="KWV67" s="151">
        <v>8150</v>
      </c>
      <c r="KWW67" s="159">
        <v>85</v>
      </c>
      <c r="KWX67" s="160">
        <v>215</v>
      </c>
      <c r="KWY67" s="160">
        <v>75</v>
      </c>
      <c r="KWZ67" s="159">
        <v>150</v>
      </c>
      <c r="KXA67" s="161">
        <f>SUM(KWV67:KWZ67)</f>
        <v>8675</v>
      </c>
      <c r="KXB67" s="159">
        <v>200</v>
      </c>
      <c r="KXC67" s="161">
        <f>SUM(KXA67:KXB67)</f>
        <v>8875</v>
      </c>
      <c r="KXD67" s="154" t="s">
        <v>106</v>
      </c>
      <c r="KXE67" s="155">
        <v>45845</v>
      </c>
      <c r="KXF67" s="150" t="s">
        <v>60</v>
      </c>
      <c r="KXG67" s="210"/>
      <c r="KXH67" s="156" t="s">
        <v>132</v>
      </c>
      <c r="KXI67" s="208"/>
      <c r="KXJ67" s="209"/>
      <c r="KXK67" s="150" t="s">
        <v>24</v>
      </c>
      <c r="KXL67" s="151">
        <v>8150</v>
      </c>
      <c r="KXM67" s="159">
        <v>85</v>
      </c>
      <c r="KXN67" s="160">
        <v>215</v>
      </c>
      <c r="KXO67" s="160">
        <v>75</v>
      </c>
      <c r="KXP67" s="159">
        <v>150</v>
      </c>
      <c r="KXQ67" s="161">
        <f>SUM(KXL67:KXP67)</f>
        <v>8675</v>
      </c>
      <c r="KXR67" s="159">
        <v>200</v>
      </c>
      <c r="KXS67" s="161">
        <f>SUM(KXQ67:KXR67)</f>
        <v>8875</v>
      </c>
      <c r="KXT67" s="154" t="s">
        <v>106</v>
      </c>
      <c r="KXU67" s="155">
        <v>45845</v>
      </c>
      <c r="KXV67" s="150" t="s">
        <v>60</v>
      </c>
      <c r="KXW67" s="210"/>
      <c r="KXX67" s="156" t="s">
        <v>132</v>
      </c>
      <c r="KXY67" s="208"/>
      <c r="KXZ67" s="209"/>
      <c r="KYA67" s="150" t="s">
        <v>24</v>
      </c>
      <c r="KYB67" s="151">
        <v>8150</v>
      </c>
      <c r="KYC67" s="159">
        <v>85</v>
      </c>
      <c r="KYD67" s="160">
        <v>215</v>
      </c>
      <c r="KYE67" s="160">
        <v>75</v>
      </c>
      <c r="KYF67" s="159">
        <v>150</v>
      </c>
      <c r="KYG67" s="161">
        <f>SUM(KYB67:KYF67)</f>
        <v>8675</v>
      </c>
      <c r="KYH67" s="159">
        <v>200</v>
      </c>
      <c r="KYI67" s="161">
        <f>SUM(KYG67:KYH67)</f>
        <v>8875</v>
      </c>
      <c r="KYJ67" s="154" t="s">
        <v>106</v>
      </c>
      <c r="KYK67" s="155">
        <v>45845</v>
      </c>
      <c r="KYL67" s="150" t="s">
        <v>60</v>
      </c>
      <c r="KYM67" s="210"/>
      <c r="KYN67" s="156" t="s">
        <v>132</v>
      </c>
      <c r="KYO67" s="208"/>
      <c r="KYP67" s="209"/>
      <c r="KYQ67" s="150" t="s">
        <v>24</v>
      </c>
      <c r="KYR67" s="151">
        <v>8150</v>
      </c>
      <c r="KYS67" s="159">
        <v>85</v>
      </c>
      <c r="KYT67" s="160">
        <v>215</v>
      </c>
      <c r="KYU67" s="160">
        <v>75</v>
      </c>
      <c r="KYV67" s="159">
        <v>150</v>
      </c>
      <c r="KYW67" s="161">
        <f>SUM(KYR67:KYV67)</f>
        <v>8675</v>
      </c>
      <c r="KYX67" s="159">
        <v>200</v>
      </c>
      <c r="KYY67" s="161">
        <f>SUM(KYW67:KYX67)</f>
        <v>8875</v>
      </c>
      <c r="KYZ67" s="154" t="s">
        <v>106</v>
      </c>
      <c r="KZA67" s="155">
        <v>45845</v>
      </c>
      <c r="KZB67" s="150" t="s">
        <v>60</v>
      </c>
      <c r="KZC67" s="210"/>
      <c r="KZD67" s="156" t="s">
        <v>132</v>
      </c>
      <c r="KZE67" s="208"/>
      <c r="KZF67" s="209"/>
      <c r="KZG67" s="150" t="s">
        <v>24</v>
      </c>
      <c r="KZH67" s="151">
        <v>8150</v>
      </c>
      <c r="KZI67" s="159">
        <v>85</v>
      </c>
      <c r="KZJ67" s="160">
        <v>215</v>
      </c>
      <c r="KZK67" s="160">
        <v>75</v>
      </c>
      <c r="KZL67" s="159">
        <v>150</v>
      </c>
      <c r="KZM67" s="161">
        <f>SUM(KZH67:KZL67)</f>
        <v>8675</v>
      </c>
      <c r="KZN67" s="159">
        <v>200</v>
      </c>
      <c r="KZO67" s="161">
        <f>SUM(KZM67:KZN67)</f>
        <v>8875</v>
      </c>
      <c r="KZP67" s="154" t="s">
        <v>106</v>
      </c>
      <c r="KZQ67" s="155">
        <v>45845</v>
      </c>
      <c r="KZR67" s="150" t="s">
        <v>60</v>
      </c>
      <c r="KZS67" s="210"/>
      <c r="KZT67" s="156" t="s">
        <v>132</v>
      </c>
      <c r="KZU67" s="208"/>
      <c r="KZV67" s="209"/>
      <c r="KZW67" s="150" t="s">
        <v>24</v>
      </c>
      <c r="KZX67" s="151">
        <v>8150</v>
      </c>
      <c r="KZY67" s="159">
        <v>85</v>
      </c>
      <c r="KZZ67" s="160">
        <v>215</v>
      </c>
      <c r="LAA67" s="160">
        <v>75</v>
      </c>
      <c r="LAB67" s="159">
        <v>150</v>
      </c>
      <c r="LAC67" s="161">
        <f>SUM(KZX67:LAB67)</f>
        <v>8675</v>
      </c>
      <c r="LAD67" s="159">
        <v>200</v>
      </c>
      <c r="LAE67" s="161">
        <f>SUM(LAC67:LAD67)</f>
        <v>8875</v>
      </c>
      <c r="LAF67" s="154" t="s">
        <v>106</v>
      </c>
      <c r="LAG67" s="155">
        <v>45845</v>
      </c>
      <c r="LAH67" s="150" t="s">
        <v>60</v>
      </c>
      <c r="LAI67" s="210"/>
      <c r="LAJ67" s="156" t="s">
        <v>132</v>
      </c>
      <c r="LAK67" s="208"/>
      <c r="LAL67" s="209"/>
      <c r="LAM67" s="150" t="s">
        <v>24</v>
      </c>
      <c r="LAN67" s="151">
        <v>8150</v>
      </c>
      <c r="LAO67" s="159">
        <v>85</v>
      </c>
      <c r="LAP67" s="160">
        <v>215</v>
      </c>
      <c r="LAQ67" s="160">
        <v>75</v>
      </c>
      <c r="LAR67" s="159">
        <v>150</v>
      </c>
      <c r="LAS67" s="161">
        <f>SUM(LAN67:LAR67)</f>
        <v>8675</v>
      </c>
      <c r="LAT67" s="159">
        <v>200</v>
      </c>
      <c r="LAU67" s="161">
        <f>SUM(LAS67:LAT67)</f>
        <v>8875</v>
      </c>
      <c r="LAV67" s="154" t="s">
        <v>106</v>
      </c>
      <c r="LAW67" s="155">
        <v>45845</v>
      </c>
      <c r="LAX67" s="150" t="s">
        <v>60</v>
      </c>
      <c r="LAY67" s="210"/>
      <c r="LAZ67" s="156" t="s">
        <v>132</v>
      </c>
      <c r="LBA67" s="208"/>
      <c r="LBB67" s="209"/>
      <c r="LBC67" s="150" t="s">
        <v>24</v>
      </c>
      <c r="LBD67" s="151">
        <v>8150</v>
      </c>
      <c r="LBE67" s="159">
        <v>85</v>
      </c>
      <c r="LBF67" s="160">
        <v>215</v>
      </c>
      <c r="LBG67" s="160">
        <v>75</v>
      </c>
      <c r="LBH67" s="159">
        <v>150</v>
      </c>
      <c r="LBI67" s="161">
        <f>SUM(LBD67:LBH67)</f>
        <v>8675</v>
      </c>
      <c r="LBJ67" s="159">
        <v>200</v>
      </c>
      <c r="LBK67" s="161">
        <f>SUM(LBI67:LBJ67)</f>
        <v>8875</v>
      </c>
      <c r="LBL67" s="154" t="s">
        <v>106</v>
      </c>
      <c r="LBM67" s="155">
        <v>45845</v>
      </c>
      <c r="LBN67" s="150" t="s">
        <v>60</v>
      </c>
      <c r="LBO67" s="210"/>
      <c r="LBP67" s="156" t="s">
        <v>132</v>
      </c>
      <c r="LBQ67" s="208"/>
      <c r="LBR67" s="209"/>
      <c r="LBS67" s="150" t="s">
        <v>24</v>
      </c>
      <c r="LBT67" s="151">
        <v>8150</v>
      </c>
      <c r="LBU67" s="159">
        <v>85</v>
      </c>
      <c r="LBV67" s="160">
        <v>215</v>
      </c>
      <c r="LBW67" s="160">
        <v>75</v>
      </c>
      <c r="LBX67" s="159">
        <v>150</v>
      </c>
      <c r="LBY67" s="161">
        <f>SUM(LBT67:LBX67)</f>
        <v>8675</v>
      </c>
      <c r="LBZ67" s="159">
        <v>200</v>
      </c>
      <c r="LCA67" s="161">
        <f>SUM(LBY67:LBZ67)</f>
        <v>8875</v>
      </c>
      <c r="LCB67" s="154" t="s">
        <v>106</v>
      </c>
      <c r="LCC67" s="155">
        <v>45845</v>
      </c>
      <c r="LCD67" s="150" t="s">
        <v>60</v>
      </c>
      <c r="LCE67" s="210"/>
      <c r="LCF67" s="156" t="s">
        <v>132</v>
      </c>
      <c r="LCG67" s="208"/>
      <c r="LCH67" s="209"/>
      <c r="LCI67" s="150" t="s">
        <v>24</v>
      </c>
      <c r="LCJ67" s="151">
        <v>8150</v>
      </c>
      <c r="LCK67" s="159">
        <v>85</v>
      </c>
      <c r="LCL67" s="160">
        <v>215</v>
      </c>
      <c r="LCM67" s="160">
        <v>75</v>
      </c>
      <c r="LCN67" s="159">
        <v>150</v>
      </c>
      <c r="LCO67" s="161">
        <f>SUM(LCJ67:LCN67)</f>
        <v>8675</v>
      </c>
      <c r="LCP67" s="159">
        <v>200</v>
      </c>
      <c r="LCQ67" s="161">
        <f>SUM(LCO67:LCP67)</f>
        <v>8875</v>
      </c>
      <c r="LCR67" s="154" t="s">
        <v>106</v>
      </c>
      <c r="LCS67" s="155">
        <v>45845</v>
      </c>
      <c r="LCT67" s="150" t="s">
        <v>60</v>
      </c>
      <c r="LCU67" s="210"/>
      <c r="LCV67" s="156" t="s">
        <v>132</v>
      </c>
      <c r="LCW67" s="208"/>
      <c r="LCX67" s="209"/>
      <c r="LCY67" s="150" t="s">
        <v>24</v>
      </c>
      <c r="LCZ67" s="151">
        <v>8150</v>
      </c>
      <c r="LDA67" s="159">
        <v>85</v>
      </c>
      <c r="LDB67" s="160">
        <v>215</v>
      </c>
      <c r="LDC67" s="160">
        <v>75</v>
      </c>
      <c r="LDD67" s="159">
        <v>150</v>
      </c>
      <c r="LDE67" s="161">
        <f>SUM(LCZ67:LDD67)</f>
        <v>8675</v>
      </c>
      <c r="LDF67" s="159">
        <v>200</v>
      </c>
      <c r="LDG67" s="161">
        <f>SUM(LDE67:LDF67)</f>
        <v>8875</v>
      </c>
      <c r="LDH67" s="154" t="s">
        <v>106</v>
      </c>
      <c r="LDI67" s="155">
        <v>45845</v>
      </c>
      <c r="LDJ67" s="150" t="s">
        <v>60</v>
      </c>
      <c r="LDK67" s="210"/>
      <c r="LDL67" s="156" t="s">
        <v>132</v>
      </c>
      <c r="LDM67" s="208"/>
      <c r="LDN67" s="209"/>
      <c r="LDO67" s="150" t="s">
        <v>24</v>
      </c>
      <c r="LDP67" s="151">
        <v>8150</v>
      </c>
      <c r="LDQ67" s="159">
        <v>85</v>
      </c>
      <c r="LDR67" s="160">
        <v>215</v>
      </c>
      <c r="LDS67" s="160">
        <v>75</v>
      </c>
      <c r="LDT67" s="159">
        <v>150</v>
      </c>
      <c r="LDU67" s="161">
        <f>SUM(LDP67:LDT67)</f>
        <v>8675</v>
      </c>
      <c r="LDV67" s="159">
        <v>200</v>
      </c>
      <c r="LDW67" s="161">
        <f>SUM(LDU67:LDV67)</f>
        <v>8875</v>
      </c>
      <c r="LDX67" s="154" t="s">
        <v>106</v>
      </c>
      <c r="LDY67" s="155">
        <v>45845</v>
      </c>
      <c r="LDZ67" s="150" t="s">
        <v>60</v>
      </c>
      <c r="LEA67" s="210"/>
      <c r="LEB67" s="156" t="s">
        <v>132</v>
      </c>
      <c r="LEC67" s="208"/>
      <c r="LED67" s="209"/>
      <c r="LEE67" s="150" t="s">
        <v>24</v>
      </c>
      <c r="LEF67" s="151">
        <v>8150</v>
      </c>
      <c r="LEG67" s="159">
        <v>85</v>
      </c>
      <c r="LEH67" s="160">
        <v>215</v>
      </c>
      <c r="LEI67" s="160">
        <v>75</v>
      </c>
      <c r="LEJ67" s="159">
        <v>150</v>
      </c>
      <c r="LEK67" s="161">
        <f>SUM(LEF67:LEJ67)</f>
        <v>8675</v>
      </c>
      <c r="LEL67" s="159">
        <v>200</v>
      </c>
      <c r="LEM67" s="161">
        <f>SUM(LEK67:LEL67)</f>
        <v>8875</v>
      </c>
      <c r="LEN67" s="154" t="s">
        <v>106</v>
      </c>
      <c r="LEO67" s="155">
        <v>45845</v>
      </c>
      <c r="LEP67" s="150" t="s">
        <v>60</v>
      </c>
      <c r="LEQ67" s="210"/>
      <c r="LER67" s="156" t="s">
        <v>132</v>
      </c>
      <c r="LES67" s="208"/>
      <c r="LET67" s="209"/>
      <c r="LEU67" s="150" t="s">
        <v>24</v>
      </c>
      <c r="LEV67" s="151">
        <v>8150</v>
      </c>
      <c r="LEW67" s="159">
        <v>85</v>
      </c>
      <c r="LEX67" s="160">
        <v>215</v>
      </c>
      <c r="LEY67" s="160">
        <v>75</v>
      </c>
      <c r="LEZ67" s="159">
        <v>150</v>
      </c>
      <c r="LFA67" s="161">
        <f>SUM(LEV67:LEZ67)</f>
        <v>8675</v>
      </c>
      <c r="LFB67" s="159">
        <v>200</v>
      </c>
      <c r="LFC67" s="161">
        <f>SUM(LFA67:LFB67)</f>
        <v>8875</v>
      </c>
      <c r="LFD67" s="154" t="s">
        <v>106</v>
      </c>
      <c r="LFE67" s="155">
        <v>45845</v>
      </c>
      <c r="LFF67" s="150" t="s">
        <v>60</v>
      </c>
      <c r="LFG67" s="210"/>
      <c r="LFH67" s="156" t="s">
        <v>132</v>
      </c>
      <c r="LFI67" s="208"/>
      <c r="LFJ67" s="209"/>
      <c r="LFK67" s="150" t="s">
        <v>24</v>
      </c>
      <c r="LFL67" s="151">
        <v>8150</v>
      </c>
      <c r="LFM67" s="159">
        <v>85</v>
      </c>
      <c r="LFN67" s="160">
        <v>215</v>
      </c>
      <c r="LFO67" s="160">
        <v>75</v>
      </c>
      <c r="LFP67" s="159">
        <v>150</v>
      </c>
      <c r="LFQ67" s="161">
        <f>SUM(LFL67:LFP67)</f>
        <v>8675</v>
      </c>
      <c r="LFR67" s="159">
        <v>200</v>
      </c>
      <c r="LFS67" s="161">
        <f>SUM(LFQ67:LFR67)</f>
        <v>8875</v>
      </c>
      <c r="LFT67" s="154" t="s">
        <v>106</v>
      </c>
      <c r="LFU67" s="155">
        <v>45845</v>
      </c>
      <c r="LFV67" s="150" t="s">
        <v>60</v>
      </c>
      <c r="LFW67" s="210"/>
      <c r="LFX67" s="156" t="s">
        <v>132</v>
      </c>
      <c r="LFY67" s="208"/>
      <c r="LFZ67" s="209"/>
      <c r="LGA67" s="150" t="s">
        <v>24</v>
      </c>
      <c r="LGB67" s="151">
        <v>8150</v>
      </c>
      <c r="LGC67" s="159">
        <v>85</v>
      </c>
      <c r="LGD67" s="160">
        <v>215</v>
      </c>
      <c r="LGE67" s="160">
        <v>75</v>
      </c>
      <c r="LGF67" s="159">
        <v>150</v>
      </c>
      <c r="LGG67" s="161">
        <f>SUM(LGB67:LGF67)</f>
        <v>8675</v>
      </c>
      <c r="LGH67" s="159">
        <v>200</v>
      </c>
      <c r="LGI67" s="161">
        <f>SUM(LGG67:LGH67)</f>
        <v>8875</v>
      </c>
      <c r="LGJ67" s="154" t="s">
        <v>106</v>
      </c>
      <c r="LGK67" s="155">
        <v>45845</v>
      </c>
      <c r="LGL67" s="150" t="s">
        <v>60</v>
      </c>
      <c r="LGM67" s="210"/>
      <c r="LGN67" s="156" t="s">
        <v>132</v>
      </c>
      <c r="LGO67" s="208"/>
      <c r="LGP67" s="209"/>
      <c r="LGQ67" s="150" t="s">
        <v>24</v>
      </c>
      <c r="LGR67" s="151">
        <v>8150</v>
      </c>
      <c r="LGS67" s="159">
        <v>85</v>
      </c>
      <c r="LGT67" s="160">
        <v>215</v>
      </c>
      <c r="LGU67" s="160">
        <v>75</v>
      </c>
      <c r="LGV67" s="159">
        <v>150</v>
      </c>
      <c r="LGW67" s="161">
        <f>SUM(LGR67:LGV67)</f>
        <v>8675</v>
      </c>
      <c r="LGX67" s="159">
        <v>200</v>
      </c>
      <c r="LGY67" s="161">
        <f>SUM(LGW67:LGX67)</f>
        <v>8875</v>
      </c>
      <c r="LGZ67" s="154" t="s">
        <v>106</v>
      </c>
      <c r="LHA67" s="155">
        <v>45845</v>
      </c>
      <c r="LHB67" s="150" t="s">
        <v>60</v>
      </c>
      <c r="LHC67" s="210"/>
      <c r="LHD67" s="156" t="s">
        <v>132</v>
      </c>
      <c r="LHE67" s="208"/>
      <c r="LHF67" s="209"/>
      <c r="LHG67" s="150" t="s">
        <v>24</v>
      </c>
      <c r="LHH67" s="151">
        <v>8150</v>
      </c>
      <c r="LHI67" s="159">
        <v>85</v>
      </c>
      <c r="LHJ67" s="160">
        <v>215</v>
      </c>
      <c r="LHK67" s="160">
        <v>75</v>
      </c>
      <c r="LHL67" s="159">
        <v>150</v>
      </c>
      <c r="LHM67" s="161">
        <f>SUM(LHH67:LHL67)</f>
        <v>8675</v>
      </c>
      <c r="LHN67" s="159">
        <v>200</v>
      </c>
      <c r="LHO67" s="161">
        <f>SUM(LHM67:LHN67)</f>
        <v>8875</v>
      </c>
      <c r="LHP67" s="154" t="s">
        <v>106</v>
      </c>
      <c r="LHQ67" s="155">
        <v>45845</v>
      </c>
      <c r="LHR67" s="150" t="s">
        <v>60</v>
      </c>
      <c r="LHS67" s="210"/>
      <c r="LHT67" s="156" t="s">
        <v>132</v>
      </c>
      <c r="LHU67" s="208"/>
      <c r="LHV67" s="209"/>
      <c r="LHW67" s="150" t="s">
        <v>24</v>
      </c>
      <c r="LHX67" s="151">
        <v>8150</v>
      </c>
      <c r="LHY67" s="159">
        <v>85</v>
      </c>
      <c r="LHZ67" s="160">
        <v>215</v>
      </c>
      <c r="LIA67" s="160">
        <v>75</v>
      </c>
      <c r="LIB67" s="159">
        <v>150</v>
      </c>
      <c r="LIC67" s="161">
        <f>SUM(LHX67:LIB67)</f>
        <v>8675</v>
      </c>
      <c r="LID67" s="159">
        <v>200</v>
      </c>
      <c r="LIE67" s="161">
        <f>SUM(LIC67:LID67)</f>
        <v>8875</v>
      </c>
      <c r="LIF67" s="154" t="s">
        <v>106</v>
      </c>
      <c r="LIG67" s="155">
        <v>45845</v>
      </c>
      <c r="LIH67" s="150" t="s">
        <v>60</v>
      </c>
      <c r="LII67" s="210"/>
      <c r="LIJ67" s="156" t="s">
        <v>132</v>
      </c>
      <c r="LIK67" s="208"/>
      <c r="LIL67" s="209"/>
      <c r="LIM67" s="150" t="s">
        <v>24</v>
      </c>
      <c r="LIN67" s="151">
        <v>8150</v>
      </c>
      <c r="LIO67" s="159">
        <v>85</v>
      </c>
      <c r="LIP67" s="160">
        <v>215</v>
      </c>
      <c r="LIQ67" s="160">
        <v>75</v>
      </c>
      <c r="LIR67" s="159">
        <v>150</v>
      </c>
      <c r="LIS67" s="161">
        <f>SUM(LIN67:LIR67)</f>
        <v>8675</v>
      </c>
      <c r="LIT67" s="159">
        <v>200</v>
      </c>
      <c r="LIU67" s="161">
        <f>SUM(LIS67:LIT67)</f>
        <v>8875</v>
      </c>
      <c r="LIV67" s="154" t="s">
        <v>106</v>
      </c>
      <c r="LIW67" s="155">
        <v>45845</v>
      </c>
      <c r="LIX67" s="150" t="s">
        <v>60</v>
      </c>
      <c r="LIY67" s="210"/>
      <c r="LIZ67" s="156" t="s">
        <v>132</v>
      </c>
      <c r="LJA67" s="208"/>
      <c r="LJB67" s="209"/>
      <c r="LJC67" s="150" t="s">
        <v>24</v>
      </c>
      <c r="LJD67" s="151">
        <v>8150</v>
      </c>
      <c r="LJE67" s="159">
        <v>85</v>
      </c>
      <c r="LJF67" s="160">
        <v>215</v>
      </c>
      <c r="LJG67" s="160">
        <v>75</v>
      </c>
      <c r="LJH67" s="159">
        <v>150</v>
      </c>
      <c r="LJI67" s="161">
        <f>SUM(LJD67:LJH67)</f>
        <v>8675</v>
      </c>
      <c r="LJJ67" s="159">
        <v>200</v>
      </c>
      <c r="LJK67" s="161">
        <f>SUM(LJI67:LJJ67)</f>
        <v>8875</v>
      </c>
      <c r="LJL67" s="154" t="s">
        <v>106</v>
      </c>
      <c r="LJM67" s="155">
        <v>45845</v>
      </c>
      <c r="LJN67" s="150" t="s">
        <v>60</v>
      </c>
      <c r="LJO67" s="210"/>
      <c r="LJP67" s="156" t="s">
        <v>132</v>
      </c>
      <c r="LJQ67" s="208"/>
      <c r="LJR67" s="209"/>
      <c r="LJS67" s="150" t="s">
        <v>24</v>
      </c>
      <c r="LJT67" s="151">
        <v>8150</v>
      </c>
      <c r="LJU67" s="159">
        <v>85</v>
      </c>
      <c r="LJV67" s="160">
        <v>215</v>
      </c>
      <c r="LJW67" s="160">
        <v>75</v>
      </c>
      <c r="LJX67" s="159">
        <v>150</v>
      </c>
      <c r="LJY67" s="161">
        <f>SUM(LJT67:LJX67)</f>
        <v>8675</v>
      </c>
      <c r="LJZ67" s="159">
        <v>200</v>
      </c>
      <c r="LKA67" s="161">
        <f>SUM(LJY67:LJZ67)</f>
        <v>8875</v>
      </c>
      <c r="LKB67" s="154" t="s">
        <v>106</v>
      </c>
      <c r="LKC67" s="155">
        <v>45845</v>
      </c>
      <c r="LKD67" s="150" t="s">
        <v>60</v>
      </c>
      <c r="LKE67" s="210"/>
      <c r="LKF67" s="156" t="s">
        <v>132</v>
      </c>
      <c r="LKG67" s="208"/>
      <c r="LKH67" s="209"/>
      <c r="LKI67" s="150" t="s">
        <v>24</v>
      </c>
      <c r="LKJ67" s="151">
        <v>8150</v>
      </c>
      <c r="LKK67" s="159">
        <v>85</v>
      </c>
      <c r="LKL67" s="160">
        <v>215</v>
      </c>
      <c r="LKM67" s="160">
        <v>75</v>
      </c>
      <c r="LKN67" s="159">
        <v>150</v>
      </c>
      <c r="LKO67" s="161">
        <f>SUM(LKJ67:LKN67)</f>
        <v>8675</v>
      </c>
      <c r="LKP67" s="159">
        <v>200</v>
      </c>
      <c r="LKQ67" s="161">
        <f>SUM(LKO67:LKP67)</f>
        <v>8875</v>
      </c>
      <c r="LKR67" s="154" t="s">
        <v>106</v>
      </c>
      <c r="LKS67" s="155">
        <v>45845</v>
      </c>
      <c r="LKT67" s="150" t="s">
        <v>60</v>
      </c>
      <c r="LKU67" s="210"/>
      <c r="LKV67" s="156" t="s">
        <v>132</v>
      </c>
      <c r="LKW67" s="208"/>
      <c r="LKX67" s="209"/>
      <c r="LKY67" s="150" t="s">
        <v>24</v>
      </c>
      <c r="LKZ67" s="151">
        <v>8150</v>
      </c>
      <c r="LLA67" s="159">
        <v>85</v>
      </c>
      <c r="LLB67" s="160">
        <v>215</v>
      </c>
      <c r="LLC67" s="160">
        <v>75</v>
      </c>
      <c r="LLD67" s="159">
        <v>150</v>
      </c>
      <c r="LLE67" s="161">
        <f>SUM(LKZ67:LLD67)</f>
        <v>8675</v>
      </c>
      <c r="LLF67" s="159">
        <v>200</v>
      </c>
      <c r="LLG67" s="161">
        <f>SUM(LLE67:LLF67)</f>
        <v>8875</v>
      </c>
      <c r="LLH67" s="154" t="s">
        <v>106</v>
      </c>
      <c r="LLI67" s="155">
        <v>45845</v>
      </c>
      <c r="LLJ67" s="150" t="s">
        <v>60</v>
      </c>
      <c r="LLK67" s="210"/>
      <c r="LLL67" s="156" t="s">
        <v>132</v>
      </c>
      <c r="LLM67" s="208"/>
      <c r="LLN67" s="209"/>
      <c r="LLO67" s="150" t="s">
        <v>24</v>
      </c>
      <c r="LLP67" s="151">
        <v>8150</v>
      </c>
      <c r="LLQ67" s="159">
        <v>85</v>
      </c>
      <c r="LLR67" s="160">
        <v>215</v>
      </c>
      <c r="LLS67" s="160">
        <v>75</v>
      </c>
      <c r="LLT67" s="159">
        <v>150</v>
      </c>
      <c r="LLU67" s="161">
        <f>SUM(LLP67:LLT67)</f>
        <v>8675</v>
      </c>
      <c r="LLV67" s="159">
        <v>200</v>
      </c>
      <c r="LLW67" s="161">
        <f>SUM(LLU67:LLV67)</f>
        <v>8875</v>
      </c>
      <c r="LLX67" s="154" t="s">
        <v>106</v>
      </c>
      <c r="LLY67" s="155">
        <v>45845</v>
      </c>
      <c r="LLZ67" s="150" t="s">
        <v>60</v>
      </c>
      <c r="LMA67" s="210"/>
      <c r="LMB67" s="156" t="s">
        <v>132</v>
      </c>
      <c r="LMC67" s="208"/>
      <c r="LMD67" s="209"/>
      <c r="LME67" s="150" t="s">
        <v>24</v>
      </c>
      <c r="LMF67" s="151">
        <v>8150</v>
      </c>
      <c r="LMG67" s="159">
        <v>85</v>
      </c>
      <c r="LMH67" s="160">
        <v>215</v>
      </c>
      <c r="LMI67" s="160">
        <v>75</v>
      </c>
      <c r="LMJ67" s="159">
        <v>150</v>
      </c>
      <c r="LMK67" s="161">
        <f>SUM(LMF67:LMJ67)</f>
        <v>8675</v>
      </c>
      <c r="LML67" s="159">
        <v>200</v>
      </c>
      <c r="LMM67" s="161">
        <f>SUM(LMK67:LML67)</f>
        <v>8875</v>
      </c>
      <c r="LMN67" s="154" t="s">
        <v>106</v>
      </c>
      <c r="LMO67" s="155">
        <v>45845</v>
      </c>
      <c r="LMP67" s="150" t="s">
        <v>60</v>
      </c>
      <c r="LMQ67" s="210"/>
      <c r="LMR67" s="156" t="s">
        <v>132</v>
      </c>
      <c r="LMS67" s="208"/>
      <c r="LMT67" s="209"/>
      <c r="LMU67" s="150" t="s">
        <v>24</v>
      </c>
      <c r="LMV67" s="151">
        <v>8150</v>
      </c>
      <c r="LMW67" s="159">
        <v>85</v>
      </c>
      <c r="LMX67" s="160">
        <v>215</v>
      </c>
      <c r="LMY67" s="160">
        <v>75</v>
      </c>
      <c r="LMZ67" s="159">
        <v>150</v>
      </c>
      <c r="LNA67" s="161">
        <f>SUM(LMV67:LMZ67)</f>
        <v>8675</v>
      </c>
      <c r="LNB67" s="159">
        <v>200</v>
      </c>
      <c r="LNC67" s="161">
        <f>SUM(LNA67:LNB67)</f>
        <v>8875</v>
      </c>
      <c r="LND67" s="154" t="s">
        <v>106</v>
      </c>
      <c r="LNE67" s="155">
        <v>45845</v>
      </c>
      <c r="LNF67" s="150" t="s">
        <v>60</v>
      </c>
      <c r="LNG67" s="210"/>
      <c r="LNH67" s="156" t="s">
        <v>132</v>
      </c>
      <c r="LNI67" s="208"/>
      <c r="LNJ67" s="209"/>
      <c r="LNK67" s="150" t="s">
        <v>24</v>
      </c>
      <c r="LNL67" s="151">
        <v>8150</v>
      </c>
      <c r="LNM67" s="159">
        <v>85</v>
      </c>
      <c r="LNN67" s="160">
        <v>215</v>
      </c>
      <c r="LNO67" s="160">
        <v>75</v>
      </c>
      <c r="LNP67" s="159">
        <v>150</v>
      </c>
      <c r="LNQ67" s="161">
        <f>SUM(LNL67:LNP67)</f>
        <v>8675</v>
      </c>
      <c r="LNR67" s="159">
        <v>200</v>
      </c>
      <c r="LNS67" s="161">
        <f>SUM(LNQ67:LNR67)</f>
        <v>8875</v>
      </c>
      <c r="LNT67" s="154" t="s">
        <v>106</v>
      </c>
      <c r="LNU67" s="155">
        <v>45845</v>
      </c>
      <c r="LNV67" s="150" t="s">
        <v>60</v>
      </c>
      <c r="LNW67" s="210"/>
      <c r="LNX67" s="156" t="s">
        <v>132</v>
      </c>
      <c r="LNY67" s="208"/>
      <c r="LNZ67" s="209"/>
      <c r="LOA67" s="150" t="s">
        <v>24</v>
      </c>
      <c r="LOB67" s="151">
        <v>8150</v>
      </c>
      <c r="LOC67" s="159">
        <v>85</v>
      </c>
      <c r="LOD67" s="160">
        <v>215</v>
      </c>
      <c r="LOE67" s="160">
        <v>75</v>
      </c>
      <c r="LOF67" s="159">
        <v>150</v>
      </c>
      <c r="LOG67" s="161">
        <f>SUM(LOB67:LOF67)</f>
        <v>8675</v>
      </c>
      <c r="LOH67" s="159">
        <v>200</v>
      </c>
      <c r="LOI67" s="161">
        <f>SUM(LOG67:LOH67)</f>
        <v>8875</v>
      </c>
      <c r="LOJ67" s="154" t="s">
        <v>106</v>
      </c>
      <c r="LOK67" s="155">
        <v>45845</v>
      </c>
      <c r="LOL67" s="150" t="s">
        <v>60</v>
      </c>
      <c r="LOM67" s="210"/>
      <c r="LON67" s="156" t="s">
        <v>132</v>
      </c>
      <c r="LOO67" s="208"/>
      <c r="LOP67" s="209"/>
      <c r="LOQ67" s="150" t="s">
        <v>24</v>
      </c>
      <c r="LOR67" s="151">
        <v>8150</v>
      </c>
      <c r="LOS67" s="159">
        <v>85</v>
      </c>
      <c r="LOT67" s="160">
        <v>215</v>
      </c>
      <c r="LOU67" s="160">
        <v>75</v>
      </c>
      <c r="LOV67" s="159">
        <v>150</v>
      </c>
      <c r="LOW67" s="161">
        <f>SUM(LOR67:LOV67)</f>
        <v>8675</v>
      </c>
      <c r="LOX67" s="159">
        <v>200</v>
      </c>
      <c r="LOY67" s="161">
        <f>SUM(LOW67:LOX67)</f>
        <v>8875</v>
      </c>
      <c r="LOZ67" s="154" t="s">
        <v>106</v>
      </c>
      <c r="LPA67" s="155">
        <v>45845</v>
      </c>
      <c r="LPB67" s="150" t="s">
        <v>60</v>
      </c>
      <c r="LPC67" s="210"/>
      <c r="LPD67" s="156" t="s">
        <v>132</v>
      </c>
      <c r="LPE67" s="208"/>
      <c r="LPF67" s="209"/>
      <c r="LPG67" s="150" t="s">
        <v>24</v>
      </c>
      <c r="LPH67" s="151">
        <v>8150</v>
      </c>
      <c r="LPI67" s="159">
        <v>85</v>
      </c>
      <c r="LPJ67" s="160">
        <v>215</v>
      </c>
      <c r="LPK67" s="160">
        <v>75</v>
      </c>
      <c r="LPL67" s="159">
        <v>150</v>
      </c>
      <c r="LPM67" s="161">
        <f>SUM(LPH67:LPL67)</f>
        <v>8675</v>
      </c>
      <c r="LPN67" s="159">
        <v>200</v>
      </c>
      <c r="LPO67" s="161">
        <f>SUM(LPM67:LPN67)</f>
        <v>8875</v>
      </c>
      <c r="LPP67" s="154" t="s">
        <v>106</v>
      </c>
      <c r="LPQ67" s="155">
        <v>45845</v>
      </c>
      <c r="LPR67" s="150" t="s">
        <v>60</v>
      </c>
      <c r="LPS67" s="210"/>
      <c r="LPT67" s="156" t="s">
        <v>132</v>
      </c>
      <c r="LPU67" s="208"/>
      <c r="LPV67" s="209"/>
      <c r="LPW67" s="150" t="s">
        <v>24</v>
      </c>
      <c r="LPX67" s="151">
        <v>8150</v>
      </c>
      <c r="LPY67" s="159">
        <v>85</v>
      </c>
      <c r="LPZ67" s="160">
        <v>215</v>
      </c>
      <c r="LQA67" s="160">
        <v>75</v>
      </c>
      <c r="LQB67" s="159">
        <v>150</v>
      </c>
      <c r="LQC67" s="161">
        <f>SUM(LPX67:LQB67)</f>
        <v>8675</v>
      </c>
      <c r="LQD67" s="159">
        <v>200</v>
      </c>
      <c r="LQE67" s="161">
        <f>SUM(LQC67:LQD67)</f>
        <v>8875</v>
      </c>
      <c r="LQF67" s="154" t="s">
        <v>106</v>
      </c>
      <c r="LQG67" s="155">
        <v>45845</v>
      </c>
      <c r="LQH67" s="150" t="s">
        <v>60</v>
      </c>
      <c r="LQI67" s="210"/>
      <c r="LQJ67" s="156" t="s">
        <v>132</v>
      </c>
      <c r="LQK67" s="208"/>
      <c r="LQL67" s="209"/>
      <c r="LQM67" s="150" t="s">
        <v>24</v>
      </c>
      <c r="LQN67" s="151">
        <v>8150</v>
      </c>
      <c r="LQO67" s="159">
        <v>85</v>
      </c>
      <c r="LQP67" s="160">
        <v>215</v>
      </c>
      <c r="LQQ67" s="160">
        <v>75</v>
      </c>
      <c r="LQR67" s="159">
        <v>150</v>
      </c>
      <c r="LQS67" s="161">
        <f>SUM(LQN67:LQR67)</f>
        <v>8675</v>
      </c>
      <c r="LQT67" s="159">
        <v>200</v>
      </c>
      <c r="LQU67" s="161">
        <f>SUM(LQS67:LQT67)</f>
        <v>8875</v>
      </c>
      <c r="LQV67" s="154" t="s">
        <v>106</v>
      </c>
      <c r="LQW67" s="155">
        <v>45845</v>
      </c>
      <c r="LQX67" s="150" t="s">
        <v>60</v>
      </c>
      <c r="LQY67" s="210"/>
      <c r="LQZ67" s="156" t="s">
        <v>132</v>
      </c>
      <c r="LRA67" s="208"/>
      <c r="LRB67" s="209"/>
      <c r="LRC67" s="150" t="s">
        <v>24</v>
      </c>
      <c r="LRD67" s="151">
        <v>8150</v>
      </c>
      <c r="LRE67" s="159">
        <v>85</v>
      </c>
      <c r="LRF67" s="160">
        <v>215</v>
      </c>
      <c r="LRG67" s="160">
        <v>75</v>
      </c>
      <c r="LRH67" s="159">
        <v>150</v>
      </c>
      <c r="LRI67" s="161">
        <f>SUM(LRD67:LRH67)</f>
        <v>8675</v>
      </c>
      <c r="LRJ67" s="159">
        <v>200</v>
      </c>
      <c r="LRK67" s="161">
        <f>SUM(LRI67:LRJ67)</f>
        <v>8875</v>
      </c>
      <c r="LRL67" s="154" t="s">
        <v>106</v>
      </c>
      <c r="LRM67" s="155">
        <v>45845</v>
      </c>
      <c r="LRN67" s="150" t="s">
        <v>60</v>
      </c>
      <c r="LRO67" s="210"/>
      <c r="LRP67" s="156" t="s">
        <v>132</v>
      </c>
      <c r="LRQ67" s="208"/>
      <c r="LRR67" s="209"/>
      <c r="LRS67" s="150" t="s">
        <v>24</v>
      </c>
      <c r="LRT67" s="151">
        <v>8150</v>
      </c>
      <c r="LRU67" s="159">
        <v>85</v>
      </c>
      <c r="LRV67" s="160">
        <v>215</v>
      </c>
      <c r="LRW67" s="160">
        <v>75</v>
      </c>
      <c r="LRX67" s="159">
        <v>150</v>
      </c>
      <c r="LRY67" s="161">
        <f>SUM(LRT67:LRX67)</f>
        <v>8675</v>
      </c>
      <c r="LRZ67" s="159">
        <v>200</v>
      </c>
      <c r="LSA67" s="161">
        <f>SUM(LRY67:LRZ67)</f>
        <v>8875</v>
      </c>
      <c r="LSB67" s="154" t="s">
        <v>106</v>
      </c>
      <c r="LSC67" s="155">
        <v>45845</v>
      </c>
      <c r="LSD67" s="150" t="s">
        <v>60</v>
      </c>
      <c r="LSE67" s="210"/>
      <c r="LSF67" s="156" t="s">
        <v>132</v>
      </c>
      <c r="LSG67" s="208"/>
      <c r="LSH67" s="209"/>
      <c r="LSI67" s="150" t="s">
        <v>24</v>
      </c>
      <c r="LSJ67" s="151">
        <v>8150</v>
      </c>
      <c r="LSK67" s="159">
        <v>85</v>
      </c>
      <c r="LSL67" s="160">
        <v>215</v>
      </c>
      <c r="LSM67" s="160">
        <v>75</v>
      </c>
      <c r="LSN67" s="159">
        <v>150</v>
      </c>
      <c r="LSO67" s="161">
        <f>SUM(LSJ67:LSN67)</f>
        <v>8675</v>
      </c>
      <c r="LSP67" s="159">
        <v>200</v>
      </c>
      <c r="LSQ67" s="161">
        <f>SUM(LSO67:LSP67)</f>
        <v>8875</v>
      </c>
      <c r="LSR67" s="154" t="s">
        <v>106</v>
      </c>
      <c r="LSS67" s="155">
        <v>45845</v>
      </c>
      <c r="LST67" s="150" t="s">
        <v>60</v>
      </c>
      <c r="LSU67" s="210"/>
      <c r="LSV67" s="156" t="s">
        <v>132</v>
      </c>
      <c r="LSW67" s="208"/>
      <c r="LSX67" s="209"/>
      <c r="LSY67" s="150" t="s">
        <v>24</v>
      </c>
      <c r="LSZ67" s="151">
        <v>8150</v>
      </c>
      <c r="LTA67" s="159">
        <v>85</v>
      </c>
      <c r="LTB67" s="160">
        <v>215</v>
      </c>
      <c r="LTC67" s="160">
        <v>75</v>
      </c>
      <c r="LTD67" s="159">
        <v>150</v>
      </c>
      <c r="LTE67" s="161">
        <f>SUM(LSZ67:LTD67)</f>
        <v>8675</v>
      </c>
      <c r="LTF67" s="159">
        <v>200</v>
      </c>
      <c r="LTG67" s="161">
        <f>SUM(LTE67:LTF67)</f>
        <v>8875</v>
      </c>
      <c r="LTH67" s="154" t="s">
        <v>106</v>
      </c>
      <c r="LTI67" s="155">
        <v>45845</v>
      </c>
      <c r="LTJ67" s="150" t="s">
        <v>60</v>
      </c>
      <c r="LTK67" s="210"/>
      <c r="LTL67" s="156" t="s">
        <v>132</v>
      </c>
      <c r="LTM67" s="208"/>
      <c r="LTN67" s="209"/>
      <c r="LTO67" s="150" t="s">
        <v>24</v>
      </c>
      <c r="LTP67" s="151">
        <v>8150</v>
      </c>
      <c r="LTQ67" s="159">
        <v>85</v>
      </c>
      <c r="LTR67" s="160">
        <v>215</v>
      </c>
      <c r="LTS67" s="160">
        <v>75</v>
      </c>
      <c r="LTT67" s="159">
        <v>150</v>
      </c>
      <c r="LTU67" s="161">
        <f>SUM(LTP67:LTT67)</f>
        <v>8675</v>
      </c>
      <c r="LTV67" s="159">
        <v>200</v>
      </c>
      <c r="LTW67" s="161">
        <f>SUM(LTU67:LTV67)</f>
        <v>8875</v>
      </c>
      <c r="LTX67" s="154" t="s">
        <v>106</v>
      </c>
      <c r="LTY67" s="155">
        <v>45845</v>
      </c>
      <c r="LTZ67" s="150" t="s">
        <v>60</v>
      </c>
      <c r="LUA67" s="210"/>
      <c r="LUB67" s="156" t="s">
        <v>132</v>
      </c>
      <c r="LUC67" s="208"/>
      <c r="LUD67" s="209"/>
      <c r="LUE67" s="150" t="s">
        <v>24</v>
      </c>
      <c r="LUF67" s="151">
        <v>8150</v>
      </c>
      <c r="LUG67" s="159">
        <v>85</v>
      </c>
      <c r="LUH67" s="160">
        <v>215</v>
      </c>
      <c r="LUI67" s="160">
        <v>75</v>
      </c>
      <c r="LUJ67" s="159">
        <v>150</v>
      </c>
      <c r="LUK67" s="161">
        <f>SUM(LUF67:LUJ67)</f>
        <v>8675</v>
      </c>
      <c r="LUL67" s="159">
        <v>200</v>
      </c>
      <c r="LUM67" s="161">
        <f>SUM(LUK67:LUL67)</f>
        <v>8875</v>
      </c>
      <c r="LUN67" s="154" t="s">
        <v>106</v>
      </c>
      <c r="LUO67" s="155">
        <v>45845</v>
      </c>
      <c r="LUP67" s="150" t="s">
        <v>60</v>
      </c>
      <c r="LUQ67" s="210"/>
      <c r="LUR67" s="156" t="s">
        <v>132</v>
      </c>
      <c r="LUS67" s="208"/>
      <c r="LUT67" s="209"/>
      <c r="LUU67" s="150" t="s">
        <v>24</v>
      </c>
      <c r="LUV67" s="151">
        <v>8150</v>
      </c>
      <c r="LUW67" s="159">
        <v>85</v>
      </c>
      <c r="LUX67" s="160">
        <v>215</v>
      </c>
      <c r="LUY67" s="160">
        <v>75</v>
      </c>
      <c r="LUZ67" s="159">
        <v>150</v>
      </c>
      <c r="LVA67" s="161">
        <f>SUM(LUV67:LUZ67)</f>
        <v>8675</v>
      </c>
      <c r="LVB67" s="159">
        <v>200</v>
      </c>
      <c r="LVC67" s="161">
        <f>SUM(LVA67:LVB67)</f>
        <v>8875</v>
      </c>
      <c r="LVD67" s="154" t="s">
        <v>106</v>
      </c>
      <c r="LVE67" s="155">
        <v>45845</v>
      </c>
      <c r="LVF67" s="150" t="s">
        <v>60</v>
      </c>
      <c r="LVG67" s="210"/>
      <c r="LVH67" s="156" t="s">
        <v>132</v>
      </c>
      <c r="LVI67" s="208"/>
      <c r="LVJ67" s="209"/>
      <c r="LVK67" s="150" t="s">
        <v>24</v>
      </c>
      <c r="LVL67" s="151">
        <v>8150</v>
      </c>
      <c r="LVM67" s="159">
        <v>85</v>
      </c>
      <c r="LVN67" s="160">
        <v>215</v>
      </c>
      <c r="LVO67" s="160">
        <v>75</v>
      </c>
      <c r="LVP67" s="159">
        <v>150</v>
      </c>
      <c r="LVQ67" s="161">
        <f>SUM(LVL67:LVP67)</f>
        <v>8675</v>
      </c>
      <c r="LVR67" s="159">
        <v>200</v>
      </c>
      <c r="LVS67" s="161">
        <f>SUM(LVQ67:LVR67)</f>
        <v>8875</v>
      </c>
      <c r="LVT67" s="154" t="s">
        <v>106</v>
      </c>
      <c r="LVU67" s="155">
        <v>45845</v>
      </c>
      <c r="LVV67" s="150" t="s">
        <v>60</v>
      </c>
      <c r="LVW67" s="210"/>
      <c r="LVX67" s="156" t="s">
        <v>132</v>
      </c>
      <c r="LVY67" s="208"/>
      <c r="LVZ67" s="209"/>
      <c r="LWA67" s="150" t="s">
        <v>24</v>
      </c>
      <c r="LWB67" s="151">
        <v>8150</v>
      </c>
      <c r="LWC67" s="159">
        <v>85</v>
      </c>
      <c r="LWD67" s="160">
        <v>215</v>
      </c>
      <c r="LWE67" s="160">
        <v>75</v>
      </c>
      <c r="LWF67" s="159">
        <v>150</v>
      </c>
      <c r="LWG67" s="161">
        <f>SUM(LWB67:LWF67)</f>
        <v>8675</v>
      </c>
      <c r="LWH67" s="159">
        <v>200</v>
      </c>
      <c r="LWI67" s="161">
        <f>SUM(LWG67:LWH67)</f>
        <v>8875</v>
      </c>
      <c r="LWJ67" s="154" t="s">
        <v>106</v>
      </c>
      <c r="LWK67" s="155">
        <v>45845</v>
      </c>
      <c r="LWL67" s="150" t="s">
        <v>60</v>
      </c>
      <c r="LWM67" s="210"/>
      <c r="LWN67" s="156" t="s">
        <v>132</v>
      </c>
      <c r="LWO67" s="208"/>
      <c r="LWP67" s="209"/>
      <c r="LWQ67" s="150" t="s">
        <v>24</v>
      </c>
      <c r="LWR67" s="151">
        <v>8150</v>
      </c>
      <c r="LWS67" s="159">
        <v>85</v>
      </c>
      <c r="LWT67" s="160">
        <v>215</v>
      </c>
      <c r="LWU67" s="160">
        <v>75</v>
      </c>
      <c r="LWV67" s="159">
        <v>150</v>
      </c>
      <c r="LWW67" s="161">
        <f>SUM(LWR67:LWV67)</f>
        <v>8675</v>
      </c>
      <c r="LWX67" s="159">
        <v>200</v>
      </c>
      <c r="LWY67" s="161">
        <f>SUM(LWW67:LWX67)</f>
        <v>8875</v>
      </c>
      <c r="LWZ67" s="154" t="s">
        <v>106</v>
      </c>
      <c r="LXA67" s="155">
        <v>45845</v>
      </c>
      <c r="LXB67" s="150" t="s">
        <v>60</v>
      </c>
      <c r="LXC67" s="210"/>
      <c r="LXD67" s="156" t="s">
        <v>132</v>
      </c>
      <c r="LXE67" s="208"/>
      <c r="LXF67" s="209"/>
      <c r="LXG67" s="150" t="s">
        <v>24</v>
      </c>
      <c r="LXH67" s="151">
        <v>8150</v>
      </c>
      <c r="LXI67" s="159">
        <v>85</v>
      </c>
      <c r="LXJ67" s="160">
        <v>215</v>
      </c>
      <c r="LXK67" s="160">
        <v>75</v>
      </c>
      <c r="LXL67" s="159">
        <v>150</v>
      </c>
      <c r="LXM67" s="161">
        <f>SUM(LXH67:LXL67)</f>
        <v>8675</v>
      </c>
      <c r="LXN67" s="159">
        <v>200</v>
      </c>
      <c r="LXO67" s="161">
        <f>SUM(LXM67:LXN67)</f>
        <v>8875</v>
      </c>
      <c r="LXP67" s="154" t="s">
        <v>106</v>
      </c>
      <c r="LXQ67" s="155">
        <v>45845</v>
      </c>
      <c r="LXR67" s="150" t="s">
        <v>60</v>
      </c>
      <c r="LXS67" s="210"/>
      <c r="LXT67" s="156" t="s">
        <v>132</v>
      </c>
      <c r="LXU67" s="208"/>
      <c r="LXV67" s="209"/>
      <c r="LXW67" s="150" t="s">
        <v>24</v>
      </c>
      <c r="LXX67" s="151">
        <v>8150</v>
      </c>
      <c r="LXY67" s="159">
        <v>85</v>
      </c>
      <c r="LXZ67" s="160">
        <v>215</v>
      </c>
      <c r="LYA67" s="160">
        <v>75</v>
      </c>
      <c r="LYB67" s="159">
        <v>150</v>
      </c>
      <c r="LYC67" s="161">
        <f>SUM(LXX67:LYB67)</f>
        <v>8675</v>
      </c>
      <c r="LYD67" s="159">
        <v>200</v>
      </c>
      <c r="LYE67" s="161">
        <f>SUM(LYC67:LYD67)</f>
        <v>8875</v>
      </c>
      <c r="LYF67" s="154" t="s">
        <v>106</v>
      </c>
      <c r="LYG67" s="155">
        <v>45845</v>
      </c>
      <c r="LYH67" s="150" t="s">
        <v>60</v>
      </c>
      <c r="LYI67" s="210"/>
      <c r="LYJ67" s="156" t="s">
        <v>132</v>
      </c>
      <c r="LYK67" s="208"/>
      <c r="LYL67" s="209"/>
      <c r="LYM67" s="150" t="s">
        <v>24</v>
      </c>
      <c r="LYN67" s="151">
        <v>8150</v>
      </c>
      <c r="LYO67" s="159">
        <v>85</v>
      </c>
      <c r="LYP67" s="160">
        <v>215</v>
      </c>
      <c r="LYQ67" s="160">
        <v>75</v>
      </c>
      <c r="LYR67" s="159">
        <v>150</v>
      </c>
      <c r="LYS67" s="161">
        <f>SUM(LYN67:LYR67)</f>
        <v>8675</v>
      </c>
      <c r="LYT67" s="159">
        <v>200</v>
      </c>
      <c r="LYU67" s="161">
        <f>SUM(LYS67:LYT67)</f>
        <v>8875</v>
      </c>
      <c r="LYV67" s="154" t="s">
        <v>106</v>
      </c>
      <c r="LYW67" s="155">
        <v>45845</v>
      </c>
      <c r="LYX67" s="150" t="s">
        <v>60</v>
      </c>
      <c r="LYY67" s="210"/>
      <c r="LYZ67" s="156" t="s">
        <v>132</v>
      </c>
      <c r="LZA67" s="208"/>
      <c r="LZB67" s="209"/>
      <c r="LZC67" s="150" t="s">
        <v>24</v>
      </c>
      <c r="LZD67" s="151">
        <v>8150</v>
      </c>
      <c r="LZE67" s="159">
        <v>85</v>
      </c>
      <c r="LZF67" s="160">
        <v>215</v>
      </c>
      <c r="LZG67" s="160">
        <v>75</v>
      </c>
      <c r="LZH67" s="159">
        <v>150</v>
      </c>
      <c r="LZI67" s="161">
        <f>SUM(LZD67:LZH67)</f>
        <v>8675</v>
      </c>
      <c r="LZJ67" s="159">
        <v>200</v>
      </c>
      <c r="LZK67" s="161">
        <f>SUM(LZI67:LZJ67)</f>
        <v>8875</v>
      </c>
      <c r="LZL67" s="154" t="s">
        <v>106</v>
      </c>
      <c r="LZM67" s="155">
        <v>45845</v>
      </c>
      <c r="LZN67" s="150" t="s">
        <v>60</v>
      </c>
      <c r="LZO67" s="210"/>
      <c r="LZP67" s="156" t="s">
        <v>132</v>
      </c>
      <c r="LZQ67" s="208"/>
      <c r="LZR67" s="209"/>
      <c r="LZS67" s="150" t="s">
        <v>24</v>
      </c>
      <c r="LZT67" s="151">
        <v>8150</v>
      </c>
      <c r="LZU67" s="159">
        <v>85</v>
      </c>
      <c r="LZV67" s="160">
        <v>215</v>
      </c>
      <c r="LZW67" s="160">
        <v>75</v>
      </c>
      <c r="LZX67" s="159">
        <v>150</v>
      </c>
      <c r="LZY67" s="161">
        <f>SUM(LZT67:LZX67)</f>
        <v>8675</v>
      </c>
      <c r="LZZ67" s="159">
        <v>200</v>
      </c>
      <c r="MAA67" s="161">
        <f>SUM(LZY67:LZZ67)</f>
        <v>8875</v>
      </c>
      <c r="MAB67" s="154" t="s">
        <v>106</v>
      </c>
      <c r="MAC67" s="155">
        <v>45845</v>
      </c>
      <c r="MAD67" s="150" t="s">
        <v>60</v>
      </c>
      <c r="MAE67" s="210"/>
      <c r="MAF67" s="156" t="s">
        <v>132</v>
      </c>
      <c r="MAG67" s="208"/>
      <c r="MAH67" s="209"/>
      <c r="MAI67" s="150" t="s">
        <v>24</v>
      </c>
      <c r="MAJ67" s="151">
        <v>8150</v>
      </c>
      <c r="MAK67" s="159">
        <v>85</v>
      </c>
      <c r="MAL67" s="160">
        <v>215</v>
      </c>
      <c r="MAM67" s="160">
        <v>75</v>
      </c>
      <c r="MAN67" s="159">
        <v>150</v>
      </c>
      <c r="MAO67" s="161">
        <f>SUM(MAJ67:MAN67)</f>
        <v>8675</v>
      </c>
      <c r="MAP67" s="159">
        <v>200</v>
      </c>
      <c r="MAQ67" s="161">
        <f>SUM(MAO67:MAP67)</f>
        <v>8875</v>
      </c>
      <c r="MAR67" s="154" t="s">
        <v>106</v>
      </c>
      <c r="MAS67" s="155">
        <v>45845</v>
      </c>
      <c r="MAT67" s="150" t="s">
        <v>60</v>
      </c>
      <c r="MAU67" s="210"/>
      <c r="MAV67" s="156" t="s">
        <v>132</v>
      </c>
      <c r="MAW67" s="208"/>
      <c r="MAX67" s="209"/>
      <c r="MAY67" s="150" t="s">
        <v>24</v>
      </c>
      <c r="MAZ67" s="151">
        <v>8150</v>
      </c>
      <c r="MBA67" s="159">
        <v>85</v>
      </c>
      <c r="MBB67" s="160">
        <v>215</v>
      </c>
      <c r="MBC67" s="160">
        <v>75</v>
      </c>
      <c r="MBD67" s="159">
        <v>150</v>
      </c>
      <c r="MBE67" s="161">
        <f>SUM(MAZ67:MBD67)</f>
        <v>8675</v>
      </c>
      <c r="MBF67" s="159">
        <v>200</v>
      </c>
      <c r="MBG67" s="161">
        <f>SUM(MBE67:MBF67)</f>
        <v>8875</v>
      </c>
      <c r="MBH67" s="154" t="s">
        <v>106</v>
      </c>
      <c r="MBI67" s="155">
        <v>45845</v>
      </c>
      <c r="MBJ67" s="150" t="s">
        <v>60</v>
      </c>
      <c r="MBK67" s="210"/>
      <c r="MBL67" s="156" t="s">
        <v>132</v>
      </c>
      <c r="MBM67" s="208"/>
      <c r="MBN67" s="209"/>
      <c r="MBO67" s="150" t="s">
        <v>24</v>
      </c>
      <c r="MBP67" s="151">
        <v>8150</v>
      </c>
      <c r="MBQ67" s="159">
        <v>85</v>
      </c>
      <c r="MBR67" s="160">
        <v>215</v>
      </c>
      <c r="MBS67" s="160">
        <v>75</v>
      </c>
      <c r="MBT67" s="159">
        <v>150</v>
      </c>
      <c r="MBU67" s="161">
        <f>SUM(MBP67:MBT67)</f>
        <v>8675</v>
      </c>
      <c r="MBV67" s="159">
        <v>200</v>
      </c>
      <c r="MBW67" s="161">
        <f>SUM(MBU67:MBV67)</f>
        <v>8875</v>
      </c>
      <c r="MBX67" s="154" t="s">
        <v>106</v>
      </c>
      <c r="MBY67" s="155">
        <v>45845</v>
      </c>
      <c r="MBZ67" s="150" t="s">
        <v>60</v>
      </c>
      <c r="MCA67" s="210"/>
      <c r="MCB67" s="156" t="s">
        <v>132</v>
      </c>
      <c r="MCC67" s="208"/>
      <c r="MCD67" s="209"/>
      <c r="MCE67" s="150" t="s">
        <v>24</v>
      </c>
      <c r="MCF67" s="151">
        <v>8150</v>
      </c>
      <c r="MCG67" s="159">
        <v>85</v>
      </c>
      <c r="MCH67" s="160">
        <v>215</v>
      </c>
      <c r="MCI67" s="160">
        <v>75</v>
      </c>
      <c r="MCJ67" s="159">
        <v>150</v>
      </c>
      <c r="MCK67" s="161">
        <f>SUM(MCF67:MCJ67)</f>
        <v>8675</v>
      </c>
      <c r="MCL67" s="159">
        <v>200</v>
      </c>
      <c r="MCM67" s="161">
        <f>SUM(MCK67:MCL67)</f>
        <v>8875</v>
      </c>
      <c r="MCN67" s="154" t="s">
        <v>106</v>
      </c>
      <c r="MCO67" s="155">
        <v>45845</v>
      </c>
      <c r="MCP67" s="150" t="s">
        <v>60</v>
      </c>
      <c r="MCQ67" s="210"/>
      <c r="MCR67" s="156" t="s">
        <v>132</v>
      </c>
      <c r="MCS67" s="208"/>
      <c r="MCT67" s="209"/>
      <c r="MCU67" s="150" t="s">
        <v>24</v>
      </c>
      <c r="MCV67" s="151">
        <v>8150</v>
      </c>
      <c r="MCW67" s="159">
        <v>85</v>
      </c>
      <c r="MCX67" s="160">
        <v>215</v>
      </c>
      <c r="MCY67" s="160">
        <v>75</v>
      </c>
      <c r="MCZ67" s="159">
        <v>150</v>
      </c>
      <c r="MDA67" s="161">
        <f>SUM(MCV67:MCZ67)</f>
        <v>8675</v>
      </c>
      <c r="MDB67" s="159">
        <v>200</v>
      </c>
      <c r="MDC67" s="161">
        <f>SUM(MDA67:MDB67)</f>
        <v>8875</v>
      </c>
      <c r="MDD67" s="154" t="s">
        <v>106</v>
      </c>
      <c r="MDE67" s="155">
        <v>45845</v>
      </c>
      <c r="MDF67" s="150" t="s">
        <v>60</v>
      </c>
      <c r="MDG67" s="210"/>
      <c r="MDH67" s="156" t="s">
        <v>132</v>
      </c>
      <c r="MDI67" s="208"/>
      <c r="MDJ67" s="209"/>
      <c r="MDK67" s="150" t="s">
        <v>24</v>
      </c>
      <c r="MDL67" s="151">
        <v>8150</v>
      </c>
      <c r="MDM67" s="159">
        <v>85</v>
      </c>
      <c r="MDN67" s="160">
        <v>215</v>
      </c>
      <c r="MDO67" s="160">
        <v>75</v>
      </c>
      <c r="MDP67" s="159">
        <v>150</v>
      </c>
      <c r="MDQ67" s="161">
        <f>SUM(MDL67:MDP67)</f>
        <v>8675</v>
      </c>
      <c r="MDR67" s="159">
        <v>200</v>
      </c>
      <c r="MDS67" s="161">
        <f>SUM(MDQ67:MDR67)</f>
        <v>8875</v>
      </c>
      <c r="MDT67" s="154" t="s">
        <v>106</v>
      </c>
      <c r="MDU67" s="155">
        <v>45845</v>
      </c>
      <c r="MDV67" s="150" t="s">
        <v>60</v>
      </c>
      <c r="MDW67" s="210"/>
      <c r="MDX67" s="156" t="s">
        <v>132</v>
      </c>
      <c r="MDY67" s="208"/>
      <c r="MDZ67" s="209"/>
      <c r="MEA67" s="150" t="s">
        <v>24</v>
      </c>
      <c r="MEB67" s="151">
        <v>8150</v>
      </c>
      <c r="MEC67" s="159">
        <v>85</v>
      </c>
      <c r="MED67" s="160">
        <v>215</v>
      </c>
      <c r="MEE67" s="160">
        <v>75</v>
      </c>
      <c r="MEF67" s="159">
        <v>150</v>
      </c>
      <c r="MEG67" s="161">
        <f>SUM(MEB67:MEF67)</f>
        <v>8675</v>
      </c>
      <c r="MEH67" s="159">
        <v>200</v>
      </c>
      <c r="MEI67" s="161">
        <f>SUM(MEG67:MEH67)</f>
        <v>8875</v>
      </c>
      <c r="MEJ67" s="154" t="s">
        <v>106</v>
      </c>
      <c r="MEK67" s="155">
        <v>45845</v>
      </c>
      <c r="MEL67" s="150" t="s">
        <v>60</v>
      </c>
      <c r="MEM67" s="210"/>
      <c r="MEN67" s="156" t="s">
        <v>132</v>
      </c>
      <c r="MEO67" s="208"/>
      <c r="MEP67" s="209"/>
      <c r="MEQ67" s="150" t="s">
        <v>24</v>
      </c>
      <c r="MER67" s="151">
        <v>8150</v>
      </c>
      <c r="MES67" s="159">
        <v>85</v>
      </c>
      <c r="MET67" s="160">
        <v>215</v>
      </c>
      <c r="MEU67" s="160">
        <v>75</v>
      </c>
      <c r="MEV67" s="159">
        <v>150</v>
      </c>
      <c r="MEW67" s="161">
        <f>SUM(MER67:MEV67)</f>
        <v>8675</v>
      </c>
      <c r="MEX67" s="159">
        <v>200</v>
      </c>
      <c r="MEY67" s="161">
        <f>SUM(MEW67:MEX67)</f>
        <v>8875</v>
      </c>
      <c r="MEZ67" s="154" t="s">
        <v>106</v>
      </c>
      <c r="MFA67" s="155">
        <v>45845</v>
      </c>
      <c r="MFB67" s="150" t="s">
        <v>60</v>
      </c>
      <c r="MFC67" s="210"/>
      <c r="MFD67" s="156" t="s">
        <v>132</v>
      </c>
      <c r="MFE67" s="208"/>
      <c r="MFF67" s="209"/>
      <c r="MFG67" s="150" t="s">
        <v>24</v>
      </c>
      <c r="MFH67" s="151">
        <v>8150</v>
      </c>
      <c r="MFI67" s="159">
        <v>85</v>
      </c>
      <c r="MFJ67" s="160">
        <v>215</v>
      </c>
      <c r="MFK67" s="160">
        <v>75</v>
      </c>
      <c r="MFL67" s="159">
        <v>150</v>
      </c>
      <c r="MFM67" s="161">
        <f>SUM(MFH67:MFL67)</f>
        <v>8675</v>
      </c>
      <c r="MFN67" s="159">
        <v>200</v>
      </c>
      <c r="MFO67" s="161">
        <f>SUM(MFM67:MFN67)</f>
        <v>8875</v>
      </c>
      <c r="MFP67" s="154" t="s">
        <v>106</v>
      </c>
      <c r="MFQ67" s="155">
        <v>45845</v>
      </c>
      <c r="MFR67" s="150" t="s">
        <v>60</v>
      </c>
      <c r="MFS67" s="210"/>
      <c r="MFT67" s="156" t="s">
        <v>132</v>
      </c>
      <c r="MFU67" s="208"/>
      <c r="MFV67" s="209"/>
      <c r="MFW67" s="150" t="s">
        <v>24</v>
      </c>
      <c r="MFX67" s="151">
        <v>8150</v>
      </c>
      <c r="MFY67" s="159">
        <v>85</v>
      </c>
      <c r="MFZ67" s="160">
        <v>215</v>
      </c>
      <c r="MGA67" s="160">
        <v>75</v>
      </c>
      <c r="MGB67" s="159">
        <v>150</v>
      </c>
      <c r="MGC67" s="161">
        <f>SUM(MFX67:MGB67)</f>
        <v>8675</v>
      </c>
      <c r="MGD67" s="159">
        <v>200</v>
      </c>
      <c r="MGE67" s="161">
        <f>SUM(MGC67:MGD67)</f>
        <v>8875</v>
      </c>
      <c r="MGF67" s="154" t="s">
        <v>106</v>
      </c>
      <c r="MGG67" s="155">
        <v>45845</v>
      </c>
      <c r="MGH67" s="150" t="s">
        <v>60</v>
      </c>
      <c r="MGI67" s="210"/>
      <c r="MGJ67" s="156" t="s">
        <v>132</v>
      </c>
      <c r="MGK67" s="208"/>
      <c r="MGL67" s="209"/>
      <c r="MGM67" s="150" t="s">
        <v>24</v>
      </c>
      <c r="MGN67" s="151">
        <v>8150</v>
      </c>
      <c r="MGO67" s="159">
        <v>85</v>
      </c>
      <c r="MGP67" s="160">
        <v>215</v>
      </c>
      <c r="MGQ67" s="160">
        <v>75</v>
      </c>
      <c r="MGR67" s="159">
        <v>150</v>
      </c>
      <c r="MGS67" s="161">
        <f>SUM(MGN67:MGR67)</f>
        <v>8675</v>
      </c>
      <c r="MGT67" s="159">
        <v>200</v>
      </c>
      <c r="MGU67" s="161">
        <f>SUM(MGS67:MGT67)</f>
        <v>8875</v>
      </c>
      <c r="MGV67" s="154" t="s">
        <v>106</v>
      </c>
      <c r="MGW67" s="155">
        <v>45845</v>
      </c>
      <c r="MGX67" s="150" t="s">
        <v>60</v>
      </c>
      <c r="MGY67" s="210"/>
      <c r="MGZ67" s="156" t="s">
        <v>132</v>
      </c>
      <c r="MHA67" s="208"/>
      <c r="MHB67" s="209"/>
      <c r="MHC67" s="150" t="s">
        <v>24</v>
      </c>
      <c r="MHD67" s="151">
        <v>8150</v>
      </c>
      <c r="MHE67" s="159">
        <v>85</v>
      </c>
      <c r="MHF67" s="160">
        <v>215</v>
      </c>
      <c r="MHG67" s="160">
        <v>75</v>
      </c>
      <c r="MHH67" s="159">
        <v>150</v>
      </c>
      <c r="MHI67" s="161">
        <f>SUM(MHD67:MHH67)</f>
        <v>8675</v>
      </c>
      <c r="MHJ67" s="159">
        <v>200</v>
      </c>
      <c r="MHK67" s="161">
        <f>SUM(MHI67:MHJ67)</f>
        <v>8875</v>
      </c>
      <c r="MHL67" s="154" t="s">
        <v>106</v>
      </c>
      <c r="MHM67" s="155">
        <v>45845</v>
      </c>
      <c r="MHN67" s="150" t="s">
        <v>60</v>
      </c>
      <c r="MHO67" s="210"/>
      <c r="MHP67" s="156" t="s">
        <v>132</v>
      </c>
      <c r="MHQ67" s="208"/>
      <c r="MHR67" s="209"/>
      <c r="MHS67" s="150" t="s">
        <v>24</v>
      </c>
      <c r="MHT67" s="151">
        <v>8150</v>
      </c>
      <c r="MHU67" s="159">
        <v>85</v>
      </c>
      <c r="MHV67" s="160">
        <v>215</v>
      </c>
      <c r="MHW67" s="160">
        <v>75</v>
      </c>
      <c r="MHX67" s="159">
        <v>150</v>
      </c>
      <c r="MHY67" s="161">
        <f>SUM(MHT67:MHX67)</f>
        <v>8675</v>
      </c>
      <c r="MHZ67" s="159">
        <v>200</v>
      </c>
      <c r="MIA67" s="161">
        <f>SUM(MHY67:MHZ67)</f>
        <v>8875</v>
      </c>
      <c r="MIB67" s="154" t="s">
        <v>106</v>
      </c>
      <c r="MIC67" s="155">
        <v>45845</v>
      </c>
      <c r="MID67" s="150" t="s">
        <v>60</v>
      </c>
      <c r="MIE67" s="210"/>
      <c r="MIF67" s="156" t="s">
        <v>132</v>
      </c>
      <c r="MIG67" s="208"/>
      <c r="MIH67" s="209"/>
      <c r="MII67" s="150" t="s">
        <v>24</v>
      </c>
      <c r="MIJ67" s="151">
        <v>8150</v>
      </c>
      <c r="MIK67" s="159">
        <v>85</v>
      </c>
      <c r="MIL67" s="160">
        <v>215</v>
      </c>
      <c r="MIM67" s="160">
        <v>75</v>
      </c>
      <c r="MIN67" s="159">
        <v>150</v>
      </c>
      <c r="MIO67" s="161">
        <f>SUM(MIJ67:MIN67)</f>
        <v>8675</v>
      </c>
      <c r="MIP67" s="159">
        <v>200</v>
      </c>
      <c r="MIQ67" s="161">
        <f>SUM(MIO67:MIP67)</f>
        <v>8875</v>
      </c>
      <c r="MIR67" s="154" t="s">
        <v>106</v>
      </c>
      <c r="MIS67" s="155">
        <v>45845</v>
      </c>
      <c r="MIT67" s="150" t="s">
        <v>60</v>
      </c>
      <c r="MIU67" s="210"/>
      <c r="MIV67" s="156" t="s">
        <v>132</v>
      </c>
      <c r="MIW67" s="208"/>
      <c r="MIX67" s="209"/>
      <c r="MIY67" s="150" t="s">
        <v>24</v>
      </c>
      <c r="MIZ67" s="151">
        <v>8150</v>
      </c>
      <c r="MJA67" s="159">
        <v>85</v>
      </c>
      <c r="MJB67" s="160">
        <v>215</v>
      </c>
      <c r="MJC67" s="160">
        <v>75</v>
      </c>
      <c r="MJD67" s="159">
        <v>150</v>
      </c>
      <c r="MJE67" s="161">
        <f>SUM(MIZ67:MJD67)</f>
        <v>8675</v>
      </c>
      <c r="MJF67" s="159">
        <v>200</v>
      </c>
      <c r="MJG67" s="161">
        <f>SUM(MJE67:MJF67)</f>
        <v>8875</v>
      </c>
      <c r="MJH67" s="154" t="s">
        <v>106</v>
      </c>
      <c r="MJI67" s="155">
        <v>45845</v>
      </c>
      <c r="MJJ67" s="150" t="s">
        <v>60</v>
      </c>
      <c r="MJK67" s="210"/>
      <c r="MJL67" s="156" t="s">
        <v>132</v>
      </c>
      <c r="MJM67" s="208"/>
      <c r="MJN67" s="209"/>
      <c r="MJO67" s="150" t="s">
        <v>24</v>
      </c>
      <c r="MJP67" s="151">
        <v>8150</v>
      </c>
      <c r="MJQ67" s="159">
        <v>85</v>
      </c>
      <c r="MJR67" s="160">
        <v>215</v>
      </c>
      <c r="MJS67" s="160">
        <v>75</v>
      </c>
      <c r="MJT67" s="159">
        <v>150</v>
      </c>
      <c r="MJU67" s="161">
        <f>SUM(MJP67:MJT67)</f>
        <v>8675</v>
      </c>
      <c r="MJV67" s="159">
        <v>200</v>
      </c>
      <c r="MJW67" s="161">
        <f>SUM(MJU67:MJV67)</f>
        <v>8875</v>
      </c>
      <c r="MJX67" s="154" t="s">
        <v>106</v>
      </c>
      <c r="MJY67" s="155">
        <v>45845</v>
      </c>
      <c r="MJZ67" s="150" t="s">
        <v>60</v>
      </c>
      <c r="MKA67" s="210"/>
      <c r="MKB67" s="156" t="s">
        <v>132</v>
      </c>
      <c r="MKC67" s="208"/>
      <c r="MKD67" s="209"/>
      <c r="MKE67" s="150" t="s">
        <v>24</v>
      </c>
      <c r="MKF67" s="151">
        <v>8150</v>
      </c>
      <c r="MKG67" s="159">
        <v>85</v>
      </c>
      <c r="MKH67" s="160">
        <v>215</v>
      </c>
      <c r="MKI67" s="160">
        <v>75</v>
      </c>
      <c r="MKJ67" s="159">
        <v>150</v>
      </c>
      <c r="MKK67" s="161">
        <f>SUM(MKF67:MKJ67)</f>
        <v>8675</v>
      </c>
      <c r="MKL67" s="159">
        <v>200</v>
      </c>
      <c r="MKM67" s="161">
        <f>SUM(MKK67:MKL67)</f>
        <v>8875</v>
      </c>
      <c r="MKN67" s="154" t="s">
        <v>106</v>
      </c>
      <c r="MKO67" s="155">
        <v>45845</v>
      </c>
      <c r="MKP67" s="150" t="s">
        <v>60</v>
      </c>
      <c r="MKQ67" s="210"/>
      <c r="MKR67" s="156" t="s">
        <v>132</v>
      </c>
      <c r="MKS67" s="208"/>
      <c r="MKT67" s="209"/>
      <c r="MKU67" s="150" t="s">
        <v>24</v>
      </c>
      <c r="MKV67" s="151">
        <v>8150</v>
      </c>
      <c r="MKW67" s="159">
        <v>85</v>
      </c>
      <c r="MKX67" s="160">
        <v>215</v>
      </c>
      <c r="MKY67" s="160">
        <v>75</v>
      </c>
      <c r="MKZ67" s="159">
        <v>150</v>
      </c>
      <c r="MLA67" s="161">
        <f>SUM(MKV67:MKZ67)</f>
        <v>8675</v>
      </c>
      <c r="MLB67" s="159">
        <v>200</v>
      </c>
      <c r="MLC67" s="161">
        <f>SUM(MLA67:MLB67)</f>
        <v>8875</v>
      </c>
      <c r="MLD67" s="154" t="s">
        <v>106</v>
      </c>
      <c r="MLE67" s="155">
        <v>45845</v>
      </c>
      <c r="MLF67" s="150" t="s">
        <v>60</v>
      </c>
      <c r="MLG67" s="210"/>
      <c r="MLH67" s="156" t="s">
        <v>132</v>
      </c>
      <c r="MLI67" s="208"/>
      <c r="MLJ67" s="209"/>
      <c r="MLK67" s="150" t="s">
        <v>24</v>
      </c>
      <c r="MLL67" s="151">
        <v>8150</v>
      </c>
      <c r="MLM67" s="159">
        <v>85</v>
      </c>
      <c r="MLN67" s="160">
        <v>215</v>
      </c>
      <c r="MLO67" s="160">
        <v>75</v>
      </c>
      <c r="MLP67" s="159">
        <v>150</v>
      </c>
      <c r="MLQ67" s="161">
        <f>SUM(MLL67:MLP67)</f>
        <v>8675</v>
      </c>
      <c r="MLR67" s="159">
        <v>200</v>
      </c>
      <c r="MLS67" s="161">
        <f>SUM(MLQ67:MLR67)</f>
        <v>8875</v>
      </c>
      <c r="MLT67" s="154" t="s">
        <v>106</v>
      </c>
      <c r="MLU67" s="155">
        <v>45845</v>
      </c>
      <c r="MLV67" s="150" t="s">
        <v>60</v>
      </c>
      <c r="MLW67" s="210"/>
      <c r="MLX67" s="156" t="s">
        <v>132</v>
      </c>
      <c r="MLY67" s="208"/>
      <c r="MLZ67" s="209"/>
      <c r="MMA67" s="150" t="s">
        <v>24</v>
      </c>
      <c r="MMB67" s="151">
        <v>8150</v>
      </c>
      <c r="MMC67" s="159">
        <v>85</v>
      </c>
      <c r="MMD67" s="160">
        <v>215</v>
      </c>
      <c r="MME67" s="160">
        <v>75</v>
      </c>
      <c r="MMF67" s="159">
        <v>150</v>
      </c>
      <c r="MMG67" s="161">
        <f>SUM(MMB67:MMF67)</f>
        <v>8675</v>
      </c>
      <c r="MMH67" s="159">
        <v>200</v>
      </c>
      <c r="MMI67" s="161">
        <f>SUM(MMG67:MMH67)</f>
        <v>8875</v>
      </c>
      <c r="MMJ67" s="154" t="s">
        <v>106</v>
      </c>
      <c r="MMK67" s="155">
        <v>45845</v>
      </c>
      <c r="MML67" s="150" t="s">
        <v>60</v>
      </c>
      <c r="MMM67" s="210"/>
      <c r="MMN67" s="156" t="s">
        <v>132</v>
      </c>
      <c r="MMO67" s="208"/>
      <c r="MMP67" s="209"/>
      <c r="MMQ67" s="150" t="s">
        <v>24</v>
      </c>
      <c r="MMR67" s="151">
        <v>8150</v>
      </c>
      <c r="MMS67" s="159">
        <v>85</v>
      </c>
      <c r="MMT67" s="160">
        <v>215</v>
      </c>
      <c r="MMU67" s="160">
        <v>75</v>
      </c>
      <c r="MMV67" s="159">
        <v>150</v>
      </c>
      <c r="MMW67" s="161">
        <f>SUM(MMR67:MMV67)</f>
        <v>8675</v>
      </c>
      <c r="MMX67" s="159">
        <v>200</v>
      </c>
      <c r="MMY67" s="161">
        <f>SUM(MMW67:MMX67)</f>
        <v>8875</v>
      </c>
      <c r="MMZ67" s="154" t="s">
        <v>106</v>
      </c>
      <c r="MNA67" s="155">
        <v>45845</v>
      </c>
      <c r="MNB67" s="150" t="s">
        <v>60</v>
      </c>
      <c r="MNC67" s="210"/>
      <c r="MND67" s="156" t="s">
        <v>132</v>
      </c>
      <c r="MNE67" s="208"/>
      <c r="MNF67" s="209"/>
      <c r="MNG67" s="150" t="s">
        <v>24</v>
      </c>
      <c r="MNH67" s="151">
        <v>8150</v>
      </c>
      <c r="MNI67" s="159">
        <v>85</v>
      </c>
      <c r="MNJ67" s="160">
        <v>215</v>
      </c>
      <c r="MNK67" s="160">
        <v>75</v>
      </c>
      <c r="MNL67" s="159">
        <v>150</v>
      </c>
      <c r="MNM67" s="161">
        <f>SUM(MNH67:MNL67)</f>
        <v>8675</v>
      </c>
      <c r="MNN67" s="159">
        <v>200</v>
      </c>
      <c r="MNO67" s="161">
        <f>SUM(MNM67:MNN67)</f>
        <v>8875</v>
      </c>
      <c r="MNP67" s="154" t="s">
        <v>106</v>
      </c>
      <c r="MNQ67" s="155">
        <v>45845</v>
      </c>
      <c r="MNR67" s="150" t="s">
        <v>60</v>
      </c>
      <c r="MNS67" s="210"/>
      <c r="MNT67" s="156" t="s">
        <v>132</v>
      </c>
      <c r="MNU67" s="208"/>
      <c r="MNV67" s="209"/>
      <c r="MNW67" s="150" t="s">
        <v>24</v>
      </c>
      <c r="MNX67" s="151">
        <v>8150</v>
      </c>
      <c r="MNY67" s="159">
        <v>85</v>
      </c>
      <c r="MNZ67" s="160">
        <v>215</v>
      </c>
      <c r="MOA67" s="160">
        <v>75</v>
      </c>
      <c r="MOB67" s="159">
        <v>150</v>
      </c>
      <c r="MOC67" s="161">
        <f>SUM(MNX67:MOB67)</f>
        <v>8675</v>
      </c>
      <c r="MOD67" s="159">
        <v>200</v>
      </c>
      <c r="MOE67" s="161">
        <f>SUM(MOC67:MOD67)</f>
        <v>8875</v>
      </c>
      <c r="MOF67" s="154" t="s">
        <v>106</v>
      </c>
      <c r="MOG67" s="155">
        <v>45845</v>
      </c>
      <c r="MOH67" s="150" t="s">
        <v>60</v>
      </c>
      <c r="MOI67" s="210"/>
      <c r="MOJ67" s="156" t="s">
        <v>132</v>
      </c>
      <c r="MOK67" s="208"/>
      <c r="MOL67" s="209"/>
      <c r="MOM67" s="150" t="s">
        <v>24</v>
      </c>
      <c r="MON67" s="151">
        <v>8150</v>
      </c>
      <c r="MOO67" s="159">
        <v>85</v>
      </c>
      <c r="MOP67" s="160">
        <v>215</v>
      </c>
      <c r="MOQ67" s="160">
        <v>75</v>
      </c>
      <c r="MOR67" s="159">
        <v>150</v>
      </c>
      <c r="MOS67" s="161">
        <f>SUM(MON67:MOR67)</f>
        <v>8675</v>
      </c>
      <c r="MOT67" s="159">
        <v>200</v>
      </c>
      <c r="MOU67" s="161">
        <f>SUM(MOS67:MOT67)</f>
        <v>8875</v>
      </c>
      <c r="MOV67" s="154" t="s">
        <v>106</v>
      </c>
      <c r="MOW67" s="155">
        <v>45845</v>
      </c>
      <c r="MOX67" s="150" t="s">
        <v>60</v>
      </c>
      <c r="MOY67" s="210"/>
      <c r="MOZ67" s="156" t="s">
        <v>132</v>
      </c>
      <c r="MPA67" s="208"/>
      <c r="MPB67" s="209"/>
      <c r="MPC67" s="150" t="s">
        <v>24</v>
      </c>
      <c r="MPD67" s="151">
        <v>8150</v>
      </c>
      <c r="MPE67" s="159">
        <v>85</v>
      </c>
      <c r="MPF67" s="160">
        <v>215</v>
      </c>
      <c r="MPG67" s="160">
        <v>75</v>
      </c>
      <c r="MPH67" s="159">
        <v>150</v>
      </c>
      <c r="MPI67" s="161">
        <f>SUM(MPD67:MPH67)</f>
        <v>8675</v>
      </c>
      <c r="MPJ67" s="159">
        <v>200</v>
      </c>
      <c r="MPK67" s="161">
        <f>SUM(MPI67:MPJ67)</f>
        <v>8875</v>
      </c>
      <c r="MPL67" s="154" t="s">
        <v>106</v>
      </c>
      <c r="MPM67" s="155">
        <v>45845</v>
      </c>
      <c r="MPN67" s="150" t="s">
        <v>60</v>
      </c>
      <c r="MPO67" s="210"/>
      <c r="MPP67" s="156" t="s">
        <v>132</v>
      </c>
      <c r="MPQ67" s="208"/>
      <c r="MPR67" s="209"/>
      <c r="MPS67" s="150" t="s">
        <v>24</v>
      </c>
      <c r="MPT67" s="151">
        <v>8150</v>
      </c>
      <c r="MPU67" s="159">
        <v>85</v>
      </c>
      <c r="MPV67" s="160">
        <v>215</v>
      </c>
      <c r="MPW67" s="160">
        <v>75</v>
      </c>
      <c r="MPX67" s="159">
        <v>150</v>
      </c>
      <c r="MPY67" s="161">
        <f>SUM(MPT67:MPX67)</f>
        <v>8675</v>
      </c>
      <c r="MPZ67" s="159">
        <v>200</v>
      </c>
      <c r="MQA67" s="161">
        <f>SUM(MPY67:MPZ67)</f>
        <v>8875</v>
      </c>
      <c r="MQB67" s="154" t="s">
        <v>106</v>
      </c>
      <c r="MQC67" s="155">
        <v>45845</v>
      </c>
      <c r="MQD67" s="150" t="s">
        <v>60</v>
      </c>
      <c r="MQE67" s="210"/>
      <c r="MQF67" s="156" t="s">
        <v>132</v>
      </c>
      <c r="MQG67" s="208"/>
      <c r="MQH67" s="209"/>
      <c r="MQI67" s="150" t="s">
        <v>24</v>
      </c>
      <c r="MQJ67" s="151">
        <v>8150</v>
      </c>
      <c r="MQK67" s="159">
        <v>85</v>
      </c>
      <c r="MQL67" s="160">
        <v>215</v>
      </c>
      <c r="MQM67" s="160">
        <v>75</v>
      </c>
      <c r="MQN67" s="159">
        <v>150</v>
      </c>
      <c r="MQO67" s="161">
        <f>SUM(MQJ67:MQN67)</f>
        <v>8675</v>
      </c>
      <c r="MQP67" s="159">
        <v>200</v>
      </c>
      <c r="MQQ67" s="161">
        <f>SUM(MQO67:MQP67)</f>
        <v>8875</v>
      </c>
      <c r="MQR67" s="154" t="s">
        <v>106</v>
      </c>
      <c r="MQS67" s="155">
        <v>45845</v>
      </c>
      <c r="MQT67" s="150" t="s">
        <v>60</v>
      </c>
      <c r="MQU67" s="210"/>
      <c r="MQV67" s="156" t="s">
        <v>132</v>
      </c>
      <c r="MQW67" s="208"/>
      <c r="MQX67" s="209"/>
      <c r="MQY67" s="150" t="s">
        <v>24</v>
      </c>
      <c r="MQZ67" s="151">
        <v>8150</v>
      </c>
      <c r="MRA67" s="159">
        <v>85</v>
      </c>
      <c r="MRB67" s="160">
        <v>215</v>
      </c>
      <c r="MRC67" s="160">
        <v>75</v>
      </c>
      <c r="MRD67" s="159">
        <v>150</v>
      </c>
      <c r="MRE67" s="161">
        <f>SUM(MQZ67:MRD67)</f>
        <v>8675</v>
      </c>
      <c r="MRF67" s="159">
        <v>200</v>
      </c>
      <c r="MRG67" s="161">
        <f>SUM(MRE67:MRF67)</f>
        <v>8875</v>
      </c>
      <c r="MRH67" s="154" t="s">
        <v>106</v>
      </c>
      <c r="MRI67" s="155">
        <v>45845</v>
      </c>
      <c r="MRJ67" s="150" t="s">
        <v>60</v>
      </c>
      <c r="MRK67" s="210"/>
      <c r="MRL67" s="156" t="s">
        <v>132</v>
      </c>
      <c r="MRM67" s="208"/>
      <c r="MRN67" s="209"/>
      <c r="MRO67" s="150" t="s">
        <v>24</v>
      </c>
      <c r="MRP67" s="151">
        <v>8150</v>
      </c>
      <c r="MRQ67" s="159">
        <v>85</v>
      </c>
      <c r="MRR67" s="160">
        <v>215</v>
      </c>
      <c r="MRS67" s="160">
        <v>75</v>
      </c>
      <c r="MRT67" s="159">
        <v>150</v>
      </c>
      <c r="MRU67" s="161">
        <f>SUM(MRP67:MRT67)</f>
        <v>8675</v>
      </c>
      <c r="MRV67" s="159">
        <v>200</v>
      </c>
      <c r="MRW67" s="161">
        <f>SUM(MRU67:MRV67)</f>
        <v>8875</v>
      </c>
      <c r="MRX67" s="154" t="s">
        <v>106</v>
      </c>
      <c r="MRY67" s="155">
        <v>45845</v>
      </c>
      <c r="MRZ67" s="150" t="s">
        <v>60</v>
      </c>
      <c r="MSA67" s="210"/>
      <c r="MSB67" s="156" t="s">
        <v>132</v>
      </c>
      <c r="MSC67" s="208"/>
      <c r="MSD67" s="209"/>
      <c r="MSE67" s="150" t="s">
        <v>24</v>
      </c>
      <c r="MSF67" s="151">
        <v>8150</v>
      </c>
      <c r="MSG67" s="159">
        <v>85</v>
      </c>
      <c r="MSH67" s="160">
        <v>215</v>
      </c>
      <c r="MSI67" s="160">
        <v>75</v>
      </c>
      <c r="MSJ67" s="159">
        <v>150</v>
      </c>
      <c r="MSK67" s="161">
        <f>SUM(MSF67:MSJ67)</f>
        <v>8675</v>
      </c>
      <c r="MSL67" s="159">
        <v>200</v>
      </c>
      <c r="MSM67" s="161">
        <f>SUM(MSK67:MSL67)</f>
        <v>8875</v>
      </c>
      <c r="MSN67" s="154" t="s">
        <v>106</v>
      </c>
      <c r="MSO67" s="155">
        <v>45845</v>
      </c>
      <c r="MSP67" s="150" t="s">
        <v>60</v>
      </c>
      <c r="MSQ67" s="210"/>
      <c r="MSR67" s="156" t="s">
        <v>132</v>
      </c>
      <c r="MSS67" s="208"/>
      <c r="MST67" s="209"/>
      <c r="MSU67" s="150" t="s">
        <v>24</v>
      </c>
      <c r="MSV67" s="151">
        <v>8150</v>
      </c>
      <c r="MSW67" s="159">
        <v>85</v>
      </c>
      <c r="MSX67" s="160">
        <v>215</v>
      </c>
      <c r="MSY67" s="160">
        <v>75</v>
      </c>
      <c r="MSZ67" s="159">
        <v>150</v>
      </c>
      <c r="MTA67" s="161">
        <f>SUM(MSV67:MSZ67)</f>
        <v>8675</v>
      </c>
      <c r="MTB67" s="159">
        <v>200</v>
      </c>
      <c r="MTC67" s="161">
        <f>SUM(MTA67:MTB67)</f>
        <v>8875</v>
      </c>
      <c r="MTD67" s="154" t="s">
        <v>106</v>
      </c>
      <c r="MTE67" s="155">
        <v>45845</v>
      </c>
      <c r="MTF67" s="150" t="s">
        <v>60</v>
      </c>
      <c r="MTG67" s="210"/>
      <c r="MTH67" s="156" t="s">
        <v>132</v>
      </c>
      <c r="MTI67" s="208"/>
      <c r="MTJ67" s="209"/>
      <c r="MTK67" s="150" t="s">
        <v>24</v>
      </c>
      <c r="MTL67" s="151">
        <v>8150</v>
      </c>
      <c r="MTM67" s="159">
        <v>85</v>
      </c>
      <c r="MTN67" s="160">
        <v>215</v>
      </c>
      <c r="MTO67" s="160">
        <v>75</v>
      </c>
      <c r="MTP67" s="159">
        <v>150</v>
      </c>
      <c r="MTQ67" s="161">
        <f>SUM(MTL67:MTP67)</f>
        <v>8675</v>
      </c>
      <c r="MTR67" s="159">
        <v>200</v>
      </c>
      <c r="MTS67" s="161">
        <f>SUM(MTQ67:MTR67)</f>
        <v>8875</v>
      </c>
      <c r="MTT67" s="154" t="s">
        <v>106</v>
      </c>
      <c r="MTU67" s="155">
        <v>45845</v>
      </c>
      <c r="MTV67" s="150" t="s">
        <v>60</v>
      </c>
      <c r="MTW67" s="210"/>
      <c r="MTX67" s="156" t="s">
        <v>132</v>
      </c>
      <c r="MTY67" s="208"/>
      <c r="MTZ67" s="209"/>
      <c r="MUA67" s="150" t="s">
        <v>24</v>
      </c>
      <c r="MUB67" s="151">
        <v>8150</v>
      </c>
      <c r="MUC67" s="159">
        <v>85</v>
      </c>
      <c r="MUD67" s="160">
        <v>215</v>
      </c>
      <c r="MUE67" s="160">
        <v>75</v>
      </c>
      <c r="MUF67" s="159">
        <v>150</v>
      </c>
      <c r="MUG67" s="161">
        <f>SUM(MUB67:MUF67)</f>
        <v>8675</v>
      </c>
      <c r="MUH67" s="159">
        <v>200</v>
      </c>
      <c r="MUI67" s="161">
        <f>SUM(MUG67:MUH67)</f>
        <v>8875</v>
      </c>
      <c r="MUJ67" s="154" t="s">
        <v>106</v>
      </c>
      <c r="MUK67" s="155">
        <v>45845</v>
      </c>
      <c r="MUL67" s="150" t="s">
        <v>60</v>
      </c>
      <c r="MUM67" s="210"/>
      <c r="MUN67" s="156" t="s">
        <v>132</v>
      </c>
      <c r="MUO67" s="208"/>
      <c r="MUP67" s="209"/>
      <c r="MUQ67" s="150" t="s">
        <v>24</v>
      </c>
      <c r="MUR67" s="151">
        <v>8150</v>
      </c>
      <c r="MUS67" s="159">
        <v>85</v>
      </c>
      <c r="MUT67" s="160">
        <v>215</v>
      </c>
      <c r="MUU67" s="160">
        <v>75</v>
      </c>
      <c r="MUV67" s="159">
        <v>150</v>
      </c>
      <c r="MUW67" s="161">
        <f>SUM(MUR67:MUV67)</f>
        <v>8675</v>
      </c>
      <c r="MUX67" s="159">
        <v>200</v>
      </c>
      <c r="MUY67" s="161">
        <f>SUM(MUW67:MUX67)</f>
        <v>8875</v>
      </c>
      <c r="MUZ67" s="154" t="s">
        <v>106</v>
      </c>
      <c r="MVA67" s="155">
        <v>45845</v>
      </c>
      <c r="MVB67" s="150" t="s">
        <v>60</v>
      </c>
      <c r="MVC67" s="210"/>
      <c r="MVD67" s="156" t="s">
        <v>132</v>
      </c>
      <c r="MVE67" s="208"/>
      <c r="MVF67" s="209"/>
      <c r="MVG67" s="150" t="s">
        <v>24</v>
      </c>
      <c r="MVH67" s="151">
        <v>8150</v>
      </c>
      <c r="MVI67" s="159">
        <v>85</v>
      </c>
      <c r="MVJ67" s="160">
        <v>215</v>
      </c>
      <c r="MVK67" s="160">
        <v>75</v>
      </c>
      <c r="MVL67" s="159">
        <v>150</v>
      </c>
      <c r="MVM67" s="161">
        <f>SUM(MVH67:MVL67)</f>
        <v>8675</v>
      </c>
      <c r="MVN67" s="159">
        <v>200</v>
      </c>
      <c r="MVO67" s="161">
        <f>SUM(MVM67:MVN67)</f>
        <v>8875</v>
      </c>
      <c r="MVP67" s="154" t="s">
        <v>106</v>
      </c>
      <c r="MVQ67" s="155">
        <v>45845</v>
      </c>
      <c r="MVR67" s="150" t="s">
        <v>60</v>
      </c>
      <c r="MVS67" s="210"/>
      <c r="MVT67" s="156" t="s">
        <v>132</v>
      </c>
      <c r="MVU67" s="208"/>
      <c r="MVV67" s="209"/>
      <c r="MVW67" s="150" t="s">
        <v>24</v>
      </c>
      <c r="MVX67" s="151">
        <v>8150</v>
      </c>
      <c r="MVY67" s="159">
        <v>85</v>
      </c>
      <c r="MVZ67" s="160">
        <v>215</v>
      </c>
      <c r="MWA67" s="160">
        <v>75</v>
      </c>
      <c r="MWB67" s="159">
        <v>150</v>
      </c>
      <c r="MWC67" s="161">
        <f>SUM(MVX67:MWB67)</f>
        <v>8675</v>
      </c>
      <c r="MWD67" s="159">
        <v>200</v>
      </c>
      <c r="MWE67" s="161">
        <f>SUM(MWC67:MWD67)</f>
        <v>8875</v>
      </c>
      <c r="MWF67" s="154" t="s">
        <v>106</v>
      </c>
      <c r="MWG67" s="155">
        <v>45845</v>
      </c>
      <c r="MWH67" s="150" t="s">
        <v>60</v>
      </c>
      <c r="MWI67" s="210"/>
      <c r="MWJ67" s="156" t="s">
        <v>132</v>
      </c>
      <c r="MWK67" s="208"/>
      <c r="MWL67" s="209"/>
      <c r="MWM67" s="150" t="s">
        <v>24</v>
      </c>
      <c r="MWN67" s="151">
        <v>8150</v>
      </c>
      <c r="MWO67" s="159">
        <v>85</v>
      </c>
      <c r="MWP67" s="160">
        <v>215</v>
      </c>
      <c r="MWQ67" s="160">
        <v>75</v>
      </c>
      <c r="MWR67" s="159">
        <v>150</v>
      </c>
      <c r="MWS67" s="161">
        <f>SUM(MWN67:MWR67)</f>
        <v>8675</v>
      </c>
      <c r="MWT67" s="159">
        <v>200</v>
      </c>
      <c r="MWU67" s="161">
        <f>SUM(MWS67:MWT67)</f>
        <v>8875</v>
      </c>
      <c r="MWV67" s="154" t="s">
        <v>106</v>
      </c>
      <c r="MWW67" s="155">
        <v>45845</v>
      </c>
      <c r="MWX67" s="150" t="s">
        <v>60</v>
      </c>
      <c r="MWY67" s="210"/>
      <c r="MWZ67" s="156" t="s">
        <v>132</v>
      </c>
      <c r="MXA67" s="208"/>
      <c r="MXB67" s="209"/>
      <c r="MXC67" s="150" t="s">
        <v>24</v>
      </c>
      <c r="MXD67" s="151">
        <v>8150</v>
      </c>
      <c r="MXE67" s="159">
        <v>85</v>
      </c>
      <c r="MXF67" s="160">
        <v>215</v>
      </c>
      <c r="MXG67" s="160">
        <v>75</v>
      </c>
      <c r="MXH67" s="159">
        <v>150</v>
      </c>
      <c r="MXI67" s="161">
        <f>SUM(MXD67:MXH67)</f>
        <v>8675</v>
      </c>
      <c r="MXJ67" s="159">
        <v>200</v>
      </c>
      <c r="MXK67" s="161">
        <f>SUM(MXI67:MXJ67)</f>
        <v>8875</v>
      </c>
      <c r="MXL67" s="154" t="s">
        <v>106</v>
      </c>
      <c r="MXM67" s="155">
        <v>45845</v>
      </c>
      <c r="MXN67" s="150" t="s">
        <v>60</v>
      </c>
      <c r="MXO67" s="210"/>
      <c r="MXP67" s="156" t="s">
        <v>132</v>
      </c>
      <c r="MXQ67" s="208"/>
      <c r="MXR67" s="209"/>
      <c r="MXS67" s="150" t="s">
        <v>24</v>
      </c>
      <c r="MXT67" s="151">
        <v>8150</v>
      </c>
      <c r="MXU67" s="159">
        <v>85</v>
      </c>
      <c r="MXV67" s="160">
        <v>215</v>
      </c>
      <c r="MXW67" s="160">
        <v>75</v>
      </c>
      <c r="MXX67" s="159">
        <v>150</v>
      </c>
      <c r="MXY67" s="161">
        <f>SUM(MXT67:MXX67)</f>
        <v>8675</v>
      </c>
      <c r="MXZ67" s="159">
        <v>200</v>
      </c>
      <c r="MYA67" s="161">
        <f>SUM(MXY67:MXZ67)</f>
        <v>8875</v>
      </c>
      <c r="MYB67" s="154" t="s">
        <v>106</v>
      </c>
      <c r="MYC67" s="155">
        <v>45845</v>
      </c>
      <c r="MYD67" s="150" t="s">
        <v>60</v>
      </c>
      <c r="MYE67" s="210"/>
      <c r="MYF67" s="156" t="s">
        <v>132</v>
      </c>
      <c r="MYG67" s="208"/>
      <c r="MYH67" s="209"/>
      <c r="MYI67" s="150" t="s">
        <v>24</v>
      </c>
      <c r="MYJ67" s="151">
        <v>8150</v>
      </c>
      <c r="MYK67" s="159">
        <v>85</v>
      </c>
      <c r="MYL67" s="160">
        <v>215</v>
      </c>
      <c r="MYM67" s="160">
        <v>75</v>
      </c>
      <c r="MYN67" s="159">
        <v>150</v>
      </c>
      <c r="MYO67" s="161">
        <f>SUM(MYJ67:MYN67)</f>
        <v>8675</v>
      </c>
      <c r="MYP67" s="159">
        <v>200</v>
      </c>
      <c r="MYQ67" s="161">
        <f>SUM(MYO67:MYP67)</f>
        <v>8875</v>
      </c>
      <c r="MYR67" s="154" t="s">
        <v>106</v>
      </c>
      <c r="MYS67" s="155">
        <v>45845</v>
      </c>
      <c r="MYT67" s="150" t="s">
        <v>60</v>
      </c>
      <c r="MYU67" s="210"/>
      <c r="MYV67" s="156" t="s">
        <v>132</v>
      </c>
      <c r="MYW67" s="208"/>
      <c r="MYX67" s="209"/>
      <c r="MYY67" s="150" t="s">
        <v>24</v>
      </c>
      <c r="MYZ67" s="151">
        <v>8150</v>
      </c>
      <c r="MZA67" s="159">
        <v>85</v>
      </c>
      <c r="MZB67" s="160">
        <v>215</v>
      </c>
      <c r="MZC67" s="160">
        <v>75</v>
      </c>
      <c r="MZD67" s="159">
        <v>150</v>
      </c>
      <c r="MZE67" s="161">
        <f>SUM(MYZ67:MZD67)</f>
        <v>8675</v>
      </c>
      <c r="MZF67" s="159">
        <v>200</v>
      </c>
      <c r="MZG67" s="161">
        <f>SUM(MZE67:MZF67)</f>
        <v>8875</v>
      </c>
      <c r="MZH67" s="154" t="s">
        <v>106</v>
      </c>
      <c r="MZI67" s="155">
        <v>45845</v>
      </c>
      <c r="MZJ67" s="150" t="s">
        <v>60</v>
      </c>
      <c r="MZK67" s="210"/>
      <c r="MZL67" s="156" t="s">
        <v>132</v>
      </c>
      <c r="MZM67" s="208"/>
      <c r="MZN67" s="209"/>
      <c r="MZO67" s="150" t="s">
        <v>24</v>
      </c>
      <c r="MZP67" s="151">
        <v>8150</v>
      </c>
      <c r="MZQ67" s="159">
        <v>85</v>
      </c>
      <c r="MZR67" s="160">
        <v>215</v>
      </c>
      <c r="MZS67" s="160">
        <v>75</v>
      </c>
      <c r="MZT67" s="159">
        <v>150</v>
      </c>
      <c r="MZU67" s="161">
        <f>SUM(MZP67:MZT67)</f>
        <v>8675</v>
      </c>
      <c r="MZV67" s="159">
        <v>200</v>
      </c>
      <c r="MZW67" s="161">
        <f>SUM(MZU67:MZV67)</f>
        <v>8875</v>
      </c>
      <c r="MZX67" s="154" t="s">
        <v>106</v>
      </c>
      <c r="MZY67" s="155">
        <v>45845</v>
      </c>
      <c r="MZZ67" s="150" t="s">
        <v>60</v>
      </c>
      <c r="NAA67" s="210"/>
      <c r="NAB67" s="156" t="s">
        <v>132</v>
      </c>
      <c r="NAC67" s="208"/>
      <c r="NAD67" s="209"/>
      <c r="NAE67" s="150" t="s">
        <v>24</v>
      </c>
      <c r="NAF67" s="151">
        <v>8150</v>
      </c>
      <c r="NAG67" s="159">
        <v>85</v>
      </c>
      <c r="NAH67" s="160">
        <v>215</v>
      </c>
      <c r="NAI67" s="160">
        <v>75</v>
      </c>
      <c r="NAJ67" s="159">
        <v>150</v>
      </c>
      <c r="NAK67" s="161">
        <f>SUM(NAF67:NAJ67)</f>
        <v>8675</v>
      </c>
      <c r="NAL67" s="159">
        <v>200</v>
      </c>
      <c r="NAM67" s="161">
        <f>SUM(NAK67:NAL67)</f>
        <v>8875</v>
      </c>
      <c r="NAN67" s="154" t="s">
        <v>106</v>
      </c>
      <c r="NAO67" s="155">
        <v>45845</v>
      </c>
      <c r="NAP67" s="150" t="s">
        <v>60</v>
      </c>
      <c r="NAQ67" s="210"/>
      <c r="NAR67" s="156" t="s">
        <v>132</v>
      </c>
      <c r="NAS67" s="208"/>
      <c r="NAT67" s="209"/>
      <c r="NAU67" s="150" t="s">
        <v>24</v>
      </c>
      <c r="NAV67" s="151">
        <v>8150</v>
      </c>
      <c r="NAW67" s="159">
        <v>85</v>
      </c>
      <c r="NAX67" s="160">
        <v>215</v>
      </c>
      <c r="NAY67" s="160">
        <v>75</v>
      </c>
      <c r="NAZ67" s="159">
        <v>150</v>
      </c>
      <c r="NBA67" s="161">
        <f>SUM(NAV67:NAZ67)</f>
        <v>8675</v>
      </c>
      <c r="NBB67" s="159">
        <v>200</v>
      </c>
      <c r="NBC67" s="161">
        <f>SUM(NBA67:NBB67)</f>
        <v>8875</v>
      </c>
      <c r="NBD67" s="154" t="s">
        <v>106</v>
      </c>
      <c r="NBE67" s="155">
        <v>45845</v>
      </c>
      <c r="NBF67" s="150" t="s">
        <v>60</v>
      </c>
      <c r="NBG67" s="210"/>
      <c r="NBH67" s="156" t="s">
        <v>132</v>
      </c>
      <c r="NBI67" s="208"/>
      <c r="NBJ67" s="209"/>
      <c r="NBK67" s="150" t="s">
        <v>24</v>
      </c>
      <c r="NBL67" s="151">
        <v>8150</v>
      </c>
      <c r="NBM67" s="159">
        <v>85</v>
      </c>
      <c r="NBN67" s="160">
        <v>215</v>
      </c>
      <c r="NBO67" s="160">
        <v>75</v>
      </c>
      <c r="NBP67" s="159">
        <v>150</v>
      </c>
      <c r="NBQ67" s="161">
        <f>SUM(NBL67:NBP67)</f>
        <v>8675</v>
      </c>
      <c r="NBR67" s="159">
        <v>200</v>
      </c>
      <c r="NBS67" s="161">
        <f>SUM(NBQ67:NBR67)</f>
        <v>8875</v>
      </c>
      <c r="NBT67" s="154" t="s">
        <v>106</v>
      </c>
      <c r="NBU67" s="155">
        <v>45845</v>
      </c>
      <c r="NBV67" s="150" t="s">
        <v>60</v>
      </c>
      <c r="NBW67" s="210"/>
      <c r="NBX67" s="156" t="s">
        <v>132</v>
      </c>
      <c r="NBY67" s="208"/>
      <c r="NBZ67" s="209"/>
      <c r="NCA67" s="150" t="s">
        <v>24</v>
      </c>
      <c r="NCB67" s="151">
        <v>8150</v>
      </c>
      <c r="NCC67" s="159">
        <v>85</v>
      </c>
      <c r="NCD67" s="160">
        <v>215</v>
      </c>
      <c r="NCE67" s="160">
        <v>75</v>
      </c>
      <c r="NCF67" s="159">
        <v>150</v>
      </c>
      <c r="NCG67" s="161">
        <f>SUM(NCB67:NCF67)</f>
        <v>8675</v>
      </c>
      <c r="NCH67" s="159">
        <v>200</v>
      </c>
      <c r="NCI67" s="161">
        <f>SUM(NCG67:NCH67)</f>
        <v>8875</v>
      </c>
      <c r="NCJ67" s="154" t="s">
        <v>106</v>
      </c>
      <c r="NCK67" s="155">
        <v>45845</v>
      </c>
      <c r="NCL67" s="150" t="s">
        <v>60</v>
      </c>
      <c r="NCM67" s="210"/>
      <c r="NCN67" s="156" t="s">
        <v>132</v>
      </c>
      <c r="NCO67" s="208"/>
      <c r="NCP67" s="209"/>
      <c r="NCQ67" s="150" t="s">
        <v>24</v>
      </c>
      <c r="NCR67" s="151">
        <v>8150</v>
      </c>
      <c r="NCS67" s="159">
        <v>85</v>
      </c>
      <c r="NCT67" s="160">
        <v>215</v>
      </c>
      <c r="NCU67" s="160">
        <v>75</v>
      </c>
      <c r="NCV67" s="159">
        <v>150</v>
      </c>
      <c r="NCW67" s="161">
        <f>SUM(NCR67:NCV67)</f>
        <v>8675</v>
      </c>
      <c r="NCX67" s="159">
        <v>200</v>
      </c>
      <c r="NCY67" s="161">
        <f>SUM(NCW67:NCX67)</f>
        <v>8875</v>
      </c>
      <c r="NCZ67" s="154" t="s">
        <v>106</v>
      </c>
      <c r="NDA67" s="155">
        <v>45845</v>
      </c>
      <c r="NDB67" s="150" t="s">
        <v>60</v>
      </c>
      <c r="NDC67" s="210"/>
      <c r="NDD67" s="156" t="s">
        <v>132</v>
      </c>
      <c r="NDE67" s="208"/>
      <c r="NDF67" s="209"/>
      <c r="NDG67" s="150" t="s">
        <v>24</v>
      </c>
      <c r="NDH67" s="151">
        <v>8150</v>
      </c>
      <c r="NDI67" s="159">
        <v>85</v>
      </c>
      <c r="NDJ67" s="160">
        <v>215</v>
      </c>
      <c r="NDK67" s="160">
        <v>75</v>
      </c>
      <c r="NDL67" s="159">
        <v>150</v>
      </c>
      <c r="NDM67" s="161">
        <f>SUM(NDH67:NDL67)</f>
        <v>8675</v>
      </c>
      <c r="NDN67" s="159">
        <v>200</v>
      </c>
      <c r="NDO67" s="161">
        <f>SUM(NDM67:NDN67)</f>
        <v>8875</v>
      </c>
      <c r="NDP67" s="154" t="s">
        <v>106</v>
      </c>
      <c r="NDQ67" s="155">
        <v>45845</v>
      </c>
      <c r="NDR67" s="150" t="s">
        <v>60</v>
      </c>
      <c r="NDS67" s="210"/>
      <c r="NDT67" s="156" t="s">
        <v>132</v>
      </c>
      <c r="NDU67" s="208"/>
      <c r="NDV67" s="209"/>
      <c r="NDW67" s="150" t="s">
        <v>24</v>
      </c>
      <c r="NDX67" s="151">
        <v>8150</v>
      </c>
      <c r="NDY67" s="159">
        <v>85</v>
      </c>
      <c r="NDZ67" s="160">
        <v>215</v>
      </c>
      <c r="NEA67" s="160">
        <v>75</v>
      </c>
      <c r="NEB67" s="159">
        <v>150</v>
      </c>
      <c r="NEC67" s="161">
        <f>SUM(NDX67:NEB67)</f>
        <v>8675</v>
      </c>
      <c r="NED67" s="159">
        <v>200</v>
      </c>
      <c r="NEE67" s="161">
        <f>SUM(NEC67:NED67)</f>
        <v>8875</v>
      </c>
      <c r="NEF67" s="154" t="s">
        <v>106</v>
      </c>
      <c r="NEG67" s="155">
        <v>45845</v>
      </c>
      <c r="NEH67" s="150" t="s">
        <v>60</v>
      </c>
      <c r="NEI67" s="210"/>
      <c r="NEJ67" s="156" t="s">
        <v>132</v>
      </c>
      <c r="NEK67" s="208"/>
      <c r="NEL67" s="209"/>
      <c r="NEM67" s="150" t="s">
        <v>24</v>
      </c>
      <c r="NEN67" s="151">
        <v>8150</v>
      </c>
      <c r="NEO67" s="159">
        <v>85</v>
      </c>
      <c r="NEP67" s="160">
        <v>215</v>
      </c>
      <c r="NEQ67" s="160">
        <v>75</v>
      </c>
      <c r="NER67" s="159">
        <v>150</v>
      </c>
      <c r="NES67" s="161">
        <f>SUM(NEN67:NER67)</f>
        <v>8675</v>
      </c>
      <c r="NET67" s="159">
        <v>200</v>
      </c>
      <c r="NEU67" s="161">
        <f>SUM(NES67:NET67)</f>
        <v>8875</v>
      </c>
      <c r="NEV67" s="154" t="s">
        <v>106</v>
      </c>
      <c r="NEW67" s="155">
        <v>45845</v>
      </c>
      <c r="NEX67" s="150" t="s">
        <v>60</v>
      </c>
      <c r="NEY67" s="210"/>
      <c r="NEZ67" s="156" t="s">
        <v>132</v>
      </c>
      <c r="NFA67" s="208"/>
      <c r="NFB67" s="209"/>
      <c r="NFC67" s="150" t="s">
        <v>24</v>
      </c>
      <c r="NFD67" s="151">
        <v>8150</v>
      </c>
      <c r="NFE67" s="159">
        <v>85</v>
      </c>
      <c r="NFF67" s="160">
        <v>215</v>
      </c>
      <c r="NFG67" s="160">
        <v>75</v>
      </c>
      <c r="NFH67" s="159">
        <v>150</v>
      </c>
      <c r="NFI67" s="161">
        <f>SUM(NFD67:NFH67)</f>
        <v>8675</v>
      </c>
      <c r="NFJ67" s="159">
        <v>200</v>
      </c>
      <c r="NFK67" s="161">
        <f>SUM(NFI67:NFJ67)</f>
        <v>8875</v>
      </c>
      <c r="NFL67" s="154" t="s">
        <v>106</v>
      </c>
      <c r="NFM67" s="155">
        <v>45845</v>
      </c>
      <c r="NFN67" s="150" t="s">
        <v>60</v>
      </c>
      <c r="NFO67" s="210"/>
      <c r="NFP67" s="156" t="s">
        <v>132</v>
      </c>
      <c r="NFQ67" s="208"/>
      <c r="NFR67" s="209"/>
      <c r="NFS67" s="150" t="s">
        <v>24</v>
      </c>
      <c r="NFT67" s="151">
        <v>8150</v>
      </c>
      <c r="NFU67" s="159">
        <v>85</v>
      </c>
      <c r="NFV67" s="160">
        <v>215</v>
      </c>
      <c r="NFW67" s="160">
        <v>75</v>
      </c>
      <c r="NFX67" s="159">
        <v>150</v>
      </c>
      <c r="NFY67" s="161">
        <f>SUM(NFT67:NFX67)</f>
        <v>8675</v>
      </c>
      <c r="NFZ67" s="159">
        <v>200</v>
      </c>
      <c r="NGA67" s="161">
        <f>SUM(NFY67:NFZ67)</f>
        <v>8875</v>
      </c>
      <c r="NGB67" s="154" t="s">
        <v>106</v>
      </c>
      <c r="NGC67" s="155">
        <v>45845</v>
      </c>
      <c r="NGD67" s="150" t="s">
        <v>60</v>
      </c>
      <c r="NGE67" s="210"/>
      <c r="NGF67" s="156" t="s">
        <v>132</v>
      </c>
      <c r="NGG67" s="208"/>
      <c r="NGH67" s="209"/>
      <c r="NGI67" s="150" t="s">
        <v>24</v>
      </c>
      <c r="NGJ67" s="151">
        <v>8150</v>
      </c>
      <c r="NGK67" s="159">
        <v>85</v>
      </c>
      <c r="NGL67" s="160">
        <v>215</v>
      </c>
      <c r="NGM67" s="160">
        <v>75</v>
      </c>
      <c r="NGN67" s="159">
        <v>150</v>
      </c>
      <c r="NGO67" s="161">
        <f>SUM(NGJ67:NGN67)</f>
        <v>8675</v>
      </c>
      <c r="NGP67" s="159">
        <v>200</v>
      </c>
      <c r="NGQ67" s="161">
        <f>SUM(NGO67:NGP67)</f>
        <v>8875</v>
      </c>
      <c r="NGR67" s="154" t="s">
        <v>106</v>
      </c>
      <c r="NGS67" s="155">
        <v>45845</v>
      </c>
      <c r="NGT67" s="150" t="s">
        <v>60</v>
      </c>
      <c r="NGU67" s="210"/>
      <c r="NGV67" s="156" t="s">
        <v>132</v>
      </c>
      <c r="NGW67" s="208"/>
      <c r="NGX67" s="209"/>
      <c r="NGY67" s="150" t="s">
        <v>24</v>
      </c>
      <c r="NGZ67" s="151">
        <v>8150</v>
      </c>
      <c r="NHA67" s="159">
        <v>85</v>
      </c>
      <c r="NHB67" s="160">
        <v>215</v>
      </c>
      <c r="NHC67" s="160">
        <v>75</v>
      </c>
      <c r="NHD67" s="159">
        <v>150</v>
      </c>
      <c r="NHE67" s="161">
        <f>SUM(NGZ67:NHD67)</f>
        <v>8675</v>
      </c>
      <c r="NHF67" s="159">
        <v>200</v>
      </c>
      <c r="NHG67" s="161">
        <f>SUM(NHE67:NHF67)</f>
        <v>8875</v>
      </c>
      <c r="NHH67" s="154" t="s">
        <v>106</v>
      </c>
      <c r="NHI67" s="155">
        <v>45845</v>
      </c>
      <c r="NHJ67" s="150" t="s">
        <v>60</v>
      </c>
      <c r="NHK67" s="210"/>
      <c r="NHL67" s="156" t="s">
        <v>132</v>
      </c>
      <c r="NHM67" s="208"/>
      <c r="NHN67" s="209"/>
      <c r="NHO67" s="150" t="s">
        <v>24</v>
      </c>
      <c r="NHP67" s="151">
        <v>8150</v>
      </c>
      <c r="NHQ67" s="159">
        <v>85</v>
      </c>
      <c r="NHR67" s="160">
        <v>215</v>
      </c>
      <c r="NHS67" s="160">
        <v>75</v>
      </c>
      <c r="NHT67" s="159">
        <v>150</v>
      </c>
      <c r="NHU67" s="161">
        <f>SUM(NHP67:NHT67)</f>
        <v>8675</v>
      </c>
      <c r="NHV67" s="159">
        <v>200</v>
      </c>
      <c r="NHW67" s="161">
        <f>SUM(NHU67:NHV67)</f>
        <v>8875</v>
      </c>
      <c r="NHX67" s="154" t="s">
        <v>106</v>
      </c>
      <c r="NHY67" s="155">
        <v>45845</v>
      </c>
      <c r="NHZ67" s="150" t="s">
        <v>60</v>
      </c>
      <c r="NIA67" s="210"/>
      <c r="NIB67" s="156" t="s">
        <v>132</v>
      </c>
      <c r="NIC67" s="208"/>
      <c r="NID67" s="209"/>
      <c r="NIE67" s="150" t="s">
        <v>24</v>
      </c>
      <c r="NIF67" s="151">
        <v>8150</v>
      </c>
      <c r="NIG67" s="159">
        <v>85</v>
      </c>
      <c r="NIH67" s="160">
        <v>215</v>
      </c>
      <c r="NII67" s="160">
        <v>75</v>
      </c>
      <c r="NIJ67" s="159">
        <v>150</v>
      </c>
      <c r="NIK67" s="161">
        <f>SUM(NIF67:NIJ67)</f>
        <v>8675</v>
      </c>
      <c r="NIL67" s="159">
        <v>200</v>
      </c>
      <c r="NIM67" s="161">
        <f>SUM(NIK67:NIL67)</f>
        <v>8875</v>
      </c>
      <c r="NIN67" s="154" t="s">
        <v>106</v>
      </c>
      <c r="NIO67" s="155">
        <v>45845</v>
      </c>
      <c r="NIP67" s="150" t="s">
        <v>60</v>
      </c>
      <c r="NIQ67" s="210"/>
      <c r="NIR67" s="156" t="s">
        <v>132</v>
      </c>
      <c r="NIS67" s="208"/>
      <c r="NIT67" s="209"/>
      <c r="NIU67" s="150" t="s">
        <v>24</v>
      </c>
      <c r="NIV67" s="151">
        <v>8150</v>
      </c>
      <c r="NIW67" s="159">
        <v>85</v>
      </c>
      <c r="NIX67" s="160">
        <v>215</v>
      </c>
      <c r="NIY67" s="160">
        <v>75</v>
      </c>
      <c r="NIZ67" s="159">
        <v>150</v>
      </c>
      <c r="NJA67" s="161">
        <f>SUM(NIV67:NIZ67)</f>
        <v>8675</v>
      </c>
      <c r="NJB67" s="159">
        <v>200</v>
      </c>
      <c r="NJC67" s="161">
        <f>SUM(NJA67:NJB67)</f>
        <v>8875</v>
      </c>
      <c r="NJD67" s="154" t="s">
        <v>106</v>
      </c>
      <c r="NJE67" s="155">
        <v>45845</v>
      </c>
      <c r="NJF67" s="150" t="s">
        <v>60</v>
      </c>
      <c r="NJG67" s="210"/>
      <c r="NJH67" s="156" t="s">
        <v>132</v>
      </c>
      <c r="NJI67" s="208"/>
      <c r="NJJ67" s="209"/>
      <c r="NJK67" s="150" t="s">
        <v>24</v>
      </c>
      <c r="NJL67" s="151">
        <v>8150</v>
      </c>
      <c r="NJM67" s="159">
        <v>85</v>
      </c>
      <c r="NJN67" s="160">
        <v>215</v>
      </c>
      <c r="NJO67" s="160">
        <v>75</v>
      </c>
      <c r="NJP67" s="159">
        <v>150</v>
      </c>
      <c r="NJQ67" s="161">
        <f>SUM(NJL67:NJP67)</f>
        <v>8675</v>
      </c>
      <c r="NJR67" s="159">
        <v>200</v>
      </c>
      <c r="NJS67" s="161">
        <f>SUM(NJQ67:NJR67)</f>
        <v>8875</v>
      </c>
      <c r="NJT67" s="154" t="s">
        <v>106</v>
      </c>
      <c r="NJU67" s="155">
        <v>45845</v>
      </c>
      <c r="NJV67" s="150" t="s">
        <v>60</v>
      </c>
      <c r="NJW67" s="210"/>
      <c r="NJX67" s="156" t="s">
        <v>132</v>
      </c>
      <c r="NJY67" s="208"/>
      <c r="NJZ67" s="209"/>
      <c r="NKA67" s="150" t="s">
        <v>24</v>
      </c>
      <c r="NKB67" s="151">
        <v>8150</v>
      </c>
      <c r="NKC67" s="159">
        <v>85</v>
      </c>
      <c r="NKD67" s="160">
        <v>215</v>
      </c>
      <c r="NKE67" s="160">
        <v>75</v>
      </c>
      <c r="NKF67" s="159">
        <v>150</v>
      </c>
      <c r="NKG67" s="161">
        <f>SUM(NKB67:NKF67)</f>
        <v>8675</v>
      </c>
      <c r="NKH67" s="159">
        <v>200</v>
      </c>
      <c r="NKI67" s="161">
        <f>SUM(NKG67:NKH67)</f>
        <v>8875</v>
      </c>
      <c r="NKJ67" s="154" t="s">
        <v>106</v>
      </c>
      <c r="NKK67" s="155">
        <v>45845</v>
      </c>
      <c r="NKL67" s="150" t="s">
        <v>60</v>
      </c>
      <c r="NKM67" s="210"/>
      <c r="NKN67" s="156" t="s">
        <v>132</v>
      </c>
      <c r="NKO67" s="208"/>
      <c r="NKP67" s="209"/>
      <c r="NKQ67" s="150" t="s">
        <v>24</v>
      </c>
      <c r="NKR67" s="151">
        <v>8150</v>
      </c>
      <c r="NKS67" s="159">
        <v>85</v>
      </c>
      <c r="NKT67" s="160">
        <v>215</v>
      </c>
      <c r="NKU67" s="160">
        <v>75</v>
      </c>
      <c r="NKV67" s="159">
        <v>150</v>
      </c>
      <c r="NKW67" s="161">
        <f>SUM(NKR67:NKV67)</f>
        <v>8675</v>
      </c>
      <c r="NKX67" s="159">
        <v>200</v>
      </c>
      <c r="NKY67" s="161">
        <f>SUM(NKW67:NKX67)</f>
        <v>8875</v>
      </c>
      <c r="NKZ67" s="154" t="s">
        <v>106</v>
      </c>
      <c r="NLA67" s="155">
        <v>45845</v>
      </c>
      <c r="NLB67" s="150" t="s">
        <v>60</v>
      </c>
      <c r="NLC67" s="210"/>
      <c r="NLD67" s="156" t="s">
        <v>132</v>
      </c>
      <c r="NLE67" s="208"/>
      <c r="NLF67" s="209"/>
      <c r="NLG67" s="150" t="s">
        <v>24</v>
      </c>
      <c r="NLH67" s="151">
        <v>8150</v>
      </c>
      <c r="NLI67" s="159">
        <v>85</v>
      </c>
      <c r="NLJ67" s="160">
        <v>215</v>
      </c>
      <c r="NLK67" s="160">
        <v>75</v>
      </c>
      <c r="NLL67" s="159">
        <v>150</v>
      </c>
      <c r="NLM67" s="161">
        <f>SUM(NLH67:NLL67)</f>
        <v>8675</v>
      </c>
      <c r="NLN67" s="159">
        <v>200</v>
      </c>
      <c r="NLO67" s="161">
        <f>SUM(NLM67:NLN67)</f>
        <v>8875</v>
      </c>
      <c r="NLP67" s="154" t="s">
        <v>106</v>
      </c>
      <c r="NLQ67" s="155">
        <v>45845</v>
      </c>
      <c r="NLR67" s="150" t="s">
        <v>60</v>
      </c>
      <c r="NLS67" s="210"/>
      <c r="NLT67" s="156" t="s">
        <v>132</v>
      </c>
      <c r="NLU67" s="208"/>
      <c r="NLV67" s="209"/>
      <c r="NLW67" s="150" t="s">
        <v>24</v>
      </c>
      <c r="NLX67" s="151">
        <v>8150</v>
      </c>
      <c r="NLY67" s="159">
        <v>85</v>
      </c>
      <c r="NLZ67" s="160">
        <v>215</v>
      </c>
      <c r="NMA67" s="160">
        <v>75</v>
      </c>
      <c r="NMB67" s="159">
        <v>150</v>
      </c>
      <c r="NMC67" s="161">
        <f>SUM(NLX67:NMB67)</f>
        <v>8675</v>
      </c>
      <c r="NMD67" s="159">
        <v>200</v>
      </c>
      <c r="NME67" s="161">
        <f>SUM(NMC67:NMD67)</f>
        <v>8875</v>
      </c>
      <c r="NMF67" s="154" t="s">
        <v>106</v>
      </c>
      <c r="NMG67" s="155">
        <v>45845</v>
      </c>
      <c r="NMH67" s="150" t="s">
        <v>60</v>
      </c>
      <c r="NMI67" s="210"/>
      <c r="NMJ67" s="156" t="s">
        <v>132</v>
      </c>
      <c r="NMK67" s="208"/>
      <c r="NML67" s="209"/>
      <c r="NMM67" s="150" t="s">
        <v>24</v>
      </c>
      <c r="NMN67" s="151">
        <v>8150</v>
      </c>
      <c r="NMO67" s="159">
        <v>85</v>
      </c>
      <c r="NMP67" s="160">
        <v>215</v>
      </c>
      <c r="NMQ67" s="160">
        <v>75</v>
      </c>
      <c r="NMR67" s="159">
        <v>150</v>
      </c>
      <c r="NMS67" s="161">
        <f>SUM(NMN67:NMR67)</f>
        <v>8675</v>
      </c>
      <c r="NMT67" s="159">
        <v>200</v>
      </c>
      <c r="NMU67" s="161">
        <f>SUM(NMS67:NMT67)</f>
        <v>8875</v>
      </c>
      <c r="NMV67" s="154" t="s">
        <v>106</v>
      </c>
      <c r="NMW67" s="155">
        <v>45845</v>
      </c>
      <c r="NMX67" s="150" t="s">
        <v>60</v>
      </c>
      <c r="NMY67" s="210"/>
      <c r="NMZ67" s="156" t="s">
        <v>132</v>
      </c>
      <c r="NNA67" s="208"/>
      <c r="NNB67" s="209"/>
      <c r="NNC67" s="150" t="s">
        <v>24</v>
      </c>
      <c r="NND67" s="151">
        <v>8150</v>
      </c>
      <c r="NNE67" s="159">
        <v>85</v>
      </c>
      <c r="NNF67" s="160">
        <v>215</v>
      </c>
      <c r="NNG67" s="160">
        <v>75</v>
      </c>
      <c r="NNH67" s="159">
        <v>150</v>
      </c>
      <c r="NNI67" s="161">
        <f>SUM(NND67:NNH67)</f>
        <v>8675</v>
      </c>
      <c r="NNJ67" s="159">
        <v>200</v>
      </c>
      <c r="NNK67" s="161">
        <f>SUM(NNI67:NNJ67)</f>
        <v>8875</v>
      </c>
      <c r="NNL67" s="154" t="s">
        <v>106</v>
      </c>
      <c r="NNM67" s="155">
        <v>45845</v>
      </c>
      <c r="NNN67" s="150" t="s">
        <v>60</v>
      </c>
      <c r="NNO67" s="210"/>
      <c r="NNP67" s="156" t="s">
        <v>132</v>
      </c>
      <c r="NNQ67" s="208"/>
      <c r="NNR67" s="209"/>
      <c r="NNS67" s="150" t="s">
        <v>24</v>
      </c>
      <c r="NNT67" s="151">
        <v>8150</v>
      </c>
      <c r="NNU67" s="159">
        <v>85</v>
      </c>
      <c r="NNV67" s="160">
        <v>215</v>
      </c>
      <c r="NNW67" s="160">
        <v>75</v>
      </c>
      <c r="NNX67" s="159">
        <v>150</v>
      </c>
      <c r="NNY67" s="161">
        <f>SUM(NNT67:NNX67)</f>
        <v>8675</v>
      </c>
      <c r="NNZ67" s="159">
        <v>200</v>
      </c>
      <c r="NOA67" s="161">
        <f>SUM(NNY67:NNZ67)</f>
        <v>8875</v>
      </c>
      <c r="NOB67" s="154" t="s">
        <v>106</v>
      </c>
      <c r="NOC67" s="155">
        <v>45845</v>
      </c>
      <c r="NOD67" s="150" t="s">
        <v>60</v>
      </c>
      <c r="NOE67" s="210"/>
      <c r="NOF67" s="156" t="s">
        <v>132</v>
      </c>
      <c r="NOG67" s="208"/>
      <c r="NOH67" s="209"/>
      <c r="NOI67" s="150" t="s">
        <v>24</v>
      </c>
      <c r="NOJ67" s="151">
        <v>8150</v>
      </c>
      <c r="NOK67" s="159">
        <v>85</v>
      </c>
      <c r="NOL67" s="160">
        <v>215</v>
      </c>
      <c r="NOM67" s="160">
        <v>75</v>
      </c>
      <c r="NON67" s="159">
        <v>150</v>
      </c>
      <c r="NOO67" s="161">
        <f>SUM(NOJ67:NON67)</f>
        <v>8675</v>
      </c>
      <c r="NOP67" s="159">
        <v>200</v>
      </c>
      <c r="NOQ67" s="161">
        <f>SUM(NOO67:NOP67)</f>
        <v>8875</v>
      </c>
      <c r="NOR67" s="154" t="s">
        <v>106</v>
      </c>
      <c r="NOS67" s="155">
        <v>45845</v>
      </c>
      <c r="NOT67" s="150" t="s">
        <v>60</v>
      </c>
      <c r="NOU67" s="210"/>
      <c r="NOV67" s="156" t="s">
        <v>132</v>
      </c>
      <c r="NOW67" s="208"/>
      <c r="NOX67" s="209"/>
      <c r="NOY67" s="150" t="s">
        <v>24</v>
      </c>
      <c r="NOZ67" s="151">
        <v>8150</v>
      </c>
      <c r="NPA67" s="159">
        <v>85</v>
      </c>
      <c r="NPB67" s="160">
        <v>215</v>
      </c>
      <c r="NPC67" s="160">
        <v>75</v>
      </c>
      <c r="NPD67" s="159">
        <v>150</v>
      </c>
      <c r="NPE67" s="161">
        <f>SUM(NOZ67:NPD67)</f>
        <v>8675</v>
      </c>
      <c r="NPF67" s="159">
        <v>200</v>
      </c>
      <c r="NPG67" s="161">
        <f>SUM(NPE67:NPF67)</f>
        <v>8875</v>
      </c>
      <c r="NPH67" s="154" t="s">
        <v>106</v>
      </c>
      <c r="NPI67" s="155">
        <v>45845</v>
      </c>
      <c r="NPJ67" s="150" t="s">
        <v>60</v>
      </c>
      <c r="NPK67" s="210"/>
      <c r="NPL67" s="156" t="s">
        <v>132</v>
      </c>
      <c r="NPM67" s="208"/>
      <c r="NPN67" s="209"/>
      <c r="NPO67" s="150" t="s">
        <v>24</v>
      </c>
      <c r="NPP67" s="151">
        <v>8150</v>
      </c>
      <c r="NPQ67" s="159">
        <v>85</v>
      </c>
      <c r="NPR67" s="160">
        <v>215</v>
      </c>
      <c r="NPS67" s="160">
        <v>75</v>
      </c>
      <c r="NPT67" s="159">
        <v>150</v>
      </c>
      <c r="NPU67" s="161">
        <f>SUM(NPP67:NPT67)</f>
        <v>8675</v>
      </c>
      <c r="NPV67" s="159">
        <v>200</v>
      </c>
      <c r="NPW67" s="161">
        <f>SUM(NPU67:NPV67)</f>
        <v>8875</v>
      </c>
      <c r="NPX67" s="154" t="s">
        <v>106</v>
      </c>
      <c r="NPY67" s="155">
        <v>45845</v>
      </c>
      <c r="NPZ67" s="150" t="s">
        <v>60</v>
      </c>
      <c r="NQA67" s="210"/>
      <c r="NQB67" s="156" t="s">
        <v>132</v>
      </c>
      <c r="NQC67" s="208"/>
      <c r="NQD67" s="209"/>
      <c r="NQE67" s="150" t="s">
        <v>24</v>
      </c>
      <c r="NQF67" s="151">
        <v>8150</v>
      </c>
      <c r="NQG67" s="159">
        <v>85</v>
      </c>
      <c r="NQH67" s="160">
        <v>215</v>
      </c>
      <c r="NQI67" s="160">
        <v>75</v>
      </c>
      <c r="NQJ67" s="159">
        <v>150</v>
      </c>
      <c r="NQK67" s="161">
        <f>SUM(NQF67:NQJ67)</f>
        <v>8675</v>
      </c>
      <c r="NQL67" s="159">
        <v>200</v>
      </c>
      <c r="NQM67" s="161">
        <f>SUM(NQK67:NQL67)</f>
        <v>8875</v>
      </c>
      <c r="NQN67" s="154" t="s">
        <v>106</v>
      </c>
      <c r="NQO67" s="155">
        <v>45845</v>
      </c>
      <c r="NQP67" s="150" t="s">
        <v>60</v>
      </c>
      <c r="NQQ67" s="210"/>
      <c r="NQR67" s="156" t="s">
        <v>132</v>
      </c>
      <c r="NQS67" s="208"/>
      <c r="NQT67" s="209"/>
      <c r="NQU67" s="150" t="s">
        <v>24</v>
      </c>
      <c r="NQV67" s="151">
        <v>8150</v>
      </c>
      <c r="NQW67" s="159">
        <v>85</v>
      </c>
      <c r="NQX67" s="160">
        <v>215</v>
      </c>
      <c r="NQY67" s="160">
        <v>75</v>
      </c>
      <c r="NQZ67" s="159">
        <v>150</v>
      </c>
      <c r="NRA67" s="161">
        <f>SUM(NQV67:NQZ67)</f>
        <v>8675</v>
      </c>
      <c r="NRB67" s="159">
        <v>200</v>
      </c>
      <c r="NRC67" s="161">
        <f>SUM(NRA67:NRB67)</f>
        <v>8875</v>
      </c>
      <c r="NRD67" s="154" t="s">
        <v>106</v>
      </c>
      <c r="NRE67" s="155">
        <v>45845</v>
      </c>
      <c r="NRF67" s="150" t="s">
        <v>60</v>
      </c>
      <c r="NRG67" s="210"/>
      <c r="NRH67" s="156" t="s">
        <v>132</v>
      </c>
      <c r="NRI67" s="208"/>
      <c r="NRJ67" s="209"/>
      <c r="NRK67" s="150" t="s">
        <v>24</v>
      </c>
      <c r="NRL67" s="151">
        <v>8150</v>
      </c>
      <c r="NRM67" s="159">
        <v>85</v>
      </c>
      <c r="NRN67" s="160">
        <v>215</v>
      </c>
      <c r="NRO67" s="160">
        <v>75</v>
      </c>
      <c r="NRP67" s="159">
        <v>150</v>
      </c>
      <c r="NRQ67" s="161">
        <f>SUM(NRL67:NRP67)</f>
        <v>8675</v>
      </c>
      <c r="NRR67" s="159">
        <v>200</v>
      </c>
      <c r="NRS67" s="161">
        <f>SUM(NRQ67:NRR67)</f>
        <v>8875</v>
      </c>
      <c r="NRT67" s="154" t="s">
        <v>106</v>
      </c>
      <c r="NRU67" s="155">
        <v>45845</v>
      </c>
      <c r="NRV67" s="150" t="s">
        <v>60</v>
      </c>
      <c r="NRW67" s="210"/>
      <c r="NRX67" s="156" t="s">
        <v>132</v>
      </c>
      <c r="NRY67" s="208"/>
      <c r="NRZ67" s="209"/>
      <c r="NSA67" s="150" t="s">
        <v>24</v>
      </c>
      <c r="NSB67" s="151">
        <v>8150</v>
      </c>
      <c r="NSC67" s="159">
        <v>85</v>
      </c>
      <c r="NSD67" s="160">
        <v>215</v>
      </c>
      <c r="NSE67" s="160">
        <v>75</v>
      </c>
      <c r="NSF67" s="159">
        <v>150</v>
      </c>
      <c r="NSG67" s="161">
        <f>SUM(NSB67:NSF67)</f>
        <v>8675</v>
      </c>
      <c r="NSH67" s="159">
        <v>200</v>
      </c>
      <c r="NSI67" s="161">
        <f>SUM(NSG67:NSH67)</f>
        <v>8875</v>
      </c>
      <c r="NSJ67" s="154" t="s">
        <v>106</v>
      </c>
      <c r="NSK67" s="155">
        <v>45845</v>
      </c>
      <c r="NSL67" s="150" t="s">
        <v>60</v>
      </c>
      <c r="NSM67" s="210"/>
      <c r="NSN67" s="156" t="s">
        <v>132</v>
      </c>
      <c r="NSO67" s="208"/>
      <c r="NSP67" s="209"/>
      <c r="NSQ67" s="150" t="s">
        <v>24</v>
      </c>
      <c r="NSR67" s="151">
        <v>8150</v>
      </c>
      <c r="NSS67" s="159">
        <v>85</v>
      </c>
      <c r="NST67" s="160">
        <v>215</v>
      </c>
      <c r="NSU67" s="160">
        <v>75</v>
      </c>
      <c r="NSV67" s="159">
        <v>150</v>
      </c>
      <c r="NSW67" s="161">
        <f>SUM(NSR67:NSV67)</f>
        <v>8675</v>
      </c>
      <c r="NSX67" s="159">
        <v>200</v>
      </c>
      <c r="NSY67" s="161">
        <f>SUM(NSW67:NSX67)</f>
        <v>8875</v>
      </c>
      <c r="NSZ67" s="154" t="s">
        <v>106</v>
      </c>
      <c r="NTA67" s="155">
        <v>45845</v>
      </c>
      <c r="NTB67" s="150" t="s">
        <v>60</v>
      </c>
      <c r="NTC67" s="210"/>
      <c r="NTD67" s="156" t="s">
        <v>132</v>
      </c>
      <c r="NTE67" s="208"/>
      <c r="NTF67" s="209"/>
      <c r="NTG67" s="150" t="s">
        <v>24</v>
      </c>
      <c r="NTH67" s="151">
        <v>8150</v>
      </c>
      <c r="NTI67" s="159">
        <v>85</v>
      </c>
      <c r="NTJ67" s="160">
        <v>215</v>
      </c>
      <c r="NTK67" s="160">
        <v>75</v>
      </c>
      <c r="NTL67" s="159">
        <v>150</v>
      </c>
      <c r="NTM67" s="161">
        <f>SUM(NTH67:NTL67)</f>
        <v>8675</v>
      </c>
      <c r="NTN67" s="159">
        <v>200</v>
      </c>
      <c r="NTO67" s="161">
        <f>SUM(NTM67:NTN67)</f>
        <v>8875</v>
      </c>
      <c r="NTP67" s="154" t="s">
        <v>106</v>
      </c>
      <c r="NTQ67" s="155">
        <v>45845</v>
      </c>
      <c r="NTR67" s="150" t="s">
        <v>60</v>
      </c>
      <c r="NTS67" s="210"/>
      <c r="NTT67" s="156" t="s">
        <v>132</v>
      </c>
      <c r="NTU67" s="208"/>
      <c r="NTV67" s="209"/>
      <c r="NTW67" s="150" t="s">
        <v>24</v>
      </c>
      <c r="NTX67" s="151">
        <v>8150</v>
      </c>
      <c r="NTY67" s="159">
        <v>85</v>
      </c>
      <c r="NTZ67" s="160">
        <v>215</v>
      </c>
      <c r="NUA67" s="160">
        <v>75</v>
      </c>
      <c r="NUB67" s="159">
        <v>150</v>
      </c>
      <c r="NUC67" s="161">
        <f>SUM(NTX67:NUB67)</f>
        <v>8675</v>
      </c>
      <c r="NUD67" s="159">
        <v>200</v>
      </c>
      <c r="NUE67" s="161">
        <f>SUM(NUC67:NUD67)</f>
        <v>8875</v>
      </c>
      <c r="NUF67" s="154" t="s">
        <v>106</v>
      </c>
      <c r="NUG67" s="155">
        <v>45845</v>
      </c>
      <c r="NUH67" s="150" t="s">
        <v>60</v>
      </c>
      <c r="NUI67" s="210"/>
      <c r="NUJ67" s="156" t="s">
        <v>132</v>
      </c>
      <c r="NUK67" s="208"/>
      <c r="NUL67" s="209"/>
      <c r="NUM67" s="150" t="s">
        <v>24</v>
      </c>
      <c r="NUN67" s="151">
        <v>8150</v>
      </c>
      <c r="NUO67" s="159">
        <v>85</v>
      </c>
      <c r="NUP67" s="160">
        <v>215</v>
      </c>
      <c r="NUQ67" s="160">
        <v>75</v>
      </c>
      <c r="NUR67" s="159">
        <v>150</v>
      </c>
      <c r="NUS67" s="161">
        <f>SUM(NUN67:NUR67)</f>
        <v>8675</v>
      </c>
      <c r="NUT67" s="159">
        <v>200</v>
      </c>
      <c r="NUU67" s="161">
        <f>SUM(NUS67:NUT67)</f>
        <v>8875</v>
      </c>
      <c r="NUV67" s="154" t="s">
        <v>106</v>
      </c>
      <c r="NUW67" s="155">
        <v>45845</v>
      </c>
      <c r="NUX67" s="150" t="s">
        <v>60</v>
      </c>
      <c r="NUY67" s="210"/>
      <c r="NUZ67" s="156" t="s">
        <v>132</v>
      </c>
      <c r="NVA67" s="208"/>
      <c r="NVB67" s="209"/>
      <c r="NVC67" s="150" t="s">
        <v>24</v>
      </c>
      <c r="NVD67" s="151">
        <v>8150</v>
      </c>
      <c r="NVE67" s="159">
        <v>85</v>
      </c>
      <c r="NVF67" s="160">
        <v>215</v>
      </c>
      <c r="NVG67" s="160">
        <v>75</v>
      </c>
      <c r="NVH67" s="159">
        <v>150</v>
      </c>
      <c r="NVI67" s="161">
        <f>SUM(NVD67:NVH67)</f>
        <v>8675</v>
      </c>
      <c r="NVJ67" s="159">
        <v>200</v>
      </c>
      <c r="NVK67" s="161">
        <f>SUM(NVI67:NVJ67)</f>
        <v>8875</v>
      </c>
      <c r="NVL67" s="154" t="s">
        <v>106</v>
      </c>
      <c r="NVM67" s="155">
        <v>45845</v>
      </c>
      <c r="NVN67" s="150" t="s">
        <v>60</v>
      </c>
      <c r="NVO67" s="210"/>
      <c r="NVP67" s="156" t="s">
        <v>132</v>
      </c>
      <c r="NVQ67" s="208"/>
      <c r="NVR67" s="209"/>
      <c r="NVS67" s="150" t="s">
        <v>24</v>
      </c>
      <c r="NVT67" s="151">
        <v>8150</v>
      </c>
      <c r="NVU67" s="159">
        <v>85</v>
      </c>
      <c r="NVV67" s="160">
        <v>215</v>
      </c>
      <c r="NVW67" s="160">
        <v>75</v>
      </c>
      <c r="NVX67" s="159">
        <v>150</v>
      </c>
      <c r="NVY67" s="161">
        <f>SUM(NVT67:NVX67)</f>
        <v>8675</v>
      </c>
      <c r="NVZ67" s="159">
        <v>200</v>
      </c>
      <c r="NWA67" s="161">
        <f>SUM(NVY67:NVZ67)</f>
        <v>8875</v>
      </c>
      <c r="NWB67" s="154" t="s">
        <v>106</v>
      </c>
      <c r="NWC67" s="155">
        <v>45845</v>
      </c>
      <c r="NWD67" s="150" t="s">
        <v>60</v>
      </c>
      <c r="NWE67" s="210"/>
      <c r="NWF67" s="156" t="s">
        <v>132</v>
      </c>
      <c r="NWG67" s="208"/>
      <c r="NWH67" s="209"/>
      <c r="NWI67" s="150" t="s">
        <v>24</v>
      </c>
      <c r="NWJ67" s="151">
        <v>8150</v>
      </c>
      <c r="NWK67" s="159">
        <v>85</v>
      </c>
      <c r="NWL67" s="160">
        <v>215</v>
      </c>
      <c r="NWM67" s="160">
        <v>75</v>
      </c>
      <c r="NWN67" s="159">
        <v>150</v>
      </c>
      <c r="NWO67" s="161">
        <f>SUM(NWJ67:NWN67)</f>
        <v>8675</v>
      </c>
      <c r="NWP67" s="159">
        <v>200</v>
      </c>
      <c r="NWQ67" s="161">
        <f>SUM(NWO67:NWP67)</f>
        <v>8875</v>
      </c>
      <c r="NWR67" s="154" t="s">
        <v>106</v>
      </c>
      <c r="NWS67" s="155">
        <v>45845</v>
      </c>
      <c r="NWT67" s="150" t="s">
        <v>60</v>
      </c>
      <c r="NWU67" s="210"/>
      <c r="NWV67" s="156" t="s">
        <v>132</v>
      </c>
      <c r="NWW67" s="208"/>
      <c r="NWX67" s="209"/>
      <c r="NWY67" s="150" t="s">
        <v>24</v>
      </c>
      <c r="NWZ67" s="151">
        <v>8150</v>
      </c>
      <c r="NXA67" s="159">
        <v>85</v>
      </c>
      <c r="NXB67" s="160">
        <v>215</v>
      </c>
      <c r="NXC67" s="160">
        <v>75</v>
      </c>
      <c r="NXD67" s="159">
        <v>150</v>
      </c>
      <c r="NXE67" s="161">
        <f>SUM(NWZ67:NXD67)</f>
        <v>8675</v>
      </c>
      <c r="NXF67" s="159">
        <v>200</v>
      </c>
      <c r="NXG67" s="161">
        <f>SUM(NXE67:NXF67)</f>
        <v>8875</v>
      </c>
      <c r="NXH67" s="154" t="s">
        <v>106</v>
      </c>
      <c r="NXI67" s="155">
        <v>45845</v>
      </c>
      <c r="NXJ67" s="150" t="s">
        <v>60</v>
      </c>
      <c r="NXK67" s="210"/>
      <c r="NXL67" s="156" t="s">
        <v>132</v>
      </c>
      <c r="NXM67" s="208"/>
      <c r="NXN67" s="209"/>
      <c r="NXO67" s="150" t="s">
        <v>24</v>
      </c>
      <c r="NXP67" s="151">
        <v>8150</v>
      </c>
      <c r="NXQ67" s="159">
        <v>85</v>
      </c>
      <c r="NXR67" s="160">
        <v>215</v>
      </c>
      <c r="NXS67" s="160">
        <v>75</v>
      </c>
      <c r="NXT67" s="159">
        <v>150</v>
      </c>
      <c r="NXU67" s="161">
        <f>SUM(NXP67:NXT67)</f>
        <v>8675</v>
      </c>
      <c r="NXV67" s="159">
        <v>200</v>
      </c>
      <c r="NXW67" s="161">
        <f>SUM(NXU67:NXV67)</f>
        <v>8875</v>
      </c>
      <c r="NXX67" s="154" t="s">
        <v>106</v>
      </c>
      <c r="NXY67" s="155">
        <v>45845</v>
      </c>
      <c r="NXZ67" s="150" t="s">
        <v>60</v>
      </c>
      <c r="NYA67" s="210"/>
      <c r="NYB67" s="156" t="s">
        <v>132</v>
      </c>
      <c r="NYC67" s="208"/>
      <c r="NYD67" s="209"/>
      <c r="NYE67" s="150" t="s">
        <v>24</v>
      </c>
      <c r="NYF67" s="151">
        <v>8150</v>
      </c>
      <c r="NYG67" s="159">
        <v>85</v>
      </c>
      <c r="NYH67" s="160">
        <v>215</v>
      </c>
      <c r="NYI67" s="160">
        <v>75</v>
      </c>
      <c r="NYJ67" s="159">
        <v>150</v>
      </c>
      <c r="NYK67" s="161">
        <f>SUM(NYF67:NYJ67)</f>
        <v>8675</v>
      </c>
      <c r="NYL67" s="159">
        <v>200</v>
      </c>
      <c r="NYM67" s="161">
        <f>SUM(NYK67:NYL67)</f>
        <v>8875</v>
      </c>
      <c r="NYN67" s="154" t="s">
        <v>106</v>
      </c>
      <c r="NYO67" s="155">
        <v>45845</v>
      </c>
      <c r="NYP67" s="150" t="s">
        <v>60</v>
      </c>
      <c r="NYQ67" s="210"/>
      <c r="NYR67" s="156" t="s">
        <v>132</v>
      </c>
      <c r="NYS67" s="208"/>
      <c r="NYT67" s="209"/>
      <c r="NYU67" s="150" t="s">
        <v>24</v>
      </c>
      <c r="NYV67" s="151">
        <v>8150</v>
      </c>
      <c r="NYW67" s="159">
        <v>85</v>
      </c>
      <c r="NYX67" s="160">
        <v>215</v>
      </c>
      <c r="NYY67" s="160">
        <v>75</v>
      </c>
      <c r="NYZ67" s="159">
        <v>150</v>
      </c>
      <c r="NZA67" s="161">
        <f>SUM(NYV67:NYZ67)</f>
        <v>8675</v>
      </c>
      <c r="NZB67" s="159">
        <v>200</v>
      </c>
      <c r="NZC67" s="161">
        <f>SUM(NZA67:NZB67)</f>
        <v>8875</v>
      </c>
      <c r="NZD67" s="154" t="s">
        <v>106</v>
      </c>
      <c r="NZE67" s="155">
        <v>45845</v>
      </c>
      <c r="NZF67" s="150" t="s">
        <v>60</v>
      </c>
      <c r="NZG67" s="210"/>
      <c r="NZH67" s="156" t="s">
        <v>132</v>
      </c>
      <c r="NZI67" s="208"/>
      <c r="NZJ67" s="209"/>
      <c r="NZK67" s="150" t="s">
        <v>24</v>
      </c>
      <c r="NZL67" s="151">
        <v>8150</v>
      </c>
      <c r="NZM67" s="159">
        <v>85</v>
      </c>
      <c r="NZN67" s="160">
        <v>215</v>
      </c>
      <c r="NZO67" s="160">
        <v>75</v>
      </c>
      <c r="NZP67" s="159">
        <v>150</v>
      </c>
      <c r="NZQ67" s="161">
        <f>SUM(NZL67:NZP67)</f>
        <v>8675</v>
      </c>
      <c r="NZR67" s="159">
        <v>200</v>
      </c>
      <c r="NZS67" s="161">
        <f>SUM(NZQ67:NZR67)</f>
        <v>8875</v>
      </c>
      <c r="NZT67" s="154" t="s">
        <v>106</v>
      </c>
      <c r="NZU67" s="155">
        <v>45845</v>
      </c>
      <c r="NZV67" s="150" t="s">
        <v>60</v>
      </c>
      <c r="NZW67" s="210"/>
      <c r="NZX67" s="156" t="s">
        <v>132</v>
      </c>
      <c r="NZY67" s="208"/>
      <c r="NZZ67" s="209"/>
      <c r="OAA67" s="150" t="s">
        <v>24</v>
      </c>
      <c r="OAB67" s="151">
        <v>8150</v>
      </c>
      <c r="OAC67" s="159">
        <v>85</v>
      </c>
      <c r="OAD67" s="160">
        <v>215</v>
      </c>
      <c r="OAE67" s="160">
        <v>75</v>
      </c>
      <c r="OAF67" s="159">
        <v>150</v>
      </c>
      <c r="OAG67" s="161">
        <f>SUM(OAB67:OAF67)</f>
        <v>8675</v>
      </c>
      <c r="OAH67" s="159">
        <v>200</v>
      </c>
      <c r="OAI67" s="161">
        <f>SUM(OAG67:OAH67)</f>
        <v>8875</v>
      </c>
      <c r="OAJ67" s="154" t="s">
        <v>106</v>
      </c>
      <c r="OAK67" s="155">
        <v>45845</v>
      </c>
      <c r="OAL67" s="150" t="s">
        <v>60</v>
      </c>
      <c r="OAM67" s="210"/>
      <c r="OAN67" s="156" t="s">
        <v>132</v>
      </c>
      <c r="OAO67" s="208"/>
      <c r="OAP67" s="209"/>
      <c r="OAQ67" s="150" t="s">
        <v>24</v>
      </c>
      <c r="OAR67" s="151">
        <v>8150</v>
      </c>
      <c r="OAS67" s="159">
        <v>85</v>
      </c>
      <c r="OAT67" s="160">
        <v>215</v>
      </c>
      <c r="OAU67" s="160">
        <v>75</v>
      </c>
      <c r="OAV67" s="159">
        <v>150</v>
      </c>
      <c r="OAW67" s="161">
        <f>SUM(OAR67:OAV67)</f>
        <v>8675</v>
      </c>
      <c r="OAX67" s="159">
        <v>200</v>
      </c>
      <c r="OAY67" s="161">
        <f>SUM(OAW67:OAX67)</f>
        <v>8875</v>
      </c>
      <c r="OAZ67" s="154" t="s">
        <v>106</v>
      </c>
      <c r="OBA67" s="155">
        <v>45845</v>
      </c>
      <c r="OBB67" s="150" t="s">
        <v>60</v>
      </c>
      <c r="OBC67" s="210"/>
      <c r="OBD67" s="156" t="s">
        <v>132</v>
      </c>
      <c r="OBE67" s="208"/>
      <c r="OBF67" s="209"/>
      <c r="OBG67" s="150" t="s">
        <v>24</v>
      </c>
      <c r="OBH67" s="151">
        <v>8150</v>
      </c>
      <c r="OBI67" s="159">
        <v>85</v>
      </c>
      <c r="OBJ67" s="160">
        <v>215</v>
      </c>
      <c r="OBK67" s="160">
        <v>75</v>
      </c>
      <c r="OBL67" s="159">
        <v>150</v>
      </c>
      <c r="OBM67" s="161">
        <f>SUM(OBH67:OBL67)</f>
        <v>8675</v>
      </c>
      <c r="OBN67" s="159">
        <v>200</v>
      </c>
      <c r="OBO67" s="161">
        <f>SUM(OBM67:OBN67)</f>
        <v>8875</v>
      </c>
      <c r="OBP67" s="154" t="s">
        <v>106</v>
      </c>
      <c r="OBQ67" s="155">
        <v>45845</v>
      </c>
      <c r="OBR67" s="150" t="s">
        <v>60</v>
      </c>
      <c r="OBS67" s="210"/>
      <c r="OBT67" s="156" t="s">
        <v>132</v>
      </c>
      <c r="OBU67" s="208"/>
      <c r="OBV67" s="209"/>
      <c r="OBW67" s="150" t="s">
        <v>24</v>
      </c>
      <c r="OBX67" s="151">
        <v>8150</v>
      </c>
      <c r="OBY67" s="159">
        <v>85</v>
      </c>
      <c r="OBZ67" s="160">
        <v>215</v>
      </c>
      <c r="OCA67" s="160">
        <v>75</v>
      </c>
      <c r="OCB67" s="159">
        <v>150</v>
      </c>
      <c r="OCC67" s="161">
        <f>SUM(OBX67:OCB67)</f>
        <v>8675</v>
      </c>
      <c r="OCD67" s="159">
        <v>200</v>
      </c>
      <c r="OCE67" s="161">
        <f>SUM(OCC67:OCD67)</f>
        <v>8875</v>
      </c>
      <c r="OCF67" s="154" t="s">
        <v>106</v>
      </c>
      <c r="OCG67" s="155">
        <v>45845</v>
      </c>
      <c r="OCH67" s="150" t="s">
        <v>60</v>
      </c>
      <c r="OCI67" s="210"/>
      <c r="OCJ67" s="156" t="s">
        <v>132</v>
      </c>
      <c r="OCK67" s="208"/>
      <c r="OCL67" s="209"/>
      <c r="OCM67" s="150" t="s">
        <v>24</v>
      </c>
      <c r="OCN67" s="151">
        <v>8150</v>
      </c>
      <c r="OCO67" s="159">
        <v>85</v>
      </c>
      <c r="OCP67" s="160">
        <v>215</v>
      </c>
      <c r="OCQ67" s="160">
        <v>75</v>
      </c>
      <c r="OCR67" s="159">
        <v>150</v>
      </c>
      <c r="OCS67" s="161">
        <f>SUM(OCN67:OCR67)</f>
        <v>8675</v>
      </c>
      <c r="OCT67" s="159">
        <v>200</v>
      </c>
      <c r="OCU67" s="161">
        <f>SUM(OCS67:OCT67)</f>
        <v>8875</v>
      </c>
      <c r="OCV67" s="154" t="s">
        <v>106</v>
      </c>
      <c r="OCW67" s="155">
        <v>45845</v>
      </c>
      <c r="OCX67" s="150" t="s">
        <v>60</v>
      </c>
      <c r="OCY67" s="210"/>
      <c r="OCZ67" s="156" t="s">
        <v>132</v>
      </c>
      <c r="ODA67" s="208"/>
      <c r="ODB67" s="209"/>
      <c r="ODC67" s="150" t="s">
        <v>24</v>
      </c>
      <c r="ODD67" s="151">
        <v>8150</v>
      </c>
      <c r="ODE67" s="159">
        <v>85</v>
      </c>
      <c r="ODF67" s="160">
        <v>215</v>
      </c>
      <c r="ODG67" s="160">
        <v>75</v>
      </c>
      <c r="ODH67" s="159">
        <v>150</v>
      </c>
      <c r="ODI67" s="161">
        <f>SUM(ODD67:ODH67)</f>
        <v>8675</v>
      </c>
      <c r="ODJ67" s="159">
        <v>200</v>
      </c>
      <c r="ODK67" s="161">
        <f>SUM(ODI67:ODJ67)</f>
        <v>8875</v>
      </c>
      <c r="ODL67" s="154" t="s">
        <v>106</v>
      </c>
      <c r="ODM67" s="155">
        <v>45845</v>
      </c>
      <c r="ODN67" s="150" t="s">
        <v>60</v>
      </c>
      <c r="ODO67" s="210"/>
      <c r="ODP67" s="156" t="s">
        <v>132</v>
      </c>
      <c r="ODQ67" s="208"/>
      <c r="ODR67" s="209"/>
      <c r="ODS67" s="150" t="s">
        <v>24</v>
      </c>
      <c r="ODT67" s="151">
        <v>8150</v>
      </c>
      <c r="ODU67" s="159">
        <v>85</v>
      </c>
      <c r="ODV67" s="160">
        <v>215</v>
      </c>
      <c r="ODW67" s="160">
        <v>75</v>
      </c>
      <c r="ODX67" s="159">
        <v>150</v>
      </c>
      <c r="ODY67" s="161">
        <f>SUM(ODT67:ODX67)</f>
        <v>8675</v>
      </c>
      <c r="ODZ67" s="159">
        <v>200</v>
      </c>
      <c r="OEA67" s="161">
        <f>SUM(ODY67:ODZ67)</f>
        <v>8875</v>
      </c>
      <c r="OEB67" s="154" t="s">
        <v>106</v>
      </c>
      <c r="OEC67" s="155">
        <v>45845</v>
      </c>
      <c r="OED67" s="150" t="s">
        <v>60</v>
      </c>
      <c r="OEE67" s="210"/>
      <c r="OEF67" s="156" t="s">
        <v>132</v>
      </c>
      <c r="OEG67" s="208"/>
      <c r="OEH67" s="209"/>
      <c r="OEI67" s="150" t="s">
        <v>24</v>
      </c>
      <c r="OEJ67" s="151">
        <v>8150</v>
      </c>
      <c r="OEK67" s="159">
        <v>85</v>
      </c>
      <c r="OEL67" s="160">
        <v>215</v>
      </c>
      <c r="OEM67" s="160">
        <v>75</v>
      </c>
      <c r="OEN67" s="159">
        <v>150</v>
      </c>
      <c r="OEO67" s="161">
        <f>SUM(OEJ67:OEN67)</f>
        <v>8675</v>
      </c>
      <c r="OEP67" s="159">
        <v>200</v>
      </c>
      <c r="OEQ67" s="161">
        <f>SUM(OEO67:OEP67)</f>
        <v>8875</v>
      </c>
      <c r="OER67" s="154" t="s">
        <v>106</v>
      </c>
      <c r="OES67" s="155">
        <v>45845</v>
      </c>
      <c r="OET67" s="150" t="s">
        <v>60</v>
      </c>
      <c r="OEU67" s="210"/>
      <c r="OEV67" s="156" t="s">
        <v>132</v>
      </c>
      <c r="OEW67" s="208"/>
      <c r="OEX67" s="209"/>
      <c r="OEY67" s="150" t="s">
        <v>24</v>
      </c>
      <c r="OEZ67" s="151">
        <v>8150</v>
      </c>
      <c r="OFA67" s="159">
        <v>85</v>
      </c>
      <c r="OFB67" s="160">
        <v>215</v>
      </c>
      <c r="OFC67" s="160">
        <v>75</v>
      </c>
      <c r="OFD67" s="159">
        <v>150</v>
      </c>
      <c r="OFE67" s="161">
        <f>SUM(OEZ67:OFD67)</f>
        <v>8675</v>
      </c>
      <c r="OFF67" s="159">
        <v>200</v>
      </c>
      <c r="OFG67" s="161">
        <f>SUM(OFE67:OFF67)</f>
        <v>8875</v>
      </c>
      <c r="OFH67" s="154" t="s">
        <v>106</v>
      </c>
      <c r="OFI67" s="155">
        <v>45845</v>
      </c>
      <c r="OFJ67" s="150" t="s">
        <v>60</v>
      </c>
      <c r="OFK67" s="210"/>
      <c r="OFL67" s="156" t="s">
        <v>132</v>
      </c>
      <c r="OFM67" s="208"/>
      <c r="OFN67" s="209"/>
      <c r="OFO67" s="150" t="s">
        <v>24</v>
      </c>
      <c r="OFP67" s="151">
        <v>8150</v>
      </c>
      <c r="OFQ67" s="159">
        <v>85</v>
      </c>
      <c r="OFR67" s="160">
        <v>215</v>
      </c>
      <c r="OFS67" s="160">
        <v>75</v>
      </c>
      <c r="OFT67" s="159">
        <v>150</v>
      </c>
      <c r="OFU67" s="161">
        <f>SUM(OFP67:OFT67)</f>
        <v>8675</v>
      </c>
      <c r="OFV67" s="159">
        <v>200</v>
      </c>
      <c r="OFW67" s="161">
        <f>SUM(OFU67:OFV67)</f>
        <v>8875</v>
      </c>
      <c r="OFX67" s="154" t="s">
        <v>106</v>
      </c>
      <c r="OFY67" s="155">
        <v>45845</v>
      </c>
      <c r="OFZ67" s="150" t="s">
        <v>60</v>
      </c>
      <c r="OGA67" s="210"/>
      <c r="OGB67" s="156" t="s">
        <v>132</v>
      </c>
      <c r="OGC67" s="208"/>
      <c r="OGD67" s="209"/>
      <c r="OGE67" s="150" t="s">
        <v>24</v>
      </c>
      <c r="OGF67" s="151">
        <v>8150</v>
      </c>
      <c r="OGG67" s="159">
        <v>85</v>
      </c>
      <c r="OGH67" s="160">
        <v>215</v>
      </c>
      <c r="OGI67" s="160">
        <v>75</v>
      </c>
      <c r="OGJ67" s="159">
        <v>150</v>
      </c>
      <c r="OGK67" s="161">
        <f>SUM(OGF67:OGJ67)</f>
        <v>8675</v>
      </c>
      <c r="OGL67" s="159">
        <v>200</v>
      </c>
      <c r="OGM67" s="161">
        <f>SUM(OGK67:OGL67)</f>
        <v>8875</v>
      </c>
      <c r="OGN67" s="154" t="s">
        <v>106</v>
      </c>
      <c r="OGO67" s="155">
        <v>45845</v>
      </c>
      <c r="OGP67" s="150" t="s">
        <v>60</v>
      </c>
      <c r="OGQ67" s="210"/>
      <c r="OGR67" s="156" t="s">
        <v>132</v>
      </c>
      <c r="OGS67" s="208"/>
      <c r="OGT67" s="209"/>
      <c r="OGU67" s="150" t="s">
        <v>24</v>
      </c>
      <c r="OGV67" s="151">
        <v>8150</v>
      </c>
      <c r="OGW67" s="159">
        <v>85</v>
      </c>
      <c r="OGX67" s="160">
        <v>215</v>
      </c>
      <c r="OGY67" s="160">
        <v>75</v>
      </c>
      <c r="OGZ67" s="159">
        <v>150</v>
      </c>
      <c r="OHA67" s="161">
        <f>SUM(OGV67:OGZ67)</f>
        <v>8675</v>
      </c>
      <c r="OHB67" s="159">
        <v>200</v>
      </c>
      <c r="OHC67" s="161">
        <f>SUM(OHA67:OHB67)</f>
        <v>8875</v>
      </c>
      <c r="OHD67" s="154" t="s">
        <v>106</v>
      </c>
      <c r="OHE67" s="155">
        <v>45845</v>
      </c>
      <c r="OHF67" s="150" t="s">
        <v>60</v>
      </c>
      <c r="OHG67" s="210"/>
      <c r="OHH67" s="156" t="s">
        <v>132</v>
      </c>
      <c r="OHI67" s="208"/>
      <c r="OHJ67" s="209"/>
      <c r="OHK67" s="150" t="s">
        <v>24</v>
      </c>
      <c r="OHL67" s="151">
        <v>8150</v>
      </c>
      <c r="OHM67" s="159">
        <v>85</v>
      </c>
      <c r="OHN67" s="160">
        <v>215</v>
      </c>
      <c r="OHO67" s="160">
        <v>75</v>
      </c>
      <c r="OHP67" s="159">
        <v>150</v>
      </c>
      <c r="OHQ67" s="161">
        <f>SUM(OHL67:OHP67)</f>
        <v>8675</v>
      </c>
      <c r="OHR67" s="159">
        <v>200</v>
      </c>
      <c r="OHS67" s="161">
        <f>SUM(OHQ67:OHR67)</f>
        <v>8875</v>
      </c>
      <c r="OHT67" s="154" t="s">
        <v>106</v>
      </c>
      <c r="OHU67" s="155">
        <v>45845</v>
      </c>
      <c r="OHV67" s="150" t="s">
        <v>60</v>
      </c>
      <c r="OHW67" s="210"/>
      <c r="OHX67" s="156" t="s">
        <v>132</v>
      </c>
      <c r="OHY67" s="208"/>
      <c r="OHZ67" s="209"/>
      <c r="OIA67" s="150" t="s">
        <v>24</v>
      </c>
      <c r="OIB67" s="151">
        <v>8150</v>
      </c>
      <c r="OIC67" s="159">
        <v>85</v>
      </c>
      <c r="OID67" s="160">
        <v>215</v>
      </c>
      <c r="OIE67" s="160">
        <v>75</v>
      </c>
      <c r="OIF67" s="159">
        <v>150</v>
      </c>
      <c r="OIG67" s="161">
        <f>SUM(OIB67:OIF67)</f>
        <v>8675</v>
      </c>
      <c r="OIH67" s="159">
        <v>200</v>
      </c>
      <c r="OII67" s="161">
        <f>SUM(OIG67:OIH67)</f>
        <v>8875</v>
      </c>
      <c r="OIJ67" s="154" t="s">
        <v>106</v>
      </c>
      <c r="OIK67" s="155">
        <v>45845</v>
      </c>
      <c r="OIL67" s="150" t="s">
        <v>60</v>
      </c>
      <c r="OIM67" s="210"/>
      <c r="OIN67" s="156" t="s">
        <v>132</v>
      </c>
      <c r="OIO67" s="208"/>
      <c r="OIP67" s="209"/>
      <c r="OIQ67" s="150" t="s">
        <v>24</v>
      </c>
      <c r="OIR67" s="151">
        <v>8150</v>
      </c>
      <c r="OIS67" s="159">
        <v>85</v>
      </c>
      <c r="OIT67" s="160">
        <v>215</v>
      </c>
      <c r="OIU67" s="160">
        <v>75</v>
      </c>
      <c r="OIV67" s="159">
        <v>150</v>
      </c>
      <c r="OIW67" s="161">
        <f>SUM(OIR67:OIV67)</f>
        <v>8675</v>
      </c>
      <c r="OIX67" s="159">
        <v>200</v>
      </c>
      <c r="OIY67" s="161">
        <f>SUM(OIW67:OIX67)</f>
        <v>8875</v>
      </c>
      <c r="OIZ67" s="154" t="s">
        <v>106</v>
      </c>
      <c r="OJA67" s="155">
        <v>45845</v>
      </c>
      <c r="OJB67" s="150" t="s">
        <v>60</v>
      </c>
      <c r="OJC67" s="210"/>
      <c r="OJD67" s="156" t="s">
        <v>132</v>
      </c>
      <c r="OJE67" s="208"/>
      <c r="OJF67" s="209"/>
      <c r="OJG67" s="150" t="s">
        <v>24</v>
      </c>
      <c r="OJH67" s="151">
        <v>8150</v>
      </c>
      <c r="OJI67" s="159">
        <v>85</v>
      </c>
      <c r="OJJ67" s="160">
        <v>215</v>
      </c>
      <c r="OJK67" s="160">
        <v>75</v>
      </c>
      <c r="OJL67" s="159">
        <v>150</v>
      </c>
      <c r="OJM67" s="161">
        <f>SUM(OJH67:OJL67)</f>
        <v>8675</v>
      </c>
      <c r="OJN67" s="159">
        <v>200</v>
      </c>
      <c r="OJO67" s="161">
        <f>SUM(OJM67:OJN67)</f>
        <v>8875</v>
      </c>
      <c r="OJP67" s="154" t="s">
        <v>106</v>
      </c>
      <c r="OJQ67" s="155">
        <v>45845</v>
      </c>
      <c r="OJR67" s="150" t="s">
        <v>60</v>
      </c>
      <c r="OJS67" s="210"/>
      <c r="OJT67" s="156" t="s">
        <v>132</v>
      </c>
      <c r="OJU67" s="208"/>
      <c r="OJV67" s="209"/>
      <c r="OJW67" s="150" t="s">
        <v>24</v>
      </c>
      <c r="OJX67" s="151">
        <v>8150</v>
      </c>
      <c r="OJY67" s="159">
        <v>85</v>
      </c>
      <c r="OJZ67" s="160">
        <v>215</v>
      </c>
      <c r="OKA67" s="160">
        <v>75</v>
      </c>
      <c r="OKB67" s="159">
        <v>150</v>
      </c>
      <c r="OKC67" s="161">
        <f>SUM(OJX67:OKB67)</f>
        <v>8675</v>
      </c>
      <c r="OKD67" s="159">
        <v>200</v>
      </c>
      <c r="OKE67" s="161">
        <f>SUM(OKC67:OKD67)</f>
        <v>8875</v>
      </c>
      <c r="OKF67" s="154" t="s">
        <v>106</v>
      </c>
      <c r="OKG67" s="155">
        <v>45845</v>
      </c>
      <c r="OKH67" s="150" t="s">
        <v>60</v>
      </c>
      <c r="OKI67" s="210"/>
      <c r="OKJ67" s="156" t="s">
        <v>132</v>
      </c>
      <c r="OKK67" s="208"/>
      <c r="OKL67" s="209"/>
      <c r="OKM67" s="150" t="s">
        <v>24</v>
      </c>
      <c r="OKN67" s="151">
        <v>8150</v>
      </c>
      <c r="OKO67" s="159">
        <v>85</v>
      </c>
      <c r="OKP67" s="160">
        <v>215</v>
      </c>
      <c r="OKQ67" s="160">
        <v>75</v>
      </c>
      <c r="OKR67" s="159">
        <v>150</v>
      </c>
      <c r="OKS67" s="161">
        <f>SUM(OKN67:OKR67)</f>
        <v>8675</v>
      </c>
      <c r="OKT67" s="159">
        <v>200</v>
      </c>
      <c r="OKU67" s="161">
        <f>SUM(OKS67:OKT67)</f>
        <v>8875</v>
      </c>
      <c r="OKV67" s="154" t="s">
        <v>106</v>
      </c>
      <c r="OKW67" s="155">
        <v>45845</v>
      </c>
      <c r="OKX67" s="150" t="s">
        <v>60</v>
      </c>
      <c r="OKY67" s="210"/>
      <c r="OKZ67" s="156" t="s">
        <v>132</v>
      </c>
      <c r="OLA67" s="208"/>
      <c r="OLB67" s="209"/>
      <c r="OLC67" s="150" t="s">
        <v>24</v>
      </c>
      <c r="OLD67" s="151">
        <v>8150</v>
      </c>
      <c r="OLE67" s="159">
        <v>85</v>
      </c>
      <c r="OLF67" s="160">
        <v>215</v>
      </c>
      <c r="OLG67" s="160">
        <v>75</v>
      </c>
      <c r="OLH67" s="159">
        <v>150</v>
      </c>
      <c r="OLI67" s="161">
        <f>SUM(OLD67:OLH67)</f>
        <v>8675</v>
      </c>
      <c r="OLJ67" s="159">
        <v>200</v>
      </c>
      <c r="OLK67" s="161">
        <f>SUM(OLI67:OLJ67)</f>
        <v>8875</v>
      </c>
      <c r="OLL67" s="154" t="s">
        <v>106</v>
      </c>
      <c r="OLM67" s="155">
        <v>45845</v>
      </c>
      <c r="OLN67" s="150" t="s">
        <v>60</v>
      </c>
      <c r="OLO67" s="210"/>
      <c r="OLP67" s="156" t="s">
        <v>132</v>
      </c>
      <c r="OLQ67" s="208"/>
      <c r="OLR67" s="209"/>
      <c r="OLS67" s="150" t="s">
        <v>24</v>
      </c>
      <c r="OLT67" s="151">
        <v>8150</v>
      </c>
      <c r="OLU67" s="159">
        <v>85</v>
      </c>
      <c r="OLV67" s="160">
        <v>215</v>
      </c>
      <c r="OLW67" s="160">
        <v>75</v>
      </c>
      <c r="OLX67" s="159">
        <v>150</v>
      </c>
      <c r="OLY67" s="161">
        <f>SUM(OLT67:OLX67)</f>
        <v>8675</v>
      </c>
      <c r="OLZ67" s="159">
        <v>200</v>
      </c>
      <c r="OMA67" s="161">
        <f>SUM(OLY67:OLZ67)</f>
        <v>8875</v>
      </c>
      <c r="OMB67" s="154" t="s">
        <v>106</v>
      </c>
      <c r="OMC67" s="155">
        <v>45845</v>
      </c>
      <c r="OMD67" s="150" t="s">
        <v>60</v>
      </c>
      <c r="OME67" s="210"/>
      <c r="OMF67" s="156" t="s">
        <v>132</v>
      </c>
      <c r="OMG67" s="208"/>
      <c r="OMH67" s="209"/>
      <c r="OMI67" s="150" t="s">
        <v>24</v>
      </c>
      <c r="OMJ67" s="151">
        <v>8150</v>
      </c>
      <c r="OMK67" s="159">
        <v>85</v>
      </c>
      <c r="OML67" s="160">
        <v>215</v>
      </c>
      <c r="OMM67" s="160">
        <v>75</v>
      </c>
      <c r="OMN67" s="159">
        <v>150</v>
      </c>
      <c r="OMO67" s="161">
        <f>SUM(OMJ67:OMN67)</f>
        <v>8675</v>
      </c>
      <c r="OMP67" s="159">
        <v>200</v>
      </c>
      <c r="OMQ67" s="161">
        <f>SUM(OMO67:OMP67)</f>
        <v>8875</v>
      </c>
      <c r="OMR67" s="154" t="s">
        <v>106</v>
      </c>
      <c r="OMS67" s="155">
        <v>45845</v>
      </c>
      <c r="OMT67" s="150" t="s">
        <v>60</v>
      </c>
      <c r="OMU67" s="210"/>
      <c r="OMV67" s="156" t="s">
        <v>132</v>
      </c>
      <c r="OMW67" s="208"/>
      <c r="OMX67" s="209"/>
      <c r="OMY67" s="150" t="s">
        <v>24</v>
      </c>
      <c r="OMZ67" s="151">
        <v>8150</v>
      </c>
      <c r="ONA67" s="159">
        <v>85</v>
      </c>
      <c r="ONB67" s="160">
        <v>215</v>
      </c>
      <c r="ONC67" s="160">
        <v>75</v>
      </c>
      <c r="OND67" s="159">
        <v>150</v>
      </c>
      <c r="ONE67" s="161">
        <f>SUM(OMZ67:OND67)</f>
        <v>8675</v>
      </c>
      <c r="ONF67" s="159">
        <v>200</v>
      </c>
      <c r="ONG67" s="161">
        <f>SUM(ONE67:ONF67)</f>
        <v>8875</v>
      </c>
      <c r="ONH67" s="154" t="s">
        <v>106</v>
      </c>
      <c r="ONI67" s="155">
        <v>45845</v>
      </c>
      <c r="ONJ67" s="150" t="s">
        <v>60</v>
      </c>
      <c r="ONK67" s="210"/>
      <c r="ONL67" s="156" t="s">
        <v>132</v>
      </c>
      <c r="ONM67" s="208"/>
      <c r="ONN67" s="209"/>
      <c r="ONO67" s="150" t="s">
        <v>24</v>
      </c>
      <c r="ONP67" s="151">
        <v>8150</v>
      </c>
      <c r="ONQ67" s="159">
        <v>85</v>
      </c>
      <c r="ONR67" s="160">
        <v>215</v>
      </c>
      <c r="ONS67" s="160">
        <v>75</v>
      </c>
      <c r="ONT67" s="159">
        <v>150</v>
      </c>
      <c r="ONU67" s="161">
        <f>SUM(ONP67:ONT67)</f>
        <v>8675</v>
      </c>
      <c r="ONV67" s="159">
        <v>200</v>
      </c>
      <c r="ONW67" s="161">
        <f>SUM(ONU67:ONV67)</f>
        <v>8875</v>
      </c>
      <c r="ONX67" s="154" t="s">
        <v>106</v>
      </c>
      <c r="ONY67" s="155">
        <v>45845</v>
      </c>
      <c r="ONZ67" s="150" t="s">
        <v>60</v>
      </c>
      <c r="OOA67" s="210"/>
      <c r="OOB67" s="156" t="s">
        <v>132</v>
      </c>
      <c r="OOC67" s="208"/>
      <c r="OOD67" s="209"/>
      <c r="OOE67" s="150" t="s">
        <v>24</v>
      </c>
      <c r="OOF67" s="151">
        <v>8150</v>
      </c>
      <c r="OOG67" s="159">
        <v>85</v>
      </c>
      <c r="OOH67" s="160">
        <v>215</v>
      </c>
      <c r="OOI67" s="160">
        <v>75</v>
      </c>
      <c r="OOJ67" s="159">
        <v>150</v>
      </c>
      <c r="OOK67" s="161">
        <f>SUM(OOF67:OOJ67)</f>
        <v>8675</v>
      </c>
      <c r="OOL67" s="159">
        <v>200</v>
      </c>
      <c r="OOM67" s="161">
        <f>SUM(OOK67:OOL67)</f>
        <v>8875</v>
      </c>
      <c r="OON67" s="154" t="s">
        <v>106</v>
      </c>
      <c r="OOO67" s="155">
        <v>45845</v>
      </c>
      <c r="OOP67" s="150" t="s">
        <v>60</v>
      </c>
      <c r="OOQ67" s="210"/>
      <c r="OOR67" s="156" t="s">
        <v>132</v>
      </c>
      <c r="OOS67" s="208"/>
      <c r="OOT67" s="209"/>
      <c r="OOU67" s="150" t="s">
        <v>24</v>
      </c>
      <c r="OOV67" s="151">
        <v>8150</v>
      </c>
      <c r="OOW67" s="159">
        <v>85</v>
      </c>
      <c r="OOX67" s="160">
        <v>215</v>
      </c>
      <c r="OOY67" s="160">
        <v>75</v>
      </c>
      <c r="OOZ67" s="159">
        <v>150</v>
      </c>
      <c r="OPA67" s="161">
        <f>SUM(OOV67:OOZ67)</f>
        <v>8675</v>
      </c>
      <c r="OPB67" s="159">
        <v>200</v>
      </c>
      <c r="OPC67" s="161">
        <f>SUM(OPA67:OPB67)</f>
        <v>8875</v>
      </c>
      <c r="OPD67" s="154" t="s">
        <v>106</v>
      </c>
      <c r="OPE67" s="155">
        <v>45845</v>
      </c>
      <c r="OPF67" s="150" t="s">
        <v>60</v>
      </c>
      <c r="OPG67" s="210"/>
      <c r="OPH67" s="156" t="s">
        <v>132</v>
      </c>
      <c r="OPI67" s="208"/>
      <c r="OPJ67" s="209"/>
      <c r="OPK67" s="150" t="s">
        <v>24</v>
      </c>
      <c r="OPL67" s="151">
        <v>8150</v>
      </c>
      <c r="OPM67" s="159">
        <v>85</v>
      </c>
      <c r="OPN67" s="160">
        <v>215</v>
      </c>
      <c r="OPO67" s="160">
        <v>75</v>
      </c>
      <c r="OPP67" s="159">
        <v>150</v>
      </c>
      <c r="OPQ67" s="161">
        <f>SUM(OPL67:OPP67)</f>
        <v>8675</v>
      </c>
      <c r="OPR67" s="159">
        <v>200</v>
      </c>
      <c r="OPS67" s="161">
        <f>SUM(OPQ67:OPR67)</f>
        <v>8875</v>
      </c>
      <c r="OPT67" s="154" t="s">
        <v>106</v>
      </c>
      <c r="OPU67" s="155">
        <v>45845</v>
      </c>
      <c r="OPV67" s="150" t="s">
        <v>60</v>
      </c>
      <c r="OPW67" s="210"/>
      <c r="OPX67" s="156" t="s">
        <v>132</v>
      </c>
      <c r="OPY67" s="208"/>
      <c r="OPZ67" s="209"/>
      <c r="OQA67" s="150" t="s">
        <v>24</v>
      </c>
      <c r="OQB67" s="151">
        <v>8150</v>
      </c>
      <c r="OQC67" s="159">
        <v>85</v>
      </c>
      <c r="OQD67" s="160">
        <v>215</v>
      </c>
      <c r="OQE67" s="160">
        <v>75</v>
      </c>
      <c r="OQF67" s="159">
        <v>150</v>
      </c>
      <c r="OQG67" s="161">
        <f>SUM(OQB67:OQF67)</f>
        <v>8675</v>
      </c>
      <c r="OQH67" s="159">
        <v>200</v>
      </c>
      <c r="OQI67" s="161">
        <f>SUM(OQG67:OQH67)</f>
        <v>8875</v>
      </c>
      <c r="OQJ67" s="154" t="s">
        <v>106</v>
      </c>
      <c r="OQK67" s="155">
        <v>45845</v>
      </c>
      <c r="OQL67" s="150" t="s">
        <v>60</v>
      </c>
      <c r="OQM67" s="210"/>
      <c r="OQN67" s="156" t="s">
        <v>132</v>
      </c>
      <c r="OQO67" s="208"/>
      <c r="OQP67" s="209"/>
      <c r="OQQ67" s="150" t="s">
        <v>24</v>
      </c>
      <c r="OQR67" s="151">
        <v>8150</v>
      </c>
      <c r="OQS67" s="159">
        <v>85</v>
      </c>
      <c r="OQT67" s="160">
        <v>215</v>
      </c>
      <c r="OQU67" s="160">
        <v>75</v>
      </c>
      <c r="OQV67" s="159">
        <v>150</v>
      </c>
      <c r="OQW67" s="161">
        <f>SUM(OQR67:OQV67)</f>
        <v>8675</v>
      </c>
      <c r="OQX67" s="159">
        <v>200</v>
      </c>
      <c r="OQY67" s="161">
        <f>SUM(OQW67:OQX67)</f>
        <v>8875</v>
      </c>
      <c r="OQZ67" s="154" t="s">
        <v>106</v>
      </c>
      <c r="ORA67" s="155">
        <v>45845</v>
      </c>
      <c r="ORB67" s="150" t="s">
        <v>60</v>
      </c>
      <c r="ORC67" s="210"/>
      <c r="ORD67" s="156" t="s">
        <v>132</v>
      </c>
      <c r="ORE67" s="208"/>
      <c r="ORF67" s="209"/>
      <c r="ORG67" s="150" t="s">
        <v>24</v>
      </c>
      <c r="ORH67" s="151">
        <v>8150</v>
      </c>
      <c r="ORI67" s="159">
        <v>85</v>
      </c>
      <c r="ORJ67" s="160">
        <v>215</v>
      </c>
      <c r="ORK67" s="160">
        <v>75</v>
      </c>
      <c r="ORL67" s="159">
        <v>150</v>
      </c>
      <c r="ORM67" s="161">
        <f>SUM(ORH67:ORL67)</f>
        <v>8675</v>
      </c>
      <c r="ORN67" s="159">
        <v>200</v>
      </c>
      <c r="ORO67" s="161">
        <f>SUM(ORM67:ORN67)</f>
        <v>8875</v>
      </c>
      <c r="ORP67" s="154" t="s">
        <v>106</v>
      </c>
      <c r="ORQ67" s="155">
        <v>45845</v>
      </c>
      <c r="ORR67" s="150" t="s">
        <v>60</v>
      </c>
      <c r="ORS67" s="210"/>
      <c r="ORT67" s="156" t="s">
        <v>132</v>
      </c>
      <c r="ORU67" s="208"/>
      <c r="ORV67" s="209"/>
      <c r="ORW67" s="150" t="s">
        <v>24</v>
      </c>
      <c r="ORX67" s="151">
        <v>8150</v>
      </c>
      <c r="ORY67" s="159">
        <v>85</v>
      </c>
      <c r="ORZ67" s="160">
        <v>215</v>
      </c>
      <c r="OSA67" s="160">
        <v>75</v>
      </c>
      <c r="OSB67" s="159">
        <v>150</v>
      </c>
      <c r="OSC67" s="161">
        <f>SUM(ORX67:OSB67)</f>
        <v>8675</v>
      </c>
      <c r="OSD67" s="159">
        <v>200</v>
      </c>
      <c r="OSE67" s="161">
        <f>SUM(OSC67:OSD67)</f>
        <v>8875</v>
      </c>
      <c r="OSF67" s="154" t="s">
        <v>106</v>
      </c>
      <c r="OSG67" s="155">
        <v>45845</v>
      </c>
      <c r="OSH67" s="150" t="s">
        <v>60</v>
      </c>
      <c r="OSI67" s="210"/>
      <c r="OSJ67" s="156" t="s">
        <v>132</v>
      </c>
      <c r="OSK67" s="208"/>
      <c r="OSL67" s="209"/>
      <c r="OSM67" s="150" t="s">
        <v>24</v>
      </c>
      <c r="OSN67" s="151">
        <v>8150</v>
      </c>
      <c r="OSO67" s="159">
        <v>85</v>
      </c>
      <c r="OSP67" s="160">
        <v>215</v>
      </c>
      <c r="OSQ67" s="160">
        <v>75</v>
      </c>
      <c r="OSR67" s="159">
        <v>150</v>
      </c>
      <c r="OSS67" s="161">
        <f>SUM(OSN67:OSR67)</f>
        <v>8675</v>
      </c>
      <c r="OST67" s="159">
        <v>200</v>
      </c>
      <c r="OSU67" s="161">
        <f>SUM(OSS67:OST67)</f>
        <v>8875</v>
      </c>
      <c r="OSV67" s="154" t="s">
        <v>106</v>
      </c>
      <c r="OSW67" s="155">
        <v>45845</v>
      </c>
      <c r="OSX67" s="150" t="s">
        <v>60</v>
      </c>
      <c r="OSY67" s="210"/>
      <c r="OSZ67" s="156" t="s">
        <v>132</v>
      </c>
      <c r="OTA67" s="208"/>
      <c r="OTB67" s="209"/>
      <c r="OTC67" s="150" t="s">
        <v>24</v>
      </c>
      <c r="OTD67" s="151">
        <v>8150</v>
      </c>
      <c r="OTE67" s="159">
        <v>85</v>
      </c>
      <c r="OTF67" s="160">
        <v>215</v>
      </c>
      <c r="OTG67" s="160">
        <v>75</v>
      </c>
      <c r="OTH67" s="159">
        <v>150</v>
      </c>
      <c r="OTI67" s="161">
        <f>SUM(OTD67:OTH67)</f>
        <v>8675</v>
      </c>
      <c r="OTJ67" s="159">
        <v>200</v>
      </c>
      <c r="OTK67" s="161">
        <f>SUM(OTI67:OTJ67)</f>
        <v>8875</v>
      </c>
      <c r="OTL67" s="154" t="s">
        <v>106</v>
      </c>
      <c r="OTM67" s="155">
        <v>45845</v>
      </c>
      <c r="OTN67" s="150" t="s">
        <v>60</v>
      </c>
      <c r="OTO67" s="210"/>
      <c r="OTP67" s="156" t="s">
        <v>132</v>
      </c>
      <c r="OTQ67" s="208"/>
      <c r="OTR67" s="209"/>
      <c r="OTS67" s="150" t="s">
        <v>24</v>
      </c>
      <c r="OTT67" s="151">
        <v>8150</v>
      </c>
      <c r="OTU67" s="159">
        <v>85</v>
      </c>
      <c r="OTV67" s="160">
        <v>215</v>
      </c>
      <c r="OTW67" s="160">
        <v>75</v>
      </c>
      <c r="OTX67" s="159">
        <v>150</v>
      </c>
      <c r="OTY67" s="161">
        <f>SUM(OTT67:OTX67)</f>
        <v>8675</v>
      </c>
      <c r="OTZ67" s="159">
        <v>200</v>
      </c>
      <c r="OUA67" s="161">
        <f>SUM(OTY67:OTZ67)</f>
        <v>8875</v>
      </c>
      <c r="OUB67" s="154" t="s">
        <v>106</v>
      </c>
      <c r="OUC67" s="155">
        <v>45845</v>
      </c>
      <c r="OUD67" s="150" t="s">
        <v>60</v>
      </c>
      <c r="OUE67" s="210"/>
      <c r="OUF67" s="156" t="s">
        <v>132</v>
      </c>
      <c r="OUG67" s="208"/>
      <c r="OUH67" s="209"/>
      <c r="OUI67" s="150" t="s">
        <v>24</v>
      </c>
      <c r="OUJ67" s="151">
        <v>8150</v>
      </c>
      <c r="OUK67" s="159">
        <v>85</v>
      </c>
      <c r="OUL67" s="160">
        <v>215</v>
      </c>
      <c r="OUM67" s="160">
        <v>75</v>
      </c>
      <c r="OUN67" s="159">
        <v>150</v>
      </c>
      <c r="OUO67" s="161">
        <f>SUM(OUJ67:OUN67)</f>
        <v>8675</v>
      </c>
      <c r="OUP67" s="159">
        <v>200</v>
      </c>
      <c r="OUQ67" s="161">
        <f>SUM(OUO67:OUP67)</f>
        <v>8875</v>
      </c>
      <c r="OUR67" s="154" t="s">
        <v>106</v>
      </c>
      <c r="OUS67" s="155">
        <v>45845</v>
      </c>
      <c r="OUT67" s="150" t="s">
        <v>60</v>
      </c>
      <c r="OUU67" s="210"/>
      <c r="OUV67" s="156" t="s">
        <v>132</v>
      </c>
      <c r="OUW67" s="208"/>
      <c r="OUX67" s="209"/>
      <c r="OUY67" s="150" t="s">
        <v>24</v>
      </c>
      <c r="OUZ67" s="151">
        <v>8150</v>
      </c>
      <c r="OVA67" s="159">
        <v>85</v>
      </c>
      <c r="OVB67" s="160">
        <v>215</v>
      </c>
      <c r="OVC67" s="160">
        <v>75</v>
      </c>
      <c r="OVD67" s="159">
        <v>150</v>
      </c>
      <c r="OVE67" s="161">
        <f>SUM(OUZ67:OVD67)</f>
        <v>8675</v>
      </c>
      <c r="OVF67" s="159">
        <v>200</v>
      </c>
      <c r="OVG67" s="161">
        <f>SUM(OVE67:OVF67)</f>
        <v>8875</v>
      </c>
      <c r="OVH67" s="154" t="s">
        <v>106</v>
      </c>
      <c r="OVI67" s="155">
        <v>45845</v>
      </c>
      <c r="OVJ67" s="150" t="s">
        <v>60</v>
      </c>
      <c r="OVK67" s="210"/>
      <c r="OVL67" s="156" t="s">
        <v>132</v>
      </c>
      <c r="OVM67" s="208"/>
      <c r="OVN67" s="209"/>
      <c r="OVO67" s="150" t="s">
        <v>24</v>
      </c>
      <c r="OVP67" s="151">
        <v>8150</v>
      </c>
      <c r="OVQ67" s="159">
        <v>85</v>
      </c>
      <c r="OVR67" s="160">
        <v>215</v>
      </c>
      <c r="OVS67" s="160">
        <v>75</v>
      </c>
      <c r="OVT67" s="159">
        <v>150</v>
      </c>
      <c r="OVU67" s="161">
        <f>SUM(OVP67:OVT67)</f>
        <v>8675</v>
      </c>
      <c r="OVV67" s="159">
        <v>200</v>
      </c>
      <c r="OVW67" s="161">
        <f>SUM(OVU67:OVV67)</f>
        <v>8875</v>
      </c>
      <c r="OVX67" s="154" t="s">
        <v>106</v>
      </c>
      <c r="OVY67" s="155">
        <v>45845</v>
      </c>
      <c r="OVZ67" s="150" t="s">
        <v>60</v>
      </c>
      <c r="OWA67" s="210"/>
      <c r="OWB67" s="156" t="s">
        <v>132</v>
      </c>
      <c r="OWC67" s="208"/>
      <c r="OWD67" s="209"/>
      <c r="OWE67" s="150" t="s">
        <v>24</v>
      </c>
      <c r="OWF67" s="151">
        <v>8150</v>
      </c>
      <c r="OWG67" s="159">
        <v>85</v>
      </c>
      <c r="OWH67" s="160">
        <v>215</v>
      </c>
      <c r="OWI67" s="160">
        <v>75</v>
      </c>
      <c r="OWJ67" s="159">
        <v>150</v>
      </c>
      <c r="OWK67" s="161">
        <f>SUM(OWF67:OWJ67)</f>
        <v>8675</v>
      </c>
      <c r="OWL67" s="159">
        <v>200</v>
      </c>
      <c r="OWM67" s="161">
        <f>SUM(OWK67:OWL67)</f>
        <v>8875</v>
      </c>
      <c r="OWN67" s="154" t="s">
        <v>106</v>
      </c>
      <c r="OWO67" s="155">
        <v>45845</v>
      </c>
      <c r="OWP67" s="150" t="s">
        <v>60</v>
      </c>
      <c r="OWQ67" s="210"/>
      <c r="OWR67" s="156" t="s">
        <v>132</v>
      </c>
      <c r="OWS67" s="208"/>
      <c r="OWT67" s="209"/>
      <c r="OWU67" s="150" t="s">
        <v>24</v>
      </c>
      <c r="OWV67" s="151">
        <v>8150</v>
      </c>
      <c r="OWW67" s="159">
        <v>85</v>
      </c>
      <c r="OWX67" s="160">
        <v>215</v>
      </c>
      <c r="OWY67" s="160">
        <v>75</v>
      </c>
      <c r="OWZ67" s="159">
        <v>150</v>
      </c>
      <c r="OXA67" s="161">
        <f>SUM(OWV67:OWZ67)</f>
        <v>8675</v>
      </c>
      <c r="OXB67" s="159">
        <v>200</v>
      </c>
      <c r="OXC67" s="161">
        <f>SUM(OXA67:OXB67)</f>
        <v>8875</v>
      </c>
      <c r="OXD67" s="154" t="s">
        <v>106</v>
      </c>
      <c r="OXE67" s="155">
        <v>45845</v>
      </c>
      <c r="OXF67" s="150" t="s">
        <v>60</v>
      </c>
      <c r="OXG67" s="210"/>
      <c r="OXH67" s="156" t="s">
        <v>132</v>
      </c>
      <c r="OXI67" s="208"/>
      <c r="OXJ67" s="209"/>
      <c r="OXK67" s="150" t="s">
        <v>24</v>
      </c>
      <c r="OXL67" s="151">
        <v>8150</v>
      </c>
      <c r="OXM67" s="159">
        <v>85</v>
      </c>
      <c r="OXN67" s="160">
        <v>215</v>
      </c>
      <c r="OXO67" s="160">
        <v>75</v>
      </c>
      <c r="OXP67" s="159">
        <v>150</v>
      </c>
      <c r="OXQ67" s="161">
        <f>SUM(OXL67:OXP67)</f>
        <v>8675</v>
      </c>
      <c r="OXR67" s="159">
        <v>200</v>
      </c>
      <c r="OXS67" s="161">
        <f>SUM(OXQ67:OXR67)</f>
        <v>8875</v>
      </c>
      <c r="OXT67" s="154" t="s">
        <v>106</v>
      </c>
      <c r="OXU67" s="155">
        <v>45845</v>
      </c>
      <c r="OXV67" s="150" t="s">
        <v>60</v>
      </c>
      <c r="OXW67" s="210"/>
      <c r="OXX67" s="156" t="s">
        <v>132</v>
      </c>
      <c r="OXY67" s="208"/>
      <c r="OXZ67" s="209"/>
      <c r="OYA67" s="150" t="s">
        <v>24</v>
      </c>
      <c r="OYB67" s="151">
        <v>8150</v>
      </c>
      <c r="OYC67" s="159">
        <v>85</v>
      </c>
      <c r="OYD67" s="160">
        <v>215</v>
      </c>
      <c r="OYE67" s="160">
        <v>75</v>
      </c>
      <c r="OYF67" s="159">
        <v>150</v>
      </c>
      <c r="OYG67" s="161">
        <f>SUM(OYB67:OYF67)</f>
        <v>8675</v>
      </c>
      <c r="OYH67" s="159">
        <v>200</v>
      </c>
      <c r="OYI67" s="161">
        <f>SUM(OYG67:OYH67)</f>
        <v>8875</v>
      </c>
      <c r="OYJ67" s="154" t="s">
        <v>106</v>
      </c>
      <c r="OYK67" s="155">
        <v>45845</v>
      </c>
      <c r="OYL67" s="150" t="s">
        <v>60</v>
      </c>
      <c r="OYM67" s="210"/>
      <c r="OYN67" s="156" t="s">
        <v>132</v>
      </c>
      <c r="OYO67" s="208"/>
      <c r="OYP67" s="209"/>
      <c r="OYQ67" s="150" t="s">
        <v>24</v>
      </c>
      <c r="OYR67" s="151">
        <v>8150</v>
      </c>
      <c r="OYS67" s="159">
        <v>85</v>
      </c>
      <c r="OYT67" s="160">
        <v>215</v>
      </c>
      <c r="OYU67" s="160">
        <v>75</v>
      </c>
      <c r="OYV67" s="159">
        <v>150</v>
      </c>
      <c r="OYW67" s="161">
        <f>SUM(OYR67:OYV67)</f>
        <v>8675</v>
      </c>
      <c r="OYX67" s="159">
        <v>200</v>
      </c>
      <c r="OYY67" s="161">
        <f>SUM(OYW67:OYX67)</f>
        <v>8875</v>
      </c>
      <c r="OYZ67" s="154" t="s">
        <v>106</v>
      </c>
      <c r="OZA67" s="155">
        <v>45845</v>
      </c>
      <c r="OZB67" s="150" t="s">
        <v>60</v>
      </c>
      <c r="OZC67" s="210"/>
      <c r="OZD67" s="156" t="s">
        <v>132</v>
      </c>
      <c r="OZE67" s="208"/>
      <c r="OZF67" s="209"/>
      <c r="OZG67" s="150" t="s">
        <v>24</v>
      </c>
      <c r="OZH67" s="151">
        <v>8150</v>
      </c>
      <c r="OZI67" s="159">
        <v>85</v>
      </c>
      <c r="OZJ67" s="160">
        <v>215</v>
      </c>
      <c r="OZK67" s="160">
        <v>75</v>
      </c>
      <c r="OZL67" s="159">
        <v>150</v>
      </c>
      <c r="OZM67" s="161">
        <f>SUM(OZH67:OZL67)</f>
        <v>8675</v>
      </c>
      <c r="OZN67" s="159">
        <v>200</v>
      </c>
      <c r="OZO67" s="161">
        <f>SUM(OZM67:OZN67)</f>
        <v>8875</v>
      </c>
      <c r="OZP67" s="154" t="s">
        <v>106</v>
      </c>
      <c r="OZQ67" s="155">
        <v>45845</v>
      </c>
      <c r="OZR67" s="150" t="s">
        <v>60</v>
      </c>
      <c r="OZS67" s="210"/>
      <c r="OZT67" s="156" t="s">
        <v>132</v>
      </c>
      <c r="OZU67" s="208"/>
      <c r="OZV67" s="209"/>
      <c r="OZW67" s="150" t="s">
        <v>24</v>
      </c>
      <c r="OZX67" s="151">
        <v>8150</v>
      </c>
      <c r="OZY67" s="159">
        <v>85</v>
      </c>
      <c r="OZZ67" s="160">
        <v>215</v>
      </c>
      <c r="PAA67" s="160">
        <v>75</v>
      </c>
      <c r="PAB67" s="159">
        <v>150</v>
      </c>
      <c r="PAC67" s="161">
        <f>SUM(OZX67:PAB67)</f>
        <v>8675</v>
      </c>
      <c r="PAD67" s="159">
        <v>200</v>
      </c>
      <c r="PAE67" s="161">
        <f>SUM(PAC67:PAD67)</f>
        <v>8875</v>
      </c>
      <c r="PAF67" s="154" t="s">
        <v>106</v>
      </c>
      <c r="PAG67" s="155">
        <v>45845</v>
      </c>
      <c r="PAH67" s="150" t="s">
        <v>60</v>
      </c>
      <c r="PAI67" s="210"/>
      <c r="PAJ67" s="156" t="s">
        <v>132</v>
      </c>
      <c r="PAK67" s="208"/>
      <c r="PAL67" s="209"/>
      <c r="PAM67" s="150" t="s">
        <v>24</v>
      </c>
      <c r="PAN67" s="151">
        <v>8150</v>
      </c>
      <c r="PAO67" s="159">
        <v>85</v>
      </c>
      <c r="PAP67" s="160">
        <v>215</v>
      </c>
      <c r="PAQ67" s="160">
        <v>75</v>
      </c>
      <c r="PAR67" s="159">
        <v>150</v>
      </c>
      <c r="PAS67" s="161">
        <f>SUM(PAN67:PAR67)</f>
        <v>8675</v>
      </c>
      <c r="PAT67" s="159">
        <v>200</v>
      </c>
      <c r="PAU67" s="161">
        <f>SUM(PAS67:PAT67)</f>
        <v>8875</v>
      </c>
      <c r="PAV67" s="154" t="s">
        <v>106</v>
      </c>
      <c r="PAW67" s="155">
        <v>45845</v>
      </c>
      <c r="PAX67" s="150" t="s">
        <v>60</v>
      </c>
      <c r="PAY67" s="210"/>
      <c r="PAZ67" s="156" t="s">
        <v>132</v>
      </c>
      <c r="PBA67" s="208"/>
      <c r="PBB67" s="209"/>
      <c r="PBC67" s="150" t="s">
        <v>24</v>
      </c>
      <c r="PBD67" s="151">
        <v>8150</v>
      </c>
      <c r="PBE67" s="159">
        <v>85</v>
      </c>
      <c r="PBF67" s="160">
        <v>215</v>
      </c>
      <c r="PBG67" s="160">
        <v>75</v>
      </c>
      <c r="PBH67" s="159">
        <v>150</v>
      </c>
      <c r="PBI67" s="161">
        <f>SUM(PBD67:PBH67)</f>
        <v>8675</v>
      </c>
      <c r="PBJ67" s="159">
        <v>200</v>
      </c>
      <c r="PBK67" s="161">
        <f>SUM(PBI67:PBJ67)</f>
        <v>8875</v>
      </c>
      <c r="PBL67" s="154" t="s">
        <v>106</v>
      </c>
      <c r="PBM67" s="155">
        <v>45845</v>
      </c>
      <c r="PBN67" s="150" t="s">
        <v>60</v>
      </c>
      <c r="PBO67" s="210"/>
      <c r="PBP67" s="156" t="s">
        <v>132</v>
      </c>
      <c r="PBQ67" s="208"/>
      <c r="PBR67" s="209"/>
      <c r="PBS67" s="150" t="s">
        <v>24</v>
      </c>
      <c r="PBT67" s="151">
        <v>8150</v>
      </c>
      <c r="PBU67" s="159">
        <v>85</v>
      </c>
      <c r="PBV67" s="160">
        <v>215</v>
      </c>
      <c r="PBW67" s="160">
        <v>75</v>
      </c>
      <c r="PBX67" s="159">
        <v>150</v>
      </c>
      <c r="PBY67" s="161">
        <f>SUM(PBT67:PBX67)</f>
        <v>8675</v>
      </c>
      <c r="PBZ67" s="159">
        <v>200</v>
      </c>
      <c r="PCA67" s="161">
        <f>SUM(PBY67:PBZ67)</f>
        <v>8875</v>
      </c>
      <c r="PCB67" s="154" t="s">
        <v>106</v>
      </c>
      <c r="PCC67" s="155">
        <v>45845</v>
      </c>
      <c r="PCD67" s="150" t="s">
        <v>60</v>
      </c>
      <c r="PCE67" s="210"/>
      <c r="PCF67" s="156" t="s">
        <v>132</v>
      </c>
      <c r="PCG67" s="208"/>
      <c r="PCH67" s="209"/>
      <c r="PCI67" s="150" t="s">
        <v>24</v>
      </c>
      <c r="PCJ67" s="151">
        <v>8150</v>
      </c>
      <c r="PCK67" s="159">
        <v>85</v>
      </c>
      <c r="PCL67" s="160">
        <v>215</v>
      </c>
      <c r="PCM67" s="160">
        <v>75</v>
      </c>
      <c r="PCN67" s="159">
        <v>150</v>
      </c>
      <c r="PCO67" s="161">
        <f>SUM(PCJ67:PCN67)</f>
        <v>8675</v>
      </c>
      <c r="PCP67" s="159">
        <v>200</v>
      </c>
      <c r="PCQ67" s="161">
        <f>SUM(PCO67:PCP67)</f>
        <v>8875</v>
      </c>
      <c r="PCR67" s="154" t="s">
        <v>106</v>
      </c>
      <c r="PCS67" s="155">
        <v>45845</v>
      </c>
      <c r="PCT67" s="150" t="s">
        <v>60</v>
      </c>
      <c r="PCU67" s="210"/>
      <c r="PCV67" s="156" t="s">
        <v>132</v>
      </c>
      <c r="PCW67" s="208"/>
      <c r="PCX67" s="209"/>
      <c r="PCY67" s="150" t="s">
        <v>24</v>
      </c>
      <c r="PCZ67" s="151">
        <v>8150</v>
      </c>
      <c r="PDA67" s="159">
        <v>85</v>
      </c>
      <c r="PDB67" s="160">
        <v>215</v>
      </c>
      <c r="PDC67" s="160">
        <v>75</v>
      </c>
      <c r="PDD67" s="159">
        <v>150</v>
      </c>
      <c r="PDE67" s="161">
        <f>SUM(PCZ67:PDD67)</f>
        <v>8675</v>
      </c>
      <c r="PDF67" s="159">
        <v>200</v>
      </c>
      <c r="PDG67" s="161">
        <f>SUM(PDE67:PDF67)</f>
        <v>8875</v>
      </c>
      <c r="PDH67" s="154" t="s">
        <v>106</v>
      </c>
      <c r="PDI67" s="155">
        <v>45845</v>
      </c>
      <c r="PDJ67" s="150" t="s">
        <v>60</v>
      </c>
      <c r="PDK67" s="210"/>
      <c r="PDL67" s="156" t="s">
        <v>132</v>
      </c>
      <c r="PDM67" s="208"/>
      <c r="PDN67" s="209"/>
      <c r="PDO67" s="150" t="s">
        <v>24</v>
      </c>
      <c r="PDP67" s="151">
        <v>8150</v>
      </c>
      <c r="PDQ67" s="159">
        <v>85</v>
      </c>
      <c r="PDR67" s="160">
        <v>215</v>
      </c>
      <c r="PDS67" s="160">
        <v>75</v>
      </c>
      <c r="PDT67" s="159">
        <v>150</v>
      </c>
      <c r="PDU67" s="161">
        <f>SUM(PDP67:PDT67)</f>
        <v>8675</v>
      </c>
      <c r="PDV67" s="159">
        <v>200</v>
      </c>
      <c r="PDW67" s="161">
        <f>SUM(PDU67:PDV67)</f>
        <v>8875</v>
      </c>
      <c r="PDX67" s="154" t="s">
        <v>106</v>
      </c>
      <c r="PDY67" s="155">
        <v>45845</v>
      </c>
      <c r="PDZ67" s="150" t="s">
        <v>60</v>
      </c>
      <c r="PEA67" s="210"/>
      <c r="PEB67" s="156" t="s">
        <v>132</v>
      </c>
      <c r="PEC67" s="208"/>
      <c r="PED67" s="209"/>
      <c r="PEE67" s="150" t="s">
        <v>24</v>
      </c>
      <c r="PEF67" s="151">
        <v>8150</v>
      </c>
      <c r="PEG67" s="159">
        <v>85</v>
      </c>
      <c r="PEH67" s="160">
        <v>215</v>
      </c>
      <c r="PEI67" s="160">
        <v>75</v>
      </c>
      <c r="PEJ67" s="159">
        <v>150</v>
      </c>
      <c r="PEK67" s="161">
        <f>SUM(PEF67:PEJ67)</f>
        <v>8675</v>
      </c>
      <c r="PEL67" s="159">
        <v>200</v>
      </c>
      <c r="PEM67" s="161">
        <f>SUM(PEK67:PEL67)</f>
        <v>8875</v>
      </c>
      <c r="PEN67" s="154" t="s">
        <v>106</v>
      </c>
      <c r="PEO67" s="155">
        <v>45845</v>
      </c>
      <c r="PEP67" s="150" t="s">
        <v>60</v>
      </c>
      <c r="PEQ67" s="210"/>
      <c r="PER67" s="156" t="s">
        <v>132</v>
      </c>
      <c r="PES67" s="208"/>
      <c r="PET67" s="209"/>
      <c r="PEU67" s="150" t="s">
        <v>24</v>
      </c>
      <c r="PEV67" s="151">
        <v>8150</v>
      </c>
      <c r="PEW67" s="159">
        <v>85</v>
      </c>
      <c r="PEX67" s="160">
        <v>215</v>
      </c>
      <c r="PEY67" s="160">
        <v>75</v>
      </c>
      <c r="PEZ67" s="159">
        <v>150</v>
      </c>
      <c r="PFA67" s="161">
        <f>SUM(PEV67:PEZ67)</f>
        <v>8675</v>
      </c>
      <c r="PFB67" s="159">
        <v>200</v>
      </c>
      <c r="PFC67" s="161">
        <f>SUM(PFA67:PFB67)</f>
        <v>8875</v>
      </c>
      <c r="PFD67" s="154" t="s">
        <v>106</v>
      </c>
      <c r="PFE67" s="155">
        <v>45845</v>
      </c>
      <c r="PFF67" s="150" t="s">
        <v>60</v>
      </c>
      <c r="PFG67" s="210"/>
      <c r="PFH67" s="156" t="s">
        <v>132</v>
      </c>
      <c r="PFI67" s="208"/>
      <c r="PFJ67" s="209"/>
      <c r="PFK67" s="150" t="s">
        <v>24</v>
      </c>
      <c r="PFL67" s="151">
        <v>8150</v>
      </c>
      <c r="PFM67" s="159">
        <v>85</v>
      </c>
      <c r="PFN67" s="160">
        <v>215</v>
      </c>
      <c r="PFO67" s="160">
        <v>75</v>
      </c>
      <c r="PFP67" s="159">
        <v>150</v>
      </c>
      <c r="PFQ67" s="161">
        <f>SUM(PFL67:PFP67)</f>
        <v>8675</v>
      </c>
      <c r="PFR67" s="159">
        <v>200</v>
      </c>
      <c r="PFS67" s="161">
        <f>SUM(PFQ67:PFR67)</f>
        <v>8875</v>
      </c>
      <c r="PFT67" s="154" t="s">
        <v>106</v>
      </c>
      <c r="PFU67" s="155">
        <v>45845</v>
      </c>
      <c r="PFV67" s="150" t="s">
        <v>60</v>
      </c>
      <c r="PFW67" s="210"/>
      <c r="PFX67" s="156" t="s">
        <v>132</v>
      </c>
      <c r="PFY67" s="208"/>
      <c r="PFZ67" s="209"/>
      <c r="PGA67" s="150" t="s">
        <v>24</v>
      </c>
      <c r="PGB67" s="151">
        <v>8150</v>
      </c>
      <c r="PGC67" s="159">
        <v>85</v>
      </c>
      <c r="PGD67" s="160">
        <v>215</v>
      </c>
      <c r="PGE67" s="160">
        <v>75</v>
      </c>
      <c r="PGF67" s="159">
        <v>150</v>
      </c>
      <c r="PGG67" s="161">
        <f>SUM(PGB67:PGF67)</f>
        <v>8675</v>
      </c>
      <c r="PGH67" s="159">
        <v>200</v>
      </c>
      <c r="PGI67" s="161">
        <f>SUM(PGG67:PGH67)</f>
        <v>8875</v>
      </c>
      <c r="PGJ67" s="154" t="s">
        <v>106</v>
      </c>
      <c r="PGK67" s="155">
        <v>45845</v>
      </c>
      <c r="PGL67" s="150" t="s">
        <v>60</v>
      </c>
      <c r="PGM67" s="210"/>
      <c r="PGN67" s="156" t="s">
        <v>132</v>
      </c>
      <c r="PGO67" s="208"/>
      <c r="PGP67" s="209"/>
      <c r="PGQ67" s="150" t="s">
        <v>24</v>
      </c>
      <c r="PGR67" s="151">
        <v>8150</v>
      </c>
      <c r="PGS67" s="159">
        <v>85</v>
      </c>
      <c r="PGT67" s="160">
        <v>215</v>
      </c>
      <c r="PGU67" s="160">
        <v>75</v>
      </c>
      <c r="PGV67" s="159">
        <v>150</v>
      </c>
      <c r="PGW67" s="161">
        <f>SUM(PGR67:PGV67)</f>
        <v>8675</v>
      </c>
      <c r="PGX67" s="159">
        <v>200</v>
      </c>
      <c r="PGY67" s="161">
        <f>SUM(PGW67:PGX67)</f>
        <v>8875</v>
      </c>
      <c r="PGZ67" s="154" t="s">
        <v>106</v>
      </c>
      <c r="PHA67" s="155">
        <v>45845</v>
      </c>
      <c r="PHB67" s="150" t="s">
        <v>60</v>
      </c>
      <c r="PHC67" s="210"/>
      <c r="PHD67" s="156" t="s">
        <v>132</v>
      </c>
      <c r="PHE67" s="208"/>
      <c r="PHF67" s="209"/>
      <c r="PHG67" s="150" t="s">
        <v>24</v>
      </c>
      <c r="PHH67" s="151">
        <v>8150</v>
      </c>
      <c r="PHI67" s="159">
        <v>85</v>
      </c>
      <c r="PHJ67" s="160">
        <v>215</v>
      </c>
      <c r="PHK67" s="160">
        <v>75</v>
      </c>
      <c r="PHL67" s="159">
        <v>150</v>
      </c>
      <c r="PHM67" s="161">
        <f>SUM(PHH67:PHL67)</f>
        <v>8675</v>
      </c>
      <c r="PHN67" s="159">
        <v>200</v>
      </c>
      <c r="PHO67" s="161">
        <f>SUM(PHM67:PHN67)</f>
        <v>8875</v>
      </c>
      <c r="PHP67" s="154" t="s">
        <v>106</v>
      </c>
      <c r="PHQ67" s="155">
        <v>45845</v>
      </c>
      <c r="PHR67" s="150" t="s">
        <v>60</v>
      </c>
      <c r="PHS67" s="210"/>
      <c r="PHT67" s="156" t="s">
        <v>132</v>
      </c>
      <c r="PHU67" s="208"/>
      <c r="PHV67" s="209"/>
      <c r="PHW67" s="150" t="s">
        <v>24</v>
      </c>
      <c r="PHX67" s="151">
        <v>8150</v>
      </c>
      <c r="PHY67" s="159">
        <v>85</v>
      </c>
      <c r="PHZ67" s="160">
        <v>215</v>
      </c>
      <c r="PIA67" s="160">
        <v>75</v>
      </c>
      <c r="PIB67" s="159">
        <v>150</v>
      </c>
      <c r="PIC67" s="161">
        <f>SUM(PHX67:PIB67)</f>
        <v>8675</v>
      </c>
      <c r="PID67" s="159">
        <v>200</v>
      </c>
      <c r="PIE67" s="161">
        <f>SUM(PIC67:PID67)</f>
        <v>8875</v>
      </c>
      <c r="PIF67" s="154" t="s">
        <v>106</v>
      </c>
      <c r="PIG67" s="155">
        <v>45845</v>
      </c>
      <c r="PIH67" s="150" t="s">
        <v>60</v>
      </c>
      <c r="PII67" s="210"/>
      <c r="PIJ67" s="156" t="s">
        <v>132</v>
      </c>
      <c r="PIK67" s="208"/>
      <c r="PIL67" s="209"/>
      <c r="PIM67" s="150" t="s">
        <v>24</v>
      </c>
      <c r="PIN67" s="151">
        <v>8150</v>
      </c>
      <c r="PIO67" s="159">
        <v>85</v>
      </c>
      <c r="PIP67" s="160">
        <v>215</v>
      </c>
      <c r="PIQ67" s="160">
        <v>75</v>
      </c>
      <c r="PIR67" s="159">
        <v>150</v>
      </c>
      <c r="PIS67" s="161">
        <f>SUM(PIN67:PIR67)</f>
        <v>8675</v>
      </c>
      <c r="PIT67" s="159">
        <v>200</v>
      </c>
      <c r="PIU67" s="161">
        <f>SUM(PIS67:PIT67)</f>
        <v>8875</v>
      </c>
      <c r="PIV67" s="154" t="s">
        <v>106</v>
      </c>
      <c r="PIW67" s="155">
        <v>45845</v>
      </c>
      <c r="PIX67" s="150" t="s">
        <v>60</v>
      </c>
      <c r="PIY67" s="210"/>
      <c r="PIZ67" s="156" t="s">
        <v>132</v>
      </c>
      <c r="PJA67" s="208"/>
      <c r="PJB67" s="209"/>
      <c r="PJC67" s="150" t="s">
        <v>24</v>
      </c>
      <c r="PJD67" s="151">
        <v>8150</v>
      </c>
      <c r="PJE67" s="159">
        <v>85</v>
      </c>
      <c r="PJF67" s="160">
        <v>215</v>
      </c>
      <c r="PJG67" s="160">
        <v>75</v>
      </c>
      <c r="PJH67" s="159">
        <v>150</v>
      </c>
      <c r="PJI67" s="161">
        <f>SUM(PJD67:PJH67)</f>
        <v>8675</v>
      </c>
      <c r="PJJ67" s="159">
        <v>200</v>
      </c>
      <c r="PJK67" s="161">
        <f>SUM(PJI67:PJJ67)</f>
        <v>8875</v>
      </c>
      <c r="PJL67" s="154" t="s">
        <v>106</v>
      </c>
      <c r="PJM67" s="155">
        <v>45845</v>
      </c>
      <c r="PJN67" s="150" t="s">
        <v>60</v>
      </c>
      <c r="PJO67" s="210"/>
      <c r="PJP67" s="156" t="s">
        <v>132</v>
      </c>
      <c r="PJQ67" s="208"/>
      <c r="PJR67" s="209"/>
      <c r="PJS67" s="150" t="s">
        <v>24</v>
      </c>
      <c r="PJT67" s="151">
        <v>8150</v>
      </c>
      <c r="PJU67" s="159">
        <v>85</v>
      </c>
      <c r="PJV67" s="160">
        <v>215</v>
      </c>
      <c r="PJW67" s="160">
        <v>75</v>
      </c>
      <c r="PJX67" s="159">
        <v>150</v>
      </c>
      <c r="PJY67" s="161">
        <f>SUM(PJT67:PJX67)</f>
        <v>8675</v>
      </c>
      <c r="PJZ67" s="159">
        <v>200</v>
      </c>
      <c r="PKA67" s="161">
        <f>SUM(PJY67:PJZ67)</f>
        <v>8875</v>
      </c>
      <c r="PKB67" s="154" t="s">
        <v>106</v>
      </c>
      <c r="PKC67" s="155">
        <v>45845</v>
      </c>
      <c r="PKD67" s="150" t="s">
        <v>60</v>
      </c>
      <c r="PKE67" s="210"/>
      <c r="PKF67" s="156" t="s">
        <v>132</v>
      </c>
      <c r="PKG67" s="208"/>
      <c r="PKH67" s="209"/>
      <c r="PKI67" s="150" t="s">
        <v>24</v>
      </c>
      <c r="PKJ67" s="151">
        <v>8150</v>
      </c>
      <c r="PKK67" s="159">
        <v>85</v>
      </c>
      <c r="PKL67" s="160">
        <v>215</v>
      </c>
      <c r="PKM67" s="160">
        <v>75</v>
      </c>
      <c r="PKN67" s="159">
        <v>150</v>
      </c>
      <c r="PKO67" s="161">
        <f>SUM(PKJ67:PKN67)</f>
        <v>8675</v>
      </c>
      <c r="PKP67" s="159">
        <v>200</v>
      </c>
      <c r="PKQ67" s="161">
        <f>SUM(PKO67:PKP67)</f>
        <v>8875</v>
      </c>
      <c r="PKR67" s="154" t="s">
        <v>106</v>
      </c>
      <c r="PKS67" s="155">
        <v>45845</v>
      </c>
      <c r="PKT67" s="150" t="s">
        <v>60</v>
      </c>
      <c r="PKU67" s="210"/>
      <c r="PKV67" s="156" t="s">
        <v>132</v>
      </c>
      <c r="PKW67" s="208"/>
      <c r="PKX67" s="209"/>
      <c r="PKY67" s="150" t="s">
        <v>24</v>
      </c>
      <c r="PKZ67" s="151">
        <v>8150</v>
      </c>
      <c r="PLA67" s="159">
        <v>85</v>
      </c>
      <c r="PLB67" s="160">
        <v>215</v>
      </c>
      <c r="PLC67" s="160">
        <v>75</v>
      </c>
      <c r="PLD67" s="159">
        <v>150</v>
      </c>
      <c r="PLE67" s="161">
        <f>SUM(PKZ67:PLD67)</f>
        <v>8675</v>
      </c>
      <c r="PLF67" s="159">
        <v>200</v>
      </c>
      <c r="PLG67" s="161">
        <f>SUM(PLE67:PLF67)</f>
        <v>8875</v>
      </c>
      <c r="PLH67" s="154" t="s">
        <v>106</v>
      </c>
      <c r="PLI67" s="155">
        <v>45845</v>
      </c>
      <c r="PLJ67" s="150" t="s">
        <v>60</v>
      </c>
      <c r="PLK67" s="210"/>
      <c r="PLL67" s="156" t="s">
        <v>132</v>
      </c>
      <c r="PLM67" s="208"/>
      <c r="PLN67" s="209"/>
      <c r="PLO67" s="150" t="s">
        <v>24</v>
      </c>
      <c r="PLP67" s="151">
        <v>8150</v>
      </c>
      <c r="PLQ67" s="159">
        <v>85</v>
      </c>
      <c r="PLR67" s="160">
        <v>215</v>
      </c>
      <c r="PLS67" s="160">
        <v>75</v>
      </c>
      <c r="PLT67" s="159">
        <v>150</v>
      </c>
      <c r="PLU67" s="161">
        <f>SUM(PLP67:PLT67)</f>
        <v>8675</v>
      </c>
      <c r="PLV67" s="159">
        <v>200</v>
      </c>
      <c r="PLW67" s="161">
        <f>SUM(PLU67:PLV67)</f>
        <v>8875</v>
      </c>
      <c r="PLX67" s="154" t="s">
        <v>106</v>
      </c>
      <c r="PLY67" s="155">
        <v>45845</v>
      </c>
      <c r="PLZ67" s="150" t="s">
        <v>60</v>
      </c>
      <c r="PMA67" s="210"/>
      <c r="PMB67" s="156" t="s">
        <v>132</v>
      </c>
      <c r="PMC67" s="208"/>
      <c r="PMD67" s="209"/>
      <c r="PME67" s="150" t="s">
        <v>24</v>
      </c>
      <c r="PMF67" s="151">
        <v>8150</v>
      </c>
      <c r="PMG67" s="159">
        <v>85</v>
      </c>
      <c r="PMH67" s="160">
        <v>215</v>
      </c>
      <c r="PMI67" s="160">
        <v>75</v>
      </c>
      <c r="PMJ67" s="159">
        <v>150</v>
      </c>
      <c r="PMK67" s="161">
        <f>SUM(PMF67:PMJ67)</f>
        <v>8675</v>
      </c>
      <c r="PML67" s="159">
        <v>200</v>
      </c>
      <c r="PMM67" s="161">
        <f>SUM(PMK67:PML67)</f>
        <v>8875</v>
      </c>
      <c r="PMN67" s="154" t="s">
        <v>106</v>
      </c>
      <c r="PMO67" s="155">
        <v>45845</v>
      </c>
      <c r="PMP67" s="150" t="s">
        <v>60</v>
      </c>
      <c r="PMQ67" s="210"/>
      <c r="PMR67" s="156" t="s">
        <v>132</v>
      </c>
      <c r="PMS67" s="208"/>
      <c r="PMT67" s="209"/>
      <c r="PMU67" s="150" t="s">
        <v>24</v>
      </c>
      <c r="PMV67" s="151">
        <v>8150</v>
      </c>
      <c r="PMW67" s="159">
        <v>85</v>
      </c>
      <c r="PMX67" s="160">
        <v>215</v>
      </c>
      <c r="PMY67" s="160">
        <v>75</v>
      </c>
      <c r="PMZ67" s="159">
        <v>150</v>
      </c>
      <c r="PNA67" s="161">
        <f>SUM(PMV67:PMZ67)</f>
        <v>8675</v>
      </c>
      <c r="PNB67" s="159">
        <v>200</v>
      </c>
      <c r="PNC67" s="161">
        <f>SUM(PNA67:PNB67)</f>
        <v>8875</v>
      </c>
      <c r="PND67" s="154" t="s">
        <v>106</v>
      </c>
      <c r="PNE67" s="155">
        <v>45845</v>
      </c>
      <c r="PNF67" s="150" t="s">
        <v>60</v>
      </c>
      <c r="PNG67" s="210"/>
      <c r="PNH67" s="156" t="s">
        <v>132</v>
      </c>
      <c r="PNI67" s="208"/>
      <c r="PNJ67" s="209"/>
      <c r="PNK67" s="150" t="s">
        <v>24</v>
      </c>
      <c r="PNL67" s="151">
        <v>8150</v>
      </c>
      <c r="PNM67" s="159">
        <v>85</v>
      </c>
      <c r="PNN67" s="160">
        <v>215</v>
      </c>
      <c r="PNO67" s="160">
        <v>75</v>
      </c>
      <c r="PNP67" s="159">
        <v>150</v>
      </c>
      <c r="PNQ67" s="161">
        <f>SUM(PNL67:PNP67)</f>
        <v>8675</v>
      </c>
      <c r="PNR67" s="159">
        <v>200</v>
      </c>
      <c r="PNS67" s="161">
        <f>SUM(PNQ67:PNR67)</f>
        <v>8875</v>
      </c>
      <c r="PNT67" s="154" t="s">
        <v>106</v>
      </c>
      <c r="PNU67" s="155">
        <v>45845</v>
      </c>
      <c r="PNV67" s="150" t="s">
        <v>60</v>
      </c>
      <c r="PNW67" s="210"/>
      <c r="PNX67" s="156" t="s">
        <v>132</v>
      </c>
      <c r="PNY67" s="208"/>
      <c r="PNZ67" s="209"/>
      <c r="POA67" s="150" t="s">
        <v>24</v>
      </c>
      <c r="POB67" s="151">
        <v>8150</v>
      </c>
      <c r="POC67" s="159">
        <v>85</v>
      </c>
      <c r="POD67" s="160">
        <v>215</v>
      </c>
      <c r="POE67" s="160">
        <v>75</v>
      </c>
      <c r="POF67" s="159">
        <v>150</v>
      </c>
      <c r="POG67" s="161">
        <f>SUM(POB67:POF67)</f>
        <v>8675</v>
      </c>
      <c r="POH67" s="159">
        <v>200</v>
      </c>
      <c r="POI67" s="161">
        <f>SUM(POG67:POH67)</f>
        <v>8875</v>
      </c>
      <c r="POJ67" s="154" t="s">
        <v>106</v>
      </c>
      <c r="POK67" s="155">
        <v>45845</v>
      </c>
      <c r="POL67" s="150" t="s">
        <v>60</v>
      </c>
      <c r="POM67" s="210"/>
      <c r="PON67" s="156" t="s">
        <v>132</v>
      </c>
      <c r="POO67" s="208"/>
      <c r="POP67" s="209"/>
      <c r="POQ67" s="150" t="s">
        <v>24</v>
      </c>
      <c r="POR67" s="151">
        <v>8150</v>
      </c>
      <c r="POS67" s="159">
        <v>85</v>
      </c>
      <c r="POT67" s="160">
        <v>215</v>
      </c>
      <c r="POU67" s="160">
        <v>75</v>
      </c>
      <c r="POV67" s="159">
        <v>150</v>
      </c>
      <c r="POW67" s="161">
        <f>SUM(POR67:POV67)</f>
        <v>8675</v>
      </c>
      <c r="POX67" s="159">
        <v>200</v>
      </c>
      <c r="POY67" s="161">
        <f>SUM(POW67:POX67)</f>
        <v>8875</v>
      </c>
      <c r="POZ67" s="154" t="s">
        <v>106</v>
      </c>
      <c r="PPA67" s="155">
        <v>45845</v>
      </c>
      <c r="PPB67" s="150" t="s">
        <v>60</v>
      </c>
      <c r="PPC67" s="210"/>
      <c r="PPD67" s="156" t="s">
        <v>132</v>
      </c>
      <c r="PPE67" s="208"/>
      <c r="PPF67" s="209"/>
      <c r="PPG67" s="150" t="s">
        <v>24</v>
      </c>
      <c r="PPH67" s="151">
        <v>8150</v>
      </c>
      <c r="PPI67" s="159">
        <v>85</v>
      </c>
      <c r="PPJ67" s="160">
        <v>215</v>
      </c>
      <c r="PPK67" s="160">
        <v>75</v>
      </c>
      <c r="PPL67" s="159">
        <v>150</v>
      </c>
      <c r="PPM67" s="161">
        <f>SUM(PPH67:PPL67)</f>
        <v>8675</v>
      </c>
      <c r="PPN67" s="159">
        <v>200</v>
      </c>
      <c r="PPO67" s="161">
        <f>SUM(PPM67:PPN67)</f>
        <v>8875</v>
      </c>
      <c r="PPP67" s="154" t="s">
        <v>106</v>
      </c>
      <c r="PPQ67" s="155">
        <v>45845</v>
      </c>
      <c r="PPR67" s="150" t="s">
        <v>60</v>
      </c>
      <c r="PPS67" s="210"/>
      <c r="PPT67" s="156" t="s">
        <v>132</v>
      </c>
      <c r="PPU67" s="208"/>
      <c r="PPV67" s="209"/>
      <c r="PPW67" s="150" t="s">
        <v>24</v>
      </c>
      <c r="PPX67" s="151">
        <v>8150</v>
      </c>
      <c r="PPY67" s="159">
        <v>85</v>
      </c>
      <c r="PPZ67" s="160">
        <v>215</v>
      </c>
      <c r="PQA67" s="160">
        <v>75</v>
      </c>
      <c r="PQB67" s="159">
        <v>150</v>
      </c>
      <c r="PQC67" s="161">
        <f>SUM(PPX67:PQB67)</f>
        <v>8675</v>
      </c>
      <c r="PQD67" s="159">
        <v>200</v>
      </c>
      <c r="PQE67" s="161">
        <f>SUM(PQC67:PQD67)</f>
        <v>8875</v>
      </c>
      <c r="PQF67" s="154" t="s">
        <v>106</v>
      </c>
      <c r="PQG67" s="155">
        <v>45845</v>
      </c>
      <c r="PQH67" s="150" t="s">
        <v>60</v>
      </c>
      <c r="PQI67" s="210"/>
      <c r="PQJ67" s="156" t="s">
        <v>132</v>
      </c>
      <c r="PQK67" s="208"/>
      <c r="PQL67" s="209"/>
      <c r="PQM67" s="150" t="s">
        <v>24</v>
      </c>
      <c r="PQN67" s="151">
        <v>8150</v>
      </c>
      <c r="PQO67" s="159">
        <v>85</v>
      </c>
      <c r="PQP67" s="160">
        <v>215</v>
      </c>
      <c r="PQQ67" s="160">
        <v>75</v>
      </c>
      <c r="PQR67" s="159">
        <v>150</v>
      </c>
      <c r="PQS67" s="161">
        <f>SUM(PQN67:PQR67)</f>
        <v>8675</v>
      </c>
      <c r="PQT67" s="159">
        <v>200</v>
      </c>
      <c r="PQU67" s="161">
        <f>SUM(PQS67:PQT67)</f>
        <v>8875</v>
      </c>
      <c r="PQV67" s="154" t="s">
        <v>106</v>
      </c>
      <c r="PQW67" s="155">
        <v>45845</v>
      </c>
      <c r="PQX67" s="150" t="s">
        <v>60</v>
      </c>
      <c r="PQY67" s="210"/>
      <c r="PQZ67" s="156" t="s">
        <v>132</v>
      </c>
      <c r="PRA67" s="208"/>
      <c r="PRB67" s="209"/>
      <c r="PRC67" s="150" t="s">
        <v>24</v>
      </c>
      <c r="PRD67" s="151">
        <v>8150</v>
      </c>
      <c r="PRE67" s="159">
        <v>85</v>
      </c>
      <c r="PRF67" s="160">
        <v>215</v>
      </c>
      <c r="PRG67" s="160">
        <v>75</v>
      </c>
      <c r="PRH67" s="159">
        <v>150</v>
      </c>
      <c r="PRI67" s="161">
        <f>SUM(PRD67:PRH67)</f>
        <v>8675</v>
      </c>
      <c r="PRJ67" s="159">
        <v>200</v>
      </c>
      <c r="PRK67" s="161">
        <f>SUM(PRI67:PRJ67)</f>
        <v>8875</v>
      </c>
      <c r="PRL67" s="154" t="s">
        <v>106</v>
      </c>
      <c r="PRM67" s="155">
        <v>45845</v>
      </c>
      <c r="PRN67" s="150" t="s">
        <v>60</v>
      </c>
      <c r="PRO67" s="210"/>
      <c r="PRP67" s="156" t="s">
        <v>132</v>
      </c>
      <c r="PRQ67" s="208"/>
      <c r="PRR67" s="209"/>
      <c r="PRS67" s="150" t="s">
        <v>24</v>
      </c>
      <c r="PRT67" s="151">
        <v>8150</v>
      </c>
      <c r="PRU67" s="159">
        <v>85</v>
      </c>
      <c r="PRV67" s="160">
        <v>215</v>
      </c>
      <c r="PRW67" s="160">
        <v>75</v>
      </c>
      <c r="PRX67" s="159">
        <v>150</v>
      </c>
      <c r="PRY67" s="161">
        <f>SUM(PRT67:PRX67)</f>
        <v>8675</v>
      </c>
      <c r="PRZ67" s="159">
        <v>200</v>
      </c>
      <c r="PSA67" s="161">
        <f>SUM(PRY67:PRZ67)</f>
        <v>8875</v>
      </c>
      <c r="PSB67" s="154" t="s">
        <v>106</v>
      </c>
      <c r="PSC67" s="155">
        <v>45845</v>
      </c>
      <c r="PSD67" s="150" t="s">
        <v>60</v>
      </c>
      <c r="PSE67" s="210"/>
      <c r="PSF67" s="156" t="s">
        <v>132</v>
      </c>
      <c r="PSG67" s="208"/>
      <c r="PSH67" s="209"/>
      <c r="PSI67" s="150" t="s">
        <v>24</v>
      </c>
      <c r="PSJ67" s="151">
        <v>8150</v>
      </c>
      <c r="PSK67" s="159">
        <v>85</v>
      </c>
      <c r="PSL67" s="160">
        <v>215</v>
      </c>
      <c r="PSM67" s="160">
        <v>75</v>
      </c>
      <c r="PSN67" s="159">
        <v>150</v>
      </c>
      <c r="PSO67" s="161">
        <f>SUM(PSJ67:PSN67)</f>
        <v>8675</v>
      </c>
      <c r="PSP67" s="159">
        <v>200</v>
      </c>
      <c r="PSQ67" s="161">
        <f>SUM(PSO67:PSP67)</f>
        <v>8875</v>
      </c>
      <c r="PSR67" s="154" t="s">
        <v>106</v>
      </c>
      <c r="PSS67" s="155">
        <v>45845</v>
      </c>
      <c r="PST67" s="150" t="s">
        <v>60</v>
      </c>
      <c r="PSU67" s="210"/>
      <c r="PSV67" s="156" t="s">
        <v>132</v>
      </c>
      <c r="PSW67" s="208"/>
      <c r="PSX67" s="209"/>
      <c r="PSY67" s="150" t="s">
        <v>24</v>
      </c>
      <c r="PSZ67" s="151">
        <v>8150</v>
      </c>
      <c r="PTA67" s="159">
        <v>85</v>
      </c>
      <c r="PTB67" s="160">
        <v>215</v>
      </c>
      <c r="PTC67" s="160">
        <v>75</v>
      </c>
      <c r="PTD67" s="159">
        <v>150</v>
      </c>
      <c r="PTE67" s="161">
        <f>SUM(PSZ67:PTD67)</f>
        <v>8675</v>
      </c>
      <c r="PTF67" s="159">
        <v>200</v>
      </c>
      <c r="PTG67" s="161">
        <f>SUM(PTE67:PTF67)</f>
        <v>8875</v>
      </c>
      <c r="PTH67" s="154" t="s">
        <v>106</v>
      </c>
      <c r="PTI67" s="155">
        <v>45845</v>
      </c>
      <c r="PTJ67" s="150" t="s">
        <v>60</v>
      </c>
      <c r="PTK67" s="210"/>
      <c r="PTL67" s="156" t="s">
        <v>132</v>
      </c>
      <c r="PTM67" s="208"/>
      <c r="PTN67" s="209"/>
      <c r="PTO67" s="150" t="s">
        <v>24</v>
      </c>
      <c r="PTP67" s="151">
        <v>8150</v>
      </c>
      <c r="PTQ67" s="159">
        <v>85</v>
      </c>
      <c r="PTR67" s="160">
        <v>215</v>
      </c>
      <c r="PTS67" s="160">
        <v>75</v>
      </c>
      <c r="PTT67" s="159">
        <v>150</v>
      </c>
      <c r="PTU67" s="161">
        <f>SUM(PTP67:PTT67)</f>
        <v>8675</v>
      </c>
      <c r="PTV67" s="159">
        <v>200</v>
      </c>
      <c r="PTW67" s="161">
        <f>SUM(PTU67:PTV67)</f>
        <v>8875</v>
      </c>
      <c r="PTX67" s="154" t="s">
        <v>106</v>
      </c>
      <c r="PTY67" s="155">
        <v>45845</v>
      </c>
      <c r="PTZ67" s="150" t="s">
        <v>60</v>
      </c>
      <c r="PUA67" s="210"/>
      <c r="PUB67" s="156" t="s">
        <v>132</v>
      </c>
      <c r="PUC67" s="208"/>
      <c r="PUD67" s="209"/>
      <c r="PUE67" s="150" t="s">
        <v>24</v>
      </c>
      <c r="PUF67" s="151">
        <v>8150</v>
      </c>
      <c r="PUG67" s="159">
        <v>85</v>
      </c>
      <c r="PUH67" s="160">
        <v>215</v>
      </c>
      <c r="PUI67" s="160">
        <v>75</v>
      </c>
      <c r="PUJ67" s="159">
        <v>150</v>
      </c>
      <c r="PUK67" s="161">
        <f>SUM(PUF67:PUJ67)</f>
        <v>8675</v>
      </c>
      <c r="PUL67" s="159">
        <v>200</v>
      </c>
      <c r="PUM67" s="161">
        <f>SUM(PUK67:PUL67)</f>
        <v>8875</v>
      </c>
      <c r="PUN67" s="154" t="s">
        <v>106</v>
      </c>
      <c r="PUO67" s="155">
        <v>45845</v>
      </c>
      <c r="PUP67" s="150" t="s">
        <v>60</v>
      </c>
      <c r="PUQ67" s="210"/>
      <c r="PUR67" s="156" t="s">
        <v>132</v>
      </c>
      <c r="PUS67" s="208"/>
      <c r="PUT67" s="209"/>
      <c r="PUU67" s="150" t="s">
        <v>24</v>
      </c>
      <c r="PUV67" s="151">
        <v>8150</v>
      </c>
      <c r="PUW67" s="159">
        <v>85</v>
      </c>
      <c r="PUX67" s="160">
        <v>215</v>
      </c>
      <c r="PUY67" s="160">
        <v>75</v>
      </c>
      <c r="PUZ67" s="159">
        <v>150</v>
      </c>
      <c r="PVA67" s="161">
        <f>SUM(PUV67:PUZ67)</f>
        <v>8675</v>
      </c>
      <c r="PVB67" s="159">
        <v>200</v>
      </c>
      <c r="PVC67" s="161">
        <f>SUM(PVA67:PVB67)</f>
        <v>8875</v>
      </c>
      <c r="PVD67" s="154" t="s">
        <v>106</v>
      </c>
      <c r="PVE67" s="155">
        <v>45845</v>
      </c>
      <c r="PVF67" s="150" t="s">
        <v>60</v>
      </c>
      <c r="PVG67" s="210"/>
      <c r="PVH67" s="156" t="s">
        <v>132</v>
      </c>
      <c r="PVI67" s="208"/>
      <c r="PVJ67" s="209"/>
      <c r="PVK67" s="150" t="s">
        <v>24</v>
      </c>
      <c r="PVL67" s="151">
        <v>8150</v>
      </c>
      <c r="PVM67" s="159">
        <v>85</v>
      </c>
      <c r="PVN67" s="160">
        <v>215</v>
      </c>
      <c r="PVO67" s="160">
        <v>75</v>
      </c>
      <c r="PVP67" s="159">
        <v>150</v>
      </c>
      <c r="PVQ67" s="161">
        <f>SUM(PVL67:PVP67)</f>
        <v>8675</v>
      </c>
      <c r="PVR67" s="159">
        <v>200</v>
      </c>
      <c r="PVS67" s="161">
        <f>SUM(PVQ67:PVR67)</f>
        <v>8875</v>
      </c>
      <c r="PVT67" s="154" t="s">
        <v>106</v>
      </c>
      <c r="PVU67" s="155">
        <v>45845</v>
      </c>
      <c r="PVV67" s="150" t="s">
        <v>60</v>
      </c>
      <c r="PVW67" s="210"/>
      <c r="PVX67" s="156" t="s">
        <v>132</v>
      </c>
      <c r="PVY67" s="208"/>
      <c r="PVZ67" s="209"/>
      <c r="PWA67" s="150" t="s">
        <v>24</v>
      </c>
      <c r="PWB67" s="151">
        <v>8150</v>
      </c>
      <c r="PWC67" s="159">
        <v>85</v>
      </c>
      <c r="PWD67" s="160">
        <v>215</v>
      </c>
      <c r="PWE67" s="160">
        <v>75</v>
      </c>
      <c r="PWF67" s="159">
        <v>150</v>
      </c>
      <c r="PWG67" s="161">
        <f>SUM(PWB67:PWF67)</f>
        <v>8675</v>
      </c>
      <c r="PWH67" s="159">
        <v>200</v>
      </c>
      <c r="PWI67" s="161">
        <f>SUM(PWG67:PWH67)</f>
        <v>8875</v>
      </c>
      <c r="PWJ67" s="154" t="s">
        <v>106</v>
      </c>
      <c r="PWK67" s="155">
        <v>45845</v>
      </c>
      <c r="PWL67" s="150" t="s">
        <v>60</v>
      </c>
      <c r="PWM67" s="210"/>
      <c r="PWN67" s="156" t="s">
        <v>132</v>
      </c>
      <c r="PWO67" s="208"/>
      <c r="PWP67" s="209"/>
      <c r="PWQ67" s="150" t="s">
        <v>24</v>
      </c>
      <c r="PWR67" s="151">
        <v>8150</v>
      </c>
      <c r="PWS67" s="159">
        <v>85</v>
      </c>
      <c r="PWT67" s="160">
        <v>215</v>
      </c>
      <c r="PWU67" s="160">
        <v>75</v>
      </c>
      <c r="PWV67" s="159">
        <v>150</v>
      </c>
      <c r="PWW67" s="161">
        <f>SUM(PWR67:PWV67)</f>
        <v>8675</v>
      </c>
      <c r="PWX67" s="159">
        <v>200</v>
      </c>
      <c r="PWY67" s="161">
        <f>SUM(PWW67:PWX67)</f>
        <v>8875</v>
      </c>
      <c r="PWZ67" s="154" t="s">
        <v>106</v>
      </c>
      <c r="PXA67" s="155">
        <v>45845</v>
      </c>
      <c r="PXB67" s="150" t="s">
        <v>60</v>
      </c>
      <c r="PXC67" s="210"/>
      <c r="PXD67" s="156" t="s">
        <v>132</v>
      </c>
      <c r="PXE67" s="208"/>
      <c r="PXF67" s="209"/>
      <c r="PXG67" s="150" t="s">
        <v>24</v>
      </c>
      <c r="PXH67" s="151">
        <v>8150</v>
      </c>
      <c r="PXI67" s="159">
        <v>85</v>
      </c>
      <c r="PXJ67" s="160">
        <v>215</v>
      </c>
      <c r="PXK67" s="160">
        <v>75</v>
      </c>
      <c r="PXL67" s="159">
        <v>150</v>
      </c>
      <c r="PXM67" s="161">
        <f>SUM(PXH67:PXL67)</f>
        <v>8675</v>
      </c>
      <c r="PXN67" s="159">
        <v>200</v>
      </c>
      <c r="PXO67" s="161">
        <f>SUM(PXM67:PXN67)</f>
        <v>8875</v>
      </c>
      <c r="PXP67" s="154" t="s">
        <v>106</v>
      </c>
      <c r="PXQ67" s="155">
        <v>45845</v>
      </c>
      <c r="PXR67" s="150" t="s">
        <v>60</v>
      </c>
      <c r="PXS67" s="210"/>
      <c r="PXT67" s="156" t="s">
        <v>132</v>
      </c>
      <c r="PXU67" s="208"/>
      <c r="PXV67" s="209"/>
      <c r="PXW67" s="150" t="s">
        <v>24</v>
      </c>
      <c r="PXX67" s="151">
        <v>8150</v>
      </c>
      <c r="PXY67" s="159">
        <v>85</v>
      </c>
      <c r="PXZ67" s="160">
        <v>215</v>
      </c>
      <c r="PYA67" s="160">
        <v>75</v>
      </c>
      <c r="PYB67" s="159">
        <v>150</v>
      </c>
      <c r="PYC67" s="161">
        <f>SUM(PXX67:PYB67)</f>
        <v>8675</v>
      </c>
      <c r="PYD67" s="159">
        <v>200</v>
      </c>
      <c r="PYE67" s="161">
        <f>SUM(PYC67:PYD67)</f>
        <v>8875</v>
      </c>
      <c r="PYF67" s="154" t="s">
        <v>106</v>
      </c>
      <c r="PYG67" s="155">
        <v>45845</v>
      </c>
      <c r="PYH67" s="150" t="s">
        <v>60</v>
      </c>
      <c r="PYI67" s="210"/>
      <c r="PYJ67" s="156" t="s">
        <v>132</v>
      </c>
      <c r="PYK67" s="208"/>
      <c r="PYL67" s="209"/>
      <c r="PYM67" s="150" t="s">
        <v>24</v>
      </c>
      <c r="PYN67" s="151">
        <v>8150</v>
      </c>
      <c r="PYO67" s="159">
        <v>85</v>
      </c>
      <c r="PYP67" s="160">
        <v>215</v>
      </c>
      <c r="PYQ67" s="160">
        <v>75</v>
      </c>
      <c r="PYR67" s="159">
        <v>150</v>
      </c>
      <c r="PYS67" s="161">
        <f>SUM(PYN67:PYR67)</f>
        <v>8675</v>
      </c>
      <c r="PYT67" s="159">
        <v>200</v>
      </c>
      <c r="PYU67" s="161">
        <f>SUM(PYS67:PYT67)</f>
        <v>8875</v>
      </c>
      <c r="PYV67" s="154" t="s">
        <v>106</v>
      </c>
      <c r="PYW67" s="155">
        <v>45845</v>
      </c>
      <c r="PYX67" s="150" t="s">
        <v>60</v>
      </c>
      <c r="PYY67" s="210"/>
      <c r="PYZ67" s="156" t="s">
        <v>132</v>
      </c>
      <c r="PZA67" s="208"/>
      <c r="PZB67" s="209"/>
      <c r="PZC67" s="150" t="s">
        <v>24</v>
      </c>
      <c r="PZD67" s="151">
        <v>8150</v>
      </c>
      <c r="PZE67" s="159">
        <v>85</v>
      </c>
      <c r="PZF67" s="160">
        <v>215</v>
      </c>
      <c r="PZG67" s="160">
        <v>75</v>
      </c>
      <c r="PZH67" s="159">
        <v>150</v>
      </c>
      <c r="PZI67" s="161">
        <f>SUM(PZD67:PZH67)</f>
        <v>8675</v>
      </c>
      <c r="PZJ67" s="159">
        <v>200</v>
      </c>
      <c r="PZK67" s="161">
        <f>SUM(PZI67:PZJ67)</f>
        <v>8875</v>
      </c>
      <c r="PZL67" s="154" t="s">
        <v>106</v>
      </c>
      <c r="PZM67" s="155">
        <v>45845</v>
      </c>
      <c r="PZN67" s="150" t="s">
        <v>60</v>
      </c>
      <c r="PZO67" s="210"/>
      <c r="PZP67" s="156" t="s">
        <v>132</v>
      </c>
      <c r="PZQ67" s="208"/>
      <c r="PZR67" s="209"/>
      <c r="PZS67" s="150" t="s">
        <v>24</v>
      </c>
      <c r="PZT67" s="151">
        <v>8150</v>
      </c>
      <c r="PZU67" s="159">
        <v>85</v>
      </c>
      <c r="PZV67" s="160">
        <v>215</v>
      </c>
      <c r="PZW67" s="160">
        <v>75</v>
      </c>
      <c r="PZX67" s="159">
        <v>150</v>
      </c>
      <c r="PZY67" s="161">
        <f>SUM(PZT67:PZX67)</f>
        <v>8675</v>
      </c>
      <c r="PZZ67" s="159">
        <v>200</v>
      </c>
      <c r="QAA67" s="161">
        <f>SUM(PZY67:PZZ67)</f>
        <v>8875</v>
      </c>
      <c r="QAB67" s="154" t="s">
        <v>106</v>
      </c>
      <c r="QAC67" s="155">
        <v>45845</v>
      </c>
      <c r="QAD67" s="150" t="s">
        <v>60</v>
      </c>
      <c r="QAE67" s="210"/>
      <c r="QAF67" s="156" t="s">
        <v>132</v>
      </c>
      <c r="QAG67" s="208"/>
      <c r="QAH67" s="209"/>
      <c r="QAI67" s="150" t="s">
        <v>24</v>
      </c>
      <c r="QAJ67" s="151">
        <v>8150</v>
      </c>
      <c r="QAK67" s="159">
        <v>85</v>
      </c>
      <c r="QAL67" s="160">
        <v>215</v>
      </c>
      <c r="QAM67" s="160">
        <v>75</v>
      </c>
      <c r="QAN67" s="159">
        <v>150</v>
      </c>
      <c r="QAO67" s="161">
        <f>SUM(QAJ67:QAN67)</f>
        <v>8675</v>
      </c>
      <c r="QAP67" s="159">
        <v>200</v>
      </c>
      <c r="QAQ67" s="161">
        <f>SUM(QAO67:QAP67)</f>
        <v>8875</v>
      </c>
      <c r="QAR67" s="154" t="s">
        <v>106</v>
      </c>
      <c r="QAS67" s="155">
        <v>45845</v>
      </c>
      <c r="QAT67" s="150" t="s">
        <v>60</v>
      </c>
      <c r="QAU67" s="210"/>
      <c r="QAV67" s="156" t="s">
        <v>132</v>
      </c>
      <c r="QAW67" s="208"/>
      <c r="QAX67" s="209"/>
      <c r="QAY67" s="150" t="s">
        <v>24</v>
      </c>
      <c r="QAZ67" s="151">
        <v>8150</v>
      </c>
      <c r="QBA67" s="159">
        <v>85</v>
      </c>
      <c r="QBB67" s="160">
        <v>215</v>
      </c>
      <c r="QBC67" s="160">
        <v>75</v>
      </c>
      <c r="QBD67" s="159">
        <v>150</v>
      </c>
      <c r="QBE67" s="161">
        <f>SUM(QAZ67:QBD67)</f>
        <v>8675</v>
      </c>
      <c r="QBF67" s="159">
        <v>200</v>
      </c>
      <c r="QBG67" s="161">
        <f>SUM(QBE67:QBF67)</f>
        <v>8875</v>
      </c>
      <c r="QBH67" s="154" t="s">
        <v>106</v>
      </c>
      <c r="QBI67" s="155">
        <v>45845</v>
      </c>
      <c r="QBJ67" s="150" t="s">
        <v>60</v>
      </c>
      <c r="QBK67" s="210"/>
      <c r="QBL67" s="156" t="s">
        <v>132</v>
      </c>
      <c r="QBM67" s="208"/>
      <c r="QBN67" s="209"/>
      <c r="QBO67" s="150" t="s">
        <v>24</v>
      </c>
      <c r="QBP67" s="151">
        <v>8150</v>
      </c>
      <c r="QBQ67" s="159">
        <v>85</v>
      </c>
      <c r="QBR67" s="160">
        <v>215</v>
      </c>
      <c r="QBS67" s="160">
        <v>75</v>
      </c>
      <c r="QBT67" s="159">
        <v>150</v>
      </c>
      <c r="QBU67" s="161">
        <f>SUM(QBP67:QBT67)</f>
        <v>8675</v>
      </c>
      <c r="QBV67" s="159">
        <v>200</v>
      </c>
      <c r="QBW67" s="161">
        <f>SUM(QBU67:QBV67)</f>
        <v>8875</v>
      </c>
      <c r="QBX67" s="154" t="s">
        <v>106</v>
      </c>
      <c r="QBY67" s="155">
        <v>45845</v>
      </c>
      <c r="QBZ67" s="150" t="s">
        <v>60</v>
      </c>
      <c r="QCA67" s="210"/>
      <c r="QCB67" s="156" t="s">
        <v>132</v>
      </c>
      <c r="QCC67" s="208"/>
      <c r="QCD67" s="209"/>
      <c r="QCE67" s="150" t="s">
        <v>24</v>
      </c>
      <c r="QCF67" s="151">
        <v>8150</v>
      </c>
      <c r="QCG67" s="159">
        <v>85</v>
      </c>
      <c r="QCH67" s="160">
        <v>215</v>
      </c>
      <c r="QCI67" s="160">
        <v>75</v>
      </c>
      <c r="QCJ67" s="159">
        <v>150</v>
      </c>
      <c r="QCK67" s="161">
        <f>SUM(QCF67:QCJ67)</f>
        <v>8675</v>
      </c>
      <c r="QCL67" s="159">
        <v>200</v>
      </c>
      <c r="QCM67" s="161">
        <f>SUM(QCK67:QCL67)</f>
        <v>8875</v>
      </c>
      <c r="QCN67" s="154" t="s">
        <v>106</v>
      </c>
      <c r="QCO67" s="155">
        <v>45845</v>
      </c>
      <c r="QCP67" s="150" t="s">
        <v>60</v>
      </c>
      <c r="QCQ67" s="210"/>
      <c r="QCR67" s="156" t="s">
        <v>132</v>
      </c>
      <c r="QCS67" s="208"/>
      <c r="QCT67" s="209"/>
      <c r="QCU67" s="150" t="s">
        <v>24</v>
      </c>
      <c r="QCV67" s="151">
        <v>8150</v>
      </c>
      <c r="QCW67" s="159">
        <v>85</v>
      </c>
      <c r="QCX67" s="160">
        <v>215</v>
      </c>
      <c r="QCY67" s="160">
        <v>75</v>
      </c>
      <c r="QCZ67" s="159">
        <v>150</v>
      </c>
      <c r="QDA67" s="161">
        <f>SUM(QCV67:QCZ67)</f>
        <v>8675</v>
      </c>
      <c r="QDB67" s="159">
        <v>200</v>
      </c>
      <c r="QDC67" s="161">
        <f>SUM(QDA67:QDB67)</f>
        <v>8875</v>
      </c>
      <c r="QDD67" s="154" t="s">
        <v>106</v>
      </c>
      <c r="QDE67" s="155">
        <v>45845</v>
      </c>
      <c r="QDF67" s="150" t="s">
        <v>60</v>
      </c>
      <c r="QDG67" s="210"/>
      <c r="QDH67" s="156" t="s">
        <v>132</v>
      </c>
      <c r="QDI67" s="208"/>
      <c r="QDJ67" s="209"/>
      <c r="QDK67" s="150" t="s">
        <v>24</v>
      </c>
      <c r="QDL67" s="151">
        <v>8150</v>
      </c>
      <c r="QDM67" s="159">
        <v>85</v>
      </c>
      <c r="QDN67" s="160">
        <v>215</v>
      </c>
      <c r="QDO67" s="160">
        <v>75</v>
      </c>
      <c r="QDP67" s="159">
        <v>150</v>
      </c>
      <c r="QDQ67" s="161">
        <f>SUM(QDL67:QDP67)</f>
        <v>8675</v>
      </c>
      <c r="QDR67" s="159">
        <v>200</v>
      </c>
      <c r="QDS67" s="161">
        <f>SUM(QDQ67:QDR67)</f>
        <v>8875</v>
      </c>
      <c r="QDT67" s="154" t="s">
        <v>106</v>
      </c>
      <c r="QDU67" s="155">
        <v>45845</v>
      </c>
      <c r="QDV67" s="150" t="s">
        <v>60</v>
      </c>
      <c r="QDW67" s="210"/>
      <c r="QDX67" s="156" t="s">
        <v>132</v>
      </c>
      <c r="QDY67" s="208"/>
      <c r="QDZ67" s="209"/>
      <c r="QEA67" s="150" t="s">
        <v>24</v>
      </c>
      <c r="QEB67" s="151">
        <v>8150</v>
      </c>
      <c r="QEC67" s="159">
        <v>85</v>
      </c>
      <c r="QED67" s="160">
        <v>215</v>
      </c>
      <c r="QEE67" s="160">
        <v>75</v>
      </c>
      <c r="QEF67" s="159">
        <v>150</v>
      </c>
      <c r="QEG67" s="161">
        <f>SUM(QEB67:QEF67)</f>
        <v>8675</v>
      </c>
      <c r="QEH67" s="159">
        <v>200</v>
      </c>
      <c r="QEI67" s="161">
        <f>SUM(QEG67:QEH67)</f>
        <v>8875</v>
      </c>
      <c r="QEJ67" s="154" t="s">
        <v>106</v>
      </c>
      <c r="QEK67" s="155">
        <v>45845</v>
      </c>
      <c r="QEL67" s="150" t="s">
        <v>60</v>
      </c>
      <c r="QEM67" s="210"/>
      <c r="QEN67" s="156" t="s">
        <v>132</v>
      </c>
      <c r="QEO67" s="208"/>
      <c r="QEP67" s="209"/>
      <c r="QEQ67" s="150" t="s">
        <v>24</v>
      </c>
      <c r="QER67" s="151">
        <v>8150</v>
      </c>
      <c r="QES67" s="159">
        <v>85</v>
      </c>
      <c r="QET67" s="160">
        <v>215</v>
      </c>
      <c r="QEU67" s="160">
        <v>75</v>
      </c>
      <c r="QEV67" s="159">
        <v>150</v>
      </c>
      <c r="QEW67" s="161">
        <f>SUM(QER67:QEV67)</f>
        <v>8675</v>
      </c>
      <c r="QEX67" s="159">
        <v>200</v>
      </c>
      <c r="QEY67" s="161">
        <f>SUM(QEW67:QEX67)</f>
        <v>8875</v>
      </c>
      <c r="QEZ67" s="154" t="s">
        <v>106</v>
      </c>
      <c r="QFA67" s="155">
        <v>45845</v>
      </c>
      <c r="QFB67" s="150" t="s">
        <v>60</v>
      </c>
      <c r="QFC67" s="210"/>
      <c r="QFD67" s="156" t="s">
        <v>132</v>
      </c>
      <c r="QFE67" s="208"/>
      <c r="QFF67" s="209"/>
      <c r="QFG67" s="150" t="s">
        <v>24</v>
      </c>
      <c r="QFH67" s="151">
        <v>8150</v>
      </c>
      <c r="QFI67" s="159">
        <v>85</v>
      </c>
      <c r="QFJ67" s="160">
        <v>215</v>
      </c>
      <c r="QFK67" s="160">
        <v>75</v>
      </c>
      <c r="QFL67" s="159">
        <v>150</v>
      </c>
      <c r="QFM67" s="161">
        <f>SUM(QFH67:QFL67)</f>
        <v>8675</v>
      </c>
      <c r="QFN67" s="159">
        <v>200</v>
      </c>
      <c r="QFO67" s="161">
        <f>SUM(QFM67:QFN67)</f>
        <v>8875</v>
      </c>
      <c r="QFP67" s="154" t="s">
        <v>106</v>
      </c>
      <c r="QFQ67" s="155">
        <v>45845</v>
      </c>
      <c r="QFR67" s="150" t="s">
        <v>60</v>
      </c>
      <c r="QFS67" s="210"/>
      <c r="QFT67" s="156" t="s">
        <v>132</v>
      </c>
      <c r="QFU67" s="208"/>
      <c r="QFV67" s="209"/>
      <c r="QFW67" s="150" t="s">
        <v>24</v>
      </c>
      <c r="QFX67" s="151">
        <v>8150</v>
      </c>
      <c r="QFY67" s="159">
        <v>85</v>
      </c>
      <c r="QFZ67" s="160">
        <v>215</v>
      </c>
      <c r="QGA67" s="160">
        <v>75</v>
      </c>
      <c r="QGB67" s="159">
        <v>150</v>
      </c>
      <c r="QGC67" s="161">
        <f>SUM(QFX67:QGB67)</f>
        <v>8675</v>
      </c>
      <c r="QGD67" s="159">
        <v>200</v>
      </c>
      <c r="QGE67" s="161">
        <f>SUM(QGC67:QGD67)</f>
        <v>8875</v>
      </c>
      <c r="QGF67" s="154" t="s">
        <v>106</v>
      </c>
      <c r="QGG67" s="155">
        <v>45845</v>
      </c>
      <c r="QGH67" s="150" t="s">
        <v>60</v>
      </c>
      <c r="QGI67" s="210"/>
      <c r="QGJ67" s="156" t="s">
        <v>132</v>
      </c>
      <c r="QGK67" s="208"/>
      <c r="QGL67" s="209"/>
      <c r="QGM67" s="150" t="s">
        <v>24</v>
      </c>
      <c r="QGN67" s="151">
        <v>8150</v>
      </c>
      <c r="QGO67" s="159">
        <v>85</v>
      </c>
      <c r="QGP67" s="160">
        <v>215</v>
      </c>
      <c r="QGQ67" s="160">
        <v>75</v>
      </c>
      <c r="QGR67" s="159">
        <v>150</v>
      </c>
      <c r="QGS67" s="161">
        <f>SUM(QGN67:QGR67)</f>
        <v>8675</v>
      </c>
      <c r="QGT67" s="159">
        <v>200</v>
      </c>
      <c r="QGU67" s="161">
        <f>SUM(QGS67:QGT67)</f>
        <v>8875</v>
      </c>
      <c r="QGV67" s="154" t="s">
        <v>106</v>
      </c>
      <c r="QGW67" s="155">
        <v>45845</v>
      </c>
      <c r="QGX67" s="150" t="s">
        <v>60</v>
      </c>
      <c r="QGY67" s="210"/>
      <c r="QGZ67" s="156" t="s">
        <v>132</v>
      </c>
      <c r="QHA67" s="208"/>
      <c r="QHB67" s="209"/>
      <c r="QHC67" s="150" t="s">
        <v>24</v>
      </c>
      <c r="QHD67" s="151">
        <v>8150</v>
      </c>
      <c r="QHE67" s="159">
        <v>85</v>
      </c>
      <c r="QHF67" s="160">
        <v>215</v>
      </c>
      <c r="QHG67" s="160">
        <v>75</v>
      </c>
      <c r="QHH67" s="159">
        <v>150</v>
      </c>
      <c r="QHI67" s="161">
        <f>SUM(QHD67:QHH67)</f>
        <v>8675</v>
      </c>
      <c r="QHJ67" s="159">
        <v>200</v>
      </c>
      <c r="QHK67" s="161">
        <f>SUM(QHI67:QHJ67)</f>
        <v>8875</v>
      </c>
      <c r="QHL67" s="154" t="s">
        <v>106</v>
      </c>
      <c r="QHM67" s="155">
        <v>45845</v>
      </c>
      <c r="QHN67" s="150" t="s">
        <v>60</v>
      </c>
      <c r="QHO67" s="210"/>
      <c r="QHP67" s="156" t="s">
        <v>132</v>
      </c>
      <c r="QHQ67" s="208"/>
      <c r="QHR67" s="209"/>
      <c r="QHS67" s="150" t="s">
        <v>24</v>
      </c>
      <c r="QHT67" s="151">
        <v>8150</v>
      </c>
      <c r="QHU67" s="159">
        <v>85</v>
      </c>
      <c r="QHV67" s="160">
        <v>215</v>
      </c>
      <c r="QHW67" s="160">
        <v>75</v>
      </c>
      <c r="QHX67" s="159">
        <v>150</v>
      </c>
      <c r="QHY67" s="161">
        <f>SUM(QHT67:QHX67)</f>
        <v>8675</v>
      </c>
      <c r="QHZ67" s="159">
        <v>200</v>
      </c>
      <c r="QIA67" s="161">
        <f>SUM(QHY67:QHZ67)</f>
        <v>8875</v>
      </c>
      <c r="QIB67" s="154" t="s">
        <v>106</v>
      </c>
      <c r="QIC67" s="155">
        <v>45845</v>
      </c>
      <c r="QID67" s="150" t="s">
        <v>60</v>
      </c>
      <c r="QIE67" s="210"/>
      <c r="QIF67" s="156" t="s">
        <v>132</v>
      </c>
      <c r="QIG67" s="208"/>
      <c r="QIH67" s="209"/>
      <c r="QII67" s="150" t="s">
        <v>24</v>
      </c>
      <c r="QIJ67" s="151">
        <v>8150</v>
      </c>
      <c r="QIK67" s="159">
        <v>85</v>
      </c>
      <c r="QIL67" s="160">
        <v>215</v>
      </c>
      <c r="QIM67" s="160">
        <v>75</v>
      </c>
      <c r="QIN67" s="159">
        <v>150</v>
      </c>
      <c r="QIO67" s="161">
        <f>SUM(QIJ67:QIN67)</f>
        <v>8675</v>
      </c>
      <c r="QIP67" s="159">
        <v>200</v>
      </c>
      <c r="QIQ67" s="161">
        <f>SUM(QIO67:QIP67)</f>
        <v>8875</v>
      </c>
      <c r="QIR67" s="154" t="s">
        <v>106</v>
      </c>
      <c r="QIS67" s="155">
        <v>45845</v>
      </c>
      <c r="QIT67" s="150" t="s">
        <v>60</v>
      </c>
      <c r="QIU67" s="210"/>
      <c r="QIV67" s="156" t="s">
        <v>132</v>
      </c>
      <c r="QIW67" s="208"/>
      <c r="QIX67" s="209"/>
      <c r="QIY67" s="150" t="s">
        <v>24</v>
      </c>
      <c r="QIZ67" s="151">
        <v>8150</v>
      </c>
      <c r="QJA67" s="159">
        <v>85</v>
      </c>
      <c r="QJB67" s="160">
        <v>215</v>
      </c>
      <c r="QJC67" s="160">
        <v>75</v>
      </c>
      <c r="QJD67" s="159">
        <v>150</v>
      </c>
      <c r="QJE67" s="161">
        <f>SUM(QIZ67:QJD67)</f>
        <v>8675</v>
      </c>
      <c r="QJF67" s="159">
        <v>200</v>
      </c>
      <c r="QJG67" s="161">
        <f>SUM(QJE67:QJF67)</f>
        <v>8875</v>
      </c>
      <c r="QJH67" s="154" t="s">
        <v>106</v>
      </c>
      <c r="QJI67" s="155">
        <v>45845</v>
      </c>
      <c r="QJJ67" s="150" t="s">
        <v>60</v>
      </c>
      <c r="QJK67" s="210"/>
      <c r="QJL67" s="156" t="s">
        <v>132</v>
      </c>
      <c r="QJM67" s="208"/>
      <c r="QJN67" s="209"/>
      <c r="QJO67" s="150" t="s">
        <v>24</v>
      </c>
      <c r="QJP67" s="151">
        <v>8150</v>
      </c>
      <c r="QJQ67" s="159">
        <v>85</v>
      </c>
      <c r="QJR67" s="160">
        <v>215</v>
      </c>
      <c r="QJS67" s="160">
        <v>75</v>
      </c>
      <c r="QJT67" s="159">
        <v>150</v>
      </c>
      <c r="QJU67" s="161">
        <f>SUM(QJP67:QJT67)</f>
        <v>8675</v>
      </c>
      <c r="QJV67" s="159">
        <v>200</v>
      </c>
      <c r="QJW67" s="161">
        <f>SUM(QJU67:QJV67)</f>
        <v>8875</v>
      </c>
      <c r="QJX67" s="154" t="s">
        <v>106</v>
      </c>
      <c r="QJY67" s="155">
        <v>45845</v>
      </c>
      <c r="QJZ67" s="150" t="s">
        <v>60</v>
      </c>
      <c r="QKA67" s="210"/>
      <c r="QKB67" s="156" t="s">
        <v>132</v>
      </c>
      <c r="QKC67" s="208"/>
      <c r="QKD67" s="209"/>
      <c r="QKE67" s="150" t="s">
        <v>24</v>
      </c>
      <c r="QKF67" s="151">
        <v>8150</v>
      </c>
      <c r="QKG67" s="159">
        <v>85</v>
      </c>
      <c r="QKH67" s="160">
        <v>215</v>
      </c>
      <c r="QKI67" s="160">
        <v>75</v>
      </c>
      <c r="QKJ67" s="159">
        <v>150</v>
      </c>
      <c r="QKK67" s="161">
        <f>SUM(QKF67:QKJ67)</f>
        <v>8675</v>
      </c>
      <c r="QKL67" s="159">
        <v>200</v>
      </c>
      <c r="QKM67" s="161">
        <f>SUM(QKK67:QKL67)</f>
        <v>8875</v>
      </c>
      <c r="QKN67" s="154" t="s">
        <v>106</v>
      </c>
      <c r="QKO67" s="155">
        <v>45845</v>
      </c>
      <c r="QKP67" s="150" t="s">
        <v>60</v>
      </c>
      <c r="QKQ67" s="210"/>
      <c r="QKR67" s="156" t="s">
        <v>132</v>
      </c>
      <c r="QKS67" s="208"/>
      <c r="QKT67" s="209"/>
      <c r="QKU67" s="150" t="s">
        <v>24</v>
      </c>
      <c r="QKV67" s="151">
        <v>8150</v>
      </c>
      <c r="QKW67" s="159">
        <v>85</v>
      </c>
      <c r="QKX67" s="160">
        <v>215</v>
      </c>
      <c r="QKY67" s="160">
        <v>75</v>
      </c>
      <c r="QKZ67" s="159">
        <v>150</v>
      </c>
      <c r="QLA67" s="161">
        <f>SUM(QKV67:QKZ67)</f>
        <v>8675</v>
      </c>
      <c r="QLB67" s="159">
        <v>200</v>
      </c>
      <c r="QLC67" s="161">
        <f>SUM(QLA67:QLB67)</f>
        <v>8875</v>
      </c>
      <c r="QLD67" s="154" t="s">
        <v>106</v>
      </c>
      <c r="QLE67" s="155">
        <v>45845</v>
      </c>
      <c r="QLF67" s="150" t="s">
        <v>60</v>
      </c>
      <c r="QLG67" s="210"/>
      <c r="QLH67" s="156" t="s">
        <v>132</v>
      </c>
      <c r="QLI67" s="208"/>
      <c r="QLJ67" s="209"/>
      <c r="QLK67" s="150" t="s">
        <v>24</v>
      </c>
      <c r="QLL67" s="151">
        <v>8150</v>
      </c>
      <c r="QLM67" s="159">
        <v>85</v>
      </c>
      <c r="QLN67" s="160">
        <v>215</v>
      </c>
      <c r="QLO67" s="160">
        <v>75</v>
      </c>
      <c r="QLP67" s="159">
        <v>150</v>
      </c>
      <c r="QLQ67" s="161">
        <f>SUM(QLL67:QLP67)</f>
        <v>8675</v>
      </c>
      <c r="QLR67" s="159">
        <v>200</v>
      </c>
      <c r="QLS67" s="161">
        <f>SUM(QLQ67:QLR67)</f>
        <v>8875</v>
      </c>
      <c r="QLT67" s="154" t="s">
        <v>106</v>
      </c>
      <c r="QLU67" s="155">
        <v>45845</v>
      </c>
      <c r="QLV67" s="150" t="s">
        <v>60</v>
      </c>
      <c r="QLW67" s="210"/>
      <c r="QLX67" s="156" t="s">
        <v>132</v>
      </c>
      <c r="QLY67" s="208"/>
      <c r="QLZ67" s="209"/>
      <c r="QMA67" s="150" t="s">
        <v>24</v>
      </c>
      <c r="QMB67" s="151">
        <v>8150</v>
      </c>
      <c r="QMC67" s="159">
        <v>85</v>
      </c>
      <c r="QMD67" s="160">
        <v>215</v>
      </c>
      <c r="QME67" s="160">
        <v>75</v>
      </c>
      <c r="QMF67" s="159">
        <v>150</v>
      </c>
      <c r="QMG67" s="161">
        <f>SUM(QMB67:QMF67)</f>
        <v>8675</v>
      </c>
      <c r="QMH67" s="159">
        <v>200</v>
      </c>
      <c r="QMI67" s="161">
        <f>SUM(QMG67:QMH67)</f>
        <v>8875</v>
      </c>
      <c r="QMJ67" s="154" t="s">
        <v>106</v>
      </c>
      <c r="QMK67" s="155">
        <v>45845</v>
      </c>
      <c r="QML67" s="150" t="s">
        <v>60</v>
      </c>
      <c r="QMM67" s="210"/>
      <c r="QMN67" s="156" t="s">
        <v>132</v>
      </c>
      <c r="QMO67" s="208"/>
      <c r="QMP67" s="209"/>
      <c r="QMQ67" s="150" t="s">
        <v>24</v>
      </c>
      <c r="QMR67" s="151">
        <v>8150</v>
      </c>
      <c r="QMS67" s="159">
        <v>85</v>
      </c>
      <c r="QMT67" s="160">
        <v>215</v>
      </c>
      <c r="QMU67" s="160">
        <v>75</v>
      </c>
      <c r="QMV67" s="159">
        <v>150</v>
      </c>
      <c r="QMW67" s="161">
        <f>SUM(QMR67:QMV67)</f>
        <v>8675</v>
      </c>
      <c r="QMX67" s="159">
        <v>200</v>
      </c>
      <c r="QMY67" s="161">
        <f>SUM(QMW67:QMX67)</f>
        <v>8875</v>
      </c>
      <c r="QMZ67" s="154" t="s">
        <v>106</v>
      </c>
      <c r="QNA67" s="155">
        <v>45845</v>
      </c>
      <c r="QNB67" s="150" t="s">
        <v>60</v>
      </c>
      <c r="QNC67" s="210"/>
      <c r="QND67" s="156" t="s">
        <v>132</v>
      </c>
      <c r="QNE67" s="208"/>
      <c r="QNF67" s="209"/>
      <c r="QNG67" s="150" t="s">
        <v>24</v>
      </c>
      <c r="QNH67" s="151">
        <v>8150</v>
      </c>
      <c r="QNI67" s="159">
        <v>85</v>
      </c>
      <c r="QNJ67" s="160">
        <v>215</v>
      </c>
      <c r="QNK67" s="160">
        <v>75</v>
      </c>
      <c r="QNL67" s="159">
        <v>150</v>
      </c>
      <c r="QNM67" s="161">
        <f>SUM(QNH67:QNL67)</f>
        <v>8675</v>
      </c>
      <c r="QNN67" s="159">
        <v>200</v>
      </c>
      <c r="QNO67" s="161">
        <f>SUM(QNM67:QNN67)</f>
        <v>8875</v>
      </c>
      <c r="QNP67" s="154" t="s">
        <v>106</v>
      </c>
      <c r="QNQ67" s="155">
        <v>45845</v>
      </c>
      <c r="QNR67" s="150" t="s">
        <v>60</v>
      </c>
      <c r="QNS67" s="210"/>
      <c r="QNT67" s="156" t="s">
        <v>132</v>
      </c>
      <c r="QNU67" s="208"/>
      <c r="QNV67" s="209"/>
      <c r="QNW67" s="150" t="s">
        <v>24</v>
      </c>
      <c r="QNX67" s="151">
        <v>8150</v>
      </c>
      <c r="QNY67" s="159">
        <v>85</v>
      </c>
      <c r="QNZ67" s="160">
        <v>215</v>
      </c>
      <c r="QOA67" s="160">
        <v>75</v>
      </c>
      <c r="QOB67" s="159">
        <v>150</v>
      </c>
      <c r="QOC67" s="161">
        <f>SUM(QNX67:QOB67)</f>
        <v>8675</v>
      </c>
      <c r="QOD67" s="159">
        <v>200</v>
      </c>
      <c r="QOE67" s="161">
        <f>SUM(QOC67:QOD67)</f>
        <v>8875</v>
      </c>
      <c r="QOF67" s="154" t="s">
        <v>106</v>
      </c>
      <c r="QOG67" s="155">
        <v>45845</v>
      </c>
      <c r="QOH67" s="150" t="s">
        <v>60</v>
      </c>
      <c r="QOI67" s="210"/>
      <c r="QOJ67" s="156" t="s">
        <v>132</v>
      </c>
      <c r="QOK67" s="208"/>
      <c r="QOL67" s="209"/>
      <c r="QOM67" s="150" t="s">
        <v>24</v>
      </c>
      <c r="QON67" s="151">
        <v>8150</v>
      </c>
      <c r="QOO67" s="159">
        <v>85</v>
      </c>
      <c r="QOP67" s="160">
        <v>215</v>
      </c>
      <c r="QOQ67" s="160">
        <v>75</v>
      </c>
      <c r="QOR67" s="159">
        <v>150</v>
      </c>
      <c r="QOS67" s="161">
        <f>SUM(QON67:QOR67)</f>
        <v>8675</v>
      </c>
      <c r="QOT67" s="159">
        <v>200</v>
      </c>
      <c r="QOU67" s="161">
        <f>SUM(QOS67:QOT67)</f>
        <v>8875</v>
      </c>
      <c r="QOV67" s="154" t="s">
        <v>106</v>
      </c>
      <c r="QOW67" s="155">
        <v>45845</v>
      </c>
      <c r="QOX67" s="150" t="s">
        <v>60</v>
      </c>
      <c r="QOY67" s="210"/>
      <c r="QOZ67" s="156" t="s">
        <v>132</v>
      </c>
      <c r="QPA67" s="208"/>
      <c r="QPB67" s="209"/>
      <c r="QPC67" s="150" t="s">
        <v>24</v>
      </c>
      <c r="QPD67" s="151">
        <v>8150</v>
      </c>
      <c r="QPE67" s="159">
        <v>85</v>
      </c>
      <c r="QPF67" s="160">
        <v>215</v>
      </c>
      <c r="QPG67" s="160">
        <v>75</v>
      </c>
      <c r="QPH67" s="159">
        <v>150</v>
      </c>
      <c r="QPI67" s="161">
        <f>SUM(QPD67:QPH67)</f>
        <v>8675</v>
      </c>
      <c r="QPJ67" s="159">
        <v>200</v>
      </c>
      <c r="QPK67" s="161">
        <f>SUM(QPI67:QPJ67)</f>
        <v>8875</v>
      </c>
      <c r="QPL67" s="154" t="s">
        <v>106</v>
      </c>
      <c r="QPM67" s="155">
        <v>45845</v>
      </c>
      <c r="QPN67" s="150" t="s">
        <v>60</v>
      </c>
      <c r="QPO67" s="210"/>
      <c r="QPP67" s="156" t="s">
        <v>132</v>
      </c>
      <c r="QPQ67" s="208"/>
      <c r="QPR67" s="209"/>
      <c r="QPS67" s="150" t="s">
        <v>24</v>
      </c>
      <c r="QPT67" s="151">
        <v>8150</v>
      </c>
      <c r="QPU67" s="159">
        <v>85</v>
      </c>
      <c r="QPV67" s="160">
        <v>215</v>
      </c>
      <c r="QPW67" s="160">
        <v>75</v>
      </c>
      <c r="QPX67" s="159">
        <v>150</v>
      </c>
      <c r="QPY67" s="161">
        <f>SUM(QPT67:QPX67)</f>
        <v>8675</v>
      </c>
      <c r="QPZ67" s="159">
        <v>200</v>
      </c>
      <c r="QQA67" s="161">
        <f>SUM(QPY67:QPZ67)</f>
        <v>8875</v>
      </c>
      <c r="QQB67" s="154" t="s">
        <v>106</v>
      </c>
      <c r="QQC67" s="155">
        <v>45845</v>
      </c>
      <c r="QQD67" s="150" t="s">
        <v>60</v>
      </c>
      <c r="QQE67" s="210"/>
      <c r="QQF67" s="156" t="s">
        <v>132</v>
      </c>
      <c r="QQG67" s="208"/>
      <c r="QQH67" s="209"/>
      <c r="QQI67" s="150" t="s">
        <v>24</v>
      </c>
      <c r="QQJ67" s="151">
        <v>8150</v>
      </c>
      <c r="QQK67" s="159">
        <v>85</v>
      </c>
      <c r="QQL67" s="160">
        <v>215</v>
      </c>
      <c r="QQM67" s="160">
        <v>75</v>
      </c>
      <c r="QQN67" s="159">
        <v>150</v>
      </c>
      <c r="QQO67" s="161">
        <f>SUM(QQJ67:QQN67)</f>
        <v>8675</v>
      </c>
      <c r="QQP67" s="159">
        <v>200</v>
      </c>
      <c r="QQQ67" s="161">
        <f>SUM(QQO67:QQP67)</f>
        <v>8875</v>
      </c>
      <c r="QQR67" s="154" t="s">
        <v>106</v>
      </c>
      <c r="QQS67" s="155">
        <v>45845</v>
      </c>
      <c r="QQT67" s="150" t="s">
        <v>60</v>
      </c>
      <c r="QQU67" s="210"/>
      <c r="QQV67" s="156" t="s">
        <v>132</v>
      </c>
      <c r="QQW67" s="208"/>
      <c r="QQX67" s="209"/>
      <c r="QQY67" s="150" t="s">
        <v>24</v>
      </c>
      <c r="QQZ67" s="151">
        <v>8150</v>
      </c>
      <c r="QRA67" s="159">
        <v>85</v>
      </c>
      <c r="QRB67" s="160">
        <v>215</v>
      </c>
      <c r="QRC67" s="160">
        <v>75</v>
      </c>
      <c r="QRD67" s="159">
        <v>150</v>
      </c>
      <c r="QRE67" s="161">
        <f>SUM(QQZ67:QRD67)</f>
        <v>8675</v>
      </c>
      <c r="QRF67" s="159">
        <v>200</v>
      </c>
      <c r="QRG67" s="161">
        <f>SUM(QRE67:QRF67)</f>
        <v>8875</v>
      </c>
      <c r="QRH67" s="154" t="s">
        <v>106</v>
      </c>
      <c r="QRI67" s="155">
        <v>45845</v>
      </c>
      <c r="QRJ67" s="150" t="s">
        <v>60</v>
      </c>
      <c r="QRK67" s="210"/>
      <c r="QRL67" s="156" t="s">
        <v>132</v>
      </c>
      <c r="QRM67" s="208"/>
      <c r="QRN67" s="209"/>
      <c r="QRO67" s="150" t="s">
        <v>24</v>
      </c>
      <c r="QRP67" s="151">
        <v>8150</v>
      </c>
      <c r="QRQ67" s="159">
        <v>85</v>
      </c>
      <c r="QRR67" s="160">
        <v>215</v>
      </c>
      <c r="QRS67" s="160">
        <v>75</v>
      </c>
      <c r="QRT67" s="159">
        <v>150</v>
      </c>
      <c r="QRU67" s="161">
        <f>SUM(QRP67:QRT67)</f>
        <v>8675</v>
      </c>
      <c r="QRV67" s="159">
        <v>200</v>
      </c>
      <c r="QRW67" s="161">
        <f>SUM(QRU67:QRV67)</f>
        <v>8875</v>
      </c>
      <c r="QRX67" s="154" t="s">
        <v>106</v>
      </c>
      <c r="QRY67" s="155">
        <v>45845</v>
      </c>
      <c r="QRZ67" s="150" t="s">
        <v>60</v>
      </c>
      <c r="QSA67" s="210"/>
      <c r="QSB67" s="156" t="s">
        <v>132</v>
      </c>
      <c r="QSC67" s="208"/>
      <c r="QSD67" s="209"/>
      <c r="QSE67" s="150" t="s">
        <v>24</v>
      </c>
      <c r="QSF67" s="151">
        <v>8150</v>
      </c>
      <c r="QSG67" s="159">
        <v>85</v>
      </c>
      <c r="QSH67" s="160">
        <v>215</v>
      </c>
      <c r="QSI67" s="160">
        <v>75</v>
      </c>
      <c r="QSJ67" s="159">
        <v>150</v>
      </c>
      <c r="QSK67" s="161">
        <f>SUM(QSF67:QSJ67)</f>
        <v>8675</v>
      </c>
      <c r="QSL67" s="159">
        <v>200</v>
      </c>
      <c r="QSM67" s="161">
        <f>SUM(QSK67:QSL67)</f>
        <v>8875</v>
      </c>
      <c r="QSN67" s="154" t="s">
        <v>106</v>
      </c>
      <c r="QSO67" s="155">
        <v>45845</v>
      </c>
      <c r="QSP67" s="150" t="s">
        <v>60</v>
      </c>
      <c r="QSQ67" s="210"/>
      <c r="QSR67" s="156" t="s">
        <v>132</v>
      </c>
      <c r="QSS67" s="208"/>
      <c r="QST67" s="209"/>
      <c r="QSU67" s="150" t="s">
        <v>24</v>
      </c>
      <c r="QSV67" s="151">
        <v>8150</v>
      </c>
      <c r="QSW67" s="159">
        <v>85</v>
      </c>
      <c r="QSX67" s="160">
        <v>215</v>
      </c>
      <c r="QSY67" s="160">
        <v>75</v>
      </c>
      <c r="QSZ67" s="159">
        <v>150</v>
      </c>
      <c r="QTA67" s="161">
        <f>SUM(QSV67:QSZ67)</f>
        <v>8675</v>
      </c>
      <c r="QTB67" s="159">
        <v>200</v>
      </c>
      <c r="QTC67" s="161">
        <f>SUM(QTA67:QTB67)</f>
        <v>8875</v>
      </c>
      <c r="QTD67" s="154" t="s">
        <v>106</v>
      </c>
      <c r="QTE67" s="155">
        <v>45845</v>
      </c>
      <c r="QTF67" s="150" t="s">
        <v>60</v>
      </c>
      <c r="QTG67" s="210"/>
      <c r="QTH67" s="156" t="s">
        <v>132</v>
      </c>
      <c r="QTI67" s="208"/>
      <c r="QTJ67" s="209"/>
      <c r="QTK67" s="150" t="s">
        <v>24</v>
      </c>
      <c r="QTL67" s="151">
        <v>8150</v>
      </c>
      <c r="QTM67" s="159">
        <v>85</v>
      </c>
      <c r="QTN67" s="160">
        <v>215</v>
      </c>
      <c r="QTO67" s="160">
        <v>75</v>
      </c>
      <c r="QTP67" s="159">
        <v>150</v>
      </c>
      <c r="QTQ67" s="161">
        <f>SUM(QTL67:QTP67)</f>
        <v>8675</v>
      </c>
      <c r="QTR67" s="159">
        <v>200</v>
      </c>
      <c r="QTS67" s="161">
        <f>SUM(QTQ67:QTR67)</f>
        <v>8875</v>
      </c>
      <c r="QTT67" s="154" t="s">
        <v>106</v>
      </c>
      <c r="QTU67" s="155">
        <v>45845</v>
      </c>
      <c r="QTV67" s="150" t="s">
        <v>60</v>
      </c>
      <c r="QTW67" s="210"/>
      <c r="QTX67" s="156" t="s">
        <v>132</v>
      </c>
      <c r="QTY67" s="208"/>
      <c r="QTZ67" s="209"/>
      <c r="QUA67" s="150" t="s">
        <v>24</v>
      </c>
      <c r="QUB67" s="151">
        <v>8150</v>
      </c>
      <c r="QUC67" s="159">
        <v>85</v>
      </c>
      <c r="QUD67" s="160">
        <v>215</v>
      </c>
      <c r="QUE67" s="160">
        <v>75</v>
      </c>
      <c r="QUF67" s="159">
        <v>150</v>
      </c>
      <c r="QUG67" s="161">
        <f>SUM(QUB67:QUF67)</f>
        <v>8675</v>
      </c>
      <c r="QUH67" s="159">
        <v>200</v>
      </c>
      <c r="QUI67" s="161">
        <f>SUM(QUG67:QUH67)</f>
        <v>8875</v>
      </c>
      <c r="QUJ67" s="154" t="s">
        <v>106</v>
      </c>
      <c r="QUK67" s="155">
        <v>45845</v>
      </c>
      <c r="QUL67" s="150" t="s">
        <v>60</v>
      </c>
      <c r="QUM67" s="210"/>
      <c r="QUN67" s="156" t="s">
        <v>132</v>
      </c>
      <c r="QUO67" s="208"/>
      <c r="QUP67" s="209"/>
      <c r="QUQ67" s="150" t="s">
        <v>24</v>
      </c>
      <c r="QUR67" s="151">
        <v>8150</v>
      </c>
      <c r="QUS67" s="159">
        <v>85</v>
      </c>
      <c r="QUT67" s="160">
        <v>215</v>
      </c>
      <c r="QUU67" s="160">
        <v>75</v>
      </c>
      <c r="QUV67" s="159">
        <v>150</v>
      </c>
      <c r="QUW67" s="161">
        <f>SUM(QUR67:QUV67)</f>
        <v>8675</v>
      </c>
      <c r="QUX67" s="159">
        <v>200</v>
      </c>
      <c r="QUY67" s="161">
        <f>SUM(QUW67:QUX67)</f>
        <v>8875</v>
      </c>
      <c r="QUZ67" s="154" t="s">
        <v>106</v>
      </c>
      <c r="QVA67" s="155">
        <v>45845</v>
      </c>
      <c r="QVB67" s="150" t="s">
        <v>60</v>
      </c>
      <c r="QVC67" s="210"/>
      <c r="QVD67" s="156" t="s">
        <v>132</v>
      </c>
      <c r="QVE67" s="208"/>
      <c r="QVF67" s="209"/>
      <c r="QVG67" s="150" t="s">
        <v>24</v>
      </c>
      <c r="QVH67" s="151">
        <v>8150</v>
      </c>
      <c r="QVI67" s="159">
        <v>85</v>
      </c>
      <c r="QVJ67" s="160">
        <v>215</v>
      </c>
      <c r="QVK67" s="160">
        <v>75</v>
      </c>
      <c r="QVL67" s="159">
        <v>150</v>
      </c>
      <c r="QVM67" s="161">
        <f>SUM(QVH67:QVL67)</f>
        <v>8675</v>
      </c>
      <c r="QVN67" s="159">
        <v>200</v>
      </c>
      <c r="QVO67" s="161">
        <f>SUM(QVM67:QVN67)</f>
        <v>8875</v>
      </c>
      <c r="QVP67" s="154" t="s">
        <v>106</v>
      </c>
      <c r="QVQ67" s="155">
        <v>45845</v>
      </c>
      <c r="QVR67" s="150" t="s">
        <v>60</v>
      </c>
      <c r="QVS67" s="210"/>
      <c r="QVT67" s="156" t="s">
        <v>132</v>
      </c>
      <c r="QVU67" s="208"/>
      <c r="QVV67" s="209"/>
      <c r="QVW67" s="150" t="s">
        <v>24</v>
      </c>
      <c r="QVX67" s="151">
        <v>8150</v>
      </c>
      <c r="QVY67" s="159">
        <v>85</v>
      </c>
      <c r="QVZ67" s="160">
        <v>215</v>
      </c>
      <c r="QWA67" s="160">
        <v>75</v>
      </c>
      <c r="QWB67" s="159">
        <v>150</v>
      </c>
      <c r="QWC67" s="161">
        <f>SUM(QVX67:QWB67)</f>
        <v>8675</v>
      </c>
      <c r="QWD67" s="159">
        <v>200</v>
      </c>
      <c r="QWE67" s="161">
        <f>SUM(QWC67:QWD67)</f>
        <v>8875</v>
      </c>
      <c r="QWF67" s="154" t="s">
        <v>106</v>
      </c>
      <c r="QWG67" s="155">
        <v>45845</v>
      </c>
      <c r="QWH67" s="150" t="s">
        <v>60</v>
      </c>
      <c r="QWI67" s="210"/>
      <c r="QWJ67" s="156" t="s">
        <v>132</v>
      </c>
      <c r="QWK67" s="208"/>
      <c r="QWL67" s="209"/>
      <c r="QWM67" s="150" t="s">
        <v>24</v>
      </c>
      <c r="QWN67" s="151">
        <v>8150</v>
      </c>
      <c r="QWO67" s="159">
        <v>85</v>
      </c>
      <c r="QWP67" s="160">
        <v>215</v>
      </c>
      <c r="QWQ67" s="160">
        <v>75</v>
      </c>
      <c r="QWR67" s="159">
        <v>150</v>
      </c>
      <c r="QWS67" s="161">
        <f>SUM(QWN67:QWR67)</f>
        <v>8675</v>
      </c>
      <c r="QWT67" s="159">
        <v>200</v>
      </c>
      <c r="QWU67" s="161">
        <f>SUM(QWS67:QWT67)</f>
        <v>8875</v>
      </c>
      <c r="QWV67" s="154" t="s">
        <v>106</v>
      </c>
      <c r="QWW67" s="155">
        <v>45845</v>
      </c>
      <c r="QWX67" s="150" t="s">
        <v>60</v>
      </c>
      <c r="QWY67" s="210"/>
      <c r="QWZ67" s="156" t="s">
        <v>132</v>
      </c>
      <c r="QXA67" s="208"/>
      <c r="QXB67" s="209"/>
      <c r="QXC67" s="150" t="s">
        <v>24</v>
      </c>
      <c r="QXD67" s="151">
        <v>8150</v>
      </c>
      <c r="QXE67" s="159">
        <v>85</v>
      </c>
      <c r="QXF67" s="160">
        <v>215</v>
      </c>
      <c r="QXG67" s="160">
        <v>75</v>
      </c>
      <c r="QXH67" s="159">
        <v>150</v>
      </c>
      <c r="QXI67" s="161">
        <f>SUM(QXD67:QXH67)</f>
        <v>8675</v>
      </c>
      <c r="QXJ67" s="159">
        <v>200</v>
      </c>
      <c r="QXK67" s="161">
        <f>SUM(QXI67:QXJ67)</f>
        <v>8875</v>
      </c>
      <c r="QXL67" s="154" t="s">
        <v>106</v>
      </c>
      <c r="QXM67" s="155">
        <v>45845</v>
      </c>
      <c r="QXN67" s="150" t="s">
        <v>60</v>
      </c>
      <c r="QXO67" s="210"/>
      <c r="QXP67" s="156" t="s">
        <v>132</v>
      </c>
      <c r="QXQ67" s="208"/>
      <c r="QXR67" s="209"/>
      <c r="QXS67" s="150" t="s">
        <v>24</v>
      </c>
      <c r="QXT67" s="151">
        <v>8150</v>
      </c>
      <c r="QXU67" s="159">
        <v>85</v>
      </c>
      <c r="QXV67" s="160">
        <v>215</v>
      </c>
      <c r="QXW67" s="160">
        <v>75</v>
      </c>
      <c r="QXX67" s="159">
        <v>150</v>
      </c>
      <c r="QXY67" s="161">
        <f>SUM(QXT67:QXX67)</f>
        <v>8675</v>
      </c>
      <c r="QXZ67" s="159">
        <v>200</v>
      </c>
      <c r="QYA67" s="161">
        <f>SUM(QXY67:QXZ67)</f>
        <v>8875</v>
      </c>
      <c r="QYB67" s="154" t="s">
        <v>106</v>
      </c>
      <c r="QYC67" s="155">
        <v>45845</v>
      </c>
      <c r="QYD67" s="150" t="s">
        <v>60</v>
      </c>
      <c r="QYE67" s="210"/>
      <c r="QYF67" s="156" t="s">
        <v>132</v>
      </c>
      <c r="QYG67" s="208"/>
      <c r="QYH67" s="209"/>
      <c r="QYI67" s="150" t="s">
        <v>24</v>
      </c>
      <c r="QYJ67" s="151">
        <v>8150</v>
      </c>
      <c r="QYK67" s="159">
        <v>85</v>
      </c>
      <c r="QYL67" s="160">
        <v>215</v>
      </c>
      <c r="QYM67" s="160">
        <v>75</v>
      </c>
      <c r="QYN67" s="159">
        <v>150</v>
      </c>
      <c r="QYO67" s="161">
        <f>SUM(QYJ67:QYN67)</f>
        <v>8675</v>
      </c>
      <c r="QYP67" s="159">
        <v>200</v>
      </c>
      <c r="QYQ67" s="161">
        <f>SUM(QYO67:QYP67)</f>
        <v>8875</v>
      </c>
      <c r="QYR67" s="154" t="s">
        <v>106</v>
      </c>
      <c r="QYS67" s="155">
        <v>45845</v>
      </c>
      <c r="QYT67" s="150" t="s">
        <v>60</v>
      </c>
      <c r="QYU67" s="210"/>
      <c r="QYV67" s="156" t="s">
        <v>132</v>
      </c>
      <c r="QYW67" s="208"/>
      <c r="QYX67" s="209"/>
      <c r="QYY67" s="150" t="s">
        <v>24</v>
      </c>
      <c r="QYZ67" s="151">
        <v>8150</v>
      </c>
      <c r="QZA67" s="159">
        <v>85</v>
      </c>
      <c r="QZB67" s="160">
        <v>215</v>
      </c>
      <c r="QZC67" s="160">
        <v>75</v>
      </c>
      <c r="QZD67" s="159">
        <v>150</v>
      </c>
      <c r="QZE67" s="161">
        <f>SUM(QYZ67:QZD67)</f>
        <v>8675</v>
      </c>
      <c r="QZF67" s="159">
        <v>200</v>
      </c>
      <c r="QZG67" s="161">
        <f>SUM(QZE67:QZF67)</f>
        <v>8875</v>
      </c>
      <c r="QZH67" s="154" t="s">
        <v>106</v>
      </c>
      <c r="QZI67" s="155">
        <v>45845</v>
      </c>
      <c r="QZJ67" s="150" t="s">
        <v>60</v>
      </c>
      <c r="QZK67" s="210"/>
      <c r="QZL67" s="156" t="s">
        <v>132</v>
      </c>
      <c r="QZM67" s="208"/>
      <c r="QZN67" s="209"/>
      <c r="QZO67" s="150" t="s">
        <v>24</v>
      </c>
      <c r="QZP67" s="151">
        <v>8150</v>
      </c>
      <c r="QZQ67" s="159">
        <v>85</v>
      </c>
      <c r="QZR67" s="160">
        <v>215</v>
      </c>
      <c r="QZS67" s="160">
        <v>75</v>
      </c>
      <c r="QZT67" s="159">
        <v>150</v>
      </c>
      <c r="QZU67" s="161">
        <f>SUM(QZP67:QZT67)</f>
        <v>8675</v>
      </c>
      <c r="QZV67" s="159">
        <v>200</v>
      </c>
      <c r="QZW67" s="161">
        <f>SUM(QZU67:QZV67)</f>
        <v>8875</v>
      </c>
      <c r="QZX67" s="154" t="s">
        <v>106</v>
      </c>
      <c r="QZY67" s="155">
        <v>45845</v>
      </c>
      <c r="QZZ67" s="150" t="s">
        <v>60</v>
      </c>
      <c r="RAA67" s="210"/>
      <c r="RAB67" s="156" t="s">
        <v>132</v>
      </c>
      <c r="RAC67" s="208"/>
      <c r="RAD67" s="209"/>
      <c r="RAE67" s="150" t="s">
        <v>24</v>
      </c>
      <c r="RWX67" s="209"/>
      <c r="RWY67" s="150" t="s">
        <v>24</v>
      </c>
      <c r="RWZ67" s="151">
        <v>8150</v>
      </c>
      <c r="RXA67" s="159">
        <v>85</v>
      </c>
      <c r="RXB67" s="160">
        <v>215</v>
      </c>
      <c r="RXC67" s="160">
        <v>75</v>
      </c>
      <c r="RXD67" s="159">
        <v>150</v>
      </c>
      <c r="RXE67" s="161">
        <f>SUM(RWZ67:RXD67)</f>
        <v>8675</v>
      </c>
      <c r="RXF67" s="159">
        <v>200</v>
      </c>
      <c r="RXG67" s="161">
        <f>SUM(RXE67:RXF67)</f>
        <v>8875</v>
      </c>
      <c r="RXH67" s="154" t="s">
        <v>106</v>
      </c>
      <c r="RXI67" s="155">
        <v>45845</v>
      </c>
      <c r="RXJ67" s="150" t="s">
        <v>60</v>
      </c>
      <c r="RXK67" s="210"/>
      <c r="RXL67" s="156" t="s">
        <v>132</v>
      </c>
      <c r="RXM67" s="208"/>
      <c r="RXN67" s="209"/>
      <c r="RXO67" s="150" t="s">
        <v>24</v>
      </c>
      <c r="RXP67" s="151">
        <v>8150</v>
      </c>
      <c r="RXQ67" s="159">
        <v>85</v>
      </c>
      <c r="RXR67" s="160">
        <v>215</v>
      </c>
      <c r="RXS67" s="160">
        <v>75</v>
      </c>
      <c r="RXT67" s="159">
        <v>150</v>
      </c>
      <c r="RXU67" s="161">
        <f>SUM(RXP67:RXT67)</f>
        <v>8675</v>
      </c>
      <c r="RXV67" s="159">
        <v>200</v>
      </c>
      <c r="RXW67" s="161">
        <f>SUM(RXU67:RXV67)</f>
        <v>8875</v>
      </c>
      <c r="RXX67" s="154" t="s">
        <v>106</v>
      </c>
      <c r="RXY67" s="155">
        <v>45845</v>
      </c>
      <c r="RXZ67" s="150" t="s">
        <v>60</v>
      </c>
      <c r="RYA67" s="210"/>
      <c r="RYB67" s="156" t="s">
        <v>132</v>
      </c>
      <c r="RYC67" s="208"/>
      <c r="RYD67" s="209"/>
      <c r="RYE67" s="150" t="s">
        <v>24</v>
      </c>
      <c r="RYF67" s="151">
        <v>8150</v>
      </c>
      <c r="RYG67" s="159">
        <v>85</v>
      </c>
      <c r="RYH67" s="160">
        <v>215</v>
      </c>
      <c r="RYI67" s="160">
        <v>75</v>
      </c>
      <c r="RYJ67" s="159">
        <v>150</v>
      </c>
      <c r="RYK67" s="161">
        <f>SUM(RYF67:RYJ67)</f>
        <v>8675</v>
      </c>
      <c r="RYL67" s="159">
        <v>200</v>
      </c>
      <c r="RYM67" s="161">
        <f>SUM(RYK67:RYL67)</f>
        <v>8875</v>
      </c>
      <c r="RYN67" s="154" t="s">
        <v>106</v>
      </c>
      <c r="RYO67" s="155">
        <v>45845</v>
      </c>
      <c r="RYP67" s="150" t="s">
        <v>60</v>
      </c>
      <c r="RYQ67" s="210"/>
      <c r="RYR67" s="156" t="s">
        <v>132</v>
      </c>
      <c r="RYS67" s="208"/>
      <c r="RYT67" s="209"/>
      <c r="RYU67" s="150" t="s">
        <v>24</v>
      </c>
      <c r="RYV67" s="151">
        <v>8150</v>
      </c>
      <c r="RYW67" s="159">
        <v>85</v>
      </c>
      <c r="RYX67" s="160">
        <v>215</v>
      </c>
      <c r="RYY67" s="160">
        <v>75</v>
      </c>
      <c r="RYZ67" s="159">
        <v>150</v>
      </c>
      <c r="RZA67" s="161">
        <f>SUM(RYV67:RYZ67)</f>
        <v>8675</v>
      </c>
      <c r="RZB67" s="159">
        <v>200</v>
      </c>
      <c r="RZC67" s="161">
        <f>SUM(RZA67:RZB67)</f>
        <v>8875</v>
      </c>
      <c r="RZD67" s="154" t="s">
        <v>106</v>
      </c>
      <c r="RZE67" s="155">
        <v>45845</v>
      </c>
      <c r="RZF67" s="150" t="s">
        <v>60</v>
      </c>
      <c r="RZG67" s="210"/>
      <c r="RZH67" s="156" t="s">
        <v>132</v>
      </c>
      <c r="RZI67" s="208"/>
      <c r="RZJ67" s="209"/>
      <c r="RZK67" s="150" t="s">
        <v>24</v>
      </c>
      <c r="RZL67" s="151">
        <v>8150</v>
      </c>
      <c r="RZM67" s="159">
        <v>85</v>
      </c>
      <c r="RZN67" s="160">
        <v>215</v>
      </c>
      <c r="RZO67" s="160">
        <v>75</v>
      </c>
      <c r="RZP67" s="159">
        <v>150</v>
      </c>
      <c r="RZQ67" s="161">
        <f>SUM(RZL67:RZP67)</f>
        <v>8675</v>
      </c>
      <c r="RZR67" s="159">
        <v>200</v>
      </c>
      <c r="RZS67" s="161">
        <f>SUM(RZQ67:RZR67)</f>
        <v>8875</v>
      </c>
      <c r="RZT67" s="154" t="s">
        <v>106</v>
      </c>
      <c r="RZU67" s="155">
        <v>45845</v>
      </c>
      <c r="RZV67" s="150" t="s">
        <v>60</v>
      </c>
      <c r="RZW67" s="210"/>
      <c r="RZX67" s="156" t="s">
        <v>132</v>
      </c>
      <c r="RZY67" s="208"/>
      <c r="RZZ67" s="209"/>
      <c r="SAA67" s="150" t="s">
        <v>24</v>
      </c>
      <c r="SAB67" s="151">
        <v>8150</v>
      </c>
      <c r="SAC67" s="159">
        <v>85</v>
      </c>
      <c r="SAD67" s="160">
        <v>215</v>
      </c>
      <c r="SAE67" s="160">
        <v>75</v>
      </c>
      <c r="SAF67" s="159">
        <v>150</v>
      </c>
      <c r="SAG67" s="161">
        <f>SUM(SAB67:SAF67)</f>
        <v>8675</v>
      </c>
      <c r="SAH67" s="159">
        <v>200</v>
      </c>
      <c r="SAI67" s="161">
        <f>SUM(SAG67:SAH67)</f>
        <v>8875</v>
      </c>
      <c r="SAJ67" s="154" t="s">
        <v>106</v>
      </c>
      <c r="SAK67" s="155">
        <v>45845</v>
      </c>
      <c r="SAL67" s="150" t="s">
        <v>60</v>
      </c>
      <c r="SAM67" s="210"/>
      <c r="SAN67" s="156" t="s">
        <v>132</v>
      </c>
      <c r="SAO67" s="208"/>
      <c r="SAP67" s="209"/>
      <c r="SAQ67" s="150" t="s">
        <v>24</v>
      </c>
      <c r="SAR67" s="151">
        <v>8150</v>
      </c>
      <c r="SAS67" s="159">
        <v>85</v>
      </c>
      <c r="SAT67" s="160">
        <v>215</v>
      </c>
      <c r="SAU67" s="160">
        <v>75</v>
      </c>
      <c r="SAV67" s="159">
        <v>150</v>
      </c>
      <c r="SAW67" s="161">
        <f>SUM(SAR67:SAV67)</f>
        <v>8675</v>
      </c>
      <c r="SAX67" s="159">
        <v>200</v>
      </c>
      <c r="SAY67" s="161">
        <f>SUM(SAW67:SAX67)</f>
        <v>8875</v>
      </c>
      <c r="SAZ67" s="154" t="s">
        <v>106</v>
      </c>
      <c r="SBA67" s="155">
        <v>45845</v>
      </c>
      <c r="SBB67" s="150" t="s">
        <v>60</v>
      </c>
      <c r="SBC67" s="210"/>
      <c r="SBD67" s="156" t="s">
        <v>132</v>
      </c>
      <c r="SBE67" s="208"/>
      <c r="SBF67" s="209"/>
      <c r="SBG67" s="150" t="s">
        <v>24</v>
      </c>
      <c r="SBH67" s="151">
        <v>8150</v>
      </c>
      <c r="SBI67" s="159">
        <v>85</v>
      </c>
      <c r="SBJ67" s="160">
        <v>215</v>
      </c>
      <c r="SBK67" s="160">
        <v>75</v>
      </c>
      <c r="SBL67" s="159">
        <v>150</v>
      </c>
      <c r="SBM67" s="161">
        <f>SUM(SBH67:SBL67)</f>
        <v>8675</v>
      </c>
      <c r="SBN67" s="159">
        <v>200</v>
      </c>
      <c r="SBO67" s="161">
        <f>SUM(SBM67:SBN67)</f>
        <v>8875</v>
      </c>
      <c r="SBP67" s="154" t="s">
        <v>106</v>
      </c>
      <c r="SBQ67" s="155">
        <v>45845</v>
      </c>
      <c r="SBR67" s="150" t="s">
        <v>60</v>
      </c>
      <c r="SBS67" s="210"/>
      <c r="SBT67" s="156" t="s">
        <v>132</v>
      </c>
      <c r="SBU67" s="208"/>
      <c r="SBV67" s="209"/>
      <c r="SBW67" s="150" t="s">
        <v>24</v>
      </c>
      <c r="SBX67" s="151">
        <v>8150</v>
      </c>
      <c r="SBY67" s="159">
        <v>85</v>
      </c>
      <c r="SBZ67" s="160">
        <v>215</v>
      </c>
      <c r="SCA67" s="160">
        <v>75</v>
      </c>
      <c r="SCB67" s="159">
        <v>150</v>
      </c>
      <c r="SCC67" s="161">
        <f>SUM(SBX67:SCB67)</f>
        <v>8675</v>
      </c>
      <c r="SCD67" s="159">
        <v>200</v>
      </c>
      <c r="SCE67" s="161">
        <f>SUM(SCC67:SCD67)</f>
        <v>8875</v>
      </c>
      <c r="SCF67" s="154" t="s">
        <v>106</v>
      </c>
      <c r="SCG67" s="155">
        <v>45845</v>
      </c>
      <c r="SCH67" s="150" t="s">
        <v>60</v>
      </c>
      <c r="SCI67" s="210"/>
      <c r="SCJ67" s="156" t="s">
        <v>132</v>
      </c>
      <c r="SCK67" s="208"/>
      <c r="SCL67" s="209"/>
      <c r="SCM67" s="150" t="s">
        <v>24</v>
      </c>
      <c r="SCN67" s="151">
        <v>8150</v>
      </c>
      <c r="SCO67" s="159">
        <v>85</v>
      </c>
      <c r="SCP67" s="160">
        <v>215</v>
      </c>
      <c r="SCQ67" s="160">
        <v>75</v>
      </c>
      <c r="SCR67" s="159">
        <v>150</v>
      </c>
      <c r="SCS67" s="161">
        <f>SUM(SCN67:SCR67)</f>
        <v>8675</v>
      </c>
      <c r="SCT67" s="159">
        <v>200</v>
      </c>
      <c r="SCU67" s="161">
        <f>SUM(SCS67:SCT67)</f>
        <v>8875</v>
      </c>
      <c r="SCV67" s="154" t="s">
        <v>106</v>
      </c>
      <c r="SCW67" s="155">
        <v>45845</v>
      </c>
      <c r="SCX67" s="150" t="s">
        <v>60</v>
      </c>
      <c r="SCY67" s="210"/>
      <c r="SCZ67" s="156" t="s">
        <v>132</v>
      </c>
      <c r="SDA67" s="208"/>
      <c r="SDB67" s="209"/>
      <c r="SDC67" s="150" t="s">
        <v>24</v>
      </c>
      <c r="SDD67" s="151">
        <v>8150</v>
      </c>
      <c r="SDE67" s="159">
        <v>85</v>
      </c>
      <c r="SDF67" s="160">
        <v>215</v>
      </c>
      <c r="SDG67" s="160">
        <v>75</v>
      </c>
      <c r="SDH67" s="159">
        <v>150</v>
      </c>
      <c r="SDI67" s="161">
        <f>SUM(SDD67:SDH67)</f>
        <v>8675</v>
      </c>
      <c r="SDJ67" s="159">
        <v>200</v>
      </c>
      <c r="SDK67" s="161">
        <f>SUM(SDI67:SDJ67)</f>
        <v>8875</v>
      </c>
      <c r="SDL67" s="154" t="s">
        <v>106</v>
      </c>
      <c r="SDM67" s="155">
        <v>45845</v>
      </c>
      <c r="SDN67" s="150" t="s">
        <v>60</v>
      </c>
      <c r="SDO67" s="210"/>
      <c r="SDP67" s="156" t="s">
        <v>132</v>
      </c>
      <c r="SDQ67" s="208"/>
      <c r="SDR67" s="209"/>
      <c r="SDS67" s="150" t="s">
        <v>24</v>
      </c>
      <c r="SDT67" s="151">
        <v>8150</v>
      </c>
      <c r="SDU67" s="159">
        <v>85</v>
      </c>
      <c r="SDV67" s="160">
        <v>215</v>
      </c>
      <c r="SDW67" s="160">
        <v>75</v>
      </c>
      <c r="SDX67" s="159">
        <v>150</v>
      </c>
      <c r="SDY67" s="161">
        <f>SUM(SDT67:SDX67)</f>
        <v>8675</v>
      </c>
      <c r="SDZ67" s="159">
        <v>200</v>
      </c>
      <c r="SEA67" s="161">
        <f>SUM(SDY67:SDZ67)</f>
        <v>8875</v>
      </c>
      <c r="SEB67" s="154" t="s">
        <v>106</v>
      </c>
      <c r="SEC67" s="155">
        <v>45845</v>
      </c>
      <c r="SED67" s="150" t="s">
        <v>60</v>
      </c>
      <c r="SEE67" s="210"/>
      <c r="SEF67" s="156" t="s">
        <v>132</v>
      </c>
      <c r="SEG67" s="208"/>
      <c r="SEH67" s="209"/>
      <c r="SEI67" s="150" t="s">
        <v>24</v>
      </c>
      <c r="SEJ67" s="151">
        <v>8150</v>
      </c>
      <c r="SEK67" s="159">
        <v>85</v>
      </c>
      <c r="SEL67" s="160">
        <v>215</v>
      </c>
      <c r="SEM67" s="160">
        <v>75</v>
      </c>
      <c r="SEN67" s="159">
        <v>150</v>
      </c>
      <c r="SEO67" s="161">
        <f>SUM(SEJ67:SEN67)</f>
        <v>8675</v>
      </c>
      <c r="SEP67" s="159">
        <v>200</v>
      </c>
      <c r="SEQ67" s="161">
        <f>SUM(SEO67:SEP67)</f>
        <v>8875</v>
      </c>
      <c r="SER67" s="154" t="s">
        <v>106</v>
      </c>
      <c r="SES67" s="155">
        <v>45845</v>
      </c>
      <c r="SET67" s="150" t="s">
        <v>60</v>
      </c>
      <c r="SEU67" s="210"/>
      <c r="SEV67" s="156" t="s">
        <v>132</v>
      </c>
      <c r="SEW67" s="208"/>
      <c r="SEX67" s="209"/>
      <c r="SEY67" s="150" t="s">
        <v>24</v>
      </c>
      <c r="SEZ67" s="151">
        <v>8150</v>
      </c>
      <c r="SFA67" s="159">
        <v>85</v>
      </c>
      <c r="SFB67" s="160">
        <v>215</v>
      </c>
      <c r="SFC67" s="160">
        <v>75</v>
      </c>
      <c r="SFD67" s="159">
        <v>150</v>
      </c>
      <c r="SFE67" s="161">
        <f>SUM(SEZ67:SFD67)</f>
        <v>8675</v>
      </c>
      <c r="SFF67" s="159">
        <v>200</v>
      </c>
      <c r="SFG67" s="161">
        <f>SUM(SFE67:SFF67)</f>
        <v>8875</v>
      </c>
      <c r="SFH67" s="154" t="s">
        <v>106</v>
      </c>
      <c r="SFI67" s="155">
        <v>45845</v>
      </c>
      <c r="SFJ67" s="150" t="s">
        <v>60</v>
      </c>
      <c r="SFK67" s="210"/>
      <c r="SFL67" s="156" t="s">
        <v>132</v>
      </c>
      <c r="SFM67" s="208"/>
      <c r="SFN67" s="209"/>
      <c r="SFO67" s="150" t="s">
        <v>24</v>
      </c>
      <c r="SFP67" s="151">
        <v>8150</v>
      </c>
      <c r="SFQ67" s="159">
        <v>85</v>
      </c>
      <c r="SFR67" s="160">
        <v>215</v>
      </c>
      <c r="SFS67" s="160">
        <v>75</v>
      </c>
      <c r="SFT67" s="159">
        <v>150</v>
      </c>
      <c r="SFU67" s="161">
        <f>SUM(SFP67:SFT67)</f>
        <v>8675</v>
      </c>
      <c r="SFV67" s="159">
        <v>200</v>
      </c>
      <c r="SFW67" s="161">
        <f>SUM(SFU67:SFV67)</f>
        <v>8875</v>
      </c>
      <c r="SFX67" s="154" t="s">
        <v>106</v>
      </c>
      <c r="SFY67" s="155">
        <v>45845</v>
      </c>
      <c r="SFZ67" s="150" t="s">
        <v>60</v>
      </c>
      <c r="SGA67" s="210"/>
      <c r="SGB67" s="156" t="s">
        <v>132</v>
      </c>
      <c r="SGC67" s="208"/>
      <c r="SGD67" s="209"/>
      <c r="SGE67" s="150" t="s">
        <v>24</v>
      </c>
      <c r="SGF67" s="151">
        <v>8150</v>
      </c>
      <c r="SGG67" s="159">
        <v>85</v>
      </c>
      <c r="SGH67" s="160">
        <v>215</v>
      </c>
      <c r="SGI67" s="160">
        <v>75</v>
      </c>
      <c r="SGJ67" s="159">
        <v>150</v>
      </c>
      <c r="SGK67" s="161">
        <f>SUM(SGF67:SGJ67)</f>
        <v>8675</v>
      </c>
      <c r="SGL67" s="159">
        <v>200</v>
      </c>
      <c r="SGM67" s="161">
        <f>SUM(SGK67:SGL67)</f>
        <v>8875</v>
      </c>
      <c r="SGN67" s="154" t="s">
        <v>106</v>
      </c>
      <c r="SGO67" s="155">
        <v>45845</v>
      </c>
      <c r="SGP67" s="150" t="s">
        <v>60</v>
      </c>
      <c r="SGQ67" s="210"/>
      <c r="SGR67" s="156" t="s">
        <v>132</v>
      </c>
      <c r="SGS67" s="208"/>
      <c r="SGT67" s="209"/>
      <c r="SGU67" s="150" t="s">
        <v>24</v>
      </c>
      <c r="SGV67" s="151">
        <v>8150</v>
      </c>
      <c r="SGW67" s="159">
        <v>85</v>
      </c>
      <c r="SGX67" s="160">
        <v>215</v>
      </c>
      <c r="SGY67" s="160">
        <v>75</v>
      </c>
      <c r="SGZ67" s="159">
        <v>150</v>
      </c>
      <c r="SHA67" s="161">
        <f>SUM(SGV67:SGZ67)</f>
        <v>8675</v>
      </c>
      <c r="SHB67" s="159">
        <v>200</v>
      </c>
      <c r="SHC67" s="161">
        <f>SUM(SHA67:SHB67)</f>
        <v>8875</v>
      </c>
      <c r="SHD67" s="154" t="s">
        <v>106</v>
      </c>
      <c r="SHE67" s="155">
        <v>45845</v>
      </c>
      <c r="SHF67" s="150" t="s">
        <v>60</v>
      </c>
      <c r="SHG67" s="210"/>
      <c r="SHH67" s="156" t="s">
        <v>132</v>
      </c>
      <c r="SHI67" s="208"/>
      <c r="SHJ67" s="209"/>
      <c r="SHK67" s="150" t="s">
        <v>24</v>
      </c>
      <c r="SHL67" s="151">
        <v>8150</v>
      </c>
      <c r="SHM67" s="159">
        <v>85</v>
      </c>
      <c r="SHN67" s="160">
        <v>215</v>
      </c>
      <c r="SHO67" s="160">
        <v>75</v>
      </c>
      <c r="SHP67" s="159">
        <v>150</v>
      </c>
      <c r="SHQ67" s="161">
        <f>SUM(SHL67:SHP67)</f>
        <v>8675</v>
      </c>
      <c r="SHR67" s="159">
        <v>200</v>
      </c>
      <c r="SHS67" s="161">
        <f>SUM(SHQ67:SHR67)</f>
        <v>8875</v>
      </c>
      <c r="SHT67" s="154" t="s">
        <v>106</v>
      </c>
      <c r="SHU67" s="155">
        <v>45845</v>
      </c>
      <c r="SHV67" s="150" t="s">
        <v>60</v>
      </c>
      <c r="SHW67" s="210"/>
      <c r="SHX67" s="156" t="s">
        <v>132</v>
      </c>
      <c r="SHY67" s="208"/>
      <c r="SHZ67" s="209"/>
      <c r="SIA67" s="150" t="s">
        <v>24</v>
      </c>
      <c r="SIB67" s="151">
        <v>8150</v>
      </c>
      <c r="SIC67" s="159">
        <v>85</v>
      </c>
      <c r="SID67" s="160">
        <v>215</v>
      </c>
      <c r="SIE67" s="160">
        <v>75</v>
      </c>
      <c r="SIF67" s="159">
        <v>150</v>
      </c>
      <c r="SIG67" s="161">
        <f>SUM(SIB67:SIF67)</f>
        <v>8675</v>
      </c>
      <c r="SIH67" s="159">
        <v>200</v>
      </c>
      <c r="SII67" s="161">
        <f>SUM(SIG67:SIH67)</f>
        <v>8875</v>
      </c>
      <c r="SIJ67" s="154" t="s">
        <v>106</v>
      </c>
      <c r="SIK67" s="155">
        <v>45845</v>
      </c>
      <c r="SIL67" s="150" t="s">
        <v>60</v>
      </c>
      <c r="SIM67" s="210"/>
      <c r="SIN67" s="156" t="s">
        <v>132</v>
      </c>
      <c r="SIO67" s="208"/>
      <c r="SIP67" s="209"/>
      <c r="SIQ67" s="150" t="s">
        <v>24</v>
      </c>
      <c r="SIR67" s="151">
        <v>8150</v>
      </c>
      <c r="SIS67" s="159">
        <v>85</v>
      </c>
      <c r="SIT67" s="160">
        <v>215</v>
      </c>
      <c r="SIU67" s="160">
        <v>75</v>
      </c>
      <c r="SIV67" s="159">
        <v>150</v>
      </c>
      <c r="SIW67" s="161">
        <f>SUM(SIR67:SIV67)</f>
        <v>8675</v>
      </c>
      <c r="SIX67" s="159">
        <v>200</v>
      </c>
      <c r="SIY67" s="161">
        <f>SUM(SIW67:SIX67)</f>
        <v>8875</v>
      </c>
      <c r="SIZ67" s="154" t="s">
        <v>106</v>
      </c>
      <c r="SJA67" s="155">
        <v>45845</v>
      </c>
      <c r="SJB67" s="150" t="s">
        <v>60</v>
      </c>
      <c r="SJC67" s="210"/>
      <c r="SJD67" s="156" t="s">
        <v>132</v>
      </c>
      <c r="SJE67" s="208"/>
      <c r="SJF67" s="209"/>
      <c r="SJG67" s="150" t="s">
        <v>24</v>
      </c>
      <c r="SJH67" s="151">
        <v>8150</v>
      </c>
      <c r="SJI67" s="159">
        <v>85</v>
      </c>
      <c r="SJJ67" s="160">
        <v>215</v>
      </c>
      <c r="SJK67" s="160">
        <v>75</v>
      </c>
      <c r="SJL67" s="159">
        <v>150</v>
      </c>
      <c r="SJM67" s="161">
        <f>SUM(SJH67:SJL67)</f>
        <v>8675</v>
      </c>
      <c r="SJN67" s="159">
        <v>200</v>
      </c>
      <c r="SJO67" s="161">
        <f>SUM(SJM67:SJN67)</f>
        <v>8875</v>
      </c>
      <c r="SJP67" s="154" t="s">
        <v>106</v>
      </c>
      <c r="SJQ67" s="155">
        <v>45845</v>
      </c>
      <c r="SJR67" s="150" t="s">
        <v>60</v>
      </c>
      <c r="SJS67" s="210"/>
      <c r="SJT67" s="156" t="s">
        <v>132</v>
      </c>
      <c r="SJU67" s="208"/>
      <c r="SJV67" s="209"/>
      <c r="SJW67" s="150" t="s">
        <v>24</v>
      </c>
      <c r="SJX67" s="151">
        <v>8150</v>
      </c>
      <c r="SJY67" s="159">
        <v>85</v>
      </c>
      <c r="SJZ67" s="160">
        <v>215</v>
      </c>
      <c r="SKA67" s="160">
        <v>75</v>
      </c>
      <c r="SKB67" s="159">
        <v>150</v>
      </c>
      <c r="SKC67" s="161">
        <f>SUM(SJX67:SKB67)</f>
        <v>8675</v>
      </c>
      <c r="SKD67" s="159">
        <v>200</v>
      </c>
      <c r="SKE67" s="161">
        <f>SUM(SKC67:SKD67)</f>
        <v>8875</v>
      </c>
      <c r="SKF67" s="154" t="s">
        <v>106</v>
      </c>
      <c r="SKG67" s="155">
        <v>45845</v>
      </c>
      <c r="SKH67" s="150" t="s">
        <v>60</v>
      </c>
      <c r="SKI67" s="210"/>
      <c r="SKJ67" s="156" t="s">
        <v>132</v>
      </c>
      <c r="SKK67" s="208"/>
      <c r="SKL67" s="209"/>
      <c r="SKM67" s="150" t="s">
        <v>24</v>
      </c>
      <c r="SKN67" s="151">
        <v>8150</v>
      </c>
      <c r="SKO67" s="159">
        <v>85</v>
      </c>
      <c r="SKP67" s="160">
        <v>215</v>
      </c>
      <c r="SKQ67" s="160">
        <v>75</v>
      </c>
      <c r="SKR67" s="159">
        <v>150</v>
      </c>
      <c r="SKS67" s="161">
        <f>SUM(SKN67:SKR67)</f>
        <v>8675</v>
      </c>
      <c r="SKT67" s="159">
        <v>200</v>
      </c>
      <c r="SKU67" s="161">
        <f>SUM(SKS67:SKT67)</f>
        <v>8875</v>
      </c>
      <c r="SKV67" s="154" t="s">
        <v>106</v>
      </c>
      <c r="SKW67" s="155">
        <v>45845</v>
      </c>
      <c r="SKX67" s="150" t="s">
        <v>60</v>
      </c>
      <c r="SKY67" s="210"/>
      <c r="SKZ67" s="156" t="s">
        <v>132</v>
      </c>
      <c r="SLA67" s="208"/>
      <c r="SLB67" s="209"/>
      <c r="SLC67" s="150" t="s">
        <v>24</v>
      </c>
      <c r="SLD67" s="151">
        <v>8150</v>
      </c>
      <c r="SLE67" s="159">
        <v>85</v>
      </c>
      <c r="SLF67" s="160">
        <v>215</v>
      </c>
      <c r="SLG67" s="160">
        <v>75</v>
      </c>
      <c r="SLH67" s="159">
        <v>150</v>
      </c>
      <c r="SLI67" s="161">
        <f>SUM(SLD67:SLH67)</f>
        <v>8675</v>
      </c>
      <c r="SLJ67" s="159">
        <v>200</v>
      </c>
      <c r="SLK67" s="161">
        <f>SUM(SLI67:SLJ67)</f>
        <v>8875</v>
      </c>
      <c r="SLL67" s="154" t="s">
        <v>106</v>
      </c>
      <c r="SLM67" s="155">
        <v>45845</v>
      </c>
      <c r="SLN67" s="150" t="s">
        <v>60</v>
      </c>
      <c r="SLO67" s="210"/>
      <c r="SLP67" s="156" t="s">
        <v>132</v>
      </c>
      <c r="SLQ67" s="208"/>
      <c r="SLR67" s="209"/>
      <c r="SLS67" s="150" t="s">
        <v>24</v>
      </c>
      <c r="SLT67" s="151">
        <v>8150</v>
      </c>
      <c r="SLU67" s="159">
        <v>85</v>
      </c>
      <c r="SLV67" s="160">
        <v>215</v>
      </c>
      <c r="SLW67" s="160">
        <v>75</v>
      </c>
      <c r="SLX67" s="159">
        <v>150</v>
      </c>
      <c r="SLY67" s="161">
        <f>SUM(SLT67:SLX67)</f>
        <v>8675</v>
      </c>
      <c r="SLZ67" s="159">
        <v>200</v>
      </c>
      <c r="SMA67" s="161">
        <f>SUM(SLY67:SLZ67)</f>
        <v>8875</v>
      </c>
      <c r="SMB67" s="154" t="s">
        <v>106</v>
      </c>
      <c r="SMC67" s="155">
        <v>45845</v>
      </c>
      <c r="SMD67" s="150" t="s">
        <v>60</v>
      </c>
      <c r="SME67" s="210"/>
      <c r="SMF67" s="156" t="s">
        <v>132</v>
      </c>
      <c r="SMG67" s="208"/>
      <c r="SMH67" s="209"/>
      <c r="SMI67" s="150" t="s">
        <v>24</v>
      </c>
      <c r="SMJ67" s="151">
        <v>8150</v>
      </c>
      <c r="SMK67" s="159">
        <v>85</v>
      </c>
      <c r="SML67" s="160">
        <v>215</v>
      </c>
      <c r="SMM67" s="160">
        <v>75</v>
      </c>
      <c r="SMN67" s="159">
        <v>150</v>
      </c>
      <c r="SMO67" s="161">
        <f>SUM(SMJ67:SMN67)</f>
        <v>8675</v>
      </c>
      <c r="SMP67" s="159">
        <v>200</v>
      </c>
      <c r="SMQ67" s="161">
        <f>SUM(SMO67:SMP67)</f>
        <v>8875</v>
      </c>
      <c r="SMR67" s="154" t="s">
        <v>106</v>
      </c>
      <c r="SMS67" s="155">
        <v>45845</v>
      </c>
      <c r="SMT67" s="150" t="s">
        <v>60</v>
      </c>
      <c r="SMU67" s="210"/>
      <c r="SMV67" s="156" t="s">
        <v>132</v>
      </c>
      <c r="SMW67" s="208"/>
      <c r="SMX67" s="209"/>
      <c r="SMY67" s="150" t="s">
        <v>24</v>
      </c>
      <c r="SMZ67" s="151">
        <v>8150</v>
      </c>
      <c r="SNA67" s="159">
        <v>85</v>
      </c>
      <c r="SNB67" s="160">
        <v>215</v>
      </c>
      <c r="SNC67" s="160">
        <v>75</v>
      </c>
      <c r="SND67" s="159">
        <v>150</v>
      </c>
      <c r="SNE67" s="161">
        <f>SUM(SMZ67:SND67)</f>
        <v>8675</v>
      </c>
      <c r="SNF67" s="159">
        <v>200</v>
      </c>
      <c r="SNG67" s="161">
        <f>SUM(SNE67:SNF67)</f>
        <v>8875</v>
      </c>
      <c r="SNH67" s="154" t="s">
        <v>106</v>
      </c>
      <c r="SNI67" s="155">
        <v>45845</v>
      </c>
      <c r="SNJ67" s="150" t="s">
        <v>60</v>
      </c>
      <c r="SNK67" s="210"/>
      <c r="SNL67" s="156" t="s">
        <v>132</v>
      </c>
      <c r="SNM67" s="208"/>
      <c r="SNN67" s="209"/>
      <c r="SNO67" s="150" t="s">
        <v>24</v>
      </c>
      <c r="SNP67" s="151">
        <v>8150</v>
      </c>
      <c r="SNQ67" s="159">
        <v>85</v>
      </c>
      <c r="SNR67" s="160">
        <v>215</v>
      </c>
      <c r="SNS67" s="160">
        <v>75</v>
      </c>
      <c r="SNT67" s="159">
        <v>150</v>
      </c>
      <c r="SNU67" s="161">
        <f>SUM(SNP67:SNT67)</f>
        <v>8675</v>
      </c>
      <c r="SNV67" s="159">
        <v>200</v>
      </c>
      <c r="SNW67" s="161">
        <f>SUM(SNU67:SNV67)</f>
        <v>8875</v>
      </c>
      <c r="SNX67" s="154" t="s">
        <v>106</v>
      </c>
      <c r="SNY67" s="155">
        <v>45845</v>
      </c>
      <c r="SNZ67" s="150" t="s">
        <v>60</v>
      </c>
      <c r="SOA67" s="210"/>
      <c r="SOB67" s="156" t="s">
        <v>132</v>
      </c>
      <c r="SOC67" s="208"/>
      <c r="SOD67" s="209"/>
      <c r="SOE67" s="150" t="s">
        <v>24</v>
      </c>
      <c r="SOF67" s="151">
        <v>8150</v>
      </c>
      <c r="SOG67" s="159">
        <v>85</v>
      </c>
      <c r="SOH67" s="160">
        <v>215</v>
      </c>
      <c r="SOI67" s="160">
        <v>75</v>
      </c>
      <c r="SOJ67" s="159">
        <v>150</v>
      </c>
      <c r="SOK67" s="161">
        <f>SUM(SOF67:SOJ67)</f>
        <v>8675</v>
      </c>
      <c r="SOL67" s="159">
        <v>200</v>
      </c>
      <c r="SOM67" s="161">
        <f>SUM(SOK67:SOL67)</f>
        <v>8875</v>
      </c>
      <c r="SON67" s="154" t="s">
        <v>106</v>
      </c>
      <c r="SOO67" s="155">
        <v>45845</v>
      </c>
      <c r="SOP67" s="150" t="s">
        <v>60</v>
      </c>
      <c r="SOQ67" s="210"/>
      <c r="SOR67" s="156" t="s">
        <v>132</v>
      </c>
      <c r="SOS67" s="208"/>
      <c r="SOT67" s="209"/>
      <c r="SOU67" s="150" t="s">
        <v>24</v>
      </c>
      <c r="SOV67" s="151">
        <v>8150</v>
      </c>
      <c r="SOW67" s="159">
        <v>85</v>
      </c>
      <c r="SOX67" s="160">
        <v>215</v>
      </c>
      <c r="SOY67" s="160">
        <v>75</v>
      </c>
      <c r="SOZ67" s="159">
        <v>150</v>
      </c>
      <c r="SPA67" s="161">
        <f>SUM(SOV67:SOZ67)</f>
        <v>8675</v>
      </c>
      <c r="SPB67" s="159">
        <v>200</v>
      </c>
      <c r="SPC67" s="161">
        <f>SUM(SPA67:SPB67)</f>
        <v>8875</v>
      </c>
      <c r="SPD67" s="154" t="s">
        <v>106</v>
      </c>
      <c r="SPE67" s="155">
        <v>45845</v>
      </c>
      <c r="SPF67" s="150" t="s">
        <v>60</v>
      </c>
      <c r="SPG67" s="210"/>
      <c r="SPH67" s="156" t="s">
        <v>132</v>
      </c>
      <c r="SPI67" s="208"/>
      <c r="SPJ67" s="209"/>
      <c r="SPK67" s="150" t="s">
        <v>24</v>
      </c>
      <c r="SPL67" s="151">
        <v>8150</v>
      </c>
      <c r="SPM67" s="159">
        <v>85</v>
      </c>
      <c r="SPN67" s="160">
        <v>215</v>
      </c>
      <c r="SPO67" s="160">
        <v>75</v>
      </c>
      <c r="SPP67" s="159">
        <v>150</v>
      </c>
      <c r="SPQ67" s="161">
        <f>SUM(SPL67:SPP67)</f>
        <v>8675</v>
      </c>
      <c r="SPR67" s="159">
        <v>200</v>
      </c>
      <c r="SPS67" s="161">
        <f>SUM(SPQ67:SPR67)</f>
        <v>8875</v>
      </c>
      <c r="SPT67" s="154" t="s">
        <v>106</v>
      </c>
      <c r="SPU67" s="155">
        <v>45845</v>
      </c>
      <c r="SPV67" s="150" t="s">
        <v>60</v>
      </c>
      <c r="SPW67" s="210"/>
      <c r="SPX67" s="156" t="s">
        <v>132</v>
      </c>
      <c r="SPY67" s="208"/>
      <c r="SPZ67" s="209"/>
      <c r="SQA67" s="150" t="s">
        <v>24</v>
      </c>
      <c r="SQB67" s="151">
        <v>8150</v>
      </c>
      <c r="SQC67" s="159">
        <v>85</v>
      </c>
      <c r="SQD67" s="160">
        <v>215</v>
      </c>
      <c r="SQE67" s="160">
        <v>75</v>
      </c>
      <c r="SQF67" s="159">
        <v>150</v>
      </c>
      <c r="SQG67" s="161">
        <f>SUM(SQB67:SQF67)</f>
        <v>8675</v>
      </c>
      <c r="SQH67" s="159">
        <v>200</v>
      </c>
      <c r="SQI67" s="161">
        <f>SUM(SQG67:SQH67)</f>
        <v>8875</v>
      </c>
      <c r="SQJ67" s="154" t="s">
        <v>106</v>
      </c>
      <c r="SQK67" s="155">
        <v>45845</v>
      </c>
      <c r="SQL67" s="150" t="s">
        <v>60</v>
      </c>
      <c r="SQM67" s="210"/>
      <c r="SQN67" s="156" t="s">
        <v>132</v>
      </c>
      <c r="SQO67" s="208"/>
      <c r="SQP67" s="209"/>
      <c r="SQQ67" s="150" t="s">
        <v>24</v>
      </c>
      <c r="SQR67" s="151">
        <v>8150</v>
      </c>
      <c r="SQS67" s="159">
        <v>85</v>
      </c>
      <c r="SQT67" s="160">
        <v>215</v>
      </c>
      <c r="SQU67" s="160">
        <v>75</v>
      </c>
      <c r="SQV67" s="159">
        <v>150</v>
      </c>
      <c r="SQW67" s="161">
        <f>SUM(SQR67:SQV67)</f>
        <v>8675</v>
      </c>
      <c r="SQX67" s="159">
        <v>200</v>
      </c>
      <c r="SQY67" s="161">
        <f>SUM(SQW67:SQX67)</f>
        <v>8875</v>
      </c>
      <c r="SQZ67" s="154" t="s">
        <v>106</v>
      </c>
      <c r="SRA67" s="155">
        <v>45845</v>
      </c>
      <c r="SRB67" s="150" t="s">
        <v>60</v>
      </c>
      <c r="SRC67" s="210"/>
      <c r="SRD67" s="156" t="s">
        <v>132</v>
      </c>
      <c r="SRE67" s="208"/>
      <c r="SRF67" s="209"/>
      <c r="SRG67" s="150" t="s">
        <v>24</v>
      </c>
      <c r="SRH67" s="151">
        <v>8150</v>
      </c>
      <c r="SRI67" s="159">
        <v>85</v>
      </c>
      <c r="SRJ67" s="160">
        <v>215</v>
      </c>
      <c r="SRK67" s="160">
        <v>75</v>
      </c>
      <c r="SRL67" s="159">
        <v>150</v>
      </c>
      <c r="SRM67" s="161">
        <f>SUM(SRH67:SRL67)</f>
        <v>8675</v>
      </c>
      <c r="SRN67" s="159">
        <v>200</v>
      </c>
      <c r="SRO67" s="161">
        <f>SUM(SRM67:SRN67)</f>
        <v>8875</v>
      </c>
      <c r="SRP67" s="154" t="s">
        <v>106</v>
      </c>
      <c r="SRQ67" s="155">
        <v>45845</v>
      </c>
      <c r="SRR67" s="150" t="s">
        <v>60</v>
      </c>
      <c r="SRS67" s="210"/>
      <c r="SRT67" s="156" t="s">
        <v>132</v>
      </c>
      <c r="SRU67" s="208"/>
      <c r="SRV67" s="209"/>
      <c r="SRW67" s="150" t="s">
        <v>24</v>
      </c>
      <c r="SRX67" s="151">
        <v>8150</v>
      </c>
      <c r="SRY67" s="159">
        <v>85</v>
      </c>
      <c r="SRZ67" s="160">
        <v>215</v>
      </c>
      <c r="SSA67" s="160">
        <v>75</v>
      </c>
      <c r="SSB67" s="159">
        <v>150</v>
      </c>
      <c r="SSC67" s="161">
        <f>SUM(SRX67:SSB67)</f>
        <v>8675</v>
      </c>
      <c r="SSD67" s="159">
        <v>200</v>
      </c>
      <c r="SSE67" s="161">
        <f>SUM(SSC67:SSD67)</f>
        <v>8875</v>
      </c>
      <c r="SSF67" s="154" t="s">
        <v>106</v>
      </c>
      <c r="SSG67" s="155">
        <v>45845</v>
      </c>
      <c r="SSH67" s="150" t="s">
        <v>60</v>
      </c>
      <c r="SSI67" s="210"/>
      <c r="SSJ67" s="156" t="s">
        <v>132</v>
      </c>
      <c r="SSK67" s="208"/>
      <c r="SSL67" s="209"/>
      <c r="SSM67" s="150" t="s">
        <v>24</v>
      </c>
      <c r="SSN67" s="151">
        <v>8150</v>
      </c>
      <c r="SSO67" s="159">
        <v>85</v>
      </c>
      <c r="SSP67" s="160">
        <v>215</v>
      </c>
      <c r="SSQ67" s="160">
        <v>75</v>
      </c>
      <c r="SSR67" s="159">
        <v>150</v>
      </c>
      <c r="SSS67" s="161">
        <f>SUM(SSN67:SSR67)</f>
        <v>8675</v>
      </c>
      <c r="SST67" s="159">
        <v>200</v>
      </c>
      <c r="SSU67" s="161">
        <f>SUM(SSS67:SST67)</f>
        <v>8875</v>
      </c>
      <c r="SSV67" s="154" t="s">
        <v>106</v>
      </c>
      <c r="SSW67" s="155">
        <v>45845</v>
      </c>
      <c r="SSX67" s="150" t="s">
        <v>60</v>
      </c>
      <c r="SSY67" s="210"/>
      <c r="SSZ67" s="156" t="s">
        <v>132</v>
      </c>
      <c r="STA67" s="208"/>
      <c r="STB67" s="209"/>
      <c r="STC67" s="150" t="s">
        <v>24</v>
      </c>
      <c r="STD67" s="151">
        <v>8150</v>
      </c>
      <c r="STE67" s="159">
        <v>85</v>
      </c>
      <c r="STF67" s="160">
        <v>215</v>
      </c>
      <c r="STG67" s="160">
        <v>75</v>
      </c>
      <c r="STH67" s="159">
        <v>150</v>
      </c>
      <c r="STI67" s="161">
        <f>SUM(STD67:STH67)</f>
        <v>8675</v>
      </c>
      <c r="STJ67" s="159">
        <v>200</v>
      </c>
      <c r="STK67" s="161">
        <f>SUM(STI67:STJ67)</f>
        <v>8875</v>
      </c>
      <c r="STL67" s="154" t="s">
        <v>106</v>
      </c>
      <c r="STM67" s="155">
        <v>45845</v>
      </c>
      <c r="STN67" s="150" t="s">
        <v>60</v>
      </c>
      <c r="STO67" s="210"/>
      <c r="STP67" s="156" t="s">
        <v>132</v>
      </c>
      <c r="STQ67" s="208"/>
      <c r="STR67" s="209"/>
      <c r="STS67" s="150" t="s">
        <v>24</v>
      </c>
      <c r="STT67" s="151">
        <v>8150</v>
      </c>
      <c r="STU67" s="159">
        <v>85</v>
      </c>
      <c r="STV67" s="160">
        <v>215</v>
      </c>
      <c r="STW67" s="160">
        <v>75</v>
      </c>
      <c r="STX67" s="159">
        <v>150</v>
      </c>
      <c r="STY67" s="161">
        <f>SUM(STT67:STX67)</f>
        <v>8675</v>
      </c>
      <c r="STZ67" s="159">
        <v>200</v>
      </c>
      <c r="SUA67" s="161">
        <f>SUM(STY67:STZ67)</f>
        <v>8875</v>
      </c>
      <c r="SUB67" s="154" t="s">
        <v>106</v>
      </c>
      <c r="SUC67" s="155">
        <v>45845</v>
      </c>
      <c r="SUD67" s="150" t="s">
        <v>60</v>
      </c>
      <c r="SUE67" s="210"/>
      <c r="SUF67" s="156" t="s">
        <v>132</v>
      </c>
      <c r="SUG67" s="208"/>
      <c r="SUH67" s="209"/>
      <c r="SUI67" s="150" t="s">
        <v>24</v>
      </c>
      <c r="SUJ67" s="151">
        <v>8150</v>
      </c>
      <c r="SUK67" s="159">
        <v>85</v>
      </c>
      <c r="SUL67" s="160">
        <v>215</v>
      </c>
      <c r="SUM67" s="160">
        <v>75</v>
      </c>
      <c r="SUN67" s="159">
        <v>150</v>
      </c>
      <c r="SUO67" s="161">
        <f>SUM(SUJ67:SUN67)</f>
        <v>8675</v>
      </c>
      <c r="SUP67" s="159">
        <v>200</v>
      </c>
      <c r="SUQ67" s="161">
        <f>SUM(SUO67:SUP67)</f>
        <v>8875</v>
      </c>
      <c r="SUR67" s="154" t="s">
        <v>106</v>
      </c>
      <c r="SUS67" s="155">
        <v>45845</v>
      </c>
      <c r="SUT67" s="150" t="s">
        <v>60</v>
      </c>
      <c r="SUU67" s="210"/>
      <c r="SUV67" s="156" t="s">
        <v>132</v>
      </c>
      <c r="SUW67" s="208"/>
      <c r="SUX67" s="209"/>
      <c r="SUY67" s="150" t="s">
        <v>24</v>
      </c>
      <c r="SUZ67" s="151">
        <v>8150</v>
      </c>
      <c r="SVA67" s="159">
        <v>85</v>
      </c>
      <c r="SVB67" s="160">
        <v>215</v>
      </c>
      <c r="SVC67" s="160">
        <v>75</v>
      </c>
      <c r="SVD67" s="159">
        <v>150</v>
      </c>
      <c r="SVE67" s="161">
        <f>SUM(SUZ67:SVD67)</f>
        <v>8675</v>
      </c>
      <c r="SVF67" s="159">
        <v>200</v>
      </c>
      <c r="SVG67" s="161">
        <f>SUM(SVE67:SVF67)</f>
        <v>8875</v>
      </c>
      <c r="SVH67" s="154" t="s">
        <v>106</v>
      </c>
      <c r="SVI67" s="155">
        <v>45845</v>
      </c>
      <c r="SVJ67" s="150" t="s">
        <v>60</v>
      </c>
      <c r="SVK67" s="210"/>
      <c r="SVL67" s="156" t="s">
        <v>132</v>
      </c>
      <c r="SVM67" s="208"/>
      <c r="SVN67" s="209"/>
      <c r="SVO67" s="150" t="s">
        <v>24</v>
      </c>
      <c r="SVP67" s="151">
        <v>8150</v>
      </c>
      <c r="SVQ67" s="159">
        <v>85</v>
      </c>
      <c r="SVR67" s="160">
        <v>215</v>
      </c>
      <c r="SVS67" s="160">
        <v>75</v>
      </c>
      <c r="SVT67" s="159">
        <v>150</v>
      </c>
      <c r="SVU67" s="161">
        <f>SUM(SVP67:SVT67)</f>
        <v>8675</v>
      </c>
      <c r="SVV67" s="159">
        <v>200</v>
      </c>
      <c r="SVW67" s="161">
        <f>SUM(SVU67:SVV67)</f>
        <v>8875</v>
      </c>
      <c r="SVX67" s="154" t="s">
        <v>106</v>
      </c>
      <c r="SVY67" s="155">
        <v>45845</v>
      </c>
      <c r="SVZ67" s="150" t="s">
        <v>60</v>
      </c>
      <c r="SWA67" s="210"/>
      <c r="SWB67" s="156" t="s">
        <v>132</v>
      </c>
      <c r="SWC67" s="208"/>
      <c r="SWD67" s="209"/>
      <c r="SWE67" s="150" t="s">
        <v>24</v>
      </c>
      <c r="SWF67" s="151">
        <v>8150</v>
      </c>
      <c r="SWG67" s="159">
        <v>85</v>
      </c>
      <c r="SWH67" s="160">
        <v>215</v>
      </c>
      <c r="SWI67" s="160">
        <v>75</v>
      </c>
      <c r="SWJ67" s="159">
        <v>150</v>
      </c>
      <c r="SWK67" s="161">
        <f>SUM(SWF67:SWJ67)</f>
        <v>8675</v>
      </c>
      <c r="SWL67" s="159">
        <v>200</v>
      </c>
      <c r="SWM67" s="161">
        <f>SUM(SWK67:SWL67)</f>
        <v>8875</v>
      </c>
      <c r="SWN67" s="154" t="s">
        <v>106</v>
      </c>
      <c r="SWO67" s="155">
        <v>45845</v>
      </c>
      <c r="SWP67" s="150" t="s">
        <v>60</v>
      </c>
      <c r="SWQ67" s="210"/>
      <c r="SWR67" s="156" t="s">
        <v>132</v>
      </c>
      <c r="SWS67" s="208"/>
      <c r="SWT67" s="209"/>
      <c r="SWU67" s="150" t="s">
        <v>24</v>
      </c>
      <c r="SWV67" s="151">
        <v>8150</v>
      </c>
      <c r="SWW67" s="159">
        <v>85</v>
      </c>
      <c r="SWX67" s="160">
        <v>215</v>
      </c>
      <c r="SWY67" s="160">
        <v>75</v>
      </c>
      <c r="SWZ67" s="159">
        <v>150</v>
      </c>
      <c r="SXA67" s="161">
        <f>SUM(SWV67:SWZ67)</f>
        <v>8675</v>
      </c>
      <c r="SXB67" s="159">
        <v>200</v>
      </c>
      <c r="SXC67" s="161">
        <f>SUM(SXA67:SXB67)</f>
        <v>8875</v>
      </c>
      <c r="SXD67" s="154" t="s">
        <v>106</v>
      </c>
      <c r="SXE67" s="155">
        <v>45845</v>
      </c>
      <c r="SXF67" s="150" t="s">
        <v>60</v>
      </c>
      <c r="SXG67" s="210"/>
      <c r="SXH67" s="156" t="s">
        <v>132</v>
      </c>
      <c r="SXI67" s="208"/>
      <c r="SXJ67" s="209"/>
      <c r="SXK67" s="150" t="s">
        <v>24</v>
      </c>
      <c r="SXL67" s="151">
        <v>8150</v>
      </c>
      <c r="SXM67" s="159">
        <v>85</v>
      </c>
      <c r="SXN67" s="160">
        <v>215</v>
      </c>
      <c r="SXO67" s="160">
        <v>75</v>
      </c>
      <c r="SXP67" s="159">
        <v>150</v>
      </c>
      <c r="SXQ67" s="161">
        <f>SUM(SXL67:SXP67)</f>
        <v>8675</v>
      </c>
      <c r="SXR67" s="159">
        <v>200</v>
      </c>
      <c r="SXS67" s="161">
        <f>SUM(SXQ67:SXR67)</f>
        <v>8875</v>
      </c>
      <c r="SXT67" s="154" t="s">
        <v>106</v>
      </c>
      <c r="SXU67" s="155">
        <v>45845</v>
      </c>
      <c r="SXV67" s="150" t="s">
        <v>60</v>
      </c>
      <c r="SXW67" s="210"/>
      <c r="SXX67" s="156" t="s">
        <v>132</v>
      </c>
      <c r="SXY67" s="208"/>
      <c r="SXZ67" s="209"/>
      <c r="SYA67" s="150" t="s">
        <v>24</v>
      </c>
      <c r="SYB67" s="151">
        <v>8150</v>
      </c>
      <c r="SYC67" s="159">
        <v>85</v>
      </c>
      <c r="SYD67" s="160">
        <v>215</v>
      </c>
      <c r="SYE67" s="160">
        <v>75</v>
      </c>
      <c r="SYF67" s="159">
        <v>150</v>
      </c>
      <c r="SYG67" s="161">
        <f>SUM(SYB67:SYF67)</f>
        <v>8675</v>
      </c>
      <c r="SYH67" s="159">
        <v>200</v>
      </c>
      <c r="SYI67" s="161">
        <f>SUM(SYG67:SYH67)</f>
        <v>8875</v>
      </c>
      <c r="SYJ67" s="154" t="s">
        <v>106</v>
      </c>
      <c r="SYK67" s="155">
        <v>45845</v>
      </c>
      <c r="SYL67" s="150" t="s">
        <v>60</v>
      </c>
      <c r="SYM67" s="210"/>
      <c r="SYN67" s="156" t="s">
        <v>132</v>
      </c>
      <c r="SYO67" s="208"/>
      <c r="SYP67" s="209"/>
      <c r="SYQ67" s="150" t="s">
        <v>24</v>
      </c>
      <c r="SYR67" s="151">
        <v>8150</v>
      </c>
      <c r="SYS67" s="159">
        <v>85</v>
      </c>
      <c r="SYT67" s="160">
        <v>215</v>
      </c>
      <c r="SYU67" s="160">
        <v>75</v>
      </c>
      <c r="SYV67" s="159">
        <v>150</v>
      </c>
      <c r="SYW67" s="161">
        <f>SUM(SYR67:SYV67)</f>
        <v>8675</v>
      </c>
      <c r="SYX67" s="159">
        <v>200</v>
      </c>
      <c r="SYY67" s="161">
        <f>SUM(SYW67:SYX67)</f>
        <v>8875</v>
      </c>
      <c r="SYZ67" s="154" t="s">
        <v>106</v>
      </c>
      <c r="SZA67" s="155">
        <v>45845</v>
      </c>
      <c r="SZB67" s="150" t="s">
        <v>60</v>
      </c>
      <c r="SZC67" s="210"/>
      <c r="SZD67" s="156" t="s">
        <v>132</v>
      </c>
      <c r="SZE67" s="208"/>
      <c r="SZF67" s="209"/>
      <c r="SZG67" s="150" t="s">
        <v>24</v>
      </c>
      <c r="SZH67" s="151">
        <v>8150</v>
      </c>
      <c r="SZI67" s="159">
        <v>85</v>
      </c>
      <c r="SZJ67" s="160">
        <v>215</v>
      </c>
      <c r="SZK67" s="160">
        <v>75</v>
      </c>
      <c r="SZL67" s="159">
        <v>150</v>
      </c>
      <c r="SZM67" s="161">
        <f>SUM(SZH67:SZL67)</f>
        <v>8675</v>
      </c>
      <c r="SZN67" s="159">
        <v>200</v>
      </c>
      <c r="SZO67" s="161">
        <f>SUM(SZM67:SZN67)</f>
        <v>8875</v>
      </c>
      <c r="SZP67" s="154" t="s">
        <v>106</v>
      </c>
      <c r="SZQ67" s="155">
        <v>45845</v>
      </c>
      <c r="SZR67" s="150" t="s">
        <v>60</v>
      </c>
      <c r="SZS67" s="210"/>
      <c r="SZT67" s="156" t="s">
        <v>132</v>
      </c>
      <c r="SZU67" s="208"/>
      <c r="SZV67" s="209"/>
      <c r="SZW67" s="150" t="s">
        <v>24</v>
      </c>
      <c r="SZX67" s="151">
        <v>8150</v>
      </c>
      <c r="SZY67" s="159">
        <v>85</v>
      </c>
      <c r="SZZ67" s="160">
        <v>215</v>
      </c>
      <c r="TAA67" s="160">
        <v>75</v>
      </c>
      <c r="TAB67" s="159">
        <v>150</v>
      </c>
      <c r="TAC67" s="161">
        <f>SUM(SZX67:TAB67)</f>
        <v>8675</v>
      </c>
      <c r="TAD67" s="159">
        <v>200</v>
      </c>
      <c r="TAE67" s="161">
        <f>SUM(TAC67:TAD67)</f>
        <v>8875</v>
      </c>
      <c r="TAF67" s="154" t="s">
        <v>106</v>
      </c>
      <c r="TAG67" s="155">
        <v>45845</v>
      </c>
      <c r="TAH67" s="150" t="s">
        <v>60</v>
      </c>
      <c r="TAI67" s="210"/>
      <c r="TAJ67" s="156" t="s">
        <v>132</v>
      </c>
      <c r="TAK67" s="208"/>
      <c r="TAL67" s="209"/>
      <c r="TAM67" s="150" t="s">
        <v>24</v>
      </c>
      <c r="TAN67" s="151">
        <v>8150</v>
      </c>
      <c r="TAO67" s="159">
        <v>85</v>
      </c>
      <c r="TAP67" s="160">
        <v>215</v>
      </c>
      <c r="TAQ67" s="160">
        <v>75</v>
      </c>
      <c r="TAR67" s="159">
        <v>150</v>
      </c>
      <c r="TAS67" s="161">
        <f>SUM(TAN67:TAR67)</f>
        <v>8675</v>
      </c>
      <c r="TAT67" s="159">
        <v>200</v>
      </c>
      <c r="TAU67" s="161">
        <f>SUM(TAS67:TAT67)</f>
        <v>8875</v>
      </c>
      <c r="TAV67" s="154" t="s">
        <v>106</v>
      </c>
      <c r="TAW67" s="155">
        <v>45845</v>
      </c>
      <c r="TAX67" s="150" t="s">
        <v>60</v>
      </c>
      <c r="TAY67" s="210"/>
      <c r="TAZ67" s="156" t="s">
        <v>132</v>
      </c>
      <c r="TBA67" s="208"/>
      <c r="TBB67" s="209"/>
      <c r="TBC67" s="150" t="s">
        <v>24</v>
      </c>
      <c r="TBD67" s="151">
        <v>8150</v>
      </c>
      <c r="TBE67" s="159">
        <v>85</v>
      </c>
      <c r="TBF67" s="160">
        <v>215</v>
      </c>
      <c r="TBG67" s="160">
        <v>75</v>
      </c>
      <c r="TBH67" s="159">
        <v>150</v>
      </c>
      <c r="TBI67" s="161">
        <f>SUM(TBD67:TBH67)</f>
        <v>8675</v>
      </c>
      <c r="TBJ67" s="159">
        <v>200</v>
      </c>
      <c r="TBK67" s="161">
        <f>SUM(TBI67:TBJ67)</f>
        <v>8875</v>
      </c>
      <c r="TBL67" s="154" t="s">
        <v>106</v>
      </c>
      <c r="TBM67" s="155">
        <v>45845</v>
      </c>
      <c r="TBN67" s="150" t="s">
        <v>60</v>
      </c>
      <c r="TBO67" s="210"/>
      <c r="TBP67" s="156" t="s">
        <v>132</v>
      </c>
      <c r="TBQ67" s="208"/>
      <c r="TBR67" s="209"/>
      <c r="TBS67" s="150" t="s">
        <v>24</v>
      </c>
      <c r="TBT67" s="151">
        <v>8150</v>
      </c>
      <c r="TBU67" s="159">
        <v>85</v>
      </c>
      <c r="TBV67" s="160">
        <v>215</v>
      </c>
      <c r="TBW67" s="160">
        <v>75</v>
      </c>
      <c r="TBX67" s="159">
        <v>150</v>
      </c>
      <c r="TBY67" s="161">
        <f>SUM(TBT67:TBX67)</f>
        <v>8675</v>
      </c>
      <c r="TBZ67" s="159">
        <v>200</v>
      </c>
      <c r="TCA67" s="161">
        <f>SUM(TBY67:TBZ67)</f>
        <v>8875</v>
      </c>
      <c r="TCB67" s="154" t="s">
        <v>106</v>
      </c>
      <c r="TCC67" s="155">
        <v>45845</v>
      </c>
      <c r="TCD67" s="150" t="s">
        <v>60</v>
      </c>
      <c r="TCE67" s="210"/>
      <c r="TCF67" s="156" t="s">
        <v>132</v>
      </c>
      <c r="TCG67" s="208"/>
      <c r="TCH67" s="209"/>
      <c r="TCI67" s="150" t="s">
        <v>24</v>
      </c>
      <c r="TCJ67" s="151">
        <v>8150</v>
      </c>
      <c r="TCK67" s="159">
        <v>85</v>
      </c>
      <c r="TCL67" s="160">
        <v>215</v>
      </c>
      <c r="TCM67" s="160">
        <v>75</v>
      </c>
      <c r="TCN67" s="159">
        <v>150</v>
      </c>
      <c r="TCO67" s="161">
        <f>SUM(TCJ67:TCN67)</f>
        <v>8675</v>
      </c>
      <c r="TCP67" s="159">
        <v>200</v>
      </c>
      <c r="TCQ67" s="161">
        <f>SUM(TCO67:TCP67)</f>
        <v>8875</v>
      </c>
      <c r="TCR67" s="154" t="s">
        <v>106</v>
      </c>
      <c r="TCS67" s="155">
        <v>45845</v>
      </c>
      <c r="TCT67" s="150" t="s">
        <v>60</v>
      </c>
      <c r="TCU67" s="210"/>
      <c r="TCV67" s="156" t="s">
        <v>132</v>
      </c>
      <c r="TCW67" s="208"/>
      <c r="TCX67" s="209"/>
      <c r="TCY67" s="150" t="s">
        <v>24</v>
      </c>
      <c r="TCZ67" s="151">
        <v>8150</v>
      </c>
      <c r="TDA67" s="159">
        <v>85</v>
      </c>
      <c r="TDB67" s="160">
        <v>215</v>
      </c>
      <c r="TDC67" s="160">
        <v>75</v>
      </c>
      <c r="TDD67" s="159">
        <v>150</v>
      </c>
      <c r="TDE67" s="161">
        <f>SUM(TCZ67:TDD67)</f>
        <v>8675</v>
      </c>
      <c r="TDF67" s="159">
        <v>200</v>
      </c>
      <c r="TDG67" s="161">
        <f>SUM(TDE67:TDF67)</f>
        <v>8875</v>
      </c>
      <c r="TDH67" s="154" t="s">
        <v>106</v>
      </c>
      <c r="TDI67" s="155">
        <v>45845</v>
      </c>
      <c r="TDJ67" s="150" t="s">
        <v>60</v>
      </c>
      <c r="TDK67" s="210"/>
      <c r="TDL67" s="156" t="s">
        <v>132</v>
      </c>
      <c r="TDM67" s="208"/>
      <c r="TDN67" s="209"/>
      <c r="TDO67" s="150" t="s">
        <v>24</v>
      </c>
      <c r="TDP67" s="151">
        <v>8150</v>
      </c>
      <c r="TDQ67" s="159">
        <v>85</v>
      </c>
      <c r="TDR67" s="160">
        <v>215</v>
      </c>
      <c r="TDS67" s="160">
        <v>75</v>
      </c>
      <c r="TDT67" s="159">
        <v>150</v>
      </c>
      <c r="TDU67" s="161">
        <f>SUM(TDP67:TDT67)</f>
        <v>8675</v>
      </c>
      <c r="TDV67" s="159">
        <v>200</v>
      </c>
      <c r="TDW67" s="161">
        <f>SUM(TDU67:TDV67)</f>
        <v>8875</v>
      </c>
      <c r="TDX67" s="154" t="s">
        <v>106</v>
      </c>
      <c r="TDY67" s="155">
        <v>45845</v>
      </c>
      <c r="TDZ67" s="150" t="s">
        <v>60</v>
      </c>
      <c r="TEA67" s="210"/>
      <c r="TEB67" s="156" t="s">
        <v>132</v>
      </c>
      <c r="TEC67" s="208"/>
      <c r="TED67" s="209"/>
      <c r="TEE67" s="150" t="s">
        <v>24</v>
      </c>
      <c r="TEF67" s="151">
        <v>8150</v>
      </c>
      <c r="TEG67" s="159">
        <v>85</v>
      </c>
      <c r="TEH67" s="160">
        <v>215</v>
      </c>
      <c r="TEI67" s="160">
        <v>75</v>
      </c>
      <c r="TEJ67" s="159">
        <v>150</v>
      </c>
      <c r="TEK67" s="161">
        <f>SUM(TEF67:TEJ67)</f>
        <v>8675</v>
      </c>
      <c r="TEL67" s="159">
        <v>200</v>
      </c>
      <c r="TEM67" s="161">
        <f>SUM(TEK67:TEL67)</f>
        <v>8875</v>
      </c>
      <c r="TEN67" s="154" t="s">
        <v>106</v>
      </c>
      <c r="TEO67" s="155">
        <v>45845</v>
      </c>
      <c r="TEP67" s="150" t="s">
        <v>60</v>
      </c>
      <c r="TEQ67" s="210"/>
      <c r="TER67" s="156" t="s">
        <v>132</v>
      </c>
      <c r="TES67" s="208"/>
      <c r="TET67" s="209"/>
      <c r="TEU67" s="150" t="s">
        <v>24</v>
      </c>
      <c r="TEV67" s="151">
        <v>8150</v>
      </c>
      <c r="TEW67" s="159">
        <v>85</v>
      </c>
      <c r="TEX67" s="160">
        <v>215</v>
      </c>
      <c r="TEY67" s="160">
        <v>75</v>
      </c>
      <c r="TEZ67" s="159">
        <v>150</v>
      </c>
      <c r="TFA67" s="161">
        <f>SUM(TEV67:TEZ67)</f>
        <v>8675</v>
      </c>
      <c r="TFB67" s="159">
        <v>200</v>
      </c>
      <c r="TFC67" s="161">
        <f>SUM(TFA67:TFB67)</f>
        <v>8875</v>
      </c>
      <c r="TFD67" s="154" t="s">
        <v>106</v>
      </c>
      <c r="TFE67" s="155">
        <v>45845</v>
      </c>
      <c r="TFF67" s="150" t="s">
        <v>60</v>
      </c>
      <c r="TFG67" s="210"/>
      <c r="TFH67" s="156" t="s">
        <v>132</v>
      </c>
      <c r="TFI67" s="208"/>
      <c r="TFJ67" s="209"/>
      <c r="TFK67" s="150" t="s">
        <v>24</v>
      </c>
      <c r="TFL67" s="151">
        <v>8150</v>
      </c>
      <c r="TFM67" s="159">
        <v>85</v>
      </c>
      <c r="TFN67" s="160">
        <v>215</v>
      </c>
      <c r="TFO67" s="160">
        <v>75</v>
      </c>
      <c r="TFP67" s="159">
        <v>150</v>
      </c>
      <c r="TFQ67" s="161">
        <f>SUM(TFL67:TFP67)</f>
        <v>8675</v>
      </c>
      <c r="TFR67" s="159">
        <v>200</v>
      </c>
      <c r="TFS67" s="161">
        <f>SUM(TFQ67:TFR67)</f>
        <v>8875</v>
      </c>
      <c r="TFT67" s="154" t="s">
        <v>106</v>
      </c>
      <c r="TFU67" s="155">
        <v>45845</v>
      </c>
      <c r="TFV67" s="150" t="s">
        <v>60</v>
      </c>
      <c r="TFW67" s="210"/>
      <c r="TFX67" s="156" t="s">
        <v>132</v>
      </c>
      <c r="TFY67" s="208"/>
      <c r="TFZ67" s="209"/>
      <c r="TGA67" s="150" t="s">
        <v>24</v>
      </c>
      <c r="TGB67" s="151">
        <v>8150</v>
      </c>
      <c r="TGC67" s="159">
        <v>85</v>
      </c>
      <c r="TGD67" s="160">
        <v>215</v>
      </c>
      <c r="TGE67" s="160">
        <v>75</v>
      </c>
      <c r="TGF67" s="159">
        <v>150</v>
      </c>
      <c r="TGG67" s="161">
        <f>SUM(TGB67:TGF67)</f>
        <v>8675</v>
      </c>
      <c r="TGH67" s="159">
        <v>200</v>
      </c>
      <c r="TGI67" s="161">
        <f>SUM(TGG67:TGH67)</f>
        <v>8875</v>
      </c>
      <c r="TGJ67" s="154" t="s">
        <v>106</v>
      </c>
      <c r="TGK67" s="155">
        <v>45845</v>
      </c>
      <c r="TGL67" s="150" t="s">
        <v>60</v>
      </c>
      <c r="TGM67" s="210"/>
      <c r="TGN67" s="156" t="s">
        <v>132</v>
      </c>
      <c r="TGO67" s="208"/>
      <c r="TGP67" s="209"/>
      <c r="TGQ67" s="150" t="s">
        <v>24</v>
      </c>
      <c r="TGR67" s="151">
        <v>8150</v>
      </c>
      <c r="TGS67" s="159">
        <v>85</v>
      </c>
      <c r="TGT67" s="160">
        <v>215</v>
      </c>
      <c r="TGU67" s="160">
        <v>75</v>
      </c>
      <c r="TGV67" s="159">
        <v>150</v>
      </c>
      <c r="TGW67" s="161">
        <f>SUM(TGR67:TGV67)</f>
        <v>8675</v>
      </c>
      <c r="TGX67" s="159">
        <v>200</v>
      </c>
      <c r="TGY67" s="161">
        <f>SUM(TGW67:TGX67)</f>
        <v>8875</v>
      </c>
      <c r="TGZ67" s="154" t="s">
        <v>106</v>
      </c>
      <c r="THA67" s="155">
        <v>45845</v>
      </c>
      <c r="THB67" s="150" t="s">
        <v>60</v>
      </c>
      <c r="THC67" s="210"/>
      <c r="THD67" s="156" t="s">
        <v>132</v>
      </c>
      <c r="THE67" s="208"/>
      <c r="THF67" s="209"/>
      <c r="THG67" s="150" t="s">
        <v>24</v>
      </c>
      <c r="THH67" s="151">
        <v>8150</v>
      </c>
      <c r="THI67" s="159">
        <v>85</v>
      </c>
      <c r="THJ67" s="160">
        <v>215</v>
      </c>
      <c r="THK67" s="160">
        <v>75</v>
      </c>
      <c r="THL67" s="159">
        <v>150</v>
      </c>
      <c r="THM67" s="161">
        <f>SUM(THH67:THL67)</f>
        <v>8675</v>
      </c>
      <c r="THN67" s="159">
        <v>200</v>
      </c>
      <c r="THO67" s="161">
        <f>SUM(THM67:THN67)</f>
        <v>8875</v>
      </c>
      <c r="THP67" s="154" t="s">
        <v>106</v>
      </c>
      <c r="THQ67" s="155">
        <v>45845</v>
      </c>
      <c r="THR67" s="150" t="s">
        <v>60</v>
      </c>
      <c r="THS67" s="210"/>
      <c r="THT67" s="156" t="s">
        <v>132</v>
      </c>
      <c r="THU67" s="208"/>
      <c r="THV67" s="209"/>
      <c r="THW67" s="150" t="s">
        <v>24</v>
      </c>
      <c r="THX67" s="151">
        <v>8150</v>
      </c>
      <c r="THY67" s="159">
        <v>85</v>
      </c>
      <c r="THZ67" s="160">
        <v>215</v>
      </c>
      <c r="TIA67" s="160">
        <v>75</v>
      </c>
      <c r="TIB67" s="159">
        <v>150</v>
      </c>
      <c r="TIC67" s="161">
        <f>SUM(THX67:TIB67)</f>
        <v>8675</v>
      </c>
      <c r="TID67" s="159">
        <v>200</v>
      </c>
      <c r="TIE67" s="161">
        <f>SUM(TIC67:TID67)</f>
        <v>8875</v>
      </c>
      <c r="TIF67" s="154" t="s">
        <v>106</v>
      </c>
      <c r="TIG67" s="155">
        <v>45845</v>
      </c>
      <c r="TIH67" s="150" t="s">
        <v>60</v>
      </c>
      <c r="TII67" s="210"/>
      <c r="TIJ67" s="156" t="s">
        <v>132</v>
      </c>
      <c r="TIK67" s="208"/>
      <c r="TIL67" s="209"/>
      <c r="TIM67" s="150" t="s">
        <v>24</v>
      </c>
      <c r="TIN67" s="151">
        <v>8150</v>
      </c>
      <c r="TIO67" s="159">
        <v>85</v>
      </c>
      <c r="TIP67" s="160">
        <v>215</v>
      </c>
      <c r="TIQ67" s="160">
        <v>75</v>
      </c>
      <c r="TIR67" s="159">
        <v>150</v>
      </c>
      <c r="TIS67" s="161">
        <f>SUM(TIN67:TIR67)</f>
        <v>8675</v>
      </c>
      <c r="TIT67" s="159">
        <v>200</v>
      </c>
      <c r="TIU67" s="161">
        <f>SUM(TIS67:TIT67)</f>
        <v>8875</v>
      </c>
      <c r="TIV67" s="154" t="s">
        <v>106</v>
      </c>
      <c r="TIW67" s="155">
        <v>45845</v>
      </c>
      <c r="TIX67" s="150" t="s">
        <v>60</v>
      </c>
      <c r="TIY67" s="210"/>
      <c r="TIZ67" s="156" t="s">
        <v>132</v>
      </c>
      <c r="TJA67" s="208"/>
      <c r="TJB67" s="209"/>
      <c r="TJC67" s="150" t="s">
        <v>24</v>
      </c>
      <c r="TJD67" s="151">
        <v>8150</v>
      </c>
      <c r="TJE67" s="159">
        <v>85</v>
      </c>
      <c r="TJF67" s="160">
        <v>215</v>
      </c>
      <c r="TJG67" s="160">
        <v>75</v>
      </c>
      <c r="TJH67" s="159">
        <v>150</v>
      </c>
      <c r="TJI67" s="161">
        <f>SUM(TJD67:TJH67)</f>
        <v>8675</v>
      </c>
      <c r="TJJ67" s="159">
        <v>200</v>
      </c>
      <c r="TJK67" s="161">
        <f>SUM(TJI67:TJJ67)</f>
        <v>8875</v>
      </c>
      <c r="TJL67" s="154" t="s">
        <v>106</v>
      </c>
      <c r="TJM67" s="155">
        <v>45845</v>
      </c>
      <c r="TJN67" s="150" t="s">
        <v>60</v>
      </c>
      <c r="TJO67" s="210"/>
      <c r="TJP67" s="156" t="s">
        <v>132</v>
      </c>
      <c r="TJQ67" s="208"/>
      <c r="TJR67" s="209"/>
      <c r="TJS67" s="150" t="s">
        <v>24</v>
      </c>
      <c r="TJT67" s="151">
        <v>8150</v>
      </c>
      <c r="TJU67" s="159">
        <v>85</v>
      </c>
      <c r="TJV67" s="160">
        <v>215</v>
      </c>
      <c r="TJW67" s="160">
        <v>75</v>
      </c>
      <c r="TJX67" s="159">
        <v>150</v>
      </c>
      <c r="TJY67" s="161">
        <f>SUM(TJT67:TJX67)</f>
        <v>8675</v>
      </c>
      <c r="TJZ67" s="159">
        <v>200</v>
      </c>
      <c r="TKA67" s="161">
        <f>SUM(TJY67:TJZ67)</f>
        <v>8875</v>
      </c>
      <c r="TKB67" s="154" t="s">
        <v>106</v>
      </c>
      <c r="TKC67" s="155">
        <v>45845</v>
      </c>
      <c r="TKD67" s="150" t="s">
        <v>60</v>
      </c>
      <c r="TKE67" s="210"/>
      <c r="TKF67" s="156" t="s">
        <v>132</v>
      </c>
      <c r="TKG67" s="208"/>
      <c r="TKH67" s="209"/>
      <c r="TKI67" s="150" t="s">
        <v>24</v>
      </c>
      <c r="TKJ67" s="151">
        <v>8150</v>
      </c>
      <c r="TKK67" s="159">
        <v>85</v>
      </c>
      <c r="TKL67" s="160">
        <v>215</v>
      </c>
      <c r="TKM67" s="160">
        <v>75</v>
      </c>
      <c r="TKN67" s="159">
        <v>150</v>
      </c>
      <c r="TKO67" s="161">
        <f>SUM(TKJ67:TKN67)</f>
        <v>8675</v>
      </c>
      <c r="TKP67" s="159">
        <v>200</v>
      </c>
      <c r="TKQ67" s="161">
        <f>SUM(TKO67:TKP67)</f>
        <v>8875</v>
      </c>
      <c r="TKR67" s="154" t="s">
        <v>106</v>
      </c>
      <c r="TKS67" s="155">
        <v>45845</v>
      </c>
      <c r="TKT67" s="150" t="s">
        <v>60</v>
      </c>
      <c r="TKU67" s="210"/>
      <c r="TKV67" s="156" t="s">
        <v>132</v>
      </c>
      <c r="TKW67" s="208"/>
      <c r="TKX67" s="209"/>
      <c r="TKY67" s="150" t="s">
        <v>24</v>
      </c>
      <c r="TKZ67" s="151">
        <v>8150</v>
      </c>
      <c r="TLA67" s="159">
        <v>85</v>
      </c>
      <c r="TLB67" s="160">
        <v>215</v>
      </c>
      <c r="TLC67" s="160">
        <v>75</v>
      </c>
      <c r="TLD67" s="159">
        <v>150</v>
      </c>
      <c r="TLE67" s="161">
        <f>SUM(TKZ67:TLD67)</f>
        <v>8675</v>
      </c>
      <c r="TLF67" s="159">
        <v>200</v>
      </c>
      <c r="TLG67" s="161">
        <f>SUM(TLE67:TLF67)</f>
        <v>8875</v>
      </c>
      <c r="TLH67" s="154" t="s">
        <v>106</v>
      </c>
      <c r="TLI67" s="155">
        <v>45845</v>
      </c>
      <c r="TLJ67" s="150" t="s">
        <v>60</v>
      </c>
      <c r="TLK67" s="210"/>
      <c r="TLL67" s="156" t="s">
        <v>132</v>
      </c>
      <c r="TLM67" s="208"/>
      <c r="TLN67" s="209"/>
      <c r="TLO67" s="150" t="s">
        <v>24</v>
      </c>
      <c r="TLP67" s="151">
        <v>8150</v>
      </c>
      <c r="TLQ67" s="159">
        <v>85</v>
      </c>
      <c r="TLR67" s="160">
        <v>215</v>
      </c>
      <c r="TLS67" s="160">
        <v>75</v>
      </c>
      <c r="TLT67" s="159">
        <v>150</v>
      </c>
      <c r="TLU67" s="161">
        <f>SUM(TLP67:TLT67)</f>
        <v>8675</v>
      </c>
      <c r="TLV67" s="159">
        <v>200</v>
      </c>
      <c r="TLW67" s="161">
        <f>SUM(TLU67:TLV67)</f>
        <v>8875</v>
      </c>
      <c r="TLX67" s="154" t="s">
        <v>106</v>
      </c>
      <c r="TLY67" s="155">
        <v>45845</v>
      </c>
      <c r="TLZ67" s="150" t="s">
        <v>60</v>
      </c>
      <c r="TMA67" s="210"/>
      <c r="TMB67" s="156" t="s">
        <v>132</v>
      </c>
      <c r="TMC67" s="208"/>
      <c r="TMD67" s="209"/>
      <c r="TME67" s="150" t="s">
        <v>24</v>
      </c>
      <c r="TMF67" s="151">
        <v>8150</v>
      </c>
      <c r="TMG67" s="159">
        <v>85</v>
      </c>
      <c r="TMH67" s="160">
        <v>215</v>
      </c>
      <c r="TMI67" s="160">
        <v>75</v>
      </c>
      <c r="TMJ67" s="159">
        <v>150</v>
      </c>
      <c r="TMK67" s="161">
        <f>SUM(TMF67:TMJ67)</f>
        <v>8675</v>
      </c>
      <c r="TML67" s="159">
        <v>200</v>
      </c>
      <c r="TMM67" s="161">
        <f>SUM(TMK67:TML67)</f>
        <v>8875</v>
      </c>
      <c r="TMN67" s="154" t="s">
        <v>106</v>
      </c>
      <c r="TMO67" s="155">
        <v>45845</v>
      </c>
      <c r="TMP67" s="150" t="s">
        <v>60</v>
      </c>
      <c r="TMQ67" s="210"/>
      <c r="TMR67" s="156" t="s">
        <v>132</v>
      </c>
      <c r="TMS67" s="208"/>
      <c r="TMT67" s="209"/>
      <c r="TMU67" s="150" t="s">
        <v>24</v>
      </c>
      <c r="TMV67" s="151">
        <v>8150</v>
      </c>
      <c r="TMW67" s="159">
        <v>85</v>
      </c>
      <c r="TMX67" s="160">
        <v>215</v>
      </c>
      <c r="TMY67" s="160">
        <v>75</v>
      </c>
      <c r="TMZ67" s="159">
        <v>150</v>
      </c>
      <c r="TNA67" s="161">
        <f>SUM(TMV67:TMZ67)</f>
        <v>8675</v>
      </c>
      <c r="TNB67" s="159">
        <v>200</v>
      </c>
      <c r="TNC67" s="161">
        <f>SUM(TNA67:TNB67)</f>
        <v>8875</v>
      </c>
      <c r="TND67" s="154" t="s">
        <v>106</v>
      </c>
      <c r="TNE67" s="155">
        <v>45845</v>
      </c>
      <c r="TNF67" s="150" t="s">
        <v>60</v>
      </c>
      <c r="TNG67" s="210"/>
      <c r="TNH67" s="156" t="s">
        <v>132</v>
      </c>
      <c r="TNI67" s="208"/>
      <c r="TNJ67" s="209"/>
      <c r="TNK67" s="150" t="s">
        <v>24</v>
      </c>
      <c r="TNL67" s="151">
        <v>8150</v>
      </c>
      <c r="TNM67" s="159">
        <v>85</v>
      </c>
      <c r="TNN67" s="160">
        <v>215</v>
      </c>
      <c r="TNO67" s="160">
        <v>75</v>
      </c>
      <c r="TNP67" s="159">
        <v>150</v>
      </c>
      <c r="TNQ67" s="161">
        <f>SUM(TNL67:TNP67)</f>
        <v>8675</v>
      </c>
      <c r="TNR67" s="159">
        <v>200</v>
      </c>
      <c r="TNS67" s="161">
        <f>SUM(TNQ67:TNR67)</f>
        <v>8875</v>
      </c>
      <c r="TNT67" s="154" t="s">
        <v>106</v>
      </c>
      <c r="TNU67" s="155">
        <v>45845</v>
      </c>
      <c r="TNV67" s="150" t="s">
        <v>60</v>
      </c>
      <c r="TNW67" s="210"/>
      <c r="TNX67" s="156" t="s">
        <v>132</v>
      </c>
      <c r="TNY67" s="208"/>
      <c r="TNZ67" s="209"/>
      <c r="TOA67" s="150" t="s">
        <v>24</v>
      </c>
      <c r="TOB67" s="151">
        <v>8150</v>
      </c>
      <c r="TOC67" s="159">
        <v>85</v>
      </c>
      <c r="TOD67" s="160">
        <v>215</v>
      </c>
      <c r="TOE67" s="160">
        <v>75</v>
      </c>
      <c r="TOF67" s="159">
        <v>150</v>
      </c>
      <c r="TOG67" s="161">
        <f>SUM(TOB67:TOF67)</f>
        <v>8675</v>
      </c>
      <c r="TOH67" s="159">
        <v>200</v>
      </c>
      <c r="TOI67" s="161">
        <f>SUM(TOG67:TOH67)</f>
        <v>8875</v>
      </c>
      <c r="TOJ67" s="154" t="s">
        <v>106</v>
      </c>
      <c r="TOK67" s="155">
        <v>45845</v>
      </c>
      <c r="TOL67" s="150" t="s">
        <v>60</v>
      </c>
      <c r="TOM67" s="210"/>
      <c r="TON67" s="156" t="s">
        <v>132</v>
      </c>
      <c r="TOO67" s="208"/>
      <c r="TOP67" s="209"/>
      <c r="TOQ67" s="150" t="s">
        <v>24</v>
      </c>
      <c r="TOR67" s="151">
        <v>8150</v>
      </c>
      <c r="TOS67" s="159">
        <v>85</v>
      </c>
      <c r="TOT67" s="160">
        <v>215</v>
      </c>
      <c r="TOU67" s="160">
        <v>75</v>
      </c>
      <c r="TOV67" s="159">
        <v>150</v>
      </c>
      <c r="TOW67" s="161">
        <f>SUM(TOR67:TOV67)</f>
        <v>8675</v>
      </c>
      <c r="TOX67" s="159">
        <v>200</v>
      </c>
      <c r="TOY67" s="161">
        <f>SUM(TOW67:TOX67)</f>
        <v>8875</v>
      </c>
      <c r="TOZ67" s="154" t="s">
        <v>106</v>
      </c>
      <c r="TPA67" s="155">
        <v>45845</v>
      </c>
      <c r="TPB67" s="150" t="s">
        <v>60</v>
      </c>
      <c r="TPC67" s="210"/>
      <c r="TPD67" s="156" t="s">
        <v>132</v>
      </c>
      <c r="TPE67" s="208"/>
      <c r="TPF67" s="209"/>
      <c r="TPG67" s="150" t="s">
        <v>24</v>
      </c>
      <c r="TPH67" s="151">
        <v>8150</v>
      </c>
      <c r="TPI67" s="159">
        <v>85</v>
      </c>
      <c r="TPJ67" s="160">
        <v>215</v>
      </c>
      <c r="TPK67" s="160">
        <v>75</v>
      </c>
      <c r="TPL67" s="159">
        <v>150</v>
      </c>
      <c r="TPM67" s="161">
        <f>SUM(TPH67:TPL67)</f>
        <v>8675</v>
      </c>
      <c r="TPN67" s="159">
        <v>200</v>
      </c>
      <c r="TPO67" s="161">
        <f>SUM(TPM67:TPN67)</f>
        <v>8875</v>
      </c>
      <c r="TPP67" s="154" t="s">
        <v>106</v>
      </c>
      <c r="TPQ67" s="155">
        <v>45845</v>
      </c>
      <c r="TPR67" s="150" t="s">
        <v>60</v>
      </c>
      <c r="TPS67" s="210"/>
      <c r="TPT67" s="156" t="s">
        <v>132</v>
      </c>
      <c r="TPU67" s="208"/>
      <c r="TPV67" s="209"/>
      <c r="TPW67" s="150" t="s">
        <v>24</v>
      </c>
      <c r="TPX67" s="151">
        <v>8150</v>
      </c>
      <c r="TPY67" s="159">
        <v>85</v>
      </c>
      <c r="TPZ67" s="160">
        <v>215</v>
      </c>
      <c r="TQA67" s="160">
        <v>75</v>
      </c>
      <c r="TQB67" s="159">
        <v>150</v>
      </c>
      <c r="TQC67" s="161">
        <f>SUM(TPX67:TQB67)</f>
        <v>8675</v>
      </c>
      <c r="TQD67" s="159">
        <v>200</v>
      </c>
      <c r="TQE67" s="161">
        <f>SUM(TQC67:TQD67)</f>
        <v>8875</v>
      </c>
      <c r="TQF67" s="154" t="s">
        <v>106</v>
      </c>
      <c r="TQG67" s="155">
        <v>45845</v>
      </c>
      <c r="TQH67" s="150" t="s">
        <v>60</v>
      </c>
      <c r="TQI67" s="210"/>
      <c r="TQJ67" s="156" t="s">
        <v>132</v>
      </c>
      <c r="TQK67" s="208"/>
      <c r="TQL67" s="209"/>
      <c r="TQM67" s="150" t="s">
        <v>24</v>
      </c>
      <c r="TQN67" s="151">
        <v>8150</v>
      </c>
      <c r="TQO67" s="159">
        <v>85</v>
      </c>
      <c r="TQP67" s="160">
        <v>215</v>
      </c>
      <c r="TQQ67" s="160">
        <v>75</v>
      </c>
      <c r="TQR67" s="159">
        <v>150</v>
      </c>
      <c r="TQS67" s="161">
        <f>SUM(TQN67:TQR67)</f>
        <v>8675</v>
      </c>
      <c r="TQT67" s="159">
        <v>200</v>
      </c>
      <c r="TQU67" s="161">
        <f>SUM(TQS67:TQT67)</f>
        <v>8875</v>
      </c>
      <c r="TQV67" s="154" t="s">
        <v>106</v>
      </c>
      <c r="TQW67" s="155">
        <v>45845</v>
      </c>
      <c r="TQX67" s="150" t="s">
        <v>60</v>
      </c>
      <c r="TQY67" s="210"/>
      <c r="TQZ67" s="156" t="s">
        <v>132</v>
      </c>
      <c r="TRA67" s="208"/>
      <c r="TRB67" s="209"/>
      <c r="TRC67" s="150" t="s">
        <v>24</v>
      </c>
      <c r="TRD67" s="151">
        <v>8150</v>
      </c>
      <c r="TRE67" s="159">
        <v>85</v>
      </c>
      <c r="TRF67" s="160">
        <v>215</v>
      </c>
      <c r="TRG67" s="160">
        <v>75</v>
      </c>
      <c r="TRH67" s="159">
        <v>150</v>
      </c>
      <c r="TRI67" s="161">
        <f>SUM(TRD67:TRH67)</f>
        <v>8675</v>
      </c>
      <c r="TRJ67" s="159">
        <v>200</v>
      </c>
      <c r="TRK67" s="161">
        <f>SUM(TRI67:TRJ67)</f>
        <v>8875</v>
      </c>
      <c r="TRL67" s="154" t="s">
        <v>106</v>
      </c>
      <c r="TRM67" s="155">
        <v>45845</v>
      </c>
      <c r="TRN67" s="150" t="s">
        <v>60</v>
      </c>
      <c r="TRO67" s="210"/>
      <c r="TRP67" s="156" t="s">
        <v>132</v>
      </c>
      <c r="TRQ67" s="208"/>
      <c r="TRR67" s="209"/>
      <c r="TRS67" s="150" t="s">
        <v>24</v>
      </c>
      <c r="TRT67" s="151">
        <v>8150</v>
      </c>
      <c r="TRU67" s="159">
        <v>85</v>
      </c>
      <c r="TRV67" s="160">
        <v>215</v>
      </c>
      <c r="TRW67" s="160">
        <v>75</v>
      </c>
      <c r="TRX67" s="159">
        <v>150</v>
      </c>
      <c r="TRY67" s="161">
        <f>SUM(TRT67:TRX67)</f>
        <v>8675</v>
      </c>
      <c r="TRZ67" s="159">
        <v>200</v>
      </c>
      <c r="TSA67" s="161">
        <f>SUM(TRY67:TRZ67)</f>
        <v>8875</v>
      </c>
      <c r="TSB67" s="154" t="s">
        <v>106</v>
      </c>
      <c r="TSC67" s="155">
        <v>45845</v>
      </c>
      <c r="TSD67" s="150" t="s">
        <v>60</v>
      </c>
      <c r="TSE67" s="210"/>
      <c r="TSF67" s="156" t="s">
        <v>132</v>
      </c>
      <c r="TSG67" s="208"/>
      <c r="TSH67" s="209"/>
      <c r="TSI67" s="150" t="s">
        <v>24</v>
      </c>
      <c r="TSJ67" s="151">
        <v>8150</v>
      </c>
      <c r="TSK67" s="159">
        <v>85</v>
      </c>
      <c r="TSL67" s="160">
        <v>215</v>
      </c>
      <c r="TSM67" s="160">
        <v>75</v>
      </c>
      <c r="TSN67" s="159">
        <v>150</v>
      </c>
      <c r="TSO67" s="161">
        <f>SUM(TSJ67:TSN67)</f>
        <v>8675</v>
      </c>
      <c r="TSP67" s="159">
        <v>200</v>
      </c>
      <c r="TSQ67" s="161">
        <f>SUM(TSO67:TSP67)</f>
        <v>8875</v>
      </c>
      <c r="TSR67" s="154" t="s">
        <v>106</v>
      </c>
      <c r="TSS67" s="155">
        <v>45845</v>
      </c>
      <c r="TST67" s="150" t="s">
        <v>60</v>
      </c>
      <c r="TSU67" s="210"/>
      <c r="TSV67" s="156" t="s">
        <v>132</v>
      </c>
      <c r="TSW67" s="208"/>
      <c r="TSX67" s="209"/>
      <c r="TSY67" s="150" t="s">
        <v>24</v>
      </c>
      <c r="TSZ67" s="151">
        <v>8150</v>
      </c>
      <c r="TTA67" s="159">
        <v>85</v>
      </c>
      <c r="TTB67" s="160">
        <v>215</v>
      </c>
      <c r="TTC67" s="160">
        <v>75</v>
      </c>
      <c r="TTD67" s="159">
        <v>150</v>
      </c>
      <c r="TTE67" s="161">
        <f>SUM(TSZ67:TTD67)</f>
        <v>8675</v>
      </c>
      <c r="TTF67" s="159">
        <v>200</v>
      </c>
      <c r="TTG67" s="161">
        <f>SUM(TTE67:TTF67)</f>
        <v>8875</v>
      </c>
      <c r="TTH67" s="154" t="s">
        <v>106</v>
      </c>
      <c r="TTI67" s="155">
        <v>45845</v>
      </c>
      <c r="TTJ67" s="150" t="s">
        <v>60</v>
      </c>
      <c r="TTK67" s="210"/>
      <c r="TTL67" s="156" t="s">
        <v>132</v>
      </c>
      <c r="TTM67" s="208"/>
      <c r="TTN67" s="209"/>
      <c r="TTO67" s="150" t="s">
        <v>24</v>
      </c>
      <c r="TTP67" s="151">
        <v>8150</v>
      </c>
      <c r="TTQ67" s="159">
        <v>85</v>
      </c>
      <c r="TTR67" s="160">
        <v>215</v>
      </c>
      <c r="TTS67" s="160">
        <v>75</v>
      </c>
      <c r="TTT67" s="159">
        <v>150</v>
      </c>
      <c r="TTU67" s="161">
        <f>SUM(TTP67:TTT67)</f>
        <v>8675</v>
      </c>
      <c r="TTV67" s="159">
        <v>200</v>
      </c>
      <c r="TTW67" s="161">
        <f>SUM(TTU67:TTV67)</f>
        <v>8875</v>
      </c>
      <c r="TTX67" s="154" t="s">
        <v>106</v>
      </c>
      <c r="TTY67" s="155">
        <v>45845</v>
      </c>
      <c r="TTZ67" s="150" t="s">
        <v>60</v>
      </c>
      <c r="TUA67" s="210"/>
      <c r="TUB67" s="156" t="s">
        <v>132</v>
      </c>
      <c r="TUC67" s="208"/>
      <c r="TUD67" s="209"/>
      <c r="TUE67" s="150" t="s">
        <v>24</v>
      </c>
      <c r="TUF67" s="151">
        <v>8150</v>
      </c>
      <c r="TUG67" s="159">
        <v>85</v>
      </c>
      <c r="TUH67" s="160">
        <v>215</v>
      </c>
      <c r="TUI67" s="160">
        <v>75</v>
      </c>
      <c r="TUJ67" s="159">
        <v>150</v>
      </c>
      <c r="TUK67" s="161">
        <f>SUM(TUF67:TUJ67)</f>
        <v>8675</v>
      </c>
      <c r="TUL67" s="159">
        <v>200</v>
      </c>
      <c r="TUM67" s="161">
        <f>SUM(TUK67:TUL67)</f>
        <v>8875</v>
      </c>
      <c r="TUN67" s="154" t="s">
        <v>106</v>
      </c>
      <c r="TUO67" s="155">
        <v>45845</v>
      </c>
      <c r="TUP67" s="150" t="s">
        <v>60</v>
      </c>
      <c r="TUQ67" s="210"/>
      <c r="TUR67" s="156" t="s">
        <v>132</v>
      </c>
      <c r="TUS67" s="208"/>
      <c r="TUT67" s="209"/>
      <c r="TUU67" s="150" t="s">
        <v>24</v>
      </c>
      <c r="TUV67" s="151">
        <v>8150</v>
      </c>
      <c r="TUW67" s="159">
        <v>85</v>
      </c>
      <c r="TUX67" s="160">
        <v>215</v>
      </c>
      <c r="TUY67" s="160">
        <v>75</v>
      </c>
      <c r="TUZ67" s="159">
        <v>150</v>
      </c>
      <c r="TVA67" s="161">
        <f>SUM(TUV67:TUZ67)</f>
        <v>8675</v>
      </c>
      <c r="TVB67" s="159">
        <v>200</v>
      </c>
      <c r="TVC67" s="161">
        <f>SUM(TVA67:TVB67)</f>
        <v>8875</v>
      </c>
      <c r="TVD67" s="154" t="s">
        <v>106</v>
      </c>
      <c r="TVE67" s="155">
        <v>45845</v>
      </c>
      <c r="TVF67" s="150" t="s">
        <v>60</v>
      </c>
      <c r="TVG67" s="210"/>
      <c r="TVH67" s="156" t="s">
        <v>132</v>
      </c>
      <c r="TVI67" s="208"/>
      <c r="TVJ67" s="209"/>
      <c r="TVK67" s="150" t="s">
        <v>24</v>
      </c>
      <c r="TVL67" s="151">
        <v>8150</v>
      </c>
      <c r="TVM67" s="159">
        <v>85</v>
      </c>
      <c r="TVN67" s="160">
        <v>215</v>
      </c>
      <c r="TVO67" s="160">
        <v>75</v>
      </c>
      <c r="TVP67" s="159">
        <v>150</v>
      </c>
      <c r="TVQ67" s="161">
        <f>SUM(TVL67:TVP67)</f>
        <v>8675</v>
      </c>
      <c r="TVR67" s="159">
        <v>200</v>
      </c>
      <c r="TVS67" s="161">
        <f>SUM(TVQ67:TVR67)</f>
        <v>8875</v>
      </c>
      <c r="TVT67" s="154" t="s">
        <v>106</v>
      </c>
      <c r="TVU67" s="155">
        <v>45845</v>
      </c>
      <c r="TVV67" s="150" t="s">
        <v>60</v>
      </c>
      <c r="TVW67" s="210"/>
      <c r="TVX67" s="156" t="s">
        <v>132</v>
      </c>
      <c r="TVY67" s="208"/>
      <c r="TVZ67" s="209"/>
      <c r="TWA67" s="150" t="s">
        <v>24</v>
      </c>
      <c r="TWB67" s="151">
        <v>8150</v>
      </c>
      <c r="TWC67" s="159">
        <v>85</v>
      </c>
      <c r="TWD67" s="160">
        <v>215</v>
      </c>
      <c r="TWE67" s="160">
        <v>75</v>
      </c>
      <c r="TWF67" s="159">
        <v>150</v>
      </c>
      <c r="TWG67" s="161">
        <f>SUM(TWB67:TWF67)</f>
        <v>8675</v>
      </c>
      <c r="TWH67" s="159">
        <v>200</v>
      </c>
      <c r="TWI67" s="161">
        <f>SUM(TWG67:TWH67)</f>
        <v>8875</v>
      </c>
      <c r="TWJ67" s="154" t="s">
        <v>106</v>
      </c>
      <c r="TWK67" s="155">
        <v>45845</v>
      </c>
      <c r="TWL67" s="150" t="s">
        <v>60</v>
      </c>
      <c r="TWM67" s="210"/>
      <c r="TWN67" s="156" t="s">
        <v>132</v>
      </c>
      <c r="TWO67" s="208"/>
      <c r="TWP67" s="209"/>
      <c r="TWQ67" s="150" t="s">
        <v>24</v>
      </c>
      <c r="TWR67" s="151">
        <v>8150</v>
      </c>
      <c r="TWS67" s="159">
        <v>85</v>
      </c>
      <c r="TWT67" s="160">
        <v>215</v>
      </c>
      <c r="TWU67" s="160">
        <v>75</v>
      </c>
      <c r="TWV67" s="159">
        <v>150</v>
      </c>
      <c r="TWW67" s="161">
        <f>SUM(TWR67:TWV67)</f>
        <v>8675</v>
      </c>
      <c r="TWX67" s="159">
        <v>200</v>
      </c>
      <c r="TWY67" s="161">
        <f>SUM(TWW67:TWX67)</f>
        <v>8875</v>
      </c>
      <c r="TWZ67" s="154" t="s">
        <v>106</v>
      </c>
      <c r="TXA67" s="155">
        <v>45845</v>
      </c>
      <c r="TXB67" s="150" t="s">
        <v>60</v>
      </c>
      <c r="TXC67" s="210"/>
      <c r="TXD67" s="156" t="s">
        <v>132</v>
      </c>
      <c r="TXE67" s="208"/>
      <c r="TXF67" s="209"/>
      <c r="TXG67" s="150" t="s">
        <v>24</v>
      </c>
      <c r="TXH67" s="151">
        <v>8150</v>
      </c>
      <c r="TXI67" s="159">
        <v>85</v>
      </c>
      <c r="TXJ67" s="160">
        <v>215</v>
      </c>
      <c r="TXK67" s="160">
        <v>75</v>
      </c>
      <c r="TXL67" s="159">
        <v>150</v>
      </c>
      <c r="TXM67" s="161">
        <f>SUM(TXH67:TXL67)</f>
        <v>8675</v>
      </c>
      <c r="TXN67" s="159">
        <v>200</v>
      </c>
      <c r="TXO67" s="161">
        <f>SUM(TXM67:TXN67)</f>
        <v>8875</v>
      </c>
      <c r="TXP67" s="154" t="s">
        <v>106</v>
      </c>
      <c r="TXQ67" s="155">
        <v>45845</v>
      </c>
      <c r="TXR67" s="150" t="s">
        <v>60</v>
      </c>
      <c r="TXS67" s="210"/>
      <c r="TXT67" s="156" t="s">
        <v>132</v>
      </c>
      <c r="TXU67" s="208"/>
      <c r="TXV67" s="209"/>
      <c r="TXW67" s="150" t="s">
        <v>24</v>
      </c>
      <c r="TXX67" s="151">
        <v>8150</v>
      </c>
      <c r="TXY67" s="159">
        <v>85</v>
      </c>
      <c r="TXZ67" s="160">
        <v>215</v>
      </c>
      <c r="TYA67" s="160">
        <v>75</v>
      </c>
      <c r="TYB67" s="159">
        <v>150</v>
      </c>
      <c r="TYC67" s="161">
        <f>SUM(TXX67:TYB67)</f>
        <v>8675</v>
      </c>
      <c r="TYD67" s="159">
        <v>200</v>
      </c>
      <c r="TYE67" s="161">
        <f>SUM(TYC67:TYD67)</f>
        <v>8875</v>
      </c>
      <c r="TYF67" s="154" t="s">
        <v>106</v>
      </c>
      <c r="TYG67" s="155">
        <v>45845</v>
      </c>
      <c r="TYH67" s="150" t="s">
        <v>60</v>
      </c>
      <c r="TYI67" s="210"/>
      <c r="TYJ67" s="156" t="s">
        <v>132</v>
      </c>
      <c r="TYK67" s="208"/>
      <c r="TYL67" s="209"/>
      <c r="TYM67" s="150" t="s">
        <v>24</v>
      </c>
      <c r="TYN67" s="151">
        <v>8150</v>
      </c>
      <c r="TYO67" s="159">
        <v>85</v>
      </c>
      <c r="TYP67" s="160">
        <v>215</v>
      </c>
      <c r="TYQ67" s="160">
        <v>75</v>
      </c>
      <c r="TYR67" s="159">
        <v>150</v>
      </c>
      <c r="TYS67" s="161">
        <f>SUM(TYN67:TYR67)</f>
        <v>8675</v>
      </c>
      <c r="TYT67" s="159">
        <v>200</v>
      </c>
      <c r="TYU67" s="161">
        <f>SUM(TYS67:TYT67)</f>
        <v>8875</v>
      </c>
      <c r="TYV67" s="154" t="s">
        <v>106</v>
      </c>
      <c r="TYW67" s="155">
        <v>45845</v>
      </c>
      <c r="TYX67" s="150" t="s">
        <v>60</v>
      </c>
      <c r="TYY67" s="210"/>
      <c r="TYZ67" s="156" t="s">
        <v>132</v>
      </c>
      <c r="TZA67" s="208"/>
      <c r="TZB67" s="209"/>
      <c r="TZC67" s="150" t="s">
        <v>24</v>
      </c>
      <c r="TZD67" s="151">
        <v>8150</v>
      </c>
      <c r="TZE67" s="159">
        <v>85</v>
      </c>
      <c r="TZF67" s="160">
        <v>215</v>
      </c>
      <c r="TZG67" s="160">
        <v>75</v>
      </c>
      <c r="TZH67" s="159">
        <v>150</v>
      </c>
      <c r="TZI67" s="161">
        <f>SUM(TZD67:TZH67)</f>
        <v>8675</v>
      </c>
      <c r="TZJ67" s="159">
        <v>200</v>
      </c>
      <c r="TZK67" s="161">
        <f>SUM(TZI67:TZJ67)</f>
        <v>8875</v>
      </c>
      <c r="TZL67" s="154" t="s">
        <v>106</v>
      </c>
      <c r="TZM67" s="155">
        <v>45845</v>
      </c>
      <c r="TZN67" s="150" t="s">
        <v>60</v>
      </c>
      <c r="TZO67" s="210"/>
      <c r="TZP67" s="156" t="s">
        <v>132</v>
      </c>
      <c r="TZQ67" s="208"/>
      <c r="TZR67" s="209"/>
      <c r="TZS67" s="150" t="s">
        <v>24</v>
      </c>
      <c r="TZT67" s="151">
        <v>8150</v>
      </c>
      <c r="TZU67" s="159">
        <v>85</v>
      </c>
      <c r="TZV67" s="160">
        <v>215</v>
      </c>
      <c r="TZW67" s="160">
        <v>75</v>
      </c>
      <c r="TZX67" s="159">
        <v>150</v>
      </c>
      <c r="TZY67" s="161">
        <f>SUM(TZT67:TZX67)</f>
        <v>8675</v>
      </c>
      <c r="TZZ67" s="159">
        <v>200</v>
      </c>
      <c r="UAA67" s="161">
        <f>SUM(TZY67:TZZ67)</f>
        <v>8875</v>
      </c>
      <c r="UAB67" s="154" t="s">
        <v>106</v>
      </c>
      <c r="UAC67" s="155">
        <v>45845</v>
      </c>
      <c r="UAD67" s="150" t="s">
        <v>60</v>
      </c>
      <c r="UAE67" s="210"/>
      <c r="UAF67" s="156" t="s">
        <v>132</v>
      </c>
      <c r="UAG67" s="208"/>
      <c r="UAH67" s="209"/>
      <c r="UAI67" s="150" t="s">
        <v>24</v>
      </c>
      <c r="UAJ67" s="151">
        <v>8150</v>
      </c>
      <c r="UAK67" s="159">
        <v>85</v>
      </c>
      <c r="UAL67" s="160">
        <v>215</v>
      </c>
      <c r="UAM67" s="160">
        <v>75</v>
      </c>
      <c r="UAN67" s="159">
        <v>150</v>
      </c>
      <c r="UAO67" s="161">
        <f>SUM(UAJ67:UAN67)</f>
        <v>8675</v>
      </c>
      <c r="UAP67" s="159">
        <v>200</v>
      </c>
      <c r="UAQ67" s="161">
        <f>SUM(UAO67:UAP67)</f>
        <v>8875</v>
      </c>
      <c r="UAR67" s="154" t="s">
        <v>106</v>
      </c>
      <c r="UAS67" s="155">
        <v>45845</v>
      </c>
      <c r="UAT67" s="150" t="s">
        <v>60</v>
      </c>
      <c r="UAU67" s="210"/>
      <c r="UAV67" s="156" t="s">
        <v>132</v>
      </c>
      <c r="UAW67" s="208"/>
      <c r="UAX67" s="209"/>
      <c r="UAY67" s="150" t="s">
        <v>24</v>
      </c>
      <c r="UAZ67" s="151">
        <v>8150</v>
      </c>
      <c r="UBA67" s="159">
        <v>85</v>
      </c>
      <c r="UBB67" s="160">
        <v>215</v>
      </c>
      <c r="UBC67" s="160">
        <v>75</v>
      </c>
      <c r="UBD67" s="159">
        <v>150</v>
      </c>
      <c r="UBE67" s="161">
        <f>SUM(UAZ67:UBD67)</f>
        <v>8675</v>
      </c>
      <c r="UBF67" s="159">
        <v>200</v>
      </c>
      <c r="UBG67" s="161">
        <f>SUM(UBE67:UBF67)</f>
        <v>8875</v>
      </c>
      <c r="UBH67" s="154" t="s">
        <v>106</v>
      </c>
      <c r="UBI67" s="155">
        <v>45845</v>
      </c>
      <c r="UBJ67" s="150" t="s">
        <v>60</v>
      </c>
      <c r="UBK67" s="210"/>
      <c r="UBL67" s="156" t="s">
        <v>132</v>
      </c>
      <c r="UBM67" s="208"/>
      <c r="UBN67" s="209"/>
      <c r="UBO67" s="150" t="s">
        <v>24</v>
      </c>
      <c r="UBP67" s="151">
        <v>8150</v>
      </c>
      <c r="UBQ67" s="159">
        <v>85</v>
      </c>
      <c r="UBR67" s="160">
        <v>215</v>
      </c>
      <c r="UBS67" s="160">
        <v>75</v>
      </c>
      <c r="UBT67" s="159">
        <v>150</v>
      </c>
      <c r="UBU67" s="161">
        <f>SUM(UBP67:UBT67)</f>
        <v>8675</v>
      </c>
      <c r="UBV67" s="159">
        <v>200</v>
      </c>
      <c r="UBW67" s="161">
        <f>SUM(UBU67:UBV67)</f>
        <v>8875</v>
      </c>
      <c r="UBX67" s="154" t="s">
        <v>106</v>
      </c>
      <c r="UBY67" s="155">
        <v>45845</v>
      </c>
      <c r="UBZ67" s="150" t="s">
        <v>60</v>
      </c>
      <c r="UCA67" s="210"/>
      <c r="UCB67" s="156" t="s">
        <v>132</v>
      </c>
      <c r="UCC67" s="208"/>
      <c r="UCD67" s="209"/>
      <c r="UCE67" s="150" t="s">
        <v>24</v>
      </c>
      <c r="UCF67" s="151">
        <v>8150</v>
      </c>
      <c r="UCG67" s="159">
        <v>85</v>
      </c>
      <c r="UCH67" s="160">
        <v>215</v>
      </c>
      <c r="UCI67" s="160">
        <v>75</v>
      </c>
      <c r="UCJ67" s="159">
        <v>150</v>
      </c>
      <c r="UCK67" s="161">
        <f>SUM(UCF67:UCJ67)</f>
        <v>8675</v>
      </c>
      <c r="UCL67" s="159">
        <v>200</v>
      </c>
      <c r="UCM67" s="161">
        <f>SUM(UCK67:UCL67)</f>
        <v>8875</v>
      </c>
      <c r="UCN67" s="154" t="s">
        <v>106</v>
      </c>
      <c r="UCO67" s="155">
        <v>45845</v>
      </c>
      <c r="UCP67" s="150" t="s">
        <v>60</v>
      </c>
      <c r="UCQ67" s="210"/>
      <c r="UCR67" s="156" t="s">
        <v>132</v>
      </c>
      <c r="UCS67" s="208"/>
      <c r="UCT67" s="209"/>
      <c r="UCU67" s="150" t="s">
        <v>24</v>
      </c>
      <c r="UCV67" s="151">
        <v>8150</v>
      </c>
      <c r="UCW67" s="159">
        <v>85</v>
      </c>
      <c r="UCX67" s="160">
        <v>215</v>
      </c>
      <c r="UCY67" s="160">
        <v>75</v>
      </c>
      <c r="UCZ67" s="159">
        <v>150</v>
      </c>
      <c r="UDA67" s="161">
        <f>SUM(UCV67:UCZ67)</f>
        <v>8675</v>
      </c>
      <c r="UDB67" s="159">
        <v>200</v>
      </c>
      <c r="UDC67" s="161">
        <f>SUM(UDA67:UDB67)</f>
        <v>8875</v>
      </c>
      <c r="UDD67" s="154" t="s">
        <v>106</v>
      </c>
      <c r="UDE67" s="155">
        <v>45845</v>
      </c>
      <c r="UDF67" s="150" t="s">
        <v>60</v>
      </c>
      <c r="UDG67" s="210"/>
      <c r="UDH67" s="156" t="s">
        <v>132</v>
      </c>
      <c r="UDI67" s="208"/>
      <c r="UDJ67" s="209"/>
      <c r="UDK67" s="150" t="s">
        <v>24</v>
      </c>
      <c r="UDL67" s="151">
        <v>8150</v>
      </c>
      <c r="UDM67" s="159">
        <v>85</v>
      </c>
      <c r="UDN67" s="160">
        <v>215</v>
      </c>
      <c r="UDO67" s="160">
        <v>75</v>
      </c>
      <c r="UDP67" s="159">
        <v>150</v>
      </c>
      <c r="UDQ67" s="161">
        <f>SUM(UDL67:UDP67)</f>
        <v>8675</v>
      </c>
      <c r="UDR67" s="159">
        <v>200</v>
      </c>
      <c r="UDS67" s="161">
        <f>SUM(UDQ67:UDR67)</f>
        <v>8875</v>
      </c>
      <c r="UDT67" s="154" t="s">
        <v>106</v>
      </c>
      <c r="UDU67" s="155">
        <v>45845</v>
      </c>
      <c r="UDV67" s="150" t="s">
        <v>60</v>
      </c>
      <c r="UDW67" s="210"/>
      <c r="UDX67" s="156" t="s">
        <v>132</v>
      </c>
      <c r="UDY67" s="208"/>
      <c r="UDZ67" s="209"/>
      <c r="UEA67" s="150" t="s">
        <v>24</v>
      </c>
      <c r="UEB67" s="151">
        <v>8150</v>
      </c>
      <c r="UEC67" s="159">
        <v>85</v>
      </c>
      <c r="UED67" s="160">
        <v>215</v>
      </c>
      <c r="UEE67" s="160">
        <v>75</v>
      </c>
      <c r="UEF67" s="159">
        <v>150</v>
      </c>
      <c r="UEG67" s="161">
        <f>SUM(UEB67:UEF67)</f>
        <v>8675</v>
      </c>
      <c r="UEH67" s="159">
        <v>200</v>
      </c>
      <c r="UEI67" s="161">
        <f>SUM(UEG67:UEH67)</f>
        <v>8875</v>
      </c>
      <c r="UEJ67" s="154" t="s">
        <v>106</v>
      </c>
      <c r="UEK67" s="155">
        <v>45845</v>
      </c>
      <c r="UEL67" s="150" t="s">
        <v>60</v>
      </c>
      <c r="UEM67" s="210"/>
      <c r="UEN67" s="156" t="s">
        <v>132</v>
      </c>
      <c r="UEO67" s="208"/>
      <c r="UEP67" s="209"/>
      <c r="UEQ67" s="150" t="s">
        <v>24</v>
      </c>
      <c r="UER67" s="151">
        <v>8150</v>
      </c>
      <c r="UES67" s="159">
        <v>85</v>
      </c>
      <c r="UET67" s="160">
        <v>215</v>
      </c>
      <c r="UEU67" s="160">
        <v>75</v>
      </c>
      <c r="UEV67" s="159">
        <v>150</v>
      </c>
      <c r="UEW67" s="161">
        <f>SUM(UER67:UEV67)</f>
        <v>8675</v>
      </c>
      <c r="UEX67" s="159">
        <v>200</v>
      </c>
      <c r="UEY67" s="161">
        <f>SUM(UEW67:UEX67)</f>
        <v>8875</v>
      </c>
      <c r="UEZ67" s="154" t="s">
        <v>106</v>
      </c>
      <c r="UFA67" s="155">
        <v>45845</v>
      </c>
      <c r="UFB67" s="150" t="s">
        <v>60</v>
      </c>
      <c r="UFC67" s="210"/>
      <c r="UFD67" s="156" t="s">
        <v>132</v>
      </c>
      <c r="UFE67" s="208"/>
      <c r="UFF67" s="209"/>
      <c r="UFG67" s="150" t="s">
        <v>24</v>
      </c>
      <c r="UFH67" s="151">
        <v>8150</v>
      </c>
      <c r="UFI67" s="159">
        <v>85</v>
      </c>
      <c r="UFJ67" s="160">
        <v>215</v>
      </c>
      <c r="UFK67" s="160">
        <v>75</v>
      </c>
      <c r="UFL67" s="159">
        <v>150</v>
      </c>
      <c r="UFM67" s="161">
        <f>SUM(UFH67:UFL67)</f>
        <v>8675</v>
      </c>
      <c r="UFN67" s="159">
        <v>200</v>
      </c>
      <c r="UFO67" s="161">
        <f>SUM(UFM67:UFN67)</f>
        <v>8875</v>
      </c>
      <c r="UFP67" s="154" t="s">
        <v>106</v>
      </c>
      <c r="UFQ67" s="155">
        <v>45845</v>
      </c>
      <c r="UFR67" s="150" t="s">
        <v>60</v>
      </c>
      <c r="UFS67" s="210"/>
      <c r="UFT67" s="156" t="s">
        <v>132</v>
      </c>
      <c r="UFU67" s="208"/>
      <c r="UFV67" s="209"/>
      <c r="UFW67" s="150" t="s">
        <v>24</v>
      </c>
      <c r="UFX67" s="151">
        <v>8150</v>
      </c>
      <c r="UFY67" s="159">
        <v>85</v>
      </c>
      <c r="UFZ67" s="160">
        <v>215</v>
      </c>
      <c r="UGA67" s="160">
        <v>75</v>
      </c>
      <c r="UGB67" s="159">
        <v>150</v>
      </c>
      <c r="UGC67" s="161">
        <f>SUM(UFX67:UGB67)</f>
        <v>8675</v>
      </c>
      <c r="UGD67" s="159">
        <v>200</v>
      </c>
      <c r="UGE67" s="161">
        <f>SUM(UGC67:UGD67)</f>
        <v>8875</v>
      </c>
      <c r="UGF67" s="154" t="s">
        <v>106</v>
      </c>
      <c r="UGG67" s="155">
        <v>45845</v>
      </c>
      <c r="UGH67" s="150" t="s">
        <v>60</v>
      </c>
      <c r="UGI67" s="210"/>
      <c r="UGJ67" s="156" t="s">
        <v>132</v>
      </c>
      <c r="UGK67" s="208"/>
      <c r="UGL67" s="209"/>
      <c r="UGM67" s="150" t="s">
        <v>24</v>
      </c>
      <c r="UGN67" s="151">
        <v>8150</v>
      </c>
      <c r="UGO67" s="159">
        <v>85</v>
      </c>
      <c r="UGP67" s="160">
        <v>215</v>
      </c>
      <c r="UGQ67" s="160">
        <v>75</v>
      </c>
      <c r="UGR67" s="159">
        <v>150</v>
      </c>
      <c r="UGS67" s="161">
        <f>SUM(UGN67:UGR67)</f>
        <v>8675</v>
      </c>
      <c r="UGT67" s="159">
        <v>200</v>
      </c>
      <c r="UGU67" s="161">
        <f>SUM(UGS67:UGT67)</f>
        <v>8875</v>
      </c>
      <c r="UGV67" s="154" t="s">
        <v>106</v>
      </c>
      <c r="UGW67" s="155">
        <v>45845</v>
      </c>
      <c r="UGX67" s="150" t="s">
        <v>60</v>
      </c>
      <c r="UGY67" s="210"/>
      <c r="UGZ67" s="156" t="s">
        <v>132</v>
      </c>
      <c r="UHA67" s="208"/>
      <c r="UHB67" s="209"/>
      <c r="UHC67" s="150" t="s">
        <v>24</v>
      </c>
      <c r="UHD67" s="151">
        <v>8150</v>
      </c>
      <c r="UHE67" s="159">
        <v>85</v>
      </c>
      <c r="UHF67" s="160">
        <v>215</v>
      </c>
      <c r="UHG67" s="160">
        <v>75</v>
      </c>
      <c r="UHH67" s="159">
        <v>150</v>
      </c>
      <c r="UHI67" s="161">
        <f>SUM(UHD67:UHH67)</f>
        <v>8675</v>
      </c>
      <c r="UHJ67" s="159">
        <v>200</v>
      </c>
      <c r="UHK67" s="161">
        <f>SUM(UHI67:UHJ67)</f>
        <v>8875</v>
      </c>
      <c r="UHL67" s="154" t="s">
        <v>106</v>
      </c>
      <c r="UHM67" s="155">
        <v>45845</v>
      </c>
      <c r="UHN67" s="150" t="s">
        <v>60</v>
      </c>
      <c r="UHO67" s="210"/>
      <c r="UHP67" s="156" t="s">
        <v>132</v>
      </c>
      <c r="UHQ67" s="208"/>
      <c r="UHR67" s="209"/>
      <c r="UHS67" s="150" t="s">
        <v>24</v>
      </c>
      <c r="UHT67" s="151">
        <v>8150</v>
      </c>
      <c r="UHU67" s="159">
        <v>85</v>
      </c>
      <c r="UHV67" s="160">
        <v>215</v>
      </c>
      <c r="UHW67" s="160">
        <v>75</v>
      </c>
      <c r="UHX67" s="159">
        <v>150</v>
      </c>
      <c r="UHY67" s="161">
        <f>SUM(UHT67:UHX67)</f>
        <v>8675</v>
      </c>
      <c r="UHZ67" s="159">
        <v>200</v>
      </c>
      <c r="UIA67" s="161">
        <f>SUM(UHY67:UHZ67)</f>
        <v>8875</v>
      </c>
      <c r="UIB67" s="154" t="s">
        <v>106</v>
      </c>
      <c r="UIC67" s="155">
        <v>45845</v>
      </c>
      <c r="UID67" s="150" t="s">
        <v>60</v>
      </c>
      <c r="UIE67" s="210"/>
      <c r="UIF67" s="156" t="s">
        <v>132</v>
      </c>
      <c r="UIG67" s="208"/>
      <c r="UIH67" s="209"/>
      <c r="UII67" s="150" t="s">
        <v>24</v>
      </c>
      <c r="UIJ67" s="151">
        <v>8150</v>
      </c>
      <c r="UIK67" s="159">
        <v>85</v>
      </c>
      <c r="UIL67" s="160">
        <v>215</v>
      </c>
      <c r="UIM67" s="160">
        <v>75</v>
      </c>
      <c r="UIN67" s="159">
        <v>150</v>
      </c>
      <c r="UIO67" s="161">
        <f>SUM(UIJ67:UIN67)</f>
        <v>8675</v>
      </c>
      <c r="UIP67" s="159">
        <v>200</v>
      </c>
      <c r="UIQ67" s="161">
        <f>SUM(UIO67:UIP67)</f>
        <v>8875</v>
      </c>
      <c r="UIR67" s="154" t="s">
        <v>106</v>
      </c>
      <c r="UIS67" s="155">
        <v>45845</v>
      </c>
      <c r="UIT67" s="150" t="s">
        <v>60</v>
      </c>
      <c r="UIU67" s="210"/>
      <c r="UIV67" s="156" t="s">
        <v>132</v>
      </c>
      <c r="UIW67" s="208"/>
      <c r="UIX67" s="209"/>
      <c r="UIY67" s="150" t="s">
        <v>24</v>
      </c>
      <c r="UIZ67" s="151">
        <v>8150</v>
      </c>
      <c r="UJA67" s="159">
        <v>85</v>
      </c>
      <c r="UJB67" s="160">
        <v>215</v>
      </c>
      <c r="UJC67" s="160">
        <v>75</v>
      </c>
      <c r="UJD67" s="159">
        <v>150</v>
      </c>
      <c r="UJE67" s="161">
        <f>SUM(UIZ67:UJD67)</f>
        <v>8675</v>
      </c>
      <c r="UJF67" s="159">
        <v>200</v>
      </c>
      <c r="UJG67" s="161">
        <f>SUM(UJE67:UJF67)</f>
        <v>8875</v>
      </c>
      <c r="UJH67" s="154" t="s">
        <v>106</v>
      </c>
      <c r="UJI67" s="155">
        <v>45845</v>
      </c>
      <c r="UJJ67" s="150" t="s">
        <v>60</v>
      </c>
      <c r="UJK67" s="210"/>
      <c r="UJL67" s="156" t="s">
        <v>132</v>
      </c>
      <c r="UJM67" s="208"/>
      <c r="UJN67" s="209"/>
      <c r="UJO67" s="150" t="s">
        <v>24</v>
      </c>
      <c r="UJP67" s="151">
        <v>8150</v>
      </c>
      <c r="UJQ67" s="159">
        <v>85</v>
      </c>
      <c r="UJR67" s="160">
        <v>215</v>
      </c>
      <c r="UJS67" s="160">
        <v>75</v>
      </c>
      <c r="UJT67" s="159">
        <v>150</v>
      </c>
      <c r="UJU67" s="161">
        <f>SUM(UJP67:UJT67)</f>
        <v>8675</v>
      </c>
      <c r="UJV67" s="159">
        <v>200</v>
      </c>
      <c r="UJW67" s="161">
        <f>SUM(UJU67:UJV67)</f>
        <v>8875</v>
      </c>
      <c r="UJX67" s="154" t="s">
        <v>106</v>
      </c>
      <c r="UJY67" s="155">
        <v>45845</v>
      </c>
      <c r="UJZ67" s="150" t="s">
        <v>60</v>
      </c>
      <c r="UKA67" s="210"/>
      <c r="UKB67" s="156" t="s">
        <v>132</v>
      </c>
      <c r="UKC67" s="208"/>
      <c r="UKD67" s="209"/>
      <c r="UKE67" s="150" t="s">
        <v>24</v>
      </c>
      <c r="UKF67" s="151">
        <v>8150</v>
      </c>
      <c r="UKG67" s="159">
        <v>85</v>
      </c>
      <c r="UKH67" s="160">
        <v>215</v>
      </c>
      <c r="UKI67" s="160">
        <v>75</v>
      </c>
      <c r="UKJ67" s="159">
        <v>150</v>
      </c>
      <c r="UKK67" s="161">
        <f>SUM(UKF67:UKJ67)</f>
        <v>8675</v>
      </c>
      <c r="UKL67" s="159">
        <v>200</v>
      </c>
      <c r="UKM67" s="161">
        <f>SUM(UKK67:UKL67)</f>
        <v>8875</v>
      </c>
      <c r="UKN67" s="154" t="s">
        <v>106</v>
      </c>
      <c r="UKO67" s="155">
        <v>45845</v>
      </c>
      <c r="UKP67" s="150" t="s">
        <v>60</v>
      </c>
      <c r="UKQ67" s="210"/>
      <c r="UKR67" s="156" t="s">
        <v>132</v>
      </c>
      <c r="UKS67" s="208"/>
      <c r="UKT67" s="209"/>
      <c r="UKU67" s="150" t="s">
        <v>24</v>
      </c>
      <c r="UKV67" s="151">
        <v>8150</v>
      </c>
      <c r="UKW67" s="159">
        <v>85</v>
      </c>
      <c r="UKX67" s="160">
        <v>215</v>
      </c>
      <c r="UKY67" s="160">
        <v>75</v>
      </c>
      <c r="UKZ67" s="159">
        <v>150</v>
      </c>
      <c r="ULA67" s="161">
        <f>SUM(UKV67:UKZ67)</f>
        <v>8675</v>
      </c>
      <c r="ULB67" s="159">
        <v>200</v>
      </c>
      <c r="ULC67" s="161">
        <f>SUM(ULA67:ULB67)</f>
        <v>8875</v>
      </c>
      <c r="ULD67" s="154" t="s">
        <v>106</v>
      </c>
      <c r="ULE67" s="155">
        <v>45845</v>
      </c>
      <c r="ULF67" s="150" t="s">
        <v>60</v>
      </c>
      <c r="ULG67" s="210"/>
      <c r="ULH67" s="156" t="s">
        <v>132</v>
      </c>
      <c r="ULI67" s="208"/>
      <c r="ULJ67" s="209"/>
      <c r="ULK67" s="150" t="s">
        <v>24</v>
      </c>
      <c r="ULL67" s="151">
        <v>8150</v>
      </c>
      <c r="ULM67" s="159">
        <v>85</v>
      </c>
      <c r="ULN67" s="160">
        <v>215</v>
      </c>
      <c r="ULO67" s="160">
        <v>75</v>
      </c>
      <c r="ULP67" s="159">
        <v>150</v>
      </c>
      <c r="ULQ67" s="161">
        <f>SUM(ULL67:ULP67)</f>
        <v>8675</v>
      </c>
      <c r="ULR67" s="159">
        <v>200</v>
      </c>
      <c r="ULS67" s="161">
        <f>SUM(ULQ67:ULR67)</f>
        <v>8875</v>
      </c>
      <c r="ULT67" s="154" t="s">
        <v>106</v>
      </c>
      <c r="ULU67" s="155">
        <v>45845</v>
      </c>
      <c r="ULV67" s="150" t="s">
        <v>60</v>
      </c>
      <c r="ULW67" s="210"/>
      <c r="ULX67" s="156" t="s">
        <v>132</v>
      </c>
      <c r="ULY67" s="208"/>
      <c r="ULZ67" s="209"/>
      <c r="UMA67" s="150" t="s">
        <v>24</v>
      </c>
      <c r="UMB67" s="151">
        <v>8150</v>
      </c>
      <c r="UMC67" s="159">
        <v>85</v>
      </c>
      <c r="UMD67" s="160">
        <v>215</v>
      </c>
      <c r="UME67" s="160">
        <v>75</v>
      </c>
      <c r="UMF67" s="159">
        <v>150</v>
      </c>
      <c r="UMG67" s="161">
        <f>SUM(UMB67:UMF67)</f>
        <v>8675</v>
      </c>
      <c r="UMH67" s="159">
        <v>200</v>
      </c>
      <c r="UMI67" s="161">
        <f>SUM(UMG67:UMH67)</f>
        <v>8875</v>
      </c>
      <c r="UMJ67" s="154" t="s">
        <v>106</v>
      </c>
      <c r="UMK67" s="155">
        <v>45845</v>
      </c>
      <c r="UML67" s="150" t="s">
        <v>60</v>
      </c>
      <c r="UMM67" s="210"/>
      <c r="UMN67" s="156" t="s">
        <v>132</v>
      </c>
      <c r="UMO67" s="208"/>
      <c r="UMP67" s="209"/>
      <c r="UMQ67" s="150" t="s">
        <v>24</v>
      </c>
      <c r="UMR67" s="151">
        <v>8150</v>
      </c>
      <c r="UMS67" s="159">
        <v>85</v>
      </c>
      <c r="UMT67" s="160">
        <v>215</v>
      </c>
      <c r="UMU67" s="160">
        <v>75</v>
      </c>
      <c r="UMV67" s="159">
        <v>150</v>
      </c>
      <c r="UMW67" s="161">
        <f>SUM(UMR67:UMV67)</f>
        <v>8675</v>
      </c>
      <c r="UMX67" s="159">
        <v>200</v>
      </c>
      <c r="UMY67" s="161">
        <f>SUM(UMW67:UMX67)</f>
        <v>8875</v>
      </c>
      <c r="UMZ67" s="154" t="s">
        <v>106</v>
      </c>
      <c r="UNA67" s="155">
        <v>45845</v>
      </c>
      <c r="UNB67" s="150" t="s">
        <v>60</v>
      </c>
      <c r="UNC67" s="210"/>
      <c r="UND67" s="156" t="s">
        <v>132</v>
      </c>
      <c r="UNE67" s="208"/>
      <c r="UNF67" s="209"/>
      <c r="UNG67" s="150" t="s">
        <v>24</v>
      </c>
      <c r="UNH67" s="151">
        <v>8150</v>
      </c>
      <c r="UNI67" s="159">
        <v>85</v>
      </c>
      <c r="UNJ67" s="160">
        <v>215</v>
      </c>
      <c r="UNK67" s="160">
        <v>75</v>
      </c>
      <c r="UNL67" s="159">
        <v>150</v>
      </c>
      <c r="UNM67" s="161">
        <f>SUM(UNH67:UNL67)</f>
        <v>8675</v>
      </c>
      <c r="UNN67" s="159">
        <v>200</v>
      </c>
      <c r="UNO67" s="161">
        <f>SUM(UNM67:UNN67)</f>
        <v>8875</v>
      </c>
      <c r="UNP67" s="154" t="s">
        <v>106</v>
      </c>
      <c r="UNQ67" s="155">
        <v>45845</v>
      </c>
      <c r="UNR67" s="150" t="s">
        <v>60</v>
      </c>
      <c r="UNS67" s="210"/>
      <c r="UNT67" s="156" t="s">
        <v>132</v>
      </c>
      <c r="UNU67" s="208"/>
      <c r="UNV67" s="209"/>
      <c r="UNW67" s="150" t="s">
        <v>24</v>
      </c>
      <c r="UNX67" s="151">
        <v>8150</v>
      </c>
      <c r="UNY67" s="159">
        <v>85</v>
      </c>
      <c r="UNZ67" s="160">
        <v>215</v>
      </c>
      <c r="UOA67" s="160">
        <v>75</v>
      </c>
      <c r="UOB67" s="159">
        <v>150</v>
      </c>
      <c r="UOC67" s="161">
        <f>SUM(UNX67:UOB67)</f>
        <v>8675</v>
      </c>
      <c r="UOD67" s="159">
        <v>200</v>
      </c>
      <c r="UOE67" s="161">
        <f>SUM(UOC67:UOD67)</f>
        <v>8875</v>
      </c>
      <c r="UOF67" s="154" t="s">
        <v>106</v>
      </c>
      <c r="UOG67" s="155">
        <v>45845</v>
      </c>
      <c r="UOH67" s="150" t="s">
        <v>60</v>
      </c>
      <c r="UOI67" s="210"/>
      <c r="UOJ67" s="156" t="s">
        <v>132</v>
      </c>
      <c r="UOK67" s="208"/>
      <c r="UOL67" s="209"/>
      <c r="UOM67" s="150" t="s">
        <v>24</v>
      </c>
      <c r="UON67" s="151">
        <v>8150</v>
      </c>
      <c r="UOO67" s="159">
        <v>85</v>
      </c>
      <c r="UOP67" s="160">
        <v>215</v>
      </c>
      <c r="UOQ67" s="160">
        <v>75</v>
      </c>
      <c r="UOR67" s="159">
        <v>150</v>
      </c>
      <c r="UOS67" s="161">
        <f>SUM(UON67:UOR67)</f>
        <v>8675</v>
      </c>
      <c r="UOT67" s="159">
        <v>200</v>
      </c>
      <c r="UOU67" s="161">
        <f>SUM(UOS67:UOT67)</f>
        <v>8875</v>
      </c>
      <c r="UOV67" s="154" t="s">
        <v>106</v>
      </c>
      <c r="UOW67" s="155">
        <v>45845</v>
      </c>
      <c r="UOX67" s="150" t="s">
        <v>60</v>
      </c>
      <c r="UOY67" s="210"/>
      <c r="UOZ67" s="156" t="s">
        <v>132</v>
      </c>
      <c r="UPA67" s="208"/>
      <c r="UPB67" s="209"/>
      <c r="UPC67" s="150" t="s">
        <v>24</v>
      </c>
      <c r="UPD67" s="151">
        <v>8150</v>
      </c>
      <c r="UPE67" s="159">
        <v>85</v>
      </c>
      <c r="UPF67" s="160">
        <v>215</v>
      </c>
      <c r="UPG67" s="160">
        <v>75</v>
      </c>
      <c r="UPH67" s="159">
        <v>150</v>
      </c>
      <c r="UPI67" s="161">
        <f>SUM(UPD67:UPH67)</f>
        <v>8675</v>
      </c>
      <c r="UPJ67" s="159">
        <v>200</v>
      </c>
      <c r="UPK67" s="161">
        <f>SUM(UPI67:UPJ67)</f>
        <v>8875</v>
      </c>
      <c r="UPL67" s="154" t="s">
        <v>106</v>
      </c>
      <c r="UPM67" s="155">
        <v>45845</v>
      </c>
      <c r="UPN67" s="150" t="s">
        <v>60</v>
      </c>
      <c r="UPO67" s="210"/>
      <c r="UPP67" s="156" t="s">
        <v>132</v>
      </c>
      <c r="UPQ67" s="208"/>
      <c r="UPR67" s="209"/>
      <c r="UPS67" s="150" t="s">
        <v>24</v>
      </c>
      <c r="UPT67" s="151">
        <v>8150</v>
      </c>
      <c r="UPU67" s="159">
        <v>85</v>
      </c>
      <c r="UPV67" s="160">
        <v>215</v>
      </c>
      <c r="UPW67" s="160">
        <v>75</v>
      </c>
      <c r="UPX67" s="159">
        <v>150</v>
      </c>
      <c r="UPY67" s="161">
        <f>SUM(UPT67:UPX67)</f>
        <v>8675</v>
      </c>
      <c r="UPZ67" s="159">
        <v>200</v>
      </c>
      <c r="UQA67" s="161">
        <f>SUM(UPY67:UPZ67)</f>
        <v>8875</v>
      </c>
      <c r="UQB67" s="154" t="s">
        <v>106</v>
      </c>
      <c r="UQC67" s="155">
        <v>45845</v>
      </c>
      <c r="UQD67" s="150" t="s">
        <v>60</v>
      </c>
      <c r="UQE67" s="210"/>
      <c r="UQF67" s="156" t="s">
        <v>132</v>
      </c>
      <c r="UQG67" s="208"/>
      <c r="UQH67" s="209"/>
      <c r="UQI67" s="150" t="s">
        <v>24</v>
      </c>
      <c r="UQJ67" s="151">
        <v>8150</v>
      </c>
      <c r="UQK67" s="159">
        <v>85</v>
      </c>
      <c r="UQL67" s="160">
        <v>215</v>
      </c>
      <c r="UQM67" s="160">
        <v>75</v>
      </c>
      <c r="UQN67" s="159">
        <v>150</v>
      </c>
      <c r="UQO67" s="161">
        <f>SUM(UQJ67:UQN67)</f>
        <v>8675</v>
      </c>
      <c r="UQP67" s="159">
        <v>200</v>
      </c>
      <c r="UQQ67" s="161">
        <f>SUM(UQO67:UQP67)</f>
        <v>8875</v>
      </c>
      <c r="UQR67" s="154" t="s">
        <v>106</v>
      </c>
      <c r="UQS67" s="155">
        <v>45845</v>
      </c>
      <c r="UQT67" s="150" t="s">
        <v>60</v>
      </c>
      <c r="UQU67" s="210"/>
      <c r="UQV67" s="156" t="s">
        <v>132</v>
      </c>
      <c r="UQW67" s="208"/>
      <c r="UQX67" s="209"/>
      <c r="UQY67" s="150" t="s">
        <v>24</v>
      </c>
      <c r="UQZ67" s="151">
        <v>8150</v>
      </c>
      <c r="URA67" s="159">
        <v>85</v>
      </c>
      <c r="URB67" s="160">
        <v>215</v>
      </c>
      <c r="URC67" s="160">
        <v>75</v>
      </c>
      <c r="URD67" s="159">
        <v>150</v>
      </c>
      <c r="URE67" s="161">
        <f>SUM(UQZ67:URD67)</f>
        <v>8675</v>
      </c>
      <c r="URF67" s="159">
        <v>200</v>
      </c>
      <c r="URG67" s="161">
        <f>SUM(URE67:URF67)</f>
        <v>8875</v>
      </c>
      <c r="URH67" s="154" t="s">
        <v>106</v>
      </c>
      <c r="URI67" s="155">
        <v>45845</v>
      </c>
      <c r="URJ67" s="150" t="s">
        <v>60</v>
      </c>
      <c r="URK67" s="210"/>
      <c r="URL67" s="156" t="s">
        <v>132</v>
      </c>
      <c r="URM67" s="208"/>
      <c r="URN67" s="209"/>
      <c r="URO67" s="150" t="s">
        <v>24</v>
      </c>
      <c r="URP67" s="151">
        <v>8150</v>
      </c>
      <c r="URQ67" s="159">
        <v>85</v>
      </c>
      <c r="URR67" s="160">
        <v>215</v>
      </c>
      <c r="URS67" s="160">
        <v>75</v>
      </c>
      <c r="URT67" s="159">
        <v>150</v>
      </c>
      <c r="URU67" s="161">
        <f>SUM(URP67:URT67)</f>
        <v>8675</v>
      </c>
      <c r="URV67" s="159">
        <v>200</v>
      </c>
      <c r="URW67" s="161">
        <f>SUM(URU67:URV67)</f>
        <v>8875</v>
      </c>
      <c r="URX67" s="154" t="s">
        <v>106</v>
      </c>
      <c r="URY67" s="155">
        <v>45845</v>
      </c>
      <c r="URZ67" s="150" t="s">
        <v>60</v>
      </c>
      <c r="USA67" s="210"/>
      <c r="USB67" s="156" t="s">
        <v>132</v>
      </c>
      <c r="USC67" s="208"/>
      <c r="USD67" s="209"/>
      <c r="USE67" s="150" t="s">
        <v>24</v>
      </c>
      <c r="USF67" s="151">
        <v>8150</v>
      </c>
      <c r="USG67" s="159">
        <v>85</v>
      </c>
      <c r="USH67" s="160">
        <v>215</v>
      </c>
      <c r="USI67" s="160">
        <v>75</v>
      </c>
      <c r="USJ67" s="159">
        <v>150</v>
      </c>
      <c r="USK67" s="161">
        <f>SUM(USF67:USJ67)</f>
        <v>8675</v>
      </c>
      <c r="USL67" s="159">
        <v>200</v>
      </c>
      <c r="USM67" s="161">
        <f>SUM(USK67:USL67)</f>
        <v>8875</v>
      </c>
      <c r="USN67" s="154" t="s">
        <v>106</v>
      </c>
      <c r="USO67" s="155">
        <v>45845</v>
      </c>
      <c r="USP67" s="150" t="s">
        <v>60</v>
      </c>
      <c r="USQ67" s="210"/>
      <c r="USR67" s="156" t="s">
        <v>132</v>
      </c>
      <c r="USS67" s="208"/>
      <c r="UST67" s="209"/>
      <c r="USU67" s="150" t="s">
        <v>24</v>
      </c>
      <c r="USV67" s="151">
        <v>8150</v>
      </c>
      <c r="USW67" s="159">
        <v>85</v>
      </c>
      <c r="USX67" s="160">
        <v>215</v>
      </c>
      <c r="USY67" s="160">
        <v>75</v>
      </c>
      <c r="USZ67" s="159">
        <v>150</v>
      </c>
      <c r="UTA67" s="161">
        <f>SUM(USV67:USZ67)</f>
        <v>8675</v>
      </c>
      <c r="UTB67" s="159">
        <v>200</v>
      </c>
      <c r="UTC67" s="161">
        <f>SUM(UTA67:UTB67)</f>
        <v>8875</v>
      </c>
      <c r="UTD67" s="154" t="s">
        <v>106</v>
      </c>
      <c r="UTE67" s="155">
        <v>45845</v>
      </c>
      <c r="UTF67" s="150" t="s">
        <v>60</v>
      </c>
      <c r="UTG67" s="210"/>
      <c r="UTH67" s="156" t="s">
        <v>132</v>
      </c>
      <c r="UTI67" s="208"/>
      <c r="UTJ67" s="209"/>
      <c r="UTK67" s="150" t="s">
        <v>24</v>
      </c>
      <c r="UTL67" s="151">
        <v>8150</v>
      </c>
      <c r="UTM67" s="159">
        <v>85</v>
      </c>
      <c r="UTN67" s="160">
        <v>215</v>
      </c>
      <c r="UTO67" s="160">
        <v>75</v>
      </c>
      <c r="UTP67" s="159">
        <v>150</v>
      </c>
      <c r="UTQ67" s="161">
        <f>SUM(UTL67:UTP67)</f>
        <v>8675</v>
      </c>
      <c r="UTR67" s="159">
        <v>200</v>
      </c>
      <c r="UTS67" s="161">
        <f>SUM(UTQ67:UTR67)</f>
        <v>8875</v>
      </c>
      <c r="UTT67" s="154" t="s">
        <v>106</v>
      </c>
      <c r="UTU67" s="155">
        <v>45845</v>
      </c>
      <c r="UTV67" s="150" t="s">
        <v>60</v>
      </c>
      <c r="UTW67" s="210"/>
      <c r="UTX67" s="156" t="s">
        <v>132</v>
      </c>
      <c r="UTY67" s="208"/>
      <c r="UTZ67" s="209"/>
      <c r="UUA67" s="150" t="s">
        <v>24</v>
      </c>
      <c r="UUB67" s="151">
        <v>8150</v>
      </c>
      <c r="UUC67" s="159">
        <v>85</v>
      </c>
      <c r="UUD67" s="160">
        <v>215</v>
      </c>
      <c r="UUE67" s="160">
        <v>75</v>
      </c>
      <c r="UUF67" s="159">
        <v>150</v>
      </c>
      <c r="UUG67" s="161">
        <f>SUM(UUB67:UUF67)</f>
        <v>8675</v>
      </c>
      <c r="UUH67" s="159">
        <v>200</v>
      </c>
      <c r="UUI67" s="161">
        <f>SUM(UUG67:UUH67)</f>
        <v>8875</v>
      </c>
      <c r="UUJ67" s="154" t="s">
        <v>106</v>
      </c>
      <c r="UUK67" s="155">
        <v>45845</v>
      </c>
      <c r="UUL67" s="150" t="s">
        <v>60</v>
      </c>
      <c r="UUM67" s="210"/>
      <c r="UUN67" s="156" t="s">
        <v>132</v>
      </c>
      <c r="UUO67" s="208"/>
      <c r="UUP67" s="209"/>
      <c r="UUQ67" s="150" t="s">
        <v>24</v>
      </c>
      <c r="UUR67" s="151">
        <v>8150</v>
      </c>
      <c r="UUS67" s="159">
        <v>85</v>
      </c>
      <c r="UUT67" s="160">
        <v>215</v>
      </c>
      <c r="UUU67" s="160">
        <v>75</v>
      </c>
      <c r="UUV67" s="159">
        <v>150</v>
      </c>
      <c r="UUW67" s="161">
        <f>SUM(UUR67:UUV67)</f>
        <v>8675</v>
      </c>
      <c r="UUX67" s="159">
        <v>200</v>
      </c>
      <c r="UUY67" s="161">
        <f>SUM(UUW67:UUX67)</f>
        <v>8875</v>
      </c>
      <c r="UUZ67" s="154" t="s">
        <v>106</v>
      </c>
      <c r="UVA67" s="155">
        <v>45845</v>
      </c>
      <c r="UVB67" s="150" t="s">
        <v>60</v>
      </c>
      <c r="UVC67" s="210"/>
      <c r="UVD67" s="156" t="s">
        <v>132</v>
      </c>
      <c r="UVE67" s="208"/>
      <c r="UVF67" s="209"/>
      <c r="UVG67" s="150" t="s">
        <v>24</v>
      </c>
      <c r="UVH67" s="151">
        <v>8150</v>
      </c>
      <c r="UVI67" s="159">
        <v>85</v>
      </c>
      <c r="UVJ67" s="160">
        <v>215</v>
      </c>
      <c r="UVK67" s="160">
        <v>75</v>
      </c>
      <c r="UVL67" s="159">
        <v>150</v>
      </c>
      <c r="UVM67" s="161">
        <f>SUM(UVH67:UVL67)</f>
        <v>8675</v>
      </c>
      <c r="UVN67" s="159">
        <v>200</v>
      </c>
      <c r="UVO67" s="161">
        <f>SUM(UVM67:UVN67)</f>
        <v>8875</v>
      </c>
      <c r="UVP67" s="154" t="s">
        <v>106</v>
      </c>
      <c r="UVQ67" s="155">
        <v>45845</v>
      </c>
      <c r="UVR67" s="150" t="s">
        <v>60</v>
      </c>
      <c r="UVS67" s="210"/>
      <c r="UVT67" s="156" t="s">
        <v>132</v>
      </c>
      <c r="UVU67" s="208"/>
      <c r="UVV67" s="209"/>
      <c r="UVW67" s="150" t="s">
        <v>24</v>
      </c>
      <c r="UVX67" s="151">
        <v>8150</v>
      </c>
      <c r="UVY67" s="159">
        <v>85</v>
      </c>
      <c r="UVZ67" s="160">
        <v>215</v>
      </c>
      <c r="UWA67" s="160">
        <v>75</v>
      </c>
      <c r="UWB67" s="159">
        <v>150</v>
      </c>
      <c r="UWC67" s="161">
        <f>SUM(UVX67:UWB67)</f>
        <v>8675</v>
      </c>
      <c r="UWD67" s="159">
        <v>200</v>
      </c>
      <c r="UWE67" s="161">
        <f>SUM(UWC67:UWD67)</f>
        <v>8875</v>
      </c>
      <c r="UWF67" s="154" t="s">
        <v>106</v>
      </c>
      <c r="UWG67" s="155">
        <v>45845</v>
      </c>
      <c r="UWH67" s="150" t="s">
        <v>60</v>
      </c>
      <c r="UWI67" s="210"/>
      <c r="UWJ67" s="156" t="s">
        <v>132</v>
      </c>
      <c r="UWK67" s="208"/>
      <c r="UWL67" s="209"/>
      <c r="UWM67" s="150" t="s">
        <v>24</v>
      </c>
      <c r="UWN67" s="151">
        <v>8150</v>
      </c>
      <c r="UWO67" s="159">
        <v>85</v>
      </c>
      <c r="UWP67" s="160">
        <v>215</v>
      </c>
      <c r="UWQ67" s="160">
        <v>75</v>
      </c>
      <c r="UWR67" s="159">
        <v>150</v>
      </c>
      <c r="UWS67" s="161">
        <f>SUM(UWN67:UWR67)</f>
        <v>8675</v>
      </c>
      <c r="UWT67" s="159">
        <v>200</v>
      </c>
      <c r="UWU67" s="161">
        <f>SUM(UWS67:UWT67)</f>
        <v>8875</v>
      </c>
      <c r="UWV67" s="154" t="s">
        <v>106</v>
      </c>
      <c r="UWW67" s="155">
        <v>45845</v>
      </c>
      <c r="UWX67" s="150" t="s">
        <v>60</v>
      </c>
      <c r="UWY67" s="210"/>
      <c r="UWZ67" s="156" t="s">
        <v>132</v>
      </c>
      <c r="UXA67" s="208"/>
      <c r="UXB67" s="209"/>
      <c r="UXC67" s="150" t="s">
        <v>24</v>
      </c>
      <c r="UXD67" s="151">
        <v>8150</v>
      </c>
      <c r="UXE67" s="159">
        <v>85</v>
      </c>
      <c r="UXF67" s="160">
        <v>215</v>
      </c>
      <c r="UXG67" s="160">
        <v>75</v>
      </c>
      <c r="UXH67" s="159">
        <v>150</v>
      </c>
      <c r="UXI67" s="161">
        <f>SUM(UXD67:UXH67)</f>
        <v>8675</v>
      </c>
      <c r="UXJ67" s="159">
        <v>200</v>
      </c>
      <c r="UXK67" s="161">
        <f>SUM(UXI67:UXJ67)</f>
        <v>8875</v>
      </c>
      <c r="UXL67" s="154" t="s">
        <v>106</v>
      </c>
      <c r="UXM67" s="155">
        <v>45845</v>
      </c>
      <c r="UXN67" s="150" t="s">
        <v>60</v>
      </c>
      <c r="UXO67" s="210"/>
      <c r="UXP67" s="156" t="s">
        <v>132</v>
      </c>
      <c r="UXQ67" s="208"/>
      <c r="UXR67" s="209"/>
      <c r="UXS67" s="150" t="s">
        <v>24</v>
      </c>
      <c r="UXT67" s="151">
        <v>8150</v>
      </c>
      <c r="UXU67" s="159">
        <v>85</v>
      </c>
      <c r="UXV67" s="160">
        <v>215</v>
      </c>
      <c r="UXW67" s="160">
        <v>75</v>
      </c>
      <c r="UXX67" s="159">
        <v>150</v>
      </c>
      <c r="UXY67" s="161">
        <f>SUM(UXT67:UXX67)</f>
        <v>8675</v>
      </c>
      <c r="UXZ67" s="159">
        <v>200</v>
      </c>
      <c r="UYA67" s="161">
        <f>SUM(UXY67:UXZ67)</f>
        <v>8875</v>
      </c>
      <c r="UYB67" s="154" t="s">
        <v>106</v>
      </c>
      <c r="UYC67" s="155">
        <v>45845</v>
      </c>
      <c r="UYD67" s="150" t="s">
        <v>60</v>
      </c>
      <c r="UYE67" s="210"/>
      <c r="UYF67" s="156" t="s">
        <v>132</v>
      </c>
      <c r="UYG67" s="208"/>
      <c r="UYH67" s="209"/>
      <c r="UYI67" s="150" t="s">
        <v>24</v>
      </c>
      <c r="UYJ67" s="151">
        <v>8150</v>
      </c>
      <c r="UYK67" s="159">
        <v>85</v>
      </c>
      <c r="UYL67" s="160">
        <v>215</v>
      </c>
      <c r="UYM67" s="160">
        <v>75</v>
      </c>
      <c r="UYN67" s="159">
        <v>150</v>
      </c>
      <c r="UYO67" s="161">
        <f>SUM(UYJ67:UYN67)</f>
        <v>8675</v>
      </c>
      <c r="UYP67" s="159">
        <v>200</v>
      </c>
      <c r="UYQ67" s="161">
        <f>SUM(UYO67:UYP67)</f>
        <v>8875</v>
      </c>
      <c r="UYR67" s="154" t="s">
        <v>106</v>
      </c>
      <c r="UYS67" s="155">
        <v>45845</v>
      </c>
      <c r="UYT67" s="150" t="s">
        <v>60</v>
      </c>
      <c r="UYU67" s="210"/>
      <c r="UYV67" s="156" t="s">
        <v>132</v>
      </c>
      <c r="UYW67" s="208"/>
      <c r="UYX67" s="209"/>
      <c r="UYY67" s="150" t="s">
        <v>24</v>
      </c>
      <c r="UYZ67" s="151">
        <v>8150</v>
      </c>
      <c r="UZA67" s="159">
        <v>85</v>
      </c>
      <c r="UZB67" s="160">
        <v>215</v>
      </c>
      <c r="UZC67" s="160">
        <v>75</v>
      </c>
      <c r="UZD67" s="159">
        <v>150</v>
      </c>
      <c r="UZE67" s="161">
        <f>SUM(UYZ67:UZD67)</f>
        <v>8675</v>
      </c>
      <c r="UZF67" s="159">
        <v>200</v>
      </c>
      <c r="UZG67" s="161">
        <f>SUM(UZE67:UZF67)</f>
        <v>8875</v>
      </c>
      <c r="UZH67" s="154" t="s">
        <v>106</v>
      </c>
      <c r="UZI67" s="155">
        <v>45845</v>
      </c>
      <c r="UZJ67" s="150" t="s">
        <v>60</v>
      </c>
      <c r="UZK67" s="210"/>
      <c r="UZL67" s="156" t="s">
        <v>132</v>
      </c>
      <c r="UZM67" s="208"/>
      <c r="UZN67" s="209"/>
      <c r="UZO67" s="150" t="s">
        <v>24</v>
      </c>
      <c r="UZP67" s="151">
        <v>8150</v>
      </c>
      <c r="UZQ67" s="159">
        <v>85</v>
      </c>
      <c r="UZR67" s="160">
        <v>215</v>
      </c>
      <c r="UZS67" s="160">
        <v>75</v>
      </c>
      <c r="UZT67" s="159">
        <v>150</v>
      </c>
      <c r="UZU67" s="161">
        <f>SUM(UZP67:UZT67)</f>
        <v>8675</v>
      </c>
      <c r="UZV67" s="159">
        <v>200</v>
      </c>
      <c r="UZW67" s="161">
        <f>SUM(UZU67:UZV67)</f>
        <v>8875</v>
      </c>
      <c r="UZX67" s="154" t="s">
        <v>106</v>
      </c>
      <c r="UZY67" s="155">
        <v>45845</v>
      </c>
      <c r="UZZ67" s="150" t="s">
        <v>60</v>
      </c>
      <c r="VAA67" s="210"/>
      <c r="VAB67" s="156" t="s">
        <v>132</v>
      </c>
      <c r="VAC67" s="208"/>
      <c r="VAD67" s="209"/>
      <c r="VAE67" s="150" t="s">
        <v>24</v>
      </c>
      <c r="VAF67" s="151">
        <v>8150</v>
      </c>
      <c r="VAG67" s="159">
        <v>85</v>
      </c>
      <c r="VAH67" s="160">
        <v>215</v>
      </c>
      <c r="VAI67" s="160">
        <v>75</v>
      </c>
      <c r="VAJ67" s="159">
        <v>150</v>
      </c>
      <c r="VAK67" s="161">
        <f>SUM(VAF67:VAJ67)</f>
        <v>8675</v>
      </c>
      <c r="VAL67" s="159">
        <v>200</v>
      </c>
      <c r="VAM67" s="161">
        <f>SUM(VAK67:VAL67)</f>
        <v>8875</v>
      </c>
      <c r="VAN67" s="154" t="s">
        <v>106</v>
      </c>
      <c r="VAO67" s="155">
        <v>45845</v>
      </c>
      <c r="VAP67" s="150" t="s">
        <v>60</v>
      </c>
      <c r="VAQ67" s="210"/>
      <c r="VAR67" s="156" t="s">
        <v>132</v>
      </c>
      <c r="VAS67" s="208"/>
      <c r="VAT67" s="209"/>
      <c r="VAU67" s="150" t="s">
        <v>24</v>
      </c>
      <c r="VAV67" s="151">
        <v>8150</v>
      </c>
      <c r="VAW67" s="159">
        <v>85</v>
      </c>
      <c r="VAX67" s="160">
        <v>215</v>
      </c>
      <c r="VAY67" s="160">
        <v>75</v>
      </c>
      <c r="VAZ67" s="159">
        <v>150</v>
      </c>
      <c r="VBA67" s="161">
        <f>SUM(VAV67:VAZ67)</f>
        <v>8675</v>
      </c>
      <c r="VBB67" s="159">
        <v>200</v>
      </c>
      <c r="VBC67" s="161">
        <f>SUM(VBA67:VBB67)</f>
        <v>8875</v>
      </c>
      <c r="VBD67" s="154" t="s">
        <v>106</v>
      </c>
      <c r="VBE67" s="155">
        <v>45845</v>
      </c>
      <c r="VBF67" s="150" t="s">
        <v>60</v>
      </c>
      <c r="VBG67" s="210"/>
      <c r="VBH67" s="156" t="s">
        <v>132</v>
      </c>
      <c r="VBI67" s="208"/>
      <c r="VBJ67" s="209"/>
      <c r="VBK67" s="150" t="s">
        <v>24</v>
      </c>
      <c r="VBL67" s="151">
        <v>8150</v>
      </c>
      <c r="VBM67" s="159">
        <v>85</v>
      </c>
      <c r="VBN67" s="160">
        <v>215</v>
      </c>
      <c r="VBO67" s="160">
        <v>75</v>
      </c>
      <c r="VBP67" s="159">
        <v>150</v>
      </c>
      <c r="VBQ67" s="161">
        <f>SUM(VBL67:VBP67)</f>
        <v>8675</v>
      </c>
      <c r="VBR67" s="159">
        <v>200</v>
      </c>
      <c r="VBS67" s="161">
        <f>SUM(VBQ67:VBR67)</f>
        <v>8875</v>
      </c>
      <c r="VBT67" s="154" t="s">
        <v>106</v>
      </c>
      <c r="VBU67" s="155">
        <v>45845</v>
      </c>
      <c r="VBV67" s="150" t="s">
        <v>60</v>
      </c>
      <c r="VBW67" s="210"/>
      <c r="VBX67" s="156" t="s">
        <v>132</v>
      </c>
      <c r="VBY67" s="208"/>
      <c r="VBZ67" s="209"/>
      <c r="VCA67" s="150" t="s">
        <v>24</v>
      </c>
      <c r="VCB67" s="151">
        <v>8150</v>
      </c>
      <c r="VCC67" s="159">
        <v>85</v>
      </c>
      <c r="VCD67" s="160">
        <v>215</v>
      </c>
      <c r="VCE67" s="160">
        <v>75</v>
      </c>
      <c r="VCF67" s="159">
        <v>150</v>
      </c>
      <c r="VCG67" s="161">
        <f>SUM(VCB67:VCF67)</f>
        <v>8675</v>
      </c>
      <c r="VCH67" s="159">
        <v>200</v>
      </c>
      <c r="VCI67" s="161">
        <f>SUM(VCG67:VCH67)</f>
        <v>8875</v>
      </c>
      <c r="VCJ67" s="154" t="s">
        <v>106</v>
      </c>
      <c r="VCK67" s="155">
        <v>45845</v>
      </c>
      <c r="VCL67" s="150" t="s">
        <v>60</v>
      </c>
      <c r="VCM67" s="210"/>
      <c r="VCN67" s="156" t="s">
        <v>132</v>
      </c>
      <c r="VCO67" s="208"/>
      <c r="VCP67" s="209"/>
      <c r="VCQ67" s="150" t="s">
        <v>24</v>
      </c>
      <c r="VCR67" s="151">
        <v>8150</v>
      </c>
      <c r="VCS67" s="159">
        <v>85</v>
      </c>
      <c r="VCT67" s="160">
        <v>215</v>
      </c>
      <c r="VCU67" s="160">
        <v>75</v>
      </c>
      <c r="VCV67" s="159">
        <v>150</v>
      </c>
      <c r="VCW67" s="161">
        <f>SUM(VCR67:VCV67)</f>
        <v>8675</v>
      </c>
      <c r="VCX67" s="159">
        <v>200</v>
      </c>
      <c r="VCY67" s="161">
        <f>SUM(VCW67:VCX67)</f>
        <v>8875</v>
      </c>
      <c r="VCZ67" s="154" t="s">
        <v>106</v>
      </c>
      <c r="VDA67" s="155">
        <v>45845</v>
      </c>
      <c r="VDB67" s="150" t="s">
        <v>60</v>
      </c>
      <c r="VDC67" s="210"/>
      <c r="VDD67" s="156" t="s">
        <v>132</v>
      </c>
      <c r="VDE67" s="208"/>
      <c r="VDF67" s="209"/>
      <c r="VDG67" s="150" t="s">
        <v>24</v>
      </c>
      <c r="VDH67" s="151">
        <v>8150</v>
      </c>
      <c r="VDI67" s="159">
        <v>85</v>
      </c>
      <c r="VDJ67" s="160">
        <v>215</v>
      </c>
      <c r="VDK67" s="160">
        <v>75</v>
      </c>
      <c r="VDL67" s="159">
        <v>150</v>
      </c>
      <c r="VDM67" s="161">
        <f>SUM(VDH67:VDL67)</f>
        <v>8675</v>
      </c>
      <c r="VDN67" s="159">
        <v>200</v>
      </c>
      <c r="VDO67" s="161">
        <f>SUM(VDM67:VDN67)</f>
        <v>8875</v>
      </c>
      <c r="VDP67" s="154" t="s">
        <v>106</v>
      </c>
      <c r="VDQ67" s="155">
        <v>45845</v>
      </c>
      <c r="VDR67" s="150" t="s">
        <v>60</v>
      </c>
      <c r="VDS67" s="210"/>
      <c r="VDT67" s="156" t="s">
        <v>132</v>
      </c>
      <c r="VDU67" s="208"/>
      <c r="VDV67" s="209"/>
      <c r="VDW67" s="150" t="s">
        <v>24</v>
      </c>
      <c r="VDX67" s="151">
        <v>8150</v>
      </c>
      <c r="VDY67" s="159">
        <v>85</v>
      </c>
      <c r="VDZ67" s="160">
        <v>215</v>
      </c>
      <c r="VEA67" s="160">
        <v>75</v>
      </c>
      <c r="VEB67" s="159">
        <v>150</v>
      </c>
      <c r="VEC67" s="161">
        <f>SUM(VDX67:VEB67)</f>
        <v>8675</v>
      </c>
      <c r="VED67" s="159">
        <v>200</v>
      </c>
      <c r="VEE67" s="161">
        <f>SUM(VEC67:VED67)</f>
        <v>8875</v>
      </c>
      <c r="VEF67" s="154" t="s">
        <v>106</v>
      </c>
      <c r="VEG67" s="155">
        <v>45845</v>
      </c>
      <c r="VEH67" s="150" t="s">
        <v>60</v>
      </c>
      <c r="VEI67" s="210"/>
      <c r="VEJ67" s="156" t="s">
        <v>132</v>
      </c>
      <c r="VEK67" s="208"/>
      <c r="VEL67" s="209"/>
      <c r="VEM67" s="150" t="s">
        <v>24</v>
      </c>
      <c r="VEN67" s="151">
        <v>8150</v>
      </c>
      <c r="VEO67" s="159">
        <v>85</v>
      </c>
      <c r="VEP67" s="160">
        <v>215</v>
      </c>
      <c r="VEQ67" s="160">
        <v>75</v>
      </c>
      <c r="VER67" s="159">
        <v>150</v>
      </c>
      <c r="VES67" s="161">
        <f>SUM(VEN67:VER67)</f>
        <v>8675</v>
      </c>
      <c r="VET67" s="159">
        <v>200</v>
      </c>
      <c r="VEU67" s="161">
        <f>SUM(VES67:VET67)</f>
        <v>8875</v>
      </c>
      <c r="VEV67" s="154" t="s">
        <v>106</v>
      </c>
      <c r="VEW67" s="155">
        <v>45845</v>
      </c>
      <c r="VEX67" s="150" t="s">
        <v>60</v>
      </c>
      <c r="VEY67" s="210"/>
      <c r="VEZ67" s="156" t="s">
        <v>132</v>
      </c>
      <c r="VFA67" s="208"/>
      <c r="VFB67" s="209"/>
      <c r="VFC67" s="150" t="s">
        <v>24</v>
      </c>
      <c r="VFD67" s="151">
        <v>8150</v>
      </c>
      <c r="VFE67" s="159">
        <v>85</v>
      </c>
      <c r="VFF67" s="160">
        <v>215</v>
      </c>
      <c r="VFG67" s="160">
        <v>75</v>
      </c>
      <c r="VFH67" s="159">
        <v>150</v>
      </c>
      <c r="VFI67" s="161">
        <f>SUM(VFD67:VFH67)</f>
        <v>8675</v>
      </c>
      <c r="VFJ67" s="159">
        <v>200</v>
      </c>
      <c r="VFK67" s="161">
        <f>SUM(VFI67:VFJ67)</f>
        <v>8875</v>
      </c>
      <c r="VFL67" s="154" t="s">
        <v>106</v>
      </c>
      <c r="VFM67" s="155">
        <v>45845</v>
      </c>
      <c r="VFN67" s="150" t="s">
        <v>60</v>
      </c>
      <c r="VFO67" s="210"/>
      <c r="VFP67" s="156" t="s">
        <v>132</v>
      </c>
      <c r="VFQ67" s="208"/>
      <c r="VFR67" s="209"/>
      <c r="VFS67" s="150" t="s">
        <v>24</v>
      </c>
      <c r="VFT67" s="151">
        <v>8150</v>
      </c>
      <c r="VFU67" s="159">
        <v>85</v>
      </c>
      <c r="VFV67" s="160">
        <v>215</v>
      </c>
      <c r="VFW67" s="160">
        <v>75</v>
      </c>
      <c r="VFX67" s="159">
        <v>150</v>
      </c>
      <c r="VFY67" s="161">
        <f>SUM(VFT67:VFX67)</f>
        <v>8675</v>
      </c>
      <c r="VFZ67" s="159">
        <v>200</v>
      </c>
      <c r="VGA67" s="161">
        <f>SUM(VFY67:VFZ67)</f>
        <v>8875</v>
      </c>
      <c r="VGB67" s="154" t="s">
        <v>106</v>
      </c>
      <c r="VGC67" s="155">
        <v>45845</v>
      </c>
      <c r="VGD67" s="150" t="s">
        <v>60</v>
      </c>
      <c r="VGE67" s="210"/>
      <c r="VGF67" s="156" t="s">
        <v>132</v>
      </c>
      <c r="VGG67" s="208"/>
      <c r="VGH67" s="209"/>
      <c r="VGI67" s="150" t="s">
        <v>24</v>
      </c>
      <c r="VGJ67" s="151">
        <v>8150</v>
      </c>
      <c r="VGK67" s="159">
        <v>85</v>
      </c>
      <c r="VGL67" s="160">
        <v>215</v>
      </c>
      <c r="VGM67" s="160">
        <v>75</v>
      </c>
      <c r="VGN67" s="159">
        <v>150</v>
      </c>
      <c r="VGO67" s="161">
        <f>SUM(VGJ67:VGN67)</f>
        <v>8675</v>
      </c>
      <c r="VGP67" s="159">
        <v>200</v>
      </c>
      <c r="VGQ67" s="161">
        <f>SUM(VGO67:VGP67)</f>
        <v>8875</v>
      </c>
      <c r="VGR67" s="154" t="s">
        <v>106</v>
      </c>
      <c r="VGS67" s="155">
        <v>45845</v>
      </c>
      <c r="VGT67" s="150" t="s">
        <v>60</v>
      </c>
      <c r="VGU67" s="210"/>
      <c r="VGV67" s="156" t="s">
        <v>132</v>
      </c>
      <c r="VGW67" s="208"/>
      <c r="VGX67" s="209"/>
      <c r="VGY67" s="150" t="s">
        <v>24</v>
      </c>
      <c r="VGZ67" s="151">
        <v>8150</v>
      </c>
      <c r="VHA67" s="159">
        <v>85</v>
      </c>
      <c r="VHB67" s="160">
        <v>215</v>
      </c>
      <c r="VHC67" s="160">
        <v>75</v>
      </c>
    </row>
    <row r="68" spans="2:63 3073:12199 12790:15083" ht="15" thickBot="1" x14ac:dyDescent="0.35">
      <c r="B68" s="254"/>
      <c r="C68" s="219" t="s">
        <v>122</v>
      </c>
      <c r="D68" s="151" t="s">
        <v>24</v>
      </c>
      <c r="E68" s="152">
        <f>CEILING((((9700+297+50+85)*1.12)- 85)-150,50)</f>
        <v>11150</v>
      </c>
      <c r="F68" s="152">
        <v>85</v>
      </c>
      <c r="G68" s="152">
        <v>215</v>
      </c>
      <c r="H68" s="152">
        <v>75</v>
      </c>
      <c r="I68" s="152">
        <v>150</v>
      </c>
      <c r="J68" s="215">
        <f t="shared" si="8"/>
        <v>11675</v>
      </c>
      <c r="K68" s="152">
        <v>200</v>
      </c>
      <c r="L68" s="215">
        <f t="shared" si="9"/>
        <v>11875</v>
      </c>
      <c r="M68" s="154" t="s">
        <v>106</v>
      </c>
      <c r="N68" s="380" t="s">
        <v>65</v>
      </c>
      <c r="O68" s="216" t="s">
        <v>60</v>
      </c>
      <c r="P68" s="257"/>
      <c r="Q68" s="156" t="s">
        <v>132</v>
      </c>
      <c r="R68" s="179"/>
      <c r="S68" s="172"/>
      <c r="T68" s="173"/>
      <c r="U68" s="54" t="s">
        <v>155</v>
      </c>
      <c r="V68" s="174"/>
      <c r="W68" s="173"/>
      <c r="X68" s="175"/>
      <c r="Y68" s="173"/>
      <c r="Z68" s="175"/>
      <c r="AA68" s="176"/>
      <c r="AB68" s="177"/>
      <c r="AC68" s="171"/>
      <c r="AD68" s="178"/>
      <c r="AE68" s="181"/>
      <c r="AF68" s="162"/>
      <c r="AG68" s="170"/>
      <c r="AH68"/>
      <c r="AI68" s="163"/>
      <c r="AJ68" s="164"/>
      <c r="AK68" s="165"/>
      <c r="AL68" s="165"/>
      <c r="AM68" s="164"/>
      <c r="AN68" s="166"/>
      <c r="AO68" s="164"/>
      <c r="AP68" s="166"/>
      <c r="AQ68" s="167"/>
      <c r="AR68" s="168"/>
      <c r="AS68"/>
      <c r="AT68" s="169"/>
      <c r="AU68"/>
      <c r="AV68" s="162"/>
      <c r="AW68" s="170"/>
      <c r="AX68"/>
      <c r="AY68" s="163"/>
      <c r="AZ68" s="164"/>
      <c r="BA68" s="165"/>
      <c r="BB68" s="165"/>
      <c r="BC68" s="164"/>
      <c r="BD68" s="166"/>
      <c r="BE68" s="164"/>
      <c r="BF68" s="166"/>
      <c r="BG68" s="167"/>
      <c r="BH68" s="168"/>
      <c r="BI68"/>
      <c r="BJ68" s="169"/>
      <c r="BK68"/>
      <c r="DNE68" s="168"/>
      <c r="DNF68"/>
      <c r="DNG68" s="169"/>
      <c r="DNH68"/>
      <c r="DNI68" s="162"/>
      <c r="DNJ68" s="170"/>
      <c r="DNK68"/>
      <c r="DNL68" s="163"/>
      <c r="DNM68" s="164"/>
      <c r="DNN68" s="165"/>
      <c r="DNO68" s="165"/>
      <c r="DNP68" s="164"/>
      <c r="DNQ68" s="166"/>
      <c r="DNR68" s="164"/>
      <c r="DNS68" s="166"/>
      <c r="DNT68" s="167"/>
      <c r="DNU68" s="168"/>
      <c r="DNV68"/>
      <c r="DNW68" s="169"/>
      <c r="DNX68"/>
      <c r="DNY68" s="162"/>
      <c r="DNZ68" s="170"/>
      <c r="DOA68"/>
      <c r="DOB68" s="163"/>
      <c r="DOC68" s="164"/>
      <c r="DOD68" s="165"/>
      <c r="DOE68" s="165"/>
      <c r="DOF68" s="164"/>
      <c r="DOG68" s="166"/>
      <c r="DOH68" s="164"/>
      <c r="DOI68" s="166"/>
      <c r="DOJ68" s="167"/>
      <c r="DOK68" s="168"/>
      <c r="DOL68"/>
      <c r="DOM68" s="169"/>
      <c r="DON68"/>
      <c r="DOO68" s="162"/>
      <c r="DOP68" s="170"/>
      <c r="DOQ68"/>
      <c r="DOR68" s="163"/>
      <c r="DOS68" s="164"/>
      <c r="DOT68" s="165"/>
      <c r="DOU68" s="165"/>
      <c r="DOV68" s="164"/>
      <c r="DOW68" s="166"/>
      <c r="DOX68" s="164"/>
      <c r="DOY68" s="166"/>
      <c r="DOZ68" s="167"/>
      <c r="DPA68" s="168"/>
      <c r="DPB68"/>
      <c r="DPC68" s="169"/>
      <c r="DPD68"/>
      <c r="DPE68" s="162"/>
      <c r="DPF68" s="170"/>
      <c r="DPG68"/>
      <c r="DPH68" s="163"/>
      <c r="DPI68" s="164"/>
      <c r="DPJ68" s="165"/>
      <c r="DPK68" s="165"/>
      <c r="DPL68" s="164"/>
      <c r="DPM68" s="166"/>
      <c r="DPN68" s="164"/>
      <c r="DPO68" s="166"/>
      <c r="DPP68" s="167"/>
      <c r="DPQ68" s="168"/>
      <c r="DPR68"/>
      <c r="DPS68" s="169"/>
      <c r="DPT68"/>
      <c r="DPU68" s="162"/>
      <c r="DPV68" s="170"/>
      <c r="DPW68"/>
      <c r="DPX68" s="163"/>
      <c r="DPY68" s="164"/>
      <c r="DPZ68" s="165"/>
      <c r="DQA68" s="165"/>
      <c r="DQB68" s="164"/>
      <c r="DQC68" s="166"/>
      <c r="DQD68" s="164"/>
      <c r="DQE68" s="166"/>
      <c r="DQF68" s="167"/>
      <c r="DQG68" s="168"/>
      <c r="DQH68"/>
      <c r="DQI68" s="169"/>
      <c r="DQJ68"/>
      <c r="DQK68" s="162"/>
      <c r="DQL68" s="170"/>
      <c r="DQM68"/>
      <c r="DQN68" s="163"/>
      <c r="DQO68" s="164"/>
      <c r="DQP68" s="165"/>
      <c r="DQQ68" s="165"/>
      <c r="DQR68" s="164"/>
      <c r="DQS68" s="166"/>
      <c r="DQT68" s="164"/>
      <c r="DQU68" s="166"/>
      <c r="DQV68" s="167"/>
      <c r="DQW68" s="168"/>
      <c r="DQX68"/>
      <c r="DQY68" s="169"/>
      <c r="DQZ68"/>
      <c r="DRA68" s="162"/>
      <c r="DRB68" s="170"/>
      <c r="DRC68"/>
      <c r="DRD68" s="163"/>
      <c r="DRE68" s="164"/>
      <c r="DRF68" s="165"/>
      <c r="DRG68" s="165"/>
      <c r="DRH68" s="164"/>
      <c r="DRI68" s="166"/>
      <c r="DRJ68" s="164"/>
      <c r="DRK68" s="166"/>
      <c r="DRL68" s="167"/>
      <c r="DRM68" s="168"/>
      <c r="DRN68"/>
      <c r="DRO68" s="169"/>
      <c r="DRP68"/>
      <c r="DRQ68" s="162"/>
      <c r="DRR68" s="170"/>
      <c r="DRS68"/>
      <c r="DRT68" s="163"/>
      <c r="DRU68" s="164"/>
      <c r="DRV68" s="165"/>
      <c r="DRW68" s="165"/>
      <c r="DRX68" s="164"/>
      <c r="DRY68" s="166"/>
      <c r="DRZ68" s="164"/>
      <c r="DSA68" s="166"/>
      <c r="DSB68" s="167"/>
      <c r="DSC68" s="168"/>
      <c r="DSD68"/>
      <c r="DSE68" s="169"/>
      <c r="DSF68"/>
      <c r="DSG68" s="162"/>
      <c r="DSH68" s="170"/>
      <c r="DSI68"/>
      <c r="DSJ68" s="163"/>
      <c r="DSK68" s="164"/>
      <c r="DSL68" s="165"/>
      <c r="DSM68" s="165"/>
      <c r="DSN68" s="164"/>
      <c r="DSO68" s="166"/>
      <c r="DSP68" s="164"/>
      <c r="DSQ68" s="166"/>
      <c r="DSR68" s="167"/>
      <c r="DSS68" s="168"/>
      <c r="DST68"/>
      <c r="DSU68" s="169"/>
      <c r="DSV68"/>
      <c r="DSW68" s="162"/>
      <c r="DSX68" s="170"/>
      <c r="DSY68"/>
      <c r="DSZ68" s="163"/>
      <c r="DTA68" s="164"/>
      <c r="DTB68" s="165"/>
      <c r="DTC68" s="165"/>
      <c r="DTD68" s="164"/>
      <c r="DTE68" s="166"/>
      <c r="DTF68" s="164"/>
      <c r="DTG68" s="166"/>
      <c r="DTH68" s="167"/>
      <c r="DTI68" s="168"/>
      <c r="DTJ68"/>
      <c r="DTK68" s="169"/>
      <c r="DTL68"/>
      <c r="DTM68" s="162"/>
      <c r="DTN68" s="170"/>
      <c r="DTO68"/>
      <c r="DTP68" s="163"/>
      <c r="DTQ68" s="164"/>
      <c r="DTR68" s="165"/>
      <c r="DTS68" s="165"/>
      <c r="DTT68" s="164"/>
      <c r="DTU68" s="166"/>
      <c r="DTV68" s="164"/>
      <c r="DTW68" s="166"/>
      <c r="DTX68" s="167"/>
      <c r="DTY68" s="168"/>
      <c r="DTZ68"/>
      <c r="DUA68" s="169"/>
      <c r="DUB68"/>
      <c r="DUC68" s="162"/>
      <c r="DUD68" s="170"/>
      <c r="DUE68"/>
      <c r="DUF68" s="163"/>
      <c r="DUG68" s="164"/>
      <c r="DUH68" s="165"/>
      <c r="DUI68" s="165"/>
      <c r="DUJ68" s="164"/>
      <c r="DUK68" s="166"/>
      <c r="DUL68" s="164"/>
      <c r="DUM68" s="166"/>
      <c r="DUN68" s="167"/>
      <c r="DUO68" s="168"/>
      <c r="DUP68"/>
      <c r="DUQ68" s="169"/>
      <c r="DUR68"/>
      <c r="DUS68" s="162"/>
      <c r="DUT68" s="170"/>
      <c r="DUU68"/>
      <c r="DUV68" s="163"/>
      <c r="DUW68" s="164"/>
      <c r="DUX68" s="165"/>
      <c r="DUY68" s="165"/>
      <c r="DUZ68" s="164"/>
      <c r="DVA68" s="166"/>
      <c r="DVB68" s="164"/>
      <c r="DVC68" s="166"/>
      <c r="DVD68" s="167"/>
      <c r="DVE68" s="168"/>
      <c r="DVF68"/>
      <c r="DVG68" s="169"/>
      <c r="DVH68"/>
      <c r="DVI68" s="162"/>
      <c r="DVJ68" s="170"/>
      <c r="DVK68"/>
      <c r="DVL68" s="163"/>
      <c r="DVM68" s="164"/>
      <c r="DVN68" s="165"/>
      <c r="DVO68" s="165"/>
      <c r="DVP68" s="164"/>
      <c r="DVQ68" s="166"/>
      <c r="DVR68" s="164"/>
      <c r="DVS68" s="166"/>
      <c r="DVT68" s="167"/>
      <c r="DVU68" s="168"/>
      <c r="DVV68"/>
      <c r="DVW68" s="169"/>
      <c r="DVX68"/>
      <c r="DVY68" s="162"/>
      <c r="DVZ68" s="170"/>
      <c r="DWA68"/>
      <c r="DWB68" s="163"/>
      <c r="DWC68" s="164"/>
      <c r="DWD68" s="165"/>
      <c r="DWE68" s="165"/>
      <c r="DWF68" s="164"/>
      <c r="DWG68" s="166"/>
      <c r="DWH68" s="164"/>
      <c r="DWI68" s="166"/>
      <c r="DWJ68" s="167"/>
      <c r="DWK68" s="168"/>
      <c r="DWL68"/>
      <c r="DWM68" s="169"/>
      <c r="DWN68"/>
      <c r="DWO68" s="162"/>
      <c r="DWP68" s="170"/>
      <c r="DWQ68"/>
      <c r="DWR68" s="163"/>
      <c r="DWS68" s="164"/>
      <c r="DWT68" s="165"/>
      <c r="DWU68" s="165"/>
      <c r="DWV68" s="164"/>
      <c r="DWW68" s="166"/>
      <c r="DWX68" s="164"/>
      <c r="DWY68" s="166"/>
      <c r="DWZ68" s="167"/>
      <c r="DXA68" s="168"/>
      <c r="DXB68"/>
      <c r="DXC68" s="169"/>
      <c r="DXD68"/>
      <c r="DXE68" s="162"/>
      <c r="DXF68" s="170"/>
      <c r="DXG68"/>
      <c r="DXH68" s="163"/>
      <c r="DXI68" s="164"/>
      <c r="DXJ68" s="165"/>
      <c r="DXK68" s="165"/>
      <c r="DXL68" s="164"/>
      <c r="DXM68" s="166"/>
      <c r="DXN68" s="164"/>
      <c r="DXO68" s="166"/>
      <c r="DXP68" s="167"/>
      <c r="DXQ68" s="168"/>
      <c r="DXR68"/>
      <c r="DXS68" s="169"/>
      <c r="DXT68"/>
      <c r="DXU68" s="162"/>
      <c r="DXV68" s="170"/>
      <c r="DXW68"/>
      <c r="DXX68" s="163"/>
      <c r="DXY68" s="164"/>
      <c r="DXZ68" s="165"/>
      <c r="DYA68" s="165"/>
      <c r="DYB68" s="164"/>
      <c r="DYC68" s="166"/>
      <c r="DYD68" s="164"/>
      <c r="DYE68" s="166"/>
      <c r="DYF68" s="167"/>
      <c r="DYG68" s="168"/>
      <c r="DYH68"/>
      <c r="DYI68" s="169"/>
      <c r="DYJ68"/>
      <c r="DYK68" s="162"/>
      <c r="DYL68" s="170"/>
      <c r="DYM68"/>
      <c r="DYN68" s="163"/>
      <c r="DYO68" s="164"/>
      <c r="DYP68" s="165"/>
      <c r="DYQ68" s="165"/>
      <c r="DYR68" s="164"/>
      <c r="DYS68" s="166"/>
      <c r="DYT68" s="164"/>
      <c r="DYU68" s="166"/>
      <c r="DYV68" s="167"/>
      <c r="DYW68" s="168"/>
      <c r="DYX68"/>
      <c r="DYY68" s="169"/>
      <c r="DYZ68"/>
      <c r="DZA68" s="162"/>
      <c r="DZB68" s="170"/>
      <c r="DZC68"/>
      <c r="DZD68" s="163"/>
      <c r="DZE68" s="164"/>
      <c r="DZF68" s="165"/>
      <c r="DZG68" s="165"/>
      <c r="DZH68" s="164"/>
      <c r="DZI68" s="166"/>
      <c r="DZJ68" s="164"/>
      <c r="DZK68" s="166"/>
      <c r="DZL68" s="167"/>
      <c r="DZM68" s="168"/>
      <c r="DZN68"/>
      <c r="DZO68" s="169"/>
      <c r="DZP68"/>
      <c r="DZQ68" s="162"/>
      <c r="DZR68" s="170"/>
      <c r="DZS68"/>
      <c r="DZT68" s="163"/>
      <c r="DZU68" s="164"/>
      <c r="DZV68" s="165"/>
      <c r="DZW68" s="165"/>
      <c r="DZX68" s="164"/>
      <c r="DZY68" s="166"/>
      <c r="DZZ68" s="164"/>
      <c r="EAA68" s="166"/>
      <c r="EAB68" s="167"/>
      <c r="EAC68" s="168"/>
      <c r="EAD68"/>
      <c r="EAE68" s="169"/>
      <c r="EAF68"/>
      <c r="EAG68" s="162"/>
      <c r="EAH68" s="170"/>
      <c r="EAI68"/>
      <c r="EAJ68" s="163"/>
      <c r="EAK68" s="164"/>
      <c r="EAL68" s="165"/>
      <c r="EAM68" s="165"/>
      <c r="EAN68" s="164"/>
      <c r="EAO68" s="166"/>
      <c r="EAP68" s="164"/>
      <c r="EAQ68" s="166"/>
      <c r="EAR68" s="167"/>
      <c r="EAS68" s="168"/>
      <c r="EAT68"/>
      <c r="EAU68" s="169"/>
      <c r="EAV68"/>
      <c r="EAW68" s="162"/>
      <c r="EAX68" s="170"/>
      <c r="EAY68"/>
      <c r="EAZ68" s="163"/>
      <c r="EBA68" s="164"/>
      <c r="EBB68" s="165"/>
      <c r="EBC68" s="165"/>
      <c r="EBD68" s="164"/>
      <c r="EBE68" s="166"/>
      <c r="EBF68" s="164"/>
      <c r="EBG68" s="166"/>
      <c r="EBH68" s="167"/>
      <c r="EBI68" s="168"/>
      <c r="EBJ68"/>
      <c r="EBK68" s="169"/>
      <c r="EBL68"/>
      <c r="EBM68" s="162"/>
      <c r="EBN68" s="170"/>
      <c r="EBO68"/>
      <c r="EBP68" s="163"/>
      <c r="EBQ68" s="164"/>
      <c r="EBR68" s="165"/>
      <c r="EBS68" s="165"/>
      <c r="EBT68" s="164"/>
      <c r="EBU68" s="166"/>
      <c r="EBV68" s="164"/>
      <c r="EBW68" s="166"/>
      <c r="EBX68" s="167"/>
      <c r="EBY68" s="168"/>
      <c r="EBZ68"/>
      <c r="ECA68" s="169"/>
      <c r="ECB68"/>
      <c r="ECC68" s="162"/>
      <c r="ECD68" s="170"/>
      <c r="ECE68"/>
      <c r="ECF68" s="163"/>
      <c r="ECG68" s="164"/>
      <c r="ECH68" s="165"/>
      <c r="ECI68" s="165"/>
      <c r="ECJ68" s="164"/>
      <c r="ECK68" s="166"/>
      <c r="ECL68" s="164"/>
      <c r="ECM68" s="166"/>
      <c r="ECN68" s="167"/>
      <c r="ECO68" s="168"/>
      <c r="ECP68"/>
      <c r="ECQ68" s="169"/>
      <c r="ECR68"/>
      <c r="ECS68" s="162"/>
      <c r="ECT68" s="170"/>
      <c r="ECU68"/>
      <c r="ECV68" s="163"/>
      <c r="ECW68" s="164"/>
      <c r="ECX68" s="165"/>
      <c r="ECY68" s="165"/>
      <c r="ECZ68" s="164"/>
      <c r="EDA68" s="166"/>
      <c r="EDB68" s="164"/>
      <c r="EDC68" s="166"/>
      <c r="EDD68" s="167"/>
      <c r="EDE68" s="168"/>
      <c r="EDF68"/>
      <c r="EDG68" s="169"/>
      <c r="EDH68"/>
      <c r="EDI68" s="162"/>
      <c r="EDJ68" s="170"/>
      <c r="EDK68"/>
      <c r="EDL68" s="163"/>
      <c r="EDM68" s="164"/>
      <c r="EDN68" s="165"/>
      <c r="EDO68" s="165"/>
      <c r="EDP68" s="164"/>
      <c r="EDQ68" s="166"/>
      <c r="EDR68" s="164"/>
      <c r="EDS68" s="166"/>
      <c r="EDT68" s="167"/>
      <c r="EDU68" s="168"/>
      <c r="EDV68"/>
      <c r="EDW68" s="169"/>
      <c r="EDX68"/>
      <c r="EDY68" s="162"/>
      <c r="EDZ68" s="170"/>
      <c r="EEA68"/>
      <c r="EEB68" s="163"/>
      <c r="EEC68" s="164"/>
      <c r="EED68" s="165"/>
      <c r="EEE68" s="165"/>
      <c r="EEF68" s="164"/>
      <c r="EEG68" s="166"/>
      <c r="EEH68" s="164"/>
      <c r="EEI68" s="166"/>
      <c r="EEJ68" s="167"/>
      <c r="EEK68" s="168"/>
      <c r="EEL68"/>
      <c r="EEM68" s="169"/>
      <c r="EEN68"/>
      <c r="EEO68" s="162"/>
      <c r="EEP68" s="170"/>
      <c r="EEQ68"/>
      <c r="EER68" s="163"/>
      <c r="EES68" s="164"/>
      <c r="EET68" s="165"/>
      <c r="EEU68" s="165"/>
      <c r="EEV68" s="164"/>
      <c r="EEW68" s="166"/>
      <c r="EEX68" s="164"/>
      <c r="EEY68" s="166"/>
      <c r="EEZ68" s="167"/>
      <c r="EFA68" s="168"/>
      <c r="EFB68"/>
      <c r="EFC68" s="169"/>
      <c r="EFD68"/>
      <c r="EFE68" s="162"/>
      <c r="EFF68" s="170"/>
      <c r="EFG68"/>
      <c r="EFH68" s="163"/>
      <c r="EFI68" s="164"/>
      <c r="EFJ68" s="165"/>
      <c r="EFK68" s="165"/>
      <c r="EFL68" s="164"/>
      <c r="EFM68" s="166"/>
      <c r="EFN68" s="164"/>
      <c r="EFO68" s="166"/>
      <c r="EFP68" s="167"/>
      <c r="EFQ68" s="168"/>
      <c r="EFR68"/>
      <c r="EFS68" s="169"/>
      <c r="EFT68"/>
      <c r="EFU68" s="162"/>
      <c r="EFV68" s="170"/>
      <c r="EFW68"/>
      <c r="EFX68" s="163"/>
      <c r="EFY68" s="164"/>
      <c r="EFZ68" s="165"/>
      <c r="EGA68" s="165"/>
      <c r="EGB68" s="164"/>
      <c r="EGC68" s="166"/>
      <c r="EGD68" s="164"/>
      <c r="EGE68" s="166"/>
      <c r="EGF68" s="167"/>
      <c r="EGG68" s="168"/>
      <c r="EGH68"/>
      <c r="EGI68" s="169"/>
      <c r="EGJ68"/>
      <c r="EGK68" s="162"/>
      <c r="EGL68" s="170"/>
      <c r="EGM68"/>
      <c r="EGN68" s="163"/>
      <c r="EGO68" s="164"/>
      <c r="EGP68" s="165"/>
      <c r="EGQ68" s="165"/>
      <c r="EGR68" s="164"/>
      <c r="EGS68" s="166"/>
      <c r="EGT68" s="164"/>
      <c r="EGU68" s="166"/>
      <c r="EGV68" s="167"/>
      <c r="EGW68" s="168"/>
      <c r="EGX68"/>
      <c r="EGY68" s="169"/>
      <c r="EGZ68"/>
      <c r="EHA68" s="162"/>
      <c r="EHB68" s="170"/>
      <c r="EHC68"/>
      <c r="EHD68" s="163"/>
      <c r="EHE68" s="164"/>
      <c r="EHF68" s="165"/>
      <c r="EHG68" s="165"/>
      <c r="EHH68" s="164"/>
      <c r="EHI68" s="166"/>
      <c r="EHJ68" s="164"/>
      <c r="EHK68" s="166"/>
      <c r="EHL68" s="167"/>
      <c r="EHM68" s="168"/>
      <c r="EHN68"/>
      <c r="EHO68" s="169"/>
      <c r="EHP68"/>
      <c r="EHQ68" s="162"/>
      <c r="EHR68" s="170"/>
      <c r="EHS68"/>
      <c r="EHT68" s="163"/>
      <c r="EHU68" s="164"/>
      <c r="EHV68" s="165"/>
      <c r="EHW68" s="165"/>
      <c r="EHX68" s="164"/>
      <c r="EHY68" s="166"/>
      <c r="EHZ68" s="164"/>
      <c r="EIA68" s="166"/>
      <c r="EIB68" s="167"/>
      <c r="EIC68" s="168"/>
      <c r="EID68"/>
      <c r="EIE68" s="169"/>
      <c r="EIF68"/>
      <c r="EIG68" s="162"/>
      <c r="EIH68" s="170"/>
      <c r="EII68"/>
      <c r="EIJ68" s="163"/>
      <c r="EIK68" s="164"/>
      <c r="EIL68" s="165"/>
      <c r="EIM68" s="165"/>
      <c r="EIN68" s="164"/>
      <c r="EIO68" s="166"/>
      <c r="EIP68" s="164"/>
      <c r="EIQ68" s="166"/>
      <c r="EIR68" s="167"/>
      <c r="EIS68" s="168"/>
      <c r="EIT68"/>
      <c r="EIU68" s="169"/>
      <c r="EIV68"/>
      <c r="EIW68" s="162"/>
      <c r="EIX68" s="170"/>
      <c r="EIY68"/>
      <c r="EIZ68" s="163"/>
      <c r="EJA68" s="164"/>
      <c r="EJB68" s="165"/>
      <c r="EJC68" s="165"/>
      <c r="EJD68" s="164"/>
      <c r="EJE68" s="166"/>
      <c r="EJF68" s="164"/>
      <c r="EJG68" s="166"/>
      <c r="EJH68" s="167"/>
      <c r="EJI68" s="168"/>
      <c r="EJJ68"/>
      <c r="EJK68" s="169"/>
      <c r="EJL68"/>
      <c r="EJM68" s="162"/>
      <c r="EJN68" s="170"/>
      <c r="EJO68"/>
      <c r="EJP68" s="163"/>
      <c r="EJQ68" s="164"/>
      <c r="EJR68" s="165"/>
      <c r="EJS68" s="165"/>
      <c r="EJT68" s="164"/>
      <c r="EJU68" s="166"/>
      <c r="EJV68" s="164"/>
      <c r="EJW68" s="166"/>
      <c r="EJX68" s="167"/>
      <c r="EJY68" s="168"/>
      <c r="EJZ68"/>
      <c r="EKA68" s="169"/>
      <c r="EKB68"/>
      <c r="EKC68" s="162"/>
      <c r="EKD68" s="170"/>
      <c r="EKE68"/>
      <c r="EKF68" s="163"/>
      <c r="EKG68" s="164"/>
      <c r="EKH68" s="165"/>
      <c r="EKI68" s="165"/>
      <c r="EKJ68" s="164"/>
      <c r="EKK68" s="166"/>
      <c r="EKL68" s="164"/>
      <c r="EKM68" s="166"/>
      <c r="EKN68" s="167"/>
      <c r="EKO68" s="168"/>
      <c r="EKP68"/>
      <c r="EKQ68" s="169"/>
      <c r="EKR68"/>
      <c r="EKS68" s="162"/>
      <c r="EKT68" s="170"/>
      <c r="EKU68"/>
      <c r="EKV68" s="163"/>
      <c r="EKW68" s="164"/>
      <c r="EKX68" s="165"/>
      <c r="EKY68" s="165"/>
      <c r="EKZ68" s="164"/>
      <c r="ELA68" s="166"/>
      <c r="ELB68" s="164"/>
      <c r="ELC68" s="166"/>
      <c r="ELD68" s="167"/>
      <c r="ELE68" s="168"/>
      <c r="ELF68"/>
      <c r="ELG68" s="169"/>
      <c r="ELH68"/>
      <c r="ELI68" s="162"/>
      <c r="ELJ68" s="170"/>
      <c r="ELK68"/>
      <c r="ELL68" s="163"/>
      <c r="ELM68" s="164"/>
      <c r="ELN68" s="165"/>
      <c r="ELO68" s="165"/>
      <c r="ELP68" s="164"/>
      <c r="ELQ68" s="166"/>
      <c r="ELR68" s="164"/>
      <c r="ELS68" s="166"/>
      <c r="ELT68" s="167"/>
      <c r="ELU68" s="168"/>
      <c r="ELV68"/>
      <c r="ELW68" s="169"/>
      <c r="ELX68"/>
      <c r="ELY68" s="162"/>
      <c r="ELZ68" s="170"/>
      <c r="EMA68"/>
      <c r="EMB68" s="163"/>
      <c r="EMC68" s="164"/>
      <c r="EMD68" s="165"/>
      <c r="EME68" s="165"/>
      <c r="EMF68" s="164"/>
      <c r="EMG68" s="166"/>
      <c r="EMH68" s="164"/>
      <c r="EMI68" s="166"/>
      <c r="EMJ68" s="167"/>
      <c r="EMK68" s="168"/>
      <c r="EML68"/>
      <c r="EMM68" s="169"/>
      <c r="EMN68"/>
      <c r="EMO68" s="162"/>
      <c r="EMP68" s="170"/>
      <c r="EMQ68"/>
      <c r="EMR68" s="163"/>
      <c r="EMS68" s="164"/>
      <c r="EMT68" s="165"/>
      <c r="EMU68" s="165"/>
      <c r="EMV68" s="164"/>
      <c r="EMW68" s="166"/>
      <c r="EMX68" s="164"/>
      <c r="EMY68" s="166"/>
      <c r="EMZ68" s="167"/>
      <c r="ENA68" s="168"/>
      <c r="ENB68"/>
      <c r="ENC68" s="169"/>
      <c r="END68"/>
      <c r="ENE68" s="162"/>
      <c r="ENF68" s="170"/>
      <c r="ENG68"/>
      <c r="ENH68" s="163"/>
      <c r="ENI68" s="164"/>
      <c r="ENJ68" s="165"/>
      <c r="ENK68" s="165"/>
      <c r="ENL68" s="164"/>
      <c r="ENM68" s="166"/>
      <c r="ENN68" s="164"/>
      <c r="ENO68" s="166"/>
      <c r="ENP68" s="167"/>
      <c r="ENQ68" s="168"/>
      <c r="ENR68"/>
      <c r="ENS68" s="169"/>
      <c r="ENT68"/>
      <c r="ENU68" s="162"/>
      <c r="ENV68" s="170"/>
      <c r="ENW68"/>
      <c r="ENX68" s="163"/>
      <c r="ENY68" s="164"/>
      <c r="ENZ68" s="165"/>
      <c r="EOA68" s="165"/>
      <c r="EOB68" s="164"/>
      <c r="EOC68" s="166"/>
      <c r="EOD68" s="164"/>
      <c r="EOE68" s="166"/>
      <c r="EOF68" s="167"/>
      <c r="EOG68" s="168"/>
      <c r="EOH68"/>
      <c r="EOI68" s="169"/>
      <c r="EOJ68"/>
      <c r="EOK68" s="162"/>
      <c r="EOL68" s="170"/>
      <c r="EOM68"/>
      <c r="EON68" s="163"/>
      <c r="EOO68" s="164"/>
      <c r="EOP68" s="165"/>
      <c r="EOQ68" s="165"/>
      <c r="EOR68" s="164"/>
      <c r="EOS68" s="166"/>
      <c r="EOT68" s="164"/>
      <c r="EOU68" s="166"/>
      <c r="EOV68" s="167"/>
      <c r="EOW68" s="168"/>
      <c r="EOX68"/>
      <c r="EOY68" s="169"/>
      <c r="EOZ68"/>
      <c r="EPA68" s="162"/>
      <c r="EPB68" s="170"/>
      <c r="EPC68"/>
      <c r="EPD68" s="163"/>
      <c r="EPE68" s="164"/>
      <c r="EPF68" s="165"/>
      <c r="EPG68" s="165"/>
      <c r="EPH68" s="164"/>
      <c r="EPI68" s="166"/>
      <c r="EPJ68" s="164"/>
      <c r="EPK68" s="166"/>
      <c r="EPL68" s="167"/>
      <c r="EPM68" s="168"/>
      <c r="EPN68"/>
      <c r="EPO68" s="169"/>
      <c r="EPP68"/>
      <c r="EPQ68" s="162"/>
      <c r="EPR68" s="170"/>
      <c r="EPS68"/>
      <c r="EPT68" s="163"/>
      <c r="EPU68" s="164"/>
      <c r="EPV68" s="165"/>
      <c r="EPW68" s="165"/>
      <c r="EPX68" s="164"/>
      <c r="EPY68" s="166"/>
      <c r="EPZ68" s="164"/>
      <c r="EQA68" s="166"/>
      <c r="EQB68" s="167"/>
      <c r="EQC68" s="168"/>
      <c r="EQD68"/>
      <c r="EQE68" s="169"/>
      <c r="EQF68"/>
      <c r="EQG68" s="162"/>
      <c r="EQH68" s="170"/>
      <c r="EQI68"/>
      <c r="EQJ68" s="163"/>
      <c r="EQK68" s="164"/>
      <c r="EQL68" s="165"/>
      <c r="EQM68" s="165"/>
      <c r="EQN68" s="164"/>
      <c r="EQO68" s="166"/>
      <c r="EQP68" s="164"/>
      <c r="EQQ68" s="166"/>
      <c r="EQR68" s="167"/>
      <c r="EQS68" s="168"/>
      <c r="EQT68"/>
      <c r="EQU68" s="169"/>
      <c r="EQV68"/>
      <c r="EQW68" s="162"/>
      <c r="EQX68" s="170"/>
      <c r="EQY68"/>
      <c r="EQZ68" s="163"/>
      <c r="ERA68" s="164"/>
      <c r="ERB68" s="165"/>
      <c r="ERC68" s="165"/>
      <c r="ERD68" s="164"/>
      <c r="ERE68" s="166"/>
      <c r="ERF68" s="164"/>
      <c r="ERG68" s="166"/>
      <c r="ERH68" s="167"/>
      <c r="ERI68" s="168"/>
      <c r="ERJ68"/>
      <c r="ERK68" s="169"/>
      <c r="ERL68"/>
      <c r="ERM68" s="162"/>
      <c r="ERN68" s="170"/>
      <c r="ERO68"/>
      <c r="ERP68" s="163"/>
      <c r="ERQ68" s="164"/>
      <c r="ERR68" s="165"/>
      <c r="ERS68" s="165"/>
      <c r="ERT68" s="164"/>
      <c r="ERU68" s="166"/>
      <c r="ERV68" s="164"/>
      <c r="ERW68" s="166"/>
      <c r="ERX68" s="167"/>
      <c r="ERY68" s="168"/>
      <c r="ERZ68"/>
      <c r="ESA68" s="169"/>
      <c r="ESB68"/>
      <c r="ESC68" s="162"/>
      <c r="ESD68" s="170"/>
      <c r="ESE68"/>
      <c r="ESF68" s="163"/>
      <c r="ESG68" s="164"/>
      <c r="ESH68" s="165"/>
      <c r="ESI68" s="165"/>
      <c r="ESJ68" s="164"/>
      <c r="ESK68" s="166"/>
      <c r="ESL68" s="164"/>
      <c r="ESM68" s="166"/>
      <c r="ESN68" s="167"/>
      <c r="ESO68" s="168"/>
      <c r="ESP68"/>
      <c r="ESQ68" s="169"/>
      <c r="ESR68"/>
      <c r="ESS68" s="162"/>
      <c r="EST68" s="170"/>
      <c r="ESU68"/>
      <c r="ESV68" s="163"/>
      <c r="ESW68" s="164"/>
      <c r="ESX68" s="165"/>
      <c r="ESY68" s="165"/>
      <c r="ESZ68" s="164"/>
      <c r="ETA68" s="166"/>
      <c r="ETB68" s="164"/>
      <c r="ETC68" s="166"/>
      <c r="ETD68" s="167"/>
      <c r="ETE68" s="168"/>
      <c r="ETF68"/>
      <c r="ETG68" s="169"/>
      <c r="ETH68"/>
      <c r="ETI68" s="162"/>
      <c r="ETJ68" s="170"/>
      <c r="ETK68"/>
      <c r="ETL68" s="163"/>
      <c r="ETM68" s="164"/>
      <c r="ETN68" s="165"/>
      <c r="ETO68" s="165"/>
      <c r="ETP68" s="164"/>
      <c r="ETQ68" s="166"/>
      <c r="ETR68" s="164"/>
      <c r="ETS68" s="166"/>
      <c r="ETT68" s="167"/>
      <c r="ETU68" s="168"/>
      <c r="ETV68"/>
      <c r="ETW68" s="169"/>
      <c r="ETX68"/>
      <c r="ETY68" s="162"/>
      <c r="ETZ68" s="170"/>
      <c r="EUA68"/>
      <c r="EUB68" s="163"/>
      <c r="EUC68" s="164"/>
      <c r="EUD68" s="165"/>
      <c r="EUE68" s="165"/>
      <c r="EUF68" s="164"/>
      <c r="EUG68" s="166"/>
      <c r="EUH68" s="164"/>
      <c r="EUI68" s="166"/>
      <c r="EUJ68" s="167"/>
      <c r="EUK68" s="168"/>
      <c r="EUL68"/>
      <c r="EUM68" s="169"/>
      <c r="EUN68"/>
      <c r="EUO68" s="162"/>
      <c r="EUP68" s="170"/>
      <c r="EUQ68"/>
      <c r="EUR68" s="163"/>
      <c r="EUS68" s="164"/>
      <c r="EUT68" s="165"/>
      <c r="EUU68" s="165"/>
      <c r="EUV68" s="164"/>
      <c r="EUW68" s="166"/>
      <c r="EUX68" s="164"/>
      <c r="EUY68" s="166"/>
      <c r="EUZ68" s="167"/>
      <c r="EVA68" s="168"/>
      <c r="EVB68"/>
      <c r="EVC68" s="169"/>
      <c r="EVD68"/>
      <c r="EVE68" s="162"/>
      <c r="EVF68" s="170"/>
      <c r="EVG68"/>
      <c r="EVH68" s="163"/>
      <c r="EVI68" s="164"/>
      <c r="EVJ68" s="165"/>
      <c r="EVK68" s="165"/>
      <c r="EVL68" s="164"/>
      <c r="EVM68" s="166"/>
      <c r="EVN68" s="164"/>
      <c r="EVO68" s="166"/>
      <c r="EVP68" s="167"/>
      <c r="EVQ68" s="168"/>
      <c r="EVR68"/>
      <c r="EVS68" s="169"/>
      <c r="EVT68"/>
      <c r="EVU68" s="162"/>
      <c r="EVV68" s="170"/>
      <c r="EVW68"/>
      <c r="EVX68" s="163"/>
      <c r="EVY68" s="164"/>
      <c r="EVZ68" s="165"/>
      <c r="EWA68" s="165"/>
      <c r="EWB68" s="164"/>
      <c r="EWC68" s="166"/>
      <c r="EWD68" s="164"/>
      <c r="EWE68" s="166"/>
      <c r="EWF68" s="167"/>
      <c r="EWG68" s="168"/>
      <c r="EWH68"/>
      <c r="EWI68" s="169"/>
      <c r="EWJ68"/>
      <c r="EWK68" s="162"/>
      <c r="EWL68" s="170"/>
      <c r="EWM68"/>
      <c r="EWN68" s="163"/>
      <c r="EWO68" s="164"/>
      <c r="EWP68" s="165"/>
      <c r="EWQ68" s="165"/>
      <c r="EWR68" s="164"/>
      <c r="EWS68" s="166"/>
      <c r="EWT68" s="164"/>
      <c r="EWU68" s="166"/>
      <c r="EWV68" s="167"/>
      <c r="EWW68" s="168"/>
      <c r="EWX68"/>
      <c r="EWY68" s="169"/>
      <c r="EWZ68"/>
      <c r="EXA68" s="162"/>
      <c r="EXB68" s="170"/>
      <c r="EXC68"/>
      <c r="EXD68" s="163"/>
      <c r="EXE68" s="164"/>
      <c r="EXF68" s="165"/>
      <c r="EXG68" s="165"/>
      <c r="EXH68" s="164"/>
      <c r="EXI68" s="166"/>
      <c r="EXJ68" s="164"/>
      <c r="EXK68" s="166"/>
      <c r="EXL68" s="167"/>
      <c r="EXM68" s="168"/>
      <c r="EXN68"/>
      <c r="EXO68" s="169"/>
      <c r="EXP68"/>
      <c r="EXQ68" s="162"/>
      <c r="EXR68" s="170"/>
      <c r="EXS68"/>
      <c r="EXT68" s="163"/>
      <c r="EXU68" s="164"/>
      <c r="EXV68" s="165"/>
      <c r="EXW68" s="165"/>
      <c r="EXX68" s="164"/>
      <c r="EXY68" s="166"/>
      <c r="EXZ68" s="164"/>
      <c r="EYA68" s="166"/>
      <c r="EYB68" s="167"/>
      <c r="EYC68" s="168"/>
      <c r="EYD68"/>
      <c r="EYE68" s="169"/>
      <c r="EYF68"/>
      <c r="EYG68" s="162"/>
      <c r="EYH68" s="170"/>
      <c r="EYI68"/>
      <c r="EYJ68" s="163"/>
      <c r="EYK68" s="164"/>
      <c r="EYL68" s="165"/>
      <c r="EYM68" s="165"/>
      <c r="EYN68" s="164"/>
      <c r="EYO68" s="166"/>
      <c r="EYP68" s="164"/>
      <c r="EYQ68" s="166"/>
      <c r="EYR68" s="167"/>
      <c r="EYS68" s="168"/>
      <c r="EYT68"/>
      <c r="EYU68" s="169"/>
      <c r="EYV68"/>
      <c r="EYW68" s="162"/>
      <c r="EYX68" s="170"/>
      <c r="EYY68"/>
      <c r="EYZ68" s="163"/>
      <c r="EZA68" s="164"/>
      <c r="EZB68" s="165"/>
      <c r="EZC68" s="165"/>
      <c r="EZD68" s="164"/>
      <c r="EZE68" s="166"/>
      <c r="EZF68" s="164"/>
      <c r="EZG68" s="166"/>
      <c r="EZH68" s="167"/>
      <c r="EZI68" s="168"/>
      <c r="EZJ68"/>
      <c r="EZK68" s="169"/>
      <c r="EZL68"/>
      <c r="EZM68" s="162"/>
      <c r="EZN68" s="170"/>
      <c r="EZO68"/>
      <c r="EZP68" s="163"/>
      <c r="EZQ68" s="164"/>
      <c r="EZR68" s="165"/>
      <c r="EZS68" s="165"/>
      <c r="EZT68" s="164"/>
      <c r="EZU68" s="166"/>
      <c r="EZV68" s="164"/>
      <c r="EZW68" s="166"/>
      <c r="EZX68" s="167"/>
      <c r="EZY68" s="168"/>
      <c r="EZZ68"/>
      <c r="FAA68" s="169"/>
      <c r="FAB68"/>
      <c r="FAC68" s="162"/>
      <c r="FAD68" s="170"/>
      <c r="FAE68"/>
      <c r="FAF68" s="163"/>
      <c r="FAG68" s="164"/>
      <c r="FAH68" s="165"/>
      <c r="FAI68" s="165"/>
      <c r="FAJ68" s="164"/>
      <c r="FAK68" s="166"/>
      <c r="FAL68" s="164"/>
      <c r="FAM68" s="166"/>
      <c r="FAN68" s="167"/>
      <c r="FAO68" s="168"/>
      <c r="FAP68"/>
      <c r="FAQ68" s="169"/>
      <c r="FAR68"/>
      <c r="FAS68" s="162"/>
      <c r="FAT68" s="170"/>
      <c r="FAU68"/>
      <c r="FAV68" s="163"/>
      <c r="FAW68" s="164"/>
      <c r="FAX68" s="165"/>
      <c r="FAY68" s="165"/>
      <c r="FAZ68" s="164"/>
      <c r="FBA68" s="166"/>
      <c r="FBB68" s="164"/>
      <c r="FBC68" s="166"/>
      <c r="FBD68" s="167"/>
      <c r="FBE68" s="168"/>
      <c r="FBF68"/>
      <c r="FBG68" s="169"/>
      <c r="FBH68"/>
      <c r="FBI68" s="162"/>
      <c r="FBJ68" s="170"/>
      <c r="FBK68"/>
      <c r="FBL68" s="163"/>
      <c r="FBM68" s="164"/>
      <c r="FBN68" s="165"/>
      <c r="FBO68" s="165"/>
      <c r="FBP68" s="164"/>
      <c r="FBQ68" s="166"/>
      <c r="FBR68" s="164"/>
      <c r="FBS68" s="166"/>
      <c r="FBT68" s="167"/>
      <c r="FBU68" s="168"/>
      <c r="FBV68"/>
      <c r="FBW68" s="169"/>
      <c r="FBX68"/>
      <c r="FBY68" s="162"/>
      <c r="FBZ68" s="170"/>
      <c r="FCA68"/>
      <c r="FCB68" s="163"/>
      <c r="FCC68" s="164"/>
      <c r="FCD68" s="165"/>
      <c r="FCE68" s="165"/>
      <c r="FCF68" s="164"/>
      <c r="FCG68" s="166"/>
      <c r="FCH68" s="164"/>
      <c r="FCI68" s="166"/>
      <c r="FCJ68" s="167"/>
      <c r="FCK68" s="168"/>
      <c r="FCL68"/>
      <c r="FCM68" s="169"/>
      <c r="FCN68"/>
      <c r="FCO68" s="162"/>
      <c r="FCP68" s="170"/>
      <c r="FCQ68"/>
      <c r="FCR68" s="163"/>
      <c r="FCS68" s="164"/>
      <c r="FCT68" s="165"/>
      <c r="FCU68" s="165"/>
      <c r="FCV68" s="164"/>
      <c r="FCW68" s="166"/>
      <c r="FCX68" s="164"/>
      <c r="FCY68" s="166"/>
      <c r="FCZ68" s="167"/>
      <c r="FDA68" s="168"/>
      <c r="FDB68"/>
      <c r="FDC68" s="169"/>
      <c r="FDD68"/>
      <c r="FDE68" s="162"/>
      <c r="FDF68" s="170"/>
      <c r="FDG68"/>
      <c r="FDH68" s="163"/>
      <c r="FDI68" s="164"/>
      <c r="FDJ68" s="165"/>
      <c r="FDK68" s="165"/>
      <c r="FDL68" s="164"/>
      <c r="FDM68" s="166"/>
      <c r="FDN68" s="164"/>
      <c r="FDO68" s="166"/>
      <c r="FDP68" s="167"/>
      <c r="FDQ68" s="168"/>
      <c r="FDR68"/>
      <c r="FDS68" s="169"/>
      <c r="FDT68"/>
      <c r="FDU68" s="162"/>
      <c r="FDV68" s="170"/>
      <c r="FDW68"/>
      <c r="FDX68" s="163"/>
      <c r="FDY68" s="164"/>
      <c r="FDZ68" s="165"/>
      <c r="FEA68" s="165"/>
      <c r="FEB68" s="164"/>
      <c r="FEC68" s="166"/>
      <c r="FED68" s="164"/>
      <c r="FEE68" s="166"/>
      <c r="FEF68" s="167"/>
      <c r="FEG68" s="168"/>
      <c r="FEH68"/>
      <c r="FEI68" s="169"/>
      <c r="FEJ68"/>
      <c r="FEK68" s="162"/>
      <c r="FEL68" s="170"/>
      <c r="FEM68"/>
      <c r="FEN68" s="163"/>
      <c r="FEO68" s="164"/>
      <c r="FEP68" s="165"/>
      <c r="FEQ68" s="165"/>
      <c r="FER68" s="164"/>
      <c r="FES68" s="166"/>
      <c r="FET68" s="164"/>
      <c r="FEU68" s="166"/>
      <c r="FEV68" s="167"/>
      <c r="FEW68" s="168"/>
      <c r="FEX68"/>
      <c r="FEY68" s="169"/>
      <c r="FEZ68"/>
      <c r="FFA68" s="162"/>
      <c r="FFB68" s="170"/>
      <c r="FFC68"/>
      <c r="FFD68" s="163"/>
      <c r="FFE68" s="164"/>
      <c r="FFF68" s="165"/>
      <c r="FFG68" s="165"/>
      <c r="FFH68" s="164"/>
      <c r="FFI68" s="166"/>
      <c r="FFJ68" s="164"/>
      <c r="FFK68" s="166"/>
      <c r="FFL68" s="167"/>
      <c r="FFM68" s="168"/>
      <c r="FFN68"/>
      <c r="FFO68" s="169"/>
      <c r="FFP68"/>
      <c r="FFQ68" s="162"/>
      <c r="FFR68" s="170"/>
      <c r="FFS68"/>
      <c r="FFT68" s="163"/>
      <c r="FFU68" s="164"/>
      <c r="FFV68" s="165"/>
      <c r="FFW68" s="165"/>
      <c r="FFX68" s="164"/>
      <c r="FFY68" s="166"/>
      <c r="FFZ68" s="164"/>
      <c r="FGA68" s="166"/>
      <c r="FGB68" s="167"/>
      <c r="FGC68" s="168"/>
      <c r="FGD68"/>
      <c r="FGE68" s="169"/>
      <c r="FGF68"/>
      <c r="FGG68" s="162"/>
      <c r="FGH68" s="170"/>
      <c r="FGI68"/>
      <c r="FGJ68" s="163"/>
      <c r="FGK68" s="164"/>
      <c r="FGL68" s="165"/>
      <c r="FGM68" s="165"/>
      <c r="FGN68" s="164"/>
      <c r="FGO68" s="166"/>
      <c r="FGP68" s="164"/>
      <c r="FGQ68" s="166"/>
      <c r="FGR68" s="167"/>
      <c r="FGS68" s="168"/>
      <c r="FGT68"/>
      <c r="FGU68" s="169"/>
      <c r="FGV68"/>
      <c r="FGW68" s="162"/>
      <c r="FGX68" s="170"/>
      <c r="FGY68"/>
      <c r="FGZ68" s="163"/>
      <c r="FHA68" s="164"/>
      <c r="FHB68" s="165"/>
      <c r="FHC68" s="165"/>
      <c r="FHD68" s="164"/>
      <c r="FHE68" s="166"/>
      <c r="FHF68" s="164"/>
      <c r="FHG68" s="166"/>
      <c r="FHH68" s="167"/>
      <c r="FHI68" s="168"/>
      <c r="FHJ68"/>
      <c r="FHK68" s="169"/>
      <c r="FHL68"/>
      <c r="FHM68" s="162"/>
      <c r="FHN68" s="170"/>
      <c r="FHO68"/>
      <c r="FHP68" s="163"/>
      <c r="FHQ68" s="164"/>
      <c r="FHR68" s="165"/>
      <c r="FHS68" s="165"/>
      <c r="FHT68" s="164"/>
      <c r="FHU68" s="166"/>
      <c r="FHV68" s="164"/>
      <c r="FHW68" s="166"/>
      <c r="FHX68" s="167"/>
      <c r="FHY68" s="168"/>
      <c r="FHZ68"/>
      <c r="FIA68" s="169"/>
      <c r="FIB68"/>
      <c r="FIC68" s="162"/>
      <c r="FID68" s="170"/>
      <c r="FIE68"/>
      <c r="FIF68" s="163"/>
      <c r="FIG68" s="164"/>
      <c r="FIH68" s="165"/>
      <c r="FII68" s="165"/>
      <c r="FIJ68" s="164"/>
      <c r="FIK68" s="166"/>
      <c r="FIL68" s="164"/>
      <c r="FIM68" s="166"/>
      <c r="FIN68" s="167"/>
      <c r="FIO68" s="168"/>
      <c r="FIP68"/>
      <c r="FIQ68" s="169"/>
      <c r="FIR68"/>
      <c r="FIS68" s="162"/>
      <c r="FIT68" s="170"/>
      <c r="FIU68"/>
      <c r="FIV68" s="163"/>
      <c r="FIW68" s="164"/>
      <c r="FIX68" s="165"/>
      <c r="FIY68" s="165"/>
      <c r="FIZ68" s="164"/>
      <c r="FJA68" s="166"/>
      <c r="FJB68" s="164"/>
      <c r="FJC68" s="166"/>
      <c r="FJD68" s="167"/>
      <c r="FJE68" s="168"/>
      <c r="FJF68"/>
      <c r="FJG68" s="169"/>
      <c r="FJH68"/>
      <c r="FJI68" s="162"/>
      <c r="FJJ68" s="170"/>
      <c r="FJK68"/>
      <c r="FJL68" s="163"/>
      <c r="FJM68" s="164"/>
      <c r="FJN68" s="165"/>
      <c r="FJO68" s="165"/>
      <c r="FJP68" s="164"/>
      <c r="FJQ68" s="166"/>
      <c r="FJR68" s="164"/>
      <c r="FJS68" s="166"/>
      <c r="FJT68" s="167"/>
      <c r="FJU68" s="168"/>
      <c r="FJV68"/>
      <c r="FJW68" s="169"/>
      <c r="FJX68"/>
      <c r="FJY68" s="162"/>
      <c r="FJZ68" s="170"/>
      <c r="FKA68"/>
      <c r="FKB68" s="163"/>
      <c r="FKC68" s="164"/>
      <c r="FKD68" s="165"/>
      <c r="FKE68" s="165"/>
      <c r="FKF68" s="164"/>
      <c r="FKG68" s="166"/>
      <c r="FKH68" s="164"/>
      <c r="FKI68" s="166"/>
      <c r="FKJ68" s="167"/>
      <c r="FKK68" s="168"/>
      <c r="FKL68"/>
      <c r="FKM68" s="169"/>
      <c r="FKN68"/>
      <c r="FKO68" s="162"/>
      <c r="FKP68" s="170"/>
      <c r="FKQ68"/>
      <c r="FKR68" s="163"/>
      <c r="FKS68" s="164"/>
      <c r="FKT68" s="165"/>
      <c r="FKU68" s="165"/>
      <c r="FKV68" s="164"/>
      <c r="FKW68" s="166"/>
      <c r="FKX68" s="164"/>
      <c r="FKY68" s="166"/>
      <c r="FKZ68" s="167"/>
      <c r="FLA68" s="168"/>
      <c r="FLB68"/>
      <c r="FLC68" s="169"/>
      <c r="FLD68"/>
      <c r="FLE68" s="162"/>
      <c r="FLF68" s="170"/>
      <c r="FLG68"/>
      <c r="FLH68" s="163"/>
      <c r="FLI68" s="164"/>
      <c r="FLJ68" s="165"/>
      <c r="FLK68" s="165"/>
      <c r="FLL68" s="164"/>
      <c r="FLM68" s="166"/>
      <c r="FLN68" s="164"/>
      <c r="FLO68" s="166"/>
      <c r="FLP68" s="167"/>
      <c r="FLQ68" s="168"/>
      <c r="FLR68"/>
      <c r="FLS68" s="169"/>
      <c r="FLT68"/>
      <c r="FLU68" s="162"/>
      <c r="FLV68" s="170"/>
      <c r="FLW68"/>
      <c r="FLX68" s="163"/>
      <c r="FLY68" s="164"/>
      <c r="FLZ68" s="165"/>
      <c r="FMA68" s="165"/>
      <c r="FMB68" s="164"/>
      <c r="FMC68" s="166"/>
      <c r="FMD68" s="164"/>
      <c r="FME68" s="166"/>
      <c r="FMF68" s="167"/>
      <c r="FMG68" s="168"/>
      <c r="FMH68"/>
      <c r="FMI68" s="169"/>
      <c r="FMJ68"/>
      <c r="FMK68" s="162"/>
      <c r="FML68" s="170"/>
      <c r="FMM68"/>
      <c r="FMN68" s="163"/>
      <c r="FMO68" s="164"/>
      <c r="FMP68" s="165"/>
      <c r="FMQ68" s="165"/>
      <c r="FMR68" s="164"/>
      <c r="FMS68" s="166"/>
      <c r="FMT68" s="164"/>
      <c r="FMU68" s="166"/>
      <c r="FMV68" s="167"/>
      <c r="FMW68" s="168"/>
      <c r="FMX68"/>
      <c r="FMY68" s="169"/>
      <c r="FMZ68"/>
      <c r="FNA68" s="162"/>
      <c r="FNB68" s="170"/>
      <c r="FNC68"/>
      <c r="FND68" s="163"/>
      <c r="FNE68" s="164"/>
      <c r="FNF68" s="165"/>
      <c r="FNG68" s="165"/>
      <c r="FNH68" s="164"/>
      <c r="FNI68" s="166"/>
      <c r="FNJ68" s="164"/>
      <c r="FNK68" s="166"/>
      <c r="FNL68" s="167"/>
      <c r="FNM68" s="168"/>
      <c r="FNN68"/>
      <c r="FNO68" s="169"/>
      <c r="FNP68"/>
      <c r="FNQ68" s="162"/>
      <c r="FNR68" s="170"/>
      <c r="FNS68"/>
      <c r="FNT68" s="163"/>
      <c r="FNU68" s="164"/>
      <c r="FNV68" s="165"/>
      <c r="FNW68" s="165"/>
      <c r="FNX68" s="164"/>
      <c r="FNY68" s="166"/>
      <c r="FNZ68" s="164"/>
      <c r="FOA68" s="166"/>
      <c r="FOB68" s="167"/>
      <c r="FOC68" s="168"/>
      <c r="FOD68"/>
      <c r="FOE68" s="169"/>
      <c r="FOF68"/>
      <c r="FOG68" s="162"/>
      <c r="FOH68" s="170"/>
      <c r="FOI68"/>
      <c r="FOJ68" s="163"/>
      <c r="FOK68" s="164"/>
      <c r="FOL68" s="165"/>
      <c r="FOM68" s="165"/>
      <c r="FON68" s="164"/>
      <c r="FOO68" s="166"/>
      <c r="FOP68" s="164"/>
      <c r="FOQ68" s="166"/>
      <c r="FOR68" s="167"/>
      <c r="FOS68" s="168"/>
      <c r="FOT68"/>
      <c r="FOU68" s="169"/>
      <c r="FOV68"/>
      <c r="FOW68" s="162"/>
      <c r="FOX68" s="170"/>
      <c r="FOY68"/>
      <c r="FOZ68" s="163"/>
      <c r="FPA68" s="164"/>
      <c r="FPB68" s="165"/>
      <c r="FPC68" s="165"/>
      <c r="FPD68" s="164"/>
      <c r="FPE68" s="166"/>
      <c r="FPF68" s="164"/>
      <c r="FPG68" s="166"/>
      <c r="FPH68" s="167"/>
      <c r="FPI68" s="168"/>
      <c r="FPJ68"/>
      <c r="FPK68" s="169"/>
      <c r="FPL68"/>
      <c r="FPM68" s="162"/>
      <c r="FPN68" s="170"/>
      <c r="FPO68"/>
      <c r="FPP68" s="163"/>
      <c r="FPQ68" s="164"/>
      <c r="FPR68" s="165"/>
      <c r="FPS68" s="165"/>
      <c r="FPT68" s="164"/>
      <c r="FPU68" s="166"/>
      <c r="FPV68" s="164"/>
      <c r="FPW68" s="166"/>
      <c r="FPX68" s="167"/>
      <c r="FPY68" s="168"/>
      <c r="FPZ68"/>
      <c r="FQA68" s="169"/>
      <c r="FQB68"/>
      <c r="FQC68" s="162"/>
      <c r="FQD68" s="170"/>
      <c r="FQE68"/>
      <c r="FQF68" s="163"/>
      <c r="FQG68" s="164"/>
      <c r="FQH68" s="165"/>
      <c r="FQI68" s="165"/>
      <c r="FQJ68" s="164"/>
      <c r="FQK68" s="166"/>
      <c r="FQL68" s="164"/>
      <c r="FQM68" s="166"/>
      <c r="FQN68" s="167"/>
      <c r="FQO68" s="168"/>
      <c r="FQP68"/>
      <c r="FQQ68" s="169"/>
      <c r="FQR68"/>
      <c r="FQS68" s="162"/>
      <c r="FQT68" s="170"/>
      <c r="FQU68"/>
      <c r="FQV68" s="163"/>
      <c r="FQW68" s="164"/>
      <c r="FQX68" s="165"/>
      <c r="FQY68" s="165"/>
      <c r="FQZ68" s="164"/>
      <c r="FRA68" s="166"/>
      <c r="FRB68" s="164"/>
      <c r="FRC68" s="166"/>
      <c r="FRD68" s="167"/>
      <c r="FRE68" s="168"/>
      <c r="FRF68"/>
      <c r="FRG68" s="169"/>
      <c r="FRH68"/>
      <c r="FRI68" s="162"/>
      <c r="FRJ68" s="170"/>
      <c r="FRK68"/>
      <c r="FRL68" s="163"/>
      <c r="FRM68" s="164"/>
      <c r="FRN68" s="165"/>
      <c r="FRO68" s="165"/>
      <c r="FRP68" s="164"/>
      <c r="FRQ68" s="166"/>
      <c r="FRR68" s="164"/>
      <c r="FRS68" s="166"/>
      <c r="FRT68" s="167"/>
      <c r="FRU68" s="168"/>
      <c r="FRV68"/>
      <c r="FRW68" s="169"/>
      <c r="FRX68"/>
      <c r="FRY68" s="162"/>
      <c r="FRZ68" s="170"/>
      <c r="FSA68"/>
      <c r="FSB68" s="163"/>
      <c r="FSC68" s="164"/>
      <c r="FSD68" s="165"/>
      <c r="FSE68" s="165"/>
      <c r="FSF68" s="164"/>
      <c r="FSG68" s="166"/>
      <c r="FSH68" s="164"/>
      <c r="FSI68" s="166"/>
      <c r="FSJ68" s="167"/>
      <c r="FSK68" s="168"/>
      <c r="FSL68"/>
      <c r="FSM68" s="169"/>
      <c r="FSN68"/>
      <c r="FSO68" s="162"/>
      <c r="FSP68" s="170"/>
      <c r="FSQ68"/>
      <c r="FSR68" s="163"/>
      <c r="FSS68" s="164"/>
      <c r="FST68" s="165"/>
      <c r="FSU68" s="165"/>
      <c r="FSV68" s="164"/>
      <c r="FSW68" s="166"/>
      <c r="FSX68" s="164"/>
      <c r="FSY68" s="166"/>
      <c r="FSZ68" s="167"/>
      <c r="FTA68" s="168"/>
      <c r="FTB68"/>
      <c r="FTC68" s="169"/>
      <c r="FTD68"/>
      <c r="FTE68" s="162"/>
      <c r="FTF68" s="170"/>
      <c r="FTG68"/>
      <c r="FTH68" s="163"/>
      <c r="FTI68" s="164"/>
      <c r="FTJ68" s="165"/>
      <c r="FTK68" s="165"/>
      <c r="FTL68" s="164"/>
      <c r="FTM68" s="166"/>
      <c r="FTN68" s="164"/>
      <c r="FTO68" s="166"/>
      <c r="FTP68" s="167"/>
      <c r="FTQ68" s="168"/>
      <c r="FTR68"/>
      <c r="FTS68" s="169"/>
      <c r="FTT68"/>
      <c r="FTU68" s="162"/>
      <c r="FTV68" s="170"/>
      <c r="FTW68"/>
      <c r="FTX68" s="163"/>
      <c r="FTY68" s="164"/>
      <c r="FTZ68" s="165"/>
      <c r="FUA68" s="165"/>
      <c r="FUB68" s="164"/>
      <c r="FUC68" s="166"/>
      <c r="FUD68" s="164"/>
      <c r="FUE68" s="166"/>
      <c r="FUF68" s="167"/>
      <c r="FUG68" s="168"/>
      <c r="FUH68"/>
      <c r="FUI68" s="169"/>
      <c r="FUJ68"/>
      <c r="FUK68" s="162"/>
      <c r="FUL68" s="170"/>
      <c r="FUM68"/>
      <c r="FUN68" s="163"/>
      <c r="FUO68" s="164"/>
      <c r="FUP68" s="165"/>
      <c r="FUQ68" s="165"/>
      <c r="FUR68" s="164"/>
      <c r="FUS68" s="166"/>
      <c r="FUT68" s="164"/>
      <c r="FUU68" s="166"/>
      <c r="FUV68" s="167"/>
      <c r="FUW68" s="168"/>
      <c r="FUX68"/>
      <c r="FUY68" s="169"/>
      <c r="FUZ68"/>
      <c r="FVA68" s="162"/>
      <c r="FVB68" s="170"/>
      <c r="FVC68"/>
      <c r="FVD68" s="163"/>
      <c r="FVE68" s="164"/>
      <c r="FVF68" s="165"/>
      <c r="FVG68" s="165"/>
      <c r="FVH68" s="164"/>
      <c r="FVI68" s="166"/>
      <c r="FVJ68" s="164"/>
      <c r="FVK68" s="166"/>
      <c r="FVL68" s="167"/>
      <c r="FVM68" s="168"/>
      <c r="FVN68"/>
      <c r="FVO68" s="169"/>
      <c r="FVP68"/>
      <c r="FVQ68" s="162"/>
      <c r="FVR68" s="170"/>
      <c r="FVS68"/>
      <c r="FVT68" s="163"/>
      <c r="FVU68" s="164"/>
      <c r="FVV68" s="165"/>
      <c r="FVW68" s="165"/>
      <c r="FVX68" s="164"/>
      <c r="FVY68" s="166"/>
      <c r="FVZ68" s="164"/>
      <c r="FWA68" s="166"/>
      <c r="FWB68" s="167"/>
      <c r="FWC68" s="168"/>
      <c r="FWD68"/>
      <c r="FWE68" s="169"/>
      <c r="FWF68"/>
      <c r="FWG68" s="162"/>
      <c r="FWH68" s="170"/>
      <c r="FWI68"/>
      <c r="FWJ68" s="163"/>
      <c r="FWK68" s="164"/>
      <c r="FWL68" s="165"/>
      <c r="FWM68" s="165"/>
      <c r="FWN68" s="164"/>
      <c r="FWO68" s="166"/>
      <c r="FWP68" s="164"/>
      <c r="FWQ68" s="166"/>
      <c r="FWR68" s="167"/>
      <c r="FWS68" s="168"/>
      <c r="FWT68"/>
      <c r="FWU68" s="169"/>
      <c r="FWV68"/>
      <c r="FWW68" s="162"/>
      <c r="FWX68" s="170"/>
      <c r="FWY68"/>
      <c r="FWZ68" s="163"/>
      <c r="FXA68" s="164"/>
      <c r="FXB68" s="165"/>
      <c r="FXC68" s="165"/>
      <c r="FXD68" s="164"/>
      <c r="FXE68" s="166"/>
      <c r="FXF68" s="164"/>
      <c r="FXG68" s="166"/>
      <c r="FXH68" s="167"/>
      <c r="FXI68" s="168"/>
      <c r="FXJ68"/>
      <c r="FXK68" s="169"/>
      <c r="FXL68"/>
      <c r="FXM68" s="162"/>
      <c r="FXN68" s="170"/>
      <c r="FXO68"/>
      <c r="FXP68" s="163"/>
      <c r="FXQ68" s="164"/>
      <c r="FXR68" s="165"/>
      <c r="FXS68" s="165"/>
      <c r="FXT68" s="164"/>
      <c r="FXU68" s="166"/>
      <c r="FXV68" s="164"/>
      <c r="FXW68" s="166"/>
      <c r="FXX68" s="167"/>
      <c r="FXY68" s="168"/>
      <c r="FXZ68"/>
      <c r="FYA68" s="169"/>
      <c r="FYB68"/>
      <c r="FYC68" s="162"/>
      <c r="FYD68" s="170"/>
      <c r="FYE68"/>
      <c r="FYF68" s="163"/>
      <c r="FYG68" s="164"/>
      <c r="FYH68" s="165"/>
      <c r="FYI68" s="165"/>
      <c r="FYJ68" s="164"/>
      <c r="FYK68" s="166"/>
      <c r="FYL68" s="164"/>
      <c r="FYM68" s="166"/>
      <c r="FYN68" s="167"/>
      <c r="FYO68" s="168"/>
      <c r="FYP68"/>
      <c r="FYQ68" s="169"/>
      <c r="FYR68"/>
      <c r="FYS68" s="162"/>
      <c r="FYT68" s="170"/>
      <c r="FYU68"/>
      <c r="FYV68" s="163"/>
      <c r="FYW68" s="164"/>
      <c r="FYX68" s="165"/>
      <c r="FYY68" s="165"/>
      <c r="FYZ68" s="164"/>
      <c r="FZA68" s="166"/>
      <c r="FZB68" s="164"/>
      <c r="FZC68" s="166"/>
      <c r="FZD68" s="167"/>
      <c r="FZE68" s="168"/>
      <c r="FZF68"/>
      <c r="FZG68" s="169"/>
      <c r="FZH68"/>
      <c r="FZI68" s="162"/>
      <c r="FZJ68" s="170"/>
      <c r="FZK68"/>
      <c r="FZL68" s="163"/>
      <c r="FZM68" s="164"/>
      <c r="FZN68" s="165"/>
      <c r="FZO68" s="165"/>
      <c r="FZP68" s="164"/>
      <c r="FZQ68" s="166"/>
      <c r="FZR68" s="164"/>
      <c r="FZS68" s="166"/>
      <c r="FZT68" s="167"/>
      <c r="FZU68" s="168"/>
      <c r="FZV68"/>
      <c r="FZW68" s="169"/>
      <c r="FZX68"/>
      <c r="FZY68" s="162"/>
      <c r="FZZ68" s="170"/>
      <c r="GAA68"/>
      <c r="GAB68" s="163"/>
      <c r="GAC68" s="164"/>
      <c r="GAD68" s="165"/>
      <c r="GAE68" s="165"/>
      <c r="GAF68" s="164"/>
      <c r="GAG68" s="166"/>
      <c r="GAH68" s="164"/>
      <c r="GAI68" s="166"/>
      <c r="GAJ68" s="167"/>
      <c r="GAK68" s="168"/>
      <c r="GAL68"/>
      <c r="GAM68" s="169"/>
      <c r="GAN68"/>
      <c r="GAO68" s="162"/>
      <c r="GAP68" s="170"/>
      <c r="GAQ68"/>
      <c r="GAR68" s="163"/>
      <c r="GAS68" s="164"/>
      <c r="GAT68" s="165"/>
      <c r="GAU68" s="165"/>
      <c r="GAV68" s="164"/>
      <c r="GAW68" s="166"/>
      <c r="GAX68" s="164"/>
      <c r="GAY68" s="166"/>
      <c r="GAZ68" s="167"/>
      <c r="GBA68" s="168"/>
      <c r="GBB68"/>
      <c r="GBC68" s="169"/>
      <c r="GBD68"/>
      <c r="GBE68" s="162"/>
      <c r="GBF68" s="170"/>
      <c r="GBG68"/>
      <c r="GBH68" s="163"/>
      <c r="GBI68" s="164"/>
      <c r="GBJ68" s="165"/>
      <c r="GBK68" s="165"/>
      <c r="GBL68" s="164"/>
      <c r="GBM68" s="166"/>
      <c r="GBN68" s="164"/>
      <c r="GBO68" s="166"/>
      <c r="GBP68" s="167"/>
      <c r="GBQ68" s="168"/>
      <c r="GBR68"/>
      <c r="GBS68" s="169"/>
      <c r="GBT68"/>
      <c r="GBU68" s="162"/>
      <c r="GBV68" s="170"/>
      <c r="GBW68"/>
      <c r="GBX68" s="163"/>
      <c r="GBY68" s="164"/>
      <c r="GBZ68" s="165"/>
      <c r="GCA68" s="165"/>
      <c r="GCB68" s="164"/>
      <c r="GCC68" s="166"/>
      <c r="GCD68" s="164"/>
      <c r="GCE68" s="166"/>
      <c r="GCF68" s="167"/>
      <c r="GCG68" s="168"/>
      <c r="GCH68"/>
      <c r="GCI68" s="169"/>
      <c r="GCJ68"/>
      <c r="GCK68" s="162"/>
      <c r="GCL68" s="170"/>
      <c r="GCM68"/>
      <c r="GCN68" s="163"/>
      <c r="GCO68" s="164"/>
      <c r="GCP68" s="165"/>
      <c r="GCQ68" s="165"/>
      <c r="GCR68" s="164"/>
      <c r="GCS68" s="166"/>
      <c r="GCT68" s="164"/>
      <c r="GCU68" s="166"/>
      <c r="GCV68" s="167"/>
      <c r="GCW68" s="168"/>
      <c r="GCX68"/>
      <c r="GCY68" s="169"/>
      <c r="GCZ68"/>
      <c r="GDA68" s="162"/>
      <c r="GDB68" s="170"/>
      <c r="GDC68"/>
      <c r="GDD68" s="163"/>
      <c r="GDE68" s="164"/>
      <c r="GDF68" s="165"/>
      <c r="GDG68" s="165"/>
      <c r="GDH68" s="164"/>
      <c r="GDI68" s="166"/>
      <c r="GDJ68" s="164"/>
      <c r="GDK68" s="166"/>
      <c r="GDL68" s="167"/>
      <c r="GDM68" s="168"/>
      <c r="GDN68"/>
      <c r="GDO68" s="169"/>
      <c r="GDP68"/>
      <c r="GDQ68" s="162"/>
      <c r="GDR68" s="170"/>
      <c r="GDS68"/>
      <c r="GDT68" s="163"/>
      <c r="GDU68" s="164"/>
      <c r="GDV68" s="165"/>
      <c r="GDW68" s="165"/>
      <c r="GDX68" s="164"/>
      <c r="GDY68" s="166"/>
      <c r="GDZ68" s="164"/>
      <c r="GEA68" s="166"/>
      <c r="GEB68" s="167"/>
      <c r="GEC68" s="168"/>
      <c r="GED68"/>
      <c r="GEE68" s="169"/>
      <c r="GEF68"/>
      <c r="GEG68" s="162"/>
      <c r="GEH68" s="170"/>
      <c r="GEI68"/>
      <c r="GEJ68" s="163"/>
      <c r="GEK68" s="164"/>
      <c r="GEL68" s="165"/>
      <c r="GEM68" s="165"/>
      <c r="GEN68" s="164"/>
      <c r="GEO68" s="166"/>
      <c r="GEP68" s="164"/>
      <c r="GEQ68" s="166"/>
      <c r="GER68" s="167"/>
      <c r="GES68" s="168"/>
      <c r="GET68"/>
      <c r="GEU68" s="169"/>
      <c r="GEV68"/>
      <c r="GEW68" s="162"/>
      <c r="GEX68" s="170"/>
      <c r="GEY68"/>
      <c r="GEZ68" s="163"/>
      <c r="GFA68" s="164"/>
      <c r="GFB68" s="165"/>
      <c r="GFC68" s="165"/>
      <c r="GFD68" s="164"/>
      <c r="GFE68" s="166"/>
      <c r="GFF68" s="164"/>
      <c r="GFG68" s="166"/>
      <c r="GFH68" s="167"/>
      <c r="GFI68" s="168"/>
      <c r="GFJ68"/>
      <c r="GFK68" s="169"/>
      <c r="GFL68"/>
      <c r="GFM68" s="162"/>
      <c r="GFN68" s="170"/>
      <c r="GFO68"/>
      <c r="GFP68" s="163"/>
      <c r="GFQ68" s="164"/>
      <c r="GFR68" s="165"/>
      <c r="GFS68" s="165"/>
      <c r="GFT68" s="164"/>
      <c r="GFU68" s="166"/>
      <c r="GFV68" s="164"/>
      <c r="GFW68" s="166"/>
      <c r="GFX68" s="167"/>
      <c r="GFY68" s="168"/>
      <c r="GFZ68"/>
      <c r="GGA68" s="169"/>
      <c r="GGB68"/>
      <c r="GGC68" s="162"/>
      <c r="GGD68" s="170"/>
      <c r="GGE68"/>
      <c r="GGF68" s="163"/>
      <c r="GGG68" s="164"/>
      <c r="GGH68" s="165"/>
      <c r="GGI68" s="165"/>
      <c r="GGJ68" s="164"/>
      <c r="GGK68" s="166"/>
      <c r="GGL68" s="164"/>
      <c r="GGM68" s="166"/>
      <c r="GGN68" s="167"/>
      <c r="GGO68" s="168"/>
      <c r="GGP68"/>
      <c r="GGQ68" s="169"/>
      <c r="GGR68"/>
      <c r="GGS68" s="162"/>
      <c r="GGT68" s="170"/>
      <c r="GGU68"/>
      <c r="GGV68" s="163"/>
      <c r="GGW68" s="164"/>
      <c r="GGX68" s="165"/>
      <c r="GGY68" s="165"/>
      <c r="GGZ68" s="164"/>
      <c r="GHA68" s="166"/>
      <c r="GHB68" s="164"/>
      <c r="GHC68" s="166"/>
      <c r="GHD68" s="167"/>
      <c r="GHE68" s="168"/>
      <c r="GHF68"/>
      <c r="GHG68" s="169"/>
      <c r="GHH68"/>
      <c r="GHI68" s="162"/>
      <c r="GHJ68" s="170"/>
      <c r="GHK68"/>
      <c r="GHL68" s="163"/>
      <c r="GHM68" s="164"/>
      <c r="GHN68" s="165"/>
      <c r="GHO68" s="165"/>
      <c r="GHP68" s="164"/>
      <c r="GHQ68" s="166"/>
      <c r="GHR68" s="164"/>
      <c r="GHS68" s="166"/>
      <c r="GHT68" s="167"/>
      <c r="GHU68" s="168"/>
      <c r="GHV68"/>
      <c r="GHW68" s="169"/>
      <c r="GHX68"/>
      <c r="GHY68" s="162"/>
      <c r="GHZ68" s="170"/>
      <c r="GIA68"/>
      <c r="GIB68" s="163"/>
      <c r="GIC68" s="164"/>
      <c r="GID68" s="165"/>
      <c r="GIE68" s="165"/>
      <c r="GIF68" s="164"/>
      <c r="GIG68" s="166"/>
      <c r="GIH68" s="164"/>
      <c r="GII68" s="166"/>
      <c r="GIJ68" s="167"/>
      <c r="GIK68" s="168"/>
      <c r="GIL68"/>
      <c r="GIM68" s="169"/>
      <c r="GIN68"/>
      <c r="GIO68" s="162"/>
      <c r="GIP68" s="170"/>
      <c r="GIQ68"/>
      <c r="GIR68" s="163"/>
      <c r="GIS68" s="164"/>
      <c r="GIT68" s="165"/>
      <c r="GIU68" s="165"/>
      <c r="GIV68" s="164"/>
      <c r="GIW68" s="166"/>
      <c r="GIX68" s="164"/>
      <c r="GIY68" s="166"/>
      <c r="GIZ68" s="167"/>
      <c r="GJA68" s="168"/>
      <c r="GJB68"/>
      <c r="GJC68" s="169"/>
      <c r="GJD68"/>
      <c r="GJE68" s="162"/>
      <c r="GJF68" s="170"/>
      <c r="GJG68"/>
      <c r="GJH68" s="163"/>
      <c r="GJI68" s="164"/>
      <c r="GJJ68" s="165"/>
      <c r="GJK68" s="165"/>
      <c r="GJL68" s="164"/>
      <c r="GJM68" s="166"/>
      <c r="GJN68" s="164"/>
      <c r="GJO68" s="166"/>
      <c r="GJP68" s="167"/>
      <c r="GJQ68" s="168"/>
      <c r="GJR68"/>
      <c r="GJS68" s="169"/>
      <c r="GJT68"/>
      <c r="GJU68" s="162"/>
      <c r="GJV68" s="170"/>
      <c r="GJW68"/>
      <c r="GJX68" s="163"/>
      <c r="GJY68" s="164"/>
      <c r="GJZ68" s="165"/>
      <c r="GKA68" s="165"/>
      <c r="GKB68" s="164"/>
      <c r="GKC68" s="166"/>
      <c r="GKD68" s="164"/>
      <c r="GKE68" s="166"/>
      <c r="GKF68" s="167"/>
      <c r="GKG68" s="168"/>
      <c r="GKH68"/>
      <c r="GKI68" s="169"/>
      <c r="GKJ68"/>
      <c r="GKK68" s="162"/>
      <c r="GKL68" s="170"/>
      <c r="GKM68"/>
      <c r="GKN68" s="163"/>
      <c r="GKO68" s="164"/>
      <c r="GKP68" s="165"/>
      <c r="GKQ68" s="165"/>
      <c r="GKR68" s="164"/>
      <c r="GKS68" s="166"/>
      <c r="GKT68" s="164"/>
      <c r="GKU68" s="166"/>
      <c r="GKV68" s="167"/>
      <c r="GKW68" s="168"/>
      <c r="GKX68"/>
      <c r="GKY68" s="169"/>
      <c r="GKZ68"/>
      <c r="GLA68" s="162"/>
      <c r="GLB68" s="170"/>
      <c r="GLC68"/>
      <c r="GLD68" s="163"/>
      <c r="GLE68" s="164"/>
      <c r="GLF68" s="165"/>
      <c r="GLG68" s="165"/>
      <c r="GLH68" s="164"/>
      <c r="GLI68" s="166"/>
      <c r="GLJ68" s="164"/>
      <c r="GLK68" s="166"/>
      <c r="GLL68" s="167"/>
      <c r="GLM68" s="168"/>
      <c r="GLN68"/>
      <c r="GLO68" s="169"/>
      <c r="GLP68"/>
      <c r="GLQ68" s="162"/>
      <c r="GLR68" s="170"/>
      <c r="GLS68"/>
      <c r="GLT68" s="163"/>
      <c r="GLU68" s="164"/>
      <c r="GLV68" s="165"/>
      <c r="GLW68" s="165"/>
      <c r="GLX68" s="164"/>
      <c r="GLY68" s="166"/>
      <c r="GLZ68" s="164"/>
      <c r="GMA68" s="166"/>
      <c r="GMB68" s="167"/>
      <c r="GMC68" s="168"/>
      <c r="GMD68"/>
      <c r="GME68" s="169"/>
      <c r="GMF68"/>
      <c r="GMG68" s="162"/>
      <c r="GMH68" s="170"/>
      <c r="GMI68"/>
      <c r="GMJ68" s="163"/>
      <c r="GMK68" s="164"/>
      <c r="GML68" s="165"/>
      <c r="GMM68" s="165"/>
      <c r="GMN68" s="164"/>
      <c r="GMO68" s="166"/>
      <c r="GMP68" s="164"/>
      <c r="GMQ68" s="166"/>
      <c r="GMR68" s="167"/>
      <c r="GMS68" s="168"/>
      <c r="GMT68"/>
      <c r="GMU68" s="169"/>
      <c r="GMV68"/>
      <c r="GMW68" s="162"/>
      <c r="GMX68" s="170"/>
      <c r="GMY68"/>
      <c r="GMZ68" s="163"/>
      <c r="GNA68" s="164"/>
      <c r="GNB68" s="165"/>
      <c r="GNC68" s="165"/>
      <c r="GND68" s="164"/>
      <c r="GNE68" s="166"/>
      <c r="GNF68" s="164"/>
      <c r="GNG68" s="166"/>
      <c r="GNH68" s="167"/>
      <c r="GNI68" s="168"/>
      <c r="GNJ68"/>
      <c r="GNK68" s="169"/>
      <c r="GNL68"/>
      <c r="GNM68" s="162"/>
      <c r="GNN68" s="170"/>
      <c r="GNO68"/>
      <c r="GNP68" s="163"/>
      <c r="GNQ68" s="164"/>
      <c r="GNR68" s="165"/>
      <c r="GNS68" s="165"/>
      <c r="GNT68" s="164"/>
      <c r="GNU68" s="166"/>
      <c r="GNV68" s="164"/>
      <c r="GNW68" s="166"/>
      <c r="GNX68" s="167"/>
      <c r="GNY68" s="168"/>
      <c r="GNZ68"/>
      <c r="GOA68" s="169"/>
      <c r="GOB68"/>
      <c r="GOC68" s="162"/>
      <c r="GOD68" s="170"/>
      <c r="GOE68"/>
      <c r="GOF68" s="163"/>
      <c r="GOG68" s="164"/>
      <c r="GOH68" s="165"/>
      <c r="GOI68" s="165"/>
      <c r="GOJ68" s="164"/>
      <c r="GOK68" s="166"/>
      <c r="GOL68" s="164"/>
      <c r="GOM68" s="166"/>
      <c r="GON68" s="167"/>
      <c r="GOO68" s="168"/>
      <c r="GOP68"/>
      <c r="GOQ68" s="169"/>
      <c r="GOR68"/>
      <c r="GOS68" s="162"/>
      <c r="GOT68" s="170"/>
      <c r="GOU68"/>
      <c r="GOV68" s="163"/>
      <c r="GOW68" s="164"/>
      <c r="GOX68" s="165"/>
      <c r="GOY68" s="165"/>
      <c r="GOZ68" s="164"/>
      <c r="GPA68" s="166"/>
      <c r="GPB68" s="164"/>
      <c r="GPC68" s="166"/>
      <c r="GPD68" s="167"/>
      <c r="GPE68" s="168"/>
      <c r="GPF68"/>
      <c r="GPG68" s="169"/>
      <c r="GPH68"/>
      <c r="GPI68" s="162"/>
      <c r="GPJ68" s="170"/>
      <c r="GPK68"/>
      <c r="GPL68" s="163"/>
      <c r="GPM68" s="164"/>
      <c r="GPN68" s="165"/>
      <c r="GPO68" s="165"/>
      <c r="GPP68" s="164"/>
      <c r="GPQ68" s="166"/>
      <c r="GPR68" s="164"/>
      <c r="GPS68" s="166"/>
      <c r="GPT68" s="167"/>
      <c r="GPU68" s="168"/>
      <c r="GPV68"/>
      <c r="GPW68" s="169"/>
      <c r="GPX68"/>
      <c r="GPY68" s="162"/>
      <c r="GPZ68" s="170"/>
      <c r="GQA68"/>
      <c r="GQB68" s="163"/>
      <c r="GQC68" s="164"/>
      <c r="GQD68" s="165"/>
      <c r="GQE68" s="165"/>
      <c r="GQF68" s="164"/>
      <c r="GQG68" s="166"/>
      <c r="GQH68" s="164"/>
      <c r="GQI68" s="166"/>
      <c r="GQJ68" s="167"/>
      <c r="GQK68" s="168"/>
      <c r="GQL68"/>
      <c r="GQM68" s="169"/>
      <c r="GQN68"/>
      <c r="GQO68" s="162"/>
      <c r="GQP68" s="170"/>
      <c r="GQQ68"/>
      <c r="GQR68" s="163"/>
      <c r="GQS68" s="164"/>
      <c r="GQT68" s="165"/>
      <c r="GQU68" s="165"/>
      <c r="GQV68" s="164"/>
      <c r="GQW68" s="166"/>
      <c r="GQX68" s="164"/>
      <c r="GQY68" s="166"/>
      <c r="GQZ68" s="167"/>
      <c r="GRA68" s="168"/>
      <c r="GRB68"/>
      <c r="GRC68" s="169"/>
      <c r="GRD68"/>
      <c r="GRE68" s="162"/>
      <c r="GRF68" s="170"/>
      <c r="GRG68"/>
      <c r="GRH68" s="163"/>
      <c r="GRI68" s="164"/>
      <c r="GRJ68" s="165"/>
      <c r="GRK68" s="165"/>
      <c r="GRL68" s="164"/>
      <c r="GRM68" s="166"/>
      <c r="GRN68" s="164"/>
      <c r="GRO68" s="166"/>
      <c r="GRP68" s="167"/>
      <c r="GRQ68" s="168"/>
      <c r="GRR68"/>
      <c r="GRS68" s="169"/>
      <c r="GRT68"/>
      <c r="GRU68" s="162"/>
      <c r="GRV68" s="170"/>
      <c r="GRW68"/>
      <c r="GRX68" s="163"/>
      <c r="GRY68" s="164"/>
      <c r="GRZ68" s="165"/>
      <c r="GSA68" s="165"/>
      <c r="GSB68" s="164"/>
      <c r="GSC68" s="166"/>
      <c r="GSD68" s="164"/>
      <c r="GSE68" s="166"/>
      <c r="GSF68" s="167"/>
      <c r="GSG68" s="168"/>
      <c r="GSH68"/>
      <c r="GSI68" s="169"/>
      <c r="GSJ68"/>
      <c r="GSK68" s="162"/>
      <c r="GSL68" s="170"/>
      <c r="GSM68"/>
      <c r="GSN68" s="163"/>
      <c r="GSO68" s="164"/>
      <c r="GSP68" s="165"/>
      <c r="GSQ68" s="165"/>
      <c r="GSR68" s="164"/>
      <c r="GSS68" s="166"/>
      <c r="GST68" s="164"/>
      <c r="GSU68" s="166"/>
      <c r="GSV68" s="167"/>
      <c r="GSW68" s="168"/>
      <c r="GSX68"/>
      <c r="GSY68" s="169"/>
      <c r="GSZ68"/>
      <c r="GTA68" s="162"/>
      <c r="GTB68" s="170"/>
      <c r="GTC68"/>
      <c r="GTD68" s="163"/>
      <c r="GTE68" s="164"/>
      <c r="GTF68" s="165"/>
      <c r="GTG68" s="165"/>
      <c r="GTH68" s="164"/>
      <c r="GTI68" s="166"/>
      <c r="GTJ68" s="164"/>
      <c r="GTK68" s="166"/>
      <c r="GTL68" s="167"/>
      <c r="GTM68" s="168"/>
      <c r="GTN68"/>
      <c r="GTO68" s="169"/>
      <c r="GTP68"/>
      <c r="GTQ68" s="162"/>
      <c r="GTR68" s="170"/>
      <c r="GTS68"/>
      <c r="GTT68" s="163"/>
      <c r="GTU68" s="164"/>
      <c r="GTV68" s="165"/>
      <c r="GTW68" s="165"/>
      <c r="GTX68" s="164"/>
      <c r="GTY68" s="166"/>
      <c r="GTZ68" s="164"/>
      <c r="GUA68" s="166"/>
      <c r="GUB68" s="167"/>
      <c r="GUC68" s="168"/>
      <c r="GUD68"/>
      <c r="GUE68" s="169"/>
      <c r="GUF68"/>
      <c r="GUG68" s="162"/>
      <c r="GUH68" s="170"/>
      <c r="GUI68"/>
      <c r="GUJ68" s="163"/>
      <c r="GUK68" s="164"/>
      <c r="GUL68" s="165"/>
      <c r="GUM68" s="165"/>
      <c r="GUN68" s="164"/>
      <c r="GUO68" s="166"/>
      <c r="GUP68" s="164"/>
      <c r="GUQ68" s="166"/>
      <c r="GUR68" s="167"/>
      <c r="GUS68" s="168"/>
      <c r="GUT68"/>
      <c r="GUU68" s="169"/>
      <c r="GUV68"/>
      <c r="GUW68" s="162"/>
      <c r="GUX68" s="170"/>
      <c r="GUY68"/>
      <c r="GUZ68" s="163"/>
      <c r="GVA68" s="164"/>
      <c r="GVB68" s="165"/>
      <c r="GVC68" s="165"/>
      <c r="GVD68" s="164"/>
      <c r="GVE68" s="166"/>
      <c r="GVF68" s="164"/>
      <c r="GVG68" s="166"/>
      <c r="GVH68" s="167"/>
      <c r="GVI68" s="168"/>
      <c r="GVJ68"/>
      <c r="GVK68" s="169"/>
      <c r="GVL68"/>
      <c r="GVM68" s="162"/>
      <c r="GVN68" s="170"/>
      <c r="GVO68"/>
      <c r="GVP68" s="163"/>
      <c r="GVQ68" s="164"/>
      <c r="GVR68" s="165"/>
      <c r="GVS68" s="165"/>
      <c r="GVT68" s="164"/>
      <c r="GVU68" s="166"/>
      <c r="GVV68" s="164"/>
      <c r="GVW68" s="166"/>
      <c r="GVX68" s="167"/>
      <c r="GVY68" s="168"/>
      <c r="GVZ68"/>
      <c r="GWA68" s="169"/>
      <c r="GWB68"/>
      <c r="GWC68" s="162"/>
      <c r="GWD68" s="170"/>
      <c r="GWE68"/>
      <c r="GWF68" s="163"/>
      <c r="GWG68" s="164"/>
      <c r="GWH68" s="165"/>
      <c r="GWI68" s="165"/>
      <c r="GWJ68" s="164"/>
      <c r="GWK68" s="166"/>
      <c r="GWL68" s="164"/>
      <c r="GWM68" s="166"/>
      <c r="GWN68" s="167"/>
      <c r="GWO68" s="168"/>
      <c r="GWP68"/>
      <c r="GWQ68" s="169"/>
      <c r="GWR68"/>
      <c r="GWS68" s="162"/>
      <c r="GWT68" s="170"/>
      <c r="GWU68"/>
      <c r="GWV68" s="163"/>
      <c r="GWW68" s="164"/>
      <c r="GWX68" s="165"/>
      <c r="GWY68" s="165"/>
      <c r="GWZ68" s="164"/>
      <c r="GXA68" s="166"/>
      <c r="GXB68" s="164"/>
      <c r="GXC68" s="166"/>
      <c r="GXD68" s="167"/>
      <c r="GXE68" s="168"/>
      <c r="GXF68"/>
      <c r="GXG68" s="169"/>
      <c r="GXH68"/>
      <c r="GXI68" s="162"/>
      <c r="GXJ68" s="170"/>
      <c r="GXK68"/>
      <c r="GXL68" s="163"/>
      <c r="GXM68" s="164"/>
      <c r="GXN68" s="165"/>
      <c r="GXO68" s="165"/>
      <c r="GXP68" s="164"/>
      <c r="GXQ68" s="166"/>
      <c r="GXR68" s="164"/>
      <c r="GXS68" s="166"/>
      <c r="GXT68" s="167"/>
      <c r="GXU68" s="168"/>
      <c r="GXV68"/>
      <c r="GXW68" s="169"/>
      <c r="GXX68"/>
      <c r="GXY68" s="162"/>
      <c r="GXZ68" s="170"/>
      <c r="GYA68"/>
      <c r="GYB68" s="163"/>
      <c r="GYC68" s="164"/>
      <c r="GYD68" s="165"/>
      <c r="GYE68" s="165"/>
      <c r="GYF68" s="164"/>
      <c r="GYG68" s="166"/>
      <c r="GYH68" s="164"/>
      <c r="GYI68" s="166"/>
      <c r="GYJ68" s="167"/>
      <c r="GYK68" s="168"/>
      <c r="GYL68"/>
      <c r="GYM68" s="169"/>
      <c r="GYN68"/>
      <c r="GYO68" s="162"/>
      <c r="GYP68" s="170"/>
      <c r="GYQ68"/>
      <c r="GYR68" s="163"/>
      <c r="GYS68" s="164"/>
      <c r="GYT68" s="165"/>
      <c r="GYU68" s="165"/>
      <c r="GYV68" s="164"/>
      <c r="GYW68" s="166"/>
      <c r="GYX68" s="164"/>
      <c r="GYY68" s="166"/>
      <c r="GYZ68" s="167"/>
      <c r="GZA68" s="168"/>
      <c r="GZB68"/>
      <c r="GZC68" s="169"/>
      <c r="GZD68"/>
      <c r="GZE68" s="162"/>
      <c r="GZF68" s="170"/>
      <c r="GZG68"/>
      <c r="GZH68" s="163"/>
      <c r="GZI68" s="164"/>
      <c r="GZJ68" s="165"/>
      <c r="GZK68" s="165"/>
      <c r="GZL68" s="164"/>
      <c r="GZM68" s="166"/>
      <c r="GZN68" s="164"/>
      <c r="GZO68" s="166"/>
      <c r="GZP68" s="167"/>
      <c r="GZQ68" s="168"/>
      <c r="GZR68"/>
      <c r="GZS68" s="169"/>
      <c r="GZT68"/>
      <c r="GZU68" s="162"/>
      <c r="GZV68" s="170"/>
      <c r="GZW68"/>
      <c r="GZX68" s="163"/>
      <c r="GZY68" s="164"/>
      <c r="GZZ68" s="165"/>
      <c r="HAA68" s="165"/>
      <c r="HAB68" s="164"/>
      <c r="HAC68" s="166"/>
      <c r="HAD68" s="164"/>
      <c r="HAE68" s="166"/>
      <c r="HAF68" s="167"/>
      <c r="HAG68" s="168"/>
      <c r="HAH68"/>
      <c r="HAI68" s="169"/>
      <c r="HAJ68"/>
      <c r="HAK68" s="162"/>
      <c r="HAL68" s="170"/>
      <c r="HAM68"/>
      <c r="HAN68" s="163"/>
      <c r="HAO68" s="164"/>
      <c r="HAP68" s="165"/>
      <c r="HAQ68" s="165"/>
      <c r="HAR68" s="164"/>
      <c r="HAS68" s="166"/>
      <c r="HAT68" s="164"/>
      <c r="HAU68" s="166"/>
      <c r="HAV68" s="167"/>
      <c r="HAW68" s="168"/>
      <c r="HAX68"/>
      <c r="HAY68" s="169"/>
      <c r="HAZ68"/>
      <c r="HBA68" s="162"/>
      <c r="HBB68" s="170"/>
      <c r="HBC68"/>
      <c r="HBD68" s="163"/>
      <c r="HBE68" s="164"/>
      <c r="HBF68" s="165"/>
      <c r="HBG68" s="165"/>
      <c r="HBH68" s="164"/>
      <c r="HBI68" s="166"/>
      <c r="HBJ68" s="164"/>
      <c r="HBK68" s="166"/>
      <c r="HBL68" s="167"/>
      <c r="HBM68" s="168"/>
      <c r="HBN68"/>
      <c r="HBO68" s="169"/>
      <c r="HBP68"/>
      <c r="HBQ68" s="162"/>
      <c r="HBR68" s="170"/>
      <c r="HBS68"/>
      <c r="HBT68" s="163"/>
      <c r="HBU68" s="164"/>
      <c r="HBV68" s="165"/>
      <c r="HBW68" s="165"/>
      <c r="HBX68" s="164"/>
      <c r="HBY68" s="166"/>
      <c r="HBZ68" s="164"/>
      <c r="HCA68" s="166"/>
      <c r="HCB68" s="167"/>
      <c r="HCC68" s="168"/>
      <c r="HCD68"/>
      <c r="HCE68" s="169"/>
      <c r="HCF68"/>
      <c r="HCG68" s="162"/>
      <c r="HCH68" s="170"/>
      <c r="HCI68"/>
      <c r="HCJ68" s="163"/>
      <c r="HCK68" s="164"/>
      <c r="HCL68" s="165"/>
      <c r="HCM68" s="165"/>
      <c r="HCN68" s="164"/>
      <c r="HCO68" s="166"/>
      <c r="HCP68" s="164"/>
      <c r="HCQ68" s="166"/>
      <c r="HCR68" s="167"/>
      <c r="HCS68" s="168"/>
      <c r="HCT68"/>
      <c r="HCU68" s="169"/>
      <c r="HCV68"/>
      <c r="HCW68" s="162"/>
      <c r="HCX68" s="170"/>
      <c r="HCY68"/>
      <c r="HCZ68" s="163"/>
      <c r="HDA68" s="164"/>
      <c r="HDB68" s="165"/>
      <c r="HDC68" s="165"/>
      <c r="HDD68" s="164"/>
      <c r="HDE68" s="166"/>
      <c r="HDF68" s="164"/>
      <c r="HDG68" s="166"/>
      <c r="HDH68" s="167"/>
      <c r="HDI68" s="168"/>
      <c r="HDJ68"/>
      <c r="HDK68" s="169"/>
      <c r="HDL68"/>
      <c r="HDM68" s="162"/>
      <c r="HDN68" s="170"/>
      <c r="HDO68"/>
      <c r="HDP68" s="163"/>
      <c r="HDQ68" s="164"/>
      <c r="HDR68" s="165"/>
      <c r="HDS68" s="165"/>
      <c r="HDT68" s="164"/>
      <c r="HDU68" s="166"/>
      <c r="HDV68" s="164"/>
      <c r="HDW68" s="166"/>
      <c r="HDX68" s="167"/>
      <c r="HDY68" s="168"/>
      <c r="HDZ68"/>
      <c r="HEA68" s="169"/>
      <c r="HEB68"/>
      <c r="HEC68" s="162"/>
      <c r="HED68" s="170"/>
      <c r="HEE68"/>
      <c r="HEF68" s="163"/>
      <c r="HEG68" s="164"/>
      <c r="HEH68" s="165"/>
      <c r="HEI68" s="165"/>
      <c r="HEJ68" s="164"/>
      <c r="HEK68" s="166"/>
      <c r="HEL68" s="164"/>
      <c r="HEM68" s="166"/>
      <c r="HEN68" s="167"/>
      <c r="HEO68" s="168"/>
      <c r="HEP68"/>
      <c r="HEQ68" s="169"/>
      <c r="HER68"/>
      <c r="HES68" s="162"/>
      <c r="HET68" s="170"/>
      <c r="HEU68"/>
      <c r="HEV68" s="163"/>
      <c r="HEW68" s="164"/>
      <c r="HEX68" s="165"/>
      <c r="HEY68" s="165"/>
      <c r="HEZ68" s="164"/>
      <c r="HFA68" s="166"/>
      <c r="HFB68" s="164"/>
      <c r="HFC68" s="166"/>
      <c r="HFD68" s="167"/>
      <c r="HFE68" s="168"/>
      <c r="HFF68"/>
      <c r="HFG68" s="169"/>
      <c r="HFH68"/>
      <c r="HFI68" s="162"/>
      <c r="HFJ68" s="170"/>
      <c r="HFK68"/>
      <c r="HFL68" s="163"/>
      <c r="HFM68" s="164"/>
      <c r="HFN68" s="165"/>
      <c r="HFO68" s="165"/>
      <c r="HFP68" s="164"/>
      <c r="HFQ68" s="166"/>
      <c r="HFR68" s="164"/>
      <c r="HFS68" s="166"/>
      <c r="HFT68" s="167"/>
      <c r="HFU68" s="168"/>
      <c r="HFV68"/>
      <c r="HFW68" s="169"/>
      <c r="HFX68"/>
      <c r="HFY68" s="162"/>
      <c r="HFZ68" s="170"/>
      <c r="HGA68"/>
      <c r="HGB68" s="163"/>
      <c r="HGC68" s="164"/>
      <c r="HGD68" s="165"/>
      <c r="HGE68" s="165"/>
      <c r="HGF68" s="164"/>
      <c r="HGG68" s="166"/>
      <c r="HGH68" s="164"/>
      <c r="HGI68" s="166"/>
      <c r="HGJ68" s="167"/>
      <c r="HGK68" s="168"/>
      <c r="HGL68"/>
      <c r="HGM68" s="169"/>
      <c r="HGN68"/>
      <c r="HGO68" s="162"/>
      <c r="HGP68" s="170"/>
      <c r="HGQ68"/>
      <c r="HGR68" s="163"/>
      <c r="HGS68" s="164"/>
      <c r="HGT68" s="165"/>
      <c r="HGU68" s="165"/>
      <c r="HGV68" s="164"/>
      <c r="HGW68" s="166"/>
      <c r="HGX68" s="164"/>
      <c r="HGY68" s="166"/>
      <c r="HGZ68" s="167"/>
      <c r="HHA68" s="168"/>
      <c r="HHB68"/>
      <c r="HHC68" s="169"/>
      <c r="HHD68"/>
      <c r="HHE68" s="162"/>
      <c r="HHF68" s="170"/>
      <c r="HHG68"/>
      <c r="HHH68" s="163"/>
      <c r="HHI68" s="164"/>
      <c r="HHJ68" s="165"/>
      <c r="HHK68" s="165"/>
      <c r="HHL68" s="164"/>
      <c r="HHM68" s="166"/>
      <c r="HHN68" s="164"/>
      <c r="HHO68" s="166"/>
      <c r="HHP68" s="167"/>
      <c r="HHQ68" s="168"/>
      <c r="HHR68"/>
      <c r="HHS68" s="169"/>
      <c r="HHT68"/>
      <c r="HHU68" s="162"/>
      <c r="HHV68" s="170"/>
      <c r="HHW68"/>
      <c r="HHX68" s="163"/>
      <c r="HHY68" s="164"/>
      <c r="HHZ68" s="165"/>
      <c r="HIA68" s="165"/>
      <c r="HIB68" s="164"/>
      <c r="HIC68" s="166"/>
      <c r="HID68" s="164"/>
      <c r="HIE68" s="166"/>
      <c r="HIF68" s="167"/>
      <c r="HIG68" s="168"/>
      <c r="HIH68"/>
      <c r="HII68" s="169"/>
      <c r="HIJ68"/>
      <c r="HIK68" s="162"/>
      <c r="HIL68" s="170"/>
      <c r="HIM68"/>
      <c r="HIN68" s="163"/>
      <c r="HIO68" s="164"/>
      <c r="HIP68" s="165"/>
      <c r="HIQ68" s="165"/>
      <c r="HIR68" s="164"/>
      <c r="HIS68" s="166"/>
      <c r="HIT68" s="164"/>
      <c r="HIU68" s="166"/>
      <c r="HIV68" s="167"/>
      <c r="HIW68" s="168"/>
      <c r="HIX68"/>
      <c r="HIY68" s="169"/>
      <c r="HIZ68"/>
      <c r="HJA68" s="162"/>
      <c r="HJB68" s="170"/>
      <c r="HJC68"/>
      <c r="HJD68" s="163"/>
      <c r="HJE68" s="164"/>
      <c r="HJF68" s="165"/>
      <c r="HJG68" s="165"/>
      <c r="HJH68" s="164"/>
      <c r="HJI68" s="166"/>
      <c r="HJJ68" s="164"/>
      <c r="HJK68" s="166"/>
      <c r="HJL68" s="167"/>
      <c r="HJM68" s="168"/>
      <c r="HJN68"/>
      <c r="HJO68" s="169"/>
      <c r="HJP68"/>
      <c r="HJQ68" s="162"/>
      <c r="HJR68" s="170"/>
      <c r="HJS68"/>
      <c r="HJT68" s="163"/>
      <c r="HJU68" s="164"/>
      <c r="HJV68" s="165"/>
      <c r="HJW68" s="165"/>
      <c r="HJX68" s="164"/>
      <c r="HJY68" s="166"/>
      <c r="HJZ68" s="164"/>
      <c r="HKA68" s="166"/>
      <c r="HKB68" s="167"/>
      <c r="HKC68" s="168"/>
      <c r="HKD68"/>
      <c r="HKE68" s="169"/>
      <c r="HKF68"/>
      <c r="HKG68" s="162"/>
      <c r="HKH68" s="170"/>
      <c r="HKI68"/>
      <c r="HKJ68" s="163"/>
      <c r="HKK68" s="164"/>
      <c r="HKL68" s="165"/>
      <c r="HKM68" s="165"/>
      <c r="HKN68" s="164"/>
      <c r="HKO68" s="166"/>
      <c r="HKP68" s="164"/>
      <c r="HKQ68" s="166"/>
      <c r="HKR68" s="167"/>
      <c r="HKS68" s="168"/>
      <c r="HKT68"/>
      <c r="HKU68" s="169"/>
      <c r="HKV68"/>
      <c r="HKW68" s="162"/>
      <c r="HKX68" s="170"/>
      <c r="HKY68"/>
      <c r="HKZ68" s="163"/>
      <c r="HLA68" s="164"/>
      <c r="HLB68" s="165"/>
      <c r="HLC68" s="165"/>
      <c r="HLD68" s="164"/>
      <c r="HLE68" s="166"/>
      <c r="HLF68" s="164"/>
      <c r="HLG68" s="166"/>
      <c r="HLH68" s="167"/>
      <c r="HLI68" s="168"/>
      <c r="HLJ68"/>
      <c r="HLK68" s="169"/>
      <c r="HLL68"/>
      <c r="HLM68" s="162"/>
      <c r="HLN68" s="170"/>
      <c r="HLO68"/>
      <c r="HLP68" s="163"/>
      <c r="HLQ68" s="164"/>
      <c r="HLR68" s="165"/>
      <c r="HLS68" s="165"/>
      <c r="HLT68" s="164"/>
      <c r="HLU68" s="166"/>
      <c r="HLV68" s="164"/>
      <c r="HLW68" s="166"/>
      <c r="HLX68" s="167"/>
      <c r="HLY68" s="168"/>
      <c r="HLZ68"/>
      <c r="HMA68" s="169"/>
      <c r="HMB68"/>
      <c r="HMC68" s="162"/>
      <c r="HMD68" s="170"/>
      <c r="HME68"/>
      <c r="HMF68" s="163"/>
      <c r="HMG68" s="164"/>
      <c r="HMH68" s="165"/>
      <c r="HMI68" s="165"/>
      <c r="HMJ68" s="164"/>
      <c r="HMK68" s="166"/>
      <c r="HML68" s="164"/>
      <c r="HMM68" s="166"/>
      <c r="HMN68" s="167"/>
      <c r="HMO68" s="168"/>
      <c r="HMP68"/>
      <c r="HMQ68" s="169"/>
      <c r="HMR68"/>
      <c r="HMS68" s="162"/>
      <c r="HMT68" s="170"/>
      <c r="HMU68"/>
      <c r="HMV68" s="163"/>
      <c r="HMW68" s="164"/>
      <c r="HMX68" s="165"/>
      <c r="HMY68" s="165"/>
      <c r="HMZ68" s="164"/>
      <c r="HNA68" s="166"/>
      <c r="HNB68" s="164"/>
      <c r="HNC68" s="166"/>
      <c r="HND68" s="167"/>
      <c r="HNE68" s="168"/>
      <c r="HNF68"/>
      <c r="HNG68" s="169"/>
      <c r="HNH68"/>
      <c r="HNI68" s="162"/>
      <c r="HNJ68" s="170"/>
      <c r="HNK68"/>
      <c r="HNL68" s="163"/>
      <c r="HNM68" s="164"/>
      <c r="HNN68" s="165"/>
      <c r="HNO68" s="165"/>
      <c r="HNP68" s="164"/>
      <c r="HNQ68" s="166"/>
      <c r="HNR68" s="164"/>
      <c r="HNS68" s="166"/>
      <c r="HNT68" s="167"/>
      <c r="HNU68" s="168"/>
      <c r="HNV68"/>
      <c r="HNW68" s="169"/>
      <c r="HNX68"/>
      <c r="HNY68" s="162"/>
      <c r="HNZ68" s="170"/>
      <c r="HOA68"/>
      <c r="HOB68" s="163"/>
      <c r="HOC68" s="164"/>
      <c r="HOD68" s="165"/>
      <c r="HOE68" s="165"/>
      <c r="HOF68" s="164"/>
      <c r="HOG68" s="166"/>
      <c r="HOH68" s="164"/>
      <c r="HOI68" s="166"/>
      <c r="HOJ68" s="167"/>
      <c r="HOK68" s="168"/>
      <c r="HOL68"/>
      <c r="HOM68" s="169"/>
      <c r="HON68"/>
      <c r="HOO68" s="162"/>
      <c r="HOP68" s="170"/>
      <c r="HOQ68"/>
      <c r="HOR68" s="163"/>
      <c r="HOS68" s="164"/>
      <c r="HOT68" s="165"/>
      <c r="HOU68" s="165"/>
      <c r="HOV68" s="164"/>
      <c r="HOW68" s="166"/>
      <c r="HOX68" s="164"/>
      <c r="HOY68" s="166"/>
      <c r="HOZ68" s="167"/>
      <c r="HPA68" s="168"/>
      <c r="HPB68"/>
      <c r="HPC68" s="169"/>
      <c r="HPD68"/>
      <c r="HPE68" s="162"/>
      <c r="HPF68" s="170"/>
      <c r="HPG68"/>
      <c r="HPH68" s="163"/>
      <c r="HPI68" s="164"/>
      <c r="HPJ68" s="165"/>
      <c r="HPK68" s="165"/>
      <c r="HPL68" s="164"/>
      <c r="HPM68" s="166"/>
      <c r="HPN68" s="164"/>
      <c r="HPO68" s="166"/>
      <c r="HPP68" s="167"/>
      <c r="HPQ68" s="168"/>
      <c r="HPR68"/>
      <c r="HPS68" s="169"/>
      <c r="HPT68"/>
      <c r="HPU68" s="162"/>
      <c r="HPV68" s="170"/>
      <c r="HPW68"/>
      <c r="HPX68" s="163"/>
      <c r="HPY68" s="164"/>
      <c r="HPZ68" s="165"/>
      <c r="HQA68" s="165"/>
      <c r="HQB68" s="164"/>
      <c r="HQC68" s="166"/>
      <c r="HQD68" s="164"/>
      <c r="HQE68" s="166"/>
      <c r="HQF68" s="167"/>
      <c r="HQG68" s="168"/>
      <c r="HQH68"/>
      <c r="HQI68" s="169"/>
      <c r="HQJ68"/>
      <c r="HQK68" s="162"/>
      <c r="HQL68" s="170"/>
      <c r="HQM68"/>
      <c r="HQN68" s="163"/>
      <c r="HQO68" s="164"/>
      <c r="HQP68" s="165"/>
      <c r="HQQ68" s="165"/>
      <c r="HQR68" s="164"/>
      <c r="HQS68" s="166"/>
      <c r="HQT68" s="164"/>
      <c r="HQU68" s="166"/>
      <c r="HQV68" s="167"/>
      <c r="HQW68" s="168"/>
      <c r="HQX68"/>
      <c r="HQY68" s="169"/>
      <c r="HQZ68"/>
      <c r="HRA68" s="162"/>
      <c r="HRB68" s="170"/>
      <c r="HRC68"/>
      <c r="HRD68" s="163"/>
      <c r="HRE68" s="164"/>
      <c r="HRF68" s="165"/>
      <c r="HRG68" s="165"/>
      <c r="HRH68" s="164"/>
      <c r="HRI68" s="166"/>
      <c r="HRJ68" s="164"/>
      <c r="HRK68" s="166"/>
      <c r="HRL68" s="167"/>
      <c r="HRM68" s="168"/>
      <c r="HRN68"/>
      <c r="HRO68" s="169"/>
      <c r="HRP68"/>
      <c r="HRQ68" s="162"/>
      <c r="HRR68" s="170"/>
      <c r="HRS68"/>
      <c r="HRT68" s="163"/>
      <c r="HRU68" s="164"/>
      <c r="HRV68" s="165"/>
      <c r="HRW68" s="165"/>
      <c r="HRX68" s="164"/>
      <c r="HRY68" s="166"/>
      <c r="HRZ68" s="164"/>
      <c r="HSA68" s="166"/>
      <c r="HSB68" s="167"/>
      <c r="HSC68" s="168"/>
      <c r="HSD68"/>
      <c r="HSE68" s="169"/>
      <c r="HSF68"/>
      <c r="HSG68" s="162"/>
      <c r="HSH68" s="170"/>
      <c r="HSI68"/>
      <c r="HSJ68" s="163"/>
      <c r="HSK68" s="164"/>
      <c r="HSL68" s="165"/>
      <c r="HSM68" s="165"/>
      <c r="HSN68" s="164"/>
      <c r="HSO68" s="166"/>
      <c r="HSP68" s="164"/>
      <c r="HSQ68" s="166"/>
      <c r="HSR68" s="167"/>
      <c r="HSS68" s="168"/>
      <c r="HST68"/>
      <c r="HSU68" s="169"/>
      <c r="HSV68"/>
      <c r="HSW68" s="162"/>
      <c r="HSX68" s="170"/>
      <c r="HSY68"/>
      <c r="HSZ68" s="163"/>
      <c r="HTA68" s="164"/>
      <c r="HTB68" s="165"/>
      <c r="HTC68" s="165"/>
      <c r="HTD68" s="164"/>
      <c r="HTE68" s="166"/>
      <c r="HTF68" s="164"/>
      <c r="HTG68" s="166"/>
      <c r="HTH68" s="167"/>
      <c r="HTI68" s="168"/>
      <c r="HTJ68"/>
      <c r="HTK68" s="169"/>
      <c r="HTL68"/>
      <c r="HTM68" s="162"/>
      <c r="HTN68" s="170"/>
      <c r="HTO68"/>
      <c r="HTP68" s="163"/>
      <c r="HTQ68" s="164"/>
      <c r="HTR68" s="165"/>
      <c r="HTS68" s="165"/>
      <c r="HTT68" s="164"/>
      <c r="HTU68" s="166"/>
      <c r="HTV68" s="164"/>
      <c r="HTW68" s="166"/>
      <c r="HTX68" s="167"/>
      <c r="HTY68" s="168"/>
      <c r="HTZ68"/>
      <c r="HUA68" s="169"/>
      <c r="HUB68"/>
      <c r="HUC68" s="162"/>
      <c r="HUD68" s="170"/>
      <c r="HUE68"/>
      <c r="HUF68" s="163"/>
      <c r="HUG68" s="164"/>
      <c r="HUH68" s="165"/>
      <c r="HUI68" s="165"/>
      <c r="HUJ68" s="164"/>
      <c r="HUK68" s="166"/>
      <c r="HUL68" s="164"/>
      <c r="HUM68" s="166"/>
      <c r="HUN68" s="167"/>
      <c r="HUO68" s="168"/>
      <c r="HUP68"/>
      <c r="HUQ68" s="169"/>
      <c r="HUR68"/>
      <c r="HUS68" s="162"/>
      <c r="HUT68" s="170"/>
      <c r="HUU68"/>
      <c r="HUV68" s="163"/>
      <c r="HUW68" s="164"/>
      <c r="HUX68" s="165"/>
      <c r="HUY68" s="165"/>
      <c r="HUZ68" s="164"/>
      <c r="HVA68" s="166"/>
      <c r="HVB68" s="164"/>
      <c r="HVC68" s="166"/>
      <c r="HVD68" s="167"/>
      <c r="HVE68" s="168"/>
      <c r="HVF68"/>
      <c r="HVG68" s="169"/>
      <c r="HVH68"/>
      <c r="HVI68" s="162"/>
      <c r="HVJ68" s="170"/>
      <c r="HVK68"/>
      <c r="HVL68" s="163"/>
      <c r="HVM68" s="164"/>
      <c r="HVN68" s="165"/>
      <c r="HVO68" s="165"/>
      <c r="HVP68" s="164"/>
      <c r="HVQ68" s="166"/>
      <c r="HVR68" s="164"/>
      <c r="HVS68" s="166"/>
      <c r="HVT68" s="167"/>
      <c r="HVU68" s="168"/>
      <c r="HVV68"/>
      <c r="HVW68" s="169"/>
      <c r="HVX68"/>
      <c r="HVY68" s="162"/>
      <c r="HVZ68" s="170"/>
      <c r="HWA68"/>
      <c r="HWB68" s="163"/>
      <c r="HWC68" s="164"/>
      <c r="HWD68" s="165"/>
      <c r="HWE68" s="165"/>
      <c r="HWF68" s="164"/>
      <c r="HWG68" s="166"/>
      <c r="HWH68" s="164"/>
      <c r="HWI68" s="166"/>
      <c r="HWJ68" s="167"/>
      <c r="HWK68" s="168"/>
      <c r="HWL68"/>
      <c r="HWM68" s="169"/>
      <c r="HWN68"/>
      <c r="HWO68" s="162"/>
      <c r="HWP68" s="170"/>
      <c r="HWQ68"/>
      <c r="HWR68" s="163"/>
      <c r="HWS68" s="164"/>
      <c r="HWT68" s="165"/>
      <c r="HWU68" s="165"/>
      <c r="HWV68" s="164"/>
      <c r="HWW68" s="166"/>
      <c r="HWX68" s="164"/>
      <c r="HWY68" s="166"/>
      <c r="HWZ68" s="167"/>
      <c r="HXA68" s="168"/>
      <c r="HXB68"/>
      <c r="HXC68" s="169"/>
      <c r="HXD68"/>
      <c r="HXE68" s="162"/>
      <c r="HXF68" s="170"/>
      <c r="HXG68"/>
      <c r="HXH68" s="163"/>
      <c r="HXI68" s="164"/>
      <c r="HXJ68" s="165"/>
      <c r="HXK68" s="165"/>
      <c r="HXL68" s="164"/>
      <c r="HXM68" s="166"/>
      <c r="HXN68" s="164"/>
      <c r="HXO68" s="166"/>
      <c r="HXP68" s="167"/>
      <c r="HXQ68" s="168"/>
      <c r="HXR68"/>
      <c r="HXS68" s="169"/>
      <c r="HXT68"/>
      <c r="HXU68" s="162"/>
      <c r="HXV68" s="170"/>
      <c r="HXW68"/>
      <c r="HXX68" s="163"/>
      <c r="HXY68" s="164"/>
      <c r="HXZ68" s="165"/>
      <c r="HYA68" s="165"/>
      <c r="HYB68" s="164"/>
      <c r="HYC68" s="166"/>
      <c r="HYD68" s="164"/>
      <c r="HYE68" s="166"/>
      <c r="HYF68" s="167"/>
      <c r="HYG68" s="168"/>
      <c r="HYH68"/>
      <c r="HYI68" s="169"/>
      <c r="HYJ68"/>
      <c r="HYK68" s="162"/>
      <c r="HYL68" s="170"/>
      <c r="HYM68"/>
      <c r="HYN68" s="163"/>
      <c r="HYO68" s="164"/>
      <c r="HYP68" s="165"/>
      <c r="HYQ68" s="165"/>
      <c r="HYR68" s="164"/>
      <c r="HYS68" s="166"/>
      <c r="HYT68" s="164"/>
      <c r="HYU68" s="166"/>
      <c r="HYV68" s="167"/>
      <c r="HYW68" s="168"/>
      <c r="HYX68"/>
      <c r="HYY68" s="169"/>
      <c r="HYZ68"/>
      <c r="HZA68" s="162"/>
      <c r="HZB68" s="170"/>
      <c r="HZC68"/>
      <c r="HZD68" s="163"/>
      <c r="HZE68" s="164"/>
      <c r="HZF68" s="165"/>
      <c r="HZG68" s="165"/>
      <c r="HZH68" s="164"/>
      <c r="HZI68" s="166"/>
      <c r="HZJ68" s="164"/>
      <c r="HZK68" s="166"/>
      <c r="HZL68" s="167"/>
      <c r="HZM68" s="168"/>
      <c r="HZN68"/>
      <c r="HZO68" s="169"/>
      <c r="HZP68"/>
      <c r="HZQ68" s="162"/>
      <c r="HZR68" s="170"/>
      <c r="HZS68"/>
      <c r="HZT68" s="163"/>
      <c r="HZU68" s="164"/>
      <c r="HZV68" s="165"/>
      <c r="HZW68" s="165"/>
      <c r="HZX68" s="164"/>
      <c r="HZY68" s="166"/>
      <c r="HZZ68" s="164"/>
      <c r="IAA68" s="166"/>
      <c r="IAB68" s="167"/>
      <c r="IAC68" s="168"/>
      <c r="IAD68"/>
      <c r="IAE68" s="169"/>
      <c r="IAF68"/>
      <c r="IAG68" s="162"/>
      <c r="IAH68" s="170"/>
      <c r="IAI68"/>
      <c r="IAJ68" s="163"/>
      <c r="IAK68" s="164"/>
      <c r="IAL68" s="165"/>
      <c r="IAM68" s="165"/>
      <c r="IAN68" s="164"/>
      <c r="IAO68" s="166"/>
      <c r="IAP68" s="164"/>
      <c r="IAQ68" s="166"/>
      <c r="IAR68" s="167"/>
      <c r="IAS68" s="168"/>
      <c r="IAT68"/>
      <c r="IAU68" s="169"/>
      <c r="IAV68"/>
      <c r="IAW68" s="162"/>
      <c r="IAX68" s="170"/>
      <c r="IAY68"/>
      <c r="IAZ68" s="163"/>
      <c r="IBA68" s="164"/>
      <c r="IBB68" s="165"/>
      <c r="IBC68" s="165"/>
      <c r="IBD68" s="164"/>
      <c r="IBE68" s="166"/>
      <c r="IBF68" s="164"/>
      <c r="IBG68" s="166"/>
      <c r="IBH68" s="167"/>
      <c r="IBI68" s="168"/>
      <c r="IBJ68"/>
      <c r="IBK68" s="169"/>
      <c r="IBL68"/>
      <c r="IBM68" s="162"/>
      <c r="IBN68" s="170"/>
      <c r="IBO68"/>
      <c r="IBP68" s="163"/>
      <c r="IBQ68" s="164"/>
      <c r="IBR68" s="165"/>
      <c r="IBS68" s="165"/>
      <c r="IBT68" s="164"/>
      <c r="IBU68" s="166"/>
      <c r="IBV68" s="164"/>
      <c r="IBW68" s="166"/>
      <c r="IBX68" s="167"/>
      <c r="IBY68" s="168"/>
      <c r="IBZ68"/>
      <c r="ICA68" s="169"/>
      <c r="ICB68"/>
      <c r="ICC68" s="162"/>
      <c r="ICD68" s="170"/>
      <c r="ICE68"/>
      <c r="ICF68" s="163"/>
      <c r="ICG68" s="164"/>
      <c r="ICH68" s="165"/>
      <c r="ICI68" s="165"/>
      <c r="ICJ68" s="164"/>
      <c r="ICK68" s="166"/>
      <c r="ICL68" s="164"/>
      <c r="ICM68" s="166"/>
      <c r="ICN68" s="167"/>
      <c r="ICO68" s="168"/>
      <c r="ICP68"/>
      <c r="ICQ68" s="169"/>
      <c r="ICR68"/>
      <c r="ICS68" s="162"/>
      <c r="ICT68" s="170"/>
      <c r="ICU68"/>
      <c r="ICV68" s="163"/>
      <c r="ICW68" s="164"/>
      <c r="ICX68" s="165"/>
      <c r="ICY68" s="165"/>
      <c r="ICZ68" s="164"/>
      <c r="IDA68" s="166"/>
      <c r="IDB68" s="164"/>
      <c r="IDC68" s="166"/>
      <c r="IDD68" s="167"/>
      <c r="IDE68" s="168"/>
      <c r="IDF68"/>
      <c r="IDG68" s="169"/>
      <c r="IDH68"/>
      <c r="IDI68" s="162"/>
      <c r="IDJ68" s="170"/>
      <c r="IDK68"/>
      <c r="IDL68" s="163"/>
      <c r="IDM68" s="164"/>
      <c r="IDN68" s="165"/>
      <c r="IDO68" s="165"/>
      <c r="IDP68" s="164"/>
      <c r="IDQ68" s="166"/>
      <c r="IDR68" s="164"/>
      <c r="IDS68" s="166"/>
      <c r="IDT68" s="167"/>
      <c r="IDU68" s="168"/>
      <c r="IDV68"/>
      <c r="IDW68" s="169"/>
      <c r="IDX68"/>
      <c r="IDY68" s="162"/>
      <c r="IDZ68" s="170"/>
      <c r="IEA68"/>
      <c r="IEB68" s="163"/>
      <c r="IEC68" s="164"/>
      <c r="IED68" s="165"/>
      <c r="IEE68" s="165"/>
      <c r="IEF68" s="164"/>
      <c r="IEG68" s="166"/>
      <c r="IEH68" s="164"/>
      <c r="IEI68" s="166"/>
      <c r="IEJ68" s="167"/>
      <c r="IEK68" s="168"/>
      <c r="IEL68"/>
      <c r="IEM68" s="169"/>
      <c r="IEN68"/>
      <c r="IEO68" s="162"/>
      <c r="IEP68" s="170"/>
      <c r="IEQ68"/>
      <c r="IER68" s="163"/>
      <c r="IES68" s="164"/>
      <c r="IET68" s="165"/>
      <c r="IEU68" s="165"/>
      <c r="IEV68" s="164"/>
      <c r="IEW68" s="166"/>
      <c r="IEX68" s="164"/>
      <c r="IEY68" s="166"/>
      <c r="IEZ68" s="167"/>
      <c r="IFA68" s="168"/>
      <c r="IFB68"/>
      <c r="IFC68" s="169"/>
      <c r="IFD68"/>
      <c r="IFE68" s="162"/>
      <c r="IFF68" s="170"/>
      <c r="IFG68"/>
      <c r="IFH68" s="163"/>
      <c r="IFI68" s="164"/>
      <c r="IFJ68" s="165"/>
      <c r="IFK68" s="165"/>
      <c r="IFL68" s="164"/>
      <c r="IFM68" s="166"/>
      <c r="IFN68" s="164"/>
      <c r="IFO68" s="166"/>
      <c r="IFP68" s="167"/>
      <c r="IFQ68" s="168"/>
      <c r="IFR68"/>
      <c r="IFS68" s="169"/>
      <c r="IFT68"/>
      <c r="IFU68" s="162"/>
      <c r="IFV68" s="170"/>
      <c r="IFW68"/>
      <c r="IFX68" s="163"/>
      <c r="IFY68" s="164"/>
      <c r="IFZ68" s="165"/>
      <c r="IGA68" s="165"/>
      <c r="IGB68" s="164"/>
      <c r="IGC68" s="166"/>
      <c r="IGD68" s="164"/>
      <c r="IGE68" s="166"/>
      <c r="IGF68" s="167"/>
      <c r="IGG68" s="168"/>
      <c r="IGH68"/>
      <c r="IGI68" s="169"/>
      <c r="IGJ68"/>
      <c r="IGK68" s="162"/>
      <c r="IGL68" s="170"/>
      <c r="IGM68"/>
      <c r="IGN68" s="163"/>
      <c r="IGO68" s="164"/>
      <c r="IGP68" s="165"/>
      <c r="IGQ68" s="165"/>
      <c r="IGR68" s="164"/>
      <c r="IGS68" s="166"/>
      <c r="IGT68" s="164"/>
      <c r="IGU68" s="166"/>
      <c r="IGV68" s="167"/>
      <c r="IGW68" s="168"/>
      <c r="IGX68"/>
      <c r="IGY68" s="169"/>
      <c r="IGZ68"/>
      <c r="IHA68" s="162"/>
      <c r="IHB68" s="170"/>
      <c r="IHC68"/>
      <c r="IHD68" s="163"/>
      <c r="IHE68" s="164"/>
      <c r="IHF68" s="165"/>
      <c r="IHG68" s="165"/>
      <c r="IHH68" s="164"/>
      <c r="IHI68" s="166"/>
      <c r="IHJ68" s="164"/>
      <c r="IHK68" s="166"/>
      <c r="IHL68" s="167"/>
      <c r="IHM68" s="168"/>
      <c r="IHN68"/>
      <c r="IHO68" s="169"/>
      <c r="IHP68"/>
      <c r="IHQ68" s="162"/>
      <c r="IHR68" s="170"/>
      <c r="IHS68"/>
      <c r="IHT68" s="163"/>
      <c r="IHU68" s="164"/>
      <c r="IHV68" s="165"/>
      <c r="IHW68" s="165"/>
      <c r="IHX68" s="164"/>
      <c r="IHY68" s="166"/>
      <c r="IHZ68" s="164"/>
      <c r="IIA68" s="166"/>
      <c r="IIB68" s="167"/>
      <c r="IIC68" s="168"/>
      <c r="IID68"/>
      <c r="IIE68" s="169"/>
      <c r="IIF68"/>
      <c r="IIG68" s="162"/>
      <c r="IIH68" s="170"/>
      <c r="III68"/>
      <c r="IIJ68" s="163"/>
      <c r="IIK68" s="164"/>
      <c r="IIL68" s="165"/>
      <c r="IIM68" s="165"/>
      <c r="IIN68" s="164"/>
      <c r="IIO68" s="166"/>
      <c r="IIP68" s="164"/>
      <c r="IIQ68" s="166"/>
      <c r="IIR68" s="167"/>
      <c r="IIS68" s="168"/>
      <c r="IIT68"/>
      <c r="IIU68" s="169"/>
      <c r="IIV68"/>
      <c r="IIW68" s="162"/>
      <c r="IIX68" s="170"/>
      <c r="IIY68"/>
      <c r="IIZ68" s="163"/>
      <c r="IJA68" s="164"/>
      <c r="IJB68" s="165"/>
      <c r="IJC68" s="165"/>
      <c r="IJD68" s="164"/>
      <c r="IJE68" s="166"/>
      <c r="IJF68" s="164"/>
      <c r="IJG68" s="166"/>
      <c r="IJH68" s="167"/>
      <c r="IJI68" s="168"/>
      <c r="IJJ68"/>
      <c r="IJK68" s="169"/>
      <c r="IJL68"/>
      <c r="IJM68" s="162"/>
      <c r="IJN68" s="170"/>
      <c r="IJO68"/>
      <c r="IJP68" s="163"/>
      <c r="IJQ68" s="164"/>
      <c r="IJR68" s="165"/>
      <c r="IJS68" s="165"/>
      <c r="IJT68" s="164"/>
      <c r="IJU68" s="166"/>
      <c r="IJV68" s="164"/>
      <c r="IJW68" s="166"/>
      <c r="IJX68" s="167"/>
      <c r="IJY68" s="168"/>
      <c r="IJZ68"/>
      <c r="IKA68" s="169"/>
      <c r="IKB68"/>
      <c r="IKC68" s="162"/>
      <c r="IKD68" s="170"/>
      <c r="IKE68"/>
      <c r="IKF68" s="163"/>
      <c r="IKG68" s="164"/>
      <c r="IKH68" s="165"/>
      <c r="IKI68" s="165"/>
      <c r="IKJ68" s="164"/>
      <c r="IKK68" s="166"/>
      <c r="IKL68" s="164"/>
      <c r="IKM68" s="166"/>
      <c r="IKN68" s="167"/>
      <c r="IKO68" s="168"/>
      <c r="IKP68"/>
      <c r="IKQ68" s="169"/>
      <c r="IKR68"/>
      <c r="IKS68" s="162"/>
      <c r="IKT68" s="170"/>
      <c r="IKU68"/>
      <c r="IKV68" s="163"/>
      <c r="IKW68" s="164"/>
      <c r="IKX68" s="165"/>
      <c r="IKY68" s="165"/>
      <c r="IKZ68" s="164"/>
      <c r="ILA68" s="166"/>
      <c r="ILB68" s="164"/>
      <c r="ILC68" s="166"/>
      <c r="ILD68" s="167"/>
      <c r="ILE68" s="168"/>
      <c r="ILF68"/>
      <c r="ILG68" s="169"/>
      <c r="ILH68"/>
      <c r="ILI68" s="162"/>
      <c r="ILJ68" s="170"/>
      <c r="ILK68"/>
      <c r="ILL68" s="163"/>
      <c r="ILM68" s="164"/>
      <c r="ILN68" s="165"/>
      <c r="ILO68" s="165"/>
      <c r="ILP68" s="164"/>
      <c r="ILQ68" s="166"/>
      <c r="ILR68" s="164"/>
      <c r="ILS68" s="166"/>
      <c r="ILT68" s="167"/>
      <c r="ILU68" s="168"/>
      <c r="ILV68"/>
      <c r="ILW68" s="169"/>
      <c r="ILX68"/>
      <c r="ILY68" s="162"/>
      <c r="ILZ68" s="170"/>
      <c r="IMA68"/>
      <c r="IMB68" s="163"/>
      <c r="IMC68" s="164"/>
      <c r="IMD68" s="165"/>
      <c r="IME68" s="165"/>
      <c r="IMF68" s="164"/>
      <c r="IMG68" s="166"/>
      <c r="IMH68" s="164"/>
      <c r="IMI68" s="166"/>
      <c r="IMJ68" s="167"/>
      <c r="IMK68" s="168"/>
      <c r="IML68"/>
      <c r="IMM68" s="169"/>
      <c r="IMN68"/>
      <c r="IMO68" s="162"/>
      <c r="IMP68" s="170"/>
      <c r="IMQ68"/>
      <c r="IMR68" s="163"/>
      <c r="IMS68" s="164"/>
      <c r="IMT68" s="165"/>
      <c r="IMU68" s="165"/>
      <c r="IMV68" s="164"/>
      <c r="IMW68" s="166"/>
      <c r="IMX68" s="164"/>
      <c r="IMY68" s="166"/>
      <c r="IMZ68" s="167"/>
      <c r="INA68" s="168"/>
      <c r="INB68"/>
      <c r="INC68" s="169"/>
      <c r="IND68"/>
      <c r="INE68" s="162"/>
      <c r="INF68" s="170"/>
      <c r="ING68"/>
      <c r="INH68" s="163"/>
      <c r="INI68" s="164"/>
      <c r="INJ68" s="165"/>
      <c r="INK68" s="165"/>
      <c r="INL68" s="164"/>
      <c r="INM68" s="166"/>
      <c r="INN68" s="164"/>
      <c r="INO68" s="166"/>
      <c r="INP68" s="167"/>
      <c r="INQ68" s="168"/>
      <c r="INR68"/>
      <c r="INS68" s="169"/>
      <c r="INT68"/>
      <c r="INU68" s="162"/>
      <c r="INV68" s="170"/>
      <c r="INW68"/>
      <c r="INX68" s="163"/>
      <c r="INY68" s="164"/>
      <c r="INZ68" s="165"/>
      <c r="IOA68" s="165"/>
      <c r="IOB68" s="164"/>
      <c r="IOC68" s="166"/>
      <c r="IOD68" s="164"/>
      <c r="IOE68" s="166"/>
      <c r="IOF68" s="167"/>
      <c r="IOG68" s="168"/>
      <c r="IOH68"/>
      <c r="IOI68" s="169"/>
      <c r="IOJ68"/>
      <c r="IOK68" s="162"/>
      <c r="IOL68" s="170"/>
      <c r="IOM68"/>
      <c r="ION68" s="163"/>
      <c r="IOO68" s="164"/>
      <c r="IOP68" s="165"/>
      <c r="IOQ68" s="165"/>
      <c r="IOR68" s="164"/>
      <c r="IOS68" s="166"/>
      <c r="IOT68" s="164"/>
      <c r="IOU68" s="166"/>
      <c r="IOV68" s="167"/>
      <c r="IOW68" s="168"/>
      <c r="IOX68"/>
      <c r="IOY68" s="169"/>
      <c r="IOZ68"/>
      <c r="IPA68" s="162"/>
      <c r="IPB68" s="170"/>
      <c r="IPC68"/>
      <c r="IPD68" s="163"/>
      <c r="IPE68" s="164"/>
      <c r="IPF68" s="165"/>
      <c r="IPG68" s="165"/>
      <c r="IPH68" s="164"/>
      <c r="IPI68" s="166"/>
      <c r="IPJ68" s="164"/>
      <c r="IPK68" s="166"/>
      <c r="IPL68" s="167"/>
      <c r="IPM68" s="168"/>
      <c r="IPN68"/>
      <c r="IPO68" s="169"/>
      <c r="IPP68"/>
      <c r="IPQ68" s="162"/>
      <c r="IPR68" s="170"/>
      <c r="IPS68"/>
      <c r="IPT68" s="163"/>
      <c r="IPU68" s="164"/>
      <c r="IPV68" s="165"/>
      <c r="IPW68" s="165"/>
      <c r="IPX68" s="164"/>
      <c r="IPY68" s="166"/>
      <c r="IPZ68" s="164"/>
      <c r="IQA68" s="166"/>
      <c r="IQB68" s="167"/>
      <c r="IQC68" s="168"/>
      <c r="IQD68"/>
      <c r="IQE68" s="169"/>
      <c r="IQF68"/>
      <c r="IQG68" s="162"/>
      <c r="IQH68" s="170"/>
      <c r="IQI68"/>
      <c r="IQJ68" s="163"/>
      <c r="IQK68" s="164"/>
      <c r="IQL68" s="165"/>
      <c r="IQM68" s="165"/>
      <c r="IQN68" s="164"/>
      <c r="IQO68" s="166"/>
      <c r="IQP68" s="164"/>
      <c r="IQQ68" s="166"/>
      <c r="IQR68" s="167"/>
      <c r="IQS68" s="168"/>
      <c r="IQT68"/>
      <c r="IQU68" s="169"/>
      <c r="IQV68"/>
      <c r="IQW68" s="162"/>
      <c r="IQX68" s="170"/>
      <c r="IQY68"/>
      <c r="IQZ68" s="163"/>
      <c r="IRA68" s="164"/>
      <c r="IRB68" s="165"/>
      <c r="IRC68" s="165"/>
      <c r="IRD68" s="164"/>
      <c r="IRE68" s="166"/>
      <c r="IRF68" s="164"/>
      <c r="IRG68" s="166"/>
      <c r="IRH68" s="167"/>
      <c r="IRI68" s="168"/>
      <c r="IRJ68"/>
      <c r="IRK68" s="169"/>
      <c r="IRL68"/>
      <c r="IRM68" s="162"/>
      <c r="IRN68" s="170"/>
      <c r="IRO68"/>
      <c r="IRP68" s="163"/>
      <c r="IRQ68" s="164"/>
      <c r="IRR68" s="165"/>
      <c r="IRS68" s="165"/>
      <c r="IRT68" s="164"/>
      <c r="IRU68" s="166"/>
      <c r="IRV68" s="164"/>
      <c r="IRW68" s="166"/>
      <c r="IRX68" s="167"/>
      <c r="IRY68" s="168"/>
      <c r="IRZ68"/>
      <c r="ISA68" s="169"/>
      <c r="ISB68"/>
      <c r="ISC68" s="162"/>
      <c r="ISD68" s="170"/>
      <c r="ISE68"/>
      <c r="ISF68" s="163"/>
      <c r="ISG68" s="164"/>
      <c r="ISH68" s="165"/>
      <c r="ISI68" s="165"/>
      <c r="ISJ68" s="164"/>
      <c r="ISK68" s="166"/>
      <c r="ISL68" s="164"/>
      <c r="ISM68" s="166"/>
      <c r="ISN68" s="167"/>
      <c r="ISO68" s="168"/>
      <c r="ISP68"/>
      <c r="ISQ68" s="169"/>
      <c r="ISR68"/>
      <c r="ISS68" s="162"/>
      <c r="IST68" s="170"/>
      <c r="ISU68"/>
      <c r="ISV68" s="163"/>
      <c r="ISW68" s="164"/>
      <c r="ISX68" s="165"/>
      <c r="ISY68" s="165"/>
      <c r="ISZ68" s="164"/>
      <c r="ITA68" s="166"/>
      <c r="ITB68" s="164"/>
      <c r="ITC68" s="166"/>
      <c r="ITD68" s="167"/>
      <c r="ITE68" s="168"/>
      <c r="ITF68"/>
      <c r="ITG68" s="169"/>
      <c r="ITH68"/>
      <c r="ITI68" s="162"/>
      <c r="ITJ68" s="170"/>
      <c r="ITK68"/>
      <c r="ITL68" s="163"/>
      <c r="ITM68" s="164"/>
      <c r="ITN68" s="165"/>
      <c r="ITO68" s="165"/>
      <c r="ITP68" s="164"/>
      <c r="ITQ68" s="166"/>
      <c r="ITR68" s="164"/>
      <c r="ITS68" s="166"/>
      <c r="ITT68" s="167"/>
      <c r="ITU68" s="168"/>
      <c r="ITV68"/>
      <c r="ITW68" s="169"/>
      <c r="ITX68"/>
      <c r="ITY68" s="162"/>
      <c r="ITZ68" s="170"/>
      <c r="IUA68"/>
      <c r="IUB68" s="163"/>
      <c r="IUC68" s="164"/>
      <c r="IUD68" s="165"/>
      <c r="IUE68" s="165"/>
      <c r="IUF68" s="164"/>
      <c r="IUG68" s="166"/>
      <c r="IUH68" s="164"/>
      <c r="IUI68" s="166"/>
      <c r="IUJ68" s="167"/>
      <c r="IUK68" s="168"/>
      <c r="IUL68"/>
      <c r="IUM68" s="169"/>
      <c r="IUN68"/>
      <c r="IUO68" s="162"/>
      <c r="IUP68" s="170"/>
      <c r="IUQ68"/>
      <c r="IUR68" s="163"/>
      <c r="IUS68" s="164"/>
      <c r="IUT68" s="165"/>
      <c r="IUU68" s="165"/>
      <c r="IUV68" s="164"/>
      <c r="IUW68" s="166"/>
      <c r="IUX68" s="164"/>
      <c r="IUY68" s="166"/>
      <c r="IUZ68" s="167"/>
      <c r="IVA68" s="168"/>
      <c r="IVB68"/>
      <c r="IVC68" s="169"/>
      <c r="IVD68"/>
      <c r="IVE68" s="162"/>
      <c r="IVF68" s="170"/>
      <c r="IVG68"/>
      <c r="IVH68" s="163"/>
      <c r="IVI68" s="164"/>
      <c r="IVJ68" s="165"/>
      <c r="IVK68" s="165"/>
      <c r="IVL68" s="164"/>
      <c r="IVM68" s="166"/>
      <c r="IVN68" s="164"/>
      <c r="IVO68" s="166"/>
      <c r="IVP68" s="167"/>
      <c r="IVQ68" s="168"/>
      <c r="IVR68"/>
      <c r="IVS68" s="169"/>
      <c r="IVT68"/>
      <c r="IVU68" s="162"/>
      <c r="IVV68" s="170"/>
      <c r="IVW68"/>
      <c r="IVX68" s="163"/>
      <c r="IVY68" s="164"/>
      <c r="IVZ68" s="165"/>
      <c r="IWA68" s="165"/>
      <c r="IWB68" s="164"/>
      <c r="IWC68" s="166"/>
      <c r="IWD68" s="164"/>
      <c r="IWE68" s="166"/>
      <c r="IWF68" s="167"/>
      <c r="IWG68" s="168"/>
      <c r="IWH68"/>
      <c r="IWI68" s="169"/>
      <c r="IWJ68"/>
      <c r="IWK68" s="162"/>
      <c r="IWL68" s="170"/>
      <c r="IWM68"/>
      <c r="IWN68" s="163"/>
      <c r="IWO68" s="164"/>
      <c r="IWP68" s="165"/>
      <c r="IWQ68" s="165"/>
      <c r="IWR68" s="164"/>
      <c r="IWS68" s="166"/>
      <c r="IWT68" s="164"/>
      <c r="IWU68" s="166"/>
      <c r="IWV68" s="167"/>
      <c r="IWW68" s="168"/>
      <c r="IWX68"/>
      <c r="IWY68" s="169"/>
      <c r="IWZ68"/>
      <c r="IXA68" s="162"/>
      <c r="IXB68" s="170"/>
      <c r="IXC68"/>
      <c r="IXD68" s="163"/>
      <c r="IXE68" s="164"/>
      <c r="IXF68" s="165"/>
      <c r="IXG68" s="165"/>
      <c r="IXH68" s="164"/>
      <c r="IXI68" s="166"/>
      <c r="IXJ68" s="164"/>
      <c r="IXK68" s="166"/>
      <c r="IXL68" s="167"/>
      <c r="IXM68" s="168"/>
      <c r="IXN68"/>
      <c r="IXO68" s="169"/>
      <c r="IXP68"/>
      <c r="IXQ68" s="162"/>
      <c r="IXR68" s="170"/>
      <c r="IXS68"/>
      <c r="IXT68" s="163"/>
      <c r="IXU68" s="164"/>
      <c r="IXV68" s="165"/>
      <c r="IXW68" s="165"/>
      <c r="IXX68" s="164"/>
      <c r="IXY68" s="166"/>
      <c r="IXZ68" s="164"/>
      <c r="IYA68" s="166"/>
      <c r="IYB68" s="167"/>
      <c r="IYC68" s="168"/>
      <c r="IYD68"/>
      <c r="IYE68" s="169"/>
      <c r="IYF68"/>
      <c r="IYG68" s="162"/>
      <c r="IYH68" s="170"/>
      <c r="IYI68"/>
      <c r="IYJ68" s="163"/>
      <c r="IYK68" s="164"/>
      <c r="IYL68" s="165"/>
      <c r="IYM68" s="165"/>
      <c r="IYN68" s="164"/>
      <c r="IYO68" s="166"/>
      <c r="IYP68" s="164"/>
      <c r="IYQ68" s="166"/>
      <c r="IYR68" s="167"/>
      <c r="IYS68" s="168"/>
      <c r="IYT68"/>
      <c r="IYU68" s="169"/>
      <c r="IYV68"/>
      <c r="IYW68" s="162"/>
      <c r="IYX68" s="170"/>
      <c r="IYY68"/>
      <c r="IYZ68" s="163"/>
      <c r="IZA68" s="164"/>
      <c r="IZB68" s="165"/>
      <c r="IZC68" s="165"/>
      <c r="IZD68" s="164"/>
      <c r="IZE68" s="166"/>
      <c r="IZF68" s="164"/>
      <c r="IZG68" s="166"/>
      <c r="IZH68" s="167"/>
      <c r="IZI68" s="168"/>
      <c r="IZJ68"/>
      <c r="IZK68" s="169"/>
      <c r="IZL68"/>
      <c r="IZM68" s="162"/>
      <c r="IZN68" s="170"/>
      <c r="IZO68"/>
      <c r="IZP68" s="163"/>
      <c r="IZQ68" s="164"/>
      <c r="IZR68" s="165"/>
      <c r="IZS68" s="165"/>
      <c r="IZT68" s="164"/>
      <c r="IZU68" s="166"/>
      <c r="IZV68" s="164"/>
      <c r="IZW68" s="166"/>
      <c r="IZX68" s="167"/>
      <c r="IZY68" s="168"/>
      <c r="IZZ68"/>
      <c r="JAA68" s="169"/>
      <c r="JAB68"/>
      <c r="JAC68" s="162"/>
      <c r="JAD68" s="170"/>
      <c r="JAE68"/>
      <c r="JAF68" s="163"/>
      <c r="JAG68" s="164"/>
      <c r="JAH68" s="165"/>
      <c r="JAI68" s="165"/>
      <c r="JAJ68" s="164"/>
      <c r="JAK68" s="166"/>
      <c r="JAL68" s="164"/>
      <c r="JAM68" s="166"/>
      <c r="JAN68" s="167"/>
      <c r="JAO68" s="168"/>
      <c r="JAP68"/>
      <c r="JAQ68" s="169"/>
      <c r="JAR68"/>
      <c r="JAS68" s="162"/>
      <c r="JAT68" s="170"/>
      <c r="JAU68"/>
      <c r="JAV68" s="163"/>
      <c r="JAW68" s="164"/>
      <c r="JAX68" s="165"/>
      <c r="JAY68" s="165"/>
      <c r="JAZ68" s="164"/>
      <c r="JBA68" s="166"/>
      <c r="JBB68" s="164"/>
      <c r="JBC68" s="166"/>
      <c r="JBD68" s="167"/>
      <c r="JBE68" s="168"/>
      <c r="JBF68"/>
      <c r="JBG68" s="169"/>
      <c r="JBH68"/>
      <c r="JBI68" s="162"/>
      <c r="JBJ68" s="170"/>
      <c r="JBK68"/>
      <c r="JBL68" s="163"/>
      <c r="JBM68" s="164"/>
      <c r="JBN68" s="165"/>
      <c r="JBO68" s="165"/>
      <c r="JBP68" s="164"/>
      <c r="JBQ68" s="166"/>
      <c r="JBR68" s="164"/>
      <c r="JBS68" s="166"/>
      <c r="JBT68" s="167"/>
      <c r="JBU68" s="168"/>
      <c r="JBV68"/>
      <c r="JBW68" s="169"/>
      <c r="JBX68"/>
      <c r="JBY68" s="162"/>
      <c r="JBZ68" s="170"/>
      <c r="JCA68"/>
      <c r="JCB68" s="163"/>
      <c r="JCC68" s="164"/>
      <c r="JCD68" s="165"/>
      <c r="JCE68" s="165"/>
      <c r="JCF68" s="164"/>
      <c r="JCG68" s="166"/>
      <c r="JCH68" s="164"/>
      <c r="JCI68" s="166"/>
      <c r="JCJ68" s="167"/>
      <c r="JCK68" s="168"/>
      <c r="JCL68"/>
      <c r="JCM68" s="169"/>
      <c r="JCN68"/>
      <c r="JCO68" s="162"/>
      <c r="JCP68" s="170"/>
      <c r="JCQ68"/>
      <c r="JCR68" s="163"/>
      <c r="JCS68" s="164"/>
      <c r="JCT68" s="165"/>
      <c r="JCU68" s="165"/>
      <c r="JCV68" s="164"/>
      <c r="JCW68" s="166"/>
      <c r="JCX68" s="164"/>
      <c r="JCY68" s="166"/>
      <c r="JCZ68" s="167"/>
      <c r="JDA68" s="168"/>
      <c r="JDB68"/>
      <c r="JDC68" s="169"/>
      <c r="JDD68"/>
      <c r="JDE68" s="162"/>
      <c r="JDF68" s="170"/>
      <c r="JDG68"/>
      <c r="JDH68" s="163"/>
      <c r="JDI68" s="164"/>
      <c r="JDJ68" s="165"/>
      <c r="JDK68" s="165"/>
      <c r="JDL68" s="164"/>
      <c r="JDM68" s="166"/>
      <c r="JDN68" s="164"/>
      <c r="JDO68" s="166"/>
      <c r="JDP68" s="167"/>
      <c r="JDQ68" s="168"/>
      <c r="JDR68"/>
      <c r="JDS68" s="169"/>
      <c r="JDT68"/>
      <c r="JDU68" s="162"/>
      <c r="JDV68" s="170"/>
      <c r="JDW68"/>
      <c r="JDX68" s="163"/>
      <c r="JDY68" s="164"/>
      <c r="JDZ68" s="165"/>
      <c r="JEA68" s="165"/>
      <c r="JEB68" s="164"/>
      <c r="JEC68" s="166"/>
      <c r="JED68" s="164"/>
      <c r="JEE68" s="166"/>
      <c r="JEF68" s="167"/>
      <c r="JEG68" s="168"/>
      <c r="JEH68"/>
      <c r="JEI68" s="169"/>
      <c r="JEJ68"/>
      <c r="JEK68" s="162"/>
      <c r="JEL68" s="170"/>
      <c r="JEM68"/>
      <c r="JEN68" s="163"/>
      <c r="JEO68" s="164"/>
      <c r="JEP68" s="165"/>
      <c r="JEQ68" s="165"/>
      <c r="JER68" s="164"/>
      <c r="JES68" s="166"/>
      <c r="JET68" s="164"/>
      <c r="JEU68" s="166"/>
      <c r="JEV68" s="167"/>
      <c r="JEW68" s="168"/>
      <c r="JEX68"/>
      <c r="JEY68" s="169"/>
      <c r="JEZ68"/>
      <c r="JFA68" s="162"/>
      <c r="JFB68" s="170"/>
      <c r="JFC68"/>
      <c r="JFD68" s="163"/>
      <c r="JFE68" s="164"/>
      <c r="JFF68" s="165"/>
      <c r="JFG68" s="165"/>
      <c r="JFH68" s="164"/>
      <c r="JFI68" s="166"/>
      <c r="JFJ68" s="164"/>
      <c r="JFK68" s="166"/>
      <c r="JFL68" s="167"/>
      <c r="JFM68" s="168"/>
      <c r="JFN68"/>
      <c r="JFO68" s="169"/>
      <c r="JFP68"/>
      <c r="JFQ68" s="162"/>
      <c r="JFR68" s="170"/>
      <c r="JFS68"/>
      <c r="JFT68" s="163"/>
      <c r="JFU68" s="164"/>
      <c r="JFV68" s="165"/>
      <c r="JFW68" s="165"/>
      <c r="JFX68" s="164"/>
      <c r="JFY68" s="166"/>
      <c r="JFZ68" s="164"/>
      <c r="JGA68" s="166"/>
      <c r="JGB68" s="167"/>
      <c r="JGC68" s="168"/>
      <c r="JGD68"/>
      <c r="JGE68" s="169"/>
      <c r="JGF68"/>
      <c r="JGG68" s="162"/>
      <c r="JGH68" s="170"/>
      <c r="JGI68"/>
      <c r="JGJ68" s="163"/>
      <c r="JGK68" s="164"/>
      <c r="JGL68" s="165"/>
      <c r="JGM68" s="165"/>
      <c r="JGN68" s="164"/>
      <c r="JGO68" s="166"/>
      <c r="JGP68" s="164"/>
      <c r="JGQ68" s="166"/>
      <c r="JGR68" s="167"/>
      <c r="JGS68" s="168"/>
      <c r="JGT68"/>
      <c r="JGU68" s="169"/>
      <c r="JGV68"/>
      <c r="JGW68" s="162"/>
      <c r="JGX68" s="170"/>
      <c r="JGY68"/>
      <c r="JGZ68" s="163"/>
      <c r="JHA68" s="164"/>
      <c r="JHB68" s="165"/>
      <c r="JHC68" s="165"/>
      <c r="JHD68" s="164"/>
      <c r="JHE68" s="166"/>
      <c r="JHF68" s="164"/>
      <c r="JHG68" s="166"/>
      <c r="JHH68" s="167"/>
      <c r="JHI68" s="168"/>
      <c r="JHJ68"/>
      <c r="JHK68" s="169"/>
      <c r="JHL68"/>
      <c r="JHM68" s="162"/>
      <c r="JHN68" s="170"/>
      <c r="JHO68"/>
      <c r="JHP68" s="163"/>
      <c r="JHQ68" s="164"/>
      <c r="JHR68" s="165"/>
      <c r="JHS68" s="165"/>
      <c r="JHT68" s="164"/>
      <c r="JHU68" s="166"/>
      <c r="JHV68" s="164"/>
      <c r="JHW68" s="166"/>
      <c r="JHX68" s="167"/>
      <c r="JHY68" s="168"/>
      <c r="JHZ68"/>
      <c r="JIA68" s="169"/>
      <c r="JIB68"/>
      <c r="JIC68" s="162"/>
      <c r="JID68" s="170"/>
      <c r="JIE68"/>
      <c r="JIF68" s="163"/>
      <c r="JIG68" s="164"/>
      <c r="JIH68" s="165"/>
      <c r="JII68" s="165"/>
      <c r="JIJ68" s="164"/>
      <c r="JIK68" s="166"/>
      <c r="JIL68" s="164"/>
      <c r="JIM68" s="166"/>
      <c r="JIN68" s="167"/>
      <c r="JIO68" s="168"/>
      <c r="JIP68"/>
      <c r="JIQ68" s="169"/>
      <c r="JIR68"/>
      <c r="JIS68" s="162"/>
      <c r="JIT68" s="170"/>
      <c r="JIU68"/>
      <c r="JIV68" s="163"/>
      <c r="JIW68" s="164"/>
      <c r="JIX68" s="165"/>
      <c r="JIY68" s="165"/>
      <c r="JIZ68" s="164"/>
      <c r="JJA68" s="166"/>
      <c r="JJB68" s="164"/>
      <c r="JJC68" s="166"/>
      <c r="JJD68" s="167"/>
      <c r="JJE68" s="168"/>
      <c r="JJF68"/>
      <c r="JJG68" s="169"/>
      <c r="JJH68"/>
      <c r="JJI68" s="162"/>
      <c r="JJJ68" s="170"/>
      <c r="JJK68"/>
      <c r="JJL68" s="163"/>
      <c r="JJM68" s="164"/>
      <c r="JJN68" s="165"/>
      <c r="JJO68" s="165"/>
      <c r="JJP68" s="164"/>
      <c r="JJQ68" s="166"/>
      <c r="JJR68" s="164"/>
      <c r="JJS68" s="166"/>
      <c r="JJT68" s="167"/>
      <c r="JJU68" s="168"/>
      <c r="JJV68"/>
      <c r="JJW68" s="169"/>
      <c r="JJX68"/>
      <c r="JJY68" s="162"/>
      <c r="JJZ68" s="170"/>
      <c r="JKA68"/>
      <c r="JKB68" s="163"/>
      <c r="JKC68" s="164"/>
      <c r="JKD68" s="165"/>
      <c r="JKE68" s="165"/>
      <c r="JKF68" s="164"/>
      <c r="JKG68" s="166"/>
      <c r="JKH68" s="164"/>
      <c r="JKI68" s="166"/>
      <c r="JKJ68" s="167"/>
      <c r="JKK68" s="168"/>
      <c r="JKL68"/>
      <c r="JKM68" s="169"/>
      <c r="JKN68"/>
      <c r="JKO68" s="162"/>
      <c r="JKP68" s="170"/>
      <c r="JKQ68"/>
      <c r="JKR68" s="163"/>
      <c r="JKS68" s="164"/>
      <c r="JKT68" s="165"/>
      <c r="JKU68" s="165"/>
      <c r="JKV68" s="164"/>
      <c r="JKW68" s="166"/>
      <c r="JKX68" s="164"/>
      <c r="JKY68" s="166"/>
      <c r="JKZ68" s="167"/>
      <c r="JLA68" s="168"/>
      <c r="JLB68"/>
      <c r="JLC68" s="169"/>
      <c r="JLD68"/>
      <c r="JLE68" s="162"/>
      <c r="JLF68" s="170"/>
      <c r="JLG68"/>
      <c r="JLH68" s="163"/>
      <c r="JLI68" s="164"/>
      <c r="JLJ68" s="165"/>
      <c r="JLK68" s="165"/>
      <c r="JLL68" s="164"/>
      <c r="JLM68" s="166"/>
      <c r="JLN68" s="164"/>
      <c r="JLO68" s="166"/>
      <c r="JLP68" s="167"/>
      <c r="JLQ68" s="168"/>
      <c r="JLR68"/>
      <c r="JLS68" s="169"/>
      <c r="JLT68"/>
      <c r="JLU68" s="162"/>
      <c r="JLV68" s="170"/>
      <c r="JLW68"/>
      <c r="JLX68" s="163"/>
      <c r="JLY68" s="164"/>
      <c r="JLZ68" s="165"/>
      <c r="JMA68" s="165"/>
      <c r="JMB68" s="164"/>
      <c r="JMC68" s="166"/>
      <c r="JMD68" s="164"/>
      <c r="JME68" s="166"/>
      <c r="JMF68" s="167"/>
      <c r="JMG68" s="168"/>
      <c r="JMH68"/>
      <c r="JMI68" s="169"/>
      <c r="JMJ68"/>
      <c r="JMK68" s="162"/>
      <c r="JML68" s="170"/>
      <c r="JMM68"/>
      <c r="JMN68" s="163"/>
      <c r="JMO68" s="164"/>
      <c r="JMP68" s="165"/>
      <c r="JMQ68" s="165"/>
      <c r="JMR68" s="164"/>
      <c r="JMS68" s="166"/>
      <c r="JMT68" s="164"/>
      <c r="JMU68" s="166"/>
      <c r="JMV68" s="167"/>
      <c r="JMW68" s="168"/>
      <c r="JMX68"/>
      <c r="JMY68" s="169"/>
      <c r="JMZ68"/>
      <c r="JNA68" s="162"/>
      <c r="JNB68" s="170"/>
      <c r="JNC68"/>
      <c r="JND68" s="163"/>
      <c r="JNE68" s="164"/>
      <c r="JNF68" s="165"/>
      <c r="JNG68" s="165"/>
      <c r="JNH68" s="164"/>
      <c r="JNI68" s="166"/>
      <c r="JNJ68" s="164"/>
      <c r="JNK68" s="166"/>
      <c r="JNL68" s="167"/>
      <c r="JNM68" s="168"/>
      <c r="JNN68"/>
      <c r="JNO68" s="169"/>
      <c r="JNP68"/>
      <c r="JNQ68" s="162"/>
      <c r="JNR68" s="170"/>
      <c r="JNS68"/>
      <c r="JNT68" s="163"/>
      <c r="JNU68" s="164"/>
      <c r="JNV68" s="165"/>
      <c r="JNW68" s="165"/>
      <c r="JNX68" s="164"/>
      <c r="JNY68" s="166"/>
      <c r="JNZ68" s="164"/>
      <c r="JOA68" s="166"/>
      <c r="JOB68" s="167"/>
      <c r="JOC68" s="168"/>
      <c r="JOD68"/>
      <c r="JOE68" s="169"/>
      <c r="JOF68"/>
      <c r="JOG68" s="162"/>
      <c r="JOH68" s="170"/>
      <c r="JOI68"/>
      <c r="JOJ68" s="163"/>
      <c r="JOK68" s="164"/>
      <c r="JOL68" s="165"/>
      <c r="JOM68" s="165"/>
      <c r="JON68" s="164"/>
      <c r="JOO68" s="166"/>
      <c r="JOP68" s="164"/>
      <c r="JOQ68" s="166"/>
      <c r="JOR68" s="167"/>
      <c r="JOS68" s="168"/>
      <c r="JOT68"/>
      <c r="JOU68" s="169"/>
      <c r="JOV68"/>
      <c r="JOW68" s="162"/>
      <c r="JOX68" s="170"/>
      <c r="JOY68"/>
      <c r="JOZ68" s="163"/>
      <c r="JPA68" s="164"/>
      <c r="JPB68" s="165"/>
      <c r="JPC68" s="165"/>
      <c r="JPD68" s="164"/>
      <c r="JPE68" s="166"/>
      <c r="JPF68" s="164"/>
      <c r="JPG68" s="166"/>
      <c r="JPH68" s="167"/>
      <c r="JPI68" s="168"/>
      <c r="JPJ68"/>
      <c r="JPK68" s="169"/>
      <c r="JPL68"/>
      <c r="JPM68" s="162"/>
      <c r="JPN68" s="170"/>
      <c r="JPO68"/>
      <c r="JPP68" s="163"/>
      <c r="JPQ68" s="164"/>
      <c r="JPR68" s="165"/>
      <c r="JPS68" s="165"/>
      <c r="JPT68" s="164"/>
      <c r="JPU68" s="166"/>
      <c r="JPV68" s="164"/>
      <c r="JPW68" s="166"/>
      <c r="JPX68" s="167"/>
      <c r="JPY68" s="168"/>
      <c r="JPZ68"/>
      <c r="JQA68" s="169"/>
      <c r="JQB68"/>
      <c r="JQC68" s="162"/>
      <c r="JQD68" s="170"/>
      <c r="JQE68"/>
      <c r="JQF68" s="163"/>
      <c r="JQG68" s="164"/>
      <c r="JQH68" s="165"/>
      <c r="JQI68" s="165"/>
      <c r="JQJ68" s="164"/>
      <c r="JQK68" s="166"/>
      <c r="JQL68" s="164"/>
      <c r="JQM68" s="166"/>
      <c r="JQN68" s="167"/>
      <c r="JQO68" s="168"/>
      <c r="JQP68"/>
      <c r="JQQ68" s="169"/>
      <c r="JQR68"/>
      <c r="JQS68" s="162"/>
      <c r="JQT68" s="170"/>
      <c r="JQU68"/>
      <c r="JQV68" s="163"/>
      <c r="JQW68" s="164"/>
      <c r="JQX68" s="165"/>
      <c r="JQY68" s="165"/>
      <c r="JQZ68" s="164"/>
      <c r="JRA68" s="166"/>
      <c r="JRB68" s="164"/>
      <c r="JRC68" s="166"/>
      <c r="JRD68" s="167"/>
      <c r="JRE68" s="168"/>
      <c r="JRF68"/>
      <c r="JRG68" s="169"/>
      <c r="JRH68"/>
      <c r="JRI68" s="162"/>
      <c r="JRJ68" s="170"/>
      <c r="JRK68"/>
      <c r="JRL68" s="163"/>
      <c r="JRM68" s="164"/>
      <c r="JRN68" s="165"/>
      <c r="JRO68" s="165"/>
      <c r="JRP68" s="164"/>
      <c r="JRQ68" s="166"/>
      <c r="JRR68" s="164"/>
      <c r="JRS68" s="166"/>
      <c r="JRT68" s="167"/>
      <c r="JRU68" s="168"/>
      <c r="JRV68"/>
      <c r="JRW68" s="169"/>
      <c r="JRX68"/>
      <c r="JRY68" s="162"/>
      <c r="JRZ68" s="170"/>
      <c r="JSA68"/>
      <c r="JSB68" s="163"/>
      <c r="JSC68" s="164"/>
      <c r="JSD68" s="165"/>
      <c r="JSE68" s="165"/>
      <c r="JSF68" s="164"/>
      <c r="JSG68" s="166"/>
      <c r="JSH68" s="164"/>
      <c r="JSI68" s="166"/>
      <c r="JSJ68" s="167"/>
      <c r="JSK68" s="168"/>
      <c r="JSL68"/>
      <c r="JSM68" s="169"/>
      <c r="JSN68"/>
      <c r="JSO68" s="162"/>
      <c r="JSP68" s="170"/>
      <c r="JSQ68"/>
      <c r="JSR68" s="163"/>
      <c r="JSS68" s="164"/>
      <c r="JST68" s="165"/>
      <c r="JSU68" s="165"/>
      <c r="JSV68" s="164"/>
      <c r="JSW68" s="166"/>
      <c r="JSX68" s="164"/>
      <c r="JSY68" s="166"/>
      <c r="JSZ68" s="167"/>
      <c r="JTA68" s="168"/>
      <c r="JTB68"/>
      <c r="JTC68" s="169"/>
      <c r="JTD68"/>
      <c r="JTE68" s="162"/>
      <c r="JTF68" s="170"/>
      <c r="JTG68"/>
      <c r="JTH68" s="163"/>
      <c r="JTI68" s="164"/>
      <c r="JTJ68" s="165"/>
      <c r="JTK68" s="165"/>
      <c r="JTL68" s="164"/>
      <c r="JTM68" s="166"/>
      <c r="JTN68" s="164"/>
      <c r="JTO68" s="166"/>
      <c r="JTP68" s="167"/>
      <c r="JTQ68" s="168"/>
      <c r="JTR68"/>
      <c r="JTS68" s="169"/>
      <c r="JTT68"/>
      <c r="JTU68" s="162"/>
      <c r="JTV68" s="170"/>
      <c r="JTW68"/>
      <c r="JTX68" s="163"/>
      <c r="JTY68" s="164"/>
      <c r="JTZ68" s="165"/>
      <c r="JUA68" s="165"/>
      <c r="JUB68" s="164"/>
      <c r="JUC68" s="166"/>
      <c r="JUD68" s="164"/>
      <c r="JUE68" s="166"/>
      <c r="JUF68" s="167"/>
      <c r="JUG68" s="168"/>
      <c r="JUH68"/>
      <c r="JUI68" s="169"/>
      <c r="JUJ68"/>
      <c r="JUK68" s="162"/>
      <c r="JUL68" s="170"/>
      <c r="JUM68"/>
      <c r="JUN68" s="163"/>
      <c r="JUO68" s="164"/>
      <c r="JUP68" s="165"/>
      <c r="JUQ68" s="165"/>
      <c r="JUR68" s="164"/>
      <c r="JUS68" s="166"/>
      <c r="JUT68" s="164"/>
      <c r="JUU68" s="166"/>
      <c r="JUV68" s="167"/>
      <c r="JUW68" s="168"/>
      <c r="JUX68"/>
      <c r="JUY68" s="169"/>
      <c r="JUZ68"/>
      <c r="JVA68" s="162"/>
      <c r="JVB68" s="170"/>
      <c r="JVC68"/>
      <c r="JVD68" s="163"/>
      <c r="JVE68" s="164"/>
      <c r="JVF68" s="165"/>
      <c r="JVG68" s="165"/>
      <c r="JVH68" s="164"/>
      <c r="JVI68" s="166"/>
      <c r="JVJ68" s="164"/>
      <c r="JVK68" s="166"/>
      <c r="JVL68" s="167"/>
      <c r="JVM68" s="168"/>
      <c r="JVN68"/>
      <c r="JVO68" s="169"/>
      <c r="JVP68"/>
      <c r="JVQ68" s="162"/>
      <c r="JVR68" s="170"/>
      <c r="JVS68"/>
      <c r="JVT68" s="163"/>
      <c r="JVU68" s="164"/>
      <c r="JVV68" s="165"/>
      <c r="JVW68" s="165"/>
      <c r="JVX68" s="164"/>
      <c r="JVY68" s="166"/>
      <c r="JVZ68" s="164"/>
      <c r="JWA68" s="166"/>
      <c r="JWB68" s="167"/>
      <c r="JWC68" s="168"/>
      <c r="JWD68"/>
      <c r="JWE68" s="169"/>
      <c r="JWF68"/>
      <c r="JWG68" s="162"/>
      <c r="JWH68" s="170"/>
      <c r="JWI68"/>
      <c r="JWJ68" s="163"/>
      <c r="JWK68" s="164"/>
      <c r="JWL68" s="165"/>
      <c r="JWM68" s="165"/>
      <c r="JWN68" s="164"/>
      <c r="JWO68" s="166"/>
      <c r="JWP68" s="164"/>
      <c r="JWQ68" s="166"/>
      <c r="JWR68" s="167"/>
      <c r="JWS68" s="168"/>
      <c r="JWT68"/>
      <c r="JWU68" s="169"/>
      <c r="JWV68"/>
      <c r="JWW68" s="162"/>
      <c r="JWX68" s="170"/>
      <c r="JWY68"/>
      <c r="JWZ68" s="163"/>
      <c r="JXA68" s="164"/>
      <c r="JXB68" s="165"/>
      <c r="JXC68" s="165"/>
      <c r="JXD68" s="164"/>
      <c r="JXE68" s="166"/>
      <c r="JXF68" s="164"/>
      <c r="JXG68" s="166"/>
      <c r="JXH68" s="167"/>
      <c r="JXI68" s="168"/>
      <c r="JXJ68"/>
      <c r="JXK68" s="169"/>
      <c r="JXL68"/>
      <c r="JXM68" s="162"/>
      <c r="JXN68" s="170"/>
      <c r="JXO68"/>
      <c r="JXP68" s="163"/>
      <c r="JXQ68" s="164"/>
      <c r="JXR68" s="165"/>
      <c r="JXS68" s="165"/>
      <c r="JXT68" s="164"/>
      <c r="JXU68" s="166"/>
      <c r="JXV68" s="164"/>
      <c r="JXW68" s="166"/>
      <c r="JXX68" s="167"/>
      <c r="JXY68" s="168"/>
      <c r="JXZ68"/>
      <c r="JYA68" s="169"/>
      <c r="JYB68"/>
      <c r="JYC68" s="162"/>
      <c r="JYD68" s="170"/>
      <c r="JYE68"/>
      <c r="JYF68" s="163"/>
      <c r="JYG68" s="164"/>
      <c r="JYH68" s="165"/>
      <c r="JYI68" s="165"/>
      <c r="JYJ68" s="164"/>
      <c r="JYK68" s="166"/>
      <c r="JYL68" s="164"/>
      <c r="JYM68" s="166"/>
      <c r="JYN68" s="167"/>
      <c r="JYO68" s="168"/>
      <c r="JYP68"/>
      <c r="JYQ68" s="169"/>
      <c r="JYR68"/>
      <c r="JYS68" s="162"/>
      <c r="JYT68" s="170"/>
      <c r="JYU68"/>
      <c r="JYV68" s="163"/>
      <c r="JYW68" s="164"/>
      <c r="JYX68" s="165"/>
      <c r="JYY68" s="165"/>
      <c r="JYZ68" s="164"/>
      <c r="JZA68" s="166"/>
      <c r="JZB68" s="164"/>
      <c r="JZC68" s="166"/>
      <c r="JZD68" s="167"/>
      <c r="JZE68" s="168"/>
      <c r="JZF68"/>
      <c r="JZG68" s="169"/>
      <c r="JZH68"/>
      <c r="JZI68" s="162"/>
      <c r="JZJ68" s="170"/>
      <c r="JZK68"/>
      <c r="JZL68" s="163"/>
      <c r="JZM68" s="164"/>
      <c r="JZN68" s="165"/>
      <c r="JZO68" s="165"/>
      <c r="JZP68" s="164"/>
      <c r="JZQ68" s="166"/>
      <c r="JZR68" s="164"/>
      <c r="JZS68" s="166"/>
      <c r="JZT68" s="167"/>
      <c r="JZU68" s="168"/>
      <c r="JZV68"/>
      <c r="JZW68" s="169"/>
      <c r="JZX68"/>
      <c r="JZY68" s="162"/>
      <c r="JZZ68" s="170"/>
      <c r="KAA68"/>
      <c r="KAB68" s="163"/>
      <c r="KAC68" s="164"/>
      <c r="KAD68" s="165"/>
      <c r="KAE68" s="165"/>
      <c r="KAF68" s="164"/>
      <c r="KAG68" s="166"/>
      <c r="KAH68" s="164"/>
      <c r="KAI68" s="166"/>
      <c r="KAJ68" s="167"/>
      <c r="KAK68" s="168"/>
      <c r="KAL68"/>
      <c r="KAM68" s="169"/>
      <c r="KAN68"/>
      <c r="KAO68" s="162"/>
      <c r="KAP68" s="170"/>
      <c r="KAQ68"/>
      <c r="KAR68" s="163"/>
      <c r="KAS68" s="164"/>
      <c r="KAT68" s="165"/>
      <c r="KAU68" s="165"/>
      <c r="KAV68" s="164"/>
      <c r="KAW68" s="166"/>
      <c r="KAX68" s="164"/>
      <c r="KAY68" s="166"/>
      <c r="KAZ68" s="167"/>
      <c r="KBA68" s="168"/>
      <c r="KBB68"/>
      <c r="KBC68" s="169"/>
      <c r="KBD68"/>
      <c r="KBE68" s="162"/>
      <c r="KBF68" s="170"/>
      <c r="KBG68"/>
      <c r="KBH68" s="163"/>
      <c r="KBI68" s="164"/>
      <c r="KBJ68" s="165"/>
      <c r="KBK68" s="165"/>
      <c r="KBL68" s="164"/>
      <c r="KBM68" s="166"/>
      <c r="KBN68" s="164"/>
      <c r="KBO68" s="166"/>
      <c r="KBP68" s="167"/>
      <c r="KBQ68" s="168"/>
      <c r="KBR68"/>
      <c r="KBS68" s="169"/>
      <c r="KBT68"/>
      <c r="KBU68" s="162"/>
      <c r="KBV68" s="170"/>
      <c r="KBW68"/>
      <c r="KBX68" s="163"/>
      <c r="KBY68" s="164"/>
      <c r="KBZ68" s="165"/>
      <c r="KCA68" s="165"/>
      <c r="KCB68" s="164"/>
      <c r="KCC68" s="166"/>
      <c r="KCD68" s="164"/>
      <c r="KCE68" s="166"/>
      <c r="KCF68" s="167"/>
      <c r="KCG68" s="168"/>
      <c r="KCH68"/>
      <c r="KCI68" s="169"/>
      <c r="KCJ68"/>
      <c r="KCK68" s="162"/>
      <c r="KCL68" s="170"/>
      <c r="KCM68"/>
      <c r="KCN68" s="163"/>
      <c r="KCO68" s="164"/>
      <c r="KCP68" s="165"/>
      <c r="KCQ68" s="165"/>
      <c r="KCR68" s="164"/>
      <c r="KCS68" s="166"/>
      <c r="KCT68" s="164"/>
      <c r="KCU68" s="166"/>
      <c r="KCV68" s="167"/>
      <c r="KCW68" s="168"/>
      <c r="KCX68"/>
      <c r="KCY68" s="169"/>
      <c r="KCZ68"/>
      <c r="KDA68" s="162"/>
      <c r="KDB68" s="170"/>
      <c r="KDC68"/>
      <c r="KDD68" s="163"/>
      <c r="KDE68" s="164"/>
      <c r="KDF68" s="165"/>
      <c r="KDG68" s="165"/>
      <c r="KDH68" s="164"/>
      <c r="KDI68" s="166"/>
      <c r="KDJ68" s="164"/>
      <c r="KDK68" s="166"/>
      <c r="KDL68" s="167"/>
      <c r="KDM68" s="168"/>
      <c r="KDN68"/>
      <c r="KDO68" s="169"/>
      <c r="KDP68"/>
      <c r="KDQ68" s="162"/>
      <c r="KDR68" s="170"/>
      <c r="KDS68"/>
      <c r="KDT68" s="163"/>
      <c r="KDU68" s="164"/>
      <c r="KDV68" s="165"/>
      <c r="KDW68" s="165"/>
      <c r="KDX68" s="164"/>
      <c r="KDY68" s="166"/>
      <c r="KDZ68" s="164"/>
      <c r="KEA68" s="166"/>
      <c r="KEB68" s="167"/>
      <c r="KEC68" s="168"/>
      <c r="KED68"/>
      <c r="KEE68" s="169"/>
      <c r="KEF68"/>
      <c r="KEG68" s="162"/>
      <c r="KEH68" s="170"/>
      <c r="KEI68"/>
      <c r="KEJ68" s="163"/>
      <c r="KEK68" s="164"/>
      <c r="KEL68" s="165"/>
      <c r="KEM68" s="165"/>
      <c r="KEN68" s="164"/>
      <c r="KEO68" s="166"/>
      <c r="KEP68" s="164"/>
      <c r="KEQ68" s="166"/>
      <c r="KER68" s="167"/>
      <c r="KES68" s="168"/>
      <c r="KET68"/>
      <c r="KEU68" s="169"/>
      <c r="KEV68"/>
      <c r="KEW68" s="162"/>
      <c r="KEX68" s="170"/>
      <c r="KEY68"/>
      <c r="KEZ68" s="163"/>
      <c r="KFA68" s="164"/>
      <c r="KFB68" s="165"/>
      <c r="KFC68" s="165"/>
      <c r="KFD68" s="164"/>
      <c r="KFE68" s="166"/>
      <c r="KFF68" s="164"/>
      <c r="KFG68" s="166"/>
      <c r="KFH68" s="167"/>
      <c r="KFI68" s="168"/>
      <c r="KFJ68"/>
      <c r="KFK68" s="169"/>
      <c r="KFL68"/>
      <c r="KFM68" s="162"/>
      <c r="KFN68" s="170"/>
      <c r="KFO68"/>
      <c r="KFP68" s="163"/>
      <c r="KFQ68" s="164"/>
      <c r="KFR68" s="165"/>
      <c r="KFS68" s="165"/>
      <c r="KFT68" s="164"/>
      <c r="KFU68" s="166"/>
      <c r="KFV68" s="164"/>
      <c r="KFW68" s="166"/>
      <c r="KFX68" s="167"/>
      <c r="KFY68" s="168"/>
      <c r="KFZ68"/>
      <c r="KGA68" s="169"/>
      <c r="KGB68"/>
      <c r="KGC68" s="162"/>
      <c r="KGD68" s="170"/>
      <c r="KGE68"/>
      <c r="KGF68" s="163"/>
      <c r="KGG68" s="164"/>
      <c r="KGH68" s="165"/>
      <c r="KGI68" s="165"/>
      <c r="KGJ68" s="164"/>
      <c r="KGK68" s="166"/>
      <c r="KGL68" s="164"/>
      <c r="KGM68" s="166"/>
      <c r="KGN68" s="167"/>
      <c r="KGO68" s="168"/>
      <c r="KGP68"/>
      <c r="KGQ68" s="169"/>
      <c r="KGR68"/>
      <c r="KGS68" s="162"/>
      <c r="KGT68" s="170"/>
      <c r="KGU68"/>
      <c r="KGV68" s="163"/>
      <c r="KGW68" s="164"/>
      <c r="KGX68" s="165"/>
      <c r="KGY68" s="165"/>
      <c r="KGZ68" s="164"/>
      <c r="KHA68" s="166"/>
      <c r="KHB68" s="164"/>
      <c r="KHC68" s="166"/>
      <c r="KHD68" s="167"/>
      <c r="KHE68" s="168"/>
      <c r="KHF68"/>
      <c r="KHG68" s="169"/>
      <c r="KHH68"/>
      <c r="KHI68" s="162"/>
      <c r="KHJ68" s="170"/>
      <c r="KHK68"/>
      <c r="KHL68" s="163"/>
      <c r="KHM68" s="164"/>
      <c r="KHN68" s="165"/>
      <c r="KHO68" s="165"/>
      <c r="KHP68" s="164"/>
      <c r="KHQ68" s="166"/>
      <c r="KHR68" s="164"/>
      <c r="KHS68" s="166"/>
      <c r="KHT68" s="167"/>
      <c r="KHU68" s="168"/>
      <c r="KHV68"/>
      <c r="KHW68" s="169"/>
      <c r="KHX68"/>
      <c r="KHY68" s="162"/>
      <c r="KHZ68" s="170"/>
      <c r="KIA68"/>
      <c r="KIB68" s="163"/>
      <c r="KIC68" s="164"/>
      <c r="KID68" s="165"/>
      <c r="KIE68" s="165"/>
      <c r="KIF68" s="164"/>
      <c r="KIG68" s="166"/>
      <c r="KIH68" s="164"/>
      <c r="KII68" s="166"/>
      <c r="KIJ68" s="167"/>
      <c r="KIK68" s="168"/>
      <c r="KIL68"/>
      <c r="KIM68" s="169"/>
      <c r="KIN68"/>
      <c r="KIO68" s="162"/>
      <c r="KIP68" s="170"/>
      <c r="KIQ68"/>
      <c r="KIR68" s="163"/>
      <c r="KIS68" s="164"/>
      <c r="KIT68" s="165"/>
      <c r="KIU68" s="165"/>
      <c r="KIV68" s="164"/>
      <c r="KIW68" s="166"/>
      <c r="KIX68" s="164"/>
      <c r="KIY68" s="166"/>
      <c r="KIZ68" s="167"/>
      <c r="KJA68" s="168"/>
      <c r="KJB68"/>
      <c r="KJC68" s="169"/>
      <c r="KJD68"/>
      <c r="KJE68" s="162"/>
      <c r="KJF68" s="170"/>
      <c r="KJG68"/>
      <c r="KJH68" s="163"/>
      <c r="KJI68" s="164"/>
      <c r="KJJ68" s="165"/>
      <c r="KJK68" s="165"/>
      <c r="KJL68" s="164"/>
      <c r="KJM68" s="166"/>
      <c r="KJN68" s="164"/>
      <c r="KJO68" s="166"/>
      <c r="KJP68" s="167"/>
      <c r="KJQ68" s="168"/>
      <c r="KJR68"/>
      <c r="KJS68" s="169"/>
      <c r="KJT68"/>
      <c r="KJU68" s="162"/>
      <c r="KJV68" s="170"/>
      <c r="KJW68"/>
      <c r="KJX68" s="163"/>
      <c r="KJY68" s="164"/>
      <c r="KJZ68" s="165"/>
      <c r="KKA68" s="165"/>
      <c r="KKB68" s="164"/>
      <c r="KKC68" s="166"/>
      <c r="KKD68" s="164"/>
      <c r="KKE68" s="166"/>
      <c r="KKF68" s="167"/>
      <c r="KKG68" s="168"/>
      <c r="KKH68"/>
      <c r="KKI68" s="169"/>
      <c r="KKJ68"/>
      <c r="KKK68" s="162"/>
      <c r="KKL68" s="170"/>
      <c r="KKM68"/>
      <c r="KKN68" s="163"/>
      <c r="KKO68" s="164"/>
      <c r="KKP68" s="165"/>
      <c r="KKQ68" s="165"/>
      <c r="KKR68" s="164"/>
      <c r="KKS68" s="166"/>
      <c r="KKT68" s="164"/>
      <c r="KKU68" s="166"/>
      <c r="KKV68" s="167"/>
      <c r="KKW68" s="168"/>
      <c r="KKX68"/>
      <c r="KKY68" s="169"/>
      <c r="KKZ68"/>
      <c r="KLA68" s="162"/>
      <c r="KLB68" s="170"/>
      <c r="KLC68"/>
      <c r="KLD68" s="163"/>
      <c r="KLE68" s="164"/>
      <c r="KLF68" s="165"/>
      <c r="KLG68" s="165"/>
      <c r="KLH68" s="164"/>
      <c r="KLI68" s="166"/>
      <c r="KLJ68" s="164"/>
      <c r="KLK68" s="166"/>
      <c r="KLL68" s="167"/>
      <c r="KLM68" s="168"/>
      <c r="KLN68"/>
      <c r="KLO68" s="169"/>
      <c r="KLP68"/>
      <c r="KLQ68" s="162"/>
      <c r="KLR68" s="170"/>
      <c r="KLS68"/>
      <c r="KLT68" s="163"/>
      <c r="KLU68" s="164"/>
      <c r="KLV68" s="165"/>
      <c r="KLW68" s="165"/>
      <c r="KLX68" s="164"/>
      <c r="KLY68" s="166"/>
      <c r="KLZ68" s="164"/>
      <c r="KMA68" s="166"/>
      <c r="KMB68" s="167"/>
      <c r="KMC68" s="168"/>
      <c r="KMD68"/>
      <c r="KME68" s="169"/>
      <c r="KMF68"/>
      <c r="KMG68" s="162"/>
      <c r="KMH68" s="170"/>
      <c r="KMI68"/>
      <c r="KMJ68" s="163"/>
      <c r="KMK68" s="164"/>
      <c r="KML68" s="165"/>
      <c r="KMM68" s="165"/>
      <c r="KMN68" s="164"/>
      <c r="KMO68" s="166"/>
      <c r="KMP68" s="164"/>
      <c r="KMQ68" s="166"/>
      <c r="KMR68" s="167"/>
      <c r="KMS68" s="168"/>
      <c r="KMT68"/>
      <c r="KMU68" s="169"/>
      <c r="KMV68"/>
      <c r="KMW68" s="162"/>
      <c r="KMX68" s="170"/>
      <c r="KMY68"/>
      <c r="KMZ68" s="163"/>
      <c r="KNA68" s="164"/>
      <c r="KNB68" s="165"/>
      <c r="KNC68" s="165"/>
      <c r="KND68" s="164"/>
      <c r="KNE68" s="166"/>
      <c r="KNF68" s="164"/>
      <c r="KNG68" s="166"/>
      <c r="KNH68" s="167"/>
      <c r="KNI68" s="168"/>
      <c r="KNJ68"/>
      <c r="KNK68" s="169"/>
      <c r="KNL68"/>
      <c r="KNM68" s="162"/>
      <c r="KNN68" s="170"/>
      <c r="KNO68"/>
      <c r="KNP68" s="163"/>
      <c r="KNQ68" s="164"/>
      <c r="KNR68" s="165"/>
      <c r="KNS68" s="165"/>
      <c r="KNT68" s="164"/>
      <c r="KNU68" s="166"/>
      <c r="KNV68" s="164"/>
      <c r="KNW68" s="166"/>
      <c r="KNX68" s="167"/>
      <c r="KNY68" s="168"/>
      <c r="KNZ68"/>
      <c r="KOA68" s="169"/>
      <c r="KOB68"/>
      <c r="KOC68" s="162"/>
      <c r="KOD68" s="170"/>
      <c r="KOE68"/>
      <c r="KOF68" s="163"/>
      <c r="KOG68" s="164"/>
      <c r="KOH68" s="165"/>
      <c r="KOI68" s="165"/>
      <c r="KOJ68" s="164"/>
      <c r="KOK68" s="166"/>
      <c r="KOL68" s="164"/>
      <c r="KOM68" s="166"/>
      <c r="KON68" s="167"/>
      <c r="KOO68" s="168"/>
      <c r="KOP68"/>
      <c r="KOQ68" s="169"/>
      <c r="KOR68"/>
      <c r="KOS68" s="162"/>
      <c r="KOT68" s="170"/>
      <c r="KOU68"/>
      <c r="KOV68" s="163"/>
      <c r="KOW68" s="164"/>
      <c r="KOX68" s="165"/>
      <c r="KOY68" s="165"/>
      <c r="KOZ68" s="164"/>
      <c r="KPA68" s="166"/>
      <c r="KPB68" s="164"/>
      <c r="KPC68" s="166"/>
      <c r="KPD68" s="167"/>
      <c r="KPE68" s="168"/>
      <c r="KPF68"/>
      <c r="KPG68" s="169"/>
      <c r="KPH68"/>
      <c r="KPI68" s="162"/>
      <c r="KPJ68" s="170"/>
      <c r="KPK68"/>
      <c r="KPL68" s="163"/>
      <c r="KPM68" s="164"/>
      <c r="KPN68" s="165"/>
      <c r="KPO68" s="165"/>
      <c r="KPP68" s="164"/>
      <c r="KPQ68" s="166"/>
      <c r="KPR68" s="164"/>
      <c r="KPS68" s="166"/>
      <c r="KPT68" s="167"/>
      <c r="KPU68" s="168"/>
      <c r="KPV68"/>
      <c r="KPW68" s="169"/>
      <c r="KPX68"/>
      <c r="KPY68" s="162"/>
      <c r="KPZ68" s="170"/>
      <c r="KQA68"/>
      <c r="KQB68" s="163"/>
      <c r="KQC68" s="164"/>
      <c r="KQD68" s="165"/>
      <c r="KQE68" s="165"/>
      <c r="KQF68" s="164"/>
      <c r="KQG68" s="166"/>
      <c r="KQH68" s="164"/>
      <c r="KQI68" s="166"/>
      <c r="KQJ68" s="167"/>
      <c r="KQK68" s="168"/>
      <c r="KQL68"/>
      <c r="KQM68" s="169"/>
      <c r="KQN68"/>
      <c r="KQO68" s="162"/>
      <c r="KQP68" s="170"/>
      <c r="KQQ68"/>
      <c r="KQR68" s="163"/>
      <c r="KQS68" s="164"/>
      <c r="KQT68" s="165"/>
      <c r="KQU68" s="165"/>
      <c r="KQV68" s="164"/>
      <c r="KQW68" s="166"/>
      <c r="KQX68" s="164"/>
      <c r="KQY68" s="166"/>
      <c r="KQZ68" s="167"/>
      <c r="KRA68" s="168"/>
      <c r="KRB68"/>
      <c r="KRC68" s="169"/>
      <c r="KRD68"/>
      <c r="KRE68" s="162"/>
      <c r="KRF68" s="170"/>
      <c r="KRG68"/>
      <c r="KRH68" s="163"/>
      <c r="KRI68" s="164"/>
      <c r="KRJ68" s="165"/>
      <c r="KRK68" s="165"/>
      <c r="KRL68" s="164"/>
      <c r="KRM68" s="166"/>
      <c r="KRN68" s="164"/>
      <c r="KRO68" s="166"/>
      <c r="KRP68" s="167"/>
      <c r="KRQ68" s="168"/>
      <c r="KRR68"/>
      <c r="KRS68" s="169"/>
      <c r="KRT68"/>
      <c r="KRU68" s="162"/>
      <c r="KRV68" s="170"/>
      <c r="KRW68"/>
      <c r="KRX68" s="163"/>
      <c r="KRY68" s="164"/>
      <c r="KRZ68" s="165"/>
      <c r="KSA68" s="165"/>
      <c r="KSB68" s="164"/>
      <c r="KSC68" s="166"/>
      <c r="KSD68" s="164"/>
      <c r="KSE68" s="166"/>
      <c r="KSF68" s="167"/>
      <c r="KSG68" s="168"/>
      <c r="KSH68"/>
      <c r="KSI68" s="169"/>
      <c r="KSJ68"/>
      <c r="KSK68" s="162"/>
      <c r="KSL68" s="170"/>
      <c r="KSM68"/>
      <c r="KSN68" s="163"/>
      <c r="KSO68" s="164"/>
      <c r="KSP68" s="165"/>
      <c r="KSQ68" s="165"/>
      <c r="KSR68" s="164"/>
      <c r="KSS68" s="166"/>
      <c r="KST68" s="164"/>
      <c r="KSU68" s="166"/>
      <c r="KSV68" s="167"/>
      <c r="KSW68" s="168"/>
      <c r="KSX68"/>
      <c r="KSY68" s="169"/>
      <c r="KSZ68"/>
      <c r="KTA68" s="162"/>
      <c r="KTB68" s="170"/>
      <c r="KTC68"/>
      <c r="KTD68" s="163"/>
      <c r="KTE68" s="164"/>
      <c r="KTF68" s="165"/>
      <c r="KTG68" s="165"/>
      <c r="KTH68" s="164"/>
      <c r="KTI68" s="166"/>
      <c r="KTJ68" s="164"/>
      <c r="KTK68" s="166"/>
      <c r="KTL68" s="167"/>
      <c r="KTM68" s="168"/>
      <c r="KTN68"/>
      <c r="KTO68" s="169"/>
      <c r="KTP68"/>
      <c r="KTQ68" s="162"/>
      <c r="KTR68" s="170"/>
      <c r="KTS68"/>
      <c r="KTT68" s="163"/>
      <c r="KTU68" s="164"/>
      <c r="KTV68" s="165"/>
      <c r="KTW68" s="165"/>
      <c r="KTX68" s="164"/>
      <c r="KTY68" s="166"/>
      <c r="KTZ68" s="164"/>
      <c r="KUA68" s="166"/>
      <c r="KUB68" s="167"/>
      <c r="KUC68" s="168"/>
      <c r="KUD68"/>
      <c r="KUE68" s="169"/>
      <c r="KUF68"/>
      <c r="KUG68" s="162"/>
      <c r="KUH68" s="170"/>
      <c r="KUI68"/>
      <c r="KUJ68" s="163"/>
      <c r="KUK68" s="164"/>
      <c r="KUL68" s="165"/>
      <c r="KUM68" s="165"/>
      <c r="KUN68" s="164"/>
      <c r="KUO68" s="166"/>
      <c r="KUP68" s="164"/>
      <c r="KUQ68" s="166"/>
      <c r="KUR68" s="167"/>
      <c r="KUS68" s="168"/>
      <c r="KUT68"/>
      <c r="KUU68" s="169"/>
      <c r="KUV68"/>
      <c r="KUW68" s="162"/>
      <c r="KUX68" s="170"/>
      <c r="KUY68"/>
      <c r="KUZ68" s="163"/>
      <c r="KVA68" s="164"/>
      <c r="KVB68" s="165"/>
      <c r="KVC68" s="165"/>
      <c r="KVD68" s="164"/>
      <c r="KVE68" s="166"/>
      <c r="KVF68" s="164"/>
      <c r="KVG68" s="166"/>
      <c r="KVH68" s="167"/>
      <c r="KVI68" s="168"/>
      <c r="KVJ68"/>
      <c r="KVK68" s="169"/>
      <c r="KVL68"/>
      <c r="KVM68" s="162"/>
      <c r="KVN68" s="170"/>
      <c r="KVO68"/>
      <c r="KVP68" s="163"/>
      <c r="KVQ68" s="164"/>
      <c r="KVR68" s="165"/>
      <c r="KVS68" s="165"/>
      <c r="KVT68" s="164"/>
      <c r="KVU68" s="166"/>
      <c r="KVV68" s="164"/>
      <c r="KVW68" s="166"/>
      <c r="KVX68" s="167"/>
      <c r="KVY68" s="168"/>
      <c r="KVZ68"/>
      <c r="KWA68" s="169"/>
      <c r="KWB68"/>
      <c r="KWC68" s="162"/>
      <c r="KWD68" s="170"/>
      <c r="KWE68"/>
      <c r="KWF68" s="163"/>
      <c r="KWG68" s="164"/>
      <c r="KWH68" s="165"/>
      <c r="KWI68" s="165"/>
      <c r="KWJ68" s="164"/>
      <c r="KWK68" s="166"/>
      <c r="KWL68" s="164"/>
      <c r="KWM68" s="166"/>
      <c r="KWN68" s="167"/>
      <c r="KWO68" s="168"/>
      <c r="KWP68"/>
      <c r="KWQ68" s="169"/>
      <c r="KWR68"/>
      <c r="KWS68" s="162"/>
      <c r="KWT68" s="170"/>
      <c r="KWU68"/>
      <c r="KWV68" s="163"/>
      <c r="KWW68" s="164"/>
      <c r="KWX68" s="165"/>
      <c r="KWY68" s="165"/>
      <c r="KWZ68" s="164"/>
      <c r="KXA68" s="166"/>
      <c r="KXB68" s="164"/>
      <c r="KXC68" s="166"/>
      <c r="KXD68" s="167"/>
      <c r="KXE68" s="168"/>
      <c r="KXF68"/>
      <c r="KXG68" s="169"/>
      <c r="KXH68"/>
      <c r="KXI68" s="162"/>
      <c r="KXJ68" s="170"/>
      <c r="KXK68"/>
      <c r="KXL68" s="163"/>
      <c r="KXM68" s="164"/>
      <c r="KXN68" s="165"/>
      <c r="KXO68" s="165"/>
      <c r="KXP68" s="164"/>
      <c r="KXQ68" s="166"/>
      <c r="KXR68" s="164"/>
      <c r="KXS68" s="166"/>
      <c r="KXT68" s="167"/>
      <c r="KXU68" s="168"/>
      <c r="KXV68"/>
      <c r="KXW68" s="169"/>
      <c r="KXX68"/>
      <c r="KXY68" s="162"/>
      <c r="KXZ68" s="170"/>
      <c r="KYA68"/>
      <c r="KYB68" s="163"/>
      <c r="KYC68" s="164"/>
      <c r="KYD68" s="165"/>
      <c r="KYE68" s="165"/>
      <c r="KYF68" s="164"/>
      <c r="KYG68" s="166"/>
      <c r="KYH68" s="164"/>
      <c r="KYI68" s="166"/>
      <c r="KYJ68" s="167"/>
      <c r="KYK68" s="168"/>
      <c r="KYL68"/>
      <c r="KYM68" s="169"/>
      <c r="KYN68"/>
      <c r="KYO68" s="162"/>
      <c r="KYP68" s="170"/>
      <c r="KYQ68"/>
      <c r="KYR68" s="163"/>
      <c r="KYS68" s="164"/>
      <c r="KYT68" s="165"/>
      <c r="KYU68" s="165"/>
      <c r="KYV68" s="164"/>
      <c r="KYW68" s="166"/>
      <c r="KYX68" s="164"/>
      <c r="KYY68" s="166"/>
      <c r="KYZ68" s="167"/>
      <c r="KZA68" s="168"/>
      <c r="KZB68"/>
      <c r="KZC68" s="169"/>
      <c r="KZD68"/>
      <c r="KZE68" s="162"/>
      <c r="KZF68" s="170"/>
      <c r="KZG68"/>
      <c r="KZH68" s="163"/>
      <c r="KZI68" s="164"/>
      <c r="KZJ68" s="165"/>
      <c r="KZK68" s="165"/>
      <c r="KZL68" s="164"/>
      <c r="KZM68" s="166"/>
      <c r="KZN68" s="164"/>
      <c r="KZO68" s="166"/>
      <c r="KZP68" s="167"/>
      <c r="KZQ68" s="168"/>
      <c r="KZR68"/>
      <c r="KZS68" s="169"/>
      <c r="KZT68"/>
      <c r="KZU68" s="162"/>
      <c r="KZV68" s="170"/>
      <c r="KZW68"/>
      <c r="KZX68" s="163"/>
      <c r="KZY68" s="164"/>
      <c r="KZZ68" s="165"/>
      <c r="LAA68" s="165"/>
      <c r="LAB68" s="164"/>
      <c r="LAC68" s="166"/>
      <c r="LAD68" s="164"/>
      <c r="LAE68" s="166"/>
      <c r="LAF68" s="167"/>
      <c r="LAG68" s="168"/>
      <c r="LAH68"/>
      <c r="LAI68" s="169"/>
      <c r="LAJ68"/>
      <c r="LAK68" s="162"/>
      <c r="LAL68" s="170"/>
      <c r="LAM68"/>
      <c r="LAN68" s="163"/>
      <c r="LAO68" s="164"/>
      <c r="LAP68" s="165"/>
      <c r="LAQ68" s="165"/>
      <c r="LAR68" s="164"/>
      <c r="LAS68" s="166"/>
      <c r="LAT68" s="164"/>
      <c r="LAU68" s="166"/>
      <c r="LAV68" s="167"/>
      <c r="LAW68" s="168"/>
      <c r="LAX68"/>
      <c r="LAY68" s="169"/>
      <c r="LAZ68"/>
      <c r="LBA68" s="162"/>
      <c r="LBB68" s="170"/>
      <c r="LBC68"/>
      <c r="LBD68" s="163"/>
      <c r="LBE68" s="164"/>
      <c r="LBF68" s="165"/>
      <c r="LBG68" s="165"/>
      <c r="LBH68" s="164"/>
      <c r="LBI68" s="166"/>
      <c r="LBJ68" s="164"/>
      <c r="LBK68" s="166"/>
      <c r="LBL68" s="167"/>
      <c r="LBM68" s="168"/>
      <c r="LBN68"/>
      <c r="LBO68" s="169"/>
      <c r="LBP68"/>
      <c r="LBQ68" s="162"/>
      <c r="LBR68" s="170"/>
      <c r="LBS68"/>
      <c r="LBT68" s="163"/>
      <c r="LBU68" s="164"/>
      <c r="LBV68" s="165"/>
      <c r="LBW68" s="165"/>
      <c r="LBX68" s="164"/>
      <c r="LBY68" s="166"/>
      <c r="LBZ68" s="164"/>
      <c r="LCA68" s="166"/>
      <c r="LCB68" s="167"/>
      <c r="LCC68" s="168"/>
      <c r="LCD68"/>
      <c r="LCE68" s="169"/>
      <c r="LCF68"/>
      <c r="LCG68" s="162"/>
      <c r="LCH68" s="170"/>
      <c r="LCI68"/>
      <c r="LCJ68" s="163"/>
      <c r="LCK68" s="164"/>
      <c r="LCL68" s="165"/>
      <c r="LCM68" s="165"/>
      <c r="LCN68" s="164"/>
      <c r="LCO68" s="166"/>
      <c r="LCP68" s="164"/>
      <c r="LCQ68" s="166"/>
      <c r="LCR68" s="167"/>
      <c r="LCS68" s="168"/>
      <c r="LCT68"/>
      <c r="LCU68" s="169"/>
      <c r="LCV68"/>
      <c r="LCW68" s="162"/>
      <c r="LCX68" s="170"/>
      <c r="LCY68"/>
      <c r="LCZ68" s="163"/>
      <c r="LDA68" s="164"/>
      <c r="LDB68" s="165"/>
      <c r="LDC68" s="165"/>
      <c r="LDD68" s="164"/>
      <c r="LDE68" s="166"/>
      <c r="LDF68" s="164"/>
      <c r="LDG68" s="166"/>
      <c r="LDH68" s="167"/>
      <c r="LDI68" s="168"/>
      <c r="LDJ68"/>
      <c r="LDK68" s="169"/>
      <c r="LDL68"/>
      <c r="LDM68" s="162"/>
      <c r="LDN68" s="170"/>
      <c r="LDO68"/>
      <c r="LDP68" s="163"/>
      <c r="LDQ68" s="164"/>
      <c r="LDR68" s="165"/>
      <c r="LDS68" s="165"/>
      <c r="LDT68" s="164"/>
      <c r="LDU68" s="166"/>
      <c r="LDV68" s="164"/>
      <c r="LDW68" s="166"/>
      <c r="LDX68" s="167"/>
      <c r="LDY68" s="168"/>
      <c r="LDZ68"/>
      <c r="LEA68" s="169"/>
      <c r="LEB68"/>
      <c r="LEC68" s="162"/>
      <c r="LED68" s="170"/>
      <c r="LEE68"/>
      <c r="LEF68" s="163"/>
      <c r="LEG68" s="164"/>
      <c r="LEH68" s="165"/>
      <c r="LEI68" s="165"/>
      <c r="LEJ68" s="164"/>
      <c r="LEK68" s="166"/>
      <c r="LEL68" s="164"/>
      <c r="LEM68" s="166"/>
      <c r="LEN68" s="167"/>
      <c r="LEO68" s="168"/>
      <c r="LEP68"/>
      <c r="LEQ68" s="169"/>
      <c r="LER68"/>
      <c r="LES68" s="162"/>
      <c r="LET68" s="170"/>
      <c r="LEU68"/>
      <c r="LEV68" s="163"/>
      <c r="LEW68" s="164"/>
      <c r="LEX68" s="165"/>
      <c r="LEY68" s="165"/>
      <c r="LEZ68" s="164"/>
      <c r="LFA68" s="166"/>
      <c r="LFB68" s="164"/>
      <c r="LFC68" s="166"/>
      <c r="LFD68" s="167"/>
      <c r="LFE68" s="168"/>
      <c r="LFF68"/>
      <c r="LFG68" s="169"/>
      <c r="LFH68"/>
      <c r="LFI68" s="162"/>
      <c r="LFJ68" s="170"/>
      <c r="LFK68"/>
      <c r="LFL68" s="163"/>
      <c r="LFM68" s="164"/>
      <c r="LFN68" s="165"/>
      <c r="LFO68" s="165"/>
      <c r="LFP68" s="164"/>
      <c r="LFQ68" s="166"/>
      <c r="LFR68" s="164"/>
      <c r="LFS68" s="166"/>
      <c r="LFT68" s="167"/>
      <c r="LFU68" s="168"/>
      <c r="LFV68"/>
      <c r="LFW68" s="169"/>
      <c r="LFX68"/>
      <c r="LFY68" s="162"/>
      <c r="LFZ68" s="170"/>
      <c r="LGA68"/>
      <c r="LGB68" s="163"/>
      <c r="LGC68" s="164"/>
      <c r="LGD68" s="165"/>
      <c r="LGE68" s="165"/>
      <c r="LGF68" s="164"/>
      <c r="LGG68" s="166"/>
      <c r="LGH68" s="164"/>
      <c r="LGI68" s="166"/>
      <c r="LGJ68" s="167"/>
      <c r="LGK68" s="168"/>
      <c r="LGL68"/>
      <c r="LGM68" s="169"/>
      <c r="LGN68"/>
      <c r="LGO68" s="162"/>
      <c r="LGP68" s="170"/>
      <c r="LGQ68"/>
      <c r="LGR68" s="163"/>
      <c r="LGS68" s="164"/>
      <c r="LGT68" s="165"/>
      <c r="LGU68" s="165"/>
      <c r="LGV68" s="164"/>
      <c r="LGW68" s="166"/>
      <c r="LGX68" s="164"/>
      <c r="LGY68" s="166"/>
      <c r="LGZ68" s="167"/>
      <c r="LHA68" s="168"/>
      <c r="LHB68"/>
      <c r="LHC68" s="169"/>
      <c r="LHD68"/>
      <c r="LHE68" s="162"/>
      <c r="LHF68" s="170"/>
      <c r="LHG68"/>
      <c r="LHH68" s="163"/>
      <c r="LHI68" s="164"/>
      <c r="LHJ68" s="165"/>
      <c r="LHK68" s="165"/>
      <c r="LHL68" s="164"/>
      <c r="LHM68" s="166"/>
      <c r="LHN68" s="164"/>
      <c r="LHO68" s="166"/>
      <c r="LHP68" s="167"/>
      <c r="LHQ68" s="168"/>
      <c r="LHR68"/>
      <c r="LHS68" s="169"/>
      <c r="LHT68"/>
      <c r="LHU68" s="162"/>
      <c r="LHV68" s="170"/>
      <c r="LHW68"/>
      <c r="LHX68" s="163"/>
      <c r="LHY68" s="164"/>
      <c r="LHZ68" s="165"/>
      <c r="LIA68" s="165"/>
      <c r="LIB68" s="164"/>
      <c r="LIC68" s="166"/>
      <c r="LID68" s="164"/>
      <c r="LIE68" s="166"/>
      <c r="LIF68" s="167"/>
      <c r="LIG68" s="168"/>
      <c r="LIH68"/>
      <c r="LII68" s="169"/>
      <c r="LIJ68"/>
      <c r="LIK68" s="162"/>
      <c r="LIL68" s="170"/>
      <c r="LIM68"/>
      <c r="LIN68" s="163"/>
      <c r="LIO68" s="164"/>
      <c r="LIP68" s="165"/>
      <c r="LIQ68" s="165"/>
      <c r="LIR68" s="164"/>
      <c r="LIS68" s="166"/>
      <c r="LIT68" s="164"/>
      <c r="LIU68" s="166"/>
      <c r="LIV68" s="167"/>
      <c r="LIW68" s="168"/>
      <c r="LIX68"/>
      <c r="LIY68" s="169"/>
      <c r="LIZ68"/>
      <c r="LJA68" s="162"/>
      <c r="LJB68" s="170"/>
      <c r="LJC68"/>
      <c r="LJD68" s="163"/>
      <c r="LJE68" s="164"/>
      <c r="LJF68" s="165"/>
      <c r="LJG68" s="165"/>
      <c r="LJH68" s="164"/>
      <c r="LJI68" s="166"/>
      <c r="LJJ68" s="164"/>
      <c r="LJK68" s="166"/>
      <c r="LJL68" s="167"/>
      <c r="LJM68" s="168"/>
      <c r="LJN68"/>
      <c r="LJO68" s="169"/>
      <c r="LJP68"/>
      <c r="LJQ68" s="162"/>
      <c r="LJR68" s="170"/>
      <c r="LJS68"/>
      <c r="LJT68" s="163"/>
      <c r="LJU68" s="164"/>
      <c r="LJV68" s="165"/>
      <c r="LJW68" s="165"/>
      <c r="LJX68" s="164"/>
      <c r="LJY68" s="166"/>
      <c r="LJZ68" s="164"/>
      <c r="LKA68" s="166"/>
      <c r="LKB68" s="167"/>
      <c r="LKC68" s="168"/>
      <c r="LKD68"/>
      <c r="LKE68" s="169"/>
      <c r="LKF68"/>
      <c r="LKG68" s="162"/>
      <c r="LKH68" s="170"/>
      <c r="LKI68"/>
      <c r="LKJ68" s="163"/>
      <c r="LKK68" s="164"/>
      <c r="LKL68" s="165"/>
      <c r="LKM68" s="165"/>
      <c r="LKN68" s="164"/>
      <c r="LKO68" s="166"/>
      <c r="LKP68" s="164"/>
      <c r="LKQ68" s="166"/>
      <c r="LKR68" s="167"/>
      <c r="LKS68" s="168"/>
      <c r="LKT68"/>
      <c r="LKU68" s="169"/>
      <c r="LKV68"/>
      <c r="LKW68" s="162"/>
      <c r="LKX68" s="170"/>
      <c r="LKY68"/>
      <c r="LKZ68" s="163"/>
      <c r="LLA68" s="164"/>
      <c r="LLB68" s="165"/>
      <c r="LLC68" s="165"/>
      <c r="LLD68" s="164"/>
      <c r="LLE68" s="166"/>
      <c r="LLF68" s="164"/>
      <c r="LLG68" s="166"/>
      <c r="LLH68" s="167"/>
      <c r="LLI68" s="168"/>
      <c r="LLJ68"/>
      <c r="LLK68" s="169"/>
      <c r="LLL68"/>
      <c r="LLM68" s="162"/>
      <c r="LLN68" s="170"/>
      <c r="LLO68"/>
      <c r="LLP68" s="163"/>
      <c r="LLQ68" s="164"/>
      <c r="LLR68" s="165"/>
      <c r="LLS68" s="165"/>
      <c r="LLT68" s="164"/>
      <c r="LLU68" s="166"/>
      <c r="LLV68" s="164"/>
      <c r="LLW68" s="166"/>
      <c r="LLX68" s="167"/>
      <c r="LLY68" s="168"/>
      <c r="LLZ68"/>
      <c r="LMA68" s="169"/>
      <c r="LMB68"/>
      <c r="LMC68" s="162"/>
      <c r="LMD68" s="170"/>
      <c r="LME68"/>
      <c r="LMF68" s="163"/>
      <c r="LMG68" s="164"/>
      <c r="LMH68" s="165"/>
      <c r="LMI68" s="165"/>
      <c r="LMJ68" s="164"/>
      <c r="LMK68" s="166"/>
      <c r="LML68" s="164"/>
      <c r="LMM68" s="166"/>
      <c r="LMN68" s="167"/>
      <c r="LMO68" s="168"/>
      <c r="LMP68"/>
      <c r="LMQ68" s="169"/>
      <c r="LMR68"/>
      <c r="LMS68" s="162"/>
      <c r="LMT68" s="170"/>
      <c r="LMU68"/>
      <c r="LMV68" s="163"/>
      <c r="LMW68" s="164"/>
      <c r="LMX68" s="165"/>
      <c r="LMY68" s="165"/>
      <c r="LMZ68" s="164"/>
      <c r="LNA68" s="166"/>
      <c r="LNB68" s="164"/>
      <c r="LNC68" s="166"/>
      <c r="LND68" s="167"/>
      <c r="LNE68" s="168"/>
      <c r="LNF68"/>
      <c r="LNG68" s="169"/>
      <c r="LNH68"/>
      <c r="LNI68" s="162"/>
      <c r="LNJ68" s="170"/>
      <c r="LNK68"/>
      <c r="LNL68" s="163"/>
      <c r="LNM68" s="164"/>
      <c r="LNN68" s="165"/>
      <c r="LNO68" s="165"/>
      <c r="LNP68" s="164"/>
      <c r="LNQ68" s="166"/>
      <c r="LNR68" s="164"/>
      <c r="LNS68" s="166"/>
      <c r="LNT68" s="167"/>
      <c r="LNU68" s="168"/>
      <c r="LNV68"/>
      <c r="LNW68" s="169"/>
      <c r="LNX68"/>
      <c r="LNY68" s="162"/>
      <c r="LNZ68" s="170"/>
      <c r="LOA68"/>
      <c r="LOB68" s="163"/>
      <c r="LOC68" s="164"/>
      <c r="LOD68" s="165"/>
      <c r="LOE68" s="165"/>
      <c r="LOF68" s="164"/>
      <c r="LOG68" s="166"/>
      <c r="LOH68" s="164"/>
      <c r="LOI68" s="166"/>
      <c r="LOJ68" s="167"/>
      <c r="LOK68" s="168"/>
      <c r="LOL68"/>
      <c r="LOM68" s="169"/>
      <c r="LON68"/>
      <c r="LOO68" s="162"/>
      <c r="LOP68" s="170"/>
      <c r="LOQ68"/>
      <c r="LOR68" s="163"/>
      <c r="LOS68" s="164"/>
      <c r="LOT68" s="165"/>
      <c r="LOU68" s="165"/>
      <c r="LOV68" s="164"/>
      <c r="LOW68" s="166"/>
      <c r="LOX68" s="164"/>
      <c r="LOY68" s="166"/>
      <c r="LOZ68" s="167"/>
      <c r="LPA68" s="168"/>
      <c r="LPB68"/>
      <c r="LPC68" s="169"/>
      <c r="LPD68"/>
      <c r="LPE68" s="162"/>
      <c r="LPF68" s="170"/>
      <c r="LPG68"/>
      <c r="LPH68" s="163"/>
      <c r="LPI68" s="164"/>
      <c r="LPJ68" s="165"/>
      <c r="LPK68" s="165"/>
      <c r="LPL68" s="164"/>
      <c r="LPM68" s="166"/>
      <c r="LPN68" s="164"/>
      <c r="LPO68" s="166"/>
      <c r="LPP68" s="167"/>
      <c r="LPQ68" s="168"/>
      <c r="LPR68"/>
      <c r="LPS68" s="169"/>
      <c r="LPT68"/>
      <c r="LPU68" s="162"/>
      <c r="LPV68" s="170"/>
      <c r="LPW68"/>
      <c r="LPX68" s="163"/>
      <c r="LPY68" s="164"/>
      <c r="LPZ68" s="165"/>
      <c r="LQA68" s="165"/>
      <c r="LQB68" s="164"/>
      <c r="LQC68" s="166"/>
      <c r="LQD68" s="164"/>
      <c r="LQE68" s="166"/>
      <c r="LQF68" s="167"/>
      <c r="LQG68" s="168"/>
      <c r="LQH68"/>
      <c r="LQI68" s="169"/>
      <c r="LQJ68"/>
      <c r="LQK68" s="162"/>
      <c r="LQL68" s="170"/>
      <c r="LQM68"/>
      <c r="LQN68" s="163"/>
      <c r="LQO68" s="164"/>
      <c r="LQP68" s="165"/>
      <c r="LQQ68" s="165"/>
      <c r="LQR68" s="164"/>
      <c r="LQS68" s="166"/>
      <c r="LQT68" s="164"/>
      <c r="LQU68" s="166"/>
      <c r="LQV68" s="167"/>
      <c r="LQW68" s="168"/>
      <c r="LQX68"/>
      <c r="LQY68" s="169"/>
      <c r="LQZ68"/>
      <c r="LRA68" s="162"/>
      <c r="LRB68" s="170"/>
      <c r="LRC68"/>
      <c r="LRD68" s="163"/>
      <c r="LRE68" s="164"/>
      <c r="LRF68" s="165"/>
      <c r="LRG68" s="165"/>
      <c r="LRH68" s="164"/>
      <c r="LRI68" s="166"/>
      <c r="LRJ68" s="164"/>
      <c r="LRK68" s="166"/>
      <c r="LRL68" s="167"/>
      <c r="LRM68" s="168"/>
      <c r="LRN68"/>
      <c r="LRO68" s="169"/>
      <c r="LRP68"/>
      <c r="LRQ68" s="162"/>
      <c r="LRR68" s="170"/>
      <c r="LRS68"/>
      <c r="LRT68" s="163"/>
      <c r="LRU68" s="164"/>
      <c r="LRV68" s="165"/>
      <c r="LRW68" s="165"/>
      <c r="LRX68" s="164"/>
      <c r="LRY68" s="166"/>
      <c r="LRZ68" s="164"/>
      <c r="LSA68" s="166"/>
      <c r="LSB68" s="167"/>
      <c r="LSC68" s="168"/>
      <c r="LSD68"/>
      <c r="LSE68" s="169"/>
      <c r="LSF68"/>
      <c r="LSG68" s="162"/>
      <c r="LSH68" s="170"/>
      <c r="LSI68"/>
      <c r="LSJ68" s="163"/>
      <c r="LSK68" s="164"/>
      <c r="LSL68" s="165"/>
      <c r="LSM68" s="165"/>
      <c r="LSN68" s="164"/>
      <c r="LSO68" s="166"/>
      <c r="LSP68" s="164"/>
      <c r="LSQ68" s="166"/>
      <c r="LSR68" s="167"/>
      <c r="LSS68" s="168"/>
      <c r="LST68"/>
      <c r="LSU68" s="169"/>
      <c r="LSV68"/>
      <c r="LSW68" s="162"/>
      <c r="LSX68" s="170"/>
      <c r="LSY68"/>
      <c r="LSZ68" s="163"/>
      <c r="LTA68" s="164"/>
      <c r="LTB68" s="165"/>
      <c r="LTC68" s="165"/>
      <c r="LTD68" s="164"/>
      <c r="LTE68" s="166"/>
      <c r="LTF68" s="164"/>
      <c r="LTG68" s="166"/>
      <c r="LTH68" s="167"/>
      <c r="LTI68" s="168"/>
      <c r="LTJ68"/>
      <c r="LTK68" s="169"/>
      <c r="LTL68"/>
      <c r="LTM68" s="162"/>
      <c r="LTN68" s="170"/>
      <c r="LTO68"/>
      <c r="LTP68" s="163"/>
      <c r="LTQ68" s="164"/>
      <c r="LTR68" s="165"/>
      <c r="LTS68" s="165"/>
      <c r="LTT68" s="164"/>
      <c r="LTU68" s="166"/>
      <c r="LTV68" s="164"/>
      <c r="LTW68" s="166"/>
      <c r="LTX68" s="167"/>
      <c r="LTY68" s="168"/>
      <c r="LTZ68"/>
      <c r="LUA68" s="169"/>
      <c r="LUB68"/>
      <c r="LUC68" s="162"/>
      <c r="LUD68" s="170"/>
      <c r="LUE68"/>
      <c r="LUF68" s="163"/>
      <c r="LUG68" s="164"/>
      <c r="LUH68" s="165"/>
      <c r="LUI68" s="165"/>
      <c r="LUJ68" s="164"/>
      <c r="LUK68" s="166"/>
      <c r="LUL68" s="164"/>
      <c r="LUM68" s="166"/>
      <c r="LUN68" s="167"/>
      <c r="LUO68" s="168"/>
      <c r="LUP68"/>
      <c r="LUQ68" s="169"/>
      <c r="LUR68"/>
      <c r="LUS68" s="162"/>
      <c r="LUT68" s="170"/>
      <c r="LUU68"/>
      <c r="LUV68" s="163"/>
      <c r="LUW68" s="164"/>
      <c r="LUX68" s="165"/>
      <c r="LUY68" s="165"/>
      <c r="LUZ68" s="164"/>
      <c r="LVA68" s="166"/>
      <c r="LVB68" s="164"/>
      <c r="LVC68" s="166"/>
      <c r="LVD68" s="167"/>
      <c r="LVE68" s="168"/>
      <c r="LVF68"/>
      <c r="LVG68" s="169"/>
      <c r="LVH68"/>
      <c r="LVI68" s="162"/>
      <c r="LVJ68" s="170"/>
      <c r="LVK68"/>
      <c r="LVL68" s="163"/>
      <c r="LVM68" s="164"/>
      <c r="LVN68" s="165"/>
      <c r="LVO68" s="165"/>
      <c r="LVP68" s="164"/>
      <c r="LVQ68" s="166"/>
      <c r="LVR68" s="164"/>
      <c r="LVS68" s="166"/>
      <c r="LVT68" s="167"/>
      <c r="LVU68" s="168"/>
      <c r="LVV68"/>
      <c r="LVW68" s="169"/>
      <c r="LVX68"/>
      <c r="LVY68" s="162"/>
      <c r="LVZ68" s="170"/>
      <c r="LWA68"/>
      <c r="LWB68" s="163"/>
      <c r="LWC68" s="164"/>
      <c r="LWD68" s="165"/>
      <c r="LWE68" s="165"/>
      <c r="LWF68" s="164"/>
      <c r="LWG68" s="166"/>
      <c r="LWH68" s="164"/>
      <c r="LWI68" s="166"/>
      <c r="LWJ68" s="167"/>
      <c r="LWK68" s="168"/>
      <c r="LWL68"/>
      <c r="LWM68" s="169"/>
      <c r="LWN68"/>
      <c r="LWO68" s="162"/>
      <c r="LWP68" s="170"/>
      <c r="LWQ68"/>
      <c r="LWR68" s="163"/>
      <c r="LWS68" s="164"/>
      <c r="LWT68" s="165"/>
      <c r="LWU68" s="165"/>
      <c r="LWV68" s="164"/>
      <c r="LWW68" s="166"/>
      <c r="LWX68" s="164"/>
      <c r="LWY68" s="166"/>
      <c r="LWZ68" s="167"/>
      <c r="LXA68" s="168"/>
      <c r="LXB68"/>
      <c r="LXC68" s="169"/>
      <c r="LXD68"/>
      <c r="LXE68" s="162"/>
      <c r="LXF68" s="170"/>
      <c r="LXG68"/>
      <c r="LXH68" s="163"/>
      <c r="LXI68" s="164"/>
      <c r="LXJ68" s="165"/>
      <c r="LXK68" s="165"/>
      <c r="LXL68" s="164"/>
      <c r="LXM68" s="166"/>
      <c r="LXN68" s="164"/>
      <c r="LXO68" s="166"/>
      <c r="LXP68" s="167"/>
      <c r="LXQ68" s="168"/>
      <c r="LXR68"/>
      <c r="LXS68" s="169"/>
      <c r="LXT68"/>
      <c r="LXU68" s="162"/>
      <c r="LXV68" s="170"/>
      <c r="LXW68"/>
      <c r="LXX68" s="163"/>
      <c r="LXY68" s="164"/>
      <c r="LXZ68" s="165"/>
      <c r="LYA68" s="165"/>
      <c r="LYB68" s="164"/>
      <c r="LYC68" s="166"/>
      <c r="LYD68" s="164"/>
      <c r="LYE68" s="166"/>
      <c r="LYF68" s="167"/>
      <c r="LYG68" s="168"/>
      <c r="LYH68"/>
      <c r="LYI68" s="169"/>
      <c r="LYJ68"/>
      <c r="LYK68" s="162"/>
      <c r="LYL68" s="170"/>
      <c r="LYM68"/>
      <c r="LYN68" s="163"/>
      <c r="LYO68" s="164"/>
      <c r="LYP68" s="165"/>
      <c r="LYQ68" s="165"/>
      <c r="LYR68" s="164"/>
      <c r="LYS68" s="166"/>
      <c r="LYT68" s="164"/>
      <c r="LYU68" s="166"/>
      <c r="LYV68" s="167"/>
      <c r="LYW68" s="168"/>
      <c r="LYX68"/>
      <c r="LYY68" s="169"/>
      <c r="LYZ68"/>
      <c r="LZA68" s="162"/>
      <c r="LZB68" s="170"/>
      <c r="LZC68"/>
      <c r="LZD68" s="163"/>
      <c r="LZE68" s="164"/>
      <c r="LZF68" s="165"/>
      <c r="LZG68" s="165"/>
      <c r="LZH68" s="164"/>
      <c r="LZI68" s="166"/>
      <c r="LZJ68" s="164"/>
      <c r="LZK68" s="166"/>
      <c r="LZL68" s="167"/>
      <c r="LZM68" s="168"/>
      <c r="LZN68"/>
      <c r="LZO68" s="169"/>
      <c r="LZP68"/>
      <c r="LZQ68" s="162"/>
      <c r="LZR68" s="170"/>
      <c r="LZS68"/>
      <c r="LZT68" s="163"/>
      <c r="LZU68" s="164"/>
      <c r="LZV68" s="165"/>
      <c r="LZW68" s="165"/>
      <c r="LZX68" s="164"/>
      <c r="LZY68" s="166"/>
      <c r="LZZ68" s="164"/>
      <c r="MAA68" s="166"/>
      <c r="MAB68" s="167"/>
      <c r="MAC68" s="168"/>
      <c r="MAD68"/>
      <c r="MAE68" s="169"/>
      <c r="MAF68"/>
      <c r="MAG68" s="162"/>
      <c r="MAH68" s="170"/>
      <c r="MAI68"/>
      <c r="MAJ68" s="163"/>
      <c r="MAK68" s="164"/>
      <c r="MAL68" s="165"/>
      <c r="MAM68" s="165"/>
      <c r="MAN68" s="164"/>
      <c r="MAO68" s="166"/>
      <c r="MAP68" s="164"/>
      <c r="MAQ68" s="166"/>
      <c r="MAR68" s="167"/>
      <c r="MAS68" s="168"/>
      <c r="MAT68"/>
      <c r="MAU68" s="169"/>
      <c r="MAV68"/>
      <c r="MAW68" s="162"/>
      <c r="MAX68" s="170"/>
      <c r="MAY68"/>
      <c r="MAZ68" s="163"/>
      <c r="MBA68" s="164"/>
      <c r="MBB68" s="165"/>
      <c r="MBC68" s="165"/>
      <c r="MBD68" s="164"/>
      <c r="MBE68" s="166"/>
      <c r="MBF68" s="164"/>
      <c r="MBG68" s="166"/>
      <c r="MBH68" s="167"/>
      <c r="MBI68" s="168"/>
      <c r="MBJ68"/>
      <c r="MBK68" s="169"/>
      <c r="MBL68"/>
      <c r="MBM68" s="162"/>
      <c r="MBN68" s="170"/>
      <c r="MBO68"/>
      <c r="MBP68" s="163"/>
      <c r="MBQ68" s="164"/>
      <c r="MBR68" s="165"/>
      <c r="MBS68" s="165"/>
      <c r="MBT68" s="164"/>
      <c r="MBU68" s="166"/>
      <c r="MBV68" s="164"/>
      <c r="MBW68" s="166"/>
      <c r="MBX68" s="167"/>
      <c r="MBY68" s="168"/>
      <c r="MBZ68"/>
      <c r="MCA68" s="169"/>
      <c r="MCB68"/>
      <c r="MCC68" s="162"/>
      <c r="MCD68" s="170"/>
      <c r="MCE68"/>
      <c r="MCF68" s="163"/>
      <c r="MCG68" s="164"/>
      <c r="MCH68" s="165"/>
      <c r="MCI68" s="165"/>
      <c r="MCJ68" s="164"/>
      <c r="MCK68" s="166"/>
      <c r="MCL68" s="164"/>
      <c r="MCM68" s="166"/>
      <c r="MCN68" s="167"/>
      <c r="MCO68" s="168"/>
      <c r="MCP68"/>
      <c r="MCQ68" s="169"/>
      <c r="MCR68"/>
      <c r="MCS68" s="162"/>
      <c r="MCT68" s="170"/>
      <c r="MCU68"/>
      <c r="MCV68" s="163"/>
      <c r="MCW68" s="164"/>
      <c r="MCX68" s="165"/>
      <c r="MCY68" s="165"/>
      <c r="MCZ68" s="164"/>
      <c r="MDA68" s="166"/>
      <c r="MDB68" s="164"/>
      <c r="MDC68" s="166"/>
      <c r="MDD68" s="167"/>
      <c r="MDE68" s="168"/>
      <c r="MDF68"/>
      <c r="MDG68" s="169"/>
      <c r="MDH68"/>
      <c r="MDI68" s="162"/>
      <c r="MDJ68" s="170"/>
      <c r="MDK68"/>
      <c r="MDL68" s="163"/>
      <c r="MDM68" s="164"/>
      <c r="MDN68" s="165"/>
      <c r="MDO68" s="165"/>
      <c r="MDP68" s="164"/>
      <c r="MDQ68" s="166"/>
      <c r="MDR68" s="164"/>
      <c r="MDS68" s="166"/>
      <c r="MDT68" s="167"/>
      <c r="MDU68" s="168"/>
      <c r="MDV68"/>
      <c r="MDW68" s="169"/>
      <c r="MDX68"/>
      <c r="MDY68" s="162"/>
      <c r="MDZ68" s="170"/>
      <c r="MEA68"/>
      <c r="MEB68" s="163"/>
      <c r="MEC68" s="164"/>
      <c r="MED68" s="165"/>
      <c r="MEE68" s="165"/>
      <c r="MEF68" s="164"/>
      <c r="MEG68" s="166"/>
      <c r="MEH68" s="164"/>
      <c r="MEI68" s="166"/>
      <c r="MEJ68" s="167"/>
      <c r="MEK68" s="168"/>
      <c r="MEL68"/>
      <c r="MEM68" s="169"/>
      <c r="MEN68"/>
      <c r="MEO68" s="162"/>
      <c r="MEP68" s="170"/>
      <c r="MEQ68"/>
      <c r="MER68" s="163"/>
      <c r="MES68" s="164"/>
      <c r="MET68" s="165"/>
      <c r="MEU68" s="165"/>
      <c r="MEV68" s="164"/>
      <c r="MEW68" s="166"/>
      <c r="MEX68" s="164"/>
      <c r="MEY68" s="166"/>
      <c r="MEZ68" s="167"/>
      <c r="MFA68" s="168"/>
      <c r="MFB68"/>
      <c r="MFC68" s="169"/>
      <c r="MFD68"/>
      <c r="MFE68" s="162"/>
      <c r="MFF68" s="170"/>
      <c r="MFG68"/>
      <c r="MFH68" s="163"/>
      <c r="MFI68" s="164"/>
      <c r="MFJ68" s="165"/>
      <c r="MFK68" s="165"/>
      <c r="MFL68" s="164"/>
      <c r="MFM68" s="166"/>
      <c r="MFN68" s="164"/>
      <c r="MFO68" s="166"/>
      <c r="MFP68" s="167"/>
      <c r="MFQ68" s="168"/>
      <c r="MFR68"/>
      <c r="MFS68" s="169"/>
      <c r="MFT68"/>
      <c r="MFU68" s="162"/>
      <c r="MFV68" s="170"/>
      <c r="MFW68"/>
      <c r="MFX68" s="163"/>
      <c r="MFY68" s="164"/>
      <c r="MFZ68" s="165"/>
      <c r="MGA68" s="165"/>
      <c r="MGB68" s="164"/>
      <c r="MGC68" s="166"/>
      <c r="MGD68" s="164"/>
      <c r="MGE68" s="166"/>
      <c r="MGF68" s="167"/>
      <c r="MGG68" s="168"/>
      <c r="MGH68"/>
      <c r="MGI68" s="169"/>
      <c r="MGJ68"/>
      <c r="MGK68" s="162"/>
      <c r="MGL68" s="170"/>
      <c r="MGM68"/>
      <c r="MGN68" s="163"/>
      <c r="MGO68" s="164"/>
      <c r="MGP68" s="165"/>
      <c r="MGQ68" s="165"/>
      <c r="MGR68" s="164"/>
      <c r="MGS68" s="166"/>
      <c r="MGT68" s="164"/>
      <c r="MGU68" s="166"/>
      <c r="MGV68" s="167"/>
      <c r="MGW68" s="168"/>
      <c r="MGX68"/>
      <c r="MGY68" s="169"/>
      <c r="MGZ68"/>
      <c r="MHA68" s="162"/>
      <c r="MHB68" s="170"/>
      <c r="MHC68"/>
      <c r="MHD68" s="163"/>
      <c r="MHE68" s="164"/>
      <c r="MHF68" s="165"/>
      <c r="MHG68" s="165"/>
      <c r="MHH68" s="164"/>
      <c r="MHI68" s="166"/>
      <c r="MHJ68" s="164"/>
      <c r="MHK68" s="166"/>
      <c r="MHL68" s="167"/>
      <c r="MHM68" s="168"/>
      <c r="MHN68"/>
      <c r="MHO68" s="169"/>
      <c r="MHP68"/>
      <c r="MHQ68" s="162"/>
      <c r="MHR68" s="170"/>
      <c r="MHS68"/>
      <c r="MHT68" s="163"/>
      <c r="MHU68" s="164"/>
      <c r="MHV68" s="165"/>
      <c r="MHW68" s="165"/>
      <c r="MHX68" s="164"/>
      <c r="MHY68" s="166"/>
      <c r="MHZ68" s="164"/>
      <c r="MIA68" s="166"/>
      <c r="MIB68" s="167"/>
      <c r="MIC68" s="168"/>
      <c r="MID68"/>
      <c r="MIE68" s="169"/>
      <c r="MIF68"/>
      <c r="MIG68" s="162"/>
      <c r="MIH68" s="170"/>
      <c r="MII68"/>
      <c r="MIJ68" s="163"/>
      <c r="MIK68" s="164"/>
      <c r="MIL68" s="165"/>
      <c r="MIM68" s="165"/>
      <c r="MIN68" s="164"/>
      <c r="MIO68" s="166"/>
      <c r="MIP68" s="164"/>
      <c r="MIQ68" s="166"/>
      <c r="MIR68" s="167"/>
      <c r="MIS68" s="168"/>
      <c r="MIT68"/>
      <c r="MIU68" s="169"/>
      <c r="MIV68"/>
      <c r="MIW68" s="162"/>
      <c r="MIX68" s="170"/>
      <c r="MIY68"/>
      <c r="MIZ68" s="163"/>
      <c r="MJA68" s="164"/>
      <c r="MJB68" s="165"/>
      <c r="MJC68" s="165"/>
      <c r="MJD68" s="164"/>
      <c r="MJE68" s="166"/>
      <c r="MJF68" s="164"/>
      <c r="MJG68" s="166"/>
      <c r="MJH68" s="167"/>
      <c r="MJI68" s="168"/>
      <c r="MJJ68"/>
      <c r="MJK68" s="169"/>
      <c r="MJL68"/>
      <c r="MJM68" s="162"/>
      <c r="MJN68" s="170"/>
      <c r="MJO68"/>
      <c r="MJP68" s="163"/>
      <c r="MJQ68" s="164"/>
      <c r="MJR68" s="165"/>
      <c r="MJS68" s="165"/>
      <c r="MJT68" s="164"/>
      <c r="MJU68" s="166"/>
      <c r="MJV68" s="164"/>
      <c r="MJW68" s="166"/>
      <c r="MJX68" s="167"/>
      <c r="MJY68" s="168"/>
      <c r="MJZ68"/>
      <c r="MKA68" s="169"/>
      <c r="MKB68"/>
      <c r="MKC68" s="162"/>
      <c r="MKD68" s="170"/>
      <c r="MKE68"/>
      <c r="MKF68" s="163"/>
      <c r="MKG68" s="164"/>
      <c r="MKH68" s="165"/>
      <c r="MKI68" s="165"/>
      <c r="MKJ68" s="164"/>
      <c r="MKK68" s="166"/>
      <c r="MKL68" s="164"/>
      <c r="MKM68" s="166"/>
      <c r="MKN68" s="167"/>
      <c r="MKO68" s="168"/>
      <c r="MKP68"/>
      <c r="MKQ68" s="169"/>
      <c r="MKR68"/>
      <c r="MKS68" s="162"/>
      <c r="MKT68" s="170"/>
      <c r="MKU68"/>
      <c r="MKV68" s="163"/>
      <c r="MKW68" s="164"/>
      <c r="MKX68" s="165"/>
      <c r="MKY68" s="165"/>
      <c r="MKZ68" s="164"/>
      <c r="MLA68" s="166"/>
      <c r="MLB68" s="164"/>
      <c r="MLC68" s="166"/>
      <c r="MLD68" s="167"/>
      <c r="MLE68" s="168"/>
      <c r="MLF68"/>
      <c r="MLG68" s="169"/>
      <c r="MLH68"/>
      <c r="MLI68" s="162"/>
      <c r="MLJ68" s="170"/>
      <c r="MLK68"/>
      <c r="MLL68" s="163"/>
      <c r="MLM68" s="164"/>
      <c r="MLN68" s="165"/>
      <c r="MLO68" s="165"/>
      <c r="MLP68" s="164"/>
      <c r="MLQ68" s="166"/>
      <c r="MLR68" s="164"/>
      <c r="MLS68" s="166"/>
      <c r="MLT68" s="167"/>
      <c r="MLU68" s="168"/>
      <c r="MLV68"/>
      <c r="MLW68" s="169"/>
      <c r="MLX68"/>
      <c r="MLY68" s="162"/>
      <c r="MLZ68" s="170"/>
      <c r="MMA68"/>
      <c r="MMB68" s="163"/>
      <c r="MMC68" s="164"/>
      <c r="MMD68" s="165"/>
      <c r="MME68" s="165"/>
      <c r="MMF68" s="164"/>
      <c r="MMG68" s="166"/>
      <c r="MMH68" s="164"/>
      <c r="MMI68" s="166"/>
      <c r="MMJ68" s="167"/>
      <c r="MMK68" s="168"/>
      <c r="MML68"/>
      <c r="MMM68" s="169"/>
      <c r="MMN68"/>
      <c r="MMO68" s="162"/>
      <c r="MMP68" s="170"/>
      <c r="MMQ68"/>
      <c r="MMR68" s="163"/>
      <c r="MMS68" s="164"/>
      <c r="MMT68" s="165"/>
      <c r="MMU68" s="165"/>
      <c r="MMV68" s="164"/>
      <c r="MMW68" s="166"/>
      <c r="MMX68" s="164"/>
      <c r="MMY68" s="166"/>
      <c r="MMZ68" s="167"/>
      <c r="MNA68" s="168"/>
      <c r="MNB68"/>
      <c r="MNC68" s="169"/>
      <c r="MND68"/>
      <c r="MNE68" s="162"/>
      <c r="MNF68" s="170"/>
      <c r="MNG68"/>
      <c r="MNH68" s="163"/>
      <c r="MNI68" s="164"/>
      <c r="MNJ68" s="165"/>
      <c r="MNK68" s="165"/>
      <c r="MNL68" s="164"/>
      <c r="MNM68" s="166"/>
      <c r="MNN68" s="164"/>
      <c r="MNO68" s="166"/>
      <c r="MNP68" s="167"/>
      <c r="MNQ68" s="168"/>
      <c r="MNR68"/>
      <c r="MNS68" s="169"/>
      <c r="MNT68"/>
      <c r="MNU68" s="162"/>
      <c r="MNV68" s="170"/>
      <c r="MNW68"/>
      <c r="MNX68" s="163"/>
      <c r="MNY68" s="164"/>
      <c r="MNZ68" s="165"/>
      <c r="MOA68" s="165"/>
      <c r="MOB68" s="164"/>
      <c r="MOC68" s="166"/>
      <c r="MOD68" s="164"/>
      <c r="MOE68" s="166"/>
      <c r="MOF68" s="167"/>
      <c r="MOG68" s="168"/>
      <c r="MOH68"/>
      <c r="MOI68" s="169"/>
      <c r="MOJ68"/>
      <c r="MOK68" s="162"/>
      <c r="MOL68" s="170"/>
      <c r="MOM68"/>
      <c r="MON68" s="163"/>
      <c r="MOO68" s="164"/>
      <c r="MOP68" s="165"/>
      <c r="MOQ68" s="165"/>
      <c r="MOR68" s="164"/>
      <c r="MOS68" s="166"/>
      <c r="MOT68" s="164"/>
      <c r="MOU68" s="166"/>
      <c r="MOV68" s="167"/>
      <c r="MOW68" s="168"/>
      <c r="MOX68"/>
      <c r="MOY68" s="169"/>
      <c r="MOZ68"/>
      <c r="MPA68" s="162"/>
      <c r="MPB68" s="170"/>
      <c r="MPC68"/>
      <c r="MPD68" s="163"/>
      <c r="MPE68" s="164"/>
      <c r="MPF68" s="165"/>
      <c r="MPG68" s="165"/>
      <c r="MPH68" s="164"/>
      <c r="MPI68" s="166"/>
      <c r="MPJ68" s="164"/>
      <c r="MPK68" s="166"/>
      <c r="MPL68" s="167"/>
      <c r="MPM68" s="168"/>
      <c r="MPN68"/>
      <c r="MPO68" s="169"/>
      <c r="MPP68"/>
      <c r="MPQ68" s="162"/>
      <c r="MPR68" s="170"/>
      <c r="MPS68"/>
      <c r="MPT68" s="163"/>
      <c r="MPU68" s="164"/>
      <c r="MPV68" s="165"/>
      <c r="MPW68" s="165"/>
      <c r="MPX68" s="164"/>
      <c r="MPY68" s="166"/>
      <c r="MPZ68" s="164"/>
      <c r="MQA68" s="166"/>
      <c r="MQB68" s="167"/>
      <c r="MQC68" s="168"/>
      <c r="MQD68"/>
      <c r="MQE68" s="169"/>
      <c r="MQF68"/>
      <c r="MQG68" s="162"/>
      <c r="MQH68" s="170"/>
      <c r="MQI68"/>
      <c r="MQJ68" s="163"/>
      <c r="MQK68" s="164"/>
      <c r="MQL68" s="165"/>
      <c r="MQM68" s="165"/>
      <c r="MQN68" s="164"/>
      <c r="MQO68" s="166"/>
      <c r="MQP68" s="164"/>
      <c r="MQQ68" s="166"/>
      <c r="MQR68" s="167"/>
      <c r="MQS68" s="168"/>
      <c r="MQT68"/>
      <c r="MQU68" s="169"/>
      <c r="MQV68"/>
      <c r="MQW68" s="162"/>
      <c r="MQX68" s="170"/>
      <c r="MQY68"/>
      <c r="MQZ68" s="163"/>
      <c r="MRA68" s="164"/>
      <c r="MRB68" s="165"/>
      <c r="MRC68" s="165"/>
      <c r="MRD68" s="164"/>
      <c r="MRE68" s="166"/>
      <c r="MRF68" s="164"/>
      <c r="MRG68" s="166"/>
      <c r="MRH68" s="167"/>
      <c r="MRI68" s="168"/>
      <c r="MRJ68"/>
      <c r="MRK68" s="169"/>
      <c r="MRL68"/>
      <c r="MRM68" s="162"/>
      <c r="MRN68" s="170"/>
      <c r="MRO68"/>
      <c r="MRP68" s="163"/>
      <c r="MRQ68" s="164"/>
      <c r="MRR68" s="165"/>
      <c r="MRS68" s="165"/>
      <c r="MRT68" s="164"/>
      <c r="MRU68" s="166"/>
      <c r="MRV68" s="164"/>
      <c r="MRW68" s="166"/>
      <c r="MRX68" s="167"/>
      <c r="MRY68" s="168"/>
      <c r="MRZ68"/>
      <c r="MSA68" s="169"/>
      <c r="MSB68"/>
      <c r="MSC68" s="162"/>
      <c r="MSD68" s="170"/>
      <c r="MSE68"/>
      <c r="MSF68" s="163"/>
      <c r="MSG68" s="164"/>
      <c r="MSH68" s="165"/>
      <c r="MSI68" s="165"/>
      <c r="MSJ68" s="164"/>
      <c r="MSK68" s="166"/>
      <c r="MSL68" s="164"/>
      <c r="MSM68" s="166"/>
      <c r="MSN68" s="167"/>
      <c r="MSO68" s="168"/>
      <c r="MSP68"/>
      <c r="MSQ68" s="169"/>
      <c r="MSR68"/>
      <c r="MSS68" s="162"/>
      <c r="MST68" s="170"/>
      <c r="MSU68"/>
      <c r="MSV68" s="163"/>
      <c r="MSW68" s="164"/>
      <c r="MSX68" s="165"/>
      <c r="MSY68" s="165"/>
      <c r="MSZ68" s="164"/>
      <c r="MTA68" s="166"/>
      <c r="MTB68" s="164"/>
      <c r="MTC68" s="166"/>
      <c r="MTD68" s="167"/>
      <c r="MTE68" s="168"/>
      <c r="MTF68"/>
      <c r="MTG68" s="169"/>
      <c r="MTH68"/>
      <c r="MTI68" s="162"/>
      <c r="MTJ68" s="170"/>
      <c r="MTK68"/>
      <c r="MTL68" s="163"/>
      <c r="MTM68" s="164"/>
      <c r="MTN68" s="165"/>
      <c r="MTO68" s="165"/>
      <c r="MTP68" s="164"/>
      <c r="MTQ68" s="166"/>
      <c r="MTR68" s="164"/>
      <c r="MTS68" s="166"/>
      <c r="MTT68" s="167"/>
      <c r="MTU68" s="168"/>
      <c r="MTV68"/>
      <c r="MTW68" s="169"/>
      <c r="MTX68"/>
      <c r="MTY68" s="162"/>
      <c r="MTZ68" s="170"/>
      <c r="MUA68"/>
      <c r="MUB68" s="163"/>
      <c r="MUC68" s="164"/>
      <c r="MUD68" s="165"/>
      <c r="MUE68" s="165"/>
      <c r="MUF68" s="164"/>
      <c r="MUG68" s="166"/>
      <c r="MUH68" s="164"/>
      <c r="MUI68" s="166"/>
      <c r="MUJ68" s="167"/>
      <c r="MUK68" s="168"/>
      <c r="MUL68"/>
      <c r="MUM68" s="169"/>
      <c r="MUN68"/>
      <c r="MUO68" s="162"/>
      <c r="MUP68" s="170"/>
      <c r="MUQ68"/>
      <c r="MUR68" s="163"/>
      <c r="MUS68" s="164"/>
      <c r="MUT68" s="165"/>
      <c r="MUU68" s="165"/>
      <c r="MUV68" s="164"/>
      <c r="MUW68" s="166"/>
      <c r="MUX68" s="164"/>
      <c r="MUY68" s="166"/>
      <c r="MUZ68" s="167"/>
      <c r="MVA68" s="168"/>
      <c r="MVB68"/>
      <c r="MVC68" s="169"/>
      <c r="MVD68"/>
      <c r="MVE68" s="162"/>
      <c r="MVF68" s="170"/>
      <c r="MVG68"/>
      <c r="MVH68" s="163"/>
      <c r="MVI68" s="164"/>
      <c r="MVJ68" s="165"/>
      <c r="MVK68" s="165"/>
      <c r="MVL68" s="164"/>
      <c r="MVM68" s="166"/>
      <c r="MVN68" s="164"/>
      <c r="MVO68" s="166"/>
      <c r="MVP68" s="167"/>
      <c r="MVQ68" s="168"/>
      <c r="MVR68"/>
      <c r="MVS68" s="169"/>
      <c r="MVT68"/>
      <c r="MVU68" s="162"/>
      <c r="MVV68" s="170"/>
      <c r="MVW68"/>
      <c r="MVX68" s="163"/>
      <c r="MVY68" s="164"/>
      <c r="MVZ68" s="165"/>
      <c r="MWA68" s="165"/>
      <c r="MWB68" s="164"/>
      <c r="MWC68" s="166"/>
      <c r="MWD68" s="164"/>
      <c r="MWE68" s="166"/>
      <c r="MWF68" s="167"/>
      <c r="MWG68" s="168"/>
      <c r="MWH68"/>
      <c r="MWI68" s="169"/>
      <c r="MWJ68"/>
      <c r="MWK68" s="162"/>
      <c r="MWL68" s="170"/>
      <c r="MWM68"/>
      <c r="MWN68" s="163"/>
      <c r="MWO68" s="164"/>
      <c r="MWP68" s="165"/>
      <c r="MWQ68" s="165"/>
      <c r="MWR68" s="164"/>
      <c r="MWS68" s="166"/>
      <c r="MWT68" s="164"/>
      <c r="MWU68" s="166"/>
      <c r="MWV68" s="167"/>
      <c r="MWW68" s="168"/>
      <c r="MWX68"/>
      <c r="MWY68" s="169"/>
      <c r="MWZ68"/>
      <c r="MXA68" s="162"/>
      <c r="MXB68" s="170"/>
      <c r="MXC68"/>
      <c r="MXD68" s="163"/>
      <c r="MXE68" s="164"/>
      <c r="MXF68" s="165"/>
      <c r="MXG68" s="165"/>
      <c r="MXH68" s="164"/>
      <c r="MXI68" s="166"/>
      <c r="MXJ68" s="164"/>
      <c r="MXK68" s="166"/>
      <c r="MXL68" s="167"/>
      <c r="MXM68" s="168"/>
      <c r="MXN68"/>
      <c r="MXO68" s="169"/>
      <c r="MXP68"/>
      <c r="MXQ68" s="162"/>
      <c r="MXR68" s="170"/>
      <c r="MXS68"/>
      <c r="MXT68" s="163"/>
      <c r="MXU68" s="164"/>
      <c r="MXV68" s="165"/>
      <c r="MXW68" s="165"/>
      <c r="MXX68" s="164"/>
      <c r="MXY68" s="166"/>
      <c r="MXZ68" s="164"/>
      <c r="MYA68" s="166"/>
      <c r="MYB68" s="167"/>
      <c r="MYC68" s="168"/>
      <c r="MYD68"/>
      <c r="MYE68" s="169"/>
      <c r="MYF68"/>
      <c r="MYG68" s="162"/>
      <c r="MYH68" s="170"/>
      <c r="MYI68"/>
      <c r="MYJ68" s="163"/>
      <c r="MYK68" s="164"/>
      <c r="MYL68" s="165"/>
      <c r="MYM68" s="165"/>
      <c r="MYN68" s="164"/>
      <c r="MYO68" s="166"/>
      <c r="MYP68" s="164"/>
      <c r="MYQ68" s="166"/>
      <c r="MYR68" s="167"/>
      <c r="MYS68" s="168"/>
      <c r="MYT68"/>
      <c r="MYU68" s="169"/>
      <c r="MYV68"/>
      <c r="MYW68" s="162"/>
      <c r="MYX68" s="170"/>
      <c r="MYY68"/>
      <c r="MYZ68" s="163"/>
      <c r="MZA68" s="164"/>
      <c r="MZB68" s="165"/>
      <c r="MZC68" s="165"/>
      <c r="MZD68" s="164"/>
      <c r="MZE68" s="166"/>
      <c r="MZF68" s="164"/>
      <c r="MZG68" s="166"/>
      <c r="MZH68" s="167"/>
      <c r="MZI68" s="168"/>
      <c r="MZJ68"/>
      <c r="MZK68" s="169"/>
      <c r="MZL68"/>
      <c r="MZM68" s="162"/>
      <c r="MZN68" s="170"/>
      <c r="MZO68"/>
      <c r="MZP68" s="163"/>
      <c r="MZQ68" s="164"/>
      <c r="MZR68" s="165"/>
      <c r="MZS68" s="165"/>
      <c r="MZT68" s="164"/>
      <c r="MZU68" s="166"/>
      <c r="MZV68" s="164"/>
      <c r="MZW68" s="166"/>
      <c r="MZX68" s="167"/>
      <c r="MZY68" s="168"/>
      <c r="MZZ68"/>
      <c r="NAA68" s="169"/>
      <c r="NAB68"/>
      <c r="NAC68" s="162"/>
      <c r="NAD68" s="170"/>
      <c r="NAE68"/>
      <c r="NAF68" s="163"/>
      <c r="NAG68" s="164"/>
      <c r="NAH68" s="165"/>
      <c r="NAI68" s="165"/>
      <c r="NAJ68" s="164"/>
      <c r="NAK68" s="166"/>
      <c r="NAL68" s="164"/>
      <c r="NAM68" s="166"/>
      <c r="NAN68" s="167"/>
      <c r="NAO68" s="168"/>
      <c r="NAP68"/>
      <c r="NAQ68" s="169"/>
      <c r="NAR68"/>
      <c r="NAS68" s="162"/>
      <c r="NAT68" s="170"/>
      <c r="NAU68"/>
      <c r="NAV68" s="163"/>
      <c r="NAW68" s="164"/>
      <c r="NAX68" s="165"/>
      <c r="NAY68" s="165"/>
      <c r="NAZ68" s="164"/>
      <c r="NBA68" s="166"/>
      <c r="NBB68" s="164"/>
      <c r="NBC68" s="166"/>
      <c r="NBD68" s="167"/>
      <c r="NBE68" s="168"/>
      <c r="NBF68"/>
      <c r="NBG68" s="169"/>
      <c r="NBH68"/>
      <c r="NBI68" s="162"/>
      <c r="NBJ68" s="170"/>
      <c r="NBK68"/>
      <c r="NBL68" s="163"/>
      <c r="NBM68" s="164"/>
      <c r="NBN68" s="165"/>
      <c r="NBO68" s="165"/>
      <c r="NBP68" s="164"/>
      <c r="NBQ68" s="166"/>
      <c r="NBR68" s="164"/>
      <c r="NBS68" s="166"/>
      <c r="NBT68" s="167"/>
      <c r="NBU68" s="168"/>
      <c r="NBV68"/>
      <c r="NBW68" s="169"/>
      <c r="NBX68"/>
      <c r="NBY68" s="162"/>
      <c r="NBZ68" s="170"/>
      <c r="NCA68"/>
      <c r="NCB68" s="163"/>
      <c r="NCC68" s="164"/>
      <c r="NCD68" s="165"/>
      <c r="NCE68" s="165"/>
      <c r="NCF68" s="164"/>
      <c r="NCG68" s="166"/>
      <c r="NCH68" s="164"/>
      <c r="NCI68" s="166"/>
      <c r="NCJ68" s="167"/>
      <c r="NCK68" s="168"/>
      <c r="NCL68"/>
      <c r="NCM68" s="169"/>
      <c r="NCN68"/>
      <c r="NCO68" s="162"/>
      <c r="NCP68" s="170"/>
      <c r="NCQ68"/>
      <c r="NCR68" s="163"/>
      <c r="NCS68" s="164"/>
      <c r="NCT68" s="165"/>
      <c r="NCU68" s="165"/>
      <c r="NCV68" s="164"/>
      <c r="NCW68" s="166"/>
      <c r="NCX68" s="164"/>
      <c r="NCY68" s="166"/>
      <c r="NCZ68" s="167"/>
      <c r="NDA68" s="168"/>
      <c r="NDB68"/>
      <c r="NDC68" s="169"/>
      <c r="NDD68"/>
      <c r="NDE68" s="162"/>
      <c r="NDF68" s="170"/>
      <c r="NDG68"/>
      <c r="NDH68" s="163"/>
      <c r="NDI68" s="164"/>
      <c r="NDJ68" s="165"/>
      <c r="NDK68" s="165"/>
      <c r="NDL68" s="164"/>
      <c r="NDM68" s="166"/>
      <c r="NDN68" s="164"/>
      <c r="NDO68" s="166"/>
      <c r="NDP68" s="167"/>
      <c r="NDQ68" s="168"/>
      <c r="NDR68"/>
      <c r="NDS68" s="169"/>
      <c r="NDT68"/>
      <c r="NDU68" s="162"/>
      <c r="NDV68" s="170"/>
      <c r="NDW68"/>
      <c r="NDX68" s="163"/>
      <c r="NDY68" s="164"/>
      <c r="NDZ68" s="165"/>
      <c r="NEA68" s="165"/>
      <c r="NEB68" s="164"/>
      <c r="NEC68" s="166"/>
      <c r="NED68" s="164"/>
      <c r="NEE68" s="166"/>
      <c r="NEF68" s="167"/>
      <c r="NEG68" s="168"/>
      <c r="NEH68"/>
      <c r="NEI68" s="169"/>
      <c r="NEJ68"/>
      <c r="NEK68" s="162"/>
      <c r="NEL68" s="170"/>
      <c r="NEM68"/>
      <c r="NEN68" s="163"/>
      <c r="NEO68" s="164"/>
      <c r="NEP68" s="165"/>
      <c r="NEQ68" s="165"/>
      <c r="NER68" s="164"/>
      <c r="NES68" s="166"/>
      <c r="NET68" s="164"/>
      <c r="NEU68" s="166"/>
      <c r="NEV68" s="167"/>
      <c r="NEW68" s="168"/>
      <c r="NEX68"/>
      <c r="NEY68" s="169"/>
      <c r="NEZ68"/>
      <c r="NFA68" s="162"/>
      <c r="NFB68" s="170"/>
      <c r="NFC68"/>
      <c r="NFD68" s="163"/>
      <c r="NFE68" s="164"/>
      <c r="NFF68" s="165"/>
      <c r="NFG68" s="165"/>
      <c r="NFH68" s="164"/>
      <c r="NFI68" s="166"/>
      <c r="NFJ68" s="164"/>
      <c r="NFK68" s="166"/>
      <c r="NFL68" s="167"/>
      <c r="NFM68" s="168"/>
      <c r="NFN68"/>
      <c r="NFO68" s="169"/>
      <c r="NFP68"/>
      <c r="NFQ68" s="162"/>
      <c r="NFR68" s="170"/>
      <c r="NFS68"/>
      <c r="NFT68" s="163"/>
      <c r="NFU68" s="164"/>
      <c r="NFV68" s="165"/>
      <c r="NFW68" s="165"/>
      <c r="NFX68" s="164"/>
      <c r="NFY68" s="166"/>
      <c r="NFZ68" s="164"/>
      <c r="NGA68" s="166"/>
      <c r="NGB68" s="167"/>
      <c r="NGC68" s="168"/>
      <c r="NGD68"/>
      <c r="NGE68" s="169"/>
      <c r="NGF68"/>
      <c r="NGG68" s="162"/>
      <c r="NGH68" s="170"/>
      <c r="NGI68"/>
      <c r="NGJ68" s="163"/>
      <c r="NGK68" s="164"/>
      <c r="NGL68" s="165"/>
      <c r="NGM68" s="165"/>
      <c r="NGN68" s="164"/>
      <c r="NGO68" s="166"/>
      <c r="NGP68" s="164"/>
      <c r="NGQ68" s="166"/>
      <c r="NGR68" s="167"/>
      <c r="NGS68" s="168"/>
      <c r="NGT68"/>
      <c r="NGU68" s="169"/>
      <c r="NGV68"/>
      <c r="NGW68" s="162"/>
      <c r="NGX68" s="170"/>
      <c r="NGY68"/>
      <c r="NGZ68" s="163"/>
      <c r="NHA68" s="164"/>
      <c r="NHB68" s="165"/>
      <c r="NHC68" s="165"/>
      <c r="NHD68" s="164"/>
      <c r="NHE68" s="166"/>
      <c r="NHF68" s="164"/>
      <c r="NHG68" s="166"/>
      <c r="NHH68" s="167"/>
      <c r="NHI68" s="168"/>
      <c r="NHJ68"/>
      <c r="NHK68" s="169"/>
      <c r="NHL68"/>
      <c r="NHM68" s="162"/>
      <c r="NHN68" s="170"/>
      <c r="NHO68"/>
      <c r="NHP68" s="163"/>
      <c r="NHQ68" s="164"/>
      <c r="NHR68" s="165"/>
      <c r="NHS68" s="165"/>
      <c r="NHT68" s="164"/>
      <c r="NHU68" s="166"/>
      <c r="NHV68" s="164"/>
      <c r="NHW68" s="166"/>
      <c r="NHX68" s="167"/>
      <c r="NHY68" s="168"/>
      <c r="NHZ68"/>
      <c r="NIA68" s="169"/>
      <c r="NIB68"/>
      <c r="NIC68" s="162"/>
      <c r="NID68" s="170"/>
      <c r="NIE68"/>
      <c r="NIF68" s="163"/>
      <c r="NIG68" s="164"/>
      <c r="NIH68" s="165"/>
      <c r="NII68" s="165"/>
      <c r="NIJ68" s="164"/>
      <c r="NIK68" s="166"/>
      <c r="NIL68" s="164"/>
      <c r="NIM68" s="166"/>
      <c r="NIN68" s="167"/>
      <c r="NIO68" s="168"/>
      <c r="NIP68"/>
      <c r="NIQ68" s="169"/>
      <c r="NIR68"/>
      <c r="NIS68" s="162"/>
      <c r="NIT68" s="170"/>
      <c r="NIU68"/>
      <c r="NIV68" s="163"/>
      <c r="NIW68" s="164"/>
      <c r="NIX68" s="165"/>
      <c r="NIY68" s="165"/>
      <c r="NIZ68" s="164"/>
      <c r="NJA68" s="166"/>
      <c r="NJB68" s="164"/>
      <c r="NJC68" s="166"/>
      <c r="NJD68" s="167"/>
      <c r="NJE68" s="168"/>
      <c r="NJF68"/>
      <c r="NJG68" s="169"/>
      <c r="NJH68"/>
      <c r="NJI68" s="162"/>
      <c r="NJJ68" s="170"/>
      <c r="NJK68"/>
      <c r="NJL68" s="163"/>
      <c r="NJM68" s="164"/>
      <c r="NJN68" s="165"/>
      <c r="NJO68" s="165"/>
      <c r="NJP68" s="164"/>
      <c r="NJQ68" s="166"/>
      <c r="NJR68" s="164"/>
      <c r="NJS68" s="166"/>
      <c r="NJT68" s="167"/>
      <c r="NJU68" s="168"/>
      <c r="NJV68"/>
      <c r="NJW68" s="169"/>
      <c r="NJX68"/>
      <c r="NJY68" s="162"/>
      <c r="NJZ68" s="170"/>
      <c r="NKA68"/>
      <c r="NKB68" s="163"/>
      <c r="NKC68" s="164"/>
      <c r="NKD68" s="165"/>
      <c r="NKE68" s="165"/>
      <c r="NKF68" s="164"/>
      <c r="NKG68" s="166"/>
      <c r="NKH68" s="164"/>
      <c r="NKI68" s="166"/>
      <c r="NKJ68" s="167"/>
      <c r="NKK68" s="168"/>
      <c r="NKL68"/>
      <c r="NKM68" s="169"/>
      <c r="NKN68"/>
      <c r="NKO68" s="162"/>
      <c r="NKP68" s="170"/>
      <c r="NKQ68"/>
      <c r="NKR68" s="163"/>
      <c r="NKS68" s="164"/>
      <c r="NKT68" s="165"/>
      <c r="NKU68" s="165"/>
      <c r="NKV68" s="164"/>
      <c r="NKW68" s="166"/>
      <c r="NKX68" s="164"/>
      <c r="NKY68" s="166"/>
      <c r="NKZ68" s="167"/>
      <c r="NLA68" s="168"/>
      <c r="NLB68"/>
      <c r="NLC68" s="169"/>
      <c r="NLD68"/>
      <c r="NLE68" s="162"/>
      <c r="NLF68" s="170"/>
      <c r="NLG68"/>
      <c r="NLH68" s="163"/>
      <c r="NLI68" s="164"/>
      <c r="NLJ68" s="165"/>
      <c r="NLK68" s="165"/>
      <c r="NLL68" s="164"/>
      <c r="NLM68" s="166"/>
      <c r="NLN68" s="164"/>
      <c r="NLO68" s="166"/>
      <c r="NLP68" s="167"/>
      <c r="NLQ68" s="168"/>
      <c r="NLR68"/>
      <c r="NLS68" s="169"/>
      <c r="NLT68"/>
      <c r="NLU68" s="162"/>
      <c r="NLV68" s="170"/>
      <c r="NLW68"/>
      <c r="NLX68" s="163"/>
      <c r="NLY68" s="164"/>
      <c r="NLZ68" s="165"/>
      <c r="NMA68" s="165"/>
      <c r="NMB68" s="164"/>
      <c r="NMC68" s="166"/>
      <c r="NMD68" s="164"/>
      <c r="NME68" s="166"/>
      <c r="NMF68" s="167"/>
      <c r="NMG68" s="168"/>
      <c r="NMH68"/>
      <c r="NMI68" s="169"/>
      <c r="NMJ68"/>
      <c r="NMK68" s="162"/>
      <c r="NML68" s="170"/>
      <c r="NMM68"/>
      <c r="NMN68" s="163"/>
      <c r="NMO68" s="164"/>
      <c r="NMP68" s="165"/>
      <c r="NMQ68" s="165"/>
      <c r="NMR68" s="164"/>
      <c r="NMS68" s="166"/>
      <c r="NMT68" s="164"/>
      <c r="NMU68" s="166"/>
      <c r="NMV68" s="167"/>
      <c r="NMW68" s="168"/>
      <c r="NMX68"/>
      <c r="NMY68" s="169"/>
      <c r="NMZ68"/>
      <c r="NNA68" s="162"/>
      <c r="NNB68" s="170"/>
      <c r="NNC68"/>
      <c r="NND68" s="163"/>
      <c r="NNE68" s="164"/>
      <c r="NNF68" s="165"/>
      <c r="NNG68" s="165"/>
      <c r="NNH68" s="164"/>
      <c r="NNI68" s="166"/>
      <c r="NNJ68" s="164"/>
      <c r="NNK68" s="166"/>
      <c r="NNL68" s="167"/>
      <c r="NNM68" s="168"/>
      <c r="NNN68"/>
      <c r="NNO68" s="169"/>
      <c r="NNP68"/>
      <c r="NNQ68" s="162"/>
      <c r="NNR68" s="170"/>
      <c r="NNS68"/>
      <c r="NNT68" s="163"/>
      <c r="NNU68" s="164"/>
      <c r="NNV68" s="165"/>
      <c r="NNW68" s="165"/>
      <c r="NNX68" s="164"/>
      <c r="NNY68" s="166"/>
      <c r="NNZ68" s="164"/>
      <c r="NOA68" s="166"/>
      <c r="NOB68" s="167"/>
      <c r="NOC68" s="168"/>
      <c r="NOD68"/>
      <c r="NOE68" s="169"/>
      <c r="NOF68"/>
      <c r="NOG68" s="162"/>
      <c r="NOH68" s="170"/>
      <c r="NOI68"/>
      <c r="NOJ68" s="163"/>
      <c r="NOK68" s="164"/>
      <c r="NOL68" s="165"/>
      <c r="NOM68" s="165"/>
      <c r="NON68" s="164"/>
      <c r="NOO68" s="166"/>
      <c r="NOP68" s="164"/>
      <c r="NOQ68" s="166"/>
      <c r="NOR68" s="167"/>
      <c r="NOS68" s="168"/>
      <c r="NOT68"/>
      <c r="NOU68" s="169"/>
      <c r="NOV68"/>
      <c r="NOW68" s="162"/>
      <c r="NOX68" s="170"/>
      <c r="NOY68"/>
      <c r="NOZ68" s="163"/>
      <c r="NPA68" s="164"/>
      <c r="NPB68" s="165"/>
      <c r="NPC68" s="165"/>
      <c r="NPD68" s="164"/>
      <c r="NPE68" s="166"/>
      <c r="NPF68" s="164"/>
      <c r="NPG68" s="166"/>
      <c r="NPH68" s="167"/>
      <c r="NPI68" s="168"/>
      <c r="NPJ68"/>
      <c r="NPK68" s="169"/>
      <c r="NPL68"/>
      <c r="NPM68" s="162"/>
      <c r="NPN68" s="170"/>
      <c r="NPO68"/>
      <c r="NPP68" s="163"/>
      <c r="NPQ68" s="164"/>
      <c r="NPR68" s="165"/>
      <c r="NPS68" s="165"/>
      <c r="NPT68" s="164"/>
      <c r="NPU68" s="166"/>
      <c r="NPV68" s="164"/>
      <c r="NPW68" s="166"/>
      <c r="NPX68" s="167"/>
      <c r="NPY68" s="168"/>
      <c r="NPZ68"/>
      <c r="NQA68" s="169"/>
      <c r="NQB68"/>
      <c r="NQC68" s="162"/>
      <c r="NQD68" s="170"/>
      <c r="NQE68"/>
      <c r="NQF68" s="163"/>
      <c r="NQG68" s="164"/>
      <c r="NQH68" s="165"/>
      <c r="NQI68" s="165"/>
      <c r="NQJ68" s="164"/>
      <c r="NQK68" s="166"/>
      <c r="NQL68" s="164"/>
      <c r="NQM68" s="166"/>
      <c r="NQN68" s="167"/>
      <c r="NQO68" s="168"/>
      <c r="NQP68"/>
      <c r="NQQ68" s="169"/>
      <c r="NQR68"/>
      <c r="NQS68" s="162"/>
      <c r="NQT68" s="170"/>
      <c r="NQU68"/>
      <c r="NQV68" s="163"/>
      <c r="NQW68" s="164"/>
      <c r="NQX68" s="165"/>
      <c r="NQY68" s="165"/>
      <c r="NQZ68" s="164"/>
      <c r="NRA68" s="166"/>
      <c r="NRB68" s="164"/>
      <c r="NRC68" s="166"/>
      <c r="NRD68" s="167"/>
      <c r="NRE68" s="168"/>
      <c r="NRF68"/>
      <c r="NRG68" s="169"/>
      <c r="NRH68"/>
      <c r="NRI68" s="162"/>
      <c r="NRJ68" s="170"/>
      <c r="NRK68"/>
      <c r="NRL68" s="163"/>
      <c r="NRM68" s="164"/>
      <c r="NRN68" s="165"/>
      <c r="NRO68" s="165"/>
      <c r="NRP68" s="164"/>
      <c r="NRQ68" s="166"/>
      <c r="NRR68" s="164"/>
      <c r="NRS68" s="166"/>
      <c r="NRT68" s="167"/>
      <c r="NRU68" s="168"/>
      <c r="NRV68"/>
      <c r="NRW68" s="169"/>
      <c r="NRX68"/>
      <c r="NRY68" s="162"/>
      <c r="NRZ68" s="170"/>
      <c r="NSA68"/>
      <c r="NSB68" s="163"/>
      <c r="NSC68" s="164"/>
      <c r="NSD68" s="165"/>
      <c r="NSE68" s="165"/>
      <c r="NSF68" s="164"/>
      <c r="NSG68" s="166"/>
      <c r="NSH68" s="164"/>
      <c r="NSI68" s="166"/>
      <c r="NSJ68" s="167"/>
      <c r="NSK68" s="168"/>
      <c r="NSL68"/>
      <c r="NSM68" s="169"/>
      <c r="NSN68"/>
      <c r="NSO68" s="162"/>
      <c r="NSP68" s="170"/>
      <c r="NSQ68"/>
      <c r="NSR68" s="163"/>
      <c r="NSS68" s="164"/>
      <c r="NST68" s="165"/>
      <c r="NSU68" s="165"/>
      <c r="NSV68" s="164"/>
      <c r="NSW68" s="166"/>
      <c r="NSX68" s="164"/>
      <c r="NSY68" s="166"/>
      <c r="NSZ68" s="167"/>
      <c r="NTA68" s="168"/>
      <c r="NTB68"/>
      <c r="NTC68" s="169"/>
      <c r="NTD68"/>
      <c r="NTE68" s="162"/>
      <c r="NTF68" s="170"/>
      <c r="NTG68"/>
      <c r="NTH68" s="163"/>
      <c r="NTI68" s="164"/>
      <c r="NTJ68" s="165"/>
      <c r="NTK68" s="165"/>
      <c r="NTL68" s="164"/>
      <c r="NTM68" s="166"/>
      <c r="NTN68" s="164"/>
      <c r="NTO68" s="166"/>
      <c r="NTP68" s="167"/>
      <c r="NTQ68" s="168"/>
      <c r="NTR68"/>
      <c r="NTS68" s="169"/>
      <c r="NTT68"/>
      <c r="NTU68" s="162"/>
      <c r="NTV68" s="170"/>
      <c r="NTW68"/>
      <c r="NTX68" s="163"/>
      <c r="NTY68" s="164"/>
      <c r="NTZ68" s="165"/>
      <c r="NUA68" s="165"/>
      <c r="NUB68" s="164"/>
      <c r="NUC68" s="166"/>
      <c r="NUD68" s="164"/>
      <c r="NUE68" s="166"/>
      <c r="NUF68" s="167"/>
      <c r="NUG68" s="168"/>
      <c r="NUH68"/>
      <c r="NUI68" s="169"/>
      <c r="NUJ68"/>
      <c r="NUK68" s="162"/>
      <c r="NUL68" s="170"/>
      <c r="NUM68"/>
      <c r="NUN68" s="163"/>
      <c r="NUO68" s="164"/>
      <c r="NUP68" s="165"/>
      <c r="NUQ68" s="165"/>
      <c r="NUR68" s="164"/>
      <c r="NUS68" s="166"/>
      <c r="NUT68" s="164"/>
      <c r="NUU68" s="166"/>
      <c r="NUV68" s="167"/>
      <c r="NUW68" s="168"/>
      <c r="NUX68"/>
      <c r="NUY68" s="169"/>
      <c r="NUZ68"/>
      <c r="NVA68" s="162"/>
      <c r="NVB68" s="170"/>
      <c r="NVC68"/>
      <c r="NVD68" s="163"/>
      <c r="NVE68" s="164"/>
      <c r="NVF68" s="165"/>
      <c r="NVG68" s="165"/>
      <c r="NVH68" s="164"/>
      <c r="NVI68" s="166"/>
      <c r="NVJ68" s="164"/>
      <c r="NVK68" s="166"/>
      <c r="NVL68" s="167"/>
      <c r="NVM68" s="168"/>
      <c r="NVN68"/>
      <c r="NVO68" s="169"/>
      <c r="NVP68"/>
      <c r="NVQ68" s="162"/>
      <c r="NVR68" s="170"/>
      <c r="NVS68"/>
      <c r="NVT68" s="163"/>
      <c r="NVU68" s="164"/>
      <c r="NVV68" s="165"/>
      <c r="NVW68" s="165"/>
      <c r="NVX68" s="164"/>
      <c r="NVY68" s="166"/>
      <c r="NVZ68" s="164"/>
      <c r="NWA68" s="166"/>
      <c r="NWB68" s="167"/>
      <c r="NWC68" s="168"/>
      <c r="NWD68"/>
      <c r="NWE68" s="169"/>
      <c r="NWF68"/>
      <c r="NWG68" s="162"/>
      <c r="NWH68" s="170"/>
      <c r="NWI68"/>
      <c r="NWJ68" s="163"/>
      <c r="NWK68" s="164"/>
      <c r="NWL68" s="165"/>
      <c r="NWM68" s="165"/>
      <c r="NWN68" s="164"/>
      <c r="NWO68" s="166"/>
      <c r="NWP68" s="164"/>
      <c r="NWQ68" s="166"/>
      <c r="NWR68" s="167"/>
      <c r="NWS68" s="168"/>
      <c r="NWT68"/>
      <c r="NWU68" s="169"/>
      <c r="NWV68"/>
      <c r="NWW68" s="162"/>
      <c r="NWX68" s="170"/>
      <c r="NWY68"/>
      <c r="NWZ68" s="163"/>
      <c r="NXA68" s="164"/>
      <c r="NXB68" s="165"/>
      <c r="NXC68" s="165"/>
      <c r="NXD68" s="164"/>
      <c r="NXE68" s="166"/>
      <c r="NXF68" s="164"/>
      <c r="NXG68" s="166"/>
      <c r="NXH68" s="167"/>
      <c r="NXI68" s="168"/>
      <c r="NXJ68"/>
      <c r="NXK68" s="169"/>
      <c r="NXL68"/>
      <c r="NXM68" s="162"/>
      <c r="NXN68" s="170"/>
      <c r="NXO68"/>
      <c r="NXP68" s="163"/>
      <c r="NXQ68" s="164"/>
      <c r="NXR68" s="165"/>
      <c r="NXS68" s="165"/>
      <c r="NXT68" s="164"/>
      <c r="NXU68" s="166"/>
      <c r="NXV68" s="164"/>
      <c r="NXW68" s="166"/>
      <c r="NXX68" s="167"/>
      <c r="NXY68" s="168"/>
      <c r="NXZ68"/>
      <c r="NYA68" s="169"/>
      <c r="NYB68"/>
      <c r="NYC68" s="162"/>
      <c r="NYD68" s="170"/>
      <c r="NYE68"/>
      <c r="NYF68" s="163"/>
      <c r="NYG68" s="164"/>
      <c r="NYH68" s="165"/>
      <c r="NYI68" s="165"/>
      <c r="NYJ68" s="164"/>
      <c r="NYK68" s="166"/>
      <c r="NYL68" s="164"/>
      <c r="NYM68" s="166"/>
      <c r="NYN68" s="167"/>
      <c r="NYO68" s="168"/>
      <c r="NYP68"/>
      <c r="NYQ68" s="169"/>
      <c r="NYR68"/>
      <c r="NYS68" s="162"/>
      <c r="NYT68" s="170"/>
      <c r="NYU68"/>
      <c r="NYV68" s="163"/>
      <c r="NYW68" s="164"/>
      <c r="NYX68" s="165"/>
      <c r="NYY68" s="165"/>
      <c r="NYZ68" s="164"/>
      <c r="NZA68" s="166"/>
      <c r="NZB68" s="164"/>
      <c r="NZC68" s="166"/>
      <c r="NZD68" s="167"/>
      <c r="NZE68" s="168"/>
      <c r="NZF68"/>
      <c r="NZG68" s="169"/>
      <c r="NZH68"/>
      <c r="NZI68" s="162"/>
      <c r="NZJ68" s="170"/>
      <c r="NZK68"/>
      <c r="NZL68" s="163"/>
      <c r="NZM68" s="164"/>
      <c r="NZN68" s="165"/>
      <c r="NZO68" s="165"/>
      <c r="NZP68" s="164"/>
      <c r="NZQ68" s="166"/>
      <c r="NZR68" s="164"/>
      <c r="NZS68" s="166"/>
      <c r="NZT68" s="167"/>
      <c r="NZU68" s="168"/>
      <c r="NZV68"/>
      <c r="NZW68" s="169"/>
      <c r="NZX68"/>
      <c r="NZY68" s="162"/>
      <c r="NZZ68" s="170"/>
      <c r="OAA68"/>
      <c r="OAB68" s="163"/>
      <c r="OAC68" s="164"/>
      <c r="OAD68" s="165"/>
      <c r="OAE68" s="165"/>
      <c r="OAF68" s="164"/>
      <c r="OAG68" s="166"/>
      <c r="OAH68" s="164"/>
      <c r="OAI68" s="166"/>
      <c r="OAJ68" s="167"/>
      <c r="OAK68" s="168"/>
      <c r="OAL68"/>
      <c r="OAM68" s="169"/>
      <c r="OAN68"/>
      <c r="OAO68" s="162"/>
      <c r="OAP68" s="170"/>
      <c r="OAQ68"/>
      <c r="OAR68" s="163"/>
      <c r="OAS68" s="164"/>
      <c r="OAT68" s="165"/>
      <c r="OAU68" s="165"/>
      <c r="OAV68" s="164"/>
      <c r="OAW68" s="166"/>
      <c r="OAX68" s="164"/>
      <c r="OAY68" s="166"/>
      <c r="OAZ68" s="167"/>
      <c r="OBA68" s="168"/>
      <c r="OBB68"/>
      <c r="OBC68" s="169"/>
      <c r="OBD68"/>
      <c r="OBE68" s="162"/>
      <c r="OBF68" s="170"/>
      <c r="OBG68"/>
      <c r="OBH68" s="163"/>
      <c r="OBI68" s="164"/>
      <c r="OBJ68" s="165"/>
      <c r="OBK68" s="165"/>
      <c r="OBL68" s="164"/>
      <c r="OBM68" s="166"/>
      <c r="OBN68" s="164"/>
      <c r="OBO68" s="166"/>
      <c r="OBP68" s="167"/>
      <c r="OBQ68" s="168"/>
      <c r="OBR68"/>
      <c r="OBS68" s="169"/>
      <c r="OBT68"/>
      <c r="OBU68" s="162"/>
      <c r="OBV68" s="170"/>
      <c r="OBW68"/>
      <c r="OBX68" s="163"/>
      <c r="OBY68" s="164"/>
      <c r="OBZ68" s="165"/>
      <c r="OCA68" s="165"/>
      <c r="OCB68" s="164"/>
      <c r="OCC68" s="166"/>
      <c r="OCD68" s="164"/>
      <c r="OCE68" s="166"/>
      <c r="OCF68" s="167"/>
      <c r="OCG68" s="168"/>
      <c r="OCH68"/>
      <c r="OCI68" s="169"/>
      <c r="OCJ68"/>
      <c r="OCK68" s="162"/>
      <c r="OCL68" s="170"/>
      <c r="OCM68"/>
      <c r="OCN68" s="163"/>
      <c r="OCO68" s="164"/>
      <c r="OCP68" s="165"/>
      <c r="OCQ68" s="165"/>
      <c r="OCR68" s="164"/>
      <c r="OCS68" s="166"/>
      <c r="OCT68" s="164"/>
      <c r="OCU68" s="166"/>
      <c r="OCV68" s="167"/>
      <c r="OCW68" s="168"/>
      <c r="OCX68"/>
      <c r="OCY68" s="169"/>
      <c r="OCZ68"/>
      <c r="ODA68" s="162"/>
      <c r="ODB68" s="170"/>
      <c r="ODC68"/>
      <c r="ODD68" s="163"/>
      <c r="ODE68" s="164"/>
      <c r="ODF68" s="165"/>
      <c r="ODG68" s="165"/>
      <c r="ODH68" s="164"/>
      <c r="ODI68" s="166"/>
      <c r="ODJ68" s="164"/>
      <c r="ODK68" s="166"/>
      <c r="ODL68" s="167"/>
      <c r="ODM68" s="168"/>
      <c r="ODN68"/>
      <c r="ODO68" s="169"/>
      <c r="ODP68"/>
      <c r="ODQ68" s="162"/>
      <c r="ODR68" s="170"/>
      <c r="ODS68"/>
      <c r="ODT68" s="163"/>
      <c r="ODU68" s="164"/>
      <c r="ODV68" s="165"/>
      <c r="ODW68" s="165"/>
      <c r="ODX68" s="164"/>
      <c r="ODY68" s="166"/>
      <c r="ODZ68" s="164"/>
      <c r="OEA68" s="166"/>
      <c r="OEB68" s="167"/>
      <c r="OEC68" s="168"/>
      <c r="OED68"/>
      <c r="OEE68" s="169"/>
      <c r="OEF68"/>
      <c r="OEG68" s="162"/>
      <c r="OEH68" s="170"/>
      <c r="OEI68"/>
      <c r="OEJ68" s="163"/>
      <c r="OEK68" s="164"/>
      <c r="OEL68" s="165"/>
      <c r="OEM68" s="165"/>
      <c r="OEN68" s="164"/>
      <c r="OEO68" s="166"/>
      <c r="OEP68" s="164"/>
      <c r="OEQ68" s="166"/>
      <c r="OER68" s="167"/>
      <c r="OES68" s="168"/>
      <c r="OET68"/>
      <c r="OEU68" s="169"/>
      <c r="OEV68"/>
      <c r="OEW68" s="162"/>
      <c r="OEX68" s="170"/>
      <c r="OEY68"/>
      <c r="OEZ68" s="163"/>
      <c r="OFA68" s="164"/>
      <c r="OFB68" s="165"/>
      <c r="OFC68" s="165"/>
      <c r="OFD68" s="164"/>
      <c r="OFE68" s="166"/>
      <c r="OFF68" s="164"/>
      <c r="OFG68" s="166"/>
      <c r="OFH68" s="167"/>
      <c r="OFI68" s="168"/>
      <c r="OFJ68"/>
      <c r="OFK68" s="169"/>
      <c r="OFL68"/>
      <c r="OFM68" s="162"/>
      <c r="OFN68" s="170"/>
      <c r="OFO68"/>
      <c r="OFP68" s="163"/>
      <c r="OFQ68" s="164"/>
      <c r="OFR68" s="165"/>
      <c r="OFS68" s="165"/>
      <c r="OFT68" s="164"/>
      <c r="OFU68" s="166"/>
      <c r="OFV68" s="164"/>
      <c r="OFW68" s="166"/>
      <c r="OFX68" s="167"/>
      <c r="OFY68" s="168"/>
      <c r="OFZ68"/>
      <c r="OGA68" s="169"/>
      <c r="OGB68"/>
      <c r="OGC68" s="162"/>
      <c r="OGD68" s="170"/>
      <c r="OGE68"/>
      <c r="OGF68" s="163"/>
      <c r="OGG68" s="164"/>
      <c r="OGH68" s="165"/>
      <c r="OGI68" s="165"/>
      <c r="OGJ68" s="164"/>
      <c r="OGK68" s="166"/>
      <c r="OGL68" s="164"/>
      <c r="OGM68" s="166"/>
      <c r="OGN68" s="167"/>
      <c r="OGO68" s="168"/>
      <c r="OGP68"/>
      <c r="OGQ68" s="169"/>
      <c r="OGR68"/>
      <c r="OGS68" s="162"/>
      <c r="OGT68" s="170"/>
      <c r="OGU68"/>
      <c r="OGV68" s="163"/>
      <c r="OGW68" s="164"/>
      <c r="OGX68" s="165"/>
      <c r="OGY68" s="165"/>
      <c r="OGZ68" s="164"/>
      <c r="OHA68" s="166"/>
      <c r="OHB68" s="164"/>
      <c r="OHC68" s="166"/>
      <c r="OHD68" s="167"/>
      <c r="OHE68" s="168"/>
      <c r="OHF68"/>
      <c r="OHG68" s="169"/>
      <c r="OHH68"/>
      <c r="OHI68" s="162"/>
      <c r="OHJ68" s="170"/>
      <c r="OHK68"/>
      <c r="OHL68" s="163"/>
      <c r="OHM68" s="164"/>
      <c r="OHN68" s="165"/>
      <c r="OHO68" s="165"/>
      <c r="OHP68" s="164"/>
      <c r="OHQ68" s="166"/>
      <c r="OHR68" s="164"/>
      <c r="OHS68" s="166"/>
      <c r="OHT68" s="167"/>
      <c r="OHU68" s="168"/>
      <c r="OHV68"/>
      <c r="OHW68" s="169"/>
      <c r="OHX68"/>
      <c r="OHY68" s="162"/>
      <c r="OHZ68" s="170"/>
      <c r="OIA68"/>
      <c r="OIB68" s="163"/>
      <c r="OIC68" s="164"/>
      <c r="OID68" s="165"/>
      <c r="OIE68" s="165"/>
      <c r="OIF68" s="164"/>
      <c r="OIG68" s="166"/>
      <c r="OIH68" s="164"/>
      <c r="OII68" s="166"/>
      <c r="OIJ68" s="167"/>
      <c r="OIK68" s="168"/>
      <c r="OIL68"/>
      <c r="OIM68" s="169"/>
      <c r="OIN68"/>
      <c r="OIO68" s="162"/>
      <c r="OIP68" s="170"/>
      <c r="OIQ68"/>
      <c r="OIR68" s="163"/>
      <c r="OIS68" s="164"/>
      <c r="OIT68" s="165"/>
      <c r="OIU68" s="165"/>
      <c r="OIV68" s="164"/>
      <c r="OIW68" s="166"/>
      <c r="OIX68" s="164"/>
      <c r="OIY68" s="166"/>
      <c r="OIZ68" s="167"/>
      <c r="OJA68" s="168"/>
      <c r="OJB68"/>
      <c r="OJC68" s="169"/>
      <c r="OJD68"/>
      <c r="OJE68" s="162"/>
      <c r="OJF68" s="170"/>
      <c r="OJG68"/>
      <c r="OJH68" s="163"/>
      <c r="OJI68" s="164"/>
      <c r="OJJ68" s="165"/>
      <c r="OJK68" s="165"/>
      <c r="OJL68" s="164"/>
      <c r="OJM68" s="166"/>
      <c r="OJN68" s="164"/>
      <c r="OJO68" s="166"/>
      <c r="OJP68" s="167"/>
      <c r="OJQ68" s="168"/>
      <c r="OJR68"/>
      <c r="OJS68" s="169"/>
      <c r="OJT68"/>
      <c r="OJU68" s="162"/>
      <c r="OJV68" s="170"/>
      <c r="OJW68"/>
      <c r="OJX68" s="163"/>
      <c r="OJY68" s="164"/>
      <c r="OJZ68" s="165"/>
      <c r="OKA68" s="165"/>
      <c r="OKB68" s="164"/>
      <c r="OKC68" s="166"/>
      <c r="OKD68" s="164"/>
      <c r="OKE68" s="166"/>
      <c r="OKF68" s="167"/>
      <c r="OKG68" s="168"/>
      <c r="OKH68"/>
      <c r="OKI68" s="169"/>
      <c r="OKJ68"/>
      <c r="OKK68" s="162"/>
      <c r="OKL68" s="170"/>
      <c r="OKM68"/>
      <c r="OKN68" s="163"/>
      <c r="OKO68" s="164"/>
      <c r="OKP68" s="165"/>
      <c r="OKQ68" s="165"/>
      <c r="OKR68" s="164"/>
      <c r="OKS68" s="166"/>
      <c r="OKT68" s="164"/>
      <c r="OKU68" s="166"/>
      <c r="OKV68" s="167"/>
      <c r="OKW68" s="168"/>
      <c r="OKX68"/>
      <c r="OKY68" s="169"/>
      <c r="OKZ68"/>
      <c r="OLA68" s="162"/>
      <c r="OLB68" s="170"/>
      <c r="OLC68"/>
      <c r="OLD68" s="163"/>
      <c r="OLE68" s="164"/>
      <c r="OLF68" s="165"/>
      <c r="OLG68" s="165"/>
      <c r="OLH68" s="164"/>
      <c r="OLI68" s="166"/>
      <c r="OLJ68" s="164"/>
      <c r="OLK68" s="166"/>
      <c r="OLL68" s="167"/>
      <c r="OLM68" s="168"/>
      <c r="OLN68"/>
      <c r="OLO68" s="169"/>
      <c r="OLP68"/>
      <c r="OLQ68" s="162"/>
      <c r="OLR68" s="170"/>
      <c r="OLS68"/>
      <c r="OLT68" s="163"/>
      <c r="OLU68" s="164"/>
      <c r="OLV68" s="165"/>
      <c r="OLW68" s="165"/>
      <c r="OLX68" s="164"/>
      <c r="OLY68" s="166"/>
      <c r="OLZ68" s="164"/>
      <c r="OMA68" s="166"/>
      <c r="OMB68" s="167"/>
      <c r="OMC68" s="168"/>
      <c r="OMD68"/>
      <c r="OME68" s="169"/>
      <c r="OMF68"/>
      <c r="OMG68" s="162"/>
      <c r="OMH68" s="170"/>
      <c r="OMI68"/>
      <c r="OMJ68" s="163"/>
      <c r="OMK68" s="164"/>
      <c r="OML68" s="165"/>
      <c r="OMM68" s="165"/>
      <c r="OMN68" s="164"/>
      <c r="OMO68" s="166"/>
      <c r="OMP68" s="164"/>
      <c r="OMQ68" s="166"/>
      <c r="OMR68" s="167"/>
      <c r="OMS68" s="168"/>
      <c r="OMT68"/>
      <c r="OMU68" s="169"/>
      <c r="OMV68"/>
      <c r="OMW68" s="162"/>
      <c r="OMX68" s="170"/>
      <c r="OMY68"/>
      <c r="OMZ68" s="163"/>
      <c r="ONA68" s="164"/>
      <c r="ONB68" s="165"/>
      <c r="ONC68" s="165"/>
      <c r="OND68" s="164"/>
      <c r="ONE68" s="166"/>
      <c r="ONF68" s="164"/>
      <c r="ONG68" s="166"/>
      <c r="ONH68" s="167"/>
      <c r="ONI68" s="168"/>
      <c r="ONJ68"/>
      <c r="ONK68" s="169"/>
      <c r="ONL68"/>
      <c r="ONM68" s="162"/>
      <c r="ONN68" s="170"/>
      <c r="ONO68"/>
      <c r="ONP68" s="163"/>
      <c r="ONQ68" s="164"/>
      <c r="ONR68" s="165"/>
      <c r="ONS68" s="165"/>
      <c r="ONT68" s="164"/>
      <c r="ONU68" s="166"/>
      <c r="ONV68" s="164"/>
      <c r="ONW68" s="166"/>
      <c r="ONX68" s="167"/>
      <c r="ONY68" s="168"/>
      <c r="ONZ68"/>
      <c r="OOA68" s="169"/>
      <c r="OOB68"/>
      <c r="OOC68" s="162"/>
      <c r="OOD68" s="170"/>
      <c r="OOE68"/>
      <c r="OOF68" s="163"/>
      <c r="OOG68" s="164"/>
      <c r="OOH68" s="165"/>
      <c r="OOI68" s="165"/>
      <c r="OOJ68" s="164"/>
      <c r="OOK68" s="166"/>
      <c r="OOL68" s="164"/>
      <c r="OOM68" s="166"/>
      <c r="OON68" s="167"/>
      <c r="OOO68" s="168"/>
      <c r="OOP68"/>
      <c r="OOQ68" s="169"/>
      <c r="OOR68"/>
      <c r="OOS68" s="162"/>
      <c r="OOT68" s="170"/>
      <c r="OOU68"/>
      <c r="OOV68" s="163"/>
      <c r="OOW68" s="164"/>
      <c r="OOX68" s="165"/>
      <c r="OOY68" s="165"/>
      <c r="OOZ68" s="164"/>
      <c r="OPA68" s="166"/>
      <c r="OPB68" s="164"/>
      <c r="OPC68" s="166"/>
      <c r="OPD68" s="167"/>
      <c r="OPE68" s="168"/>
      <c r="OPF68"/>
      <c r="OPG68" s="169"/>
      <c r="OPH68"/>
      <c r="OPI68" s="162"/>
      <c r="OPJ68" s="170"/>
      <c r="OPK68"/>
      <c r="OPL68" s="163"/>
      <c r="OPM68" s="164"/>
      <c r="OPN68" s="165"/>
      <c r="OPO68" s="165"/>
      <c r="OPP68" s="164"/>
      <c r="OPQ68" s="166"/>
      <c r="OPR68" s="164"/>
      <c r="OPS68" s="166"/>
      <c r="OPT68" s="167"/>
      <c r="OPU68" s="168"/>
      <c r="OPV68"/>
      <c r="OPW68" s="169"/>
      <c r="OPX68"/>
      <c r="OPY68" s="162"/>
      <c r="OPZ68" s="170"/>
      <c r="OQA68"/>
      <c r="OQB68" s="163"/>
      <c r="OQC68" s="164"/>
      <c r="OQD68" s="165"/>
      <c r="OQE68" s="165"/>
      <c r="OQF68" s="164"/>
      <c r="OQG68" s="166"/>
      <c r="OQH68" s="164"/>
      <c r="OQI68" s="166"/>
      <c r="OQJ68" s="167"/>
      <c r="OQK68" s="168"/>
      <c r="OQL68"/>
      <c r="OQM68" s="169"/>
      <c r="OQN68"/>
      <c r="OQO68" s="162"/>
      <c r="OQP68" s="170"/>
      <c r="OQQ68"/>
      <c r="OQR68" s="163"/>
      <c r="OQS68" s="164"/>
      <c r="OQT68" s="165"/>
      <c r="OQU68" s="165"/>
      <c r="OQV68" s="164"/>
      <c r="OQW68" s="166"/>
      <c r="OQX68" s="164"/>
      <c r="OQY68" s="166"/>
      <c r="OQZ68" s="167"/>
      <c r="ORA68" s="168"/>
      <c r="ORB68"/>
      <c r="ORC68" s="169"/>
      <c r="ORD68"/>
      <c r="ORE68" s="162"/>
      <c r="ORF68" s="170"/>
      <c r="ORG68"/>
      <c r="ORH68" s="163"/>
      <c r="ORI68" s="164"/>
      <c r="ORJ68" s="165"/>
      <c r="ORK68" s="165"/>
      <c r="ORL68" s="164"/>
      <c r="ORM68" s="166"/>
      <c r="ORN68" s="164"/>
      <c r="ORO68" s="166"/>
      <c r="ORP68" s="167"/>
      <c r="ORQ68" s="168"/>
      <c r="ORR68"/>
      <c r="ORS68" s="169"/>
      <c r="ORT68"/>
      <c r="ORU68" s="162"/>
      <c r="ORV68" s="170"/>
      <c r="ORW68"/>
      <c r="ORX68" s="163"/>
      <c r="ORY68" s="164"/>
      <c r="ORZ68" s="165"/>
      <c r="OSA68" s="165"/>
      <c r="OSB68" s="164"/>
      <c r="OSC68" s="166"/>
      <c r="OSD68" s="164"/>
      <c r="OSE68" s="166"/>
      <c r="OSF68" s="167"/>
      <c r="OSG68" s="168"/>
      <c r="OSH68"/>
      <c r="OSI68" s="169"/>
      <c r="OSJ68"/>
      <c r="OSK68" s="162"/>
      <c r="OSL68" s="170"/>
      <c r="OSM68"/>
      <c r="OSN68" s="163"/>
      <c r="OSO68" s="164"/>
      <c r="OSP68" s="165"/>
      <c r="OSQ68" s="165"/>
      <c r="OSR68" s="164"/>
      <c r="OSS68" s="166"/>
      <c r="OST68" s="164"/>
      <c r="OSU68" s="166"/>
      <c r="OSV68" s="167"/>
      <c r="OSW68" s="168"/>
      <c r="OSX68"/>
      <c r="OSY68" s="169"/>
      <c r="OSZ68"/>
      <c r="OTA68" s="162"/>
      <c r="OTB68" s="170"/>
      <c r="OTC68"/>
      <c r="OTD68" s="163"/>
      <c r="OTE68" s="164"/>
      <c r="OTF68" s="165"/>
      <c r="OTG68" s="165"/>
      <c r="OTH68" s="164"/>
      <c r="OTI68" s="166"/>
      <c r="OTJ68" s="164"/>
      <c r="OTK68" s="166"/>
      <c r="OTL68" s="167"/>
      <c r="OTM68" s="168"/>
      <c r="OTN68"/>
      <c r="OTO68" s="169"/>
      <c r="OTP68"/>
      <c r="OTQ68" s="162"/>
      <c r="OTR68" s="170"/>
      <c r="OTS68"/>
      <c r="OTT68" s="163"/>
      <c r="OTU68" s="164"/>
      <c r="OTV68" s="165"/>
      <c r="OTW68" s="165"/>
      <c r="OTX68" s="164"/>
      <c r="OTY68" s="166"/>
      <c r="OTZ68" s="164"/>
      <c r="OUA68" s="166"/>
      <c r="OUB68" s="167"/>
      <c r="OUC68" s="168"/>
      <c r="OUD68"/>
      <c r="OUE68" s="169"/>
      <c r="OUF68"/>
      <c r="OUG68" s="162"/>
      <c r="OUH68" s="170"/>
      <c r="OUI68"/>
      <c r="OUJ68" s="163"/>
      <c r="OUK68" s="164"/>
      <c r="OUL68" s="165"/>
      <c r="OUM68" s="165"/>
      <c r="OUN68" s="164"/>
      <c r="OUO68" s="166"/>
      <c r="OUP68" s="164"/>
      <c r="OUQ68" s="166"/>
      <c r="OUR68" s="167"/>
      <c r="OUS68" s="168"/>
      <c r="OUT68"/>
      <c r="OUU68" s="169"/>
      <c r="OUV68"/>
      <c r="OUW68" s="162"/>
      <c r="OUX68" s="170"/>
      <c r="OUY68"/>
      <c r="OUZ68" s="163"/>
      <c r="OVA68" s="164"/>
      <c r="OVB68" s="165"/>
      <c r="OVC68" s="165"/>
      <c r="OVD68" s="164"/>
      <c r="OVE68" s="166"/>
      <c r="OVF68" s="164"/>
      <c r="OVG68" s="166"/>
      <c r="OVH68" s="167"/>
      <c r="OVI68" s="168"/>
      <c r="OVJ68"/>
      <c r="OVK68" s="169"/>
      <c r="OVL68"/>
      <c r="OVM68" s="162"/>
      <c r="OVN68" s="170"/>
      <c r="OVO68"/>
      <c r="OVP68" s="163"/>
      <c r="OVQ68" s="164"/>
      <c r="OVR68" s="165"/>
      <c r="OVS68" s="165"/>
      <c r="OVT68" s="164"/>
      <c r="OVU68" s="166"/>
      <c r="OVV68" s="164"/>
      <c r="OVW68" s="166"/>
      <c r="OVX68" s="167"/>
      <c r="OVY68" s="168"/>
      <c r="OVZ68"/>
      <c r="OWA68" s="169"/>
      <c r="OWB68"/>
      <c r="OWC68" s="162"/>
      <c r="OWD68" s="170"/>
      <c r="OWE68"/>
      <c r="OWF68" s="163"/>
      <c r="OWG68" s="164"/>
      <c r="OWH68" s="165"/>
      <c r="OWI68" s="165"/>
      <c r="OWJ68" s="164"/>
      <c r="OWK68" s="166"/>
      <c r="OWL68" s="164"/>
      <c r="OWM68" s="166"/>
      <c r="OWN68" s="167"/>
      <c r="OWO68" s="168"/>
      <c r="OWP68"/>
      <c r="OWQ68" s="169"/>
      <c r="OWR68"/>
      <c r="OWS68" s="162"/>
      <c r="OWT68" s="170"/>
      <c r="OWU68"/>
      <c r="OWV68" s="163"/>
      <c r="OWW68" s="164"/>
      <c r="OWX68" s="165"/>
      <c r="OWY68" s="165"/>
      <c r="OWZ68" s="164"/>
      <c r="OXA68" s="166"/>
      <c r="OXB68" s="164"/>
      <c r="OXC68" s="166"/>
      <c r="OXD68" s="167"/>
      <c r="OXE68" s="168"/>
      <c r="OXF68"/>
      <c r="OXG68" s="169"/>
      <c r="OXH68"/>
      <c r="OXI68" s="162"/>
      <c r="OXJ68" s="170"/>
      <c r="OXK68"/>
      <c r="OXL68" s="163"/>
      <c r="OXM68" s="164"/>
      <c r="OXN68" s="165"/>
      <c r="OXO68" s="165"/>
      <c r="OXP68" s="164"/>
      <c r="OXQ68" s="166"/>
      <c r="OXR68" s="164"/>
      <c r="OXS68" s="166"/>
      <c r="OXT68" s="167"/>
      <c r="OXU68" s="168"/>
      <c r="OXV68"/>
      <c r="OXW68" s="169"/>
      <c r="OXX68"/>
      <c r="OXY68" s="162"/>
      <c r="OXZ68" s="170"/>
      <c r="OYA68"/>
      <c r="OYB68" s="163"/>
      <c r="OYC68" s="164"/>
      <c r="OYD68" s="165"/>
      <c r="OYE68" s="165"/>
      <c r="OYF68" s="164"/>
      <c r="OYG68" s="166"/>
      <c r="OYH68" s="164"/>
      <c r="OYI68" s="166"/>
      <c r="OYJ68" s="167"/>
      <c r="OYK68" s="168"/>
      <c r="OYL68"/>
      <c r="OYM68" s="169"/>
      <c r="OYN68"/>
      <c r="OYO68" s="162"/>
      <c r="OYP68" s="170"/>
      <c r="OYQ68"/>
      <c r="OYR68" s="163"/>
      <c r="OYS68" s="164"/>
      <c r="OYT68" s="165"/>
      <c r="OYU68" s="165"/>
      <c r="OYV68" s="164"/>
      <c r="OYW68" s="166"/>
      <c r="OYX68" s="164"/>
      <c r="OYY68" s="166"/>
      <c r="OYZ68" s="167"/>
      <c r="OZA68" s="168"/>
      <c r="OZB68"/>
      <c r="OZC68" s="169"/>
      <c r="OZD68"/>
      <c r="OZE68" s="162"/>
      <c r="OZF68" s="170"/>
      <c r="OZG68"/>
      <c r="OZH68" s="163"/>
      <c r="OZI68" s="164"/>
      <c r="OZJ68" s="165"/>
      <c r="OZK68" s="165"/>
      <c r="OZL68" s="164"/>
      <c r="OZM68" s="166"/>
      <c r="OZN68" s="164"/>
      <c r="OZO68" s="166"/>
      <c r="OZP68" s="167"/>
      <c r="OZQ68" s="168"/>
      <c r="OZR68"/>
      <c r="OZS68" s="169"/>
      <c r="OZT68"/>
      <c r="OZU68" s="162"/>
      <c r="OZV68" s="170"/>
      <c r="OZW68"/>
      <c r="OZX68" s="163"/>
      <c r="OZY68" s="164"/>
      <c r="OZZ68" s="165"/>
      <c r="PAA68" s="165"/>
      <c r="PAB68" s="164"/>
      <c r="PAC68" s="166"/>
      <c r="PAD68" s="164"/>
      <c r="PAE68" s="166"/>
      <c r="PAF68" s="167"/>
      <c r="PAG68" s="168"/>
      <c r="PAH68"/>
      <c r="PAI68" s="169"/>
      <c r="PAJ68"/>
      <c r="PAK68" s="162"/>
      <c r="PAL68" s="170"/>
      <c r="PAM68"/>
      <c r="PAN68" s="163"/>
      <c r="PAO68" s="164"/>
      <c r="PAP68" s="165"/>
      <c r="PAQ68" s="165"/>
      <c r="PAR68" s="164"/>
      <c r="PAS68" s="166"/>
      <c r="PAT68" s="164"/>
      <c r="PAU68" s="166"/>
      <c r="PAV68" s="167"/>
      <c r="PAW68" s="168"/>
      <c r="PAX68"/>
      <c r="PAY68" s="169"/>
      <c r="PAZ68"/>
      <c r="PBA68" s="162"/>
      <c r="PBB68" s="170"/>
      <c r="PBC68"/>
      <c r="PBD68" s="163"/>
      <c r="PBE68" s="164"/>
      <c r="PBF68" s="165"/>
      <c r="PBG68" s="165"/>
      <c r="PBH68" s="164"/>
      <c r="PBI68" s="166"/>
      <c r="PBJ68" s="164"/>
      <c r="PBK68" s="166"/>
      <c r="PBL68" s="167"/>
      <c r="PBM68" s="168"/>
      <c r="PBN68"/>
      <c r="PBO68" s="169"/>
      <c r="PBP68"/>
      <c r="PBQ68" s="162"/>
      <c r="PBR68" s="170"/>
      <c r="PBS68"/>
      <c r="PBT68" s="163"/>
      <c r="PBU68" s="164"/>
      <c r="PBV68" s="165"/>
      <c r="PBW68" s="165"/>
      <c r="PBX68" s="164"/>
      <c r="PBY68" s="166"/>
      <c r="PBZ68" s="164"/>
      <c r="PCA68" s="166"/>
      <c r="PCB68" s="167"/>
      <c r="PCC68" s="168"/>
      <c r="PCD68"/>
      <c r="PCE68" s="169"/>
      <c r="PCF68"/>
      <c r="PCG68" s="162"/>
      <c r="PCH68" s="170"/>
      <c r="PCI68"/>
      <c r="PCJ68" s="163"/>
      <c r="PCK68" s="164"/>
      <c r="PCL68" s="165"/>
      <c r="PCM68" s="165"/>
      <c r="PCN68" s="164"/>
      <c r="PCO68" s="166"/>
      <c r="PCP68" s="164"/>
      <c r="PCQ68" s="166"/>
      <c r="PCR68" s="167"/>
      <c r="PCS68" s="168"/>
      <c r="PCT68"/>
      <c r="PCU68" s="169"/>
      <c r="PCV68"/>
      <c r="PCW68" s="162"/>
      <c r="PCX68" s="170"/>
      <c r="PCY68"/>
      <c r="PCZ68" s="163"/>
      <c r="PDA68" s="164"/>
      <c r="PDB68" s="165"/>
      <c r="PDC68" s="165"/>
      <c r="PDD68" s="164"/>
      <c r="PDE68" s="166"/>
      <c r="PDF68" s="164"/>
      <c r="PDG68" s="166"/>
      <c r="PDH68" s="167"/>
      <c r="PDI68" s="168"/>
      <c r="PDJ68"/>
      <c r="PDK68" s="169"/>
      <c r="PDL68"/>
      <c r="PDM68" s="162"/>
      <c r="PDN68" s="170"/>
      <c r="PDO68"/>
      <c r="PDP68" s="163"/>
      <c r="PDQ68" s="164"/>
      <c r="PDR68" s="165"/>
      <c r="PDS68" s="165"/>
      <c r="PDT68" s="164"/>
      <c r="PDU68" s="166"/>
      <c r="PDV68" s="164"/>
      <c r="PDW68" s="166"/>
      <c r="PDX68" s="167"/>
      <c r="PDY68" s="168"/>
      <c r="PDZ68"/>
      <c r="PEA68" s="169"/>
      <c r="PEB68"/>
      <c r="PEC68" s="162"/>
      <c r="PED68" s="170"/>
      <c r="PEE68"/>
      <c r="PEF68" s="163"/>
      <c r="PEG68" s="164"/>
      <c r="PEH68" s="165"/>
      <c r="PEI68" s="165"/>
      <c r="PEJ68" s="164"/>
      <c r="PEK68" s="166"/>
      <c r="PEL68" s="164"/>
      <c r="PEM68" s="166"/>
      <c r="PEN68" s="167"/>
      <c r="PEO68" s="168"/>
      <c r="PEP68"/>
      <c r="PEQ68" s="169"/>
      <c r="PER68"/>
      <c r="PES68" s="162"/>
      <c r="PET68" s="170"/>
      <c r="PEU68"/>
      <c r="PEV68" s="163"/>
      <c r="PEW68" s="164"/>
      <c r="PEX68" s="165"/>
      <c r="PEY68" s="165"/>
      <c r="PEZ68" s="164"/>
      <c r="PFA68" s="166"/>
      <c r="PFB68" s="164"/>
      <c r="PFC68" s="166"/>
      <c r="PFD68" s="167"/>
      <c r="PFE68" s="168"/>
      <c r="PFF68"/>
      <c r="PFG68" s="169"/>
      <c r="PFH68"/>
      <c r="PFI68" s="162"/>
      <c r="PFJ68" s="170"/>
      <c r="PFK68"/>
      <c r="PFL68" s="163"/>
      <c r="PFM68" s="164"/>
      <c r="PFN68" s="165"/>
      <c r="PFO68" s="165"/>
      <c r="PFP68" s="164"/>
      <c r="PFQ68" s="166"/>
      <c r="PFR68" s="164"/>
      <c r="PFS68" s="166"/>
      <c r="PFT68" s="167"/>
      <c r="PFU68" s="168"/>
      <c r="PFV68"/>
      <c r="PFW68" s="169"/>
      <c r="PFX68"/>
      <c r="PFY68" s="162"/>
      <c r="PFZ68" s="170"/>
      <c r="PGA68"/>
      <c r="PGB68" s="163"/>
      <c r="PGC68" s="164"/>
      <c r="PGD68" s="165"/>
      <c r="PGE68" s="165"/>
      <c r="PGF68" s="164"/>
      <c r="PGG68" s="166"/>
      <c r="PGH68" s="164"/>
      <c r="PGI68" s="166"/>
      <c r="PGJ68" s="167"/>
      <c r="PGK68" s="168"/>
      <c r="PGL68"/>
      <c r="PGM68" s="169"/>
      <c r="PGN68"/>
      <c r="PGO68" s="162"/>
      <c r="PGP68" s="170"/>
      <c r="PGQ68"/>
      <c r="PGR68" s="163"/>
      <c r="PGS68" s="164"/>
      <c r="PGT68" s="165"/>
      <c r="PGU68" s="165"/>
      <c r="PGV68" s="164"/>
      <c r="PGW68" s="166"/>
      <c r="PGX68" s="164"/>
      <c r="PGY68" s="166"/>
      <c r="PGZ68" s="167"/>
      <c r="PHA68" s="168"/>
      <c r="PHB68"/>
      <c r="PHC68" s="169"/>
      <c r="PHD68"/>
      <c r="PHE68" s="162"/>
      <c r="PHF68" s="170"/>
      <c r="PHG68"/>
      <c r="PHH68" s="163"/>
      <c r="PHI68" s="164"/>
      <c r="PHJ68" s="165"/>
      <c r="PHK68" s="165"/>
      <c r="PHL68" s="164"/>
      <c r="PHM68" s="166"/>
      <c r="PHN68" s="164"/>
      <c r="PHO68" s="166"/>
      <c r="PHP68" s="167"/>
      <c r="PHQ68" s="168"/>
      <c r="PHR68"/>
      <c r="PHS68" s="169"/>
      <c r="PHT68"/>
      <c r="PHU68" s="162"/>
      <c r="PHV68" s="170"/>
      <c r="PHW68"/>
      <c r="PHX68" s="163"/>
      <c r="PHY68" s="164"/>
      <c r="PHZ68" s="165"/>
      <c r="PIA68" s="165"/>
      <c r="PIB68" s="164"/>
      <c r="PIC68" s="166"/>
      <c r="PID68" s="164"/>
      <c r="PIE68" s="166"/>
      <c r="PIF68" s="167"/>
      <c r="PIG68" s="168"/>
      <c r="PIH68"/>
      <c r="PII68" s="169"/>
      <c r="PIJ68"/>
      <c r="PIK68" s="162"/>
      <c r="PIL68" s="170"/>
      <c r="PIM68"/>
      <c r="PIN68" s="163"/>
      <c r="PIO68" s="164"/>
      <c r="PIP68" s="165"/>
      <c r="PIQ68" s="165"/>
      <c r="PIR68" s="164"/>
      <c r="PIS68" s="166"/>
      <c r="PIT68" s="164"/>
      <c r="PIU68" s="166"/>
      <c r="PIV68" s="167"/>
      <c r="PIW68" s="168"/>
      <c r="PIX68"/>
      <c r="PIY68" s="169"/>
      <c r="PIZ68"/>
      <c r="PJA68" s="162"/>
      <c r="PJB68" s="170"/>
      <c r="PJC68"/>
      <c r="PJD68" s="163"/>
      <c r="PJE68" s="164"/>
      <c r="PJF68" s="165"/>
      <c r="PJG68" s="165"/>
      <c r="PJH68" s="164"/>
      <c r="PJI68" s="166"/>
      <c r="PJJ68" s="164"/>
      <c r="PJK68" s="166"/>
      <c r="PJL68" s="167"/>
      <c r="PJM68" s="168"/>
      <c r="PJN68"/>
      <c r="PJO68" s="169"/>
      <c r="PJP68"/>
      <c r="PJQ68" s="162"/>
      <c r="PJR68" s="170"/>
      <c r="PJS68"/>
      <c r="PJT68" s="163"/>
      <c r="PJU68" s="164"/>
      <c r="PJV68" s="165"/>
      <c r="PJW68" s="165"/>
      <c r="PJX68" s="164"/>
      <c r="PJY68" s="166"/>
      <c r="PJZ68" s="164"/>
      <c r="PKA68" s="166"/>
      <c r="PKB68" s="167"/>
      <c r="PKC68" s="168"/>
      <c r="PKD68"/>
      <c r="PKE68" s="169"/>
      <c r="PKF68"/>
      <c r="PKG68" s="162"/>
      <c r="PKH68" s="170"/>
      <c r="PKI68"/>
      <c r="PKJ68" s="163"/>
      <c r="PKK68" s="164"/>
      <c r="PKL68" s="165"/>
      <c r="PKM68" s="165"/>
      <c r="PKN68" s="164"/>
      <c r="PKO68" s="166"/>
      <c r="PKP68" s="164"/>
      <c r="PKQ68" s="166"/>
      <c r="PKR68" s="167"/>
      <c r="PKS68" s="168"/>
      <c r="PKT68"/>
      <c r="PKU68" s="169"/>
      <c r="PKV68"/>
      <c r="PKW68" s="162"/>
      <c r="PKX68" s="170"/>
      <c r="PKY68"/>
      <c r="PKZ68" s="163"/>
      <c r="PLA68" s="164"/>
      <c r="PLB68" s="165"/>
      <c r="PLC68" s="165"/>
      <c r="PLD68" s="164"/>
      <c r="PLE68" s="166"/>
      <c r="PLF68" s="164"/>
      <c r="PLG68" s="166"/>
      <c r="PLH68" s="167"/>
      <c r="PLI68" s="168"/>
      <c r="PLJ68"/>
      <c r="PLK68" s="169"/>
      <c r="PLL68"/>
      <c r="PLM68" s="162"/>
      <c r="PLN68" s="170"/>
      <c r="PLO68"/>
      <c r="PLP68" s="163"/>
      <c r="PLQ68" s="164"/>
      <c r="PLR68" s="165"/>
      <c r="PLS68" s="165"/>
      <c r="PLT68" s="164"/>
      <c r="PLU68" s="166"/>
      <c r="PLV68" s="164"/>
      <c r="PLW68" s="166"/>
      <c r="PLX68" s="167"/>
      <c r="PLY68" s="168"/>
      <c r="PLZ68"/>
      <c r="PMA68" s="169"/>
      <c r="PMB68"/>
      <c r="PMC68" s="162"/>
      <c r="PMD68" s="170"/>
      <c r="PME68"/>
      <c r="PMF68" s="163"/>
      <c r="PMG68" s="164"/>
      <c r="PMH68" s="165"/>
      <c r="PMI68" s="165"/>
      <c r="PMJ68" s="164"/>
      <c r="PMK68" s="166"/>
      <c r="PML68" s="164"/>
      <c r="PMM68" s="166"/>
      <c r="PMN68" s="167"/>
      <c r="PMO68" s="168"/>
      <c r="PMP68"/>
      <c r="PMQ68" s="169"/>
      <c r="PMR68"/>
      <c r="PMS68" s="162"/>
      <c r="PMT68" s="170"/>
      <c r="PMU68"/>
      <c r="PMV68" s="163"/>
      <c r="PMW68" s="164"/>
      <c r="PMX68" s="165"/>
      <c r="PMY68" s="165"/>
      <c r="PMZ68" s="164"/>
      <c r="PNA68" s="166"/>
      <c r="PNB68" s="164"/>
      <c r="PNC68" s="166"/>
      <c r="PND68" s="167"/>
      <c r="PNE68" s="168"/>
      <c r="PNF68"/>
      <c r="PNG68" s="169"/>
      <c r="PNH68"/>
      <c r="PNI68" s="162"/>
      <c r="PNJ68" s="170"/>
      <c r="PNK68"/>
      <c r="PNL68" s="163"/>
      <c r="PNM68" s="164"/>
      <c r="PNN68" s="165"/>
      <c r="PNO68" s="165"/>
      <c r="PNP68" s="164"/>
      <c r="PNQ68" s="166"/>
      <c r="PNR68" s="164"/>
      <c r="PNS68" s="166"/>
      <c r="PNT68" s="167"/>
      <c r="PNU68" s="168"/>
      <c r="PNV68"/>
      <c r="PNW68" s="169"/>
      <c r="PNX68"/>
      <c r="PNY68" s="162"/>
      <c r="PNZ68" s="170"/>
      <c r="POA68"/>
      <c r="POB68" s="163"/>
      <c r="POC68" s="164"/>
      <c r="POD68" s="165"/>
      <c r="POE68" s="165"/>
      <c r="POF68" s="164"/>
      <c r="POG68" s="166"/>
      <c r="POH68" s="164"/>
      <c r="POI68" s="166"/>
      <c r="POJ68" s="167"/>
      <c r="POK68" s="168"/>
      <c r="POL68"/>
      <c r="POM68" s="169"/>
      <c r="PON68"/>
      <c r="POO68" s="162"/>
      <c r="POP68" s="170"/>
      <c r="POQ68"/>
      <c r="POR68" s="163"/>
      <c r="POS68" s="164"/>
      <c r="POT68" s="165"/>
      <c r="POU68" s="165"/>
      <c r="POV68" s="164"/>
      <c r="POW68" s="166"/>
      <c r="POX68" s="164"/>
      <c r="POY68" s="166"/>
      <c r="POZ68" s="167"/>
      <c r="PPA68" s="168"/>
      <c r="PPB68"/>
      <c r="PPC68" s="169"/>
      <c r="PPD68"/>
      <c r="PPE68" s="162"/>
      <c r="PPF68" s="170"/>
      <c r="PPG68"/>
      <c r="PPH68" s="163"/>
      <c r="PPI68" s="164"/>
      <c r="PPJ68" s="165"/>
      <c r="PPK68" s="165"/>
      <c r="PPL68" s="164"/>
      <c r="PPM68" s="166"/>
      <c r="PPN68" s="164"/>
      <c r="PPO68" s="166"/>
      <c r="PPP68" s="167"/>
      <c r="PPQ68" s="168"/>
      <c r="PPR68"/>
      <c r="PPS68" s="169"/>
      <c r="PPT68"/>
      <c r="PPU68" s="162"/>
      <c r="PPV68" s="170"/>
      <c r="PPW68"/>
      <c r="PPX68" s="163"/>
      <c r="PPY68" s="164"/>
      <c r="PPZ68" s="165"/>
      <c r="PQA68" s="165"/>
      <c r="PQB68" s="164"/>
      <c r="PQC68" s="166"/>
      <c r="PQD68" s="164"/>
      <c r="PQE68" s="166"/>
      <c r="PQF68" s="167"/>
      <c r="PQG68" s="168"/>
      <c r="PQH68"/>
      <c r="PQI68" s="169"/>
      <c r="PQJ68"/>
      <c r="PQK68" s="162"/>
      <c r="PQL68" s="170"/>
      <c r="PQM68"/>
      <c r="PQN68" s="163"/>
      <c r="PQO68" s="164"/>
      <c r="PQP68" s="165"/>
      <c r="PQQ68" s="165"/>
      <c r="PQR68" s="164"/>
      <c r="PQS68" s="166"/>
      <c r="PQT68" s="164"/>
      <c r="PQU68" s="166"/>
      <c r="PQV68" s="167"/>
      <c r="PQW68" s="168"/>
      <c r="PQX68"/>
      <c r="PQY68" s="169"/>
      <c r="PQZ68"/>
      <c r="PRA68" s="162"/>
      <c r="PRB68" s="170"/>
      <c r="PRC68"/>
      <c r="PRD68" s="163"/>
      <c r="PRE68" s="164"/>
      <c r="PRF68" s="165"/>
      <c r="PRG68" s="165"/>
      <c r="PRH68" s="164"/>
      <c r="PRI68" s="166"/>
      <c r="PRJ68" s="164"/>
      <c r="PRK68" s="166"/>
      <c r="PRL68" s="167"/>
      <c r="PRM68" s="168"/>
      <c r="PRN68"/>
      <c r="PRO68" s="169"/>
      <c r="PRP68"/>
      <c r="PRQ68" s="162"/>
      <c r="PRR68" s="170"/>
      <c r="PRS68"/>
      <c r="PRT68" s="163"/>
      <c r="PRU68" s="164"/>
      <c r="PRV68" s="165"/>
      <c r="PRW68" s="165"/>
      <c r="PRX68" s="164"/>
      <c r="PRY68" s="166"/>
      <c r="PRZ68" s="164"/>
      <c r="PSA68" s="166"/>
      <c r="PSB68" s="167"/>
      <c r="PSC68" s="168"/>
      <c r="PSD68"/>
      <c r="PSE68" s="169"/>
      <c r="PSF68"/>
      <c r="PSG68" s="162"/>
      <c r="PSH68" s="170"/>
      <c r="PSI68"/>
      <c r="PSJ68" s="163"/>
      <c r="PSK68" s="164"/>
      <c r="PSL68" s="165"/>
      <c r="PSM68" s="165"/>
      <c r="PSN68" s="164"/>
      <c r="PSO68" s="166"/>
      <c r="PSP68" s="164"/>
      <c r="PSQ68" s="166"/>
      <c r="PSR68" s="167"/>
      <c r="PSS68" s="168"/>
      <c r="PST68"/>
      <c r="PSU68" s="169"/>
      <c r="PSV68"/>
      <c r="PSW68" s="162"/>
      <c r="PSX68" s="170"/>
      <c r="PSY68"/>
      <c r="PSZ68" s="163"/>
      <c r="PTA68" s="164"/>
      <c r="PTB68" s="165"/>
      <c r="PTC68" s="165"/>
      <c r="PTD68" s="164"/>
      <c r="PTE68" s="166"/>
      <c r="PTF68" s="164"/>
      <c r="PTG68" s="166"/>
      <c r="PTH68" s="167"/>
      <c r="PTI68" s="168"/>
      <c r="PTJ68"/>
      <c r="PTK68" s="169"/>
      <c r="PTL68"/>
      <c r="PTM68" s="162"/>
      <c r="PTN68" s="170"/>
      <c r="PTO68"/>
      <c r="PTP68" s="163"/>
      <c r="PTQ68" s="164"/>
      <c r="PTR68" s="165"/>
      <c r="PTS68" s="165"/>
      <c r="PTT68" s="164"/>
      <c r="PTU68" s="166"/>
      <c r="PTV68" s="164"/>
      <c r="PTW68" s="166"/>
      <c r="PTX68" s="167"/>
      <c r="PTY68" s="168"/>
      <c r="PTZ68"/>
      <c r="PUA68" s="169"/>
      <c r="PUB68"/>
      <c r="PUC68" s="162"/>
      <c r="PUD68" s="170"/>
      <c r="PUE68"/>
      <c r="PUF68" s="163"/>
      <c r="PUG68" s="164"/>
      <c r="PUH68" s="165"/>
      <c r="PUI68" s="165"/>
      <c r="PUJ68" s="164"/>
      <c r="PUK68" s="166"/>
      <c r="PUL68" s="164"/>
      <c r="PUM68" s="166"/>
      <c r="PUN68" s="167"/>
      <c r="PUO68" s="168"/>
      <c r="PUP68"/>
      <c r="PUQ68" s="169"/>
      <c r="PUR68"/>
      <c r="PUS68" s="162"/>
      <c r="PUT68" s="170"/>
      <c r="PUU68"/>
      <c r="PUV68" s="163"/>
      <c r="PUW68" s="164"/>
      <c r="PUX68" s="165"/>
      <c r="PUY68" s="165"/>
      <c r="PUZ68" s="164"/>
      <c r="PVA68" s="166"/>
      <c r="PVB68" s="164"/>
      <c r="PVC68" s="166"/>
      <c r="PVD68" s="167"/>
      <c r="PVE68" s="168"/>
      <c r="PVF68"/>
      <c r="PVG68" s="169"/>
      <c r="PVH68"/>
      <c r="PVI68" s="162"/>
      <c r="PVJ68" s="170"/>
      <c r="PVK68"/>
      <c r="PVL68" s="163"/>
      <c r="PVM68" s="164"/>
      <c r="PVN68" s="165"/>
      <c r="PVO68" s="165"/>
      <c r="PVP68" s="164"/>
      <c r="PVQ68" s="166"/>
      <c r="PVR68" s="164"/>
      <c r="PVS68" s="166"/>
      <c r="PVT68" s="167"/>
      <c r="PVU68" s="168"/>
      <c r="PVV68"/>
      <c r="PVW68" s="169"/>
      <c r="PVX68"/>
      <c r="PVY68" s="162"/>
      <c r="PVZ68" s="170"/>
      <c r="PWA68"/>
      <c r="PWB68" s="163"/>
      <c r="PWC68" s="164"/>
      <c r="PWD68" s="165"/>
      <c r="PWE68" s="165"/>
      <c r="PWF68" s="164"/>
      <c r="PWG68" s="166"/>
      <c r="PWH68" s="164"/>
      <c r="PWI68" s="166"/>
      <c r="PWJ68" s="167"/>
      <c r="PWK68" s="168"/>
      <c r="PWL68"/>
      <c r="PWM68" s="169"/>
      <c r="PWN68"/>
      <c r="PWO68" s="162"/>
      <c r="PWP68" s="170"/>
      <c r="PWQ68"/>
      <c r="PWR68" s="163"/>
      <c r="PWS68" s="164"/>
      <c r="PWT68" s="165"/>
      <c r="PWU68" s="165"/>
      <c r="PWV68" s="164"/>
      <c r="PWW68" s="166"/>
      <c r="PWX68" s="164"/>
      <c r="PWY68" s="166"/>
      <c r="PWZ68" s="167"/>
      <c r="PXA68" s="168"/>
      <c r="PXB68"/>
      <c r="PXC68" s="169"/>
      <c r="PXD68"/>
      <c r="PXE68" s="162"/>
      <c r="PXF68" s="170"/>
      <c r="PXG68"/>
      <c r="PXH68" s="163"/>
      <c r="PXI68" s="164"/>
      <c r="PXJ68" s="165"/>
      <c r="PXK68" s="165"/>
      <c r="PXL68" s="164"/>
      <c r="PXM68" s="166"/>
      <c r="PXN68" s="164"/>
      <c r="PXO68" s="166"/>
      <c r="PXP68" s="167"/>
      <c r="PXQ68" s="168"/>
      <c r="PXR68"/>
      <c r="PXS68" s="169"/>
      <c r="PXT68"/>
      <c r="PXU68" s="162"/>
      <c r="PXV68" s="170"/>
      <c r="PXW68"/>
      <c r="PXX68" s="163"/>
      <c r="PXY68" s="164"/>
      <c r="PXZ68" s="165"/>
      <c r="PYA68" s="165"/>
      <c r="PYB68" s="164"/>
      <c r="PYC68" s="166"/>
      <c r="PYD68" s="164"/>
      <c r="PYE68" s="166"/>
      <c r="PYF68" s="167"/>
      <c r="PYG68" s="168"/>
      <c r="PYH68"/>
      <c r="PYI68" s="169"/>
      <c r="PYJ68"/>
      <c r="PYK68" s="162"/>
      <c r="PYL68" s="170"/>
      <c r="PYM68"/>
      <c r="PYN68" s="163"/>
      <c r="PYO68" s="164"/>
      <c r="PYP68" s="165"/>
      <c r="PYQ68" s="165"/>
      <c r="PYR68" s="164"/>
      <c r="PYS68" s="166"/>
      <c r="PYT68" s="164"/>
      <c r="PYU68" s="166"/>
      <c r="PYV68" s="167"/>
      <c r="PYW68" s="168"/>
      <c r="PYX68"/>
      <c r="PYY68" s="169"/>
      <c r="PYZ68"/>
      <c r="PZA68" s="162"/>
      <c r="PZB68" s="170"/>
      <c r="PZC68"/>
      <c r="PZD68" s="163"/>
      <c r="PZE68" s="164"/>
      <c r="PZF68" s="165"/>
      <c r="PZG68" s="165"/>
      <c r="PZH68" s="164"/>
      <c r="PZI68" s="166"/>
      <c r="PZJ68" s="164"/>
      <c r="PZK68" s="166"/>
      <c r="PZL68" s="167"/>
      <c r="PZM68" s="168"/>
      <c r="PZN68"/>
      <c r="PZO68" s="169"/>
      <c r="PZP68"/>
      <c r="PZQ68" s="162"/>
      <c r="PZR68" s="170"/>
      <c r="PZS68"/>
      <c r="PZT68" s="163"/>
      <c r="PZU68" s="164"/>
      <c r="PZV68" s="165"/>
      <c r="PZW68" s="165"/>
      <c r="PZX68" s="164"/>
      <c r="PZY68" s="166"/>
      <c r="PZZ68" s="164"/>
      <c r="QAA68" s="166"/>
      <c r="QAB68" s="167"/>
      <c r="QAC68" s="168"/>
      <c r="QAD68"/>
      <c r="QAE68" s="169"/>
      <c r="QAF68"/>
      <c r="QAG68" s="162"/>
      <c r="QAH68" s="170"/>
      <c r="QAI68"/>
      <c r="QAJ68" s="163"/>
      <c r="QAK68" s="164"/>
      <c r="QAL68" s="165"/>
      <c r="QAM68" s="165"/>
      <c r="QAN68" s="164"/>
      <c r="QAO68" s="166"/>
      <c r="QAP68" s="164"/>
      <c r="QAQ68" s="166"/>
      <c r="QAR68" s="167"/>
      <c r="QAS68" s="168"/>
      <c r="QAT68"/>
      <c r="QAU68" s="169"/>
      <c r="QAV68"/>
      <c r="QAW68" s="162"/>
      <c r="QAX68" s="170"/>
      <c r="QAY68"/>
      <c r="QAZ68" s="163"/>
      <c r="QBA68" s="164"/>
      <c r="QBB68" s="165"/>
      <c r="QBC68" s="165"/>
      <c r="QBD68" s="164"/>
      <c r="QBE68" s="166"/>
      <c r="QBF68" s="164"/>
      <c r="QBG68" s="166"/>
      <c r="QBH68" s="167"/>
      <c r="QBI68" s="168"/>
      <c r="QBJ68"/>
      <c r="QBK68" s="169"/>
      <c r="QBL68"/>
      <c r="QBM68" s="162"/>
      <c r="QBN68" s="170"/>
      <c r="QBO68"/>
      <c r="QBP68" s="163"/>
      <c r="QBQ68" s="164"/>
      <c r="QBR68" s="165"/>
      <c r="QBS68" s="165"/>
      <c r="QBT68" s="164"/>
      <c r="QBU68" s="166"/>
      <c r="QBV68" s="164"/>
      <c r="QBW68" s="166"/>
      <c r="QBX68" s="167"/>
      <c r="QBY68" s="168"/>
      <c r="QBZ68"/>
      <c r="QCA68" s="169"/>
      <c r="QCB68"/>
      <c r="QCC68" s="162"/>
      <c r="QCD68" s="170"/>
      <c r="QCE68"/>
      <c r="QCF68" s="163"/>
      <c r="QCG68" s="164"/>
      <c r="QCH68" s="165"/>
      <c r="QCI68" s="165"/>
      <c r="QCJ68" s="164"/>
      <c r="QCK68" s="166"/>
      <c r="QCL68" s="164"/>
      <c r="QCM68" s="166"/>
      <c r="QCN68" s="167"/>
      <c r="QCO68" s="168"/>
      <c r="QCP68"/>
      <c r="QCQ68" s="169"/>
      <c r="QCR68"/>
      <c r="QCS68" s="162"/>
      <c r="QCT68" s="170"/>
      <c r="QCU68"/>
      <c r="QCV68" s="163"/>
      <c r="QCW68" s="164"/>
      <c r="QCX68" s="165"/>
      <c r="QCY68" s="165"/>
      <c r="QCZ68" s="164"/>
      <c r="QDA68" s="166"/>
      <c r="QDB68" s="164"/>
      <c r="QDC68" s="166"/>
      <c r="QDD68" s="167"/>
      <c r="QDE68" s="168"/>
      <c r="QDF68"/>
      <c r="QDG68" s="169"/>
      <c r="QDH68"/>
      <c r="QDI68" s="162"/>
      <c r="QDJ68" s="170"/>
      <c r="QDK68"/>
      <c r="QDL68" s="163"/>
      <c r="QDM68" s="164"/>
      <c r="QDN68" s="165"/>
      <c r="QDO68" s="165"/>
      <c r="QDP68" s="164"/>
      <c r="QDQ68" s="166"/>
      <c r="QDR68" s="164"/>
      <c r="QDS68" s="166"/>
      <c r="QDT68" s="167"/>
      <c r="QDU68" s="168"/>
      <c r="QDV68"/>
      <c r="QDW68" s="169"/>
      <c r="QDX68"/>
      <c r="QDY68" s="162"/>
      <c r="QDZ68" s="170"/>
      <c r="QEA68"/>
      <c r="QEB68" s="163"/>
      <c r="QEC68" s="164"/>
      <c r="QED68" s="165"/>
      <c r="QEE68" s="165"/>
      <c r="QEF68" s="164"/>
      <c r="QEG68" s="166"/>
      <c r="QEH68" s="164"/>
      <c r="QEI68" s="166"/>
      <c r="QEJ68" s="167"/>
      <c r="QEK68" s="168"/>
      <c r="QEL68"/>
      <c r="QEM68" s="169"/>
      <c r="QEN68"/>
      <c r="QEO68" s="162"/>
      <c r="QEP68" s="170"/>
      <c r="QEQ68"/>
      <c r="QER68" s="163"/>
      <c r="QES68" s="164"/>
      <c r="QET68" s="165"/>
      <c r="QEU68" s="165"/>
      <c r="QEV68" s="164"/>
      <c r="QEW68" s="166"/>
      <c r="QEX68" s="164"/>
      <c r="QEY68" s="166"/>
      <c r="QEZ68" s="167"/>
      <c r="QFA68" s="168"/>
      <c r="QFB68"/>
      <c r="QFC68" s="169"/>
      <c r="QFD68"/>
      <c r="QFE68" s="162"/>
      <c r="QFF68" s="170"/>
      <c r="QFG68"/>
      <c r="QFH68" s="163"/>
      <c r="QFI68" s="164"/>
      <c r="QFJ68" s="165"/>
      <c r="QFK68" s="165"/>
      <c r="QFL68" s="164"/>
      <c r="QFM68" s="166"/>
      <c r="QFN68" s="164"/>
      <c r="QFO68" s="166"/>
      <c r="QFP68" s="167"/>
      <c r="QFQ68" s="168"/>
      <c r="QFR68"/>
      <c r="QFS68" s="169"/>
      <c r="QFT68"/>
      <c r="QFU68" s="162"/>
      <c r="QFV68" s="170"/>
      <c r="QFW68"/>
      <c r="QFX68" s="163"/>
      <c r="QFY68" s="164"/>
      <c r="QFZ68" s="165"/>
      <c r="QGA68" s="165"/>
      <c r="QGB68" s="164"/>
      <c r="QGC68" s="166"/>
      <c r="QGD68" s="164"/>
      <c r="QGE68" s="166"/>
      <c r="QGF68" s="167"/>
      <c r="QGG68" s="168"/>
      <c r="QGH68"/>
      <c r="QGI68" s="169"/>
      <c r="QGJ68"/>
      <c r="QGK68" s="162"/>
      <c r="QGL68" s="170"/>
      <c r="QGM68"/>
      <c r="QGN68" s="163"/>
      <c r="QGO68" s="164"/>
      <c r="QGP68" s="165"/>
      <c r="QGQ68" s="165"/>
      <c r="QGR68" s="164"/>
      <c r="QGS68" s="166"/>
      <c r="QGT68" s="164"/>
      <c r="QGU68" s="166"/>
      <c r="QGV68" s="167"/>
      <c r="QGW68" s="168"/>
      <c r="QGX68"/>
      <c r="QGY68" s="169"/>
      <c r="QGZ68"/>
      <c r="QHA68" s="162"/>
      <c r="QHB68" s="170"/>
      <c r="QHC68"/>
      <c r="QHD68" s="163"/>
      <c r="QHE68" s="164"/>
      <c r="QHF68" s="165"/>
      <c r="QHG68" s="165"/>
      <c r="QHH68" s="164"/>
      <c r="QHI68" s="166"/>
      <c r="QHJ68" s="164"/>
      <c r="QHK68" s="166"/>
      <c r="QHL68" s="167"/>
      <c r="QHM68" s="168"/>
      <c r="QHN68"/>
      <c r="QHO68" s="169"/>
      <c r="QHP68"/>
      <c r="QHQ68" s="162"/>
      <c r="QHR68" s="170"/>
      <c r="QHS68"/>
      <c r="QHT68" s="163"/>
      <c r="QHU68" s="164"/>
      <c r="QHV68" s="165"/>
      <c r="QHW68" s="165"/>
      <c r="QHX68" s="164"/>
      <c r="QHY68" s="166"/>
      <c r="QHZ68" s="164"/>
      <c r="QIA68" s="166"/>
      <c r="QIB68" s="167"/>
      <c r="QIC68" s="168"/>
      <c r="QID68"/>
      <c r="QIE68" s="169"/>
      <c r="QIF68"/>
      <c r="QIG68" s="162"/>
      <c r="QIH68" s="170"/>
      <c r="QII68"/>
      <c r="QIJ68" s="163"/>
      <c r="QIK68" s="164"/>
      <c r="QIL68" s="165"/>
      <c r="QIM68" s="165"/>
      <c r="QIN68" s="164"/>
      <c r="QIO68" s="166"/>
      <c r="QIP68" s="164"/>
      <c r="QIQ68" s="166"/>
      <c r="QIR68" s="167"/>
      <c r="QIS68" s="168"/>
      <c r="QIT68"/>
      <c r="QIU68" s="169"/>
      <c r="QIV68"/>
      <c r="QIW68" s="162"/>
      <c r="QIX68" s="170"/>
      <c r="QIY68"/>
      <c r="QIZ68" s="163"/>
      <c r="QJA68" s="164"/>
      <c r="QJB68" s="165"/>
      <c r="QJC68" s="165"/>
      <c r="QJD68" s="164"/>
      <c r="QJE68" s="166"/>
      <c r="QJF68" s="164"/>
      <c r="QJG68" s="166"/>
      <c r="QJH68" s="167"/>
      <c r="QJI68" s="168"/>
      <c r="QJJ68"/>
      <c r="QJK68" s="169"/>
      <c r="QJL68"/>
      <c r="QJM68" s="162"/>
      <c r="QJN68" s="170"/>
      <c r="QJO68"/>
      <c r="QJP68" s="163"/>
      <c r="QJQ68" s="164"/>
      <c r="QJR68" s="165"/>
      <c r="QJS68" s="165"/>
      <c r="QJT68" s="164"/>
      <c r="QJU68" s="166"/>
      <c r="QJV68" s="164"/>
      <c r="QJW68" s="166"/>
      <c r="QJX68" s="167"/>
      <c r="QJY68" s="168"/>
      <c r="QJZ68"/>
      <c r="QKA68" s="169"/>
      <c r="QKB68"/>
      <c r="QKC68" s="162"/>
      <c r="QKD68" s="170"/>
      <c r="QKE68"/>
      <c r="QKF68" s="163"/>
      <c r="QKG68" s="164"/>
      <c r="QKH68" s="165"/>
      <c r="QKI68" s="165"/>
      <c r="QKJ68" s="164"/>
      <c r="QKK68" s="166"/>
      <c r="QKL68" s="164"/>
      <c r="QKM68" s="166"/>
      <c r="QKN68" s="167"/>
      <c r="QKO68" s="168"/>
      <c r="QKP68"/>
      <c r="QKQ68" s="169"/>
      <c r="QKR68"/>
      <c r="QKS68" s="162"/>
      <c r="QKT68" s="170"/>
      <c r="QKU68"/>
      <c r="QKV68" s="163"/>
      <c r="QKW68" s="164"/>
      <c r="QKX68" s="165"/>
      <c r="QKY68" s="165"/>
      <c r="QKZ68" s="164"/>
      <c r="QLA68" s="166"/>
      <c r="QLB68" s="164"/>
      <c r="QLC68" s="166"/>
      <c r="QLD68" s="167"/>
      <c r="QLE68" s="168"/>
      <c r="QLF68"/>
      <c r="QLG68" s="169"/>
      <c r="QLH68"/>
      <c r="QLI68" s="162"/>
      <c r="QLJ68" s="170"/>
      <c r="QLK68"/>
      <c r="QLL68" s="163"/>
      <c r="QLM68" s="164"/>
      <c r="QLN68" s="165"/>
      <c r="QLO68" s="165"/>
      <c r="QLP68" s="164"/>
      <c r="QLQ68" s="166"/>
      <c r="QLR68" s="164"/>
      <c r="QLS68" s="166"/>
      <c r="QLT68" s="167"/>
      <c r="QLU68" s="168"/>
      <c r="QLV68"/>
      <c r="QLW68" s="169"/>
      <c r="QLX68"/>
      <c r="QLY68" s="162"/>
      <c r="QLZ68" s="170"/>
      <c r="QMA68"/>
      <c r="QMB68" s="163"/>
      <c r="QMC68" s="164"/>
      <c r="QMD68" s="165"/>
      <c r="QME68" s="165"/>
      <c r="QMF68" s="164"/>
      <c r="QMG68" s="166"/>
      <c r="QMH68" s="164"/>
      <c r="QMI68" s="166"/>
      <c r="QMJ68" s="167"/>
      <c r="QMK68" s="168"/>
      <c r="QML68"/>
      <c r="QMM68" s="169"/>
      <c r="QMN68"/>
      <c r="QMO68" s="162"/>
      <c r="QMP68" s="170"/>
      <c r="QMQ68"/>
      <c r="QMR68" s="163"/>
      <c r="QMS68" s="164"/>
      <c r="QMT68" s="165"/>
      <c r="QMU68" s="165"/>
      <c r="QMV68" s="164"/>
      <c r="QMW68" s="166"/>
      <c r="QMX68" s="164"/>
      <c r="QMY68" s="166"/>
      <c r="QMZ68" s="167"/>
      <c r="QNA68" s="168"/>
      <c r="QNB68"/>
      <c r="QNC68" s="169"/>
      <c r="QND68"/>
      <c r="QNE68" s="162"/>
      <c r="QNF68" s="170"/>
      <c r="QNG68"/>
      <c r="QNH68" s="163"/>
      <c r="QNI68" s="164"/>
      <c r="QNJ68" s="165"/>
      <c r="QNK68" s="165"/>
      <c r="QNL68" s="164"/>
      <c r="QNM68" s="166"/>
      <c r="QNN68" s="164"/>
      <c r="QNO68" s="166"/>
      <c r="QNP68" s="167"/>
      <c r="QNQ68" s="168"/>
      <c r="QNR68"/>
      <c r="QNS68" s="169"/>
      <c r="QNT68"/>
      <c r="QNU68" s="162"/>
      <c r="QNV68" s="170"/>
      <c r="QNW68"/>
      <c r="QNX68" s="163"/>
      <c r="QNY68" s="164"/>
      <c r="QNZ68" s="165"/>
      <c r="QOA68" s="165"/>
      <c r="QOB68" s="164"/>
      <c r="QOC68" s="166"/>
      <c r="QOD68" s="164"/>
      <c r="QOE68" s="166"/>
      <c r="QOF68" s="167"/>
      <c r="QOG68" s="168"/>
      <c r="QOH68"/>
      <c r="QOI68" s="169"/>
      <c r="QOJ68"/>
      <c r="QOK68" s="162"/>
      <c r="QOL68" s="170"/>
      <c r="QOM68"/>
      <c r="QON68" s="163"/>
      <c r="QOO68" s="164"/>
      <c r="QOP68" s="165"/>
      <c r="QOQ68" s="165"/>
      <c r="QOR68" s="164"/>
      <c r="QOS68" s="166"/>
      <c r="QOT68" s="164"/>
      <c r="QOU68" s="166"/>
      <c r="QOV68" s="167"/>
      <c r="QOW68" s="168"/>
      <c r="QOX68"/>
      <c r="QOY68" s="169"/>
      <c r="QOZ68"/>
      <c r="QPA68" s="162"/>
      <c r="QPB68" s="170"/>
      <c r="QPC68"/>
      <c r="QPD68" s="163"/>
      <c r="QPE68" s="164"/>
      <c r="QPF68" s="165"/>
      <c r="QPG68" s="165"/>
      <c r="QPH68" s="164"/>
      <c r="QPI68" s="166"/>
      <c r="QPJ68" s="164"/>
      <c r="QPK68" s="166"/>
      <c r="QPL68" s="167"/>
      <c r="QPM68" s="168"/>
      <c r="QPN68"/>
      <c r="QPO68" s="169"/>
      <c r="QPP68"/>
      <c r="QPQ68" s="162"/>
      <c r="QPR68" s="170"/>
      <c r="QPS68"/>
      <c r="QPT68" s="163"/>
      <c r="QPU68" s="164"/>
      <c r="QPV68" s="165"/>
      <c r="QPW68" s="165"/>
      <c r="QPX68" s="164"/>
      <c r="QPY68" s="166"/>
      <c r="QPZ68" s="164"/>
      <c r="QQA68" s="166"/>
      <c r="QQB68" s="167"/>
      <c r="QQC68" s="168"/>
      <c r="QQD68"/>
      <c r="QQE68" s="169"/>
      <c r="QQF68"/>
      <c r="QQG68" s="162"/>
      <c r="QQH68" s="170"/>
      <c r="QQI68"/>
      <c r="QQJ68" s="163"/>
      <c r="QQK68" s="164"/>
      <c r="QQL68" s="165"/>
      <c r="QQM68" s="165"/>
      <c r="QQN68" s="164"/>
      <c r="QQO68" s="166"/>
      <c r="QQP68" s="164"/>
      <c r="QQQ68" s="166"/>
      <c r="QQR68" s="167"/>
      <c r="QQS68" s="168"/>
      <c r="QQT68"/>
      <c r="QQU68" s="169"/>
      <c r="QQV68"/>
      <c r="QQW68" s="162"/>
      <c r="QQX68" s="170"/>
      <c r="QQY68"/>
      <c r="QQZ68" s="163"/>
      <c r="QRA68" s="164"/>
      <c r="QRB68" s="165"/>
      <c r="QRC68" s="165"/>
      <c r="QRD68" s="164"/>
      <c r="QRE68" s="166"/>
      <c r="QRF68" s="164"/>
      <c r="QRG68" s="166"/>
      <c r="QRH68" s="167"/>
      <c r="QRI68" s="168"/>
      <c r="QRJ68"/>
      <c r="QRK68" s="169"/>
      <c r="QRL68"/>
      <c r="QRM68" s="162"/>
      <c r="QRN68" s="170"/>
      <c r="QRO68"/>
      <c r="QRP68" s="163"/>
      <c r="QRQ68" s="164"/>
      <c r="QRR68" s="165"/>
      <c r="QRS68" s="165"/>
      <c r="QRT68" s="164"/>
      <c r="QRU68" s="166"/>
      <c r="QRV68" s="164"/>
      <c r="QRW68" s="166"/>
      <c r="QRX68" s="167"/>
      <c r="QRY68" s="168"/>
      <c r="QRZ68"/>
      <c r="QSA68" s="169"/>
      <c r="QSB68"/>
      <c r="QSC68" s="162"/>
      <c r="QSD68" s="170"/>
      <c r="QSE68"/>
      <c r="QSF68" s="163"/>
      <c r="QSG68" s="164"/>
      <c r="QSH68" s="165"/>
      <c r="QSI68" s="165"/>
      <c r="QSJ68" s="164"/>
      <c r="QSK68" s="166"/>
      <c r="QSL68" s="164"/>
      <c r="QSM68" s="166"/>
      <c r="QSN68" s="167"/>
      <c r="QSO68" s="168"/>
      <c r="QSP68"/>
      <c r="QSQ68" s="169"/>
      <c r="QSR68"/>
      <c r="QSS68" s="162"/>
      <c r="QST68" s="170"/>
      <c r="QSU68"/>
      <c r="QSV68" s="163"/>
      <c r="QSW68" s="164"/>
      <c r="QSX68" s="165"/>
      <c r="QSY68" s="165"/>
      <c r="QSZ68" s="164"/>
      <c r="QTA68" s="166"/>
      <c r="QTB68" s="164"/>
      <c r="QTC68" s="166"/>
      <c r="QTD68" s="167"/>
      <c r="QTE68" s="168"/>
      <c r="QTF68"/>
      <c r="QTG68" s="169"/>
      <c r="QTH68"/>
      <c r="QTI68" s="162"/>
      <c r="QTJ68" s="170"/>
      <c r="QTK68"/>
      <c r="QTL68" s="163"/>
      <c r="QTM68" s="164"/>
      <c r="QTN68" s="165"/>
      <c r="QTO68" s="165"/>
      <c r="QTP68" s="164"/>
      <c r="QTQ68" s="166"/>
      <c r="QTR68" s="164"/>
      <c r="QTS68" s="166"/>
      <c r="QTT68" s="167"/>
      <c r="QTU68" s="168"/>
      <c r="QTV68"/>
      <c r="QTW68" s="169"/>
      <c r="QTX68"/>
      <c r="QTY68" s="162"/>
      <c r="QTZ68" s="170"/>
      <c r="QUA68"/>
      <c r="QUB68" s="163"/>
      <c r="QUC68" s="164"/>
      <c r="QUD68" s="165"/>
      <c r="QUE68" s="165"/>
      <c r="QUF68" s="164"/>
      <c r="QUG68" s="166"/>
      <c r="QUH68" s="164"/>
      <c r="QUI68" s="166"/>
      <c r="QUJ68" s="167"/>
      <c r="QUK68" s="168"/>
      <c r="QUL68"/>
      <c r="QUM68" s="169"/>
      <c r="QUN68"/>
      <c r="QUO68" s="162"/>
      <c r="QUP68" s="170"/>
      <c r="QUQ68"/>
      <c r="QUR68" s="163"/>
      <c r="QUS68" s="164"/>
      <c r="QUT68" s="165"/>
      <c r="QUU68" s="165"/>
      <c r="QUV68" s="164"/>
      <c r="QUW68" s="166"/>
      <c r="QUX68" s="164"/>
      <c r="QUY68" s="166"/>
      <c r="QUZ68" s="167"/>
      <c r="QVA68" s="168"/>
      <c r="QVB68"/>
      <c r="QVC68" s="169"/>
      <c r="QVD68"/>
      <c r="QVE68" s="162"/>
      <c r="QVF68" s="170"/>
      <c r="QVG68"/>
      <c r="QVH68" s="163"/>
      <c r="QVI68" s="164"/>
      <c r="QVJ68" s="165"/>
      <c r="QVK68" s="165"/>
      <c r="QVL68" s="164"/>
      <c r="QVM68" s="166"/>
      <c r="QVN68" s="164"/>
      <c r="QVO68" s="166"/>
      <c r="QVP68" s="167"/>
      <c r="QVQ68" s="168"/>
      <c r="QVR68"/>
      <c r="QVS68" s="169"/>
      <c r="QVT68"/>
      <c r="QVU68" s="162"/>
      <c r="QVV68" s="170"/>
      <c r="QVW68"/>
      <c r="QVX68" s="163"/>
      <c r="QVY68" s="164"/>
      <c r="QVZ68" s="165"/>
      <c r="QWA68" s="165"/>
      <c r="QWB68" s="164"/>
      <c r="QWC68" s="166"/>
      <c r="QWD68" s="164"/>
      <c r="QWE68" s="166"/>
      <c r="QWF68" s="167"/>
      <c r="QWG68" s="168"/>
      <c r="QWH68"/>
      <c r="QWI68" s="169"/>
      <c r="QWJ68"/>
      <c r="QWK68" s="162"/>
      <c r="QWL68" s="170"/>
      <c r="QWM68"/>
      <c r="QWN68" s="163"/>
      <c r="QWO68" s="164"/>
      <c r="QWP68" s="165"/>
      <c r="QWQ68" s="165"/>
      <c r="QWR68" s="164"/>
      <c r="QWS68" s="166"/>
      <c r="QWT68" s="164"/>
      <c r="QWU68" s="166"/>
      <c r="QWV68" s="167"/>
      <c r="QWW68" s="168"/>
      <c r="QWX68"/>
      <c r="QWY68" s="169"/>
      <c r="QWZ68"/>
      <c r="QXA68" s="162"/>
      <c r="QXB68" s="170"/>
      <c r="QXC68"/>
      <c r="QXD68" s="163"/>
      <c r="QXE68" s="164"/>
      <c r="QXF68" s="165"/>
      <c r="QXG68" s="165"/>
      <c r="QXH68" s="164"/>
      <c r="QXI68" s="166"/>
      <c r="QXJ68" s="164"/>
      <c r="QXK68" s="166"/>
      <c r="QXL68" s="167"/>
      <c r="QXM68" s="168"/>
      <c r="QXN68"/>
      <c r="QXO68" s="169"/>
      <c r="QXP68"/>
      <c r="QXQ68" s="162"/>
      <c r="QXR68" s="170"/>
      <c r="QXS68"/>
      <c r="QXT68" s="163"/>
      <c r="QXU68" s="164"/>
      <c r="QXV68" s="165"/>
      <c r="QXW68" s="165"/>
      <c r="QXX68" s="164"/>
      <c r="QXY68" s="166"/>
      <c r="QXZ68" s="164"/>
      <c r="QYA68" s="166"/>
      <c r="QYB68" s="167"/>
      <c r="QYC68" s="168"/>
      <c r="QYD68"/>
      <c r="QYE68" s="169"/>
      <c r="QYF68"/>
      <c r="QYG68" s="162"/>
      <c r="QYH68" s="170"/>
      <c r="QYI68"/>
      <c r="QYJ68" s="163"/>
      <c r="QYK68" s="164"/>
      <c r="QYL68" s="165"/>
      <c r="QYM68" s="165"/>
      <c r="QYN68" s="164"/>
      <c r="QYO68" s="166"/>
      <c r="QYP68" s="164"/>
      <c r="QYQ68" s="166"/>
      <c r="QYR68" s="167"/>
      <c r="QYS68" s="168"/>
      <c r="QYT68"/>
      <c r="QYU68" s="169"/>
      <c r="QYV68"/>
      <c r="QYW68" s="162"/>
      <c r="QYX68" s="170"/>
      <c r="QYY68"/>
      <c r="QYZ68" s="163"/>
      <c r="QZA68" s="164"/>
      <c r="QZB68" s="165"/>
      <c r="QZC68" s="165"/>
      <c r="QZD68" s="164"/>
      <c r="QZE68" s="166"/>
      <c r="QZF68" s="164"/>
      <c r="QZG68" s="166"/>
      <c r="QZH68" s="167"/>
      <c r="QZI68" s="168"/>
      <c r="QZJ68"/>
      <c r="QZK68" s="169"/>
      <c r="QZL68"/>
      <c r="QZM68" s="162"/>
      <c r="QZN68" s="170"/>
      <c r="QZO68"/>
      <c r="QZP68" s="163"/>
      <c r="QZQ68" s="164"/>
      <c r="QZR68" s="165"/>
      <c r="QZS68" s="165"/>
      <c r="QZT68" s="164"/>
      <c r="QZU68" s="166"/>
      <c r="QZV68" s="164"/>
      <c r="QZW68" s="166"/>
      <c r="QZX68" s="167"/>
      <c r="QZY68" s="168"/>
      <c r="QZZ68"/>
      <c r="RAA68" s="169"/>
      <c r="RAB68"/>
      <c r="RAC68" s="162"/>
      <c r="RAD68" s="170"/>
      <c r="RAE68"/>
      <c r="RWX68" s="170"/>
      <c r="RWY68"/>
      <c r="RWZ68" s="163"/>
      <c r="RXA68" s="164"/>
      <c r="RXB68" s="165"/>
      <c r="RXC68" s="165"/>
      <c r="RXD68" s="164"/>
      <c r="RXE68" s="166"/>
      <c r="RXF68" s="164"/>
      <c r="RXG68" s="166"/>
      <c r="RXH68" s="167"/>
      <c r="RXI68" s="168"/>
      <c r="RXJ68"/>
      <c r="RXK68" s="169"/>
      <c r="RXL68"/>
      <c r="RXM68" s="162"/>
      <c r="RXN68" s="170"/>
      <c r="RXO68"/>
      <c r="RXP68" s="163"/>
      <c r="RXQ68" s="164"/>
      <c r="RXR68" s="165"/>
      <c r="RXS68" s="165"/>
      <c r="RXT68" s="164"/>
      <c r="RXU68" s="166"/>
      <c r="RXV68" s="164"/>
      <c r="RXW68" s="166"/>
      <c r="RXX68" s="167"/>
      <c r="RXY68" s="168"/>
      <c r="RXZ68"/>
      <c r="RYA68" s="169"/>
      <c r="RYB68"/>
      <c r="RYC68" s="162"/>
      <c r="RYD68" s="170"/>
      <c r="RYE68"/>
      <c r="RYF68" s="163"/>
      <c r="RYG68" s="164"/>
      <c r="RYH68" s="165"/>
      <c r="RYI68" s="165"/>
      <c r="RYJ68" s="164"/>
      <c r="RYK68" s="166"/>
      <c r="RYL68" s="164"/>
      <c r="RYM68" s="166"/>
      <c r="RYN68" s="167"/>
      <c r="RYO68" s="168"/>
      <c r="RYP68"/>
      <c r="RYQ68" s="169"/>
      <c r="RYR68"/>
      <c r="RYS68" s="162"/>
      <c r="RYT68" s="170"/>
      <c r="RYU68"/>
      <c r="RYV68" s="163"/>
      <c r="RYW68" s="164"/>
      <c r="RYX68" s="165"/>
      <c r="RYY68" s="165"/>
      <c r="RYZ68" s="164"/>
      <c r="RZA68" s="166"/>
      <c r="RZB68" s="164"/>
      <c r="RZC68" s="166"/>
      <c r="RZD68" s="167"/>
      <c r="RZE68" s="168"/>
      <c r="RZF68"/>
      <c r="RZG68" s="169"/>
      <c r="RZH68"/>
      <c r="RZI68" s="162"/>
      <c r="RZJ68" s="170"/>
      <c r="RZK68"/>
      <c r="RZL68" s="163"/>
      <c r="RZM68" s="164"/>
      <c r="RZN68" s="165"/>
      <c r="RZO68" s="165"/>
      <c r="RZP68" s="164"/>
      <c r="RZQ68" s="166"/>
      <c r="RZR68" s="164"/>
      <c r="RZS68" s="166"/>
      <c r="RZT68" s="167"/>
      <c r="RZU68" s="168"/>
      <c r="RZV68"/>
      <c r="RZW68" s="169"/>
      <c r="RZX68"/>
      <c r="RZY68" s="162"/>
      <c r="RZZ68" s="170"/>
      <c r="SAA68"/>
      <c r="SAB68" s="163"/>
      <c r="SAC68" s="164"/>
      <c r="SAD68" s="165"/>
      <c r="SAE68" s="165"/>
      <c r="SAF68" s="164"/>
      <c r="SAG68" s="166"/>
      <c r="SAH68" s="164"/>
      <c r="SAI68" s="166"/>
      <c r="SAJ68" s="167"/>
      <c r="SAK68" s="168"/>
      <c r="SAL68"/>
      <c r="SAM68" s="169"/>
      <c r="SAN68"/>
      <c r="SAO68" s="162"/>
      <c r="SAP68" s="170"/>
      <c r="SAQ68"/>
      <c r="SAR68" s="163"/>
      <c r="SAS68" s="164"/>
      <c r="SAT68" s="165"/>
      <c r="SAU68" s="165"/>
      <c r="SAV68" s="164"/>
      <c r="SAW68" s="166"/>
      <c r="SAX68" s="164"/>
      <c r="SAY68" s="166"/>
      <c r="SAZ68" s="167"/>
      <c r="SBA68" s="168"/>
      <c r="SBB68"/>
      <c r="SBC68" s="169"/>
      <c r="SBD68"/>
      <c r="SBE68" s="162"/>
      <c r="SBF68" s="170"/>
      <c r="SBG68"/>
      <c r="SBH68" s="163"/>
      <c r="SBI68" s="164"/>
      <c r="SBJ68" s="165"/>
      <c r="SBK68" s="165"/>
      <c r="SBL68" s="164"/>
      <c r="SBM68" s="166"/>
      <c r="SBN68" s="164"/>
      <c r="SBO68" s="166"/>
      <c r="SBP68" s="167"/>
      <c r="SBQ68" s="168"/>
      <c r="SBR68"/>
      <c r="SBS68" s="169"/>
      <c r="SBT68"/>
      <c r="SBU68" s="162"/>
      <c r="SBV68" s="170"/>
      <c r="SBW68"/>
      <c r="SBX68" s="163"/>
      <c r="SBY68" s="164"/>
      <c r="SBZ68" s="165"/>
      <c r="SCA68" s="165"/>
      <c r="SCB68" s="164"/>
      <c r="SCC68" s="166"/>
      <c r="SCD68" s="164"/>
      <c r="SCE68" s="166"/>
      <c r="SCF68" s="167"/>
      <c r="SCG68" s="168"/>
      <c r="SCH68"/>
      <c r="SCI68" s="169"/>
      <c r="SCJ68"/>
      <c r="SCK68" s="162"/>
      <c r="SCL68" s="170"/>
      <c r="SCM68"/>
      <c r="SCN68" s="163"/>
      <c r="SCO68" s="164"/>
      <c r="SCP68" s="165"/>
      <c r="SCQ68" s="165"/>
      <c r="SCR68" s="164"/>
      <c r="SCS68" s="166"/>
      <c r="SCT68" s="164"/>
      <c r="SCU68" s="166"/>
      <c r="SCV68" s="167"/>
      <c r="SCW68" s="168"/>
      <c r="SCX68"/>
      <c r="SCY68" s="169"/>
      <c r="SCZ68"/>
      <c r="SDA68" s="162"/>
      <c r="SDB68" s="170"/>
      <c r="SDC68"/>
      <c r="SDD68" s="163"/>
      <c r="SDE68" s="164"/>
      <c r="SDF68" s="165"/>
      <c r="SDG68" s="165"/>
      <c r="SDH68" s="164"/>
      <c r="SDI68" s="166"/>
      <c r="SDJ68" s="164"/>
      <c r="SDK68" s="166"/>
      <c r="SDL68" s="167"/>
      <c r="SDM68" s="168"/>
      <c r="SDN68"/>
      <c r="SDO68" s="169"/>
      <c r="SDP68"/>
      <c r="SDQ68" s="162"/>
      <c r="SDR68" s="170"/>
      <c r="SDS68"/>
      <c r="SDT68" s="163"/>
      <c r="SDU68" s="164"/>
      <c r="SDV68" s="165"/>
      <c r="SDW68" s="165"/>
      <c r="SDX68" s="164"/>
      <c r="SDY68" s="166"/>
      <c r="SDZ68" s="164"/>
      <c r="SEA68" s="166"/>
      <c r="SEB68" s="167"/>
      <c r="SEC68" s="168"/>
      <c r="SED68"/>
      <c r="SEE68" s="169"/>
      <c r="SEF68"/>
      <c r="SEG68" s="162"/>
      <c r="SEH68" s="170"/>
      <c r="SEI68"/>
      <c r="SEJ68" s="163"/>
      <c r="SEK68" s="164"/>
      <c r="SEL68" s="165"/>
      <c r="SEM68" s="165"/>
      <c r="SEN68" s="164"/>
      <c r="SEO68" s="166"/>
      <c r="SEP68" s="164"/>
      <c r="SEQ68" s="166"/>
      <c r="SER68" s="167"/>
      <c r="SES68" s="168"/>
      <c r="SET68"/>
      <c r="SEU68" s="169"/>
      <c r="SEV68"/>
      <c r="SEW68" s="162"/>
      <c r="SEX68" s="170"/>
      <c r="SEY68"/>
      <c r="SEZ68" s="163"/>
      <c r="SFA68" s="164"/>
      <c r="SFB68" s="165"/>
      <c r="SFC68" s="165"/>
      <c r="SFD68" s="164"/>
      <c r="SFE68" s="166"/>
      <c r="SFF68" s="164"/>
      <c r="SFG68" s="166"/>
      <c r="SFH68" s="167"/>
      <c r="SFI68" s="168"/>
      <c r="SFJ68"/>
      <c r="SFK68" s="169"/>
      <c r="SFL68"/>
      <c r="SFM68" s="162"/>
      <c r="SFN68" s="170"/>
      <c r="SFO68"/>
      <c r="SFP68" s="163"/>
      <c r="SFQ68" s="164"/>
      <c r="SFR68" s="165"/>
      <c r="SFS68" s="165"/>
      <c r="SFT68" s="164"/>
      <c r="SFU68" s="166"/>
      <c r="SFV68" s="164"/>
      <c r="SFW68" s="166"/>
      <c r="SFX68" s="167"/>
      <c r="SFY68" s="168"/>
      <c r="SFZ68"/>
      <c r="SGA68" s="169"/>
      <c r="SGB68"/>
      <c r="SGC68" s="162"/>
      <c r="SGD68" s="170"/>
      <c r="SGE68"/>
      <c r="SGF68" s="163"/>
      <c r="SGG68" s="164"/>
      <c r="SGH68" s="165"/>
      <c r="SGI68" s="165"/>
      <c r="SGJ68" s="164"/>
      <c r="SGK68" s="166"/>
      <c r="SGL68" s="164"/>
      <c r="SGM68" s="166"/>
      <c r="SGN68" s="167"/>
      <c r="SGO68" s="168"/>
      <c r="SGP68"/>
      <c r="SGQ68" s="169"/>
      <c r="SGR68"/>
      <c r="SGS68" s="162"/>
      <c r="SGT68" s="170"/>
      <c r="SGU68"/>
      <c r="SGV68" s="163"/>
      <c r="SGW68" s="164"/>
      <c r="SGX68" s="165"/>
      <c r="SGY68" s="165"/>
      <c r="SGZ68" s="164"/>
      <c r="SHA68" s="166"/>
      <c r="SHB68" s="164"/>
      <c r="SHC68" s="166"/>
      <c r="SHD68" s="167"/>
      <c r="SHE68" s="168"/>
      <c r="SHF68"/>
      <c r="SHG68" s="169"/>
      <c r="SHH68"/>
      <c r="SHI68" s="162"/>
      <c r="SHJ68" s="170"/>
      <c r="SHK68"/>
      <c r="SHL68" s="163"/>
      <c r="SHM68" s="164"/>
      <c r="SHN68" s="165"/>
      <c r="SHO68" s="165"/>
      <c r="SHP68" s="164"/>
      <c r="SHQ68" s="166"/>
      <c r="SHR68" s="164"/>
      <c r="SHS68" s="166"/>
      <c r="SHT68" s="167"/>
      <c r="SHU68" s="168"/>
      <c r="SHV68"/>
      <c r="SHW68" s="169"/>
      <c r="SHX68"/>
      <c r="SHY68" s="162"/>
      <c r="SHZ68" s="170"/>
      <c r="SIA68"/>
      <c r="SIB68" s="163"/>
      <c r="SIC68" s="164"/>
      <c r="SID68" s="165"/>
      <c r="SIE68" s="165"/>
      <c r="SIF68" s="164"/>
      <c r="SIG68" s="166"/>
      <c r="SIH68" s="164"/>
      <c r="SII68" s="166"/>
      <c r="SIJ68" s="167"/>
      <c r="SIK68" s="168"/>
      <c r="SIL68"/>
      <c r="SIM68" s="169"/>
      <c r="SIN68"/>
      <c r="SIO68" s="162"/>
      <c r="SIP68" s="170"/>
      <c r="SIQ68"/>
      <c r="SIR68" s="163"/>
      <c r="SIS68" s="164"/>
      <c r="SIT68" s="165"/>
      <c r="SIU68" s="165"/>
      <c r="SIV68" s="164"/>
      <c r="SIW68" s="166"/>
      <c r="SIX68" s="164"/>
      <c r="SIY68" s="166"/>
      <c r="SIZ68" s="167"/>
      <c r="SJA68" s="168"/>
      <c r="SJB68"/>
      <c r="SJC68" s="169"/>
      <c r="SJD68"/>
      <c r="SJE68" s="162"/>
      <c r="SJF68" s="170"/>
      <c r="SJG68"/>
      <c r="SJH68" s="163"/>
      <c r="SJI68" s="164"/>
      <c r="SJJ68" s="165"/>
      <c r="SJK68" s="165"/>
      <c r="SJL68" s="164"/>
      <c r="SJM68" s="166"/>
      <c r="SJN68" s="164"/>
      <c r="SJO68" s="166"/>
      <c r="SJP68" s="167"/>
      <c r="SJQ68" s="168"/>
      <c r="SJR68"/>
      <c r="SJS68" s="169"/>
      <c r="SJT68"/>
      <c r="SJU68" s="162"/>
      <c r="SJV68" s="170"/>
      <c r="SJW68"/>
      <c r="SJX68" s="163"/>
      <c r="SJY68" s="164"/>
      <c r="SJZ68" s="165"/>
      <c r="SKA68" s="165"/>
      <c r="SKB68" s="164"/>
      <c r="SKC68" s="166"/>
      <c r="SKD68" s="164"/>
      <c r="SKE68" s="166"/>
      <c r="SKF68" s="167"/>
      <c r="SKG68" s="168"/>
      <c r="SKH68"/>
      <c r="SKI68" s="169"/>
      <c r="SKJ68"/>
      <c r="SKK68" s="162"/>
      <c r="SKL68" s="170"/>
      <c r="SKM68"/>
      <c r="SKN68" s="163"/>
      <c r="SKO68" s="164"/>
      <c r="SKP68" s="165"/>
      <c r="SKQ68" s="165"/>
      <c r="SKR68" s="164"/>
      <c r="SKS68" s="166"/>
      <c r="SKT68" s="164"/>
      <c r="SKU68" s="166"/>
      <c r="SKV68" s="167"/>
      <c r="SKW68" s="168"/>
      <c r="SKX68"/>
      <c r="SKY68" s="169"/>
      <c r="SKZ68"/>
      <c r="SLA68" s="162"/>
      <c r="SLB68" s="170"/>
      <c r="SLC68"/>
      <c r="SLD68" s="163"/>
      <c r="SLE68" s="164"/>
      <c r="SLF68" s="165"/>
      <c r="SLG68" s="165"/>
      <c r="SLH68" s="164"/>
      <c r="SLI68" s="166"/>
      <c r="SLJ68" s="164"/>
      <c r="SLK68" s="166"/>
      <c r="SLL68" s="167"/>
      <c r="SLM68" s="168"/>
      <c r="SLN68"/>
      <c r="SLO68" s="169"/>
      <c r="SLP68"/>
      <c r="SLQ68" s="162"/>
      <c r="SLR68" s="170"/>
      <c r="SLS68"/>
      <c r="SLT68" s="163"/>
      <c r="SLU68" s="164"/>
      <c r="SLV68" s="165"/>
      <c r="SLW68" s="165"/>
      <c r="SLX68" s="164"/>
      <c r="SLY68" s="166"/>
      <c r="SLZ68" s="164"/>
      <c r="SMA68" s="166"/>
      <c r="SMB68" s="167"/>
      <c r="SMC68" s="168"/>
      <c r="SMD68"/>
      <c r="SME68" s="169"/>
      <c r="SMF68"/>
      <c r="SMG68" s="162"/>
      <c r="SMH68" s="170"/>
      <c r="SMI68"/>
      <c r="SMJ68" s="163"/>
      <c r="SMK68" s="164"/>
      <c r="SML68" s="165"/>
      <c r="SMM68" s="165"/>
      <c r="SMN68" s="164"/>
      <c r="SMO68" s="166"/>
      <c r="SMP68" s="164"/>
      <c r="SMQ68" s="166"/>
      <c r="SMR68" s="167"/>
      <c r="SMS68" s="168"/>
      <c r="SMT68"/>
      <c r="SMU68" s="169"/>
      <c r="SMV68"/>
      <c r="SMW68" s="162"/>
      <c r="SMX68" s="170"/>
      <c r="SMY68"/>
      <c r="SMZ68" s="163"/>
      <c r="SNA68" s="164"/>
      <c r="SNB68" s="165"/>
      <c r="SNC68" s="165"/>
      <c r="SND68" s="164"/>
      <c r="SNE68" s="166"/>
      <c r="SNF68" s="164"/>
      <c r="SNG68" s="166"/>
      <c r="SNH68" s="167"/>
      <c r="SNI68" s="168"/>
      <c r="SNJ68"/>
      <c r="SNK68" s="169"/>
      <c r="SNL68"/>
      <c r="SNM68" s="162"/>
      <c r="SNN68" s="170"/>
      <c r="SNO68"/>
      <c r="SNP68" s="163"/>
      <c r="SNQ68" s="164"/>
      <c r="SNR68" s="165"/>
      <c r="SNS68" s="165"/>
      <c r="SNT68" s="164"/>
      <c r="SNU68" s="166"/>
      <c r="SNV68" s="164"/>
      <c r="SNW68" s="166"/>
      <c r="SNX68" s="167"/>
      <c r="SNY68" s="168"/>
      <c r="SNZ68"/>
      <c r="SOA68" s="169"/>
      <c r="SOB68"/>
      <c r="SOC68" s="162"/>
      <c r="SOD68" s="170"/>
      <c r="SOE68"/>
      <c r="SOF68" s="163"/>
      <c r="SOG68" s="164"/>
      <c r="SOH68" s="165"/>
      <c r="SOI68" s="165"/>
      <c r="SOJ68" s="164"/>
      <c r="SOK68" s="166"/>
      <c r="SOL68" s="164"/>
      <c r="SOM68" s="166"/>
      <c r="SON68" s="167"/>
      <c r="SOO68" s="168"/>
      <c r="SOP68"/>
      <c r="SOQ68" s="169"/>
      <c r="SOR68"/>
      <c r="SOS68" s="162"/>
      <c r="SOT68" s="170"/>
      <c r="SOU68"/>
      <c r="SOV68" s="163"/>
      <c r="SOW68" s="164"/>
      <c r="SOX68" s="165"/>
      <c r="SOY68" s="165"/>
      <c r="SOZ68" s="164"/>
      <c r="SPA68" s="166"/>
      <c r="SPB68" s="164"/>
      <c r="SPC68" s="166"/>
      <c r="SPD68" s="167"/>
      <c r="SPE68" s="168"/>
      <c r="SPF68"/>
      <c r="SPG68" s="169"/>
      <c r="SPH68"/>
      <c r="SPI68" s="162"/>
      <c r="SPJ68" s="170"/>
      <c r="SPK68"/>
      <c r="SPL68" s="163"/>
      <c r="SPM68" s="164"/>
      <c r="SPN68" s="165"/>
      <c r="SPO68" s="165"/>
      <c r="SPP68" s="164"/>
      <c r="SPQ68" s="166"/>
      <c r="SPR68" s="164"/>
      <c r="SPS68" s="166"/>
      <c r="SPT68" s="167"/>
      <c r="SPU68" s="168"/>
      <c r="SPV68"/>
      <c r="SPW68" s="169"/>
      <c r="SPX68"/>
      <c r="SPY68" s="162"/>
      <c r="SPZ68" s="170"/>
      <c r="SQA68"/>
      <c r="SQB68" s="163"/>
      <c r="SQC68" s="164"/>
      <c r="SQD68" s="165"/>
      <c r="SQE68" s="165"/>
      <c r="SQF68" s="164"/>
      <c r="SQG68" s="166"/>
      <c r="SQH68" s="164"/>
      <c r="SQI68" s="166"/>
      <c r="SQJ68" s="167"/>
      <c r="SQK68" s="168"/>
      <c r="SQL68"/>
      <c r="SQM68" s="169"/>
      <c r="SQN68"/>
      <c r="SQO68" s="162"/>
      <c r="SQP68" s="170"/>
      <c r="SQQ68"/>
      <c r="SQR68" s="163"/>
      <c r="SQS68" s="164"/>
      <c r="SQT68" s="165"/>
      <c r="SQU68" s="165"/>
      <c r="SQV68" s="164"/>
      <c r="SQW68" s="166"/>
      <c r="SQX68" s="164"/>
      <c r="SQY68" s="166"/>
      <c r="SQZ68" s="167"/>
      <c r="SRA68" s="168"/>
      <c r="SRB68"/>
      <c r="SRC68" s="169"/>
      <c r="SRD68"/>
      <c r="SRE68" s="162"/>
      <c r="SRF68" s="170"/>
      <c r="SRG68"/>
      <c r="SRH68" s="163"/>
      <c r="SRI68" s="164"/>
      <c r="SRJ68" s="165"/>
      <c r="SRK68" s="165"/>
      <c r="SRL68" s="164"/>
      <c r="SRM68" s="166"/>
      <c r="SRN68" s="164"/>
      <c r="SRO68" s="166"/>
      <c r="SRP68" s="167"/>
      <c r="SRQ68" s="168"/>
      <c r="SRR68"/>
      <c r="SRS68" s="169"/>
      <c r="SRT68"/>
      <c r="SRU68" s="162"/>
      <c r="SRV68" s="170"/>
      <c r="SRW68"/>
      <c r="SRX68" s="163"/>
      <c r="SRY68" s="164"/>
      <c r="SRZ68" s="165"/>
      <c r="SSA68" s="165"/>
      <c r="SSB68" s="164"/>
      <c r="SSC68" s="166"/>
      <c r="SSD68" s="164"/>
      <c r="SSE68" s="166"/>
      <c r="SSF68" s="167"/>
      <c r="SSG68" s="168"/>
      <c r="SSH68"/>
      <c r="SSI68" s="169"/>
      <c r="SSJ68"/>
      <c r="SSK68" s="162"/>
      <c r="SSL68" s="170"/>
      <c r="SSM68"/>
      <c r="SSN68" s="163"/>
      <c r="SSO68" s="164"/>
      <c r="SSP68" s="165"/>
      <c r="SSQ68" s="165"/>
      <c r="SSR68" s="164"/>
      <c r="SSS68" s="166"/>
      <c r="SST68" s="164"/>
      <c r="SSU68" s="166"/>
      <c r="SSV68" s="167"/>
      <c r="SSW68" s="168"/>
      <c r="SSX68"/>
      <c r="SSY68" s="169"/>
      <c r="SSZ68"/>
      <c r="STA68" s="162"/>
      <c r="STB68" s="170"/>
      <c r="STC68"/>
      <c r="STD68" s="163"/>
      <c r="STE68" s="164"/>
      <c r="STF68" s="165"/>
      <c r="STG68" s="165"/>
      <c r="STH68" s="164"/>
      <c r="STI68" s="166"/>
      <c r="STJ68" s="164"/>
      <c r="STK68" s="166"/>
      <c r="STL68" s="167"/>
      <c r="STM68" s="168"/>
      <c r="STN68"/>
      <c r="STO68" s="169"/>
      <c r="STP68"/>
      <c r="STQ68" s="162"/>
      <c r="STR68" s="170"/>
      <c r="STS68"/>
      <c r="STT68" s="163"/>
      <c r="STU68" s="164"/>
      <c r="STV68" s="165"/>
      <c r="STW68" s="165"/>
      <c r="STX68" s="164"/>
      <c r="STY68" s="166"/>
      <c r="STZ68" s="164"/>
      <c r="SUA68" s="166"/>
      <c r="SUB68" s="167"/>
      <c r="SUC68" s="168"/>
      <c r="SUD68"/>
      <c r="SUE68" s="169"/>
      <c r="SUF68"/>
      <c r="SUG68" s="162"/>
      <c r="SUH68" s="170"/>
      <c r="SUI68"/>
      <c r="SUJ68" s="163"/>
      <c r="SUK68" s="164"/>
      <c r="SUL68" s="165"/>
      <c r="SUM68" s="165"/>
      <c r="SUN68" s="164"/>
      <c r="SUO68" s="166"/>
      <c r="SUP68" s="164"/>
      <c r="SUQ68" s="166"/>
      <c r="SUR68" s="167"/>
      <c r="SUS68" s="168"/>
      <c r="SUT68"/>
      <c r="SUU68" s="169"/>
      <c r="SUV68"/>
      <c r="SUW68" s="162"/>
      <c r="SUX68" s="170"/>
      <c r="SUY68"/>
      <c r="SUZ68" s="163"/>
      <c r="SVA68" s="164"/>
      <c r="SVB68" s="165"/>
      <c r="SVC68" s="165"/>
      <c r="SVD68" s="164"/>
      <c r="SVE68" s="166"/>
      <c r="SVF68" s="164"/>
      <c r="SVG68" s="166"/>
      <c r="SVH68" s="167"/>
      <c r="SVI68" s="168"/>
      <c r="SVJ68"/>
      <c r="SVK68" s="169"/>
      <c r="SVL68"/>
      <c r="SVM68" s="162"/>
      <c r="SVN68" s="170"/>
      <c r="SVO68"/>
      <c r="SVP68" s="163"/>
      <c r="SVQ68" s="164"/>
      <c r="SVR68" s="165"/>
      <c r="SVS68" s="165"/>
      <c r="SVT68" s="164"/>
      <c r="SVU68" s="166"/>
      <c r="SVV68" s="164"/>
      <c r="SVW68" s="166"/>
      <c r="SVX68" s="167"/>
      <c r="SVY68" s="168"/>
      <c r="SVZ68"/>
      <c r="SWA68" s="169"/>
      <c r="SWB68"/>
      <c r="SWC68" s="162"/>
      <c r="SWD68" s="170"/>
      <c r="SWE68"/>
      <c r="SWF68" s="163"/>
      <c r="SWG68" s="164"/>
      <c r="SWH68" s="165"/>
      <c r="SWI68" s="165"/>
      <c r="SWJ68" s="164"/>
      <c r="SWK68" s="166"/>
      <c r="SWL68" s="164"/>
      <c r="SWM68" s="166"/>
      <c r="SWN68" s="167"/>
      <c r="SWO68" s="168"/>
      <c r="SWP68"/>
      <c r="SWQ68" s="169"/>
      <c r="SWR68"/>
      <c r="SWS68" s="162"/>
      <c r="SWT68" s="170"/>
      <c r="SWU68"/>
      <c r="SWV68" s="163"/>
      <c r="SWW68" s="164"/>
      <c r="SWX68" s="165"/>
      <c r="SWY68" s="165"/>
      <c r="SWZ68" s="164"/>
      <c r="SXA68" s="166"/>
      <c r="SXB68" s="164"/>
      <c r="SXC68" s="166"/>
      <c r="SXD68" s="167"/>
      <c r="SXE68" s="168"/>
      <c r="SXF68"/>
      <c r="SXG68" s="169"/>
      <c r="SXH68"/>
      <c r="SXI68" s="162"/>
      <c r="SXJ68" s="170"/>
      <c r="SXK68"/>
      <c r="SXL68" s="163"/>
      <c r="SXM68" s="164"/>
      <c r="SXN68" s="165"/>
      <c r="SXO68" s="165"/>
      <c r="SXP68" s="164"/>
      <c r="SXQ68" s="166"/>
      <c r="SXR68" s="164"/>
      <c r="SXS68" s="166"/>
      <c r="SXT68" s="167"/>
      <c r="SXU68" s="168"/>
      <c r="SXV68"/>
      <c r="SXW68" s="169"/>
      <c r="SXX68"/>
      <c r="SXY68" s="162"/>
      <c r="SXZ68" s="170"/>
      <c r="SYA68"/>
      <c r="SYB68" s="163"/>
      <c r="SYC68" s="164"/>
      <c r="SYD68" s="165"/>
      <c r="SYE68" s="165"/>
      <c r="SYF68" s="164"/>
      <c r="SYG68" s="166"/>
      <c r="SYH68" s="164"/>
      <c r="SYI68" s="166"/>
      <c r="SYJ68" s="167"/>
      <c r="SYK68" s="168"/>
      <c r="SYL68"/>
      <c r="SYM68" s="169"/>
      <c r="SYN68"/>
      <c r="SYO68" s="162"/>
      <c r="SYP68" s="170"/>
      <c r="SYQ68"/>
      <c r="SYR68" s="163"/>
      <c r="SYS68" s="164"/>
      <c r="SYT68" s="165"/>
      <c r="SYU68" s="165"/>
      <c r="SYV68" s="164"/>
      <c r="SYW68" s="166"/>
      <c r="SYX68" s="164"/>
      <c r="SYY68" s="166"/>
      <c r="SYZ68" s="167"/>
      <c r="SZA68" s="168"/>
      <c r="SZB68"/>
      <c r="SZC68" s="169"/>
      <c r="SZD68"/>
      <c r="SZE68" s="162"/>
      <c r="SZF68" s="170"/>
      <c r="SZG68"/>
      <c r="SZH68" s="163"/>
      <c r="SZI68" s="164"/>
      <c r="SZJ68" s="165"/>
      <c r="SZK68" s="165"/>
      <c r="SZL68" s="164"/>
      <c r="SZM68" s="166"/>
      <c r="SZN68" s="164"/>
      <c r="SZO68" s="166"/>
      <c r="SZP68" s="167"/>
      <c r="SZQ68" s="168"/>
      <c r="SZR68"/>
      <c r="SZS68" s="169"/>
      <c r="SZT68"/>
      <c r="SZU68" s="162"/>
      <c r="SZV68" s="170"/>
      <c r="SZW68"/>
      <c r="SZX68" s="163"/>
      <c r="SZY68" s="164"/>
      <c r="SZZ68" s="165"/>
      <c r="TAA68" s="165"/>
      <c r="TAB68" s="164"/>
      <c r="TAC68" s="166"/>
      <c r="TAD68" s="164"/>
      <c r="TAE68" s="166"/>
      <c r="TAF68" s="167"/>
      <c r="TAG68" s="168"/>
      <c r="TAH68"/>
      <c r="TAI68" s="169"/>
      <c r="TAJ68"/>
      <c r="TAK68" s="162"/>
      <c r="TAL68" s="170"/>
      <c r="TAM68"/>
      <c r="TAN68" s="163"/>
      <c r="TAO68" s="164"/>
      <c r="TAP68" s="165"/>
      <c r="TAQ68" s="165"/>
      <c r="TAR68" s="164"/>
      <c r="TAS68" s="166"/>
      <c r="TAT68" s="164"/>
      <c r="TAU68" s="166"/>
      <c r="TAV68" s="167"/>
      <c r="TAW68" s="168"/>
      <c r="TAX68"/>
      <c r="TAY68" s="169"/>
      <c r="TAZ68"/>
      <c r="TBA68" s="162"/>
      <c r="TBB68" s="170"/>
      <c r="TBC68"/>
      <c r="TBD68" s="163"/>
      <c r="TBE68" s="164"/>
      <c r="TBF68" s="165"/>
      <c r="TBG68" s="165"/>
      <c r="TBH68" s="164"/>
      <c r="TBI68" s="166"/>
      <c r="TBJ68" s="164"/>
      <c r="TBK68" s="166"/>
      <c r="TBL68" s="167"/>
      <c r="TBM68" s="168"/>
      <c r="TBN68"/>
      <c r="TBO68" s="169"/>
      <c r="TBP68"/>
      <c r="TBQ68" s="162"/>
      <c r="TBR68" s="170"/>
      <c r="TBS68"/>
      <c r="TBT68" s="163"/>
      <c r="TBU68" s="164"/>
      <c r="TBV68" s="165"/>
      <c r="TBW68" s="165"/>
      <c r="TBX68" s="164"/>
      <c r="TBY68" s="166"/>
      <c r="TBZ68" s="164"/>
      <c r="TCA68" s="166"/>
      <c r="TCB68" s="167"/>
      <c r="TCC68" s="168"/>
      <c r="TCD68"/>
      <c r="TCE68" s="169"/>
      <c r="TCF68"/>
      <c r="TCG68" s="162"/>
      <c r="TCH68" s="170"/>
      <c r="TCI68"/>
      <c r="TCJ68" s="163"/>
      <c r="TCK68" s="164"/>
      <c r="TCL68" s="165"/>
      <c r="TCM68" s="165"/>
      <c r="TCN68" s="164"/>
      <c r="TCO68" s="166"/>
      <c r="TCP68" s="164"/>
      <c r="TCQ68" s="166"/>
      <c r="TCR68" s="167"/>
      <c r="TCS68" s="168"/>
      <c r="TCT68"/>
      <c r="TCU68" s="169"/>
      <c r="TCV68"/>
      <c r="TCW68" s="162"/>
      <c r="TCX68" s="170"/>
      <c r="TCY68"/>
      <c r="TCZ68" s="163"/>
      <c r="TDA68" s="164"/>
      <c r="TDB68" s="165"/>
      <c r="TDC68" s="165"/>
      <c r="TDD68" s="164"/>
      <c r="TDE68" s="166"/>
      <c r="TDF68" s="164"/>
      <c r="TDG68" s="166"/>
      <c r="TDH68" s="167"/>
      <c r="TDI68" s="168"/>
      <c r="TDJ68"/>
      <c r="TDK68" s="169"/>
      <c r="TDL68"/>
      <c r="TDM68" s="162"/>
      <c r="TDN68" s="170"/>
      <c r="TDO68"/>
      <c r="TDP68" s="163"/>
      <c r="TDQ68" s="164"/>
      <c r="TDR68" s="165"/>
      <c r="TDS68" s="165"/>
      <c r="TDT68" s="164"/>
      <c r="TDU68" s="166"/>
      <c r="TDV68" s="164"/>
      <c r="TDW68" s="166"/>
      <c r="TDX68" s="167"/>
      <c r="TDY68" s="168"/>
      <c r="TDZ68"/>
      <c r="TEA68" s="169"/>
      <c r="TEB68"/>
      <c r="TEC68" s="162"/>
      <c r="TED68" s="170"/>
      <c r="TEE68"/>
      <c r="TEF68" s="163"/>
      <c r="TEG68" s="164"/>
      <c r="TEH68" s="165"/>
      <c r="TEI68" s="165"/>
      <c r="TEJ68" s="164"/>
      <c r="TEK68" s="166"/>
      <c r="TEL68" s="164"/>
      <c r="TEM68" s="166"/>
      <c r="TEN68" s="167"/>
      <c r="TEO68" s="168"/>
      <c r="TEP68"/>
      <c r="TEQ68" s="169"/>
      <c r="TER68"/>
      <c r="TES68" s="162"/>
      <c r="TET68" s="170"/>
      <c r="TEU68"/>
      <c r="TEV68" s="163"/>
      <c r="TEW68" s="164"/>
      <c r="TEX68" s="165"/>
      <c r="TEY68" s="165"/>
      <c r="TEZ68" s="164"/>
      <c r="TFA68" s="166"/>
      <c r="TFB68" s="164"/>
      <c r="TFC68" s="166"/>
      <c r="TFD68" s="167"/>
      <c r="TFE68" s="168"/>
      <c r="TFF68"/>
      <c r="TFG68" s="169"/>
      <c r="TFH68"/>
      <c r="TFI68" s="162"/>
      <c r="TFJ68" s="170"/>
      <c r="TFK68"/>
      <c r="TFL68" s="163"/>
      <c r="TFM68" s="164"/>
      <c r="TFN68" s="165"/>
      <c r="TFO68" s="165"/>
      <c r="TFP68" s="164"/>
      <c r="TFQ68" s="166"/>
      <c r="TFR68" s="164"/>
      <c r="TFS68" s="166"/>
      <c r="TFT68" s="167"/>
      <c r="TFU68" s="168"/>
      <c r="TFV68"/>
      <c r="TFW68" s="169"/>
      <c r="TFX68"/>
      <c r="TFY68" s="162"/>
      <c r="TFZ68" s="170"/>
      <c r="TGA68"/>
      <c r="TGB68" s="163"/>
      <c r="TGC68" s="164"/>
      <c r="TGD68" s="165"/>
      <c r="TGE68" s="165"/>
      <c r="TGF68" s="164"/>
      <c r="TGG68" s="166"/>
      <c r="TGH68" s="164"/>
      <c r="TGI68" s="166"/>
      <c r="TGJ68" s="167"/>
      <c r="TGK68" s="168"/>
      <c r="TGL68"/>
      <c r="TGM68" s="169"/>
      <c r="TGN68"/>
      <c r="TGO68" s="162"/>
      <c r="TGP68" s="170"/>
      <c r="TGQ68"/>
      <c r="TGR68" s="163"/>
      <c r="TGS68" s="164"/>
      <c r="TGT68" s="165"/>
      <c r="TGU68" s="165"/>
      <c r="TGV68" s="164"/>
      <c r="TGW68" s="166"/>
      <c r="TGX68" s="164"/>
      <c r="TGY68" s="166"/>
      <c r="TGZ68" s="167"/>
      <c r="THA68" s="168"/>
      <c r="THB68"/>
      <c r="THC68" s="169"/>
      <c r="THD68"/>
      <c r="THE68" s="162"/>
      <c r="THF68" s="170"/>
      <c r="THG68"/>
      <c r="THH68" s="163"/>
      <c r="THI68" s="164"/>
      <c r="THJ68" s="165"/>
      <c r="THK68" s="165"/>
      <c r="THL68" s="164"/>
      <c r="THM68" s="166"/>
      <c r="THN68" s="164"/>
      <c r="THO68" s="166"/>
      <c r="THP68" s="167"/>
      <c r="THQ68" s="168"/>
      <c r="THR68"/>
      <c r="THS68" s="169"/>
      <c r="THT68"/>
      <c r="THU68" s="162"/>
      <c r="THV68" s="170"/>
      <c r="THW68"/>
      <c r="THX68" s="163"/>
      <c r="THY68" s="164"/>
      <c r="THZ68" s="165"/>
      <c r="TIA68" s="165"/>
      <c r="TIB68" s="164"/>
      <c r="TIC68" s="166"/>
      <c r="TID68" s="164"/>
      <c r="TIE68" s="166"/>
      <c r="TIF68" s="167"/>
      <c r="TIG68" s="168"/>
      <c r="TIH68"/>
      <c r="TII68" s="169"/>
      <c r="TIJ68"/>
      <c r="TIK68" s="162"/>
      <c r="TIL68" s="170"/>
      <c r="TIM68"/>
      <c r="TIN68" s="163"/>
      <c r="TIO68" s="164"/>
      <c r="TIP68" s="165"/>
      <c r="TIQ68" s="165"/>
      <c r="TIR68" s="164"/>
      <c r="TIS68" s="166"/>
      <c r="TIT68" s="164"/>
      <c r="TIU68" s="166"/>
      <c r="TIV68" s="167"/>
      <c r="TIW68" s="168"/>
      <c r="TIX68"/>
      <c r="TIY68" s="169"/>
      <c r="TIZ68"/>
      <c r="TJA68" s="162"/>
      <c r="TJB68" s="170"/>
      <c r="TJC68"/>
      <c r="TJD68" s="163"/>
      <c r="TJE68" s="164"/>
      <c r="TJF68" s="165"/>
      <c r="TJG68" s="165"/>
      <c r="TJH68" s="164"/>
      <c r="TJI68" s="166"/>
      <c r="TJJ68" s="164"/>
      <c r="TJK68" s="166"/>
      <c r="TJL68" s="167"/>
      <c r="TJM68" s="168"/>
      <c r="TJN68"/>
      <c r="TJO68" s="169"/>
      <c r="TJP68"/>
      <c r="TJQ68" s="162"/>
      <c r="TJR68" s="170"/>
      <c r="TJS68"/>
      <c r="TJT68" s="163"/>
      <c r="TJU68" s="164"/>
      <c r="TJV68" s="165"/>
      <c r="TJW68" s="165"/>
      <c r="TJX68" s="164"/>
      <c r="TJY68" s="166"/>
      <c r="TJZ68" s="164"/>
      <c r="TKA68" s="166"/>
      <c r="TKB68" s="167"/>
      <c r="TKC68" s="168"/>
      <c r="TKD68"/>
      <c r="TKE68" s="169"/>
      <c r="TKF68"/>
      <c r="TKG68" s="162"/>
      <c r="TKH68" s="170"/>
      <c r="TKI68"/>
      <c r="TKJ68" s="163"/>
      <c r="TKK68" s="164"/>
      <c r="TKL68" s="165"/>
      <c r="TKM68" s="165"/>
      <c r="TKN68" s="164"/>
      <c r="TKO68" s="166"/>
      <c r="TKP68" s="164"/>
      <c r="TKQ68" s="166"/>
      <c r="TKR68" s="167"/>
      <c r="TKS68" s="168"/>
      <c r="TKT68"/>
      <c r="TKU68" s="169"/>
      <c r="TKV68"/>
      <c r="TKW68" s="162"/>
      <c r="TKX68" s="170"/>
      <c r="TKY68"/>
      <c r="TKZ68" s="163"/>
      <c r="TLA68" s="164"/>
      <c r="TLB68" s="165"/>
      <c r="TLC68" s="165"/>
      <c r="TLD68" s="164"/>
      <c r="TLE68" s="166"/>
      <c r="TLF68" s="164"/>
      <c r="TLG68" s="166"/>
      <c r="TLH68" s="167"/>
      <c r="TLI68" s="168"/>
      <c r="TLJ68"/>
      <c r="TLK68" s="169"/>
      <c r="TLL68"/>
      <c r="TLM68" s="162"/>
      <c r="TLN68" s="170"/>
      <c r="TLO68"/>
      <c r="TLP68" s="163"/>
      <c r="TLQ68" s="164"/>
      <c r="TLR68" s="165"/>
      <c r="TLS68" s="165"/>
      <c r="TLT68" s="164"/>
      <c r="TLU68" s="166"/>
      <c r="TLV68" s="164"/>
      <c r="TLW68" s="166"/>
      <c r="TLX68" s="167"/>
      <c r="TLY68" s="168"/>
      <c r="TLZ68"/>
      <c r="TMA68" s="169"/>
      <c r="TMB68"/>
      <c r="TMC68" s="162"/>
      <c r="TMD68" s="170"/>
      <c r="TME68"/>
      <c r="TMF68" s="163"/>
      <c r="TMG68" s="164"/>
      <c r="TMH68" s="165"/>
      <c r="TMI68" s="165"/>
      <c r="TMJ68" s="164"/>
      <c r="TMK68" s="166"/>
      <c r="TML68" s="164"/>
      <c r="TMM68" s="166"/>
      <c r="TMN68" s="167"/>
      <c r="TMO68" s="168"/>
      <c r="TMP68"/>
      <c r="TMQ68" s="169"/>
      <c r="TMR68"/>
      <c r="TMS68" s="162"/>
      <c r="TMT68" s="170"/>
      <c r="TMU68"/>
      <c r="TMV68" s="163"/>
      <c r="TMW68" s="164"/>
      <c r="TMX68" s="165"/>
      <c r="TMY68" s="165"/>
      <c r="TMZ68" s="164"/>
      <c r="TNA68" s="166"/>
      <c r="TNB68" s="164"/>
      <c r="TNC68" s="166"/>
      <c r="TND68" s="167"/>
      <c r="TNE68" s="168"/>
      <c r="TNF68"/>
      <c r="TNG68" s="169"/>
      <c r="TNH68"/>
      <c r="TNI68" s="162"/>
      <c r="TNJ68" s="170"/>
      <c r="TNK68"/>
      <c r="TNL68" s="163"/>
      <c r="TNM68" s="164"/>
      <c r="TNN68" s="165"/>
      <c r="TNO68" s="165"/>
      <c r="TNP68" s="164"/>
      <c r="TNQ68" s="166"/>
      <c r="TNR68" s="164"/>
      <c r="TNS68" s="166"/>
      <c r="TNT68" s="167"/>
      <c r="TNU68" s="168"/>
      <c r="TNV68"/>
      <c r="TNW68" s="169"/>
      <c r="TNX68"/>
      <c r="TNY68" s="162"/>
      <c r="TNZ68" s="170"/>
      <c r="TOA68"/>
      <c r="TOB68" s="163"/>
      <c r="TOC68" s="164"/>
      <c r="TOD68" s="165"/>
      <c r="TOE68" s="165"/>
      <c r="TOF68" s="164"/>
      <c r="TOG68" s="166"/>
      <c r="TOH68" s="164"/>
      <c r="TOI68" s="166"/>
      <c r="TOJ68" s="167"/>
      <c r="TOK68" s="168"/>
      <c r="TOL68"/>
      <c r="TOM68" s="169"/>
      <c r="TON68"/>
      <c r="TOO68" s="162"/>
      <c r="TOP68" s="170"/>
      <c r="TOQ68"/>
      <c r="TOR68" s="163"/>
      <c r="TOS68" s="164"/>
      <c r="TOT68" s="165"/>
      <c r="TOU68" s="165"/>
      <c r="TOV68" s="164"/>
      <c r="TOW68" s="166"/>
      <c r="TOX68" s="164"/>
      <c r="TOY68" s="166"/>
      <c r="TOZ68" s="167"/>
      <c r="TPA68" s="168"/>
      <c r="TPB68"/>
      <c r="TPC68" s="169"/>
      <c r="TPD68"/>
      <c r="TPE68" s="162"/>
      <c r="TPF68" s="170"/>
      <c r="TPG68"/>
      <c r="TPH68" s="163"/>
      <c r="TPI68" s="164"/>
      <c r="TPJ68" s="165"/>
      <c r="TPK68" s="165"/>
      <c r="TPL68" s="164"/>
      <c r="TPM68" s="166"/>
      <c r="TPN68" s="164"/>
      <c r="TPO68" s="166"/>
      <c r="TPP68" s="167"/>
      <c r="TPQ68" s="168"/>
      <c r="TPR68"/>
      <c r="TPS68" s="169"/>
      <c r="TPT68"/>
      <c r="TPU68" s="162"/>
      <c r="TPV68" s="170"/>
      <c r="TPW68"/>
      <c r="TPX68" s="163"/>
      <c r="TPY68" s="164"/>
      <c r="TPZ68" s="165"/>
      <c r="TQA68" s="165"/>
      <c r="TQB68" s="164"/>
      <c r="TQC68" s="166"/>
      <c r="TQD68" s="164"/>
      <c r="TQE68" s="166"/>
      <c r="TQF68" s="167"/>
      <c r="TQG68" s="168"/>
      <c r="TQH68"/>
      <c r="TQI68" s="169"/>
      <c r="TQJ68"/>
      <c r="TQK68" s="162"/>
      <c r="TQL68" s="170"/>
      <c r="TQM68"/>
      <c r="TQN68" s="163"/>
      <c r="TQO68" s="164"/>
      <c r="TQP68" s="165"/>
      <c r="TQQ68" s="165"/>
      <c r="TQR68" s="164"/>
      <c r="TQS68" s="166"/>
      <c r="TQT68" s="164"/>
      <c r="TQU68" s="166"/>
      <c r="TQV68" s="167"/>
      <c r="TQW68" s="168"/>
      <c r="TQX68"/>
      <c r="TQY68" s="169"/>
      <c r="TQZ68"/>
      <c r="TRA68" s="162"/>
      <c r="TRB68" s="170"/>
      <c r="TRC68"/>
      <c r="TRD68" s="163"/>
      <c r="TRE68" s="164"/>
      <c r="TRF68" s="165"/>
      <c r="TRG68" s="165"/>
      <c r="TRH68" s="164"/>
      <c r="TRI68" s="166"/>
      <c r="TRJ68" s="164"/>
      <c r="TRK68" s="166"/>
      <c r="TRL68" s="167"/>
      <c r="TRM68" s="168"/>
      <c r="TRN68"/>
      <c r="TRO68" s="169"/>
      <c r="TRP68"/>
      <c r="TRQ68" s="162"/>
      <c r="TRR68" s="170"/>
      <c r="TRS68"/>
      <c r="TRT68" s="163"/>
      <c r="TRU68" s="164"/>
      <c r="TRV68" s="165"/>
      <c r="TRW68" s="165"/>
      <c r="TRX68" s="164"/>
      <c r="TRY68" s="166"/>
      <c r="TRZ68" s="164"/>
      <c r="TSA68" s="166"/>
      <c r="TSB68" s="167"/>
      <c r="TSC68" s="168"/>
      <c r="TSD68"/>
      <c r="TSE68" s="169"/>
      <c r="TSF68"/>
      <c r="TSG68" s="162"/>
      <c r="TSH68" s="170"/>
      <c r="TSI68"/>
      <c r="TSJ68" s="163"/>
      <c r="TSK68" s="164"/>
      <c r="TSL68" s="165"/>
      <c r="TSM68" s="165"/>
      <c r="TSN68" s="164"/>
      <c r="TSO68" s="166"/>
      <c r="TSP68" s="164"/>
      <c r="TSQ68" s="166"/>
      <c r="TSR68" s="167"/>
      <c r="TSS68" s="168"/>
      <c r="TST68"/>
      <c r="TSU68" s="169"/>
      <c r="TSV68"/>
      <c r="TSW68" s="162"/>
      <c r="TSX68" s="170"/>
      <c r="TSY68"/>
      <c r="TSZ68" s="163"/>
      <c r="TTA68" s="164"/>
      <c r="TTB68" s="165"/>
      <c r="TTC68" s="165"/>
      <c r="TTD68" s="164"/>
      <c r="TTE68" s="166"/>
      <c r="TTF68" s="164"/>
      <c r="TTG68" s="166"/>
      <c r="TTH68" s="167"/>
      <c r="TTI68" s="168"/>
      <c r="TTJ68"/>
      <c r="TTK68" s="169"/>
      <c r="TTL68"/>
      <c r="TTM68" s="162"/>
      <c r="TTN68" s="170"/>
      <c r="TTO68"/>
      <c r="TTP68" s="163"/>
      <c r="TTQ68" s="164"/>
      <c r="TTR68" s="165"/>
      <c r="TTS68" s="165"/>
      <c r="TTT68" s="164"/>
      <c r="TTU68" s="166"/>
      <c r="TTV68" s="164"/>
      <c r="TTW68" s="166"/>
      <c r="TTX68" s="167"/>
      <c r="TTY68" s="168"/>
      <c r="TTZ68"/>
      <c r="TUA68" s="169"/>
      <c r="TUB68"/>
      <c r="TUC68" s="162"/>
      <c r="TUD68" s="170"/>
      <c r="TUE68"/>
      <c r="TUF68" s="163"/>
      <c r="TUG68" s="164"/>
      <c r="TUH68" s="165"/>
      <c r="TUI68" s="165"/>
      <c r="TUJ68" s="164"/>
      <c r="TUK68" s="166"/>
      <c r="TUL68" s="164"/>
      <c r="TUM68" s="166"/>
      <c r="TUN68" s="167"/>
      <c r="TUO68" s="168"/>
      <c r="TUP68"/>
      <c r="TUQ68" s="169"/>
      <c r="TUR68"/>
      <c r="TUS68" s="162"/>
      <c r="TUT68" s="170"/>
      <c r="TUU68"/>
      <c r="TUV68" s="163"/>
      <c r="TUW68" s="164"/>
      <c r="TUX68" s="165"/>
      <c r="TUY68" s="165"/>
      <c r="TUZ68" s="164"/>
      <c r="TVA68" s="166"/>
      <c r="TVB68" s="164"/>
      <c r="TVC68" s="166"/>
      <c r="TVD68" s="167"/>
      <c r="TVE68" s="168"/>
      <c r="TVF68"/>
      <c r="TVG68" s="169"/>
      <c r="TVH68"/>
      <c r="TVI68" s="162"/>
      <c r="TVJ68" s="170"/>
      <c r="TVK68"/>
      <c r="TVL68" s="163"/>
      <c r="TVM68" s="164"/>
      <c r="TVN68" s="165"/>
      <c r="TVO68" s="165"/>
      <c r="TVP68" s="164"/>
      <c r="TVQ68" s="166"/>
      <c r="TVR68" s="164"/>
      <c r="TVS68" s="166"/>
      <c r="TVT68" s="167"/>
      <c r="TVU68" s="168"/>
      <c r="TVV68"/>
      <c r="TVW68" s="169"/>
      <c r="TVX68"/>
      <c r="TVY68" s="162"/>
      <c r="TVZ68" s="170"/>
      <c r="TWA68"/>
      <c r="TWB68" s="163"/>
      <c r="TWC68" s="164"/>
      <c r="TWD68" s="165"/>
      <c r="TWE68" s="165"/>
      <c r="TWF68" s="164"/>
      <c r="TWG68" s="166"/>
      <c r="TWH68" s="164"/>
      <c r="TWI68" s="166"/>
      <c r="TWJ68" s="167"/>
      <c r="TWK68" s="168"/>
      <c r="TWL68"/>
      <c r="TWM68" s="169"/>
      <c r="TWN68"/>
      <c r="TWO68" s="162"/>
      <c r="TWP68" s="170"/>
      <c r="TWQ68"/>
      <c r="TWR68" s="163"/>
      <c r="TWS68" s="164"/>
      <c r="TWT68" s="165"/>
      <c r="TWU68" s="165"/>
      <c r="TWV68" s="164"/>
      <c r="TWW68" s="166"/>
      <c r="TWX68" s="164"/>
      <c r="TWY68" s="166"/>
      <c r="TWZ68" s="167"/>
      <c r="TXA68" s="168"/>
      <c r="TXB68"/>
      <c r="TXC68" s="169"/>
      <c r="TXD68"/>
      <c r="TXE68" s="162"/>
      <c r="TXF68" s="170"/>
      <c r="TXG68"/>
      <c r="TXH68" s="163"/>
      <c r="TXI68" s="164"/>
      <c r="TXJ68" s="165"/>
      <c r="TXK68" s="165"/>
      <c r="TXL68" s="164"/>
      <c r="TXM68" s="166"/>
      <c r="TXN68" s="164"/>
      <c r="TXO68" s="166"/>
      <c r="TXP68" s="167"/>
      <c r="TXQ68" s="168"/>
      <c r="TXR68"/>
      <c r="TXS68" s="169"/>
      <c r="TXT68"/>
      <c r="TXU68" s="162"/>
      <c r="TXV68" s="170"/>
      <c r="TXW68"/>
      <c r="TXX68" s="163"/>
      <c r="TXY68" s="164"/>
      <c r="TXZ68" s="165"/>
      <c r="TYA68" s="165"/>
      <c r="TYB68" s="164"/>
      <c r="TYC68" s="166"/>
      <c r="TYD68" s="164"/>
      <c r="TYE68" s="166"/>
      <c r="TYF68" s="167"/>
      <c r="TYG68" s="168"/>
      <c r="TYH68"/>
      <c r="TYI68" s="169"/>
      <c r="TYJ68"/>
      <c r="TYK68" s="162"/>
      <c r="TYL68" s="170"/>
      <c r="TYM68"/>
      <c r="TYN68" s="163"/>
      <c r="TYO68" s="164"/>
      <c r="TYP68" s="165"/>
      <c r="TYQ68" s="165"/>
      <c r="TYR68" s="164"/>
      <c r="TYS68" s="166"/>
      <c r="TYT68" s="164"/>
      <c r="TYU68" s="166"/>
      <c r="TYV68" s="167"/>
      <c r="TYW68" s="168"/>
      <c r="TYX68"/>
      <c r="TYY68" s="169"/>
      <c r="TYZ68"/>
      <c r="TZA68" s="162"/>
      <c r="TZB68" s="170"/>
      <c r="TZC68"/>
      <c r="TZD68" s="163"/>
      <c r="TZE68" s="164"/>
      <c r="TZF68" s="165"/>
      <c r="TZG68" s="165"/>
      <c r="TZH68" s="164"/>
      <c r="TZI68" s="166"/>
      <c r="TZJ68" s="164"/>
      <c r="TZK68" s="166"/>
      <c r="TZL68" s="167"/>
      <c r="TZM68" s="168"/>
      <c r="TZN68"/>
      <c r="TZO68" s="169"/>
      <c r="TZP68"/>
      <c r="TZQ68" s="162"/>
      <c r="TZR68" s="170"/>
      <c r="TZS68"/>
      <c r="TZT68" s="163"/>
      <c r="TZU68" s="164"/>
      <c r="TZV68" s="165"/>
      <c r="TZW68" s="165"/>
      <c r="TZX68" s="164"/>
      <c r="TZY68" s="166"/>
      <c r="TZZ68" s="164"/>
      <c r="UAA68" s="166"/>
      <c r="UAB68" s="167"/>
      <c r="UAC68" s="168"/>
      <c r="UAD68"/>
      <c r="UAE68" s="169"/>
      <c r="UAF68"/>
      <c r="UAG68" s="162"/>
      <c r="UAH68" s="170"/>
      <c r="UAI68"/>
      <c r="UAJ68" s="163"/>
      <c r="UAK68" s="164"/>
      <c r="UAL68" s="165"/>
      <c r="UAM68" s="165"/>
      <c r="UAN68" s="164"/>
      <c r="UAO68" s="166"/>
      <c r="UAP68" s="164"/>
      <c r="UAQ68" s="166"/>
      <c r="UAR68" s="167"/>
      <c r="UAS68" s="168"/>
      <c r="UAT68"/>
      <c r="UAU68" s="169"/>
      <c r="UAV68"/>
      <c r="UAW68" s="162"/>
      <c r="UAX68" s="170"/>
      <c r="UAY68"/>
      <c r="UAZ68" s="163"/>
      <c r="UBA68" s="164"/>
      <c r="UBB68" s="165"/>
      <c r="UBC68" s="165"/>
      <c r="UBD68" s="164"/>
      <c r="UBE68" s="166"/>
      <c r="UBF68" s="164"/>
      <c r="UBG68" s="166"/>
      <c r="UBH68" s="167"/>
      <c r="UBI68" s="168"/>
      <c r="UBJ68"/>
      <c r="UBK68" s="169"/>
      <c r="UBL68"/>
      <c r="UBM68" s="162"/>
      <c r="UBN68" s="170"/>
      <c r="UBO68"/>
      <c r="UBP68" s="163"/>
      <c r="UBQ68" s="164"/>
      <c r="UBR68" s="165"/>
      <c r="UBS68" s="165"/>
      <c r="UBT68" s="164"/>
      <c r="UBU68" s="166"/>
      <c r="UBV68" s="164"/>
      <c r="UBW68" s="166"/>
      <c r="UBX68" s="167"/>
      <c r="UBY68" s="168"/>
      <c r="UBZ68"/>
      <c r="UCA68" s="169"/>
      <c r="UCB68"/>
      <c r="UCC68" s="162"/>
      <c r="UCD68" s="170"/>
      <c r="UCE68"/>
      <c r="UCF68" s="163"/>
      <c r="UCG68" s="164"/>
      <c r="UCH68" s="165"/>
      <c r="UCI68" s="165"/>
      <c r="UCJ68" s="164"/>
      <c r="UCK68" s="166"/>
      <c r="UCL68" s="164"/>
      <c r="UCM68" s="166"/>
      <c r="UCN68" s="167"/>
      <c r="UCO68" s="168"/>
      <c r="UCP68"/>
      <c r="UCQ68" s="169"/>
      <c r="UCR68"/>
      <c r="UCS68" s="162"/>
      <c r="UCT68" s="170"/>
      <c r="UCU68"/>
      <c r="UCV68" s="163"/>
      <c r="UCW68" s="164"/>
      <c r="UCX68" s="165"/>
      <c r="UCY68" s="165"/>
      <c r="UCZ68" s="164"/>
      <c r="UDA68" s="166"/>
      <c r="UDB68" s="164"/>
      <c r="UDC68" s="166"/>
      <c r="UDD68" s="167"/>
      <c r="UDE68" s="168"/>
      <c r="UDF68"/>
      <c r="UDG68" s="169"/>
      <c r="UDH68"/>
      <c r="UDI68" s="162"/>
      <c r="UDJ68" s="170"/>
      <c r="UDK68"/>
      <c r="UDL68" s="163"/>
      <c r="UDM68" s="164"/>
      <c r="UDN68" s="165"/>
      <c r="UDO68" s="165"/>
      <c r="UDP68" s="164"/>
      <c r="UDQ68" s="166"/>
      <c r="UDR68" s="164"/>
      <c r="UDS68" s="166"/>
      <c r="UDT68" s="167"/>
      <c r="UDU68" s="168"/>
      <c r="UDV68"/>
      <c r="UDW68" s="169"/>
      <c r="UDX68"/>
      <c r="UDY68" s="162"/>
      <c r="UDZ68" s="170"/>
      <c r="UEA68"/>
      <c r="UEB68" s="163"/>
      <c r="UEC68" s="164"/>
      <c r="UED68" s="165"/>
      <c r="UEE68" s="165"/>
      <c r="UEF68" s="164"/>
      <c r="UEG68" s="166"/>
      <c r="UEH68" s="164"/>
      <c r="UEI68" s="166"/>
      <c r="UEJ68" s="167"/>
      <c r="UEK68" s="168"/>
      <c r="UEL68"/>
      <c r="UEM68" s="169"/>
      <c r="UEN68"/>
      <c r="UEO68" s="162"/>
      <c r="UEP68" s="170"/>
      <c r="UEQ68"/>
      <c r="UER68" s="163"/>
      <c r="UES68" s="164"/>
      <c r="UET68" s="165"/>
      <c r="UEU68" s="165"/>
      <c r="UEV68" s="164"/>
      <c r="UEW68" s="166"/>
      <c r="UEX68" s="164"/>
      <c r="UEY68" s="166"/>
      <c r="UEZ68" s="167"/>
      <c r="UFA68" s="168"/>
      <c r="UFB68"/>
      <c r="UFC68" s="169"/>
      <c r="UFD68"/>
      <c r="UFE68" s="162"/>
      <c r="UFF68" s="170"/>
      <c r="UFG68"/>
      <c r="UFH68" s="163"/>
      <c r="UFI68" s="164"/>
      <c r="UFJ68" s="165"/>
      <c r="UFK68" s="165"/>
      <c r="UFL68" s="164"/>
      <c r="UFM68" s="166"/>
      <c r="UFN68" s="164"/>
      <c r="UFO68" s="166"/>
      <c r="UFP68" s="167"/>
      <c r="UFQ68" s="168"/>
      <c r="UFR68"/>
      <c r="UFS68" s="169"/>
      <c r="UFT68"/>
      <c r="UFU68" s="162"/>
      <c r="UFV68" s="170"/>
      <c r="UFW68"/>
      <c r="UFX68" s="163"/>
      <c r="UFY68" s="164"/>
      <c r="UFZ68" s="165"/>
      <c r="UGA68" s="165"/>
      <c r="UGB68" s="164"/>
      <c r="UGC68" s="166"/>
      <c r="UGD68" s="164"/>
      <c r="UGE68" s="166"/>
      <c r="UGF68" s="167"/>
      <c r="UGG68" s="168"/>
      <c r="UGH68"/>
      <c r="UGI68" s="169"/>
      <c r="UGJ68"/>
      <c r="UGK68" s="162"/>
      <c r="UGL68" s="170"/>
      <c r="UGM68"/>
      <c r="UGN68" s="163"/>
      <c r="UGO68" s="164"/>
      <c r="UGP68" s="165"/>
      <c r="UGQ68" s="165"/>
      <c r="UGR68" s="164"/>
      <c r="UGS68" s="166"/>
      <c r="UGT68" s="164"/>
      <c r="UGU68" s="166"/>
      <c r="UGV68" s="167"/>
      <c r="UGW68" s="168"/>
      <c r="UGX68"/>
      <c r="UGY68" s="169"/>
      <c r="UGZ68"/>
      <c r="UHA68" s="162"/>
      <c r="UHB68" s="170"/>
      <c r="UHC68"/>
      <c r="UHD68" s="163"/>
      <c r="UHE68" s="164"/>
      <c r="UHF68" s="165"/>
      <c r="UHG68" s="165"/>
      <c r="UHH68" s="164"/>
      <c r="UHI68" s="166"/>
      <c r="UHJ68" s="164"/>
      <c r="UHK68" s="166"/>
      <c r="UHL68" s="167"/>
      <c r="UHM68" s="168"/>
      <c r="UHN68"/>
      <c r="UHO68" s="169"/>
      <c r="UHP68"/>
      <c r="UHQ68" s="162"/>
      <c r="UHR68" s="170"/>
      <c r="UHS68"/>
      <c r="UHT68" s="163"/>
      <c r="UHU68" s="164"/>
      <c r="UHV68" s="165"/>
      <c r="UHW68" s="165"/>
      <c r="UHX68" s="164"/>
      <c r="UHY68" s="166"/>
      <c r="UHZ68" s="164"/>
      <c r="UIA68" s="166"/>
      <c r="UIB68" s="167"/>
      <c r="UIC68" s="168"/>
      <c r="UID68"/>
      <c r="UIE68" s="169"/>
      <c r="UIF68"/>
      <c r="UIG68" s="162"/>
      <c r="UIH68" s="170"/>
      <c r="UII68"/>
      <c r="UIJ68" s="163"/>
      <c r="UIK68" s="164"/>
      <c r="UIL68" s="165"/>
      <c r="UIM68" s="165"/>
      <c r="UIN68" s="164"/>
      <c r="UIO68" s="166"/>
      <c r="UIP68" s="164"/>
      <c r="UIQ68" s="166"/>
      <c r="UIR68" s="167"/>
      <c r="UIS68" s="168"/>
      <c r="UIT68"/>
      <c r="UIU68" s="169"/>
      <c r="UIV68"/>
      <c r="UIW68" s="162"/>
      <c r="UIX68" s="170"/>
      <c r="UIY68"/>
      <c r="UIZ68" s="163"/>
      <c r="UJA68" s="164"/>
      <c r="UJB68" s="165"/>
      <c r="UJC68" s="165"/>
      <c r="UJD68" s="164"/>
      <c r="UJE68" s="166"/>
      <c r="UJF68" s="164"/>
      <c r="UJG68" s="166"/>
      <c r="UJH68" s="167"/>
      <c r="UJI68" s="168"/>
      <c r="UJJ68"/>
      <c r="UJK68" s="169"/>
      <c r="UJL68"/>
      <c r="UJM68" s="162"/>
      <c r="UJN68" s="170"/>
      <c r="UJO68"/>
      <c r="UJP68" s="163"/>
      <c r="UJQ68" s="164"/>
      <c r="UJR68" s="165"/>
      <c r="UJS68" s="165"/>
      <c r="UJT68" s="164"/>
      <c r="UJU68" s="166"/>
      <c r="UJV68" s="164"/>
      <c r="UJW68" s="166"/>
      <c r="UJX68" s="167"/>
      <c r="UJY68" s="168"/>
      <c r="UJZ68"/>
      <c r="UKA68" s="169"/>
      <c r="UKB68"/>
      <c r="UKC68" s="162"/>
      <c r="UKD68" s="170"/>
      <c r="UKE68"/>
      <c r="UKF68" s="163"/>
      <c r="UKG68" s="164"/>
      <c r="UKH68" s="165"/>
      <c r="UKI68" s="165"/>
      <c r="UKJ68" s="164"/>
      <c r="UKK68" s="166"/>
      <c r="UKL68" s="164"/>
      <c r="UKM68" s="166"/>
      <c r="UKN68" s="167"/>
      <c r="UKO68" s="168"/>
      <c r="UKP68"/>
      <c r="UKQ68" s="169"/>
      <c r="UKR68"/>
      <c r="UKS68" s="162"/>
      <c r="UKT68" s="170"/>
      <c r="UKU68"/>
      <c r="UKV68" s="163"/>
      <c r="UKW68" s="164"/>
      <c r="UKX68" s="165"/>
      <c r="UKY68" s="165"/>
      <c r="UKZ68" s="164"/>
      <c r="ULA68" s="166"/>
      <c r="ULB68" s="164"/>
      <c r="ULC68" s="166"/>
      <c r="ULD68" s="167"/>
      <c r="ULE68" s="168"/>
      <c r="ULF68"/>
      <c r="ULG68" s="169"/>
      <c r="ULH68"/>
      <c r="ULI68" s="162"/>
      <c r="ULJ68" s="170"/>
      <c r="ULK68"/>
      <c r="ULL68" s="163"/>
      <c r="ULM68" s="164"/>
      <c r="ULN68" s="165"/>
      <c r="ULO68" s="165"/>
      <c r="ULP68" s="164"/>
      <c r="ULQ68" s="166"/>
      <c r="ULR68" s="164"/>
      <c r="ULS68" s="166"/>
      <c r="ULT68" s="167"/>
      <c r="ULU68" s="168"/>
      <c r="ULV68"/>
      <c r="ULW68" s="169"/>
      <c r="ULX68"/>
      <c r="ULY68" s="162"/>
      <c r="ULZ68" s="170"/>
      <c r="UMA68"/>
      <c r="UMB68" s="163"/>
      <c r="UMC68" s="164"/>
      <c r="UMD68" s="165"/>
      <c r="UME68" s="165"/>
      <c r="UMF68" s="164"/>
      <c r="UMG68" s="166"/>
      <c r="UMH68" s="164"/>
      <c r="UMI68" s="166"/>
      <c r="UMJ68" s="167"/>
      <c r="UMK68" s="168"/>
      <c r="UML68"/>
      <c r="UMM68" s="169"/>
      <c r="UMN68"/>
      <c r="UMO68" s="162"/>
      <c r="UMP68" s="170"/>
      <c r="UMQ68"/>
      <c r="UMR68" s="163"/>
      <c r="UMS68" s="164"/>
      <c r="UMT68" s="165"/>
      <c r="UMU68" s="165"/>
      <c r="UMV68" s="164"/>
      <c r="UMW68" s="166"/>
      <c r="UMX68" s="164"/>
      <c r="UMY68" s="166"/>
      <c r="UMZ68" s="167"/>
      <c r="UNA68" s="168"/>
      <c r="UNB68"/>
      <c r="UNC68" s="169"/>
      <c r="UND68"/>
      <c r="UNE68" s="162"/>
      <c r="UNF68" s="170"/>
      <c r="UNG68"/>
      <c r="UNH68" s="163"/>
      <c r="UNI68" s="164"/>
      <c r="UNJ68" s="165"/>
      <c r="UNK68" s="165"/>
      <c r="UNL68" s="164"/>
      <c r="UNM68" s="166"/>
      <c r="UNN68" s="164"/>
      <c r="UNO68" s="166"/>
      <c r="UNP68" s="167"/>
      <c r="UNQ68" s="168"/>
      <c r="UNR68"/>
      <c r="UNS68" s="169"/>
      <c r="UNT68"/>
      <c r="UNU68" s="162"/>
      <c r="UNV68" s="170"/>
      <c r="UNW68"/>
      <c r="UNX68" s="163"/>
      <c r="UNY68" s="164"/>
      <c r="UNZ68" s="165"/>
      <c r="UOA68" s="165"/>
      <c r="UOB68" s="164"/>
      <c r="UOC68" s="166"/>
      <c r="UOD68" s="164"/>
      <c r="UOE68" s="166"/>
      <c r="UOF68" s="167"/>
      <c r="UOG68" s="168"/>
      <c r="UOH68"/>
      <c r="UOI68" s="169"/>
      <c r="UOJ68"/>
      <c r="UOK68" s="162"/>
      <c r="UOL68" s="170"/>
      <c r="UOM68"/>
      <c r="UON68" s="163"/>
      <c r="UOO68" s="164"/>
      <c r="UOP68" s="165"/>
      <c r="UOQ68" s="165"/>
      <c r="UOR68" s="164"/>
      <c r="UOS68" s="166"/>
      <c r="UOT68" s="164"/>
      <c r="UOU68" s="166"/>
      <c r="UOV68" s="167"/>
      <c r="UOW68" s="168"/>
      <c r="UOX68"/>
      <c r="UOY68" s="169"/>
      <c r="UOZ68"/>
      <c r="UPA68" s="162"/>
      <c r="UPB68" s="170"/>
      <c r="UPC68"/>
      <c r="UPD68" s="163"/>
      <c r="UPE68" s="164"/>
      <c r="UPF68" s="165"/>
      <c r="UPG68" s="165"/>
      <c r="UPH68" s="164"/>
      <c r="UPI68" s="166"/>
      <c r="UPJ68" s="164"/>
      <c r="UPK68" s="166"/>
      <c r="UPL68" s="167"/>
      <c r="UPM68" s="168"/>
      <c r="UPN68"/>
      <c r="UPO68" s="169"/>
      <c r="UPP68"/>
      <c r="UPQ68" s="162"/>
      <c r="UPR68" s="170"/>
      <c r="UPS68"/>
      <c r="UPT68" s="163"/>
      <c r="UPU68" s="164"/>
      <c r="UPV68" s="165"/>
      <c r="UPW68" s="165"/>
      <c r="UPX68" s="164"/>
      <c r="UPY68" s="166"/>
      <c r="UPZ68" s="164"/>
      <c r="UQA68" s="166"/>
      <c r="UQB68" s="167"/>
      <c r="UQC68" s="168"/>
      <c r="UQD68"/>
      <c r="UQE68" s="169"/>
      <c r="UQF68"/>
      <c r="UQG68" s="162"/>
      <c r="UQH68" s="170"/>
      <c r="UQI68"/>
      <c r="UQJ68" s="163"/>
      <c r="UQK68" s="164"/>
      <c r="UQL68" s="165"/>
      <c r="UQM68" s="165"/>
      <c r="UQN68" s="164"/>
      <c r="UQO68" s="166"/>
      <c r="UQP68" s="164"/>
      <c r="UQQ68" s="166"/>
      <c r="UQR68" s="167"/>
      <c r="UQS68" s="168"/>
      <c r="UQT68"/>
      <c r="UQU68" s="169"/>
      <c r="UQV68"/>
      <c r="UQW68" s="162"/>
      <c r="UQX68" s="170"/>
      <c r="UQY68"/>
      <c r="UQZ68" s="163"/>
      <c r="URA68" s="164"/>
      <c r="URB68" s="165"/>
      <c r="URC68" s="165"/>
      <c r="URD68" s="164"/>
      <c r="URE68" s="166"/>
      <c r="URF68" s="164"/>
      <c r="URG68" s="166"/>
      <c r="URH68" s="167"/>
      <c r="URI68" s="168"/>
      <c r="URJ68"/>
      <c r="URK68" s="169"/>
      <c r="URL68"/>
      <c r="URM68" s="162"/>
      <c r="URN68" s="170"/>
      <c r="URO68"/>
      <c r="URP68" s="163"/>
      <c r="URQ68" s="164"/>
      <c r="URR68" s="165"/>
      <c r="URS68" s="165"/>
      <c r="URT68" s="164"/>
      <c r="URU68" s="166"/>
      <c r="URV68" s="164"/>
      <c r="URW68" s="166"/>
      <c r="URX68" s="167"/>
      <c r="URY68" s="168"/>
      <c r="URZ68"/>
      <c r="USA68" s="169"/>
      <c r="USB68"/>
      <c r="USC68" s="162"/>
      <c r="USD68" s="170"/>
      <c r="USE68"/>
      <c r="USF68" s="163"/>
      <c r="USG68" s="164"/>
      <c r="USH68" s="165"/>
      <c r="USI68" s="165"/>
      <c r="USJ68" s="164"/>
      <c r="USK68" s="166"/>
      <c r="USL68" s="164"/>
      <c r="USM68" s="166"/>
      <c r="USN68" s="167"/>
      <c r="USO68" s="168"/>
      <c r="USP68"/>
      <c r="USQ68" s="169"/>
      <c r="USR68"/>
      <c r="USS68" s="162"/>
      <c r="UST68" s="170"/>
      <c r="USU68"/>
      <c r="USV68" s="163"/>
      <c r="USW68" s="164"/>
      <c r="USX68" s="165"/>
      <c r="USY68" s="165"/>
      <c r="USZ68" s="164"/>
      <c r="UTA68" s="166"/>
      <c r="UTB68" s="164"/>
      <c r="UTC68" s="166"/>
      <c r="UTD68" s="167"/>
      <c r="UTE68" s="168"/>
      <c r="UTF68"/>
      <c r="UTG68" s="169"/>
      <c r="UTH68"/>
      <c r="UTI68" s="162"/>
      <c r="UTJ68" s="170"/>
      <c r="UTK68"/>
      <c r="UTL68" s="163"/>
      <c r="UTM68" s="164"/>
      <c r="UTN68" s="165"/>
      <c r="UTO68" s="165"/>
      <c r="UTP68" s="164"/>
      <c r="UTQ68" s="166"/>
      <c r="UTR68" s="164"/>
      <c r="UTS68" s="166"/>
      <c r="UTT68" s="167"/>
      <c r="UTU68" s="168"/>
      <c r="UTV68"/>
      <c r="UTW68" s="169"/>
      <c r="UTX68"/>
      <c r="UTY68" s="162"/>
      <c r="UTZ68" s="170"/>
      <c r="UUA68"/>
      <c r="UUB68" s="163"/>
      <c r="UUC68" s="164"/>
      <c r="UUD68" s="165"/>
      <c r="UUE68" s="165"/>
      <c r="UUF68" s="164"/>
      <c r="UUG68" s="166"/>
      <c r="UUH68" s="164"/>
      <c r="UUI68" s="166"/>
      <c r="UUJ68" s="167"/>
      <c r="UUK68" s="168"/>
      <c r="UUL68"/>
      <c r="UUM68" s="169"/>
      <c r="UUN68"/>
      <c r="UUO68" s="162"/>
      <c r="UUP68" s="170"/>
      <c r="UUQ68"/>
      <c r="UUR68" s="163"/>
      <c r="UUS68" s="164"/>
      <c r="UUT68" s="165"/>
      <c r="UUU68" s="165"/>
      <c r="UUV68" s="164"/>
      <c r="UUW68" s="166"/>
      <c r="UUX68" s="164"/>
      <c r="UUY68" s="166"/>
      <c r="UUZ68" s="167"/>
      <c r="UVA68" s="168"/>
      <c r="UVB68"/>
      <c r="UVC68" s="169"/>
      <c r="UVD68"/>
      <c r="UVE68" s="162"/>
      <c r="UVF68" s="170"/>
      <c r="UVG68"/>
      <c r="UVH68" s="163"/>
      <c r="UVI68" s="164"/>
      <c r="UVJ68" s="165"/>
      <c r="UVK68" s="165"/>
      <c r="UVL68" s="164"/>
      <c r="UVM68" s="166"/>
      <c r="UVN68" s="164"/>
      <c r="UVO68" s="166"/>
      <c r="UVP68" s="167"/>
      <c r="UVQ68" s="168"/>
      <c r="UVR68"/>
      <c r="UVS68" s="169"/>
      <c r="UVT68"/>
      <c r="UVU68" s="162"/>
      <c r="UVV68" s="170"/>
      <c r="UVW68"/>
      <c r="UVX68" s="163"/>
      <c r="UVY68" s="164"/>
      <c r="UVZ68" s="165"/>
      <c r="UWA68" s="165"/>
      <c r="UWB68" s="164"/>
      <c r="UWC68" s="166"/>
      <c r="UWD68" s="164"/>
      <c r="UWE68" s="166"/>
      <c r="UWF68" s="167"/>
      <c r="UWG68" s="168"/>
      <c r="UWH68"/>
      <c r="UWI68" s="169"/>
      <c r="UWJ68"/>
      <c r="UWK68" s="162"/>
      <c r="UWL68" s="170"/>
      <c r="UWM68"/>
      <c r="UWN68" s="163"/>
      <c r="UWO68" s="164"/>
      <c r="UWP68" s="165"/>
      <c r="UWQ68" s="165"/>
      <c r="UWR68" s="164"/>
      <c r="UWS68" s="166"/>
      <c r="UWT68" s="164"/>
      <c r="UWU68" s="166"/>
      <c r="UWV68" s="167"/>
      <c r="UWW68" s="168"/>
      <c r="UWX68"/>
      <c r="UWY68" s="169"/>
      <c r="UWZ68"/>
      <c r="UXA68" s="162"/>
      <c r="UXB68" s="170"/>
      <c r="UXC68"/>
      <c r="UXD68" s="163"/>
      <c r="UXE68" s="164"/>
      <c r="UXF68" s="165"/>
      <c r="UXG68" s="165"/>
      <c r="UXH68" s="164"/>
      <c r="UXI68" s="166"/>
      <c r="UXJ68" s="164"/>
      <c r="UXK68" s="166"/>
      <c r="UXL68" s="167"/>
      <c r="UXM68" s="168"/>
      <c r="UXN68"/>
      <c r="UXO68" s="169"/>
      <c r="UXP68"/>
      <c r="UXQ68" s="162"/>
      <c r="UXR68" s="170"/>
      <c r="UXS68"/>
      <c r="UXT68" s="163"/>
      <c r="UXU68" s="164"/>
      <c r="UXV68" s="165"/>
      <c r="UXW68" s="165"/>
      <c r="UXX68" s="164"/>
      <c r="UXY68" s="166"/>
      <c r="UXZ68" s="164"/>
      <c r="UYA68" s="166"/>
      <c r="UYB68" s="167"/>
      <c r="UYC68" s="168"/>
      <c r="UYD68"/>
      <c r="UYE68" s="169"/>
      <c r="UYF68"/>
      <c r="UYG68" s="162"/>
      <c r="UYH68" s="170"/>
      <c r="UYI68"/>
      <c r="UYJ68" s="163"/>
      <c r="UYK68" s="164"/>
      <c r="UYL68" s="165"/>
      <c r="UYM68" s="165"/>
      <c r="UYN68" s="164"/>
      <c r="UYO68" s="166"/>
      <c r="UYP68" s="164"/>
      <c r="UYQ68" s="166"/>
      <c r="UYR68" s="167"/>
      <c r="UYS68" s="168"/>
      <c r="UYT68"/>
      <c r="UYU68" s="169"/>
      <c r="UYV68"/>
      <c r="UYW68" s="162"/>
      <c r="UYX68" s="170"/>
      <c r="UYY68"/>
      <c r="UYZ68" s="163"/>
      <c r="UZA68" s="164"/>
      <c r="UZB68" s="165"/>
      <c r="UZC68" s="165"/>
      <c r="UZD68" s="164"/>
      <c r="UZE68" s="166"/>
      <c r="UZF68" s="164"/>
      <c r="UZG68" s="166"/>
      <c r="UZH68" s="167"/>
      <c r="UZI68" s="168"/>
      <c r="UZJ68"/>
      <c r="UZK68" s="169"/>
      <c r="UZL68"/>
      <c r="UZM68" s="162"/>
      <c r="UZN68" s="170"/>
      <c r="UZO68"/>
      <c r="UZP68" s="163"/>
      <c r="UZQ68" s="164"/>
      <c r="UZR68" s="165"/>
      <c r="UZS68" s="165"/>
      <c r="UZT68" s="164"/>
      <c r="UZU68" s="166"/>
      <c r="UZV68" s="164"/>
      <c r="UZW68" s="166"/>
      <c r="UZX68" s="167"/>
      <c r="UZY68" s="168"/>
      <c r="UZZ68"/>
      <c r="VAA68" s="169"/>
      <c r="VAB68"/>
      <c r="VAC68" s="162"/>
      <c r="VAD68" s="170"/>
      <c r="VAE68"/>
      <c r="VAF68" s="163"/>
      <c r="VAG68" s="164"/>
      <c r="VAH68" s="165"/>
      <c r="VAI68" s="165"/>
      <c r="VAJ68" s="164"/>
      <c r="VAK68" s="166"/>
      <c r="VAL68" s="164"/>
      <c r="VAM68" s="166"/>
      <c r="VAN68" s="167"/>
      <c r="VAO68" s="168"/>
      <c r="VAP68"/>
      <c r="VAQ68" s="169"/>
      <c r="VAR68"/>
      <c r="VAS68" s="162"/>
      <c r="VAT68" s="170"/>
      <c r="VAU68"/>
      <c r="VAV68" s="163"/>
      <c r="VAW68" s="164"/>
      <c r="VAX68" s="165"/>
      <c r="VAY68" s="165"/>
      <c r="VAZ68" s="164"/>
      <c r="VBA68" s="166"/>
      <c r="VBB68" s="164"/>
      <c r="VBC68" s="166"/>
      <c r="VBD68" s="167"/>
      <c r="VBE68" s="168"/>
      <c r="VBF68"/>
      <c r="VBG68" s="169"/>
      <c r="VBH68"/>
      <c r="VBI68" s="162"/>
      <c r="VBJ68" s="170"/>
      <c r="VBK68"/>
      <c r="VBL68" s="163"/>
      <c r="VBM68" s="164"/>
      <c r="VBN68" s="165"/>
      <c r="VBO68" s="165"/>
      <c r="VBP68" s="164"/>
      <c r="VBQ68" s="166"/>
      <c r="VBR68" s="164"/>
      <c r="VBS68" s="166"/>
      <c r="VBT68" s="167"/>
      <c r="VBU68" s="168"/>
      <c r="VBV68"/>
      <c r="VBW68" s="169"/>
      <c r="VBX68"/>
      <c r="VBY68" s="162"/>
      <c r="VBZ68" s="170"/>
      <c r="VCA68"/>
      <c r="VCB68" s="163"/>
      <c r="VCC68" s="164"/>
      <c r="VCD68" s="165"/>
      <c r="VCE68" s="165"/>
      <c r="VCF68" s="164"/>
      <c r="VCG68" s="166"/>
      <c r="VCH68" s="164"/>
      <c r="VCI68" s="166"/>
      <c r="VCJ68" s="167"/>
      <c r="VCK68" s="168"/>
      <c r="VCL68"/>
      <c r="VCM68" s="169"/>
      <c r="VCN68"/>
      <c r="VCO68" s="162"/>
      <c r="VCP68" s="170"/>
      <c r="VCQ68"/>
      <c r="VCR68" s="163"/>
      <c r="VCS68" s="164"/>
      <c r="VCT68" s="165"/>
      <c r="VCU68" s="165"/>
      <c r="VCV68" s="164"/>
      <c r="VCW68" s="166"/>
      <c r="VCX68" s="164"/>
      <c r="VCY68" s="166"/>
      <c r="VCZ68" s="167"/>
      <c r="VDA68" s="168"/>
      <c r="VDB68"/>
      <c r="VDC68" s="169"/>
      <c r="VDD68"/>
      <c r="VDE68" s="162"/>
      <c r="VDF68" s="170"/>
      <c r="VDG68"/>
      <c r="VDH68" s="163"/>
      <c r="VDI68" s="164"/>
      <c r="VDJ68" s="165"/>
      <c r="VDK68" s="165"/>
      <c r="VDL68" s="164"/>
      <c r="VDM68" s="166"/>
      <c r="VDN68" s="164"/>
      <c r="VDO68" s="166"/>
      <c r="VDP68" s="167"/>
      <c r="VDQ68" s="168"/>
      <c r="VDR68"/>
      <c r="VDS68" s="169"/>
      <c r="VDT68"/>
      <c r="VDU68" s="162"/>
      <c r="VDV68" s="170"/>
      <c r="VDW68"/>
      <c r="VDX68" s="163"/>
      <c r="VDY68" s="164"/>
      <c r="VDZ68" s="165"/>
      <c r="VEA68" s="165"/>
      <c r="VEB68" s="164"/>
      <c r="VEC68" s="166"/>
      <c r="VED68" s="164"/>
      <c r="VEE68" s="166"/>
      <c r="VEF68" s="167"/>
      <c r="VEG68" s="168"/>
      <c r="VEH68"/>
      <c r="VEI68" s="169"/>
      <c r="VEJ68"/>
      <c r="VEK68" s="162"/>
      <c r="VEL68" s="170"/>
      <c r="VEM68"/>
      <c r="VEN68" s="163"/>
      <c r="VEO68" s="164"/>
      <c r="VEP68" s="165"/>
      <c r="VEQ68" s="165"/>
      <c r="VER68" s="164"/>
      <c r="VES68" s="166"/>
      <c r="VET68" s="164"/>
      <c r="VEU68" s="166"/>
      <c r="VEV68" s="167"/>
      <c r="VEW68" s="168"/>
      <c r="VEX68"/>
      <c r="VEY68" s="169"/>
      <c r="VEZ68"/>
      <c r="VFA68" s="162"/>
      <c r="VFB68" s="170"/>
      <c r="VFC68"/>
      <c r="VFD68" s="163"/>
      <c r="VFE68" s="164"/>
      <c r="VFF68" s="165"/>
      <c r="VFG68" s="165"/>
      <c r="VFH68" s="164"/>
      <c r="VFI68" s="166"/>
      <c r="VFJ68" s="164"/>
      <c r="VFK68" s="166"/>
      <c r="VFL68" s="167"/>
      <c r="VFM68" s="168"/>
      <c r="VFN68"/>
      <c r="VFO68" s="169"/>
      <c r="VFP68"/>
      <c r="VFQ68" s="162"/>
      <c r="VFR68" s="170"/>
      <c r="VFS68"/>
      <c r="VFT68" s="163"/>
      <c r="VFU68" s="164"/>
      <c r="VFV68" s="165"/>
      <c r="VFW68" s="165"/>
      <c r="VFX68" s="164"/>
      <c r="VFY68" s="166"/>
      <c r="VFZ68" s="164"/>
      <c r="VGA68" s="166"/>
      <c r="VGB68" s="167"/>
      <c r="VGC68" s="168"/>
      <c r="VGD68"/>
      <c r="VGE68" s="169"/>
      <c r="VGF68"/>
      <c r="VGG68" s="162"/>
      <c r="VGH68" s="170"/>
      <c r="VGI68"/>
      <c r="VGJ68" s="163"/>
      <c r="VGK68" s="164"/>
      <c r="VGL68" s="165"/>
      <c r="VGM68" s="165"/>
      <c r="VGN68" s="164"/>
      <c r="VGO68" s="166"/>
      <c r="VGP68" s="164"/>
      <c r="VGQ68" s="166"/>
      <c r="VGR68" s="167"/>
      <c r="VGS68" s="168"/>
      <c r="VGT68"/>
      <c r="VGU68" s="169"/>
      <c r="VGV68"/>
      <c r="VGW68" s="162"/>
      <c r="VGX68" s="170"/>
      <c r="VGY68"/>
      <c r="VGZ68" s="163"/>
      <c r="VHA68" s="164"/>
      <c r="VHB68" s="165"/>
      <c r="VHC68" s="165"/>
    </row>
    <row r="69" spans="2:63 3073:12199 12790:15083" ht="28.8" x14ac:dyDescent="0.3">
      <c r="B69" s="241" t="s">
        <v>163</v>
      </c>
      <c r="C69" s="241"/>
      <c r="D69" s="241"/>
      <c r="E69" s="241"/>
      <c r="F69" s="241"/>
      <c r="G69" s="241"/>
      <c r="H69" s="241"/>
      <c r="I69" s="241"/>
      <c r="J69" s="241"/>
      <c r="K69" s="241"/>
      <c r="L69" s="241"/>
      <c r="M69" s="241"/>
      <c r="N69" s="241"/>
      <c r="O69" s="241"/>
      <c r="P69" s="241"/>
      <c r="Q69" s="241"/>
      <c r="U69" s="54"/>
    </row>
    <row r="70" spans="2:63 3073:12199 12790:15083" ht="28.8" x14ac:dyDescent="0.3">
      <c r="B70" s="99" t="s">
        <v>1</v>
      </c>
      <c r="C70" s="242" t="s">
        <v>2</v>
      </c>
      <c r="D70" s="242"/>
      <c r="E70" s="8" t="s">
        <v>3</v>
      </c>
      <c r="F70" s="8" t="s">
        <v>4</v>
      </c>
      <c r="G70" s="8" t="s">
        <v>125</v>
      </c>
      <c r="H70" s="1" t="s">
        <v>53</v>
      </c>
      <c r="I70" s="94" t="s">
        <v>151</v>
      </c>
      <c r="J70" s="2" t="s">
        <v>9</v>
      </c>
      <c r="K70" s="2" t="s">
        <v>10</v>
      </c>
      <c r="L70" s="2" t="s">
        <v>11</v>
      </c>
      <c r="M70" s="8" t="s">
        <v>12</v>
      </c>
      <c r="N70" s="128" t="s">
        <v>13</v>
      </c>
      <c r="O70" s="128" t="s">
        <v>14</v>
      </c>
      <c r="P70" s="128" t="s">
        <v>152</v>
      </c>
      <c r="Q70" s="105" t="s">
        <v>153</v>
      </c>
      <c r="U70" s="54"/>
    </row>
    <row r="71" spans="2:63 3073:12199 12790:15083" x14ac:dyDescent="0.3">
      <c r="B71" s="253" t="s">
        <v>164</v>
      </c>
      <c r="C71" s="219" t="s">
        <v>122</v>
      </c>
      <c r="D71" s="151" t="s">
        <v>18</v>
      </c>
      <c r="E71" s="152">
        <f>CEILING((((9600+297+115)*1.12)- 85)-150,50)</f>
        <v>11000</v>
      </c>
      <c r="F71" s="152">
        <v>85</v>
      </c>
      <c r="G71" s="152">
        <v>215</v>
      </c>
      <c r="H71" s="152">
        <v>75</v>
      </c>
      <c r="I71" s="152">
        <v>150</v>
      </c>
      <c r="J71" s="215">
        <f>SUM(E71:I71)</f>
        <v>11525</v>
      </c>
      <c r="K71" s="152">
        <v>200</v>
      </c>
      <c r="L71" s="215">
        <f>SUM(J71:K71)</f>
        <v>11725</v>
      </c>
      <c r="M71" s="154" t="s">
        <v>106</v>
      </c>
      <c r="N71" s="380" t="s">
        <v>65</v>
      </c>
      <c r="O71" s="216" t="s">
        <v>60</v>
      </c>
      <c r="P71" s="256" t="s">
        <v>83</v>
      </c>
      <c r="Q71" s="156" t="s">
        <v>132</v>
      </c>
      <c r="U71" s="54"/>
    </row>
    <row r="72" spans="2:63 3073:12199 12790:15083" x14ac:dyDescent="0.3">
      <c r="B72" s="254"/>
      <c r="C72" s="219" t="s">
        <v>122</v>
      </c>
      <c r="D72" s="151" t="s">
        <v>24</v>
      </c>
      <c r="E72" s="152">
        <f>CEILING((((10100+297+115)*1.12)- 85)-150,50)</f>
        <v>11550</v>
      </c>
      <c r="F72" s="152">
        <v>85</v>
      </c>
      <c r="G72" s="152">
        <v>215</v>
      </c>
      <c r="H72" s="152">
        <v>75</v>
      </c>
      <c r="I72" s="152">
        <v>150</v>
      </c>
      <c r="J72" s="215">
        <f>SUM(E72:I72)</f>
        <v>12075</v>
      </c>
      <c r="K72" s="152">
        <v>200</v>
      </c>
      <c r="L72" s="215">
        <f>SUM(J72:K72)</f>
        <v>12275</v>
      </c>
      <c r="M72" s="154" t="s">
        <v>106</v>
      </c>
      <c r="N72" s="380" t="s">
        <v>65</v>
      </c>
      <c r="O72" s="216" t="s">
        <v>60</v>
      </c>
      <c r="P72" s="257"/>
      <c r="Q72" s="156" t="s">
        <v>132</v>
      </c>
      <c r="U72" s="54"/>
    </row>
    <row r="73" spans="2:63 3073:12199 12790:15083" ht="28.8" x14ac:dyDescent="0.3">
      <c r="B73" s="255" t="s">
        <v>165</v>
      </c>
      <c r="C73" s="255"/>
      <c r="D73" s="255"/>
      <c r="E73" s="255"/>
      <c r="F73" s="255"/>
      <c r="G73" s="255"/>
      <c r="H73" s="255"/>
      <c r="I73" s="255"/>
      <c r="J73" s="255"/>
      <c r="K73" s="255"/>
      <c r="L73" s="255"/>
      <c r="M73" s="255"/>
      <c r="N73" s="255"/>
      <c r="O73" s="255"/>
      <c r="P73" s="255"/>
      <c r="Q73" s="255"/>
      <c r="U73" s="54"/>
    </row>
    <row r="74" spans="2:63 3073:12199 12790:15083" ht="28.8" x14ac:dyDescent="0.3">
      <c r="B74" s="99" t="s">
        <v>1</v>
      </c>
      <c r="C74" s="242" t="s">
        <v>2</v>
      </c>
      <c r="D74" s="242"/>
      <c r="E74" s="8" t="s">
        <v>3</v>
      </c>
      <c r="F74" s="8" t="s">
        <v>4</v>
      </c>
      <c r="G74" s="8" t="s">
        <v>125</v>
      </c>
      <c r="H74" s="1" t="s">
        <v>53</v>
      </c>
      <c r="I74" s="94" t="s">
        <v>151</v>
      </c>
      <c r="J74" s="2" t="s">
        <v>9</v>
      </c>
      <c r="K74" s="2" t="s">
        <v>10</v>
      </c>
      <c r="L74" s="2" t="s">
        <v>11</v>
      </c>
      <c r="M74" s="8" t="s">
        <v>12</v>
      </c>
      <c r="N74" s="128" t="s">
        <v>13</v>
      </c>
      <c r="O74" s="128" t="s">
        <v>14</v>
      </c>
      <c r="P74" s="128" t="s">
        <v>152</v>
      </c>
      <c r="Q74" s="105" t="s">
        <v>153</v>
      </c>
      <c r="U74" s="54"/>
    </row>
    <row r="75" spans="2:63 3073:12199 12790:15083" ht="14.4" customHeight="1" x14ac:dyDescent="0.3">
      <c r="B75" s="223" t="s">
        <v>166</v>
      </c>
      <c r="C75" s="224" t="s">
        <v>122</v>
      </c>
      <c r="D75" s="54" t="s">
        <v>18</v>
      </c>
      <c r="E75" s="84">
        <f>CEILING((((5618+100+100+380)*1.12)- 380)-150,50)</f>
        <v>6450</v>
      </c>
      <c r="F75" s="55">
        <v>380</v>
      </c>
      <c r="G75" s="55">
        <v>215</v>
      </c>
      <c r="H75" s="55">
        <v>75</v>
      </c>
      <c r="I75" s="57">
        <v>150</v>
      </c>
      <c r="J75" s="59">
        <f>SUM(E75:I75)</f>
        <v>7270</v>
      </c>
      <c r="K75" s="57">
        <v>200</v>
      </c>
      <c r="L75" s="59">
        <f>SUM(J75:K75)</f>
        <v>7470</v>
      </c>
      <c r="M75" s="54" t="s">
        <v>167</v>
      </c>
      <c r="N75" s="380" t="s">
        <v>65</v>
      </c>
      <c r="O75" s="54" t="s">
        <v>168</v>
      </c>
      <c r="P75" s="251" t="s">
        <v>169</v>
      </c>
      <c r="Q75" s="220" t="s">
        <v>170</v>
      </c>
      <c r="U75" s="54" t="s">
        <v>171</v>
      </c>
    </row>
    <row r="76" spans="2:63 3073:12199 12790:15083" ht="15" thickBot="1" x14ac:dyDescent="0.35">
      <c r="B76" s="243"/>
      <c r="C76" s="244"/>
      <c r="D76" s="92" t="s">
        <v>24</v>
      </c>
      <c r="E76" s="87">
        <f>CEILING((((6423+150+100+380)*1.12)- 380)-150,50)</f>
        <v>7400</v>
      </c>
      <c r="F76" s="55">
        <v>380</v>
      </c>
      <c r="G76" s="107">
        <v>215</v>
      </c>
      <c r="H76" s="107">
        <v>75</v>
      </c>
      <c r="I76" s="88">
        <v>150</v>
      </c>
      <c r="J76" s="89">
        <f>SUM(E76:I76)</f>
        <v>8220</v>
      </c>
      <c r="K76" s="88">
        <v>200</v>
      </c>
      <c r="L76" s="89">
        <f>SUM(J76:K76)</f>
        <v>8420</v>
      </c>
      <c r="M76" s="92" t="s">
        <v>167</v>
      </c>
      <c r="N76" s="380" t="s">
        <v>65</v>
      </c>
      <c r="O76" s="92" t="s">
        <v>168</v>
      </c>
      <c r="P76" s="252"/>
      <c r="Q76" s="221" t="s">
        <v>170</v>
      </c>
      <c r="U76" s="54" t="s">
        <v>171</v>
      </c>
    </row>
    <row r="77" spans="2:63 3073:12199 12790:15083" x14ac:dyDescent="0.3">
      <c r="B77" s="28"/>
      <c r="C77" s="28"/>
      <c r="E77" s="63"/>
      <c r="F77" s="64"/>
      <c r="G77" s="64"/>
      <c r="H77" s="64"/>
      <c r="I77" s="64"/>
      <c r="J77" s="65"/>
      <c r="K77" s="65"/>
      <c r="L77" s="65"/>
      <c r="M77" s="65"/>
      <c r="N77" s="121"/>
      <c r="O77" s="65"/>
      <c r="P77" s="66"/>
      <c r="Q77" s="67"/>
    </row>
    <row r="79" spans="2:63 3073:12199 12790:15083" ht="15.6" x14ac:dyDescent="0.3">
      <c r="B79" s="5" t="s">
        <v>34</v>
      </c>
      <c r="C79" s="6"/>
      <c r="D79" s="6"/>
      <c r="E79" s="6"/>
      <c r="F79" s="6"/>
      <c r="G79" s="6"/>
      <c r="H79" s="6"/>
      <c r="I79" s="6"/>
      <c r="J79" s="6"/>
      <c r="K79" s="6"/>
      <c r="L79" s="6"/>
      <c r="M79" s="6"/>
      <c r="N79" s="6"/>
      <c r="O79" s="6"/>
      <c r="P79" s="6"/>
      <c r="Q79" s="6"/>
      <c r="R79" s="6"/>
      <c r="S79" s="6"/>
      <c r="T79" s="6"/>
    </row>
    <row r="80" spans="2:63 3073:12199 12790:15083" x14ac:dyDescent="0.3">
      <c r="B80" s="240" t="s">
        <v>35</v>
      </c>
      <c r="C80" s="240"/>
      <c r="D80" s="240"/>
      <c r="E80" s="240"/>
      <c r="F80" s="240"/>
      <c r="G80" s="240"/>
      <c r="H80" s="240"/>
      <c r="I80" s="240"/>
      <c r="J80" s="240"/>
      <c r="K80" s="240"/>
      <c r="L80" s="240"/>
      <c r="M80" s="240"/>
      <c r="N80" s="240"/>
      <c r="O80" s="240"/>
      <c r="P80" s="240"/>
      <c r="Q80" s="240"/>
      <c r="R80" s="240"/>
      <c r="S80" s="240"/>
      <c r="T80" s="240"/>
    </row>
    <row r="81" spans="2:20" x14ac:dyDescent="0.3">
      <c r="B81" s="240"/>
      <c r="C81" s="240"/>
      <c r="D81" s="240"/>
      <c r="E81" s="240"/>
      <c r="F81" s="240"/>
      <c r="G81" s="240"/>
      <c r="H81" s="240"/>
      <c r="I81" s="240"/>
      <c r="J81" s="240"/>
      <c r="K81" s="240"/>
      <c r="L81" s="240"/>
      <c r="M81" s="240"/>
      <c r="N81" s="240"/>
      <c r="O81" s="240"/>
      <c r="P81" s="240"/>
      <c r="Q81" s="240"/>
      <c r="R81" s="240"/>
      <c r="S81" s="240"/>
      <c r="T81" s="240"/>
    </row>
    <row r="82" spans="2:20" x14ac:dyDescent="0.3">
      <c r="B82" s="240"/>
      <c r="C82" s="240"/>
      <c r="D82" s="240"/>
      <c r="E82" s="240"/>
      <c r="F82" s="240"/>
      <c r="G82" s="240"/>
      <c r="H82" s="240"/>
      <c r="I82" s="240"/>
      <c r="J82" s="240"/>
      <c r="K82" s="240"/>
      <c r="L82" s="240"/>
      <c r="M82" s="240"/>
      <c r="N82" s="240"/>
      <c r="O82" s="240"/>
      <c r="P82" s="240"/>
      <c r="Q82" s="240"/>
      <c r="R82" s="240"/>
      <c r="S82" s="240"/>
      <c r="T82" s="240"/>
    </row>
    <row r="83" spans="2:20" x14ac:dyDescent="0.3">
      <c r="B83" s="240"/>
      <c r="C83" s="240"/>
      <c r="D83" s="240"/>
      <c r="E83" s="240"/>
      <c r="F83" s="240"/>
      <c r="G83" s="240"/>
      <c r="H83" s="240"/>
      <c r="I83" s="240"/>
      <c r="J83" s="240"/>
      <c r="K83" s="240"/>
      <c r="L83" s="240"/>
      <c r="M83" s="240"/>
      <c r="N83" s="240"/>
      <c r="O83" s="240"/>
      <c r="P83" s="240"/>
      <c r="Q83" s="240"/>
      <c r="R83" s="240"/>
      <c r="S83" s="240"/>
      <c r="T83" s="240"/>
    </row>
    <row r="92" spans="2:20" ht="28.8" x14ac:dyDescent="0.3">
      <c r="B92" s="245" t="s">
        <v>172</v>
      </c>
      <c r="C92" s="245"/>
      <c r="D92" s="245"/>
      <c r="E92" s="245"/>
      <c r="F92" s="245"/>
      <c r="G92" s="245"/>
      <c r="H92" s="245"/>
      <c r="I92" s="245"/>
      <c r="J92" s="245"/>
      <c r="K92" s="245"/>
      <c r="L92" s="245"/>
      <c r="M92" s="245"/>
      <c r="N92" s="245"/>
      <c r="O92" s="245"/>
      <c r="P92" s="245"/>
      <c r="Q92" s="245"/>
      <c r="R92" s="245"/>
      <c r="S92" s="245"/>
    </row>
    <row r="93" spans="2:20" ht="27" customHeight="1" x14ac:dyDescent="0.3">
      <c r="B93" s="1" t="s">
        <v>1</v>
      </c>
      <c r="C93" s="246" t="s">
        <v>2</v>
      </c>
      <c r="D93" s="246"/>
      <c r="E93" s="131" t="s">
        <v>137</v>
      </c>
      <c r="F93" s="12" t="s">
        <v>138</v>
      </c>
      <c r="G93" s="13" t="s">
        <v>100</v>
      </c>
      <c r="H93" s="12" t="s">
        <v>6</v>
      </c>
      <c r="I93" s="2" t="s">
        <v>173</v>
      </c>
      <c r="J93" s="2" t="s">
        <v>9</v>
      </c>
      <c r="K93" s="2" t="s">
        <v>10</v>
      </c>
      <c r="L93" s="2" t="s">
        <v>11</v>
      </c>
      <c r="M93" s="8" t="s">
        <v>12</v>
      </c>
      <c r="N93" s="10" t="s">
        <v>13</v>
      </c>
      <c r="O93" s="197" t="s">
        <v>14</v>
      </c>
      <c r="P93" s="17" t="s">
        <v>129</v>
      </c>
      <c r="Q93" s="242" t="s">
        <v>38</v>
      </c>
      <c r="R93" s="242"/>
      <c r="S93" s="242"/>
    </row>
    <row r="94" spans="2:20" ht="28.95" customHeight="1" x14ac:dyDescent="0.3">
      <c r="B94" s="237" t="s">
        <v>101</v>
      </c>
      <c r="C94" s="224" t="s">
        <v>122</v>
      </c>
      <c r="D94" s="54" t="s">
        <v>18</v>
      </c>
      <c r="E94" s="37">
        <v>1500</v>
      </c>
      <c r="F94" s="55">
        <v>175</v>
      </c>
      <c r="G94" s="37">
        <v>150</v>
      </c>
      <c r="H94" s="37">
        <v>14</v>
      </c>
      <c r="I94" s="57">
        <v>300</v>
      </c>
      <c r="J94" s="59">
        <f>SUM(E94:I94)</f>
        <v>2139</v>
      </c>
      <c r="K94" s="57">
        <v>200</v>
      </c>
      <c r="L94" s="59">
        <f>J94+K94</f>
        <v>2339</v>
      </c>
      <c r="M94" s="104" t="s">
        <v>174</v>
      </c>
      <c r="N94" s="381" t="s">
        <v>21</v>
      </c>
      <c r="O94" s="41" t="s">
        <v>46</v>
      </c>
      <c r="P94" s="54" t="s">
        <v>175</v>
      </c>
      <c r="Q94" s="239" t="s">
        <v>47</v>
      </c>
      <c r="R94" s="239"/>
      <c r="S94" s="239"/>
    </row>
    <row r="95" spans="2:20" x14ac:dyDescent="0.3">
      <c r="B95" s="238"/>
      <c r="C95" s="224"/>
      <c r="D95" s="54" t="s">
        <v>24</v>
      </c>
      <c r="E95" s="38">
        <v>1950</v>
      </c>
      <c r="F95" s="55">
        <v>225</v>
      </c>
      <c r="G95" s="37">
        <v>150</v>
      </c>
      <c r="H95" s="37">
        <v>14</v>
      </c>
      <c r="I95" s="57">
        <v>600</v>
      </c>
      <c r="J95" s="59">
        <f>SUM(E95:I95)</f>
        <v>2939</v>
      </c>
      <c r="K95" s="57">
        <v>200</v>
      </c>
      <c r="L95" s="59">
        <f>J95+K95</f>
        <v>3139</v>
      </c>
      <c r="M95" s="104" t="s">
        <v>174</v>
      </c>
      <c r="N95" s="381" t="s">
        <v>21</v>
      </c>
      <c r="O95" s="41" t="s">
        <v>46</v>
      </c>
      <c r="P95" s="54" t="s">
        <v>175</v>
      </c>
      <c r="Q95" s="239"/>
      <c r="R95" s="239"/>
      <c r="S95" s="239"/>
    </row>
    <row r="97" spans="2:20" ht="15.6" x14ac:dyDescent="0.3">
      <c r="B97" s="5" t="s">
        <v>34</v>
      </c>
      <c r="C97" s="6"/>
      <c r="D97" s="6"/>
      <c r="E97" s="6"/>
      <c r="F97" s="6"/>
      <c r="G97" s="6"/>
      <c r="H97" s="6"/>
      <c r="I97" s="6"/>
      <c r="J97" s="6"/>
      <c r="K97" s="6"/>
      <c r="L97" s="6"/>
      <c r="M97" s="6"/>
      <c r="N97" s="6"/>
      <c r="O97" s="6"/>
      <c r="P97" s="6"/>
      <c r="Q97" s="6"/>
      <c r="R97" s="6"/>
      <c r="S97" s="6"/>
      <c r="T97" s="6"/>
    </row>
    <row r="98" spans="2:20" x14ac:dyDescent="0.3">
      <c r="B98" s="240" t="s">
        <v>35</v>
      </c>
      <c r="C98" s="240"/>
      <c r="D98" s="240"/>
      <c r="E98" s="240"/>
      <c r="F98" s="240"/>
      <c r="G98" s="240"/>
      <c r="H98" s="240"/>
      <c r="I98" s="240"/>
      <c r="J98" s="240"/>
      <c r="K98" s="240"/>
      <c r="L98" s="240"/>
      <c r="M98" s="240"/>
      <c r="N98" s="240"/>
      <c r="O98" s="240"/>
      <c r="P98" s="240"/>
      <c r="Q98" s="240"/>
      <c r="R98" s="240"/>
      <c r="S98" s="240"/>
      <c r="T98" s="240"/>
    </row>
    <row r="99" spans="2:20" x14ac:dyDescent="0.3">
      <c r="B99" s="240"/>
      <c r="C99" s="240"/>
      <c r="D99" s="240"/>
      <c r="E99" s="240"/>
      <c r="F99" s="240"/>
      <c r="G99" s="240"/>
      <c r="H99" s="240"/>
      <c r="I99" s="240"/>
      <c r="J99" s="240"/>
      <c r="K99" s="240"/>
      <c r="L99" s="240"/>
      <c r="M99" s="240"/>
      <c r="N99" s="240"/>
      <c r="O99" s="240"/>
      <c r="P99" s="240"/>
      <c r="Q99" s="240"/>
      <c r="R99" s="240"/>
      <c r="S99" s="240"/>
      <c r="T99" s="240"/>
    </row>
    <row r="100" spans="2:20" x14ac:dyDescent="0.3">
      <c r="B100" s="240"/>
      <c r="C100" s="240"/>
      <c r="D100" s="240"/>
      <c r="E100" s="240"/>
      <c r="F100" s="240"/>
      <c r="G100" s="240"/>
      <c r="H100" s="240"/>
      <c r="I100" s="240"/>
      <c r="J100" s="240"/>
      <c r="K100" s="240"/>
      <c r="L100" s="240"/>
      <c r="M100" s="240"/>
      <c r="N100" s="240"/>
      <c r="O100" s="240"/>
      <c r="P100" s="240"/>
      <c r="Q100" s="240"/>
      <c r="R100" s="240"/>
      <c r="S100" s="240"/>
      <c r="T100" s="240"/>
    </row>
    <row r="101" spans="2:20" x14ac:dyDescent="0.3">
      <c r="B101" s="240"/>
      <c r="C101" s="240"/>
      <c r="D101" s="240"/>
      <c r="E101" s="240"/>
      <c r="F101" s="240"/>
      <c r="G101" s="240"/>
      <c r="H101" s="240"/>
      <c r="I101" s="240"/>
      <c r="J101" s="240"/>
      <c r="K101" s="240"/>
      <c r="L101" s="240"/>
      <c r="M101" s="240"/>
      <c r="N101" s="240"/>
      <c r="O101" s="240"/>
      <c r="P101" s="240"/>
      <c r="Q101" s="240"/>
      <c r="R101" s="240"/>
      <c r="S101" s="240"/>
      <c r="T101" s="240"/>
    </row>
    <row r="111" spans="2:20" ht="15" thickBot="1" x14ac:dyDescent="0.35"/>
    <row r="112" spans="2:20" ht="28.8" x14ac:dyDescent="0.3">
      <c r="B112" s="241" t="s">
        <v>176</v>
      </c>
      <c r="C112" s="241"/>
      <c r="D112" s="241"/>
      <c r="E112" s="241"/>
      <c r="F112" s="241"/>
      <c r="G112" s="241"/>
      <c r="H112" s="241"/>
      <c r="I112" s="241"/>
      <c r="J112" s="241"/>
      <c r="K112" s="241"/>
      <c r="L112" s="241"/>
      <c r="M112" s="241"/>
      <c r="N112" s="241"/>
      <c r="O112" s="241"/>
      <c r="P112" s="241"/>
      <c r="Q112" s="241"/>
    </row>
    <row r="113" spans="2:17" ht="28.8" x14ac:dyDescent="0.3">
      <c r="B113" s="99" t="s">
        <v>1</v>
      </c>
      <c r="C113" s="242" t="s">
        <v>2</v>
      </c>
      <c r="D113" s="242"/>
      <c r="E113" s="8" t="s">
        <v>3</v>
      </c>
      <c r="F113" s="8" t="s">
        <v>4</v>
      </c>
      <c r="G113" s="8" t="s">
        <v>125</v>
      </c>
      <c r="H113" s="1" t="s">
        <v>53</v>
      </c>
      <c r="I113" s="94" t="s">
        <v>151</v>
      </c>
      <c r="J113" s="2" t="s">
        <v>9</v>
      </c>
      <c r="K113" s="2" t="s">
        <v>10</v>
      </c>
      <c r="L113" s="2" t="s">
        <v>11</v>
      </c>
      <c r="M113" s="8" t="s">
        <v>12</v>
      </c>
      <c r="N113" s="128" t="s">
        <v>13</v>
      </c>
      <c r="O113" s="128" t="s">
        <v>14</v>
      </c>
      <c r="P113" s="128" t="s">
        <v>152</v>
      </c>
      <c r="Q113" s="105" t="s">
        <v>153</v>
      </c>
    </row>
    <row r="114" spans="2:17" x14ac:dyDescent="0.3">
      <c r="B114" s="223" t="s">
        <v>177</v>
      </c>
      <c r="C114" s="224" t="s">
        <v>122</v>
      </c>
      <c r="D114" s="54" t="s">
        <v>18</v>
      </c>
      <c r="E114" s="84">
        <v>3350</v>
      </c>
      <c r="F114" s="57">
        <v>85</v>
      </c>
      <c r="G114" s="55">
        <v>215</v>
      </c>
      <c r="H114" s="55">
        <v>75</v>
      </c>
      <c r="I114" s="57">
        <v>150</v>
      </c>
      <c r="J114" s="59">
        <f>SUM(E114:I114)</f>
        <v>3875</v>
      </c>
      <c r="K114" s="57">
        <v>200</v>
      </c>
      <c r="L114" s="59">
        <f>SUM(J114:K114)</f>
        <v>4075</v>
      </c>
      <c r="M114" s="60" t="s">
        <v>178</v>
      </c>
      <c r="N114" s="382" t="s">
        <v>21</v>
      </c>
      <c r="O114" s="54" t="s">
        <v>60</v>
      </c>
      <c r="P114" s="95" t="s">
        <v>179</v>
      </c>
      <c r="Q114" s="106" t="s">
        <v>180</v>
      </c>
    </row>
    <row r="115" spans="2:17" x14ac:dyDescent="0.3">
      <c r="B115" s="223"/>
      <c r="C115" s="224"/>
      <c r="D115" s="54" t="s">
        <v>24</v>
      </c>
      <c r="E115" s="84">
        <v>4400</v>
      </c>
      <c r="F115" s="57">
        <v>85</v>
      </c>
      <c r="G115" s="55">
        <v>215</v>
      </c>
      <c r="H115" s="55">
        <v>75</v>
      </c>
      <c r="I115" s="57">
        <v>150</v>
      </c>
      <c r="J115" s="59">
        <f>SUM(E115:I115)</f>
        <v>4925</v>
      </c>
      <c r="K115" s="57">
        <v>200</v>
      </c>
      <c r="L115" s="59">
        <f>SUM(J115:K115)</f>
        <v>5125</v>
      </c>
      <c r="M115" s="60" t="s">
        <v>178</v>
      </c>
      <c r="N115" s="382" t="s">
        <v>21</v>
      </c>
      <c r="O115" s="54" t="s">
        <v>60</v>
      </c>
      <c r="P115" s="95" t="s">
        <v>179</v>
      </c>
      <c r="Q115" s="106" t="s">
        <v>180</v>
      </c>
    </row>
    <row r="124" spans="2:17" ht="15" thickBot="1" x14ac:dyDescent="0.35"/>
    <row r="125" spans="2:17" ht="28.8" x14ac:dyDescent="0.3">
      <c r="B125" s="241" t="s">
        <v>181</v>
      </c>
      <c r="C125" s="241"/>
      <c r="D125" s="241"/>
      <c r="E125" s="241"/>
      <c r="F125" s="241"/>
      <c r="G125" s="241"/>
      <c r="H125" s="241"/>
      <c r="I125" s="241"/>
      <c r="J125" s="241"/>
      <c r="K125" s="241"/>
      <c r="L125" s="241"/>
      <c r="M125" s="241"/>
      <c r="N125" s="241"/>
      <c r="O125" s="241"/>
      <c r="P125" s="241"/>
      <c r="Q125" s="241"/>
    </row>
    <row r="126" spans="2:17" ht="28.8" x14ac:dyDescent="0.3">
      <c r="B126" s="99" t="s">
        <v>1</v>
      </c>
      <c r="C126" s="242" t="s">
        <v>2</v>
      </c>
      <c r="D126" s="242"/>
      <c r="E126" s="8" t="s">
        <v>3</v>
      </c>
      <c r="F126" s="8" t="s">
        <v>4</v>
      </c>
      <c r="G126" s="8" t="s">
        <v>125</v>
      </c>
      <c r="H126" s="1" t="s">
        <v>53</v>
      </c>
      <c r="I126" s="94" t="s">
        <v>151</v>
      </c>
      <c r="J126" s="2" t="s">
        <v>9</v>
      </c>
      <c r="K126" s="2" t="s">
        <v>10</v>
      </c>
      <c r="L126" s="2" t="s">
        <v>11</v>
      </c>
      <c r="M126" s="8" t="s">
        <v>12</v>
      </c>
      <c r="N126" s="128" t="s">
        <v>13</v>
      </c>
      <c r="O126" s="128" t="s">
        <v>14</v>
      </c>
      <c r="P126" s="128" t="s">
        <v>152</v>
      </c>
      <c r="Q126" s="105" t="s">
        <v>153</v>
      </c>
    </row>
    <row r="127" spans="2:17" x14ac:dyDescent="0.3">
      <c r="B127" s="223" t="s">
        <v>182</v>
      </c>
      <c r="C127" s="224" t="s">
        <v>122</v>
      </c>
      <c r="D127" s="54" t="s">
        <v>18</v>
      </c>
      <c r="E127" s="55">
        <v>2575</v>
      </c>
      <c r="F127" s="55">
        <v>370</v>
      </c>
      <c r="G127" s="55">
        <v>150</v>
      </c>
      <c r="H127" s="55">
        <v>75</v>
      </c>
      <c r="I127" s="55">
        <v>150</v>
      </c>
      <c r="J127" s="55">
        <f>SUM(E127:I127)</f>
        <v>3320</v>
      </c>
      <c r="K127" s="55">
        <v>200</v>
      </c>
      <c r="L127" s="55">
        <f>SUM(J127:K127)</f>
        <v>3520</v>
      </c>
      <c r="M127" s="212">
        <v>30</v>
      </c>
      <c r="N127" s="381" t="s">
        <v>21</v>
      </c>
      <c r="O127" s="212" t="s">
        <v>41</v>
      </c>
      <c r="P127" s="95" t="s">
        <v>179</v>
      </c>
      <c r="Q127" s="213" t="s">
        <v>33</v>
      </c>
    </row>
    <row r="128" spans="2:17" x14ac:dyDescent="0.3">
      <c r="B128" s="223" t="s">
        <v>182</v>
      </c>
      <c r="C128" s="224" t="s">
        <v>122</v>
      </c>
      <c r="D128" s="54" t="s">
        <v>24</v>
      </c>
      <c r="E128" s="55">
        <v>3000</v>
      </c>
      <c r="F128" s="55">
        <v>370</v>
      </c>
      <c r="G128" s="55">
        <v>150</v>
      </c>
      <c r="H128" s="55">
        <v>75</v>
      </c>
      <c r="I128" s="55">
        <v>150</v>
      </c>
      <c r="J128" s="55">
        <f>SUM(E128:I128)</f>
        <v>3745</v>
      </c>
      <c r="K128" s="55">
        <v>200</v>
      </c>
      <c r="L128" s="55">
        <f>SUM(J128:K128)</f>
        <v>3945</v>
      </c>
      <c r="M128" s="212">
        <v>30</v>
      </c>
      <c r="N128" s="381" t="s">
        <v>21</v>
      </c>
      <c r="O128" s="212" t="s">
        <v>41</v>
      </c>
      <c r="P128" s="95" t="s">
        <v>179</v>
      </c>
      <c r="Q128" s="213" t="s">
        <v>33</v>
      </c>
    </row>
    <row r="129" spans="2:17" x14ac:dyDescent="0.3">
      <c r="B129" s="223" t="s">
        <v>183</v>
      </c>
      <c r="C129" s="224" t="s">
        <v>122</v>
      </c>
      <c r="D129" s="54" t="s">
        <v>18</v>
      </c>
      <c r="E129" s="55">
        <f>CEILING((((1300+130+10+72+20+100)*1.15)-100)-150,50)</f>
        <v>1650</v>
      </c>
      <c r="F129" s="55">
        <v>100</v>
      </c>
      <c r="G129" s="55">
        <v>215</v>
      </c>
      <c r="H129" s="55">
        <v>75</v>
      </c>
      <c r="I129" s="55">
        <v>150</v>
      </c>
      <c r="J129" s="55">
        <f>SUM(E129:I129)</f>
        <v>2190</v>
      </c>
      <c r="K129" s="55">
        <v>200</v>
      </c>
      <c r="L129" s="55">
        <f>SUM(J129:K129)</f>
        <v>2390</v>
      </c>
      <c r="M129" s="60">
        <v>30</v>
      </c>
      <c r="N129" s="381" t="s">
        <v>21</v>
      </c>
      <c r="O129" s="60" t="s">
        <v>66</v>
      </c>
      <c r="P129" s="95" t="s">
        <v>179</v>
      </c>
      <c r="Q129" s="213" t="s">
        <v>180</v>
      </c>
    </row>
    <row r="130" spans="2:17" x14ac:dyDescent="0.3">
      <c r="B130" s="223"/>
      <c r="C130" s="224"/>
      <c r="D130" s="54" t="s">
        <v>24</v>
      </c>
      <c r="E130" s="55">
        <f>CEILING((((1400+260+10+72+20+150)*1.15)-150)-150,50)</f>
        <v>1900</v>
      </c>
      <c r="F130" s="55">
        <v>150</v>
      </c>
      <c r="G130" s="55">
        <v>215</v>
      </c>
      <c r="H130" s="55">
        <v>75</v>
      </c>
      <c r="I130" s="55">
        <v>150</v>
      </c>
      <c r="J130" s="55">
        <f>SUM(E130:I130)</f>
        <v>2490</v>
      </c>
      <c r="K130" s="55">
        <v>200</v>
      </c>
      <c r="L130" s="55">
        <f>SUM(J130:K130)</f>
        <v>2690</v>
      </c>
      <c r="M130" s="60">
        <v>30</v>
      </c>
      <c r="N130" s="381" t="s">
        <v>21</v>
      </c>
      <c r="O130" s="60" t="s">
        <v>66</v>
      </c>
      <c r="P130" s="95" t="s">
        <v>179</v>
      </c>
      <c r="Q130" s="106" t="s">
        <v>180</v>
      </c>
    </row>
  </sheetData>
  <mergeCells count="64">
    <mergeCell ref="P57:P60"/>
    <mergeCell ref="P61:P64"/>
    <mergeCell ref="B11:B12"/>
    <mergeCell ref="C11:C12"/>
    <mergeCell ref="B61:B62"/>
    <mergeCell ref="P39:R39"/>
    <mergeCell ref="B15:B16"/>
    <mergeCell ref="C15:C16"/>
    <mergeCell ref="B17:B18"/>
    <mergeCell ref="C17:C18"/>
    <mergeCell ref="B36:B37"/>
    <mergeCell ref="C36:C37"/>
    <mergeCell ref="P36:R37"/>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P75:P76"/>
    <mergeCell ref="B80:T83"/>
    <mergeCell ref="B67:B68"/>
    <mergeCell ref="B69:Q69"/>
    <mergeCell ref="B71:B72"/>
    <mergeCell ref="B73:Q73"/>
    <mergeCell ref="C74:D74"/>
    <mergeCell ref="P67:P68"/>
    <mergeCell ref="P71:P72"/>
    <mergeCell ref="C66:D66"/>
    <mergeCell ref="B63:B64"/>
    <mergeCell ref="C63:C64"/>
    <mergeCell ref="B65:Q65"/>
    <mergeCell ref="C70:D70"/>
    <mergeCell ref="B125:Q125"/>
    <mergeCell ref="C126:D126"/>
    <mergeCell ref="Q93:S93"/>
    <mergeCell ref="B92:S92"/>
    <mergeCell ref="C93:D93"/>
    <mergeCell ref="B129:B130"/>
    <mergeCell ref="C129:C130"/>
    <mergeCell ref="B127:B128"/>
    <mergeCell ref="C127:C128"/>
    <mergeCell ref="B20:R20"/>
    <mergeCell ref="B21:R24"/>
    <mergeCell ref="B114:B115"/>
    <mergeCell ref="C114:C115"/>
    <mergeCell ref="B94:B95"/>
    <mergeCell ref="C94:C95"/>
    <mergeCell ref="Q94:S95"/>
    <mergeCell ref="B98:T101"/>
    <mergeCell ref="B112:Q112"/>
    <mergeCell ref="C113:D113"/>
    <mergeCell ref="B75:B76"/>
    <mergeCell ref="C75:C76"/>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36"/>
  <sheetViews>
    <sheetView tabSelected="1" topLeftCell="A72" zoomScaleNormal="100" zoomScaleSheetLayoutView="100" workbookViewId="0">
      <selection activeCell="I88" sqref="I88"/>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9" width="8.88671875" style="19" hidden="1" customWidth="1"/>
    <col min="20" max="16384" width="9.109375" style="19"/>
  </cols>
  <sheetData>
    <row r="8" spans="2:18" x14ac:dyDescent="0.3">
      <c r="B8" s="130"/>
      <c r="C8" s="130"/>
      <c r="D8" s="329"/>
      <c r="E8" s="329"/>
      <c r="F8" s="130"/>
      <c r="G8" s="130"/>
      <c r="H8" s="130"/>
      <c r="I8" s="130"/>
      <c r="J8" s="130"/>
      <c r="K8" s="130"/>
      <c r="L8" s="130"/>
      <c r="M8" s="130"/>
      <c r="N8" s="130"/>
      <c r="O8" s="130"/>
      <c r="P8" s="130"/>
      <c r="Q8" s="130"/>
      <c r="R8" s="130"/>
    </row>
    <row r="9" spans="2:18" ht="28.8" x14ac:dyDescent="0.55000000000000004">
      <c r="B9" s="334" t="s">
        <v>184</v>
      </c>
      <c r="C9" s="334"/>
      <c r="D9" s="334"/>
      <c r="E9" s="334"/>
      <c r="F9" s="334"/>
      <c r="G9" s="334"/>
      <c r="H9" s="334"/>
      <c r="I9" s="334"/>
      <c r="J9" s="334"/>
      <c r="K9" s="334"/>
      <c r="L9" s="334"/>
      <c r="M9" s="334"/>
      <c r="N9" s="334"/>
      <c r="O9" s="334"/>
      <c r="P9" s="334"/>
    </row>
    <row r="10" spans="2:18" ht="28.8" x14ac:dyDescent="0.3">
      <c r="B10" s="131" t="s">
        <v>1</v>
      </c>
      <c r="C10" s="330" t="s">
        <v>2</v>
      </c>
      <c r="D10" s="331"/>
      <c r="E10" s="12" t="s">
        <v>3</v>
      </c>
      <c r="F10" s="12" t="s">
        <v>4</v>
      </c>
      <c r="G10" s="13" t="s">
        <v>5</v>
      </c>
      <c r="H10" s="12" t="s">
        <v>185</v>
      </c>
      <c r="I10" s="13" t="s">
        <v>186</v>
      </c>
      <c r="J10" s="13" t="s">
        <v>8</v>
      </c>
      <c r="K10" s="13" t="s">
        <v>9</v>
      </c>
      <c r="L10" s="13" t="s">
        <v>10</v>
      </c>
      <c r="M10" s="13" t="s">
        <v>11</v>
      </c>
      <c r="N10" s="12" t="s">
        <v>12</v>
      </c>
      <c r="O10" s="12" t="s">
        <v>13</v>
      </c>
      <c r="P10" s="14" t="s">
        <v>14</v>
      </c>
      <c r="Q10" s="130"/>
    </row>
    <row r="11" spans="2:18" x14ac:dyDescent="0.3">
      <c r="B11" s="332" t="s">
        <v>187</v>
      </c>
      <c r="C11" s="332" t="s">
        <v>188</v>
      </c>
      <c r="D11" s="42" t="s">
        <v>18</v>
      </c>
      <c r="E11" s="39">
        <f>(2105+265)+500</f>
        <v>2870</v>
      </c>
      <c r="F11" s="39">
        <v>175</v>
      </c>
      <c r="G11" s="39">
        <v>85</v>
      </c>
      <c r="H11" s="39">
        <v>175</v>
      </c>
      <c r="I11" s="39">
        <v>75</v>
      </c>
      <c r="J11" s="39">
        <v>150</v>
      </c>
      <c r="K11" s="69">
        <f t="shared" ref="K11:K16" si="0">SUM(E11:J11)</f>
        <v>3530</v>
      </c>
      <c r="L11" s="39">
        <v>200</v>
      </c>
      <c r="M11" s="69">
        <f>K11+L11</f>
        <v>3730</v>
      </c>
      <c r="N11" s="42" t="s">
        <v>189</v>
      </c>
      <c r="O11" s="378" t="s">
        <v>21</v>
      </c>
      <c r="P11" s="46" t="s">
        <v>25</v>
      </c>
      <c r="Q11" s="130"/>
    </row>
    <row r="12" spans="2:18" x14ac:dyDescent="0.3">
      <c r="B12" s="333"/>
      <c r="C12" s="333"/>
      <c r="D12" s="42" t="s">
        <v>24</v>
      </c>
      <c r="E12" s="39">
        <f>(3000+530)+650</f>
        <v>4180</v>
      </c>
      <c r="F12" s="39">
        <v>235</v>
      </c>
      <c r="G12" s="39">
        <v>85</v>
      </c>
      <c r="H12" s="39">
        <v>175</v>
      </c>
      <c r="I12" s="39">
        <v>150</v>
      </c>
      <c r="J12" s="39">
        <v>300</v>
      </c>
      <c r="K12" s="69">
        <f t="shared" si="0"/>
        <v>5125</v>
      </c>
      <c r="L12" s="39">
        <v>200</v>
      </c>
      <c r="M12" s="69">
        <f t="shared" ref="M12:M16" si="1">K12+L12</f>
        <v>5325</v>
      </c>
      <c r="N12" s="42" t="s">
        <v>189</v>
      </c>
      <c r="O12" s="378" t="s">
        <v>21</v>
      </c>
      <c r="P12" s="70" t="s">
        <v>25</v>
      </c>
      <c r="Q12" s="130"/>
    </row>
    <row r="13" spans="2:18" x14ac:dyDescent="0.3">
      <c r="B13" s="332" t="s">
        <v>190</v>
      </c>
      <c r="C13" s="332" t="s">
        <v>188</v>
      </c>
      <c r="D13" s="42" t="s">
        <v>18</v>
      </c>
      <c r="E13" s="39">
        <f>(2450+265)+500</f>
        <v>3215</v>
      </c>
      <c r="F13" s="39">
        <v>175</v>
      </c>
      <c r="G13" s="39">
        <v>85</v>
      </c>
      <c r="H13" s="39">
        <v>175</v>
      </c>
      <c r="I13" s="39">
        <v>75</v>
      </c>
      <c r="J13" s="39">
        <v>150</v>
      </c>
      <c r="K13" s="69">
        <f t="shared" si="0"/>
        <v>3875</v>
      </c>
      <c r="L13" s="39">
        <v>200</v>
      </c>
      <c r="M13" s="69">
        <f t="shared" si="1"/>
        <v>4075</v>
      </c>
      <c r="N13" s="42" t="s">
        <v>191</v>
      </c>
      <c r="O13" s="378" t="s">
        <v>21</v>
      </c>
      <c r="P13" s="70" t="s">
        <v>25</v>
      </c>
      <c r="Q13" s="130"/>
    </row>
    <row r="14" spans="2:18" x14ac:dyDescent="0.3">
      <c r="B14" s="333"/>
      <c r="C14" s="333"/>
      <c r="D14" s="42" t="s">
        <v>24</v>
      </c>
      <c r="E14" s="39">
        <f>(3745+530)+600</f>
        <v>4875</v>
      </c>
      <c r="F14" s="39">
        <v>235</v>
      </c>
      <c r="G14" s="39">
        <v>85</v>
      </c>
      <c r="H14" s="39">
        <v>175</v>
      </c>
      <c r="I14" s="39">
        <v>150</v>
      </c>
      <c r="J14" s="39">
        <v>300</v>
      </c>
      <c r="K14" s="69">
        <f t="shared" si="0"/>
        <v>5820</v>
      </c>
      <c r="L14" s="39">
        <v>200</v>
      </c>
      <c r="M14" s="69">
        <f t="shared" si="1"/>
        <v>6020</v>
      </c>
      <c r="N14" s="42" t="s">
        <v>158</v>
      </c>
      <c r="O14" s="378" t="s">
        <v>21</v>
      </c>
      <c r="P14" s="70" t="s">
        <v>25</v>
      </c>
      <c r="Q14" s="130"/>
    </row>
    <row r="15" spans="2:18" x14ac:dyDescent="0.3">
      <c r="B15" s="332" t="s">
        <v>134</v>
      </c>
      <c r="C15" s="332" t="s">
        <v>188</v>
      </c>
      <c r="D15" s="42" t="s">
        <v>18</v>
      </c>
      <c r="E15" s="39">
        <f>(2450+265)+500</f>
        <v>3215</v>
      </c>
      <c r="F15" s="39">
        <v>175</v>
      </c>
      <c r="G15" s="39">
        <v>85</v>
      </c>
      <c r="H15" s="39">
        <v>175</v>
      </c>
      <c r="I15" s="39">
        <v>75</v>
      </c>
      <c r="J15" s="39">
        <v>150</v>
      </c>
      <c r="K15" s="69">
        <f t="shared" si="0"/>
        <v>3875</v>
      </c>
      <c r="L15" s="39">
        <v>200</v>
      </c>
      <c r="M15" s="69">
        <f t="shared" si="1"/>
        <v>4075</v>
      </c>
      <c r="N15" s="42" t="s">
        <v>158</v>
      </c>
      <c r="O15" s="378" t="s">
        <v>21</v>
      </c>
      <c r="P15" s="70" t="s">
        <v>25</v>
      </c>
      <c r="Q15" s="130"/>
    </row>
    <row r="16" spans="2:18" x14ac:dyDescent="0.3">
      <c r="B16" s="333"/>
      <c r="C16" s="333"/>
      <c r="D16" s="42" t="s">
        <v>24</v>
      </c>
      <c r="E16" s="39">
        <f>(3745+530)+600</f>
        <v>4875</v>
      </c>
      <c r="F16" s="39">
        <v>235</v>
      </c>
      <c r="G16" s="39">
        <v>85</v>
      </c>
      <c r="H16" s="39">
        <v>175</v>
      </c>
      <c r="I16" s="39">
        <v>150</v>
      </c>
      <c r="J16" s="39">
        <v>300</v>
      </c>
      <c r="K16" s="69">
        <f t="shared" si="0"/>
        <v>5820</v>
      </c>
      <c r="L16" s="39">
        <v>200</v>
      </c>
      <c r="M16" s="69">
        <f t="shared" si="1"/>
        <v>6020</v>
      </c>
      <c r="N16" s="42" t="s">
        <v>29</v>
      </c>
      <c r="O16" s="378" t="s">
        <v>21</v>
      </c>
      <c r="P16" s="70" t="s">
        <v>25</v>
      </c>
      <c r="Q16" s="130"/>
    </row>
    <row r="17" spans="2:17" x14ac:dyDescent="0.3">
      <c r="B17" s="28"/>
      <c r="C17" s="62"/>
      <c r="E17" s="68"/>
      <c r="F17" s="64"/>
      <c r="G17" s="64"/>
      <c r="H17" s="64"/>
      <c r="I17" s="65"/>
      <c r="J17" s="63"/>
      <c r="K17" s="65"/>
      <c r="L17" s="65"/>
      <c r="M17" s="66"/>
      <c r="N17" s="35"/>
    </row>
    <row r="18" spans="2:17" ht="15.6" x14ac:dyDescent="0.3">
      <c r="B18" s="338" t="s">
        <v>34</v>
      </c>
      <c r="C18" s="339"/>
      <c r="D18" s="339"/>
      <c r="E18" s="339"/>
      <c r="F18" s="339"/>
      <c r="G18" s="339"/>
      <c r="H18" s="339"/>
      <c r="I18" s="339"/>
      <c r="J18" s="339"/>
      <c r="K18" s="339"/>
      <c r="L18" s="339"/>
      <c r="M18" s="339"/>
      <c r="N18" s="339"/>
      <c r="O18" s="339"/>
      <c r="P18" s="340"/>
    </row>
    <row r="19" spans="2:17" ht="14.4" customHeight="1" x14ac:dyDescent="0.3">
      <c r="B19" s="228" t="s">
        <v>35</v>
      </c>
      <c r="C19" s="229"/>
      <c r="D19" s="229"/>
      <c r="E19" s="229"/>
      <c r="F19" s="229"/>
      <c r="G19" s="229"/>
      <c r="H19" s="229"/>
      <c r="I19" s="229"/>
      <c r="J19" s="229"/>
      <c r="K19" s="229"/>
      <c r="L19" s="229"/>
      <c r="M19" s="229"/>
      <c r="N19" s="229"/>
      <c r="O19" s="229"/>
      <c r="P19" s="230"/>
    </row>
    <row r="20" spans="2:17" x14ac:dyDescent="0.3">
      <c r="B20" s="231"/>
      <c r="C20" s="232"/>
      <c r="D20" s="232"/>
      <c r="E20" s="232"/>
      <c r="F20" s="232"/>
      <c r="G20" s="232"/>
      <c r="H20" s="232"/>
      <c r="I20" s="232"/>
      <c r="J20" s="232"/>
      <c r="K20" s="232"/>
      <c r="L20" s="232"/>
      <c r="M20" s="232"/>
      <c r="N20" s="232"/>
      <c r="O20" s="232"/>
      <c r="P20" s="233"/>
    </row>
    <row r="21" spans="2:17" x14ac:dyDescent="0.3">
      <c r="B21" s="231"/>
      <c r="C21" s="232"/>
      <c r="D21" s="232"/>
      <c r="E21" s="232"/>
      <c r="F21" s="232"/>
      <c r="G21" s="232"/>
      <c r="H21" s="232"/>
      <c r="I21" s="232"/>
      <c r="J21" s="232"/>
      <c r="K21" s="232"/>
      <c r="L21" s="232"/>
      <c r="M21" s="232"/>
      <c r="N21" s="232"/>
      <c r="O21" s="232"/>
      <c r="P21" s="233"/>
    </row>
    <row r="22" spans="2:17" x14ac:dyDescent="0.3">
      <c r="B22" s="234"/>
      <c r="C22" s="235"/>
      <c r="D22" s="235"/>
      <c r="E22" s="235"/>
      <c r="F22" s="235"/>
      <c r="G22" s="235"/>
      <c r="H22" s="235"/>
      <c r="I22" s="235"/>
      <c r="J22" s="235"/>
      <c r="K22" s="235"/>
      <c r="L22" s="235"/>
      <c r="M22" s="235"/>
      <c r="N22" s="235"/>
      <c r="O22" s="235"/>
      <c r="P22" s="236"/>
    </row>
    <row r="23" spans="2:17" x14ac:dyDescent="0.3">
      <c r="B23" s="28"/>
      <c r="C23" s="62"/>
      <c r="E23" s="68"/>
      <c r="F23" s="64"/>
      <c r="G23" s="64"/>
      <c r="H23" s="64"/>
      <c r="I23" s="65"/>
      <c r="J23" s="63"/>
      <c r="K23" s="65"/>
      <c r="L23" s="65"/>
      <c r="M23" s="66"/>
      <c r="N23" s="35"/>
    </row>
    <row r="24" spans="2:17" x14ac:dyDescent="0.3">
      <c r="B24" s="28"/>
      <c r="C24" s="62"/>
      <c r="D24" s="132"/>
      <c r="E24" s="68"/>
      <c r="F24" s="64"/>
      <c r="G24" s="64"/>
      <c r="H24" s="64"/>
      <c r="I24" s="65"/>
      <c r="J24" s="63"/>
      <c r="K24" s="65"/>
      <c r="L24" s="65"/>
      <c r="M24" s="66"/>
      <c r="N24" s="35"/>
    </row>
    <row r="25" spans="2:17" x14ac:dyDescent="0.3">
      <c r="B25" s="28"/>
      <c r="C25" s="62"/>
      <c r="E25" s="68"/>
      <c r="F25" s="64"/>
      <c r="G25" s="64"/>
      <c r="H25" s="64"/>
      <c r="I25" s="65"/>
      <c r="J25" s="63"/>
      <c r="K25" s="65"/>
      <c r="L25" s="65"/>
      <c r="M25" s="66"/>
      <c r="N25" s="35"/>
    </row>
    <row r="26" spans="2:17" x14ac:dyDescent="0.3">
      <c r="B26" s="28"/>
      <c r="C26" s="62"/>
      <c r="E26" s="68"/>
      <c r="F26" s="64"/>
      <c r="G26" s="64"/>
      <c r="H26" s="64"/>
      <c r="I26" s="65"/>
      <c r="J26" s="63"/>
      <c r="K26" s="65"/>
      <c r="L26" s="65"/>
      <c r="M26" s="66"/>
      <c r="N26" s="35"/>
    </row>
    <row r="27" spans="2:17" x14ac:dyDescent="0.3">
      <c r="B27" s="28"/>
      <c r="C27" s="62"/>
      <c r="E27" s="68"/>
      <c r="F27" s="64"/>
      <c r="G27" s="64"/>
      <c r="H27" s="64"/>
      <c r="I27" s="65"/>
      <c r="J27" s="63"/>
      <c r="K27" s="65"/>
      <c r="L27" s="65"/>
      <c r="M27" s="66"/>
      <c r="N27" s="35"/>
    </row>
    <row r="28" spans="2:17" x14ac:dyDescent="0.3">
      <c r="B28" s="28"/>
      <c r="C28" s="62"/>
      <c r="E28" s="68"/>
      <c r="F28" s="64"/>
      <c r="G28" s="64"/>
      <c r="H28" s="64"/>
      <c r="I28" s="65"/>
      <c r="J28" s="63"/>
      <c r="K28" s="65"/>
      <c r="L28" s="65"/>
      <c r="M28" s="66"/>
      <c r="N28" s="35"/>
    </row>
    <row r="29" spans="2:17" x14ac:dyDescent="0.3">
      <c r="B29" s="28"/>
      <c r="C29" s="62"/>
      <c r="E29" s="68"/>
      <c r="F29" s="64"/>
      <c r="G29" s="64"/>
      <c r="H29" s="64"/>
      <c r="I29" s="65"/>
      <c r="J29" s="63"/>
      <c r="K29" s="65"/>
      <c r="L29" s="65"/>
      <c r="M29" s="66"/>
      <c r="N29" s="35"/>
    </row>
    <row r="30" spans="2:17" x14ac:dyDescent="0.3">
      <c r="B30" s="28"/>
      <c r="C30" s="62"/>
      <c r="E30" s="68"/>
      <c r="F30" s="64"/>
      <c r="G30" s="64"/>
      <c r="H30" s="64"/>
      <c r="I30" s="65"/>
      <c r="J30" s="63"/>
      <c r="K30" s="65"/>
      <c r="L30" s="65"/>
      <c r="M30" s="66"/>
      <c r="N30" s="35"/>
    </row>
    <row r="31" spans="2:17" x14ac:dyDescent="0.3">
      <c r="B31" s="28"/>
      <c r="C31" s="62"/>
      <c r="E31" s="68"/>
      <c r="F31" s="64"/>
      <c r="G31" s="64"/>
      <c r="H31" s="64"/>
      <c r="I31" s="65"/>
      <c r="J31" s="63"/>
      <c r="K31" s="65"/>
      <c r="L31" s="65"/>
      <c r="M31" s="66"/>
      <c r="N31" s="35"/>
    </row>
    <row r="32" spans="2:17" ht="28.8" x14ac:dyDescent="0.55000000000000004">
      <c r="B32" s="335" t="s">
        <v>192</v>
      </c>
      <c r="C32" s="336"/>
      <c r="D32" s="336"/>
      <c r="E32" s="336"/>
      <c r="F32" s="336"/>
      <c r="G32" s="336"/>
      <c r="H32" s="336"/>
      <c r="I32" s="336"/>
      <c r="J32" s="336"/>
      <c r="K32" s="336"/>
      <c r="L32" s="336"/>
      <c r="M32" s="336"/>
      <c r="N32" s="336"/>
      <c r="O32" s="336"/>
      <c r="P32" s="336"/>
      <c r="Q32" s="337"/>
    </row>
    <row r="33" spans="2:19" ht="28.8" x14ac:dyDescent="0.3">
      <c r="B33" s="131" t="s">
        <v>1</v>
      </c>
      <c r="C33" s="341" t="s">
        <v>2</v>
      </c>
      <c r="D33" s="341"/>
      <c r="E33" s="131" t="s">
        <v>137</v>
      </c>
      <c r="F33" s="131" t="s">
        <v>138</v>
      </c>
      <c r="G33" s="11" t="s">
        <v>100</v>
      </c>
      <c r="H33" s="11" t="s">
        <v>193</v>
      </c>
      <c r="I33" s="11" t="s">
        <v>194</v>
      </c>
      <c r="J33" s="11" t="s">
        <v>9</v>
      </c>
      <c r="K33" s="11" t="s">
        <v>195</v>
      </c>
      <c r="L33" s="11" t="s">
        <v>11</v>
      </c>
      <c r="M33" s="131" t="s">
        <v>12</v>
      </c>
      <c r="N33" s="131" t="s">
        <v>13</v>
      </c>
      <c r="O33" s="131" t="s">
        <v>14</v>
      </c>
      <c r="P33" s="292" t="s">
        <v>38</v>
      </c>
      <c r="Q33" s="293"/>
      <c r="S33" s="125" t="s">
        <v>15</v>
      </c>
    </row>
    <row r="34" spans="2:19" ht="14.4" customHeight="1" x14ac:dyDescent="0.3">
      <c r="B34" s="346" t="s">
        <v>196</v>
      </c>
      <c r="C34" s="347" t="s">
        <v>188</v>
      </c>
      <c r="D34" s="41" t="s">
        <v>18</v>
      </c>
      <c r="E34" s="37">
        <v>4200</v>
      </c>
      <c r="F34" s="39">
        <v>175</v>
      </c>
      <c r="G34" s="39">
        <v>85</v>
      </c>
      <c r="H34" s="37">
        <v>175</v>
      </c>
      <c r="I34" s="37">
        <v>75</v>
      </c>
      <c r="J34" s="109">
        <f>SUM(E34:I34)</f>
        <v>4710</v>
      </c>
      <c r="K34" s="37">
        <v>200</v>
      </c>
      <c r="L34" s="109">
        <f t="shared" ref="L34:L38" si="2">J34+K34</f>
        <v>4910</v>
      </c>
      <c r="M34" s="110">
        <v>35</v>
      </c>
      <c r="N34" s="378" t="s">
        <v>21</v>
      </c>
      <c r="O34" s="41" t="s">
        <v>46</v>
      </c>
      <c r="P34" s="270" t="s">
        <v>197</v>
      </c>
      <c r="Q34" s="272"/>
      <c r="S34" s="54" t="s">
        <v>198</v>
      </c>
    </row>
    <row r="35" spans="2:19" x14ac:dyDescent="0.3">
      <c r="B35" s="346"/>
      <c r="C35" s="347"/>
      <c r="D35" s="41" t="s">
        <v>24</v>
      </c>
      <c r="E35" s="37">
        <v>4500</v>
      </c>
      <c r="F35" s="39">
        <v>235</v>
      </c>
      <c r="G35" s="39">
        <v>85</v>
      </c>
      <c r="H35" s="37">
        <v>175</v>
      </c>
      <c r="I35" s="37">
        <v>150</v>
      </c>
      <c r="J35" s="109">
        <f t="shared" ref="J35:J37" si="3">SUM(E35:I35)</f>
        <v>5145</v>
      </c>
      <c r="K35" s="37">
        <v>200</v>
      </c>
      <c r="L35" s="109">
        <f t="shared" si="2"/>
        <v>5345</v>
      </c>
      <c r="M35" s="110">
        <v>35</v>
      </c>
      <c r="N35" s="378" t="s">
        <v>21</v>
      </c>
      <c r="O35" s="41" t="s">
        <v>46</v>
      </c>
      <c r="P35" s="273"/>
      <c r="Q35" s="275"/>
      <c r="S35" s="54" t="s">
        <v>198</v>
      </c>
    </row>
    <row r="36" spans="2:19" hidden="1" x14ac:dyDescent="0.3">
      <c r="B36" s="348" t="s">
        <v>199</v>
      </c>
      <c r="C36" s="347" t="s">
        <v>188</v>
      </c>
      <c r="D36" s="41" t="s">
        <v>18</v>
      </c>
      <c r="E36" s="37">
        <v>5450</v>
      </c>
      <c r="F36" s="37">
        <v>100</v>
      </c>
      <c r="G36" s="37">
        <v>165</v>
      </c>
      <c r="H36" s="37">
        <v>175</v>
      </c>
      <c r="I36" s="37">
        <v>75</v>
      </c>
      <c r="J36" s="109">
        <f>SUM(E36:I36)</f>
        <v>5965</v>
      </c>
      <c r="K36" s="37">
        <v>200</v>
      </c>
      <c r="L36" s="109">
        <f t="shared" si="2"/>
        <v>6165</v>
      </c>
      <c r="M36" s="110">
        <v>28</v>
      </c>
      <c r="N36" s="378" t="s">
        <v>200</v>
      </c>
      <c r="O36" s="41" t="s">
        <v>201</v>
      </c>
      <c r="P36" s="273"/>
      <c r="Q36" s="275"/>
      <c r="S36" s="54" t="s">
        <v>202</v>
      </c>
    </row>
    <row r="37" spans="2:19" hidden="1" x14ac:dyDescent="0.3">
      <c r="B37" s="348"/>
      <c r="C37" s="347"/>
      <c r="D37" s="41" t="s">
        <v>24</v>
      </c>
      <c r="E37" s="37">
        <v>5850</v>
      </c>
      <c r="F37" s="37">
        <v>100</v>
      </c>
      <c r="G37" s="37">
        <v>165</v>
      </c>
      <c r="H37" s="37">
        <v>175</v>
      </c>
      <c r="I37" s="37">
        <v>150</v>
      </c>
      <c r="J37" s="109">
        <f t="shared" si="3"/>
        <v>6440</v>
      </c>
      <c r="K37" s="37">
        <v>200</v>
      </c>
      <c r="L37" s="109">
        <f t="shared" si="2"/>
        <v>6640</v>
      </c>
      <c r="M37" s="110">
        <v>28</v>
      </c>
      <c r="N37" s="378" t="s">
        <v>200</v>
      </c>
      <c r="O37" s="41" t="s">
        <v>201</v>
      </c>
      <c r="P37" s="273"/>
      <c r="Q37" s="275"/>
    </row>
    <row r="38" spans="2:19" x14ac:dyDescent="0.3">
      <c r="B38" s="123" t="s">
        <v>203</v>
      </c>
      <c r="C38" s="41" t="s">
        <v>188</v>
      </c>
      <c r="D38" s="41" t="s">
        <v>18</v>
      </c>
      <c r="E38" s="151">
        <v>3420</v>
      </c>
      <c r="F38" s="37" t="s">
        <v>204</v>
      </c>
      <c r="G38" s="37">
        <v>175</v>
      </c>
      <c r="H38" s="37">
        <v>175</v>
      </c>
      <c r="I38" s="37">
        <v>75</v>
      </c>
      <c r="J38" s="109">
        <f>SUM(E38:I38)</f>
        <v>3845</v>
      </c>
      <c r="K38" s="37">
        <v>200</v>
      </c>
      <c r="L38" s="109">
        <f t="shared" si="2"/>
        <v>4045</v>
      </c>
      <c r="M38" s="110">
        <v>35</v>
      </c>
      <c r="N38" s="378" t="s">
        <v>21</v>
      </c>
      <c r="O38" s="41" t="s">
        <v>46</v>
      </c>
      <c r="P38" s="310"/>
      <c r="Q38" s="311"/>
      <c r="S38" s="54" t="s">
        <v>147</v>
      </c>
    </row>
    <row r="39" spans="2:19" x14ac:dyDescent="0.3">
      <c r="B39" s="74"/>
      <c r="C39" s="130"/>
      <c r="D39" s="130"/>
      <c r="E39" s="44"/>
      <c r="F39" s="44"/>
      <c r="G39" s="44"/>
      <c r="H39" s="44"/>
      <c r="I39" s="44"/>
      <c r="J39" s="72"/>
      <c r="K39" s="44"/>
      <c r="L39" s="44"/>
      <c r="M39" s="72"/>
      <c r="N39" s="45"/>
      <c r="O39" s="73"/>
      <c r="P39" s="130"/>
    </row>
    <row r="40" spans="2:19" x14ac:dyDescent="0.3">
      <c r="B40" s="43"/>
      <c r="E40" s="44"/>
      <c r="F40" s="44"/>
      <c r="G40" s="44"/>
      <c r="H40" s="44"/>
      <c r="I40" s="65"/>
      <c r="J40" s="63"/>
      <c r="K40" s="65"/>
      <c r="L40" s="65"/>
      <c r="M40" s="130"/>
      <c r="N40" s="35"/>
      <c r="O40" s="130"/>
    </row>
    <row r="41" spans="2:19" ht="15.6" x14ac:dyDescent="0.3">
      <c r="B41" s="5" t="s">
        <v>34</v>
      </c>
      <c r="C41" s="6"/>
      <c r="D41" s="6"/>
      <c r="E41" s="6"/>
      <c r="F41" s="6"/>
      <c r="G41" s="6"/>
      <c r="H41" s="6"/>
      <c r="I41" s="6"/>
      <c r="J41" s="6"/>
      <c r="K41" s="6"/>
      <c r="L41" s="6"/>
      <c r="M41" s="6"/>
      <c r="N41" s="6"/>
      <c r="O41" s="6"/>
      <c r="P41" s="7"/>
    </row>
    <row r="42" spans="2:19" x14ac:dyDescent="0.3">
      <c r="B42" s="258" t="s">
        <v>35</v>
      </c>
      <c r="C42" s="278"/>
      <c r="D42" s="278"/>
      <c r="E42" s="278"/>
      <c r="F42" s="278"/>
      <c r="G42" s="278"/>
      <c r="H42" s="278"/>
      <c r="I42" s="278"/>
      <c r="J42" s="278"/>
      <c r="K42" s="278"/>
      <c r="L42" s="278"/>
      <c r="M42" s="278"/>
      <c r="N42" s="278"/>
      <c r="O42" s="278"/>
      <c r="P42" s="279"/>
    </row>
    <row r="43" spans="2:19" x14ac:dyDescent="0.3">
      <c r="B43" s="258"/>
      <c r="C43" s="278"/>
      <c r="D43" s="278"/>
      <c r="E43" s="278"/>
      <c r="F43" s="278"/>
      <c r="G43" s="278"/>
      <c r="H43" s="278"/>
      <c r="I43" s="278"/>
      <c r="J43" s="278"/>
      <c r="K43" s="278"/>
      <c r="L43" s="278"/>
      <c r="M43" s="278"/>
      <c r="N43" s="278"/>
      <c r="O43" s="278"/>
      <c r="P43" s="279"/>
    </row>
    <row r="44" spans="2:19" x14ac:dyDescent="0.3">
      <c r="B44" s="258"/>
      <c r="C44" s="278"/>
      <c r="D44" s="278"/>
      <c r="E44" s="278"/>
      <c r="F44" s="278"/>
      <c r="G44" s="278"/>
      <c r="H44" s="278"/>
      <c r="I44" s="278"/>
      <c r="J44" s="278"/>
      <c r="K44" s="278"/>
      <c r="L44" s="278"/>
      <c r="M44" s="278"/>
      <c r="N44" s="278"/>
      <c r="O44" s="278"/>
      <c r="P44" s="279"/>
    </row>
    <row r="45" spans="2:19" x14ac:dyDescent="0.3">
      <c r="B45" s="259"/>
      <c r="C45" s="280"/>
      <c r="D45" s="280"/>
      <c r="E45" s="280"/>
      <c r="F45" s="280"/>
      <c r="G45" s="280"/>
      <c r="H45" s="280"/>
      <c r="I45" s="280"/>
      <c r="J45" s="280"/>
      <c r="K45" s="280"/>
      <c r="L45" s="280"/>
      <c r="M45" s="280"/>
      <c r="N45" s="280"/>
      <c r="O45" s="280"/>
      <c r="P45" s="281"/>
    </row>
    <row r="46" spans="2:19" x14ac:dyDescent="0.3">
      <c r="B46" s="43"/>
      <c r="E46" s="44"/>
      <c r="F46" s="44"/>
      <c r="G46" s="44"/>
      <c r="H46" s="44"/>
      <c r="I46" s="65"/>
      <c r="J46" s="63"/>
      <c r="K46" s="65"/>
      <c r="L46" s="65"/>
      <c r="M46" s="130"/>
      <c r="N46" s="35"/>
      <c r="O46" s="130"/>
    </row>
    <row r="47" spans="2:19" x14ac:dyDescent="0.3">
      <c r="B47" s="43"/>
      <c r="E47" s="44"/>
      <c r="F47" s="44"/>
      <c r="G47" s="44"/>
      <c r="H47" s="44"/>
      <c r="I47" s="65"/>
      <c r="J47" s="63"/>
      <c r="K47" s="65"/>
      <c r="L47" s="65"/>
      <c r="M47" s="130"/>
      <c r="N47" s="35"/>
      <c r="O47" s="130"/>
    </row>
    <row r="48" spans="2:19" x14ac:dyDescent="0.3">
      <c r="B48" s="43"/>
      <c r="E48" s="44"/>
      <c r="F48" s="44"/>
      <c r="G48" s="44"/>
      <c r="H48" s="44"/>
      <c r="I48" s="65"/>
      <c r="J48" s="63"/>
      <c r="K48" s="65"/>
      <c r="L48" s="65"/>
      <c r="M48" s="130"/>
      <c r="N48" s="35"/>
      <c r="O48" s="130"/>
    </row>
    <row r="49" spans="2:19" x14ac:dyDescent="0.3">
      <c r="B49" s="43"/>
      <c r="E49" s="44"/>
      <c r="F49" s="44"/>
      <c r="G49" s="44"/>
      <c r="H49" s="44"/>
      <c r="I49" s="65"/>
      <c r="J49" s="63"/>
      <c r="K49" s="65"/>
      <c r="L49" s="65"/>
      <c r="M49" s="130"/>
      <c r="N49" s="35"/>
      <c r="O49" s="130"/>
    </row>
    <row r="50" spans="2:19" x14ac:dyDescent="0.3">
      <c r="B50" s="43"/>
      <c r="E50" s="44"/>
      <c r="F50" s="44"/>
      <c r="G50" s="44"/>
      <c r="H50" s="44"/>
      <c r="I50" s="65"/>
      <c r="J50" s="63"/>
      <c r="K50" s="65"/>
      <c r="L50" s="65"/>
      <c r="M50" s="130"/>
      <c r="N50" s="35"/>
      <c r="O50" s="130"/>
    </row>
    <row r="51" spans="2:19" x14ac:dyDescent="0.3">
      <c r="B51" s="43"/>
      <c r="E51" s="44"/>
      <c r="F51" s="44"/>
      <c r="G51" s="44"/>
      <c r="H51" s="44"/>
      <c r="I51" s="65"/>
      <c r="J51" s="63"/>
      <c r="K51" s="65"/>
      <c r="L51" s="65"/>
      <c r="M51" s="130"/>
      <c r="N51" s="35"/>
      <c r="O51" s="130"/>
    </row>
    <row r="52" spans="2:19" x14ac:dyDescent="0.3">
      <c r="B52" s="43"/>
      <c r="E52" s="44"/>
      <c r="F52" s="44"/>
      <c r="G52" s="44"/>
      <c r="H52" s="44"/>
      <c r="I52" s="65"/>
      <c r="J52" s="63"/>
      <c r="K52" s="65"/>
      <c r="L52" s="65"/>
      <c r="M52" s="130"/>
      <c r="N52" s="35"/>
      <c r="O52" s="130"/>
    </row>
    <row r="53" spans="2:19" ht="15" thickBot="1" x14ac:dyDescent="0.35">
      <c r="B53" s="43"/>
      <c r="E53" s="44"/>
      <c r="F53" s="44"/>
      <c r="G53" s="44"/>
      <c r="H53" s="44"/>
      <c r="I53" s="65"/>
      <c r="J53" s="63"/>
      <c r="K53" s="65"/>
      <c r="L53" s="65"/>
      <c r="M53" s="130"/>
      <c r="N53" s="35"/>
      <c r="O53" s="130"/>
    </row>
    <row r="54" spans="2:19" ht="28.8" x14ac:dyDescent="0.55000000000000004">
      <c r="B54" s="343" t="s">
        <v>205</v>
      </c>
      <c r="C54" s="344"/>
      <c r="D54" s="344"/>
      <c r="E54" s="344"/>
      <c r="F54" s="344"/>
      <c r="G54" s="344"/>
      <c r="H54" s="344"/>
      <c r="I54" s="344"/>
      <c r="J54" s="344"/>
      <c r="K54" s="344"/>
      <c r="L54" s="344"/>
      <c r="M54" s="344"/>
      <c r="N54" s="344"/>
      <c r="O54" s="344"/>
      <c r="P54" s="344"/>
      <c r="Q54" s="345"/>
    </row>
    <row r="55" spans="2:19" ht="28.8" x14ac:dyDescent="0.3">
      <c r="B55" s="99" t="s">
        <v>1</v>
      </c>
      <c r="C55" s="242" t="s">
        <v>2</v>
      </c>
      <c r="D55" s="242"/>
      <c r="E55" s="124" t="s">
        <v>3</v>
      </c>
      <c r="F55" s="124" t="s">
        <v>4</v>
      </c>
      <c r="G55" s="124" t="s">
        <v>193</v>
      </c>
      <c r="H55" s="124" t="s">
        <v>125</v>
      </c>
      <c r="I55" s="3" t="s">
        <v>194</v>
      </c>
      <c r="J55" s="3" t="s">
        <v>52</v>
      </c>
      <c r="K55" s="3" t="s">
        <v>9</v>
      </c>
      <c r="L55" s="3" t="s">
        <v>10</v>
      </c>
      <c r="M55" s="3" t="s">
        <v>11</v>
      </c>
      <c r="N55" s="3" t="s">
        <v>12</v>
      </c>
      <c r="O55" s="124" t="s">
        <v>13</v>
      </c>
      <c r="P55" s="124" t="s">
        <v>14</v>
      </c>
      <c r="Q55" s="125" t="s">
        <v>152</v>
      </c>
      <c r="S55" s="125" t="s">
        <v>15</v>
      </c>
    </row>
    <row r="56" spans="2:19" ht="28.8" hidden="1" x14ac:dyDescent="0.3">
      <c r="B56" s="277" t="s">
        <v>206</v>
      </c>
      <c r="C56" s="342" t="s">
        <v>188</v>
      </c>
      <c r="D56" s="54" t="s">
        <v>18</v>
      </c>
      <c r="E56" s="84">
        <v>9950</v>
      </c>
      <c r="F56" s="57">
        <v>200</v>
      </c>
      <c r="G56" s="55">
        <v>175</v>
      </c>
      <c r="H56" s="55">
        <v>275</v>
      </c>
      <c r="I56" s="55">
        <v>75</v>
      </c>
      <c r="J56" s="55">
        <v>50</v>
      </c>
      <c r="K56" s="59">
        <f t="shared" ref="K56:K59" si="4">SUM(E56:J56)</f>
        <v>10725</v>
      </c>
      <c r="L56" s="57">
        <v>200</v>
      </c>
      <c r="M56" s="59">
        <f t="shared" ref="M56:M57" si="5">SUM(J56:L56)</f>
        <v>10975</v>
      </c>
      <c r="N56" s="60" t="s">
        <v>167</v>
      </c>
      <c r="O56" s="144" t="s">
        <v>207</v>
      </c>
      <c r="P56" s="54" t="s">
        <v>74</v>
      </c>
      <c r="Q56" s="113" t="s">
        <v>208</v>
      </c>
      <c r="S56" s="54" t="s">
        <v>209</v>
      </c>
    </row>
    <row r="57" spans="2:19" ht="28.8" hidden="1" x14ac:dyDescent="0.3">
      <c r="B57" s="277"/>
      <c r="C57" s="342"/>
      <c r="D57" s="54" t="s">
        <v>24</v>
      </c>
      <c r="E57" s="84">
        <v>10000</v>
      </c>
      <c r="F57" s="57">
        <v>200</v>
      </c>
      <c r="G57" s="55">
        <v>175</v>
      </c>
      <c r="H57" s="55">
        <v>275</v>
      </c>
      <c r="I57" s="55">
        <v>150</v>
      </c>
      <c r="J57" s="55">
        <v>50</v>
      </c>
      <c r="K57" s="59">
        <f t="shared" si="4"/>
        <v>10850</v>
      </c>
      <c r="L57" s="57">
        <v>200</v>
      </c>
      <c r="M57" s="59">
        <f t="shared" si="5"/>
        <v>11100</v>
      </c>
      <c r="N57" s="60" t="s">
        <v>106</v>
      </c>
      <c r="O57" s="144" t="s">
        <v>207</v>
      </c>
      <c r="P57" s="54" t="s">
        <v>74</v>
      </c>
      <c r="Q57" s="113" t="s">
        <v>208</v>
      </c>
      <c r="S57" s="54" t="s">
        <v>209</v>
      </c>
    </row>
    <row r="58" spans="2:19" ht="40.950000000000003" customHeight="1" x14ac:dyDescent="0.3">
      <c r="B58" s="277" t="s">
        <v>210</v>
      </c>
      <c r="C58" s="342" t="s">
        <v>188</v>
      </c>
      <c r="D58" s="54" t="s">
        <v>18</v>
      </c>
      <c r="E58" s="84">
        <f>CEILING((((9100+40+115)*1.12))-150,50)</f>
        <v>10250</v>
      </c>
      <c r="F58" s="57">
        <v>160</v>
      </c>
      <c r="G58" s="55">
        <v>175</v>
      </c>
      <c r="H58" s="55">
        <v>215</v>
      </c>
      <c r="I58" s="55">
        <v>75</v>
      </c>
      <c r="J58" s="55">
        <v>50</v>
      </c>
      <c r="K58" s="59">
        <f t="shared" si="4"/>
        <v>10925</v>
      </c>
      <c r="L58" s="57">
        <v>200</v>
      </c>
      <c r="M58" s="153">
        <f>SUM(K58:L58)</f>
        <v>11125</v>
      </c>
      <c r="N58" s="60" t="s">
        <v>167</v>
      </c>
      <c r="O58" s="380" t="s">
        <v>65</v>
      </c>
      <c r="P58" s="54" t="s">
        <v>66</v>
      </c>
      <c r="Q58" s="113" t="s">
        <v>211</v>
      </c>
      <c r="S58" s="54" t="s">
        <v>202</v>
      </c>
    </row>
    <row r="59" spans="2:19" ht="42" customHeight="1" thickBot="1" x14ac:dyDescent="0.35">
      <c r="B59" s="277"/>
      <c r="C59" s="342"/>
      <c r="D59" s="54" t="s">
        <v>24</v>
      </c>
      <c r="E59" s="84">
        <f>CEILING((((9200+80+115)*1.12))-150,50)</f>
        <v>10400</v>
      </c>
      <c r="F59" s="57">
        <v>160</v>
      </c>
      <c r="G59" s="55">
        <v>175</v>
      </c>
      <c r="H59" s="55">
        <v>215</v>
      </c>
      <c r="I59" s="55">
        <v>150</v>
      </c>
      <c r="J59" s="55">
        <v>50</v>
      </c>
      <c r="K59" s="59">
        <f t="shared" si="4"/>
        <v>11150</v>
      </c>
      <c r="L59" s="57">
        <v>200</v>
      </c>
      <c r="M59" s="153">
        <f>SUM(K59:L59)</f>
        <v>11350</v>
      </c>
      <c r="N59" s="60" t="s">
        <v>167</v>
      </c>
      <c r="O59" s="380" t="s">
        <v>65</v>
      </c>
      <c r="P59" s="54" t="s">
        <v>66</v>
      </c>
      <c r="Q59" s="113" t="s">
        <v>211</v>
      </c>
      <c r="S59" s="54" t="s">
        <v>202</v>
      </c>
    </row>
    <row r="60" spans="2:19" ht="28.8" x14ac:dyDescent="0.55000000000000004">
      <c r="B60" s="343" t="s">
        <v>212</v>
      </c>
      <c r="C60" s="344"/>
      <c r="D60" s="344"/>
      <c r="E60" s="344"/>
      <c r="F60" s="344"/>
      <c r="G60" s="344"/>
      <c r="H60" s="344"/>
      <c r="I60" s="344"/>
      <c r="J60" s="344"/>
      <c r="K60" s="344"/>
      <c r="L60" s="344"/>
      <c r="M60" s="344"/>
      <c r="N60" s="344"/>
      <c r="O60" s="344"/>
      <c r="P60" s="344"/>
      <c r="Q60" s="345"/>
      <c r="S60" s="54"/>
    </row>
    <row r="61" spans="2:19" ht="28.8" x14ac:dyDescent="0.3">
      <c r="B61" s="99" t="s">
        <v>1</v>
      </c>
      <c r="C61" s="242" t="s">
        <v>2</v>
      </c>
      <c r="D61" s="242"/>
      <c r="E61" s="124" t="s">
        <v>3</v>
      </c>
      <c r="F61" s="124" t="s">
        <v>4</v>
      </c>
      <c r="G61" s="124" t="s">
        <v>193</v>
      </c>
      <c r="H61" s="124" t="s">
        <v>125</v>
      </c>
      <c r="I61" s="3" t="s">
        <v>194</v>
      </c>
      <c r="J61" s="3" t="s">
        <v>52</v>
      </c>
      <c r="K61" s="3" t="s">
        <v>9</v>
      </c>
      <c r="L61" s="3" t="s">
        <v>10</v>
      </c>
      <c r="M61" s="3" t="s">
        <v>11</v>
      </c>
      <c r="N61" s="3" t="s">
        <v>12</v>
      </c>
      <c r="O61" s="124" t="s">
        <v>13</v>
      </c>
      <c r="P61" s="124" t="s">
        <v>14</v>
      </c>
      <c r="Q61" s="125" t="s">
        <v>152</v>
      </c>
      <c r="S61" s="54"/>
    </row>
    <row r="62" spans="2:19" ht="28.95" customHeight="1" x14ac:dyDescent="0.3">
      <c r="B62" s="277" t="s">
        <v>81</v>
      </c>
      <c r="C62" s="342" t="s">
        <v>188</v>
      </c>
      <c r="D62" s="54" t="s">
        <v>18</v>
      </c>
      <c r="E62" s="84">
        <f>CEILING((((9600+40+115)*1.12))-150,50)</f>
        <v>10800</v>
      </c>
      <c r="F62" s="157">
        <v>130</v>
      </c>
      <c r="G62" s="158">
        <v>175</v>
      </c>
      <c r="H62" s="158">
        <v>275</v>
      </c>
      <c r="I62" s="158">
        <v>75</v>
      </c>
      <c r="J62" s="158">
        <v>50</v>
      </c>
      <c r="K62" s="153">
        <f t="shared" ref="K62:K63" si="6">SUM(E62:J62)</f>
        <v>11505</v>
      </c>
      <c r="L62" s="152">
        <v>200</v>
      </c>
      <c r="M62" s="153">
        <f>SUM(K62:L62)</f>
        <v>11705</v>
      </c>
      <c r="N62" s="154" t="s">
        <v>167</v>
      </c>
      <c r="O62" s="380" t="s">
        <v>65</v>
      </c>
      <c r="P62" s="54" t="s">
        <v>66</v>
      </c>
      <c r="Q62" s="352" t="s">
        <v>213</v>
      </c>
      <c r="S62" s="54" t="s">
        <v>214</v>
      </c>
    </row>
    <row r="63" spans="2:19" x14ac:dyDescent="0.3">
      <c r="B63" s="277"/>
      <c r="C63" s="342"/>
      <c r="D63" s="54" t="s">
        <v>24</v>
      </c>
      <c r="E63" s="84">
        <f>CEILING((((9700+80+115)*1.12))-150,50)</f>
        <v>10950</v>
      </c>
      <c r="F63" s="157">
        <v>160</v>
      </c>
      <c r="G63" s="158">
        <v>175</v>
      </c>
      <c r="H63" s="158">
        <v>275</v>
      </c>
      <c r="I63" s="158">
        <v>150</v>
      </c>
      <c r="J63" s="158">
        <v>50</v>
      </c>
      <c r="K63" s="153">
        <f t="shared" si="6"/>
        <v>11760</v>
      </c>
      <c r="L63" s="152">
        <v>200</v>
      </c>
      <c r="M63" s="153">
        <f>SUM(K63:L63)</f>
        <v>11960</v>
      </c>
      <c r="N63" s="154" t="s">
        <v>167</v>
      </c>
      <c r="O63" s="380" t="s">
        <v>65</v>
      </c>
      <c r="P63" s="54" t="s">
        <v>66</v>
      </c>
      <c r="Q63" s="353"/>
      <c r="S63" s="54" t="s">
        <v>214</v>
      </c>
    </row>
    <row r="64" spans="2:19" ht="28.8" x14ac:dyDescent="0.55000000000000004">
      <c r="B64" s="349" t="s">
        <v>215</v>
      </c>
      <c r="C64" s="336"/>
      <c r="D64" s="336"/>
      <c r="E64" s="336"/>
      <c r="F64" s="336"/>
      <c r="G64" s="336"/>
      <c r="H64" s="336"/>
      <c r="I64" s="336"/>
      <c r="J64" s="336"/>
      <c r="K64" s="336"/>
      <c r="L64" s="336"/>
      <c r="M64" s="336"/>
      <c r="N64" s="336"/>
      <c r="O64" s="336"/>
      <c r="P64" s="336"/>
      <c r="Q64" s="350"/>
      <c r="S64" s="54"/>
    </row>
    <row r="65" spans="2:19" ht="28.8" x14ac:dyDescent="0.3">
      <c r="B65" s="112" t="s">
        <v>1</v>
      </c>
      <c r="C65" s="246" t="s">
        <v>2</v>
      </c>
      <c r="D65" s="246"/>
      <c r="E65" s="8" t="s">
        <v>3</v>
      </c>
      <c r="F65" s="1" t="s">
        <v>4</v>
      </c>
      <c r="G65" s="9" t="s">
        <v>193</v>
      </c>
      <c r="H65" s="9" t="s">
        <v>125</v>
      </c>
      <c r="I65" s="3" t="s">
        <v>194</v>
      </c>
      <c r="J65" s="2" t="s">
        <v>52</v>
      </c>
      <c r="K65" s="2" t="s">
        <v>9</v>
      </c>
      <c r="L65" s="2" t="s">
        <v>10</v>
      </c>
      <c r="M65" s="2" t="s">
        <v>11</v>
      </c>
      <c r="N65" s="8" t="s">
        <v>12</v>
      </c>
      <c r="O65" s="9" t="s">
        <v>13</v>
      </c>
      <c r="P65" s="128" t="s">
        <v>14</v>
      </c>
      <c r="Q65" s="105" t="s">
        <v>152</v>
      </c>
      <c r="S65" s="54"/>
    </row>
    <row r="66" spans="2:19" ht="14.4" customHeight="1" x14ac:dyDescent="0.3">
      <c r="B66" s="351" t="s">
        <v>216</v>
      </c>
      <c r="C66" s="342" t="s">
        <v>188</v>
      </c>
      <c r="D66" s="54" t="s">
        <v>18</v>
      </c>
      <c r="E66" s="84">
        <f>CEILING((((9600+40+115)*1.12))-150,50)</f>
        <v>10800</v>
      </c>
      <c r="F66" s="157">
        <v>130</v>
      </c>
      <c r="G66" s="158">
        <v>175</v>
      </c>
      <c r="H66" s="158">
        <v>275</v>
      </c>
      <c r="I66" s="158">
        <v>75</v>
      </c>
      <c r="J66" s="158">
        <v>50</v>
      </c>
      <c r="K66" s="153">
        <f t="shared" ref="K66:K67" si="7">SUM(E66:J66)</f>
        <v>11505</v>
      </c>
      <c r="L66" s="152">
        <v>200</v>
      </c>
      <c r="M66" s="153">
        <f>SUM(K66:L66)</f>
        <v>11705</v>
      </c>
      <c r="N66" s="154" t="s">
        <v>167</v>
      </c>
      <c r="O66" s="196" t="s">
        <v>65</v>
      </c>
      <c r="P66" s="54" t="s">
        <v>66</v>
      </c>
      <c r="Q66" s="352" t="s">
        <v>213</v>
      </c>
      <c r="S66" s="54" t="s">
        <v>214</v>
      </c>
    </row>
    <row r="67" spans="2:19" x14ac:dyDescent="0.3">
      <c r="B67" s="351"/>
      <c r="C67" s="342"/>
      <c r="D67" s="54" t="s">
        <v>24</v>
      </c>
      <c r="E67" s="84">
        <f>CEILING((((9700+80+115)*1.12))-150,50)</f>
        <v>10950</v>
      </c>
      <c r="F67" s="157">
        <v>160</v>
      </c>
      <c r="G67" s="158">
        <v>175</v>
      </c>
      <c r="H67" s="158">
        <v>275</v>
      </c>
      <c r="I67" s="158">
        <v>150</v>
      </c>
      <c r="J67" s="158">
        <v>50</v>
      </c>
      <c r="K67" s="153">
        <f t="shared" si="7"/>
        <v>11760</v>
      </c>
      <c r="L67" s="152">
        <v>200</v>
      </c>
      <c r="M67" s="153">
        <f>SUM(K67:L67)</f>
        <v>11960</v>
      </c>
      <c r="N67" s="154" t="s">
        <v>167</v>
      </c>
      <c r="O67" s="196" t="s">
        <v>65</v>
      </c>
      <c r="P67" s="54" t="s">
        <v>66</v>
      </c>
      <c r="Q67" s="353"/>
      <c r="S67" s="54" t="s">
        <v>214</v>
      </c>
    </row>
    <row r="68" spans="2:19" ht="28.8" x14ac:dyDescent="0.55000000000000004">
      <c r="B68" s="349" t="s">
        <v>217</v>
      </c>
      <c r="C68" s="336"/>
      <c r="D68" s="336"/>
      <c r="E68" s="336"/>
      <c r="F68" s="336"/>
      <c r="G68" s="336"/>
      <c r="H68" s="336"/>
      <c r="I68" s="336"/>
      <c r="J68" s="336"/>
      <c r="K68" s="336"/>
      <c r="L68" s="336"/>
      <c r="M68" s="336"/>
      <c r="N68" s="336"/>
      <c r="O68" s="336"/>
      <c r="P68" s="336"/>
      <c r="Q68" s="350"/>
      <c r="S68" s="54"/>
    </row>
    <row r="69" spans="2:19" ht="28.8" x14ac:dyDescent="0.3">
      <c r="B69" s="112" t="s">
        <v>1</v>
      </c>
      <c r="C69" s="246" t="s">
        <v>2</v>
      </c>
      <c r="D69" s="246"/>
      <c r="E69" s="8" t="s">
        <v>3</v>
      </c>
      <c r="F69" s="1" t="s">
        <v>4</v>
      </c>
      <c r="G69" s="9" t="s">
        <v>193</v>
      </c>
      <c r="H69" s="9" t="s">
        <v>125</v>
      </c>
      <c r="I69" s="3" t="s">
        <v>194</v>
      </c>
      <c r="J69" s="2" t="s">
        <v>52</v>
      </c>
      <c r="K69" s="2" t="s">
        <v>9</v>
      </c>
      <c r="L69" s="2" t="s">
        <v>10</v>
      </c>
      <c r="M69" s="2" t="s">
        <v>11</v>
      </c>
      <c r="N69" s="8" t="s">
        <v>12</v>
      </c>
      <c r="O69" s="9" t="s">
        <v>13</v>
      </c>
      <c r="P69" s="128" t="s">
        <v>14</v>
      </c>
      <c r="Q69" s="105" t="s">
        <v>152</v>
      </c>
      <c r="S69" s="54"/>
    </row>
    <row r="70" spans="2:19" x14ac:dyDescent="0.3">
      <c r="B70" s="351" t="s">
        <v>218</v>
      </c>
      <c r="C70" s="342" t="s">
        <v>188</v>
      </c>
      <c r="D70" s="54" t="s">
        <v>18</v>
      </c>
      <c r="E70" s="84">
        <f>CEILING((((9600+40+115)*1.12))-150,50)</f>
        <v>10800</v>
      </c>
      <c r="F70" s="157">
        <v>130</v>
      </c>
      <c r="G70" s="158">
        <v>175</v>
      </c>
      <c r="H70" s="158">
        <v>275</v>
      </c>
      <c r="I70" s="158">
        <v>75</v>
      </c>
      <c r="J70" s="158">
        <v>50</v>
      </c>
      <c r="K70" s="153">
        <f t="shared" ref="K70:K71" si="8">SUM(E70:J70)</f>
        <v>11505</v>
      </c>
      <c r="L70" s="152">
        <v>200</v>
      </c>
      <c r="M70" s="153">
        <f>SUM(K70:L70)</f>
        <v>11705</v>
      </c>
      <c r="N70" s="154" t="s">
        <v>167</v>
      </c>
      <c r="O70" s="380" t="s">
        <v>65</v>
      </c>
      <c r="P70" s="54" t="s">
        <v>66</v>
      </c>
      <c r="Q70" s="354" t="s">
        <v>219</v>
      </c>
      <c r="S70" s="54" t="s">
        <v>214</v>
      </c>
    </row>
    <row r="71" spans="2:19" x14ac:dyDescent="0.3">
      <c r="B71" s="351"/>
      <c r="C71" s="342"/>
      <c r="D71" s="54" t="s">
        <v>24</v>
      </c>
      <c r="E71" s="84">
        <f>CEILING((((9700+80+115)*1.12))-150,50)</f>
        <v>10950</v>
      </c>
      <c r="F71" s="157">
        <v>160</v>
      </c>
      <c r="G71" s="158">
        <v>175</v>
      </c>
      <c r="H71" s="158">
        <v>275</v>
      </c>
      <c r="I71" s="158">
        <v>150</v>
      </c>
      <c r="J71" s="158">
        <v>50</v>
      </c>
      <c r="K71" s="153">
        <f t="shared" si="8"/>
        <v>11760</v>
      </c>
      <c r="L71" s="152">
        <v>200</v>
      </c>
      <c r="M71" s="153">
        <f>SUM(K71:L71)</f>
        <v>11960</v>
      </c>
      <c r="N71" s="154" t="s">
        <v>167</v>
      </c>
      <c r="O71" s="380" t="s">
        <v>65</v>
      </c>
      <c r="P71" s="54" t="s">
        <v>66</v>
      </c>
      <c r="Q71" s="355"/>
      <c r="S71" s="54" t="s">
        <v>214</v>
      </c>
    </row>
    <row r="72" spans="2:19" ht="28.8" x14ac:dyDescent="0.55000000000000004">
      <c r="B72" s="349" t="s">
        <v>220</v>
      </c>
      <c r="C72" s="336"/>
      <c r="D72" s="336"/>
      <c r="E72" s="336"/>
      <c r="F72" s="336"/>
      <c r="G72" s="336"/>
      <c r="H72" s="336"/>
      <c r="I72" s="336"/>
      <c r="J72" s="336"/>
      <c r="K72" s="336"/>
      <c r="L72" s="336"/>
      <c r="M72" s="336"/>
      <c r="N72" s="336"/>
      <c r="O72" s="336"/>
      <c r="P72" s="336"/>
      <c r="Q72" s="350"/>
      <c r="S72" s="54"/>
    </row>
    <row r="73" spans="2:19" ht="28.8" x14ac:dyDescent="0.3">
      <c r="B73" s="112" t="s">
        <v>1</v>
      </c>
      <c r="C73" s="246" t="s">
        <v>2</v>
      </c>
      <c r="D73" s="246"/>
      <c r="E73" s="8" t="s">
        <v>3</v>
      </c>
      <c r="F73" s="1" t="s">
        <v>4</v>
      </c>
      <c r="G73" s="9" t="s">
        <v>193</v>
      </c>
      <c r="H73" s="9" t="s">
        <v>125</v>
      </c>
      <c r="I73" s="3" t="s">
        <v>194</v>
      </c>
      <c r="J73" s="2" t="s">
        <v>52</v>
      </c>
      <c r="K73" s="2" t="s">
        <v>9</v>
      </c>
      <c r="L73" s="2" t="s">
        <v>10</v>
      </c>
      <c r="M73" s="2" t="s">
        <v>11</v>
      </c>
      <c r="N73" s="8" t="s">
        <v>12</v>
      </c>
      <c r="O73" s="9" t="s">
        <v>13</v>
      </c>
      <c r="P73" s="128" t="s">
        <v>14</v>
      </c>
      <c r="Q73" s="105" t="s">
        <v>152</v>
      </c>
      <c r="S73" s="54"/>
    </row>
    <row r="74" spans="2:19" ht="14.4" customHeight="1" x14ac:dyDescent="0.3">
      <c r="B74" s="277" t="s">
        <v>221</v>
      </c>
      <c r="C74" s="342" t="s">
        <v>188</v>
      </c>
      <c r="D74" s="54" t="s">
        <v>18</v>
      </c>
      <c r="E74" s="84">
        <f>CEILING((((9400+297+50+85)*1.12)- 85)-150,50)</f>
        <v>10800</v>
      </c>
      <c r="F74" s="157">
        <v>130</v>
      </c>
      <c r="G74" s="158">
        <v>175</v>
      </c>
      <c r="H74" s="158">
        <v>275</v>
      </c>
      <c r="I74" s="158">
        <v>75</v>
      </c>
      <c r="J74" s="158">
        <v>50</v>
      </c>
      <c r="K74" s="59">
        <f t="shared" ref="K74:K75" si="9">SUM(E74:J74)</f>
        <v>11505</v>
      </c>
      <c r="L74" s="57">
        <v>200</v>
      </c>
      <c r="M74" s="153">
        <f>SUM(K74:L74)</f>
        <v>11705</v>
      </c>
      <c r="N74" s="60" t="s">
        <v>167</v>
      </c>
      <c r="O74" s="380" t="s">
        <v>65</v>
      </c>
      <c r="P74" s="54" t="s">
        <v>60</v>
      </c>
      <c r="Q74" s="354" t="s">
        <v>219</v>
      </c>
      <c r="S74" s="54" t="s">
        <v>214</v>
      </c>
    </row>
    <row r="75" spans="2:19" x14ac:dyDescent="0.3">
      <c r="B75" s="277"/>
      <c r="C75" s="342"/>
      <c r="D75" s="54" t="s">
        <v>24</v>
      </c>
      <c r="E75" s="84">
        <f>CEILING((((9800+297+50+160)*1.12)- 160)-150,50)</f>
        <v>11250</v>
      </c>
      <c r="F75" s="157">
        <v>160</v>
      </c>
      <c r="G75" s="158">
        <v>175</v>
      </c>
      <c r="H75" s="158">
        <v>275</v>
      </c>
      <c r="I75" s="158">
        <v>150</v>
      </c>
      <c r="J75" s="158">
        <v>50</v>
      </c>
      <c r="K75" s="59">
        <f t="shared" si="9"/>
        <v>12060</v>
      </c>
      <c r="L75" s="57">
        <v>200</v>
      </c>
      <c r="M75" s="153">
        <f>SUM(K75:L75)</f>
        <v>12260</v>
      </c>
      <c r="N75" s="60" t="s">
        <v>167</v>
      </c>
      <c r="O75" s="380" t="s">
        <v>65</v>
      </c>
      <c r="P75" s="54" t="s">
        <v>60</v>
      </c>
      <c r="Q75" s="356"/>
      <c r="S75" s="54" t="s">
        <v>214</v>
      </c>
    </row>
    <row r="76" spans="2:19" ht="15" hidden="1" thickBot="1" x14ac:dyDescent="0.35">
      <c r="B76" s="143" t="s">
        <v>222</v>
      </c>
      <c r="C76" s="141" t="s">
        <v>188</v>
      </c>
      <c r="D76" s="54" t="s">
        <v>24</v>
      </c>
      <c r="E76" s="142">
        <v>6900</v>
      </c>
      <c r="F76" s="57">
        <v>235</v>
      </c>
      <c r="G76" s="55">
        <v>175</v>
      </c>
      <c r="H76" s="55">
        <v>215</v>
      </c>
      <c r="I76" s="55">
        <v>150</v>
      </c>
      <c r="J76" s="55">
        <v>50</v>
      </c>
      <c r="K76" s="59">
        <f t="shared" ref="K76" si="10">SUM(E76:J76)</f>
        <v>7725</v>
      </c>
      <c r="L76" s="57">
        <v>200</v>
      </c>
      <c r="M76" s="59">
        <f t="shared" ref="M76" si="11">SUM(J76:L76)</f>
        <v>7975</v>
      </c>
      <c r="N76" s="54" t="s">
        <v>223</v>
      </c>
      <c r="O76" s="25" t="s">
        <v>224</v>
      </c>
      <c r="P76" s="54" t="s">
        <v>225</v>
      </c>
      <c r="Q76" s="355"/>
      <c r="S76" s="54"/>
    </row>
    <row r="77" spans="2:19" ht="28.8" x14ac:dyDescent="0.55000000000000004">
      <c r="B77" s="349" t="s">
        <v>227</v>
      </c>
      <c r="C77" s="336"/>
      <c r="D77" s="336"/>
      <c r="E77" s="336"/>
      <c r="F77" s="336"/>
      <c r="G77" s="336"/>
      <c r="H77" s="336"/>
      <c r="I77" s="336"/>
      <c r="J77" s="336"/>
      <c r="K77" s="336"/>
      <c r="L77" s="336"/>
      <c r="M77" s="336"/>
      <c r="N77" s="334"/>
      <c r="O77" s="336"/>
      <c r="P77" s="336"/>
      <c r="Q77" s="350"/>
    </row>
    <row r="78" spans="2:19" ht="28.8" x14ac:dyDescent="0.3">
      <c r="B78" s="112" t="s">
        <v>1</v>
      </c>
      <c r="C78" s="246" t="s">
        <v>2</v>
      </c>
      <c r="D78" s="246"/>
      <c r="E78" s="8" t="s">
        <v>3</v>
      </c>
      <c r="F78" s="1" t="s">
        <v>4</v>
      </c>
      <c r="G78" s="9" t="s">
        <v>193</v>
      </c>
      <c r="H78" s="9" t="s">
        <v>125</v>
      </c>
      <c r="I78" s="3" t="s">
        <v>194</v>
      </c>
      <c r="J78" s="2" t="s">
        <v>52</v>
      </c>
      <c r="K78" s="2" t="s">
        <v>9</v>
      </c>
      <c r="L78" s="2" t="s">
        <v>10</v>
      </c>
      <c r="M78" s="2" t="s">
        <v>11</v>
      </c>
      <c r="N78" s="8" t="s">
        <v>12</v>
      </c>
      <c r="O78" s="9" t="s">
        <v>13</v>
      </c>
      <c r="P78" s="128" t="s">
        <v>14</v>
      </c>
      <c r="Q78" s="105" t="s">
        <v>152</v>
      </c>
    </row>
    <row r="79" spans="2:19" x14ac:dyDescent="0.3">
      <c r="B79" s="277" t="s">
        <v>228</v>
      </c>
      <c r="C79" s="342" t="s">
        <v>188</v>
      </c>
      <c r="D79" s="54" t="s">
        <v>18</v>
      </c>
      <c r="E79" s="84">
        <f>CEILING((((9600+40+115)*1.12))-150,50)</f>
        <v>10800</v>
      </c>
      <c r="F79" s="157">
        <v>130</v>
      </c>
      <c r="G79" s="158">
        <v>175</v>
      </c>
      <c r="H79" s="158">
        <v>275</v>
      </c>
      <c r="I79" s="158">
        <v>75</v>
      </c>
      <c r="J79" s="158">
        <v>50</v>
      </c>
      <c r="K79" s="153">
        <f t="shared" ref="K79:K80" si="12">SUM(E79:J79)</f>
        <v>11505</v>
      </c>
      <c r="L79" s="152">
        <v>200</v>
      </c>
      <c r="M79" s="153">
        <f>SUM(K79:L79)</f>
        <v>11705</v>
      </c>
      <c r="N79" s="154" t="s">
        <v>167</v>
      </c>
      <c r="O79" s="380" t="s">
        <v>65</v>
      </c>
      <c r="P79" s="54" t="s">
        <v>66</v>
      </c>
      <c r="Q79" s="354" t="s">
        <v>219</v>
      </c>
      <c r="S79" s="54" t="s">
        <v>214</v>
      </c>
    </row>
    <row r="80" spans="2:19" ht="15" thickBot="1" x14ac:dyDescent="0.35">
      <c r="B80" s="359"/>
      <c r="C80" s="358"/>
      <c r="D80" s="92" t="s">
        <v>24</v>
      </c>
      <c r="E80" s="84">
        <f>CEILING((((9700+80+115)*1.12))-150,50)</f>
        <v>10950</v>
      </c>
      <c r="F80" s="183">
        <v>160</v>
      </c>
      <c r="G80" s="184">
        <v>175</v>
      </c>
      <c r="H80" s="184">
        <v>275</v>
      </c>
      <c r="I80" s="184">
        <v>150</v>
      </c>
      <c r="J80" s="184">
        <v>50</v>
      </c>
      <c r="K80" s="185">
        <f t="shared" si="12"/>
        <v>11760</v>
      </c>
      <c r="L80" s="186">
        <v>200</v>
      </c>
      <c r="M80" s="185">
        <f>SUM(K80:L80)</f>
        <v>11960</v>
      </c>
      <c r="N80" s="187" t="s">
        <v>167</v>
      </c>
      <c r="O80" s="380" t="s">
        <v>65</v>
      </c>
      <c r="P80" s="92" t="s">
        <v>66</v>
      </c>
      <c r="Q80" s="357"/>
      <c r="S80" s="54" t="s">
        <v>214</v>
      </c>
    </row>
    <row r="81" spans="2:18" ht="15" thickBot="1" x14ac:dyDescent="0.35">
      <c r="B81" s="130"/>
      <c r="C81" s="130"/>
      <c r="D81" s="329" t="s">
        <v>229</v>
      </c>
      <c r="E81" s="329"/>
      <c r="F81" s="130"/>
      <c r="G81" s="130"/>
      <c r="H81" s="130"/>
      <c r="I81" s="130"/>
      <c r="J81" s="71"/>
      <c r="K81" s="130"/>
      <c r="L81" s="130"/>
      <c r="M81" s="71"/>
      <c r="N81" s="130"/>
      <c r="O81" s="130"/>
      <c r="P81" s="130"/>
      <c r="Q81" s="130"/>
      <c r="R81" s="130"/>
    </row>
    <row r="82" spans="2:18" ht="15.6" x14ac:dyDescent="0.3">
      <c r="B82" s="282" t="s">
        <v>34</v>
      </c>
      <c r="C82" s="283"/>
      <c r="D82" s="283"/>
      <c r="E82" s="283"/>
      <c r="F82" s="283"/>
      <c r="G82" s="283"/>
      <c r="H82" s="283"/>
      <c r="I82" s="283"/>
      <c r="J82" s="283"/>
      <c r="K82" s="283"/>
      <c r="L82" s="283"/>
      <c r="M82" s="283"/>
      <c r="N82" s="283"/>
      <c r="O82" s="283"/>
      <c r="P82" s="283"/>
      <c r="Q82" s="283"/>
      <c r="R82" s="284"/>
    </row>
    <row r="83" spans="2:18" x14ac:dyDescent="0.3">
      <c r="B83" s="285" t="s">
        <v>35</v>
      </c>
      <c r="C83" s="232"/>
      <c r="D83" s="232"/>
      <c r="E83" s="232"/>
      <c r="F83" s="232"/>
      <c r="G83" s="232"/>
      <c r="H83" s="232"/>
      <c r="I83" s="232"/>
      <c r="J83" s="232"/>
      <c r="K83" s="232"/>
      <c r="L83" s="232"/>
      <c r="M83" s="232"/>
      <c r="N83" s="232"/>
      <c r="O83" s="232"/>
      <c r="P83" s="232"/>
      <c r="Q83" s="232"/>
      <c r="R83" s="286"/>
    </row>
    <row r="84" spans="2:18" x14ac:dyDescent="0.3">
      <c r="B84" s="285"/>
      <c r="C84" s="232"/>
      <c r="D84" s="232"/>
      <c r="E84" s="232"/>
      <c r="F84" s="232"/>
      <c r="G84" s="232"/>
      <c r="H84" s="232"/>
      <c r="I84" s="232"/>
      <c r="J84" s="232"/>
      <c r="K84" s="232"/>
      <c r="L84" s="232"/>
      <c r="M84" s="232"/>
      <c r="N84" s="232"/>
      <c r="O84" s="232"/>
      <c r="P84" s="232"/>
      <c r="Q84" s="232"/>
      <c r="R84" s="286"/>
    </row>
    <row r="85" spans="2:18" x14ac:dyDescent="0.3">
      <c r="B85" s="285"/>
      <c r="C85" s="232"/>
      <c r="D85" s="232"/>
      <c r="E85" s="232"/>
      <c r="F85" s="232"/>
      <c r="G85" s="232"/>
      <c r="H85" s="232"/>
      <c r="I85" s="232"/>
      <c r="J85" s="232"/>
      <c r="K85" s="232"/>
      <c r="L85" s="232"/>
      <c r="M85" s="232"/>
      <c r="N85" s="232"/>
      <c r="O85" s="232"/>
      <c r="P85" s="232"/>
      <c r="Q85" s="232"/>
      <c r="R85" s="286"/>
    </row>
    <row r="86" spans="2:18" ht="15" thickBot="1" x14ac:dyDescent="0.35">
      <c r="B86" s="287"/>
      <c r="C86" s="288"/>
      <c r="D86" s="288"/>
      <c r="E86" s="288"/>
      <c r="F86" s="288"/>
      <c r="G86" s="288"/>
      <c r="H86" s="288"/>
      <c r="I86" s="288"/>
      <c r="J86" s="288"/>
      <c r="K86" s="288"/>
      <c r="L86" s="288"/>
      <c r="M86" s="288"/>
      <c r="N86" s="288"/>
      <c r="O86" s="288"/>
      <c r="P86" s="288"/>
      <c r="Q86" s="288"/>
      <c r="R86" s="289"/>
    </row>
    <row r="94" spans="2:18" ht="28.8" x14ac:dyDescent="0.3">
      <c r="B94" s="290" t="s">
        <v>230</v>
      </c>
      <c r="C94" s="290"/>
      <c r="D94" s="290"/>
      <c r="E94" s="290"/>
      <c r="F94" s="290"/>
      <c r="G94" s="290"/>
      <c r="H94" s="290"/>
      <c r="I94" s="290"/>
      <c r="J94" s="290"/>
      <c r="K94" s="290"/>
      <c r="L94" s="290"/>
      <c r="M94" s="290"/>
      <c r="N94" s="290"/>
      <c r="O94" s="290"/>
      <c r="P94" s="290"/>
      <c r="Q94" s="290"/>
      <c r="R94" s="290"/>
    </row>
    <row r="95" spans="2:18" ht="28.8" x14ac:dyDescent="0.3">
      <c r="B95" s="1" t="s">
        <v>1</v>
      </c>
      <c r="C95" s="246" t="s">
        <v>2</v>
      </c>
      <c r="D95" s="246"/>
      <c r="E95" s="131" t="s">
        <v>137</v>
      </c>
      <c r="F95" s="1" t="s">
        <v>4</v>
      </c>
      <c r="G95" s="9" t="s">
        <v>193</v>
      </c>
      <c r="H95" s="9" t="s">
        <v>125</v>
      </c>
      <c r="I95" s="2" t="s">
        <v>231</v>
      </c>
      <c r="J95" s="2" t="s">
        <v>9</v>
      </c>
      <c r="K95" s="2" t="s">
        <v>10</v>
      </c>
      <c r="L95" s="2" t="s">
        <v>11</v>
      </c>
      <c r="M95" s="8" t="s">
        <v>12</v>
      </c>
      <c r="N95" s="9" t="s">
        <v>13</v>
      </c>
      <c r="O95" s="9" t="s">
        <v>14</v>
      </c>
      <c r="P95" s="128" t="s">
        <v>129</v>
      </c>
      <c r="Q95" s="242" t="s">
        <v>38</v>
      </c>
      <c r="R95" s="242"/>
    </row>
    <row r="96" spans="2:18" x14ac:dyDescent="0.3">
      <c r="B96" s="238" t="s">
        <v>101</v>
      </c>
      <c r="C96" s="224" t="s">
        <v>188</v>
      </c>
      <c r="D96" s="54" t="s">
        <v>18</v>
      </c>
      <c r="E96" s="37">
        <v>1400</v>
      </c>
      <c r="F96" s="39">
        <v>175</v>
      </c>
      <c r="G96" s="55">
        <v>150</v>
      </c>
      <c r="H96" s="55">
        <v>175</v>
      </c>
      <c r="I96" s="55">
        <v>75</v>
      </c>
      <c r="J96" s="59">
        <f>SUM(E96:I96)</f>
        <v>1975</v>
      </c>
      <c r="K96" s="57">
        <v>200</v>
      </c>
      <c r="L96" s="59">
        <f>J96+K96</f>
        <v>2175</v>
      </c>
      <c r="M96" s="104" t="s">
        <v>174</v>
      </c>
      <c r="N96" s="380" t="s">
        <v>65</v>
      </c>
      <c r="O96" s="41" t="s">
        <v>46</v>
      </c>
      <c r="P96" s="54" t="s">
        <v>175</v>
      </c>
      <c r="Q96" s="239" t="s">
        <v>47</v>
      </c>
      <c r="R96" s="239"/>
    </row>
    <row r="97" spans="2:18" x14ac:dyDescent="0.3">
      <c r="B97" s="238"/>
      <c r="C97" s="224"/>
      <c r="D97" s="54" t="s">
        <v>24</v>
      </c>
      <c r="E97" s="37">
        <v>1800</v>
      </c>
      <c r="F97" s="39">
        <v>235</v>
      </c>
      <c r="G97" s="55">
        <v>150</v>
      </c>
      <c r="H97" s="55">
        <v>175</v>
      </c>
      <c r="I97" s="55">
        <v>75</v>
      </c>
      <c r="J97" s="59">
        <f>SUM(E97:I97)</f>
        <v>2435</v>
      </c>
      <c r="K97" s="57">
        <v>200</v>
      </c>
      <c r="L97" s="59">
        <f>J97+K97</f>
        <v>2635</v>
      </c>
      <c r="M97" s="104" t="s">
        <v>174</v>
      </c>
      <c r="N97" s="380" t="s">
        <v>65</v>
      </c>
      <c r="O97" s="41" t="s">
        <v>46</v>
      </c>
      <c r="P97" s="54" t="s">
        <v>175</v>
      </c>
      <c r="Q97" s="239"/>
      <c r="R97" s="239"/>
    </row>
    <row r="99" spans="2:18" ht="15.6" x14ac:dyDescent="0.3">
      <c r="B99" s="5" t="s">
        <v>34</v>
      </c>
      <c r="C99" s="6"/>
      <c r="D99" s="6"/>
      <c r="E99" s="6"/>
      <c r="F99" s="6"/>
      <c r="G99" s="6"/>
      <c r="H99" s="6"/>
      <c r="I99" s="6"/>
      <c r="J99" s="6"/>
      <c r="K99" s="6"/>
      <c r="L99" s="6"/>
      <c r="M99" s="6"/>
      <c r="N99" s="6"/>
      <c r="O99" s="6"/>
      <c r="P99" s="6"/>
      <c r="Q99" s="6"/>
      <c r="R99" s="6"/>
    </row>
    <row r="100" spans="2:18" x14ac:dyDescent="0.3">
      <c r="B100" s="240" t="s">
        <v>35</v>
      </c>
      <c r="C100" s="240"/>
      <c r="D100" s="240"/>
      <c r="E100" s="240"/>
      <c r="F100" s="240"/>
      <c r="G100" s="240"/>
      <c r="H100" s="240"/>
      <c r="I100" s="240"/>
      <c r="J100" s="240"/>
      <c r="K100" s="240"/>
      <c r="L100" s="240"/>
      <c r="M100" s="240"/>
      <c r="N100" s="240"/>
      <c r="O100" s="240"/>
      <c r="P100" s="240"/>
      <c r="Q100" s="240"/>
      <c r="R100" s="240"/>
    </row>
    <row r="101" spans="2:18" x14ac:dyDescent="0.3">
      <c r="B101" s="240"/>
      <c r="C101" s="240"/>
      <c r="D101" s="240"/>
      <c r="E101" s="240"/>
      <c r="F101" s="240"/>
      <c r="G101" s="240"/>
      <c r="H101" s="240"/>
      <c r="I101" s="240"/>
      <c r="J101" s="240"/>
      <c r="K101" s="240"/>
      <c r="L101" s="240"/>
      <c r="M101" s="240"/>
      <c r="N101" s="240"/>
      <c r="O101" s="240"/>
      <c r="P101" s="240"/>
      <c r="Q101" s="240"/>
      <c r="R101" s="240"/>
    </row>
    <row r="102" spans="2:18" x14ac:dyDescent="0.3">
      <c r="B102" s="240"/>
      <c r="C102" s="240"/>
      <c r="D102" s="240"/>
      <c r="E102" s="240"/>
      <c r="F102" s="240"/>
      <c r="G102" s="240"/>
      <c r="H102" s="240"/>
      <c r="I102" s="240"/>
      <c r="J102" s="240"/>
      <c r="K102" s="240"/>
      <c r="L102" s="240"/>
      <c r="M102" s="240"/>
      <c r="N102" s="240"/>
      <c r="O102" s="240"/>
      <c r="P102" s="240"/>
      <c r="Q102" s="240"/>
      <c r="R102" s="240"/>
    </row>
    <row r="103" spans="2:18" x14ac:dyDescent="0.3">
      <c r="B103" s="240"/>
      <c r="C103" s="240"/>
      <c r="D103" s="240"/>
      <c r="E103" s="240"/>
      <c r="F103" s="240"/>
      <c r="G103" s="240"/>
      <c r="H103" s="240"/>
      <c r="I103" s="240"/>
      <c r="J103" s="240"/>
      <c r="K103" s="240"/>
      <c r="L103" s="240"/>
      <c r="M103" s="240"/>
      <c r="N103" s="240"/>
      <c r="O103" s="240"/>
      <c r="P103" s="240"/>
      <c r="Q103" s="240"/>
      <c r="R103" s="240"/>
    </row>
    <row r="104" spans="2:18" x14ac:dyDescent="0.3">
      <c r="B104" s="126"/>
      <c r="C104" s="126"/>
      <c r="D104" s="126"/>
      <c r="E104" s="126"/>
      <c r="F104" s="126"/>
      <c r="G104" s="126"/>
      <c r="H104" s="126"/>
      <c r="I104" s="126"/>
      <c r="J104" s="126"/>
      <c r="K104" s="126"/>
      <c r="L104" s="126"/>
      <c r="M104" s="126"/>
      <c r="N104" s="126"/>
      <c r="O104" s="126"/>
      <c r="P104" s="126"/>
      <c r="Q104" s="126"/>
      <c r="R104" s="126"/>
    </row>
    <row r="105" spans="2:18" x14ac:dyDescent="0.3">
      <c r="B105" s="126"/>
      <c r="C105" s="126"/>
      <c r="D105" s="126"/>
      <c r="E105" s="126"/>
      <c r="F105" s="126"/>
      <c r="G105" s="126"/>
      <c r="H105" s="126"/>
      <c r="I105" s="126"/>
      <c r="J105" s="126"/>
      <c r="K105" s="126"/>
      <c r="L105" s="126"/>
      <c r="M105" s="126"/>
      <c r="N105" s="126"/>
      <c r="O105" s="126"/>
      <c r="P105" s="126"/>
      <c r="Q105" s="126"/>
      <c r="R105" s="126"/>
    </row>
    <row r="106" spans="2:18" hidden="1" x14ac:dyDescent="0.3"/>
    <row r="107" spans="2:18" hidden="1" x14ac:dyDescent="0.3"/>
    <row r="108" spans="2:18" hidden="1" x14ac:dyDescent="0.3"/>
    <row r="109" spans="2:18" hidden="1" x14ac:dyDescent="0.3"/>
    <row r="110" spans="2:18" hidden="1" x14ac:dyDescent="0.3"/>
    <row r="111" spans="2:18" hidden="1" x14ac:dyDescent="0.3"/>
    <row r="112" spans="2:18" ht="28.8" hidden="1" x14ac:dyDescent="0.55000000000000004">
      <c r="B112" s="349" t="s">
        <v>232</v>
      </c>
      <c r="C112" s="336"/>
      <c r="D112" s="336"/>
      <c r="E112" s="336"/>
      <c r="F112" s="336"/>
      <c r="G112" s="336"/>
      <c r="H112" s="336"/>
      <c r="I112" s="336"/>
      <c r="J112" s="336"/>
      <c r="K112" s="336"/>
      <c r="L112" s="336"/>
      <c r="M112" s="336"/>
      <c r="N112" s="336"/>
      <c r="O112" s="336"/>
      <c r="P112" s="336"/>
      <c r="Q112" s="350"/>
    </row>
    <row r="113" spans="2:18" ht="28.8" hidden="1" x14ac:dyDescent="0.3">
      <c r="B113" s="112" t="s">
        <v>1</v>
      </c>
      <c r="C113" s="246" t="s">
        <v>2</v>
      </c>
      <c r="D113" s="246"/>
      <c r="E113" s="8" t="s">
        <v>3</v>
      </c>
      <c r="F113" s="1" t="s">
        <v>4</v>
      </c>
      <c r="G113" s="9" t="s">
        <v>193</v>
      </c>
      <c r="H113" s="9" t="s">
        <v>125</v>
      </c>
      <c r="I113" s="2" t="s">
        <v>231</v>
      </c>
      <c r="J113" s="2" t="s">
        <v>52</v>
      </c>
      <c r="K113" s="2" t="s">
        <v>9</v>
      </c>
      <c r="L113" s="2" t="s">
        <v>10</v>
      </c>
      <c r="M113" s="2" t="s">
        <v>11</v>
      </c>
      <c r="N113" s="8" t="s">
        <v>12</v>
      </c>
      <c r="O113" s="9" t="s">
        <v>13</v>
      </c>
      <c r="P113" s="128" t="s">
        <v>14</v>
      </c>
      <c r="Q113" s="105" t="s">
        <v>152</v>
      </c>
    </row>
    <row r="114" spans="2:18" hidden="1" x14ac:dyDescent="0.3">
      <c r="B114" s="277" t="s">
        <v>233</v>
      </c>
      <c r="C114" s="342" t="s">
        <v>188</v>
      </c>
      <c r="D114" s="54" t="s">
        <v>18</v>
      </c>
      <c r="E114" s="84">
        <v>3685</v>
      </c>
      <c r="F114" s="57">
        <v>160</v>
      </c>
      <c r="G114" s="55">
        <v>175</v>
      </c>
      <c r="H114" s="55">
        <v>275</v>
      </c>
      <c r="I114" s="55">
        <v>75</v>
      </c>
      <c r="J114" s="55">
        <v>50</v>
      </c>
      <c r="K114" s="59">
        <f t="shared" ref="K114:K115" si="13">SUM(E114:J114)</f>
        <v>4420</v>
      </c>
      <c r="L114" s="57">
        <v>200</v>
      </c>
      <c r="M114" s="153">
        <f>SUM(K114:L114)</f>
        <v>4620</v>
      </c>
      <c r="N114" s="54" t="s">
        <v>226</v>
      </c>
      <c r="O114" s="192">
        <v>46207</v>
      </c>
      <c r="P114" s="54" t="s">
        <v>60</v>
      </c>
      <c r="Q114" s="113" t="s">
        <v>234</v>
      </c>
    </row>
    <row r="115" spans="2:18" hidden="1" x14ac:dyDescent="0.3">
      <c r="B115" s="277"/>
      <c r="C115" s="342"/>
      <c r="D115" s="54" t="s">
        <v>24</v>
      </c>
      <c r="E115" s="84">
        <v>5200</v>
      </c>
      <c r="F115" s="57">
        <v>230</v>
      </c>
      <c r="G115" s="55">
        <v>175</v>
      </c>
      <c r="H115" s="55">
        <v>275</v>
      </c>
      <c r="I115" s="55">
        <v>75</v>
      </c>
      <c r="J115" s="55">
        <v>50</v>
      </c>
      <c r="K115" s="59">
        <f t="shared" si="13"/>
        <v>6005</v>
      </c>
      <c r="L115" s="57">
        <v>200</v>
      </c>
      <c r="M115" s="153">
        <f>SUM(K115:L115)</f>
        <v>6205</v>
      </c>
      <c r="N115" s="54" t="s">
        <v>235</v>
      </c>
      <c r="O115" s="192">
        <v>46207</v>
      </c>
      <c r="P115" s="54" t="s">
        <v>60</v>
      </c>
      <c r="Q115" s="113" t="s">
        <v>234</v>
      </c>
    </row>
    <row r="116" spans="2:18" hidden="1" x14ac:dyDescent="0.3"/>
    <row r="117" spans="2:18" ht="15.6" hidden="1" x14ac:dyDescent="0.3">
      <c r="B117" s="5" t="s">
        <v>34</v>
      </c>
      <c r="C117" s="6"/>
      <c r="D117" s="6"/>
      <c r="E117" s="6"/>
      <c r="F117" s="6"/>
      <c r="G117" s="6"/>
      <c r="H117" s="6"/>
      <c r="I117" s="6"/>
      <c r="J117" s="6"/>
      <c r="K117" s="6"/>
      <c r="L117" s="6"/>
      <c r="M117" s="6"/>
      <c r="N117" s="6"/>
      <c r="O117" s="6"/>
      <c r="P117" s="6"/>
      <c r="Q117" s="6"/>
      <c r="R117" s="6"/>
    </row>
    <row r="118" spans="2:18" hidden="1" x14ac:dyDescent="0.3">
      <c r="B118" s="240" t="s">
        <v>35</v>
      </c>
      <c r="C118" s="240"/>
      <c r="D118" s="240"/>
      <c r="E118" s="240"/>
      <c r="F118" s="240"/>
      <c r="G118" s="240"/>
      <c r="H118" s="240"/>
      <c r="I118" s="240"/>
      <c r="J118" s="240"/>
      <c r="K118" s="240"/>
      <c r="L118" s="240"/>
      <c r="M118" s="240"/>
      <c r="N118" s="240"/>
      <c r="O118" s="240"/>
      <c r="P118" s="240"/>
      <c r="Q118" s="240"/>
      <c r="R118" s="240"/>
    </row>
    <row r="119" spans="2:18" hidden="1" x14ac:dyDescent="0.3">
      <c r="B119" s="240"/>
      <c r="C119" s="240"/>
      <c r="D119" s="240"/>
      <c r="E119" s="240"/>
      <c r="F119" s="240"/>
      <c r="G119" s="240"/>
      <c r="H119" s="240"/>
      <c r="I119" s="240"/>
      <c r="J119" s="240"/>
      <c r="K119" s="240"/>
      <c r="L119" s="240"/>
      <c r="M119" s="240"/>
      <c r="N119" s="240"/>
      <c r="O119" s="240"/>
      <c r="P119" s="240"/>
      <c r="Q119" s="240"/>
      <c r="R119" s="240"/>
    </row>
    <row r="120" spans="2:18" hidden="1" x14ac:dyDescent="0.3">
      <c r="B120" s="240"/>
      <c r="C120" s="240"/>
      <c r="D120" s="240"/>
      <c r="E120" s="240"/>
      <c r="F120" s="240"/>
      <c r="G120" s="240"/>
      <c r="H120" s="240"/>
      <c r="I120" s="240"/>
      <c r="J120" s="240"/>
      <c r="K120" s="240"/>
      <c r="L120" s="240"/>
      <c r="M120" s="240"/>
      <c r="N120" s="240"/>
      <c r="O120" s="240"/>
      <c r="P120" s="240"/>
      <c r="Q120" s="240"/>
      <c r="R120" s="240"/>
    </row>
    <row r="121" spans="2:18" hidden="1" x14ac:dyDescent="0.3">
      <c r="B121" s="240"/>
      <c r="C121" s="240"/>
      <c r="D121" s="240"/>
      <c r="E121" s="240"/>
      <c r="F121" s="240"/>
      <c r="G121" s="240"/>
      <c r="H121" s="240"/>
      <c r="I121" s="240"/>
      <c r="J121" s="240"/>
      <c r="K121" s="240"/>
      <c r="L121" s="240"/>
      <c r="M121" s="240"/>
      <c r="N121" s="240"/>
      <c r="O121" s="240"/>
      <c r="P121" s="240"/>
      <c r="Q121" s="240"/>
      <c r="R121" s="240"/>
    </row>
    <row r="122" spans="2:18" hidden="1" x14ac:dyDescent="0.3"/>
    <row r="123" spans="2:18" hidden="1" x14ac:dyDescent="0.3"/>
    <row r="124" spans="2:18" hidden="1" x14ac:dyDescent="0.3"/>
    <row r="125" spans="2:18" x14ac:dyDescent="0.3">
      <c r="C125" s="29"/>
    </row>
    <row r="126" spans="2:18" x14ac:dyDescent="0.3">
      <c r="C126" s="29"/>
    </row>
    <row r="127" spans="2:18" x14ac:dyDescent="0.3">
      <c r="C127" s="29"/>
    </row>
    <row r="128" spans="2:18" x14ac:dyDescent="0.3">
      <c r="C128" s="29"/>
    </row>
    <row r="129" spans="2:18" x14ac:dyDescent="0.3">
      <c r="C129" s="29"/>
    </row>
    <row r="130" spans="2:18" x14ac:dyDescent="0.3">
      <c r="C130" s="29"/>
    </row>
    <row r="131" spans="2:18" ht="28.8" x14ac:dyDescent="0.3">
      <c r="B131" s="250" t="s">
        <v>236</v>
      </c>
      <c r="C131" s="245"/>
      <c r="D131" s="245"/>
      <c r="E131" s="245"/>
      <c r="F131" s="245"/>
      <c r="G131" s="245"/>
      <c r="H131" s="245"/>
      <c r="I131" s="245"/>
      <c r="J131" s="245"/>
      <c r="K131" s="245"/>
      <c r="L131" s="245"/>
      <c r="M131" s="245"/>
      <c r="N131" s="245"/>
      <c r="O131" s="245"/>
      <c r="P131" s="245"/>
      <c r="Q131" s="245"/>
      <c r="R131" s="245"/>
    </row>
    <row r="132" spans="2:18" ht="28.8" x14ac:dyDescent="0.3">
      <c r="B132" s="99" t="s">
        <v>1</v>
      </c>
      <c r="C132" s="242" t="s">
        <v>2</v>
      </c>
      <c r="D132" s="242"/>
      <c r="E132" s="8" t="s">
        <v>3</v>
      </c>
      <c r="F132" s="124" t="s">
        <v>4</v>
      </c>
      <c r="G132" s="124" t="s">
        <v>193</v>
      </c>
      <c r="H132" s="124" t="s">
        <v>125</v>
      </c>
      <c r="I132" s="3" t="s">
        <v>194</v>
      </c>
      <c r="J132" s="3" t="s">
        <v>52</v>
      </c>
      <c r="K132" s="2" t="s">
        <v>9</v>
      </c>
      <c r="L132" s="2" t="s">
        <v>10</v>
      </c>
      <c r="M132" s="2" t="s">
        <v>11</v>
      </c>
      <c r="N132" s="8" t="s">
        <v>12</v>
      </c>
      <c r="O132" s="128" t="s">
        <v>13</v>
      </c>
      <c r="P132" s="128" t="s">
        <v>14</v>
      </c>
      <c r="Q132" s="128" t="s">
        <v>152</v>
      </c>
      <c r="R132" s="105" t="s">
        <v>153</v>
      </c>
    </row>
    <row r="133" spans="2:18" x14ac:dyDescent="0.3">
      <c r="B133" s="223" t="s">
        <v>110</v>
      </c>
      <c r="C133" s="224" t="s">
        <v>188</v>
      </c>
      <c r="D133" s="54" t="s">
        <v>18</v>
      </c>
      <c r="E133" s="55">
        <v>1900</v>
      </c>
      <c r="F133" s="55">
        <v>300</v>
      </c>
      <c r="G133" s="55">
        <v>175</v>
      </c>
      <c r="H133" s="55">
        <v>150</v>
      </c>
      <c r="I133" s="55">
        <v>75</v>
      </c>
      <c r="J133" s="55">
        <v>50</v>
      </c>
      <c r="K133" s="214">
        <f>SUM(E133:J133)</f>
        <v>2650</v>
      </c>
      <c r="L133" s="55">
        <v>200</v>
      </c>
      <c r="M133" s="214">
        <f>SUM(K133:L133)</f>
        <v>2850</v>
      </c>
      <c r="N133" s="60">
        <v>30</v>
      </c>
      <c r="O133" s="380" t="s">
        <v>65</v>
      </c>
      <c r="P133" s="54" t="s">
        <v>66</v>
      </c>
      <c r="Q133" s="95" t="s">
        <v>179</v>
      </c>
      <c r="R133" s="106" t="s">
        <v>180</v>
      </c>
    </row>
    <row r="134" spans="2:18" x14ac:dyDescent="0.3">
      <c r="B134" s="223"/>
      <c r="C134" s="224"/>
      <c r="D134" s="54" t="s">
        <v>24</v>
      </c>
      <c r="E134" s="55">
        <v>2100</v>
      </c>
      <c r="F134" s="55">
        <v>300</v>
      </c>
      <c r="G134" s="55">
        <v>175</v>
      </c>
      <c r="H134" s="55">
        <v>150</v>
      </c>
      <c r="I134" s="55">
        <v>150</v>
      </c>
      <c r="J134" s="55">
        <v>50</v>
      </c>
      <c r="K134" s="214">
        <f>SUM(E134:J134)</f>
        <v>2925</v>
      </c>
      <c r="L134" s="55">
        <v>200</v>
      </c>
      <c r="M134" s="214">
        <f>SUM(K134:L134)</f>
        <v>3125</v>
      </c>
      <c r="N134" s="60">
        <v>30</v>
      </c>
      <c r="O134" s="380" t="s">
        <v>65</v>
      </c>
      <c r="P134" s="54" t="s">
        <v>66</v>
      </c>
      <c r="Q134" s="95" t="s">
        <v>179</v>
      </c>
      <c r="R134" s="106" t="s">
        <v>180</v>
      </c>
    </row>
    <row r="135" spans="2:18" x14ac:dyDescent="0.3">
      <c r="B135" s="223" t="s">
        <v>183</v>
      </c>
      <c r="C135" s="224" t="s">
        <v>188</v>
      </c>
      <c r="D135" s="54" t="s">
        <v>18</v>
      </c>
      <c r="E135" s="55">
        <f>CEILING((((1300+130+10+72+20+100)*1.15)-100)-150,50)</f>
        <v>1650</v>
      </c>
      <c r="F135" s="55">
        <v>160</v>
      </c>
      <c r="G135" s="55">
        <v>175</v>
      </c>
      <c r="H135" s="55">
        <v>215</v>
      </c>
      <c r="I135" s="55">
        <v>75</v>
      </c>
      <c r="J135" s="55">
        <v>50</v>
      </c>
      <c r="K135" s="214">
        <f>SUM(E135:J135)</f>
        <v>2325</v>
      </c>
      <c r="L135" s="55">
        <v>200</v>
      </c>
      <c r="M135" s="214">
        <f>SUM(K135:L135)</f>
        <v>2525</v>
      </c>
      <c r="N135" s="60">
        <v>30</v>
      </c>
      <c r="O135" s="380" t="s">
        <v>65</v>
      </c>
      <c r="P135" s="54" t="s">
        <v>66</v>
      </c>
      <c r="Q135" s="95" t="s">
        <v>179</v>
      </c>
      <c r="R135" s="106" t="s">
        <v>180</v>
      </c>
    </row>
    <row r="136" spans="2:18" x14ac:dyDescent="0.3">
      <c r="B136" s="223"/>
      <c r="C136" s="224"/>
      <c r="D136" s="54" t="s">
        <v>24</v>
      </c>
      <c r="E136" s="55">
        <f>CEILING((((1400+260+10+72+20+150)*1.15)-150)-150,50)</f>
        <v>1900</v>
      </c>
      <c r="F136" s="55">
        <v>160</v>
      </c>
      <c r="G136" s="55">
        <v>175</v>
      </c>
      <c r="H136" s="55">
        <v>215</v>
      </c>
      <c r="I136" s="55">
        <v>150</v>
      </c>
      <c r="J136" s="55">
        <v>50</v>
      </c>
      <c r="K136" s="214">
        <f>SUM(E136:J136)</f>
        <v>2650</v>
      </c>
      <c r="L136" s="55">
        <v>200</v>
      </c>
      <c r="M136" s="214">
        <f>SUM(K136:L136)</f>
        <v>2850</v>
      </c>
      <c r="N136" s="60">
        <v>30</v>
      </c>
      <c r="O136" s="380" t="s">
        <v>65</v>
      </c>
      <c r="P136" s="54" t="s">
        <v>66</v>
      </c>
      <c r="Q136" s="95" t="s">
        <v>179</v>
      </c>
      <c r="R136" s="106" t="s">
        <v>180</v>
      </c>
    </row>
  </sheetData>
  <mergeCells count="72">
    <mergeCell ref="C132:D132"/>
    <mergeCell ref="B135:B136"/>
    <mergeCell ref="C135:C136"/>
    <mergeCell ref="C79:C80"/>
    <mergeCell ref="B94:R94"/>
    <mergeCell ref="D81:E81"/>
    <mergeCell ref="B82:R82"/>
    <mergeCell ref="B83:R86"/>
    <mergeCell ref="B77:Q77"/>
    <mergeCell ref="C78:D78"/>
    <mergeCell ref="B79:B80"/>
    <mergeCell ref="C95:D95"/>
    <mergeCell ref="Q95:R95"/>
    <mergeCell ref="B96:B97"/>
    <mergeCell ref="C96:C97"/>
    <mergeCell ref="Q96:R97"/>
    <mergeCell ref="Q79:Q80"/>
    <mergeCell ref="C113:D113"/>
    <mergeCell ref="B114:B115"/>
    <mergeCell ref="C114:C115"/>
    <mergeCell ref="B118:R121"/>
    <mergeCell ref="B100:R103"/>
    <mergeCell ref="B112:Q112"/>
    <mergeCell ref="C62:C63"/>
    <mergeCell ref="B64:Q64"/>
    <mergeCell ref="C65:D65"/>
    <mergeCell ref="B66:B67"/>
    <mergeCell ref="C66:C67"/>
    <mergeCell ref="Q66:Q67"/>
    <mergeCell ref="B70:B71"/>
    <mergeCell ref="C70:C71"/>
    <mergeCell ref="B62:B63"/>
    <mergeCell ref="Q70:Q71"/>
    <mergeCell ref="Q74:Q76"/>
    <mergeCell ref="B68:Q68"/>
    <mergeCell ref="C69:D69"/>
    <mergeCell ref="Q62:Q63"/>
    <mergeCell ref="C61:D61"/>
    <mergeCell ref="B72:Q72"/>
    <mergeCell ref="C73:D73"/>
    <mergeCell ref="B74:B75"/>
    <mergeCell ref="C74:C75"/>
    <mergeCell ref="B60:Q60"/>
    <mergeCell ref="B34:B35"/>
    <mergeCell ref="C34:C35"/>
    <mergeCell ref="B42:P45"/>
    <mergeCell ref="B54:Q54"/>
    <mergeCell ref="C55:D55"/>
    <mergeCell ref="B36:B37"/>
    <mergeCell ref="P34:Q38"/>
    <mergeCell ref="C36:C37"/>
    <mergeCell ref="C33:D33"/>
    <mergeCell ref="B56:B57"/>
    <mergeCell ref="C56:C57"/>
    <mergeCell ref="B58:B59"/>
    <mergeCell ref="C58:C59"/>
    <mergeCell ref="B133:B134"/>
    <mergeCell ref="C133:C134"/>
    <mergeCell ref="B131:R131"/>
    <mergeCell ref="D8:E8"/>
    <mergeCell ref="C10:D10"/>
    <mergeCell ref="B11:B12"/>
    <mergeCell ref="C11:C12"/>
    <mergeCell ref="B13:B14"/>
    <mergeCell ref="C13:C14"/>
    <mergeCell ref="B9:P9"/>
    <mergeCell ref="B15:B16"/>
    <mergeCell ref="C15:C16"/>
    <mergeCell ref="P33:Q33"/>
    <mergeCell ref="B32:Q32"/>
    <mergeCell ref="B18:P18"/>
    <mergeCell ref="B19:P22"/>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T40"/>
  <sheetViews>
    <sheetView topLeftCell="C16" zoomScale="90" zoomScaleNormal="90" zoomScaleSheetLayoutView="100" workbookViewId="0">
      <selection activeCell="M26" activeCellId="4" sqref="P10:P11 R14:R15 N18:N19 N22:N23 M26:M27"/>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3" bestFit="1" customWidth="1"/>
    <col min="7" max="8" width="13" style="53" customWidth="1"/>
    <col min="9" max="9" width="15.33203125" style="53"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9.6640625" style="19" customWidth="1"/>
    <col min="19" max="19" width="7.109375" style="19" bestFit="1" customWidth="1"/>
    <col min="20" max="20" width="15.5546875" style="19" hidden="1" customWidth="1"/>
    <col min="21" max="21" width="8.5546875" style="19" customWidth="1"/>
    <col min="22" max="23" width="9.109375" style="19"/>
    <col min="24" max="24" width="10.33203125" style="19" bestFit="1" customWidth="1"/>
    <col min="25" max="16384" width="9.109375" style="19"/>
  </cols>
  <sheetData>
    <row r="8" spans="2:19" ht="28.8" x14ac:dyDescent="0.3">
      <c r="B8" s="250" t="s">
        <v>237</v>
      </c>
      <c r="C8" s="245"/>
      <c r="D8" s="245"/>
      <c r="E8" s="245"/>
      <c r="F8" s="245"/>
      <c r="G8" s="245"/>
      <c r="H8" s="245"/>
      <c r="I8" s="245"/>
      <c r="J8" s="245"/>
      <c r="K8" s="245"/>
      <c r="L8" s="245"/>
      <c r="M8" s="245"/>
      <c r="N8" s="245"/>
      <c r="O8" s="245"/>
      <c r="P8" s="245"/>
      <c r="Q8" s="245"/>
    </row>
    <row r="9" spans="2:19" ht="57.6" x14ac:dyDescent="0.3">
      <c r="B9" s="99" t="s">
        <v>1</v>
      </c>
      <c r="C9" s="242" t="s">
        <v>2</v>
      </c>
      <c r="D9" s="242"/>
      <c r="E9" s="124" t="s">
        <v>3</v>
      </c>
      <c r="F9" s="3" t="s">
        <v>117</v>
      </c>
      <c r="G9" s="124" t="s">
        <v>118</v>
      </c>
      <c r="H9" s="124" t="s">
        <v>238</v>
      </c>
      <c r="I9" s="3" t="s">
        <v>120</v>
      </c>
      <c r="J9" s="3" t="s">
        <v>104</v>
      </c>
      <c r="K9" s="3" t="s">
        <v>119</v>
      </c>
      <c r="L9" s="3" t="s">
        <v>54</v>
      </c>
      <c r="M9" s="3" t="s">
        <v>10</v>
      </c>
      <c r="N9" s="3" t="s">
        <v>11</v>
      </c>
      <c r="O9" s="3" t="s">
        <v>12</v>
      </c>
      <c r="P9" s="124" t="s">
        <v>13</v>
      </c>
      <c r="Q9" s="124" t="s">
        <v>14</v>
      </c>
    </row>
    <row r="10" spans="2:19" x14ac:dyDescent="0.3">
      <c r="B10" s="237" t="s">
        <v>31</v>
      </c>
      <c r="C10" s="238" t="s">
        <v>122</v>
      </c>
      <c r="D10" s="120" t="s">
        <v>18</v>
      </c>
      <c r="E10" s="151">
        <v>450</v>
      </c>
      <c r="F10" s="151">
        <v>120</v>
      </c>
      <c r="G10" s="97">
        <v>340</v>
      </c>
      <c r="H10" s="97">
        <v>97.87</v>
      </c>
      <c r="I10" s="97">
        <v>160</v>
      </c>
      <c r="J10" s="97">
        <v>60</v>
      </c>
      <c r="K10" s="198">
        <v>62.7</v>
      </c>
      <c r="L10" s="98">
        <f>SUM(E10:K10)</f>
        <v>1290.57</v>
      </c>
      <c r="M10" s="97">
        <v>200</v>
      </c>
      <c r="N10" s="98">
        <f>L10+M10</f>
        <v>1490.57</v>
      </c>
      <c r="O10" s="190" t="s">
        <v>123</v>
      </c>
      <c r="P10" s="380" t="s">
        <v>21</v>
      </c>
      <c r="Q10" s="96" t="s">
        <v>74</v>
      </c>
    </row>
    <row r="11" spans="2:19" x14ac:dyDescent="0.3">
      <c r="B11" s="314"/>
      <c r="C11" s="238"/>
      <c r="D11" s="120" t="s">
        <v>24</v>
      </c>
      <c r="E11" s="151">
        <v>600</v>
      </c>
      <c r="F11" s="151">
        <v>240</v>
      </c>
      <c r="G11" s="97">
        <v>340</v>
      </c>
      <c r="H11" s="97">
        <v>97.87</v>
      </c>
      <c r="I11" s="97">
        <v>210</v>
      </c>
      <c r="J11" s="97">
        <v>60</v>
      </c>
      <c r="K11" s="198">
        <v>62.7</v>
      </c>
      <c r="L11" s="98">
        <f>SUM(E11:K11)</f>
        <v>1610.57</v>
      </c>
      <c r="M11" s="97">
        <v>200</v>
      </c>
      <c r="N11" s="98">
        <f>L11+M11</f>
        <v>1810.57</v>
      </c>
      <c r="O11" s="190" t="s">
        <v>123</v>
      </c>
      <c r="P11" s="380" t="s">
        <v>21</v>
      </c>
      <c r="Q11" s="96" t="s">
        <v>74</v>
      </c>
    </row>
    <row r="12" spans="2:19" ht="28.8" x14ac:dyDescent="0.3">
      <c r="B12" s="250" t="s">
        <v>239</v>
      </c>
      <c r="C12" s="245"/>
      <c r="D12" s="245"/>
      <c r="E12" s="245"/>
      <c r="F12" s="245"/>
      <c r="G12" s="245"/>
      <c r="H12" s="245"/>
      <c r="I12" s="245"/>
      <c r="J12" s="245"/>
      <c r="K12" s="245"/>
      <c r="L12" s="245"/>
      <c r="M12" s="245"/>
      <c r="N12" s="245"/>
      <c r="O12" s="245"/>
      <c r="P12" s="245"/>
      <c r="Q12" s="245"/>
      <c r="R12" s="245"/>
    </row>
    <row r="13" spans="2:19" ht="57.6" x14ac:dyDescent="0.3">
      <c r="B13" s="99" t="s">
        <v>1</v>
      </c>
      <c r="C13" s="242" t="s">
        <v>2</v>
      </c>
      <c r="D13" s="242"/>
      <c r="E13" s="124" t="s">
        <v>3</v>
      </c>
      <c r="F13" s="3" t="s">
        <v>117</v>
      </c>
      <c r="G13" s="124" t="s">
        <v>118</v>
      </c>
      <c r="H13" s="124" t="s">
        <v>238</v>
      </c>
      <c r="I13" s="3" t="s">
        <v>120</v>
      </c>
      <c r="J13" s="3" t="s">
        <v>104</v>
      </c>
      <c r="K13" s="3" t="s">
        <v>240</v>
      </c>
      <c r="L13" s="3" t="s">
        <v>241</v>
      </c>
      <c r="M13" s="3" t="s">
        <v>242</v>
      </c>
      <c r="N13" s="3" t="s">
        <v>54</v>
      </c>
      <c r="O13" s="3" t="s">
        <v>10</v>
      </c>
      <c r="P13" s="3" t="s">
        <v>11</v>
      </c>
      <c r="Q13" s="3" t="s">
        <v>12</v>
      </c>
      <c r="R13" s="124" t="s">
        <v>13</v>
      </c>
      <c r="S13" s="124" t="s">
        <v>14</v>
      </c>
    </row>
    <row r="14" spans="2:19" x14ac:dyDescent="0.3">
      <c r="B14" s="238" t="s">
        <v>31</v>
      </c>
      <c r="C14" s="238" t="s">
        <v>188</v>
      </c>
      <c r="D14" s="120" t="s">
        <v>18</v>
      </c>
      <c r="E14" s="122">
        <v>400</v>
      </c>
      <c r="F14" s="151">
        <v>160</v>
      </c>
      <c r="G14" s="97">
        <v>340</v>
      </c>
      <c r="H14" s="97">
        <v>97.87</v>
      </c>
      <c r="I14" s="97">
        <v>150</v>
      </c>
      <c r="J14" s="97">
        <v>50</v>
      </c>
      <c r="K14" s="97">
        <v>165</v>
      </c>
      <c r="L14" s="97">
        <v>175</v>
      </c>
      <c r="M14" s="198">
        <v>66</v>
      </c>
      <c r="N14" s="98">
        <f>SUM(E14:M14)</f>
        <v>1603.87</v>
      </c>
      <c r="O14" s="97">
        <v>200</v>
      </c>
      <c r="P14" s="98">
        <f>N14+O14</f>
        <v>1803.87</v>
      </c>
      <c r="Q14" s="190" t="s">
        <v>123</v>
      </c>
      <c r="R14" s="380" t="s">
        <v>21</v>
      </c>
      <c r="S14" s="96" t="s">
        <v>74</v>
      </c>
    </row>
    <row r="15" spans="2:19" x14ac:dyDescent="0.3">
      <c r="B15" s="238"/>
      <c r="C15" s="238"/>
      <c r="D15" s="120" t="s">
        <v>24</v>
      </c>
      <c r="E15" s="122">
        <v>550</v>
      </c>
      <c r="F15" s="151">
        <v>320</v>
      </c>
      <c r="G15" s="97">
        <v>340</v>
      </c>
      <c r="H15" s="97">
        <v>97.87</v>
      </c>
      <c r="I15" s="97">
        <v>200</v>
      </c>
      <c r="J15" s="97">
        <v>50</v>
      </c>
      <c r="K15" s="97">
        <v>165</v>
      </c>
      <c r="L15" s="97">
        <v>175</v>
      </c>
      <c r="M15" s="198">
        <v>66</v>
      </c>
      <c r="N15" s="98">
        <f>SUM(E15:M15)</f>
        <v>1963.87</v>
      </c>
      <c r="O15" s="97">
        <v>200</v>
      </c>
      <c r="P15" s="98">
        <f>N15+O15</f>
        <v>2163.87</v>
      </c>
      <c r="Q15" s="190" t="s">
        <v>123</v>
      </c>
      <c r="R15" s="380" t="s">
        <v>21</v>
      </c>
      <c r="S15" s="96" t="s">
        <v>74</v>
      </c>
    </row>
    <row r="16" spans="2:19" ht="28.8" x14ac:dyDescent="0.3">
      <c r="B16" s="362" t="s">
        <v>243</v>
      </c>
      <c r="C16" s="363"/>
      <c r="D16" s="363"/>
      <c r="E16" s="363"/>
      <c r="F16" s="363"/>
      <c r="G16" s="363"/>
      <c r="H16" s="363"/>
      <c r="I16" s="363"/>
      <c r="J16" s="363"/>
      <c r="K16" s="363"/>
      <c r="L16" s="363"/>
      <c r="M16" s="363"/>
      <c r="N16" s="363"/>
      <c r="O16" s="363"/>
      <c r="P16" s="363"/>
      <c r="Q16" s="363"/>
    </row>
    <row r="17" spans="2:17" ht="28.8" x14ac:dyDescent="0.3">
      <c r="B17" s="99" t="s">
        <v>1</v>
      </c>
      <c r="C17" s="242" t="s">
        <v>2</v>
      </c>
      <c r="D17" s="242"/>
      <c r="E17" s="124" t="s">
        <v>3</v>
      </c>
      <c r="F17" s="3" t="s">
        <v>117</v>
      </c>
      <c r="G17" s="124" t="s">
        <v>118</v>
      </c>
      <c r="H17" s="124" t="s">
        <v>238</v>
      </c>
      <c r="I17" s="3" t="s">
        <v>104</v>
      </c>
      <c r="J17" s="3" t="s">
        <v>54</v>
      </c>
      <c r="K17" s="3" t="s">
        <v>10</v>
      </c>
      <c r="L17" s="3" t="s">
        <v>11</v>
      </c>
      <c r="M17" s="3" t="s">
        <v>12</v>
      </c>
      <c r="N17" s="124" t="s">
        <v>13</v>
      </c>
      <c r="O17" s="124" t="s">
        <v>14</v>
      </c>
      <c r="P17" s="360" t="s">
        <v>152</v>
      </c>
      <c r="Q17" s="361"/>
    </row>
    <row r="18" spans="2:17" x14ac:dyDescent="0.3">
      <c r="B18" s="238" t="s">
        <v>31</v>
      </c>
      <c r="C18" s="238" t="s">
        <v>244</v>
      </c>
      <c r="D18" s="120" t="s">
        <v>18</v>
      </c>
      <c r="E18" s="122">
        <v>1000</v>
      </c>
      <c r="F18" s="97">
        <v>130</v>
      </c>
      <c r="G18" s="97">
        <v>355</v>
      </c>
      <c r="H18" s="97">
        <v>76.5</v>
      </c>
      <c r="I18" s="97">
        <v>50</v>
      </c>
      <c r="J18" s="98">
        <f>SUM(E18:I18)</f>
        <v>1611.5</v>
      </c>
      <c r="K18" s="97">
        <v>200</v>
      </c>
      <c r="L18" s="98">
        <f>J18+K18</f>
        <v>1811.5</v>
      </c>
      <c r="M18" s="190" t="s">
        <v>123</v>
      </c>
      <c r="N18" s="380" t="s">
        <v>21</v>
      </c>
      <c r="O18" s="96" t="s">
        <v>46</v>
      </c>
      <c r="P18" s="196" t="s">
        <v>245</v>
      </c>
      <c r="Q18" s="54"/>
    </row>
    <row r="19" spans="2:17" x14ac:dyDescent="0.3">
      <c r="B19" s="238"/>
      <c r="C19" s="238"/>
      <c r="D19" s="120" t="s">
        <v>24</v>
      </c>
      <c r="E19" s="122">
        <v>2000</v>
      </c>
      <c r="F19" s="97">
        <v>260</v>
      </c>
      <c r="G19" s="97">
        <v>355</v>
      </c>
      <c r="H19" s="97">
        <v>76.5</v>
      </c>
      <c r="I19" s="97">
        <v>50</v>
      </c>
      <c r="J19" s="98">
        <f>SUM(E19:I19)</f>
        <v>2741.5</v>
      </c>
      <c r="K19" s="97">
        <v>200</v>
      </c>
      <c r="L19" s="98">
        <f>J19+K19</f>
        <v>2941.5</v>
      </c>
      <c r="M19" s="190" t="s">
        <v>123</v>
      </c>
      <c r="N19" s="380" t="s">
        <v>21</v>
      </c>
      <c r="O19" s="96" t="s">
        <v>46</v>
      </c>
      <c r="P19" s="196" t="s">
        <v>245</v>
      </c>
      <c r="Q19" s="54"/>
    </row>
    <row r="20" spans="2:17" ht="28.8" x14ac:dyDescent="0.3">
      <c r="B20" s="362" t="s">
        <v>246</v>
      </c>
      <c r="C20" s="363"/>
      <c r="D20" s="363"/>
      <c r="E20" s="363"/>
      <c r="F20" s="363"/>
      <c r="G20" s="363"/>
      <c r="H20" s="363"/>
      <c r="I20" s="363"/>
      <c r="J20" s="363"/>
      <c r="K20" s="363"/>
      <c r="L20" s="363"/>
      <c r="M20" s="363"/>
      <c r="N20" s="363"/>
      <c r="O20" s="363"/>
      <c r="P20" s="363"/>
    </row>
    <row r="21" spans="2:17" ht="28.8" x14ac:dyDescent="0.3">
      <c r="B21" s="99" t="s">
        <v>1</v>
      </c>
      <c r="C21" s="242" t="s">
        <v>2</v>
      </c>
      <c r="D21" s="242"/>
      <c r="E21" s="124" t="s">
        <v>3</v>
      </c>
      <c r="F21" s="124" t="s">
        <v>118</v>
      </c>
      <c r="G21" s="124" t="s">
        <v>238</v>
      </c>
      <c r="H21" s="3" t="s">
        <v>104</v>
      </c>
      <c r="I21" s="3" t="s">
        <v>54</v>
      </c>
      <c r="J21" s="3" t="s">
        <v>10</v>
      </c>
      <c r="K21" s="3" t="s">
        <v>11</v>
      </c>
      <c r="L21" s="3" t="s">
        <v>12</v>
      </c>
      <c r="M21" s="124" t="s">
        <v>13</v>
      </c>
      <c r="N21" s="124" t="s">
        <v>14</v>
      </c>
      <c r="O21" s="124" t="s">
        <v>14</v>
      </c>
      <c r="P21" s="360" t="s">
        <v>152</v>
      </c>
      <c r="Q21" s="361"/>
    </row>
    <row r="22" spans="2:17" x14ac:dyDescent="0.3">
      <c r="B22" s="238" t="s">
        <v>17</v>
      </c>
      <c r="C22" s="238" t="s">
        <v>247</v>
      </c>
      <c r="D22" s="120" t="s">
        <v>18</v>
      </c>
      <c r="E22" s="147">
        <f>CEILING((((725)*1.5)-355),100)</f>
        <v>800</v>
      </c>
      <c r="F22" s="97">
        <v>355</v>
      </c>
      <c r="G22" s="97">
        <v>76.5</v>
      </c>
      <c r="H22" s="97">
        <v>50</v>
      </c>
      <c r="I22" s="98">
        <f>SUM(E22:H22)</f>
        <v>1281.5</v>
      </c>
      <c r="J22" s="97">
        <v>200</v>
      </c>
      <c r="K22" s="98">
        <f>I22+J22</f>
        <v>1481.5</v>
      </c>
      <c r="L22" s="190" t="s">
        <v>248</v>
      </c>
      <c r="M22" s="196" t="s">
        <v>249</v>
      </c>
      <c r="N22" s="380" t="s">
        <v>21</v>
      </c>
      <c r="O22" s="96" t="s">
        <v>46</v>
      </c>
      <c r="P22" s="196" t="s">
        <v>245</v>
      </c>
      <c r="Q22" s="54"/>
    </row>
    <row r="23" spans="2:17" x14ac:dyDescent="0.3">
      <c r="B23" s="238"/>
      <c r="C23" s="238"/>
      <c r="D23" s="120" t="s">
        <v>24</v>
      </c>
      <c r="E23" s="147">
        <f>CEILING((((1200)*1.4)-289),50)</f>
        <v>1400</v>
      </c>
      <c r="F23" s="97">
        <v>355</v>
      </c>
      <c r="G23" s="97">
        <v>76.5</v>
      </c>
      <c r="H23" s="97">
        <v>50</v>
      </c>
      <c r="I23" s="98">
        <f>SUM(E23:H23)</f>
        <v>1881.5</v>
      </c>
      <c r="J23" s="97">
        <v>200</v>
      </c>
      <c r="K23" s="98">
        <f>I23+J23</f>
        <v>2081.5</v>
      </c>
      <c r="L23" s="190" t="s">
        <v>248</v>
      </c>
      <c r="M23" s="196" t="s">
        <v>249</v>
      </c>
      <c r="N23" s="380" t="s">
        <v>21</v>
      </c>
      <c r="O23" s="96" t="s">
        <v>46</v>
      </c>
      <c r="P23" s="196" t="s">
        <v>245</v>
      </c>
      <c r="Q23" s="54"/>
    </row>
    <row r="24" spans="2:17" ht="28.8" x14ac:dyDescent="0.3">
      <c r="B24" s="250" t="s">
        <v>250</v>
      </c>
      <c r="C24" s="245"/>
      <c r="D24" s="245"/>
      <c r="E24" s="245"/>
      <c r="F24" s="245"/>
      <c r="G24" s="245"/>
      <c r="H24" s="245"/>
      <c r="I24" s="245"/>
      <c r="J24" s="245"/>
      <c r="K24" s="245"/>
      <c r="L24" s="245"/>
      <c r="M24" s="245"/>
      <c r="N24" s="245"/>
      <c r="O24" s="245"/>
      <c r="P24" s="62"/>
    </row>
    <row r="25" spans="2:17" ht="28.8" x14ac:dyDescent="0.3">
      <c r="B25" s="99" t="s">
        <v>1</v>
      </c>
      <c r="C25" s="242" t="s">
        <v>2</v>
      </c>
      <c r="D25" s="242"/>
      <c r="E25" s="124" t="s">
        <v>3</v>
      </c>
      <c r="F25" s="124" t="s">
        <v>118</v>
      </c>
      <c r="G25" s="124" t="s">
        <v>238</v>
      </c>
      <c r="H25" s="3" t="s">
        <v>104</v>
      </c>
      <c r="I25" s="3" t="s">
        <v>54</v>
      </c>
      <c r="J25" s="3" t="s">
        <v>10</v>
      </c>
      <c r="K25" s="3" t="s">
        <v>11</v>
      </c>
      <c r="L25" s="3" t="s">
        <v>12</v>
      </c>
      <c r="M25" s="124" t="s">
        <v>13</v>
      </c>
      <c r="N25" s="124" t="s">
        <v>14</v>
      </c>
      <c r="O25" s="124" t="s">
        <v>152</v>
      </c>
      <c r="P25" s="62"/>
    </row>
    <row r="26" spans="2:17" ht="15" customHeight="1" x14ac:dyDescent="0.3">
      <c r="B26" s="238" t="s">
        <v>17</v>
      </c>
      <c r="C26" s="238" t="s">
        <v>126</v>
      </c>
      <c r="D26" s="120" t="s">
        <v>18</v>
      </c>
      <c r="E26" s="147">
        <f>CEILING((((490+5+85+15)*1.15)),75)</f>
        <v>750</v>
      </c>
      <c r="F26" s="97">
        <v>259</v>
      </c>
      <c r="G26" s="97">
        <f>60*1.125</f>
        <v>67.5</v>
      </c>
      <c r="H26" s="97">
        <v>60</v>
      </c>
      <c r="I26" s="98">
        <f>SUM(E26:H26)</f>
        <v>1136.5</v>
      </c>
      <c r="J26" s="97">
        <v>200</v>
      </c>
      <c r="K26" s="98">
        <f>I26+J26</f>
        <v>1336.5</v>
      </c>
      <c r="L26" s="190" t="s">
        <v>27</v>
      </c>
      <c r="M26" s="380" t="s">
        <v>21</v>
      </c>
      <c r="N26" s="96" t="s">
        <v>201</v>
      </c>
      <c r="O26" s="196" t="s">
        <v>245</v>
      </c>
      <c r="P26" s="62"/>
    </row>
    <row r="27" spans="2:17" x14ac:dyDescent="0.3">
      <c r="B27" s="238"/>
      <c r="C27" s="238"/>
      <c r="D27" s="120" t="s">
        <v>24</v>
      </c>
      <c r="E27" s="147">
        <f>CEILING((((500+5+175+15)*1.15)),75)</f>
        <v>825</v>
      </c>
      <c r="F27" s="97">
        <v>259</v>
      </c>
      <c r="G27" s="97">
        <f>60*1.125</f>
        <v>67.5</v>
      </c>
      <c r="H27" s="97">
        <v>60</v>
      </c>
      <c r="I27" s="98">
        <f>SUM(E27:H27)</f>
        <v>1211.5</v>
      </c>
      <c r="J27" s="97">
        <v>200</v>
      </c>
      <c r="K27" s="98">
        <f>I27+J27</f>
        <v>1411.5</v>
      </c>
      <c r="L27" s="190" t="s">
        <v>27</v>
      </c>
      <c r="M27" s="380" t="s">
        <v>21</v>
      </c>
      <c r="N27" s="96" t="s">
        <v>201</v>
      </c>
      <c r="O27" s="196" t="s">
        <v>245</v>
      </c>
      <c r="P27" s="62"/>
    </row>
    <row r="29" spans="2:17" ht="15.6" x14ac:dyDescent="0.3">
      <c r="B29" s="5" t="s">
        <v>34</v>
      </c>
      <c r="C29" s="6"/>
      <c r="D29" s="6"/>
      <c r="E29" s="6"/>
      <c r="F29" s="6"/>
      <c r="G29" s="6"/>
      <c r="H29" s="6"/>
      <c r="I29" s="6"/>
      <c r="J29" s="6"/>
      <c r="K29" s="6"/>
      <c r="L29" s="6"/>
      <c r="M29" s="6"/>
      <c r="N29" s="6"/>
      <c r="O29" s="6"/>
      <c r="P29" s="6"/>
      <c r="Q29" s="7"/>
    </row>
    <row r="30" spans="2:17" x14ac:dyDescent="0.3">
      <c r="B30" s="258" t="s">
        <v>35</v>
      </c>
      <c r="C30" s="278"/>
      <c r="D30" s="278"/>
      <c r="E30" s="278"/>
      <c r="F30" s="278"/>
      <c r="G30" s="278"/>
      <c r="H30" s="278"/>
      <c r="I30" s="278"/>
      <c r="J30" s="278"/>
      <c r="K30" s="278"/>
      <c r="L30" s="278"/>
      <c r="M30" s="278"/>
      <c r="N30" s="278"/>
      <c r="O30" s="278"/>
      <c r="P30" s="278"/>
      <c r="Q30" s="279"/>
    </row>
    <row r="31" spans="2:17" x14ac:dyDescent="0.3">
      <c r="B31" s="258"/>
      <c r="C31" s="278"/>
      <c r="D31" s="278"/>
      <c r="E31" s="278"/>
      <c r="F31" s="278"/>
      <c r="G31" s="278"/>
      <c r="H31" s="278"/>
      <c r="I31" s="278"/>
      <c r="J31" s="278"/>
      <c r="K31" s="278"/>
      <c r="L31" s="278"/>
      <c r="M31" s="278"/>
      <c r="N31" s="278"/>
      <c r="O31" s="278"/>
      <c r="P31" s="278"/>
      <c r="Q31" s="279"/>
    </row>
    <row r="32" spans="2:17" x14ac:dyDescent="0.3">
      <c r="B32" s="258"/>
      <c r="C32" s="278"/>
      <c r="D32" s="278"/>
      <c r="E32" s="278"/>
      <c r="F32" s="278"/>
      <c r="G32" s="278"/>
      <c r="H32" s="278"/>
      <c r="I32" s="278"/>
      <c r="J32" s="278"/>
      <c r="K32" s="278"/>
      <c r="L32" s="278"/>
      <c r="M32" s="278"/>
      <c r="N32" s="278"/>
      <c r="O32" s="278"/>
      <c r="P32" s="278"/>
      <c r="Q32" s="279"/>
    </row>
    <row r="33" spans="2:17" x14ac:dyDescent="0.3">
      <c r="B33" s="259"/>
      <c r="C33" s="280"/>
      <c r="D33" s="280"/>
      <c r="E33" s="280"/>
      <c r="F33" s="280"/>
      <c r="G33" s="280"/>
      <c r="H33" s="280"/>
      <c r="I33" s="280"/>
      <c r="J33" s="280"/>
      <c r="K33" s="280"/>
      <c r="L33" s="280"/>
      <c r="M33" s="280"/>
      <c r="N33" s="280"/>
      <c r="O33" s="280"/>
      <c r="P33" s="280"/>
      <c r="Q33" s="281"/>
    </row>
    <row r="34" spans="2:17" x14ac:dyDescent="0.3">
      <c r="B34" s="36"/>
      <c r="C34" s="36"/>
      <c r="D34" s="36"/>
      <c r="E34" s="36"/>
      <c r="F34" s="36"/>
      <c r="G34" s="36"/>
      <c r="H34" s="36"/>
      <c r="I34" s="36"/>
      <c r="J34" s="36"/>
      <c r="K34" s="36"/>
      <c r="L34" s="36"/>
      <c r="M34" s="36"/>
      <c r="N34" s="36"/>
      <c r="O34" s="36"/>
      <c r="P34" s="36"/>
      <c r="Q34" s="36"/>
    </row>
    <row r="35" spans="2:17" x14ac:dyDescent="0.3">
      <c r="B35" s="36"/>
      <c r="C35" s="36"/>
      <c r="D35" s="36"/>
      <c r="E35" s="36"/>
      <c r="F35" s="36"/>
      <c r="G35" s="36"/>
      <c r="H35" s="36"/>
      <c r="I35" s="36"/>
      <c r="J35" s="36"/>
      <c r="K35" s="36"/>
      <c r="L35" s="36"/>
      <c r="M35" s="36"/>
      <c r="N35" s="36"/>
      <c r="O35" s="36"/>
      <c r="P35" s="36"/>
      <c r="Q35" s="36"/>
    </row>
    <row r="36" spans="2:17" x14ac:dyDescent="0.3">
      <c r="B36" s="36"/>
      <c r="C36" s="36"/>
      <c r="D36" s="36"/>
      <c r="E36" s="36"/>
      <c r="F36" s="36"/>
      <c r="G36" s="36"/>
      <c r="H36" s="36"/>
      <c r="I36" s="36"/>
      <c r="J36" s="36"/>
      <c r="K36" s="36"/>
      <c r="L36" s="36"/>
      <c r="M36" s="36"/>
      <c r="N36" s="36"/>
      <c r="O36" s="36"/>
      <c r="P36" s="36"/>
      <c r="Q36" s="36"/>
    </row>
    <row r="37" spans="2:17" x14ac:dyDescent="0.3">
      <c r="B37" s="36"/>
      <c r="C37" s="36"/>
      <c r="D37" s="36"/>
      <c r="E37" s="36"/>
      <c r="F37" s="36"/>
      <c r="G37" s="36"/>
      <c r="H37" s="36"/>
      <c r="I37" s="36"/>
      <c r="J37" s="36"/>
      <c r="K37" s="36"/>
      <c r="L37" s="36"/>
      <c r="M37" s="36"/>
      <c r="N37" s="36"/>
      <c r="O37" s="36"/>
      <c r="P37" s="36"/>
      <c r="Q37" s="36"/>
    </row>
    <row r="38" spans="2:17" x14ac:dyDescent="0.3">
      <c r="B38" s="36"/>
      <c r="C38" s="36"/>
      <c r="D38" s="36"/>
      <c r="E38" s="36"/>
      <c r="F38" s="36"/>
      <c r="G38" s="36"/>
      <c r="H38" s="36"/>
      <c r="I38" s="36"/>
      <c r="J38" s="36"/>
      <c r="K38" s="36"/>
      <c r="L38" s="36"/>
      <c r="M38" s="36"/>
      <c r="N38" s="36"/>
      <c r="O38" s="36"/>
      <c r="P38" s="36"/>
      <c r="Q38" s="36"/>
    </row>
    <row r="39" spans="2:17" x14ac:dyDescent="0.3">
      <c r="B39" s="36"/>
      <c r="C39" s="36"/>
      <c r="D39" s="36"/>
      <c r="E39" s="36"/>
      <c r="F39" s="36"/>
      <c r="G39" s="36"/>
      <c r="H39" s="36"/>
      <c r="I39" s="36"/>
      <c r="J39" s="36"/>
      <c r="K39" s="36"/>
      <c r="L39" s="36"/>
      <c r="M39" s="36"/>
      <c r="N39" s="36"/>
      <c r="O39" s="36"/>
      <c r="P39" s="36"/>
      <c r="Q39" s="36"/>
    </row>
    <row r="40" spans="2:17" x14ac:dyDescent="0.3">
      <c r="B40" s="36"/>
      <c r="C40" s="36"/>
      <c r="D40" s="36"/>
      <c r="E40" s="36"/>
      <c r="F40" s="36"/>
      <c r="G40" s="36"/>
      <c r="H40" s="36"/>
      <c r="I40" s="36"/>
      <c r="J40" s="36"/>
      <c r="K40" s="36"/>
      <c r="L40" s="36"/>
      <c r="M40" s="36"/>
      <c r="N40" s="36"/>
      <c r="O40" s="36"/>
      <c r="P40" s="36"/>
      <c r="Q40" s="36"/>
    </row>
  </sheetData>
  <mergeCells count="23">
    <mergeCell ref="B20:P20"/>
    <mergeCell ref="C18:C19"/>
    <mergeCell ref="B14:B15"/>
    <mergeCell ref="C14:C15"/>
    <mergeCell ref="B8:Q8"/>
    <mergeCell ref="C13:D13"/>
    <mergeCell ref="C17:D17"/>
    <mergeCell ref="B12:R12"/>
    <mergeCell ref="C9:D9"/>
    <mergeCell ref="B10:B11"/>
    <mergeCell ref="C10:C11"/>
    <mergeCell ref="B18:B19"/>
    <mergeCell ref="P17:Q17"/>
    <mergeCell ref="B16:Q16"/>
    <mergeCell ref="B30:Q33"/>
    <mergeCell ref="C21:D21"/>
    <mergeCell ref="B24:O24"/>
    <mergeCell ref="C25:D25"/>
    <mergeCell ref="B26:B27"/>
    <mergeCell ref="C26:C27"/>
    <mergeCell ref="B22:B23"/>
    <mergeCell ref="C22:C23"/>
    <mergeCell ref="P21:Q21"/>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6"/>
      <c r="C1" s="36"/>
      <c r="D1" s="36"/>
      <c r="E1" s="36"/>
      <c r="F1" s="36"/>
      <c r="G1" s="36"/>
      <c r="H1" s="36"/>
      <c r="I1" s="36"/>
      <c r="J1" s="36"/>
      <c r="K1" s="36"/>
      <c r="L1" s="36"/>
      <c r="M1" s="36"/>
      <c r="N1" s="36"/>
      <c r="O1" s="36"/>
    </row>
    <row r="2" spans="2:16" x14ac:dyDescent="0.3">
      <c r="B2" s="36"/>
      <c r="C2" s="36"/>
      <c r="D2" s="36"/>
      <c r="E2" s="36"/>
      <c r="F2" s="36"/>
      <c r="G2" s="36"/>
      <c r="H2" s="36"/>
      <c r="I2" s="36"/>
      <c r="J2" s="36"/>
      <c r="K2" s="36"/>
      <c r="L2" s="36"/>
      <c r="M2" s="36"/>
      <c r="N2" s="36"/>
      <c r="O2" s="36"/>
    </row>
    <row r="3" spans="2:16" x14ac:dyDescent="0.3">
      <c r="B3" s="36"/>
      <c r="C3" s="36"/>
      <c r="D3" s="36"/>
      <c r="E3" s="36"/>
      <c r="F3" s="36"/>
      <c r="G3" s="36"/>
      <c r="H3" s="36"/>
      <c r="I3" s="36"/>
      <c r="J3" s="36"/>
      <c r="K3" s="36"/>
      <c r="L3" s="36"/>
      <c r="M3" s="36"/>
      <c r="N3" s="36"/>
      <c r="O3" s="36"/>
    </row>
    <row r="4" spans="2:16" x14ac:dyDescent="0.3">
      <c r="B4" s="36"/>
      <c r="C4" s="36"/>
      <c r="D4" s="36"/>
      <c r="E4" s="36"/>
      <c r="F4" s="36"/>
      <c r="G4" s="36"/>
      <c r="H4" s="36"/>
      <c r="I4" s="36"/>
      <c r="J4" s="36"/>
      <c r="K4" s="36"/>
      <c r="L4" s="36"/>
      <c r="M4" s="36"/>
      <c r="N4" s="36"/>
      <c r="O4" s="36"/>
    </row>
    <row r="5" spans="2:16" x14ac:dyDescent="0.3">
      <c r="B5" s="36"/>
      <c r="C5" s="36"/>
      <c r="D5" s="36"/>
      <c r="E5" s="36"/>
      <c r="F5" s="36"/>
      <c r="G5" s="36"/>
      <c r="H5" s="36"/>
      <c r="I5" s="36"/>
      <c r="J5" s="36"/>
      <c r="K5" s="36"/>
      <c r="L5" s="36"/>
      <c r="M5" s="36"/>
      <c r="N5" s="36"/>
      <c r="O5" s="36"/>
    </row>
    <row r="6" spans="2:16" x14ac:dyDescent="0.3">
      <c r="B6" s="36"/>
      <c r="C6" s="36"/>
      <c r="D6" s="36"/>
      <c r="E6" s="36"/>
      <c r="F6" s="36"/>
      <c r="G6" s="36"/>
      <c r="H6" s="36"/>
      <c r="I6" s="36"/>
      <c r="J6" s="36"/>
      <c r="K6" s="36"/>
      <c r="L6" s="36"/>
      <c r="M6" s="36"/>
      <c r="N6" s="36"/>
      <c r="O6" s="36"/>
    </row>
    <row r="7" spans="2:16" x14ac:dyDescent="0.3">
      <c r="B7" s="36"/>
      <c r="C7" s="36"/>
      <c r="D7" s="36"/>
      <c r="E7" s="36"/>
      <c r="F7" s="36"/>
      <c r="G7" s="36"/>
      <c r="H7" s="36"/>
      <c r="I7" s="36"/>
      <c r="J7" s="36"/>
      <c r="K7" s="36"/>
      <c r="L7" s="36"/>
      <c r="M7" s="36"/>
      <c r="N7" s="36"/>
      <c r="O7" s="36"/>
    </row>
    <row r="8" spans="2:16" ht="15" thickBot="1" x14ac:dyDescent="0.35">
      <c r="B8" s="28"/>
      <c r="C8" s="28"/>
      <c r="D8" s="29"/>
      <c r="E8" s="30"/>
      <c r="F8" s="31"/>
      <c r="G8" s="31"/>
      <c r="H8" s="31"/>
      <c r="I8" s="31"/>
      <c r="J8" s="32"/>
      <c r="K8" s="33"/>
      <c r="L8" s="32"/>
      <c r="M8" s="34"/>
      <c r="N8" s="35"/>
      <c r="O8" s="29"/>
      <c r="P8" s="29"/>
    </row>
    <row r="9" spans="2:16" ht="28.8" x14ac:dyDescent="0.3">
      <c r="B9" s="76" t="s">
        <v>251</v>
      </c>
      <c r="C9" s="77"/>
      <c r="D9" s="77"/>
      <c r="E9" s="77"/>
      <c r="F9" s="77"/>
      <c r="G9" s="77"/>
      <c r="H9" s="77"/>
      <c r="I9" s="77"/>
      <c r="J9" s="77"/>
      <c r="K9" s="77"/>
      <c r="L9" s="77"/>
      <c r="M9" s="77"/>
      <c r="N9" s="77"/>
      <c r="O9" s="77"/>
      <c r="P9" s="78"/>
    </row>
    <row r="10" spans="2:16" ht="28.8" x14ac:dyDescent="0.3">
      <c r="B10" s="79" t="s">
        <v>1</v>
      </c>
      <c r="C10" s="364" t="s">
        <v>2</v>
      </c>
      <c r="D10" s="364"/>
      <c r="E10" s="15" t="s">
        <v>3</v>
      </c>
      <c r="F10" s="15" t="s">
        <v>4</v>
      </c>
      <c r="G10" s="15" t="s">
        <v>5</v>
      </c>
      <c r="H10" s="15" t="s">
        <v>6</v>
      </c>
      <c r="I10" s="16" t="s">
        <v>51</v>
      </c>
      <c r="J10" s="16" t="s">
        <v>54</v>
      </c>
      <c r="K10" s="16" t="s">
        <v>10</v>
      </c>
      <c r="L10" s="16" t="s">
        <v>11</v>
      </c>
      <c r="M10" s="16" t="s">
        <v>12</v>
      </c>
      <c r="N10" s="15" t="s">
        <v>13</v>
      </c>
      <c r="O10" s="15" t="s">
        <v>14</v>
      </c>
      <c r="P10" s="80" t="s">
        <v>38</v>
      </c>
    </row>
    <row r="11" spans="2:16" ht="28.8" x14ac:dyDescent="0.3">
      <c r="B11" s="365" t="s">
        <v>252</v>
      </c>
      <c r="C11" s="368" t="s">
        <v>31</v>
      </c>
      <c r="D11" s="46" t="s">
        <v>18</v>
      </c>
      <c r="E11" s="47">
        <v>11500</v>
      </c>
      <c r="F11" s="48">
        <v>335</v>
      </c>
      <c r="G11" s="48">
        <v>76.5</v>
      </c>
      <c r="H11" s="48">
        <v>14</v>
      </c>
      <c r="I11" s="48">
        <v>10</v>
      </c>
      <c r="J11" s="49">
        <f t="shared" ref="J11:J16" si="0">SUM(E11:I11)</f>
        <v>11935.5</v>
      </c>
      <c r="K11" s="24">
        <v>200</v>
      </c>
      <c r="L11" s="49">
        <f t="shared" ref="L11:L27" si="1">SUM(J11:K11)</f>
        <v>12135.5</v>
      </c>
      <c r="M11" s="50" t="s">
        <v>106</v>
      </c>
      <c r="N11" s="51">
        <v>45504</v>
      </c>
      <c r="O11" s="50" t="s">
        <v>92</v>
      </c>
      <c r="P11" s="81" t="s">
        <v>253</v>
      </c>
    </row>
    <row r="12" spans="2:16" ht="28.8" x14ac:dyDescent="0.3">
      <c r="B12" s="366"/>
      <c r="C12" s="368"/>
      <c r="D12" s="46" t="s">
        <v>24</v>
      </c>
      <c r="E12" s="47">
        <v>12000</v>
      </c>
      <c r="F12" s="48">
        <v>335</v>
      </c>
      <c r="G12" s="48">
        <v>76.5</v>
      </c>
      <c r="H12" s="48">
        <v>14</v>
      </c>
      <c r="I12" s="48">
        <v>10</v>
      </c>
      <c r="J12" s="49">
        <f t="shared" si="0"/>
        <v>12435.5</v>
      </c>
      <c r="K12" s="24">
        <v>200</v>
      </c>
      <c r="L12" s="49">
        <f t="shared" si="1"/>
        <v>12635.5</v>
      </c>
      <c r="M12" s="50" t="s">
        <v>106</v>
      </c>
      <c r="N12" s="51">
        <v>45504</v>
      </c>
      <c r="O12" s="50" t="s">
        <v>92</v>
      </c>
      <c r="P12" s="81" t="s">
        <v>253</v>
      </c>
    </row>
    <row r="13" spans="2:16" ht="28.8" x14ac:dyDescent="0.3">
      <c r="B13" s="366"/>
      <c r="C13" s="368" t="s">
        <v>17</v>
      </c>
      <c r="D13" s="46" t="s">
        <v>18</v>
      </c>
      <c r="E13" s="47">
        <v>11500</v>
      </c>
      <c r="F13" s="48">
        <v>335</v>
      </c>
      <c r="G13" s="48">
        <v>76.5</v>
      </c>
      <c r="H13" s="48">
        <v>14</v>
      </c>
      <c r="I13" s="48">
        <v>10</v>
      </c>
      <c r="J13" s="49">
        <f t="shared" si="0"/>
        <v>11935.5</v>
      </c>
      <c r="K13" s="24">
        <v>200</v>
      </c>
      <c r="L13" s="49">
        <f t="shared" si="1"/>
        <v>12135.5</v>
      </c>
      <c r="M13" s="50" t="s">
        <v>106</v>
      </c>
      <c r="N13" s="51">
        <v>45504</v>
      </c>
      <c r="O13" s="50" t="s">
        <v>92</v>
      </c>
      <c r="P13" s="81" t="s">
        <v>253</v>
      </c>
    </row>
    <row r="14" spans="2:16" ht="28.8" x14ac:dyDescent="0.3">
      <c r="B14" s="366"/>
      <c r="C14" s="368"/>
      <c r="D14" s="46" t="s">
        <v>24</v>
      </c>
      <c r="E14" s="47">
        <v>12000</v>
      </c>
      <c r="F14" s="48">
        <v>335</v>
      </c>
      <c r="G14" s="48">
        <v>76.5</v>
      </c>
      <c r="H14" s="48">
        <v>14</v>
      </c>
      <c r="I14" s="48">
        <v>10</v>
      </c>
      <c r="J14" s="49">
        <f t="shared" si="0"/>
        <v>12435.5</v>
      </c>
      <c r="K14" s="24">
        <v>200</v>
      </c>
      <c r="L14" s="49">
        <f t="shared" si="1"/>
        <v>12635.5</v>
      </c>
      <c r="M14" s="50" t="s">
        <v>106</v>
      </c>
      <c r="N14" s="51">
        <v>45504</v>
      </c>
      <c r="O14" s="50" t="s">
        <v>92</v>
      </c>
      <c r="P14" s="81" t="s">
        <v>253</v>
      </c>
    </row>
    <row r="15" spans="2:16" ht="28.8" x14ac:dyDescent="0.3">
      <c r="B15" s="366"/>
      <c r="C15" s="368" t="s">
        <v>31</v>
      </c>
      <c r="D15" s="46" t="s">
        <v>18</v>
      </c>
      <c r="E15" s="47">
        <v>11550</v>
      </c>
      <c r="F15" s="48">
        <v>300</v>
      </c>
      <c r="G15" s="48">
        <v>97.88</v>
      </c>
      <c r="H15" s="48" t="s">
        <v>57</v>
      </c>
      <c r="I15" s="52">
        <v>55</v>
      </c>
      <c r="J15" s="49">
        <f t="shared" si="0"/>
        <v>12002.88</v>
      </c>
      <c r="K15" s="24">
        <v>200</v>
      </c>
      <c r="L15" s="49">
        <f t="shared" si="1"/>
        <v>12202.88</v>
      </c>
      <c r="M15" s="50" t="s">
        <v>106</v>
      </c>
      <c r="N15" s="51">
        <v>45487</v>
      </c>
      <c r="O15" s="50" t="s">
        <v>74</v>
      </c>
      <c r="P15" s="82" t="s">
        <v>254</v>
      </c>
    </row>
    <row r="16" spans="2:16" ht="28.8" x14ac:dyDescent="0.3">
      <c r="B16" s="366"/>
      <c r="C16" s="368"/>
      <c r="D16" s="46" t="s">
        <v>24</v>
      </c>
      <c r="E16" s="47">
        <v>11750</v>
      </c>
      <c r="F16" s="48">
        <v>300</v>
      </c>
      <c r="G16" s="48">
        <v>97.88</v>
      </c>
      <c r="H16" s="48" t="s">
        <v>57</v>
      </c>
      <c r="I16" s="52">
        <v>55</v>
      </c>
      <c r="J16" s="49">
        <f t="shared" si="0"/>
        <v>12202.88</v>
      </c>
      <c r="K16" s="24">
        <v>200</v>
      </c>
      <c r="L16" s="49">
        <f>SUM(J16:K16)</f>
        <v>12402.88</v>
      </c>
      <c r="M16" s="50" t="s">
        <v>106</v>
      </c>
      <c r="N16" s="51">
        <v>45487</v>
      </c>
      <c r="O16" s="50" t="s">
        <v>74</v>
      </c>
      <c r="P16" s="82" t="s">
        <v>254</v>
      </c>
    </row>
    <row r="17" spans="2:16" ht="28.8" x14ac:dyDescent="0.3">
      <c r="B17" s="366"/>
      <c r="C17" s="368" t="s">
        <v>31</v>
      </c>
      <c r="D17" s="46" t="s">
        <v>18</v>
      </c>
      <c r="E17" s="47">
        <v>10900</v>
      </c>
      <c r="F17" s="48">
        <v>259</v>
      </c>
      <c r="G17" s="48">
        <v>61.88</v>
      </c>
      <c r="H17" s="48" t="s">
        <v>57</v>
      </c>
      <c r="I17" s="48" t="s">
        <v>57</v>
      </c>
      <c r="J17" s="49">
        <f>SUM(F17:I17)</f>
        <v>320.88</v>
      </c>
      <c r="K17" s="24">
        <v>200</v>
      </c>
      <c r="L17" s="49">
        <f t="shared" ref="L17:L18" si="2">SUM(J17:K17)</f>
        <v>520.88</v>
      </c>
      <c r="M17" s="50" t="s">
        <v>106</v>
      </c>
      <c r="N17" s="51">
        <v>45487</v>
      </c>
      <c r="O17" s="50" t="s">
        <v>66</v>
      </c>
      <c r="P17" s="81" t="s">
        <v>255</v>
      </c>
    </row>
    <row r="18" spans="2:16" ht="28.8" x14ac:dyDescent="0.3">
      <c r="B18" s="366"/>
      <c r="C18" s="368"/>
      <c r="D18" s="46" t="s">
        <v>24</v>
      </c>
      <c r="E18" s="47">
        <v>11900</v>
      </c>
      <c r="F18" s="48">
        <v>259</v>
      </c>
      <c r="G18" s="48">
        <v>61.88</v>
      </c>
      <c r="H18" s="48" t="s">
        <v>57</v>
      </c>
      <c r="I18" s="48" t="s">
        <v>57</v>
      </c>
      <c r="J18" s="49">
        <f>SUM(F18:I18)</f>
        <v>320.88</v>
      </c>
      <c r="K18" s="24">
        <v>200</v>
      </c>
      <c r="L18" s="49">
        <f t="shared" si="2"/>
        <v>520.88</v>
      </c>
      <c r="M18" s="50" t="s">
        <v>106</v>
      </c>
      <c r="N18" s="51">
        <v>45487</v>
      </c>
      <c r="O18" s="50" t="s">
        <v>66</v>
      </c>
      <c r="P18" s="81" t="s">
        <v>255</v>
      </c>
    </row>
    <row r="19" spans="2:16" ht="43.2" x14ac:dyDescent="0.3">
      <c r="B19" s="366"/>
      <c r="C19" s="368" t="s">
        <v>31</v>
      </c>
      <c r="D19" s="46" t="s">
        <v>18</v>
      </c>
      <c r="E19" s="47">
        <v>10900</v>
      </c>
      <c r="F19" s="48">
        <v>270</v>
      </c>
      <c r="G19" s="48">
        <v>70</v>
      </c>
      <c r="H19" s="52">
        <v>18</v>
      </c>
      <c r="I19" s="48" t="s">
        <v>57</v>
      </c>
      <c r="J19" s="49">
        <f>SUM(E19:I19)</f>
        <v>11258</v>
      </c>
      <c r="K19" s="24">
        <v>200</v>
      </c>
      <c r="L19" s="49">
        <f t="shared" si="1"/>
        <v>11458</v>
      </c>
      <c r="M19" s="50" t="s">
        <v>106</v>
      </c>
      <c r="N19" s="51">
        <v>45487</v>
      </c>
      <c r="O19" s="50" t="s">
        <v>60</v>
      </c>
      <c r="P19" s="81" t="s">
        <v>256</v>
      </c>
    </row>
    <row r="20" spans="2:16" ht="43.2" x14ac:dyDescent="0.3">
      <c r="B20" s="367"/>
      <c r="C20" s="368"/>
      <c r="D20" s="46" t="s">
        <v>24</v>
      </c>
      <c r="E20" s="47">
        <v>12350</v>
      </c>
      <c r="F20" s="48">
        <v>270</v>
      </c>
      <c r="G20" s="48">
        <v>70</v>
      </c>
      <c r="H20" s="52">
        <v>18</v>
      </c>
      <c r="I20" s="48" t="s">
        <v>57</v>
      </c>
      <c r="J20" s="49">
        <f>SUM(E20:I20)</f>
        <v>12708</v>
      </c>
      <c r="K20" s="24">
        <v>200</v>
      </c>
      <c r="L20" s="49">
        <f t="shared" si="1"/>
        <v>12908</v>
      </c>
      <c r="M20" s="50" t="s">
        <v>106</v>
      </c>
      <c r="N20" s="51">
        <v>45487</v>
      </c>
      <c r="O20" s="50" t="s">
        <v>60</v>
      </c>
      <c r="P20" s="81" t="s">
        <v>256</v>
      </c>
    </row>
    <row r="21" spans="2:16" ht="28.8" x14ac:dyDescent="0.3">
      <c r="B21" s="365" t="s">
        <v>257</v>
      </c>
      <c r="C21" s="368" t="s">
        <v>31</v>
      </c>
      <c r="D21" s="46" t="s">
        <v>18</v>
      </c>
      <c r="E21" s="47">
        <v>11650</v>
      </c>
      <c r="F21" s="48">
        <v>335</v>
      </c>
      <c r="G21" s="48">
        <v>76.5</v>
      </c>
      <c r="H21" s="48">
        <v>14</v>
      </c>
      <c r="I21" s="48">
        <v>10</v>
      </c>
      <c r="J21" s="49">
        <f>SUM(E21:I21)</f>
        <v>12085.5</v>
      </c>
      <c r="K21" s="24">
        <v>200</v>
      </c>
      <c r="L21" s="49">
        <f t="shared" si="1"/>
        <v>12285.5</v>
      </c>
      <c r="M21" s="50" t="s">
        <v>106</v>
      </c>
      <c r="N21" s="51">
        <v>45504</v>
      </c>
      <c r="O21" s="50" t="s">
        <v>92</v>
      </c>
      <c r="P21" s="81" t="s">
        <v>253</v>
      </c>
    </row>
    <row r="22" spans="2:16" ht="28.8" x14ac:dyDescent="0.3">
      <c r="B22" s="367"/>
      <c r="C22" s="368"/>
      <c r="D22" s="46" t="s">
        <v>24</v>
      </c>
      <c r="E22" s="47">
        <v>12300</v>
      </c>
      <c r="F22" s="48">
        <v>335</v>
      </c>
      <c r="G22" s="48">
        <v>76.5</v>
      </c>
      <c r="H22" s="48">
        <v>14</v>
      </c>
      <c r="I22" s="48">
        <v>10</v>
      </c>
      <c r="J22" s="49">
        <f>SUM(E22:I22)</f>
        <v>12735.5</v>
      </c>
      <c r="K22" s="24">
        <v>200</v>
      </c>
      <c r="L22" s="49">
        <f t="shared" si="1"/>
        <v>12935.5</v>
      </c>
      <c r="M22" s="50" t="s">
        <v>106</v>
      </c>
      <c r="N22" s="51">
        <v>45504</v>
      </c>
      <c r="O22" s="50" t="s">
        <v>92</v>
      </c>
      <c r="P22" s="81" t="s">
        <v>253</v>
      </c>
    </row>
    <row r="23" spans="2:16" ht="28.8" x14ac:dyDescent="0.3">
      <c r="B23" s="365" t="s">
        <v>258</v>
      </c>
      <c r="C23" s="368" t="s">
        <v>31</v>
      </c>
      <c r="D23" s="46" t="s">
        <v>18</v>
      </c>
      <c r="E23" s="47">
        <v>11800</v>
      </c>
      <c r="F23" s="48">
        <v>270</v>
      </c>
      <c r="G23" s="48">
        <v>70</v>
      </c>
      <c r="H23" s="48" t="s">
        <v>57</v>
      </c>
      <c r="I23" s="48" t="s">
        <v>57</v>
      </c>
      <c r="J23" s="49">
        <f t="shared" ref="J23:J25" si="3">SUM(E23:I23)</f>
        <v>12140</v>
      </c>
      <c r="K23" s="24">
        <v>200</v>
      </c>
      <c r="L23" s="49">
        <f t="shared" si="1"/>
        <v>12340</v>
      </c>
      <c r="M23" s="50" t="s">
        <v>106</v>
      </c>
      <c r="N23" s="51">
        <v>45504</v>
      </c>
      <c r="O23" s="50" t="s">
        <v>60</v>
      </c>
      <c r="P23" s="81" t="s">
        <v>259</v>
      </c>
    </row>
    <row r="24" spans="2:16" ht="28.8" x14ac:dyDescent="0.3">
      <c r="B24" s="367"/>
      <c r="C24" s="368"/>
      <c r="D24" s="46" t="s">
        <v>24</v>
      </c>
      <c r="E24" s="47">
        <v>13500</v>
      </c>
      <c r="F24" s="48">
        <v>270</v>
      </c>
      <c r="G24" s="48">
        <v>70</v>
      </c>
      <c r="H24" s="48" t="s">
        <v>57</v>
      </c>
      <c r="I24" s="48" t="s">
        <v>57</v>
      </c>
      <c r="J24" s="49">
        <f t="shared" si="3"/>
        <v>13840</v>
      </c>
      <c r="K24" s="24">
        <v>200</v>
      </c>
      <c r="L24" s="49">
        <f t="shared" si="1"/>
        <v>14040</v>
      </c>
      <c r="M24" s="75" t="s">
        <v>106</v>
      </c>
      <c r="N24" s="51">
        <v>45504</v>
      </c>
      <c r="O24" s="50" t="s">
        <v>60</v>
      </c>
      <c r="P24" s="81" t="s">
        <v>259</v>
      </c>
    </row>
    <row r="25" spans="2:16" ht="28.8" hidden="1" x14ac:dyDescent="0.3">
      <c r="B25" s="277" t="s">
        <v>260</v>
      </c>
      <c r="C25" s="238" t="s">
        <v>31</v>
      </c>
      <c r="D25" s="41" t="s">
        <v>18</v>
      </c>
      <c r="E25" s="84">
        <v>5300</v>
      </c>
      <c r="F25" s="57">
        <v>259</v>
      </c>
      <c r="G25" s="57">
        <v>60</v>
      </c>
      <c r="H25" s="57" t="s">
        <v>57</v>
      </c>
      <c r="I25" s="57" t="s">
        <v>57</v>
      </c>
      <c r="J25" s="59">
        <f t="shared" si="3"/>
        <v>5619</v>
      </c>
      <c r="K25" s="24">
        <v>200</v>
      </c>
      <c r="L25" s="59">
        <f t="shared" si="1"/>
        <v>5819</v>
      </c>
      <c r="M25" s="60" t="s">
        <v>261</v>
      </c>
      <c r="N25" s="61">
        <v>45493</v>
      </c>
      <c r="O25" s="54" t="s">
        <v>262</v>
      </c>
      <c r="P25" s="85" t="s">
        <v>263</v>
      </c>
    </row>
    <row r="26" spans="2:16" ht="28.8" hidden="1" x14ac:dyDescent="0.3">
      <c r="B26" s="277"/>
      <c r="C26" s="238"/>
      <c r="D26" s="41" t="s">
        <v>24</v>
      </c>
      <c r="E26" s="84">
        <v>7500</v>
      </c>
      <c r="F26" s="57">
        <v>259</v>
      </c>
      <c r="G26" s="57">
        <v>60</v>
      </c>
      <c r="H26" s="57" t="s">
        <v>57</v>
      </c>
      <c r="I26" s="57" t="s">
        <v>57</v>
      </c>
      <c r="J26" s="59">
        <f>SUM(E26:I26)</f>
        <v>7819</v>
      </c>
      <c r="K26" s="24">
        <v>200</v>
      </c>
      <c r="L26" s="59">
        <f t="shared" si="1"/>
        <v>8019</v>
      </c>
      <c r="M26" s="60" t="s">
        <v>261</v>
      </c>
      <c r="N26" s="61">
        <v>45493</v>
      </c>
      <c r="O26" s="54" t="s">
        <v>262</v>
      </c>
      <c r="P26" s="85" t="s">
        <v>263</v>
      </c>
    </row>
    <row r="27" spans="2:16" ht="15" thickBot="1" x14ac:dyDescent="0.35">
      <c r="B27" s="359"/>
      <c r="C27" s="377"/>
      <c r="D27" s="86" t="s">
        <v>18</v>
      </c>
      <c r="E27" s="87">
        <v>14200</v>
      </c>
      <c r="F27" s="88">
        <v>335</v>
      </c>
      <c r="G27" s="88">
        <v>76.5</v>
      </c>
      <c r="H27" s="88">
        <v>14</v>
      </c>
      <c r="I27" s="88">
        <v>10</v>
      </c>
      <c r="J27" s="89">
        <f>SUM(E27:I27)</f>
        <v>14635.5</v>
      </c>
      <c r="K27" s="83">
        <v>200</v>
      </c>
      <c r="L27" s="89">
        <f t="shared" si="1"/>
        <v>14835.5</v>
      </c>
      <c r="M27" s="90" t="s">
        <v>106</v>
      </c>
      <c r="N27" s="91">
        <v>45493</v>
      </c>
      <c r="O27" s="92" t="s">
        <v>92</v>
      </c>
      <c r="P27" s="93" t="s">
        <v>234</v>
      </c>
    </row>
    <row r="28" spans="2:16" ht="15" thickBot="1" x14ac:dyDescent="0.35">
      <c r="B28" s="28"/>
      <c r="C28" s="28"/>
      <c r="D28" s="29"/>
      <c r="E28" s="30"/>
      <c r="F28" s="31"/>
      <c r="G28" s="31"/>
      <c r="H28" s="31"/>
      <c r="I28" s="31"/>
      <c r="J28" s="32"/>
      <c r="K28" s="33"/>
      <c r="L28" s="32"/>
      <c r="M28" s="34"/>
      <c r="N28" s="35"/>
      <c r="O28" s="29"/>
    </row>
    <row r="29" spans="2:16" ht="15.6" x14ac:dyDescent="0.3">
      <c r="B29" s="369" t="s">
        <v>34</v>
      </c>
      <c r="C29" s="370"/>
      <c r="D29" s="370"/>
      <c r="E29" s="370"/>
      <c r="F29" s="370"/>
      <c r="G29" s="370"/>
      <c r="H29" s="370"/>
      <c r="I29" s="370"/>
      <c r="J29" s="370"/>
      <c r="K29" s="370"/>
      <c r="L29" s="370"/>
      <c r="M29" s="370"/>
      <c r="N29" s="370"/>
      <c r="O29" s="370"/>
      <c r="P29" s="371"/>
    </row>
    <row r="30" spans="2:16" x14ac:dyDescent="0.3">
      <c r="B30" s="372" t="s">
        <v>35</v>
      </c>
      <c r="C30" s="278"/>
      <c r="D30" s="278"/>
      <c r="E30" s="278"/>
      <c r="F30" s="278"/>
      <c r="G30" s="278"/>
      <c r="H30" s="278"/>
      <c r="I30" s="278"/>
      <c r="J30" s="278"/>
      <c r="K30" s="278"/>
      <c r="L30" s="278"/>
      <c r="M30" s="278"/>
      <c r="N30" s="278"/>
      <c r="O30" s="278"/>
      <c r="P30" s="373"/>
    </row>
    <row r="31" spans="2:16" x14ac:dyDescent="0.3">
      <c r="B31" s="372"/>
      <c r="C31" s="278"/>
      <c r="D31" s="278"/>
      <c r="E31" s="278"/>
      <c r="F31" s="278"/>
      <c r="G31" s="278"/>
      <c r="H31" s="278"/>
      <c r="I31" s="278"/>
      <c r="J31" s="278"/>
      <c r="K31" s="278"/>
      <c r="L31" s="278"/>
      <c r="M31" s="278"/>
      <c r="N31" s="278"/>
      <c r="O31" s="278"/>
      <c r="P31" s="373"/>
    </row>
    <row r="32" spans="2:16" x14ac:dyDescent="0.3">
      <c r="B32" s="372"/>
      <c r="C32" s="278"/>
      <c r="D32" s="278"/>
      <c r="E32" s="278"/>
      <c r="F32" s="278"/>
      <c r="G32" s="278"/>
      <c r="H32" s="278"/>
      <c r="I32" s="278"/>
      <c r="J32" s="278"/>
      <c r="K32" s="278"/>
      <c r="L32" s="278"/>
      <c r="M32" s="278"/>
      <c r="N32" s="278"/>
      <c r="O32" s="278"/>
      <c r="P32" s="373"/>
    </row>
    <row r="33" spans="2:16" ht="15" thickBot="1" x14ac:dyDescent="0.35">
      <c r="B33" s="374"/>
      <c r="C33" s="375"/>
      <c r="D33" s="375"/>
      <c r="E33" s="375"/>
      <c r="F33" s="375"/>
      <c r="G33" s="375"/>
      <c r="H33" s="375"/>
      <c r="I33" s="375"/>
      <c r="J33" s="375"/>
      <c r="K33" s="375"/>
      <c r="L33" s="375"/>
      <c r="M33" s="375"/>
      <c r="N33" s="375"/>
      <c r="O33" s="375"/>
      <c r="P33" s="376"/>
    </row>
  </sheetData>
  <mergeCells count="15">
    <mergeCell ref="B29:P29"/>
    <mergeCell ref="B30:P33"/>
    <mergeCell ref="B21:B22"/>
    <mergeCell ref="C21:C22"/>
    <mergeCell ref="B23:B24"/>
    <mergeCell ref="C23:C24"/>
    <mergeCell ref="B25:B27"/>
    <mergeCell ref="C25:C27"/>
    <mergeCell ref="C10:D10"/>
    <mergeCell ref="B11:B20"/>
    <mergeCell ref="C11:C12"/>
    <mergeCell ref="C13:C14"/>
    <mergeCell ref="C15:C16"/>
    <mergeCell ref="C17:C18"/>
    <mergeCell ref="C19:C20"/>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customXml/itemProps2.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AAFA3EB-B8AB-4135-B122-0B0233A6C07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2026-07-09T12:01:18Z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